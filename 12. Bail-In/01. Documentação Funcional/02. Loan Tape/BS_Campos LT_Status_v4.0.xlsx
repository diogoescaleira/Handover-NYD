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antandernet.sharepoint.com/sites/BSTestesBail-In/Shared Documents/Geral/01. Documentação Funcional/02. Loan Tape/"/>
    </mc:Choice>
  </mc:AlternateContent>
  <xr:revisionPtr revIDLastSave="9765" documentId="8_{E5CB3F0B-AC18-4F3B-B66E-A27715A44338}" xr6:coauthVersionLast="47" xr6:coauthVersionMax="47" xr10:uidLastSave="{CC8C2432-3CDC-4064-8194-262EE5793F6F}"/>
  <bookViews>
    <workbookView minimized="1" xWindow="2250" yWindow="4185" windowWidth="21600" windowHeight="11295" tabRatio="863" activeTab="4" xr2:uid="{00000000-000D-0000-FFFF-FFFF00000000}"/>
  </bookViews>
  <sheets>
    <sheet name="Status" sheetId="4" r:id="rId1"/>
    <sheet name="PDS (old)" sheetId="6" state="hidden" r:id="rId2"/>
    <sheet name="Aux." sheetId="10" state="hidden" r:id="rId3"/>
    <sheet name="PDS" sheetId="11" r:id="rId4"/>
    <sheet name="Detalhe" sheetId="1" r:id="rId5"/>
    <sheet name="Caderno Testes" sheetId="5" r:id="rId6"/>
    <sheet name="Campos IMP vs CNT" sheetId="7" r:id="rId7"/>
    <sheet name="Planeamento" sheetId="15" r:id="rId8"/>
    <sheet name="Status PM (Campos)" sheetId="18" r:id="rId9"/>
    <sheet name="PRO_LT_SCORECARD_FLEX_VALIDATIO" sheetId="20" r:id="rId10"/>
    <sheet name="Controlos Corporativos" sheetId="19" r:id="rId11"/>
  </sheets>
  <externalReferences>
    <externalReference r:id="rId12"/>
    <externalReference r:id="rId13"/>
  </externalReferences>
  <definedNames>
    <definedName name="_xlnm._FilterDatabase" localSheetId="5" hidden="1">'Caderno Testes'!$A$1:$I$276</definedName>
    <definedName name="_xlnm._FilterDatabase" localSheetId="6" hidden="1">'Campos IMP vs CNT'!$A$1:$J$69</definedName>
    <definedName name="_xlnm._FilterDatabase" localSheetId="10" hidden="1">'Controlos Corporativos'!$B$3:$L$22</definedName>
    <definedName name="_xlnm._FilterDatabase" localSheetId="4" hidden="1">Detalhe!$C$5:$Y$408</definedName>
    <definedName name="_xlnm._FilterDatabase" localSheetId="3" hidden="1">Aux.!$B$2:$H$2</definedName>
    <definedName name="_xlnm._FilterDatabase" localSheetId="1" hidden="1">Aux.!$B$2:$H$2</definedName>
    <definedName name="_xlnm._FilterDatabase" localSheetId="9" hidden="1">PRO_LT_SCORECARD_FLEX_VALIDATIO!$A$1:$J$1839</definedName>
    <definedName name="_xlnm._FilterDatabase" localSheetId="8" hidden="1">'Status PM (Campos)'!$B$18:$I$53</definedName>
    <definedName name="_Hlk71900621" localSheetId="6">'Campos IMP vs CNT'!$C$61</definedName>
    <definedName name="_Toc164082157" localSheetId="6">'Campos IMP vs CNT'!#REF!</definedName>
    <definedName name="_Toc164082158" localSheetId="6">'Campos IMP vs CNT'!$C$52</definedName>
    <definedName name="_Toc164082286" localSheetId="6">'Campos IMP vs CNT'!$C$62</definedName>
    <definedName name="_Toc164082298" localSheetId="6">'Campos IMP vs CNT'!$C$64</definedName>
    <definedName name="_Toc164082299" localSheetId="6">'Campos IMP vs CNT'!$C$65</definedName>
    <definedName name="_Toc164082302" localSheetId="6">'Campos IMP vs CNT'!$C$12</definedName>
    <definedName name="_Toc164082303" localSheetId="6">'Campos IMP vs CNT'!$C$13</definedName>
    <definedName name="_Toc164082304" localSheetId="6">'Campos IMP vs CNT'!$C$49</definedName>
    <definedName name="_Toc164082314" localSheetId="6">'Campos IMP vs CNT'!$C$5</definedName>
    <definedName name="_Toc164082315" localSheetId="6">'Campos IMP vs CNT'!$C$3</definedName>
    <definedName name="_Toc164082316" localSheetId="6">'Campos IMP vs CNT'!$C$4</definedName>
    <definedName name="_Toc164082319" localSheetId="6">'Campos IMP vs CNT'!$C$60</definedName>
    <definedName name="_Toc164082330" localSheetId="6">'Campos IMP vs CNT'!$C$48</definedName>
    <definedName name="_Toc164082331" localSheetId="6">'Campos IMP vs CNT'!$C$68</definedName>
    <definedName name="_Toc164082332" localSheetId="6">'Campos IMP vs CNT'!$C$22</definedName>
    <definedName name="_Toc164082333" localSheetId="6">'Campos IMP vs CNT'!$C$36</definedName>
    <definedName name="_Toc164082334" localSheetId="6">'Campos IMP vs CNT'!$C$37</definedName>
    <definedName name="_Toc164082339" localSheetId="6">'Campos IMP vs CNT'!$C$42</definedName>
    <definedName name="_Toc164082348" localSheetId="6">'Campos IMP vs CNT'!$C$51</definedName>
    <definedName name="_Toc164082349" localSheetId="6">'Campos IMP vs CNT'!$C$69</definedName>
    <definedName name="_Toc164082351" localSheetId="6">'Campos IMP vs CNT'!$C$57</definedName>
    <definedName name="_Toc164082352" localSheetId="6">'Campos IMP vs CNT'!$C$58</definedName>
    <definedName name="_Toc164082353" localSheetId="6">'Campos IMP vs CNT'!$C$59</definedName>
    <definedName name="_Toc164082359" localSheetId="6">'Campos IMP vs CNT'!$C$33</definedName>
    <definedName name="_Toc164082360" localSheetId="6">'Campos IMP vs CNT'!$C$34</definedName>
    <definedName name="_Toc164082361" localSheetId="6">'Campos IMP vs CNT'!$C$35</definedName>
    <definedName name="_Toc164082362" localSheetId="6">'Campos IMP vs CNT'!$C$38</definedName>
    <definedName name="_Toc164082363" localSheetId="6">'Campos IMP vs CNT'!$C$39</definedName>
    <definedName name="_Toc164082366" localSheetId="6">'Campos IMP vs CNT'!$C$43</definedName>
    <definedName name="_Toc164082367" localSheetId="6">'Campos IMP vs CNT'!$C$44</definedName>
    <definedName name="_Toc164082368" localSheetId="6">'Campos IMP vs CNT'!$C$7</definedName>
    <definedName name="_Toc164082369" localSheetId="6">'Campos IMP vs CNT'!$C$45</definedName>
    <definedName name="_Toc164082370" localSheetId="6">'Campos IMP vs CNT'!$C$8</definedName>
    <definedName name="_Toc164082371" localSheetId="6">'Campos IMP vs CNT'!$C$46</definedName>
    <definedName name="_Toc164082372" localSheetId="6">'Campos IMP vs CNT'!$C$9</definedName>
    <definedName name="_Toc164082373" localSheetId="6">'Campos IMP vs CNT'!$C$10</definedName>
    <definedName name="_Toc164082374" localSheetId="6">'Campos IMP vs CNT'!$C$11</definedName>
    <definedName name="_Toc164082375" localSheetId="6">'Campos IMP vs CNT'!$C$66</definedName>
    <definedName name="_Toc164082381" localSheetId="6">'Campos IMP vs CNT'!#REF!</definedName>
    <definedName name="_Toc164082382" localSheetId="6">'Campos IMP vs CNT'!$C$53</definedName>
    <definedName name="_Toc164082383" localSheetId="6">'Campos IMP vs CNT'!$C$54</definedName>
    <definedName name="_Toc164082394" localSheetId="6">'Campos IMP vs CNT'!#REF!</definedName>
    <definedName name="_Toc164082395" localSheetId="6">'Campos IMP vs CNT'!#REF!</definedName>
    <definedName name="_Toc164082396" localSheetId="6">'Campos IMP vs CNT'!#REF!</definedName>
    <definedName name="_Toc164082397" localSheetId="6">'Campos IMP vs CNT'!#REF!</definedName>
  </definedNames>
  <calcPr calcId="191028"/>
  <pivotCaches>
    <pivotCache cacheId="0" r:id="rId14"/>
    <pivotCache cacheId="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08" i="1" l="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K1839" i="20"/>
  <c r="K1838" i="20"/>
  <c r="K1837" i="20"/>
  <c r="K1836" i="20"/>
  <c r="K1835" i="20"/>
  <c r="K1834" i="20"/>
  <c r="K1833" i="20"/>
  <c r="K1832" i="20"/>
  <c r="K1831" i="20"/>
  <c r="K1830" i="20"/>
  <c r="K1829" i="20"/>
  <c r="K1828" i="20"/>
  <c r="K1827" i="20"/>
  <c r="K1826" i="20"/>
  <c r="K1825" i="20"/>
  <c r="K1824" i="20"/>
  <c r="K1823" i="20"/>
  <c r="K1822" i="20"/>
  <c r="K1821" i="20"/>
  <c r="K1820" i="20"/>
  <c r="K1819" i="20"/>
  <c r="K1818" i="20"/>
  <c r="K1817" i="20"/>
  <c r="K1816" i="20"/>
  <c r="K1815" i="20"/>
  <c r="K1814" i="20"/>
  <c r="K1813" i="20"/>
  <c r="K1812" i="20"/>
  <c r="K1811" i="20"/>
  <c r="K1810" i="20"/>
  <c r="K1809" i="20"/>
  <c r="K1808" i="20"/>
  <c r="K1807" i="20"/>
  <c r="K1806" i="20"/>
  <c r="K1805" i="20"/>
  <c r="K1804" i="20"/>
  <c r="K1803" i="20"/>
  <c r="K1802" i="20"/>
  <c r="K1801" i="20"/>
  <c r="K1800" i="20"/>
  <c r="K1799" i="20"/>
  <c r="K1798" i="20"/>
  <c r="K1797" i="20"/>
  <c r="K1796" i="20"/>
  <c r="K1795" i="20"/>
  <c r="K1794" i="20"/>
  <c r="K1793" i="20"/>
  <c r="K1792" i="20"/>
  <c r="K1791" i="20"/>
  <c r="K1790" i="20"/>
  <c r="K1789" i="20"/>
  <c r="K1788" i="20"/>
  <c r="K1787" i="20"/>
  <c r="K1786" i="20"/>
  <c r="K1785" i="20"/>
  <c r="K1784" i="20"/>
  <c r="K1783" i="20"/>
  <c r="K1782" i="20"/>
  <c r="K1781" i="20"/>
  <c r="K1780" i="20"/>
  <c r="K1779" i="20"/>
  <c r="K1778" i="20"/>
  <c r="K1777" i="20"/>
  <c r="K1776" i="20"/>
  <c r="K1775" i="20"/>
  <c r="K1774" i="20"/>
  <c r="K1773" i="20"/>
  <c r="K1772" i="20"/>
  <c r="K1771" i="20"/>
  <c r="K1770" i="20"/>
  <c r="K1769" i="20"/>
  <c r="K1768" i="20"/>
  <c r="K1767" i="20"/>
  <c r="K1766" i="20"/>
  <c r="K1765" i="20"/>
  <c r="K1764" i="20"/>
  <c r="K1763" i="20"/>
  <c r="K1762" i="20"/>
  <c r="K1761" i="20"/>
  <c r="K1760" i="20"/>
  <c r="K1759" i="20"/>
  <c r="K1758" i="20"/>
  <c r="K1757" i="20"/>
  <c r="K1756" i="20"/>
  <c r="K1755" i="20"/>
  <c r="K1754" i="20"/>
  <c r="K1753" i="20"/>
  <c r="K1752" i="20"/>
  <c r="K1751" i="20"/>
  <c r="K1750" i="20"/>
  <c r="K1749" i="20"/>
  <c r="K1748" i="20"/>
  <c r="K1747" i="20"/>
  <c r="K1746" i="20"/>
  <c r="K1745" i="20"/>
  <c r="K1744" i="20"/>
  <c r="K1743" i="20"/>
  <c r="K1742" i="20"/>
  <c r="K1741" i="20"/>
  <c r="K1740" i="20"/>
  <c r="K1739" i="20"/>
  <c r="K1738" i="20"/>
  <c r="K1737" i="20"/>
  <c r="K1736" i="20"/>
  <c r="K1735" i="20"/>
  <c r="K1734" i="20"/>
  <c r="K1733" i="20"/>
  <c r="K1732" i="20"/>
  <c r="K1731" i="20"/>
  <c r="K1730" i="20"/>
  <c r="K1729" i="20"/>
  <c r="K1728" i="20"/>
  <c r="K1727" i="20"/>
  <c r="K1726" i="20"/>
  <c r="K1725" i="20"/>
  <c r="K1724" i="20"/>
  <c r="K1723" i="20"/>
  <c r="K1722" i="20"/>
  <c r="K1721" i="20"/>
  <c r="K1720" i="20"/>
  <c r="K1719" i="20"/>
  <c r="K1718" i="20"/>
  <c r="K1717" i="20"/>
  <c r="K1716" i="20"/>
  <c r="K1715" i="20"/>
  <c r="K1714" i="20"/>
  <c r="K1713" i="20"/>
  <c r="K1712" i="20"/>
  <c r="K1711" i="20"/>
  <c r="K1710" i="20"/>
  <c r="K1709" i="20"/>
  <c r="K1708" i="20"/>
  <c r="K1707" i="20"/>
  <c r="K1706" i="20"/>
  <c r="K1705" i="20"/>
  <c r="K1704" i="20"/>
  <c r="K1703" i="20"/>
  <c r="K1702" i="20"/>
  <c r="K1701" i="20"/>
  <c r="K1700" i="20"/>
  <c r="K1699" i="20"/>
  <c r="K1698" i="20"/>
  <c r="K1697" i="20"/>
  <c r="K1696" i="20"/>
  <c r="K1695" i="20"/>
  <c r="K1694" i="20"/>
  <c r="K1693" i="20"/>
  <c r="K1692" i="20"/>
  <c r="K1691" i="20"/>
  <c r="K1690" i="20"/>
  <c r="K1689" i="20"/>
  <c r="K1688" i="20"/>
  <c r="K1687" i="20"/>
  <c r="K1686" i="20"/>
  <c r="K1685" i="20"/>
  <c r="K1684" i="20"/>
  <c r="K1683" i="20"/>
  <c r="K1682" i="20"/>
  <c r="K1681" i="20"/>
  <c r="K1680" i="20"/>
  <c r="K1679" i="20"/>
  <c r="K1678" i="20"/>
  <c r="K1677" i="20"/>
  <c r="K1676" i="20"/>
  <c r="K1675" i="20"/>
  <c r="K1674" i="20"/>
  <c r="K1673" i="20"/>
  <c r="K1672" i="20"/>
  <c r="K1671" i="20"/>
  <c r="K1670" i="20"/>
  <c r="K1669" i="20"/>
  <c r="K1668" i="20"/>
  <c r="K1667" i="20"/>
  <c r="K1666" i="20"/>
  <c r="K1665" i="20"/>
  <c r="K1664" i="20"/>
  <c r="K1663" i="20"/>
  <c r="K1662" i="20"/>
  <c r="K1661" i="20"/>
  <c r="K1660" i="20"/>
  <c r="K1659" i="20"/>
  <c r="K1658" i="20"/>
  <c r="K1657" i="20"/>
  <c r="K1656" i="20"/>
  <c r="K1655" i="20"/>
  <c r="K1654" i="20"/>
  <c r="K1653" i="20"/>
  <c r="K1652" i="20"/>
  <c r="K1651" i="20"/>
  <c r="K1650" i="20"/>
  <c r="K1649" i="20"/>
  <c r="K1648" i="20"/>
  <c r="K1647" i="20"/>
  <c r="K1646" i="20"/>
  <c r="K1645" i="20"/>
  <c r="K1644" i="20"/>
  <c r="K1643" i="20"/>
  <c r="K1642" i="20"/>
  <c r="K1641" i="20"/>
  <c r="K1640" i="20"/>
  <c r="K1639" i="20"/>
  <c r="K1638" i="20"/>
  <c r="K1637" i="20"/>
  <c r="K1636" i="20"/>
  <c r="K1635" i="20"/>
  <c r="K1634" i="20"/>
  <c r="K1633" i="20"/>
  <c r="K1632" i="20"/>
  <c r="K1631" i="20"/>
  <c r="K1630" i="20"/>
  <c r="K1629" i="20"/>
  <c r="K1628" i="20"/>
  <c r="K1627" i="20"/>
  <c r="K1626" i="20"/>
  <c r="K1625" i="20"/>
  <c r="K1624" i="20"/>
  <c r="K1623" i="20"/>
  <c r="K1622" i="20"/>
  <c r="K1621" i="20"/>
  <c r="K1620" i="20"/>
  <c r="K1619" i="20"/>
  <c r="K1618" i="20"/>
  <c r="K1617" i="20"/>
  <c r="K1616" i="20"/>
  <c r="K1615" i="20"/>
  <c r="K1614" i="20"/>
  <c r="K1613" i="20"/>
  <c r="K1612" i="20"/>
  <c r="K1611" i="20"/>
  <c r="K1610" i="20"/>
  <c r="K1609" i="20"/>
  <c r="K1608" i="20"/>
  <c r="K1607" i="20"/>
  <c r="K1606" i="20"/>
  <c r="K1605" i="20"/>
  <c r="K1604" i="20"/>
  <c r="K1603" i="20"/>
  <c r="K1602" i="20"/>
  <c r="K1601" i="20"/>
  <c r="K1600" i="20"/>
  <c r="K1599" i="20"/>
  <c r="K1598" i="20"/>
  <c r="K1597" i="20"/>
  <c r="K1596" i="20"/>
  <c r="K1595" i="20"/>
  <c r="K1594" i="20"/>
  <c r="K1593" i="20"/>
  <c r="K1592" i="20"/>
  <c r="K1591" i="20"/>
  <c r="K1590" i="20"/>
  <c r="K1589" i="20"/>
  <c r="K1588" i="20"/>
  <c r="K1587" i="20"/>
  <c r="K1586" i="20"/>
  <c r="K1585" i="20"/>
  <c r="K1584" i="20"/>
  <c r="K1583" i="20"/>
  <c r="K1582" i="20"/>
  <c r="K1581" i="20"/>
  <c r="K1580" i="20"/>
  <c r="K1579" i="20"/>
  <c r="K1578" i="20"/>
  <c r="K1577" i="20"/>
  <c r="K1576" i="20"/>
  <c r="K1575" i="20"/>
  <c r="K1574" i="20"/>
  <c r="K1573" i="20"/>
  <c r="K1572" i="20"/>
  <c r="K1571" i="20"/>
  <c r="K1570" i="20"/>
  <c r="K1569" i="20"/>
  <c r="K1568" i="20"/>
  <c r="K1567" i="20"/>
  <c r="K1566" i="20"/>
  <c r="K1565" i="20"/>
  <c r="K1564" i="20"/>
  <c r="K1563" i="20"/>
  <c r="K1562" i="20"/>
  <c r="K1561" i="20"/>
  <c r="K1560" i="20"/>
  <c r="K1559" i="20"/>
  <c r="K1558" i="20"/>
  <c r="K1557" i="20"/>
  <c r="K1556" i="20"/>
  <c r="K1555" i="20"/>
  <c r="K1554" i="20"/>
  <c r="K1553" i="20"/>
  <c r="K1552" i="20"/>
  <c r="K1551" i="20"/>
  <c r="K1550" i="20"/>
  <c r="K1549" i="20"/>
  <c r="K1548" i="20"/>
  <c r="K1547" i="20"/>
  <c r="K1546" i="20"/>
  <c r="K1545" i="20"/>
  <c r="K1544" i="20"/>
  <c r="K1543" i="20"/>
  <c r="K1542" i="20"/>
  <c r="K1541" i="20"/>
  <c r="K1540" i="20"/>
  <c r="K1539" i="20"/>
  <c r="K1538" i="20"/>
  <c r="K1537" i="20"/>
  <c r="K1536" i="20"/>
  <c r="K1535" i="20"/>
  <c r="K1534" i="20"/>
  <c r="K1533" i="20"/>
  <c r="K1532" i="20"/>
  <c r="K1531" i="20"/>
  <c r="K1530" i="20"/>
  <c r="K1529" i="20"/>
  <c r="K1528" i="20"/>
  <c r="K1527" i="20"/>
  <c r="K1526" i="20"/>
  <c r="K1525" i="20"/>
  <c r="K1524" i="20"/>
  <c r="K1523" i="20"/>
  <c r="K1522" i="20"/>
  <c r="K1521" i="20"/>
  <c r="K1520" i="20"/>
  <c r="K1519" i="20"/>
  <c r="K1518" i="20"/>
  <c r="K1517" i="20"/>
  <c r="K1516" i="20"/>
  <c r="K1515" i="20"/>
  <c r="K1514" i="20"/>
  <c r="K1513" i="20"/>
  <c r="K1512" i="20"/>
  <c r="K1511" i="20"/>
  <c r="K1510" i="20"/>
  <c r="K1509" i="20"/>
  <c r="K1508" i="20"/>
  <c r="K1507" i="20"/>
  <c r="K1506" i="20"/>
  <c r="K1505" i="20"/>
  <c r="K1504" i="20"/>
  <c r="K1503" i="20"/>
  <c r="K1502" i="20"/>
  <c r="K1501" i="20"/>
  <c r="K1500" i="20"/>
  <c r="K1499" i="20"/>
  <c r="K1498" i="20"/>
  <c r="K1497" i="20"/>
  <c r="K1496" i="20"/>
  <c r="K1495" i="20"/>
  <c r="K1494" i="20"/>
  <c r="K1493" i="20"/>
  <c r="K1492" i="20"/>
  <c r="K1491" i="20"/>
  <c r="K1490" i="20"/>
  <c r="K1489" i="20"/>
  <c r="K1488" i="20"/>
  <c r="K1487" i="20"/>
  <c r="K1486" i="20"/>
  <c r="K1485" i="20"/>
  <c r="K1484" i="20"/>
  <c r="K1483" i="20"/>
  <c r="K1482" i="20"/>
  <c r="K1481" i="20"/>
  <c r="K1480" i="20"/>
  <c r="K1479" i="20"/>
  <c r="K1478" i="20"/>
  <c r="K1477" i="20"/>
  <c r="K1476" i="20"/>
  <c r="K1475" i="20"/>
  <c r="K1474" i="20"/>
  <c r="K1473" i="20"/>
  <c r="K1472" i="20"/>
  <c r="K1471" i="20"/>
  <c r="K1470" i="20"/>
  <c r="K1469" i="20"/>
  <c r="K1468" i="20"/>
  <c r="K1467" i="20"/>
  <c r="K1466" i="20"/>
  <c r="K1465" i="20"/>
  <c r="K1464" i="20"/>
  <c r="K1463" i="20"/>
  <c r="K1462" i="20"/>
  <c r="K1461" i="20"/>
  <c r="K1460" i="20"/>
  <c r="K1459" i="20"/>
  <c r="K1458" i="20"/>
  <c r="K1457" i="20"/>
  <c r="K1456" i="20"/>
  <c r="K1455" i="20"/>
  <c r="K1454" i="20"/>
  <c r="K1453" i="20"/>
  <c r="K1452" i="20"/>
  <c r="K1451" i="20"/>
  <c r="K1450" i="20"/>
  <c r="K1449" i="20"/>
  <c r="K1448" i="20"/>
  <c r="K1447" i="20"/>
  <c r="K1446" i="20"/>
  <c r="K1445" i="20"/>
  <c r="K1444" i="20"/>
  <c r="K1443" i="20"/>
  <c r="K1442" i="20"/>
  <c r="K1441" i="20"/>
  <c r="K1440" i="20"/>
  <c r="K1439" i="20"/>
  <c r="K1438" i="20"/>
  <c r="K1437" i="20"/>
  <c r="K1436" i="20"/>
  <c r="K1435" i="20"/>
  <c r="K1434" i="20"/>
  <c r="K1433" i="20"/>
  <c r="K1432" i="20"/>
  <c r="K1431" i="20"/>
  <c r="K1430" i="20"/>
  <c r="K1429" i="20"/>
  <c r="K1428" i="20"/>
  <c r="K1427" i="20"/>
  <c r="K1426" i="20"/>
  <c r="K1425" i="20"/>
  <c r="K1424" i="20"/>
  <c r="K1423" i="20"/>
  <c r="K1422" i="20"/>
  <c r="K1421" i="20"/>
  <c r="K1420" i="20"/>
  <c r="K1419" i="20"/>
  <c r="K1418" i="20"/>
  <c r="K1417" i="20"/>
  <c r="K1416" i="20"/>
  <c r="K1415" i="20"/>
  <c r="K1414" i="20"/>
  <c r="K1413" i="20"/>
  <c r="K1412" i="20"/>
  <c r="K1411" i="20"/>
  <c r="K1410" i="20"/>
  <c r="K1409" i="20"/>
  <c r="K1408" i="20"/>
  <c r="K1407" i="20"/>
  <c r="K1406" i="20"/>
  <c r="K1405" i="20"/>
  <c r="K1404" i="20"/>
  <c r="K1403" i="20"/>
  <c r="K1402" i="20"/>
  <c r="K1401" i="20"/>
  <c r="K1400" i="20"/>
  <c r="K1399" i="20"/>
  <c r="K1398" i="20"/>
  <c r="K1397" i="20"/>
  <c r="K1396" i="20"/>
  <c r="K1395" i="20"/>
  <c r="K1394" i="20"/>
  <c r="K1393" i="20"/>
  <c r="K1392" i="20"/>
  <c r="K1391" i="20"/>
  <c r="K1390" i="20"/>
  <c r="K1389" i="20"/>
  <c r="K1388" i="20"/>
  <c r="K1387" i="20"/>
  <c r="K1386" i="20"/>
  <c r="K1385" i="20"/>
  <c r="K1384" i="20"/>
  <c r="K1383" i="20"/>
  <c r="K1382" i="20"/>
  <c r="K1381" i="20"/>
  <c r="K1380" i="20"/>
  <c r="K1379" i="20"/>
  <c r="K1378" i="20"/>
  <c r="K1377" i="20"/>
  <c r="K1376" i="20"/>
  <c r="K1375" i="20"/>
  <c r="K1374" i="20"/>
  <c r="K1373" i="20"/>
  <c r="K1372" i="20"/>
  <c r="K1371" i="20"/>
  <c r="K1370" i="20"/>
  <c r="K1369" i="20"/>
  <c r="K1368" i="20"/>
  <c r="K1367" i="20"/>
  <c r="K1366" i="20"/>
  <c r="K1365" i="20"/>
  <c r="K1364" i="20"/>
  <c r="K1363" i="20"/>
  <c r="K1362" i="20"/>
  <c r="K1361" i="20"/>
  <c r="K1360" i="20"/>
  <c r="K1359" i="20"/>
  <c r="K1358" i="20"/>
  <c r="K1357" i="20"/>
  <c r="K1356" i="20"/>
  <c r="K1355" i="20"/>
  <c r="K1354" i="20"/>
  <c r="K1353" i="20"/>
  <c r="K1352" i="20"/>
  <c r="K1351" i="20"/>
  <c r="K1350" i="20"/>
  <c r="K1349" i="20"/>
  <c r="K1348" i="20"/>
  <c r="K1347" i="20"/>
  <c r="K1346" i="20"/>
  <c r="K1345" i="20"/>
  <c r="K1344" i="20"/>
  <c r="K1343" i="20"/>
  <c r="K1342" i="20"/>
  <c r="K1341" i="20"/>
  <c r="K1340" i="20"/>
  <c r="K1339" i="20"/>
  <c r="K1338" i="20"/>
  <c r="K1337" i="20"/>
  <c r="K1336" i="20"/>
  <c r="K1335" i="20"/>
  <c r="K1334" i="20"/>
  <c r="K1333" i="20"/>
  <c r="K1332" i="20"/>
  <c r="K1331" i="20"/>
  <c r="K1330" i="20"/>
  <c r="K1329" i="20"/>
  <c r="K1328" i="20"/>
  <c r="K1327" i="20"/>
  <c r="K1326" i="20"/>
  <c r="K1325" i="20"/>
  <c r="K1324" i="20"/>
  <c r="K1323" i="20"/>
  <c r="K1322" i="20"/>
  <c r="K1321" i="20"/>
  <c r="K1320" i="20"/>
  <c r="K1319" i="20"/>
  <c r="K1318" i="20"/>
  <c r="K1317" i="20"/>
  <c r="K1316" i="20"/>
  <c r="K1315" i="20"/>
  <c r="K1314" i="20"/>
  <c r="K1313" i="20"/>
  <c r="K1312" i="20"/>
  <c r="K1311" i="20"/>
  <c r="K1310" i="20"/>
  <c r="K1309" i="20"/>
  <c r="K1308" i="20"/>
  <c r="K1307" i="20"/>
  <c r="K1306" i="20"/>
  <c r="K1305" i="20"/>
  <c r="K1304" i="20"/>
  <c r="K1303" i="20"/>
  <c r="K1302" i="20"/>
  <c r="K1301" i="20"/>
  <c r="K1300" i="20"/>
  <c r="K1299" i="20"/>
  <c r="K1298" i="20"/>
  <c r="K1297" i="20"/>
  <c r="K1296" i="20"/>
  <c r="K1295" i="20"/>
  <c r="K1294" i="20"/>
  <c r="K1293" i="20"/>
  <c r="K1292" i="20"/>
  <c r="K1291" i="20"/>
  <c r="K1290" i="20"/>
  <c r="K1289" i="20"/>
  <c r="K1288" i="20"/>
  <c r="K1287" i="20"/>
  <c r="K1286" i="20"/>
  <c r="K1285" i="20"/>
  <c r="K1284" i="20"/>
  <c r="K1283" i="20"/>
  <c r="K1282" i="20"/>
  <c r="K1281" i="20"/>
  <c r="K1280" i="20"/>
  <c r="K1279" i="20"/>
  <c r="K1278" i="20"/>
  <c r="K1277" i="20"/>
  <c r="K1276" i="20"/>
  <c r="K1275" i="20"/>
  <c r="K1274" i="20"/>
  <c r="K1273" i="20"/>
  <c r="K1272" i="20"/>
  <c r="K1271" i="20"/>
  <c r="K1270" i="20"/>
  <c r="K1269" i="20"/>
  <c r="K1268" i="20"/>
  <c r="K1267" i="20"/>
  <c r="K1266" i="20"/>
  <c r="K1265" i="20"/>
  <c r="K1264" i="20"/>
  <c r="K1263" i="20"/>
  <c r="K1262" i="20"/>
  <c r="K1261" i="20"/>
  <c r="K1260" i="20"/>
  <c r="K1259" i="20"/>
  <c r="K1258" i="20"/>
  <c r="K1257" i="20"/>
  <c r="K1256" i="20"/>
  <c r="K1255" i="20"/>
  <c r="K1254" i="20"/>
  <c r="K1253" i="20"/>
  <c r="K1252" i="20"/>
  <c r="K1251" i="20"/>
  <c r="K1250" i="20"/>
  <c r="K1249" i="20"/>
  <c r="K1248" i="20"/>
  <c r="K1247" i="20"/>
  <c r="K1246" i="20"/>
  <c r="K1245" i="20"/>
  <c r="K1244" i="20"/>
  <c r="K1243" i="20"/>
  <c r="K1242" i="20"/>
  <c r="K1241" i="20"/>
  <c r="K1240" i="20"/>
  <c r="K1239" i="20"/>
  <c r="K1238" i="20"/>
  <c r="K1237" i="20"/>
  <c r="K1236" i="20"/>
  <c r="K1235" i="20"/>
  <c r="K1234" i="20"/>
  <c r="K1233" i="20"/>
  <c r="K1232" i="20"/>
  <c r="K1231" i="20"/>
  <c r="K1230" i="20"/>
  <c r="K1229" i="20"/>
  <c r="K1228" i="20"/>
  <c r="K1227" i="20"/>
  <c r="K1226" i="20"/>
  <c r="K1225" i="20"/>
  <c r="K1224" i="20"/>
  <c r="K1223" i="20"/>
  <c r="K1222" i="20"/>
  <c r="K1221" i="20"/>
  <c r="K1220" i="20"/>
  <c r="K1219" i="20"/>
  <c r="K1218" i="20"/>
  <c r="K1217" i="20"/>
  <c r="K1216" i="20"/>
  <c r="K1215" i="20"/>
  <c r="K1214" i="20"/>
  <c r="K1213" i="20"/>
  <c r="K1212" i="20"/>
  <c r="K1211" i="20"/>
  <c r="K1210" i="20"/>
  <c r="K1209" i="20"/>
  <c r="K1208" i="20"/>
  <c r="K1207" i="20"/>
  <c r="K1206" i="20"/>
  <c r="K1205" i="20"/>
  <c r="K1204" i="20"/>
  <c r="K1203" i="20"/>
  <c r="K1202" i="20"/>
  <c r="K1201" i="20"/>
  <c r="K1200" i="20"/>
  <c r="K1199" i="20"/>
  <c r="K1198" i="20"/>
  <c r="K1197" i="20"/>
  <c r="K1196" i="20"/>
  <c r="K1195" i="20"/>
  <c r="K1194" i="20"/>
  <c r="K1193" i="20"/>
  <c r="K1192" i="20"/>
  <c r="K1191" i="20"/>
  <c r="K1190" i="20"/>
  <c r="K1189" i="20"/>
  <c r="K1188" i="20"/>
  <c r="K1187" i="20"/>
  <c r="K1186" i="20"/>
  <c r="K1185" i="20"/>
  <c r="K1184" i="20"/>
  <c r="K1183" i="20"/>
  <c r="K1182" i="20"/>
  <c r="K1181" i="20"/>
  <c r="K1180" i="20"/>
  <c r="K1179" i="20"/>
  <c r="K1178" i="20"/>
  <c r="K1177" i="20"/>
  <c r="K1176" i="20"/>
  <c r="K1175" i="20"/>
  <c r="K1174" i="20"/>
  <c r="K1173" i="20"/>
  <c r="K1172" i="20"/>
  <c r="K1171" i="20"/>
  <c r="K1170" i="20"/>
  <c r="K1169" i="20"/>
  <c r="K1168" i="20"/>
  <c r="K1167" i="20"/>
  <c r="K1166" i="20"/>
  <c r="K1165" i="20"/>
  <c r="K1164" i="20"/>
  <c r="K1163" i="20"/>
  <c r="K1162" i="20"/>
  <c r="K1161" i="20"/>
  <c r="K1160" i="20"/>
  <c r="K1159" i="20"/>
  <c r="K1158" i="20"/>
  <c r="K1157" i="20"/>
  <c r="K1156" i="20"/>
  <c r="K1155" i="20"/>
  <c r="K1154" i="20"/>
  <c r="K1153" i="20"/>
  <c r="K1152" i="20"/>
  <c r="K1151" i="20"/>
  <c r="K1150" i="20"/>
  <c r="K1149" i="20"/>
  <c r="K1148" i="20"/>
  <c r="K1147" i="20"/>
  <c r="K1146" i="20"/>
  <c r="K1145" i="20"/>
  <c r="K1144" i="20"/>
  <c r="K1143" i="20"/>
  <c r="K1142" i="20"/>
  <c r="K1141" i="20"/>
  <c r="K1140" i="20"/>
  <c r="K1139" i="20"/>
  <c r="K1138" i="20"/>
  <c r="K1137" i="20"/>
  <c r="K1136" i="20"/>
  <c r="K1135" i="20"/>
  <c r="K1134" i="20"/>
  <c r="K1133" i="20"/>
  <c r="K1132" i="20"/>
  <c r="K1131" i="20"/>
  <c r="K1130" i="20"/>
  <c r="K1129" i="20"/>
  <c r="K1128" i="20"/>
  <c r="K1127" i="20"/>
  <c r="K1126" i="20"/>
  <c r="K1125" i="20"/>
  <c r="K1124" i="20"/>
  <c r="K1123" i="20"/>
  <c r="K1122" i="20"/>
  <c r="K1121" i="20"/>
  <c r="K1120" i="20"/>
  <c r="K1119" i="20"/>
  <c r="K1118" i="20"/>
  <c r="K1117" i="20"/>
  <c r="K1116" i="20"/>
  <c r="K1115" i="20"/>
  <c r="K1114" i="20"/>
  <c r="K1113" i="20"/>
  <c r="K1112" i="20"/>
  <c r="K1111" i="20"/>
  <c r="K1110" i="20"/>
  <c r="K1109" i="20"/>
  <c r="K1108" i="20"/>
  <c r="K1107" i="20"/>
  <c r="K1106" i="20"/>
  <c r="K1105" i="20"/>
  <c r="K1104" i="20"/>
  <c r="K1103" i="20"/>
  <c r="K1102" i="20"/>
  <c r="K1101" i="20"/>
  <c r="K1100" i="20"/>
  <c r="K1099" i="20"/>
  <c r="K1098" i="20"/>
  <c r="K1097" i="20"/>
  <c r="K1096" i="20"/>
  <c r="K1095" i="20"/>
  <c r="K1094" i="20"/>
  <c r="K1093" i="20"/>
  <c r="K1092" i="20"/>
  <c r="K1091" i="20"/>
  <c r="K1090" i="20"/>
  <c r="K1089" i="20"/>
  <c r="K1088" i="20"/>
  <c r="K1087" i="20"/>
  <c r="K1086" i="20"/>
  <c r="K1085" i="20"/>
  <c r="K1084" i="20"/>
  <c r="K1083" i="20"/>
  <c r="K1082" i="20"/>
  <c r="K1081" i="20"/>
  <c r="K1080" i="20"/>
  <c r="K1079" i="20"/>
  <c r="K1078" i="20"/>
  <c r="K1077" i="20"/>
  <c r="K1076" i="20"/>
  <c r="K1075" i="20"/>
  <c r="K1074" i="20"/>
  <c r="K1073" i="20"/>
  <c r="K1072" i="20"/>
  <c r="K1071" i="20"/>
  <c r="K1070" i="20"/>
  <c r="K1069" i="20"/>
  <c r="K1068" i="20"/>
  <c r="K1067" i="20"/>
  <c r="K1066" i="20"/>
  <c r="K1065" i="20"/>
  <c r="K1064" i="20"/>
  <c r="K1063" i="20"/>
  <c r="K1062" i="20"/>
  <c r="K1061" i="20"/>
  <c r="K1060" i="20"/>
  <c r="K1059" i="20"/>
  <c r="K1058" i="20"/>
  <c r="K1057" i="20"/>
  <c r="K1056" i="20"/>
  <c r="K1055" i="20"/>
  <c r="K1054" i="20"/>
  <c r="K1053" i="20"/>
  <c r="K1052" i="20"/>
  <c r="K1051" i="20"/>
  <c r="K1050" i="20"/>
  <c r="K1049" i="20"/>
  <c r="K1048" i="20"/>
  <c r="K1047" i="20"/>
  <c r="K1046" i="20"/>
  <c r="K1045" i="20"/>
  <c r="K1044" i="20"/>
  <c r="K1043" i="20"/>
  <c r="K1042" i="20"/>
  <c r="K1041" i="20"/>
  <c r="K1040" i="20"/>
  <c r="K1039" i="20"/>
  <c r="K1038" i="20"/>
  <c r="K1037" i="20"/>
  <c r="K1036" i="20"/>
  <c r="K1035" i="20"/>
  <c r="K1034" i="20"/>
  <c r="K1033" i="20"/>
  <c r="K1032" i="20"/>
  <c r="K1031" i="20"/>
  <c r="K1030" i="20"/>
  <c r="K1029" i="20"/>
  <c r="K1028" i="20"/>
  <c r="K1027" i="20"/>
  <c r="K1026" i="20"/>
  <c r="K1025" i="20"/>
  <c r="K1024" i="20"/>
  <c r="K1023" i="20"/>
  <c r="K1022" i="20"/>
  <c r="K1021" i="20"/>
  <c r="K1020" i="20"/>
  <c r="K1019" i="20"/>
  <c r="K1018" i="20"/>
  <c r="K1017" i="20"/>
  <c r="K1016" i="20"/>
  <c r="K1015" i="20"/>
  <c r="K1014" i="20"/>
  <c r="K1013" i="20"/>
  <c r="K1012" i="20"/>
  <c r="K1011" i="20"/>
  <c r="K1010" i="20"/>
  <c r="K1009" i="20"/>
  <c r="K1008" i="20"/>
  <c r="K1007" i="20"/>
  <c r="K1006" i="20"/>
  <c r="K1005" i="20"/>
  <c r="K1004" i="20"/>
  <c r="K1003" i="20"/>
  <c r="K1002" i="20"/>
  <c r="K1001" i="20"/>
  <c r="K1000" i="20"/>
  <c r="K999" i="20"/>
  <c r="K998" i="20"/>
  <c r="K997" i="20"/>
  <c r="K996" i="20"/>
  <c r="K995" i="20"/>
  <c r="K994" i="20"/>
  <c r="K993" i="20"/>
  <c r="K992" i="20"/>
  <c r="K991" i="20"/>
  <c r="K990" i="20"/>
  <c r="K989" i="20"/>
  <c r="K988" i="20"/>
  <c r="K987" i="20"/>
  <c r="K986" i="20"/>
  <c r="K985" i="20"/>
  <c r="K984" i="20"/>
  <c r="K983" i="20"/>
  <c r="K982" i="20"/>
  <c r="K981" i="20"/>
  <c r="K980" i="20"/>
  <c r="K979" i="20"/>
  <c r="K978" i="20"/>
  <c r="K977" i="20"/>
  <c r="K976" i="20"/>
  <c r="K975" i="20"/>
  <c r="K974" i="20"/>
  <c r="K973" i="20"/>
  <c r="K972" i="20"/>
  <c r="K971" i="20"/>
  <c r="K970" i="20"/>
  <c r="K969" i="20"/>
  <c r="K968" i="20"/>
  <c r="K967" i="20"/>
  <c r="K966" i="20"/>
  <c r="K965" i="20"/>
  <c r="K964" i="20"/>
  <c r="K963" i="20"/>
  <c r="K962" i="20"/>
  <c r="K961" i="20"/>
  <c r="K960" i="20"/>
  <c r="K959" i="20"/>
  <c r="K958" i="20"/>
  <c r="K957" i="20"/>
  <c r="K956" i="20"/>
  <c r="K955" i="20"/>
  <c r="K954" i="20"/>
  <c r="K953" i="20"/>
  <c r="K952" i="20"/>
  <c r="K951" i="20"/>
  <c r="K950" i="20"/>
  <c r="K949" i="20"/>
  <c r="K948" i="20"/>
  <c r="K947" i="20"/>
  <c r="K946" i="20"/>
  <c r="K945" i="20"/>
  <c r="K944" i="20"/>
  <c r="K943" i="20"/>
  <c r="K942" i="20"/>
  <c r="K941" i="20"/>
  <c r="K940" i="20"/>
  <c r="K939" i="20"/>
  <c r="K938" i="20"/>
  <c r="K937" i="20"/>
  <c r="K936" i="20"/>
  <c r="K935" i="20"/>
  <c r="K934" i="20"/>
  <c r="K933" i="20"/>
  <c r="K932" i="20"/>
  <c r="K931" i="20"/>
  <c r="K930" i="20"/>
  <c r="K929" i="20"/>
  <c r="K928" i="20"/>
  <c r="K927" i="20"/>
  <c r="K926" i="20"/>
  <c r="K925" i="20"/>
  <c r="K924" i="20"/>
  <c r="K923" i="20"/>
  <c r="K922" i="20"/>
  <c r="K921" i="20"/>
  <c r="K920" i="20"/>
  <c r="K919" i="20"/>
  <c r="K918" i="20"/>
  <c r="K917" i="20"/>
  <c r="K916" i="20"/>
  <c r="K915" i="20"/>
  <c r="K914" i="20"/>
  <c r="K913" i="20"/>
  <c r="K912" i="20"/>
  <c r="K911" i="20"/>
  <c r="K910" i="20"/>
  <c r="K909" i="20"/>
  <c r="K908" i="20"/>
  <c r="K907" i="20"/>
  <c r="K906" i="20"/>
  <c r="K905" i="20"/>
  <c r="K904" i="20"/>
  <c r="K903" i="20"/>
  <c r="K902" i="20"/>
  <c r="K901" i="20"/>
  <c r="K900" i="20"/>
  <c r="K899" i="20"/>
  <c r="K898" i="20"/>
  <c r="K897" i="20"/>
  <c r="K896" i="20"/>
  <c r="K895" i="20"/>
  <c r="K894" i="20"/>
  <c r="K893" i="20"/>
  <c r="K892" i="20"/>
  <c r="K891" i="20"/>
  <c r="K890" i="20"/>
  <c r="K889" i="20"/>
  <c r="K888" i="20"/>
  <c r="K887" i="20"/>
  <c r="K886" i="20"/>
  <c r="K885" i="20"/>
  <c r="K884" i="20"/>
  <c r="K883" i="20"/>
  <c r="K882" i="20"/>
  <c r="K881" i="20"/>
  <c r="K880" i="20"/>
  <c r="K879" i="20"/>
  <c r="K878" i="20"/>
  <c r="K877" i="20"/>
  <c r="K876" i="20"/>
  <c r="K875" i="20"/>
  <c r="K874" i="20"/>
  <c r="K873" i="20"/>
  <c r="K872" i="20"/>
  <c r="K871" i="20"/>
  <c r="K870" i="20"/>
  <c r="K869" i="20"/>
  <c r="K868" i="20"/>
  <c r="K867" i="20"/>
  <c r="K866" i="20"/>
  <c r="K865" i="20"/>
  <c r="K864" i="20"/>
  <c r="K863" i="20"/>
  <c r="K862" i="20"/>
  <c r="K861" i="20"/>
  <c r="K860" i="20"/>
  <c r="K859" i="20"/>
  <c r="K858" i="20"/>
  <c r="K857" i="20"/>
  <c r="K856" i="20"/>
  <c r="K855" i="20"/>
  <c r="K854" i="20"/>
  <c r="K853" i="20"/>
  <c r="K852" i="20"/>
  <c r="K851" i="20"/>
  <c r="K850" i="20"/>
  <c r="K849" i="20"/>
  <c r="K848" i="20"/>
  <c r="K847" i="20"/>
  <c r="K846" i="20"/>
  <c r="K845" i="20"/>
  <c r="K844" i="20"/>
  <c r="K843" i="20"/>
  <c r="K842" i="20"/>
  <c r="K841" i="20"/>
  <c r="K840" i="20"/>
  <c r="K839" i="20"/>
  <c r="K838" i="20"/>
  <c r="K837" i="20"/>
  <c r="K836" i="20"/>
  <c r="K835" i="20"/>
  <c r="K834" i="20"/>
  <c r="K833" i="20"/>
  <c r="K832" i="20"/>
  <c r="K831" i="20"/>
  <c r="K830" i="20"/>
  <c r="K829" i="20"/>
  <c r="K828" i="20"/>
  <c r="K827" i="20"/>
  <c r="K826" i="20"/>
  <c r="K825" i="20"/>
  <c r="K824" i="20"/>
  <c r="K823" i="20"/>
  <c r="K822" i="20"/>
  <c r="K821" i="20"/>
  <c r="K820" i="20"/>
  <c r="K819" i="20"/>
  <c r="K818" i="20"/>
  <c r="K817" i="20"/>
  <c r="K816" i="20"/>
  <c r="K815" i="20"/>
  <c r="K814" i="20"/>
  <c r="K813" i="20"/>
  <c r="K812" i="20"/>
  <c r="K811" i="20"/>
  <c r="K810" i="20"/>
  <c r="K809" i="20"/>
  <c r="K808" i="20"/>
  <c r="K807" i="20"/>
  <c r="K806" i="20"/>
  <c r="K805" i="20"/>
  <c r="K804" i="20"/>
  <c r="K803" i="20"/>
  <c r="K802" i="20"/>
  <c r="K801" i="20"/>
  <c r="K800" i="20"/>
  <c r="K799" i="20"/>
  <c r="K798" i="20"/>
  <c r="K797" i="20"/>
  <c r="K796" i="20"/>
  <c r="K795" i="20"/>
  <c r="K794" i="20"/>
  <c r="K793" i="20"/>
  <c r="K792" i="20"/>
  <c r="K791" i="20"/>
  <c r="K790" i="20"/>
  <c r="K789" i="20"/>
  <c r="K788" i="20"/>
  <c r="K787" i="20"/>
  <c r="K786" i="20"/>
  <c r="K785" i="20"/>
  <c r="K784" i="20"/>
  <c r="K783" i="20"/>
  <c r="K782" i="20"/>
  <c r="K781" i="20"/>
  <c r="K780" i="20"/>
  <c r="K779" i="20"/>
  <c r="K778" i="20"/>
  <c r="K777" i="20"/>
  <c r="K776" i="20"/>
  <c r="K775" i="20"/>
  <c r="K774" i="20"/>
  <c r="K773" i="20"/>
  <c r="K772" i="20"/>
  <c r="K771" i="20"/>
  <c r="K770" i="20"/>
  <c r="K769" i="20"/>
  <c r="K768" i="20"/>
  <c r="K767" i="20"/>
  <c r="K766" i="20"/>
  <c r="K765" i="20"/>
  <c r="K764" i="20"/>
  <c r="K763" i="20"/>
  <c r="K762" i="20"/>
  <c r="K761" i="20"/>
  <c r="K760" i="20"/>
  <c r="K759" i="20"/>
  <c r="K758" i="20"/>
  <c r="K757" i="20"/>
  <c r="K756" i="20"/>
  <c r="K755" i="20"/>
  <c r="K754" i="20"/>
  <c r="K753" i="20"/>
  <c r="K752" i="20"/>
  <c r="K751" i="20"/>
  <c r="K750" i="20"/>
  <c r="K749" i="20"/>
  <c r="K748" i="20"/>
  <c r="K747" i="20"/>
  <c r="K746" i="20"/>
  <c r="K745" i="20"/>
  <c r="K744" i="20"/>
  <c r="K743" i="20"/>
  <c r="K742" i="20"/>
  <c r="K741" i="20"/>
  <c r="K740" i="20"/>
  <c r="K739" i="20"/>
  <c r="K738" i="20"/>
  <c r="K737" i="20"/>
  <c r="K736" i="20"/>
  <c r="K735" i="20"/>
  <c r="K734" i="20"/>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382" i="20"/>
  <c r="K381" i="20"/>
  <c r="K380" i="20"/>
  <c r="K379" i="20"/>
  <c r="K378" i="20"/>
  <c r="K377" i="20"/>
  <c r="K376" i="20"/>
  <c r="K375" i="20"/>
  <c r="K374" i="20"/>
  <c r="K373" i="20"/>
  <c r="K372" i="20"/>
  <c r="K371" i="20"/>
  <c r="K370" i="20"/>
  <c r="K369" i="20"/>
  <c r="K368" i="20"/>
  <c r="K367" i="20"/>
  <c r="K366" i="20"/>
  <c r="K365" i="20"/>
  <c r="K364" i="20"/>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M205" i="1" s="1"/>
  <c r="K16" i="20"/>
  <c r="K15" i="20"/>
  <c r="K14" i="20"/>
  <c r="K13" i="20"/>
  <c r="K12" i="20"/>
  <c r="K11" i="20"/>
  <c r="K10" i="20"/>
  <c r="K9" i="20"/>
  <c r="M237" i="1" s="1"/>
  <c r="K8" i="20"/>
  <c r="K7" i="20"/>
  <c r="K6" i="20"/>
  <c r="M349" i="1" s="1"/>
  <c r="K5" i="20"/>
  <c r="K4" i="20"/>
  <c r="M405" i="1" s="1"/>
  <c r="K3" i="20"/>
  <c r="K2" i="20"/>
  <c r="M389" i="1"/>
  <c r="M325" i="1"/>
  <c r="M261" i="1"/>
  <c r="M197" i="1"/>
  <c r="M133" i="1"/>
  <c r="M69" i="1"/>
  <c r="M173" i="1" l="1"/>
  <c r="M301" i="1"/>
  <c r="M61" i="1"/>
  <c r="M125" i="1"/>
  <c r="M189" i="1"/>
  <c r="M253" i="1"/>
  <c r="M317" i="1"/>
  <c r="M381" i="1"/>
  <c r="M308" i="1"/>
  <c r="M269" i="1"/>
  <c r="M333" i="1"/>
  <c r="M397" i="1"/>
  <c r="M13" i="1"/>
  <c r="M77" i="1"/>
  <c r="M141" i="1"/>
  <c r="M21" i="1"/>
  <c r="M85" i="1"/>
  <c r="M149" i="1"/>
  <c r="M213" i="1"/>
  <c r="M277" i="1"/>
  <c r="M341" i="1"/>
  <c r="M157" i="1"/>
  <c r="M408" i="1"/>
  <c r="M29" i="1"/>
  <c r="M93" i="1"/>
  <c r="M221" i="1"/>
  <c r="M285" i="1"/>
  <c r="M37" i="1"/>
  <c r="M101" i="1"/>
  <c r="M165" i="1"/>
  <c r="M229" i="1"/>
  <c r="M293" i="1"/>
  <c r="M357" i="1"/>
  <c r="M401" i="1"/>
  <c r="M109" i="1"/>
  <c r="M365" i="1"/>
  <c r="M45" i="1"/>
  <c r="M404" i="1"/>
  <c r="M53" i="1"/>
  <c r="M117" i="1"/>
  <c r="M181" i="1"/>
  <c r="M245" i="1"/>
  <c r="M309" i="1"/>
  <c r="M373" i="1"/>
  <c r="M14" i="1"/>
  <c r="M38" i="1"/>
  <c r="M78" i="1"/>
  <c r="M110" i="1"/>
  <c r="M142" i="1"/>
  <c r="M182" i="1"/>
  <c r="M222" i="1"/>
  <c r="M246" i="1"/>
  <c r="M270" i="1"/>
  <c r="M310" i="1"/>
  <c r="M334" i="1"/>
  <c r="M350" i="1"/>
  <c r="M398" i="1"/>
  <c r="M22" i="1"/>
  <c r="M62" i="1"/>
  <c r="M94" i="1"/>
  <c r="M118" i="1"/>
  <c r="M158" i="1"/>
  <c r="M190" i="1"/>
  <c r="M214" i="1"/>
  <c r="M262" i="1"/>
  <c r="M286" i="1"/>
  <c r="M342" i="1"/>
  <c r="M366" i="1"/>
  <c r="M382" i="1"/>
  <c r="M7" i="1"/>
  <c r="M15" i="1"/>
  <c r="M23" i="1"/>
  <c r="M31" i="1"/>
  <c r="M39" i="1"/>
  <c r="M47" i="1"/>
  <c r="M55" i="1"/>
  <c r="M63" i="1"/>
  <c r="M71" i="1"/>
  <c r="M79" i="1"/>
  <c r="M87" i="1"/>
  <c r="M95" i="1"/>
  <c r="M103" i="1"/>
  <c r="M111" i="1"/>
  <c r="M119" i="1"/>
  <c r="M127" i="1"/>
  <c r="M135" i="1"/>
  <c r="M143" i="1"/>
  <c r="M151" i="1"/>
  <c r="M159" i="1"/>
  <c r="M167" i="1"/>
  <c r="M175" i="1"/>
  <c r="M183" i="1"/>
  <c r="M191" i="1"/>
  <c r="M199" i="1"/>
  <c r="M207" i="1"/>
  <c r="M215" i="1"/>
  <c r="M223" i="1"/>
  <c r="M231" i="1"/>
  <c r="M239" i="1"/>
  <c r="M247" i="1"/>
  <c r="M255" i="1"/>
  <c r="M263" i="1"/>
  <c r="M271" i="1"/>
  <c r="M279" i="1"/>
  <c r="M287" i="1"/>
  <c r="M295" i="1"/>
  <c r="M303" i="1"/>
  <c r="M311" i="1"/>
  <c r="M319" i="1"/>
  <c r="M327" i="1"/>
  <c r="M335" i="1"/>
  <c r="M343" i="1"/>
  <c r="M351" i="1"/>
  <c r="M359" i="1"/>
  <c r="M367" i="1"/>
  <c r="M375" i="1"/>
  <c r="M383" i="1"/>
  <c r="M391" i="1"/>
  <c r="M399" i="1"/>
  <c r="M407" i="1"/>
  <c r="M6" i="1"/>
  <c r="M30" i="1"/>
  <c r="M54" i="1"/>
  <c r="M102" i="1"/>
  <c r="M126" i="1"/>
  <c r="M166" i="1"/>
  <c r="M198" i="1"/>
  <c r="M230" i="1"/>
  <c r="M254" i="1"/>
  <c r="M294" i="1"/>
  <c r="M326" i="1"/>
  <c r="M358" i="1"/>
  <c r="M390" i="1"/>
  <c r="M8" i="1"/>
  <c r="M24" i="1"/>
  <c r="M32" i="1"/>
  <c r="M48" i="1"/>
  <c r="M64" i="1"/>
  <c r="M72" i="1"/>
  <c r="M80" i="1"/>
  <c r="M88" i="1"/>
  <c r="M96" i="1"/>
  <c r="M112" i="1"/>
  <c r="M120" i="1"/>
  <c r="M128" i="1"/>
  <c r="M136" i="1"/>
  <c r="M144" i="1"/>
  <c r="M152" i="1"/>
  <c r="M160" i="1"/>
  <c r="M168" i="1"/>
  <c r="M176" i="1"/>
  <c r="M184" i="1"/>
  <c r="M192" i="1"/>
  <c r="M200" i="1"/>
  <c r="M208" i="1"/>
  <c r="M216" i="1"/>
  <c r="M224" i="1"/>
  <c r="M232" i="1"/>
  <c r="M240" i="1"/>
  <c r="M248" i="1"/>
  <c r="M256" i="1"/>
  <c r="M264" i="1"/>
  <c r="M272" i="1"/>
  <c r="M280" i="1"/>
  <c r="M288" i="1"/>
  <c r="M296" i="1"/>
  <c r="M304" i="1"/>
  <c r="M312" i="1"/>
  <c r="M320" i="1"/>
  <c r="M328" i="1"/>
  <c r="M336" i="1"/>
  <c r="M344" i="1"/>
  <c r="M352" i="1"/>
  <c r="M360" i="1"/>
  <c r="M368" i="1"/>
  <c r="M376" i="1"/>
  <c r="M384" i="1"/>
  <c r="M392" i="1"/>
  <c r="M400" i="1"/>
  <c r="M16" i="1"/>
  <c r="M40" i="1"/>
  <c r="M56" i="1"/>
  <c r="M104" i="1"/>
  <c r="M9" i="1"/>
  <c r="M17" i="1"/>
  <c r="M25" i="1"/>
  <c r="M33" i="1"/>
  <c r="M41" i="1"/>
  <c r="M49" i="1"/>
  <c r="M57" i="1"/>
  <c r="M65" i="1"/>
  <c r="M73" i="1"/>
  <c r="M81" i="1"/>
  <c r="M89" i="1"/>
  <c r="M97" i="1"/>
  <c r="M105" i="1"/>
  <c r="M113" i="1"/>
  <c r="M121" i="1"/>
  <c r="M129" i="1"/>
  <c r="M137" i="1"/>
  <c r="M145" i="1"/>
  <c r="M153" i="1"/>
  <c r="M161" i="1"/>
  <c r="M169" i="1"/>
  <c r="M177" i="1"/>
  <c r="M185" i="1"/>
  <c r="M193" i="1"/>
  <c r="M201" i="1"/>
  <c r="M209" i="1"/>
  <c r="M217" i="1"/>
  <c r="M225" i="1"/>
  <c r="M233" i="1"/>
  <c r="M241" i="1"/>
  <c r="M249" i="1"/>
  <c r="M257" i="1"/>
  <c r="M265" i="1"/>
  <c r="M273" i="1"/>
  <c r="M281" i="1"/>
  <c r="M289" i="1"/>
  <c r="M297" i="1"/>
  <c r="M305" i="1"/>
  <c r="M313" i="1"/>
  <c r="M321" i="1"/>
  <c r="M329" i="1"/>
  <c r="M337" i="1"/>
  <c r="M345" i="1"/>
  <c r="M353" i="1"/>
  <c r="M361" i="1"/>
  <c r="M369" i="1"/>
  <c r="M377" i="1"/>
  <c r="M385" i="1"/>
  <c r="M393" i="1"/>
  <c r="M46" i="1"/>
  <c r="M70" i="1"/>
  <c r="M86" i="1"/>
  <c r="M134" i="1"/>
  <c r="M150" i="1"/>
  <c r="M174" i="1"/>
  <c r="M206" i="1"/>
  <c r="M238" i="1"/>
  <c r="M278" i="1"/>
  <c r="M302" i="1"/>
  <c r="M318" i="1"/>
  <c r="M374" i="1"/>
  <c r="M406" i="1"/>
  <c r="M10" i="1"/>
  <c r="M18" i="1"/>
  <c r="M26" i="1"/>
  <c r="M34" i="1"/>
  <c r="M42" i="1"/>
  <c r="M50" i="1"/>
  <c r="M58" i="1"/>
  <c r="M66" i="1"/>
  <c r="M74" i="1"/>
  <c r="M82" i="1"/>
  <c r="M90" i="1"/>
  <c r="M98" i="1"/>
  <c r="M106" i="1"/>
  <c r="M114" i="1"/>
  <c r="M122" i="1"/>
  <c r="M130" i="1"/>
  <c r="M138" i="1"/>
  <c r="M146" i="1"/>
  <c r="M154" i="1"/>
  <c r="M162" i="1"/>
  <c r="M170" i="1"/>
  <c r="M178" i="1"/>
  <c r="M186" i="1"/>
  <c r="M194" i="1"/>
  <c r="M202" i="1"/>
  <c r="M210" i="1"/>
  <c r="M218" i="1"/>
  <c r="M226" i="1"/>
  <c r="M234" i="1"/>
  <c r="M242" i="1"/>
  <c r="M250" i="1"/>
  <c r="M258" i="1"/>
  <c r="M266" i="1"/>
  <c r="M274" i="1"/>
  <c r="M282" i="1"/>
  <c r="M290" i="1"/>
  <c r="M298" i="1"/>
  <c r="M306" i="1"/>
  <c r="M314" i="1"/>
  <c r="M322" i="1"/>
  <c r="M330" i="1"/>
  <c r="M338" i="1"/>
  <c r="M346" i="1"/>
  <c r="M354" i="1"/>
  <c r="M362" i="1"/>
  <c r="M370" i="1"/>
  <c r="M378" i="1"/>
  <c r="M386" i="1"/>
  <c r="M394" i="1"/>
  <c r="M402" i="1"/>
  <c r="M19" i="1"/>
  <c r="M35" i="1"/>
  <c r="M43" i="1"/>
  <c r="M59" i="1"/>
  <c r="M75" i="1"/>
  <c r="M83" i="1"/>
  <c r="M107" i="1"/>
  <c r="M123" i="1"/>
  <c r="M139" i="1"/>
  <c r="M155" i="1"/>
  <c r="M163" i="1"/>
  <c r="M179" i="1"/>
  <c r="M203" i="1"/>
  <c r="M211" i="1"/>
  <c r="M227" i="1"/>
  <c r="M235" i="1"/>
  <c r="M243" i="1"/>
  <c r="M259" i="1"/>
  <c r="M267" i="1"/>
  <c r="M275" i="1"/>
  <c r="M283" i="1"/>
  <c r="M291" i="1"/>
  <c r="M299" i="1"/>
  <c r="M307" i="1"/>
  <c r="M315" i="1"/>
  <c r="M323" i="1"/>
  <c r="M331" i="1"/>
  <c r="M339" i="1"/>
  <c r="M347" i="1"/>
  <c r="M355" i="1"/>
  <c r="M363" i="1"/>
  <c r="M371" i="1"/>
  <c r="M379" i="1"/>
  <c r="M387" i="1"/>
  <c r="M395" i="1"/>
  <c r="M403" i="1"/>
  <c r="M11" i="1"/>
  <c r="M27" i="1"/>
  <c r="M51" i="1"/>
  <c r="M67" i="1"/>
  <c r="M91" i="1"/>
  <c r="M99" i="1"/>
  <c r="M115" i="1"/>
  <c r="M131" i="1"/>
  <c r="M147" i="1"/>
  <c r="M171" i="1"/>
  <c r="M187" i="1"/>
  <c r="M195" i="1"/>
  <c r="M219" i="1"/>
  <c r="M251" i="1"/>
  <c r="M12" i="1"/>
  <c r="M20" i="1"/>
  <c r="M28" i="1"/>
  <c r="M36" i="1"/>
  <c r="M44" i="1"/>
  <c r="M52" i="1"/>
  <c r="M60" i="1"/>
  <c r="M68" i="1"/>
  <c r="M76" i="1"/>
  <c r="M84" i="1"/>
  <c r="M92" i="1"/>
  <c r="M100" i="1"/>
  <c r="M108" i="1"/>
  <c r="M116" i="1"/>
  <c r="M124" i="1"/>
  <c r="M132" i="1"/>
  <c r="M140" i="1"/>
  <c r="M148" i="1"/>
  <c r="M156" i="1"/>
  <c r="M164" i="1"/>
  <c r="M172" i="1"/>
  <c r="M180" i="1"/>
  <c r="M188" i="1"/>
  <c r="M196" i="1"/>
  <c r="M204" i="1"/>
  <c r="M212" i="1"/>
  <c r="M220" i="1"/>
  <c r="M228" i="1"/>
  <c r="M236" i="1"/>
  <c r="M244" i="1"/>
  <c r="M252" i="1"/>
  <c r="M260" i="1"/>
  <c r="M268" i="1"/>
  <c r="M276" i="1"/>
  <c r="M284" i="1"/>
  <c r="M292" i="1"/>
  <c r="M300" i="1"/>
  <c r="M316" i="1"/>
  <c r="M324" i="1"/>
  <c r="M332" i="1"/>
  <c r="M340" i="1"/>
  <c r="M348" i="1"/>
  <c r="M356" i="1"/>
  <c r="M364" i="1"/>
  <c r="M372" i="1"/>
  <c r="M380" i="1"/>
  <c r="M388" i="1"/>
  <c r="M396" i="1"/>
  <c r="R388" i="1"/>
  <c r="S388" i="1"/>
  <c r="T388" i="1"/>
  <c r="U388" i="1"/>
  <c r="V388" i="1"/>
  <c r="W388" i="1"/>
  <c r="R389" i="1"/>
  <c r="S389" i="1"/>
  <c r="T389" i="1"/>
  <c r="U389" i="1"/>
  <c r="V389" i="1"/>
  <c r="W389" i="1"/>
  <c r="R390" i="1"/>
  <c r="S390" i="1"/>
  <c r="T390" i="1"/>
  <c r="U390" i="1"/>
  <c r="V390" i="1"/>
  <c r="W390" i="1"/>
  <c r="R391" i="1"/>
  <c r="S391" i="1"/>
  <c r="T391" i="1"/>
  <c r="U391" i="1"/>
  <c r="V391" i="1"/>
  <c r="W391" i="1"/>
  <c r="R392" i="1"/>
  <c r="S392" i="1"/>
  <c r="T392" i="1"/>
  <c r="U392" i="1"/>
  <c r="V392" i="1"/>
  <c r="W392" i="1"/>
  <c r="R393" i="1"/>
  <c r="S393" i="1"/>
  <c r="T393" i="1"/>
  <c r="U393" i="1"/>
  <c r="V393" i="1"/>
  <c r="W393" i="1"/>
  <c r="R394" i="1"/>
  <c r="S394" i="1"/>
  <c r="T394" i="1"/>
  <c r="U394" i="1"/>
  <c r="V394" i="1"/>
  <c r="W394" i="1"/>
  <c r="R395" i="1"/>
  <c r="S395" i="1"/>
  <c r="T395" i="1"/>
  <c r="U395" i="1"/>
  <c r="V395" i="1"/>
  <c r="W395" i="1"/>
  <c r="R396" i="1"/>
  <c r="S396" i="1"/>
  <c r="T396" i="1"/>
  <c r="U396" i="1"/>
  <c r="V396" i="1"/>
  <c r="W396" i="1"/>
  <c r="R397" i="1"/>
  <c r="S397" i="1"/>
  <c r="T397" i="1"/>
  <c r="U397" i="1"/>
  <c r="V397" i="1"/>
  <c r="W397" i="1"/>
  <c r="R398" i="1"/>
  <c r="S398" i="1"/>
  <c r="T398" i="1"/>
  <c r="U398" i="1"/>
  <c r="V398" i="1"/>
  <c r="W398" i="1"/>
  <c r="R399" i="1"/>
  <c r="S399" i="1"/>
  <c r="T399" i="1"/>
  <c r="U399" i="1"/>
  <c r="V399" i="1"/>
  <c r="W399" i="1"/>
  <c r="R400" i="1"/>
  <c r="S400" i="1"/>
  <c r="T400" i="1"/>
  <c r="U400" i="1"/>
  <c r="V400" i="1"/>
  <c r="W400" i="1"/>
  <c r="R401" i="1"/>
  <c r="S401" i="1"/>
  <c r="T401" i="1"/>
  <c r="U401" i="1"/>
  <c r="V401" i="1"/>
  <c r="W401" i="1"/>
  <c r="R402" i="1"/>
  <c r="S402" i="1"/>
  <c r="T402" i="1"/>
  <c r="U402" i="1"/>
  <c r="V402" i="1"/>
  <c r="W402" i="1"/>
  <c r="R403" i="1"/>
  <c r="S403" i="1"/>
  <c r="T403" i="1"/>
  <c r="U403" i="1"/>
  <c r="V403" i="1"/>
  <c r="W403" i="1"/>
  <c r="R404" i="1"/>
  <c r="S404" i="1"/>
  <c r="T404" i="1"/>
  <c r="U404" i="1"/>
  <c r="V404" i="1"/>
  <c r="W404" i="1"/>
  <c r="R405" i="1"/>
  <c r="S405" i="1"/>
  <c r="T405" i="1"/>
  <c r="U405" i="1"/>
  <c r="V405" i="1"/>
  <c r="W405" i="1"/>
  <c r="R406" i="1"/>
  <c r="S406" i="1"/>
  <c r="T406" i="1"/>
  <c r="U406" i="1"/>
  <c r="V406" i="1"/>
  <c r="W406" i="1"/>
  <c r="R407" i="1"/>
  <c r="S407" i="1"/>
  <c r="T407" i="1"/>
  <c r="U407" i="1"/>
  <c r="V407" i="1"/>
  <c r="W407" i="1"/>
  <c r="R408" i="1"/>
  <c r="S408" i="1"/>
  <c r="T408" i="1"/>
  <c r="U408" i="1"/>
  <c r="V408" i="1"/>
  <c r="W408" i="1"/>
  <c r="W387" i="1"/>
  <c r="V387" i="1"/>
  <c r="U387" i="1"/>
  <c r="T387" i="1"/>
  <c r="S387" i="1"/>
  <c r="R387" i="1"/>
  <c r="A408" i="1"/>
  <c r="A407" i="1"/>
  <c r="A406" i="1"/>
  <c r="A405" i="1"/>
  <c r="A404" i="1"/>
  <c r="A403" i="1"/>
  <c r="A402" i="1"/>
  <c r="A401" i="1"/>
  <c r="A400" i="1"/>
  <c r="A399" i="1"/>
  <c r="A398" i="1"/>
  <c r="A397" i="1"/>
  <c r="A396" i="1"/>
  <c r="A395" i="1"/>
  <c r="A394" i="1"/>
  <c r="A393" i="1"/>
  <c r="A392" i="1"/>
  <c r="A391" i="1"/>
  <c r="A390" i="1"/>
  <c r="A389" i="1"/>
  <c r="A388" i="1"/>
  <c r="A387" i="1"/>
  <c r="A386" i="1" l="1"/>
  <c r="A385" i="1" l="1"/>
  <c r="D7" i="18" l="1"/>
  <c r="F7" i="18" l="1"/>
  <c r="D11" i="18" l="1"/>
  <c r="F11" i="18" s="1"/>
  <c r="D10" i="18"/>
  <c r="F10" i="18" s="1"/>
  <c r="D9" i="18"/>
  <c r="F9" i="18" s="1"/>
  <c r="D8" i="18"/>
  <c r="F8" i="18" s="1"/>
  <c r="D12" i="18"/>
  <c r="E7" i="18" s="1"/>
  <c r="E10" i="18" l="1"/>
  <c r="E9" i="18"/>
  <c r="E11" i="18"/>
  <c r="E12" i="18" l="1"/>
  <c r="E8" i="18"/>
  <c r="D3" i="18" l="1"/>
  <c r="T29" i="11" l="1"/>
  <c r="S29" i="11"/>
  <c r="R29" i="11"/>
  <c r="Q29" i="11"/>
  <c r="P29" i="11"/>
  <c r="O29" i="11"/>
  <c r="N29" i="11"/>
  <c r="M29" i="11"/>
  <c r="L29" i="11"/>
  <c r="K29" i="11"/>
  <c r="J29" i="11"/>
  <c r="T28" i="11"/>
  <c r="S28" i="11"/>
  <c r="R28" i="11"/>
  <c r="Q28" i="11"/>
  <c r="P28" i="11"/>
  <c r="O28" i="11"/>
  <c r="N28" i="11"/>
  <c r="M28" i="11"/>
  <c r="L28" i="11"/>
  <c r="K28" i="11"/>
  <c r="J28" i="11"/>
  <c r="E4" i="10"/>
  <c r="E5" i="10"/>
  <c r="E6" i="10"/>
  <c r="E7" i="10"/>
  <c r="E8" i="10"/>
  <c r="E9" i="10"/>
  <c r="E10" i="10"/>
  <c r="E11" i="10"/>
  <c r="E12" i="10"/>
  <c r="E13" i="10"/>
  <c r="E3" i="10"/>
  <c r="C13" i="10"/>
  <c r="C4" i="10"/>
  <c r="C5" i="10"/>
  <c r="C6" i="10"/>
  <c r="C7" i="10"/>
  <c r="C8" i="10"/>
  <c r="C9" i="10"/>
  <c r="C10" i="10"/>
  <c r="C11" i="10"/>
  <c r="C12" i="10"/>
  <c r="C3" i="10"/>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C14" i="10" l="1"/>
  <c r="M30" i="11" a="1"/>
  <c r="M30" i="11" s="1"/>
  <c r="T31" i="11"/>
  <c r="L31" i="11"/>
  <c r="J30" i="11" a="1"/>
  <c r="J30" i="11" s="1"/>
  <c r="R30" i="11" a="1"/>
  <c r="R30" i="11" s="1"/>
  <c r="K30" i="11" a="1"/>
  <c r="K30" i="11" s="1"/>
  <c r="S31" i="11"/>
  <c r="Q30" i="11" a="1"/>
  <c r="Q30" i="11" s="1"/>
  <c r="N30" i="11" a="1"/>
  <c r="N30" i="11" s="1"/>
  <c r="O30" i="11" a="1"/>
  <c r="O30" i="11" s="1"/>
  <c r="P31" i="11"/>
  <c r="S30" i="11" a="1"/>
  <c r="S30" i="11" s="1"/>
  <c r="M31" i="11"/>
  <c r="N31" i="11"/>
  <c r="O31" i="11"/>
  <c r="L30" i="11" a="1"/>
  <c r="L30" i="11" s="1"/>
  <c r="P30" i="11" a="1"/>
  <c r="P30" i="11" s="1"/>
  <c r="T30" i="11" a="1"/>
  <c r="T30" i="11" s="1"/>
  <c r="Q31" i="11"/>
  <c r="J31" i="11"/>
  <c r="R31" i="11"/>
  <c r="K31" i="11"/>
  <c r="A274" i="1"/>
  <c r="A351" i="1" l="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Q29" i="6"/>
  <c r="Q28" i="6"/>
  <c r="K29" i="6"/>
  <c r="J29" i="6"/>
  <c r="L29" i="6"/>
  <c r="M29" i="6"/>
  <c r="O29" i="6"/>
  <c r="P29" i="6"/>
  <c r="R29" i="6"/>
  <c r="S29" i="6"/>
  <c r="T29" i="6"/>
  <c r="N29" i="6"/>
  <c r="Q30" i="6" l="1" a="1"/>
  <c r="Q30" i="6" s="1"/>
  <c r="G10" i="10"/>
  <c r="Q31" i="6"/>
  <c r="D13" i="10"/>
  <c r="D10" i="10" l="1"/>
  <c r="D4" i="10"/>
  <c r="D8" i="10"/>
  <c r="D7" i="10"/>
  <c r="D6" i="10"/>
  <c r="D5" i="10"/>
  <c r="D11" i="10"/>
  <c r="D12" i="10"/>
  <c r="D3" i="10"/>
  <c r="D9" i="10"/>
  <c r="N28" i="6" l="1"/>
  <c r="N30" i="6" s="1" a="1"/>
  <c r="N30" i="6" s="1"/>
  <c r="M28" i="6"/>
  <c r="M30" i="6" s="1" a="1"/>
  <c r="M30" i="6" s="1"/>
  <c r="J28" i="6"/>
  <c r="L28" i="6"/>
  <c r="L30" i="6" s="1" a="1"/>
  <c r="L30" i="6" s="1"/>
  <c r="O28" i="6"/>
  <c r="O30" i="6" s="1" a="1"/>
  <c r="O30" i="6" s="1"/>
  <c r="P28" i="6"/>
  <c r="P30" i="6" s="1" a="1"/>
  <c r="P30" i="6" s="1"/>
  <c r="S28" i="6"/>
  <c r="S30" i="6" s="1" a="1"/>
  <c r="S30" i="6" s="1"/>
  <c r="T28" i="6"/>
  <c r="T30" i="6" s="1" a="1"/>
  <c r="T30" i="6" s="1"/>
  <c r="K28" i="6"/>
  <c r="K30" i="6" s="1" a="1"/>
  <c r="K30" i="6" s="1"/>
  <c r="R28" i="6"/>
  <c r="R30" i="6" s="1" a="1"/>
  <c r="R30" i="6" s="1"/>
  <c r="J31" i="6" l="1"/>
  <c r="J30" i="6" a="1"/>
  <c r="J30" i="6" s="1"/>
  <c r="G9" i="10"/>
  <c r="G11" i="10"/>
  <c r="G4" i="10"/>
  <c r="E14" i="10"/>
  <c r="G3" i="10"/>
  <c r="G7" i="10"/>
  <c r="G12" i="10"/>
  <c r="G6" i="10"/>
  <c r="G5" i="10"/>
  <c r="G8" i="10"/>
  <c r="G13" i="10"/>
  <c r="O31" i="6"/>
  <c r="T31" i="6"/>
  <c r="R31" i="6"/>
  <c r="K31" i="6"/>
  <c r="P31" i="6"/>
  <c r="N31" i="6"/>
  <c r="L31" i="6"/>
  <c r="M31" i="6"/>
  <c r="S31" i="6"/>
  <c r="F9" i="10" l="1"/>
  <c r="F10" i="10"/>
  <c r="F13" i="10"/>
  <c r="F12" i="10"/>
  <c r="F11" i="10"/>
  <c r="F8" i="10"/>
  <c r="F7" i="10"/>
  <c r="F4" i="10"/>
  <c r="F3" i="10"/>
  <c r="F6" i="10"/>
  <c r="F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tc={2D26464F-DFFA-45D7-BA3B-52D11E46969B}</author>
  </authors>
  <commentList>
    <comment ref="M5" authorId="0" shapeId="0" xr:uid="{2D26464F-DFFA-45D7-BA3B-52D11E46969B}">
      <text>
        <t>[Threaded comment]
Your version of Excel allows you to read this threaded comment; however, any edits to it will get removed if the file is opened in a newer version of Excel. Learn more: https://go.microsoft.com/fwlink/?linkid=870924
Comment:
    Existem campos com controlos a NOK mas que estão justificados (ver ficheiro de justificações)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<sst xmlns="http://schemas.openxmlformats.org/spreadsheetml/2006/main" count="22163" uniqueCount="5008">
  <si>
    <t>Status Atual</t>
  </si>
  <si>
    <t>(All)</t>
  </si>
  <si>
    <t>Row Labels</t>
  </si>
  <si>
    <t>Count of Categorização</t>
  </si>
  <si>
    <t xml:space="preserve">Âmbito (Projeto) </t>
  </si>
  <si>
    <t>PM</t>
  </si>
  <si>
    <t>Fora OSI</t>
  </si>
  <si>
    <r>
      <rPr>
        <b/>
        <sz val="11"/>
        <color theme="1"/>
        <rFont val="Aptos Narrow"/>
        <family val="2"/>
        <scheme val="minor"/>
      </rPr>
      <t xml:space="preserve">Potencial de proposta </t>
    </r>
    <r>
      <rPr>
        <sz val="11"/>
        <color theme="1"/>
        <rFont val="Aptos Narrow"/>
        <family val="2"/>
        <scheme val="minor"/>
      </rPr>
      <t>- Campos concluídos, sem melhorias identidicadas, mas com necessidade de documentação</t>
    </r>
  </si>
  <si>
    <t>Analisar controlos NOK</t>
  </si>
  <si>
    <t>Count of Status Atual</t>
  </si>
  <si>
    <t/>
  </si>
  <si>
    <t>OSI VS FORA OSI</t>
  </si>
  <si>
    <r>
      <rPr>
        <b/>
        <sz val="11"/>
        <color theme="1"/>
        <rFont val="Aptos Narrow"/>
        <family val="2"/>
        <scheme val="minor"/>
      </rPr>
      <t>Potencial de proposta</t>
    </r>
    <r>
      <rPr>
        <sz val="11"/>
        <color theme="1"/>
        <rFont val="Aptos Narrow"/>
        <family val="2"/>
        <scheme val="minor"/>
      </rPr>
      <t xml:space="preserve"> - Campos com melhorias mais complexas identificadas na OSI ou fora da mesma.</t>
    </r>
  </si>
  <si>
    <t>Melhorias estruturais (garantir coerência entre campos)</t>
  </si>
  <si>
    <t>OSI</t>
  </si>
  <si>
    <t>Grand Total</t>
  </si>
  <si>
    <t>Total #</t>
  </si>
  <si>
    <t>Total %</t>
  </si>
  <si>
    <t>Quick-win âmbito do projeto em curso</t>
  </si>
  <si>
    <t>Novo campo</t>
  </si>
  <si>
    <t>1. Especificar</t>
  </si>
  <si>
    <t>Quick Win</t>
  </si>
  <si>
    <t>#</t>
  </si>
  <si>
    <t>%</t>
  </si>
  <si>
    <t>Necessidade de correção de erros</t>
  </si>
  <si>
    <t>2. Alterar especificação</t>
  </si>
  <si>
    <t>Campo Fechado</t>
  </si>
  <si>
    <t>Campo concluído, mas sem ou pouca informação na fonte</t>
  </si>
  <si>
    <t>3. Pendente de decisão</t>
  </si>
  <si>
    <t>Não</t>
  </si>
  <si>
    <t>Campo concluido</t>
  </si>
  <si>
    <t>4.1 Em implementação - Re-especificação</t>
  </si>
  <si>
    <t>Sim</t>
  </si>
  <si>
    <t>5.1 Em testes - Re-especificação</t>
  </si>
  <si>
    <t>Alteração de especificação por parte do BCE</t>
  </si>
  <si>
    <t>5.2 Em testes - Incidência</t>
  </si>
  <si>
    <t>7. Analisar controlos e completude</t>
  </si>
  <si>
    <t>8. Concluído - sem dados</t>
  </si>
  <si>
    <t>9. Concluído</t>
  </si>
  <si>
    <t>Pendente de decisão</t>
  </si>
  <si>
    <t>Especificação</t>
  </si>
  <si>
    <t>ORGNL_PRTCTN_VL</t>
  </si>
  <si>
    <t xml:space="preserve">Campos Contabilidade </t>
  </si>
  <si>
    <t>DT_ORGNL_PRTCTN_VL</t>
  </si>
  <si>
    <t>IMPRMNT_STTS</t>
  </si>
  <si>
    <t>PRFRMNG_STTS</t>
  </si>
  <si>
    <t>IMPRMNT_STTS_PRVS</t>
  </si>
  <si>
    <t>PRFRMNG_STTS_PRVS</t>
  </si>
  <si>
    <t>DPD_12M_PRFRMNG_STTS</t>
  </si>
  <si>
    <t>DPD_24M_PRFRMNG_STTS</t>
  </si>
  <si>
    <t>DPD_PRFRMNG_STTS</t>
  </si>
  <si>
    <t>DT_IMPRMNT_STTS</t>
  </si>
  <si>
    <t>DT_IMPRMNT_STTS_PRVS</t>
  </si>
  <si>
    <t>DT_PRFRMNG_STTS</t>
  </si>
  <si>
    <t>DT_PRFRMNG_STTS_PRVS</t>
  </si>
  <si>
    <t>4.2 Em implementação - Incidência</t>
  </si>
  <si>
    <t>6. Outros Desenvolvimentos</t>
  </si>
  <si>
    <t>Status Inicial (pós OSI)</t>
  </si>
  <si>
    <t>Variação</t>
  </si>
  <si>
    <t>Progressão</t>
  </si>
  <si>
    <t xml:space="preserve">3. Pendente de decisão - Identificados temas em OSI nos campos e é necessário identificar cauisticas (pode ficar como está ou ser alterado). Quem toma as decisões são as areas de negócio, porém o Luis poderá dar a decisão final </t>
  </si>
  <si>
    <t>Tema</t>
  </si>
  <si>
    <t>Questão</t>
  </si>
  <si>
    <t>Decisão</t>
  </si>
  <si>
    <t>O campo 'dtvalia_resp_bem' só possuI informação para datas de referências posteriores a 2024-07-31. Como devemos proceder caso seja necessário reportar dados anteriores a Jul.2024? </t>
  </si>
  <si>
    <t>Manter a especificação com mapeamento após jul.24</t>
  </si>
  <si>
    <t xml:space="preserve">O campo 'mavaliai_resp_bem' só possuI informação para datas de referências posteriores a 2024-07-31. Como devemos proceder caso seja necessário reportar dados anteriores a Jul.2024? </t>
  </si>
  <si>
    <t>DT_CNSTRCTN_STTS</t>
  </si>
  <si>
    <t xml:space="preserve">Teremos de criar uma tabela auxiliar com o histórico dos estados de construção e mapear para a data mais antiga do estado de construção atual. Uma vez que o MUG tem uma ótica de atualização diária, para o mapeamento e criação desta tabela auxiliar devemos olhar para uma ótica ou mensal?  </t>
  </si>
  <si>
    <t>Criar tabela auxiliar e ir buscar a ref_date. Devemos utilizar uma ótica diária. Analisar controlos por amostragem.</t>
  </si>
  <si>
    <t>Caso o bem só tenha um estado desde sempre/ desde que foi recebido como garantia devemos reportar a DT_INCPTN? E caso tenha mais do que um instrumento associado, qual a dt_incptn que devemos utilizar? A mais antiga?</t>
  </si>
  <si>
    <t>Questionar Corporação: 1) Caso o bem só tenha um estado desde sempre/ desde que foi recebido como garantia qual a data que devemos reportar? 2) A DR_CNSTRCTN_STTS pode ser anterior à DT_INCPTN? Estes casos poderão acontecer caso uma garantia esteja associada a mais do que um contrato.</t>
  </si>
  <si>
    <t>Campos Contabilidade vs Imparidade</t>
  </si>
  <si>
    <t xml:space="preserve">12 campos com informação de Imparidade, em que a Contabilidade assumiu a ownership uma vez que reporta este dado. Avançamos na re-especificação dos campos utilizando o mapeamento das tabelas de Contabilidade para datas de referência após Dez.22 e a tabela 7_8 de Imparidade para datas anteriores a Dez.22?
IMPRMNT_STTS	
PRFRMNG_STTS	
IMPRMNT_STTS_PRVS	
POCI	
PRFRMNG_STTS_PRVS	
DPD_12M_PRFRMNG_STTS	
DPD_24M_PRFRMNG_STTS	
DPD_PRFRMNG_STTS	
DT_IMPRMNT_STTS	
DT_IMPRMNT_STTS_PRVS	
DT_PRFRMNG_STTS	
DT_PRFRMNG_STTS_PRVS	</t>
  </si>
  <si>
    <t>Atualmente o campo de stage está a ser populado com informação de Imparidade até Dez.19 e a partir de Jan.20 com informação da FR004. Deste modo, a alteração de especificação prende-se apenas com a alteração da data para Dez.22.
Solicitar a Alexandre Gonçalvez que validem os campos após implementação de IT, sem prejuizo dos testes por parte da equipa LT.</t>
  </si>
  <si>
    <t>Campos Imparidade - Fonte da Verdade</t>
  </si>
  <si>
    <t xml:space="preserve">12 campos de Imparidade. Devemos sugerir mapeamento dos campos tendo em conta a tabela de o David Texugo indicou e enviar para validação? Enviamos um e-mail a solicitar esse mapeamento, mas sem resposta até ao momento. 
EIR	
EIR_INCPTN	
IFRS9_CCF	
IFRS9_EAD	
IFRS9_LGD	
INTRNL_SGMNT_IFRS9	
PD_IFRS9_12M_INCPTN	
PD_IFRS9_12M_RD	
PD_IFRS9_12M_RD_T1	
PD_IFRS9_LFTM_INCPTN	
PD_IFRS9_RMNNG_LFTM_INCPTN	
PD_IFRS9_RMNNG_LFTM_RD	</t>
  </si>
  <si>
    <t>Fazer proposta. Segmentar por campos OK e NOK.</t>
  </si>
  <si>
    <t>PRTCTN_VL</t>
  </si>
  <si>
    <t xml:space="preserve">40 garantias imóveis com valor de proteção a zero, cuja origem são a G39 ou G26. Analisados por Henrique e Susana:
    35 casos encontram-se no nosso ficheiro de Erros dos Métodos Indiciários com falta de informação: 
           33 – Apenas com informação na GP26 
             1 – Valor de avaliação a zero 
             1 - % de CI não encontrado para o critério 
    2 casos são do cliente Vilamoura World – imóvel não identificado 
    3 casos são do cliente IAD da Madeira e já foram distratados </t>
  </si>
  <si>
    <t xml:space="preserve">11 Garantias Imóveis cuja origem provêm das CSs, com valor da proteção igual a zero  (não são clones). Para quem devemos enviar estes casos para análise? </t>
  </si>
  <si>
    <t xml:space="preserve">121 Garantias Imóveis com contratos de Leasing associados, cujo valor da proteção é zero  (não são clones). Para quem devemos enviar estes casos para análise? </t>
  </si>
  <si>
    <t xml:space="preserve">1 garantia Financeira, cujo valor da proteção é zero – Caso não está na GT018 para datas posteriores a 2024-05-31. Devíamos retirar da LT os casos com o msldreal a zero (temos 25 casos)? </t>
  </si>
  <si>
    <t>46 casos com data inválidas 0001-01-01 para análise da equipa de leasing.</t>
  </si>
  <si>
    <t>4.1 respecificado</t>
  </si>
  <si>
    <t>4.2 IT não implementou corretamente</t>
  </si>
  <si>
    <t>6. Outros desenvolvimentos - Não podemos avançar no campo por haver necessidade de alguma alteração no campo fonte</t>
  </si>
  <si>
    <t xml:space="preserve">7. Controlos corporativos NOK que necessitam de ser analizados </t>
  </si>
  <si>
    <t>8. Campos que não são para mexer</t>
  </si>
  <si>
    <t>9. A partir do momento que sobe a CD</t>
  </si>
  <si>
    <t>Estado</t>
  </si>
  <si>
    <t>Status Inicial</t>
  </si>
  <si>
    <t>Status Atual (%)</t>
  </si>
  <si>
    <t>Legenda</t>
  </si>
  <si>
    <t xml:space="preserve">O campo será especificado pela primeira vez </t>
  </si>
  <si>
    <t>O campo já foi especificado, no entanto foi necessário alterar</t>
  </si>
  <si>
    <t xml:space="preserve">Houve algum tema identificado em OSI nos campos e é necessário identificar casuísticas (podendo ficar como está ou ser alterado). Quem toma as decisões são as áreas de negócio, porém o Luis poderá dar a decisão final </t>
  </si>
  <si>
    <t>O campo já foi re-especificado e está do lado de IT</t>
  </si>
  <si>
    <t>O campo já foi re-especificado e entregue, no entanto veio com erros de implementação por parte de IT</t>
  </si>
  <si>
    <t>O campo foi re-especificado e implementado por IT e está em fase de testes</t>
  </si>
  <si>
    <t>O campo foi re-especificado e implementado por IT, porém foram encontradas incidências que levaram a uma nova fase de testes</t>
  </si>
  <si>
    <t>Não podemos avançar no campo por haver necessidade de alguma alteração no campo fonte pendente da área responsável</t>
  </si>
  <si>
    <t xml:space="preserve">Controlos corporativos NOK que necessitam de ser analizados </t>
  </si>
  <si>
    <t>Campos que não são para alterar</t>
  </si>
  <si>
    <t>O campo já subiu a CD</t>
  </si>
  <si>
    <t>Quick-win de alta prioridade</t>
  </si>
  <si>
    <t>Quick-win de média prioridade</t>
  </si>
  <si>
    <t>TABLE_NAME</t>
  </si>
  <si>
    <t>COLUMN_NAME</t>
  </si>
  <si>
    <t>ÂMBITO</t>
  </si>
  <si>
    <t>Status</t>
  </si>
  <si>
    <t>Controlos e Completude</t>
  </si>
  <si>
    <t>Descrição</t>
  </si>
  <si>
    <t>Detalhe</t>
  </si>
  <si>
    <t>Quick-win</t>
  </si>
  <si>
    <t>Data alteração status</t>
  </si>
  <si>
    <t>Controlos e Completuade atual</t>
  </si>
  <si>
    <t>Comentários</t>
  </si>
  <si>
    <t>Data envio para IT</t>
  </si>
  <si>
    <t>Data Implementação</t>
  </si>
  <si>
    <t>Categorização</t>
  </si>
  <si>
    <t>Structural 
ECB Loan Tape</t>
  </si>
  <si>
    <t>Green 
Dashboard</t>
  </si>
  <si>
    <t>Pillar III ESG</t>
  </si>
  <si>
    <t>Green Finance</t>
  </si>
  <si>
    <t>ESG Risks</t>
  </si>
  <si>
    <t>Leveraged Finance</t>
  </si>
  <si>
    <t>INSTRUMENT</t>
  </si>
  <si>
    <t>ACCMLTD_CHNGS_FV_CR_INSTRMNT</t>
  </si>
  <si>
    <t>OK</t>
  </si>
  <si>
    <t>Concluido, controlos OK</t>
  </si>
  <si>
    <t>Y</t>
  </si>
  <si>
    <t>N</t>
  </si>
  <si>
    <t>ACCMLTD_IMPRMNT_INSTRMNT</t>
  </si>
  <si>
    <t>ACCMLTD_IMPRMNT_INSTRMNT_PRVS</t>
  </si>
  <si>
    <t>Campo com incidência. Verificar fonte LT</t>
  </si>
  <si>
    <t>LF</t>
  </si>
  <si>
    <t>ACCMLTD_WRTFFS_INSTRMNT</t>
  </si>
  <si>
    <t>ACCNTNG_CLSSFCTN</t>
  </si>
  <si>
    <t>ENTITY</t>
  </si>
  <si>
    <t>ACCNTNG_FRMWRK_SL</t>
  </si>
  <si>
    <t>Em especificação (Financial Statments CIB)</t>
  </si>
  <si>
    <t>Campo implementação, mas com falta de informação para o segmento de clientes CIB</t>
  </si>
  <si>
    <t>PM &amp; LF</t>
  </si>
  <si>
    <t>TYP_MRTGG</t>
  </si>
  <si>
    <t>NOK</t>
  </si>
  <si>
    <t>Alteração da Code list por parte do BCE</t>
  </si>
  <si>
    <t>Alterar especificação de acordo com codelist atual. No MUG existem apenas garantias elegiveis para cálculo de capital? Se sim, TYP_MRTGG irá assumir os valores 1, 5 e N/A. Caso contrário assumirá os valores  1, 5, 6 e N/A.</t>
  </si>
  <si>
    <t>AMNT_D_AT_MTRTY</t>
  </si>
  <si>
    <t>ANNL_TRNVR_LE</t>
  </si>
  <si>
    <t>ANNL_TRNVR_LE_BDR</t>
  </si>
  <si>
    <t>ANNL_TRNVR_PRVS</t>
  </si>
  <si>
    <t>ANNL_TRNVR_PRVS_BDR</t>
  </si>
  <si>
    <t>ANNLSD_AGRD_RT</t>
  </si>
  <si>
    <t>Verificar necessidade de alteração da fonte para fins de reconciliação. Rever Fonte</t>
  </si>
  <si>
    <t>Rever se devemos utilizar a informação de IFRS9 ou manter a de alm</t>
  </si>
  <si>
    <t>PROTECTION</t>
  </si>
  <si>
    <t>APPRSL_CRRNCY</t>
  </si>
  <si>
    <t>Controlos NOK</t>
  </si>
  <si>
    <t>APPRSR</t>
  </si>
  <si>
    <t>ARRRS_INSTRMNT</t>
  </si>
  <si>
    <t>ARRRS_INSTRMNT_12M</t>
  </si>
  <si>
    <t>ASST_SCRT_CLSS</t>
  </si>
  <si>
    <t>BRCHD_CVNNTS</t>
  </si>
  <si>
    <t>Campo especificado, mas sem dados. Campo marcado com MISS ou NA</t>
  </si>
  <si>
    <t>CAPEX</t>
  </si>
  <si>
    <t>CAPEX_PRVS</t>
  </si>
  <si>
    <t>CCF</t>
  </si>
  <si>
    <t>CHNNL_ORGNTN</t>
  </si>
  <si>
    <t>Aguarda implementação de IT</t>
  </si>
  <si>
    <t>CLLCTN_MD</t>
  </si>
  <si>
    <t>TTL_INTRST_PD</t>
  </si>
  <si>
    <t>Em especificação (Amortizações Capital/ Juros)</t>
  </si>
  <si>
    <t>CMMTMNT_INCPTN_INSTRMNT</t>
  </si>
  <si>
    <t>Analisar controlos e completude</t>
  </si>
  <si>
    <t>RL_ESTT_CLLTRL_LCTN</t>
  </si>
  <si>
    <t>Alterados 3 casos. Campo está a devolver PT para todas as proteções, no entanto estas não estão localizadas em PT e alterou-se a localização para os respetivos paises.</t>
  </si>
  <si>
    <t>CMPLNT_MRTR_C19_NM</t>
  </si>
  <si>
    <t>CNSMPTN_FNRP18</t>
  </si>
  <si>
    <t>DT_APPRSL_PRVS</t>
  </si>
  <si>
    <t>Campo com incidência e controlos NOK</t>
  </si>
  <si>
    <t>1) Campo com incidência, data igual à data da protection_vl 2) Alteração de formatos MISS</t>
  </si>
  <si>
    <t xml:space="preserve">Alteraração da definição do campo no Guia da Corporação. Campo passou a reportar a data da avaliação completa anterior à data da última avaliação  completa.
</t>
  </si>
  <si>
    <t>CNTRCT_ID</t>
  </si>
  <si>
    <t>CNTRCT_ID_BDR</t>
  </si>
  <si>
    <t>CNTRY</t>
  </si>
  <si>
    <t>COD_SOC</t>
  </si>
  <si>
    <t>INSTR_ENTITY</t>
  </si>
  <si>
    <t>INSTR_PROTECTION</t>
  </si>
  <si>
    <t>COD_SOC_INTRGRP</t>
  </si>
  <si>
    <t>CPN_CRRNCY</t>
  </si>
  <si>
    <t>CPN_RT_FXD</t>
  </si>
  <si>
    <t>CR_FLG</t>
  </si>
  <si>
    <t>CRE_FNRP18</t>
  </si>
  <si>
    <t>CRE_INCM_CRRNCY</t>
  </si>
  <si>
    <t>Campo sem mapeamento, para análise da área  de Riscos</t>
  </si>
  <si>
    <t>CRE_YRLY_EXPNSS</t>
  </si>
  <si>
    <t>CRE_YRLY_INCM</t>
  </si>
  <si>
    <t>CRRLTN_CFFCNT</t>
  </si>
  <si>
    <t>CRRNCY_DNMNTN</t>
  </si>
  <si>
    <t>CRRYNG_AMNT_INSTRMNT</t>
  </si>
  <si>
    <t>CSH</t>
  </si>
  <si>
    <t>CSH_PRVS</t>
  </si>
  <si>
    <t>CSH_SWP_TRP</t>
  </si>
  <si>
    <t>CVNNT_STTS</t>
  </si>
  <si>
    <t>CVNNT_TYP</t>
  </si>
  <si>
    <t>DBT_RPYMNT_CPCTY_SNR_DBT</t>
  </si>
  <si>
    <t>DBT_RPYMNT_CPCTY_TTL</t>
  </si>
  <si>
    <t>DBT_SRVC_RT</t>
  </si>
  <si>
    <t>DBT_SRVC_RT_12M</t>
  </si>
  <si>
    <t>DBT_YLD</t>
  </si>
  <si>
    <t>DCSD</t>
  </si>
  <si>
    <t>DFLT_STTS</t>
  </si>
  <si>
    <t>Alterar especificação  caso a LT passe a reportar os 1os titulares da Contabilidade.</t>
  </si>
  <si>
    <t>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t>
  </si>
  <si>
    <t>RFNNC_PRPS</t>
  </si>
  <si>
    <t>Alterar especificação. Campo depende do FRBRNC_STTS_INSTRMNT</t>
  </si>
  <si>
    <t>Sempre que o campo FRBRNC_STTS_INSTRMNT =3 o campo RFNNC_PRPS deve estar marcado como Y. Reespecificar, implementar e testar.</t>
  </si>
  <si>
    <t>DPD</t>
  </si>
  <si>
    <t>DPD_12M</t>
  </si>
  <si>
    <t>DPD_12M_FRBRNC_STTS</t>
  </si>
  <si>
    <t>Em testes. Campo depende do FRBRNC_STTS que está com incidência nos formatos. Não é necessário alterar a especificação do mesmo, apenas testar quando o campo FRBRNC_STTS estiver corrigido.</t>
  </si>
  <si>
    <t>Campo depende do histórico do PRFRMNG_STTS. Não é necessário alterar a especificação do mesmo, apenas testar se a metodologia do campo PRFRMNG_STTS for alterada.</t>
  </si>
  <si>
    <t>DPD_24M_FRBRNC_STTS</t>
  </si>
  <si>
    <t>Em testes. Campo depende do campo PRFRMNG_STTS. Não é necessário alterar a especificação do mesmo, apenas testar  se o campo PRFRMNG_STTS for alterado.</t>
  </si>
  <si>
    <t>DPD_FRBRNC_STTS</t>
  </si>
  <si>
    <t>DSTI</t>
  </si>
  <si>
    <t>Em especificação (Campos Novos)</t>
  </si>
  <si>
    <t>TYP_PRTCTN</t>
  </si>
  <si>
    <t>Alterar especificação (alteração da fonte para MUG)</t>
  </si>
  <si>
    <t>Campo depende do campo 'cgarant' do MUG</t>
  </si>
  <si>
    <t xml:space="preserve">Alteração de especificação com base no campo cgarant_bem e cgarant_rpt do MUG. Controlo NOK - A Corporação ajustou o controlo e estes casos passarão a estar OK
</t>
  </si>
  <si>
    <t>DT_BRTH</t>
  </si>
  <si>
    <t>DT_CMPLNT_MRTR_STTS_C19</t>
  </si>
  <si>
    <t>DT_CMPLNT_MRTR_STTS_PRVS_C19</t>
  </si>
  <si>
    <t>DT_PRTCTN_VL</t>
  </si>
  <si>
    <t xml:space="preserve">Campo com incidência e controlos NOK. </t>
  </si>
  <si>
    <t>Alteração formato de 0001-01-01 para 0000-00-00</t>
  </si>
  <si>
    <t>Incidência corrigida. Especificação alterada para campo da GT018, de modo a estar coerente com a especificação do campo PRTCTN_VL
Controlo NOK (ver caderno de testes a 03/12/2023)</t>
  </si>
  <si>
    <t>DT_DFLT_STTS</t>
  </si>
  <si>
    <t>Na OSI foram reportados os 1os titulares da Contabilidade, o que para alguns casos, são diferentes do que está na CL01. Apenas será necessário ajustar este campo caso a LT passe a reportar os 1os titulares da Contabilidade.</t>
  </si>
  <si>
    <t>DT_DFLT_STTS_INSTRMNT</t>
  </si>
  <si>
    <t>Campo com incidência. É necessário adicionar a data de inception sempre que os contratos não estejam em default
Campo entregue por IT durante a OSI, no entanto foi detatada a incidência identificada supra</t>
  </si>
  <si>
    <t>DT_END_GP_PPAL</t>
  </si>
  <si>
    <t>DT_END_GP_PPAL_C19</t>
  </si>
  <si>
    <t>DT_END_INTRST_ONLY</t>
  </si>
  <si>
    <t>DT_END_INTRST_ONLY_C19</t>
  </si>
  <si>
    <t>CNSTRCTN_STTS</t>
  </si>
  <si>
    <t>Campo dependente do MUG</t>
  </si>
  <si>
    <t>DT_FNNCL_STTMTS</t>
  </si>
  <si>
    <t>DT_FNNCL_STTMTS_PRVS</t>
  </si>
  <si>
    <t>RCVD_INTRST_24M</t>
  </si>
  <si>
    <t>Em especificação (Amortizações Capital/ Juros). Campo com dados mas pouca qualidade</t>
  </si>
  <si>
    <t>DT_FRBRNC_STTS_C19</t>
  </si>
  <si>
    <t>RCVD_INTRST_12M</t>
  </si>
  <si>
    <t>DT_FRBRNC_STTS_PRVS_C19</t>
  </si>
  <si>
    <t>DT_FRST_USG</t>
  </si>
  <si>
    <t>Controlos NOK por parte de Riscos</t>
  </si>
  <si>
    <t>Rever fonte. Confirmar com LCM que a informação deverá estar de acordo com IFRS9/Imparidade, mantendo a metodologia da OSI (ir apenas à tabela FR004 na data de referência, as restantes datas ir à tabela de IFRS9)</t>
  </si>
  <si>
    <t>DT_INCPTN</t>
  </si>
  <si>
    <t>DT_INTRNL_RTNG</t>
  </si>
  <si>
    <t>Em testes, campo entregue por IT durante a OSI. Incidência nos formatos. Testar e validar controlos NOK</t>
  </si>
  <si>
    <t>Em testes, campo entregue por IT durante a OSI. Testar e validar controlos</t>
  </si>
  <si>
    <t>DT_INTTN_LGL_PRCDNGS_LE</t>
  </si>
  <si>
    <t>DVLPMNT_STTS</t>
  </si>
  <si>
    <t>Alterar especificação. Campo dependente do MUG</t>
  </si>
  <si>
    <t>Mapeamento de acordo com o CNSTRCTN_STTS</t>
  </si>
  <si>
    <t>DT_LST_FLL_APPRSL</t>
  </si>
  <si>
    <t>Campo está a reportar a data da última avaliação e não a data da última avaliação in person. Implementação não está a aplicar a metodologia de cálculo de acordo com a especificação</t>
  </si>
  <si>
    <t>DT_MTRTY_PRTCTN</t>
  </si>
  <si>
    <t>SICR_ASSSSMNT_MTHD</t>
  </si>
  <si>
    <t>Rever com Corporação se a codelist do IMPRMNT_STTS alterou, caso não tenha alterado não é necessário alterar o campo.</t>
  </si>
  <si>
    <t>E-mail enviado para Corporação. Codelist IMPRMNT_STTS não alterou</t>
  </si>
  <si>
    <t>-</t>
  </si>
  <si>
    <t>DT_ORGNL_MTRTY</t>
  </si>
  <si>
    <t>NTNL_ID</t>
  </si>
  <si>
    <t>Campo com incidência (Formatos). Remover aspas</t>
  </si>
  <si>
    <t>DT_PRFRMNG_STTS_LE</t>
  </si>
  <si>
    <t>IFRS9_BHVRL_MTRTY</t>
  </si>
  <si>
    <t>Alterar especificação. Necessidade de alteração da fonte para fins de reconciliação</t>
  </si>
  <si>
    <t>Em curso. Aguardamos resposta da equipa de Imparidade. Sempre que o campo for nulo colocar 111111111 valor de NA</t>
  </si>
  <si>
    <t xml:space="preserve">Alteração de fonte e tabelas reporting para tabelas terminadas em 7_8
</t>
  </si>
  <si>
    <t>DT_PST_D</t>
  </si>
  <si>
    <t>DT_RFRNC</t>
  </si>
  <si>
    <t>DT_STRT_GP_PPAL</t>
  </si>
  <si>
    <t>DT_STRT_INTRST_ONLY</t>
  </si>
  <si>
    <t>DT_VLTN</t>
  </si>
  <si>
    <t>POCI</t>
  </si>
  <si>
    <t>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t>
  </si>
  <si>
    <t>EAD</t>
  </si>
  <si>
    <t>Em testes. Campo com incidências, mas corrigida na LT no âmbito da OSI.</t>
  </si>
  <si>
    <t>EBA_CMPLNT_MRTR_ST_C19</t>
  </si>
  <si>
    <t>OTSTNDNG_NMNL_AMNT_INSTRMNT_PRVS</t>
  </si>
  <si>
    <t>Campo com incidência</t>
  </si>
  <si>
    <t>Diferenças na fonte
Regra utilizada na OSI:
cast(NVL((LT02_PRVS.GRSS_CRRYNG_AMNT_INSTRMNT_PRVS - NVL(ACCRD_T1.ACCRD_INTRST_INSTRMNT_PRVS,0)) ,11111111111.00) as decimal(21,2)) as  OTSTNDNG_NMNL_AMNT_INSTRMNT_PRVS</t>
  </si>
  <si>
    <t>INSTLMNT_PAY</t>
  </si>
  <si>
    <t>Campo especificado, mas com pouca qualidade de dados</t>
  </si>
  <si>
    <t>EC_GRP_ID</t>
  </si>
  <si>
    <t>EC_GRP_NM</t>
  </si>
  <si>
    <t>ECNMC_ACTVTY</t>
  </si>
  <si>
    <t>EIR</t>
  </si>
  <si>
    <t>EIR_INCPTN</t>
  </si>
  <si>
    <t>ELGBLTY_ECB</t>
  </si>
  <si>
    <t>EMPLYMNT_STTS</t>
  </si>
  <si>
    <t>EMPLYMNT_STTS_INTRNL</t>
  </si>
  <si>
    <t>ENTRPRS_SZ_LE</t>
  </si>
  <si>
    <t>ENTTY_ID</t>
  </si>
  <si>
    <t>ENTTY_NM</t>
  </si>
  <si>
    <t>EQTY</t>
  </si>
  <si>
    <t>EQTY_PRVS</t>
  </si>
  <si>
    <t>EXPCTD_LSS_CRR</t>
  </si>
  <si>
    <t>EXPSR_IN_SCP</t>
  </si>
  <si>
    <t>FRBRNC_STTS_INSTRMNT</t>
  </si>
  <si>
    <t>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t>
  </si>
  <si>
    <t>EXTRNL_RTNG_PRVS</t>
  </si>
  <si>
    <t>Alterar especificação para casos em informação na fonte.</t>
  </si>
  <si>
    <t>Quando não existe informação na fonte em vez de MISS substituir por NA</t>
  </si>
  <si>
    <t>EXTRNL_RTNG_NM</t>
  </si>
  <si>
    <t>FLD_SYNDCTN</t>
  </si>
  <si>
    <t>Em implementação IT BST (Sindicados)</t>
  </si>
  <si>
    <t>Aguarda desenvolvimentos nas plataformas Loan IQ e Mercurio</t>
  </si>
  <si>
    <t>FLG_BNKRPTCY_IN_GRP</t>
  </si>
  <si>
    <t>FLG_HGH_CDS</t>
  </si>
  <si>
    <t>FLG_ISDA_CRDT_EVNT</t>
  </si>
  <si>
    <t>FLG_LBO</t>
  </si>
  <si>
    <t>FLG_NN_ACCRL</t>
  </si>
  <si>
    <t>FLG_RQST_BNKRPTCY</t>
  </si>
  <si>
    <t>FLG_RQST_DSTRSSD_RSTRCTRNG</t>
  </si>
  <si>
    <t>Em especificação, rever fonte</t>
  </si>
  <si>
    <t>FLG_RQST_EMRGNCY_FNDNG</t>
  </si>
  <si>
    <t>FLG_SLL_WTH_LSS</t>
  </si>
  <si>
    <t>FR_CSH_FLW</t>
  </si>
  <si>
    <t>FR_CSH_FLW_T1</t>
  </si>
  <si>
    <t>FR_CSH_FLW_T2</t>
  </si>
  <si>
    <t>FR_CSH_FLW_T3</t>
  </si>
  <si>
    <t>FRBRNC_STTS_C19</t>
  </si>
  <si>
    <t>EXTRNL_RTNG</t>
  </si>
  <si>
    <t>GCC_PRNT_ID</t>
  </si>
  <si>
    <t>GCC_PRNT_NM</t>
  </si>
  <si>
    <t>GDWILL</t>
  </si>
  <si>
    <t>GDWILL_PRVS</t>
  </si>
  <si>
    <t>GRC_PRD_CPTL_INTRST_C19</t>
  </si>
  <si>
    <t>GRNTR_ID</t>
  </si>
  <si>
    <t>GRNTR_ID_TYP</t>
  </si>
  <si>
    <t>GRP_EBITDA</t>
  </si>
  <si>
    <t>GRP_EQTY</t>
  </si>
  <si>
    <t>GRP_NT_DBT</t>
  </si>
  <si>
    <t>GRP_TTL_DBT</t>
  </si>
  <si>
    <t>GRSS_CRRYNG_AMNT_INSTRMNT</t>
  </si>
  <si>
    <t>HEDGE_ID</t>
  </si>
  <si>
    <t>HRCT_MV</t>
  </si>
  <si>
    <t>IDCMB</t>
  </si>
  <si>
    <t>Em testes pela equipa de CDO</t>
  </si>
  <si>
    <t>EBITDA_PRVS</t>
  </si>
  <si>
    <t>Alterar especificação (Luis Bastos enviou nova metodologia do campo)</t>
  </si>
  <si>
    <t>IFRS9_CCF</t>
  </si>
  <si>
    <t>Campo Imparidade</t>
  </si>
  <si>
    <t>IFRS9_EAD</t>
  </si>
  <si>
    <t>IFRS9_LGD</t>
  </si>
  <si>
    <t>IMPRMNT_ASSSSMNT_MTHD</t>
  </si>
  <si>
    <t>IMPRMNT_CLCLTN_MTHD</t>
  </si>
  <si>
    <t>Rever com a Corporação se a nova code list foi apenas para a OSI (relativamente ao tema dos POCI).</t>
  </si>
  <si>
    <t>INCM_SC</t>
  </si>
  <si>
    <t>Em especificação (Salários)</t>
  </si>
  <si>
    <t>EBITDA</t>
  </si>
  <si>
    <t>INSTR_SNRTY_CLSS</t>
  </si>
  <si>
    <t>INSTRMNT_CLSS</t>
  </si>
  <si>
    <t>INSTRMNT_ID</t>
  </si>
  <si>
    <t>INTRNL_RTNG</t>
  </si>
  <si>
    <t>Em testes</t>
  </si>
  <si>
    <t>INTRNL_RTNG_INCPTN</t>
  </si>
  <si>
    <t>Alterar especificação, campo com incidência. Controlos NOK</t>
  </si>
  <si>
    <t>Na LT apenas foi especifido os restantes internal ratings, estando em falta o internal rating à data de inception.</t>
  </si>
  <si>
    <t>INTRNL_RTNG_PRVS</t>
  </si>
  <si>
    <t>INTRNL_SGMNT</t>
  </si>
  <si>
    <t>INTRNL_SGMNT_CAT_MSTA</t>
  </si>
  <si>
    <t>INTRNL_SGMNT_CATGSUB</t>
  </si>
  <si>
    <t>INTRNL_SGMNT_IFRS9</t>
  </si>
  <si>
    <t>INTRNL_UNT</t>
  </si>
  <si>
    <t>INTRST_RT_RST_FRQNCY</t>
  </si>
  <si>
    <t>ISIN</t>
  </si>
  <si>
    <t>ISIN_SCRTSTN</t>
  </si>
  <si>
    <t>ISSR_CNTRY</t>
  </si>
  <si>
    <t>ISSR_ESA_2010</t>
  </si>
  <si>
    <t>ISSR_ID</t>
  </si>
  <si>
    <t>ISSR_ID_TYP</t>
  </si>
  <si>
    <t>ISSR_NACE_SCTR</t>
  </si>
  <si>
    <t>ISSR_RTNG</t>
  </si>
  <si>
    <t>ISSR_RTNG_SRC</t>
  </si>
  <si>
    <t>ISSR_TYP</t>
  </si>
  <si>
    <t>JNT_LBLTY_AMNT</t>
  </si>
  <si>
    <t>LCL_INSTMRNT_ID</t>
  </si>
  <si>
    <t>LCR_BFFR_CTGRY</t>
  </si>
  <si>
    <t>LCRE</t>
  </si>
  <si>
    <t>Ficheiro enviado pela área. Rever se é necessário alterar a especificação de modo a estar de acordo com imparidade. Foi decisão que a informação a reportar deveria reconciliar com a informação de imparidade e por essa mesma razão não se utilizou os dados da LT</t>
  </si>
  <si>
    <t>LEI</t>
  </si>
  <si>
    <t>LGD</t>
  </si>
  <si>
    <t>LGL_PRCDNG_STTS</t>
  </si>
  <si>
    <t>LGL_PRCDNG_STTS_LE</t>
  </si>
  <si>
    <t>LND_DRGTN</t>
  </si>
  <si>
    <t>LSTI</t>
  </si>
  <si>
    <t>LTI</t>
  </si>
  <si>
    <t>LTI_INSTRMNT</t>
  </si>
  <si>
    <t>LTV</t>
  </si>
  <si>
    <t>LTV_INCPTN</t>
  </si>
  <si>
    <t>LTV_NPE</t>
  </si>
  <si>
    <t>LVRG</t>
  </si>
  <si>
    <t>LVRG_FNNC_FLG</t>
  </si>
  <si>
    <t>LVRG_PRVS</t>
  </si>
  <si>
    <t>MN_ENTTY_ID</t>
  </si>
  <si>
    <t>Campo com incidências. Verificar necessidade de alteração da fonte para fins de reconciliação.
Campo novo, enviado para especificação em Fevereiro e entregue por IT em Março (durante a OSI), no entanto campo está com incidências nas garantias prestadas (detetadas no decurso da OSI)</t>
  </si>
  <si>
    <t>Rever se os 1os titulares devem ser os da FR ou os da CL001 (clientes)</t>
  </si>
  <si>
    <t>MN_PRPS</t>
  </si>
  <si>
    <t>MNTHL_INCM</t>
  </si>
  <si>
    <t>MNTHL_INCM_SLR</t>
  </si>
  <si>
    <t>MNTHL_TRNVR</t>
  </si>
  <si>
    <t>MTRTY_LTST_FRBRNC_MSR_C19</t>
  </si>
  <si>
    <t>MTRTY_LTST_MRTR_C19</t>
  </si>
  <si>
    <t>NMBR_FRBRNC_MSRS</t>
  </si>
  <si>
    <t>NT_INCM</t>
  </si>
  <si>
    <t>NT_INCM_PRVS</t>
  </si>
  <si>
    <t>RWA_MTHD</t>
  </si>
  <si>
    <t>Alteração de formato de 11111111.00 para 11111111</t>
  </si>
  <si>
    <t>Incidência relativamente ao formatos corrigida. Controlos testados e OK</t>
  </si>
  <si>
    <t>OBSRVD_AGNT_ID</t>
  </si>
  <si>
    <t>OBSRVD_AGNT_NM</t>
  </si>
  <si>
    <t>OFF_BLNC_SHT_AMNT_INSTRMNT</t>
  </si>
  <si>
    <t>OFF_BLNC_SHT_AMNT_INSTRMNT_PRVS</t>
  </si>
  <si>
    <t>MISS deviam estar a ser reportados como NA ou zero</t>
  </si>
  <si>
    <t>OSI_ID</t>
  </si>
  <si>
    <t>OTSTNDNG_NMNL_AMNT_INSTRMNT</t>
  </si>
  <si>
    <t>DT_FRBRNC_STTS_PRVS</t>
  </si>
  <si>
    <t>Alterar especificação (alteração da fonte para a FR004)</t>
  </si>
  <si>
    <t>OWND_BY_SPNSR</t>
  </si>
  <si>
    <t>PBLC_GRNT_SCHM_C19_NM</t>
  </si>
  <si>
    <t>PD_CRR_INCPTN</t>
  </si>
  <si>
    <t>Campo com incidência. Confirmar com Tecnologia que o campo está alterado com base no que foi identificado na OSI</t>
  </si>
  <si>
    <t>PD_CRR_RD</t>
  </si>
  <si>
    <t>PD_CRR_RD_T1</t>
  </si>
  <si>
    <t>PD_IFRS9_12M_INCPTN</t>
  </si>
  <si>
    <t>PD_IFRS9_12M_RD</t>
  </si>
  <si>
    <t>Controlos NOK justificados no âmbito da OSI. 
1) Contratos fora do universo de IFRS9 2) Clientes que não são primeiros titulares de nenhum contrato
Alterar especificação  caso a LT passe a reportar os 1os titulares da Contabilidade.</t>
  </si>
  <si>
    <t>PD_IFRS9_12M_RD_T1</t>
  </si>
  <si>
    <t>PD_IFRS9_LFTM_INCPTN</t>
  </si>
  <si>
    <t>PD_IFRS9_RMNNG_LFTM_INCPTN</t>
  </si>
  <si>
    <t>PD_IFRS9_RMNNG_LFTM_RD</t>
  </si>
  <si>
    <t>PMNT_PBLC_GRNT_SCHM_C19</t>
  </si>
  <si>
    <t>DT_FRBRNC_STTS</t>
  </si>
  <si>
    <t>PRCH_UNDR_RSL_AGR</t>
  </si>
  <si>
    <t>PRDCT</t>
  </si>
  <si>
    <t>PRDNTL_PRTFL</t>
  </si>
  <si>
    <t>PRFRMNG_STTS_LE</t>
  </si>
  <si>
    <t>PRJCT_FNNC_LN</t>
  </si>
  <si>
    <t>PRM_LCTN</t>
  </si>
  <si>
    <t>100220 Casos que deviam ser N e estão a ser reportados MISS</t>
  </si>
  <si>
    <t>PRMRY_ASST_CLSSF</t>
  </si>
  <si>
    <t>PRPS</t>
  </si>
  <si>
    <t>PRSN_TYP</t>
  </si>
  <si>
    <t>PRT_LCR_BFFR</t>
  </si>
  <si>
    <t>PRTCTN_ALLCTD_VL</t>
  </si>
  <si>
    <t>PRTCTN_CLLD</t>
  </si>
  <si>
    <t>PRTCTN_FRCD_SL_VL</t>
  </si>
  <si>
    <t>PRTCTN_ID</t>
  </si>
  <si>
    <t>PRTCTN_PRVDR_ID</t>
  </si>
  <si>
    <t>PRTCTN_TYP_PBLC_GRNT_SCHM_C19</t>
  </si>
  <si>
    <t>DT_EXTRNL_RTNG</t>
  </si>
  <si>
    <t>1) Campo com incidência, está a reportar apenas valores de MISS e N/A</t>
  </si>
  <si>
    <t>14 casos com valor original da proteção a zero</t>
  </si>
  <si>
    <t>PRTCTN_VL_PRVS</t>
  </si>
  <si>
    <t>PRTCTN_VLTN_APPRCH</t>
  </si>
  <si>
    <t>PRVSNS_OFF_BLNC_SHT</t>
  </si>
  <si>
    <t>PYMNT_FRQNCY</t>
  </si>
  <si>
    <t>Campo com incidência. Verificar necessidade de alteração da fonte para fins de reconciliação</t>
  </si>
  <si>
    <t>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t>
  </si>
  <si>
    <t>PYMNT_INTRST_ONLY</t>
  </si>
  <si>
    <t>Foi decisão que a informação a reportar deveria reconciliar com a informação de imparidade e por essa mesma razão não se utilizou os dados da LT. Rever se devemos utilizar a informação de IFRS9 ou manter a de alm</t>
  </si>
  <si>
    <t>RCRS</t>
  </si>
  <si>
    <t>RCVD_AMRTSTN_12M</t>
  </si>
  <si>
    <t>RCVD_AMRTSTN_24M</t>
  </si>
  <si>
    <t>Criação de uma tabela auxiliar de histórico dos estados de construção numa ótica diária</t>
  </si>
  <si>
    <t>DFLT_STTS_INSTRMNT</t>
  </si>
  <si>
    <t>É necessário adicionar este campo como obrigatório  para as linhas manuais (CMAH) e rever com a Leonor a tabela de parametrização (a área identificou incidências de acordo com o GUIA). Na OSI apenas foi adicionado a informação para ajustes manuais.</t>
  </si>
  <si>
    <t>CMMTMNT_INSTRMNT</t>
  </si>
  <si>
    <t>Alterar especificação (Área enviou nova metodologia do campo)</t>
  </si>
  <si>
    <t>Nova metodologia identificada pelo Rafael Pessoa durante OSI IFRS9, é necessário alterar a especificação para GRSS_CRRYNG_AMNT_INSTRMNT - OFF_BLNC_SHT_AMNT_INSTRMNT</t>
  </si>
  <si>
    <t>RFRNC_RT</t>
  </si>
  <si>
    <t>RL_ESTT_ADDRSS</t>
  </si>
  <si>
    <t>CMLTV_RCVRS_SNC_DFLT_INSTRMNT</t>
  </si>
  <si>
    <t>RL_ESTT_CLLTRL_LCTN_INT</t>
  </si>
  <si>
    <t>RL_ESTT_CTY</t>
  </si>
  <si>
    <t>RL_ESTT_PST_CD</t>
  </si>
  <si>
    <t>RRE_FNRP18</t>
  </si>
  <si>
    <t>RTNG_MTHD</t>
  </si>
  <si>
    <t>RTNG_SCL</t>
  </si>
  <si>
    <t>RTNTN_SHR</t>
  </si>
  <si>
    <t>RWA</t>
  </si>
  <si>
    <t>DT_LGL_FNL_MTRTY</t>
  </si>
  <si>
    <t xml:space="preserve">Controlos NOK e com Incidência nos formatos. </t>
  </si>
  <si>
    <t>Alterarção formato de 99999999 para 1111-11-11.</t>
  </si>
  <si>
    <t>SBJCT_PBLC_GRNT_SCHM_C19</t>
  </si>
  <si>
    <t>DT_NXT_INTRST_RT_RST</t>
  </si>
  <si>
    <t>Controlos NOK e com Incidência nos formatos.</t>
  </si>
  <si>
    <t xml:space="preserve"> Alteração formato de 0001-01-01 para 0000-00-00.</t>
  </si>
  <si>
    <t>SME_FNRP18</t>
  </si>
  <si>
    <t>SNGL_PRPS_VHCL</t>
  </si>
  <si>
    <t>SPCLTV_LNDNG</t>
  </si>
  <si>
    <t>SPNSR_NM</t>
  </si>
  <si>
    <t>SPRD</t>
  </si>
  <si>
    <t>SRCS_ENCMBRNC</t>
  </si>
  <si>
    <t>STTS_UNDRWRTTN_TRNSCTN</t>
  </si>
  <si>
    <t>SUBPORTFOLIO_ID</t>
  </si>
  <si>
    <t>SYNDCT_RL</t>
  </si>
  <si>
    <t>SYNDCTD_AGNT</t>
  </si>
  <si>
    <t>SYNDCTD_CNTRCT_ID</t>
  </si>
  <si>
    <t>SYNDCTD_LNDRS</t>
  </si>
  <si>
    <t>SYNDCTD_SHR</t>
  </si>
  <si>
    <t>SYNDCTN_TYP</t>
  </si>
  <si>
    <t>TAX_ID</t>
  </si>
  <si>
    <t>Campo especificado, mas com problemas a montante</t>
  </si>
  <si>
    <t>Concluido, controlos por parte de Riscos</t>
  </si>
  <si>
    <t>THRD_PRTY_PRRTY_CLMS</t>
  </si>
  <si>
    <t>TRNCH</t>
  </si>
  <si>
    <t>TTL_DBT</t>
  </si>
  <si>
    <t>TTL_DBT_PRVS</t>
  </si>
  <si>
    <t>ACCRD_INTRST_INSTRMNT</t>
  </si>
  <si>
    <t>TTL_LVRG_RT</t>
  </si>
  <si>
    <t>TTL_LVRG_RT_PRVS</t>
  </si>
  <si>
    <t>TYP_AMRTSTN</t>
  </si>
  <si>
    <t>TYP_CMPLNT_MRTR_C19</t>
  </si>
  <si>
    <t>TYP_CRE_OPRTN</t>
  </si>
  <si>
    <t>TYP_INSTRMNT</t>
  </si>
  <si>
    <t>TYP_INTRST_RT</t>
  </si>
  <si>
    <t>Incidências: Casos em que valor é 0</t>
  </si>
  <si>
    <t>44 garantias com valor zero.</t>
  </si>
  <si>
    <t>PRTCTN_VL_NPE</t>
  </si>
  <si>
    <t xml:space="preserve">Campo depende do histórico do PRFRMNG_STTS. Não é necessário alterar a especificação do mesmo, apenas testar se a metodologia do campo PRFRMNG_STTS for alterada. </t>
  </si>
  <si>
    <t>TYP_PRTCTN_INTRNL</t>
  </si>
  <si>
    <t>TYP_PRTCTN_VL</t>
  </si>
  <si>
    <t>TYPE_OF_PLCMNT</t>
  </si>
  <si>
    <t>VLTN_CRRNCY</t>
  </si>
  <si>
    <t>VLTN_TYP</t>
  </si>
  <si>
    <t>WTCH_LST</t>
  </si>
  <si>
    <t>YR_CNSTRCTN</t>
  </si>
  <si>
    <t>ADDRSS_CTY</t>
  </si>
  <si>
    <t>PM - Novos Campos</t>
  </si>
  <si>
    <t>ADDRSS_STRT</t>
  </si>
  <si>
    <t>DT_ENTRPRS_SZ</t>
  </si>
  <si>
    <t>NMBR_EMPLYS</t>
  </si>
  <si>
    <t>LGL_FRM</t>
  </si>
  <si>
    <t>HD_OFFC_UNDRTKNG_ID</t>
  </si>
  <si>
    <t>IMMDT_PRNT_UNDRTKNG_ID</t>
  </si>
  <si>
    <t>ULTMT_PRNT_UNDRTKNG_ID</t>
  </si>
  <si>
    <t>TTL_ASSTS</t>
  </si>
  <si>
    <t>ENTTY_ID_BDR</t>
  </si>
  <si>
    <t>CPN_RT_FLTNG</t>
  </si>
  <si>
    <t>INTRST_RT_CP</t>
  </si>
  <si>
    <t>INTRST_RT_FLR</t>
  </si>
  <si>
    <t>NMNL_INTRST_RT_FEE</t>
  </si>
  <si>
    <t>DT_STTLMNT</t>
  </si>
  <si>
    <t>TRNSFRRD_AMNT</t>
  </si>
  <si>
    <t>TYP_SCRTZTN</t>
  </si>
  <si>
    <t>TYP_OFF_BLNC_PRDCT</t>
  </si>
  <si>
    <t>BLNC_SHT_RCGNTN</t>
  </si>
  <si>
    <t>FLG_DFLT</t>
  </si>
  <si>
    <t>FLG_HGH_RSK</t>
  </si>
  <si>
    <t>PRTNR</t>
  </si>
  <si>
    <t>INCNTVS</t>
  </si>
  <si>
    <t>OTHR_OPRTNG_INCM</t>
  </si>
  <si>
    <t>RFRRL_FS</t>
  </si>
  <si>
    <t>INSRNC_CMSSNS</t>
  </si>
  <si>
    <t>OTHR_INCM_AND_CHRGS</t>
  </si>
  <si>
    <t>TX_ON_PRFT</t>
  </si>
  <si>
    <t>LND_AR</t>
  </si>
  <si>
    <t>LN_PSTN</t>
  </si>
  <si>
    <t>RL_ESTT_LNGTD</t>
  </si>
  <si>
    <t>RL_ESTT_LTTD</t>
  </si>
  <si>
    <t>INSTR_ACTIVITY</t>
  </si>
  <si>
    <t>PRCNTG_ACTVTY</t>
  </si>
  <si>
    <t>Tabela</t>
  </si>
  <si>
    <t>Campo</t>
  </si>
  <si>
    <t>Tipo de teste</t>
  </si>
  <si>
    <t>Descritivo</t>
  </si>
  <si>
    <t>Data atualização</t>
  </si>
  <si>
    <t>Data de referência</t>
  </si>
  <si>
    <t>Duvidas/comentários</t>
  </si>
  <si>
    <t>Query</t>
  </si>
  <si>
    <t>INSTRMNT</t>
  </si>
  <si>
    <t>Completude</t>
  </si>
  <si>
    <t>Validar se o número de MISS e N/A</t>
  </si>
  <si>
    <t xml:space="preserve">
SELECT rwa_mthd, a.NUM_REGISTOS, a.NUM_REGISTOS/b.NUM_REGISTOS*100 as Perc
from
(SELECT rwa_mthd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rwa_mthd in ('99999999999', '11111111111')</t>
  </si>
  <si>
    <t>Desenvolvimento</t>
  </si>
  <si>
    <t>Validar alteração de formato de 11111111.00 para 11111111</t>
  </si>
  <si>
    <t>SELECT count(*), rwa_mthd
FROM cd_loan_tapes_bce.lt002_instrument
WHERE 1=1 
  AND REF_DATE='${date}'
  AND NOME_PERIMETRO='Individual Corporativo'
  AND AMBITO = 'PM'
  AND SEGMENTO = 'ESTR'
GROUP BY 2 ORDER BY 1</t>
  </si>
  <si>
    <t xml:space="preserve">Validar condição de N/A sempre que não existe de consumo de capital </t>
  </si>
  <si>
    <t>SELECT DISTINCT 
                EAD,
                RWA,
                rwa_mthd,
                VAL
FROM  
(SELECT DISTINCT INSTRMNT_ID,
                EAD,
                RWA,
                rwa_mthd
FROM cd_loan_tapes_bce.LT002_INSTRUMENT
WHERE REF_DATE='${date}'
  AND NOME_PERIMETRO='Individual Corporativo'
  AND AMBITO = 'PM')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VAL=0</t>
  </si>
  <si>
    <t>Controlos</t>
  </si>
  <si>
    <t>If "RWA" is populated other than default values, then "RWA calculation method" cannot be 'Not applicable'</t>
  </si>
  <si>
    <t>SELECT instrmnt_id, ead, rwa, rwa_mthd
FROM cd_loan_tapes_bce.lt002_instrument
WHERE 1=1 
  AND REF_DATE='${date}'
  AND NOME_PERIMETRO='Individual Corporativo'
  AND AMBITO = 'PM'
  AND SEGMENTO = 'ESTR'
 AND rwa NOT IN (99999999999.00, 11111111111.00)
  and rwa_mthd = 11111111111</t>
  </si>
  <si>
    <t>If "RWA" is populated with 'Not applicable', then "RWA calculation method" must be a default value</t>
  </si>
  <si>
    <t>SELECT instrmnt_id, ead, rwa, rwa_mthd
FROM cd_loan_tapes_bce.lt002_instrument
WHERE 1=1 
  AND REF_DATE='${date}'
  AND NOME_PERIMETRO='Individual Corporativo'
  AND AMBITO = 'PM'
  AND SEGMENTO = 'ESTR'
 AND rwa = 11111111111.00
  and rwa_mthd &lt;&gt; 11111111111</t>
  </si>
  <si>
    <t>Validar se o campo está de acordo com a Codelist</t>
  </si>
  <si>
    <t>SELECT rwa, a.NUM_REGISTOS, a.NUM_REGISTOS/b.NUM_REGISTOS*100 as Perc
from
(SELECT rwa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 in (99999999999, 11111111111)</t>
  </si>
  <si>
    <t>Validar formatos</t>
  </si>
  <si>
    <t>SELECT count(*), rwa 
FROM cd_loan_tapes_bce.lt002_instrument
WHERE 1=1 
  AND REF_DATE='${date}'
  AND NOME_PERIMETRO='Individual Corporativo'
  AND AMBITO = 'PM'
  AND SEGMENTO = 'ESTR'
GROUP BY 2 ORDER BY 1</t>
  </si>
  <si>
    <t>Validar se não existem valores negativos</t>
  </si>
  <si>
    <t>1 Contrato com valores negativos</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</si>
  <si>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RWA &lt; 0</t>
  </si>
  <si>
    <t>Teste contra a fonte</t>
  </si>
  <si>
    <t>A fonte (CT013) tem um valor muito superior, porque existem várias chaves FR para uma chave BDR</t>
  </si>
  <si>
    <t>SELECT DISTINCT
                INSTRMNT_ID,
                S1EMP,
                CONTRA1,
                EAD,
                RWA,
                rwa_final,
                ead_final_bruta
FROM  
(SELECT DISTINCT INSTRMNT_ID,
                CCF,
                dflt_stts_instrmnt,
                DPD,
                EAD,
                LGD,
                pd_crr_incptn,
                pd_crr_rd,
                pd_crr_rd_t1,
                RWA,
                rwa_mthd,
                spcltv_lndng,
                crrltn_cffcnt
FROM cd_loan_tapes_bce.LT002_INSTRUMENT
WHERE REF_DATE='${date}'
  AND NOME_PERIMETRO='Individual Corporativo'
  AND AMBITO = 'PM'  
--   AND instrmnt_id = '31000347000690020000000000000000'
) LT002
INNER JOIN
(SELECT CHAVE_FR, KT.S1EMP, KT.CONTRA1, SUM(flag_cons_cap) AS VAL, SUM(RWA_FINAL) AS RWA_FINAL, SUM(ead_final_bruta) AS ead_final_bruta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WHERE CHAVE_FR = '31005122428280011667450200000001' OR concat(S1EMP,CONTRA1) = '1814008684'
) KT
INNER JOIN
(SELECT CT013.* FROM
(SELECT          REF_DATE,
                 id_capital_perimetros,
                 s1emp,
                 contra1,
                 flag_cons_cap,
                 rwa_final,
                 ead_final_bruta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1,2,3
) X
on CHAVE_FR = INSTRMNT_ID</t>
  </si>
  <si>
    <t>Verificar saldo de capital</t>
  </si>
  <si>
    <t>SELECT LT002.instrmnt_id, RWA, EAD, CONCAT(LT001.cempresa,LT001.cbalcao,LT001.cnumecta,LT001.zdeposit) AS CHAVE_FR, NVL(SUM(LT001.msaldo_final),0) AS Saldo_Capital
FROM
(SELECT cempresa, cbalcao, cnumecta, zdeposit, ccontab_final_cargabal, msaldo_final
FROM cd_loan_tapes_bce.lt001_univ_oper
WHERE  REF_DATE = '${date}'
AND NOME_PERIMETRO='Individual Corporativo'
AND AMBITO = 'PM'
) LT001
INNER JOIN
(SELECT *
FROM cd_loan_tapes_bce.kt_chaves_lt
WHERE  REF_DATE = '${date}'
AND NOME_PERIMETRO='Individual Corporativo'
AND AMBITO = 'PM'
AND segmento = 'ESTR') KT_LT
ON CONCAT(LT001.cempresa,LT001.cbalcao,LT001.cnumecta,LT001.zdeposit) = CONCAT(KT_LT.cempresa,KT_LT.cbalcao,KT_LT.cnumecta,KT_LT.zdeposit)
INNER JOIN
(SELECT instrmnt_id, rwa, ead
FROM cd_loan_tapes_bce.lt002_instrument
WHERE  REF_DATE = '${date}'
AND NOME_PERIMETRO='Individual Corporativo'
AND AMBITO = 'PM'
AND segmento ='ESTR'
AND instrmnt_id in (
'310051224282800116674502P0080001',
'310051224282800116674502P0070001',
'310051224282800116674502P0060001',
'31005122428280011667450200000001',
'310051224282800116674502P0100001',
'310051224282800116674502P0110001',
'310051224282800116674502P0020001',
'310051224282800116674502P0010001',
'310051224282800116674502P0030001',
'310051224282800116674502P0090001'
)
) LT002
ON KT_LT.INSTRMNT_ID = LT002.INSTRMNT_ID
LEFT JOIN
(SELECT *
FROM cd_captools.fr802_pl_contas
WHERE 1=1 
    AND REF_DATE = '${date}'
    AND cod_plano = 'CARGABAL'
    AND ((tipo_conta IN ('A','P') AND carteira_contabilistica not in('provisoes para compromissos e garantias concedidas', 'outras provisoes') AND composicao_valor &lt;&gt; 'imparidade acumulada' AND bruto_imparidade &lt;&gt; 'imparidade')
OR (tipo_conta IN ('EA','EP','M')))
) FR802
ON FR802.CONTA = LT001.ccontab_final_cargabal
LEFT JOIN
(SELECT *
FROM cd_captools.ct805_matriz_cnt
WHERE 1=1 
    AND REF_DATE = '${date}'
    AND DOMINIO = 'Capital'
    AND NOME_PERIMETRO = 'Individual Corporativo'
) CT805
ON FR802.CONTA = CT805.CONTA
GROUP BY 1,2,3,4</t>
  </si>
  <si>
    <t xml:space="preserve">
SELECT ead, a.NUM_REGISTOS, a.NUM_REGISTOS/b.NUM_REGISTOS*100 as Perc
from
(SELECT ead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ead in (99999999999, 11111111111)</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</si>
  <si>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EAD &lt; 0</t>
  </si>
  <si>
    <t>PRTCTN</t>
  </si>
  <si>
    <t>Default values</t>
  </si>
  <si>
    <t>Validar que os MISS e NA estão de acordo com a especificação</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</si>
  <si>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</si>
  <si>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Validar se campo está de acordo com o especificado</t>
  </si>
  <si>
    <t>SELECT count(*)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valor_it &lt;&gt; valor_simulado</t>
  </si>
  <si>
    <t>Verificar se o campo está de acordo com a Codelist</t>
  </si>
  <si>
    <t>SELECT prm_lctn,
    COUNT(*)
FROM cd_loan_tapes_bce.lt004_protection
WHERE ref_date='${date}'
    AND nome_perimetro='Individual Corporativo'
    AND segmento='ESTR'
    AND ambito='PM'
GROUP BY prm_lctn</t>
  </si>
  <si>
    <t>If "Protection type" does not equal '8 - Residential real estate collateral' nor '9 - Offices and commercial premises' nor '10 - Commercial real estate collateral' then "Prime location according to bank-internal definition  (Y/N)" must be populated with default values</t>
  </si>
  <si>
    <t>Existem 13 casos com TYP_PRTCTN a MISS. Voltar a testar quando TYP_PRTCTN estiver concluído</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</si>
  <si>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NOT IN ('8','9','10')
    AND VALOR_SIMULADO &lt;&gt; 'N/A'</t>
  </si>
  <si>
    <t>If "Protection type" equals '8 - Residential real estate collateral' or '9 - Offices and commercial premises' or '10 - Commercial real estate collateral' then "Prime location according to bank-internal definition  (Y/N)" cannot be 'Not applicable'</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</si>
  <si>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IN ('8','9','10')
    AND VALOR_SIMULADO ='N/A'</t>
  </si>
  <si>
    <t>Campo com valor 0 para os restantes contratos que não estão marcados com valores default</t>
  </si>
  <si>
    <t>SELECT off_blnc_sht_amnt_instrmnt_prvs, count(*)
FROM cd_loan_tapes_bce.lt002_instrument
WHERE 1=1 
  AND REF_DATE='${date}'
  AND NOME_PERIMETRO='Individual Corporativo'
  AND AMBITO = 'PM'
  AND SEGMENTO = 'ESTR'
  AND off_blnc_sht_amnt_instrmnt_prvs NOT IN(11111111111.00,99999999999.00)
GROUP BY 1</t>
  </si>
  <si>
    <t>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AND valor_simulado &lt;&gt; valor_lt</t>
  </si>
  <si>
    <t>SELECT prtctn_id, dt_lst_fll_apprsl
FROM cd_loan_tapes_bce.lt004_protection 
WHERE ref_date='${date}' 
    AND nome_perimetro='Individual Corporativo' 
    AND segmento='ESTR' 
    AND ambito='PM'
    AND prtctn_id LIKE 'P%' 
    -- AND prtctn_id LIKE 'F%' 
    AND dt_lst_fll_apprsl &lt;&gt; '1111-11-11'</t>
  </si>
  <si>
    <t>Date of last full appraisal must be later than 01 January 1970</t>
  </si>
  <si>
    <t>SELECT DISTINCT dt_lst_fll_apprsl
FROM cd_loan_tapes_bce.lt004_protection 
WHERE ref_date='${date}' 
    AND nome_perimetro='Individual Corporativo' 
    AND segmento='ESTR' 
    AND ambito='PM'
    AND dt_lst_fll_apprsl &lt; '1970-01-01'</t>
  </si>
  <si>
    <t>Date of last full appraisal must have a Date format (yyyy-mm-dd)</t>
  </si>
  <si>
    <t xml:space="preserve">SELECT DISTINCT dt_lst_fll_apprsl
FROM cd_loan_tapes_bce.lt004_protection 
WHERE ref_date='${date}' 
    AND nome_perimetro='Individual Corporativo' 
    AND segmento='ESTR' 
    AND ambito='PM'
    AND length(dt_lst_fll_apprsl) &lt;&gt; 10 </t>
  </si>
  <si>
    <t>"Date of last full appraisal" cannot be later than "Reference date"</t>
  </si>
  <si>
    <t xml:space="preserve">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 AND valor_simulado &lt;&gt; valor_lt
    -- AND valor_simulado &gt;= dt_orgnl_prtctn_vl
    AND valor_simulado &gt; '${date}'
-- GROUP BY 1,2,3,4
</t>
  </si>
  <si>
    <t>"Date of last full appraisal" must be greater or equal to the "Date of the appraisal previous to the most recent one available, i.e. previous to the last full appraisal (field DT_LST_FLL_APPRSL)."
If DT_LST_FLL_APPRSL and DT_APPRSL_PRVS are populated other than default values, then DT_LST_FLL_APPRSL &gt;= DT_APPRSL_PRVS</t>
  </si>
  <si>
    <t>Simular especificação</t>
  </si>
  <si>
    <t>SELECT 
CASE WHEN TYP_INSTRMNT NOT IN ('71','80','1001','1002','1004','2001') THEN '11111111111' 
     WHEN LT06.INSTRMNT_ID IS NULL THEN '11111111111' 
     WHEN LT06.INSTRMNT_ID IS NOT NULL AND imov&gt;0 THEN '1' 
     WHEN LT06.INSTRMNT_ID IS NOT NULL AND imov=0 THEN '5' 
     END AS TYP_MRTGG_Simulado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t>
  </si>
  <si>
    <t>If "Type of instrument" is different from '71 - Trade receivables', '80- Finance leases',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or '2001 - Guarantees' then "Type of mortgage" has to be populated with default values</t>
  </si>
  <si>
    <t xml:space="preserve">1027 contratos que possuem uma garantia </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</si>
  <si>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t>
  </si>
  <si>
    <t>If "Protection type" equals '8 - Residential real estate collateral' or '9 - Offices and commercial premises' or '10 - Commercial real estate collateral', then "Type of mortgage" cannot be 'Not applicable'</t>
  </si>
  <si>
    <t>46 Contratos descobertos com proteções imóveis associadas</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</si>
  <si>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TYP_PRTCTN IN ('8','9','10')</t>
  </si>
  <si>
    <t>Número de casos com incidência</t>
  </si>
  <si>
    <t>SELECT count(*) FROM 
(SELECT DISTINCT LT02.instrmnt_id AS instrmnt_id_LT02,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 AND TYP_INSTRMNT NOT IN ('71','80','1001','1002','1004','2001')
    AND TYP_PRTCTN IN ('8','9','10')
)X
WHERE 1=1  
    AND TYP_MRTGG_Simulado = '11111111111'
    AND TYP_INSTRMNT = '20'</t>
  </si>
  <si>
    <t xml:space="preserve">SELECT count(*), count(DISTINCT instrmnt_id_LT02) FROM 
(SELECT DISTINCT LT02.instrmnt_id AS instrmnt_id_LT02, LT06.instrmnt_id, LT06.prtctn_id,
CASE
--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
    and LT06.prtctn_id is not null 
    -- AND TYP_PRTCTN IN ('8','9','10')
)X
-- ORDER BY TYP_MRTGG_Simulado DESC
-- WHERE 1=1  
--     AND TYP_MRTGG_Simulado = '11111111111'
--     AND TYP_INSTRMNT = '20'
</t>
  </si>
  <si>
    <t>"Significant increase in credit risk assessment approach" should match the information on the Codelist</t>
  </si>
  <si>
    <t>SELECT count(*), sicr_assssmnt_mthd, imprmnt_stts
FROM cd_loan_tapes_bce.lt002_instrument
WHERE ref_date='2024-05-31'  
      AND nome_perimetro='Individual Corporativo'  
      AND segmento='ESTR'  
      AND ambito='PM' 
GROUP BY 2, 3</t>
  </si>
  <si>
    <t>If "Impairment status" equals '23 - Stage1' or  '24 - Stage 2' then "Significant increase in credit risk assessment approach" cannot be 'Not applicable'</t>
  </si>
  <si>
    <t>If "Impairment status" is not equal  '23 - Stage1' nor '24 - Stage 2' then "Significant increase in credit risk assessment approach" must be 'Not applicable'</t>
  </si>
  <si>
    <t xml:space="preserve">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</si>
  <si>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"Protection type" should match the information on the Codelist</t>
  </si>
  <si>
    <t xml:space="preserve">SELECT DISTINCT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</si>
  <si>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If "Type of protection received, irrespective of its eligibility for credit risk mitigation according to bank-internal classification" is informed other than default values, then "Protection type" has to be informed other than default values</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</si>
  <si>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&lt;&gt; 'N/A'
 AND TYP_PRTCTN = '11111111111'</t>
  </si>
  <si>
    <t>If "Type of protection received, irrespective of its eligibility for credit risk mitigation according to bank-internal classification" is populated with 'Not Applicable' values then "Protection type" has to be informed with default values</t>
  </si>
  <si>
    <t>Não exitem casos em que TYP_PRTCTN_INTRNL = N/A</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</si>
  <si>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 'N/A'
 AND TYP_PRTCTN &lt;&gt; '11111111111'</t>
  </si>
  <si>
    <t>If "Type of protection value" is set as '1 - Fair value' then "Protection type" has to be set as '3 - Other physical collaterals', '7 - Other protection', '13 - Gold' or '18 - Equity and investment funds shares'</t>
  </si>
  <si>
    <t>2291 Casos</t>
  </si>
  <si>
    <t xml:space="preserve">
SELECT  count(*)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t>
  </si>
  <si>
    <t>Identificar casuistica da incidência</t>
  </si>
  <si>
    <t>2262 garantias financeiras que não são derivados de crédito, 28 securities, 1 MISS</t>
  </si>
  <si>
    <t xml:space="preserve">
SELECT  count(*), typ_prtctn_vl,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
group by 2,3</t>
  </si>
  <si>
    <t>If "Type of protection value" is set as '2 - Long-term sustainable value' or '3 - Market value' then "Protection type" has to be set as '8 - Residential real estate collateral', '9 - Offices and commercial premises' or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</si>
  <si>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IN ('2','3')
    AND TYP_PRTCTN NOT IN ('8','9','10')</t>
  </si>
  <si>
    <t>"Previous appraisal date" must have a Date format (yyyy-mm-dd)</t>
  </si>
  <si>
    <t>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substring(valor_simulado,5,1) &lt;&gt; '-' or substring(valor_simulado,8,1) &lt;&gt; '-'
    -- AND valor_simulado = '9999-99-99'
    -- AND valor_simulado = '0001-01-01'
    -- AND length(valor_simulado) &lt;&gt; 10</t>
  </si>
  <si>
    <t>"Previous appraisal date" must be later than 01 January 1970</t>
  </si>
  <si>
    <t>2 casos com datas ambiguas (anos 1008 e 0201)</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</si>
  <si>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'1970-01-01'
     AND valor_simulado NOT IN ('1111-11-11', '0000-00-00')</t>
  </si>
  <si>
    <t>"Previous appraisal date" cannot be later than "Reference date"</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</si>
  <si>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'2024-05-31'</t>
  </si>
  <si>
    <t>"Previous appraisal date" cannot be earlier than "Date of original protection value"</t>
  </si>
  <si>
    <t>Campo DT_ORGNL_PRTCN_VL com incidência</t>
  </si>
  <si>
    <t>SELECT *
FROM
(SELECT  LT004.prtctn_id, DT_ORGNL_PRTCTN_VL,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DT_ORGNL_PRTCTN_VL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DT_ORGNL_PRTCTN_VL
;</t>
  </si>
  <si>
    <t>"Previous appraisal date" cannot be later than "Date of protection value</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</si>
  <si>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DT_PRTCTN_VL
     AND valor_simulado NOT IN ('1111-11-11','0000-00-00')</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</si>
  <si>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</si>
  <si>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prtctn_id LIKE 'P%'
     AND valor_simulado &lt;&gt; '1111-11-11' </t>
  </si>
  <si>
    <t>"Impairment status" should match the information on the Codelist</t>
  </si>
  <si>
    <t>SELECT count(*), imprmnt_stts
FROM cd_loan_tapes_bce.lt002_instrument
WHERE ref_date='${date}'  AND nome_perimetro='Individual Corporativo'  AND segmento='ESTR'  AND ambito='PM'
GROUP BY 2</t>
  </si>
  <si>
    <t>"Impairment status" can only be '23 - Stage 1 (IFRS)' or '24 - Stage 2 (IFRS)' or '25 - Stage 3 (IFRS)' or default values(Since Santander Group is IFRS compliance and do not apply General Accounting Accepted Principles (GAAP) on a consolidated basis)</t>
  </si>
  <si>
    <t xml:space="preserve">if "Days past due at reference date" is between 30 and 90 days and "Subportfolio ID" is not classified as 'VRPL - FV with changes in PL' then "Impairment status" must be '24 - Stage 2 (IFRS)' or '25 - Stage 3 (IFRS)' </t>
  </si>
  <si>
    <t>5 contratos com em stage 1</t>
  </si>
  <si>
    <t>SELECT instrmnt_id, imprmnt_stts, dpd, subportfolio_id
FROM cd_loan_tapes_bce.lt002_instrument
WHERE ref_date='${date}'  AND nome_perimetro='Individual Corporativo'  AND segmento='ESTR'  AND ambito='PM'
      AND subportfolio_id &lt;&gt; 'VRPL'
      AND DPD &gt; 30
      AND DPD &lt; 90
      AND imprmnt_stts NOT IN ('24', '25')</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</si>
  <si>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</si>
  <si>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2561 casos em default marcados com stage 1 ou 2</t>
  </si>
  <si>
    <t>SELECT count(*), imprmnt_stts, dflt_stts_instrmnt
    FROM cd_loan_tapes_bce.lt002_instrument
    WHERE ref_date='${date}'  AND nome_perimetro='Individual Corporativo'  AND segmento='ESTR'  AND ambito='PM'
          AND subportfolio_id &lt;&gt; 'VRPL'
          AND dflt_stts_instrmnt IN ('18','19','20')
          AND imprmnt_stts &lt;&gt; '25'
GROUP BY 2,3 ORDER BY 1 DESC</t>
  </si>
  <si>
    <t>if "Default status of the instrument" is set as '14 - Not in default'  and "Subportfolio ID" is not classified as 'VRPL - FV with changes in PL' then "Impairment status" cannot be 25 - Stage 3 (IFRS)'</t>
  </si>
  <si>
    <t>4198 contratos que não estão em default e estaão marcados como stage 3.</t>
  </si>
  <si>
    <t>SELECT count(*), imprmnt_stts, dflt_stts_instrmnt
    FROM cd_loan_tapes_bce.lt002_instrument
    WHERE ref_date='${date}'  AND nome_perimetro='Individual Corporativo'  AND segmento='ESTR'  AND ambito='PM'
          AND subportfolio_id &lt;&gt; 'VRPL'
          AND dflt_stts_instrmnt = '14'
          AND imprmnt_stts = '25'
GROUP BY 2,3 ORDER BY 1 DESC</t>
  </si>
  <si>
    <t>if "Performing status" is '11 - Performing' and "Subportfolio ID" is not classified as 'VRPL - FV with changes in PL' then "Impairment status" cannot be '25 - Stage 3 (IFRS)'</t>
  </si>
  <si>
    <t>SELECT count(*), imprmnt_stts, prfrmng_stts
    FROM cd_loan_tapes_bce.lt002_instrument
    WHERE ref_date='${date}'  AND nome_perimetro='Individual Corporativo'  AND segmento='ESTR'  AND ambito='PM'
          AND subportfolio_id &lt;&gt; 'VRPL'
          AND prfrmng_stts = '11'
          AND imprmnt_stts = '25'
GROUP BY 2,3 ORDER BY 1 DESC</t>
  </si>
  <si>
    <t>If "Type of protection value" is set as '4 - Notional amount' then "Protection type" has to be set as '2 - Life insurance policies pledged', '4 - Credit derivatives', '5 - Financial guarantees other than credit derivatives', '12 - Securities', '15 - Currency and deposits', '16 - Loans', '17 - Trade receivables' or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</si>
  <si>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'4'
    AND TYP_PRTCTN NOT IN ('2','4','5', '12','15','16','17','7')</t>
  </si>
  <si>
    <t>If "Type of protection value" is set as '5 - Types of protection values other than notional amount, market value, fair value or long-term sustainable value' then "Protection type" cannot be 'Not applicable'</t>
  </si>
  <si>
    <t>Não existem casos em que TYP_PRTCTN = 5</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</si>
  <si>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'5'</t>
  </si>
  <si>
    <t>If "Type of protection value" equals 'Not applicable', then "Protection type" should equal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</si>
  <si>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'11111111111'
    AND TYP_PRTCTN &lt;&gt; '7'</t>
  </si>
  <si>
    <t>If "Previous appraisal date" is populated other than default values then "Protection type" has to be set as '8 - Residential real estate collateral', '9 - Offices and commercial premises' or '10 - Commercial real estate collateral'</t>
  </si>
  <si>
    <t xml:space="preserve">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TYP_PRTCTN NOT IN ('8','9','10')    
   </t>
  </si>
  <si>
    <t>If "Currency of annual income and expenses" is populated other than default values then "Protection type" has to be set as '10 - Commercial real estate collateral' or '9 - Offices and commercial premises'</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</si>
  <si>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
;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t>
  </si>
  <si>
    <t>If "Provider of latest valuation (appraiser)" is populated other than default values then "Protection type" has to be set as '8 - Residential real estate collateral', '9 - Offices and commercial premises',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</si>
  <si>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APPRSR NOT IN ('N/A', 'MISS')
AND TYP_PRTCTN NOT IN ('8','9','10')
</t>
  </si>
  <si>
    <t>If "Date of last full appraisal" is populated other than default values then "Protection type" has to be set as '8 - Residential real estate collateral', '9 - Offices and commercial premises' or '10 - Commercial real estate collateral'</t>
  </si>
  <si>
    <t xml:space="preserve">SELECT * FROM
(
--- GARANTIAS IMÓVEIS
SELECT prtctn_id, typ_prtctn_vl, CASE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ELSE '99999999999'
END as TYP_PRTCTN
FROM
(SELECT prtctn_id, typ_prtctn_vl
FROM cd_loan_tapes_bce.lt004_protection
WHERE 1=1 
AND ambito = 'PM'
AND segmento = 'ESTR'
AND ref_date = '${date}'
AND nome_perimetro = 'Individual Corporativo'
AND prtctn_id LIKE 'I%') LT004
LEFT JOIN
(SELECT cgarant_bem, ckbalbem, ckctabem, ckrefbem
FROM cd_garantias.gt009_bens_imov
WHERE ref_date = '${date}') GT009
ON prtctn_id = concat('I_',GT009.ckbalbem,'_',GT009.ckctabem,'_',GT009.ckrefbem)
UNION ALL
---- GARANTIAS FINANCEIRAS
SELECT prtctn_id, typ_prtctn_vl, CASE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ELSE '99999999999'
END as TYP_PRTCTN
FROM
(SELECT prtctn_id, typ_prtctn_vl
FROM cd_loan_tapes_bce.lt004_protection
WHERE 1=1 
AND ambito = 'PM'
AND segmento = 'ESTR'
AND ref_date = '${date}'
AND nome_perimetro = 'Individual Corporativo'
AND prtctn_id LIKE 'F%') LT004
LEFT JOIN
(SELECT cgarant_bem, ckbalbem, ckctabem, ckrefbem
FROM cd_garantias.gt004_bens_fin
WHERE ref_date = '${date}') GT004
ON prtctn_id = concat('F_',GT004.ckbalbem,'_',GT004.ckctabem,'_',GT004.ckrefbem)
UNION ALL
--- GARANTIAS PESSOAIS
SELECT DISTINCT prtctn_id, typ_prtctn_vl, CASE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typ_prtctn_vl
FROM cd_loan_tapes_bce.lt004_protection
WHERE 1=1 
AND ambito = 'PM'
AND segmento = 'ESTR'
AND ref_date = '${date}'
AND nome_perimetro = 'Individual Corporativo'
AND prtctn_id LIKE 'P%') LT004
LEFT JOIN
(SELECT DISTINCT cgarant_rpt, ckbalbem, ckctabem, ckrefbem
FROM cd_garantias.gt007_trz_gt_pes
WHERE ref_date = '${date}') GT007
ON prtctn_id = concat('P_',GT007.ckbalbem,'_',GT007.ckctabem,'_',GT007.ckrefbem)
) A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1=1 
    AND valor_simulado &lt;&gt; '1111-11-11'
    AND TYP_PRTCTN NOT IN ('8','9','10')
</t>
  </si>
  <si>
    <t>If "Type protection value is a public guarantee scheme in response to the COVID19 situation" is equal to 'Y' then "Protection type" has to be set as '7 - Other protection'</t>
  </si>
  <si>
    <t xml:space="preserve">Foram eliminados os campos relacionados com Covid 19 </t>
  </si>
  <si>
    <t xml:space="preserve">If "Flag first home" is set as 'Y - Yes' then "Protection Type" must be '8 - Residential real estate collateral', '9- Offices and commercial premises' or '10 - Commercial real estate collateral' </t>
  </si>
  <si>
    <t>Campo novo, ainda não especificado (FLG_FRST_HM)</t>
  </si>
  <si>
    <t>If "Flag Acute Physical Risk at protection level" is set as 'Y - Yes' then "Protection Type" must be '8 - Residential real estate collateral', '9- Offices and commercial premises' or '10 - Commercial real estate collateral'</t>
  </si>
  <si>
    <t>FLG_ACT_PHYSCL_RSK campo todo a NULL</t>
  </si>
  <si>
    <t>If "Loans Collateralized Classification" is set as 'FMC2 - Real Estate. Residential' then at least one PROTECTION_ID linked to INSTRUMENT_ID "Protection Type" must be '8 - Residential real estate collateral'</t>
  </si>
  <si>
    <t>LNS_CLLTRLZD_CLSSFCTN campo todo a NULL</t>
  </si>
  <si>
    <t>If "Loans Collateralized Classification" is set as 'FMC1 - Real Estate. Commercial' then at least one PROTECTION_ID linked to INSTRUMENT_ID "Protection Type" must be '9 - Offices and commercial premises' or '10 - Commercial real estate collateral'</t>
  </si>
  <si>
    <t xml:space="preserve">If "Loans Collateralized Classification" is set as 'FMC3 - Other Real Collateral' then at least one PROTECTION_ID linked to INSTRUMENT_ID "Protection Type" must be populated with other than default values, '8 - Residential Real Estate Collateral', '9 - Offices and Commercial Premises', '10 - Commercial Real Estate Collateral' and cannot be a "personal guarantee" (We consider "personal guarantee" when "Protection ID" matches the "Protection Provider ID" (Guarantor) or "Tax ID" (Protection level) is populated other than default value and the "Protection type" equals '7 - Other protection')     </t>
  </si>
  <si>
    <t xml:space="preserve">Validar incidência </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</si>
  <si>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 '0001-01-01'</t>
  </si>
  <si>
    <t>"Date of protection value" must have a Date format (yyyy-mm-dd)</t>
  </si>
  <si>
    <t>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substring(DT_PRTCTN_VL_SIMULADO,5,1) &lt;&gt; '-' or substring(DT_PRTCTN_VL_SIMULADO,8,1) &lt;&gt; '-'
    -- AND length(DT_PRTCTN_VL_SIMULADO) &lt;&gt; 10
    -- AND DT_PRTCTN_VL_SIMULADO = '9999-99-99'</t>
  </si>
  <si>
    <t>"Date of protection value" must be later than 01 January 1970</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</si>
  <si>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NOT IN ('1111-11-11','0000-00-00')</t>
  </si>
  <si>
    <t>In the case of protection items which are valued at their notional amount, the date of protection value is the reporting reference date.</t>
  </si>
  <si>
    <t>Com a alteração da fonte, os 2416 Casos NOK ficam OK</t>
  </si>
  <si>
    <t>Select *
FROM
(SELECT prtctn_id, TYP_PRTCTN_VL,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1,2,3 
) A
WHERE 1=1 
    AND TYP_PRTCTN_VL = '4'
    AND DT_PRTCTN_VL_SIMULADO &lt;&gt; '2024-05-31'</t>
  </si>
  <si>
    <t>"Date of protection value" cannot be later than "Reference date"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</si>
  <si>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&gt; '2024-05-31'</t>
  </si>
  <si>
    <t>"Date of protection value" must be later or equal than "Date of last full appraisal"</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</si>
  <si>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DT_LST_FLL_APPRSL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A.DT_PRTCTN_VL_SIMULADO &lt; valor_simulado</t>
  </si>
  <si>
    <t>If "Previous appraisal date" is other than default values, then "Date of protection value" cannot be 'Not applicable'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</si>
  <si>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DT_APPRSL_PRVS -----------------------
(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DT_PRTCTN_VL_SIMULADO = '1111-11-11'</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</si>
  <si>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&lt;&gt; Prtctn_vl</t>
  </si>
  <si>
    <t>"Appraised market value" should have a Format numeric (2 decimal places)</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</si>
  <si>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cast(valor_simulado as VARCHAR) NOT LIKE '%.__'</t>
  </si>
  <si>
    <t>"Appraised market value" shall be larger or equal to 0; Negative values trigger attention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</si>
  <si>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 0</t>
  </si>
  <si>
    <t>The amount of "Appraised market value" must be greater or equal than the amount of "Protection allocated value"</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</si>
  <si>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prtctn_allctd_vl
From cd_loan_tapes_bce.lt006_instr_prot
WHERE segmento = 'ESTR'
AND nome_perimetro ='Individual Corporativo'
AND ref_date='${date}'
AND AMBITO = 'PM') lt006
ON A.prtctn_id=lt006.prtctn_id
Where valor_simulado &lt; prtctn_allctd_vl</t>
  </si>
  <si>
    <t>If "Date of protection value" is other than 'Not applicable', then "Appraised market value" cannot be 'Not applicable' or zero</t>
  </si>
  <si>
    <t>44 garantias em DT_PRTCTN_VL não é N/A e PRTCTN_VL é zero.</t>
  </si>
  <si>
    <t>Select *
FROM
(SELECT prtctn_id, sum(mavaliaa) as valor_simulado, prtctn_vl, DT_PRTCTN_VL, CASE
    WHEN prtctn_id LIKE 'P%' THEN '1111-11-11'
    ELSE soma_dtrcaval
    END AS DT_PRTCTN_VL_SIMULADO
FROM
(Select *
From cd_loan_tapes_bce.lt004_protection
WHERE segmento = 'ESTR'
AND nome_perimetro ='Individual Corporativo'
AND ref_date='${date}'
AND AMBITO = 'PM') lt004
Left join
(Select ckbalbem, ckctabem, ckrefbem, mavaliaa, tipologia, max(dtrcaval) as soma_dtrcaval
From cd_garantias.gt018_rateio_aval
Where ref_date='${date}'
GROUP BY 1,2,3,4,5 ) gt018
ON prtctn_id = concat(substr(TIPOLOGIA,1,1),'_',ckbalbem,'_',ckctabem,'_',ckrefbem)
GROUP BY prtctn_id, prtctn_vl, DT_PRTCTN_VL, DT_PRTCTN_VL_SIMULADO
) A
WHERE 1=1 
    AND DT_PRTCTN_VL_SIMULADO &lt;&gt; '1111-11-11'
    AND valor_simulado in (11111111111,0)</t>
  </si>
  <si>
    <t>The amount of "Appraised market value" must be greater or equal than the sum of amount of "Protection allocated value" of all the instruments that share the same protection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</si>
  <si>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sum(prtctn_allctd_vl) as prtctn_allctd_vl
From cd_loan_tapes_bce.lt006_instr_prot
WHERE segmento = 'ESTR'
AND nome_perimetro ='Individual Corporativo'
AND ref_date='${date}'
AND AMBITO = 'PM'
GROUP BY 1
) lt006
ON A.prtctn_id=lt006.prtctn_id
Where valor_simulado &lt; prtctn_allctd_vl</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</si>
  <si>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</si>
  <si>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prtctn_id like 'P%'
And valor_simulado = 11111111111</t>
  </si>
  <si>
    <t>Incidência</t>
  </si>
  <si>
    <t>181 casos com aspas</t>
  </si>
  <si>
    <t>SELECT count(*)
FROM cd_loan_tapes_bce.lt004_protection  
WHERE 1=1 
AND ambito = 'PM' 
AND segmento = 'ESTR' 
AND ref_date = '2024-05-31'
AND nome_perimetro = 'Individual Corporativo'
AND ntnl_id LIKE '%"%'
-- AND ntnl_id LIKE '%F%'</t>
  </si>
  <si>
    <t>"Behavioural maturity" should have a Format numeric (0 decimal places)</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</si>
  <si>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cast(IFRS9_BHVRL_MTRTY_Simulado as VARCHAR) LIKE '%.'</t>
  </si>
  <si>
    <t>"Behavioural maturity" shall be larger or equal to 0 and less than 960; Negative values trigger attention</t>
  </si>
  <si>
    <t>Dois casos em que a Maturidade é superior a 960 meses (1000 e 2162)</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</si>
  <si>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(IFRS9_BHVRL_MTRTY_Simulado &gt; 960
OR IFRS9_BHVRL_MTRTY_Simulado &lt; 0)
AND IFRS9_BHVRL_MTRTY_Simulado &lt;&gt; 11111111111</t>
  </si>
  <si>
    <t>"National reference of the property" should be a Char not null</t>
  </si>
  <si>
    <t>Controlo feito em Hive</t>
  </si>
  <si>
    <t xml:space="preserve">Select*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Where ntnl_id_simulacao Is NULL
</t>
  </si>
  <si>
    <t>Duplicates by "National reference of the property" in PROTECTION table</t>
  </si>
  <si>
    <t>Controlo feito em Hive: 2087 casos duplicados</t>
  </si>
  <si>
    <t>Select count(*)
From
(
Select ntnl_id_simulacao, count (*)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Group by ntnl_id_simulacao
Having Count(*) &gt; 1 
) C</t>
  </si>
  <si>
    <t>"National reference of the property" should have Char format (variable length allowed between 1 and 255 characters)</t>
  </si>
  <si>
    <t>Select *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Where length(ntnl_id_simulacao) &gt;=255</t>
  </si>
  <si>
    <t>If "Protection type" is equal to '8 - Residential real estate collateral', '9 - Offices and commercial premises' or '10 - Commercial real estate collateral', then "National reference of the property" must be populated other than default values.</t>
  </si>
  <si>
    <t>Select B.prtctn_id, TYP_PRTCTN, ntnl_id_simulacao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IN ('8','9','10')
AND ntnl_id_simulacao = 'N/A'</t>
  </si>
  <si>
    <t>If "Protection type" is not equal to '8 - Residential real estate collateral', '9 - Offices and commercial premises' or '10 - Commercial real estate collateral', then "National reference of the property" must be populated with default values.</t>
  </si>
  <si>
    <t xml:space="preserve">Select B.prtctn_id, TYP_PRTCTN, ntnl_id_simulacao
From
(
SELECT 
Case when prtctn_id NOT LIKE 'I%' Then 'N/A'
When prtctn_id Like 'I%' Then ntnl_id_sim
Else 'MISS'
End ntnl_id_simulacao, prtctn_id, ckbalbem, ckctabem, ckrefbem, cdisconf, cartmatr, gficha, gidfracc, gfraccao, codconsv, glote, gnum,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glote, gnum, cpost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NOT IN ('8','9','10')
AND ntnl_id_simulacao &lt;&gt; 'N/A'
</t>
  </si>
  <si>
    <t>"Construction status" should match the information on the Codelist</t>
  </si>
  <si>
    <t>SELECT Count (*), CNSTRCTN_STTS_simulacao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Group by 2
;</t>
  </si>
  <si>
    <t>If "Protection type" is set as  '8 - Residential real estate collateral', '9 - Offices and commercial premises' or '10 - Commercial real estate collateral', then "Construction status" must be populated other than default values</t>
  </si>
  <si>
    <t>SELECT *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Where TYP_PRTCTN IN ('8','9','10')
AND CNSTRCTN_STTS_simulacao = '11111111111'
;</t>
  </si>
  <si>
    <t>If "Development status" is '4 - Constructed and fully operational', then "Construction status" must equal '1 - Built'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</si>
  <si>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'4'
AND CNSTRCTN_STTS_simulacao &lt;&gt; '1'</t>
  </si>
  <si>
    <t>If "Development status" is '2 - In construction and not operational' or '3 - In construction and partially operational', then "Construction status" must equal '2 - In construction'</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</si>
  <si>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in('2', '3')
AND CNSTRCTN_STTS_simulacao &lt;&gt; '2'</t>
  </si>
  <si>
    <t>If "Development status" is '1 - Not in construction', then "Construction status" must equal '3 - Land bank without zoning permit' or '4 - Land bank building permit'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</si>
  <si>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
AND CNSTRCTN_STTS_simulacao NOT IN('3', '4')</t>
  </si>
  <si>
    <t>If "Development status" is 'Not applicable', then "Construction status" must be a default value</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</si>
  <si>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'11111111111'
AND CNSTRCTN_STTS_simulacao &lt;&gt; '11111111111'</t>
  </si>
  <si>
    <t>If "Date of first usage of the building" is later than "Reference date", then "Construction status" should be set as '2 - In construction' or '4 - Land bank building permit'</t>
  </si>
  <si>
    <t>Não existem date of first usage superiores a maio</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</si>
  <si>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&gt; ref_date
AND dt_frst_usg &lt;&gt; '1111-11-11'
AND dt_frst_usg &lt;&gt; '0000-00-00'
AND CNSTRCTN_STTS_simulacao NOT IN ('2','4')</t>
  </si>
  <si>
    <t>If "Date of first usage of the building" is earlier than "Reference date", then "Construction status" should be set as '1 - Built'</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</si>
  <si>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&lt; ref_date
AND dt_frst_usg not in('1111-11-11','0000-00-00')
AND CNSTRCTN_STTS_simulacao &lt;&gt; '1'</t>
  </si>
  <si>
    <t>If "Flag first home" is set as 'Y - Yes' then "Construction status" cannot be 'Not Applicable'</t>
  </si>
  <si>
    <t>Campo FLG_FRST_HM ainda não implementado na LT</t>
  </si>
  <si>
    <t>"Development status" should match the information on the Codelist</t>
  </si>
  <si>
    <t>SELECT Distinct
CASE WHEN prtctn_id NOT LIKE 'I%' THEN '11111111111'
WHEN CNSTRCTN_STTS_simulacao = '1' THEN '4'
WHEN CNSTRCTN_STTS_simulacao = '2' THEN '2'
WHEN CNSTRCTN_STTS_simulacao = '3' THEN '1'
WHEN CNSTRCTN_STTS_simulacao = '4' THEN '1'
ELSE '99999999999'
END AS DVLPMNT_STTS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t>
  </si>
  <si>
    <t>If "Protection type" equals '8 - Residential real estate collateral' or '9 - Offices and commercial premises' or '10 - Commercial real estate collateral' then, "Development status" cannot be 'Not applicable'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</si>
  <si>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IN ('8','9','10')
AND DVLPMNT_STTS_simulacao = '11111111111'
;</t>
  </si>
  <si>
    <t>If "Protection type" is not  '8 - Residential real estate collateral' or '9 - Offices and commercial premises' or '10 - Commercial real estate collateral',  then "Development status" must be default value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</si>
  <si>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NOT IN ('8','9','10')
AND DVLPMNT_STTS_simulacao &lt;&gt; '11111111111'
;</t>
  </si>
  <si>
    <t>"Date of original protection value" must have a Date format (yyyy-mm-dd)</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</si>
  <si>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substring(DT_ORGNL_PRTCTN_VL_SIMULADO,5,1) &lt;&gt; '-' or substring(DT_ORGNL_PRTCTN_VL_SIMULADO,8,1) &lt;&gt; '-'
-- AND DT_ORGNL_PRTCTN_VL_SIMULADO = '1111-11-11'
-- AND DT_ORGNL_PRTCTN_VL_SIMULADO = '0000-00-00'
-- AND length(DT_ORGNL_PRTCTN_VL_SIMULADO) &lt;&gt; 10"</t>
  </si>
  <si>
    <t>"Date of original protection value" must be later than 01 January 1970</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</si>
  <si>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DT_ORGNL_PRTCTN_VL_SIMULADO &lt; '1970-01-01'
AND DT_ORGNL_PRTCTN_VL_SIMULADO NOT IN ('1111-11-11','0000-00-00')</t>
  </si>
  <si>
    <t>"Date of original protection value" must be lower or equal to "Date of protection value"</t>
  </si>
  <si>
    <t>Controlo feito com simulação do DT_PRTCTN_VL</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</si>
  <si>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prtctn_id_lt004, 
        CASE
        WHEN prtctn_id_lt004 LIKE 'P%' THEN '1111-11-11'
        ELSE max(dtrcaval)
        END AS valor_simulado
        FROM
        (Select prtctn_id as prtctn_id_lt004
        From cd_loan_tapes_bce.lt004_protection
        WHERE segmento = 'ESTR'
        AND nome_perimetro ='Individual Corporativo'
        AND ref_date='${date}'
        AND AMBITO = 'PM') lt004
   LEFT JOIN
        (Select dtrcaval, tipologia, ckbalbem, ckctabem, ckrefbem
        From cd_garantias.gt018_rateio_aval
        Where ref_date='${date}') gt018
        ON prtctn_id_lt004 = concat(substr(TIPOLOGIA,1,1),'_',ckbalbem,'_',ckctabem,'_',ckrefbem)
        GROUP BY 1) SIM
ON D.prtctn_id = SIM.prtctn_id_lt004
Where 1=1
AND DT_ORGNL_PRTCTN_VL_SIMULADO &gt; valor_simulado</t>
  </si>
  <si>
    <t>"Date of original protection value" cannot be later than "Reference date"</t>
  </si>
  <si>
    <t>SELECT *
FROM 
(
SELECT prtctn_id,
instrmnt_id,
dini_rel_MAX,
dtvaliai_resp_bem, 
mavaliai_resp_bem,
ref_date,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ref_date,
RANK() OVER ( PARTITION BY A.ckbalbem, A.ckctabem, A.ckrefbem ORDER BY dini_rel_MAX ASC) AS RANKRELACAO
FROM
(
SELECT *
FROM
(
SELECT instrmnt_id, A.cempresp, A.ckbalres, A.ckctares, A.ckrefresp, A.ckbalbem, A.ckctabem, A.ckrefbem, A.dtvaliai_resp_bem, A.mavaliai_resp_bem, prtctn_id, ref_date,
RANK() OVER ( PARTITION BY A.ckbalbem, A.ckctabem, A.ckrefbem ORDER BY dtvaliai_resp_bem ASC) AS RANKAVALIA
FROM
    (   
    SELECT DISTINCT instrmnt_id, cempresp, ckbalres, ckctares, ckrefresp, ckbalbem, ckctabem, ckrefbem, prtctn_id, dtvaliai_resp_bem, mavaliai_resp_bem, ref_date
    FROM 
        (SELECT instrmnt_id, prtctn_id, ref_date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1,2,3,4,5,6
) D
Where 1=1
AND DT_ORGNL_PRTCTN_VL_SIMULADO &gt; ref_date</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</si>
  <si>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</si>
  <si>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ref_date='2024-08-31')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ref_date='2024-08-31') GT001
LEFT JOIN
    (SELECT cempresa,ckbalcao, cknumcta, comp_id_gar, ckbalbem as ckbalbem_GT003, ckctabem as ckctabem_GT003, ckrefbem as ckrefbem_GT003, dini_rel as dini_rel_GT003
    FROM cd_garantias.gt003_trz_gt_fin
    Where ref_date='2024-08-31')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ref_date='2024-08-31')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DT_ORGNL_PRTCTN_VL_SIMULADO &lt;&gt; '1111-11-11'</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</si>
  <si>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</si>
  <si>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Select count(*)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prtctn_id like 'P%'  
AND DT_PRTCTN_VL_SIMULADO &lt;&gt; '1111-11-11'</t>
  </si>
  <si>
    <t>"Original protection value (at inception)" should have a Format numeric (2 decimal places)</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</si>
  <si>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cast(ORGNL_PRTCTN_VL_SIMULACAO as VARCHAR) NOT LIKE '%.__'</t>
  </si>
  <si>
    <t>"Original protection value (at inception)" shall be larger or equal to 0; Negative values trigger attention</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</si>
  <si>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ORGNL_PRTCTN_VL_SIMULACAO &lt; 0</t>
  </si>
  <si>
    <t>If "Date of original protection value" is other than default values, then "Original protection value (at inception)" cannot be 'Not applicable' or zero</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</si>
  <si>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&lt;&gt; '1111-11-11'
AND ORGNL_PRTCTN_VL_SIMULACAO in (11111111111,0)</t>
  </si>
  <si>
    <t>If "Date of original protection value" equals 'Not applicable', then "Original protection value (at inception)" must be a default value</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</si>
  <si>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 '1111-11-11'
AND ORGNL_PRTCTN_VL_SIMULACAO &lt;&gt; 11111111111</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</si>
  <si>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</si>
  <si>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ORGNL_PRTCTN_VL_SIMULACAO &lt;&gt; 11111111111</t>
  </si>
  <si>
    <t>Verificar se o campo está de acordo com a Especificação</t>
  </si>
  <si>
    <t>Select prtctn_id, typ_prtctn, TYP_PRTCTN_simulacao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 &lt;&gt; TYP_PRTCTN_simulacao</t>
  </si>
  <si>
    <t>Select DISTINCT typ_prtctn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 Where typ_prtctn &lt;&gt; TYP_PRTCTN_simulacao</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</si>
  <si>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&lt;&gt; 'N/A'
AND typ_prtctn = '11111111111'</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</si>
  <si>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 'N/A'
AND typ_prtctn &lt;&gt; '11111111111'</t>
  </si>
  <si>
    <t>Casos em que o typ_prtctn é 5 ou 12 que estão justificados troca de emails com a corporação</t>
  </si>
  <si>
    <t>Select DISTINCT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typ_prtctn_vl ='1'
AND typ_prtctn not in ('3', '7', '13', '18')</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</si>
  <si>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IN ('2','3')
 AND TYP_PRTCTN NOT IN ('8','9','10')</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</si>
  <si>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'4'
 AND TYP_PRTCTN NOT IN ('2','4','5','12','15','16','17','7')</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</si>
  <si>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'5'
--  AND TYP_PRTCTN  ='11111111111'</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</si>
  <si>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'11111111111'
 AND TYP_PRTCTN &lt;&gt; '7'</t>
  </si>
  <si>
    <t>Select prtctn_id, typ_prtctn, typ_prtctn_vl, DT_APPRSL_PRVS
FROM
(
SELECT prtctn_id,typ_prtctn, typ_prtctn_vl, DT_APPRSL_PRVS,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typ_prtctn,DT_APPRSL_PRVS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DT_APPRSL_PRVS &lt;&gt; '1111-11-11'
 AND TYP_PRTCTN NOT IN('8','9','10')</t>
  </si>
  <si>
    <t>Select prtctn_id, typ_prtctn, typ_prtctn_vl, CRE_INCM_CRRNCY
FROM
(
SELECT prtctn_id,typ_prtctn, typ_prtctn_vl, CRE_INCM_CRRNCY,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typ_prtctn,CRE_INCM_CRRNCY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CRE_INCM_CRRNCY NOT IN ('MISS', 'N/A')
 AND TYP_PRTCTN NOT IN('9','10')</t>
  </si>
  <si>
    <t>Justificado: 2 Garantias que aparecem na LT004 mas não na GT018 - IT vai alterar o Universo da LT para a GT018 em vez das tabelas do modelo base</t>
  </si>
  <si>
    <t>Select prtctn_id, typ_prtctn, typ_prtctn_vl, APPRSR
FROM
(
SELECT prtctn_id,typ_prtctn, typ_prtctn_vl, APPRSR,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APPRSR NOT IN ('N/A', 'MISS')
AND TYP_PRTCTN NOT IN ('8','9','10')</t>
  </si>
  <si>
    <t>Justificado: 1 Garantia que aparecem na LT004 mas não na GT018 - IT vai alterar o Universo da LT para a GT018 em vez das tabelas do modelo base</t>
  </si>
  <si>
    <t>Select prtctn_id, typ_prtctn, typ_prtctn_vl, APPRSR, DT_LST_FLL_APPRSL
FROM
(
SELECT prtctn_id,typ_prtctn, typ_prtctn_vl, APPRSR, DT_LST_FLL_APPRSL,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typ_prtctn,DT_LST_FLL_APPRSL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DT_LST_FLL_APPRSL &lt;&gt;'1111-11-11'
AND TYP_PRTCTN NOT IN ('8','9','10')</t>
  </si>
  <si>
    <t>If "Forced sale value" is populated other than default values, then "Protection type" has to be set as '8 - Residential real estate collateral', '9 - Offices and commercial premises', '3 - Other physical collaterals' or '10 - Commercial real estate collateral'</t>
  </si>
  <si>
    <t>Justificado: 3 Garantias que aparecem na LT004 mas não na GT018 - IT vai alterar o Universo da LT para a GT018 em vez das tabelas do modelo base</t>
  </si>
  <si>
    <t>Select prtctn_id, typ_prtctn, typ_prtctn_vl, PRTCTN_FRCD_SL_VL
FROM
(
SELECT prtctn_id,typ_prtctn, typ_prtctn_vl, APPRSR, PRTCTN_FRCD_SL_VL,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typ_prtctn,PRTCTN_FRCD_SL_VL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PRTCTN_FRCD_SL_VL &lt;&gt; 11111111111
AND TYP_PRTCTN NOT IN ('8','9', '3','10')</t>
  </si>
  <si>
    <t>LNS_CLLTRLZD_CLSSFCTN não está especificado</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</si>
  <si>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&lt;&gt; ntnl_id_simulacao</t>
  </si>
  <si>
    <t>0 casos com aspas</t>
  </si>
  <si>
    <t>SELECT count(*)
FROM bu_loantape_work.lt004_protection  
WHERE 1=1 
AND ambito = 'PM' 
AND segmento = 'ESTR' 
AND ref_date = '2024-09-30'
AND nome_perimetro = 'Individual Corporativo'
AND ntnl_id LIKE '%"%'
-- AND ntnl_id LIKE '%F%'</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</si>
  <si>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Is NULL</t>
  </si>
  <si>
    <t>795 casos duplicados que são justificados pela falta de informação dos campos que forma a concatenação</t>
  </si>
  <si>
    <t>SELECT COUNT (*)
FROM
(
Select ntnl_id, count(*)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Group by ntnl_id
Having Count(*) &gt; 1 
) C</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</si>
  <si>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length(ntnl_id_simulacao) &gt;=255</t>
  </si>
  <si>
    <t>Select prtctn_id, ntnl_id_simulacao, ntnl_id, typ_prtctn
From
(
SELECT 
CASE WHEN PRTCTN_ID NOT LIKE 'I%' THEN 'N/A'
	WHEN PRTCTN_ID LIKE 'I%' AND NTNL_ID_SIM = '' THEN 'MISS'
	ELSE ntnl_id_sim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IN ('8','9','10')
AND ntnl_id_simulacao = 'N/A'</t>
  </si>
  <si>
    <t>Justificado 3 Garantias que aparecem na LT004 mas não na GT018 - IT vai alterar o Universo da LT para a GT018 em vez das tabelas do modelo base</t>
  </si>
  <si>
    <t>Select prtctn_id, ntnl_id_simulacao, ntnl_id, typ_prtctn
From
(
SELECT 
Case when prtctn_id NOT LIKE 'I%' Then 'N/A'
When prtctn_id Like 'I%' Then ntnl_id_sim
Else 'MISS'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NOT IN ('8','9','10')
AND ntnl_id_simulacao &lt;&gt; 'N/A'</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</si>
  <si>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DT_ORGNL_PRTCTN_VL &lt;&gt; DT_ORGNL_PRTCTN_VL_SIMULADO</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</si>
  <si>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substring(DT_ORGNL_PRTCTN_VL_SIMULADO,5,1) &lt;&gt; '-' or substring(DT_ORGNL_PRTCTN_VL_SIMULADO,8,1) &lt;&gt; '-'</t>
  </si>
  <si>
    <t>Justificado: 43 garantias com datas '0001-01-01' - Erro de Data Quality de Leasings que está a ser endereçado pelo Alexandre Esteves e estará resolvido em Janeiro de 2025</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</si>
  <si>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DT_ORGNL_PRTCTN_VL_SIMULADO &lt; '1970-01-01'
AND DT_ORGNL_PRTCTN_VL_SIMULADO NOT IN ('1111-11-11','0000-00-00')</t>
  </si>
  <si>
    <t>Justificado: 3 Garantias que o DT_PRTCTN_VL é '0001-01-01'  - Erro de Data Quality de Leasings que está a ser endereçado pelo Alexandre Esteves e estará resolvido em Janeiro de 2025</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</si>
  <si>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DT_ORGNL_PRTCTN_VL &gt; dt_prtctn_vl</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</si>
  <si>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DT_ORGNL_PRTCTN_VL &gt; ref_date</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</si>
  <si>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prtctn_id like 'P%'
AND DT_ORGNL_PRTCTN_VL_SIMULADO &lt;&gt; '1111-11-11'</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</si>
  <si>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prtctn_id like 'P%'
AND dt_prtctn_vl &lt;&gt; '1111-11-11'</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</si>
  <si>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prtctn_id NOT LIKE 'P%'
    AND DT_PRTCTN_VL &lt;&gt; DT_PRTCTN_VL_SIMULADO</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</si>
  <si>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substring(DT_PRTCTN_VL_SIMULADO,5,1) &lt;&gt; '-' or substring(DT_PRTCTN_VL_SIMULADO,8,1) &lt;&gt; '-'
-- AND length(DT_PRTCTN_VL_SIMULADO) &lt;&gt; 10
-- AND DT_PRTCTN_VL_SIMULADO = '9999-99-99'</t>
  </si>
  <si>
    <t>Justificado: 47 casos 
4 relacionados com universos diferentes -  IT vai alterar o Universo da LT para a GT018 em vez das tabelas do modelo base
Restantes são os temas dos leasings com '0001-01-01' - Erro de Data Quality de Leasings que está a ser endereçado pelo Alexandre Esteves e estará resolvido em Janeiro de 2025</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</si>
  <si>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&lt;&gt; '1111-11-11'
Order by DT_PRTCTN_VL asc</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</si>
  <si>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TYP_PRTCTN_VL = '4'
AND DT_PRTCTN_VL &lt;&gt; '2024-09-30'</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</si>
  <si>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'2024-09-30'</t>
  </si>
  <si>
    <t>Select *
FROM
(SELECT prtctn_id, DT_PRTCTN_VL, CASE
    WHEN prtctn_id LIKE 'P%' THEN '1111-11-11'
    ELSE NVL(max(dtrcaval),'0000-00-00')
    END AS DT_PRTCTN_VL_SIMULADO, dt_lst_fll_apprsl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dt_lst_fll_apprsl
        AND dt_lst_fll_apprsl &lt;&gt; '1111-11-11'</t>
  </si>
  <si>
    <t>Select *
FROM
(SELECT prtctn_id, DT_PRTCTN_VL, CASE
    WHEN prtctn_id LIKE 'P%' THEN '1111-11-11'
    ELSE NVL(max(dtrcaval),'0000-00-00')
    END AS DT_PRTCTN_VL_SIMULADO, DT_APPRSL_PRVS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DT_APPRSL_PRVS &lt;&gt; '1111-11-11'
        AND DT_PRTCTN_VL = '1111-11-11'</t>
  </si>
  <si>
    <t>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CNSTRCTN_STTS_simulacao &lt;&gt; cnstrctn_stts;</t>
  </si>
  <si>
    <t>SELECT COUNT(*), CNSTRCTN_STTS
FROM 
(
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</si>
  <si>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'4'
AND CNSTRCTN_STTS &lt;&gt; '1'</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</si>
  <si>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in('2', '3')
AND CNSTRCTN_STTS &lt;&gt;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</si>
  <si>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
AND CNSTRCTN_STTS NOT IN('3', '4')</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</si>
  <si>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'11111111111'
AND CNSTRCTN_STTS &lt;&gt; '11111111111'</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</si>
  <si>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&gt; ref_date
AND dt_frst_usg &lt;&gt; '1111-11-11'
AND dt_frst_usg &lt;&gt; '0000-00-00'
AND CNSTRCTN_STTS NOT IN ('2','4')</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</si>
  <si>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&lt; ref_date
AND dt_frst_usg not in('1111-11-11','0000-00-00')
AND CNSTRCTN_STTS &lt;&gt; '1'</t>
  </si>
  <si>
    <t>SELECT prtctn_id, dvlpmnt_stts, DVLPMNT_STTS_simulacao, cgarant_bem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FROM
(
SELECT 
prtctn_id, dvlpmnt_stts,
CASE WHEN ref_date &lt; '2024-05-31' THEN CNSTRCTN_STTS_simulacao_pre
WHEN ref_date &gt;= '2024-05-31' THEN CNSTRTCN_STTS_simulacao_pos
Else '99999999999'
END AS CNSTRCTN_STTS_simulacao, cgarant_bem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&lt;&gt; dvlpmnt_stts</t>
  </si>
  <si>
    <t>SELECT count (*), dvlpmnt_stts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</si>
  <si>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IN ('8','9','10')
AND DVLPMNT_STTS_simulacao = '11111111111'
;</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</si>
  <si>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NOT IN ('8','9','10')
AND DVLPMNT_STTS_simulacao &lt;&gt; '11111111111'
;</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</si>
  <si>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valor_it &lt;&gt; valor_simulado 
    ;</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</si>
  <si>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bu_loantape_work.lt004_protection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</si>
  <si>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"Prime location according to bank-internal definition  (Y/N)" should match the information on the Codelist</t>
  </si>
  <si>
    <t>SELECT prm_lctn,
    COUNT(*)
FROM bu_loantape_work.lt004_protection
WHERE ref_date='${date}'
    AND nome_perimetro='Individual Corporativo'
    AND segmento='ESTR'
    AND ambito='PM'
GROUP BY prm_lctn</t>
  </si>
  <si>
    <t>3 casos que não cruzam com GT018 - IT vai alterar o Universo da LT para a GT018 em vez das tabelas do modelo base</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</si>
  <si>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NOT IN ('8','9','10')
    AND VALOR_SIMULADO &lt;&gt; 'N/A'</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</si>
  <si>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IN ('8','9','10')
    AND VALOR_SIMULADO = 'N/A'</t>
  </si>
  <si>
    <t>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dt_lst_fll_apprsl_simulado &gt;= dt_orgnl_prtctn_vl
AND dt_lst_fll_apprsl &lt;&gt; dt_lst_fll_apprsl_simulado</t>
  </si>
  <si>
    <t>"Date of last full appraisal" must have a Date format (yyyy-mm-dd)</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</si>
  <si>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substring(dt_lst_fll_apprsl,5,1) &lt;&gt; '-' or substring(dt_lst_fll_apprsl,8,1) &lt;&gt; '-'
AND length(dt_lst_fll_apprsl) &lt;&gt; 10
;
</t>
  </si>
  <si>
    <t>"Date of last full appraisal" must be later than 01 January 1970</t>
  </si>
  <si>
    <t>41 casos em que  a dt aparece 0001-01-01  - Erro de Data Quality de Leasings que está a ser endereçado pelo Alexandre Esteves e estará resolvido em Janeiro de 2025</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</si>
  <si>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'1970-01-01'
AND dt_lst_fll_apprsl &lt;&gt;'1111-11-11'
;
</t>
  </si>
  <si>
    <t>"Date of last full appraisal" must be greater or equal to the "Date of the appraisal previous to the most recent one available, i.e. previous to the last full appraisal (field DT_LST_FLL_APPRSL)."</t>
  </si>
  <si>
    <t xml:space="preserve">Select prtctn_id, dt_lst_fll_apprsl, dt_lst_fll_apprsl_simulado, dt_orgnl_prtctn_vl, DT_APPRSL_PRVS
FROM
(
SELECT LT004.prtctn_id, 
        LT004.dt_lst_fll_apprsl, 
        CASE WHEN LT004.prtctn_id LIKE 'F%' OR LT004.prtctn_id LIKE 'P%' THEN '1111-11-11'
            WHEN LT004.prtctn_id LIKE 'I%'THEN dt_lst_fll_apprsl_simulado
            ELSE '0000-00-00'
            END as dt_lst_fll_apprsl_simulado, 
        dt_orgnl_prtctn_vl, DT_APPRSL_PRVS
FROM
(SELECT prtctn_id, dt_lst_fll_apprsl, dt_prtctn_vl, dt_orgnl_prtctn_vl, DT_APPRSL_PRVS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DT_APPRSL_PRVS
;
</t>
  </si>
  <si>
    <t>Select prtctn_id, dt_lst_fll_apprsl, dt_lst_fll_apprsl_simulado, dt_orgnl_prtctn_vl, REF_DATE
FROM
(
SELECT LT004.prtctn_id, 
        LT004.dt_lst_fll_apprsl, 
        CASE WHEN LT004.prtctn_id LIKE 'F%' OR LT004.prtctn_id LIKE 'P%' THEN '1111-11-11'
            WHEN LT004.prtctn_id LIKE 'I%'THEN dt_lst_fll_apprsl_simulado
            ELSE '0000-00-00'
            END as dt_lst_fll_apprsl_simulado, 
        dt_orgnl_prtctn_vl, REF_DATE
FROM
(SELECT prtctn_id, dt_lst_fll_apprsl, dt_prtctn_vl, dt_orgnl_prtctn_vl, REF_DATE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&gt; REF_DATE
;</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</si>
  <si>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&lt;&gt; dt_apprsl_prvs_simulacao</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</si>
  <si>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substring(dt_apprsl_prvs,5,1) &lt;&gt; '-' or substring(dt_apprsl_prvs,8,1) &lt;&gt; '-'
  AND length(dt_apprsl_prvs) &lt;&gt; 10</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</si>
  <si>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'1970-01-01'</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</si>
  <si>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REF_DATE</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</si>
  <si>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dt_orgnl_prtctn_vl</t>
  </si>
  <si>
    <t>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dt_prtctn_vl</t>
  </si>
  <si>
    <t xml:space="preserve">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prtctn_id LIKE 'P%'
     AND dt_apprsl_prvs &lt;&gt; '1111-11-11'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</si>
  <si>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&lt;&gt; ORGNL_PRTCTN_VL_SIMULADO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</si>
  <si>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cast(ORGNL_PRTCTN_VL as VARCHAR) NOT LIKE '%.__'</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</si>
  <si>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 0</t>
  </si>
  <si>
    <t>15 casos com valor original da proteção a zero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</si>
  <si>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&lt;&gt; '1111-11-11'
AND ORGNL_PRTCTN_VL in (11111111111,0)</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</si>
  <si>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 '1111-11-11'
AND ORGNL_PRTCTN_VL &lt;&gt; 11111111111</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</si>
  <si>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prtctn_id LIKE 'P%'
AND ORGNL_PRTCTN_VL &lt;&gt; 11111111111</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</si>
  <si>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</si>
  <si>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"Previous off-balance amount" should have a Format numeric (2 decimal places)</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</si>
  <si>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cast(off_blnc_sht_amnt_instrmnt_prvs as VARCHAR) LIKE '%.__'</t>
  </si>
  <si>
    <t>"Previous off-balance amount" shall be larger or equal to 0; Negative values trigger attention</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</si>
  <si>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off_blnc_sht_amnt_instrmnt_prvs &lt; 0</t>
  </si>
  <si>
    <t>If "Date of inception" is less than one year in the past (compared to "Reference date") and product type is other than uncommited overdraft, then "Previous off-balance amount" should be populated with default values.</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</si>
  <si>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SUBSTR(cast(add_months(ref_date, -12) AS string), 1, 10) &lt; DT_INCPTN
AND off_blnc_sht_amnt_instrmnt_prvs &lt;&gt; 11111111111
;
SELECT distinct prdct
      FROM bu_loantape_work.lt002_instrument
      WHERE segmento = 'ESTR'
        AND nome_perimetro ='Individual Corporativo'
        AND ref_date='${date}'
        AND AMBITO = 'PM'
        AND prdct like '%Descoberto%'
        </t>
  </si>
  <si>
    <t>If "Date of inception" is more than one year in the past (compared to "Reference date") and "Off-balance sheet amount" is populated other than default values, then "Previous off-balance amount" should be populated with values other than default.</t>
  </si>
  <si>
    <t>Justificado. São ajustes que não vão ser executados nos controlos da corporação. O Campo OFF_BLNC_SHT_INSTRMNT_PRVS será sempre N/A para ajustes, segundo o Guia da Corporação - Capítulo 11</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</si>
  <si>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off_blnc_sht_amnt_instrmnt
   FROM
     (SELECT instrmnt_id,
             off_blnc_sht_amnt_instrmnt_prvs,
             dt_incptn,
             ref_date, off_blnc_sht_amnt_instrmnt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off_blnc_sht_amnt_instrmnt) X
Where 1=1 
AND SUBSTR(cast(add_months(ref_date, -12) AS string), 1, 10) &gt; DT_INCPTN
AND off_blnc_sht_amnt_instrmnt &lt;&gt; 11111111111
AND off_blnc_sht_amnt_instrmnt_prvs = 11111111111
;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</si>
  <si>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</si>
  <si>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cast(IFRS9_BHVRL_MTRTY as VARCHAR) LIKE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</si>
  <si>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(IFRS9_BHVRL_MTRTY &gt; 960
OR IFRS9_BHVRL_MTRTY &lt; 0)
AND IFRS9_BHVRL_MTRTY &lt;&gt; 11111111111</t>
  </si>
  <si>
    <t xml:space="preserve">SELECT *
FROM
(
SELECT instrmnt_id, mn_entty_id, entty_id, zcliente,
CASE WHEN ENTTY_ID=ZCLIENTE THEN 'Y' ELSE 'N' END as mn_entty_id_simulado
FROM
(SELECT instrmnt_id, mn_entty_id, entty_id
FROM bu_loantape_work.lt005_instr_ent_srb
WHERE 1=1 
AND ambito = 'PM'
AND segmento = 'ESTR'
AND ref_date = '${date}'
AND nome_perimetro = 'Individual Corporativo'
AND instrmnt_id not like 'SNCN%'
AND instrmnt_id not like 'SS%') LT005
LEFT JOIN 
(SELECT cempresa, cbalcao, cnumecta, zdeposit, zcliente
FROM bu_loantape_work.lt001_univ_oper
WHERE 1=1 
AND ambito = 'PM'
AND segmento = 'ESTR'
AND ref_date = '${date}'
AND nome_perimetro = 'Individual Corporativo') LT001
ON LT005.INSTRMNT_ID=CONCAT(LT001.CEMPRESA,LT001.CBALCAO,LT001.CNUMECTA,LT001.ZDEPOSIT)
) A
WHERE mn_entty_id &lt;&gt; mn_entty_id_simulado
</t>
  </si>
  <si>
    <t>Incidência onde os registos estão como 0.00 e  99999999999</t>
  </si>
  <si>
    <t>SELECT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bu_loantape_work.lt002_instrument_srb
      WHERE segmento = 'ESTR'
        AND nome_perimetro ='Individual Corporativo'
        AND ref_date='${date}'
        AND AMBITO = 'PM'
        -- and instrmnt_id =   '82000020210000346001520240463187'
        ) LT002
   LEFT JOIN
     (SELECT CEMPRESA,
             CBALCAO,
             CNUMECTA,
             ZDEPOSIT,
             sum(valor_bruto_off_prvs) as valor_bruto_off_prvs
      FROM bu_loantape_work.lt001_univ_oper
      WHERE segmento = 'ESTR'
        AND nome_perimetro ='Individual Corporativo'
        AND ref_date='${date}'
        AND AMBITO = 'PM'
        -- and CONCAT(CEMPRESA, CBALCAO, CNUMECTA, ZDEPOSIT) = '82000020110004228001520240649446'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</si>
  <si>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ifrs9_bhvrl_mtrty, IFRS9_BHVRL_MTRTY_Simulado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bu_loantape_work.lt002_instrument_srb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</si>
  <si>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bu_loantape_work.lt004_protection_srb
        WHERE segmento = 'ESTR'
        AND nome_perimetro ='Individual Corporativo'
        AND ref_date='${date}'
        AND AMBITO = 'PM'
        ) lt004
ON D.prtctn_id = prtctn_id_lt004
Where 1=1 
AND ORGNL_PRTCTN_VL &lt;&gt; ORGNL_PRTCTN_VL_SIMULADO</t>
  </si>
  <si>
    <t>SELECT *
FROM
(
SELECT instrmnt_id, mn_entty_id, entty_id, zcliente,
CASE WHEN ENTTY_ID=ZCLIENTE THEN 'Y' ELSE 'N' END as mn_entty_id_simulado
FROM
(SELECT instrmnt_id, mn_entty_id, entty_id
FROM cd_loan_tapes_bce.lt005_instr_ent
WHERE 1=1 
AND ambito = 'PM'
AND segmento = 'ESTR'
AND ref_date = '${date}'
AND nome_perimetro = 'Individual Corporativo'
AND instrmnt_id not like 'SNCN%'
AND instrmnt_id not like 'SS%') LT005
LEFT JOIN 
(SELECT cempresa, cbalcao, cnumecta, zdeposit, zcliente
FROM cd_loan_tapes_bce.lt001_univ_oper
WHERE 1=1 
AND ambito = 'PM'
AND segmento = 'ESTR'
AND ref_date = '${date}'
AND nome_perimetro = 'Individual Corporativo') LT001
ON LT005.INSTRMNT_ID=CONCAT(LT001.CEMPRESA,LT001.CBALCAO,LT001.CNUMECTA,LT001.ZDEPOSIT)
) A
WHERE mn_entty_id &lt;&gt; mn_entty_id_simulado</t>
  </si>
  <si>
    <t>"Main Entity ID" should be a Char not null (default values not allowed)</t>
  </si>
  <si>
    <t>SELECT DISTINCT mn_entty_id
FROM cd_loan_tapes_bce.lt005_instr_ent
WHERE 1=1 
AND ambito = 'PM'
AND segmento = 'ESTR'
AND ref_date = '${date}'
AND nome_perimetro = 'Individual Corporativo'</t>
  </si>
  <si>
    <t>"Main Entity ID" should match the information on the Codelist</t>
  </si>
  <si>
    <t>SELECT *
FROM
    (
    Select instrmnt_id, 
    IFRS9.contract_id, 
    months_to_maturity,
    ifrs9_bhvrl_mtrty,
    Case when IFRS9.contract_id IS NULL Then 11111111111
    Else cast(months_to_maturity as INT)
    END as IFRS9_BHVRL_MTRTY_Simulado
    From
        (SELECT instrmnt_id, ifrs9_bhvrl_mtrty
        FROM cd_loan_tapes_bce.lt002_instrument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AND ifrs9_bhvrl_mtrty &lt;&gt; IFRS9_BHVRL_MTRTY_Simulado</t>
  </si>
  <si>
    <t xml:space="preserve">SELECT instrmnt_id, ifrs9_bhvrl_mtrty
        FROM cd_loan_tapes_bce.lt002_instrument
        WHERE segmento = 'ESTR'
        AND nome_perimetro ='Individual Corporativo'
        AND ref_date='${date}'
        AND AMBITO = 'PM'
        AND cast(IFRS9_BHVRL_MTRTY as VARCHAR) LIKE '%.'
   </t>
  </si>
  <si>
    <t xml:space="preserve">SELECT instrmnt_id, ifrs9_bhvrl_mtrty
        FROM cd_loan_tapes_bce.lt002_instrument
        WHERE segmento = 'ESTR'
        AND nome_perimetro ='Individual Corporativo'
        AND ref_date='${date}'
        AND AMBITO = 'PM'
        AND (IFRS9_BHVRL_MTRTY &gt; 960 OR IFRS9_BHVRL_MTRTY &lt; 0)
        AND IFRS9_BHVRL_MTRTY &lt;&gt; 11111111111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</si>
  <si>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cd_loan_tapes_bce.lt004_protection
        WHERE segmento = 'ESTR'
        AND nome_perimetro ='Individual Corporativo'
        AND ref_date='${date}'
        AND AMBITO = 'PM'
        ) lt004
ON D.prtctn_id = prtctn_id_lt004
Where 1=1 
AND ORGNL_PRTCTN_VL &lt;&gt; ORGNL_PRTCTN_VL_SIMULADO
;</t>
  </si>
  <si>
    <t>Campo aparece com 6 casas decimais em vez de duas</t>
  </si>
  <si>
    <t>Select prtctn_id as prtctn_id_lt004, DT_ORGNL_PRTCTN_VL,ORGNL_PRTCTN_VL
        From cd_loan_tapes_bce.lt004_protection
        WHERE segmento = 'ESTR'
        AND nome_perimetro ='Individual Corporativo'
        AND ref_date='${date}'
        AND AMBITO = 'PM'
        AND cast(ORGNL_PRTCTN_VL as VARCHAR) NOT LIKE '%.__'</t>
  </si>
  <si>
    <t>Select prtctn_id, DT_ORGNL_PRTCTN_VL,ORGNL_PRTCTN_VL
        From cd_loan_tapes_bce.lt004_protection
        WHERE segmento = 'ESTR'
        AND nome_perimetro ='Individual Corporativo'
        AND ref_date='${date}'
        AND AMBITO = 'PM'
        AND orgnl_prtctn_vl &lt; 0</t>
  </si>
  <si>
    <t>133 casos com valor original da proteção a zero</t>
  </si>
  <si>
    <t>Select prtctn_id, DT_ORGNL_PRTCTN_VL, ORGNL_PRTCTN_VL
        From cd_loan_tapes_bce.lt004_protection
        WHERE segmento = 'ESTR'
        AND nome_perimetro ='Individual Corporativo'
        AND ref_date='${date}'
        AND AMBITO = 'PM'
        AND DT_ORGNL_PRTCTN_VL &lt;&gt; '1111-11-11'
        AND ORGNL_PRTCTN_VL in (11111111111,0)</t>
  </si>
  <si>
    <t>Select prtctn_id, DT_ORGNL_PRTCTN_VL, ORGNL_PRTCTN_VL
        From cd_loan_tapes_bce.lt004_protection
        WHERE segmento = 'ESTR'
        AND nome_perimetro ='Individual Corporativo'
        AND ref_date='${date}'
        AND AMBITO = 'PM'
        AND DT_ORGNL_PRTCTN_VL = '1111-11-11'
        AND ORGNL_PRTCTN_VL &lt;&gt; 11111111111</t>
  </si>
  <si>
    <t>Select prtctn_id, DT_ORGNL_PRTCTN_VL, ORGNL_PRTCTN_VL
        From cd_loan_tapes_bce.lt004_protection
        WHERE segmento = 'ESTR'
        AND nome_perimetro ='Individual Corporativo'
        AND ref_date='${date}'
        AND AMBITO = 'PM'
        AND prtctn_id LIKE 'P%'
        AND ORGNL_PRTCTN_VL &lt;&gt; 11111111111</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</si>
  <si>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cd_loan_tapes_bce.lt002_instrument
      WHERE segmento = 'ESTR'
        AND nome_perimetro ='Individual Corporativo'
        AND ref_date='${date}'
        AND AMBITO = 'PM' ) LT002
   LEFT JOIN
     (SELECT CEMPRESA,
             CBALCAO,
             CNUMECTA,
             ZDEPOSIT,
             sum(valor_bruto_off_prvs) valor_bruto_off_prvs
      FROM cd_loan_tapes_bce.lt001_univ_oper
      WHERE segmento = 'ESTR'
        AND nome_perimetro ='Individual Corporativo'
        AND ref_date='${date}'
        AND AMBITO = 'PM' -- and CONCAT(CEMPRESA, CBALCAO, CNUMECTA, ZDEPOSIT) = '31000805765200020000000000000000'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</si>
  <si>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off_blnc_sht_amnt_instrmnt_prvs
      FROM cd_loan_tapes_bce.lt002_instrument
      WHERE segmento = 'ESTR'
        AND nome_perimetro ='Individual Corporativo'
        AND ref_date='${date}'
        AND AMBITO = 'PM'
        AND cast(off_blnc_sht_amnt_instrmnt_prvs as VARCHAR) NOT LIKE '%.__'</t>
  </si>
  <si>
    <t>SELECT instrmnt_id,
             off_blnc_sht_amnt_instrmnt_prvs
      FROM cd_loan_tapes_bce.lt002_instrument
      WHERE segmento = 'ESTR'
        AND nome_perimetro ='Individual Corporativo'
        AND ref_date='${date}'
        AND AMBITO = 'PM'
        AND off_blnc_sht_amnt_instrmnt_prvs &lt; 0</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</si>
  <si>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&lt; DT_INCPTN
        AND off_blnc_sht_amnt_instrmnt_prvs &lt;&gt; 11111111111
</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</si>
  <si>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&gt; DT_INCPTN
        AND off_blnc_sht_amnt_instrmnt &lt;&gt; 11111111111
        AND off_blnc_sht_amnt_instrmnt_prvs = 11111111111
</t>
  </si>
  <si>
    <t>Tabela Origem</t>
  </si>
  <si>
    <t>Campo Origem</t>
  </si>
  <si>
    <t>Imparidade</t>
  </si>
  <si>
    <t>Contabilidade</t>
  </si>
  <si>
    <t>Owner</t>
  </si>
  <si>
    <t>Validador</t>
  </si>
  <si>
    <t>Impairment status (stage 1, 2 e 3)</t>
  </si>
  <si>
    <t>FR004_CTO</t>
  </si>
  <si>
    <t>STAGE_ATUAL</t>
  </si>
  <si>
    <t>Contabilidade a partir de Dez.22</t>
  </si>
  <si>
    <t>Imparidade &amp; Contabilidade</t>
  </si>
  <si>
    <t>Performing status</t>
  </si>
  <si>
    <t>Previous performing status</t>
  </si>
  <si>
    <t>Purchased credit-impaired financial asset (POCI)</t>
  </si>
  <si>
    <t>BU_IFRS9.IFRS9_INPUT_MOTOR_8_7</t>
  </si>
  <si>
    <t xml:space="preserve">PURCHASED_CREDIT_IMPAIRED_FINANCIAL_ASSETS_FLAG </t>
  </si>
  <si>
    <t>Highest number of days past due in the 12 months prior to the most recent change of performing status</t>
  </si>
  <si>
    <t>FR004_CTO
MOYR1060
MOYR1061
CT622_MOYR_IFIC</t>
  </si>
  <si>
    <t>STAGE_ATUAL
DT_INCUMP
MOYR1N60_DINICONT
MOYR1N60_DINICONT</t>
  </si>
  <si>
    <t>Highest number of days past due in the 24 months before most recent change of performing status</t>
  </si>
  <si>
    <t>Days past due at the time of the most recent change of the performing status</t>
  </si>
  <si>
    <t>Date of impairment status</t>
  </si>
  <si>
    <t>Date of previous impairment status</t>
  </si>
  <si>
    <t>Date of performing status</t>
  </si>
  <si>
    <t>Date of previous performing status</t>
  </si>
  <si>
    <t>BU_IFRS9.IFRS9_OUT_EXPECTED_LOSS_REPORTING</t>
  </si>
  <si>
    <t>IER_FINAL</t>
  </si>
  <si>
    <t>BU_IFRS9.IFRS9_OUT_EXPECTED_LOSS_REPORTING
BU_IFRS.9.IFRS9_INPUT_MOTOR_8_7</t>
  </si>
  <si>
    <t>IER_FINAL
INTERST_EFFECTIVE_RATE_ORIG
INITIAL_RECOGNITION_DATE</t>
  </si>
  <si>
    <t>K2</t>
  </si>
  <si>
    <t>BU_IFRS9.IFRS9_OUT_STAGING_REPORTING</t>
  </si>
  <si>
    <t>EAD_FINAL</t>
  </si>
  <si>
    <t>LGD_IFRS9</t>
  </si>
  <si>
    <t>LT803_CODIGOS_LT</t>
  </si>
  <si>
    <t>VALOR_LT</t>
  </si>
  <si>
    <t>FR004_CTO
CT003_UNIV_CLI
IMCATF002_PROCESSO_AI_HIST
TABELA_PARAMETRIZACAO_IMPRMNT_CLCLTN_MTHD</t>
  </si>
  <si>
    <t>VALOR_LT
TIPO_ANALISE_ATUAL
CCLI_GRUPO
CTIPO_RECUPERACAO</t>
  </si>
  <si>
    <t>IFRS9_OUT_EXPECTED_LOSS_REPORTING
IMCATF046_FLAG_FECHO</t>
  </si>
  <si>
    <t>ID_PORTFOLIO_IFRS9</t>
  </si>
  <si>
    <t>Low credit risk exemption for SICR assessment</t>
  </si>
  <si>
    <t>FIXO</t>
  </si>
  <si>
    <t>'N'</t>
  </si>
  <si>
    <t>TBD - Necessita de desenvolvimentos</t>
  </si>
  <si>
    <t>PD_1Y_IFRS9</t>
  </si>
  <si>
    <t>BU_IFRS9.IFRS9_OUT_EXPECTED_LOSS_REPORTING
LT002_INSTRUMENT</t>
  </si>
  <si>
    <t>PD12M_IFRS9
IMPRMNT_STTS_INSTRMNT</t>
  </si>
  <si>
    <t>BU_IFRS9.IFRS9_OUT_EXPECTED_LOSS_REPORTING
FR004_CTO</t>
  </si>
  <si>
    <t>PD12M_IFRS9 (DATA DE REFERENCIA DE ANO ANTERIOR)
STAGE_ANTERIOR (DATA DE REFERENCIA DE ANO ANTERIOR)</t>
  </si>
  <si>
    <t>BU_IFRS9.IFRS9_OUT_EXPECTED_LOSS_REPORTING
IMCATF046_FLAG_FECHO
IFRS9_INPUT_MOTOR_8_7</t>
  </si>
  <si>
    <t>PD_LT_IFRS9
CMES
INITIAL_RECOGNITION_DATE</t>
  </si>
  <si>
    <t>PD_LTR_ORIGINAL</t>
  </si>
  <si>
    <t>PD_LT_IFRS9
IMPRMNT_STTS_INSTRMNT</t>
  </si>
  <si>
    <t>'2'</t>
  </si>
  <si>
    <t>ENTTY</t>
  </si>
  <si>
    <t>LT002_INSTRUMENT</t>
  </si>
  <si>
    <t>PD_IFRS9_12M_RD
IFRS9_EAD</t>
  </si>
  <si>
    <t>LT002_INSTRUMENT
BU_IFRS9.IFRS9_OUT_STAGING_REPORTING</t>
  </si>
  <si>
    <t>PD_IFRS9_12M_RD_T1
EAD_FINAL</t>
  </si>
  <si>
    <t>GT003_TRZ_GT_FIN
LT002_INSTRUMENT
LT814_HRCT_MV</t>
  </si>
  <si>
    <t>CTRATCTA
IMPRMNT_ASSSSMNT_MTHD
HRCT_MV</t>
  </si>
  <si>
    <t>Accumulated changes in fair value due to credit risk</t>
  </si>
  <si>
    <t>'0'</t>
  </si>
  <si>
    <t>Contabilidade a partir de [data a definir]</t>
  </si>
  <si>
    <t>Sum of LLPs and other allowances</t>
  </si>
  <si>
    <t>FR001_UNIV_SALDO</t>
  </si>
  <si>
    <t>MSALDO_FINAL (saldo obtido por parametrizações sobre as contas contabilisticas)</t>
  </si>
  <si>
    <t>Previous sum of LLPs and other allowances</t>
  </si>
  <si>
    <t>Accumulated write-offs</t>
  </si>
  <si>
    <t>Accounting portfolio</t>
  </si>
  <si>
    <t>Accrued interest balance as recognized on the balance sheet</t>
  </si>
  <si>
    <t>Total exposure in arrears</t>
  </si>
  <si>
    <t>MOYR1060
MOYR1061
CT622_MOYR_IFIC</t>
  </si>
  <si>
    <t>MOYR1N60_MSLDIRR
MOYR1N60_MSLDIRR 
VENCIDO_CTRVLR</t>
  </si>
  <si>
    <t>Highest total exposure in arrears in the last 12 months before the reference date</t>
  </si>
  <si>
    <t xml:space="preserve">Currency denomination </t>
  </si>
  <si>
    <t>CMOEDA1</t>
  </si>
  <si>
    <t>Carrying amount</t>
  </si>
  <si>
    <t>Highest number of days past due in the last 12 months</t>
  </si>
  <si>
    <t>CT622_MOYR_IFIC
MOYR1061
MOYR1060</t>
  </si>
  <si>
    <t>DT_INCUMP
MOYR1N60_DINICONT
MOYR1N60_DINICONT</t>
  </si>
  <si>
    <t>Highest number of days past due in the 12 months prior to the most recent change of the forbearance status</t>
  </si>
  <si>
    <t>DT_INCUMP
MOYR1N60_DINICONT
MOYR1N60_DINICONT
(com base na data de reestruturação)</t>
  </si>
  <si>
    <t>Highest number of days past due in the 24 months prior to the most recent change of the forbearance status</t>
  </si>
  <si>
    <t>Days past due at the date of the most recent change of the forbearance status</t>
  </si>
  <si>
    <t>Date past due</t>
  </si>
  <si>
    <t>MOYR1N60_DINICONT
DT_INCUMP</t>
  </si>
  <si>
    <t>Start date of principal grace period</t>
  </si>
  <si>
    <t>EPT02_ADMCTA
DADOS_GERAIS_EMP</t>
  </si>
  <si>
    <t>DINICARE
EPRY8510_DFORMALI</t>
  </si>
  <si>
    <t>Start date of the interest-only period</t>
  </si>
  <si>
    <t>Gross carrying amount</t>
  </si>
  <si>
    <t>LT001_UNIV_OPER</t>
  </si>
  <si>
    <t>VALOR_BRUTO_ON</t>
  </si>
  <si>
    <t>Internal code for segment/portfolio</t>
  </si>
  <si>
    <t>CONTRAPARTE</t>
  </si>
  <si>
    <t>Loan to value (LTV) at reference date</t>
  </si>
  <si>
    <t>FR011_CAPS_LTV</t>
  </si>
  <si>
    <t>VALOR_LTV</t>
  </si>
  <si>
    <t>Loan to value (LTV) at inception</t>
  </si>
  <si>
    <t>VALOR_LTV_ORIG</t>
  </si>
  <si>
    <t>Loan to value (LTV) at the date when the instrument was classified as non-performing</t>
  </si>
  <si>
    <t>FR011_CAPS_LTV
BCE_LT_SPRT_PRFM</t>
  </si>
  <si>
    <t>VALOR_LTV
REF_DATE</t>
  </si>
  <si>
    <t>Off-balance sheet amount</t>
  </si>
  <si>
    <t>Outstanding gross nominal amount</t>
  </si>
  <si>
    <t>Previous outstanding gross nominal amount</t>
  </si>
  <si>
    <t>Provisions associated with off-balance sheet exposures</t>
  </si>
  <si>
    <t>Type of EBA-compliant moratoria</t>
  </si>
  <si>
    <t>CT902_EBA_REPORT_CONTAB</t>
  </si>
  <si>
    <t>CREGIME</t>
  </si>
  <si>
    <t>Internal name of EBA compliant moratoria as registered by the bank</t>
  </si>
  <si>
    <t xml:space="preserve"> 'Compliant Moratoriums'</t>
  </si>
  <si>
    <t>Date of EBA compliant moratoria status</t>
  </si>
  <si>
    <t>DTESTADO 
DINIPED</t>
  </si>
  <si>
    <t>Initial date of first EBA compliant moratoria status</t>
  </si>
  <si>
    <t>End date of principal grace period for COVID19 related measures</t>
  </si>
  <si>
    <t>DFIMCAR</t>
  </si>
  <si>
    <t>End date of the interest-only period for COVID19 related measures</t>
  </si>
  <si>
    <t>EBA compliant moratoria status</t>
  </si>
  <si>
    <t>CT902_EBA_REPORT_CONTAB
LT806_MRT_ST_C19</t>
  </si>
  <si>
    <t>CESTADO
F_EXPIRED
CREGIME
EBA_CMPLNT_MRTR_ST_C19</t>
  </si>
  <si>
    <t>Grace period on capital and interest</t>
  </si>
  <si>
    <t>CTIPCAR</t>
  </si>
  <si>
    <t>Maturity of latest EBA compliant moratoria</t>
  </si>
  <si>
    <t>BLOCO 2</t>
  </si>
  <si>
    <t>Data Inicio</t>
  </si>
  <si>
    <t>Data Fim</t>
  </si>
  <si>
    <t>Versão</t>
  </si>
  <si>
    <t>Trabalho</t>
  </si>
  <si>
    <t>Pilar 3</t>
  </si>
  <si>
    <t>VDS</t>
  </si>
  <si>
    <t>GD</t>
  </si>
  <si>
    <t>BLOCO 1</t>
  </si>
  <si>
    <t>Produção</t>
  </si>
  <si>
    <t>Tipo de Alteração</t>
  </si>
  <si>
    <t>Teste de Consistência</t>
  </si>
  <si>
    <t xml:space="preserve">Controlos Corporativos </t>
  </si>
  <si>
    <t>Nova Especificação</t>
  </si>
  <si>
    <t>FLD_SYNDCTN, RTNTN_SHR, STTS_UNDRWRTTN_TRNSCTN, SYNDCT_RL, SYNDCTD_AGNT, SYNDCTD_CNTRCT_ID, SYNDCTD_LNDRS, SYNDCTD_SHR, SYNDCTN_TYP e TRNCH</t>
  </si>
  <si>
    <t>COUNTERPARTY_COUNTRY, ADDRESS_STREET, ADDRESS_CITY_TOWN_VILLAGE e ADDRESS_COUNTY_ADM_DIV</t>
  </si>
  <si>
    <t>typ_ep_scr, sstnbl_ctgry, rsk_mtgtd_ccp, nace_esg, mthd_usd_instrmnt_scp_3, mthd_usd_instrmnt_scp_2, mthd_usd_instrmnt_scp_1, PRMRY_ENRGY_DMND_NN_RNWBL, DT_RGSTRTN, RL_ESTT_CRTFCTN, FLG_FRST_HM, DT_MTRTY_INSRNC, AMNT_CVRD_INSRNC, TYP_HZRDS_INSRD, INSRNC_ID, VHCL_EMSSNS_SCR, flg_chrnc_physcl_rsk, VHCL_EMSSNS_LBL, flg_act_physcl_rsk, TYP_EMSSNS_LBL, esg_sbsctr, prtctn_allctd_vl, enblng_trnvr_ce, enblng_capex_ce, enblng_trnvr_w, enblng_capex_w, pure_trnvr_ce, pure_capex_ce, pure_trnvr_w, pure_capex_w, pure_trnvr_b, pure_capex_b, pure_trnvr_p, pure_capex_p, txnmy_elgbl_trnvr_ce, txnmy_elgbl_capex_ce, txnmy_elgbl_trnvr_b, txnmy_elgbl_capex_b, txnmy_elgbl_trnvr_p, txnmy_elgbl_capex_p, txnmy_elgbl_trnvr_w, txnmy_elgbl_capex_w, entty_nm, FLG_MNMM_SFGRDS, INTRNL_SGMNT_CATGSUB, INTRNL_SGMNT_CAT_MSTA, EIR_INCPTN, EIR, LTV_INCPTN, LTV, RWA, EAD, DT_ORGNL_MTRTY, INTRNL_SGMNT, FRBRNC_STTS_INSTRMNT, DNSH_DTL, FLG_DNSH_CMPLNC, ep_scr, INSTRMNT_ID, DT_RFRNC, COD_SOC</t>
  </si>
  <si>
    <t>dt_prfrmng_stts_prvs, dt_prfrmng_stts, dpd_12m_prfrmng_stts, dt_imprmnt_stts_prvs, dt_imprmnt_stts, off_blnc_sht_amnt_instrmnt_prvs, prfrmng_stts_prvs, dpd_prfrmng_stts, dpd_24m_prfrmng_stts, prfrmng_stts, orgnl_prtctn_vl, imprmnt_stts, ifrs9_bhvrl_mtrty, mn_entty_id, imprmnt_stts_prvs</t>
  </si>
  <si>
    <t xml:space="preserve">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ISSR_ID.issr_id &lt;&gt; LT002.issr_id
;
</t>
  </si>
  <si>
    <t>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length(LT002.ISSR_ID) &gt;=255</t>
  </si>
  <si>
    <t>ID of the issuer should have Char format (variable length allowed between 1 and 255 characters)</t>
  </si>
  <si>
    <t xml:space="preserve">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LT002.instrmnt_id, LT002.issr_id, ISSR_ID.ISSR_ID as ISSR_ID_SIM,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
Where LT002.issr_id_typ &lt;&gt; ISSR_ID.ISSR_ID_TYP
</t>
  </si>
  <si>
    <t>"Type of ID of the issuer" should match the information on the Codelist</t>
  </si>
  <si>
    <t>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DISTINCT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</si>
  <si>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&lt;&gt; accmltd_chngs_fv_cr_instrmnt_sim
 </t>
  </si>
  <si>
    <t>"Accumulated changes in fair value due to credit risk" should have a Format numeric (2 decimal places)</t>
  </si>
  <si>
    <t>"Accumulated changes in fair value due to credit risk" shall be larger or equal to 0; Negative values trigger attention</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</si>
  <si>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</si>
  <si>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If "Subportfolio ID" is classified as 'VRPL - Fair value through profit and loss' and 'P - Performing', then "Accumulated changes in fair value due to credit risk" should be 'Not Applicable' or zero</t>
  </si>
  <si>
    <t>If "Balance sheet recognition" is set as 'REC01 - Entirely recognised' or 'REC02 - Recognised to the extent of the institution's continuing involvement' and Subportfolio ID is classified as 'VRPL - FV with changes in PL' then "Accumulated changes in fair value due to credit risk" cannot be 'Not Applicable'</t>
  </si>
  <si>
    <t>If "Performing status" is set as '11 - Performing' and "Forbearance status" is populated as '3 - Forborne: Refinanced debt', '4 - Forborne: instruments with other modified terms and conditions' or '5 - Forborne: instruments with modified interest rate below market conditions', then "Accumulated changes in fair value due to credit risk" should be 'Not Applicable'</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</si>
  <si>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cast(accmltd_chngs_fv_cr_instrmnt as VARCHAR) NOT LIKE '%.__'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</si>
  <si>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 0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</si>
  <si>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accntng_clssfctn IN ('6','14','8')
AND accmltd_chngs_fv_cr_instrmnt &lt;&gt; 11111111111
 </t>
  </si>
  <si>
    <t>Campo não existe</t>
  </si>
  <si>
    <t xml:space="preserve">SELECT instrmnt_id, accmltd_chngs_fv_cr_instrmnt, accmltd_chngs_fv_cr_instrmnt_sim ,prfrmng_stts, accntng_clssfctn
FROM
(SELECT
instrmnt_id, accmltd_chngs_fv_cr_instrmnt, prfrmng_stts, accntng_clssfctn, frbrnc_stts_instrmnt,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prfrmng_stts IN ('11')
AND frbrnc_stts_instrmnt IN ('3','4','5')
AND accmltd_chngs_fv_cr_instrmnt &lt;&gt; 11111111111
 </t>
  </si>
  <si>
    <t>Re-especificar o campo utilizando o código da OSI (código é uma proxy com base no tipo de amortização e na frequência de pagamentos)</t>
  </si>
  <si>
    <t>Observações</t>
  </si>
  <si>
    <t>Data</t>
  </si>
  <si>
    <t>Total de Campos da Wallet</t>
  </si>
  <si>
    <t>Estado Campos em Produção</t>
  </si>
  <si>
    <t>REF_DATE</t>
  </si>
  <si>
    <t>1 Controlo NOK - Proteções a zero</t>
  </si>
  <si>
    <t>BLOCO 3</t>
  </si>
  <si>
    <t>Next Steps</t>
  </si>
  <si>
    <t>Estado do campo</t>
  </si>
  <si>
    <t>LT_VALIDATION_LABEL</t>
  </si>
  <si>
    <t>LT_VALIDATION_DESCRIPTION</t>
  </si>
  <si>
    <t>LT_VALIDAT_TABLE</t>
  </si>
  <si>
    <t>LT_VALIDAT_FIELD</t>
  </si>
  <si>
    <t>LT_VALIDATION_TYPE</t>
  </si>
  <si>
    <t>LT_PROC_STEP_ID</t>
  </si>
  <si>
    <t>LT_PROC_VAL_NEW_STATUS</t>
  </si>
  <si>
    <t>LT_VAL_EXECUTED</t>
  </si>
  <si>
    <t>LT_VAL_INCIDENTS</t>
  </si>
  <si>
    <t>VL_PERCENT</t>
  </si>
  <si>
    <t>RELACION_NUM_DF</t>
  </si>
  <si>
    <t>LT_O_IN</t>
  </si>
  <si>
    <t>LT_R_IN_097_01</t>
  </si>
  <si>
    <t>If "Date of performing status" is not equal to "Date of Inception" and "Date of performing status" occured during a period of 24 month preceding the reference date, then "Highest number of days past due in the 12 months prior to the most recent change of performing status" cannot be 'Not applicable'</t>
  </si>
  <si>
    <t>INTRA_REL_P_IN</t>
  </si>
  <si>
    <t>REL_CAMPOS</t>
  </si>
  <si>
    <t>LT_R_IN</t>
  </si>
  <si>
    <t>KO</t>
  </si>
  <si>
    <t>LT_O_IN_102_01</t>
  </si>
  <si>
    <t>"Date of impairment status" must be later than 01 January 1970</t>
  </si>
  <si>
    <t>RELACION_FECHA</t>
  </si>
  <si>
    <t>LT_O_IN_103_01</t>
  </si>
  <si>
    <t>"Date of previous impairment status" must be later than 01 January 1970</t>
  </si>
  <si>
    <t>LT_O_IN_027_01</t>
  </si>
  <si>
    <t>"Date of performing status" must be later than 01 January 1970</t>
  </si>
  <si>
    <t>INTER_REL_P_X2</t>
  </si>
  <si>
    <t>LT_O_IN_028_01</t>
  </si>
  <si>
    <t>"Date of previous performing status" must be later than 01 January 1970</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</si>
  <si>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</si>
  <si>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</si>
  <si>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</si>
  <si>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</si>
  <si>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LT_R_IN_034_09</t>
  </si>
  <si>
    <t>If "Debtor on watch-list (Y/N)" (Main Entity level) is set as 'Y' and "Subportfolio ID" is not classified as 'VRPL - FV with changes in PL' then "Impairment status" has to be set as '24 - Stage 2 (IFRS)' or '25 - Stage 3 (IFRS)'</t>
  </si>
  <si>
    <t>INTER_REL_P_X1</t>
  </si>
  <si>
    <t>LT_R_IN_034_12</t>
  </si>
  <si>
    <t>If "Subportfolio ID" is classified as 'S1 - Stage 1', then "Impairment status" must equal '23 - Stage 1 (IFRS)'</t>
  </si>
  <si>
    <t>LT_R_IN_035_01</t>
  </si>
  <si>
    <t>If "Accounting portfolio" equals '2 - IFRS: Financial assets held for trading', '4 - IFRS: Financial assets designated at fair value through profit or loss' or '41 - IFRS: Non-trading financial assets mandatorily at fair value through profit or loss', then "Previous impairment status" must equal default values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</si>
  <si>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</si>
  <si>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</si>
  <si>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LT_R_IN_044_07</t>
  </si>
  <si>
    <t>If "Protection called" is set as 'Y' then "Performing status" (instrument level) has to be set as '1 - Non-performing'</t>
  </si>
  <si>
    <t>INTER_REL_P_X3</t>
  </si>
  <si>
    <t>LT_R_IN_044_12</t>
  </si>
  <si>
    <t>If "Performing status" (Main Entity level) is set as '1 - Non Performing' then "Performing status" at instrument level should be '1 - Non Performing'</t>
  </si>
  <si>
    <t>LT_R_IN_044_08</t>
  </si>
  <si>
    <t>If "Subportfolio ID" is classified as 'P - Performing', then "Performing status" (instrument level) has to be set as '11 - Performing'</t>
  </si>
  <si>
    <t>Campo com alteração de especificação devido a atualização do Guia Corporativo (Relacionado com o PRFRMNG_STTS_PRVS)</t>
  </si>
  <si>
    <t>1 Controlo NOK - Inconsistências entre conceitos DFLT e STAGE 
1 Controlo ligado a um campo com Incidências (PRTCTN_CLLD)
1 Controlo enviado pela Luísa à corporação (será retirado)</t>
  </si>
  <si>
    <t xml:space="preserve">- Alteração do Universo da LT004 para a GT018 (15/01/2025)
- Alteração de especificação de campos dependentes da tabela CT063 para a tabela Business (02/04/2025)
- Retirar traçabilidade dos ajustes com as demais tabelas (04/04/2025)
- Alteração de especificação dos campo do Universo PRVS (04/04/2025)
</t>
  </si>
  <si>
    <t>Alterar Especificação</t>
  </si>
  <si>
    <t>dstntn_fnds, excldd_lf, flln_angl_extndd_dfntn, flln_angl_nrrw_dfntn, grp_rorac, rorac, rorac, rwa_mtgtn, rwa_prmtgtn, scan, ttl_lvrg_rt_incptn, ttl_prmssbl_dbt_blnc, typ_cl, typ_dl, typ_fclty, typ_off_blnc_prdct, us_prcds, pd_ec_incptn, pd_ec_rd, ttl_lvrg_rt_incptn_hlt, dt_mdfctn, grp_spprt, fld_syndctn, rtntn_shr, stts_undrwrttn_trnsctn, syndct_rl, syndctd_agnt, syndctd_cntrct_id, syndctd_lndrs, syndctd_shr, syndctn_typ, trnch, dt_extrnl_rtng, dt_frbrnc_stts, ec_grp_id, ec_grp_nm, extrnl_rtng, extrnl_rtng_nm, extrnl_rtng_prvs, frbrnc_stts_instrmnt, cntry, ecnmc_actvty, rtng_scl, typ_instrmnt, prfrmng_stts_prvs, flg_lbo,mn_entty_id</t>
  </si>
  <si>
    <t>Campos entregues por IT para testagem do GD, as entregas referentes aos campos listados foram efetuadas em 4 fases:
AVRG_BLNC ,NW_BSNSS ,GRSS_INTRST_INCM ,GRSS_CMMSSN_INCM ,INTRNL_TRNSFR_RT ,NT_LN_LSS_PRVSN ,BSNSS_AREA ,MNGMNT_PRDCT ,GRSS_CMMSSN_EXPNS ,GNS_FNNCL_TRNSCTN_EXCHNG_DFFRNCS ,FLG_INTRBSNSS ,INTRBSNSS_ADJ_COD ,COD_SOC_DSTNTN ,BSNSS_AREA_DSTNTN ,AVRG_BLNC_OFF_BLNC ,INTRNL_TRNSFR_RT_OFF_BLNC ,GRSS_CMMSSN_INCM_OFF_BLNC ,GRSS_CMMSSN_EXPNS_OFF_BLNC ,RWA_OFF_BLNC ,GRSS_INTRST_EXPNS ,NT_LN_LSS_PRVSN_OFF_BLNC ,GRSS_INTRST_INCM_CCRR ,GRSS_INTRST_EXPNS_CCRR ,GRSS_CMMSSN_INCM_CCRR ,GRSS_CMMSSN_EXPNS_CCRR ,GNS_FNNCL_TRNSCTN_EXCHNG_CCRR ,BSNSS_AREA_CCRR ,GRSS_CMMSSN_INCM_OFF_BLNC_CCRR ,GRSS_CMMSSN_EXPNS_OFF_BLNC_CCRR ,CCF ,COD_SOC ,SUBPORTFOLIO_ID ,DT_RFRNC ,DFLT_STTS_INSTRMNT ,IMPRMNT_STTS ,PRFRMNG_STTS ,TYP_INSTRMNT ,GRSS_CRRYNG_AMNT_INSTRMNT ,PRVSNS_OFF_BLNC_SHT ,COD_SOC_INTRGRP ,LCL_INSTMRNT_ID ,CNCLLD_INSTRMNT_STTS ,INSTRMNT_ID ,COD_SOC ,DT_RFRNC ,PRTCTN_ID ,TYP_PRTCTN ,PRTCTN_VL ,TYP_VHCL ,COD_SOC ,DT_RFRNC ,INSTRMNT_ID ,PRTCTN_ID ,TYP_RLTN ,PRCNTG_ACTVTY ,SSTNBL_INDCTR ,SSTNBL_CTGRY ,COD_SOC ,DT_RFRNC ,INSTRMNT_ID</t>
  </si>
  <si>
    <t>BLOCO 4</t>
  </si>
  <si>
    <t>Passagem a Produção</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</si>
  <si>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bu_loantape_work.lt002_instrument
      WHERE segmento = 'ESTR'
        AND nome_perimetro ='Individual Corporativo'
        AND ref_date='${date}'
        AND AMBITO = 'PM' 
        AND cod_visao = 1) LT002
   LEFT JOIN
     (SELECT CEMPRESA,
             CBALCAO,
             CNUMECTA,
             ZDEPOSIT,
             valor_bruto_off_prvs
      FROM bu_loantape_work.lt001_univ_oper
      WHERE segmento = 'ESTR'
        AND nome_perimetro ='Individual Corporativo'
        AND ref_date='${date}'
        AND AMBITO = 'PM'
        AND cod_visao = 1)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</si>
  <si>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
FROM
  (SELECT instrmnt_id,
          off_blnc_sht_amnt_instrmnt_prvs,
          dt_incptn,
          ref_date
   FROM bu_loantape_work.lt002_instrument
   WHERE segmento = 'ESTR'
     AND nome_perimetro ='Individual Corporativo'
     AND ref_date='${date}'
     AND AMBITO = 'PM'
     AND cod_visao = 1) LT002
WHERE cast(off_blnc_sht_amnt_instrmnt_prvs AS VARCHAR) NOT LIKE '%.__'</t>
  </si>
  <si>
    <t>SELECT *
FROM
  (SELECT instrmnt_id,
          off_blnc_sht_amnt_instrmnt_prvs,
          dt_incptn,
          ref_date
   FROM bu_loantape_work.lt002_instrument
   WHERE segmento = 'ESTR'
     AND nome_perimetro ='Individual Corporativo'
     AND ref_date='${date}'
     AND AMBITO = 'PM'
     AND cod_visao = 1) LT002
WHERE off_blnc_sht_amnt_instrmnt_prvs &lt; 0</t>
  </si>
  <si>
    <t xml:space="preserve">SELECT *
FROM
  (SELECT instrmnt_id,
          off_blnc_sht_amnt_instrmnt_prvs,
          dt_incptn,
          ref_date
   FROM bu_loantape_work.lt002_instrument
   WHERE segmento = 'ESTR'
     AND nome_perimetro ='Individual Corporativo'
     AND ref_date='${date}'
     AND AMBITO = 'PM'
     AND cod_visao = 1) LT002
WHERE SUBSTR(cast(add_months(ref_date, -12) AS string), 1, 10) &lt; DT_INCPTN
        AND off_blnc_sht_amnt_instrmnt_prvs &lt;&gt; 11111111111
</t>
  </si>
  <si>
    <t>SELECT *
FROM
  (SELECT instrmnt_id,
          off_blnc_sht_amnt_instrmnt_prvs,
          off_blnc_sht_amnt_instrmnt,
          dt_incptn,
          ref_date
   FROM bu_loantape_work.lt002_instrument
   WHERE segmento = 'ESTR'
     AND nome_perimetro ='Individual Corporativo'
     AND ref_date='2025-03-31'
     AND AMBITO = 'PM'
     AND cod_visao = 1
     AND instrmnt_id NOT LIKE 'SS%'
     AND instrmnt_id NOT LIKE 'SNCN%') LT002
WHERE SUBSTR(cast(add_months(ref_date, -12) AS string), 1, 10) &gt; DT_INCPTN
  AND off_blnc_sht_amnt_instrmnt &lt;&gt; 11111111111
  AND off_blnc_sht_amnt_instrmnt_prvs = 11111111111</t>
  </si>
  <si>
    <t>Alteração tabela fonte CT063 para a tabela Business</t>
  </si>
  <si>
    <t>Campo pode sofrer alterações com o tratamento dos NULL já entregue para testagem</t>
  </si>
  <si>
    <t>UNVERSO</t>
  </si>
  <si>
    <t>FLAG_PME</t>
  </si>
  <si>
    <t>COD_EMPR_PME</t>
  </si>
  <si>
    <t>SELECT LT001.zcliente,cod_empr_pme, cod_empr_pme_sim, flag_pme,FLAG_PME_SIM
FROM
(SELECT zcliente, cod_empr_pme, flag_pme
FROM bu_loantape_work.lt001_univ_oper
WHERE ref_date = '2025-06-30'
  AND ambito = 'PM'
  AND segmento = 'ESTR'
  AND nome_perimetro = 'Individual IDComb') LT001
LEFT JOIN
(SELECT zcliente, cast(cod_empr_pme as STRING) as cod_empr_pme_sim,
Case when cast(cod_empr_pme as STRING) in ('1','2','3') THEN '1' ELSE '0' END as FLAG_PME_SIM
FROM business_sme2003361.out_sme_2003_361
Where 1=1 
AND ref_date = '${date}') BUSSME
ON LT001.zcliente = BUSSME.zcliente
WHERE 1=1 
AND cod_empr_pme &lt;&gt; cod_empr_pme_sim
-- AND flag_pme &lt;&gt; FLAG_PME_SIM</t>
  </si>
  <si>
    <t>SELECT LT001.zcliente,cod_empr_pme, cod_empr_pme_sim, flag_pme,FLAG_PME_SIM
FROM
(SELECT zcliente, cod_empr_pme, flag_pme
FROM bu_loantape_work.lt001_univ_oper
WHERE ref_date = '2025-06-30'
  AND ambito = 'PM'
  AND segmento = 'ESTR'
  AND nome_perimetro = 'Individual IDComb') LT001
LEFT JOIN
(SELECT zcliente, cast(cod_empr_pme as STRING) as cod_empr_pme_sim,
Case when cast(cod_empr_pme as STRING) in ('1','2','3') THEN '1' ELSE '0' END as FLAG_PME_SIM
FROM business_sme2003361.out_sme_2003_361
Where 1=1 
AND ref_date = '${date}') BUSSME
ON LT001.zcliente = BUSSME.zcliente
WHERE 1=1 
-- AND cod_empr_pme &lt;&gt;cod_empr_pme_sim
AND flag_pme &lt;&gt; FLAG_PME_SIM</t>
  </si>
  <si>
    <t>ENTRPRZ_SZ_LE</t>
  </si>
  <si>
    <t>SELECT 
entty_id, contraparte,
entrprs_sz_le, entrprs_sz_le_simulado
FROM
(
SELECT entty_id,entrprs_sz_le, contraparte,
CASE WHEN contraparte in ('outras empresas nao financeiras') THEN entrprs_sz_le_simulado ELSE '11111111111' END AS entrprs_sz_le_simulado
FROM
(
SELECT entty_id, entrprs_sz_le, contraparte,
CASE WHEN cod_empr_pme = 0 THEN '1'
WHEN cod_empr_pme = 3 THEN '2'
WHEN cod_empr_pme = 2 THEN '3'
WHEN cod_empr_pme = 1 THEN '4'
ELSE '99999999999' END AS entrprs_sz_le_simulado
FROM 
(SELECT entty_id, entrprs_sz_le
FROM bu_loantape_work.lt003_entity
WHERE 1=1 
AND ambito = 'PM'
AND segmento = 'ESTR'
AND ref_date = '${date}'
AND nome_perimetro = 'Individual IDComb'
AND cod_visao = 1) LT003
LEFT JOIN
(SELECT zcliente, contraparte
FROM cd_captools.ct003_univ_cli
WHERE 1=1 
AND ref_date = '${date}') CT003
ON CT003.zcliente = LT003.entty_id
LEFT JOIN
(SELECT zcliente, cod_empr_pme
FROM business_sme2003361.out_sme_2003_361
Where 1=1 
AND ref_date = '${date}') BUSSME
ON LT003.entty_id = BUSSME.zcliente
) A
) B
Where 1=1
AND entrprs_sz_le &lt;&gt; entrprs_sz_le_simulado</t>
  </si>
  <si>
    <t>SELECT LT002.instrmnt_id, cre_fnrp18, CRE_FNRP18_sim
FROM 
(SELECT instrmnt_id, cre_fnrp18
FROM bu_loantape_work.lt002_instrument
WHERE 1=1 
AND ambito = 'PM'
AND segmento = 'ESTR'
AND ref_date = '${date}'
AND nome_perimetro = 'Individual IDComb'
AND cod_visao = 1) LT002
LEFT JOIN
(SELECT *
FROM cd_loan_tapes_bce.kt_chaves_lt
Where ref_date ='${date}') kt_chaves
ON LT002.instrmnt_id = kt_chaves.instrmnt_id
LEFT JOIN 
(SELECT *, CASE
    WHEN CASE
             WHEN LOWER(REGEXP_REPLACE(carteira_contabilistica, ' ','')) IN ('garantiasecompromissosconcedidos')
                  AND LOWER(REGEXP_REPLACE(contraparte, ' ','')) IN ('outrasempresasnaofinanceiras')
                  AND LOWER(REGEXP_REPLACE(tipo_conta, ' ','')) IN ('ea')
                  AND LOWER(REGEXP_REPLACE(colateral, ' ','')) IN ('garhipcomercial') THEN 'CRE_FNRP18'
             WHEN LOWER(REGEXP_REPLACE(carteira_contabilistica, ' ','')) IN ('provisoesparacompromissosegarantiasconcedidas')
                  AND LOWER(REGEXP_REPLACE(contraparte, ' ','')) IN ('outrasempresasnaofinanceiras')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IN ('imparidade')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NOT IN ('imparidade')
                  AND LOWER(REGEXP_REPLACE(colateral, ' ','')) IN ('garhipcomercial') THEN 'CRE_FNRP18'
             WHEN LOWER(REGEXP_REPLACE(carteira_contabilistica, ' ','')) IN ('garantiasecompromissosconcedidos')
                  AND LOWER(REGEXP_REPLACE(contraparte, ' ','')) IN ('')
                  AND LOWER(REGEXP_REPLACE(contraparte_i, ' ','')) IN ('outrasempresasnaofinanceiras')
                  AND LOWER(REGEXP_REPLACE(tipo_conta, ' ','')) IN ('ea')
                  AND LOWER(REGEXP_REPLACE(colateral, ' ','')) IN ('garhipcomercial') THEN 'CRE_FNRP18'
             WHEN LOWER(REGEXP_REPLACE(carteira_contabilistica, ' ','')) IN ('provisoesparacompromissosegarantiasconcedidas')
                  AND LOWER(REGEXP_REPLACE(contraparte, ' ','')) IN ('')
                  AND LOWER(REGEXP_REPLACE(contraparte_i, ' ','')) IN ('outrasempresasnaofinanceiras')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IN ('imparidade')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NOT IN ('imparidade')
                  AND LOWER(REGEXP_REPLACE(colateral, ' ','')) IN ('garhipcomercial') THEN 'CRE_FNRP18'
         END = 'CRE_FNRP18' THEN 'Y'
    ELSE 'N'
END AS CRE_FNRP18_sim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Where cre_fnrp18 &lt;&gt; CRE_FNRP18_sim</t>
  </si>
  <si>
    <t>SELECT LT002.instrmnt_id,
       rre_fnrp18,
       RRE_FNRP18_sim
FROM
  (SELECT instrmnt_id,
          rre_fnrp18
   FROM bu_loantape_work.lt002_instrument
   WHERE 1=1
     AND ambito = 'PM'
     AND segmento = 'ESTR'
     AND ref_date = '${date}'
     AND nome_perimetro = 'Individual IDComb'
     AND cod_visao = 1) LT002
LEFT JOIN
  (SELECT *
   FROM cd_loan_tapes_bce.kt_chaves_lt
   WHERE ref_date ='${date}') kt_chaves ON LT002.instrmnt_id = kt_chaves.instrmnt_id
LEFT JOIN
  (SELECT *,
          CASE
              WHEN CASE
                       WHEN LOWER(REGEXP_REPLACE(carteira_contabilistica, ' ','')) IN ('garantiasecompromissosconcedidos')
                            AND LOWER(REGEXP_REPLACE(contraparte, ' ','')) IN ('particulares')
                            AND LOWER(REGEXP_REPLACE(tipo_conta, ' ','')) IN ('ea')
                            AND LOWER(REGEXP_REPLACE(colateral, ' ','')) IN ('garhipresidencial') THEN 'RRE_FNRP18'
                       WHEN LOWER(REGEXP_REPLACE(carteira_contabilistica, ' ','')) IN ('provisoesparacompromissosegarantiasconcedidas')
                            AND LOWER(REGEXP_REPLACE(contraparte, ' ','')) IN ('particulares')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('particulares')
                            AND LOWER(REGEXP_REPLACE(tipo_conta, ' ','')) IN ('a')
                            AND LOWER(REGEXP_REPLACE(bruto_imparidade, ' ','')) IN ('imparidade')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('particulares')
                            AND LOWER(REGEXP_REPLACE(tipo_conta, ' ','')) IN ('a')
                            AND LOWER(REGEXP_REPLACE(bruto_imparidade, ' ','')) NOT IN ('imparidade')
                            AND LOWER(REGEXP_REPLACE(colateral, ' ','')) IN ('garhipresidencial') THEN 'RRE_FNRP18'
                       WHEN LOWER(REGEXP_REPLACE(carteira_contabilistica, ' ','')) IN ('garantiasecompromissosconcedidos')
                            AND LOWER(REGEXP_REPLACE(contraparte, ' ','')) IN ('')
                            AND LOWER(REGEXP_REPLACE(contraparte_i, ' ','')) IN ('particulares')
                            AND LOWER(REGEXP_REPLACE(tipo_conta, ' ','')) IN ('ea')
                            AND LOWER(REGEXP_REPLACE(colateral, ' ','')) IN ('garhipresidencial') THEN 'RRE_FNRP18'
                       WHEN LOWER(REGEXP_REPLACE(carteira_contabilistica, ' ','')) IN ('provisoesparacompromissosegarantiasconcedidas')
                            AND LOWER(REGEXP_REPLACE(contraparte, ' ','')) IN ('')
                            AND LOWER(REGEXP_REPLACE(contraparte_i, ' ','')) IN ('particulares')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('particulares')
                            AND LOWER(REGEXP_REPLACE(tipo_conta, ' ','')) IN ('a')
                            AND LOWER(REGEXP_REPLACE(bruto_imparidade, ' ','')) IN ('imparidade')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('particulares')
                            AND LOWER(REGEXP_REPLACE(tipo_conta, ' ','')) IN ('a')
                            AND LOWER(REGEXP_REPLACE(bruto_imparidade, ' ','')) NOT IN ('imparidade')
                            AND LOWER(REGEXP_REPLACE(colateral, ' ','')) IN ('garhipresidencial') THEN 'RRE_FNRP18'
                   END = 'RRE_FNRP18' THEN 'Y'
              ELSE 'N'
          END AS RRE_FNRP18_sim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WHERE RRE_fnrp18 &lt;&gt; RRE_FNRP18_sim</t>
  </si>
  <si>
    <t>"Flag of CREs" should be a Char not null (default values for not applicable fields not allowed)</t>
  </si>
  <si>
    <t>"Flag of CREs" should match the information on the Codelist</t>
  </si>
  <si>
    <t>If "Flag of CREs" is set to 'N', then "Debt yield" must be defaulted</t>
  </si>
  <si>
    <t>If "Flag of CREs" is set as 'Y - Yes' then "Loans collateralized classification" should be 'FMC1 - Real Estate. Commercial'</t>
  </si>
  <si>
    <t>If "Flag of CREs" is set to 'Y' in INSTRUMENT table then at least one record in PROTECTION table must have informed "Protection type" as '9 - Offices and commercial premises' or '10 - Commercial real estate collateral'</t>
  </si>
  <si>
    <t xml:space="preserve">1 contrato </t>
  </si>
  <si>
    <t>SELECT *
FROM
(
SELECT instrmnt_id, cre_fnrp18, max(VALIDACAO) as validacao
FROM
(
SELECT LT002.instrmnt_id, cre_fnrp18
, CASE WHEN typ_PRTCTN = '9' OR typ_PRTCTN = '10' Then 'SIM' ELSE 'NAO' END AS VALIDACAO
FROM
     (SELECT instrmnt_id,
             cre_fnrp18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cre_fnrp18
) Y
Where validacao = 'NAO'
AND CRE_FNRP18 = 'Y'</t>
  </si>
  <si>
    <t>SELECT DISTINCT cre_fnrp18
      FROM bu_loantape_work.lt002_instrument
      WHERE 1=1
        AND ambito = 'PM'
        AND segmento = 'ESTR'
        AND ref_date = '${date}'
        AND nome_perimetro = 'Individual IDComb'
        AND cod_visao = 1
        AND instrmnt_id NOT LIKE 'SNCN%'
        AND instrmnt_id NOT LIKE 'SS%'</t>
  </si>
  <si>
    <t xml:space="preserve">SELECT instrmnt_id, cre_fnrp18, dbt_yld
      FROM bu_loantape_work.lt002_instrument
      WHERE 1=1
        AND ambito = 'PM'
        AND segmento = 'ESTR'
        AND ref_date = '${date}'
        AND nome_perimetro = 'Individual IDComb'
        AND cod_visao = 1
        AND instrmnt_id NOT LIKE 'SNCN%'
        AND instrmnt_id NOT LIKE 'SS%'
        AND cre_fnrp18 = 'N' 
        AND dbt_yld not in (11111111111,99999999999)
 </t>
  </si>
  <si>
    <t xml:space="preserve">SELECT DISTINCT lns_clltrlzd_clssfctn
      FROM bu_loantape_work.lt002_instrument
      WHERE 1=1
        AND ambito = 'PM'
        AND segmento = 'ESTR'
        AND ref_date = '${date}'
        AND nome_perimetro = 'Individual IDComb'
        AND cod_visao = 1
        AND instrmnt_id NOT LIKE 'SNCN%'
        AND instrmnt_id NOT LIKE 'SS%'
        AND cre_fnrp18 = 'Y' 
        AND lns_clltrlzd_clssfctn </t>
  </si>
  <si>
    <t>Na Especificação falta condição de N/A?!</t>
  </si>
  <si>
    <t>"Enterprise size Counterparty (LE)" should match the information on the Codelist</t>
  </si>
  <si>
    <t>If "Flag of SMEs" equals 'N', then "Enterprise size Counterparty (LE)" (Main Entity level) cannot equal '2 - Medium enterprise' nor '3 - Small enterprise' nor '4 - Micro enterprise'</t>
  </si>
  <si>
    <t>If "Flag of SMEs" equals 'Y', then "Enterprise size Counterparty (LE)" (Main Entity level) cannot equal '1 - Large enterprise'</t>
  </si>
  <si>
    <t>If "Type of person" is 'N - Natural person' then "Enterprise size Counterparty (LE)" must be a default value</t>
  </si>
  <si>
    <t>If "Date of enterprise size" is populated with other than default values then "Enterprise size" cannot be 'Not applicable'</t>
  </si>
  <si>
    <t>FLAG_PME (LT001)</t>
  </si>
  <si>
    <t>COD_EMPR_PME (LT001)</t>
  </si>
  <si>
    <t>Alteração do nome do campo SUBTIPO_GARANTIA da LT001 para COLATERAL cuja fonte é o COLATERAL da FR011</t>
  </si>
  <si>
    <t xml:space="preserve">SELECT DISTINCT entrprs_sz_le
FROM bu_loantape_work.lt003_entity
WHERE 1=1 
AND ambito = 'PM'
AND segmento = 'ESTR'
AND ref_date = '${date}'
AND nome_perimetro = 'Individual IDComb'
AND cod_visao = 1
</t>
  </si>
  <si>
    <t>SELECT Lt003.entty_id, entrprs_sz_le, Lt002.instrmnt_id, sme_fnrp18
FROM
(SELECT entty_id, entrprs_sz_le
FROM bu_loantape_work.lt003_entity
WHERE 1=1 
AND ambito = 'PM'
AND segmento = 'ESTR'
AND ref_date = '${date}'
AND nome_perimetro = 'Individual IDComb'
AND cod_visao = 1) LT003
LEFT JOIN 
     (SELECT *
      FROM bu_loantape_work.lt005_instr_ent
      WHERE 1=1
        AND ambito = 'PM'
        AND segmento = 'ESTR'
        AND ref_date = '${date}'
        AND nome_perimetro = 'Individual IDComb'
        AND cod_visao = 1) LT005
ON LT003.entty_id = LT005.entty_id
LEFT JOIN 
     (SELECT instrmnt_id,
             sme_fnrp18
      FROM bu_loantape_work.lt002_instrument
      WHERE 1=1
        AND ambito = 'PM'
        AND segmento = 'ESTR'
        AND ref_date = '${date}'
        AND nome_perimetro = 'Individual IDComb'
        AND cod_visao = 1) LT002
ON LT002.instrmnt_id = LT005.instrmnt_id
Where sme_fnrp18 ='Y' 
AND entrprs_sz_le in ('1')</t>
  </si>
  <si>
    <t>SELECT entty_id, entrprs_sz_le, prsn_typ
FROM bu_loantape_work.lt003_entity
WHERE 1=1 
AND ambito = 'PM'
AND segmento = 'ESTR'
AND ref_date = '${date}'
AND nome_perimetro = 'Individual IDComb'
AND cod_visao = 1
AND prsn_typ = 'N'
AND entrprs_sz_le &lt;&gt; '11111111111'</t>
  </si>
  <si>
    <t>Este campo não está especificado</t>
  </si>
  <si>
    <t>"Flag of RREs" should be a Char not null (default values for not applicable fields not allowed)</t>
  </si>
  <si>
    <t>"Flag of RREs" should match the information on the Codelist</t>
  </si>
  <si>
    <t>If "Flag of RREs" is set as 'Y - Yes' then "Loans collateralized classification" should be 'FMC2 - Real Estate. Residential'</t>
  </si>
  <si>
    <t>If "Flag of RREs" is set to 'Y' in INSTRUMENT table then at least one record in PROTECTION table must have informed "Protection type" as '8 - Residential real estate collateral'</t>
  </si>
  <si>
    <t>SELECT DISTINCT rre_fnrp18
   FROM bu_loantape_work.lt002_instrument
   WHERE 1=1
     AND ambito = 'PM'
     AND segmento = 'ESTR'
     AND ref_date = '${date}'
     AND nome_perimetro = 'Individual IDComb'
     AND cod_visao = 1</t>
  </si>
  <si>
    <t>SELECT LT004.prtctn_id, typ_prtctn, lt002.instrmnt_id, rre_fnrp18
FROM
     (SELECT instrmnt_id,
             rre_fnrp18
      FROM bu_loantape_work.lt002_instrument
      WHERE 1=1
        AND ambito = 'PM'
        AND segmento = 'ESTR'
        AND ref_date = '${date}'
        AND nome_perimetro = 'Individual IDComb'
        AND cod_visao = 1)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Where LT002.instrmnt_id in (SELECT instrmnt_id
FROM
(
SELECT instrmnt_id, rre_fnrp18, max(VALIDACAO) as validacao
FROM
(
SELECT LT002.instrmnt_id, rre_fnrp18
, CASE WHEN typ_PRTCTN = '8' Then 'SIM' ELSE 'NAO' END AS VALIDACAO
FROM
     (SELECT instrmnt_id,
             rre_fnrp18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rre_fnrp18
) Y
WHERE rre_fnrp18 = 'Y'
AND validacao = 'NAO')
;
SELECT *
FROM
(
SELECT instrmnt_id, rre_fnrp18, max(VALIDACAO) as validacao
FROM
(
SELECT LT002.instrmnt_id, rre_fnrp18
, CASE WHEN typ_PRTCTN = '8' Then 'SIM' ELSE 'NAO' END AS VALIDACAO
FROM
     (SELECT instrmnt_id,
             rre_fnrp18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rre_fnrp18
) Y
WHERE rre_fnrp18 = 'Y'
AND validacao = 'NAO'</t>
  </si>
  <si>
    <t>Reapontamento para campos PRVS do Universo</t>
  </si>
  <si>
    <t>Reapontar para o MN_ENTTY_ID</t>
  </si>
  <si>
    <t>Justificado: Um contrato que tem uma garantias leasing imobiliario na FR003, mas que não está na LT 
Atualmente ainda existe um processo supletivo ao MUG para acautelar leasings imobiliarios e mobiliarios. Como a LT apenas reporta o que está no MUG esta garantias não existe no LT.Existe um projeto em curso onde até final de outubro este processo deixa de existir e toda a informação venha exclusivamente do MUG</t>
  </si>
  <si>
    <t>JUSTIFICADO CONTROLO NOK: Existem um contrato que está marcado como CRE = Y, mas no LT apenas estão duas garantias pessoais associadas
Este contrato que tem uma garantias leasing imobiliario na FR003. Atualmente ainda existe um processo supletivo ao MUG para acautelar leasings imobiliarios e mobiliarios. Como a LT apenas reporta o que está no MUG esta garantias não existe no LT.Existe um projeto em curso onde até final de outubro este processo deixa de existir e toda a informação vem exclusivamente do MUG</t>
  </si>
  <si>
    <t>Análise de controlos</t>
  </si>
  <si>
    <t>Análise de consistência</t>
  </si>
  <si>
    <t>Em desenvolvimento com Nuno Alves e equipa do HA</t>
  </si>
  <si>
    <t>ID</t>
  </si>
  <si>
    <t>1.Email enviado ao Nuno e Rafael para proceder alteração do campo de forma a corrigir controlo If "Flag of SMEs" equals 'N', then "Enterprise size Counterparty (LE)" (Main Entity level) cannot equal '2 - Medium enterprise' nor '3 - Small enterprise' nor '4 - Micro enterprise'
2. Rever controlo com Luísa que relaciona a FLAG com o ENTTY</t>
  </si>
  <si>
    <t>Rever sinal dos campo juros_corridos e juros_corridos_prvs</t>
  </si>
  <si>
    <t>OK - Justificado</t>
  </si>
  <si>
    <t>Estado dos Campos</t>
  </si>
  <si>
    <t>Especificar campo</t>
  </si>
  <si>
    <t>Individual IDComb</t>
  </si>
  <si>
    <t>NOME_PERIMETRO</t>
  </si>
  <si>
    <t>Enviar email para riscos ou Nuno Pinheiro</t>
  </si>
  <si>
    <t xml:space="preserve">SELECT *
FROM
  (SELECT LT002.instrmnt_id,
          sme_fnrp18,
MAX(CASE
    WHEN CASE
             WHEN LOWER(REGEXP_REPLACE(carteira_contabilistica, ' ','')) IN ('provisoesparacompromissosegarantiasconcedidas')
                  AND LOWER(REGEXP_REPLACE(contraparte, ' ','')) IN ('')
                  AND LOWER(REGEXP_REPLACE(contraparte_i, ' ','')) IN ('outrasempresasnaofinanceiras')
                  AND LOWER(REGEXP_REPLACE(cod_empr_pme, ' ','')) IN ('1',
                                                                      '2',
                                                                      '3') THEN 'SME_FNRP18'
             WHEN LOWER(REGEXP_REPLACE(carteira_contabilistica, ' ','')) IN ('garantiasecompromissosconcedidos')
                  AND LOWER(REGEXP_REPLACE(contraparte, ' ','')) IN ('')
                  AND LOWER(REGEXP_REPLACE(contraparte_i, ' ','')) IN ('outrasempresasnaofinanceiras')
                  AND LOWER(REGEXP_REPLACE(tipo_conta, ' ','')) IN ('ea')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NOT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NOT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IN ('imparidade')
                  AND LOWER(REGEXP_REPLACE(cod_empr_pme, ' ','')) IN ('1',
                                                                      '2',
                                                                      '3') THEN 'SME_FNRP18'
             WHEN LOWER(REGEXP_REPLACE(carteira_contabilistica, ' ','')) IN ('provisoesparacompromissosegarantiasconcedidas')
                  AND LOWER(REGEXP_REPLACE(contraparte, ' ','')) IN ('outrasempresasnaofinanceiras')
                  AND LOWER(REGEXP_REPLACE(cod_empr_pme, ' ','')) IN ('1',
                                                                      '2',
                                                                      '3') THEN 'SME_FNRP18'
             WHEN LOWER(REGEXP_REPLACE(carteira_contabilistica, ' ','')) IN ('garantiasecompromissosconcedidos')
                  AND LOWER(REGEXP_REPLACE(contraparte, ' ','')) IN ('outrasempresasnaofinanceiras')
                  AND LOWER(REGEXP_REPLACE(tipo_conta, ' ','')) IN ('ea')
                  AND LOWER(REGEXP_REPLACE(cod_empr_pme, ' ','')) IN ('1',
                                                                      '2',
                                                                      '3') THEN 'SME_FNRP18'
         END = 'SME_FNRP18' THEN 'Y'
    ELSE 'N'
END) AS SME_FNRP18_SIM
   FROM
     (SELECT instrmnt_id,
             sme_fnrp18
      FROM bu_loantape_work.lt002_instrument
      WHERE 1=1
        AND ambito = 'PM'
        AND segmento = 'ESTR'
        AND ref_date = '${date}'
        AND nome_perimetro = 'Individual IDComb'
        AND cod_visao = 1
        AND cnclld_instrmnt_stts = 'N') LT002
   LEFT JOIN
     (SELECT *
      FROM cd_loan_tapes_bce.kt_chaves_lt
      WHERE ref_date ='${date}') kt_chaves ON LT002.instrmnt_id = kt_chaves.instrmnt_id
   LEFT JOIN
     (SELECT *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Group by instrmnt_id, sme_fnrp18
) X
WHERE sme_fnrp18 &lt;&gt; SME_FNRP18_sim </t>
  </si>
  <si>
    <t>SELECT Lt003.entty_id, entrprs_sz_le, Lt002.instrmnt_id, sme_fnrp18
FROM
(SELECT entty_id, entrprs_sz_le
FROM bu_loantape_work.lt003_entity
WHERE 1=1 
AND ambito = 'PM'
AND segmento = 'ESTR'
AND ref_date = '${date}'
AND nome_perimetro = 'Individual IDComb'
AND cod_visao = 1) LT003
LEFT JOIN 
     (SELECT *
      FROM bu_loantape_work.lt005_instr_ent
      WHERE 1=1
        AND ambito = 'PM'
        AND segmento = 'ESTR'
        AND ref_date = '${date}'
        AND nome_perimetro = 'Individual IDComb'
        AND cod_visao = 1) LT005
ON LT003.entty_id = LT005.entty_id
LEFT JOIN 
     (SELECT instrmnt_id,
             sme_fnrp18
      FROM bu_loantape_work.lt002_instrument
      WHERE 1=1
        AND ambito = 'PM'
        AND segmento = 'ESTR'
        AND ref_date = '${date}'
        AND nome_perimetro = 'Individual IDComb'
        AND cod_visao = 1
        AND cnclld_instrmnt_stts = 'N') LT002
ON LT002.instrmnt_id = LT005.instrmnt_id
Where sme_fnrp18 ='N' 
AND entrprs_sz_le in ('2','3','4')</t>
  </si>
  <si>
    <t>Controlo: "Date of impairment status" must be later than 01 January 1970 Justificado</t>
  </si>
  <si>
    <t>Controlo: "Date of impairment status previous" must be later than 01 January 1970 Justificado</t>
  </si>
  <si>
    <t>"Date of performing status" must be later than 01 January 1970 Justificado</t>
  </si>
  <si>
    <t>"Date of previous performing status" must be later than 01 January 1970 Justificado</t>
  </si>
  <si>
    <t>LT_R_EN_027_01</t>
  </si>
  <si>
    <t>LT_R_EN</t>
  </si>
  <si>
    <t>LT_R_EN_027_03</t>
  </si>
  <si>
    <t>INTRA_REL_P_EN</t>
  </si>
  <si>
    <t>LT_R_IN_089_01</t>
  </si>
  <si>
    <t>If "Accounting portfolio" equals '2 - IFRS: Financial assets held for trading', '4 - IFRS: Financial assets designated at fair value through profit or loss' or '41 - IFRS: Non-trading financial assets mandatorily at fair value through profit or loss', then "Previous sum of LLPs and other allowances" must equal default values</t>
  </si>
  <si>
    <t>LT_R_IN_080_03</t>
  </si>
  <si>
    <t>If "Off-balance sheet amount" is populated as 'Not applicable' or zero amount, then "Outstanding gross nominal amount" cannot be 'Not applicable' nor zero amount</t>
  </si>
  <si>
    <t>LT_O_IN_080_01</t>
  </si>
  <si>
    <t>"Outstanding gross nominal amount" shall be larger or equal to 0; Negative values trigger attention</t>
  </si>
  <si>
    <t>Justificação</t>
  </si>
  <si>
    <t>Justificado</t>
  </si>
  <si>
    <t>Justificado, corrigido nas IC's</t>
  </si>
  <si>
    <t>Justificado, diferenças que aparecem ainda</t>
  </si>
  <si>
    <t>Luísa enviou email a area</t>
  </si>
  <si>
    <t>Justificado, existem estes casos com o gross a valores negativos</t>
  </si>
  <si>
    <t>Validar com Luísa</t>
  </si>
  <si>
    <t>Luísa vai falar com Zeneida</t>
  </si>
  <si>
    <t>1 Controlo NOK comparação com o Accounting portfolio</t>
  </si>
  <si>
    <t>3 Controlos NOK - Inconsistências entre conceitos de DFLT, STAGE e WATCH LIST
1 Controlo NOK - If "Subportfolio ID" is classified as 'S1 - Stage 1', then "Impairment status" must equal '23 - Stage 1 (IFRS)'</t>
  </si>
  <si>
    <t>Alteração de Especificação 11/08/2025</t>
  </si>
  <si>
    <t>Luísa vai voltar a pedir a Zeneida para retirar controlo</t>
  </si>
  <si>
    <t>Alterar especificação N/As</t>
  </si>
  <si>
    <t>Alteração de especificação (11/08)</t>
  </si>
  <si>
    <t>Falar com Paulo Silvério</t>
  </si>
  <si>
    <t>O Luís pediu para voltarmos a validar se o campo está realmente OK junto com a área. Se mesmo após a validação virmos que continuamos comerros a possível solução seria descartar a garantia no MUG a partir do momento que era executada (mas nada ficou decidido)</t>
  </si>
  <si>
    <t>EXCLDD_LF</t>
  </si>
  <si>
    <t>PD_EC_RD</t>
  </si>
  <si>
    <t>PD_EC_INCPTN</t>
  </si>
  <si>
    <t>COMPANY_EXPOSURE</t>
  </si>
  <si>
    <t>Alterações no ambito de LF</t>
  </si>
  <si>
    <t>N/A</t>
  </si>
  <si>
    <t>Necessário alterar especificação onde se incluí a condição de N/A  quando o prsn_typ = L</t>
  </si>
  <si>
    <t>SELECT *
FROM
  (SELECT LT002.instrmnt_id,
          ACCMLTD_IMPRMNT_INSTRMNT_PRVS,
          DT_INCPTN &lt;= SUBSTR(cast(add_months(LT002.ref_date, -12) AS string), 1, 10) AS val,
          SUM(-1*provisao_on_prvs)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SUM(-1*provisao_on_prvs)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</si>
  <si>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 xml:space="preserve">SELECT *
FROM
  (SELECT LT002.instrmnt_id,
          OTSTNDNG_NMNL_AMNT_INSTRMNT,
          DT_INCPTN &lt;= SUBSTR(cast(add_months(LT002.ref_date, -12) AS string), 1, 10) AS val,
          NVL(SUM(-1*valor_bruto_on),0) - NVL(SUM(-1*juros_corridos),0) AS cal,
          ROUND(CASE
                        WHEN LT002.instrmnt_id LIKE 'SNC%' THEN 11111111111
                        WHEN LT002.instrmnt_id LIKE 'SS%' THEN 11111111111  
                        WHEN DT_INCPTN &lt;= SUBSTR(cast(add_months(LT002.ref_date, -12) AS string), 1, 10) THEN NVL(SUM(-1*VALOR_BRUTO_ON),0) - NVL(SUM(-1*JUROS_CORRIDOS),0)
                    END,2) AS OTSTNDNG_NMNL_AMNT_INSTRMNT_simulacao,
          dt_incptn,
          LT002.ref_date
   FROM
     (SELECT instrmnt_id,
             OTSTNDNG_NMNL_AMNT_INSTRMNT,
             dt_incptn,
             ref_date
      FROM bu_loantape_work.lt002_instrument
     WHERE segmento = 'ESTR'
        AND nome_perimetro ='${nome_perimetro}'
        AND ref_date='${date}'
        AND AMBITO = 'PM'
        AND entidade ='00100'
        AND cod_visao = 1) LT002
INNER JOIN 
    (SELECT *
    FROM cd_loan_tapes_bce.kt_chaves_lt
    WHERE ref_date = '${date}') KT
ON LT002.INSTRMNT_ID = KT.INSTRMNT_ID
LEFT JOIN
     (SELECT CEMPRESA,
             CBALCAO,
             CNUMECTA,
             ZDEPOSIT, 
             valor_bruto_on, 
             juros_corridos
      FROM bu_loantape_work.lt001_univ_oper
      WHERE segmento = 'ESTR'
        AND nome_perimetro ='${nome_perimetro}'
        AND ref_date='${date}'
        AND AMBITO = 'PM'
        AND entidade ='00100'
        AND cod_visao = 1)LT001 
ON CONCAT(KT.CEMPRESA, KT.CBALCAO, KT.CNUMECTA, KT.ZDEPOSIT) = CONCAT(LT001.CEMPRESA, LT001.CBALCAO, LT001.CNUMECTA, LT001.ZDEPOSIT)
GROUP BY dt_incptn,
        LT002.ref_date,
        DT_INCPTN &lt;= SUBSTR(cast(add_months(ref_date, -12) AS string), 1, 10),
        LT002.instrmnt_id,
        OTSTNDNG_NMNL_AMNT_INSTRMNT) X
WHERE round(OTSTNDNG_NMNL_AMNT_INSTRMNT,2) &lt;&gt; round(OTSTNDNG_NMNL_AMNT_INSTRMNT_simulacao,2);
</t>
  </si>
  <si>
    <t xml:space="preserve"> 
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
 </t>
  </si>
  <si>
    <t xml:space="preserve">PRFRMNG_STTS_LE </t>
  </si>
  <si>
    <t xml:space="preserve">select base.entty_id, 
       prfrmng_stts_le, 
       prfrmng_stts_le_sim
from 
    (select lt003.entty_id,
           prfrmng_stts_le,
           case when flg_mn_entty_id = 'N/A' THEN '11111111111'
           WHEN count(DISTINCT prfrmng_stts) = 1 THEN MIN(prfrmng_stts)
           WHEN count(DISTINCT prfrmng_stts) &gt; 1 THEN MIN(prfrmng_stts)
        ELSE '11'
        END AS PRFRMNG_STTS_LE_sim
    from
        (select entty_id,
            prfrmng_stts_le
        from bu_loantape_work.lt003_entity
        WHERE segmento = 'ESTR'
            AND nome_perimetro ='${nome_perimetro}'
            AND ref_date='${date}'
            AND AMBITO = 'PM'
            AND entidade ='00100'
            AND cod_visao = 1
        group by entty_id,
                 prfrmng_stts_le) lt003
    left join 
        (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prfrmng_stts
    from 
        (select entty_id, 
                instrmnt_id, mn_entty_id
        from bu_loantape_work.lt005_instr_ent
        WHERE segmento = 'ESTR'
            AND nome_perimetro ='${nome_perimetro}'
            AND ref_date='${date}'
            AND AMBITO = 'PM'
            AND entidade ='00100'
            AND cod_visao = 1
            AND mn_entty_id = 'Y'
        ) lt005
    inner join
        (select instrmnt_id, 
                prfrmng_stts
        from bu_loantape_work.lt002_instrument
        WHERE segmento = 'ESTR'
            AND nome_perimetro ='${nome_perimetro}'
            AND ref_date='${date}'
            AND AMBITO = 'PM'
            AND entidade ='00100'
            AND cod_visao = 1) lt002
    on lt002.instrmnt_id = lt005.instrmnt_id ) x
    on lt003.entty_id = x.entty_id
    group by lt003.entty_id,
            flg_mn_entty_id, 
            prfrmng_stts_le) base
having prfrmng_stts_le &lt;&gt; prfrmng_stts_le_sim
</t>
  </si>
  <si>
    <t xml:space="preserve">select *
from
(select 
lt003.entty_id,
        lti, 
        case when x.grss_crryng_amnt is null then 11111111111
        when flg_mn_entty_id = 'N/A' then 11111111111
        when intrnl_sgmnt not like 'particulares' then 11111111111
        when INFO_IRS.mrendimentobrutoanual is not null
        Then cast(x.grss_crryng_amnt / INFO_IRS.mrendimentobrutoanual as decimal(32,6))
        else 99999999999 end as lti_sim
from
    (select entty_id,
            intrnl_sgmnt, 
            lti
    from bu_loantape_work.lt003_entity
    WHERE segmento = 'ESTR'
    AND nome_perimetro ='${nome_perimetro}'
    AND ref_date='${date}'
    AND AMBITO = 'PM'
    AND entidade ='00100'
    AND cod_visao = 1) lt003
left join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SUM (grss_crryng_amnt_instrmnt) AS GRSS_CRRYNG_AMNT
        from 
            (SELECT instrmnt_id,
                    grss_crryng_amnt_instrmnt, 
                    typ_instrmnt, 
                    CASE WHEN typ_instrmnt = '1004' THEN 'Y' ELSE 'N' END AS FLG_INSTRMNT
            FROM bu_loantape_work.lt002_instrument
            WHERE segmento = 'ESTR'
                AND nome_perimetro ='${nome_perimetro}'
                AND ref_date='${date}'
                AND AMBITO = 'PM'
                AND entidade ='00100'
                AND cod_visao = 1) lt002
        inner join 
                (SELECT entty_id,
                        instrmnt_id
                from bu_loantape_work.lt005_instr_ent
                WHERE segmento = 'ESTR'
                AND nome_perimetro ='${nome_perimetro}'
                AND ref_date='${date}'
                AND AMBITO = 'PM'
                AND entidade ='00100'
                AND cod_visao = 1
                AND mn_entty_id = 'Y') lt005
        on lt005.instrmnt_id = lt002.instrmnt_id
        where FLG_INSTRMNT = 'Y'
        group by entty_id
        ) x
on x.entty_id = lt003.entty_id
left join 
                (SELECT * 
                FROM 
                    (SELECT rank () OVER (PARTITION BY nidinterveniente
                        ORDER BY ddatairs DESC, dtimecall DESC, data_date_part DESC, decisioncallid DESC ) AS ORDEM,
                        *
                    FROM
                        (SELECT DISTINCT 
                                        lpad(cast(irs.nidinterveniente as string), 10, '0') as nidinterveniente,
                                        irs.decisioncallid,
                                        irs.ddatairs,--irs.instance,
                                        irs.mrendimentobrutoanual,
                                        irs.mrendimentoliquidoanual, --san.dmcalltype,
                                        nvl(san.dtimecall, '0001-01-01') as dtimecall,
                                        irs.data_date_part
                        FROM cd_omdm.rendimentoirs irs 
                    INNER JOIN cd_omdm.saninputdata san 
                    ON irs.decisioncallid = san.decisioncallid
                    WHERE san.dmcalltype IN ('3','03','14','22')
                        AND irs.instance = 1
                        AND substr(irs.data_date_part,1,10) &lt;= '${date}') base 
                    ) INFO_IRS_1
                    WHERE ORDEM = 1 
                ) INFO_IRS
on info_irs.nidinterveniente = lt003.entty_id) BASE2
where round(lti, 2) &lt;&gt; round(lti_sim, 2) ---  round para tirar diferenças entre casas decimais 
</t>
  </si>
  <si>
    <t xml:space="preserve">select *
from
(select lt003.entty_id, 
        tipo_contrato,
      mnthl_trnvr,
      flg_mn_entty_id,
        nvl(case when flg_mn_entty_id &lt;&gt; 'Y' or tipo_contrato is null or spt04.zcliente is null or intrnl_sgmnt &lt;&gt; 'particulares' then 11111111111
        when flg_mn_entty_id = 'Y' AND tipo_contrato is not null  then msala 
        end, 99999999999) as mnthl_trnvr_sim
        FROM 
            (select distinct entty_id, 
                    mnthl_trnvr, 
                    intrnl_sgmnt
            from bu_loantape_work.lt003_entity
            WHERE segmento = 'ESTR'
                    AND nome_perimetro ='${nome_perimetro}'
                    AND ref_date='${date}'
                    AND AMBITO = 'PM'
                    AND entidade ='00100'
                    AND cod_visao = 1) lt003
        left join 
            (select zcliente, sum(msala)/12 as msala 
             FROM
          (select distinct zcliente, msala, mestrata 
           from
           (
            SELECT zcliente, mestrata, first_value(msala) over (partition by zcliente, mestrata ORDER BY data_date_part desc) as msala
               FROM cd_clientes.spt04_inflowcre
            WHERE data_date_part &lt;= '${date}'
            and data_date_part &gt; strleft(CAST(ADD_MONTHS('${date}',-12) AS string),10)
            ) FV 
          )FVD
         GROUP BY zcliente
         ) spt04
        on lpad(cast(SPT04.zcliente as string),10,'0') = lt003.entty_id
        left join
            (select distinct zcliente, 
                    tipo_contrato
            FROM cd_clientes.cl001_interv_cto
            WHERE ref_date = '${date}'
            And tipo_contrato =  'D.O. / CONTAS CORRENTES'
            )ct001
        ON ct001.zcliente = lt003.entty_id
        left join
            (select entty_id,                 
                case when max(mn_entty_id) = 'N' THEN 'N/A'
                ELSE 'Y' END AS flg_mn_entty_id
            FROM bu_loantape_work.lt005_instr_ent
            WHERE segmento = 'ESTR'
                    AND nome_perimetro ='${nome_perimetro}'
                    AND ref_date='${date}'
                    AND AMBITO = 'PM'
                    AND entidade ='00100'
                    AND cod_visao = 1
            group by entty_id) lt005
        on lt003.entty_id = lt005.entty_id
        ) x
where round(mnthl_trnvr_sim,2) &lt;&gt; round(mnthl_trnvr,2)
</t>
  </si>
  <si>
    <t>1 Controlo NOK Contratos marcados como DFLT mas que a PD económica não é 1 e a PD normal é 1</t>
  </si>
  <si>
    <t>Campo precisa de ser revisto</t>
  </si>
  <si>
    <t>Condições de N/A:
- Se o cliente não tiver contratos que pertençam ao universo de Imparidade (IFRS9_INPUT_MOTOR_8_7) na data onde é apurado o T1.
- Se a entidade não for 1º titular (mn_entty_id &lt;&gt; 'Y') no ano em que é apurado o T1.
E estes contratos estão no universo de imparidade para datas inferiores a 2024-06-30 daí não estarem a N/A</t>
  </si>
  <si>
    <t>SELECT *
FROM
  (SELECT LT002.instrmnt_id,
          ACCMLTD_IMPRMNT_INSTRMNT_PRVS,
          DT_INCPTN &lt;= SUBSTR(cast(add_months(LT002.ref_date, -12) AS string), 1, 10) AS val,
          SUM(provisao_on_prvs)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bu_loantape_work.kt_chaves_lt
    WHERE ref_date = '${date}'
    AND segmento = 'ESTR'
    AND nome_perimetro ='Individual IDComb'
    AND AMBITO = 'PM')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</si>
  <si>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segmento = 'ESTR'
        AND nome_perimetro ='${nome_perimetro}'
        AND ref_date='${date}'
        AND AMBITO = 'PM')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t>
  </si>
  <si>
    <t>Ver controlos</t>
  </si>
  <si>
    <t>Validar se está OK na CD</t>
  </si>
  <si>
    <t>Necessário corrigir em Janeiro no processo de capital para datas de referência &lt; Abril 2025 devemos de ir ao Individual Corporativo</t>
  </si>
  <si>
    <t xml:space="preserve">SELECT *
FROM 
(
SELECT DISTINCT instrmnt_id,
       CASE WHEN instrmnt_id like 'SS%' OR instrmnt_id like 'SNC%' OR intrnl_sgmnt not in ('outras instituicoes financeiras','outras empresas nao financeiras') Then 'N/A'
       ELSE 
    --   CASE WHEN replace(replace(coalesce(excldd_lf,concat(excldd_aux_1,',',excldd_aux_2,',',coalesce(case when excldd_aux_4='N/A' then null else excldd_aux_4 end,excldd_aux_3),',',excldd_aux_5,',',excldd_aux_6,',',excldd_aux_7,',',excldd_aux_8)),"N/A,",""),",N/A","") = 'N/A' THEN 'MISS' 
    --   ELSE 
       replace(replace(coalesce(excldd_lf,concat(excldd_aux_1,',',excldd_aux_2,',',coalesce(case when excldd_aux_4='N/A' then null else excldd_aux_4 end,excldd_aux_3),',',excldd_aux_5,',',excldd_aux_6,',',excldd_aux_7,',',excldd_aux_8)),"N/A,",""),",N/A","") END  AS campo_auxiliar 
       , excldd_lf_lt002, intrnl_sgmnt
FROM
  (SELECT 
  DISTINCT lt002.instrmnt_id,
          lt601.excldd_lf,
          lt002.excldd_lf as excldd_lf_lt002, lt001.cod_empr_pme, intrnl_sgmnt,
          CASE
              WHEN TRIM(ct003.csector_inst) IN('S123',
                                         'S124',
                                         'S1240001',
                                         'S1240002',
                                         'S1240003',
                                         'S2023',
                                         'S20231',
                                         'S20232',
                                         'S2024',
                                         'S401341') THEN 'EXC01'
              ELSE 'N/A'
          END AS excldd_aux_1,
          CASE
              WHEN ct610.tipo_titulo='Titularizacao' THEN 'EXC02'
              ELSE 'N/A'
          END AS excldd_aux_2,
          CASE
              WHEN tat.ind_exc='S' THEN 'EXC04'
              ELSE 'N/A'
          END AS excldd_aux_3,
          CASE
              WHEN ct003.cseg_risc LIKE'9%' THEN 'EXC05'
              ELSE 'N/A'
          END AS excldd_aux_4,
          CASE
              WHEN lt001.cod_empr_pme IN('1',
                                         '2',
                                         '3') THEN 'EXC06'
              ELSE 'N/A'
          END AS excldd_aux_5,
            CASE
                WHEN auxiliar.company_exposure&lt;5000000 THEN 'EXC07'
                ELSE 'N/A'
            END AS excldd_aux_6,          CASE
              WHEN lt002.intrnl_sgmnt IN('setor publico',
                                         'banco centrais',
                                         'instituicoes de credito')THEN 'EXC08'
              ELSE 'N/A'
          END AS excldd_aux_7,
          CASE
              WHEN lt002.pd_ec_rd&lt;=0.500000 THEN 'EXC09'
              ELSE 'N/A'--
-- WHEN TRIM(cast(lt002.pd_ec_rd as string)='NULL' or lt002.pd_ec_rd IS NULL THEN '0'
          END AS excldd_aux_8 -- count(*)-- 2110768
-- 2145008
FROM
     (SELECT instrmnt_id,
             prdct,
             intrnl_sgmnt,
             pd_ec_rd, excldd_lf
      FROM bu_loantape_work.lt002_instrument
      WHERE ref_date='${date}'
        AND ambito='PM'
        AND nome_perimetro='Individual IDComb'
        AND entidade='00100'
        AND segmento='ESTR'
        AND cod_visao=1 )lt002
   LEFT JOIN
     (SELECT instrmnt_id,
             entty_id
      FROM bu_loantape_work.lt005_instr_ent
      WHERE ref_date='${date}'
        AND ambito='PM'
        AND nome_perimetro='Individual IDComb'
        AND entidade='00100'
        AND segmento='ESTR'
        AND cod_visao=1
        AND mn_entty_id='Y')lt005 ON lt002.instrmnt_id=lt005.instrmnt_id
   LEFT JOIN
     (SELECT DISTINCT entty_id
      FROM bu_loantape_work.lt003_entity
      WHERE ref_date='${date}'
        AND ambito='PM'
        AND nome_perimetro='Individual IDComb'
        AND entidade='00100'
        AND segmento='ESTR'
        AND cod_visao=1)lt003 ON lt005.entty_id=lt003.entty_id
   LEFT JOIN
     (SELECT cempresa,
             cbalcao,
             cnumecta,
             zdeposit,
             excldd_lf
      FROM cd_loan_tapes_bce.lt601_lev_fin
      WHERE REF_DATE BETWEEN add_months('2025-06-30',-3) AND '2025-06-30')lt601 ON lt002.instrmnt_id=concat(lt601.cempresa,lt601.cbalcao,lt601.cnumecta,lt601.zdeposit)
   LEFT JOIN
     (SELECT *
      FROM bu_loantape_work.kt_chaves_lt
      WHERE ref_date='${date}'
        AND ambito='PM'
        AND nome_perimetro='Individual IDComb'
        AND entidade='00100'
        AND segmento='ESTR'
        AND cod_visao=1)chaves_lt ON lt002.instrmnt_id=chaves_lt.instrmnt_id
   LEFT JOIN
     (SELECT cempresa,
             cbalcao,
             cnumecta,
             zdeposit,
             max(cod_empr_pme) AS cod_empr_pme
      FROM bu_loantape_work.lt001_univ_oper
      WHERE ref_date='${date}'
        AND ambito='PM'
        AND nome_perimetro='Individual IDComb'
        AND entidade='00100'
        AND segmento='ESTR'
        AND cod_visao=1
      GROUP BY 1,
               2,
               3,
               4)lt001 ON concat(chaves_lt.cempresa,chaves_lt.cbalcao,chaves_lt.cnumecta,chaves_lt.zdeposit)=concat(lt001.cempresa,lt001.cbalcao,lt001.cnumecta,lt001.zdeposit)
   LEFT JOIN
     (SELECT *
      FROM cd_captools.kt_chaves_finrep
      WHERE ref_date='${date}'
        AND cod_visao=1)chaves_fr ON lt002.instrmnt_id=concat(chaves_fr.cempresa_fr,chaves_fr.cbalcao_fr,chaves_fr.cnumecta_fr,chaves_fr.zdeposit_fr)
   LEFT JOIN
     (SELECT cempresa,
             cbalcao,
             cnumecta,
             zdeposit,
             tipo_titulo
      FROM cd_captools.ct610_titulos
      WHERE ref_date='${date}')ct610 ON concat(chaves_fr.cempresa,chaves_fr.cbalcao,chaves_fr.cnumecta,chaves_fr.zdeposit)=concat(ct610.cempresa,ct610.cbalcao,ct610.cnumecta,ct610.zdeposit)
   LEFT JOIN
     (SELECT tayd91c0_celemtab,
             substr(tayd91c0_nelemc01,14,1) AS ind_exc
      FROM cd_estruturais.tat91_tabelas
      WHERE data_date_part='${date}'
        AND tayd91c0_ctabela='925')tat ON substr(lt002.prdct,1,6)=trim(tat.tayd91c0_celemtab)
   LEFT JOIN
     (SELECT zcliente,
             cseg_risc,
             csector_inst
      FROM cd_captools.ct003_univ_cli
      WHERE ref_date='${date}')ct003 ON lt003.entty_id=ct003.zcliente
     LEFT JOIN (SELECT lt003.entty_id,
          sum(lt002.grss_crryng_amnt_instrmnt+lt002.off_blnc_sht_amnt_instrmnt) over(partition BY ct003.ccli_grupo) AS company_exposure
   FROM
     (SELECT DISTINCT entty_id
      FROM bu_loantape_work.lt003_entity
      WHERE ref_date='${date}'
        AND ambito='PM'
        AND nome_perimetro='Individual IDComb'
        AND entidade='00100'
        AND segmento='ESTR'
        AND cod_visao=1)lt003
   LEFT JOIN
     (SELECT DISTINCT instrmnt_id,
                      entty_id
      FROM bu_loantape_work.lt005_instr_ent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bu_loantape_work.lt002_instrument
      WHERE ref_date='${date}'
        AND ambito='PM'
        AND nome_perimetro='Individual IDComb'
        AND entidade='00100'
        AND segmento='ESTR'
        AND cod_visao=1)lt002 ON lt005.instrmnt_id=lt002.instrmnt_id
   LEFT JOIN
     (SELECT ccli_grupo,
             zcliente
      FROM cd_captools.ct003_univ_cli
      WHERE ref_date='${date}')ct003 ON lt003.entty_id=ct003.zcliente) auxiliar
      on lt003.entty_id=auxiliar.entty_id
      ) X
      ) Y
      Where campo_auxiliar &lt;&gt; excldd_lf_lt002;
</t>
  </si>
  <si>
    <t>select *
-- DISTINCT ecnmc_actvty_simulado,valor_destino_1,CCAE
-- count(*),ecnmc_actvty
from ( 
select lt003.entty_id, lt003.ecnmc_actvty, TAT.tayd91c0_nelemc16, case when intrnl_sgmnt='particulares' then 'N/A'
when '${date}'&lt;='2024-12-31' then valor_destino
when '${date}'&gt;'2024-12-31' and '${date}'&lt;='2025-12-31'  then 
(NVL(case when TRIM(TAT.tayd91c0_nelemc16) ='' THEN 'MISS' 
when substr(TAT.tayd91c0_nelemc16,1,2) in ("A0","B0","C0","D0","E0","F0","G0","H0","I0","J0","K0","L0","M0","N0","O0","P0","Q0","R0","S0","T0","U0","V0") and substr(TAT.tayd91c0_nelemc16,4,3) in (".10",".20",".30",".40",".50",".60",".70",".80",".90") then substr(TAT.tayd91c0_nelemc16,3,3)
when substr(TAT.tayd91c0_nelemc16,1,2) in ("A0","B0","C0","D0","E0","F0","G0","H0","I0","J0","K0","L0","M0","N0","O0","P0","Q0","R0","S0","T0","U0","V0") and substr(TAT.tayd91c0_nelemc16,4,3) not in (".00",".10",".20",".30",".40",".50",".60",".70",".80",".90") then  substr(TAT.tayd91c0_nelemc16,3,4)
when substr(TAT.tayd91c0_nelemc16,1,2) not in ("A0","B0","C0","D0","E0","F0","G0","H0","I0","J0","K0","L0","M0","N0","O0","P0","Q0","R0","S0","T0","U0","V0") and substr(TAT.tayd91c0_nelemc16,4,3)  in (".10",".20",".30",".40",".50",".60",".70",".80",".90") then  substr(TAT.tayd91c0_nelemc16,2,4)
when substr(TAT.tayd91c0_nelemc16,1,2) not in ("A0","B0","C0","D0","E0","F0","G0","H0","I0","J0","K0","L0","M0","N0","O0","P0","Q0","R0","S0","T0","U0","V0") and substr(TAT.tayd91c0_nelemc16,4,3)=".00"  then substr(TAT.tayd91c0_nelemc16,2,2)
else substr(TAT.tayd91c0_nelemc16,2,5) end,'MISS'))
when '${date}'&gt;'2025-12-31' then (NVL(case when TRIM(TAT.tayd91c0_nelemc16) ='' THEN 'MISS' 
when substr(TAT.tayd91c0_nelemc18,1,2) in ("A0","B0","C0","D0","E0","F0","G0","H0","I0","J0","K0","L0","M0","N0","O0","P0","Q0","R0","S0","T0","U0","V0") and substr(TAT.tayd91c0_nelemc18,4,3) in (".10",".20",".30",".40",".50",".60",".70",".80",".90") then substr(TAT.tayd91c0_nelemc18,3,3)
when substr(TAT.tayd91c0_nelemc18,1,2) in ("A0","B0","C0","D0","E0","F0","G0","H0","I0","J0","K0","L0","M0","N0","O0","P0","Q0","R0","S0","T0","U0","V0") and substr(TAT.tayd91c0_nelemc18,4,3) not in (".00",".10",".20",".30",".40",".50",".60",".70",".80",".90") then  substr(TAT.tayd91c0_nelemc18,3,4)
when substr(TAT.tayd91c0_nelemc18,1,2) not in ("A0","B0","C0","D0","E0","F0","G0","H0","I0","J0","K0","L0","M0","N0","O0","P0","Q0","R0","S0","T0","U0","V0") and substr(TAT.tayd91c0_nelemc18,4,3)  in (".10",".20",".30",".40",".50",".60",".70",".80",".90") then  substr(TAT.tayd91c0_nelemc18,2,4)
when substr(TAT.tayd91c0_nelemc18,1,2) not in ("A0","B0","C0","D0","E0","F0","G0","H0","I0","J0","K0","L0","M0","N0","O0","P0","Q0","R0","S0","T0","U0","V0") and substr(TAT.tayd91c0_nelemc18,4,3)=".00"  then substr(TAT.tayd91c0_nelemc18,2,2)
else substr(TAT.tayd91c0_nelemc18,2,5) end,'MISS'))
else 'MISS'
end as ecnmc_actvty_simulado
-- nvl(CCAE_codelist.valor_destino,'MISS') --rev3
-- when '${date}'&gt;'2024-12-31' and '${date}'&lt;='2025-12-31' then nvl(tayd91c0_nelemc15_codelist.valor_destino_1,'MISS') --traduçao entre rev4 e rev3
-- when '${date}'&gt;'2025-12-31' then nvl(CCAE_codelist.valor_destino,'MISS') ELSE 'MISS' end as ecnmc_actvty_simulado --rev3
from (SELECT distinct entty_id, intrnl_sgmnt,ecnmc_actvty
from  bu_loantape_work.lt003_entity
WHERE nome_perimetro = '${perimetro}' 
AND segmento = 'ESTR' 
AND ref_date = '${date}'
AND ambito = 'PM'
AND entidade = '00100' and cod_visao=1
) lt003
---2024
LEFT JOIN
(SELECT 
zcliente, ccli_grupo
,CCAE
from cd_captools.ct003_univ_cli where ref_date = '${date}') CT003_rev4
ON lt003.ENTTY_ID = CT003_rev4.ZCLIENTE
left join (select valor_origem_1,valor_destino FROM bu_loantape_work.lt831_param_conceitos
where ref_date='${date}' and campo_conceito='ecnmc_actvty')CCAE_codelist
on CCAE=CCAE_codelist.valor_origem_1
--superior 2024
left join (SELECT 
tayd91c0_celemtab, tayd91c0_nelemc15,tayd91c0_nelemc16,tayd91c0_nelemc18
FROM CD_ESTRUTURAIS.TAT91_TABELAS
    WHERE TAYD91C0_CTABELA = '154'
      AND data_date_part='${date}') TAT
on CCAE=TAT.tayd91c0_celemtab
-- LEFT JOIN
-- (SELECT 
-- zcliente, ccli_grupo
-- , TRIM(SUBSTR(CCAE,1,4)) AS CCAE
-- from cd_captools.ct003_univ_cli where ref_date = '${date}') CT003_rev3
-- ON lt003.ENTTY_ID = CT003_rev3.ZCLIENTE
-- --TAT
-- left join (SELECT 
-- tayd91c0_celemtab, tayd91c0_nelemc15,tayd91c0_nelemc16
-- FROM CD_ESTRUTURAIS.TAT91_TABELAS
--     WHERE TAYD91C0_CTABELA = '154'
--       AND data_date_part='${date}') TAT_rev3
-- on trim(CT003_rev3.CCAE)=trim(substr(TAT_rev3.tayd91c0_nelemc15,1,4))
-- left join (select valor_origem_1 as valor_origem_1_2,valor_destino as valor_destino_1 FROM bu_loantape_work.lt831_param_conceitos
-- where ref_date='${date}' and campo_conceito='ECNMC_ACTVTY')tayd91c0_nelemc15_codelist
-- on substr(TAT.tayd91c0_nelemc15,1,4)=tayd91c0_nelemc15_codelist.valor_origem_1_2
)x
-- where ecnmc_actvty is null or ecnmc_actvty='MISS'
-- where ecnmc_actvty_simulado&lt;&gt;valor_destino_1 and ecnmc_actvty_simulado not in ('MISS','N/A')
-- where ecnmc_actvty_simulado='MISS'
-- WHERE CCAE_SIMULADO&lt;&gt;REPLACE(SUBSTR(NACE_CODE,2,7),'.',"''") AND CCAE_SIMULADO&lt;&gt;'#'
-- group by 2
-- MISINGS ATUALMENTE ecnmc_actvty: 53 559
-- missings simulado: 20
-- group by 2;
Where ecnmc_actvty &lt;&gt; ecnmc_actvty_simulado</t>
  </si>
  <si>
    <t>SELECT *
FROM
(
SELECT lt002.instrmnt_id,
       round(categ2.g7162_in_pdini/100,6) as pd_ec_rd_sim, pd_ec_rd --   count(categ2.g7162_in_pdini)
-- SELECT count(*)
-- 2139433
FROM
  (SELECT instrmnt_id, pd_ec_rd
   FROM bu_loantape_work.lt002_instrument
   WHERE nome_perimetro='${perimetro}'
     AND segmento='ESTR'
     AND ref_date='${date}'
     AND ambito='PM'
     AND entidade='00100'
     AND cod_visao=1)lt002
LEFT JOIN
  (SELECT DISTINCT cempresa_fr,
                   cbalcao_fr,
                   cnumecta_fr,
                   zdeposit_fr,
                   contra1
   FROM
     (SELECT *
      FROM cd_captools.kt_chaves_finrep
      WHERE ref_date='${date}')fr
   LEFT JOIN
     (SELECT *
      FROM cd_captools.kt_chaves_bdr
      WHERE ref_date='${date}')bdr ON concat(fr.cempresa,fr.cbalcao,fr.cnumecta,fr.zdeposit)=concat(bdr.cempresa,bdr.cbalcao,bdr.cnumecta,bdr.zdeposit))tradutores ON lt002.instrmnt_id=concat(cempresa_fr,cbalcao_fr,cnumecta_fr,zdeposit_fr)
LEFT JOIN
  (SELECT DISTINCT g7162_s1emp,
                   g7162_contra1,
                   g7162_in_pdini
   FROM cd_captools.bdr_jm_cto_categ2
   WHERE data_date_part='${date}'
     AND g7162_fincalcu=2)categ2 ON tradutores.contra1=cast(categ2.g7162_contra1 AS STRING)
) X 
    Where ROUND(pd_ec_rd,4) &lt;&gt; ROUND(pd_ec_rd_sim,4)</t>
  </si>
  <si>
    <t xml:space="preserve">SELECT DISTINCT entty_id, company_exposure_sim, company_exposure, mn_entty_id
FROM
(
SELECT lt003.entty_id,
          CASE WHEN LT005.mn_entty_id is NULL THEN 11111111111 ELSE sum(lt002.grss_crryng_amnt_instrmnt+lt002.off_blnc_sht_amnt_instrmnt) over(partition BY ct003.ccli_grupo) END AS company_exposure_sim, company_exposure, mn_entty_id
   FROM
     (SELECT DISTINCT entty_id, company_exposure
      FROM bu_loantape_work.lt003_entity
      WHERE ref_date='${date}'
        AND ambito='PM'
        AND nome_perimetro='Individual IDComb'
        AND entidade='00100'
        AND segmento='ESTR'
        AND cod_visao=1)lt003
   LEFT JOIN
     (SELECT DISTINCT instrmnt_id,
                      entty_id, mn_entty_id
      FROM bu_loantape_work.lt005_instr_ent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bu_loantape_work.lt002_instrument
      WHERE ref_date='${date}'
        AND ambito='PM'
        AND nome_perimetro='Individual IDComb'
        AND entidade='00100'
        AND segmento='ESTR'
        AND cod_visao=1)lt002 ON lt005.instrmnt_id=lt002.instrmnt_id
   LEFT JOIN
     (SELECT DISTINCT ccli_grupo,
             zcliente
      FROM cd_captools.ct003_univ_cli
      WHERE ref_date='${date}')ct003 ON lt003.entty_id=ct003.zcliente
) X
      Where ROUND(company_exposure,1) &lt;&gt; Round(company_exposure_sim,1)
 </t>
  </si>
  <si>
    <t>FLAG_PME (LT001), COD_EMPR_PME (LT001), COMPANY_EXPOSURE, off_blnc_sht_amnt_instrmnt_prvs, RRE_FNRP18, otstndng_nmnl_amnt_instrmnt_prvs, dpd_24m_prfrmng_stts, dpd_prfrmng_stts, prfrmng_stts_prvs, SME_FNRP18, PRFRMNG_STTS_LE, dpd_12m_prfrmng_stts, ECNMC_ACTVTY, LTI, PD_EC_INCPTN, dt_imprmnt_stts_prvs, dt_imprmnt_stts, dt_prfrmng_stts_prvs, CRE_FNRP18, dt_prfrmng_stts, ENTRPRS_SZ_LE, otstndng_nmnl_amnt_instrmnt, orgnl_prtctn_vl, imprmnt_stts, prfrmng_stts, imprmnt_stts_prvs, accmltd_imprmnt_instrmnt_prvs, MNTHL_TRNVR, CR_FLG, PD_EC_RD, EXCLDD_LF, PD_IFRS9_12M_RD_T1, PD_CRR_RD_T1</t>
  </si>
  <si>
    <t xml:space="preserve">dstntn_fnds, flln_angl_extndd_dfntn, flln_angl_nrrw_dfntn, grp_rorac, grp_rorwa, rorac, rorac, rorwa, rorwa, scan, ttl_lvrg_rt_incptn, ttl_prmssbl_dbt_blnc, typ_cl, typ_dl, typ_fclty, typ_off_blnc_prdct, us_prcds, pd_ec_incptn, pd_ec_rd, ttl_lvrg_rt_incptn_hlt, dt_mdfctn, rot	grp_spprt, flg_rqst_emrgncy_fndng, fld_syndctn, rtntn_shr, stts_undrwrttn_trnsctn, syndct_rl, syndctd_agnt, syndctd_cntrct_id, syndctd_lndrs, syndctd_shr, syndctn_typ, trnch, accrd_intrst_instrmnt, amnt_d_at_mtrty, dflt_stts_instrmnt, dt_extrnl_rtng, dt_frbrnc_stts, ec_grp_id, ec_grp_nm, extrnl_rtng, extrnl_rtng_nm, extrnl_rtng_prvs, fr_csh_flw, fr_csh_flw_t1, fr_csh_flw_t2, fr_csh_flw_t3, frbrnc_stts_instrmnt, ent	rcvd_intrst_12m, ent	rcvd_intrst_24m, ttl_intrst_pd, cntry, ecnmc_actvty, rtng_scl, dbt_rpymnt_cpcty_ttl, prfrmng_stts_prvs, dbt_rpymnt_cpcty_snr_dbt, flg_lbo, lvrg_fnnc_flg, dt_dflt_stts_instrmnt, dt_intrnl_rtng, dt_intrnl_rtng, dt_lgl_fnl_mtrty, ead, idcmb, intrnl_rtng, intrnl_rtng, intrnl_rtng_incptn, intrnl_rtng_prvs, mn_entty_id, pd_crr_incptn, rtng_mthd, rtng_mthd, arrrs_instrmnt, dt_incptn, dt_pst_d, entty_id, ntity	entty_id, lgl_prcdng_stts_le, off_blnc_sht_amnt_instrmnt, otstndng_nmnl_amnt_instrmnt, pd_crr_rd, pd_ifrs9_12m_rd, rcvd_amrtstn_12m, </t>
  </si>
  <si>
    <t>SRCS_ENCMBRNC, HIERARCHY, IMMEDIATE_PARENT_UNDERTAKING_ID, ULTIMATE_PARENT_UNDERTAKING_ID, NOMINAL_INTEREST_RATE_FEE, COLLATERAL_PORTFOLIO, COLLATERAL_POSTED, COLLATERAL_POSTED_CURRENCY, COLLATERAL_RECEIVED, COLLATERAL_RECEIVED_CURRENCY, LEG_1_REFERENCE_PERIOD, LEG_2_REFERENCE_PERIOD, HEDGE_ID, SECURITY_RATING, LEGAL_FORM</t>
  </si>
  <si>
    <t>GRSS_INTRST_INCM, GRSS_CMMSSN_INCM, GRSS_CMMSSN_EXPNS, GRSS_CMMSSN_INCM_OFF_BLNC, GRSS_CMMSSN_EXPNS_OFF_BLNC, GRSS_INTRST_EXPNS, AVRG_BLNC, INTRNL_TRNSFR_RT, NT_LN_LSS_PRVSN, GNS_FNNCL_TRNSCTN_EXCHNG_DFFRNCS, AVRG_BLNC_OFF_BLNC, NT_LN_LSS_PRVSN_OFF_BLNC, FLG_INTRBSNSS, BSNSS_AREA_CCRR</t>
  </si>
  <si>
    <t>BLOCO 5</t>
  </si>
  <si>
    <t>BLOCO 6</t>
  </si>
  <si>
    <t xml:space="preserve">SELECT typ_off_blnc_prdct, count(*) -- 4280182
FROM 
(
SELECT LT002.instrmnt_id, CASE WHEN (lt002.off_blnc_sht_amnt_instrmnt = 0 AND lt002.prvsns_off_blnc_sht = 0) THEN 'N/A' 
ELSE NVL(lt001.typ_off_blnc_prdct, 'MISS') END AS typ_off_blnc_prdct
FROM
(SELECT instrmnt_id, off_blnc_sht_amnt_instrmnt,prvsns_off_blnc_sht
FROM bu_loantape_work.lt002_instrument
WHERE nome_perimetro = '${perimetro}'
AND segmento = 'ESTR'
AND ref_date = '${date}'
AND ambito = 'PM' and entidade='00100'
-- and instrmnt_id = 'SNCN00030963'
AND cod_visao = 1) LT002 --4280182
LEFT JOIN
   (select * 
   from bu_loantape_work.kt_chaves_lt
WHERE nome_perimetro = '${perimetro}'
  AND segmento = 'ESTR'
  AND ref_date = '${date}'
  AND ambito = 'PM'
  AND entidade = '00100' 
--   AND instrmnt_id ='SNCN00030963'
  ) kt_chaves_lt 
  ON lt002.instrmnt_id=kt_chaves_lt.instrmnt_id
  LEFT JOIN
  (SELECT chave_FR, MIN(typ_off_blnc_prdct) as typ_off_blnc_prdct
  FROM
    (SELECT CONCAT(cempresa, cbalcao, cnumecta, zdeposit) AS chave_FR,
            idcomb_lt_inicial,
            CASE
                WHEN idcomb_lt_inicial LIKE '%MC41%' THEN 'MC41'
                WHEN idcomb_lt_inicial LIKE '%MC42%' THEN 'MC42'
                WHEN idcomb_lt_inicial LIKE '%MC4301%' THEN 'MC4301'
                WHEN idcomb_lt_inicial LIKE '%MC4302%' THEN 'MC4302'
                ELSE 'MISS'
            END AS typ_off_blnc_prdct
     FROM bu_loantape_work.lt001_univ_oper
     WHERE nome_perimetro = '${perimetro}'
       AND segmento = 'ESTR'
       AND ref_date = '${date}'
       AND ambito = 'PM'
       AND entidade='00100'
    --   AND CONCAT(cempresa, cbalcao, cnumecta, zdeposit) = '31CMAHIFRN0000000100I58900139SC0'
     GROUP BY 1,
              2,
              3 ) lt001 
    GROUP BY chave_FR)LT001
    ON concat(kt_chaves_lt.cempresa,kt_chaves_lt.cbalcao,kt_chaves_lt.cnumecta,kt_chaves_lt.zdeposit)= lt001.chave_FR
) X 
group by 1 </t>
  </si>
  <si>
    <t>SELECT *
FROM 
(
SELECT DISTINCT instrmnt_id,
       CASE WHEN instrmnt_id like 'SS%' OR instrmnt_id like 'SNC%' OR intrnl_sgmnt not in ('outras instituicoes financeiras','outras empresas nao financeiras') Then 'N/A'
       ELSE 
    --   CASE WHEN replace(replace(coalesce(excldd_lf,concat(excldd_aux_1,',',excldd_aux_2,',',coalesce(case when excldd_aux_4='N/A' then null else excldd_aux_4 end,excldd_aux_3),',',excldd_aux_5,',',excldd_aux_6,',',excldd_aux_7,',',excldd_aux_8)),"N/A,",""),",N/A","") = 'N/A' THEN 'MISS' 
    --   ELSE 
       replace(replace(coalesce(excldd_lf,concat(excldd_aux_1,',',excldd_aux_2,',',coalesce(case when excldd_aux_4='N/A' then null else excldd_aux_4 end,excldd_aux_3),',',excldd_aux_5,',',excldd_aux_6,',',excldd_aux_7,',',excldd_aux_8)),"N/A,",""),",N/A","") END  AS campo_auxiliar 
       , excldd_lf_lt002, intrnl_sgmnt
FROM
  (SELECT 
  DISTINCT lt002.instrmnt_id,
          lt601.excldd_lf,
          lt002.excldd_lf as excldd_lf_lt002, lt001.cod_empr_pme, intrnl_sgmnt,
          CASE
              WHEN TRIM(ct003.csector_inst) IN('S123',
                                         'S124',
                                         'S1240001',
                                         'S1240002',
                                         'S1240003',
                                         'S2023',
                                         'S20231',
                                         'S20232',
                                         'S2024',
                                         'S401341') THEN 'EXC01'
              ELSE 'N/A'
          END AS excldd_aux_1,
          CASE
              WHEN ct610.tipo_titulo='Titularizacao' THEN 'EXC02'
              ELSE 'N/A'
          END AS excldd_aux_2,
          CASE
              WHEN tat.ind_exc='S' THEN 'EXC04'
              ELSE 'N/A'
          END AS excldd_aux_3,
          CASE
              WHEN ct003.cseg_risc LIKE'9%' THEN 'EXC05'
              ELSE 'N/A'
          END AS excldd_aux_4,
          CASE
              WHEN lt001.cod_empr_pme IN('1',
                                         '2',
                                         '3') THEN 'EXC06'
              ELSE 'N/A'
          END AS excldd_aux_5,
            CASE
                WHEN auxiliar.company_exposure&lt;5000000 THEN 'EXC07'
                ELSE 'N/A'
            END AS excldd_aux_6,          CASE
              WHEN lt002.intrnl_sgmnt IN('setor publico',
                                         'banco centrais',
                                         'instituicoes de credito')THEN 'EXC08'
              ELSE 'N/A'
          END AS excldd_aux_7,
          CASE
              WHEN lt002.pd_ec_rd&lt;=0.500000 THEN 'EXC09'
              ELSE 'N/A'--
-- WHEN TRIM(cast(lt002.pd_ec_rd as string)='NULL' or lt002.pd_ec_rd IS NULL THEN '0'
          END AS excldd_aux_8 -- count(*)-- 2110768
-- 2145008
FROM
     (SELECT instrmnt_id,
             prdct,
             intrnl_sgmnt,
             pd_ec_rd, excldd_lf
      FROM cd_loan_tapes_bce.lt002_instrument
      WHERE ref_date='${date}'
        AND ambito='PM'
        AND nome_perimetro='Individual IDComb'
        AND entidade='00100'
        AND segmento='ESTR'
        AND cod_visao=1 )lt002
   LEFT JOIN
     (SELECT instrmnt_id,
             entty_id
      FROM cd_loan_tapes_bce.lt005_instr_ent
      WHERE ref_date='${date}'
        AND ambito='PM'
        AND nome_perimetro='Individual IDComb'
        AND entidade='00100'
        AND segmento='ESTR'
        AND cod_visao=1
        AND mn_entty_id='Y')lt005 ON lt002.instrmnt_id=lt005.instrmnt_id
   LEFT JOIN
     (SELECT DISTINCT entty_id
      FROM cd_loan_tapes_bce.lt003_entity
      WHERE ref_date='${date}'
        AND ambito='PM'
        AND nome_perimetro='Individual IDComb'
        AND entidade='00100'
        AND segmento='ESTR'
        AND cod_visao=1)lt003 ON lt005.entty_id=lt003.entty_id
   LEFT JOIN
     (SELECT cempresa,
             cbalcao,
             cnumecta,
             zdeposit,
             excldd_lf
      FROM cd_loan_tapes_bce.lt601_lev_fin
      WHERE REF_DATE BETWEEN add_months('2025-06-30',-3) AND '2025-06-30')lt601 ON lt002.instrmnt_id=concat(lt601.cempresa,lt601.cbalcao,lt601.cnumecta,lt601.zdeposit)
   LEFT JOIN
     (SELECT *
      FROM bu_loantape_work.kt_chaves_lt
      WHERE ref_date='${date}'
        AND ambito='PM'
        AND nome_perimetro='Individual IDComb'
        AND entidade='00100'
        AND segmento='ESTR'
        AND cod_visao=1)chaves_lt ON lt002.instrmnt_id=chaves_lt.instrmnt_id
   LEFT JOIN
     (SELECT cempresa,
             cbalcao,
             cnumecta,
             zdeposit,
             max(cod_empr_pme) AS cod_empr_pme
      FROM cd_loan_tapes_bce.lt001_univ_oper
      WHERE ref_date='${date}'
        AND ambito='PM'
        AND nome_perimetro='Individual IDComb'
        AND entidade='00100'
        AND segmento='ESTR'
        AND cod_visao=1
      GROUP BY 1,
               2,
               3,
               4)lt001 ON concat(chaves_lt.cempresa,chaves_lt.cbalcao,chaves_lt.cnumecta,chaves_lt.zdeposit)=concat(lt001.cempresa,lt001.cbalcao,lt001.cnumecta,lt001.zdeposit)
   LEFT JOIN
     (SELECT *
      FROM cd_captools.kt_chaves_finrep
      WHERE ref_date='${date}'
        AND cod_visao=1)chaves_fr ON lt002.instrmnt_id=concat(chaves_fr.cempresa_fr,chaves_fr.cbalcao_fr,chaves_fr.cnumecta_fr,chaves_fr.zdeposit_fr)
   LEFT JOIN
     (SELECT cempresa,
             cbalcao,
             cnumecta,
             zdeposit,
             tipo_titulo
      FROM cd_captools.ct610_titulos
      WHERE ref_date='${date}')ct610 ON concat(chaves_fr.cempresa,chaves_fr.cbalcao,chaves_fr.cnumecta,chaves_fr.zdeposit)=concat(ct610.cempresa,ct610.cbalcao,ct610.cnumecta,ct610.zdeposit)
   LEFT JOIN
     (SELECT tayd91c0_celemtab,
             substr(tayd91c0_nelemc01,14,1) AS ind_exc
      FROM cd_estruturais.tat91_tabelas
      WHERE data_date_part='${date}'
        AND tayd91c0_ctabela='925')tat ON substr(lt002.prdct,1,6)=trim(tat.tayd91c0_celemtab)
   LEFT JOIN
     (SELECT zcliente,
             cseg_risc,
             csector_inst
      FROM cd_captools.ct003_univ_cli
      WHERE ref_date='${date}')ct003 ON lt003.entty_id=ct003.zcliente
     LEFT JOIN (SELECT lt003.entty_id,
          sum(lt002.grss_crryng_amnt_instrmnt+lt002.off_blnc_sht_amnt_instrmnt) over(partition BY ct003.ccli_grupo) AS company_exposure
   FROM
     (SELECT DISTINCT entty_id
      FROM cd_loan_tapes_bce.lt003_entity
      WHERE ref_date='${date}'
        AND ambito='PM'
        AND nome_perimetro='Individual IDComb'
        AND entidade='00100'
        AND segmento='ESTR'
        AND cod_visao=1)lt003
   LEFT JOIN
     (SELECT DISTINCT instrmnt_id,
                      entty_id
      FROM cd_loan_tapes_bce.lt005_instr_ent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cd_loan_tapes_bce.lt002_instrument
      WHERE ref_date='${date}'
        AND ambito='PM'
        AND nome_perimetro='Individual IDComb'
        AND entidade='00100'
        AND segmento='ESTR'
        AND cod_visao=1)lt002 ON lt005.instrmnt_id=lt002.instrmnt_id
   LEFT JOIN
     (SELECT ccli_grupo,
             zcliente
      FROM cd_captools.ct003_univ_cli
      WHERE ref_date='${date}')ct003 ON lt003.entty_id=ct003.zcliente) auxiliar
      on lt003.entty_id=auxiliar.entty_id
      ) X
      ) Y
      Where campo_auxiliar &lt;&gt; excldd_lf_lt002;</t>
  </si>
  <si>
    <t>Teste em CD</t>
  </si>
  <si>
    <t>Existem 9 contratos com valor negativo</t>
  </si>
  <si>
    <t>Variação vs PdS anterior</t>
  </si>
  <si>
    <t>"Loan to income (LTI)" shall be larger than 0; Negative values trigger attention</t>
  </si>
  <si>
    <t>Versão de Produção</t>
  </si>
  <si>
    <t>1 controlo vs PRSN_TYP - Já corrigido a futuro nas Ics para Agosto
Controlo que compara o SME_FNRP18 com ENTRPRS_SZ, vai ser discontinuado</t>
  </si>
  <si>
    <t>SELECT LT002.instrmnt_id, IFRS.contract_id, ifrs9_ead, ifrs9_ead_simulado
FROM
(SELECT *
   FROM cd_loan_tapes_bce.lt002_instrument
   WHERE ref_date='2025-06-30'
     AND nome_perimetro= 'Individual IDComb'
     AND segmento= 'ESTR'
     AND ambito= 'PM'
     AND entidade='00100'
     AND cod_visao = 1
--  And instrmnt_id='310001002006062730000000000000PC'
 ) LT002
INNER JOIN 
(SELECT *
FROM cd_captools.kt_chaves_finrep
WHERE ref_date = '2025-06-30'
-- AND CONCAT(CEMPRESA_FR, CBALCAO_FR, CNUMECTA_FR, ZDEPOSIT_FR) ='310001002006062730000000000000PC'
) KT_MASTER
ON INSTRMNT_ID = CONCAT(CEMPRESA_FR, CBALCAO_FR, CNUMECTA_FR, ZDEPOSIT_FR)
INNER JOIN 
(SELECT *
FROM cd_captools.kt_chaves_ifrs9
WHERE ref_date = '2025-06-30'
-- AND CONCAT(CEMPRESA, CBALCAO, CNUMECTA, ZDEPOSIT) = '31000100200606273000000000000000' 
) KT_IFRS9
ON CONCAT(KT_MASTER.CEMPRESA, KT_MASTER.CBALCAO, KT_MASTER.CNUMECTA, KT_MASTER.ZDEPOSIT) =  CONCAT(KT_IFRS9.CEMPRESA, KT_IFRS9.CBALCAO, KT_IFRS9.CNUMECTA, KT_IFRS9.ZDEPOSIT)
LEFT JOIN 
(SELECT contract_id, Round(ead_final,2) as ifrs9_ead_simulado
FROM
(SELECT contract_id, ead_final, exec_id_part
From BU_IFRS9.ifrs9_out_staging_8_7
-- Where contract_id ='000100200606273000000000000000'
) 8_7
INNER JOIN
(SELECT exec_id_part, cmes
FROM cd_captools.imcatf046_flag_fecho
Where cmes ='202506') imcat
ON 8_7.exec_id_part = imcat.exec_id_part) IFRS
ON KT_IFRS9.contract_id = IFRS.contract_id
Where ifrs9_ead_simulado &lt;&gt; ifrs9_ead</t>
  </si>
  <si>
    <t>Testar após implementação</t>
  </si>
  <si>
    <t>1 Controlo NOK - Proteções a zero (Está a ser desenvolvido pela equipa do Henrique Amaral um projeto de recuperação de documentação</t>
  </si>
  <si>
    <t>Controlo NOK - alterar especificação onde se incluí a condição de N/A  quando o prsn_typ = L</t>
  </si>
  <si>
    <t>Campo necessita ser revisto devido a controlos NOK</t>
  </si>
  <si>
    <t>US_PRCDS</t>
  </si>
  <si>
    <t>TYP_FCLTY</t>
  </si>
  <si>
    <t>TYP_DL</t>
  </si>
  <si>
    <t>TYP_CL</t>
  </si>
  <si>
    <t>TTL_PRMSSBL_DBT_BLNC</t>
  </si>
  <si>
    <t>TTL_LVRG_RT_INCPTN_HLT</t>
  </si>
  <si>
    <t>TTL_LVRG_RT_INCPTN</t>
  </si>
  <si>
    <t>SCAN</t>
  </si>
  <si>
    <t>RWA_PRMTGTN</t>
  </si>
  <si>
    <t>RWA_MTGTN</t>
  </si>
  <si>
    <t>RORWA</t>
  </si>
  <si>
    <t>RORAC</t>
  </si>
  <si>
    <t>GRP_SPPRT</t>
  </si>
  <si>
    <t>GRP_RORWA</t>
  </si>
  <si>
    <t>GRP_RORAC</t>
  </si>
  <si>
    <t>FLLN_ANGL_NRRW_DFNTN</t>
  </si>
  <si>
    <t>FLLN_ANGL_EXTNDD_DFNTN</t>
  </si>
  <si>
    <t>DT_MDFCTN</t>
  </si>
  <si>
    <t>DSTNTN_FNDS</t>
  </si>
  <si>
    <t>INSTR_PROT</t>
  </si>
  <si>
    <t>Pendência do campo dflt_stts_instrmnt</t>
  </si>
  <si>
    <t>Necessário implementar especificação enviada por GF no dia 15/09/2025</t>
  </si>
  <si>
    <t>Campo todo marcado a N/A</t>
  </si>
  <si>
    <t>LT_C_AC_005_01</t>
  </si>
  <si>
    <t>"Percentage of UoP"  should be a Numeric not null (default values for not applicable fields not allowed)</t>
  </si>
  <si>
    <t>INTRA_N1_AC</t>
  </si>
  <si>
    <t>NOT_NULL_NUM_NA</t>
  </si>
  <si>
    <t>LT_C_AC</t>
  </si>
  <si>
    <t>LT_C_AC_006_01</t>
  </si>
  <si>
    <t>"Environmental objective" should be a Numeric not null (default values for not applicable fields not allowed)</t>
  </si>
  <si>
    <t>ENVRNMNTL_OBJCTV</t>
  </si>
  <si>
    <t>LT_C_AC_008_01</t>
  </si>
  <si>
    <t>"Sustainable Indicator" should be a Char not null (default values not allowed)</t>
  </si>
  <si>
    <t>SSTNBL_INDCTR</t>
  </si>
  <si>
    <t>NOT_NULL_NA</t>
  </si>
  <si>
    <t>LT_C_AC_009_01</t>
  </si>
  <si>
    <t>"Substantial contribution compliance" should be a Char not null (default values for not applicable fields not allowed)</t>
  </si>
  <si>
    <t>FLG_SBSTNTL_CNTRBTN</t>
  </si>
  <si>
    <t>LT_C_AC_010_01</t>
  </si>
  <si>
    <t>"DNSH compliance" should be a Char not null (default values for not applicable fields not allowed)</t>
  </si>
  <si>
    <t>FLG_DNSH_CMPLNC</t>
  </si>
  <si>
    <t>LT_C_EN_002_01</t>
  </si>
  <si>
    <t>"Country of counterparty residence" should be a Char not null (default values for not applicable fields not allowed)</t>
  </si>
  <si>
    <t>INTRA_N1_EN</t>
  </si>
  <si>
    <t>LT_C_EN</t>
  </si>
  <si>
    <t>LT_C_EN_003_01</t>
  </si>
  <si>
    <t>"Birth date counterparty" should be a Date not null (Not Applicable values not allowed)</t>
  </si>
  <si>
    <t>NOT_NULL_DATE_NA</t>
  </si>
  <si>
    <t>LT_C_EN_010_01</t>
  </si>
  <si>
    <t>"Entity ID" should be a Char not null (default values not allowed)</t>
  </si>
  <si>
    <t>NOT_NULL_CHAR</t>
  </si>
  <si>
    <t>LT_C_EN_016_01</t>
  </si>
  <si>
    <t>"Name Counterparty" should be a Char not null (default values for not applicable fields not allowed)</t>
  </si>
  <si>
    <t>LT_C_EN_036_01</t>
  </si>
  <si>
    <t>"Request by the debtor for emergency funding from the bank" should be a Char not null (default values for not applicable fields not allowed)</t>
  </si>
  <si>
    <t>LT_C_EN_110_01</t>
  </si>
  <si>
    <t>"Flag of CSRD applicability at counterparty level" should be a Char not null (default values not allowed)</t>
  </si>
  <si>
    <t>FLG_CSRD_APPLCBLTY</t>
  </si>
  <si>
    <t>LT_C_EN_111_01</t>
  </si>
  <si>
    <t>"Flag of CSRD applicability at Group Level" should be a Char not null (default values not allowed)</t>
  </si>
  <si>
    <t>FLG_GRP_CSRD_APPLCBLTY</t>
  </si>
  <si>
    <t>LT_C_EN_118_01</t>
  </si>
  <si>
    <t>"Flag Excluded from EU Paris-aligned benchmark" should be a Char not null (default values not allowed)</t>
  </si>
  <si>
    <t>FLG_EXCLDD_EU_PRS_ALGND_BNCHMRK</t>
  </si>
  <si>
    <t>LT_C_EN_122_01</t>
  </si>
  <si>
    <t>"Flag Acute Physical Risk at entity level" should be a Char not null (default values not allowed)</t>
  </si>
  <si>
    <t>FLG_ACT_PHYSCL_RSK</t>
  </si>
  <si>
    <t>LT_C_EN_123_01</t>
  </si>
  <si>
    <t>"Flag Chronic Physical Risk at entity level" should be a Char not null (default values not allowed)</t>
  </si>
  <si>
    <t>FLG_CHRNC_PHYSCL_RSK</t>
  </si>
  <si>
    <t>LT_C_EN_139_01</t>
  </si>
  <si>
    <t>"Fallen Angel narrow definition" should be a Char not null (default values not allowed)</t>
  </si>
  <si>
    <t>LT_C_EN_140_01</t>
  </si>
  <si>
    <t>"Fallen Angel extended definition" should be a Char not null (default values not allowed)</t>
  </si>
  <si>
    <t>LT_C_IE_003_01</t>
  </si>
  <si>
    <t>INTRA_N1_IE</t>
  </si>
  <si>
    <t>LT_C_IE</t>
  </si>
  <si>
    <t>LT_C_IE_004_01</t>
  </si>
  <si>
    <t>"Instrument ID" should be a Char not null (default values not allowed)</t>
  </si>
  <si>
    <t>LT_C_IE_006_01</t>
  </si>
  <si>
    <t>LT_C_IN_003_01</t>
  </si>
  <si>
    <t>INTRA_N1_IN</t>
  </si>
  <si>
    <t>LT_C_IN</t>
  </si>
  <si>
    <t>LT_C_IN_004_01</t>
  </si>
  <si>
    <t>"Flag of SMEs" should be a Char not null (default values for not applicable fields not allowed)</t>
  </si>
  <si>
    <t>LT_C_IN_005_01</t>
  </si>
  <si>
    <t>LT_C_IN_006_01</t>
  </si>
  <si>
    <t>"Flag of Credit for consumption" should be a Char not null (default values for not applicable fields not allowed)</t>
  </si>
  <si>
    <t>LT_C_IN_008_01</t>
  </si>
  <si>
    <t>LT_C_IN_009_01</t>
  </si>
  <si>
    <t>"Contract ID" should be a Char not null (default values not allowed)</t>
  </si>
  <si>
    <t>LT_C_IN_010_01</t>
  </si>
  <si>
    <t>"Currency denomination" should be a Char not null (default values for not applicable fields not allowed)</t>
  </si>
  <si>
    <t>LT_C_IN_011_01</t>
  </si>
  <si>
    <t>"Date of inception" should be a Date not null (default values for not applicable fields not allowed)</t>
  </si>
  <si>
    <t>LT_C_IN_012_01</t>
  </si>
  <si>
    <t>"Observed agent identifier" should be a Char not null (default values not allowed)</t>
  </si>
  <si>
    <t>LT_C_IN_013_01</t>
  </si>
  <si>
    <t>"Observed Agent Name" should be a Char not null (default values not allowed)</t>
  </si>
  <si>
    <t>LT_C_IN_021_01</t>
  </si>
  <si>
    <t>"Date of default status" should be a Date not null (default values for not applicable fields not allowed)</t>
  </si>
  <si>
    <t>LT_C_IN_024_01</t>
  </si>
  <si>
    <t>"Date of forbearance status" should be a Date not null (default values for not applicable fields not allowed)</t>
  </si>
  <si>
    <t>LT_C_IN_025_01</t>
  </si>
  <si>
    <t>"Date of previous forbearance status" should be a Date not null (default values for not applicable fields not allowed)</t>
  </si>
  <si>
    <t>LT_C_IN_027_01</t>
  </si>
  <si>
    <t>"Date of performing status" should be a Date not null (default values for not applicable fields not allowed)</t>
  </si>
  <si>
    <t>LT_C_IN_032_01</t>
  </si>
  <si>
    <t>"Flag for leverage buy-out transactions" should be a Char not null (default values for not applicable fields not allowed)</t>
  </si>
  <si>
    <t>LT_C_IN_044_01</t>
  </si>
  <si>
    <t>"Performing status" should be a Numeric not null (default values for not applicable fields not allowed)</t>
  </si>
  <si>
    <t>LT_C_IN_055_01</t>
  </si>
  <si>
    <t>"Type of instrument" should be a Numeric not null (default values for not applicable fields not allowed)</t>
  </si>
  <si>
    <t>LT_C_IN_056_01</t>
  </si>
  <si>
    <t>"Type of interest rate" should be a Numeric not null (default values for not applicable fields not allowed)</t>
  </si>
  <si>
    <t>LT_C_IN_057_01</t>
  </si>
  <si>
    <t>"Type of mortgage" should be a Numeric not null (default values for not applicable fields not allowed)</t>
  </si>
  <si>
    <t>LT_C_IN_085_01</t>
  </si>
  <si>
    <t>"RWA" should be a Numeric not null (default values for not applicable fields not allowed)</t>
  </si>
  <si>
    <t>LT_C_IN_185_01</t>
  </si>
  <si>
    <t>"Leverage finance flag" should be a Char not null (default values for not applicable fields not allowed)</t>
  </si>
  <si>
    <t>LT_C_IN_193_01</t>
  </si>
  <si>
    <t>"Local Instrument ID" should be a Char not null (default values not allowed)</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</si>
  <si>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</si>
  <si>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</si>
  <si>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</si>
  <si>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</si>
  <si>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</si>
  <si>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</si>
  <si>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LT_C_IN_203_01</t>
  </si>
  <si>
    <t>"Management Product" should be a Char not null (default values for not applicable fields not allowed)</t>
  </si>
  <si>
    <t>MNGMNT_PRDCT</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</si>
  <si>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</si>
  <si>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</si>
  <si>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</si>
  <si>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</si>
  <si>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</si>
  <si>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</si>
  <si>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LT_C_IN_226_01</t>
  </si>
  <si>
    <t>"Risk Mitigated CCT" should be a Char not null (default values for not applicable fields not allowed)</t>
  </si>
  <si>
    <t>RSK_MTGTD_CCT</t>
  </si>
  <si>
    <t>LT_C_IN_227_01</t>
  </si>
  <si>
    <t>"Risk Mitigated CCP" should be a Char not null (default values for not applicable fields not allowed)</t>
  </si>
  <si>
    <t>RSK_MTGTD_CCP</t>
  </si>
  <si>
    <t>LT_C_IN_245_01</t>
  </si>
  <si>
    <t>"Transferred amount" should be a Numeric not null (default values for not applicable fields not allowed)</t>
  </si>
  <si>
    <t>LT_C_IN_246_01</t>
  </si>
  <si>
    <t>"Type of securitization" should be a Char not null (default values for not applicable fields not allowed)</t>
  </si>
  <si>
    <t>LT_C_IN_249_01</t>
  </si>
  <si>
    <t>"Flag default (CRR Exposure class)" should be a Char not null (default values for not applicable fields not allowed)</t>
  </si>
  <si>
    <t>LT_C_IN_250_01</t>
  </si>
  <si>
    <t>"Flag high risk (CRR Exposure class)" should be a Char not null (default values for not applicable fields not allowed)</t>
  </si>
  <si>
    <t>LT_C_IN_252_01</t>
  </si>
  <si>
    <t>"RWA for exposures subject to credit risk mitigation techniques" should be a Numeric not null (default values for not applicable fields not allowed)</t>
  </si>
  <si>
    <t>LT_C_IN_253_01</t>
  </si>
  <si>
    <t>"RWA premitigation" should be a Numeric not null (default values for not applicable fields not allowed)</t>
  </si>
  <si>
    <t>LT_C_IN_254_01</t>
  </si>
  <si>
    <t>"Use of proceeds" should be a Char not null (default values for not applicable fields not allowed)</t>
  </si>
  <si>
    <t>LT_C_IN_258_01</t>
  </si>
  <si>
    <t>"Minimum safeguards flag" should be a Char not null (default values for not applicable fields not allowed)</t>
  </si>
  <si>
    <t>FLG_MNMM_SFGRDS</t>
  </si>
  <si>
    <t>LT_C_IP_003_01</t>
  </si>
  <si>
    <t>INTRA_N1_IP</t>
  </si>
  <si>
    <t>LT_C_IP</t>
  </si>
  <si>
    <t>LT_C_IP_004_01</t>
  </si>
  <si>
    <t>"Protection ID" should be a Char not null (default values not allowed)</t>
  </si>
  <si>
    <t>LT_C_IP_005_01</t>
  </si>
  <si>
    <t>"Protection allocated value" should be a Numeric not null (default values for not applicable fields not allowed)</t>
  </si>
  <si>
    <t>LT_C_IP_007_01</t>
  </si>
  <si>
    <t>"Type of relation" should be a Char not null (default values not allowed)</t>
  </si>
  <si>
    <t>TYP_RLTN</t>
  </si>
  <si>
    <t>LT_C_IP_008_01</t>
  </si>
  <si>
    <t>"Group support" should be a Char not null (default values for not applicable fields not allowed)</t>
  </si>
  <si>
    <t>LT_C_PR_005_01</t>
  </si>
  <si>
    <t>INTRA_N1_PR</t>
  </si>
  <si>
    <t>LT_C_PR</t>
  </si>
  <si>
    <t>LT_C_PR_014_01</t>
  </si>
  <si>
    <t>"Protection type" should be a Numeric not null (default values for not applicable fields not allowed)</t>
  </si>
  <si>
    <t>LT_C_PR_056_01</t>
  </si>
  <si>
    <t>"Flag Acute Physical Risk at protection level" should be a Char not null (default values not allowed)</t>
  </si>
  <si>
    <t>LT_C_PR_057_01</t>
  </si>
  <si>
    <t>"Flag Chronic Physical Risk at protection level" should be a Char not null (default values not allowed)</t>
  </si>
  <si>
    <t>LT_C_PR_062_01</t>
  </si>
  <si>
    <t>"Flag first home" should be a Char not null (default values not allowed)</t>
  </si>
  <si>
    <t>FLG_FRST_HM</t>
  </si>
  <si>
    <t>LT_C_PR_076_01</t>
  </si>
  <si>
    <t>"Flag of electric vehicle" should be a Char not null (default values for not applicable fields not allowed)</t>
  </si>
  <si>
    <t>FLG_ELCTRC_VHCL</t>
  </si>
  <si>
    <t>LT_D_AC_003_01</t>
  </si>
  <si>
    <t>Duplicates by "Instrument ID" and "Sustainable Category" in INSTR_ACTVTY table</t>
  </si>
  <si>
    <t>DUPLICATES FUNCTIONAL</t>
  </si>
  <si>
    <t>LT_D_</t>
  </si>
  <si>
    <t>LT_D_EN_010_01</t>
  </si>
  <si>
    <t>Duplicates by "Entity ID" in ENTITY table</t>
  </si>
  <si>
    <t>DUPLICATES PK</t>
  </si>
  <si>
    <t>LT_D_EN_085_01</t>
  </si>
  <si>
    <t>Duplicates by "Fiscal ID" in ENTITY table</t>
  </si>
  <si>
    <t>LT_D_IE_003_01</t>
  </si>
  <si>
    <t>Duplicates by "Entity ID" and "Instrument ID" in INSTR_ENTITY table</t>
  </si>
  <si>
    <t>LT_D_IN_008_01</t>
  </si>
  <si>
    <t>Duplicates by "Instrument ID" in INSTRUMENT table</t>
  </si>
  <si>
    <t>LT_D_IP_003_01</t>
  </si>
  <si>
    <t>Duplicates by "Instrument ID" and "Protection ID" in INSTR_PROTECTION table</t>
  </si>
  <si>
    <t>LT_D_PR_004_01</t>
  </si>
  <si>
    <t>LT_D_PR_005_01</t>
  </si>
  <si>
    <t>Duplicates by "Protection ID" in PROTECTION table</t>
  </si>
  <si>
    <t>LT_D_PR_039_01</t>
  </si>
  <si>
    <t>Duplicates by "Fiscal ID" in PROTECTION table</t>
  </si>
  <si>
    <t>LT_F_AC_001_01</t>
  </si>
  <si>
    <t>"Entity code of the informing society." should have Char format (variable length allowed between 1 and 5 characters)</t>
  </si>
  <si>
    <t>LT_F_AC</t>
  </si>
  <si>
    <t>LT_F_AC_002_01</t>
  </si>
  <si>
    <t>"Reference date" must have a Date format (yyyy-mm-dd)</t>
  </si>
  <si>
    <t>FORMAT_DATE</t>
  </si>
  <si>
    <t>LT_F_AC_003_01</t>
  </si>
  <si>
    <t>"Instrument ID" should have Char format (variable length allowed between 1 and 60 characters)</t>
  </si>
  <si>
    <t>FORMAT_CHAR</t>
  </si>
  <si>
    <t>LT_F_AC_004_01</t>
  </si>
  <si>
    <t>"Sustainable Category Green (specific purpose) and General (general purpose)" should match the information on the Codelist</t>
  </si>
  <si>
    <t>SSTNBL_CTGRY</t>
  </si>
  <si>
    <t>LISTA</t>
  </si>
  <si>
    <t>LT_F_AC_005_01</t>
  </si>
  <si>
    <t>"Percentage of UoP" should have a Format numeric (6 decimal places)</t>
  </si>
  <si>
    <t>FORMAT_NUM</t>
  </si>
  <si>
    <t>LT_F_AC_006_01</t>
  </si>
  <si>
    <t>"Environmental objective" should match the information on the Codelist</t>
  </si>
  <si>
    <t>LT_F_AC_007_01</t>
  </si>
  <si>
    <t>"Type of activity" should match the information on the Codelist</t>
  </si>
  <si>
    <t>TYP_ACTVTY</t>
  </si>
  <si>
    <t>LT_F_AC_008_01</t>
  </si>
  <si>
    <t>"Sustainable Indicator" should match the information on the Codelist</t>
  </si>
  <si>
    <t>LT_F_AC_009_01</t>
  </si>
  <si>
    <t>"Substantial contribution compliance" should match the information on the Codelist</t>
  </si>
  <si>
    <t>LT_F_AC_010_01</t>
  </si>
  <si>
    <t>"DNSH compliance" should match the information on the Codelist</t>
  </si>
  <si>
    <t>LT_F_AC_011_01</t>
  </si>
  <si>
    <t>"DNSH detail" should match the information on the Codelist, with a limit of 5 possible values</t>
  </si>
  <si>
    <t>DNSH_DTL</t>
  </si>
  <si>
    <t>LT_F_EN_001_01</t>
  </si>
  <si>
    <t>"Entity code of the informing society." should match the information on the Codelist</t>
  </si>
  <si>
    <t>LT_F_EN</t>
  </si>
  <si>
    <t>LT_F_EN_002_01</t>
  </si>
  <si>
    <t>"Country of counterparty residence" should match the information on the Codelist</t>
  </si>
  <si>
    <t>LT_F_EN_003_01</t>
  </si>
  <si>
    <t>"Birth date counterparty" must have a Date format (yyyy-mm-dd)</t>
  </si>
  <si>
    <t>LT_F_EN_004_01</t>
  </si>
  <si>
    <t>"Date of default status" must have a Date format (yyyy-mm-dd)</t>
  </si>
  <si>
    <t>LT_F_EN_005_01</t>
  </si>
  <si>
    <t>"Date of financial statements" must have a Date format (yyyy-mm-dd)</t>
  </si>
  <si>
    <t>LT_F_EN_006_01</t>
  </si>
  <si>
    <t>"Date of previous fiscal year financial statements" must have a Date format (yyyy-mm-dd)</t>
  </si>
  <si>
    <t>LT_F_EN_007_01</t>
  </si>
  <si>
    <t>"Date of initiation of legal proceedings counterparty (LE)" must have a Date format (yyyy-mm-dd)</t>
  </si>
  <si>
    <t>LT_F_EN_008_01</t>
  </si>
  <si>
    <t>"Date of performing status" must have a Date format (yyyy-mm-dd)</t>
  </si>
  <si>
    <t>LT_F_EN_009_01</t>
  </si>
  <si>
    <t>"Reference date." must have a Date format (yyyy-mm-dd)</t>
  </si>
  <si>
    <t>LT_F_EN_010_01</t>
  </si>
  <si>
    <t>"Entity ID" should have Char format (variable length allowed between 1 and 255 characters)</t>
  </si>
  <si>
    <t>LT_F_EN_011_01</t>
  </si>
  <si>
    <t>"Identifier for the parent entity of a group of connected clients" should have Char format (variable length allowed between 1 and 255 characters)</t>
  </si>
  <si>
    <t>LT_F_EN_012_01</t>
  </si>
  <si>
    <t>"Name of the parent entity of a group of connected clients" should have Char format (variable length allowed between 1 and 255 characters)</t>
  </si>
  <si>
    <t>LT_F_EN_013_01</t>
  </si>
  <si>
    <t>"Internal code for segment/portfolio" should have Char format (variable length allowed between 1 and 255 characters)</t>
  </si>
  <si>
    <t>LT_F_EN_014_01</t>
  </si>
  <si>
    <t>"Internal code for business line/unit" should have Char format (variable length allowed between 1 and 255 characters)</t>
  </si>
  <si>
    <t>LT_F_EN_015_01</t>
  </si>
  <si>
    <t>"Legal entity identifier Counterparty" should have Char format (variable length allowed between 1 and 20 characters)</t>
  </si>
  <si>
    <t>LT_F_EN_016_01</t>
  </si>
  <si>
    <t>"Name Counterparty" should have Char format (variable length allowed between 1 and 255 characters)</t>
  </si>
  <si>
    <t>LT_F_EN_017_01</t>
  </si>
  <si>
    <t>"Name of external rating agency" should have Char format (variable length allowed between 1 and 255 characters)</t>
  </si>
  <si>
    <t>LT_F_EN_018_01</t>
  </si>
  <si>
    <t>"Accounting standard counterparty" should match the information on the Codelist</t>
  </si>
  <si>
    <t>LT_F_EN_019_01</t>
  </si>
  <si>
    <t>"Cure flag for entity which was classified as non-performing in the last 1.5 years and is classified as performing at the reference date" should match the information on the Codelist</t>
  </si>
  <si>
    <t>LT_F_EN_020_01</t>
  </si>
  <si>
    <t>"Entity deceased" should match the information on the Codelist</t>
  </si>
  <si>
    <t>LT_F_EN_021_01</t>
  </si>
  <si>
    <t>"Default status of the entity" should match the information on the Codelist</t>
  </si>
  <si>
    <t>LT_F_EN_022_01</t>
  </si>
  <si>
    <t>"Date of external rating" must have a Date format (yyyy-mm-dd)</t>
  </si>
  <si>
    <t>LT_F_EN_023_01</t>
  </si>
  <si>
    <t>"Date of internal rating" must have a Date format (yyyy-mm-dd)</t>
  </si>
  <si>
    <t>LT_F_EN_024_01</t>
  </si>
  <si>
    <t>"Economic activity counterparty" should match the information on the Codelist</t>
  </si>
  <si>
    <t>LT_F_EN_025_01</t>
  </si>
  <si>
    <t>"Employment status according to bank-internal classification" should have Char format (variable length allowed between 1 and 255 characters)</t>
  </si>
  <si>
    <t>LT_F_EN_026_01</t>
  </si>
  <si>
    <t>"Employment status (Code List)" should match the information on the Codelist</t>
  </si>
  <si>
    <t>LT_F_EN_027_01</t>
  </si>
  <si>
    <t>LT_F_EN_028_01</t>
  </si>
  <si>
    <t>"External rating" should match the information on the Codelist</t>
  </si>
  <si>
    <t>LT_F_EN_029_01</t>
  </si>
  <si>
    <t>"External rating T-1" should match the information on the Codelist</t>
  </si>
  <si>
    <t>LT_F_EN_030_01</t>
  </si>
  <si>
    <t>"Any legal entity within the group of connected clients of the debtor (incl. subsidiaries of the debtor) has filed bankruptcy application" should match the information on the Codelist</t>
  </si>
  <si>
    <t>LT_F_EN_031_01</t>
  </si>
  <si>
    <t>"5Y CDS &gt; 1,000bps over the last 12 months" should match the information on the Codelist</t>
  </si>
  <si>
    <t>LT_F_EN_032_01</t>
  </si>
  <si>
    <t>"ISDA credit event declared" should match the information on the Codelist</t>
  </si>
  <si>
    <t>LT_F_EN_033_01</t>
  </si>
  <si>
    <t>"Credit obligation on non-accrual status" should match the information on the Codelist</t>
  </si>
  <si>
    <t>LT_F_EN_034_01</t>
  </si>
  <si>
    <t>"Request by the institution for the obligor's bankruptcy" should match the information on the Codelist</t>
  </si>
  <si>
    <t>LT_F_EN_035_01</t>
  </si>
  <si>
    <t>"Request for current concession of forbearance measures as defined in EBA/ITS/2013/03 resulting in distressed restructuring of the credit obligation" should match the information on the Codelist</t>
  </si>
  <si>
    <t>LT_F_EN_036_01</t>
  </si>
  <si>
    <t>"Request by the debtor for emergency funding from the bank" should match the information on the Codelist</t>
  </si>
  <si>
    <t>LT_F_EN_037_01</t>
  </si>
  <si>
    <t>"Sell of a credit obligation with material credit related economic loss (&gt;= 5%)" should match the information on the Codelist</t>
  </si>
  <si>
    <t>LT_F_EN_038_01</t>
  </si>
  <si>
    <t>"Income self-certified" should match the information on the Codelist</t>
  </si>
  <si>
    <t>LT_F_EN_039_01</t>
  </si>
  <si>
    <t>"Internal rating at reference date" should match the information on the Codelist (internal codelist used locally)</t>
  </si>
  <si>
    <t>LT_F_EN_040_01</t>
  </si>
  <si>
    <t>"Previous internal rating" should match the information on the Codelist (internal codelist used locally)</t>
  </si>
  <si>
    <t>LT_F_EN_041_01</t>
  </si>
  <si>
    <t>"Legal proceedings status Counterparty (LE)" should match the information on the Codelist</t>
  </si>
  <si>
    <t>LT_F_EN_042_01</t>
  </si>
  <si>
    <t>"&gt;50% owned by a sponsor as per ECB Guidance on leveraged transactions" should match the information on the Codelist</t>
  </si>
  <si>
    <t>LT_F_EN_043_01</t>
  </si>
  <si>
    <t>"Performing status" should match the information on the Codelist</t>
  </si>
  <si>
    <t>LT_F_EN_044_01</t>
  </si>
  <si>
    <t>"Rating method" should match the information on the Codelist</t>
  </si>
  <si>
    <t>LT_F_EN_045_01</t>
  </si>
  <si>
    <t>"Rating scale" should match the information on the Codelist</t>
  </si>
  <si>
    <t>LT_F_EN_046_01</t>
  </si>
  <si>
    <t>"Debtor on watch-list (Y/N)" should match the information on the Codelist</t>
  </si>
  <si>
    <t>LT_F_EN_047_01</t>
  </si>
  <si>
    <t>"Type of SPV debtor" should match the information on the Codelist</t>
  </si>
  <si>
    <t>LT_F_EN_048_01</t>
  </si>
  <si>
    <t>"Group's EBITDA at most recent reported figures" should have a Format numeric (2 decimal places)</t>
  </si>
  <si>
    <t>LT_F_EN_049_01</t>
  </si>
  <si>
    <t>"Group's Equity at most recent reported figures" should have a Format numeric (2 decimal places)</t>
  </si>
  <si>
    <t>LT_F_EN_050_01</t>
  </si>
  <si>
    <t>"Total net debt at most recent reported figures" should have a Format numeric (2 decimal places)</t>
  </si>
  <si>
    <t>LT_F_EN_051_01</t>
  </si>
  <si>
    <t>"Annual turnover counterparty (LE)" should have a Format numeric (2 decimal places)</t>
  </si>
  <si>
    <t>LT_F_EN_052_01</t>
  </si>
  <si>
    <t>"Annual turnover counterparty (LE) at previous reporting" should have a Format numeric (2 decimal places)</t>
  </si>
  <si>
    <t>LT_F_EN_053_01</t>
  </si>
  <si>
    <t>"Capital expenditures at most recent reported figures" should have a Format numeric (2 decimal places)</t>
  </si>
  <si>
    <t>LT_F_EN_054_01</t>
  </si>
  <si>
    <t>"Capital expenditures at previous reported figures" should have a Format numeric (2 decimal places)</t>
  </si>
  <si>
    <t>LT_F_EN_055_01</t>
  </si>
  <si>
    <t>"Collection mode" should match the information on the Codelist</t>
  </si>
  <si>
    <t>LT_F_EN_056_01</t>
  </si>
  <si>
    <t>"Cash and cash equivalents at most recent reported figures" should have a Format numeric (2 decimal places)</t>
  </si>
  <si>
    <t>LT_F_EN_057_01</t>
  </si>
  <si>
    <t>"Cash and cash equivalents at previous reported figures" should have a Format numeric (2 decimal places)</t>
  </si>
  <si>
    <t>LT_F_EN_058_01</t>
  </si>
  <si>
    <t>"EBITDA at latest reported figures" should have a Format numeric (2 decimal places)</t>
  </si>
  <si>
    <t>LT_F_EN_059_01</t>
  </si>
  <si>
    <t>"EBITDA at previous reported figures" should have a Format numeric (2 decimal places)</t>
  </si>
  <si>
    <t>LT_F_EN_060_01</t>
  </si>
  <si>
    <t>"Equity at most recent reported figures" should have a Format numeric (2 decimal places)</t>
  </si>
  <si>
    <t>LT_F_EN_061_01</t>
  </si>
  <si>
    <t>"Equity at previous reported figures" should have a Format numeric (2 decimal places)</t>
  </si>
  <si>
    <t>LT_F_EN_062_01</t>
  </si>
  <si>
    <t>"Group's Total debt at most recent reported figures" should have a Format numeric (2 decimal places)</t>
  </si>
  <si>
    <t>LT_F_EN_063_01</t>
  </si>
  <si>
    <t>"Goodwill at most recent reported figures" should have a Format numeric (2 decimal places)</t>
  </si>
  <si>
    <t>LT_F_EN_064_01</t>
  </si>
  <si>
    <t>"Goodwill at previous reported figures" should have a Format numeric (2 decimal places)</t>
  </si>
  <si>
    <t>LT_F_EN_065_01</t>
  </si>
  <si>
    <t>"Loan to income (LTI)" should have a Format numeric (6 decimal places)</t>
  </si>
  <si>
    <t>LT_F_EN_066_01</t>
  </si>
  <si>
    <t>"Leverage (net debt / EBITDA) at most recent reported figures" should have a Format numeric (6 decimal places)</t>
  </si>
  <si>
    <t>LT_F_EN_067_01</t>
  </si>
  <si>
    <t>"Leverage (net debt / EBITDA) at previous reported figures" should have a Format numeric (6 decimal places)</t>
  </si>
  <si>
    <t>LT_F_EN_068_01</t>
  </si>
  <si>
    <t>"Monthly income - other" should have a Format numeric (2 decimal places)</t>
  </si>
  <si>
    <t>LT_F_EN_069_01</t>
  </si>
  <si>
    <t>"Monthly income - salary" should have a Format numeric (2 decimal places)</t>
  </si>
  <si>
    <t>LT_F_EN_070_01</t>
  </si>
  <si>
    <t>"Average monthly turnover to bank account(s)" should have a Format numeric (2 decimal places)</t>
  </si>
  <si>
    <t>LT_F_EN_071_01</t>
  </si>
  <si>
    <t>"Net income at most recent reported figures" should have a Format numeric (2 decimal places)</t>
  </si>
  <si>
    <t>LT_F_EN_072_01</t>
  </si>
  <si>
    <t>"Net income at previous reported figures" should have a Format numeric (2 decimal places)</t>
  </si>
  <si>
    <t>LT_F_EN_073_01</t>
  </si>
  <si>
    <t>"Total debt at latest most recent reported figures" should have a Format numeric (2 decimal places)</t>
  </si>
  <si>
    <t>LT_F_EN_074_01</t>
  </si>
  <si>
    <t>"Total debt at previous reported figures" should have a Format numeric (2 decimal places)</t>
  </si>
  <si>
    <t>LT_F_EN_075_01</t>
  </si>
  <si>
    <t>"Debtor's total interest paid (over period for one year)" should have a Format numeric (2 decimal places)</t>
  </si>
  <si>
    <t>LT_F_EN_076_01</t>
  </si>
  <si>
    <t>"Leverage ratio as per ECB Guidance on leveraged transactions; total debt vs EBITDA" should have a Format numeric (6 decimal places)</t>
  </si>
  <si>
    <t>LT_F_EN_077_01</t>
  </si>
  <si>
    <t>"Leverage ratio at previous reported figures as per ECB Guidance on leveraged transactions; total debt vs EBITDA" should have a Format numeric (6 decimal places)</t>
  </si>
  <si>
    <t>LT_F_EN_078_01</t>
  </si>
  <si>
    <t>"Debt repayment capacity of senior secured debt as per ECB Guidance on leveraged transactions" should have a Format numeric (6 decimal places)</t>
  </si>
  <si>
    <t>LT_F_EN_079_01</t>
  </si>
  <si>
    <t>"Debt repayment capacity of the total debt as per ECB Guidance on leveraged transactions" should have a Format numeric (6 decimal places)</t>
  </si>
  <si>
    <t>LT_F_EN_080_01</t>
  </si>
  <si>
    <t>"Debt service coverage ratio" should have a Format numeric (6 decimal places)</t>
  </si>
  <si>
    <t>LT_F_EN_081_01</t>
  </si>
  <si>
    <t>"Debt service coverage ratio at the most recent reported figures prior to the reference date" should have a Format numeric (6 decimal places)</t>
  </si>
  <si>
    <t>LT_F_EN_082_01</t>
  </si>
  <si>
    <t>"Probability of default according to CRR at reference date" should have a Format numeric (6 decimal places)</t>
  </si>
  <si>
    <t>LT_F_EN_083_01</t>
  </si>
  <si>
    <t>"12-month PD at reporting date according to IFRS 9" should have a Format numeric (6 decimal places)</t>
  </si>
  <si>
    <t>LT_F_EN_084_01</t>
  </si>
  <si>
    <t>"12-month PD one year prior to the reporting date according to IFRS 9" should have a Format numeric (6 decimal places)</t>
  </si>
  <si>
    <t>LT_F_EN_085_01</t>
  </si>
  <si>
    <t>"Fiscal ID" should have Char format (variable length allowed between 1 and 255 characters)</t>
  </si>
  <si>
    <t>LT_F_EN_086_01</t>
  </si>
  <si>
    <t>"BDR Annual turnover counterparty (LE)" should have a Format numeric (2 decimal places)</t>
  </si>
  <si>
    <t>LT_F_EN_087_01</t>
  </si>
  <si>
    <t>"BDR Annual turnover counterparty (LE) at previous reporting" should have a Format numeric (2 decimal places)</t>
  </si>
  <si>
    <t>LT_F_EN_088_01</t>
  </si>
  <si>
    <t>"On-site inspection identifier" should have Char format (variable length allowed between 1 and 255 characters)</t>
  </si>
  <si>
    <t>LT_F_EN_089_01</t>
  </si>
  <si>
    <t>"Probability of default according to CRR one year prior to the reference date" should have a Format numeric (6 decimal places)</t>
  </si>
  <si>
    <t>LT_F_EN_090_01</t>
  </si>
  <si>
    <t>"Economic (financial) Group ID" should have Char format (variable length allowed between 1 and 255 characters)</t>
  </si>
  <si>
    <t>LT_F_EN_091_01</t>
  </si>
  <si>
    <t>"Economic (Financial) Group Name" should have Char format (variable length allowed between 1 and 255 characters)</t>
  </si>
  <si>
    <t>LT_F_EN_092_01</t>
  </si>
  <si>
    <t>"Post code / ZIP" should have Char format (variable length allowed between 1 and 255 characters)</t>
  </si>
  <si>
    <t>PST_CD</t>
  </si>
  <si>
    <t>LT_F_EN_093_01</t>
  </si>
  <si>
    <t>"ESG Subsector" should match the information on the Codelist</t>
  </si>
  <si>
    <t>ESG_SBSCTR</t>
  </si>
  <si>
    <t>LT_F_EN_094_01</t>
  </si>
  <si>
    <t>"Economic activity counterparty ESG" should match the information on the Codelist</t>
  </si>
  <si>
    <t>NACE_ESG</t>
  </si>
  <si>
    <t>LT_F_EN_095_01</t>
  </si>
  <si>
    <t>"Total Liabilities at latest most recent reported figures" should have a Format numeric (2 decimal places)</t>
  </si>
  <si>
    <t>TTL_LBLTY</t>
  </si>
  <si>
    <t>LT_F_EN_096_01</t>
  </si>
  <si>
    <t>"Taxonomy-eligible CAPEX (CCM) Ratio" should have a Format numeric (6 decimal places)</t>
  </si>
  <si>
    <t>TXNMY_ELGBL_CAPEX_CCM</t>
  </si>
  <si>
    <t>LT_F_EN_097_01</t>
  </si>
  <si>
    <t>"Taxonomy-eligible Turnover (CCM) Ratio" should have a Format numeric (6 decimal places)</t>
  </si>
  <si>
    <t>TXNMY_ELGBL_TRNVR_CCM</t>
  </si>
  <si>
    <t>LT_F_EN_098_01</t>
  </si>
  <si>
    <t>"Taxonomy-eligible CAPEX (CCA) Ratio" should have a Format numeric (6 decimal places)</t>
  </si>
  <si>
    <t>TXNMY_ELGBL_CAPEX_CCA</t>
  </si>
  <si>
    <t>LT_F_EN_099_01</t>
  </si>
  <si>
    <t>"Taxonomy-eligible Turnover (CCA) Ratio" should have a Format numeric (6 decimal places)</t>
  </si>
  <si>
    <t>TXNMY_ELGBL_TRNVR_CCA</t>
  </si>
  <si>
    <t>LT_F_EN_100_01</t>
  </si>
  <si>
    <t>"Taxonomy-aligned CAPEX (CCM) - Enabling Ratio" should have a Format numeric (6 decimal places)</t>
  </si>
  <si>
    <t>ENBLNG_CAPEX_CCM</t>
  </si>
  <si>
    <t>LT_F_EN_101_01</t>
  </si>
  <si>
    <t>"Taxonomy-aligned CAPEX (CCA) - Enabling Ratio" should have a Format numeric (6 decimal places)</t>
  </si>
  <si>
    <t>ENBLNG_CAPEX_CCA</t>
  </si>
  <si>
    <t>LT_F_EN_102_01</t>
  </si>
  <si>
    <t>"Taxonomy-aligned CAPEX (CCM) - Transitional Ratio" should have a Format numeric (6 decimal places)</t>
  </si>
  <si>
    <t>TRNSTNL_CAPEX</t>
  </si>
  <si>
    <t>LT_F_EN_103_01</t>
  </si>
  <si>
    <t>"Taxonomy-aligned CAPEX (CCM) - Pure Ratio" should have a Format numeric (6 decimal places)</t>
  </si>
  <si>
    <t>PURE_CAPEX_CCM</t>
  </si>
  <si>
    <t>LT_F_EN_104_01</t>
  </si>
  <si>
    <t>"Taxonomy-aligned CAPEX (CCA) - Pure Ratio" should have a Format numeric (6 decimal places)</t>
  </si>
  <si>
    <t>PURE_CAPEX_CCA</t>
  </si>
  <si>
    <t>LT_F_EN_105_01</t>
  </si>
  <si>
    <t>"Taxonomy-aligned Turnover (CCM) - Enabling Ratio" should have a Format numeric (6 decimal places)</t>
  </si>
  <si>
    <t>ENBLNG_TRNVR_CCM</t>
  </si>
  <si>
    <t>LT_F_EN_106_01</t>
  </si>
  <si>
    <t>"Taxonomy-aligned Turnover (CCA) - Enabling Ratio" should have a Format numeric (6 decimal places)</t>
  </si>
  <si>
    <t>ENBLNG_TRNVR_CCA</t>
  </si>
  <si>
    <t>LT_F_EN_107_01</t>
  </si>
  <si>
    <t>"Taxonomy-aligned Turnover (CCM) - Transitional Ratio" should have a Format numeric (6 decimal places)</t>
  </si>
  <si>
    <t>TRNSTNL_TRNVR</t>
  </si>
  <si>
    <t>LT_F_EN_108_01</t>
  </si>
  <si>
    <t>"Taxonomy-aligned turnover (CCM) - Pure Ratio" should have a Format numeric (6 decimal places)</t>
  </si>
  <si>
    <t>PURE_TRNVR_CCM</t>
  </si>
  <si>
    <t>LT_F_EN_109_01</t>
  </si>
  <si>
    <t>"Taxonomy-aligned turnover (CCA) - Pure Ratio" should have a Format numeric (6 decimal places)</t>
  </si>
  <si>
    <t>PURE_TRNVR_CCA</t>
  </si>
  <si>
    <t>LT_F_EN_110_01</t>
  </si>
  <si>
    <t>"Flag of CSRD applicability at counterparty level" should match the information on the Codelist</t>
  </si>
  <si>
    <t>LT_F_EN_111_01</t>
  </si>
  <si>
    <t>"Flag of CSRD applicability at Group Level" should match the information on the Codelist</t>
  </si>
  <si>
    <t>LT_F_EN_112_01</t>
  </si>
  <si>
    <t>"ISIN" should have Char format (variable length allowed between 1 and 12 characters)</t>
  </si>
  <si>
    <t>LT_F_EN_113_01</t>
  </si>
  <si>
    <t>"Group's annual turnover (LE)" should have a Format numeric (2 decimal places)</t>
  </si>
  <si>
    <t>GRP_ANNL_TRNVR_LE</t>
  </si>
  <si>
    <t>LT_F_EN_114_01</t>
  </si>
  <si>
    <t>"Group's total liability at most recent reported figures" should have a Format numeric (2 decimal places)</t>
  </si>
  <si>
    <t>GRP_TTL_LBLTY</t>
  </si>
  <si>
    <t>LT_F_EN_115_01</t>
  </si>
  <si>
    <t>"Counterparty's emissions scope 1" should have a Format numeric (6 decimal places)</t>
  </si>
  <si>
    <t>CNTRPRTY_EMSSNS_SCP1</t>
  </si>
  <si>
    <t>LT_F_EN_116_01</t>
  </si>
  <si>
    <t>"Counterparty's emissions scope 2" should have a Format numeric (6 decimal places)</t>
  </si>
  <si>
    <t>CNTRPRTY_EMSSNS_SCP2</t>
  </si>
  <si>
    <t>LT_F_EN_117_01</t>
  </si>
  <si>
    <t>"Counterparty's emissions scope 3" should have a Format numeric (6 decimal places)</t>
  </si>
  <si>
    <t>CNTRPRTY_EMSSNS_SCP3</t>
  </si>
  <si>
    <t>LT_F_EN_118_01</t>
  </si>
  <si>
    <t>"Flag Excluded from EU Paris-aligned benchmark" should match the information on the Codelist</t>
  </si>
  <si>
    <t>LT_F_EN_119_01</t>
  </si>
  <si>
    <t>"Group's emissions scope 1" should have a Format numeric (6 decimal places)</t>
  </si>
  <si>
    <t>GRP_EMSSNS_SCP1</t>
  </si>
  <si>
    <t>LT_F_EN_120_01</t>
  </si>
  <si>
    <t>"Group's emissions scope 2" should have a Format numeric (6 decimal places)</t>
  </si>
  <si>
    <t>GRP_EMSSNS_SCP2</t>
  </si>
  <si>
    <t>LT_F_EN_121_01</t>
  </si>
  <si>
    <t>"Group's emissions scope 3" should have a Format numeric (6 decimal places)</t>
  </si>
  <si>
    <t>GRP_EMSSNS_SCP3</t>
  </si>
  <si>
    <t>LT_F_EN_122_01</t>
  </si>
  <si>
    <t>"Flag Acute Physical Risk at entity level" should match the information on the Codelist</t>
  </si>
  <si>
    <t>LT_F_EN_123_01</t>
  </si>
  <si>
    <t>"Flag Chronic Physical Risk at entity level" should match the information on the Codelist</t>
  </si>
  <si>
    <t>LT_F_EN_124_01</t>
  </si>
  <si>
    <t>"Group's economic activity" should match the information on the Codelist</t>
  </si>
  <si>
    <t>GRP_ECNMC_ACTVTY</t>
  </si>
  <si>
    <t>LT_F_EN_125_01</t>
  </si>
  <si>
    <t>"Type of person" should match the information on the Codelist</t>
  </si>
  <si>
    <t>LT_F_EN_126_01</t>
  </si>
  <si>
    <t>"Free Cash Flow" should have a Format numeric (2 decimal places)</t>
  </si>
  <si>
    <t>LT_F_EN_127_01</t>
  </si>
  <si>
    <t>"Free Cash Flow T+1" should have a Format numeric (2 decimal places)</t>
  </si>
  <si>
    <t>LT_F_EN_128_01</t>
  </si>
  <si>
    <t>"Free Cash Flow T+2" should have a Format numeric (2 decimal places)</t>
  </si>
  <si>
    <t>LT_F_EN_129_01</t>
  </si>
  <si>
    <t>"Free Cash Flow T+3" should have a Format numeric (2 decimal places)</t>
  </si>
  <si>
    <t>LT_F_EN_130_01</t>
  </si>
  <si>
    <t>"Address: city/town/village" should have Char format (variable length allowed between 1 and 255 characters)</t>
  </si>
  <si>
    <t>LT_F_EN_131_01</t>
  </si>
  <si>
    <t>"Address: street" should have Char format (variable length allowed between 1 and 255 characters)</t>
  </si>
  <si>
    <t>LT_F_EN_132_01</t>
  </si>
  <si>
    <t>"Date of enterprise size" must have a Date format (yyyy-mm-dd)</t>
  </si>
  <si>
    <t>LT_F_EN_133_01</t>
  </si>
  <si>
    <t>"Number of employees" should have a Format numeric (0 decimal places)</t>
  </si>
  <si>
    <t>LT_F_EN_134_01</t>
  </si>
  <si>
    <t>"Legal form" should have Char format (variable length allowed between 1 and 255 characters)</t>
  </si>
  <si>
    <t>LT_F_EN_135_01</t>
  </si>
  <si>
    <t>"Head office undertaking identifier" should have Char format (variable length allowed between 1 and 255 characters)</t>
  </si>
  <si>
    <t>LT_F_EN_136_01</t>
  </si>
  <si>
    <t>"Immediate parent undertaking identifier" should have Char format (variable length allowed between 1 and 255 characters)</t>
  </si>
  <si>
    <t>LT_F_EN_137_01</t>
  </si>
  <si>
    <t>"Ultimate parent undertaking identifier" should have Char format (variable length allowed between 1 and 255 characters)</t>
  </si>
  <si>
    <t>LT_F_EN_138_01</t>
  </si>
  <si>
    <t>"Total Assets" should have a Format numeric (2 decimal places)</t>
  </si>
  <si>
    <t>LT_F_EN_139_01</t>
  </si>
  <si>
    <t>"Fallen Angel narrow definition" should match the information on the Codelist</t>
  </si>
  <si>
    <t>LT_F_EN_140_01</t>
  </si>
  <si>
    <t>"Fallen Angel extended definition" should match the information on the Codelist</t>
  </si>
  <si>
    <t>LT_F_EN_141_01</t>
  </si>
  <si>
    <t>"BDR Entity ID" should have Char format (variable length allowed between 1 and 60 characters)</t>
  </si>
  <si>
    <t>LT_F_EN_142_01</t>
  </si>
  <si>
    <t>"Taxonomy-eligible CAPEX (W) Ratio" should have a Format numeric (6 decimal places)</t>
  </si>
  <si>
    <t>TXNMY_ELGBL_CAPEX_W</t>
  </si>
  <si>
    <t>LT_F_EN_143_01</t>
  </si>
  <si>
    <t>"Taxonomy-eligible Turnover (W) Ratio" should have a Format numeric (6 decimal places)</t>
  </si>
  <si>
    <t>TXNMY_ELGBL_TRNVR_W</t>
  </si>
  <si>
    <t>LT_F_EN_144_01</t>
  </si>
  <si>
    <t>"Taxonomy-eligible CAPEX (P) Ratio" should have a Format numeric (6 decimal places)</t>
  </si>
  <si>
    <t>TXNMY_ELGBL_CAPEX_P</t>
  </si>
  <si>
    <t>LT_F_EN_145_01</t>
  </si>
  <si>
    <t>"Taxonomy-eligible Turnover (P) Ratio" should have a Format numeric (6 decimal places)</t>
  </si>
  <si>
    <t>TXNMY_ELGBL_TRNVR_P</t>
  </si>
  <si>
    <t>LT_F_EN_146_01</t>
  </si>
  <si>
    <t>"Taxonomy-eligible CAPEX (B) Ratio" should have a Format numeric (6 decimal places)</t>
  </si>
  <si>
    <t>TXNMY_ELGBL_CAPEX_B</t>
  </si>
  <si>
    <t>LT_F_EN_147_01</t>
  </si>
  <si>
    <t>"Taxonomy-eligible Turnover (B) Ratio" should have a Format numeric (6 decimal places)</t>
  </si>
  <si>
    <t>TXNMY_ELGBL_TRNVR_B</t>
  </si>
  <si>
    <t>LT_F_EN_148_01</t>
  </si>
  <si>
    <t>"Taxonomy-eligible CAPEX (CE) Ratio" should have a Format numeric (6 decimal places)</t>
  </si>
  <si>
    <t>TXNMY_ELGBL_CAPEX_CE</t>
  </si>
  <si>
    <t>LT_F_EN_149_01</t>
  </si>
  <si>
    <t>"Taxonomy-eligible Turnover (CE) Ratio" should have a Format numeric (6 decimal places)</t>
  </si>
  <si>
    <t>TXNMY_ELGBL_TRNVR_CE</t>
  </si>
  <si>
    <t>LT_F_EN_150_01</t>
  </si>
  <si>
    <t>"Taxonomy-aligned CAPEX (P) - Pure Ratio" should have a Format numeric (6 decimal places)</t>
  </si>
  <si>
    <t>PURE_CAPEX_P</t>
  </si>
  <si>
    <t>LT_F_EN_151_01</t>
  </si>
  <si>
    <t>"Taxonomy-aligned Turnover (P) - Pure Ratio" should have a Format numeric (6 decimal places)</t>
  </si>
  <si>
    <t>PURE_TRNVR_P</t>
  </si>
  <si>
    <t>LT_F_EN_152_01</t>
  </si>
  <si>
    <t>"Taxonomy-aligned CAPEX (B) - Pure Ratio" should have a Format numeric (6 decimal places)</t>
  </si>
  <si>
    <t>PURE_CAPEX_B</t>
  </si>
  <si>
    <t>LT_F_EN_153_01</t>
  </si>
  <si>
    <t>"Taxonomy-aligned Turnover (B) - Pure Ratio" should have a Format numeric (6 decimal places)</t>
  </si>
  <si>
    <t>PURE_TRNVR_B</t>
  </si>
  <si>
    <t>LT_F_EN_154_01</t>
  </si>
  <si>
    <t>"Taxonomy-aligned CAPEX (W) - Pure Ratio" should have a Format numeric (6 decimal places)</t>
  </si>
  <si>
    <t>PURE_CAPEX_W</t>
  </si>
  <si>
    <t>LT_F_EN_155_01</t>
  </si>
  <si>
    <t>"Taxonomy-aligned Turnover (W) - Pure Ratio" should have a Format numeric (6 decimal places)</t>
  </si>
  <si>
    <t>PURE_TRNVR_W</t>
  </si>
  <si>
    <t>LT_F_EN_156_01</t>
  </si>
  <si>
    <t>"Taxonomy-aligned CAPEX (CE) - Pure Ratio" should have a Format numeric (6 decimal places)</t>
  </si>
  <si>
    <t>PURE_CAPEX_CE</t>
  </si>
  <si>
    <t>LT_F_EN_157_01</t>
  </si>
  <si>
    <t>"Taxonomy-aligned Turnover (CE) - Pure Ratio" should have a Format numeric (6 decimal places)</t>
  </si>
  <si>
    <t>PURE_TRNVR_CE</t>
  </si>
  <si>
    <t>LT_F_EN_158_01</t>
  </si>
  <si>
    <t>"Taxonomy-aligned CAPEX (W) - Enabling Ratio" should have a Format numeric (6 decimal places)</t>
  </si>
  <si>
    <t>ENBLNG_CAPEX_W</t>
  </si>
  <si>
    <t>LT_F_EN_159_01</t>
  </si>
  <si>
    <t>"Taxonomy-aligned Turnover (W) - Enabling Ratio" should have a Format numeric (6 decimal places)</t>
  </si>
  <si>
    <t>ENBLNG_TRNVR_W</t>
  </si>
  <si>
    <t>LT_F_EN_160_01</t>
  </si>
  <si>
    <t>"Taxonomy-aligned CAPEX (CE) - Enabling Ratio" should have a Format numeric (6 decimal places)</t>
  </si>
  <si>
    <t>ENBLNG_CAPEX_CE</t>
  </si>
  <si>
    <t>LT_F_EN_161_01</t>
  </si>
  <si>
    <t>"Taxonomy-aligned Turnover (CE) - Enabling Ratio" should have a Format numeric (6 decimal places)</t>
  </si>
  <si>
    <t>ENBLNG_TRNVR_CE</t>
  </si>
  <si>
    <t>LT_F_EN_162_01</t>
  </si>
  <si>
    <t>"RORAC " (entity level) should have a Format numeric (6 decimal places)</t>
  </si>
  <si>
    <t>LT_F_EN_163_01</t>
  </si>
  <si>
    <t>"Group's RORAC" should have a Format numeric (6 decimal places)</t>
  </si>
  <si>
    <t>LT_F_EN_164_01</t>
  </si>
  <si>
    <t>"RoRWA" (entity level) should have a Format numeric (6 decimal places)</t>
  </si>
  <si>
    <t>LT_F_EN_165_01</t>
  </si>
  <si>
    <t>"Group's RoRWA" should have a Format numeric (6 decimal places)</t>
  </si>
  <si>
    <t>LT_F_EN_166_01</t>
  </si>
  <si>
    <t>"SCAN" should match the information on the Codelist</t>
  </si>
  <si>
    <t>LT_F_EN_167_01</t>
  </si>
  <si>
    <t>"Total permissible debt balance" should have a Format numeric (2 decimal places)</t>
  </si>
  <si>
    <t>LT_F_IE_001_01</t>
  </si>
  <si>
    <t>LT_F_IE</t>
  </si>
  <si>
    <t>LT_F_IE_002_01</t>
  </si>
  <si>
    <t>LT_F_IE_003_01</t>
  </si>
  <si>
    <t>LT_F_IE_004_01</t>
  </si>
  <si>
    <t>LT_F_IE_005_01</t>
  </si>
  <si>
    <t>"Joint-liability amount" should have a Format numeric (2 decimal places)</t>
  </si>
  <si>
    <t>LT_F_IE_006_01</t>
  </si>
  <si>
    <t>LT_F_IN_001_01</t>
  </si>
  <si>
    <t>LT_F_IN</t>
  </si>
  <si>
    <t>LT_F_IN_002_01</t>
  </si>
  <si>
    <t>"Subportfolio ID" should match the information on the Codelist</t>
  </si>
  <si>
    <t>LT_F_IN_003_01</t>
  </si>
  <si>
    <t>LT_F_IN_004_01</t>
  </si>
  <si>
    <t>"Flag of SMEs" should match the information on the Codelist</t>
  </si>
  <si>
    <t>LT_F_IN_005_01</t>
  </si>
  <si>
    <t>LT_F_IN_006_01</t>
  </si>
  <si>
    <t>"Flag of Credit for consumption" should match the information on the Codelist</t>
  </si>
  <si>
    <t>LT_F_IN_007_01</t>
  </si>
  <si>
    <t>LT_F_IN_008_01</t>
  </si>
  <si>
    <t>LT_F_IN_009_01</t>
  </si>
  <si>
    <t>"Contract ID" should have Char format (variable length allowed between 1 and 60 characters)</t>
  </si>
  <si>
    <t>LT_F_IN_010_01</t>
  </si>
  <si>
    <t>"Currency denomination" should match the information on the Codelist</t>
  </si>
  <si>
    <t>LT_F_IN_011_01</t>
  </si>
  <si>
    <t>"Date of inception" must have a Date format (yyyy-mm-dd)</t>
  </si>
  <si>
    <t>LT_F_IN_012_01</t>
  </si>
  <si>
    <t>"Observed agent identifier" should have Char format (variable length allowed between 1 and 50 characters)</t>
  </si>
  <si>
    <t>LT_F_IN_013_01</t>
  </si>
  <si>
    <t>"Observed Agent Name" should have Char format (variable length allowed between 1 and 255 characters)</t>
  </si>
  <si>
    <t>LT_F_IN_014_01</t>
  </si>
  <si>
    <t>"Product type according to bank-internal definition" should have Char format (variable length allowed between 1 and 255 characters)</t>
  </si>
  <si>
    <t>LT_F_IN_015_01</t>
  </si>
  <si>
    <t>"Breached covenants" should have Char format (variable length allowed between 1 and 255 characters)</t>
  </si>
  <si>
    <t>LT_F_IN_016_01</t>
  </si>
  <si>
    <t>"Channel of origination" should match the information on the Codelist</t>
  </si>
  <si>
    <t>LT_F_IN_017_01</t>
  </si>
  <si>
    <t>"Cash sweep or cash trap covenants agreed (Y/N)" should match the information on the Codelist</t>
  </si>
  <si>
    <t>LT_F_IN_018_01</t>
  </si>
  <si>
    <t>"Covenant status" should match the information on the Codelist</t>
  </si>
  <si>
    <t>LT_F_IN_019_01</t>
  </si>
  <si>
    <t>"Covenant Type" should match the information on the Codelist</t>
  </si>
  <si>
    <t>LT_F_IN_020_01</t>
  </si>
  <si>
    <t>"Default status of the instrument" should match the information on the Codelist</t>
  </si>
  <si>
    <t>LT_F_IN_021_01</t>
  </si>
  <si>
    <t>LT_F_IN_022_01</t>
  </si>
  <si>
    <t>"End date of principal grace period" must have a Date format (yyyy-mm-dd)</t>
  </si>
  <si>
    <t>LT_F_IN_023_01</t>
  </si>
  <si>
    <t>"End date of the interest-only period" must have a Date format (yyyy-mm-dd)</t>
  </si>
  <si>
    <t>LT_F_IN_024_01</t>
  </si>
  <si>
    <t>"Date of forbearance status" must have a Date format (yyyy-mm-dd)</t>
  </si>
  <si>
    <t>LT_F_IN_025_01</t>
  </si>
  <si>
    <t>"Date of previous forbearance status" must have a Date format (yyyy-mm-dd)</t>
  </si>
  <si>
    <t>LT_F_IN_026_01</t>
  </si>
  <si>
    <t>LT_F_IN_027_01</t>
  </si>
  <si>
    <t>LT_F_IN_028_01</t>
  </si>
  <si>
    <t>"Date of previous performing status" must have a Date format (yyyy-mm-dd)</t>
  </si>
  <si>
    <t>LT_F_IN_029_01</t>
  </si>
  <si>
    <t>"Start date of the interest-only period" must have a Date format (yyyy-mm-dd)</t>
  </si>
  <si>
    <t>LT_F_IN_030_01</t>
  </si>
  <si>
    <t>"Identification of exposure that is in scope of the on-site inspection" should match the information on the Codelist</t>
  </si>
  <si>
    <t>LT_F_IN_031_01</t>
  </si>
  <si>
    <t>"Failed syndication (as per definition according to the ECB Guidance on leveraged transactions)" should match the information on the Codelist</t>
  </si>
  <si>
    <t>LT_F_IN_032_01</t>
  </si>
  <si>
    <t>"Flag for leverage buy-out transactions" should match the information on the Codelist</t>
  </si>
  <si>
    <t>LT_F_IN_033_01</t>
  </si>
  <si>
    <t>"Forbearance status" should match the information on the Codelist</t>
  </si>
  <si>
    <t>LT_F_IN_034_01</t>
  </si>
  <si>
    <t>LT_F_IN_035_01</t>
  </si>
  <si>
    <t>"Previous impairment status" should match the information on the Codelist</t>
  </si>
  <si>
    <t>LT_F_IN_036_01</t>
  </si>
  <si>
    <t>IN_INTRNL_RTNG</t>
  </si>
  <si>
    <t>LT_F_IN_037_01</t>
  </si>
  <si>
    <t>"Internal rating at inception" should match the information on the Codelist (internal codelist used locally)</t>
  </si>
  <si>
    <t>LT_F_IN_038_01</t>
  </si>
  <si>
    <t>LT_F_IN_039_01</t>
  </si>
  <si>
    <t>LT_F_IN_040_01</t>
  </si>
  <si>
    <t>"Low credit risk exemption for SICR assessment" should match the information on the Codelist</t>
  </si>
  <si>
    <t>LT_F_IN_041_01</t>
  </si>
  <si>
    <t>"Status of legal proceedings of the instrument" should match the information on the Codelist</t>
  </si>
  <si>
    <t>LT_F_IN_042_01</t>
  </si>
  <si>
    <t>"Derogation of lending standards when the instrument was granted (Y/N)" should match the information on the Codelist</t>
  </si>
  <si>
    <t>LT_F_IN_043_01</t>
  </si>
  <si>
    <t>"Purchased credit-impaired financial asset (POCI)" should match the information on the Codelist</t>
  </si>
  <si>
    <t>LT_F_IN_044_01</t>
  </si>
  <si>
    <t>LT_F_IN_045_01</t>
  </si>
  <si>
    <t>"Previous performing status" should match the information on the Codelist</t>
  </si>
  <si>
    <t>LT_F_IN_046_01</t>
  </si>
  <si>
    <t>"Project finance loan" should match the information on the Codelist</t>
  </si>
  <si>
    <t>LT_F_IN_047_01</t>
  </si>
  <si>
    <t>"Purpose" should match the information on the Codelist</t>
  </si>
  <si>
    <t>LT_F_IN_048_01</t>
  </si>
  <si>
    <t>"Interest only repayment" should match the information on the Codelist</t>
  </si>
  <si>
    <t>LT_F_IN_049_01</t>
  </si>
  <si>
    <t>"Recourse" should match the information on the Codelist</t>
  </si>
  <si>
    <t>LT_F_IN_050_01</t>
  </si>
  <si>
    <t>"Refinance purpose (Y/N)" should match the information on the Codelist</t>
  </si>
  <si>
    <t>LT_F_IN_051_01</t>
  </si>
  <si>
    <t>"Speculative immovable property financing (Y/N)" should match the information on the Codelist</t>
  </si>
  <si>
    <t>LT_F_IN_052_01</t>
  </si>
  <si>
    <t>"Status for underwritten transaction" should match the information on the Codelist</t>
  </si>
  <si>
    <t>LT_F_IN_053_01</t>
  </si>
  <si>
    <t>"Tranching / security" should match the information on the Codelist</t>
  </si>
  <si>
    <t>LT_F_IN_054_01</t>
  </si>
  <si>
    <t>"Type of amortisation" should match the information on the Codelist</t>
  </si>
  <si>
    <t>LT_F_IN_055_01</t>
  </si>
  <si>
    <t>"Type of instrument" should match the information on the Codelist</t>
  </si>
  <si>
    <t>LT_F_IN_056_01</t>
  </si>
  <si>
    <t>"Type of interest rate" should match the information on the Codelist</t>
  </si>
  <si>
    <t>LT_F_IN_057_01</t>
  </si>
  <si>
    <t>"Type of mortgage" should match the information on the Codelist</t>
  </si>
  <si>
    <t>LT_F_IN_058_01</t>
  </si>
  <si>
    <t>"Type of CRE operation financed" should match the information on the Codelist</t>
  </si>
  <si>
    <t>LT_F_IN_059_01</t>
  </si>
  <si>
    <t>"Start date of principal grace period" must have a Date format (yyyy-mm-dd)</t>
  </si>
  <si>
    <t>LT_F_IN_060_01</t>
  </si>
  <si>
    <t>"Gross carrying amount" should have a Format numeric (2 decimal places)</t>
  </si>
  <si>
    <t>LT_F_IN_061_01</t>
  </si>
  <si>
    <t>LT_F_IN_062_01</t>
  </si>
  <si>
    <t>"Accounting portfolio" should match the information on the Codelist</t>
  </si>
  <si>
    <t>LT_F_IN_063_01</t>
  </si>
  <si>
    <t>"Accrued interest balance as recognised on the balance sheet" should have a Format numeric (2 decimal places)</t>
  </si>
  <si>
    <t>LT_F_IN_064_01</t>
  </si>
  <si>
    <t>"Amount due at the legal final maturity date" should have a Format numeric (2 decimal places)</t>
  </si>
  <si>
    <t>LT_F_IN_065_01</t>
  </si>
  <si>
    <t>"Credit conversion factor (CCF) according to CRR" should have a Format numeric (6 decimal places)</t>
  </si>
  <si>
    <t>LT_F_IN_066_01</t>
  </si>
  <si>
    <t>"Commitment amount at inception" should have a Format numeric (2 decimal places)</t>
  </si>
  <si>
    <t>LT_F_IN_067_01</t>
  </si>
  <si>
    <t>"Commitment amount at reference date" should have a Format numeric (2 decimal places)</t>
  </si>
  <si>
    <t>LT_F_IN_068_01</t>
  </si>
  <si>
    <t>"Carrying amount" should have a Format numeric (2 decimal places)</t>
  </si>
  <si>
    <t>LT_F_IN_069_01</t>
  </si>
  <si>
    <t>"Debt yield" should have a Format numeric (6 decimal places)</t>
  </si>
  <si>
    <t>LT_F_IN_070_01</t>
  </si>
  <si>
    <t>"Legal final maturity date (latest repayment date)" must have a Date format (yyyy-mm-dd)</t>
  </si>
  <si>
    <t>LT_F_IN_071_01</t>
  </si>
  <si>
    <t>"Next interest rate reset date" must have a Date format (yyyy-mm-dd)</t>
  </si>
  <si>
    <t>LT_F_IN_072_01</t>
  </si>
  <si>
    <t>"Original contractual maturity date (latest repayment date)" must have a Date format (yyyy-mm-dd)</t>
  </si>
  <si>
    <t>LT_F_IN_073_01</t>
  </si>
  <si>
    <t>LT_F_IN_074_01</t>
  </si>
  <si>
    <t>"Regulatory EAD" should have a Format numeric (2 decimal places)</t>
  </si>
  <si>
    <t>LT_F_IN_075_01</t>
  </si>
  <si>
    <t>"IFRS 9 accounting CCF" should have a Format numeric (6 decimal places)</t>
  </si>
  <si>
    <t>LT_F_IN_076_01</t>
  </si>
  <si>
    <t>"IFRS 9 accounting EAD" should have a Format numeric (2 decimal places)</t>
  </si>
  <si>
    <t>LT_F_IN_077_01</t>
  </si>
  <si>
    <t>"Instalment payable" should have a Format numeric (2 decimal places)</t>
  </si>
  <si>
    <t>LT_F_IN_078_01</t>
  </si>
  <si>
    <t>"Off-balance sheet amount" should have a Format numeric (2 decimal places)</t>
  </si>
  <si>
    <t>LT_F_IN_079_01</t>
  </si>
  <si>
    <t>LT_F_IN_081_01</t>
  </si>
  <si>
    <t>"Previous outstanding gross nominal amount" should have a Format numeric (2 decimal places)</t>
  </si>
  <si>
    <t>LT_O_IN_081_01</t>
  </si>
  <si>
    <t>LT_F_IN_082_01</t>
  </si>
  <si>
    <t>"Provisions associated with off-balance sheet exposures" should have a Format numeric (2 decimal places)</t>
  </si>
  <si>
    <t>LT_F_IN_083_01</t>
  </si>
  <si>
    <t>"Payment frequency" should match the information on the Codelist</t>
  </si>
  <si>
    <t>LT_F_IN_084_01</t>
  </si>
  <si>
    <t>"Retention share" should have a Format numeric (6 decimal places)</t>
  </si>
  <si>
    <t>LT_F_IN_085_01</t>
  </si>
  <si>
    <t>"RWA" should have a Format numeric (2 decimal places)</t>
  </si>
  <si>
    <t>LT_F_IN_086_01</t>
  </si>
  <si>
    <t>"RWA calculation method" should match the information on the Codelist</t>
  </si>
  <si>
    <t>LT_F_IN_087_01</t>
  </si>
  <si>
    <t>"Name of the sponsor of the transaction as per definition according to the ECB Guidance on leveraged transactions" should have Char format (variable length allowed between 1 and 255 characters)</t>
  </si>
  <si>
    <t>LT_F_IN_088_01</t>
  </si>
  <si>
    <t>"Sum of LLPs and other allowances" should have a Format numeric (2 decimal places)</t>
  </si>
  <si>
    <t>LT_F_IN_089_01</t>
  </si>
  <si>
    <t>"Previous sum of LLPs and other allowances" should have a Format numeric (2 decimal places)</t>
  </si>
  <si>
    <t>LT_F_IN_090_01</t>
  </si>
  <si>
    <t>"Accumulated write-offs" should have a Format numeric (2 decimal places)</t>
  </si>
  <si>
    <t>LT_F_IN_091_01</t>
  </si>
  <si>
    <t>"Total exposure in arrears" should have a Format numeric (2 decimal places)</t>
  </si>
  <si>
    <t>LT_F_IN_092_01</t>
  </si>
  <si>
    <t>"Highest total exposure in arrears in the last 12 months before the reference date" should have a Format numeric (2 decimal places)</t>
  </si>
  <si>
    <t>LT_F_IN_093_01</t>
  </si>
  <si>
    <t>"Cumulative recoveries since default" should have a Format numeric (2 decimal places)</t>
  </si>
  <si>
    <t>LT_F_IN_094_01</t>
  </si>
  <si>
    <t>"Days past due at reference date" should have a Format numeric (0 decimal places)</t>
  </si>
  <si>
    <t>LT_F_IN_095_01</t>
  </si>
  <si>
    <t>"Highest number of days past due in the last 12 months" should have a Format numeric (0 decimal places)</t>
  </si>
  <si>
    <t>LT_F_IN_096_01</t>
  </si>
  <si>
    <t>"Highest number of days past due in the 12 months prior to the most recent change of the forbearance status" should have a Format numeric (0 decimal places)</t>
  </si>
  <si>
    <t>LT_F_IN_097_01</t>
  </si>
  <si>
    <t>"Highest number of days past due in the 12 months prior to the most recent change of performing status" should have a Format numeric (0 decimal places)</t>
  </si>
  <si>
    <t>LT_F_IN_098_01</t>
  </si>
  <si>
    <t>"Highest number of days past due in the 24 months prior to the most recent change of the forbearance status" should have a Format numeric (0 decimal places)</t>
  </si>
  <si>
    <t>LT_F_IN_099_01</t>
  </si>
  <si>
    <t>"Highest number of days past due in the 24 months before most recent change of performing status" should have a Format numeric (0 decimal places)</t>
  </si>
  <si>
    <t>LT_F_IN_100_01</t>
  </si>
  <si>
    <t>"Days past due at the date of the most recent change of the forbearance status" should have a Format numeric (0 decimal places)</t>
  </si>
  <si>
    <t>LT_F_IN_101_01</t>
  </si>
  <si>
    <t>"Days past due at the time of the most recent change of the performing status" should have a Format numeric (0 decimal places)</t>
  </si>
  <si>
    <t>LT_F_IN_102_01</t>
  </si>
  <si>
    <t>"Date of impairment status" must have a Date format (yyyy-mm-dd)</t>
  </si>
  <si>
    <t>LT_F_IN_103_01</t>
  </si>
  <si>
    <t>"Date of previous impairment status" must have a Date format (yyyy-mm-dd)</t>
  </si>
  <si>
    <t>LT_F_IN_104_01</t>
  </si>
  <si>
    <t>"Date past due" must have a Date format (yyyy-mm-dd)</t>
  </si>
  <si>
    <t>LT_F_IN_105_01</t>
  </si>
  <si>
    <t>"Impairment assessment method" should match the information on the Codelist</t>
  </si>
  <si>
    <t>LT_F_IN_106_01</t>
  </si>
  <si>
    <t>"Impairment calculation method" should match the information on the Codelist</t>
  </si>
  <si>
    <t>LT_F_IN_107_01</t>
  </si>
  <si>
    <t>"Number of historical forbearance" should have a Format numeric (0 decimal places)</t>
  </si>
  <si>
    <t>LT_F_IN_108_01</t>
  </si>
  <si>
    <t>"IFRS 9 accounting LGD" should have a Format numeric (6 decimal places)</t>
  </si>
  <si>
    <t>LT_F_IN_109_01</t>
  </si>
  <si>
    <t>"Regulatory LGD" should have a Format numeric (6 decimal places)</t>
  </si>
  <si>
    <t>LT_F_IN_110_01</t>
  </si>
  <si>
    <t>"Loan to value (LTV) at reference date" should have a Format numeric (6 decimal places)</t>
  </si>
  <si>
    <t>LT_F_IN_111_01</t>
  </si>
  <si>
    <t>"Loan to value (LTV) at inception" should have a Format numeric (6 decimal places)</t>
  </si>
  <si>
    <t>LT_F_IN_112_01</t>
  </si>
  <si>
    <t>"Loan to value (LTV) at the date when the instrument was classified as non performing" should have a Format numeric (6 decimal places)</t>
  </si>
  <si>
    <t>LT_F_IN_113_01</t>
  </si>
  <si>
    <t>"Probability of default according to CRR at inception date" should have a Format numeric (6 decimal places)</t>
  </si>
  <si>
    <t>LT_F_IN_114_01</t>
  </si>
  <si>
    <t>LT_F_IN_115_01</t>
  </si>
  <si>
    <t>LT_F_IN_116_01</t>
  </si>
  <si>
    <t>"12-month PD at inception date according to IFRS 9" should have a Format numeric (6 decimal places)</t>
  </si>
  <si>
    <t>LT_F_IN_117_01</t>
  </si>
  <si>
    <t>LT_F_IN_118_01</t>
  </si>
  <si>
    <t>LT_F_IN_119_01</t>
  </si>
  <si>
    <t>"Lifetime PD at inception date according to IFRS 9 (cumulative)" should have a Format numeric (6 decimal places)</t>
  </si>
  <si>
    <t>LT_F_IN_120_01</t>
  </si>
  <si>
    <t>"Remaining lifetime PD at inception date according to IFRS 9 (cumulative)" should have a Format numeric (6 decimal places)</t>
  </si>
  <si>
    <t>LT_F_IN_121_01</t>
  </si>
  <si>
    <t>"Remaining lifetime PD at reporting date according to IFRS 9 (cumulative)" should have a Format numeric (6 decimal places)</t>
  </si>
  <si>
    <t>LT_F_IN_122_01</t>
  </si>
  <si>
    <t>LT_F_IN_123_01</t>
  </si>
  <si>
    <t>LT_F_IN_124_01</t>
  </si>
  <si>
    <t>LT_F_IN_125_01</t>
  </si>
  <si>
    <t>"Interest rate at the reference date" should have a Format numeric (6 decimal places)</t>
  </si>
  <si>
    <t>LT_F_IN_126_01</t>
  </si>
  <si>
    <t>"Current effective interest rate for provisioning calculation according to IFRS 9." should have a Format numeric (6 decimal places)</t>
  </si>
  <si>
    <t>LT_F_IN_127_01</t>
  </si>
  <si>
    <t>"Effective interest rate at inception" should have a Format numeric (6 decimal places)</t>
  </si>
  <si>
    <t>LT_F_IN_128_01</t>
  </si>
  <si>
    <t>"Interest rate reset frequency" should match the information on the Codelist</t>
  </si>
  <si>
    <t>LT_F_IN_129_01</t>
  </si>
  <si>
    <t>"Received amortisation payments within last 12 months prior to reference date" should have a Format numeric (2 decimal places)</t>
  </si>
  <si>
    <t>LT_F_IN_130_01</t>
  </si>
  <si>
    <t>"Received amortisation payments within last 24 months prior to reference date" should have a Format numeric (2 decimal places)</t>
  </si>
  <si>
    <t>LT_F_IN_131_01</t>
  </si>
  <si>
    <t>"Received interest payments within last 12 months prior to reference date" should have a Format numeric (2 decimal places)</t>
  </si>
  <si>
    <t>LT_F_IN_132_01</t>
  </si>
  <si>
    <t>"Received interest payments within last 24 months prior to reference date" should have a Format numeric (2 decimal places)</t>
  </si>
  <si>
    <t>LT_F_IN_133_01</t>
  </si>
  <si>
    <t>"Role of the lender in the syndicate" should match the information on the Codelist</t>
  </si>
  <si>
    <t>LT_F_IN_134_01</t>
  </si>
  <si>
    <t>"Syndicate agent name" should have Char format (variable length allowed between 1 and 255 characters)</t>
  </si>
  <si>
    <t>LT_F_IN_135_01</t>
  </si>
  <si>
    <t>"Syndicated contract ID" should have Char format (variable length allowed between 1 and 60 characters)</t>
  </si>
  <si>
    <t>LT_F_IN_136_01</t>
  </si>
  <si>
    <t>"Names of the other lenders in the syndicate" should have Char format (variable length allowed between 1 and 255 characters)</t>
  </si>
  <si>
    <t>LT_F_IN_137_01</t>
  </si>
  <si>
    <t>"Share in the syndicate" should have a Format numeric (6 decimal places)</t>
  </si>
  <si>
    <t>LT_F_IN_138_01</t>
  </si>
  <si>
    <t>"Syndication type" should match the information on the Codelist</t>
  </si>
  <si>
    <t>LT_F_IN_155_01</t>
  </si>
  <si>
    <t>"Asset securitisation class" should match the information on the Codelist</t>
  </si>
  <si>
    <t>LT_F_IN_156_01</t>
  </si>
  <si>
    <t>"Coupon currency" should match the information on the Codelist</t>
  </si>
  <si>
    <t>LT_F_IN_157_01</t>
  </si>
  <si>
    <t>"Coupon rate (if fixed)." should have a Format numeric (6 decimal places)</t>
  </si>
  <si>
    <t>LT_F_IN_158_01</t>
  </si>
  <si>
    <t>"Valuation date" must have a Date format (yyyy-mm-dd)</t>
  </si>
  <si>
    <t>LT_F_IN_159_01</t>
  </si>
  <si>
    <t>"Eligibility for standard central bank (ECB) operations" should match the information on the Codelist</t>
  </si>
  <si>
    <t>LT_F_IN_160_01</t>
  </si>
  <si>
    <t>"Guarantor ID" should have Char format (variable length allowed between 1 and 255 characters)</t>
  </si>
  <si>
    <t>LT_F_IN_161_01</t>
  </si>
  <si>
    <t>"Guarantor ID type" should match the information on the Codelist</t>
  </si>
  <si>
    <t>LT_F_IN_162_01</t>
  </si>
  <si>
    <t>"Hedge ID" should have Char format (variable length allowed between 1 and 255 characters)</t>
  </si>
  <si>
    <t>LT_F_IN_163_01</t>
  </si>
  <si>
    <t>"Instrument seniority type" should match the information on the Codelist</t>
  </si>
  <si>
    <t>LT_F_IN_164_01</t>
  </si>
  <si>
    <t>"Instrument class" should match the information on the Codelist</t>
  </si>
  <si>
    <t>LT_F_IN_165_01</t>
  </si>
  <si>
    <t>LT_F_IN_166_01</t>
  </si>
  <si>
    <t>"Country of the issuer" should match the information on the Codelist</t>
  </si>
  <si>
    <t>LT_F_IN_167_01</t>
  </si>
  <si>
    <t>"Issuer ESA 2010" should match the information on the Codelist</t>
  </si>
  <si>
    <t>LT_F_IN_168_01</t>
  </si>
  <si>
    <t>"ID of the issuer" should have Char format (variable length allowed between 1 and 255 characters)</t>
  </si>
  <si>
    <t>LT_F_IN_169_01</t>
  </si>
  <si>
    <t>LT_F_IN_170_01</t>
  </si>
  <si>
    <t>"Issuer NACE sector" should match the information on the Codelist</t>
  </si>
  <si>
    <t>LT_F_IN_171_01</t>
  </si>
  <si>
    <t>"Issuer Rating(s)" should match the information on the Codelist</t>
  </si>
  <si>
    <t>LISTA_ITEM</t>
  </si>
  <si>
    <t>LT_F_IN_172_01</t>
  </si>
  <si>
    <t>"Issuer Rating(s) Source(s)" should have Char format (variable length allowed between 1 and 255 characters)</t>
  </si>
  <si>
    <t>LT_F_IN_173_01</t>
  </si>
  <si>
    <t>"Type of Issuer" should match the information on the Codelist</t>
  </si>
  <si>
    <t>LT_F_IN_174_01</t>
  </si>
  <si>
    <t>"Category of LCR buffer" should match the information on the Codelist</t>
  </si>
  <si>
    <t>LT_F_IN_175_01</t>
  </si>
  <si>
    <t>"Purchased under resale agreement" should match the information on the Codelist</t>
  </si>
  <si>
    <t>LT_F_IN_176_01</t>
  </si>
  <si>
    <t>"Prudential portfolio of the instrument" should match the information on the Codelist</t>
  </si>
  <si>
    <t>LT_F_IN_177_01</t>
  </si>
  <si>
    <t>"Primary asset classification" should match the information on the Codelist</t>
  </si>
  <si>
    <t>LT_F_IN_178_01</t>
  </si>
  <si>
    <t>"Part of LCR buffer" should match the information on the Codelist</t>
  </si>
  <si>
    <t>LT_F_IN_179_01</t>
  </si>
  <si>
    <t>"Coupon rate (if floating)." should have a Format numeric (6 decimal places)</t>
  </si>
  <si>
    <t>LT_F_IN_180_01</t>
  </si>
  <si>
    <t>"Spread" should have a Format numeric (6 decimal places)</t>
  </si>
  <si>
    <t>LT_F_IN_181_01</t>
  </si>
  <si>
    <t>"Sources of encumbrance" should match the information on the Codelist</t>
  </si>
  <si>
    <t>LT_F_IN_182_01</t>
  </si>
  <si>
    <t>"Type of placement" should match the information on the Codelist</t>
  </si>
  <si>
    <t>LT_F_IN_183_01</t>
  </si>
  <si>
    <t>"Currency of the value" should match the information on the Codelist</t>
  </si>
  <si>
    <t>LT_F_IN_184_01</t>
  </si>
  <si>
    <t>"Valuation type" should match the information on the Codelist</t>
  </si>
  <si>
    <t>LT_F_IN_185_01</t>
  </si>
  <si>
    <t>"Leverage finance flag" should match the information on the Codelist</t>
  </si>
  <si>
    <t>LT_F_IN_186_01</t>
  </si>
  <si>
    <t>"IFRS9 Segment" should have Char format (variable length allowed between 1 and 255 characters)</t>
  </si>
  <si>
    <t>LT_F_IN_187_01</t>
  </si>
  <si>
    <t>"COREP Segment - Final Category BIS II" should match the information on the Codelist</t>
  </si>
  <si>
    <t>LT_F_IN_188_01</t>
  </si>
  <si>
    <t>"COREP Segment - Final Subcategory BIS II" should match the information on the Codelist</t>
  </si>
  <si>
    <t>LT_F_IN_189_01</t>
  </si>
  <si>
    <t>"Coefficient of correlation (R)" should have a Format numeric (6 decimal places)</t>
  </si>
  <si>
    <t>LT_F_IN_190_01</t>
  </si>
  <si>
    <t>"ISIN code of the securitisation bonds and SRT (Y/N)" should have Char format (variable length allowed between 1 and 255 characters)</t>
  </si>
  <si>
    <t>LT_F_IN_191_01</t>
  </si>
  <si>
    <t>"BDR Contract ID" should have Char format (variable length allowed between 1 and 60 characters)</t>
  </si>
  <si>
    <t>LT_F_IN_192_01</t>
  </si>
  <si>
    <t>"Cargabal society code of the intragroup exposure" should match the information on the Codelist</t>
  </si>
  <si>
    <t>LT_F_IN_193_01</t>
  </si>
  <si>
    <t>"Local Instrument ID" should have Char format (variable length allowed between 1 and 60 characters)</t>
  </si>
  <si>
    <t>LT_F_IN_196_01</t>
  </si>
  <si>
    <t>"Average balance (YTD)"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</si>
  <si>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</si>
  <si>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</si>
  <si>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</si>
  <si>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</si>
  <si>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(YTD)" should have a Format numeric (2 decimal places)</t>
  </si>
  <si>
    <t>GRSS_INTRST_INCM</t>
  </si>
  <si>
    <t>LT_F_IN_199_01</t>
  </si>
  <si>
    <t>"Gross fee and commission income before distribution to SCIB under the Collabotarion Revenues distribution agreement (YTD)" should have a Format numeric (2 decimal places)</t>
  </si>
  <si>
    <t>GRSS_CMMSSN_INCM</t>
  </si>
  <si>
    <t>LT_F_IN_200_01</t>
  </si>
  <si>
    <t>"Internal transfer rate amount" should have a Format numeric (2 decimal places)</t>
  </si>
  <si>
    <t>INTRNL_TRNSFR_RT</t>
  </si>
  <si>
    <t>LT_F_IN_201_01</t>
  </si>
  <si>
    <t>"Net loan-loss provisions (YTD)" should have a Format numeric (2 decimal places)</t>
  </si>
  <si>
    <t>NT_LN_LSS_PRVSN</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</si>
  <si>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</si>
  <si>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</si>
  <si>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</si>
  <si>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</si>
  <si>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</si>
  <si>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(YTD)" should have a Format numeric (2 decimal places)</t>
  </si>
  <si>
    <t>GRSS_CMMSSN_EXPNS</t>
  </si>
  <si>
    <t>LT_F_IN_205_01</t>
  </si>
  <si>
    <t>"Gains (Losses) On Financial Transaction (gft) And Exchange Differences, before distribution to SCIB under the Collabotarion Revenues distribution agreement (YTD)"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</si>
  <si>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</si>
  <si>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</si>
  <si>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</si>
  <si>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</si>
  <si>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</si>
  <si>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</si>
  <si>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</si>
  <si>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</si>
  <si>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</si>
  <si>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</si>
  <si>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</si>
  <si>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</si>
  <si>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</si>
  <si>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off balance (YTD)" should have a Format numeric (2 decimal places)</t>
  </si>
  <si>
    <t>AVRG_BLNC_OFF_BLNC</t>
  </si>
  <si>
    <t>LT_F_IN_211_01</t>
  </si>
  <si>
    <t>"Internal transfer rate due to off balance amounts" should have a Format numeric (2 decimal places)</t>
  </si>
  <si>
    <t>INTRNL_TRNSFR_RT_OFF_BLNC</t>
  </si>
  <si>
    <t>LT_F_IN_212_01</t>
  </si>
  <si>
    <t>"Gross fee and commission income corresponding to off balance product before distribution to SCIB under the Collabotarion Revenues distribution agreement (YTD)" should have a Format numeric (2 decimal places)</t>
  </si>
  <si>
    <t>GRSS_CMMSSN_INCM_OFF_BLNC</t>
  </si>
  <si>
    <t>LT_F_IN_213_01</t>
  </si>
  <si>
    <t>"Gross fee and commission expense corresponding to off balance product before distribution to SCIB under the Collabotarion Revenues distribution agreement (YTD)" should have a Format numeric (2 decimal places)</t>
  </si>
  <si>
    <t>GRSS_CMMSSN_EXPNS_OFF_BLNC</t>
  </si>
  <si>
    <t>LT_F_IN_214_01</t>
  </si>
  <si>
    <t>"RWA Off Balance" should have a Format numeric (2 decimal places)</t>
  </si>
  <si>
    <t>RWA_OFF_BLNC</t>
  </si>
  <si>
    <t>LT_F_IN_215_01</t>
  </si>
  <si>
    <t>"Gross Interest expense before distribution to SCIB under the Collabotarion Revenues distribution agreement (YTD)" should have a Format numeric (2 decimal places)</t>
  </si>
  <si>
    <t>GRSS_INTRST_EXPNS</t>
  </si>
  <si>
    <t>LT_F_IN_216_01</t>
  </si>
  <si>
    <t>"Net loan-loss provisions corresponding to off balance exposures (YTD)" should have a Format numeric (2 decimal places)</t>
  </si>
  <si>
    <t>NT_LN_LSS_PRVSN_OFF_BLNC</t>
  </si>
  <si>
    <t>LT_F_IN_217_01</t>
  </si>
  <si>
    <t>"Gross Interest income distributed to SCIB under the Collabotarion Revenues distribution agreement (YTD)" should have a Format numeric (2 decimal places)</t>
  </si>
  <si>
    <t>GRSS_INTRST_INCM_CCRR</t>
  </si>
  <si>
    <t>LT_F_IN_218_01</t>
  </si>
  <si>
    <t>"Gross Interest expense distributed to SCIB under the Collabotarion Revenues distribution agreement (YTD)" should have a Format numeric (2 decimal places)</t>
  </si>
  <si>
    <t>GRSS_INTRST_EXPNS_CCRR</t>
  </si>
  <si>
    <t>LT_F_IN_219_01</t>
  </si>
  <si>
    <t>"Gross fee and commission income distributed to SCIB under the Collabotarion Revenues distribution agreement (YTD)" should have a Format numeric (2 decimal places)</t>
  </si>
  <si>
    <t>GRSS_CMMSSN_INCM_CCRR</t>
  </si>
  <si>
    <t>LT_F_IN_220_01</t>
  </si>
  <si>
    <t>"Gross fee and commission expense distributed to SCIB under the Collabotarion Revenues distribution agreement (YTD)" should have a Format numeric (2 decimal places)</t>
  </si>
  <si>
    <t>GRSS_CMMSSN_EXPNS_CCRR</t>
  </si>
  <si>
    <t>LT_F_IN_221_01</t>
  </si>
  <si>
    <t>"Gains (Losses) On Financial Transaction (gft) And Exchange Differences distributed to SCIB under the Collabotarion Revenues distribution agreement (YTD)" should have a Format numeric (2 decimal places)</t>
  </si>
  <si>
    <t>GNS_FNNCL_TRNSCTN_EXCHNG_CCRR</t>
  </si>
  <si>
    <t>LT_F_IN_222_01</t>
  </si>
  <si>
    <t>"Business Area related to CIB" should match the information on the Codelist</t>
  </si>
  <si>
    <t>LT_F_IN_223_01</t>
  </si>
  <si>
    <t>"Gross fee and commission income corresponding to off balance product distributed to SCIB under the Collabotarion Revenues distribution agreement (YTD)" should have a Format numeric (2 decimal places)</t>
  </si>
  <si>
    <t>GRSS_CMMSSN_INCM_OFF_BLNC_CCRR</t>
  </si>
  <si>
    <t>LT_F_IN_224_01</t>
  </si>
  <si>
    <t>"Gross fee and commission expense corresponding to off balance product distributed to SCIB under the Collabotarion Revenues distribution agreement (YTD)" should have a Format numeric (2 decimal places)</t>
  </si>
  <si>
    <t>GRSS_CMMSSN_EXPNS_OFF_BLNC_CCRR</t>
  </si>
  <si>
    <t>LT_F_IN_226_01</t>
  </si>
  <si>
    <t>"Risk Mitigated CCT" should match the information on the Codelist</t>
  </si>
  <si>
    <t>LT_F_IN_227_01</t>
  </si>
  <si>
    <t>"Risk Mitigated CCP" should match the information on the Codelist</t>
  </si>
  <si>
    <t>LT_F_IN_229_01</t>
  </si>
  <si>
    <t>"Loans collateralized classification" should match the information on the Codelist</t>
  </si>
  <si>
    <t>LNS_CLLTRLZD_CLSSFCTN</t>
  </si>
  <si>
    <t>LT_F_IN_230_01</t>
  </si>
  <si>
    <t>"Financed emissions calculation approach at instrument level scope 1" should match the information on the Codelist</t>
  </si>
  <si>
    <t>MTHD_USD_INSTRMNT_SCP_1</t>
  </si>
  <si>
    <t>LT_F_IN_231_01</t>
  </si>
  <si>
    <t>"Financed emissions calculation approach at instrument level scope 2" should match the information on the Codelist</t>
  </si>
  <si>
    <t>MTHD_USD_INSTRMNT_SCP_2</t>
  </si>
  <si>
    <t>LT_F_IN_232_01</t>
  </si>
  <si>
    <t>"Financed emissions calculation approach at instrument level scope 3" should match the information on the Codelist</t>
  </si>
  <si>
    <t>MTHD_USD_INSTRMNT_SCP_3</t>
  </si>
  <si>
    <t>LT_F_IN_233_01</t>
  </si>
  <si>
    <t>"Cancelled instrument status" should match the information on the Codelist</t>
  </si>
  <si>
    <t>CNCLLD_INSTRMNT_STTS</t>
  </si>
  <si>
    <t>LT_F_IN_234_01</t>
  </si>
  <si>
    <t>"IDCOMB" should match the information on the Codelist</t>
  </si>
  <si>
    <t>LT_F_IN_235_01</t>
  </si>
  <si>
    <t>"Expected loss (CRR)" should have a Format numeric (2 decimal places)</t>
  </si>
  <si>
    <t>LT_F_IN_236_01</t>
  </si>
  <si>
    <t>"LSTI at reference date" should have a Format numeric (6 decimal places)</t>
  </si>
  <si>
    <t>LT_F_IN_237_01</t>
  </si>
  <si>
    <t>"DSTI at reference date" should have a Format numeric (6 decimal places)</t>
  </si>
  <si>
    <t>LT_F_IN_238_01</t>
  </si>
  <si>
    <t>LT_F_IN_240_01</t>
  </si>
  <si>
    <t>"Interest rate cap" should have a Format numeric (6 decimal places)</t>
  </si>
  <si>
    <t>LT_F_IN_241_01</t>
  </si>
  <si>
    <t>"Interest rate floor" should have a Format numeric (6 decimal places)</t>
  </si>
  <si>
    <t>LT_F_IN_242_01</t>
  </si>
  <si>
    <t>"Nominal interest rate or fee" should have a Format numeric (6 decimal places)</t>
  </si>
  <si>
    <t>LT_F_IN_243_01</t>
  </si>
  <si>
    <t>"Reference interest rate" should match the information on the Codelist</t>
  </si>
  <si>
    <t>LT_F_IN_244_01</t>
  </si>
  <si>
    <t>"Settlement date" must have a Date format (yyyy-mm-dd)</t>
  </si>
  <si>
    <t>LT_F_IN_245_01</t>
  </si>
  <si>
    <t>"Transferred amount" should have a Format numeric (2 decimal places)</t>
  </si>
  <si>
    <t>LT_F_IN_246_01</t>
  </si>
  <si>
    <t>"Type of securitization" should match the information on the Codelist</t>
  </si>
  <si>
    <t>LT_F_IN_247_01</t>
  </si>
  <si>
    <t>"Type of off balance product" should match the information on the Codelist</t>
  </si>
  <si>
    <t>LT_F_IN_248_01</t>
  </si>
  <si>
    <t>"Balance sheet recognition" should match the information on the Codelist</t>
  </si>
  <si>
    <t>LT_F_IN_249_01</t>
  </si>
  <si>
    <t>"Flag default (CRR Exposure class)" should match the information on the Codelist</t>
  </si>
  <si>
    <t>LT_F_IN_250_01</t>
  </si>
  <si>
    <t>"Flag high risk (CRR Exposure class)" should match the information on the Codelist</t>
  </si>
  <si>
    <t>LT_F_IN_251_01</t>
  </si>
  <si>
    <t>"Excluded Leveraged Transaction Exposures" should match the information on the Codelist</t>
  </si>
  <si>
    <t>LT_F_IN_252_01</t>
  </si>
  <si>
    <t>"RWA for exposures subject to credit risk mitigation techniques" should have a Format numeric (2 decimal places)</t>
  </si>
  <si>
    <t>LT_F_IN_253_01</t>
  </si>
  <si>
    <t>"RWA premitigation" should have a Format numeric (2 decimal places)</t>
  </si>
  <si>
    <t>LT_F_IN_254_01</t>
  </si>
  <si>
    <t>"Use of proceeds" should match the information on the Codelist</t>
  </si>
  <si>
    <t>LT_F_IN_255_01</t>
  </si>
  <si>
    <t>"Leverage ratio at inception date" should have a Format numeric (6 decimal places)</t>
  </si>
  <si>
    <t>LT_F_IN_256_01</t>
  </si>
  <si>
    <t>"Type of Facility" should match the information on the Codelist</t>
  </si>
  <si>
    <t>LT_F_IN_257_01</t>
  </si>
  <si>
    <t>"Type of Collateralised Loan Obligations" should match the information on the Codelist</t>
  </si>
  <si>
    <t>LT_F_IN_258_01</t>
  </si>
  <si>
    <t>"Minimum safeguards flag" should match the information on the Codelist</t>
  </si>
  <si>
    <t>LT_F_IN_259_01</t>
  </si>
  <si>
    <t>"RORAC " (instrument level) should have a Format numeric (6 decimal places)</t>
  </si>
  <si>
    <t>LT_F_IN_260_01</t>
  </si>
  <si>
    <t>"RoRWA" (instrument level) should have a Format numeric (6 decimal places)</t>
  </si>
  <si>
    <t>LT_F_IN_261_01</t>
  </si>
  <si>
    <t>"Type of Deal" should match the information on the Codelist</t>
  </si>
  <si>
    <t>LT_F_IN_262_01</t>
  </si>
  <si>
    <t>"Destination of funds" should match the information on the Codelist</t>
  </si>
  <si>
    <t>LT_F_IN_263_01</t>
  </si>
  <si>
    <t>"Partner" should have Char format (variable length allowed between 1 and 255 characters)</t>
  </si>
  <si>
    <t>LT_F_IN_264_01</t>
  </si>
  <si>
    <t>"Incentives (YTD)" should have a Format numeric (2 decimal places)</t>
  </si>
  <si>
    <t>LT_F_IN_265_01</t>
  </si>
  <si>
    <t>"Other operating income (YTD)" should have a Format numeric (2 decimal places)</t>
  </si>
  <si>
    <t>LT_F_IN_266_01</t>
  </si>
  <si>
    <t>"Referral Fees (YTD)" should have a Format numeric (2 decimal places)</t>
  </si>
  <si>
    <t>LT_F_IN_267_01</t>
  </si>
  <si>
    <t>"Insurance (YTD)" should have a Format numeric (2 decimal places)</t>
  </si>
  <si>
    <t>LT_F_IN_268_01</t>
  </si>
  <si>
    <t>"Other income and charges (YTD)" should have a Format numeric (2 decimal places)</t>
  </si>
  <si>
    <t>LT_F_IN_269_01</t>
  </si>
  <si>
    <t>"Tax on Profit (YTD)" should have a Format numeric (2 decimal places)</t>
  </si>
  <si>
    <t>LT_F_IN_270_01</t>
  </si>
  <si>
    <t>"Probability of default according to Economic Capital at inception date" should have a Format numeric (6 decimal places)</t>
  </si>
  <si>
    <t>LT_F_IN_271_01</t>
  </si>
  <si>
    <t>"Probability of default according to Economic Capital at reference date" should have a Format numeric (6 decimal places)</t>
  </si>
  <si>
    <t>LT_F_IN_272_01</t>
  </si>
  <si>
    <t>"Leverage ratio at inception date for high leveraged transactions" should have a Format numeric (6 decimal places)</t>
  </si>
  <si>
    <t>LT_F_IN_273_01</t>
  </si>
  <si>
    <t>"Date of contract modification" must have a Date format (yyyy-mm-dd)</t>
  </si>
  <si>
    <t>LT_F_IP_001_01</t>
  </si>
  <si>
    <t>LT_F_IP</t>
  </si>
  <si>
    <t>LT_F_IP_002_01</t>
  </si>
  <si>
    <t>LT_F_IP_003_01</t>
  </si>
  <si>
    <t>LT_F_IP_004_01</t>
  </si>
  <si>
    <t>"Protection ID" should have Char format (variable length allowed between 1 and 60 characters)</t>
  </si>
  <si>
    <t>LT_F_IP_005_01</t>
  </si>
  <si>
    <t>"Protection allocated value" should have a Format numeric (2 decimal places)</t>
  </si>
  <si>
    <t>LT_F_IP_006_01</t>
  </si>
  <si>
    <t>"Third party priority claims against the protection" should have a Format numeric (2 decimal places)</t>
  </si>
  <si>
    <t>LT_F_IP_007_01</t>
  </si>
  <si>
    <t>"Type of relation" should match the information on the Codelist</t>
  </si>
  <si>
    <t>LT_F_IP_008_01</t>
  </si>
  <si>
    <t>"Group support" should match the information on the Codelist</t>
  </si>
  <si>
    <t>LT_F_PR_001_01</t>
  </si>
  <si>
    <t>LT_F_PR</t>
  </si>
  <si>
    <t>LT_F_PR_002_01</t>
  </si>
  <si>
    <t>"Maturity date of the protection" must have a Date format (yyyy-mm-dd)</t>
  </si>
  <si>
    <t>LT_F_PR_003_01</t>
  </si>
  <si>
    <t>LT_F_PR_004_01</t>
  </si>
  <si>
    <t>LT_F_PR_005_01</t>
  </si>
  <si>
    <t>LT_F_PR_006_01</t>
  </si>
  <si>
    <t>"Protection Provider ID (Guarantor)" should have Char format (variable length allowed between 1 and 50 characters)</t>
  </si>
  <si>
    <t>LT_F_PR_007_01</t>
  </si>
  <si>
    <t>"Address (street) and number" should have Char format (variable length allowed between 1 and 255 characters)</t>
  </si>
  <si>
    <t>LT_F_PR_008_01</t>
  </si>
  <si>
    <t>"Real estate collateral location" should match the information on the Codelist</t>
  </si>
  <si>
    <t>LT_F_PR_009_01</t>
  </si>
  <si>
    <t>"Real estate asset location according to bank-internal definition" should have Char format (variable length allowed between 1 and 255 characters)</t>
  </si>
  <si>
    <t>LT_F_PR_010_01</t>
  </si>
  <si>
    <t>"City real estate" should have Char format (variable length allowed between 1 and 255 characters)</t>
  </si>
  <si>
    <t>LT_F_PR_011_01</t>
  </si>
  <si>
    <t>LT_F_PR_012_01</t>
  </si>
  <si>
    <t>"Haircut applied by the bank to the market value" should have a Format numeric (6 decimal places)</t>
  </si>
  <si>
    <t>LT_F_PR_013_01</t>
  </si>
  <si>
    <t>"Protection called" should match the information on the Codelist</t>
  </si>
  <si>
    <t>LT_F_PR_014_01</t>
  </si>
  <si>
    <t>LT_F_PR_015_01</t>
  </si>
  <si>
    <t>"Type of protection received, irrespective of its eligibility for credit risk mitigation according to bank-internal classification" should have Char format (variable length allowed between 1 and 255 characters)</t>
  </si>
  <si>
    <t>LT_F_PR_016_01</t>
  </si>
  <si>
    <t>"Type of protection value" should match the information on the Codelist</t>
  </si>
  <si>
    <t>LT_F_PR_017_01</t>
  </si>
  <si>
    <t>"Appraisal currency" should match the information on the Codelist</t>
  </si>
  <si>
    <t>LT_F_PR_018_01</t>
  </si>
  <si>
    <t>"Provider of latest valuation (appraiser)" should have Char format (variable length allowed between 1 and 255 characters)</t>
  </si>
  <si>
    <t>LT_F_PR_019_01</t>
  </si>
  <si>
    <t>LT_F_PR_020_01</t>
  </si>
  <si>
    <t>LT_F_PR_021_01</t>
  </si>
  <si>
    <t>LT_F_PR_022_01</t>
  </si>
  <si>
    <t>LT_F_PR_023_01</t>
  </si>
  <si>
    <t>"Forced sale value" should have a Format numeric (2 decimal places)</t>
  </si>
  <si>
    <t>LT_F_PR_024_01</t>
  </si>
  <si>
    <t>LT_F_PR_025_01</t>
  </si>
  <si>
    <t>"Most recent appraised market value at the time when the instrument was classified as non-performing" should have a Format numeric (2 decimal places)</t>
  </si>
  <si>
    <t>LT_F_PR_026_01</t>
  </si>
  <si>
    <t>"Protection valuation approach" should match the information on the Codelist</t>
  </si>
  <si>
    <t>LT_F_PR_027_01</t>
  </si>
  <si>
    <t>LT_F_PR_028_01</t>
  </si>
  <si>
    <t>"Previous appraised market value" should have a Format numeric (2 decimal places)</t>
  </si>
  <si>
    <t>LT_F_PR_029_01</t>
  </si>
  <si>
    <t>LT_F_PR_030_01</t>
  </si>
  <si>
    <t>"Date of construction status" must have a Date format (yyyy-mm-dd)</t>
  </si>
  <si>
    <t>LT_F_PR_031_01</t>
  </si>
  <si>
    <t>"Date of first usage of the building" must have a Date format (yyyy-mm-dd)</t>
  </si>
  <si>
    <t>LT_F_PR_032_01</t>
  </si>
  <si>
    <t>LT_F_PR_033_01</t>
  </si>
  <si>
    <t>"Main purpose" should match the information on the Codelist</t>
  </si>
  <si>
    <t>LT_F_PR_034_01</t>
  </si>
  <si>
    <t>"Prime location according to bank-internal definition (Y/N)" should match the information on the Codelist</t>
  </si>
  <si>
    <t>LT_F_PR_035_01</t>
  </si>
  <si>
    <t>"Currency of annual income and expenses" should match the information on the Codelist</t>
  </si>
  <si>
    <t>LT_F_PR_036_01</t>
  </si>
  <si>
    <t>"Current annual operating expenses" should have a Format numeric (2 decimal places)</t>
  </si>
  <si>
    <t>LT_F_PR_037_01</t>
  </si>
  <si>
    <t>"Current annual income" should have a Format numeric (2 decimal places)</t>
  </si>
  <si>
    <t>LT_F_PR_039_01</t>
  </si>
  <si>
    <t>LT_F_PR_040_01</t>
  </si>
  <si>
    <t>"EP Score Data Type" should match the information on the Codelist</t>
  </si>
  <si>
    <t>TYP_EP_SCR</t>
  </si>
  <si>
    <t>LT_F_PR_041_01</t>
  </si>
  <si>
    <t>"EP Score" should match the information on the Codelist</t>
  </si>
  <si>
    <t>EP_SCR</t>
  </si>
  <si>
    <t>LT_F_PR_042_01</t>
  </si>
  <si>
    <t>"EPC Label Data Type" should match the information on the Codelist</t>
  </si>
  <si>
    <t>TYP_EPC_LBL</t>
  </si>
  <si>
    <t>LT_F_PR_043_01</t>
  </si>
  <si>
    <t>"EPC Label" should match the information on the Codelist</t>
  </si>
  <si>
    <t>EPC_LBL</t>
  </si>
  <si>
    <t>LT_F_PR_044_01</t>
  </si>
  <si>
    <t>"EPC or Vehicle emissions label data type" should match the information on the Codelist</t>
  </si>
  <si>
    <t>TYP_EMSSNS_LBL</t>
  </si>
  <si>
    <t>LT_F_PR_045_01</t>
  </si>
  <si>
    <t>"EPC emissions label" should match the information on the Codelist</t>
  </si>
  <si>
    <t>EPC_EMSSNS_LBL</t>
  </si>
  <si>
    <t>LT_F_PR_046_01</t>
  </si>
  <si>
    <t>"Vehicle emissions label" should match the information on the codelist (based on the local vehicle emissions label codification)</t>
  </si>
  <si>
    <t>VHCL_EMSSNS_LBL</t>
  </si>
  <si>
    <t>LT_F_PR_047_01</t>
  </si>
  <si>
    <t>"Emissions score data type" should match the information on the Codelist</t>
  </si>
  <si>
    <t>TYP_EMSSNS_SCR</t>
  </si>
  <si>
    <t>LT_F_PR_048_01</t>
  </si>
  <si>
    <t>"EPC emissions score" should have a Format numeric (6 decimal places)</t>
  </si>
  <si>
    <t>EPC_EMSSNS_SCR</t>
  </si>
  <si>
    <t>LT_F_PR_049_01</t>
  </si>
  <si>
    <t>"Vehicle's emissions score" should have a Format numeric (6 decimal places)</t>
  </si>
  <si>
    <t>VHCL_EMSSNS_SCR</t>
  </si>
  <si>
    <t>LT_F_PR_050_01</t>
  </si>
  <si>
    <t>"Protection's emissions scope 1" should have a Format numeric (6 decimal places)</t>
  </si>
  <si>
    <t>EMSSNS_SCP1_PRTCTN</t>
  </si>
  <si>
    <t>LT_F_PR_051_01</t>
  </si>
  <si>
    <t>"Protection's emissions scope 2" should have a Format numeric (6 decimal places)</t>
  </si>
  <si>
    <t>EMSSNS_SCP2_PRTCTN</t>
  </si>
  <si>
    <t>LT_F_PR_052_01</t>
  </si>
  <si>
    <t>"Protection's emissions scope 3" should have a Format numeric (6 decimal places)</t>
  </si>
  <si>
    <t>EMSSNS_SCP3_PRTCTN</t>
  </si>
  <si>
    <t>LT_F_PR_053_01</t>
  </si>
  <si>
    <t>"Financed emissions calculation approach at protection level scope 1" should match the information on the Codelist</t>
  </si>
  <si>
    <t>MTHD_USD_PRTCTN_SCP_1</t>
  </si>
  <si>
    <t>LT_F_PR_054_01</t>
  </si>
  <si>
    <t>"Financed emissions calculation approach at protection level scope 2" should match the information on the Codelist</t>
  </si>
  <si>
    <t>MTHD_USD_PRTCTN_SCP_2</t>
  </si>
  <si>
    <t>LT_F_PR_055_01</t>
  </si>
  <si>
    <t>"Financed emissions calculation approach at protection level scope 3" should match the information on the Codelist</t>
  </si>
  <si>
    <t>MTHD_USD_PRTCTN_SCP_3</t>
  </si>
  <si>
    <t>LT_F_PR_056_01</t>
  </si>
  <si>
    <t>"Flag Acute Physical Risk at protection level" should match the information on the Codelist</t>
  </si>
  <si>
    <t>LT_F_PR_057_01</t>
  </si>
  <si>
    <t>"Flag Chronic Physical Risk at protection level" should match the information on the Codelist</t>
  </si>
  <si>
    <t>LT_F_PR_058_01</t>
  </si>
  <si>
    <t>"Insurance ID" should have Char format (variable length allowed between 1 and 60 characters)</t>
  </si>
  <si>
    <t>INSRNC_ID</t>
  </si>
  <si>
    <t>LT_F_PR_059_01</t>
  </si>
  <si>
    <t>"Type of hazards insured" should match the information on the Codelist</t>
  </si>
  <si>
    <t>TYP_HZRDS_INSRD</t>
  </si>
  <si>
    <t>LT_F_PR_060_01</t>
  </si>
  <si>
    <t>"Total amount covered by the insurance" should have a Format numeric (2 decimal places)</t>
  </si>
  <si>
    <t>AMNT_CVRD_INSRNC</t>
  </si>
  <si>
    <t>LT_F_PR_061_01</t>
  </si>
  <si>
    <t>"Maturity date of the insurance" must have a Date format (yyyy-mm-dd))</t>
  </si>
  <si>
    <t>DT_MTRTY_INSRNC</t>
  </si>
  <si>
    <t>LT_F_PR_062_01</t>
  </si>
  <si>
    <t>"Flag first home" should match the information on the Codelist</t>
  </si>
  <si>
    <t>LT_F_PR_063_01</t>
  </si>
  <si>
    <t>"Year of construction" should have a Format numeric (0 decimal places)</t>
  </si>
  <si>
    <t>LT_F_PR_064_01</t>
  </si>
  <si>
    <t>"Building Area (M2)" should have a Format numeric (6 decimal places)</t>
  </si>
  <si>
    <t>BLDNG_AR</t>
  </si>
  <si>
    <t>LT_F_PR_065_01</t>
  </si>
  <si>
    <t>"Land Area (M2)" should have a Format numeric (6 decimal places)</t>
  </si>
  <si>
    <t>LT_F_PR_066_01</t>
  </si>
  <si>
    <t>"Lien position" should have a Format numeric (0 decimal places)</t>
  </si>
  <si>
    <t>LT_F_PR_067_01</t>
  </si>
  <si>
    <t>"Real estate sustainable certifications" should match the information on the Codelist</t>
  </si>
  <si>
    <t>RL_ESTT_CRTFCTN</t>
  </si>
  <si>
    <t>LT_F_PR_068_01</t>
  </si>
  <si>
    <t>"Type of vehicle" should match the information on the Codelist</t>
  </si>
  <si>
    <t>TYP_VHCL</t>
  </si>
  <si>
    <t>LT_F_PR_069_01</t>
  </si>
  <si>
    <t>"Registration date of the vehicle" must have a Date format (yyyy-mm-dd)</t>
  </si>
  <si>
    <t>DT_RGSTRTN</t>
  </si>
  <si>
    <t>LT_F_PR_070_01</t>
  </si>
  <si>
    <t>"Actual annual primary energy demand from non renewable sources of the building" should have a Format numeric (6 decimal places)</t>
  </si>
  <si>
    <t>PRMRY_ENRGY_DMND_NN_RNWBL</t>
  </si>
  <si>
    <t>LT_F_PR_071_01</t>
  </si>
  <si>
    <t>"Actual annual primary energy demand of the building" should have a Format numeric (6 decimal places)</t>
  </si>
  <si>
    <t>PRMRY_ENRGY_DMND_TTL</t>
  </si>
  <si>
    <t>LT_F_PR_072_01</t>
  </si>
  <si>
    <t>"Annual primary energy demand of reference" should have a Format numeric (6 decimal places)</t>
  </si>
  <si>
    <t>PRMRY_ENRGY_DMND_RFRNC_VL</t>
  </si>
  <si>
    <t>LT_F_PR_073_01</t>
  </si>
  <si>
    <t>"Climatic zone of the building" should match the information on the Codelist</t>
  </si>
  <si>
    <t>RL_ESTT_CLMT_ZN</t>
  </si>
  <si>
    <t>LT_F_PR_074_01</t>
  </si>
  <si>
    <t>"Real estate longitude" should have a Format numeric (4 decimal places)</t>
  </si>
  <si>
    <t>LT_F_PR_075_01</t>
  </si>
  <si>
    <t>"Real estate latitude" should have a Format numeric (4 decimal places)</t>
  </si>
  <si>
    <t>LT_F_PR_076_01</t>
  </si>
  <si>
    <t>"Flag of electric vehicle" should match the information on the Codelist</t>
  </si>
  <si>
    <t>LT_I_AC_003_01</t>
  </si>
  <si>
    <t>Any "Instrument ID" in INSTR_ACTIVITY table must be linked to at least one record in INSTRUMENT table by "Instrument ID"</t>
  </si>
  <si>
    <t>INTEGRITY PK CONSTRAINT</t>
  </si>
  <si>
    <t>LT_I_</t>
  </si>
  <si>
    <t>LT_I_EN_010_01</t>
  </si>
  <si>
    <t>Any "Entity ID" in ENTITY table must be linked to at least one record in INSTR_ENTITY table by "Entity ID"</t>
  </si>
  <si>
    <t>LT_I_IE_003_01</t>
  </si>
  <si>
    <t>Any "Entity ID" in INSTR_ENTITY table must be linked to at least one record in ENTITY table by "Entity ID"</t>
  </si>
  <si>
    <t>LT_I_IE_003_02</t>
  </si>
  <si>
    <t>Any "Main Entity ID" populated with 'Y' can only be linked to only one counterparty sector</t>
  </si>
  <si>
    <t>INTEGRITY COUNTERPARTY SECTOR</t>
  </si>
  <si>
    <t>LT_I_IE_004_01</t>
  </si>
  <si>
    <t>Any "Instrument ID" in INSTR_ENTITY table must be linked to at least one record in INSTRUMENT table by "Instrument ID"</t>
  </si>
  <si>
    <t>LT_I_IE_004_02</t>
  </si>
  <si>
    <t>Each "Instrument ID" must be linked to only one "Main Entity ID" populated with 'Y'</t>
  </si>
  <si>
    <t>INTEGRITY</t>
  </si>
  <si>
    <t>LT_I_IN_008_01</t>
  </si>
  <si>
    <t>Any "Instrument ID" in INSTRUMENT defined as an adjustment, non-contractual balance or marked as cancelled cannot be linked to any "Entity ID" in INSTR_ENTITY</t>
  </si>
  <si>
    <t>LT_I_IN_008_02</t>
  </si>
  <si>
    <t>Any "Instrument ID" in INSTRUMENT defined as an adjustment, non-contractual balance or marked as cancelled cannot be linked to any "Protection ID" in INSTR_PROTECTION</t>
  </si>
  <si>
    <t>LT_I_IP_003_01</t>
  </si>
  <si>
    <t>Any "Instrument ID" in INSTR_PROTECTION table must be linked to at least one record in INSTRUMENT table by "Instrument ID"</t>
  </si>
  <si>
    <t>LT_I_IP_004_01</t>
  </si>
  <si>
    <t>Any "Protection ID" in INSTR_PROTECTION table must be linked to at least one record in PROTECTION table by "Protection ID"</t>
  </si>
  <si>
    <t>LT_I_IP_004_02</t>
  </si>
  <si>
    <t>Any "Protection ID" can only be linked to only one counterparty sector</t>
  </si>
  <si>
    <t>LT_I_PR_005_01</t>
  </si>
  <si>
    <t>Any "Protection ID" in PROTECTION table must be linked to at least one record in INSTR_PROTECTION table by "Protection ID"</t>
  </si>
  <si>
    <t>LT_K_AC_002_01</t>
  </si>
  <si>
    <t>"Reference date." must not be later than the current date</t>
  </si>
  <si>
    <t>LT_K_AC</t>
  </si>
  <si>
    <t>LT_K_AC_005_01</t>
  </si>
  <si>
    <t>"Percentage of UoP" must be between 0 and 1</t>
  </si>
  <si>
    <t>LT_K_EN_005_01</t>
  </si>
  <si>
    <t>"Date of financial statements" must be reported as the last day of the month</t>
  </si>
  <si>
    <t>LT_K_EN</t>
  </si>
  <si>
    <t>LT_K_EN_009_01</t>
  </si>
  <si>
    <t>LT_K_EN_036_01</t>
  </si>
  <si>
    <t>"Request by the debtor for emergency funding from the bank" can only be default values (since values will be populated using bank-internal masterscale)</t>
  </si>
  <si>
    <t>LT_K_EN_045_01</t>
  </si>
  <si>
    <t>"Rating scale" can only be default values (since values will be populated using bank-internal masterscale)</t>
  </si>
  <si>
    <t>LT_K_EN_082_01</t>
  </si>
  <si>
    <t>"Probability of default according to CRR at reference date" must be between 0 and 1</t>
  </si>
  <si>
    <t>LT_K_EN_083_01</t>
  </si>
  <si>
    <t>"12-month PD at reporting date according to IFRS 9" must be between 0 and 1</t>
  </si>
  <si>
    <t>LT_K_EN_084_01</t>
  </si>
  <si>
    <t>"12-month PD one year prior to the reporting date according to IFRS 9" must be between 0 and 1</t>
  </si>
  <si>
    <t>LT_K_EN_088_01</t>
  </si>
  <si>
    <t>"On-site inspection identifier" can only be default values (since values will be populated using bank-internal masterscale)</t>
  </si>
  <si>
    <t>LT_K_EN_089_01</t>
  </si>
  <si>
    <t>"Probability of default according to CRR one year prior to the reference date" must be between 0 and 1</t>
  </si>
  <si>
    <t>LT_K_EN_094_01</t>
  </si>
  <si>
    <t>"Economic activity counterparty ESG" cannot be '64.2 - Activities of holding companies'</t>
  </si>
  <si>
    <t>LT_K_EN_096_01</t>
  </si>
  <si>
    <t>"Taxonomy-eligible CAPEX (CCM) Ratio" must be between 0 and 1</t>
  </si>
  <si>
    <t>LT_K_EN_097_01</t>
  </si>
  <si>
    <t>"Taxonomy-eligible Turnover (CCM) Ratio" must be between 0 and 1</t>
  </si>
  <si>
    <t>LT_K_EN_098_01</t>
  </si>
  <si>
    <t>"Taxonomy-eligible CAPEX (CCA) Ratio" must be between 0 and 1</t>
  </si>
  <si>
    <t>LT_K_EN_099_01</t>
  </si>
  <si>
    <t>"Taxonomy-eligible Turnover (CCA) Ratio" must be between 0 and 1</t>
  </si>
  <si>
    <t>LT_K_EN_100_01</t>
  </si>
  <si>
    <t>"Taxonomy-aligned CAPEX (CCM) - Enabling Ratio" must be between 0 and 1</t>
  </si>
  <si>
    <t>LT_K_EN_101_01</t>
  </si>
  <si>
    <t>"Taxonomy-aligned CAPEX (CCA) - Enabling Ratio" must be between 0 and 1</t>
  </si>
  <si>
    <t>LT_K_EN_102_01</t>
  </si>
  <si>
    <t>"Taxonomy-aligned CAPEX (CCM) - Transitional Ratio" must be between 0 and 1</t>
  </si>
  <si>
    <t>LT_K_EN_103_01</t>
  </si>
  <si>
    <t>"Taxonomy-aligned CAPEX (CCM) - Pure Ratio" must be between 0 and 1</t>
  </si>
  <si>
    <t>LT_K_EN_104_01</t>
  </si>
  <si>
    <t>"Taxonomy-aligned CAPEX (CCA) - Pure Ratio" must be between 0 and 1</t>
  </si>
  <si>
    <t>LT_K_EN_105_01</t>
  </si>
  <si>
    <t>"Taxonomy-aligned Turnover (CCM) - Enabling Ratio" must be between 0 and 1</t>
  </si>
  <si>
    <t>LT_K_EN_106_01</t>
  </si>
  <si>
    <t>"Taxonomy-aligned Turnover (CCA) - Enabling Ratio" must be between 0 and 1</t>
  </si>
  <si>
    <t>LT_K_EN_107_01</t>
  </si>
  <si>
    <t>"Taxonomy-aligned Turnover (CCM) - Transitional Ratio" must be between 0 and 1</t>
  </si>
  <si>
    <t>LT_K_EN_108_01</t>
  </si>
  <si>
    <t>"Taxonomy-aligned turnover (CCM) - Pure Ratio" must be between 0 and 1</t>
  </si>
  <si>
    <t>LT_K_EN_109_01</t>
  </si>
  <si>
    <t>"Taxonomy-aligned turnover (CCA) - Pure Ratio" must be between 0 and 1</t>
  </si>
  <si>
    <t>LT_K_EN_115_01</t>
  </si>
  <si>
    <t>"Counterparty's emissions scope 1" must be positive (&gt;=0)</t>
  </si>
  <si>
    <t>LT_K_EN_116_01</t>
  </si>
  <si>
    <t>"Counterparty's emissions scope 2" must be positive (&gt;=0)</t>
  </si>
  <si>
    <t>LT_K_EN_117_01</t>
  </si>
  <si>
    <t>"Counterparty's emissions scope 3" must be positive (&gt;=0)</t>
  </si>
  <si>
    <t>LT_K_EN_119_01</t>
  </si>
  <si>
    <t>"Group's emissions scope 1" must be positive (&gt;=0)</t>
  </si>
  <si>
    <t>LT_K_EN_120_01</t>
  </si>
  <si>
    <t>"Group's emissions scope 2" must be positive (&gt;=0)</t>
  </si>
  <si>
    <t>LT_K_EN_121_01</t>
  </si>
  <si>
    <t>"Group's emissions scope 3" must be positive (&gt;=0)</t>
  </si>
  <si>
    <t>LT_K_EN_133_01</t>
  </si>
  <si>
    <t xml:space="preserve">"Number of employees" must be greater than or equal to 0 </t>
  </si>
  <si>
    <t>LT_K_EN_142_01</t>
  </si>
  <si>
    <t>"Taxonomy-eligible CAPEX (W) Ratio" must be between 0 and 1</t>
  </si>
  <si>
    <t>LT_K_EN_143_01</t>
  </si>
  <si>
    <t>"Taxonomy-eligible Turnover (W) Ratio" must be between 0 and 1</t>
  </si>
  <si>
    <t>LT_K_EN_144_01</t>
  </si>
  <si>
    <t>"Taxonomy-eligible CAPEX (P) Ratio" must be between 0 and 1</t>
  </si>
  <si>
    <t>LT_K_EN_145_01</t>
  </si>
  <si>
    <t>"Taxonomy-eligible Turnover (P) Ratio" must be between 0 and 1</t>
  </si>
  <si>
    <t>LT_K_EN_146_01</t>
  </si>
  <si>
    <t>"Taxonomy-eligible CAPEX (B) Ratio" must be between 0 and 1</t>
  </si>
  <si>
    <t>LT_K_EN_147_01</t>
  </si>
  <si>
    <t>"Taxonomy-eligible Turnover (B) Ratio" must be between 0 and 1</t>
  </si>
  <si>
    <t>LT_K_EN_148_01</t>
  </si>
  <si>
    <t>"Taxonomy-eligible CAPEX (CE) Ratio" must be between 0 and 1</t>
  </si>
  <si>
    <t>LT_K_EN_149_01</t>
  </si>
  <si>
    <t>"Taxonomy-eligible Turnover (CE) Ratio" must be between 0 and 1</t>
  </si>
  <si>
    <t>LT_K_EN_150_01</t>
  </si>
  <si>
    <t>"Taxonomy-aligned CAPEX (P) - Pure Ratio" must be between 0 and 1</t>
  </si>
  <si>
    <t>LT_K_EN_151_01</t>
  </si>
  <si>
    <t>"Taxonomy-aligned Turnover (P) - Pure Ratio" must be between 0 and 1</t>
  </si>
  <si>
    <t>LT_K_EN_152_01</t>
  </si>
  <si>
    <t>"Taxonomy-aligned CAPEX (B) - Pure Ratio" must be between 0 and 1</t>
  </si>
  <si>
    <t>LT_K_EN_153_01</t>
  </si>
  <si>
    <t>"Taxonomy-aligned Turnover (B) - Pure Ratio" must be between 0 and 1</t>
  </si>
  <si>
    <t>LT_K_EN_154_01</t>
  </si>
  <si>
    <t>"Taxonomy-aligned CAPEX (W) - Pure Ratio" must be between 0 and 1</t>
  </si>
  <si>
    <t>LT_K_EN_155_01</t>
  </si>
  <si>
    <t>"Taxonomy-aligned Turnover (W) - Pure Ratio" must be between 0 and 1</t>
  </si>
  <si>
    <t>LT_K_EN_156_01</t>
  </si>
  <si>
    <t>"Taxonomy-aligned CAPEX (CE) - Pure Ratio" must be between 0 and 1</t>
  </si>
  <si>
    <t>LT_K_EN_157_01</t>
  </si>
  <si>
    <t>"Taxonomy-aligned Turnover (CE) - Pure Ratio" must be between 0 and 1</t>
  </si>
  <si>
    <t>LT_K_EN_158_01</t>
  </si>
  <si>
    <t>"Taxonomy-aligned CAPEX (W) - Enabling Ratio" must be between 0 and 1</t>
  </si>
  <si>
    <t>LT_K_EN_159_01</t>
  </si>
  <si>
    <t>"Taxonomy-aligned Turnover (W) - Enabling Ratio" must be between 0 and 1</t>
  </si>
  <si>
    <t>LT_K_EN_160_01</t>
  </si>
  <si>
    <t>"Taxonomy-aligned CAPEX (CE) - Enabling Ratio" must be between 0 and 1</t>
  </si>
  <si>
    <t>LT_K_EN_161_01</t>
  </si>
  <si>
    <t>"Taxonomy-aligned Turnover (CE) - Enabling Ratio" must be between 0 and 1</t>
  </si>
  <si>
    <t>LT_K_IE_002_01</t>
  </si>
  <si>
    <t>"Reference date" must not be later than the current date</t>
  </si>
  <si>
    <t>LT_K_IE</t>
  </si>
  <si>
    <t>LT_K_IN_007_01</t>
  </si>
  <si>
    <t>LT_K_IN</t>
  </si>
  <si>
    <t>LT_K_IN_030_01</t>
  </si>
  <si>
    <t>"Identification of exposure that is in scope of the on-site inspection" can only be default values (since values will be populated using bank-internal masterscale)</t>
  </si>
  <si>
    <t>LT_K_IN_034_01</t>
  </si>
  <si>
    <t>LT_K_IN_035_03</t>
  </si>
  <si>
    <t>"Previous impairment status" can only be '23 - Stage 1 (IFRS)' or '24 - Stage 2 (IFRS)' or '25 - Stage 3 (IFRS)' or default values(Since Santander Group is IFRS compliance and do not apply General Accounting Accepted Principles (GAAP) on a consolidated basis)</t>
  </si>
  <si>
    <t>LT_K_IN_054_01</t>
  </si>
  <si>
    <t>"Type of amortisation" cannot equal 'Not applicable' (use of value '5 - Amortisation types other than French, German, Fixed amortisation schedule or bullet' instead required)</t>
  </si>
  <si>
    <t>LT_K_IN_108_01</t>
  </si>
  <si>
    <t>"IFRS 9 accounting LGD" must be between 0 and 1</t>
  </si>
  <si>
    <t>LT_K_IN_109_01</t>
  </si>
  <si>
    <t>"Regulatory LGD" must be between 0 and 1</t>
  </si>
  <si>
    <t>LT_K_IN_113_01</t>
  </si>
  <si>
    <t>"Probability of default according to CRR at inception date" must be between 0 and 1</t>
  </si>
  <si>
    <t>LT_K_IN_114_01</t>
  </si>
  <si>
    <t>LT_K_IN_115_01</t>
  </si>
  <si>
    <t>LT_K_IN_116_01</t>
  </si>
  <si>
    <t>"12-month PD at inception date according to IFRS 9" must be between 0 and 1</t>
  </si>
  <si>
    <t>LT_K_IN_117_01</t>
  </si>
  <si>
    <t>LT_K_IN_118_01</t>
  </si>
  <si>
    <t>LT_K_IN_119_01</t>
  </si>
  <si>
    <t>"Lifetime PD at inception date according to IFRS 9 (cumulative)" must be between 0 and 1</t>
  </si>
  <si>
    <t>LT_K_IN_120_01</t>
  </si>
  <si>
    <t>"Remaining lifetime PD at inception date according to IFRS 9 (cumulative)" must be between 0 and 1</t>
  </si>
  <si>
    <t>LT_K_IN_121_01</t>
  </si>
  <si>
    <t>"Remaining lifetime PD at reporting date according to IFRS 9 (cumulative)" must be between 0 and 1</t>
  </si>
  <si>
    <t>LT_K_IN_123_01</t>
  </si>
  <si>
    <t>LT_K_IN_126_01</t>
  </si>
  <si>
    <t>"Current effective interest rate for provisioning calculation according to IFRS 9." must be between 0 and 1</t>
  </si>
  <si>
    <t>LT_K_IN_127_01</t>
  </si>
  <si>
    <t>"Effective interest rate at inception" must be between 0 and 1</t>
  </si>
  <si>
    <t>LT_K_IN_137_01</t>
  </si>
  <si>
    <t>"Share in the syndicate" must be between 0 and 1</t>
  </si>
  <si>
    <t>LT_K_IN_157_01</t>
  </si>
  <si>
    <t>"Coupon rate (if fixed)." must be between 0 and 1</t>
  </si>
  <si>
    <t>LT_K_IN_179_01</t>
  </si>
  <si>
    <t>"Coupon rate (if floating)." must be between 0 and 1</t>
  </si>
  <si>
    <t>LT_K_IN_180_01</t>
  </si>
  <si>
    <t>"Spread" must be between -1 and 1</t>
  </si>
  <si>
    <t>LT_K_IN_189_01</t>
  </si>
  <si>
    <t>"Coefficient of correlation (R)" must be between 0 and 1</t>
  </si>
  <si>
    <t>LT_K_IN_190_01</t>
  </si>
  <si>
    <t>If "ISIN code of the securitisation bonds and SRT (Y/N)" is not equal to the default value, the first five characters of the "ISIN code of the securitisation bonds and SRT (Y/N)" value must be equal to "SRT=Y" or "SRT=N".</t>
  </si>
  <si>
    <t>LT_K_IN_214_01</t>
  </si>
  <si>
    <t>"RWA Off Balance" can only be default values (since values will be populated using bank-internal masterscale)</t>
  </si>
  <si>
    <t>LT_K_IN_248_02</t>
  </si>
  <si>
    <t>"Balance sheet recognition" can only be 'REC01 - Entirely recognised', 'REC02 - Recognised to the extent of the institution's continuing involvement' or default values</t>
  </si>
  <si>
    <t>LT_K_IN_251_01</t>
  </si>
  <si>
    <t>"Excluded Leveraged Transaction Exposures" cannot be 'EXC03 - Credit derivatives'</t>
  </si>
  <si>
    <t>LT_K_IN_270_01</t>
  </si>
  <si>
    <t>"Probability of default according to Economic Capital at inception date" must be between 0 and 1</t>
  </si>
  <si>
    <t>LT_K_IN_271_01</t>
  </si>
  <si>
    <t>"Probability of default according to Economic Capital at reference date" must be between 0 and 1</t>
  </si>
  <si>
    <t>LT_K_IP_002_01</t>
  </si>
  <si>
    <t>LT_K_IP</t>
  </si>
  <si>
    <t>LT_K_PR_003_01</t>
  </si>
  <si>
    <t>LT_K_PR</t>
  </si>
  <si>
    <t>LT_K_PR_012_01</t>
  </si>
  <si>
    <t>"Haircut applied by the bank to the market value" must be between 0 and 1</t>
  </si>
  <si>
    <t>LT_K_PR_048_01</t>
  </si>
  <si>
    <t>"EPC emissions score" must be positive (&gt;=0)</t>
  </si>
  <si>
    <t>LT_K_PR_049_01</t>
  </si>
  <si>
    <t>"Vehicle's emissions score" must be positive (&gt;=0)</t>
  </si>
  <si>
    <t>LT_K_PR_050_01</t>
  </si>
  <si>
    <t>"Protection's emissions scope 1" must be positive (&gt;=0)</t>
  </si>
  <si>
    <t>LT_K_PR_051_01</t>
  </si>
  <si>
    <t>"Protection's emissions scope 2" must be positive (&gt;=0)</t>
  </si>
  <si>
    <t>LT_K_PR_052_01</t>
  </si>
  <si>
    <t>"Protection's emissions scope 3" must be positive (&gt;=0)</t>
  </si>
  <si>
    <t>LT_K_PR_063_01</t>
  </si>
  <si>
    <t>"Year of construction" must not be later than the year of reference</t>
  </si>
  <si>
    <t>LT_K_PR_064_01</t>
  </si>
  <si>
    <t>"Building Area (M2)" must be greater than or equal to 0</t>
  </si>
  <si>
    <t>LT_K_PR_065_01</t>
  </si>
  <si>
    <t>"Land Area (M2)" must be greater than or equal to 0</t>
  </si>
  <si>
    <t>LT_K_PR_066_01</t>
  </si>
  <si>
    <t>"Lien position" must be greater or equal to 0</t>
  </si>
  <si>
    <t>LT_K_PR_069_01</t>
  </si>
  <si>
    <t>"Registration date of the vehicle" must not be later than the current date</t>
  </si>
  <si>
    <t>LT_K_PR_074_01</t>
  </si>
  <si>
    <t>"Real estate longitude"  must be between -180 and 180</t>
  </si>
  <si>
    <t>LT_K_PR_075_01</t>
  </si>
  <si>
    <t>"Real estate latitude" must be between -90 and 90</t>
  </si>
  <si>
    <t>LT_O_AC_002_01</t>
  </si>
  <si>
    <t>"Reference date" must be later than 01 December 2020</t>
  </si>
  <si>
    <t>LT_O_AC</t>
  </si>
  <si>
    <t>LT_O_EN_003_01</t>
  </si>
  <si>
    <t>"Birth date counterparty" must be later than 01 January 1900</t>
  </si>
  <si>
    <t>LT_O_EN</t>
  </si>
  <si>
    <t>LT_O_EN_004_01</t>
  </si>
  <si>
    <t>"Date of default status" must be later than 01 January 1970</t>
  </si>
  <si>
    <t>LT_O_EN_005_01</t>
  </si>
  <si>
    <t>"Date of financial statements" must be later than 01 January 2000</t>
  </si>
  <si>
    <t>LT_O_EN_005_02</t>
  </si>
  <si>
    <t xml:space="preserve">"Date of financial statements" must be later than the data period minus 2 years </t>
  </si>
  <si>
    <t>LT_O_EN_006_01</t>
  </si>
  <si>
    <t>"Date of previous fiscal year financial statements" must be later than 01 January 2000</t>
  </si>
  <si>
    <t>LT_O_EN_007_01</t>
  </si>
  <si>
    <t>"Date of initiation of legal proceedings counterparty (LE)" must be later than 01 January 2000</t>
  </si>
  <si>
    <t>LT_O_EN_008_01</t>
  </si>
  <si>
    <t>LT_O_EN_009_01</t>
  </si>
  <si>
    <t>LT_O_EN_022_01</t>
  </si>
  <si>
    <t>"Date of external rating" must be later than 01 January 1970</t>
  </si>
  <si>
    <t>LT_O_EN_023_01</t>
  </si>
  <si>
    <t>"Date of internal rating" (entity level) must be later than 01 January 1970</t>
  </si>
  <si>
    <t>LT_O_EN_048_01</t>
  </si>
  <si>
    <t>"Group's EBITDA at most recent reported figures" shall be larger or equal to 0; Negative values trigger attention</t>
  </si>
  <si>
    <t>LT_O_EN_049_01</t>
  </si>
  <si>
    <t>"Group's Equity at most recent reported figures" shall be larger or equal to 0; Negative values trigger attention</t>
  </si>
  <si>
    <t>LT_O_EN_050_01</t>
  </si>
  <si>
    <t>"Total net debt at most recent reported figures" shall be larger or equal to 0; Negative values trigger attention</t>
  </si>
  <si>
    <t>LT_O_EN_051_01</t>
  </si>
  <si>
    <t>"Annual turnover counterparty (LE)" shall be larger or equal to 0; Negative values trigger attention</t>
  </si>
  <si>
    <t>LT_O_EN_052_01</t>
  </si>
  <si>
    <t>"Annual turnover counterparty (LE) at previous reporting" shall be larger or equal to 0; Negative values trigger attention</t>
  </si>
  <si>
    <t>LT_O_EN_053_01</t>
  </si>
  <si>
    <t>"Capital expenditures at most recent reported figures" shall be larger or equal to 0; Negative values trigger attention</t>
  </si>
  <si>
    <t>LT_O_EN_054_01</t>
  </si>
  <si>
    <t>"Capital expenditures at previous reported figures" shall be larger or equal to 0; Negative values trigger attention</t>
  </si>
  <si>
    <t>LT_O_EN_056_01</t>
  </si>
  <si>
    <t>"Cash and cash equivalents at most recent reported figures" shall be larger or equal to 0; Negative values trigger attention</t>
  </si>
  <si>
    <t>LT_O_EN_057_01</t>
  </si>
  <si>
    <t>"Cash and cash equivalents at previous reported figures" shall be larger or equal to 0; Negative values trigger attention</t>
  </si>
  <si>
    <t>LT_O_EN_058_01</t>
  </si>
  <si>
    <t>"EBITDA at latest reported figures" shall be larger or equal to 0; Negative values trigger attention</t>
  </si>
  <si>
    <t>LT_O_EN_059_01</t>
  </si>
  <si>
    <t>"EBITDA at previous reported figures" shall be larger or equal to 0; Negative values trigger attention</t>
  </si>
  <si>
    <t>LT_O_EN_060_01</t>
  </si>
  <si>
    <t>"Equity at most recent reported figures" shall be larger or equal to 0; Negative values trigger attention</t>
  </si>
  <si>
    <t>LT_O_EN_061_01</t>
  </si>
  <si>
    <t>"Equity at previous reported figures" shall be larger or equal to 0; Negative values trigger attention</t>
  </si>
  <si>
    <t>LT_O_EN_062_01</t>
  </si>
  <si>
    <t>"Group's Total debt at most recent reported figures" shall be larger or equal to 0; Negative values trigger attention</t>
  </si>
  <si>
    <t>LT_O_EN_063_01</t>
  </si>
  <si>
    <t>"Goodwill at most recent reported figures" shall be larger or equal to 0; Negative values trigger attention</t>
  </si>
  <si>
    <t>LT_O_EN_064_01</t>
  </si>
  <si>
    <t>"Goodwill at previous reported figures" shall be larger or equal to 0; Negative values trigger attention</t>
  </si>
  <si>
    <t>LT_O_EN_065_01</t>
  </si>
  <si>
    <t>LT_O_EN_066_01</t>
  </si>
  <si>
    <t>"Leverage (net debt / EBITDA) at most recent reported figures" shall be larger than 0; Negative values trigger attention</t>
  </si>
  <si>
    <t>LT_O_EN_067_01</t>
  </si>
  <si>
    <t>"Leverage (net debt / EBITDA) at previous reported figures" shall be larger than 0; Negative values trigger attention</t>
  </si>
  <si>
    <t>LT_O_EN_068_01</t>
  </si>
  <si>
    <t>"Monthly income - other" shall be larger or equal to 0; Negative values trigger attention</t>
  </si>
  <si>
    <t>LT_O_EN_069_01</t>
  </si>
  <si>
    <t>"Monthly income - salary" shall be larger or equal to 0; Negative values trigger attention</t>
  </si>
  <si>
    <t>LT_O_EN_070_01</t>
  </si>
  <si>
    <t>"Average monthly turnover to bank account(s)" shall be larger or equal to 0; Negative values trigger attention</t>
  </si>
  <si>
    <t>LT_O_EN_071_01</t>
  </si>
  <si>
    <t>"Net income at most recent reported figures" shall be larger or equal to 0; Negative values trigger attention</t>
  </si>
  <si>
    <t>LT_O_EN_072_01</t>
  </si>
  <si>
    <t>"Net income at previous reported figures" shall be larger or equal to 0; Negative values trigger attention</t>
  </si>
  <si>
    <t>LT_O_EN_073_01</t>
  </si>
  <si>
    <t>"Total debt at latest most recent reported figures" shall be larger or equal to 0; Negative values trigger attention</t>
  </si>
  <si>
    <t>LT_O_EN_074_01</t>
  </si>
  <si>
    <t>"Total debt at previous reported figures" shall be larger or equal to 0; Negative values trigger attention</t>
  </si>
  <si>
    <t>LT_O_EN_075_01</t>
  </si>
  <si>
    <t>"Debtor's total interest paid (over period for one year)" shall be larger or equal to 0; Negative values trigger attention</t>
  </si>
  <si>
    <t>LT_O_EN_076_01</t>
  </si>
  <si>
    <t>"Leverage ratio as per ECB Guidance on leveraged transactions; total debt vs EBITDA" shall be larger than 0; Negative values trigger attention</t>
  </si>
  <si>
    <t>LT_O_EN_077_01</t>
  </si>
  <si>
    <t>"Leverage ratio at previous reported figures as per ECB Guidance on leveraged transactions; total debt vs EBITDA" shall be larger than 0; Negative values trigger attention</t>
  </si>
  <si>
    <t>LT_O_EN_078_01</t>
  </si>
  <si>
    <t>"Debt repayment capacity of senior secured debt as per ECB Guidance on leveraged transactions" shall be larger than 0; Negative values trigger attention</t>
  </si>
  <si>
    <t>LT_O_EN_079_01</t>
  </si>
  <si>
    <t>"Debt repayment capacity of the total debt as per ECB Guidance on leveraged transactions" shall be larger than 0; Negative values trigger attention</t>
  </si>
  <si>
    <t>LT_O_EN_080_01</t>
  </si>
  <si>
    <t>"Debt service coverage ratio" shall be larger than 0; Negative values trigger attention</t>
  </si>
  <si>
    <t>LT_O_EN_081_01</t>
  </si>
  <si>
    <t>"Debt service coverage ratio at the most recent reported figures prior to the reference date" shall be larger than 0; Negative values trigger attention</t>
  </si>
  <si>
    <t>LT_O_EN_086_01</t>
  </si>
  <si>
    <t>"BDR Annual turnover counterparty (LE)" shall be larger or equal to 0; Negative values trigger attention</t>
  </si>
  <si>
    <t>LT_O_EN_087_01</t>
  </si>
  <si>
    <t>"BDR Annual turnover counterparty (LE) at previous reporting" shall be larger or equal to 0; Negative values trigger attention</t>
  </si>
  <si>
    <t>LT_O_EN_095_01</t>
  </si>
  <si>
    <t>"Total Liabilities at latest most recent reported figures" shall be larger than or equal to 0; Negative values trigger attention</t>
  </si>
  <si>
    <t>LT_O_EN_113_01</t>
  </si>
  <si>
    <t>"Group's annual turnover (LE)" shall be larger than or equal to 0; Negative values trigger attention</t>
  </si>
  <si>
    <t>LT_O_EN_114_01</t>
  </si>
  <si>
    <t>"Group's total liability at most recent reported figures" shall be larger than or equal to 0; Negative values trigger attention</t>
  </si>
  <si>
    <t>LT_O_EN_126_01</t>
  </si>
  <si>
    <t>"Free Cash Flow" shall be larger or equal to 0; Negative values trigger attention</t>
  </si>
  <si>
    <t>LT_O_EN_127_01</t>
  </si>
  <si>
    <t>"Free Cash Flow T+1" shall be larger or equal to 0; Negative values trigger attention</t>
  </si>
  <si>
    <t>LT_O_EN_128_01</t>
  </si>
  <si>
    <t>"Free Cash Flow T+2" shall be larger or equal to 0; Negative values trigger attention</t>
  </si>
  <si>
    <t>LT_O_EN_129_01</t>
  </si>
  <si>
    <t>"Free Cash Flow T+3" shall be larger or equal to 0; Negative values trigger attention</t>
  </si>
  <si>
    <t>LT_O_EN_133_01</t>
  </si>
  <si>
    <t>"Number of employees" shall be smaller than or equal to 1000000; Greater values trigger attention</t>
  </si>
  <si>
    <t>LT_O_EN_138_01</t>
  </si>
  <si>
    <t>"Total Assets" shall be larger than or equal to 0; Negative values trigger attention</t>
  </si>
  <si>
    <t>LT_O_EN_162_01</t>
  </si>
  <si>
    <t>"RORAC" (entity level) shall be larger than or equal to 0; Negative values trigger attention</t>
  </si>
  <si>
    <t>LT_O_EN_163_01</t>
  </si>
  <si>
    <t>"Group's RORAC" shall be larger than or equal to 0; Negative values trigger attention</t>
  </si>
  <si>
    <t>LT_O_EN_164_01</t>
  </si>
  <si>
    <t>"RoRWA" (entity level) shall be larger than or equal to 0; Negative values trigger attention</t>
  </si>
  <si>
    <t>LT_O_EN_165_01</t>
  </si>
  <si>
    <t>"Group's RoRWA"shall be larger than or equal to 0; Negative values trigger attention</t>
  </si>
  <si>
    <t>LT_O_EN_167_01</t>
  </si>
  <si>
    <t>"Total permissible debt balance" shall be larger than or equal to 0; Negative values trigger attention</t>
  </si>
  <si>
    <t>LT_O_IE_002_01</t>
  </si>
  <si>
    <t>LT_O_IE</t>
  </si>
  <si>
    <t>LT_O_IE_005_01</t>
  </si>
  <si>
    <t>"Joint-liability amount" shall be larger or equal to 0; Negative values trigger attention</t>
  </si>
  <si>
    <t>LT_O_IN_007_01</t>
  </si>
  <si>
    <t>LT_O_IN_011_01</t>
  </si>
  <si>
    <t>"Date of inception" must be later than 01 January 1970</t>
  </si>
  <si>
    <t>LT_O_IN_021_01</t>
  </si>
  <si>
    <t>LT_O_IN_022_01</t>
  </si>
  <si>
    <t xml:space="preserve">"End date of principal grace period" must be later than 01 January 1970 and earlier than the data period plus 80 years </t>
  </si>
  <si>
    <t>LT_O_IN_023_01</t>
  </si>
  <si>
    <t xml:space="preserve">"End date of the interest-only period" must be later than 01 January 1970 and earlier than the data period plus 80 years </t>
  </si>
  <si>
    <t>LT_O_IN_024_01</t>
  </si>
  <si>
    <t>"Date of forbearance status" must be later than 01 January 1970</t>
  </si>
  <si>
    <t>LT_O_IN_025_01</t>
  </si>
  <si>
    <t>"Date of previous forbearance status" must be later than 01 January 1970</t>
  </si>
  <si>
    <t>LT_O_IN_026_01</t>
  </si>
  <si>
    <t>"Date of internal rating" (instrument level) must be later than 01 January 1970</t>
  </si>
  <si>
    <t>LT_O_IN_029_01</t>
  </si>
  <si>
    <t>"Start date of the interest-only period" must be later than 01 January 1970</t>
  </si>
  <si>
    <t>LT_O_IN_059_01</t>
  </si>
  <si>
    <t>"Start date of principal grace period" must be later than 01 January 1970</t>
  </si>
  <si>
    <t>LT_O_IN_060_01</t>
  </si>
  <si>
    <t>"Gross carrying amount" shall be larger or equal to 0; Negative values trigger attention</t>
  </si>
  <si>
    <t>LT_O_IN_061_01</t>
  </si>
  <si>
    <t>LT_O_IN_063_01</t>
  </si>
  <si>
    <t>"Accrued interest balance as recognised on the balance sheet" shall be larger or equal to 0; Negative values trigger attention</t>
  </si>
  <si>
    <t>LT_O_IN_064_01</t>
  </si>
  <si>
    <t>"Amount due at the legal final maturity date" shall be larger or equal to 0; Negative values trigger attention</t>
  </si>
  <si>
    <t>LT_O_IN_065_01</t>
  </si>
  <si>
    <t>"Credit conversion factor (CCF) according to CRR" must be between 0 and 1</t>
  </si>
  <si>
    <t>LT_O_IN_066_01</t>
  </si>
  <si>
    <t>"Commitment amount at inception" shall be larger or equal to 0; Negative values trigger attention</t>
  </si>
  <si>
    <t>LT_O_IN_067_01</t>
  </si>
  <si>
    <t>"Commitment amount at reference date" shall be larger or equal to 0; Negative values trigger attention</t>
  </si>
  <si>
    <t>LT_O_IN_068_01</t>
  </si>
  <si>
    <t>"Carrying amount" shall be larger or equal to 0; Negative values trigger attention</t>
  </si>
  <si>
    <t>LT_O_IN_069_01</t>
  </si>
  <si>
    <t>"Debt yield" shall be larger than 0; Negative values trigger attention</t>
  </si>
  <si>
    <t>LT_O_IN_070_01</t>
  </si>
  <si>
    <t xml:space="preserve">"Legal final maturity date (latest repayment date)" must be later than 01 January 1970 and earlier than the data period plus 80 years </t>
  </si>
  <si>
    <t>LT_O_IN_071_01</t>
  </si>
  <si>
    <t xml:space="preserve">"Next interest rate reset date" must be later than 01 January 1970 and earlier than the data period plus 80 years </t>
  </si>
  <si>
    <t>LT_O_IN_072_01</t>
  </si>
  <si>
    <t xml:space="preserve">"Original contractual maturity date (latest repayment date)" must be later than 01 January 1970 and earlier than the data period plus 80 years </t>
  </si>
  <si>
    <t>LT_O_IN_073_01</t>
  </si>
  <si>
    <t>LT_O_IN_074_01</t>
  </si>
  <si>
    <t>"Regulatory EAD" shall be larger or equal to 0; Negative values trigger attention</t>
  </si>
  <si>
    <t>LT_O_IN_075_01</t>
  </si>
  <si>
    <t>"IFRS 9 accounting CCF" must be between 0 and 1</t>
  </si>
  <si>
    <t>LT_O_IN_076_01</t>
  </si>
  <si>
    <t>"IFRS 9 accounting EAD" shall be larger or equal to 0; Negative values trigger attention</t>
  </si>
  <si>
    <t>LT_O_IN_077_01</t>
  </si>
  <si>
    <t>"Instalment payable" shall be larger or equal to 0; Negative values trigger attention</t>
  </si>
  <si>
    <t>LT_O_IN_078_01</t>
  </si>
  <si>
    <t>"Off-balance sheet amount" shall be larger or equal to 0; Negative values trigger attention</t>
  </si>
  <si>
    <t>LT_O_IN_079_01</t>
  </si>
  <si>
    <t>LT_R_IN_081_01</t>
  </si>
  <si>
    <t>If "Date of inception" is less than one year in the past (compared to "Reference date") and product type is other than uncommited overdraft, then "Previous outstanding gross nominal amount" should be populated with default values.</t>
  </si>
  <si>
    <t>LT_R_IN_081_02</t>
  </si>
  <si>
    <t>If "Date of inception" is more than one year in the past (compared to "Reference date"), then "Previous outstanding gross nominal amount" should be populated with values other than default.</t>
  </si>
  <si>
    <t>LT_O_IN_082_01</t>
  </si>
  <si>
    <t>"Provisions associated with off-balance sheet exposures" shall be larger or equal to 0; Negative values trigger attention</t>
  </si>
  <si>
    <t>LT_O_IN_084_01</t>
  </si>
  <si>
    <t>"Retention share"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</si>
  <si>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</si>
  <si>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</si>
  <si>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</si>
  <si>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</si>
  <si>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LT_O_IN_089_01</t>
  </si>
  <si>
    <t>"Previous sum of LLPs and other allowances" shall be larger or equal to 0; Negative values trigger attention</t>
  </si>
  <si>
    <t>LT_O_IN_090_01</t>
  </si>
  <si>
    <t>"Accumulated write-offs" shall be larger or equal to 0; Negative values trigger attention</t>
  </si>
  <si>
    <t>LT_O_IN_091_01</t>
  </si>
  <si>
    <t>"Total exposure in arrears" shall be larger or equal to 0; Negative values trigger attention</t>
  </si>
  <si>
    <t>LT_O_IN_092_01</t>
  </si>
  <si>
    <t>"Highest total exposure in arrears in the last 12 months before the reference date" shall be larger or equal to 0; Negative values trigger attention</t>
  </si>
  <si>
    <t>LT_O_IN_093_01</t>
  </si>
  <si>
    <t>"Cumulative recoveries since default" shall be larger or equal to 0; Negative values trigger attention</t>
  </si>
  <si>
    <t>LT_O_IN_094_01</t>
  </si>
  <si>
    <t>"Days past due at reference date" shall be larger or equal to 0; Negative values trigger attention</t>
  </si>
  <si>
    <t>LT_O_IN_095_01</t>
  </si>
  <si>
    <t>"Highest number of days past due in the last 12 months" shall be larger or equal to 0; Negative values trigger attention</t>
  </si>
  <si>
    <t>LT_O_IN_096_01</t>
  </si>
  <si>
    <t>"Highest number of days past due in the 12 months prior to the most recent change of the forbearance status" shall be larger or equal to 0; Negative values trigger attention</t>
  </si>
  <si>
    <t>LT_O_IN_097_01</t>
  </si>
  <si>
    <t>"Highest number of days past due in the 12 months prior to the most recent change of performing status" shall be larger or equal to 0; Negative values trigger attention</t>
  </si>
  <si>
    <t>LT_O_IN_098_01</t>
  </si>
  <si>
    <t>"Highest number of days past due in the 24 months prior to the most recent change of the forbearance status" shall be larger or equal to 0; Negative values trigger attention</t>
  </si>
  <si>
    <t>LT_O_IN_099_01</t>
  </si>
  <si>
    <t>"Highest number of days past due in the 24 months before most recent change of performing status" shall be larger or equal to 0; Negative values trigger attention</t>
  </si>
  <si>
    <t>LT_O_IN_100_01</t>
  </si>
  <si>
    <t>"Days past due at the date of the most recent change of the forbearance status" shall be larger or equal to 0; Negative values trigger attention</t>
  </si>
  <si>
    <t>LT_O_IN_101_01</t>
  </si>
  <si>
    <t>"Days past due at the time of the most recent change of the performing status" shall be larger or equal to 0; Negative values trigger attention</t>
  </si>
  <si>
    <t>LT_O_IN_104_01</t>
  </si>
  <si>
    <t>"Date past due" must be later than 01 January 1970</t>
  </si>
  <si>
    <t>LT_O_IN_107_01</t>
  </si>
  <si>
    <t>"Number of historical forbearance" shall be larger or equal to 0; Negative values trigger attention</t>
  </si>
  <si>
    <t>LT_O_IN_110_01</t>
  </si>
  <si>
    <t>"Loan to value (LTV) at reference date" shall be larger or equal to 0; Negative values trigger attention</t>
  </si>
  <si>
    <t>LT_O_IN_111_01</t>
  </si>
  <si>
    <t>"Loan to value (LTV) at inception" shall be larger or equal to 0; Negative values trigger attention</t>
  </si>
  <si>
    <t>LT_O_IN_112_01</t>
  </si>
  <si>
    <t>"Loan to value (LTV) at the date when the instrument was classified as non performing" shall be larger or equal to 0; Negative values trigger attention</t>
  </si>
  <si>
    <t>LT_O_IN_125_01</t>
  </si>
  <si>
    <t>"Interest rate at the reference date" must be between 0 and 1</t>
  </si>
  <si>
    <t>LT_O_IN_129_01</t>
  </si>
  <si>
    <t>"Received amortisation payments within last 12 months prior to reference date" shall be larger or equal to 0; Negative values trigger attention</t>
  </si>
  <si>
    <t>LT_O_IN_130_01</t>
  </si>
  <si>
    <t>"Received amortisation payments within last 24 months prior to reference date" shall be larger or equal to 0; Negative values trigger attention</t>
  </si>
  <si>
    <t>LT_O_IN_131_01</t>
  </si>
  <si>
    <t>"Received interest payments within last 12 months prior to reference date" shall be larger or equal to 0; Negative values trigger attention</t>
  </si>
  <si>
    <t>LT_O_IN_132_01</t>
  </si>
  <si>
    <t>"Received interest payments within last 24 months prior to reference date" shall be larger or equal to 0; Negative values trigger attention</t>
  </si>
  <si>
    <t>LT_O_IN_180_01</t>
  </si>
  <si>
    <t>"Spread" should be positive; Negative values trigger attention</t>
  </si>
  <si>
    <t>LT_O_IN_196_01</t>
  </si>
  <si>
    <t>"Average balance (YTD)" shall be larger or equal to 0; Negative values trigger attention</t>
  </si>
  <si>
    <t>LT_O_IN_198_01</t>
  </si>
  <si>
    <t>"Gross Interest income before distribution to SCIB under the Collabotarion Revenues distribution agreement (YTD)" shall be larger or equal to 0; Negative values trigger attention</t>
  </si>
  <si>
    <t>LT_O_IN_199_01</t>
  </si>
  <si>
    <t>"Gross fee and commission income before distribution to SCIB under the Collabotarion Revenues distribution agreement (YTD)" shall be larger or equal to 0; Negative values trigger attention</t>
  </si>
  <si>
    <t>LT_O_IN_200_01</t>
  </si>
  <si>
    <t>"Internal transfer rate amount" shall be smaller or equal to 0; Positive values trigger attention</t>
  </si>
  <si>
    <t>LT_O_IN_204_01</t>
  </si>
  <si>
    <t>"Gross fee and commission expense before distribution to SCIB under the Collabotarion Revenues distribution agreement (YTD)" shall be larger or equal to 0; Negative values trigger attention</t>
  </si>
  <si>
    <t>LT_O_IN_205_01</t>
  </si>
  <si>
    <t>"Gains (Losses) On Financial Transaction (gft) And Exchange Differences, before distribution to SCIB under the Collabotarion Revenues distribution agreement (YTD)" shall be larger or equal to 0; Negative values trigger attention</t>
  </si>
  <si>
    <t>LT_O_IN_210_01</t>
  </si>
  <si>
    <t>"Average off balance (YTD)" shall be larger or equal to 0; Negative values trigger attention</t>
  </si>
  <si>
    <t>LT_O_IN_211_01</t>
  </si>
  <si>
    <t>"Internal transfer rate due to off balance amounts" shall be smaller or equal to 0; Positive values trigger attention</t>
  </si>
  <si>
    <t>LT_O_IN_212_01</t>
  </si>
  <si>
    <t>"Gross fee and commission income corresponding to off balance product before distribution to SCIB under the Collabotarion Revenues distribution agreement (YTD)" shall be larger or equal to 0; Negative values trigger attention</t>
  </si>
  <si>
    <t>LT_O_IN_213_01</t>
  </si>
  <si>
    <t>"Gross fee and commission expense corresponding to off balance product before distribution to SCIB under the Collabotarion Revenues distribution agreement (YTD)" shall be larger or equal to 0; Negative values trigger attention</t>
  </si>
  <si>
    <t>LT_O_IN_215_01</t>
  </si>
  <si>
    <t>"Gross Interest expense before distribution to SCIB under the Collabotarion Revenues distribution agreement (YTD)" shall be larger or equal to 0; Negative values trigger attention</t>
  </si>
  <si>
    <t>LT_O_IN_217_01</t>
  </si>
  <si>
    <t>"Gross Interest income distributed to SCIB under the Collabotarion Revenues distribution agreement (YTD)" shall be larger or equal to 0; Negative values trigger attention</t>
  </si>
  <si>
    <t>LT_O_IN_218_01</t>
  </si>
  <si>
    <t>"Gross Interest expense distributed to SCIB under the Collabotarion Revenues distribution agreement (YTD)" shall be larger or equal to 0; Negative values trigger attention</t>
  </si>
  <si>
    <t>LT_O_IN_219_01</t>
  </si>
  <si>
    <t>"Gross fee and commission income distributed to SCIB under the Collabotarion Revenues distribution agreement (YTD)" shall be larger or equal to 0; Negative values trigger attention</t>
  </si>
  <si>
    <t>LT_O_IN_220_01</t>
  </si>
  <si>
    <t>"Gross fee and commission expense distributed to SCIB under the Collabotarion Revenues distribution agreement (YTD)" shall be larger or equal to 0; Negative values trigger attention</t>
  </si>
  <si>
    <t>LT_O_IN_221_01</t>
  </si>
  <si>
    <t>"Gains (Losses) On Financial Transaction (gft) And Exchange Differences distributed to SCIB under the Collabotarion Revenues distribution agreement (YTD)" shall be larger or equal to 0; Negative values trigger attention</t>
  </si>
  <si>
    <t>LT_O_IN_223_01</t>
  </si>
  <si>
    <t>"Gross fee and commission income corresponding to off balance product distributed to SCIB under the Collabotarion Revenues distribution agreement (YTD)" shall be larger than or equal to 0; Negative values trigger attention</t>
  </si>
  <si>
    <t>LT_O_IN_224_01</t>
  </si>
  <si>
    <t>"Gross fee and commission expense corresponding to off balance product distributed to SCIB under the Collabotarion Revenues distribution agreement (YTD)" shall be larger than or equal to 0; Negative values trigger attention</t>
  </si>
  <si>
    <t>LT_O_IN_235_01</t>
  </si>
  <si>
    <t>"Expected loss (CRR)" shall be larger than or equal to 0; Negative values trigger attention</t>
  </si>
  <si>
    <t>LT_O_IN_236_01</t>
  </si>
  <si>
    <t>"LSTI at reference date" shall be larger than or equal to 0; Negative values trigger attention</t>
  </si>
  <si>
    <t>LT_O_IN_237_01</t>
  </si>
  <si>
    <t>"DSTI at reference date" shall be larger than or equal to 0; Negative values trigger attention</t>
  </si>
  <si>
    <t>LT_O_IN_238_01</t>
  </si>
  <si>
    <t>"Loan to income (LTI)" shall be larger than or equal to 0; Negative values trigger attention</t>
  </si>
  <si>
    <t>LT_O_IN_240_01</t>
  </si>
  <si>
    <t>"Interest rate cap" shall be larger than or equal to 0; Negative values trigger attention</t>
  </si>
  <si>
    <t>LT_O_IN_241_01</t>
  </si>
  <si>
    <t>"Interest rate floor"shall be larger than or equal to 0; Negative values trigger attention</t>
  </si>
  <si>
    <t>LT_O_IN_242_01</t>
  </si>
  <si>
    <t>"Nominal interest rate or fee" shall be larger than or equal to 0; Negative values trigger attention</t>
  </si>
  <si>
    <t>LT_O_IN_245_01</t>
  </si>
  <si>
    <t>"Transferred amount" shall be larger than or equal to 0; Negative values trigger attention</t>
  </si>
  <si>
    <t>LT_O_IN_252_01</t>
  </si>
  <si>
    <t>"RWA for exposures subject to credit risk mitigation techniques" shall be larger than or equal to 0; Negative values trigger attention</t>
  </si>
  <si>
    <t>LT_O_IN_253_01</t>
  </si>
  <si>
    <t>"RWA premitigation" shall be larger than or equal to 0; Negative values trigger attention</t>
  </si>
  <si>
    <t>LT_O_IN_255_01</t>
  </si>
  <si>
    <t>"Leverage ratio at inception date" shall be larger than 0; Negative values trigger attention</t>
  </si>
  <si>
    <t>LT_O_IN_259_01</t>
  </si>
  <si>
    <t>"RORAC" (instrument level) shall be larger than or equal to 0; Negative values trigger attention</t>
  </si>
  <si>
    <t>LT_O_IN_260_01</t>
  </si>
  <si>
    <t>"RoRWA" (instrument level) shall be larger than or equal to 0; Negative values trigger attention</t>
  </si>
  <si>
    <t>LT_O_IN_264_01</t>
  </si>
  <si>
    <t>"Incentives (YTD)" shall be larger than or equal to 0; Negative values trigger attention</t>
  </si>
  <si>
    <t>LT_O_IN_265_01</t>
  </si>
  <si>
    <t>"Other operating income (YTD)" shall be larger than or equal to 0; Negative values trigger attention</t>
  </si>
  <si>
    <t>LT_O_IN_266_01</t>
  </si>
  <si>
    <t>"Referral Fees (YTD)" shall be larger than or equal to 0; Negative values trigger attention</t>
  </si>
  <si>
    <t>LT_O_IN_267_01</t>
  </si>
  <si>
    <t>"Insurance (YTD)" shall be larger than or equal to 0; Negative values trigger attention</t>
  </si>
  <si>
    <t>LT_O_IN_268_01</t>
  </si>
  <si>
    <t>"Other income and charges (YTD)" shall be larger than or equal to 0; Negative values trigger attention</t>
  </si>
  <si>
    <t>LT_O_IN_269_01</t>
  </si>
  <si>
    <t>"Tax on Profit (YTD)" shall be larger than or equal to 0; Negative values trigger attention</t>
  </si>
  <si>
    <t>LT_O_IN_272_01</t>
  </si>
  <si>
    <t>"Leverage ratio at inception date for high leveraged transactions" shall be larger than 0; Negative values trigger attention</t>
  </si>
  <si>
    <t>LT_O_IP_002_01</t>
  </si>
  <si>
    <t>LT_O_IP</t>
  </si>
  <si>
    <t>LT_O_IP_005_01</t>
  </si>
  <si>
    <t>"Protection allocated value" shall be larger or equal to 0; Negative values trigger attention</t>
  </si>
  <si>
    <t>RELACION_NUM_MISS</t>
  </si>
  <si>
    <t>LT_O_IP_006_01</t>
  </si>
  <si>
    <t>"Third party priority claims against the protection" shall be larger or equal to 0; Negative values trigger attention</t>
  </si>
  <si>
    <t>LT_O_PR_002_01</t>
  </si>
  <si>
    <t xml:space="preserve">"Maturity date of the protection" must be later than 01 January 1970 and earlier than the data period plus 80 years </t>
  </si>
  <si>
    <t>LT_O_PR</t>
  </si>
  <si>
    <t>LT_O_PR_003_01</t>
  </si>
  <si>
    <t>LT_O_PR_019_01</t>
  </si>
  <si>
    <t>LT_O_PR_020_01</t>
  </si>
  <si>
    <t>LT_O_PR_021_01</t>
  </si>
  <si>
    <t>LT_O_PR_022_01</t>
  </si>
  <si>
    <t>LT_O_PR_023_01</t>
  </si>
  <si>
    <t>"Forced sale value" shall be larger or equal to 0; Negative values trigger attention</t>
  </si>
  <si>
    <t>LT_O_PR_024_01</t>
  </si>
  <si>
    <t>LT_O_PR_025_01</t>
  </si>
  <si>
    <t>"Most recent appraised market value at the time when the instrument was classified as non-performing" shall be larger or equal to 0; Negative values trigger attention</t>
  </si>
  <si>
    <t>LT_O_PR_027_01</t>
  </si>
  <si>
    <t>LT_O_PR_028_01</t>
  </si>
  <si>
    <t>"Previous appraised market value" shall be larger or equal to 0; Negative values trigger attention</t>
  </si>
  <si>
    <t>LT_O_PR_030_01</t>
  </si>
  <si>
    <t>"Date of construction status" must be later than 01 January 1900</t>
  </si>
  <si>
    <t>LT_O_PR_031_01</t>
  </si>
  <si>
    <t xml:space="preserve">"Date of first usage of the building" must be later than 01 January 1600 and earlier than the data period plus 80 years </t>
  </si>
  <si>
    <t>LT_O_PR_036_01</t>
  </si>
  <si>
    <t>"Current annual operating expenses" shall be larger or equal to 0; Negative values trigger attention</t>
  </si>
  <si>
    <t>LT_O_PR_037_01</t>
  </si>
  <si>
    <t>"Current annual income" shall be larger or equal to 0; Negative values trigger attention</t>
  </si>
  <si>
    <t>LT_O_PR_060_01</t>
  </si>
  <si>
    <t>"Total amount covered by the insurance" shall be larger than or equal to 0; Negative values trigger attention</t>
  </si>
  <si>
    <t>LT_O_PR_063_01</t>
  </si>
  <si>
    <t>"Year of construction" must be later than 1900</t>
  </si>
  <si>
    <t>LT_O_PR_064_01</t>
  </si>
  <si>
    <t>"Building Area (M2)" shall be smaller than or equal to 1000000; Greater values trigger attention</t>
  </si>
  <si>
    <t>LT_O_PR_065_01</t>
  </si>
  <si>
    <t>"Land Area (M2)" shall be smaller than or equal to 1000000; Greater values trigger attention</t>
  </si>
  <si>
    <t>LT_O_PR_066_01</t>
  </si>
  <si>
    <t>"Lien position" shall be smaller than or equal to 5; Greater values trigger attention</t>
  </si>
  <si>
    <t>LT_O_PR_070_01</t>
  </si>
  <si>
    <t>"Actual annual primary energy demand from non renewable sources of the building" shall be larger than or equal to 0; Negative values trigger attention</t>
  </si>
  <si>
    <t>LT_O_PR_071_01</t>
  </si>
  <si>
    <t>"Actual annual primary energy demand of the building" shall be larger than or equal to 0; Negative values trigger attention</t>
  </si>
  <si>
    <t>LT_O_PR_072_01</t>
  </si>
  <si>
    <t>"Annual primary energy demand of reference" shall be larger than or equal to 0; Negative values trigger attention</t>
  </si>
  <si>
    <t>LT_R_AC_005_01</t>
  </si>
  <si>
    <t>Sum of "Percentage of UoP" linked to a INSTRMNT_ID must be equal to 100%</t>
  </si>
  <si>
    <t>LT_R_AC</t>
  </si>
  <si>
    <t>LT_R_AC_006_01</t>
  </si>
  <si>
    <t>If "Subportfolio ID" is classified as 'HOG - Households', then "Environmental objective" must be '22 - Climate change mitigation'</t>
  </si>
  <si>
    <t>LT_R_AC_006_02</t>
  </si>
  <si>
    <t>If "Sustainable Category" is set as '2502 - A.5.2. Emergency services', '2503 - A.5.3. Flood risk prevention and protection infrastructure', '260102 - A.6.12. Desalination', '300202 - A.10.3. Software enabling physical climate risk management and adaptation', '3102 - A.11.2. Non-life insurance', '3103 - A.11.3. Re-insurance' or '3104 - A.11.4. Climate adaptation', then "Environmental objective" must be '23 - Climate change adaptation'</t>
  </si>
  <si>
    <t>INTRA_REL_P_AC</t>
  </si>
  <si>
    <t>LT_R_AC_006_03</t>
  </si>
  <si>
    <t>If "Sustainable Category" is set as '2101** - Renewable energy', '2102** - Renewable fuels, bioenergy and waste heat', '2103** - Nuclear &amp; Fossil gaseous fuels', '2104** -Transmission and distribution', '210501 - A.1.16. Installation and operation of electric heat pumps', '2106** - Storage', '2201** - Ground transport', '2202** - Water Transport', '2204** - Infraestructure', '2303** - Installation, maintenance and repair', '2304 - A.3.7. Acquisition and ownership', '2606** - Carbon Transport and Storage', '2701** - Afforestation / Reforestation', '2802** - Renewable energy &amp; hydrogen technologies', '2804 - A.8.5. Manufacture of batteries', '2806 ** - Cement, aluminium, iron, steel &amp; others', '3001 - A.10.1. Data processing, hosting and related activities', '3003 - A.10.6. Close to market research, development and innovation ', '2401 - A.4.1. Professional services related to energy performance of buildings', '260101 - A.6.1. Water collection, treatment and supply systems', '260201 - A.6.3. Waste water collection and treatment', '260301 - A.6.5. Anaerobic digestion of sewage sludge', '260302 - A.6.6. Anaerobic digestion of bio-waste', '260303 - A.6.7. Composting of bio-waste', '260304 - A.6.9. Landfill gas capture and utilisation', '260401 - A.6.4. Collection and transport of non-hazardous waste in source segregated fractions', '260402 - A.6.8. Material recovery from non-hazardous waste', '260601 - A.6.10. Transport of CO2', '260602 - A.6.11. Underground permanent geological storage of CO2', '270201 - A.7.2. Rehabilitation and restoration of forests, including reforestation and natural forest regeneration after an extreme event', '270202 - A.7.4. Conservation forestry', '270203 - A.7.5. Restoration of wetlands', '280301 - A.8.4. Manufacture of low carbon technologies for transport', '280501 - A.8.6. Manufacture of energy efficiency equipment for buildings', '280502 - A.8.7. Manufacture of other low carbon technologies', '280701 - A.8.12. Manufacture of soda ash', '280703 - A.8.13. Manufacture of organic basic materials', '280705 - A.8.14. Manufacture of nitric acid', '280702 - A.8.15. Manufacture of chlorine', '290704 - A.8.16. Manufacture of anhydrous ammonia' or '280801 - A.8.17. Manufacture of plastics in primary form', then "Environmental objective" must be '22 - Climate change mitigation' or '23 - Climate change adaptation'</t>
  </si>
  <si>
    <t>LT_R_AC_006_04</t>
  </si>
  <si>
    <t>If "Sustainable Category" is set as '2301 - A.3.1. Construction of new buildings' or '2302 - A.3.2. Renovation of existing buildings', then "Environmental objective" must be '22 - Climate change mitigation', '23 - Climate change adaptation' or '25 - Transition to a circular economy'</t>
  </si>
  <si>
    <t>LT_R_AC_006_05</t>
  </si>
  <si>
    <t>If "Sustainable Category" is set as '2605** - Remediation', '2809** - Pharmaceutical &amp; Medicinal' or '260407 - A.6.23. Collection and transport of hazardous waste', then "Environmental objective" must be '26 - Pollution prevention and control'</t>
  </si>
  <si>
    <t>LT_R_AC_006_06</t>
  </si>
  <si>
    <t>If "Sustainable Category" is set as '270204 - A.7.6. Conservation, including restoration, of habitats, ecosystems and species' or '2901 - A.9.1. Hotels, holiday, camping grounds and similar accommodation', then "Environmental objective" must be '27 - Protection and restoration of biodiversity and ecosystems.'</t>
  </si>
  <si>
    <t>LT_R_AC_006_07</t>
  </si>
  <si>
    <t>If "Sustainable Category" is set as '260103 - A.6.13. Water Supply', '260203 - A.6.15. Sustainable urban drainage systems (SUDS)', '260202 - A.6.14. Urban Waste Water Treatment', '280505 - A.8.22.Manufacture, installation and associated services for leakage control technologies enabling leakage reduction and prevention in water supply systems', '300203 - A.10.4. Provision of IT/OT data-driven solutions for leakage reduction' or '2501 - A.5.1. Nature-based solutions for flood and drought risk prevention and protection', then "Environmental objective" must be '24 - Sustainable use and protection of water and marine resources'</t>
  </si>
  <si>
    <t>LT_R_AC_006_08</t>
  </si>
  <si>
    <t>If "Sustainable Category" is set as '2305 - A.3.8. Demolition and wrecking of buildings and other structures', '2306** - Civil engineering', '2801** - Circular economy', '260204 - A.6.16. Phosphorus recovery from waste water', '260205 - A.6.17. Production of alternative water resources for purposes other than human consumption', '260305 - A.6.20. Recovery of bio-waste by anaerobic digestion or composting', '260406 - A.6.21. Sorting and material recovery of non-hazardous waste', '260403 - A.6.18. Collection and transport of non-hazardous and hazardous waste', '260405 - A.6.22. Depollution and dismantling of end-of-life products', '280802 - A.8.23. Manufacture of plastic packaging goods' or '300204 - A.10.5. Provision of IT/OT data-driven solutions', then "Environmental objective" must be '25 - Transition to a circular economy'</t>
  </si>
  <si>
    <t>LT_R_AC_006_09</t>
  </si>
  <si>
    <t>If "Sustainable Category" is set as '260404 - A.6.19. Treatment of hazardous waste', then "Environmental objective" must be '25 - Transition to a circular economy' or '26 - Pollution prevention and control'</t>
  </si>
  <si>
    <t>LT_R_AC_006_10</t>
  </si>
  <si>
    <t>If "Sustainable Category" is set as '2703** - Sustainable agriculture', '2704 - A.7.15. Livestock Management', '2705 - A.7.16. Sustainable Aquaculture and Fishing', '2706 - A.7.17. Carbon Sequestration Activities', 'DEDICATED PURPOSE - Social', 'GENERAL PURPOSE', '210701 - A.1.32. Renewable Energy Procurement', '220501 - A.2.21. Hydrogen powered-vehicles', '260104 - A.6.2. Sustainable Water Management', '260408 - A.6.26 Use of recycled materials', '280504 - A.8.27. Manufacture and installation of equipment efficient in terms of energy consumption', '280706 - A.8.26. Manufacture of clean Naphtha', '3101 - A.11.1. Carbon Market' or '3201 - Green - Default', then "Environmental objective" must be '28 - The exposure does not contribute to any of the defined objectives'</t>
  </si>
  <si>
    <t>LT_R_AC_006_11</t>
  </si>
  <si>
    <t>If "Sustainable Category" is set as '2203** - Air Transport', '280302 - A.8.18. Manufacture of automotive and mobility components', '280303 - A.8.19. Manufacture of rail rolling stock constituents', '280304 - A.8.21. Manufacturing of aircraft', '280503 - A.8.20. Manufacture, installation, and servicing of high, medium and low voltage electrical equipment for electrical transmission and distribution that result in or enable a substantial contribution to climate change mitigation', '281001 - A.8.28. Research, development and innovation for direct air capture of CO2', '300201 - A.10.2. Data-driven solutions for GHG emissions reductions', then "Environmental objective" must be '22 - Climate change mitigation'</t>
  </si>
  <si>
    <t>LT_R_AC_007_01</t>
  </si>
  <si>
    <t>If "Environmental objective" is set as '23 - Climate change adaptation', '25 - Transition to a circular economy' or '24 - Sustainable use and protection of water and marine resources', then "Type of activity" cannot be '02 - Transitional activity'</t>
  </si>
  <si>
    <t>LT_R_AC_007_02</t>
  </si>
  <si>
    <t>If "Environmental objective" is set as '26 - Pollution prevention and control' or '27 - Protection and restoration of biodiversity and ecosystems.', then "Type of activity" cannot be '02 - Transitional activity' or '01 - Enabling activity'</t>
  </si>
  <si>
    <t>LT_R_AC_007_03</t>
  </si>
  <si>
    <t>If "Sustainable Category" is set as '260102 - A.6.12. Desalination', '280106 - A.8.34. Marketplace for the trade of second-hand goods for reuse', '280302 - A.8.18. Manufacture of automotive and mobility components', '280303 - A.8.19. Manufacture of rail rolling stock constituents', '280503 - A.8.20. Manufacture, installation, and servicing of high, medium and low voltage electrical equipment for electrical transmission and distribution that result in or enable a substantial contribution to climate change mitigation', '28505 - A.8.22.Manufacture, installation and associated services for leakage control technologies enabling leakage reduction and prevention in water supply systems', '281001 - A.8.28. Research, development and innovation for direct air capture of CO2', '3002** - Data-driven solutions &amp; software', '3003 - A.10.6. Close to market research, development and innovation ', '2401 - A.4.1. Professional services related to energy performance of buildings', '2502 - A.5.2. Emergency services' or '2503 - A.5.3. Flood risk prevention and protection infrastructure', then "Type of activity" must be '01 - Enabling activity or 'Not Applicable'</t>
  </si>
  <si>
    <t>LT_R_AC_007_04</t>
  </si>
  <si>
    <t>If "Sustainable Category" is set as '210419 - A.1.9. Transmission and distribution of electricity', '2106** - Storage', '2204** - Infraestructure', '2303** - Installation, maintenance and repair', '2804 - A.8.5. Manufacture of batteries', '260601 - A.6.10. Transport of CO2', '280202 - A.8.2. Manufacture of equipment for the production and use of hydrogen', '28201 - A.8.1. Manufacture of renewable energy technologies', '280301 - A.8.4. Manufacture of low carbon technologies for transport', '280501 - A.8.6. Manufacture of energy efficiency equipment for buildings', 'Reforestation', ' 2701** - Afforestation / Reforestation', '270201 - A.7.2. Rehabilitation and restoration of forests, including reforestation and natural forest regeneration after an extreme event', '270202 - A.7.4. Conservation forestry', '270203 - A.7.5. Restoration of wetlands', '280502 - A.8.7. Manufacture of other low carbon technologies' or '3104 - A.11.4. Climate adaptation', then "Type of activity" must be '01 - Enabling activity', '05 - Pure Activity' or 'Not Applicable'</t>
  </si>
  <si>
    <t>LT_R_AC_007_05</t>
  </si>
  <si>
    <t>If "Sustainable Category" is set as '2101** - Renewable energy', '2102** - Renewable fuels, bioenergy and waste heat', '2304 - A.3.7. Acquisition and ownership', '2305 - A.3.8. Demolition and wrecking of buildings and other structures', '2306** -Civil engineering', '2602** - Wastewater', '2603** - Bio-Waste management', '2605** - Remediation', '2809** - Pharmaceutical &amp; Medicinal', '2901 - A.9.1. Hotels, holiday, camping grounds and similar accommodation', '2501 - A.5.1. Nature-based solutions for flood and drought risk prevention and protection', '210301 - A.1.26. Pre-commercial stages of advanced technologies to produce energy from nuclear processes with minimal waste from the fuel cycle', '210302 - A.1.27. Construction and safe operation of new nuclear power plants, for the generation of electricity and/or heat, including for hydrogen production, using best-available technologies', '210303 - A.1.28. Electricity generation from nuclear energy in existing installations', '210420 - A.1.14. Transmission and distribution networks for renewable and low-carbon gases', '210421 - A.1.15. District heating/cooling distribution', '210501 - A.1.16. Installation and operation of electric heat pumps', '220104 - A.2.4. Operation of personal mobility devices, cycle logistics', '220303 - A.2.20. Air transport ground handling operations', '2301 - A.3.1. Construction of new buildings', '260101 - A.6.1. Water collection, treatment and supply systems', '260103 - A.6.13. Water Supply', '260401 - A.6.4. Collection and transport of non-hazardous waste in source segregated fractions', '260402 - A.6.8. Material recovery from non-hazardous waste', '260403 - A.6.18. Collection and transport of non-hazardous and hazardous waste', '260404 - A.6.19. Treatment of hazardous waste', '260405 - A.6.22. Depollution and dismantling of end-of-life products', '260406 - A.6.21. Sorting and material recovery of non-hazardous waste', '260407 - A.6.23. Collection and transport of hazardous waste', '260602 - A.6.11. Underground permanent geological storage of CO2', '270204 - A.7.6. Conservation, including restoration, of habitats, ecosystems and species', '280101 - A.8.29. Repair, refurbishment and remanufacturing', '280102 - A.8.30. Sale of spare parts', '280103 - A.8.31. Preparation for re-use of end-of-life products and product components', '280104 - A.8.32. Sale of second-hand goods', '280105 - A.8.33. Product-as-a-service and other circular use- and result-oriented service models', '280107 - A.8.35. Manufacture of electric and electronical equipment', '280203 - A.8.3. Manufacture of hydrogen', '280704 - A.8.16. Manufacture of anhydrous ammonia' or '280802 - A.8.23. Manufacture of plastic packaging goods', then "Type of activity" must be '05 - Pure Activity' or 'Not Applicable'</t>
  </si>
  <si>
    <t>LT_R_AC_007_06</t>
  </si>
  <si>
    <t>If "Sustainable Category" is set as '210304 - A.1.29. Electricity generation from fossil gaseous fuels', '210305 - A.1.30. Production of heat/cool from fossil gaseous fuels in an efficient district heating and cooling system', '21306 - A.1.31. High-efficiency co-generation of heat/cool and power from fossil gaseous fuels ', '220301 - A.2.18. Leasing of aircraft' or '220302 - A.2.19. Passenger and freight air transport', then "Type of activity" must be '02 - Transitional activity' or 'Not Applicable'</t>
  </si>
  <si>
    <t>LT_R_AC_007_07</t>
  </si>
  <si>
    <t>If "Sustainable Category" is set as '2202** - Water Transport', '2806**  Cement, aluminium, iron, steel &amp; others', '220101 - A.2.1. Passenger interurban rail transport', '220102 - A.2.2. Freight rail transport', '220103 - A.2.3. Urban and suburban transport, road passenger transport', '220105 - A.2.5. Transport by motorbikes, passenger cars and light commercial vehicles', '220106 - A.2.6. Freight transport services by road', '280304 - A.8.21. Manufacturing of aircraft', '280701 - A.8.12. Manufacture of soda ash', '280703 - A.8.13. Manufacture of organic basic materials', '280705 - A.8.14. Manufacture of nitric acid', '280702 - A.8.15. Manufacture of chlorine', '280801 - A.8.17. Manufacture of plastics in primary form' or '3001 - A.10.1. Data processing, hosting and related activities', then "Type of activity" must be '02 - Transitional activity', '05 - Pure Activity' or 'Not Applicable'</t>
  </si>
  <si>
    <t>LT_R_AC_007_08</t>
  </si>
  <si>
    <t>If "Sustainable Category" is set as '260408 - A.6.26 Use of recycled materials', '2703** - Sustainable agriculture', '2704 - A.7.15. Livestock Management', '2705 - A.7.16. Sustainable Aquaculture and Fishing', '2706 - A.7.17. Carbon Sequestration Activities', 'DEDICATED PURPOSE - Social', 'GENERAL PURPOSE', '210701 - A.1.32. Renewable Energy Procurement', '220501 - A.2.21. Hydrogen powered-vehicles', '260104 - A.6.2. Sustainable Water Management', '280504 - A.8.27. Manufacture and installation of equipment efficient in terms of energy consumption', '280706 - A.8.26. Manufacture of clean Naphtha', '3101 - A.11.1. Carbon Market' or '3201', then "Type of activity" must be 'Not Applicable'</t>
  </si>
  <si>
    <t>LT_R_AC_007_09</t>
  </si>
  <si>
    <t>If "Sustainable Category" is set as '2302 - A.3.2. Renovation of existing buildings' then "Type of activity" must be "02 - Transitional activity", '05 - Pure Activity', '01 - Enabling activity' or 'Not Applicable'</t>
  </si>
  <si>
    <t>LT_R_AC_008_01</t>
  </si>
  <si>
    <t>If "Environmental Objective" is populated with other than '28 - The exposure does not contribute to any of the defined objectives', then "Sustainable Indicator" must be 'SSTNBL2 - Taxonomy Specific', 'SSTNBL3 - Santander Specific &amp; Taxonomy Specific', or 'SSTNBL4 - Taxonomy Specific &amp; Aligned under other criteria'</t>
  </si>
  <si>
    <t>LT_R_AC_008_02</t>
  </si>
  <si>
    <t>If "Environmental Objective" is populated with '28 - The exposure does not contribute to any of the defined objectives', then "Sustainable Indicator" must be 'SSTNBL1 - Santander Specific', 'SSTNBL5 - Aligned under other criteria', or 'SSTNL6 - Not eligible/aligned'</t>
  </si>
  <si>
    <t>LT_R_AC_008_03</t>
  </si>
  <si>
    <t>If "Type of activity" is '01 - Enabling activity', '02 - Transitional activity' or '05 - Pure activity', then "Sustainable Indicator" must be 'SSTNBL2 - Taxonomy Specific', 'SSTNBL3 - Santander Specific &amp; Taxonomy Specific' or 'SSTNBL4 - Taxonomy Specific &amp; Aligned under other criteria'</t>
  </si>
  <si>
    <t>LT_R_AC_008_04</t>
  </si>
  <si>
    <t>If "Flag of substantial contribution" is 'Y' then "Sustainable Indicator" must be 'SSTNBL2 - Taxonomy Specific', 'SSTNBL3 - Santander Specific &amp; Taxonomy Specific' or 'SSTNBL4 - Taxonomy Specific &amp; Aligned under other criteria'</t>
  </si>
  <si>
    <t>LT_R_AC_008_05</t>
  </si>
  <si>
    <t>If "Flag Do not Significant Harm" is 'Y' then "Sustainable Indicator" must be 'SSTNBL2 - Taxonomy Specific', 'SSTNBL3 - Santander Specific &amp; Taxonomy Specific' or 'SSTNBL4 - Taxonomy Specific &amp; Aligned under other criteria'</t>
  </si>
  <si>
    <t>LT_R_AC_008_06</t>
  </si>
  <si>
    <t>If "Minimum safeguards flag" is 'Y' then "Sustainable Indicator" must be 'SSTNBL2 - Taxonomy Specific', 'SSTNBL3 - Santander Specific &amp; Taxonomy Specific' or 'SSTNBL4 - Taxonomy Specific &amp; Aligned under other criteria'</t>
  </si>
  <si>
    <t>LT_R_AC_008_07</t>
  </si>
  <si>
    <t>If "Sustainable Category" is '6001 - Not Sustainable' then "Sustainable Indicator" must be 'SSTNBL6 - Not eligible/aligned'</t>
  </si>
  <si>
    <t>LT_R_AC_008_08</t>
  </si>
  <si>
    <t>If "Sustainable Category" is '5201 - Pure Green counterparty - Default' then "Sustainable Indicator" must be 'SSTNBL1 - Santander Specific'</t>
  </si>
  <si>
    <t>LT_R_AC_008_09</t>
  </si>
  <si>
    <t>If "Sustainable Category" is 'DEDICATED PURPOSE - Social' or '5301 - Sustainable (UoP) Default', then "Sustainable Indicator" must be 'SSTNBL1 - Santander Specific' or 'SSTNBL6 - Not eligible/aligned'</t>
  </si>
  <si>
    <t>LT_R_AC_008_10</t>
  </si>
  <si>
    <t>If "Sustainable Category" is '510** - Sustainability linked finance" then "Sustainable Indicator" must be 'SSTNBL1 - Santander Specific' or 'SSTNBL5 - Aligned under other criteria'</t>
  </si>
  <si>
    <t>LT_R_AC_008_11</t>
  </si>
  <si>
    <t>If "Sustainable Category" is '210701 - A.1.32. Renewable Energy Procurement', '220501 - A.2.21. Hydrogen powered-vehicles', '260104 - A.6.2. Sustainable Water Management', '260408 - A.6.26 Use of recycled materials', '2703** - Sustainable Agriculture', '2704 - A.7.15. Livestock Management', '2705 - A.7.16. Sustainable Aquaculture and Fishing', '2706 - A.7.17. Carbon Sequestration Activities', '280504 - A.8.27. Manufacture and installation of equipment efficient in terms of energy consumption', '280706 - A.8.26. Manufacture of clean Naphtha', '3101 - A.11.1. Carbon Market' or '3201 - Green - Default', then "Sustainable Indicator" must be 'SSTNBL1 - Santander Specific', 'SSTNBL5 - Aligned under other criteria' or 'SSTNBL6 - Not eligible/aligned'</t>
  </si>
  <si>
    <t>LT_R_AC_008_12</t>
  </si>
  <si>
    <t>If "Sustainable Category" is '5401 - General - Taxonomy Default' then "Sustainable Indicator" must be 'SSTNBL2 - Santander Specific'</t>
  </si>
  <si>
    <t>LT_R_AC_008_13</t>
  </si>
  <si>
    <t>If "Sustainable Category" is '2101** - Renewable energy', '2102** - Renewable fuels, bioenergy and waste heat', '2103** - Nuclear &amp; Fossil gaseous fuels', '2104** -Transmission and distribution', '210501 - A.1.16. Installation and operation of electric heat pumps', '2106** - Storage', '2201** - Ground transport', '2202** - Water Transport', '2204** - Infraestructure', '2203** - Air Transport', '250* - Disaster Risk Management', '230*** - Construction and Real Estate', '2602** - Wastewater', '2603** - Bio-Waste management', '2605** - Remediation', '2606** - Carbon Transport and Storage', '2701** - Afforestation / Reforestation', '2702** - Land conservation, restoration, soil remediation', '2802** - Renewable energy &amp; hydrogen technologies', '2803** - Transport', '2804 - A.8.5. Manufacture of batteries', '2806** - Cement, aluminium, iron, steel &amp; others', '2808** - Plastics', '2809** - Pharmaceutical &amp; Medicinal', '281001 - A.8.28. Research, development and innovation for direct air capture of CO2', '2901 - A.9.1. Hotels, holiday, camping grounds and similar accommodation', '300*** - IT &amp; Communications', '2401 - A.4.1. Professional services related to energy performance of buildings', '3102 - A.11.2. Non-life insurance', '3103 - A.11.3. Re-insurance', '3104 - A.11.4. Climate adaptation', '260101 - A.6.1. Water collection, treatment and supply systems', '260103 - A.6.13. Water Supply', '260102 - A.6.12. Desalination', '260401 - A.6.4. Collection and transport of non-hazardous waste in source segregated fractions', '260402 - A.6.8. Material recovery from non-hazardous waste', '260403 - A.6.18. Collection and transport of non-hazardous and hazardous waste', '260404 - A.6.19. Treatment of hazardous waste', '260405 - A.6.22. Depollution and dismantling of end-of-life products', '260406 - A.6.21. Sorting and material recovery of non-hazardous waste', '260407 - A.6.23. Collection and transport of hazardous waste', '280101 - A.8.29. Repair, refurbishment and remanufacturing', '280102 - A.8.30. Sale of spare parts', '280103 - A.8.31. Preparation for re-use of end-of-life products and product components', '280104 - A.8.32. Sale of second-hand goods', '280105 - A.8.33. Product-as-a-service and other circular use- and result-oriented service models', '280106 - A.8.34. Marketplace for the trade of second-hand goods for reuse', '280107 - A.8.35. Manufacture of electric and electronical equipment', '280501 - A.8.6. Manufacture of energy efficiency equipment for buildings', '280502 - A.8.7. Manufacture of other low carbon technologies', '280503 - A.8.20. Manufacture, installation, and servicing of high, medium and low voltage electrical equipment for electrical transmission and distribution that result in or enable a substantial contribution to climate change mitigation', '280505 - A.8.22.Manufacture, installation and associated services for leakage control technologies enabling leakage reduction and prevention in water supply systems', '280701 - A.8.12. Manufacture of soda ash', '280703 - A.8.13. Manufacture of organic basic materials', '280705 - A.8.14. Manufacture of nitric acid', '280702 - A.8.15. Manufacture of chlorine' or '280704 - A.8.16. Manufacture of anhydrous ammonia', then "Sustainable Indicator" must be 'SSTNBL2 - Santander Specific', 'SSTNBL3 - Santander Specific &amp; Taxonomy Specific' or 'SSTNBL4 - Taxonomy Specific &amp; Aligned under other criteria'</t>
  </si>
  <si>
    <t>LT_R_AC_008_16</t>
  </si>
  <si>
    <t>If "Flag of substantial contribution" is 'Y' and "Flag Do not Significant Harm" is 'Y' and "Minimum safeguards flag" is 'Y', then "Sustainable Indicator" cannot be 'SSTNBL4 - Taxonomy Specific &amp; Aligned under other criteria'</t>
  </si>
  <si>
    <t>LT_R_AC_009_01</t>
  </si>
  <si>
    <t>If "Sustainable Indicator" is set as '4 - Taxonomy Specific &amp; Aligned under other criteria' and "Subportfolio ID" is classified as 'HOG - Households' or 'AP - General Governments', and "Flag Do not Significant Harm" is 'Y', then "Flag of substantial contribution" cannot be 'Y'</t>
  </si>
  <si>
    <t>LT_R_AC_010_01</t>
  </si>
  <si>
    <t>If "Sustainable Indicator" is set as '4 - Taxonomy Specific &amp; Aligned under other criteria' and "Subportfolio ID" is classified as 'HOG - Households' or 'AP - General Governments', and "Flag of substantial contribution" is 'Y', then "Flag Do not Significant Harm" cannot be 'Y'</t>
  </si>
  <si>
    <t>LT_R_AC_011_01</t>
  </si>
  <si>
    <t>If "Flag Do not Significant Harm" is set as 'N' then "DNSH Detail" cannot be 'Not Applicable'</t>
  </si>
  <si>
    <t>LT_R_AC_011_02</t>
  </si>
  <si>
    <t>If "Environmental objective" is set as '22 - Climate change mitigation' then "DNSH Detail" cannot be 'DNSH01 - Do not significant harm to climate change mitigation objective'</t>
  </si>
  <si>
    <t>LT_R_AC_011_03</t>
  </si>
  <si>
    <t>If "Environmental objective" is set as '23 - Climate change adaptation' then "DNSH Detail" cannot be 'DNSH02 - Do not significant harm to climate change adaptation'</t>
  </si>
  <si>
    <t>LT_R_AC_011_04</t>
  </si>
  <si>
    <t>If "Environmental objective" is set as '24 - Sustainable use and protection of water and marine resources' then "DNSH Detail" cannot be 'DNSH03 - Do not significant harm to sustainable use and protection of water and marine resources'</t>
  </si>
  <si>
    <t>LT_R_AC_011_05</t>
  </si>
  <si>
    <t>If "Environmental objective" is set as '25 - Transition to a circular economy' then "DNSH Detail" cannot be 'DNSH04 - Do not significant harm to transition to a circular economy'</t>
  </si>
  <si>
    <t>LT_R_AC_011_06</t>
  </si>
  <si>
    <t>If "Environmental objective" is set as '26 - Pollution prevention and control' then "DNSH Detail" cannot be 'DNSH05 - Do not significant harm to pollution prevention and control'</t>
  </si>
  <si>
    <t>LT_R_AC_011_07</t>
  </si>
  <si>
    <t>If "Environmental objective" is set as '27 - Protection and restoration of biodiversity and ecosystems.' then "DNSH Detail" cannot be 'DNSH06 - Do not significant harm to protection and restoration of biodiversity and ecosystems.'</t>
  </si>
  <si>
    <t>LT_R_AC_011_08</t>
  </si>
  <si>
    <t>If "Flag Do not Significant Harm" is set as 'Y' then "DNSH Detail" must be 'Not Applicable'</t>
  </si>
  <si>
    <t>LT_R_EN_003_01</t>
  </si>
  <si>
    <t>"Birth date counterparty" at Main Entity level has to be lower or equal to any "Date of Inception" of linked instrument</t>
  </si>
  <si>
    <t>LT_R_EN_003_02</t>
  </si>
  <si>
    <t>"Birth date counterparty" cannot be later than "Reference date"</t>
  </si>
  <si>
    <t>LT_R_EN_004_01</t>
  </si>
  <si>
    <t>If "Default status of the entity" is populated other than default values, then "Date of default status" (entity level) cannot be 'Not applicable'</t>
  </si>
  <si>
    <t>LT_R_EN_004_02</t>
  </si>
  <si>
    <t xml:space="preserve">"Date of default status" (entity level) must be later than "Birth date counterparty" </t>
  </si>
  <si>
    <t>LT_R_EN_004_03</t>
  </si>
  <si>
    <t>"Date of default status" (entity level) cannot be later than "Reference date"</t>
  </si>
  <si>
    <t>LT_R_EN_004_04</t>
  </si>
  <si>
    <t>If "Default status of the entity" is 'Not applicable', then "Date of default status" (entity level) must be a default value</t>
  </si>
  <si>
    <t>LT_R_EN_005_01</t>
  </si>
  <si>
    <t>"Date of financial statements" must be later than "Date of previous fiscal year financial statements"</t>
  </si>
  <si>
    <t>LT_R_EN_005_03</t>
  </si>
  <si>
    <t>If any of the financial statements fields (*) is populated other than default values, then "Date of financial statements" cannot be 'Not applicable'(*) "Capital expenditures at most recent reported figures", "Cash and cash equivalents at most recent reported figures", "EBITDA at latest reported figures", "Equity at most recent reported figures", "Goodwill at most recent reported figures", "Leverage (net debt / EBITDA) at most recent reported figures", "Net income at most recent reported figures", "Total debt at latest most recent reported figures", "Annual turnover counterparty (LE)", "Leverage ratio as per ECB Guidance on leveraged transactions; total debt vs EBITDA", "Debt service coverage ratio", "Total Liabilities", "Total Assets", "Total permissible debt balance"</t>
  </si>
  <si>
    <t>LT_R_EN_005_04</t>
  </si>
  <si>
    <t xml:space="preserve">"Date of financial statements" must be later than "Birth date counterparty" </t>
  </si>
  <si>
    <t>LT_R_EN_005_05</t>
  </si>
  <si>
    <t>"Date of financial statements" cannot be later than "Reference date"</t>
  </si>
  <si>
    <t>LT_R_EN_005_06</t>
  </si>
  <si>
    <t>If "Type of person" is 'N - Natural person' then "Date of financial statements" must be a default value</t>
  </si>
  <si>
    <t>LT_R_EN_006_03</t>
  </si>
  <si>
    <t>If any of the financial statements fields (*) corresponding to previous reported figures is populated other than default values, then "Date of previous fiscal year financial statements" cannot be 'Not applicable' (*) "Capital expenditures at previous reported figures", "Cash and cash equivalents at previous reported figures", "EBITDA at previous reported figures", "Equity at previous reported figures", "Goodwill at previous reported figures", "Leverage (net debt / EBITDA) at previous reported figures", "Net income at previous reported figures", "Total debt at previous reported figures", "Annual turnover counterparty (LE) at previous reporting","Leverage ratio at previous reported figures as per ECB Guidance on leveraged transactions; total debt vs EBITDA", "Debt service coverage ratio at the most recent reported figures prior to the reference date"</t>
  </si>
  <si>
    <t>LT_R_EN_006_04</t>
  </si>
  <si>
    <t>"Date of previous fiscal year financial statements" cannot be later than "Reference date"</t>
  </si>
  <si>
    <t>LT_R_EN_006_05</t>
  </si>
  <si>
    <t>If "Type of person" is 'N - Natural person' then "Date of previous fiscal year financial statements" must be a default value</t>
  </si>
  <si>
    <t>LT_R_EN_007_01</t>
  </si>
  <si>
    <t>If "Legal proceedings status Counterparty (LE)" equals "2 - Under judicial administration, receivership or similar measures" or "3 - Bankruptcy / insolvency" or "4 - Other legal measures" then "Date of initiation of legal proceedings counterparty (LE)" cannot be 'Not Applicable'</t>
  </si>
  <si>
    <t>LT_R_EN_007_02</t>
  </si>
  <si>
    <t xml:space="preserve">"Date of initiation of legal proceedings counterparty (LE)" must be later than "Birth date counterparty" </t>
  </si>
  <si>
    <t>LT_R_EN_007_03</t>
  </si>
  <si>
    <t>"Date of initiation of legal proceedings counterparty (LE)"cannot be later than "Reference date"</t>
  </si>
  <si>
    <t>LT_R_EN_008_01</t>
  </si>
  <si>
    <t>If "Performing status" is populated other than default values, then "Date of performing status" cannot be 'Not applicable'</t>
  </si>
  <si>
    <t>LT_R_EN_008_02</t>
  </si>
  <si>
    <t xml:space="preserve">"Date of performing status" must be later than "Birth date counterparty" </t>
  </si>
  <si>
    <t>LT_R_EN_008_03</t>
  </si>
  <si>
    <t>"Date of performing status" cannot be later than "Reference date"</t>
  </si>
  <si>
    <t>LT_R_EN_008_04</t>
  </si>
  <si>
    <t>If "Performing status" is 'Not applicable', then "Date of performing status" must be a default value</t>
  </si>
  <si>
    <t>LT_R_EN_011_01</t>
  </si>
  <si>
    <t>If "Name of the parent entity of a group of connected clients" is "N/A" then "Identifier for the parent entity of a group of connected clients" must be a default value</t>
  </si>
  <si>
    <t>LT_R_EN_011_03</t>
  </si>
  <si>
    <t>If "Type of person" is 'N - Natural person' then "Identifier for the parent entity of a group of connected clients" must be a default value</t>
  </si>
  <si>
    <t>LT_R_EN_012_01</t>
  </si>
  <si>
    <t>If "Identifier for the parent entity of a group of connected clients" is "N/A" then "Name of the parent entity of a group of connected clients" must be a default value</t>
  </si>
  <si>
    <t>LT_R_EN_012_02</t>
  </si>
  <si>
    <t>If "Type of person" is 'N - Natural person' then "Name of the parent entity of a group of connected clients" must be a default value</t>
  </si>
  <si>
    <t>LT_R_EN_015_01</t>
  </si>
  <si>
    <t>If "Type of person" is 'N - Natural person' then "Legal entity identifier Counterparty" must be a default value</t>
  </si>
  <si>
    <t>LT_R_EN_017_01</t>
  </si>
  <si>
    <t>If any of the external rating fields (*) is populated other than default values, then "Name of external rating agency" cannot be 'Not applicable' (*) "External rating", "Date of external rating"</t>
  </si>
  <si>
    <t>LT_R_EN_017_02</t>
  </si>
  <si>
    <t>If "Type of person" is 'N - Natural person' then "Name of external rating agency" must be a default value</t>
  </si>
  <si>
    <t>LT_R_EN_018_01</t>
  </si>
  <si>
    <t>If "Date of financial statements" is populated with other than default value, then "Accounting standard counterparty" cannot be 'Not applicable'</t>
  </si>
  <si>
    <t>LT_R_EN_019_01</t>
  </si>
  <si>
    <t>For Retail portfolios, if "Performing status" (Main Entity level) equals '1 - Non-Performing', then "Cure flag for entity which was classified as non-performing in the last 1.5 years and is classified as performing at the reference date" should be defaulted</t>
  </si>
  <si>
    <t>LT_R_EN_019_02</t>
  </si>
  <si>
    <t>For Retail portfolios, if "Performing status" (Main Entity level) equals '11 - Performing', then "Cure flag for entity which was classified as non-performing in the last 1.5 years and is classified as performing at the reference date" cannot be 'Not applicable'</t>
  </si>
  <si>
    <t>LT_R_EN_019_03</t>
  </si>
  <si>
    <t>For Retail portfolios, if "Performing status" (Main Entity level) equals '11 - Performing' and "Date of performing status" is older than 1.5 years (compared to"Reference date") then "Cure flag for entity which was classified as non-performing in the last 1.5 years and is classified as performing at the reference date" cannot be 'Y - Yes'</t>
  </si>
  <si>
    <t>LT_R_EN_020_01</t>
  </si>
  <si>
    <t>If "Type of person" is 'L - Legal person' then "Entity deceased" must be a default value</t>
  </si>
  <si>
    <t>LT_R_EN_021_01</t>
  </si>
  <si>
    <t>For Retail portfolios, if "Default status of the instrument" equals '18 - Default because both unlikely to pay and more than 90/180 days past due' , then "Default status of the entity" (Main Entity level) must equal '18 - Default because both unlikely to pay and more than 90/180 days past due'</t>
  </si>
  <si>
    <t>LT_R_EN_021_02</t>
  </si>
  <si>
    <t>For Retail portfolios, if "Default status of the instrument" equals '19 - Default because unlikely to pay', then "Default status of the entity" (Main Entity level) must equal '18 - Default because both unlikely to pay and more than 90/180 days past due' or '19 - Default because unlikely to pay'</t>
  </si>
  <si>
    <t>LT_R_EN_021_03</t>
  </si>
  <si>
    <t>For Retail portfolios, if "Default status of the instrument" equals '20 - Default because more than 90/180 days past due', then "Default status of the entity" (Main Entity level) must equal '18 - Default because both unlikely to pay and more than 90/180 days past due' or '20 - Default because more than 90/180 days past due'</t>
  </si>
  <si>
    <t>LT_R_EN_022_01</t>
  </si>
  <si>
    <t xml:space="preserve">"Date of external rating" must be later than "Birth date counterparty" </t>
  </si>
  <si>
    <t>LT_R_EN_022_02</t>
  </si>
  <si>
    <t>"Date of external rating" cannot be later than "Reference date"</t>
  </si>
  <si>
    <t>LT_R_EN_022_03</t>
  </si>
  <si>
    <t>If "External rating" is populated other than default values, then "Date of external rating" cannot be 'Not applicable'</t>
  </si>
  <si>
    <t>LT_R_EN_022_04</t>
  </si>
  <si>
    <t>If "Type of person" is 'N - Natural person' then "Date of external rating" must be a default value</t>
  </si>
  <si>
    <t>LT_R_EN_023_01</t>
  </si>
  <si>
    <t xml:space="preserve">"Date of internal rating" (entity level) must be later than "Birth date counterparty" </t>
  </si>
  <si>
    <t>LT_R_EN_023_02</t>
  </si>
  <si>
    <t>"Date of internal rating" (entity level) cannot be later than "Reference date"</t>
  </si>
  <si>
    <t>LT_R_EN_023_03</t>
  </si>
  <si>
    <t>If "Internal rating" (entity level) is populated other than default values, then "Date of internal rating" (entity level) cannot be 'Not applicable'</t>
  </si>
  <si>
    <t>LT_R_EN_023_05</t>
  </si>
  <si>
    <t>If "Date of financial statements" is populated with other than default value, then "Date of internal rating" (entity level) cannot be 'Not applicable'</t>
  </si>
  <si>
    <t>LT_R_EN_025_01</t>
  </si>
  <si>
    <t>If "Type of person" is 'L - Legal person' then "Employment status according to bank-internal classification" must be a default value</t>
  </si>
  <si>
    <t>LT_R_EN_026_01</t>
  </si>
  <si>
    <t>If "Employment status according to bank-internal classification" is populated other than default values, then "Employment status (Code List)" cannot be 'Not applicable'</t>
  </si>
  <si>
    <t>LT_R_EN_026_02</t>
  </si>
  <si>
    <t>If "Type of person" is 'L - Legal person' then "Employment status (Code List)" must be a default value</t>
  </si>
  <si>
    <t>LT_R_EN_027_02</t>
  </si>
  <si>
    <t>LT_R_EN_027_04</t>
  </si>
  <si>
    <t>LT_R_EN_028_01</t>
  </si>
  <si>
    <t>If "Date of external rating" is populated other than default values, then "External rating" cannot be 'Not applicable'</t>
  </si>
  <si>
    <t>LT_R_EN_028_03</t>
  </si>
  <si>
    <t>If "Type of person" is 'N - Natural person' then "External rating" must be a default value</t>
  </si>
  <si>
    <t>LT_R_EN_029_01</t>
  </si>
  <si>
    <t>If "External rating" is populated with 'Not applicable' then "External rating T-1" must also be populated with 'Not applicable'</t>
  </si>
  <si>
    <t>LT_R_EN_029_02</t>
  </si>
  <si>
    <t>If "Type of person" is 'N - Natural person' then "External rating T-1" must be a default value</t>
  </si>
  <si>
    <t>LT_R_EN_030_01</t>
  </si>
  <si>
    <t>If "Identifier for the parent entity of a group of connected clients" is 'N/A' then "Any legal entity within the group of connected clients of the debtor (incl. subsidiaries of the debtor) has filed bankruptcy application" must be a default value</t>
  </si>
  <si>
    <t>LT_R_EN_030_02</t>
  </si>
  <si>
    <t>If "Identifier for the parent entity of a group of connected clients" is not defaulted then "Any legal entity within the group of connected clients of the debtor (incl. subsidiaries of the debtor) has filed bankruptcy application" cannot be 'Not applicable'</t>
  </si>
  <si>
    <t>LT_R_EN_030_03</t>
  </si>
  <si>
    <t>If "Type of person" is 'N - Natural person' then "Any legal entity within the group of connected clients of the debtor (incl. subsidiaries of the debtor) has filed bankruptcy application" must be a default value</t>
  </si>
  <si>
    <t>LT_R_EN_030_04</t>
  </si>
  <si>
    <t>Any "Entity ID" with the same "Identifier for the parent entity of a group of connected clients" must have the same "Any legal entity within the group of connected clients of the debtor (incl. subsidiaries of the debtor) has filed bankruptcy application"</t>
  </si>
  <si>
    <t>LT_R_EN_031_01</t>
  </si>
  <si>
    <t>If "Type of person" is 'N - Natural person' then "5Y CDS &gt; 1,000bps over the last 12 months" must be a default value</t>
  </si>
  <si>
    <t>LT_R_EN_032_01</t>
  </si>
  <si>
    <t>If "Type of person" is 'N - Natural person' then "ISDA credit event declared" must be a default value</t>
  </si>
  <si>
    <t>LT_R_EN_034_01</t>
  </si>
  <si>
    <t>If "Type of person" is 'N - Natural person' then "Request by the institution for the obligor's bankruptcy" must be a default value</t>
  </si>
  <si>
    <t>LT_R_EN_035_01</t>
  </si>
  <si>
    <t>If "Forbearance status" is set as '3 - Forborne: Refinanced debt' or '4 - Forborne: instruments with modified interest rate below market conditions' or '5 - Forborne: instruments with other modified terms and conditions' and "Impairment status" equals '25 - Stage 3', then "Request for current concession of forbearance measures as defined in EBA/ITS/2013/03 resulting in distressed restructuring of the credit obligation" (Main Entity level) has to be set as 'Y'</t>
  </si>
  <si>
    <t>LT_R_EN_037_01</t>
  </si>
  <si>
    <t>If "Type of person" is 'N - Natural person' then "Sell of a credit obligation with material credit related economic loss (&gt;= 5%)" must be a default value</t>
  </si>
  <si>
    <t>LT_R_EN_038_01</t>
  </si>
  <si>
    <t>If "Type of person" is 'L - Legal person' then "Income self-certified" must be a default value</t>
  </si>
  <si>
    <t>LT_R_EN_039_01</t>
  </si>
  <si>
    <t>If "Date of internal rating" (entity level) is populated other than default values, then "Internal rating at reference date" (entity level) cannot be 'Not applicable'</t>
  </si>
  <si>
    <t>LT_R_EN_039_02</t>
  </si>
  <si>
    <t>If "Internal rating at reference date" (instrument level) is populated other than default values, then "Internal rating at reference date" (Main Entity level) cannot be 'Not applicable'</t>
  </si>
  <si>
    <t>LT_R_EN_039_04</t>
  </si>
  <si>
    <t>If "Previous internal rating" is populated with other than default values, then "Internal Rating" (entity level) cannot be 'Not Applicable'</t>
  </si>
  <si>
    <t>LT_R_EN_039_05</t>
  </si>
  <si>
    <t>If "Probability of default according to CRR at reference date" (entity level) is populated other than default values, then "Internal rating at reference date" (entity level) cannot be 'Not applicable'</t>
  </si>
  <si>
    <t>EN_INTRNL_RTNG</t>
  </si>
  <si>
    <t>LT_R_EN_039_06</t>
  </si>
  <si>
    <t>If "Probability of default according to CRR at reference date" (entity level) is populated with default values, then "Internal rating at reference date" (entity level) must be 'Not applicable'</t>
  </si>
  <si>
    <t>LT_R_EN_040_01</t>
  </si>
  <si>
    <t>If "Internal rating at reference date" (entity level) is populated with 'Not applicable' then "Previous internal rating" must also be populated with 'Not applicable'</t>
  </si>
  <si>
    <t>LT_R_EN_040_03</t>
  </si>
  <si>
    <t>If "Date of previous fiscal year financial statements" is populated with other than default value, then "Previous internal rating" cannot be 'Not applicable'</t>
  </si>
  <si>
    <t>LT_R_EN_041_01</t>
  </si>
  <si>
    <t>For Retail portfolios, "Legal proceedings status Counterparty (LE)" (Main Entity level) can only be "1 - No legal action taken" or "4 - Other legal measures"</t>
  </si>
  <si>
    <t>LT_R_EN_041_02</t>
  </si>
  <si>
    <t>If "Collection mode" equals '1 - Hard collection (judicial procedures engaged)', then "Legal proceedings status Counterparty (LE)" cannot be '1 - No legal actions taken'</t>
  </si>
  <si>
    <t>LT_R_EN_041_03</t>
  </si>
  <si>
    <t>If "Collection mode" equals '2 - Soft collection (all other)', then "Legal proceedings status Counterparty (LE)" cannot be '2 - Under judicial administration, receivership or similar measures' nor '3 - Bankruptcy / insolvency' nor '4 - Other legal measures'</t>
  </si>
  <si>
    <t>LT_R_EN_041_04</t>
  </si>
  <si>
    <t>If "Protection called" is set as 'Y' then "Legal proceedings status Counterparty (LE)" (Main Entity level) has to be equal to '2 - Under judicial administration, receivership or similar measures', or '3 - Bankruptcy / insolvency', or '4 - Other legal measures'</t>
  </si>
  <si>
    <t>LT_R_EN_042_03</t>
  </si>
  <si>
    <t>If "Type of person" is 'N - Natural person' then "&gt;50% owned by a sponsor as per ECB Guidance on leveraged transactions" must be a default value</t>
  </si>
  <si>
    <t>LT_R_EN_044_01</t>
  </si>
  <si>
    <t>If "Internal rating at reference date" (entity level) is populated other than default values, then "Rating method" (entity level) cannot be 'Not applicable'</t>
  </si>
  <si>
    <t>LT_R_EN_044_02</t>
  </si>
  <si>
    <t>If "Internal rating at reference date" (entity level) is populated with 'Not applicable', then "Rating method" (entity level) must also be 'Not applicable'</t>
  </si>
  <si>
    <t>LT_R_EN_044_04</t>
  </si>
  <si>
    <t>If "RWA calculation method" equals '1 - IRB' then "Rating method" (Main Entity level) cannot be 'Not applicable'</t>
  </si>
  <si>
    <t>LT_R_EN_044_05</t>
  </si>
  <si>
    <t>If "Probability of default according to CRR at reference date" (entity level) is populated other than default values, then "Rating method" (entity level) cannot be 'Not applicable'</t>
  </si>
  <si>
    <t>LT_R_EN_047_01</t>
  </si>
  <si>
    <t>If "Type of person" is 'N - Natural person' then "Type of SPV debtor" must be a default value</t>
  </si>
  <si>
    <t>LT_R_EN_048_01</t>
  </si>
  <si>
    <t>If "Economic (Financial) Group ID" is populated other than default values, then "Group's EBITDA at most recent reported figures" cannot be 'Not applicable'</t>
  </si>
  <si>
    <t>LT_R_EN_048_02</t>
  </si>
  <si>
    <t>If "Economic (Financial) Group ID" is populated with 'Not Applicable' values, then "Group's EBITDA at most recent reported figures" must be a default value</t>
  </si>
  <si>
    <t>LT_R_EN_048_03</t>
  </si>
  <si>
    <t>If "Type of person" is 'N - Natural person' then "Group's EBITDA at most recent reported figures" must be a default value</t>
  </si>
  <si>
    <t>LT_R_EN_048_04</t>
  </si>
  <si>
    <t>Any "Entity ID" with the same "Economic (financial) Group ID", populated with other than default values, must have the same "Group's EBITDA at most recent reported figures"</t>
  </si>
  <si>
    <t>LT_R_EN_049_01</t>
  </si>
  <si>
    <t>If "Economic (Financial) Group ID" is populated other than default values, then "Group's Equity at most recent reported figures" cannot be 'Not applicable'</t>
  </si>
  <si>
    <t>LT_R_EN_049_02</t>
  </si>
  <si>
    <t>If "Economic (Financial) Group ID" is populated with 'Not Applicable' values, then "Group's Equity at most recent reported figures" must be a default value</t>
  </si>
  <si>
    <t>LT_R_EN_049_03</t>
  </si>
  <si>
    <t>If "Type of person" is 'N - Natural person' then "Group's equity at most recent reported figures" must be a default value</t>
  </si>
  <si>
    <t>LT_R_EN_049_04</t>
  </si>
  <si>
    <t>"Group's equity at most recent reported figures" should be greater or equal to "Equity at most recent reported figures"</t>
  </si>
  <si>
    <t>LT_R_EN_049_05</t>
  </si>
  <si>
    <t>Any "Entity ID" with the same "Economic (financial) Group ID", populated with other than default values, must have the same "Group's equity at most recent reported figures"</t>
  </si>
  <si>
    <t>LT_R_EN_050_01</t>
  </si>
  <si>
    <t>If "Economic (Financial) Group ID" is populated other than default values, then "Total net debt at most recent reported figures" cannot be 'Not applicable'</t>
  </si>
  <si>
    <t>LT_R_EN_050_02</t>
  </si>
  <si>
    <t>If "Economic (Financial) Group ID" is populated with 'Not Applicable' values, then "Total net debt at most recent reported figures" must be a default value</t>
  </si>
  <si>
    <t>LT_R_EN_050_03</t>
  </si>
  <si>
    <t>If "Group's total debt at most recent reported figures" is populated other than default values and "Total net debt at most recent reported figures" is populated other than default values then "Group's Total debt at most recent reported figures" must be greater or equal than "Total net debt at most recent reported figures"</t>
  </si>
  <si>
    <t>LT_R_EN_050_04</t>
  </si>
  <si>
    <t>If "Type of person" is 'N - Natural person' then "Total net debt at most recent reported figures" must be a default value</t>
  </si>
  <si>
    <t>LT_R_EN_050_05</t>
  </si>
  <si>
    <t>Any "Entity ID" with the same "Economic (financial) Group ID", populated with other than default values, must have the same "Total net debt at most recent reported figures"</t>
  </si>
  <si>
    <t>LT_R_EN_051_01</t>
  </si>
  <si>
    <t>If "Date of financial statements" is other than 'Not applicable', then "Annual turnover counterparty (LE)" cannot be 'Not applicable'</t>
  </si>
  <si>
    <t>LT_R_EN_051_03</t>
  </si>
  <si>
    <t>If "Type of person" is 'N - Natural person' then "Annual turnover counterparty (LE)" must be a default value</t>
  </si>
  <si>
    <t>LT_R_EN_052_01</t>
  </si>
  <si>
    <t>If "Date of previous fiscal year financial statements" is other than 'Not applicable', then "Annual turnover counterparty (LE) at previous reporting" cannot be 'Not applicable'</t>
  </si>
  <si>
    <t>LT_R_EN_052_02</t>
  </si>
  <si>
    <t>If "Type of person" is 'N - Natural person' then "Annual turnover counterparty (LE) at previous reporting" must be a default value</t>
  </si>
  <si>
    <t>LT_R_EN_053_01</t>
  </si>
  <si>
    <t>If "Date of financial statements" is other than 'Not applicable', then "Capital expenditures at most recent reported figures" cannot be 'Not applicable'</t>
  </si>
  <si>
    <t>LT_R_EN_053_02</t>
  </si>
  <si>
    <t>If "Type of person" is 'N - Natural person' then "Capital expenditures at most recent reported figures" must be a default value</t>
  </si>
  <si>
    <t>LT_R_EN_054_01</t>
  </si>
  <si>
    <t>If "Date of previous fiscal year financial statements" is other than 'Not applicable', then "Capital expenditures at previous reported figures" cannot be 'Not applicable'</t>
  </si>
  <si>
    <t>LT_R_EN_054_02</t>
  </si>
  <si>
    <t>If "Type of person" is 'N - Natural person' then "Capital expenditures at previous reported figures" must be a default value</t>
  </si>
  <si>
    <t>LT_R_EN_055_01</t>
  </si>
  <si>
    <t>If "Total exposure in arrears" is not zero and not defaulted, then "Collection mode" (Main Entity level) cannot be 'Not applicable'</t>
  </si>
  <si>
    <t>LT_R_EN_056_01</t>
  </si>
  <si>
    <t>If "Date of financial statements" is other than 'Not applicable', then "Cash and cash equivalents at most recent reported figures" cannot be 'Not applicable'</t>
  </si>
  <si>
    <t>LT_R_EN_056_02</t>
  </si>
  <si>
    <t>If "Type of person" is 'N - Natural person' then "Cash and cash equivalents at most recent reported figures" must be a default value</t>
  </si>
  <si>
    <t>LT_R_EN_057_01</t>
  </si>
  <si>
    <t>If "Date of previous fiscal year financial statements" is other than 'Not applicable', then "Cash and cash equivalents at previous reported figures" cannot be 'Not applicable'</t>
  </si>
  <si>
    <t>LT_R_EN_057_02</t>
  </si>
  <si>
    <t>If "Type of person" is 'N - Natural person' then "Cash and cash equivalents at previous reported figures" must be a default value</t>
  </si>
  <si>
    <t>LT_R_EN_058_01</t>
  </si>
  <si>
    <t>If "Date of financial statements" is other than 'Not applicable', then "EBITDA at latest reported figures" cannot be 'Not applicable'</t>
  </si>
  <si>
    <t>LT_R_EN_058_03</t>
  </si>
  <si>
    <t>If "Type of person" is 'N - Natural person' then "EBITDA at latest reported figures" must be a default value</t>
  </si>
  <si>
    <t>LT_R_EN_059_01</t>
  </si>
  <si>
    <t>If "Date of previous fiscal year financial statements" is other than 'Not applicable', then "EBITDA at previous reported figures" cannot be 'Not applicable'</t>
  </si>
  <si>
    <t>LT_R_EN_059_02</t>
  </si>
  <si>
    <t>If "Type of person" is 'N - Natural person' then "EBITDA at previous reported figures" must be a default value</t>
  </si>
  <si>
    <t>LT_R_EN_060_01</t>
  </si>
  <si>
    <t>If "Date of financial statements" is other than 'Not applicable', then "Equity at most recent reported figures" cannot be 'Not applicable'</t>
  </si>
  <si>
    <t>LT_R_EN_060_03</t>
  </si>
  <si>
    <t>If "Type of person" is 'N - Natural person' then "Equity at most recent reported figures" must be a default value</t>
  </si>
  <si>
    <t>LT_R_EN_061_01</t>
  </si>
  <si>
    <t>If "Date of previous fiscal year financial statements" is other than 'Not applicable', then "Equity at previous reported figures" cannot be 'Not applicable'</t>
  </si>
  <si>
    <t>LT_R_EN_061_02</t>
  </si>
  <si>
    <t>If "Type of person" is 'N - Natural person' then "Equity at previous reported figures" must be a default value</t>
  </si>
  <si>
    <t>LT_R_EN_062_01</t>
  </si>
  <si>
    <t>If "Economic (Financial) Group ID" is populated other than default values, then "Group's total debt at most recent reported figures" cannot be 'Not applicable'</t>
  </si>
  <si>
    <t>LT_R_EN_062_02</t>
  </si>
  <si>
    <t>If "Economic (Financial) Group ID" is populated with 'Not Applicable', then "Group's total debt at most recent reported figures" must be a default value</t>
  </si>
  <si>
    <t>LT_R_EN_062_03</t>
  </si>
  <si>
    <t>If "Type of person" is 'N - Natural person' then "Group's total debt at most recent reported figures" must be a default value</t>
  </si>
  <si>
    <t>LT_R_EN_062_04</t>
  </si>
  <si>
    <t>"Group's total debt at most recent reported figures" should be greater or equal to "Total debt at latest most recent reported figure"</t>
  </si>
  <si>
    <t>LT_R_EN_062_05</t>
  </si>
  <si>
    <t>Any "Entity ID" with the same "Economic (financial) Group ID", populated with other than default values, must have the same "Group's total debt at most recent reported figures"</t>
  </si>
  <si>
    <t>LT_R_EN_063_01</t>
  </si>
  <si>
    <t>If "Date of financial statements" is other than 'Not applicable', then "Goodwill at most recent reported figures" cannot be 'Not applicable'</t>
  </si>
  <si>
    <t>LT_R_EN_063_02</t>
  </si>
  <si>
    <t>If "Type of person" is 'N - Natural person' then "Goodwill at most recent reported figures" must be a default value</t>
  </si>
  <si>
    <t>LT_R_EN_064_01</t>
  </si>
  <si>
    <t>If "Date of previous fiscal year financial statements" is other than 'Not applicable', then "Goodwill at previous reported figures" cannot be 'Not applicable'</t>
  </si>
  <si>
    <t>LT_R_EN_064_02</t>
  </si>
  <si>
    <t>If "Type of person" is 'N - Natural person' then "Goodwill at previous reported figures" must be a default value</t>
  </si>
  <si>
    <t>LT_R_EN_065_01</t>
  </si>
  <si>
    <t>If either, "Monthly income - other" or "Monthly income - salary" (Main Entity level) is populated with values other than default or zero and "Type of instrument" is equal to '1004 - Loans other than overdrafts, convenience credit, extended credit, credit card credit, revolving credit other than credit card credit, reverse repurchase agreements, trade receivables and financial leases', then "Loan to income (LTI)" cannot be 'Not applicable'</t>
  </si>
  <si>
    <t>LT_R_EN_066_01</t>
  </si>
  <si>
    <t>If "Date of financial statements" is other than 'Not applicable', then "Leverage (net debt / EBITDA) at most recent reported figures" cannot be 'Not applicable'</t>
  </si>
  <si>
    <t>LT_R_EN_066_03</t>
  </si>
  <si>
    <t>"Leverage (net debt / EBITDA) at most recent reported figures" must equal "Total debt at latest most recent reported figures" minus "Cash and cash equivalents at most recent reported figures" divided by "EBITDA at latest reported figures"</t>
  </si>
  <si>
    <t>LT_R_EN_066_04</t>
  </si>
  <si>
    <t>If "EBITDA at latest reported figures" is populated as 'Not applicable', then "Leverage (net debt / EBITDA) at most recent reported figures" must be a default value</t>
  </si>
  <si>
    <t>LT_R_EN_066_05</t>
  </si>
  <si>
    <t>If "Type of person" is 'N - Natural person' then "Leverage (net debt / EBITDA) at most recent reported figures" must be a default value</t>
  </si>
  <si>
    <t>LT_R_EN_067_01</t>
  </si>
  <si>
    <t>If "Date of previous fiscal year financial statements" is other than 'Not applicable', then "Leverage (net debt / EBITDA) at previous reported figures" cannot be 'Not applicable'</t>
  </si>
  <si>
    <t>LT_R_EN_067_02</t>
  </si>
  <si>
    <t>If "EBITDA at previous reported figures" is populated as 'Not applicable', then "Leverage (net debt / EBITDA) at previous reported figures" must be a default value</t>
  </si>
  <si>
    <t>LT_R_EN_067_03</t>
  </si>
  <si>
    <t>"Leverage (net debt / EBITDA) at previous reported figures" must equal "Total debt at previous reported figures" minus "Cash and cash equivalents at previous reported figures" divided by "EBITDA at previous reported figures"</t>
  </si>
  <si>
    <t>LT_R_EN_067_04</t>
  </si>
  <si>
    <t>If "Type of person" is 'N - Natural person' then "Leverage (net debt / EBITDA) at previous reported figures" must be a default value</t>
  </si>
  <si>
    <t>LT_R_EN_068_01</t>
  </si>
  <si>
    <t>If "Type of person" is 'L - Legal person' then "Monthly income - other" must be a default value</t>
  </si>
  <si>
    <t>LT_R_EN_069_01</t>
  </si>
  <si>
    <t>if "Employment status (Code List)" is set as '1 - Employed', '2 - Employed with partial support (company subsidy)', '3 - Protected life-time employment (civil servant)', '4 - Self-employed' or '7 - Pensioner' then "Monthly income - salary" has to be greater than 0</t>
  </si>
  <si>
    <t>LT_R_EN_069_02</t>
  </si>
  <si>
    <t>If "Type of person" is 'L - Legal person' then "Monthly income - salary" must be a default value</t>
  </si>
  <si>
    <t>LT_R_EN_070_01</t>
  </si>
  <si>
    <t>If "Type of person" is 'L - Legal person' then "Average monthly turnover to bank account(s)" must be a default value</t>
  </si>
  <si>
    <t>LT_R_EN_071_01</t>
  </si>
  <si>
    <t>If "Date of financial statements" is other than 'Not applicable', then "Net income at most recent reported figures" cannot be 'Not applicable'</t>
  </si>
  <si>
    <t>LT_R_EN_071_03</t>
  </si>
  <si>
    <t>If "Type of person" is 'N - Natural person' then "Net income at most recent reported figures" must be a default value</t>
  </si>
  <si>
    <t>LT_R_EN_072_01</t>
  </si>
  <si>
    <t>If "Date of previous fiscal year financial statements" is other than 'Not applicable', then "Net income at previous reported figures" cannot be 'Not applicable'</t>
  </si>
  <si>
    <t>LT_R_EN_072_02</t>
  </si>
  <si>
    <t>If "Type of person" is 'N - Natural person' then "Net income at previous reported figures" must be a default value</t>
  </si>
  <si>
    <t>LT_R_EN_073_01</t>
  </si>
  <si>
    <t>If "Date of financial statements" is other than 'Not applicable', then "Total debt at latest most recent reported figures" cannot be 'Not applicable'</t>
  </si>
  <si>
    <t>LT_R_EN_073_03</t>
  </si>
  <si>
    <t>If "Type of person" is 'N - Natural person' then "Total debt at latest most recent reported figures" must be a default value</t>
  </si>
  <si>
    <t>LT_R_EN_074_01</t>
  </si>
  <si>
    <t>If "Date of previous fiscal year financial statements" is other than 'Not applicable', then "Total debt at previous reported figures" cannot be 'Not applicable'</t>
  </si>
  <si>
    <t>LT_R_EN_074_02</t>
  </si>
  <si>
    <t>If "Type of person" is 'N - Natural person' then "Total debt at previous reported figures" must be a default value</t>
  </si>
  <si>
    <t>LT_R_EN_075_01</t>
  </si>
  <si>
    <t>"Debtor's total interest paid (over period for one year)" must be higher or equal than "Received interest payments within last 12 months prior to reference date" (Main Entity level)</t>
  </si>
  <si>
    <t>LT_R_EN_075_02</t>
  </si>
  <si>
    <t>If "Received interest payments within last 12 months prior to reference date" is other than 'Not applicable', then "Debtor's total interest paid (over period for one year)" (Main Entity level) cannot be 'Not applicable'</t>
  </si>
  <si>
    <t>LT_R_EN_075_05</t>
  </si>
  <si>
    <t>If "Type of person" is 'N - Natural person' then "Debtor's total interest paid (over period for one year)" must be a default value</t>
  </si>
  <si>
    <t>LT_R_EN_076_01</t>
  </si>
  <si>
    <t>If "Leverage ratio as per ECB Guidance on leveraged transactions; total debt vs EBITDA" is populated other than default values and "Group support" is equal to 'Yes', then ("Group's total debt at most recent reported figures" / "Group's EBITDA at most recent reported figures") must equal "Leverage ratio as per ECB Guidance on leveraged transactions; total debt vs EBITDA"</t>
  </si>
  <si>
    <t>LT_R_EN_076_03</t>
  </si>
  <si>
    <t>If "Type of person" is 'N - Natural person' then "Leverage ratio as per ECB Guidance on leveraged transactions; total debt vs EBITDA" must be a default value</t>
  </si>
  <si>
    <t>LT_R_EN_076_04</t>
  </si>
  <si>
    <t>If "EBITDA at latest reported figures" is populated as 'Not applicable', then "Leverage ratio as per ECB Guidance on leveraged transactions; total debt vs EBITDA" must be a default value</t>
  </si>
  <si>
    <t>LT_R_EN_076_07</t>
  </si>
  <si>
    <t>If "Leverage ratio as per ECB Guidance on leveraged transactions; total debt vs EBITDA" is populated other than default values and "Group support" is populated with other than 'Yes', then ("Total debt at latest most recent reported figures" / "EBITDA at latest reported figures") must equal "Leverage ratio as per ECB Guidance on leveraged transactions; total debt vs EBITDA"</t>
  </si>
  <si>
    <t>LT_R_EN_076_08</t>
  </si>
  <si>
    <t>If "Date of financial statements" is populated with other than default value, then "Leverage ratio as per ECB Guidance on leveraged transactions; total debt vs EBITDA" cannot be 'Not applicable'</t>
  </si>
  <si>
    <t>LT_R_EN_076_09</t>
  </si>
  <si>
    <t>If "Date of inception" is in the past three months, then "Leverage ratio as per ECB Guidance on leveraged transactions; total debt vs EBITDA" must be equal to "Leverage ratio at inception date"</t>
  </si>
  <si>
    <t>LT_R_EN_077_01</t>
  </si>
  <si>
    <t>If "EBITDA at previous reported figures" is populated as 'Not applicable', then "Leverage ratio at previous reported figures as per ECB Guidance on leveraged transactions; total debt vs EBITDA" must be a default value</t>
  </si>
  <si>
    <t>LT_R_EN_077_02</t>
  </si>
  <si>
    <t>If "Type of person" is 'N - Natural person' then "Leverage ratio at previous reported figures as per ECB Guidance on leveraged transactions; total debt vs EBITDA" must be a default value</t>
  </si>
  <si>
    <t>LT_R_EN_077_04</t>
  </si>
  <si>
    <t>If "Date of previous fiscal year financial statements" is populated with other than default value, then "Leverage ratio at previous reported figures as per ECB Guidance on leveraged transactions; total debt vs EBITDA" cannot be 'Not applicable'</t>
  </si>
  <si>
    <t>LT_R_EN_078_02</t>
  </si>
  <si>
    <t>If "Leverage finance flag" is set to 'LFT - Leveraged finance transaction' or 'HFT - High Leveraged transaction', then "Debt repayment capacity of senior secured debt as per ECB Guidance on leveraged transactions" (Main Entity level) cannot be 'Not Applicable'</t>
  </si>
  <si>
    <t>LT_R_EN_078_05</t>
  </si>
  <si>
    <t>If "Type of person" is 'N - Natural person' then "Debt repayment capacity of senior secured debt as per ECB Guidance on leveraged transactions" must be a default value</t>
  </si>
  <si>
    <t>LT_R_EN_079_02</t>
  </si>
  <si>
    <t>If "Leverage finance flag" is set to 'LFT - Leveraged finance transaction' or 'HFT - High Leveraged transaction', then "Debt repayment capacity of the total debt as per ECB Guidance on leveraged transactions" (Main Entity level) cannot be 'Not Applicable'</t>
  </si>
  <si>
    <t>LT_R_EN_079_05</t>
  </si>
  <si>
    <t>If "Type of person" is 'N - Natural person' then "Debt repayment capacity of the total debt as per ECB Guidance on leveraged transactions" must be a default value</t>
  </si>
  <si>
    <t>LT_R_EN_080_01</t>
  </si>
  <si>
    <t>If "Date of financial statements" is other than 'Not applicable', then "Debt service coverage ratio" cannot be 'Not applicable'</t>
  </si>
  <si>
    <t>LT_R_EN_080_02</t>
  </si>
  <si>
    <t>If "Type of person" is 'N - Natural person' then "Debt service coverage ratio" must be a default value</t>
  </si>
  <si>
    <t>LT_R_EN_081_01</t>
  </si>
  <si>
    <t>If "Date of previous fiscal year financial statements" is other than 'Not applicable', then "Debt service coverage ratio at the most recent reported figures prior to the reference date" cannot be 'Not applicable'</t>
  </si>
  <si>
    <t>LT_R_EN_081_02</t>
  </si>
  <si>
    <t>If "Type of person" is 'N - Natural person' then "Debt service coverage ratio at the most recent reported figures prior to the reference date" must be a default value</t>
  </si>
  <si>
    <t>LT_R_EN_082_01</t>
  </si>
  <si>
    <t>If "Probability of default according to CRR at reference date" (instrument level) is populated other than default values, then "Probability of default according to CRR at reference date" (Main Entity level) cannot be 'Not aplicable'</t>
  </si>
  <si>
    <t>LT_R_EN_082_03</t>
  </si>
  <si>
    <t>"Probability of default according to CRR at reference date" (Main Entity level) and "Probability of default according to CRR at reference date" (instrument level) should be aligned</t>
  </si>
  <si>
    <t>LT_R_EN_083_01</t>
  </si>
  <si>
    <t>If "12-month PD at reporting date according to IFRS 9" (instrument level) is populated other than default values, then "12-month PD at reporting date according to IFRS 9" (Main Entity level) cannot be 'Not aplicable'</t>
  </si>
  <si>
    <t>LT_R_EN_084_01</t>
  </si>
  <si>
    <t>If "12-month PD one year prior to the reporting date according to IFRS 9" (instrument level) is populated other than default values, then "12-month PD one year prior to the reporting date according to IFRS 9" (Main Entity level) cannot be 'Not aplicable'</t>
  </si>
  <si>
    <t>LT_R_EN_086_01</t>
  </si>
  <si>
    <t>If "Date of financial statements" is other than 'Not applicable', then "BDR Annual turnover counterparty (LE)" cannot be 'Not applicable'</t>
  </si>
  <si>
    <t>LT_R_EN_086_02</t>
  </si>
  <si>
    <t>If "Type of person" is 'N - Natural person' then "BDR Annual turnover counterparty (LE)" must be a default value</t>
  </si>
  <si>
    <t>LT_R_EN_087_01</t>
  </si>
  <si>
    <t>If "Date of previous fiscal year financial statements" is other than 'Not applicable', then "BDR Annual turnover counterparty (LE) at previous reporting" cannot be 'Not applicable'</t>
  </si>
  <si>
    <t>LT_R_EN_087_02</t>
  </si>
  <si>
    <t>If "Type of person" is 'N - Natural person' then "BDR Annual turnover counterparty (LE) at previous reporting" must be a default value</t>
  </si>
  <si>
    <t>LT_R_EN_089_01</t>
  </si>
  <si>
    <t>If "Probability of default according to CRR at reference date" (entity level) is populated with 'Not applicable' then "Probability of default according to CRR one year prior to the reference date" (entity level) must also be populated with 'Not applicable'</t>
  </si>
  <si>
    <t>LT_R_EN_090_01</t>
  </si>
  <si>
    <t>If "Economic (financial) Group Name" is populated with other than default values, then "Economic (financial) Group ID" cannot be 'Not Applicable'</t>
  </si>
  <si>
    <t>LT_R_EN_090_02</t>
  </si>
  <si>
    <t>If "Type of person" is 'N - Natural person' then "Economic (financial) Group ID" must be a default value</t>
  </si>
  <si>
    <t>LT_R_EN_090_03</t>
  </si>
  <si>
    <t>If "Group support" (Main Entity level) is equal to 'Y' then "Economic (financial) Group ID" cannot be 'Not Applicable'</t>
  </si>
  <si>
    <t>LT_R_EN_091_01</t>
  </si>
  <si>
    <t>If "Economic (financial) Group ID" is populated with other than default values, then "Economic (financial) Group Name" cannot be 'Not Applicable'</t>
  </si>
  <si>
    <t>LT_R_EN_091_02</t>
  </si>
  <si>
    <t>If "Type of person" is 'N - Natural person' then "Economic (Financial) Group Name" must be a default value</t>
  </si>
  <si>
    <t>LT_R_EN_092_03</t>
  </si>
  <si>
    <t>If "Country of counterparty residence" belongs to 'IS - Island' then then "Post code / ZIP" should follow the format "123"</t>
  </si>
  <si>
    <t>LT_R_EN_092_04</t>
  </si>
  <si>
    <t>If "Country of counterparty residence" belongs to 'AT - Austria', 'BE - Belgium', 'BG - Bulgaria ', 'CH - Switzerland', 'CY - Cyprus', 'DK - Denmark', 'HU - Hungary', 'LI - Liechtenstein', 'LU - Luxembourg', 'MK - Macedonia', 'NO - Norway', 'SI - Slovenia' then "Post code / ZIP" should follow the format "1234"</t>
  </si>
  <si>
    <t>LT_R_EN_092_05</t>
  </si>
  <si>
    <t>If "Country of counterparty residence" belongs to 'DE - Germany', 'EE - Estonia', 'ES - Spain', 'FI - Finland', 'FR - France', 'GR - Greece', 'HR - Croatia', 'IT - Italy', 'LT - Lithuania', 'RS - Serbia', 'TR - Turkey' then "Post code / ZIP" should follow the format "12345"</t>
  </si>
  <si>
    <t>LT_R_EN_092_06</t>
  </si>
  <si>
    <t>If "Country of counterparty residence" belongs to 'RO - Romania' then "Post code / ZIP" should follow the format "123456"</t>
  </si>
  <si>
    <t>LT_R_EN_092_07</t>
  </si>
  <si>
    <t>If "Country of counterparty residence" belongs to 'CZ - Czech', 'SE - Sweden', 'SK - Slovakia' then "Post code / ZIP" should follow the format "123 45"</t>
  </si>
  <si>
    <t>LT_R_EN_092_08</t>
  </si>
  <si>
    <t>If "Country of counterparty residence" belongs to 'IE - Ireland' then "Post code / ZIP" should follow the format "A12"</t>
  </si>
  <si>
    <t>LT_R_EN_092_09</t>
  </si>
  <si>
    <t>If "Country of counterparty residence" belongs to 'MT - Malta' then "Post code / ZIP" should follow the format "ABC"</t>
  </si>
  <si>
    <t>LT_R_EN_092_10</t>
  </si>
  <si>
    <t>If "Country of counterparty residence" belongs to 'NL - The Netherlands' then "Post code / ZIP" should follow the format "1234 AB2"</t>
  </si>
  <si>
    <t>LT_R_EN_092_11</t>
  </si>
  <si>
    <t>If "Country of counterparty residence" belongs to 'PL - Poland' then "Post code / ZIP" should follow the format "12-345"</t>
  </si>
  <si>
    <t>LT_R_EN_092_12</t>
  </si>
  <si>
    <t>If "Country of counterparty residence" belongs to 'PT - Portugal' then "Post code / ZIP" should follow the format "1234-567"</t>
  </si>
  <si>
    <t>LT_R_EN_092_13</t>
  </si>
  <si>
    <t>If "Country of counterparty residence" belongs to 'LV - Latvia' then "Post code / ZIP" should follow the format"LV-1234"</t>
  </si>
  <si>
    <t>LT_R_EN_092_14</t>
  </si>
  <si>
    <t>If "Country of counterparty residence" belongs to 'Great Britain' then "Post code / ZIP" should follow the format "AA9A 9AA", "A9A 9AA", "A9 9AA", "A99 9AA", "AA9 9AA" or "AA99 9AA"</t>
  </si>
  <si>
    <t>LT_R_EN_092_15</t>
  </si>
  <si>
    <t xml:space="preserve">If "Country of counterparty residence" is populated with other than default values then "Post code / ZIP" cannot be 'Not Applicable' </t>
  </si>
  <si>
    <t>LT_R_EN_093_01</t>
  </si>
  <si>
    <t>If "Type of person" is 'N - Natural person' then "ESG Subsector" must be a default value</t>
  </si>
  <si>
    <t>LT_R_EN_093_02</t>
  </si>
  <si>
    <t>If "Subportfolio ID" is classified as 'OSF - Other Financial Corporations' then "ESG Subsector" (Main Entity level) should be populated as 'ESGS3 - Investment firms', 'ESGS4 - Management companies', 'ESGS5 - Insurance undertakings' or 'ESGS6 - Rest of other financial corporation'</t>
  </si>
  <si>
    <t>LT_R_EN_093_03</t>
  </si>
  <si>
    <t>If "Subportfolio ID" is classified as 'AP - Local Governments' then "ESG Subsector" (Main Entity level) should be populated as 'ESGS1 - Local Governments' or 'ESGS2 - Sovereigns'</t>
  </si>
  <si>
    <t>LT_R_EN_094_01</t>
  </si>
  <si>
    <t>If "Type of person" is 'N - Natural person' then "Economic activity counterparty ESG" must be a default value</t>
  </si>
  <si>
    <t>LT_R_EN_095_01</t>
  </si>
  <si>
    <t>If "Date of Financial Statements" is populated with other than default values then "Total liabilities" cannot be 'Not Applicable'</t>
  </si>
  <si>
    <t>LT_R_EN_095_02</t>
  </si>
  <si>
    <t>If "Type of person" is 'N - Natural person' then "Total Liabilities at latest most recent reported figures" must be a default value</t>
  </si>
  <si>
    <t>LT_R_EN_096_03</t>
  </si>
  <si>
    <t>If "Type of person" is 'N - Natural person' then "Taxonomy-eligible CAPEX (CCM) Ratio" must be a default value</t>
  </si>
  <si>
    <t>LT_R_EN_097_03</t>
  </si>
  <si>
    <t>If "Type of person" is 'N - Natural person' then "Taxonomy-eligible Turnover (CCM) Ratio" must be a default value</t>
  </si>
  <si>
    <t>LT_R_EN_098_03</t>
  </si>
  <si>
    <t>If "Type of person" is 'N - Natural person' then "Taxonomy-eligible CAPEX (CCA) Ratio" must be a default value</t>
  </si>
  <si>
    <t>LT_R_EN_099_03</t>
  </si>
  <si>
    <t>If "Type of person" is 'N - Natural person' then "Taxonomy-eligible Turnover (CCA) Ratio" must be a default value</t>
  </si>
  <si>
    <t>LT_R_EN_100_03</t>
  </si>
  <si>
    <t>If "Type of person" is 'N - Natural person' then "Taxonomy-aligned CAPEX (CCM) - Enabling Ratio" must be a default value</t>
  </si>
  <si>
    <t>LT_R_EN_101_03</t>
  </si>
  <si>
    <t>If "Type of person" is 'N - Natural person' then "Taxonomy-aligned CAPEX (CCA) - Enabling Ratio" must be a default value</t>
  </si>
  <si>
    <t>LT_R_EN_102_03</t>
  </si>
  <si>
    <t>If "Type of person" is 'N - Natural person' then "Taxonomy-aligned CAPEX (CCM) - Transitional Ratio" must be a default value</t>
  </si>
  <si>
    <t>LT_R_EN_103_03</t>
  </si>
  <si>
    <t>If "Type of person" is 'N - Natural person' then "Taxonomy-aligned CAPEX (CCM) - Pure Ratio" must be a default value</t>
  </si>
  <si>
    <t>LT_R_EN_104_03</t>
  </si>
  <si>
    <t>If "Type of person" is 'N - Natural person' then "Taxonomy-aligned CAPEX (CCA) - Pure Ratio" must be a default value</t>
  </si>
  <si>
    <t>LT_R_EN_105_03</t>
  </si>
  <si>
    <t>If "Type of person" is 'N - Natural person' then "Taxonomy-aligned Turnover (CCM) - Enabling Ratio" must be a default value</t>
  </si>
  <si>
    <t>LT_R_EN_106_03</t>
  </si>
  <si>
    <t>If "Type of person" is 'N - Natural person' then "Taxonomy-aligned Turnover (CCA) - Enabling Ratio" must be a default value</t>
  </si>
  <si>
    <t>LT_R_EN_107_03</t>
  </si>
  <si>
    <t>If "Type of person" is 'N - Natural person' then "Taxonomy-aligned Turnover (CCM) - Transitional Ratio" must be a default value</t>
  </si>
  <si>
    <t>LT_R_EN_108_03</t>
  </si>
  <si>
    <t>If "Type of person" is 'N - Natural person' then "Taxonomy-aligned turnover (CCM) - Pure Ratio" must be a default value</t>
  </si>
  <si>
    <t>LT_R_EN_109_03</t>
  </si>
  <si>
    <t>If "Type of person" is 'N - Natural person' then "Taxonomy-aligned turnover (CCA) - Pure Ratio" must be a default value</t>
  </si>
  <si>
    <t>LT_R_EN_110_01</t>
  </si>
  <si>
    <t>If "Enterprise size Counterparty (LE)" equal '2 - Medium enterprise' or '3 - Small enterprise' or '4 - Micro enterprise' then "Flag of CSRD applicability at counterparty level" cannot equal 'Y - Yes'</t>
  </si>
  <si>
    <t>LT_R_EN_110_02</t>
  </si>
  <si>
    <t>If "Type of person" is 'N - Natural person' then "Flag of CSRD applicability at counterparty level" must be a default value</t>
  </si>
  <si>
    <t>LT_R_EN_111_01</t>
  </si>
  <si>
    <t>If "Type of person" is 'N - Natural person' then "Flag of CSRD applicability at Group Level" must be a default value</t>
  </si>
  <si>
    <t>LT_R_EN_111_02</t>
  </si>
  <si>
    <t>Any "Entity ID" with the same "Economic (financial) Group ID", populated with other than default values, must have the same "Flag of CSRD applicability at Group Level"</t>
  </si>
  <si>
    <t>LT_R_EN_112_01</t>
  </si>
  <si>
    <t>If "Type of person" is 'N - Natural person' then "ISIN" must be a default value</t>
  </si>
  <si>
    <t>LT_R_EN_113_01</t>
  </si>
  <si>
    <t>If "Economic (Financial) Group ID" is populated with 'Not Applicable' values, then "Group's annual turnover (LE)" must be a default value</t>
  </si>
  <si>
    <t>LT_R_EN_113_02</t>
  </si>
  <si>
    <t>If "Economic (Financial) Group ID" is populated with other than default values, then "Group's annual turnover (LE)" cannot be 'Not Applicable'</t>
  </si>
  <si>
    <t>LT_R_EN_113_03</t>
  </si>
  <si>
    <t>If "Type of person" is 'N - Natural person' then "Group's annual turnover (LE)" must be a default value</t>
  </si>
  <si>
    <t>LT_R_EN_113_04</t>
  </si>
  <si>
    <t>Any "Entity ID" with the same "Economic (financial) Group ID", populated with other than default values, must have the same "Group's annual turnover (LE)"</t>
  </si>
  <si>
    <t>LT_R_EN_114_01</t>
  </si>
  <si>
    <t>If "Economic (Financial) Group ID" is populated with 'Not Applicable' values, then "Group's total liability at most recent reported figures" must be a default value</t>
  </si>
  <si>
    <t>LT_R_EN_114_02</t>
  </si>
  <si>
    <t>If "Economic (Financial) Group ID" is populated with other than default values, then "Group's total liability at most recent reported figures" cannot be 'Not Applicable'</t>
  </si>
  <si>
    <t>LT_R_EN_114_03</t>
  </si>
  <si>
    <t>If "Type of person" is 'N - Natural person' then "Group's total liability at most recent reported figures" must be a default value</t>
  </si>
  <si>
    <t>LT_R_EN_114_04</t>
  </si>
  <si>
    <t>Any "Entity ID" with the same "Economic (financial) Group ID", populated with other than default values, must have the same "Group's total liability at most recent reported figures"</t>
  </si>
  <si>
    <t>LT_R_EN_115_01</t>
  </si>
  <si>
    <t>If "Financed emissions calculation approach at instrument level scope 1" is populated with other than default values, 'IM15 - Based on Financed assets - Motor vehicle loans' or 'IM16 - Based on financed assets - Commercial real estate loans' and "Main Entity ID" is set as "Y - Yes" then "Counterparty's emissions scope 1" cannot be 'Not Applicable'</t>
  </si>
  <si>
    <t>LT_R_EN_115_02</t>
  </si>
  <si>
    <t>If "Type of person" is 'N - Natural person' then "Counterparty's emissions scope 1" must be a default value</t>
  </si>
  <si>
    <t>LT_R_EN_116_01</t>
  </si>
  <si>
    <t>If "Financed emissions calculation approach at instrument level scope 2" is populated with other than default values, 'IM15 - Based on Financed assets - Motor vehicle loans' or 'IM16 - Based on financed assets - Commercial real estate loans' and "Main Entity ID" is set as "Y - Yes" then "Counterparty's emissions scope 2" cannot be 'Not Applicable'</t>
  </si>
  <si>
    <t>LT_R_EN_116_03</t>
  </si>
  <si>
    <t>If "Type of person" is 'N - Natural person' then "Counterparty's emissions scope 2" must be a default value</t>
  </si>
  <si>
    <t>LT_R_EN_117_01</t>
  </si>
  <si>
    <t>If "Financed emissions calculation approach at instrument level scope 3" is populated with other than default values, 'IM15 - Based on Financed assets - Motor vehicle loans' or 'IM16 - Based on financed assets - Commercial real estate loans' and "Main Entity ID" is set as "Y - Yes" then "Counterparty's emissions scope 3" cannot be 'Not Applicable'</t>
  </si>
  <si>
    <t>LT_R_EN_117_02</t>
  </si>
  <si>
    <t>If "Type of person" is 'N - Natural person' then "Counterparty's emissions scope 3" must be a default value</t>
  </si>
  <si>
    <t>LT_R_EN_118_01</t>
  </si>
  <si>
    <t>If "Type of person" is 'N - Natural person' then "Flag Excluded from EU Paris-aligned benchmark" must be a default value</t>
  </si>
  <si>
    <t>LT_R_EN_119_01</t>
  </si>
  <si>
    <t>If "Counterparty's emissions scope 1" and "Economic (financial) Group ID" are populated with other than default values then "Group's emissions scope 1" cannot be "Not Applicable"</t>
  </si>
  <si>
    <t>LT_R_EN_119_02</t>
  </si>
  <si>
    <t>If "Counterparty's emissions scope 1" and "Group's emissions scope 1" are populated with other than default values then "Counterparty's emissions scope 1" should be lower or equal to "Group's emissions scope 1"</t>
  </si>
  <si>
    <t>LT_R_EN_119_03</t>
  </si>
  <si>
    <t>If "Type of person" is 'N - Natural person' then "Group's emissions scope 1" must be a default value</t>
  </si>
  <si>
    <t>LT_R_EN_119_04</t>
  </si>
  <si>
    <t>Any "Entity ID" with the same "Economic (financial) Group ID", populated with other than default values, must have the same "Group's emissions scope 1"</t>
  </si>
  <si>
    <t>LT_R_EN_120_01</t>
  </si>
  <si>
    <t>If "Counterparty's emissions scope 2" and "Economic (financial) Group ID" are populated with other than default values then "Group's emissions scope 2" cannot be "Not Applicable"</t>
  </si>
  <si>
    <t>LT_R_EN_120_02</t>
  </si>
  <si>
    <t>If "Counterparty's emissions scope 2" and "Group's emissions scope 2" are populated with other than default values then "Counterparty's emissions scope 2" should be lower or equal to "Group's emissions scope 2"</t>
  </si>
  <si>
    <t>LT_R_EN_120_03</t>
  </si>
  <si>
    <t>If "Type of person" is 'N - Natural person' then "Group's emissions scope 2" must be a default value</t>
  </si>
  <si>
    <t>LT_R_EN_120_04</t>
  </si>
  <si>
    <t>Any "Entity ID" with the same "Economic (financial) Group ID", populated with other than default values, must have the same "Group's emissions scope 2"</t>
  </si>
  <si>
    <t>LT_R_EN_121_01</t>
  </si>
  <si>
    <t>If "Counterparty's emissions scope 3" and "Economic (financial) Group ID" are populated with other than default values then "Group's emissions scope 3" cannot be "Not Applicable"</t>
  </si>
  <si>
    <t>LT_R_EN_121_02</t>
  </si>
  <si>
    <t>If "Counterparty's emissions scope 3" and "Group's emissions scope 3" are populated with other than default values then "Counterparty's emissions scope 3" should be lower or equal to "Group's emissions scope 3"</t>
  </si>
  <si>
    <t>LT_R_EN_121_03</t>
  </si>
  <si>
    <t>If "Type of person" is 'N - Natural person' then "Group's emissions scope 3" must be a default value</t>
  </si>
  <si>
    <t>LT_R_EN_121_04</t>
  </si>
  <si>
    <t>Any "Entity ID" with the same "Economic (financial) Group ID", populated with other than default values, must have the same "Group's emissions scope 3"</t>
  </si>
  <si>
    <t>LT_R_EN_122_01</t>
  </si>
  <si>
    <t>If "Type of person" is 'N - Natural person' then "Flag Acute Physical Risk at entity level" must be a default value</t>
  </si>
  <si>
    <t>LT_R_EN_123_01</t>
  </si>
  <si>
    <t>If "Type of person" is 'N - Natural person' then "Flag Chronic Physical Risk at entity level" must be a default value</t>
  </si>
  <si>
    <t>LT_R_EN_124_01</t>
  </si>
  <si>
    <t>If "Type of person" is 'N - Natural person' then "Group's economic activity" must be a default value</t>
  </si>
  <si>
    <t>LT_R_EN_124_02</t>
  </si>
  <si>
    <t>Any "Entity ID" with the same "Economic (financial) Group ID", populated with other than default values, must have the same "Group's economic activity"</t>
  </si>
  <si>
    <t>LT_R_EN_126_01</t>
  </si>
  <si>
    <t>If "Type of person" is 'N - Natural person' then "Free Cash Flow" must be a default value</t>
  </si>
  <si>
    <t>LT_R_EN_127_01</t>
  </si>
  <si>
    <t>If "Type of person" is 'N - Natural person' then "Free Cash Flow T+1" must be a default value</t>
  </si>
  <si>
    <t>LT_R_EN_128_01</t>
  </si>
  <si>
    <t>If "Type of person" is 'N - Natural person' then "Free Cash Flow T+2" must be a default value</t>
  </si>
  <si>
    <t>LT_R_EN_129_01</t>
  </si>
  <si>
    <t>If "Type of person" is 'N - Natural person' then "Free Cash Flow T+3" must be a default value</t>
  </si>
  <si>
    <t>LT_R_EN_130_01</t>
  </si>
  <si>
    <t>If "Address: street" is populated with other than default values then "Address: city/town/village" cannot be 'Not Applicable'</t>
  </si>
  <si>
    <t>LT_R_EN_131_01</t>
  </si>
  <si>
    <t>If "Address: city/town/village" is populated with other than default values, then "Address: street" cannot be 'Not Applicable'</t>
  </si>
  <si>
    <t>LT_R_EN_132_01</t>
  </si>
  <si>
    <t>If "Enterprise size" is populated with other than default values then "Date of enterprise size" cannot be 'Not applicable'</t>
  </si>
  <si>
    <t>LT_R_EN_132_02</t>
  </si>
  <si>
    <t>"Date of enterprise size" should be greater or equal to "Date of birth"</t>
  </si>
  <si>
    <t>LT_R_EN_132_03</t>
  </si>
  <si>
    <t>"Date of enterprise size" should be earlier or equal to "Reference Date"</t>
  </si>
  <si>
    <t>LT_R_EN_133_01</t>
  </si>
  <si>
    <t>If "Enterprise size" is populated with other than default values then "Number of employees" cannot be 'Not applicable'</t>
  </si>
  <si>
    <t>LT_R_EN_134_01</t>
  </si>
  <si>
    <t>If "Type of person" is populated as 'N - Natural person' then "Legal form" must be a default value</t>
  </si>
  <si>
    <t>LT_R_EN_134_02</t>
  </si>
  <si>
    <t>If the Entity is a legal entity then "Legal Form" cannot be 'Not Applicable' (We consider "legal entity" when Head office undertaking identifier coincides with the counterparty identifier)</t>
  </si>
  <si>
    <t>LT_R_EN_135_01</t>
  </si>
  <si>
    <t>If "Type of person" is populated as 'N - Natural person' then "Head office undertaking identifier" must be a default value</t>
  </si>
  <si>
    <t>LT_R_EN_135_02</t>
  </si>
  <si>
    <t>If "Type of person" is populated as 'L - Legal person' and "Economic (financial) Group ID" is populated with other than default values then "Head office undertaking identifier" cannot be 'Not Applicable'</t>
  </si>
  <si>
    <t>LT_R_EN_135_03</t>
  </si>
  <si>
    <t>If "Type of person" is populated as 'L - Legal person' and "Economic (financial) Group ID" is populated with default values then "Head office undertaking identifier" should be defaulted</t>
  </si>
  <si>
    <t>LT_R_EN_135_04</t>
  </si>
  <si>
    <t>Any "Entity ID" with the same "Economic (financial) Group ID", populated with other than default values, must have the same "Head office undertaking identifier"</t>
  </si>
  <si>
    <t>LT_R_EN_136_01</t>
  </si>
  <si>
    <t>If "Type of person" is populated as 'N - Natural person' then "Immediate parent undertaking identifier" must be a default value</t>
  </si>
  <si>
    <t>LT_R_EN_136_02</t>
  </si>
  <si>
    <t>If the Entity is a legal entity then "Immediate parent undertaking identifier" cannot be 'Not Applicable' (We consider "legal entity" when Head office undertaking identifier coincides with the counterparty identifier)</t>
  </si>
  <si>
    <t>LT_R_EN_136_03</t>
  </si>
  <si>
    <t>If the Entity is a foreign branch or special fund then "Immediate parent undertaking identifier" should be defaulted (We consider "foreign branch" or "special fund" when Head office undertaking identifier does not coincide with the counterparty identifier)</t>
  </si>
  <si>
    <t>LT_R_EN_137_01</t>
  </si>
  <si>
    <t>If "Type of person" is populated as 'N - Natural person' then "Ultimate parent undertaking identifier" must be a default value</t>
  </si>
  <si>
    <t>LT_R_EN_137_02</t>
  </si>
  <si>
    <t>If the Entity is a legal entity then "Ultimate parent undertaking identifier" cannot be 'Not Applicable' (We consider "legal entity" when Head office undertaking identifier coincides with the counterparty identifier)</t>
  </si>
  <si>
    <t>LT_R_EN_137_03</t>
  </si>
  <si>
    <t>If the Entity is a foreign branch or special fund then "Ultimate parent undertaking identifier" should be defaulted (We consider "foreign branch" or "special fund" when Head office undertaking identifier does not coincide with the counterparty identifier)</t>
  </si>
  <si>
    <t>LT_R_EN_138_01</t>
  </si>
  <si>
    <t>If "Date of financial statements" is populated with other than default values, then "Total Assets" cannot be 'Not applicable'</t>
  </si>
  <si>
    <t>LT_R_EN_138_02</t>
  </si>
  <si>
    <t>If "Type of person" is populated as 'N - Natural person' then "Total Assets" must be a default value</t>
  </si>
  <si>
    <t>LT_R_EN_139_01</t>
  </si>
  <si>
    <t>If "Type of person" is populated as 'N - Natural person' then "Fallen Angel narrow definition" must be 'N - No'</t>
  </si>
  <si>
    <t>LT_R_EN_140_01</t>
  </si>
  <si>
    <t>If "Type of person" is populated as 'N - Natural person' then "Fallen Angel extended definition" must be 'N - No'</t>
  </si>
  <si>
    <t>LT_R_EN_142_01</t>
  </si>
  <si>
    <t>If "Type of person" is 'N - Natural person' then "Taxonomy-eligible CAPEX (W) Ratio" must be a default value</t>
  </si>
  <si>
    <t>LT_R_EN_143_01</t>
  </si>
  <si>
    <t>If "Type of person" is 'N - Natural person' then "Taxonomy-eligible Turnover (W) Ratio" must be a default value</t>
  </si>
  <si>
    <t>LT_R_EN_144_01</t>
  </si>
  <si>
    <t>If "Type of person" is 'N - Natural person' then "Taxonomy-eligible CAPEX (P) Ratio" must be a default value</t>
  </si>
  <si>
    <t>LT_R_EN_145_01</t>
  </si>
  <si>
    <t>If "Type of person" is 'N - Natural person' then "Taxonomy-eligible Turnover (P) Ratio" must be a default value</t>
  </si>
  <si>
    <t>LT_R_EN_146_01</t>
  </si>
  <si>
    <t>If "Type of person" is 'N - Natural person' then "Taxonomy-eligible CAPEX (B) Ratio" must be a default value</t>
  </si>
  <si>
    <t>LT_R_EN_147_01</t>
  </si>
  <si>
    <t>If "Type of person" is 'N - Natural person' then "Taxonomy-eligible Turnover (B) Ratio" must be a default value</t>
  </si>
  <si>
    <t>LT_R_EN_148_01</t>
  </si>
  <si>
    <t>If "Type of person" is 'N - Natural person' then "Taxonomy-eligible CAPEX (CE) Ratio" must be a default value</t>
  </si>
  <si>
    <t>LT_R_EN_149_01</t>
  </si>
  <si>
    <t>If "Type of person" is 'N - Natural person' then "Taxonomy-eligible Turnover (CE) Ratio" must be a default value</t>
  </si>
  <si>
    <t>LT_R_EN_150_01</t>
  </si>
  <si>
    <t>If "Type of person" is 'N - Natural person' then "Taxonomy-aligned CAPEX (P) - Pure Ratio" must be a default value</t>
  </si>
  <si>
    <t>LT_R_EN_151_01</t>
  </si>
  <si>
    <t>If "Type of person" is 'N - Natural person' then "Taxonomy-aligned Turnover (P) - Pure Ratio" must be a default value</t>
  </si>
  <si>
    <t>LT_R_EN_152_01</t>
  </si>
  <si>
    <t>If "Type of person" is 'N - Natural person' then "Taxonomy-aligned CAPEX (B) - Pure Ratio" must be a default value</t>
  </si>
  <si>
    <t>LT_R_EN_153_01</t>
  </si>
  <si>
    <t>If "Type of person" is 'N - Natural person' then "Taxonomy-aligned Turnover (B) - Pure Ratio" must be a default value</t>
  </si>
  <si>
    <t>LT_R_EN_154_01</t>
  </si>
  <si>
    <t>If "Type of person" is 'N - Natural person' then "Taxonomy-aligned CAPEX (W) - Pure Ratio" must be a default value</t>
  </si>
  <si>
    <t>LT_R_EN_155_01</t>
  </si>
  <si>
    <t>If "Type of person" is 'N - Natural person' then "Taxonomy-aligned Turnover (W) - Pure Ratio" must be a default value</t>
  </si>
  <si>
    <t>LT_R_EN_156_01</t>
  </si>
  <si>
    <t>If "Type of person" is 'N - Natural person' then "Taxonomy-aligned CAPEX (CE) - Pure Ratio" must be a default value</t>
  </si>
  <si>
    <t>LT_R_EN_157_01</t>
  </si>
  <si>
    <t>If "Type of person" is 'N - Natural person' then "Taxonomy-aligned Turnover (CE) - Pure Ratio" must be a default value</t>
  </si>
  <si>
    <t>LT_R_EN_158_01</t>
  </si>
  <si>
    <t>If "Type of person" is 'N - Natural person' then "Taxonomy-aligned CAPEX (W) - Enabling Ratio" must be a default value</t>
  </si>
  <si>
    <t>LT_R_EN_159_01</t>
  </si>
  <si>
    <t>If "Type of person" is 'N - Natural person' then "Taxonomy-aligned Turnover (W) - Enabling Ratio" must be a default value</t>
  </si>
  <si>
    <t>LT_R_EN_160_01</t>
  </si>
  <si>
    <t>If "Type of person" is 'N - Natural person' then "Taxonomy-aligned CAPEX (CE) - Enabling Ratio" must be a default value</t>
  </si>
  <si>
    <t>LT_R_EN_161_01</t>
  </si>
  <si>
    <t>If "Type of person" is 'N - Natural person' then "Taxonomy-aligned Turnover (CE) - Enabling Ratio" must be a default value</t>
  </si>
  <si>
    <t>LT_R_EN_163_01</t>
  </si>
  <si>
    <t>If "Economic (financial) Group ID" is populated with other than default values, then "Group's RORAC" cannot be 'Not Applicable'</t>
  </si>
  <si>
    <t>LT_R_EN_163_02</t>
  </si>
  <si>
    <t>If "Economic (financial) Group ID" is populated with default values, then "Group's RORAC" must be 'Not Applicable'</t>
  </si>
  <si>
    <t>LT_R_EN_163_03</t>
  </si>
  <si>
    <t>Any "Entity ID" with the same "Economic (financial) Group ID", populated with other than default values, must have the same "Group's RORAC"</t>
  </si>
  <si>
    <t>LT_R_EN_165_01</t>
  </si>
  <si>
    <t>If "Economic (financial) Group ID" is populated with other than default values, then "Group's RoRWA" cannot be 'Not Applicable'</t>
  </si>
  <si>
    <t>LT_R_EN_165_02</t>
  </si>
  <si>
    <t>If "Economic (financial) Group ID" is populated with default values, then "Group's RoRWA" must be 'Not Applicable'</t>
  </si>
  <si>
    <t>LT_R_EN_165_03</t>
  </si>
  <si>
    <t>Any "Entity ID" with the same "Economic (financial) Group ID", populated with other than default values, must have the same "Group's RoRWA"</t>
  </si>
  <si>
    <t>LT_R_EN_167_01</t>
  </si>
  <si>
    <t>If "Date of financial statements"  is populated with default values, then "Total permissible debt balance" must be 'Not Applicable'</t>
  </si>
  <si>
    <t>LT_R_EN_167_02</t>
  </si>
  <si>
    <t>"Total permissible debt balance" must be greater or equal to "Total debt at latest most recent reported figures"</t>
  </si>
  <si>
    <t>LT_R_IN_002_02</t>
  </si>
  <si>
    <t>If "Type of CLO" is populated with other than default values then "Subportfolio ID - Product" should be 'VRD - Securities (on BS)'</t>
  </si>
  <si>
    <t>LT_R_IN_008_01</t>
  </si>
  <si>
    <t>For instruments with "Type of instrument" other than 'Missing' and other that '1005 - Debt securities', any "Instrument ID" in INSTRUMENT table must be linked to at least one record in INSTR_ENTITY table by "Instrument ID"</t>
  </si>
  <si>
    <t>LT_R_IN_011_01</t>
  </si>
  <si>
    <t>"Date of inception" must be greater than or equal to the "Birth date counterparty" at Main Entity level</t>
  </si>
  <si>
    <t>LT_R_IN_011_02</t>
  </si>
  <si>
    <t>If "Forbearance status" is set as '3 - Forborne: Refinanced debt', '4 - Forborne: instruments with modified interest rate below market conditions' or '5 - Forborne: instruments with other modified terms and conditions' and "Refinance purpose (Y/N)" equals "N" or "Not applicable" then "Date of forbearance status" must be greater than "Date of inception"</t>
  </si>
  <si>
    <t>LT_R_IN_011_04</t>
  </si>
  <si>
    <t>"Date of inception" must be earlier than or equal to "Reference date"</t>
  </si>
  <si>
    <t>LT_R_IN_011_05</t>
  </si>
  <si>
    <t>If "Destination of funds" is set as 'DST01 - New money new customer' or 'DST02 - New money existing customer', then "Date of Inception" should be lower or equal to "Reference Date" and greater than "Reference Date" minus 3 months</t>
  </si>
  <si>
    <t>LT_R_IN_015_01</t>
  </si>
  <si>
    <t>If "Covenant Type" is equal to '4 - No covenant', then "Breached covenants" must be populated with default values</t>
  </si>
  <si>
    <t>LT_R_IN_018_01</t>
  </si>
  <si>
    <t>If "Breached covenants" is populated other than default values, then "Covenant status" must be equal to '3 - In breach with at least one non-material financial covenant' or '4 - In breach with at least one material financial covenant'</t>
  </si>
  <si>
    <t>LT_R_IN_018_02</t>
  </si>
  <si>
    <t>if "Breached covenants" is populated with 'Not Applicable' values, then "Covenant status" must be equal to '1 - No financial covenant to check' or '2 - In line with all financial covenants'</t>
  </si>
  <si>
    <t>LT_R_IN_019_01</t>
  </si>
  <si>
    <t>If "Breached covenants" is populated other than default values, then "Covenant Type" must be equal to '1 - Full Covenant', '2 - Covenant loose' or '3 - Covenant light'</t>
  </si>
  <si>
    <t>LT_R_IN_019_02</t>
  </si>
  <si>
    <t>If "Covenant status" is equal to '1 - No financial covenant to check', then "Covenant Type" must be equal to '4 - No covenant' or ‘ 3 – Covenant light’</t>
  </si>
  <si>
    <t>LT_R_IN_019_03</t>
  </si>
  <si>
    <t>If "Covenant status" is equal to '2 - In line with all financial covenants', '3 - In breach with at least one non-material financial covenant' or '4 - In breach with at least one material financial covenant' then "Covenant Type" must be equal to '1 - Full Covenant', '2 - Covenant loose' or '3 - Covenant light'</t>
  </si>
  <si>
    <t>LT_R_IN_019_05</t>
  </si>
  <si>
    <t>If "Covenant status" is equal to '4 - In breach with at least one material financial covenant' then "Covenant Type" must be equal to '1 - Full Covenant', '2 - Covenant loose'</t>
  </si>
  <si>
    <t>LT_R_IN_020_01</t>
  </si>
  <si>
    <t>If "ISDA credit event declared" (Main Entity level)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</si>
  <si>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</si>
  <si>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</si>
  <si>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LT_R_IN_021_01</t>
  </si>
  <si>
    <t>If "ISDA credit event declared" (Main Entity level) is equal to 'Y', then "Date of default status" must be greater than "Date of inception"</t>
  </si>
  <si>
    <t>LT_R_IN_021_02</t>
  </si>
  <si>
    <t>If "Date of default status" (Main Entity level) does not equal "Date of default status" (instrument level) and "Default status of the instrument" does not equal "Default status of the entity" , then "Date of default status" (instrument level) must be greater or equal than "Date of Inception"</t>
  </si>
  <si>
    <t>LT_R_IN_021_03</t>
  </si>
  <si>
    <t>"Date of default status" must be earlier or equal than "Reference date"</t>
  </si>
  <si>
    <t>LT_R_IN_021_04</t>
  </si>
  <si>
    <t>If "Default status of the instrument" is set as '18 - Default because both unlikely to pay and more than 90/180 days past due', '19 - Default because unlikely to pay' or '20 - Default because more than 90/180 days past due' and "Forbearance status" does not equal '3 - Forborne: Refinanced debt', '4 - Forborne: instruments with modified interest rate below market conditions' nor '5 - Forborne: instruments with other modified terms and conditions', then "Date of default status" must be greater than "Date of Inception"</t>
  </si>
  <si>
    <t>LT_R_IN_022_01</t>
  </si>
  <si>
    <t>"End date of principal grace period" must be later than or equal to "Date of inception"</t>
  </si>
  <si>
    <t>LT_R_IN_022_02</t>
  </si>
  <si>
    <t>"End date of principal grace period" must be later than "Start date of principal grace period"</t>
  </si>
  <si>
    <t>LT_R_IN_022_03</t>
  </si>
  <si>
    <t>If "Type of amortisation" is not equal to '4 - Bullet' and "Interest only repayment" is equal to 'Y' then "End date of principal grace period" must be equal to "End date of the interest-only period"</t>
  </si>
  <si>
    <t>LT_R_IN_022_04</t>
  </si>
  <si>
    <t>If "Type of amortisation" is equal to '4 - Bullet' then "End date of principal grace period" must be defaulted</t>
  </si>
  <si>
    <t>LT_R_IN_022_05</t>
  </si>
  <si>
    <t>If "Start date of principal grace period" is 'Not applicable', then "End date of principal grace period" must be default value</t>
  </si>
  <si>
    <t>LT_R_IN_022_06</t>
  </si>
  <si>
    <t>"End date of principal grace period" must be earlier than or equal to "Legal final maturity date (latest repayment date)"</t>
  </si>
  <si>
    <t>LT_R_IN_023_01</t>
  </si>
  <si>
    <t>If "Interest only repayment" is set as 'Y', then "End date of the interest-only period" has to be populated other than default values</t>
  </si>
  <si>
    <t>LT_R_IN_023_02</t>
  </si>
  <si>
    <t>"End date of the interest-only period" must be later or equal to "Date of inception"</t>
  </si>
  <si>
    <t>LT_R_IN_023_03</t>
  </si>
  <si>
    <t>If "Start date of the interest-only period" is 'Not applicable', then "End date of the interest-only period" must be default value</t>
  </si>
  <si>
    <t>LT_R_IN_023_04</t>
  </si>
  <si>
    <t>"End date of the interest-only period" must be earlier than or equal to "Legal final maturity date (latest repayment date)"</t>
  </si>
  <si>
    <t>LT_R_IN_024_01</t>
  </si>
  <si>
    <t>"Date of forbearance status" must be greater or equal than "Date of Inception"</t>
  </si>
  <si>
    <t>LT_R_IN_024_02</t>
  </si>
  <si>
    <t>"Date of forbearance status" must be earlier or equal than "Reference date"</t>
  </si>
  <si>
    <t>LT_R_IN_024_03</t>
  </si>
  <si>
    <t>If "Number of historical forbearance" is greater than or equal to 2 then "Date of previous forbearance status" must be lower than "Date of forbearance status"</t>
  </si>
  <si>
    <t>LT_R_IN_024_04</t>
  </si>
  <si>
    <t xml:space="preserve">If "Forbearance status" equals to '8 - Not forborne or renegotiated', "Request for current concession of forbearance measures as defined in EBA/ITS/2013/03 resulting in distressed restructuring of the credit obligation" equals 'Y' and "Entity_ID" is linked to only one "INSTRUMENT_ID", then "Date of forbearance status" must be greater than "Date of inception" </t>
  </si>
  <si>
    <t>LT_R_IN_025_01</t>
  </si>
  <si>
    <t>If "Date of previous forbearance status" is populated (other than default values) then it should be lower or equal than "Date of forbearance status"</t>
  </si>
  <si>
    <t>LT_R_IN_025_02</t>
  </si>
  <si>
    <t>"Date of previous forbearance status" must be greater or equal than "Date of Inception"</t>
  </si>
  <si>
    <t>LT_R_IN_026_01</t>
  </si>
  <si>
    <t>If "Internal rating at reference date" is populated other than default values then "Date of internal rating" must be populated other than default values</t>
  </si>
  <si>
    <t>IN_DT_INTRNL_RTNG</t>
  </si>
  <si>
    <t>LT_R_IN_026_02</t>
  </si>
  <si>
    <t>If the rating is assigned on instrument level (*) then "Date of internal rating" (instrument level) must be later or equal to "Date of inception" at Main Entity level (* We can't identify if internal rating is assigned at debtor or instrument level, however, if "Date of internal rating" at Instrument and Entity level don't match, we will consider that rating is assigned on instrument level)</t>
  </si>
  <si>
    <t>LT_R_IN_026_03</t>
  </si>
  <si>
    <t>"Date of internal rating" must be earlier or equal to "Reference date."</t>
  </si>
  <si>
    <t>LT_R_IN_027_01</t>
  </si>
  <si>
    <t>If "Date of performing status" (Main Entity level) does not equal "Date of performing status" (instrument level) and "Performing status (Main Entity level)" does not equal "Performing status (instrument level)" then "Date of performing status" must be greater or equal than "Date of Inception"</t>
  </si>
  <si>
    <t>LT_R_IN_027_02</t>
  </si>
  <si>
    <t>"Date of performing status" must be earlier or equal than "Reference date"</t>
  </si>
  <si>
    <t>LT_R_IN_027_03</t>
  </si>
  <si>
    <t>If "Performing status" is populated (other than default values) then "Date of performing status" must also be populated (other than default values)</t>
  </si>
  <si>
    <t>LT_R_IN_028_01</t>
  </si>
  <si>
    <t xml:space="preserve">If "Date of previous performing status" is populated other than default values, then it should be lower or equal than "Date of performing status" </t>
  </si>
  <si>
    <t>LT_R_IN_028_02</t>
  </si>
  <si>
    <t>If "Date of performing status" (Main Entity level) does not equal "Date of performing status" (instrument level) and "Performing status (Main Entity level)" does not equal "Performing status (instrument level)" then "Date of previous performing status" must be greater or equal than "Date of Inception"</t>
  </si>
  <si>
    <t>LT_R_IN_028_03</t>
  </si>
  <si>
    <t>If "Previous performing status" is populated (other than default values) then "Date of previous performing status" must also be populated (other than default values)</t>
  </si>
  <si>
    <t>LT_R_IN_028_04</t>
  </si>
  <si>
    <t>If "Subportfolio ID" is classified as 'HFT - Held for trading' then "Date of previous performing status" must be 'Not Applicable'</t>
  </si>
  <si>
    <t>LT_R_IN_029_01</t>
  </si>
  <si>
    <t>"Start date of the interest-only period" must be less than "End date of the interest-only period"</t>
  </si>
  <si>
    <t>LT_R_IN_029_02</t>
  </si>
  <si>
    <t>If "Interest only repayment" is 'Y', then "Start date of the interest-only period" has to be populated other than default values</t>
  </si>
  <si>
    <t>LT_R_IN_029_03</t>
  </si>
  <si>
    <t>"Start date of the interest-only period" must be later or equal to "Date of inception"</t>
  </si>
  <si>
    <t>LT_R_IN_029_04</t>
  </si>
  <si>
    <t>"Start date of the interest-only period" must be earlier or equal to "Reference date."</t>
  </si>
  <si>
    <t>LT_R_IN_032_03</t>
  </si>
  <si>
    <t>Any "Instrument ID" associated to an "Entity ID" (Main Entity level) should have the same value for "Flag for leverage buy-out transactions" (discarding missing values)</t>
  </si>
  <si>
    <t>LT_R_IN_033_02</t>
  </si>
  <si>
    <t>If "Refinance purpose (Y/N)" is equal to 'Y' and "Date of forbearance status" equal to "Date of previous forbearance status" then "Forbearance status" has to be set as '3 – Forborne: Refinanced debt'</t>
  </si>
  <si>
    <t>LT_R_IN_033_03</t>
  </si>
  <si>
    <t>If "Refinance purpose (Y/N)" is equal to 'N', then "Forbearance status" cannot be set as '3 - Forborne: Refinanced debt'</t>
  </si>
  <si>
    <t>LT_R_IN_034_01</t>
  </si>
  <si>
    <t>LT_R_IN_034_05</t>
  </si>
  <si>
    <t>LT_R_IN_034_11</t>
  </si>
  <si>
    <t>If "Accounting portfolio" equals '6 - IFRS: Financial assets at amortised cost', '8 - IFRS: Financial assets at fair value through other comprehensive income' or '14 - IFRS: Cash balances at central banks and other demand deposits', then "Impairment status" cannot be 'Not applicable'</t>
  </si>
  <si>
    <t>LT_R_IN_034_13</t>
  </si>
  <si>
    <t>If "Subportfolio ID" is classified as 'S2 - Stage 2', then "Impairment status" must equal '24 - Stage 2 (IFRS)'</t>
  </si>
  <si>
    <t>LT_R_IN_034_14</t>
  </si>
  <si>
    <t>If "Subportfolio ID" is classified as 'S3 - Stage 3', then "Impairment status" must equal '25 - Stage 3 (IFRS)'</t>
  </si>
  <si>
    <t>LT_R_IN_035_02</t>
  </si>
  <si>
    <t>If "Accounting portfolio" equals '6 - IFRS: Financial assets at amortised cost', '8 - IFRS: Financial assets at fair value through other comprehensive income' or '14 - IFRS: Cash balances at central banks and other demand deposits', then "Previous impairment status" cannot be 'Not applicable'</t>
  </si>
  <si>
    <t>LT_R_IN_036_03</t>
  </si>
  <si>
    <t>If "Date of internal rating" (instrument level) is populated other than default values, then "Internal rating at reference date" (instrument level) cannot be 'Not applicable'</t>
  </si>
  <si>
    <t>LT_R_IN_036_06</t>
  </si>
  <si>
    <t>If "Probability of default according to CRR at reference date" (instrument level) is populated other than default values, then "Internal rating at reference date" (instrument level) cannot be 'Not applicable'</t>
  </si>
  <si>
    <t>LT_R_IN_036_07</t>
  </si>
  <si>
    <t>If "Probability of default according to CRR at reference date" (instrument level) is populated with default values, then "Internal rating at reference date" (instrument level) must be 'Not applicable'</t>
  </si>
  <si>
    <t>LT_R_IN_037_01</t>
  </si>
  <si>
    <t>If "Internal rating at reference date" (instrument level) is populated with 'Not applicable' then "Internal rating at inception" must also be populated with 'Not applicable'</t>
  </si>
  <si>
    <t>LT_R_IN_037_02</t>
  </si>
  <si>
    <t>If "Probability of default according to CRR at inception date" is populated with 'Not applicable', then "Internal rating at inception" must be defaulted</t>
  </si>
  <si>
    <t>LT_R_IN_040_01</t>
  </si>
  <si>
    <t>If "Accounting portfolio" equals '2 - IFRS: Financial assets held for trading', '4 - IFRS: Financial assets designated at fair value through profit or loss', or '41 - IFRS: Non-trading financial assets mandatorily at fair value through profit or loss', then "Low credit risk exemption for SICR assessment" must equal default values</t>
  </si>
  <si>
    <t>LT_R_IN_040_02</t>
  </si>
  <si>
    <t>If "Accounting portfolio" equals 'Not applicable', '6 - IFRS: Financial assets at amortised cost', '8 - IFRS: Financial assets at fair value through other comprehensive income', then "Low credit risk exemption for SICR assessment" cannot be 'Not applicable'</t>
  </si>
  <si>
    <t>LT_R_IN_041_01</t>
  </si>
  <si>
    <t>If "Protection called" is set as 'Y' then "Status of legal proceedings of the instrument" has to be equal to '2 - Under judicial administration, receivership or similar measures', or '3 - Bankruptcy / insolvency', or '4 - Other legal measures'</t>
  </si>
  <si>
    <t>LT_R_IN_041_02</t>
  </si>
  <si>
    <t>If "Legal proceedings status Counterparty (LE)" (Main Entity level) is populated other than default values, then "Status of legal proceedings of the instrument" cannot be 'Not applicable'</t>
  </si>
  <si>
    <t>LT_R_IN_043_01</t>
  </si>
  <si>
    <t>If "Accounting portfolio" equals '2 - IFRS: Financial assets held for trading', '4 - IFRS: Financial assets designated at fair value through profit or loss', '14 -IFRS: Cash balances at central banks and other demand deposits' or '41 - IFRS: Non-trading financial assets mandatorily at fair value through profit or loss', then "Purchased credit-impaired financial asset (POCI)" must equal default values</t>
  </si>
  <si>
    <t>LT_R_IN_043_02</t>
  </si>
  <si>
    <t>If "Accounting portfolio" equals 'Not applicable', '6 - IFRS: Financial assets at amortised cost', '8 - IFRS: Financial assets at fair value through other comprehensive income', then "Purchased credit-impaired financial asset (POCI)" cannot be 'Not applicable'</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</si>
  <si>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</si>
  <si>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</si>
  <si>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</si>
  <si>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</si>
  <si>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</si>
  <si>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</si>
  <si>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</si>
  <si>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</si>
  <si>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</si>
  <si>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</si>
  <si>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LT_R_IN_045_01</t>
  </si>
  <si>
    <t>If "Date of previous performing status" is populated other than default values and other than "Date of inception", then "Previous performing status" cannot be 'Not applicable'</t>
  </si>
  <si>
    <t>LT_R_IN_045_02</t>
  </si>
  <si>
    <t>if "Date of previous performing status" is populated with 'Not Applicable' values then "Previous performing status" must be defaulted</t>
  </si>
  <si>
    <t>LT_R_IN_045_03</t>
  </si>
  <si>
    <t>If "Subportfolio ID" is classified as 'HFT - Held for trading' then "Previous performing status" must be 'Not Applicable'</t>
  </si>
  <si>
    <t>LT_R_IN_046_01</t>
  </si>
  <si>
    <t>If "Subportfolio ID" is classified as 'CASH - Cash and cash balances' or 'VRD - Debt securities', then "Project finance loan" must equal 'Not applicable' or '2 - Non-project finance loan'</t>
  </si>
  <si>
    <t>LT_R_IN_047_01</t>
  </si>
  <si>
    <t>If "Type of CRE operation financed" is populated other than default values, then "Purpose" should equal '13 - Commercial real estate purchase' or '8 - Construction investment'</t>
  </si>
  <si>
    <t>LT_R_IN_047_02</t>
  </si>
  <si>
    <t>If "Subportfolio ID" is classified as 'CASH - Cash and cash balances', then "Purpose" must equal 'Not applicable'</t>
  </si>
  <si>
    <t>LT_R_IN_048_01</t>
  </si>
  <si>
    <t>If "Type of amortisation" is '4 - Bullet', then "Interest only repayment" must equal 'Y'</t>
  </si>
  <si>
    <t>LT_R_IN_048_02</t>
  </si>
  <si>
    <t>If "Reference date" is higher or equal than "Start date of the interest-only period" and lower or equal "End date of the interest-only period", then "Interest only repayment" must equal 'Y'</t>
  </si>
  <si>
    <t>LT_R_IN_048_03</t>
  </si>
  <si>
    <t>If "Reference date" is lower than "Start date of the interest-only period" or higher than "End date of the interest-only period", then "Interest only repayment" must be 'N'</t>
  </si>
  <si>
    <t>LT_R_IN_048_04</t>
  </si>
  <si>
    <t>If both,"Start date of the interest-only period" and "End date of the interest-only period" are 'Not aplicable', then "Interest only repayment" must be 'Not applicable' or 'N'</t>
  </si>
  <si>
    <t>LT_R_IN_051_01</t>
  </si>
  <si>
    <t>If "Purpose" is not equals '8 - Construction investment' nor '12 - Residential real estate purchase' nor '13 - Commercial real estate purchase", then "Speculative immovable property financing (Y/N)" cannot be 'Y'</t>
  </si>
  <si>
    <t>LT_R_IN_051_02</t>
  </si>
  <si>
    <t>If "Purpose" equals '8 - Construction investment' or '12 - Residential real estate purchase' or '13 - Commercial real estate purchase", then "Speculative immovable property financing (Y/N)" cannot be 'Not applicable'</t>
  </si>
  <si>
    <t>LT_R_IN_052_01</t>
  </si>
  <si>
    <t>If "Syndication type" equals '2 - Underwriting', then "Status for underwritten transaction" cannot be 'Not applicable'</t>
  </si>
  <si>
    <t>LT_R_IN_052_02</t>
  </si>
  <si>
    <t>If "Syndication type" does not equal '2 - Underwriting', then "Status for underwritten transaction" must be a default value</t>
  </si>
  <si>
    <t>LT_R_IN_053_01</t>
  </si>
  <si>
    <t>If "Syndicated contract ID" is populated other than default values, then "Tranching / security" cannot be 'Not applicable'</t>
  </si>
  <si>
    <t>LT_R_IN_053_02</t>
  </si>
  <si>
    <t>If "Syndicated contract ID" is set to 'Not applicable', then "Tranching / security" has to be equal to 'Not applicable'</t>
  </si>
  <si>
    <t>LT_R_IN_054_01</t>
  </si>
  <si>
    <t>If "Payment frequency" equals '4 - Bullet' or '22 - Zero-coupon', then "Type of amortisation" must equal '4 - Bullet'</t>
  </si>
  <si>
    <t>LT_R_IN_054_04</t>
  </si>
  <si>
    <t>If "Type of instrument" is '20 - Overdrafts', then "Type of amortisation" must equal '5 - Amortisation types other than French, German, Fixed amortisation schedule or bullet'</t>
  </si>
  <si>
    <t>LT_R_IN_055_01</t>
  </si>
  <si>
    <t>If "Type of facility" is set as 'FCL04 - High yield bond' then "Type of Instrument" should be '1005 - Debt securities'</t>
  </si>
  <si>
    <t>LT_R_IN_055_02</t>
  </si>
  <si>
    <t>If "Type of facility" is set as 'FCL01 - Revolving credit Facilities (RCF)' then "Type of Instrument" should be '1001 - Revolving credit other than overdrafts and credit card debt'</t>
  </si>
  <si>
    <t>LT_R_IN_055_03</t>
  </si>
  <si>
    <t>If "Type of facility" is populated with other than default values or 'FCL04 - High yield bond' then "Type of Instrument" should be '1004 - Loans other than overdrafts, convenience credit, extended credit, credit card credit, revolving credit other than credit card credit, reverse repurchase agreements, trade receivables and financial leases'</t>
  </si>
  <si>
    <t>LT_R_IN_056_01</t>
  </si>
  <si>
    <t>If "Interest rate reset frequency" is populated other than default values, then "Type of interest rate" cannot be 'Not applicable'</t>
  </si>
  <si>
    <t>LT_R_IN_056_02</t>
  </si>
  <si>
    <t>If "Interest rate at the reference date" is populated other than default values, then "Type of interest rate" cannot be 'Not applicable'</t>
  </si>
  <si>
    <t>LT_R_IN_057_01</t>
  </si>
  <si>
    <t>LT_R_IN_057_02</t>
  </si>
  <si>
    <t>LT_R_IN_057_03</t>
  </si>
  <si>
    <t>Any "Instrument ID" linked to a protection which is not a personal guarantee cannot report "Type of Mortgage" as 'Not Applicable' nor '6 - Other - Unsecured Collateral' (We consider "personal guarantee" when "Protection ID" matches the "Protection Provider ID" (Guarantor) or "Tax ID" (Protection level) is populated other than default value and the "Protection type" equals '7 - Other protection')</t>
  </si>
  <si>
    <t>LT_R_IN_057_04</t>
  </si>
  <si>
    <t>Any "Instrument ID" linked to a "Entity ID" which does not have any linked "Protection ID" should inform "Type of Mortgage" as '6 - Other - Unsecured Collateral'</t>
  </si>
  <si>
    <t>LT_R_IN_057_06</t>
  </si>
  <si>
    <t>Any "Instrument ID" linked to only protection which are personal guarantee should inform "Type of Mortgage" as '6 - Other - Unsecured Collateral' (We consider "personal guarantee" when "Protection ID" matches the "Protection Provider ID" (Guarantor) or "Tax ID" (Protection level) is populated other than default value and the "Protection type" equals '7 - Other protection')</t>
  </si>
  <si>
    <t>LT_R_IN_058_01</t>
  </si>
  <si>
    <t>If "Purpose" equals '13 - Commercial real estate purchase", then "Type of CRE operation financed" cannot be 'Not applicable'</t>
  </si>
  <si>
    <t>LT_R_IN_058_02</t>
  </si>
  <si>
    <t>If "Current annual income" is populated other than default values then "Type of CRE operation financed" cannot be 'Not applicable'</t>
  </si>
  <si>
    <t>LT_R_IN_058_03</t>
  </si>
  <si>
    <t>If "Current annual operating expenses" is populated other than default values then "Type of CRE operation financed" cannot be 'Not applicable'</t>
  </si>
  <si>
    <t>LT_R_IN_058_04</t>
  </si>
  <si>
    <t>If "Date of first usage of the building" is populated other than default values then "Type of CRE operation financed" cannot be 'Not applicable'</t>
  </si>
  <si>
    <t>LT_R_IN_059_01</t>
  </si>
  <si>
    <t>"Start date of principal grace period" must be less than "End date of principal grace period"</t>
  </si>
  <si>
    <t>LT_R_IN_059_02</t>
  </si>
  <si>
    <t>"Start date of principal grace period" must be greater or equal than "Date of Inception"</t>
  </si>
  <si>
    <t>LT_R_IN_059_03</t>
  </si>
  <si>
    <t>"Start date of principal grace period" cannot be later than "Reference date"</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</si>
  <si>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</si>
  <si>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</si>
  <si>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</si>
  <si>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</si>
  <si>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</si>
  <si>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</si>
  <si>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</si>
  <si>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LT_R_IN_061_02</t>
  </si>
  <si>
    <t>LT_R_IN_061_03</t>
  </si>
  <si>
    <t>LT_R_IN_061_04</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</si>
  <si>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</si>
  <si>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</si>
  <si>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</si>
  <si>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</si>
  <si>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</si>
  <si>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</si>
  <si>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</si>
  <si>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</si>
  <si>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LT_R_IN_062_05</t>
  </si>
  <si>
    <t xml:space="preserve">If "Balance sheet recognition" is set as 'REC01 - Entirely recognised' or 'REC02 - Recognised to the extent of the institution's continuing involvement' then "Accounting portfolio" cannot be 'Not Applicable' </t>
  </si>
  <si>
    <t>LT_R_IN_063_01</t>
  </si>
  <si>
    <t>If "Gross carrying amount" is 'Not applicable' then "Accrued interest balance as recognised on the balance sheet" must be populated with default values</t>
  </si>
  <si>
    <t>LT_R_IN_064_02</t>
  </si>
  <si>
    <t>If "Type of amortisation" is other than default value and other than '5 - Amortisation types other than French, German, Fixed amortisation schedule or bullet', then "Amount due at the legal final maturity date" cannot be 'Not applicable'</t>
  </si>
  <si>
    <t>LT_R_IN_064_03</t>
  </si>
  <si>
    <t>If "Type of instrument" is populated as '80- Finance leases', '1002 - Credit lines other than revolving credit', '1004 - Loans other than overdrafts, convenience credit, extended credit, credit card credit, revolving credit other than credit card credit, reverse repurchase agreements, trade receivables and financial leases' or '2001 - Guarantees' then "Amount due at the legal final maturity date" cannot be 'Not applicable'</t>
  </si>
  <si>
    <t>INTER_REL_P_IN</t>
  </si>
  <si>
    <t>LT_R_IN_066_01</t>
  </si>
  <si>
    <t>If "Type of instrument" equals '1004 - Loans other than overdrafts, convenience credit, extended credit, credit card credit, revolving credit other than credit card credit, reverse repurchase agreements, trade receivables and financial leases' then "Received amortisation payments within last 12 months prior to reference date" cannot exceed "Commitment amount at inception"</t>
  </si>
  <si>
    <t>LT_R_IN_066_02</t>
  </si>
  <si>
    <t>If "Type of instrument" equals '1004 - Loans other than overdrafts, convenience credit, extended credit, credit card credit, revolving credit other than credit card credit, reverse repurchase agreements, trade receivables and financial leases' then "Received amortisation payments within last 24 months prior to reference date" cannot exceed "Commitment amount at inception"</t>
  </si>
  <si>
    <t>LT_R_IN_069_01</t>
  </si>
  <si>
    <t>LT_R_IN_069_02</t>
  </si>
  <si>
    <t>If "Date of financial statements" (Main Entity Level) is populated with other than default value, then "Debt yield" cannot be 'Not applicable'</t>
  </si>
  <si>
    <t>LT_R_IN_070_01</t>
  </si>
  <si>
    <t>If "Original contractual maturity date (latest repayment date)" is populated other than default values, then "Legal final maturity date (latest repayment date)" cannot be 'Not applicable'</t>
  </si>
  <si>
    <t>LT_R_IN_070_02</t>
  </si>
  <si>
    <t>If "Type of amortisation" equals '1 - French' or '2 - German' or '3 - Fixed amortisation schedule' or '4 - Bullet', then "Legal final maturity date (latest repayment date)" cannot be 'Not applicable'</t>
  </si>
  <si>
    <t>LT_R_IN_070_03</t>
  </si>
  <si>
    <t>"Legal final maturity date (latest repayment date)" must be greater or equal than "Date of Inception"</t>
  </si>
  <si>
    <t>LT_R_IN_071_01</t>
  </si>
  <si>
    <t>If "Interest rate reset frequency" is set as '1 - Annual', then the "Next interest rate reset date" should be lower or equal to the data period plus one year or the "End date of principal grace period" plus one year.</t>
  </si>
  <si>
    <t>LT_R_IN_071_02</t>
  </si>
  <si>
    <t>If "Interest rate reset frequency" is set as '8 - Monthly', then the "Next interest rate reset date" should be lower or equal to the data period plus one month or the "End date of principal grace period" plus one month.</t>
  </si>
  <si>
    <t>LT_R_IN_071_03</t>
  </si>
  <si>
    <t>If "Interest rate reset frequency" is set as 16 - Overnight', then the "Next interest rate reset date" should be lower or equal to the data period plus one day or the "End date of principal grace period" plus one day.</t>
  </si>
  <si>
    <t>LT_R_IN_071_04</t>
  </si>
  <si>
    <t>If "Interest rate reset frequency" is set as '18 - Quarterly', then the "Next interest rate reset date" should be lower or equal to the data period plus three months or the "End date of principal grace period" plus three months.</t>
  </si>
  <si>
    <t>LT_R_IN_071_05</t>
  </si>
  <si>
    <t>If "Interest rate reset frequency" is set as '19 - Semi-annually', then the "Next interest rate reset date" should be lower or equal to the data period plus six months or the "End date of principal grace period" plus six months.</t>
  </si>
  <si>
    <t>LT_R_IN_071_06</t>
  </si>
  <si>
    <t>If "Interest rate reset frequency" is set as '3 - At creditor discretion', then the "Next interest rate reset date" should be populated with default values</t>
  </si>
  <si>
    <t>LT_R_IN_071_07</t>
  </si>
  <si>
    <t>If "Interest rate reset frequency" is set as 'Not applicable', then the "Next interest rate reset date" should be populated with default values</t>
  </si>
  <si>
    <t>LT_R_IN_071_08</t>
  </si>
  <si>
    <t>"Next interest rate reset date" has to be later than "Reference date"</t>
  </si>
  <si>
    <t>LT_R_IN_071_09</t>
  </si>
  <si>
    <t>"Next interest rate reset date" must be earlier than or equal to "Legal final maturity date (latest repayment date)"</t>
  </si>
  <si>
    <t>LT_R_IN_071_10</t>
  </si>
  <si>
    <t>"Next interest rate reset date" must be later than or equal to "Date of inception"</t>
  </si>
  <si>
    <t>LT_R_IN_072_01</t>
  </si>
  <si>
    <t>"Original contractual maturity date (latest repayment date)" must be greater or equal than "Date of Inception"</t>
  </si>
  <si>
    <t>LT_R_IN_075_01</t>
  </si>
  <si>
    <t>If "Off-balance sheet amount" is populated other than default values and other than 0, then "IFRS 9 accounting CCF" cannot be 'Not applicable'</t>
  </si>
  <si>
    <t>LT_R_IN_076_01</t>
  </si>
  <si>
    <t>("Gross carrying amount" + ("Off-balance sheet amount" * "IFRS 9 accounting CCF"))  = "IFRS 9 accounting EAD"</t>
  </si>
  <si>
    <t>LT_R_IN_076_02</t>
  </si>
  <si>
    <t>If "Off-balance sheet amount" is populated other than default values and is greater than 0 then "IFRS 9 accounting EAD" should be greater than 0.</t>
  </si>
  <si>
    <t>LT_R_IN_077_01</t>
  </si>
  <si>
    <t>If "Type of amortisation" equals '1 - French' or '2 - German' or '3 - Fixed amortisation schedule', then "Instalment payable" cannot be 'Not applicable'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</si>
  <si>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</si>
  <si>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</si>
  <si>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</si>
  <si>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</si>
  <si>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</si>
  <si>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</si>
  <si>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</si>
  <si>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</si>
  <si>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LT_R_IN_079_01</t>
  </si>
  <si>
    <t>LT_R_IN_079_02</t>
  </si>
  <si>
    <t>LT_F_IN_080_01</t>
  </si>
  <si>
    <t>"Outstanding gross nominal amount" should have a Format numeric (2 decimal places)</t>
  </si>
  <si>
    <t>LT_R_IN_080_01</t>
  </si>
  <si>
    <t>If "Subportfolio ID" is classified as 'CA - Amortized Cost' or 'VRPN - FVOCI' then "Outstanding gross nominal amount" must equal "Carrying amount" minus "Accrued interest balance as recognised on the balance sheet" plus "Sum of LLPs and other allowances"</t>
  </si>
  <si>
    <t>LT_R_IN_080_02</t>
  </si>
  <si>
    <t>"Outstanding gross nominal amount" must equal "Gross carrying amount" minus "Accrued interest balance as recognised on the balance sheet"</t>
  </si>
  <si>
    <t>LT_R_IN_080_04</t>
  </si>
  <si>
    <t>If Subportfolio ID is classified as 'VRPL - FV with changes in PL' then "Outstanding gross nominal amount" must equal "Carrying amount" minus "Accrued interest balance as recognised on the balance sheet" plus "Accumulated changes in fair value due to credit risk"</t>
  </si>
  <si>
    <t>LT_R_IN_080_05</t>
  </si>
  <si>
    <t>If "Transferred amount" is populated with other than default values or 0 then "Outstanding gross nominal amount" should be greater than "Transferred amount"</t>
  </si>
  <si>
    <t>LT_R_IN_082_01</t>
  </si>
  <si>
    <t>If "Off-balance sheet amount" is populated as 'Not applicable', then "Provisions associated with off-balance sheet exposures" must be a default value</t>
  </si>
  <si>
    <t>LT_R_IN_082_02</t>
  </si>
  <si>
    <t>If "Subportfolio ID" is classified as 'VRPL - Fair value through profit and loss', then "Provisions associated with off-balance sheet exposures" should be 'Not Applicable' or zero</t>
  </si>
  <si>
    <t>LT_R_IN_084_01</t>
  </si>
  <si>
    <t>If "Syndication type" is populated other than 'Not applicable', then "Retention share" cannot be 'Not applicable'</t>
  </si>
  <si>
    <t>LT_R_IN_084_02</t>
  </si>
  <si>
    <t>If "Syndication type" is populated with 'Not applicable', then "Retention share" must be default value</t>
  </si>
  <si>
    <t>LT_R_IN_086_01</t>
  </si>
  <si>
    <t>LT_R_IN_088_01</t>
  </si>
  <si>
    <t>If "Accounting portfolio" 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</si>
  <si>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</si>
  <si>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</si>
  <si>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</si>
  <si>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</si>
  <si>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LT_R_IN_088_04</t>
  </si>
  <si>
    <t>If "Balance sheet recognition" is set as 'REC01 - Entirely recognised' or 'REC02 - Recognised to the extent of the institution's continuing involvement' and "Subportfolio ID" is classified as 'CA - Amortized Cost' or 'VRPN - FVOCI' then "Sum of LLPs and other allowances" cannot be 'Not Applicable'</t>
  </si>
  <si>
    <t>LT_R_IN_089_02</t>
  </si>
  <si>
    <t>If "Date of inception" is less than one year in the past (compared to "Reference date") and product type is other than uncommited overdraft, then "Previous sum of LLPs and other allowances" must equal default values</t>
  </si>
  <si>
    <t>LT_R_IN_091_01</t>
  </si>
  <si>
    <t>If "Total exposure in arrears" is populated other than default values or zero must be lower or equal to "Gross Carrying amount"</t>
  </si>
  <si>
    <t>LT_R_IN_091_02</t>
  </si>
  <si>
    <t>If "Total exposure in arrears" is populated other than default values or zero must be lower or equal to "Highest total exposure in arrears in the last 12 months before the reference date"</t>
  </si>
  <si>
    <t>LT_R_IN_091_03</t>
  </si>
  <si>
    <t>If "Days past due at reference date" is populated other than default values (&gt;0) then "Total exposure in arrears" must be greater than 0</t>
  </si>
  <si>
    <t>LT_R_IN_091_04</t>
  </si>
  <si>
    <t>If "Days past due at reference date" populated with 'Not Applicable' values, then "Total exposure in arrears" must be defaulted or zero</t>
  </si>
  <si>
    <t>LT_R_IN_091_05</t>
  </si>
  <si>
    <t>"Outstanding gross nominal amount" plus "Accumulated write-offs" must be greater or equal to "Total exposure in arrears"</t>
  </si>
  <si>
    <t>LT_R_IN_092_01</t>
  </si>
  <si>
    <t>If "Total exposure in arrears" is populated other than default values or zero then "Highest total exposure in arrears in the last 12 months before the reference date" must be populated other than default values or zero</t>
  </si>
  <si>
    <t>LT_R_IN_092_03</t>
  </si>
  <si>
    <t>If "Highest number of days past due in the last 12 months" is populated other than default values (&gt;0), then "Highest total exposure in arrears in the last 12 months before the reference date" must be greater than 0</t>
  </si>
  <si>
    <t>LT_R_IN_092_04</t>
  </si>
  <si>
    <t>If "Highest number of days past due in the last 12 months" is populated with 'Not Applicable' values, then "Highest total exposure in arrears in the last 12 months before the reference date" must be defaulted or zero</t>
  </si>
  <si>
    <t>LT_R_IN_094_01</t>
  </si>
  <si>
    <t>"Days past due at reference date" must be lower or equal than number of days between "Reference date" and "Date past due"</t>
  </si>
  <si>
    <t>LT_R_IN_094_02</t>
  </si>
  <si>
    <t>If "Protection called" is set as 'Y' then "Days past due at reference date" has to be greater than 0</t>
  </si>
  <si>
    <t>LT_R_IN_095_01</t>
  </si>
  <si>
    <t>If "Days past due at reference date" is populated (&gt;0) then "Highest number of days past due in the last 12 months" must also be populated and should be higher or equal than "Days past due at reference date"</t>
  </si>
  <si>
    <t>LT_R_IN_096_02</t>
  </si>
  <si>
    <t>If "Date of forbearance status" equals to "Date of Inception" or "Date of forbearance status" occured before a period of 24 month preceding the reference date, then "Highest number of days past due in the 12 months prior to the most recent change of the forbearance status" should be default values</t>
  </si>
  <si>
    <t>LT_R_IN_096_03</t>
  </si>
  <si>
    <t xml:space="preserve">If "Highest number of days past due in the 12 months prior to the most recent change of the forbearance status" is populated (other than default values) then it should be lower than or equal to "Highest number of days past due in the 24 months prior to the most recent change of the forbearance status" </t>
  </si>
  <si>
    <t>LT_R_IN_097_02</t>
  </si>
  <si>
    <t>If "Date of performing status" equals to "Date of Inception" or "Date of performing status" occured before a period of 24 month preceding the reference date, then "Highest number of days past due in the 12 months prior to the most recent change of performing status" should be default values</t>
  </si>
  <si>
    <t>LT_R_IN_097_03</t>
  </si>
  <si>
    <t>If "Highest number of days past due in the 12 months prior to the most recent change of performing status" is populated (other than default values) then it should be lower than or equal to "Highest number of days past due in the 24 months before most recent change of performing status"</t>
  </si>
  <si>
    <t>LT_R_IN_097_04</t>
  </si>
  <si>
    <t xml:space="preserve">If "Highest number of days past due in the 12 months prior to the most recent change of performing status" is populated (other than default values) then it should be higher than or equal to "Days past due at the time of the most recent change of the performing status" </t>
  </si>
  <si>
    <t>LT_R_IN_098_02</t>
  </si>
  <si>
    <t>If "Date of forbearance status" equals to "Date of Inception" or "Date of forbearance status" occured before a period of 24 month preceding the reference date, then "Highest number of days past due in the 24 months prior to the most recent change of the forbearance status" should be default values</t>
  </si>
  <si>
    <t>LT_R_IN_098_03</t>
  </si>
  <si>
    <t>If "Highest number of days past due in the 12 months prior to the most recent change of the forbearance status" is populated (other than default values) then "Highest number of days past due in the 24 months prior to the most recent change of the forbearance status" cannot be 'Not applicable'</t>
  </si>
  <si>
    <t>LT_R_IN_098_04</t>
  </si>
  <si>
    <t>If "Highest number of days past due in the 12 months prior to the most recent change of the forbearance status" is populated with 'Not applicable' then "Highest number of days past due in the 24 months prior to the most recent change of the forbearance status" must be populated with default values</t>
  </si>
  <si>
    <t>LT_R_IN_099_01</t>
  </si>
  <si>
    <t>If "Highest number of days past due in the 12 months prior to the most recent change of performing status" is populated (other than default values) then "Highest number of days past due in the 24 months before most recent change of performing status" cannot be 'Not applicable'</t>
  </si>
  <si>
    <t>LT_R_IN_099_02</t>
  </si>
  <si>
    <t>If "Highest number of days past due in the 12 months prior to the most recent change of performing status" is populated with 'Not applicable', then "Highest number of days past due in the 24 months before most recent change of performing status" must be populated with default values</t>
  </si>
  <si>
    <t>LT_R_IN_100_02</t>
  </si>
  <si>
    <t>If "Date of forbearance status" equals to "Date of Inception" or "Date of forbearance status" occured before a period of 24 month preceding the reference date, then "Days past due at the date of the most recent change of the forbearance status" should be default values</t>
  </si>
  <si>
    <t>LT_R_IN_102_01</t>
  </si>
  <si>
    <t>If product type is other than uncommited overdraft then "Date of impairment status" must be greater or equal than "Date of Inception"</t>
  </si>
  <si>
    <t>LT_R_IN_102_02</t>
  </si>
  <si>
    <t>"Date of impairment status" must be earlier or equal than "Reference date"</t>
  </si>
  <si>
    <t>LT_R_IN_103_01</t>
  </si>
  <si>
    <t>"Date of previous impairment status" should be less than "Date of impairment status" unless they are both equal to "Date of inception"</t>
  </si>
  <si>
    <t>LT_R_IN_103_02</t>
  </si>
  <si>
    <t>If product type is other than uncommited overdraft then "Date of previous impairment status" must be greater or equal than "Date of Inception"</t>
  </si>
  <si>
    <t>LT_R_IN_103_03</t>
  </si>
  <si>
    <t>If "Previous impairment status" is populated as 'Not applicable', then "Date of previous impairment status" must equal default value</t>
  </si>
  <si>
    <t>LT_R_IN_104_01</t>
  </si>
  <si>
    <t>If "Days past due at reference date" is 'Not applicable', then "Date past due" should be default values</t>
  </si>
  <si>
    <t>LT_R_IN_104_02</t>
  </si>
  <si>
    <t>If "Days past due at reference date" is populated with values (&gt;0), then "Date past due" cannot be 'Not applicable'</t>
  </si>
  <si>
    <t>LT_R_IN_104_03</t>
  </si>
  <si>
    <t>If "Days past due at reference date" is 0 then "Date past due" should be populated with 'Not applicable' or with 'Reference date'</t>
  </si>
  <si>
    <t>LT_R_IN_104_04</t>
  </si>
  <si>
    <t>"Date past due" must be greater or equal than "Date of Inception"</t>
  </si>
  <si>
    <t>LT_R_IN_104_05</t>
  </si>
  <si>
    <t>"Date past due" must be earlier or equal than "Reference date"</t>
  </si>
  <si>
    <t>LT_R_IN_104_06</t>
  </si>
  <si>
    <t>If "Protection called" is set as 'Y' then "Date past due" has to be populated other than default values</t>
  </si>
  <si>
    <t>LT_R_IN_105_01</t>
  </si>
  <si>
    <t>If "Impairment status" is '23 - Stage 1', then "Impairment assessment method" must equal '1 - Collectively assessed'</t>
  </si>
  <si>
    <t>LT_R_IN_106_01</t>
  </si>
  <si>
    <t>If "Impairment assessment method" equals '1 - Collectively assessed', then "Impairment calculation method" should be '4 - Mixed approaches'</t>
  </si>
  <si>
    <t>LT_R_IN_106_02</t>
  </si>
  <si>
    <t>If "Sum of LLPs and other allowances" is other than default values, then "Impairment calculation method" cannot be 'Not applicable'</t>
  </si>
  <si>
    <t>LT_R_IN_107_01</t>
  </si>
  <si>
    <t>If "Forbearance status" equals to '8 - Not forborne or renegotiated' and "Date of forbearance status" equals "Date of inception", then "Number of historical forbearance" must equal 0 or default values</t>
  </si>
  <si>
    <t>LT_R_IN_107_02</t>
  </si>
  <si>
    <t>If "Forbearance status" equals to '3 - Forborne: Refinanced debt', '4 - Forborne: instruments with other modified terms and conditions' or '5 - Forborne: instruments with modified interest rate below market conditions' and 'Date of forbearance status' corresponds to the last 24 months, then "Number of historical forbearance" must be greater or equal to 1</t>
  </si>
  <si>
    <t>LT_R_IN_110_01</t>
  </si>
  <si>
    <t>If "Loan to value (LTV) at inception" is populated other than default values, then "Loan to value (LTV) at reference date" cannot be 'Not applicable'</t>
  </si>
  <si>
    <t>LT_R_IN_110_02</t>
  </si>
  <si>
    <t>If "Loan to value (LTV) at the date when the instrument was classified as non performing" is populated other than default values, then "Loan to value (LTV) at reference date" cannot be 'Not applicable'</t>
  </si>
  <si>
    <t>LT_R_IN_110_03</t>
  </si>
  <si>
    <t>If "Protection type" is equal to '8 - Residential real estate collateral', '9 - Offices and commercial premises' or '10 - Commercial real estate collateral' and 'Outstanding gross nominal amount' is a non default value greater than 0, then "Loan to value (LTV) at reference date" cannot be 'Not applicable'</t>
  </si>
  <si>
    <t>LT_R_IN_111_01</t>
  </si>
  <si>
    <t>If "Protection type" is equal to '8 - Residential real estate collateral', '9 - Offices and commercial premises' or '10 - Commercial real estate collateral' and 'Outstanding gross nominal amount' is a non default value greater than 0, then "Loan to value (LTV) at inception" cannot be 'Not applicable'</t>
  </si>
  <si>
    <t>LT_R_IN_112_01</t>
  </si>
  <si>
    <t>If "Protection type" is equal to '8 - Residential real estate collateral', '9 - Offices and commercial premises' or '10 - Commercial real estate collateral', "Performing status" equals '1 - Non-performing' and 'Outstanding gross nominal amount' is a non default value greater than 0, then "Loan to value (LTV) at the date when the instrument was classified as non performing" cannot be 'Not applicable'</t>
  </si>
  <si>
    <t>LT_R_IN_113_01</t>
  </si>
  <si>
    <t>If "Probability of default according to CRR at reference date" (instrument level) is populated with 'Not applicable' then "Probability of default according to CRR at inception date" must also be populated with 'Not applicable'</t>
  </si>
  <si>
    <t>LT_R_IN_114_01</t>
  </si>
  <si>
    <t>If "Probability of default according to CRR at reference date" (Main Entity level) is populated other than default values and "RWA calculation method" equals '1 - IRB', then "Probability of default according to CRR at reference date" (instrument level) cannot be 'Not aplicable'</t>
  </si>
  <si>
    <t>LT_R_IN_114_02</t>
  </si>
  <si>
    <t xml:space="preserve">If "Rating method" (instrument level) is populated with 'Not Applicable' values then "Probability of default according to CRR at reference date" (instrument level) must be defaulted </t>
  </si>
  <si>
    <t>LT_R_IN_115_01</t>
  </si>
  <si>
    <t>If instrument originated less than one year previous to "Reference date" and product type is other than uncommited overdraft, then "Probability of default according to CRR one year prior to the reference date" must be default value</t>
  </si>
  <si>
    <t>LT_R_IN_115_02</t>
  </si>
  <si>
    <t>If "Probability of default according to CRR at reference date" (instrument level) is populated with 'Not applicable' then "Probability of default according to CRR one year prior to the reference date" (instrument level) must also be populated with 'Not applicable'</t>
  </si>
  <si>
    <t>LT_R_IN_117_01</t>
  </si>
  <si>
    <t>If "Impairment status" equals '23 - Stage 1' or '24 - Stage 2', then "12-month PD at reporting date according to IFRS 9" cannot be 'Not applicable'</t>
  </si>
  <si>
    <t>LT_R_IN_117_03</t>
  </si>
  <si>
    <t>If "12-month PD at reporting date according to IFRS 9" (Main Entity level) is populated other than default values, then "12-month PD at reporting date according to IFRS 9" (instrument level) cannot be 'Not aplicable'</t>
  </si>
  <si>
    <t>LT_R_IN_118_01</t>
  </si>
  <si>
    <t>If instrument originated less than one year previous to "Reference date" and product type is other than uncommited overdraft, then "12-month PD one year prior to the reporting date according to IFRS 9" must be default value</t>
  </si>
  <si>
    <t>LT_R_IN_121_02</t>
  </si>
  <si>
    <t xml:space="preserve">If "Impairment status" equals '25 - Stage 3' or '24- Stage 2' and "Impairment assessment method" equals '1 - Collectively assessed', then "Remaining lifetime PD at reporting date according to IFRS 9 (cumulative)" cannot be 'Not applicable' </t>
  </si>
  <si>
    <t>LT_R_IN_122_01</t>
  </si>
  <si>
    <t>If "Internal rating at reference date" (instrument level) is populated other than default values, then "Rating method" (instrument level) cannot be 'Not applicable'</t>
  </si>
  <si>
    <t>IN_RTNG_MTHD</t>
  </si>
  <si>
    <t>LT_R_IN_122_02</t>
  </si>
  <si>
    <t>If "Internal rating at reference date" (instrument level) is populated with 'Not applicable', then "Rating method" (instrument level) must also be 'Not applicable'</t>
  </si>
  <si>
    <t>LT_R_IN_122_04</t>
  </si>
  <si>
    <t>If "RWA calculation method" equals '1 - IRB' then "Rating method" (instrument level) cannot be 'Not applicable'</t>
  </si>
  <si>
    <t>LT_R_IN_124_01</t>
  </si>
  <si>
    <t>If "Impairment status" equals '23 - Stage 1' or '24 - Stage 2' then "Significant increase in credit risk assessment approach" cannot be 'Not applicable'</t>
  </si>
  <si>
    <t>LT_R_IN_124_02</t>
  </si>
  <si>
    <t>If "Impairment status" is not equal '23 - Stage 1' nor '24 - Stage 2' then "Significant increase in credit risk assessment approach" must be 'Not applicable'</t>
  </si>
  <si>
    <t>LT_R_IN_126_01</t>
  </si>
  <si>
    <t>"Current effective interest rate for provisioning calculation according to IFRS 9." and "Effective interest rate at inception" should not vary in more than 50% (unless justified)</t>
  </si>
  <si>
    <t>LT_R_IN_126_02</t>
  </si>
  <si>
    <t>"Current effective interest rate for provisioning calculation according to IFRS 9." should be greater or equal than "Interest rate at the reference date" (unless justified)</t>
  </si>
  <si>
    <t>LT_R_IN_126_03</t>
  </si>
  <si>
    <t>If "Impairment status" is populated (other than default values) then "Current effective interest rate for provisioning calculation according to IFRS 9." must be also populated (other than default values)</t>
  </si>
  <si>
    <t>LT_R_IN_126_04</t>
  </si>
  <si>
    <t>If "Impairment status" is not populated (only default values) then "Current effective interest rate for provisioning calculation according to IFRS 9" must not be populated (only default values)</t>
  </si>
  <si>
    <t>LT_R_IN_127_01</t>
  </si>
  <si>
    <t>If "Impairment status" is populated (other than default values) then "Effective interest rate at inception" must be also populated (other than default values)</t>
  </si>
  <si>
    <t>LT_R_IN_127_02</t>
  </si>
  <si>
    <t>If "Impairment status" is not populated (only default values) then "Effective interest rate at inception" must not be populated (only default values)</t>
  </si>
  <si>
    <t>LT_R_IN_128_01</t>
  </si>
  <si>
    <t>If "Type of interest rate" is equal to '2 - Variable' then "Interest rate reset frequency" must be populated other than default values</t>
  </si>
  <si>
    <t>LT_R_IN_128_02</t>
  </si>
  <si>
    <t>If "Type of interest rate" is equal to 'Not applicable' then "Interest rate reset frequency" must be populated with default values</t>
  </si>
  <si>
    <t>LT_R_IN_129_01</t>
  </si>
  <si>
    <t>If "Date of inception" is less than one year in the past (compared to "Reference date"), then "Received amortisation payments within last 12 months prior to reference date" should be equal to "Received amortisation payments within last 24 months prior to reference date"</t>
  </si>
  <si>
    <t>LT_R_IN_129_02</t>
  </si>
  <si>
    <t>"Received amortisation payments within last 12 months prior to reference date" should be lower than or equal to "Received amortisation payments within last 24 months prior to reference date"</t>
  </si>
  <si>
    <t>LT_R_IN_131_01</t>
  </si>
  <si>
    <t>If "Date of inception" is less than one year in the past (compared to "Reference date"), then "Received interest payments within last 12 months prior to reference date" should be equal to "Received interest payments within last 24 months prior to reference date"</t>
  </si>
  <si>
    <t>LT_R_IN_131_02</t>
  </si>
  <si>
    <t>"Received interest payments within last 12 months prior to reference date" should be lower than or equal to "Received interest payments within last 24 months prior to reference date"</t>
  </si>
  <si>
    <t>LT_R_IN_133_01</t>
  </si>
  <si>
    <t>If "Failed syndication (as per definition according to the ECB Guidance on leveraged transactions)" equals 'N', then "Role of the lender in the syndicate" cannot be 'Not applicable'</t>
  </si>
  <si>
    <t>LT_R_IN_133_02</t>
  </si>
  <si>
    <t>If "Syndicated contract ID" is populated other than default values, then "Role of the lender in the syndicate" cannot be 'Not applicable'</t>
  </si>
  <si>
    <t>LT_R_IN_133_03</t>
  </si>
  <si>
    <t>If "Syndicated contract ID" is set to 'Not applicable', then "Role of the lender in the syndicate" has to be equal to 'Not applicable'</t>
  </si>
  <si>
    <t>LT_R_IN_134_01</t>
  </si>
  <si>
    <t>If "Syndicated contract ID" is other than default values, then "Syndicate agent name" cannot be 'Not applicable'</t>
  </si>
  <si>
    <t>LT_R_IN_134_02</t>
  </si>
  <si>
    <t>If "Syndicated contract ID" is set to 'Not applicable', then "Syndicate agent name" has to be default values</t>
  </si>
  <si>
    <t>LT_R_IN_135_01</t>
  </si>
  <si>
    <t>If "Role of the lender in the syndicate" is populated other than default values, then "Syndicated contract ID" cannot be 'Not applicable'</t>
  </si>
  <si>
    <t>LT_R_IN_135_02</t>
  </si>
  <si>
    <t>If "Role of the lender in the syndicate" is set to 'Not applicable', then "Syndicated contract ID" has to be equal to 'Not applicable'</t>
  </si>
  <si>
    <t>LT_R_IN_136_01</t>
  </si>
  <si>
    <t>If "Syndicated contract ID" is populated other than default values, then "Names of the other lenders in the syndicate" cannot be 'Not applicable'</t>
  </si>
  <si>
    <t>LT_R_IN_136_02</t>
  </si>
  <si>
    <t>If "Syndicated contract ID" is set to 'Not applicable', then "Names of the other lenders in the syndicate" has to be equal to 'Not applicable'</t>
  </si>
  <si>
    <t>LT_R_IN_137_01</t>
  </si>
  <si>
    <t>If "Syndicated contract ID" is populated other than default values, then "Share in the syndicate" cannot be 'Not applicable'</t>
  </si>
  <si>
    <t>LT_R_IN_137_02</t>
  </si>
  <si>
    <t>If "Syndicated contract ID" is set to 'Not applicable', then "Share in the syndicate" has to be equal to 'Not applicable'</t>
  </si>
  <si>
    <t>LT_R_IN_138_01</t>
  </si>
  <si>
    <t>If "Failed syndication (as per definition according to the ECB Guidance on leveraged transactions)" equals 'N', then "Syndication type" cannot be 'Not applicable'</t>
  </si>
  <si>
    <t>LT_R_IN_138_02</t>
  </si>
  <si>
    <t>If "Syndicated contract ID" is populated other than default values, then "Syndication type" cannot be 'Not applicable'</t>
  </si>
  <si>
    <t>LT_R_IN_138_03</t>
  </si>
  <si>
    <t>If "Syndicated contract ID" is set to 'Not applicable', then "Syndication type" has to be equal to 'Not applicable'</t>
  </si>
  <si>
    <t>LT_R_IN_158_01</t>
  </si>
  <si>
    <t>"Valuation date" must be earlier than or equal to "Reference date"</t>
  </si>
  <si>
    <t>LT_R_IN_158_02</t>
  </si>
  <si>
    <t>"Valuation date" must be later than or equal to "Date of inception"</t>
  </si>
  <si>
    <t>LT_R_IN_161_01</t>
  </si>
  <si>
    <t>If "Guarantor ID" is populated with other than default values then "Guarantor ID type" cannot be 'Not Applicable'</t>
  </si>
  <si>
    <t>LT_R_IN_177_01</t>
  </si>
  <si>
    <t>If "Coupon rate (if fixed)." is populated with other than default values and "Reference interest rate" is populated with other than default values then "Primary asset classification" cannot be populated as 'Equity' (code E).</t>
  </si>
  <si>
    <t>LT_R_IN_180_01</t>
  </si>
  <si>
    <t>If "Type of interest rate" is set as '1 - Fixed' then "Spread" should be defaulted</t>
  </si>
  <si>
    <t>LT_R_IN_180_02</t>
  </si>
  <si>
    <t>If "Type of interest rate" is set as '2 - Variable' or '3 - Mixed'  then "Spread" cannot be 'Not Applicable'</t>
  </si>
  <si>
    <t>LT_R_IN_185_01</t>
  </si>
  <si>
    <t>If "Enterprise size Counterparty (LE)" (Main Entity level) equal '2 - Medium enterprise' or '3 - Small enterprise' or '4 - Micro enterprise' and "&gt;50% owned by a sponsor as per ECB Guidance on leveraged transactions" is set to 'N' then "Leverage finance flag" cannot equal 'HLT - High Leveraged transaction' or 'LFT - Leveraged finance transaction'</t>
  </si>
  <si>
    <t>LT_R_IN_185_02</t>
  </si>
  <si>
    <t>If "Subportfolio ID" is classified as 'CASH - Cash and cash balances' 'BC - Central Banks' or 'AP - General governments' or 'EC - Credit institutions' or 'OSF - Other financial corporations' or 'HOG - Households' then "Leverage finance flag" cannot equal 'HLT - High Leveraged transaction' or 'LFT - Leveraged finance transaction'</t>
  </si>
  <si>
    <t>LT_R_IN_185_03</t>
  </si>
  <si>
    <t>If "Subportfolio ID" is classified as 'SNF - Non-financial corporations' and "Type of instrument" not in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'80 - Finance leases', '2001 - Guarantees') then"Leverage finance flag" cannot equal 'HLT - High Leveraged transaction' or 'LFT - Leveraged finance transaction'</t>
  </si>
  <si>
    <t>LT_R_IN_185_04</t>
  </si>
  <si>
    <t>If "Subportfolio ID" is classified as 'SNF - Non-financial corporations' and "Project finance loan" equals '1 - Project finance loan' then"Leverage finance flag" cannot equal 'HLT - High Leveraged transaction' or 'LFT - Leveraged finance transaction'</t>
  </si>
  <si>
    <t>LT_R_IN_185_05</t>
  </si>
  <si>
    <t>If "Probability of default according to Economic Capital at reference date" is equal or lower than 0,5% (assimilated to investment grade), then "Leverage finance flag" cannot equal 'HLT - High Leveraged transaction' or 'LFT - Leveraged finance transaction'</t>
  </si>
  <si>
    <t>LT_R_IN_185_09</t>
  </si>
  <si>
    <t>If "Excluded Leveraged Transaction Exposures" is equal to 'EXC04 - Trade Finance', 'EXC05 - Specialised Lending', 'EXC06 - SME', 'EXC07 - Companies where Santander exposure is &lt;5MM euros', ' EXC08 - Financial institutions, public sector entities or similar', or 'EXC09 - Investment Grade' then "Leverage finance flag" cannot equal 'HLT - High Leveraged transaction' or 'LFT - Leveraged finance transaction'</t>
  </si>
  <si>
    <t>LT_R_IN_185_10</t>
  </si>
  <si>
    <t>If "Leverage ratio as per ECB Guidance on leveraged transactions; total debt vs EBITDA" is equal or greater than 4 or "&gt;50% owned by a sponsor as per ECB Guidance on leveraged transactions" is set as 'Y' and "Excluded Leveraged Transaction Exposures" is not equal to 'EXC04 - Trade Finance', 'EXC05 - Specialised Lending', 'EXC06 - SME', 'EXC07 - Companies where Santander exposure is &lt;5MM euros', 'EXC08 - Financial institutions, public sector entities or similar' or 'EXC09 - Investment Grade', and "Date of inception" or "Date of contract modification" is in the past 3 months then "Leverage finance flag" must be 'LFT - Leveraged finance transaction' or 'HLT - High Leveraged transaction'</t>
  </si>
  <si>
    <t>LT_R_IN_189_01</t>
  </si>
  <si>
    <t>If "RWA calculation method" equals '2 - STD' then "Coefficient of correlation (R)" must be defaulted</t>
  </si>
  <si>
    <t>LT_R_IN_189_02</t>
  </si>
  <si>
    <t>If "RWA calculation method" equals '1 - IRB' and "Default status of the instrument" equal '14 - Not in default' and "Project finance loan" equal '2 - Non-project finance loan' then "Coefficient of correlation (R)" cannot be 'Not applicable'</t>
  </si>
  <si>
    <t>LT_R_IN_189_03</t>
  </si>
  <si>
    <t>If "RWA calculation method" equals '1 - IRB' and "Default status of the instrument" is other than '14 - Not in default' or "Project finance loan" is other than '2-Non-project finance loan' then "Coefficient of correlation (R)" should be 'Not applicable'</t>
  </si>
  <si>
    <t>LT_R_IN_190_01</t>
  </si>
  <si>
    <t>If "Subportfolio ID" is classified as 'VRD - Debt Securities', "ISIN code of the securitisation bonds and SRT (Y/N)" must be equal to the default value.</t>
  </si>
  <si>
    <t>LT_R_IN_190_02</t>
  </si>
  <si>
    <t>If "Subportfolio ID" is classified as 'COM - Loan Commitments' or 'GUAR - Guarantees' or 'OCOM - Other commitments', "ISIN code of the securitisation bonds and SRT (Y/N)" must be equal to the default value</t>
  </si>
  <si>
    <t>LT_R_IN_198_01</t>
  </si>
  <si>
    <t>If "Gross Interest income distributed to SCIB under the Collabotarion Revenues distribution agreement (YTD)" is populated with other than default values then "Gross Interest income before distribution to SCIB under the Collabotarion Revenues distribution agreement (YTD)" cannot be 'Not Applicable</t>
  </si>
  <si>
    <t>LT_R_IN_198_02</t>
  </si>
  <si>
    <t>If "Gross Interest income distributed to SCIB under the Collabotarion Revenues distribution agreement (YTD)" and "Gross Interest income before distribution to SCIB under the Collabotarion Revenues distribution agreement (YTD)" are populated with other than default values then "Gross Interest income distributed to SCIB under the Collabotarion Revenues distribution agreement (YTD)" must be less or equal to "Gross Interest income before distribution to SCIB under the Collabotarion Revenues distribution agreement (YTD)"</t>
  </si>
  <si>
    <t>LT_R_IN_198_03</t>
  </si>
  <si>
    <t>If "Subportfolio ID" is classified as 'COM - Loan Commitments' or 'GUAR - Guarantees' or 'OCOM - Other commitments', then "Gross Interest income before distribution to SCIB under the Collabotarion Revenues distribution agreement (YTD)" must be 0 or default value</t>
  </si>
  <si>
    <t>LT_R_IN_199_01</t>
  </si>
  <si>
    <t>If "Gross fee and commission income distributed to SCIB under the Collabotarion Revenues distribution agreement (YTD)" is populated with other than default values then "Gross fee and commission income before distribution to SCIB under the Collabotarion Revenues distribution agreement (YTD)" cannot be 'Not Applicable'</t>
  </si>
  <si>
    <t>LT_R_IN_199_02</t>
  </si>
  <si>
    <t>If "Gross fee and commission income distributed to SCIB under the Collabotarion Revenues distribution agreement (YTD)" and "Gross fee and commission income before distribution to SCIB under the Collabotarion Revenues distribution agreement (YTD)" are populated with other than default values then "Gross fee and commission income distributed to SCIB under the Collabotarion Revenues distribution agreement (YTD)" must be less or equal to "Gross fee and commission income before distribution to SCIB under the Collabotarion Revenues distribution agreement (YTD)"</t>
  </si>
  <si>
    <t>LT_R_IN_199_03</t>
  </si>
  <si>
    <t>If "Subportfolio ID" is classified as 'COM - Loan Commitments' or 'GUAR - Guarantees' or 'OCOM - Other commitments', then "Gross fee and commission income before distribution to SCIB under the Collabotarion Revenues distribution agreement (YTD)" must be 0 or default value</t>
  </si>
  <si>
    <t>LT_R_IN_199_04</t>
  </si>
  <si>
    <t>If "Referral Fees (YTD)" is populated with other than default values or different than zero '0', then "Gross fee and commission income before distribution to SCIB under the Collabotarion Revenues distribution agreement (YTD)", "Gross fee and commission expense before distribution to SCIB under the Collabotarion Revenues distribution agreement (YTD)", "Gross fee and commission income corresponding to off balance product before distribution to SCIB under the Collabotarion Revenues distribution agreement (YTD)" or "Gross fee and commission expense corresponding to off balance product before distribution to SCIB under the Collabotarion Revenues distribution agreement (YTD)" cannot be 'Not Applicable' nor zero '0'</t>
  </si>
  <si>
    <t>LT_R_IN_199_05</t>
  </si>
  <si>
    <t>If "Insurance (YTD)" is populated with other than default values or different than zero '0', then "Gross fee and commission income before distribution to SCIB under the Collabotarion Revenues distribution agreement (YTD)", "Gross fee and commission expense before distribution to SCIB under the Collabotarion Revenues distribution agreement (YTD)", "Gross fee and commission income corresponding to off balance product before distribution to SCIB under the Collabotarion Revenues distribution agreement (YTD)" or "Gross fee and commission expense corresponding to off balance product before distribution to SCIB under the Collabotarion Revenues distribution agreement (YTD)" cannot be 'Not Applicable' nor zero '0'</t>
  </si>
  <si>
    <t>LT_R_IN_200_01</t>
  </si>
  <si>
    <t>"Internal transfer rate amount" should be less or equal to "Gross Carrying Amount Instrument"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</si>
  <si>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</si>
  <si>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</si>
  <si>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</si>
  <si>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</si>
  <si>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</si>
  <si>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</si>
  <si>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</si>
  <si>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fee and commission expense distributed to SCIB under the Collabotarion Revenues distribution agreement (YTD)" is populated with other than default values then "Gross fee and commission expense before distribution to SCIB under the Collabotarion Revenues distribution agreement (YTD)" cannot be 'Not Applicable'</t>
  </si>
  <si>
    <t>LT_R_IN_204_02</t>
  </si>
  <si>
    <t>If "Gross fee and commission expense distributed to SCIB under the Collabotarion Revenues distribution agreement (YTD)" and "Gross fee and commission expense before distribution to SCIB under the Collabotarion Revenues distribution agreement (YTD)" are populated with other than default values then "Gross fee and commission expense distributed to SCIB under the Collabotarion Revenues distribution agreement (YTD)" must be less or equal to "Gross fee and commission expense before distribution to SCIB under the Collabotarion Revenues distribution agreement (YTD)"</t>
  </si>
  <si>
    <t>LT_R_IN_204_03</t>
  </si>
  <si>
    <t>If "Subportfolio ID" is classified as 'COM - Loan Commitments' or 'GUAR - Guarantees' or 'OCOM - Other commitments', then "Gross fee and commission expense before distribution to SCIB under the Collabotarion Revenues distribution agreement (YTD)" must be 0 or default value</t>
  </si>
  <si>
    <t>LT_R_IN_205_01</t>
  </si>
  <si>
    <t>If "Gains (Losses) On Financial Transaction (gft) And Exchange Differences distributed to SCIB under the Collabotarion Revenues distribution agreement (YTD)" is populated with other than default values then "Gains (Losses) On Financial Transaction (gft) And Exchange Differences, before distribution to SCIB under the Collabotarion Revenues distribution agreement (YTD)" cannot be 'Not Applicable'</t>
  </si>
  <si>
    <t>LT_R_IN_205_02</t>
  </si>
  <si>
    <t>If "Gains (Losses) On Financial Transaction (gft) And Exchange Differences distributed to SCIB under the Collabotarion Revenues distribution agreement (YTD)" and "Gains (Losses) On Financial Transaction (gft) And Exchange Differences, before distribution to SCIB under the Collabotarion Revenues distribution agreement (YTD)" are populated with other than default values then "Gains (Losses) On Financial Transaction (gft) And Exchange Differences distributed to SCIB under the Collabotarion Revenues distribution agreement (YTD)" must be less or equal to "Gains (Losses) On Financial Transaction (gft) And Exchange Differences, before distribution to SCIB under the Collabotarion Revenues distribution agreement (YTD)"</t>
  </si>
  <si>
    <t>LT_R_IN_205_03</t>
  </si>
  <si>
    <t>If "Subportfolio ID" is classified as 'COM - Loan Commitments' or 'GUAR - Guarantees' or 'OCOM - Other commitments', then "Gains (Losses) On Financial Transaction (gft) And Exchange Differences, before distribution to SCIB under the Collabotarion Revenues distribution agreement (YTD)" must be 0 or default value</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</si>
  <si>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</si>
  <si>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</si>
  <si>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</si>
  <si>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</si>
  <si>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</si>
  <si>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</si>
  <si>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</si>
  <si>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</si>
  <si>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</si>
  <si>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</si>
  <si>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</si>
  <si>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</si>
  <si>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</si>
  <si>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</si>
  <si>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</si>
  <si>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(YTD)" cannot be 'Not applicable'</t>
  </si>
  <si>
    <t>LT_R_IN_211_01</t>
  </si>
  <si>
    <t>If "Management Product" is populated as 'PRDCT0202 - Undrawn balances Committed' or 'PRDCT0201 - Contingent Risk' then "Internal transfer rate due to off balance amounts" cannot be 'Not Applicable'</t>
  </si>
  <si>
    <t>LT_R_IN_211_02</t>
  </si>
  <si>
    <t>"Internal transfer rate due to off balance amounts" should be less or equal to "Off-balance sheet amount"</t>
  </si>
  <si>
    <t>LT_R_IN_212_01</t>
  </si>
  <si>
    <t>If "Management Product" is populated as 'PRDCT0202 - Undrawn balances Committed' or 'PRDCT0201 - Contingent Risk' then "Gross fee and commission income corresponding to off balance product before distribution to SCIB under the Collabotarion Revenues distribution agreement (YTD)" cannot be 'Not Applicable'</t>
  </si>
  <si>
    <t>LT_R_IN_212_02</t>
  </si>
  <si>
    <t>If "Gross fee and commission income corresponding to off balance product distributed to SCIB under the Collabotarion Revenues distribution agreement (YTD)" is populated with other than default values then "Gross fee and commission income corresponding to off balance product before distribution to SCIB under the Collabotarion Revenues distribution agreement (YTD)" cannot be 'Not Applicable</t>
  </si>
  <si>
    <t>LT_R_IN_212_03</t>
  </si>
  <si>
    <t>If "Gross fee and commission income corresponding to off balance product distributed to SCIB under the Collabotarion Revenues distribution agreement (YTD)" and "Gross fee and commission income corresponding to off balance product before distribution to SCIB under the Collabotarion Revenues distribution agreement (YTD)" are populated with other than default values then "Gross fee and commission income corresponding to off balance product distributed to SCIB under the Collabotarion Revenues distribution agreement (YTD)" must be less or equal to "Gross fee and commission income corresponding to off balance product before distribution to SCIB under the Collabotarion Revenues distribution agreement (YTD)"</t>
  </si>
  <si>
    <t>LT_R_IN_213_01</t>
  </si>
  <si>
    <t>If "Management Product" is populated as 'PRDCT0202 - Undrawn balances Committed' or 'PRDCT0201 - Contingent Risk' then "Gross fee and commission expense corresponding to off balance product before distribution to SCIB under the Collabotarion Revenues distribution agreement (YTD)" cannot be 'Not Applicable'</t>
  </si>
  <si>
    <t>LT_R_IN_213_02</t>
  </si>
  <si>
    <t>If "Gross fee and commission expense corresponding to off balance product distributed to SCIB under the Collabotarion Revenues distribution agreement (YTD)" is populated with other than default values then "Gross fee and commission expense corresponding to off balance product before distribution to SCIB under the Collabotarion Revenues distribution agreement (YTD)" cannot be 'Not Applicable'</t>
  </si>
  <si>
    <t>LT_R_IN_213_03</t>
  </si>
  <si>
    <t>If "Gross fee and commission expense corresponding to off balance product distributed to SCIB under the Collabotarion Revenues distribution agreement (YTD)" and "Gross fee and commission expense corresponding to off balance product before distribution to SCIB under the Collabotarion Revenues distribution agreement (YTD)" are populated with other than default values then "Gross fee and commission expense corresponding to off balance product distributed to SCIB under the Collabotarion Revenues distribution agreement (YTD)" must be less or equal to "Gross fee and commission expense corresponding to off balance product before distribution to SCIB under the Collabotarion Revenues distribution agreement (YTD)"</t>
  </si>
  <si>
    <t>LT_R_IN_215_01</t>
  </si>
  <si>
    <t>If "Gross Interest expense distributed to SCIB under the Collabotarion Revenues distribution agreement (YTD)" is populated with other than default values then "Gross Interest expense before distribution to SCIB under the Collabotarion Revenues distribution agreement (YTD)" cannot be 'Not Applicable'</t>
  </si>
  <si>
    <t>LT_R_IN_215_02</t>
  </si>
  <si>
    <t>If "Gross Interest expense distributed to SCIB under the Collabotarion Revenues distribution agreement (YTD)" and "Gross Interest expense before distribution to SCIB under the Collabotarion Revenues distribution agreement (YTD)" are populated with other than default values then "Gross Interest expense distributed to SCIB under the Collabotarion Revenues distribution agreement (YTD)" must be less or equal to "Gross Interest expense before distribution to SCIB under the Collabotarion Revenues distribution agreement (YTD)"</t>
  </si>
  <si>
    <t>LT_R_IN_216_01</t>
  </si>
  <si>
    <t>If "Management Product" is populated as 'PRDCT0202 - Undrawn balances Committed' or 'PRDCT0201 - Contingent Risk' then "Net loan-loss provisions corresponding to off balance exposures (YTD)" cannot be 'Not Applicable'</t>
  </si>
  <si>
    <t>LT_R_IN_217_01</t>
  </si>
  <si>
    <t>If "Subportfolio ID" is classified as 'COM - Loan Commitments' or 'GUAR - Guarantees' or 'OCOM - Other commitments', then "Gross Interest income distributed to SCIB under the Collabotarion Revenues distribution agreement (YTD)" must be 0 or default value</t>
  </si>
  <si>
    <t>LT_R_IN_218_01</t>
  </si>
  <si>
    <t>If "Subportfolio ID" is classified as 'COM - Loan Commitments' or 'GUAR - Guarantees' or 'OCOM - Other commitments', then "Gross Interest expense distributed to SCIB under the Collabotarion Revenues distribution agreement (YTD)" must be 0 or default value</t>
  </si>
  <si>
    <t>LT_R_IN_219_01</t>
  </si>
  <si>
    <t>If "Subportfolio ID" is classified as 'COM - Loan Commitments' or 'GUAR - Guarantees' or 'OCOM - Other commitments', then "Gross fee and commission income distributed to SCIB under the Collabotarion Revenues distribution agreement (YTD)" must be 0 or default value</t>
  </si>
  <si>
    <t>LT_R_IN_220_01</t>
  </si>
  <si>
    <t>If "Subportfolio ID" is classified as 'COM - Loan Commitments' or 'GUAR - Guarantees' or 'OCOM - Other commitments', then "Gross fee and commission expense distributed to SCIB under the Collabotarion Revenues distribution agreement (YTD)" must be 0 or default value</t>
  </si>
  <si>
    <t>LT_R_IN_221_01</t>
  </si>
  <si>
    <t>If "Subportfolio ID" is classified as 'COM - Loan Commitments' or 'GUAR - Guarantees' or 'OCOM - Other commitments', then "Gains (Losses) On Financial Transaction (gft) And Exchange Differences distributed to SCIB under the Collabotarion Revenues distribution agreement (YTD)" must be 0 or default value</t>
  </si>
  <si>
    <t>LT_R_IN_229_01</t>
  </si>
  <si>
    <t>LT_R_IN_229_02</t>
  </si>
  <si>
    <t>LT_R_IN_229_03</t>
  </si>
  <si>
    <t>If for each PROTECTION_ID linked to one INSTRUMENT_ID "Protection Type" is set as '8 - Residential real estate collateral' then "Loans Collateralized Classification" must be 'FMC2 - Real Estate. Residential'</t>
  </si>
  <si>
    <t>LT_R_IN_229_04</t>
  </si>
  <si>
    <t>If for each PROTECTION_ID linked to one INSTRUMENT_ID "Protection Type" is set as '9 - Offices and commercial premises' or '10 - Commercial real estate collateral' then "Loans Collateralized Classification" must be 'FMC1 - Real Estate. Commercial'</t>
  </si>
  <si>
    <t>LT_R_IN_229_05</t>
  </si>
  <si>
    <t>If for each PROTECTION_ID linked to one INSTRUMENT_ID "Protection Type" is populated with other than default values and '8 - Residential Real Estate Collateral' then "Loans Collateralized Classification" cannot be 'FMC2 - Real Estate. Residential'</t>
  </si>
  <si>
    <t>LT_R_IN_229_06</t>
  </si>
  <si>
    <t>If for each PROTECTION_ID linked to one INSTRUMENT_ID "Protection Type" is populated with 'Not Applicable' values or is a "personal guarantee" then "Loans Collateralized Classification" must be 'FMC4 - No Collateral Real' (We consider "personal guarantee" when "Protection ID" matches the "Protection Provider ID" (Guarantor) or "Tax ID" (Protection level) is populated other than default value and the "Protection type" equals '7 - Other protection')</t>
  </si>
  <si>
    <t>LT_R_IN_229_07</t>
  </si>
  <si>
    <t>If for each PROTECTION_ID linked to one INSTRUMENT_ID "Protection Type"  is populated with other than default values, '9 - Offices and commercial premises' and '10 - Commercial real estate collateral' then "Loans Collateralized Classification" cannot be 'FMC1 - Real Estate. Commercial'</t>
  </si>
  <si>
    <t>LT_R_IN_230_02</t>
  </si>
  <si>
    <t>If "Counterparty's emissions scope 1" (Main Entity level) is populated with other than default values then "Financed emissions calculation approach at instrument level scope 1" cannot be 'Not Applicable'</t>
  </si>
  <si>
    <t>LT_R_IN_230_03</t>
  </si>
  <si>
    <t>If "Financed emissions calculation approach at protection level scope 1" is populated with other than default values then "Financed emissions calculation approach at instrument level scope 1" cannot be 'Not Applicable'</t>
  </si>
  <si>
    <t>LT_R_IN_231_02</t>
  </si>
  <si>
    <t>If "Counterparty's emissions scope 2" (Main Entity level) is populated with other than default values then "Financed emissions calculation approach at instrument level scope 2"cannot be 'Not Applicable'</t>
  </si>
  <si>
    <t>LT_R_IN_231_03</t>
  </si>
  <si>
    <t>If "Financed emissions calculation approach at protection level scope 2" is populated with other than default values then "Financed emissions calculation approach at instrument level scope 2" cannot be 'Not Applicable'</t>
  </si>
  <si>
    <t>LT_R_IN_232_02</t>
  </si>
  <si>
    <t>If "Counterparty's emissions scope 3" (Main Entity level) is populated with other than default values then "Financed emissions calculation approach at instrument level scope 3"cannot be 'Not Applicable'</t>
  </si>
  <si>
    <t>LT_R_IN_232_03</t>
  </si>
  <si>
    <t>If "Financed emissions calculation approach at protection level scope 3" is populated with other than default values then "Financed emissions calculation approach at instrument level scope 3" cannot be 'Not Applicable'</t>
  </si>
  <si>
    <t>LT_R_IN_235_01</t>
  </si>
  <si>
    <t xml:space="preserve">If "RWA calculation method" is set as '1 - IRB' then "Expected loss (CRR)" cannot be 'Not Applicable' </t>
  </si>
  <si>
    <t>LT_R_IN_235_02</t>
  </si>
  <si>
    <t xml:space="preserve">If "RWA calculation method" is set as '2 - Standard' then "Expected loss (CRR)" should be 'Not Applicable' </t>
  </si>
  <si>
    <t>LT_R_IN_236_01</t>
  </si>
  <si>
    <t xml:space="preserve">If "Loans collateralized classification" is populated as 'FMC1 - Real Estate. Commercial' or 'FMC2 - Real Estate. Residential' then "LSTI at reference date" cannot be 'Not Applicable' </t>
  </si>
  <si>
    <t>LT_R_IN_237_01</t>
  </si>
  <si>
    <t xml:space="preserve">If "Loans collateralized classification" is populated as 'FMC1 - Real Estate. Commercial' or 'FMC2 - Real Estate. Residential' then "DSTI at reference date" cannot be 'Not Applicable' </t>
  </si>
  <si>
    <t>LT_R_IN_238_01</t>
  </si>
  <si>
    <t xml:space="preserve">If "Loans collateralized classification" is populated as 'FMC1 - Real Estate. Commercial' or 'FMC2 - Real Estate. Residential' then "Loan to income (LTI) at reference date (instrument level)" cannot be 'Not Applicable' </t>
  </si>
  <si>
    <t>LT_R_IN_240_01</t>
  </si>
  <si>
    <t>If "Type of interest rate" is set as '1 - Fixed' then "Interest rate cap" should be defaulted</t>
  </si>
  <si>
    <t>LT_R_IN_240_03</t>
  </si>
  <si>
    <t>"Interest rate cap" should be greater than or equal to "Interest rate at the reference date"</t>
  </si>
  <si>
    <t>LT_R_IN_241_01</t>
  </si>
  <si>
    <t>If "Type of interest rate" is set as '1 - Fixed' then "Interest rate floor" should be defaulted</t>
  </si>
  <si>
    <t>LT_R_IN_241_03</t>
  </si>
  <si>
    <t>"Interest rate floor" should be less than or equal to "Interest rate at the reference date"</t>
  </si>
  <si>
    <t>LT_R_IN_243_01</t>
  </si>
  <si>
    <t>If "Type of interest rate" is set as '1 - Fixed' then "Reference interest rate" should be defaulted</t>
  </si>
  <si>
    <t>LT_R_IN_243_02</t>
  </si>
  <si>
    <t>If "Type of interest rate" is set as '2 - Variable' or '3 - Mixed' then "Reference interest rate" cannot be 'Not Applicable'</t>
  </si>
  <si>
    <t>LT_R_IN_244_01</t>
  </si>
  <si>
    <t>"Settlement date" must be later than or equal to "Date of inception"</t>
  </si>
  <si>
    <t>LT_R_IN_244_02</t>
  </si>
  <si>
    <t>"Settlement date" must be earlier than or equal to "Legal final maturity date (latest repayment date)"</t>
  </si>
  <si>
    <t>LT_R_IN_244_03</t>
  </si>
  <si>
    <t>"Settlement date" must be earlier than or equal to "Next interest rate reset date"</t>
  </si>
  <si>
    <t>LT_R_IN_244_04</t>
  </si>
  <si>
    <t>"Settlement date" must be earlier than or equal to "End date of the interest-only period"</t>
  </si>
  <si>
    <t>LT_R_IN_245_01</t>
  </si>
  <si>
    <t>If "Type of securitization" is set as 'SEC01 - Traditional securitization' then "Transferred amount" should be greater than 0</t>
  </si>
  <si>
    <t>LT_R_IN_247_01</t>
  </si>
  <si>
    <t>If "Off-balance sheet amount" or "Provisions associated with off-balance sheet exposures" are populated with other than default values and distinct from 0 then "Type of off balance product" cannot be 'Not Applicable'</t>
  </si>
  <si>
    <t>LT_R_IN_247_02</t>
  </si>
  <si>
    <t>If "Subportfolio ID" is set as 'COM - Loan commitments (off BS)' then "Type of off balance product" should be 'COM - Loan commitments given'</t>
  </si>
  <si>
    <t>LT_R_IN_247_03</t>
  </si>
  <si>
    <t>If "Subportfolio ID" is set as 'OCOM - Other commitments (off BS)' then "Type of off balance product" should be 'OCOM - Other commitments given'</t>
  </si>
  <si>
    <t>LT_R_IN_247_04</t>
  </si>
  <si>
    <t>If "Subportfolio ID" is set as 'GUAR - Guarantees (off BS)' then "Type of off balance product" should be 'GUAR - Financial guarantees given'</t>
  </si>
  <si>
    <t>LT_R_IN_248_01</t>
  </si>
  <si>
    <t>If "Type of securitization" is set as 'SEC02 - Synthetic securitization' and "Outstanding gross nominal amount" is greater than 0 then "Balance sheet recognition" should be 'REC01 - Entirely recognised' or 'REC02 - Recognised to the extent of the institution's continuing involvement'</t>
  </si>
  <si>
    <t>LT_R_IN_251_01</t>
  </si>
  <si>
    <t>If "Leverage ratio as per ECB Guidance on leveraged transactions; total debt vs EBITDA" is equal or greater than 4 or "&gt;50% owned by a sponsor as per ECB Guidance on leveraged transactions" is set as 'Y' and "Leverage finance flag" is set as 'NLF - Not leveraged finance transaction', then "Excluded Leveraged Transaction Exposures" must be 'EXC04 - Trade Finance', 'EXC05 - Specialised Lending', 'EXC06 - SME', 'EXC07 - Companies where Santander exposure is &lt;5MM euros', 'EXC08 - Financial institutions, public sector entities or similar' or 'EXC09 - Investment Grade'</t>
  </si>
  <si>
    <t>LT_R_IN_251_02</t>
  </si>
  <si>
    <t>If "Subportfolio ID" is classified as 'SNF - Non-financial corporations' and "Type of instrument" in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'80 - Finance leases', '2001 - Guarantees') then "Excluded Leveraged Transaction Exposures" cannot be 'EXC04 -Trade Finance'</t>
  </si>
  <si>
    <t>LT_R_IN_251_03</t>
  </si>
  <si>
    <t>If "Enterprise size Counterparty (LE)" is not classified as '2 - Medium enterprise', '3 - Small enterprise' or '4 - Micro enterprise' then "Excluded Leveraged Transaction Exposures" cannot be 'EXC06 - SME'</t>
  </si>
  <si>
    <t>LT_R_IN_251_04</t>
  </si>
  <si>
    <t>If "Commitment amount at inception" is greater or equal to 5 million euros then "Excluded Leveraged Transaction Exposures" cannot be 'EXC07 - Companies where Santander exposure is &lt;5MM euros'</t>
  </si>
  <si>
    <t>LT_R_IN_251_05</t>
  </si>
  <si>
    <t>If "Gross carrying amount" plus "Off-balance sheet amount" is greater or equal to 5 million euros then "Excluded Leveraged Transaction Exposures" cannot be 'EXC07 - Companies where Santander exposure is &lt;5MM euros'</t>
  </si>
  <si>
    <t>LT_R_IN_251_06</t>
  </si>
  <si>
    <t>If "Subportfolio ID" is classified as 'SNF - Non-financial corporations' then "Excluded Leveraged Transaction Exposures" cannot be 'EXC08 - Financial institutions, public sector entities or similar'</t>
  </si>
  <si>
    <t>LT_R_IN_251_07</t>
  </si>
  <si>
    <t>If "Probability of default according to Economic Capital at reference date" is greater than 0,5% (assimilated to investment grade) then "Excluded Leveraged Transaction Exposures" cannot be like 'EXC09 - Investment Grade'</t>
  </si>
  <si>
    <t>LT_R_IN_251_08</t>
  </si>
  <si>
    <t>If "Primary asset classification" is populated with values other than 'D.12 - Securitisation bond - Securitisation is the issuance of debt securities for which coupon or principal payments are backed by specified assets or by future income streams.', 'D.121 - Traditional securitisation - In case of traditional securitisation, the transfer of credit risk takes place by transferring the assets subject to that risk.', 'D.122 - Synthetic securitisation - In case of synthetic securitisation, the transfer of credit risk takes place by means of instruments that provide insurance against credit losses, without an actual transfer of assets taking place.' or 'D.129 - Other securitisation - A securitisation that is of a type not listed separately.' then "Excluded Leveraged Transaction Exposures" cannot be 'EXC02 - Securitisations'</t>
  </si>
  <si>
    <t>LT_R_IN_253_01</t>
  </si>
  <si>
    <t>"RWA premitigation" should be greater than or equal to "RWA for exposures subject to credit risk mitigation techniques"</t>
  </si>
  <si>
    <t>LT_R_IN_253_02</t>
  </si>
  <si>
    <t>"RWA premitigation" should be greater than or equal to "RWA"</t>
  </si>
  <si>
    <t>LT_R_IN_261_01</t>
  </si>
  <si>
    <t>If "Syndication type" is '1 - Club_deal', '2 - Underwriting' or '3 - Best_effort', then "Type of Deal" must be 'DEL01 - Syndicated loan (includes underwritten, best effort, club deals and other syndicated loans)'</t>
  </si>
  <si>
    <t>LT_R_IN_261_02</t>
  </si>
  <si>
    <t>If "Type of instrument" is '2001 - Guarantees' then "Type of Deal" must be 'DEL05 - Guarantee'</t>
  </si>
  <si>
    <t>LT_R_IN_261_03</t>
  </si>
  <si>
    <t>If "Syndication type" is other than '1 - Club_deal', '2 - Underwriting' or '3 - Best_effort', then "Type of Deal" cannot be 'DEL01 - Syndicated loan (includes underwritten, best effort, club deals and other syndicated loans)'</t>
  </si>
  <si>
    <t>LT_R_IN_263_01</t>
  </si>
  <si>
    <t>If at least one "Sustainable Category" linked to INSTRMNT_ID is populated with other than '6001 - Not sustainable' then "Partner" cannot be 'Not Applicable'</t>
  </si>
  <si>
    <t>LT_R_IN_264_01</t>
  </si>
  <si>
    <t>If at least one "Sustainable Category" linked to INSTRMNT_ID is populated with other than '6001 - Not sustainable' then "Incentives (YTD)" cannot be 'Not Applicable'</t>
  </si>
  <si>
    <t>LT_R_IN_265_01</t>
  </si>
  <si>
    <t>If at least one "Sustainable Category" linked to INSTRMNT_ID is populated with other than '6001 - Not sustainable' then "Other operating income (YTD)" cannot be 'Not Applicable'</t>
  </si>
  <si>
    <t>LT_R_IN_266_02</t>
  </si>
  <si>
    <t>If at least one "Sustainable Category" linked to INSTRMNT_ID is populated with other than '6001 - Not sustainable' then "Referral Fees (YTD)" cannot be 'Not Applicable'</t>
  </si>
  <si>
    <t>LT_R_IN_267_02</t>
  </si>
  <si>
    <t>If at least one "Sustainable Category" linked to INSTRMNT_ID is populated with other than '6001 - Not sustainable' then "Insurance (YTD)" cannot be 'Not Applicable'</t>
  </si>
  <si>
    <t>INSRNC_CMMSSNS</t>
  </si>
  <si>
    <t>LT_R_IN_268_01</t>
  </si>
  <si>
    <t>If at least one "Sustainable Category" linked to INSTRMNT_ID is populated with other than '6001 - Not sustainable' then "Other income and charges (YTD)" cannot be 'Not Applicable'</t>
  </si>
  <si>
    <t>LT_R_IN_269_01</t>
  </si>
  <si>
    <t>If at least one "Sustainable Category" linked to INSTRMNT_ID is populated with other than '6001 - Not sustainable' then "Tax on Profit (YTD)" cannot be 'Not Applicable'</t>
  </si>
  <si>
    <t>LT_R_IN_270_01</t>
  </si>
  <si>
    <t>If "Probability of default according to Economic Capital at reference date" is populated with 'Not applicable' then "Probability of default according to Economic Capital at inception date" must also be populated with 'Not applicable'</t>
  </si>
  <si>
    <t>LT_R_IN_271_01</t>
  </si>
  <si>
    <t>If "Default status of the instrument" is '18 - Default because both unlikely to pay and more than 90/180 days past due', '19 - Default because unlikely to pay', or '20 - Default because more than 90/180 days past due', then "Probability of default according to Economic Capital at reference date" must equal to 1</t>
  </si>
  <si>
    <t>LT_R_IN_272_01</t>
  </si>
  <si>
    <t>If "Leverage finance flag" is not equal to 'HLT - High Leveraged transaction' or 'LFT - Leveraged finance transaction' then "Leverage ratio at inception date for high leveraged transactions" must be 'Not Applicable'</t>
  </si>
  <si>
    <t>LT_R_IN_272_02</t>
  </si>
  <si>
    <t>If "Leverage finance flag" is equal to 'HLT - High Leveraged transaction' or 'LFT - Leveraged finance transaction' then "Leverage ratio at inception date for high leveraged transactions" cannot be 'Not Applicable'</t>
  </si>
  <si>
    <t>LT_R_IN_272_03</t>
  </si>
  <si>
    <t>"Leverage ratio at inception date for high leveraged transactions" must be equal or greater than "Leverage ratio at inception date"</t>
  </si>
  <si>
    <t>LT_R_IN_273_01</t>
  </si>
  <si>
    <t>If "Commitment amount at inception" is different to "Commitment amount at reference date" then "Date of contract modification" cannot be 'Not Applicable'</t>
  </si>
  <si>
    <t>LT_R_IN_273_02</t>
  </si>
  <si>
    <t>"Date of contract modification" must be later or equal to "Date of inception"</t>
  </si>
  <si>
    <t>LT_R_IN_273_03</t>
  </si>
  <si>
    <t>"Date of contract modification" must be earlier or equal to "Reference date"</t>
  </si>
  <si>
    <t>LT_R_IP_008_01</t>
  </si>
  <si>
    <t>If the protection is not a "personal guarantee" then "Group support" must be 'N' (We consider "personal guarantee" when "Protection ID" matches the "Protection Provider ID" (Guarantor) or "Tax ID" (Protection level) is populated other than default value and the "Protection type" equals '7 - Other protection')</t>
  </si>
  <si>
    <t>LT_R_IP</t>
  </si>
  <si>
    <t>LT_R_PR_002_01</t>
  </si>
  <si>
    <t xml:space="preserve">"Maturity date of the protection" has to be earlier or equal to the longest "Legal final maturity date (latest repayment date)" of the Instruments linked </t>
  </si>
  <si>
    <t>LT_R_PR</t>
  </si>
  <si>
    <t>LT_R_PR_002_02</t>
  </si>
  <si>
    <t xml:space="preserve">If the protection is a "personal guarantee" then "Maturity date of the protection" should be 'Not Applicable' (We consider "personal guarantee" when "Protection ID" matches the "Protection Provider ID" (Guarantor) or "Tax ID" (Protection level) is populated other than default value and the "Protection type" equals '7 - Other protection') </t>
  </si>
  <si>
    <t>INTRA_REL_P_PR</t>
  </si>
  <si>
    <t>LT_R_PR_004_01</t>
  </si>
  <si>
    <t>If "Protection type" is equal to '8 - Residential real estate collateral', '9 - Offices and commercial premises' or '10 - Commercial real estate collateral', then "National reference of the property" cannot be 'Not applicable'</t>
  </si>
  <si>
    <t>LT_R_PR_004_02</t>
  </si>
  <si>
    <t>LT_R_PR_007_01</t>
  </si>
  <si>
    <t>If "Protection type" is equal to '8 - Residential real estate collateral', '9 - Offices and commercial premises' or '10 - Commercial real estate collateral', then "Address (street) and number" must be populated other than 'Not applicable'</t>
  </si>
  <si>
    <t>LT_R_PR_007_02</t>
  </si>
  <si>
    <t>If "Protection type" is not equal to '8 - Residential real estate collateral', '9 - Offices and commercial premises' or '10 - Commercial real estate collateral', then "Address (street) and number" must be populated with default values.</t>
  </si>
  <si>
    <t>LT_R_PR_008_01</t>
  </si>
  <si>
    <t>If "Protection type" is equal to '8 - Residential real estate collateral', '9 - Offices and commercial premises' or '10 - Commercial real estate collateral', then "Real estate collateral location" must be populated other than 'Not applicable'</t>
  </si>
  <si>
    <t>LT_R_PR_008_02</t>
  </si>
  <si>
    <t>If "Protection type" is not equal to '8 - Residential real estate collateral', '9 - Offices and commercial premises' or '10 - Commercial real estate collateral', then "Real estate collateral location" must be populated with default values.</t>
  </si>
  <si>
    <t>LT_R_PR_009_01</t>
  </si>
  <si>
    <t>If "Protection type" is equal to '8 - Residential real estate collateral', '9 - Offices and commercial premises' or '10 - Commercial real estate collateral', then then "Real estate asset location according to bank-internal definition" must be populated other than 'Not applicable'</t>
  </si>
  <si>
    <t>LT_R_PR_009_02</t>
  </si>
  <si>
    <t>If "Protection type" is not equal to '8 - Residential real estate collateral' then "Real estate asset location according to bank-internal definition" must be populated with default values.</t>
  </si>
  <si>
    <t>LT_R_PR_010_01</t>
  </si>
  <si>
    <t>If "Protection type" is equal to '8 - Residential real estate collateral', '9 - Offices and commercial premises' or '10 - Commercial real estate collateral', then "City real estate" must be populated other than 'Not applicable'</t>
  </si>
  <si>
    <t>LT_R_PR_010_02</t>
  </si>
  <si>
    <t>If "Protection type" is not equal to '8 - Residential real estate collateral', '9 - Offices and commercial premises' or '10 - Commercial real estate collateral', then "City real estate" must be populated with default values.</t>
  </si>
  <si>
    <t>LT_R_PR_011_01</t>
  </si>
  <si>
    <t>If "Protection type" is equal to '8 - Residential real estate collateral', '9 - Offices and commercial premises' or '10 - Commercial real estate collateral', then "Post code / ZIP" must be populated other than 'Not applicable'</t>
  </si>
  <si>
    <t>LT_R_PR_011_02</t>
  </si>
  <si>
    <t>If "Protection type" is not equal to '8 - Residential real estate collateral', '9 - Offices and commercial premises' or '10 - Commercial real estate collateral', then "Post code / ZIP" must be populated with default values.</t>
  </si>
  <si>
    <t>LT_R_PR_011_03</t>
  </si>
  <si>
    <t>If "Real estate collateral location" belongs to 'IS - Island' then then "Post code / ZIP" should follow the format "123"</t>
  </si>
  <si>
    <t>LT_R_PR_011_04</t>
  </si>
  <si>
    <t>If "Real estate collateral location" belongs to 'AT - Austria', 'BE - Belgium', 'BG - Bulgaria ', 'CH - Switzerland', 'CY - Cyprus', 'DK - Denmark', 'HU - Hungary', 'LI - Liechtenstein', 'LU - Luxembourg', 'MK - Macedonia', 'NO - Norway', 'SI - Slovenia' then "Post code / ZIP" should follow the format "1234"</t>
  </si>
  <si>
    <t>LT_R_PR_011_05</t>
  </si>
  <si>
    <t>If "Real estate collateral location" belongs to 'DE - Germany', 'EE - Estonia', 'ES - Spain', 'FI - Finland', 'FR - France', 'GR - Greece', 'HR - Croatia', 'IT - Italy', 'LT - Lithuania', 'RS - Serbia', 'TR - Turkey' then "Post code / ZIP" should follow the format "12345"</t>
  </si>
  <si>
    <t>LT_R_PR_011_06</t>
  </si>
  <si>
    <t>If "Real estate collateral location" belongs to 'RO - Romania' then "Post code / ZIP" should follow the format "123456"</t>
  </si>
  <si>
    <t>LT_R_PR_011_07</t>
  </si>
  <si>
    <t>If "Real estate collateral location" belongs to 'CZ - Czech', 'SE - Sweden', 'SK - Slovakia' then "Post code / ZIP" should follow the format "123 45"</t>
  </si>
  <si>
    <t>LT_R_PR_011_08</t>
  </si>
  <si>
    <t>If "Real estate collateral location" belongs to 'IE - Ireland' then "Post code / ZIP" should follow the format "A12"</t>
  </si>
  <si>
    <t>LT_R_PR_011_09</t>
  </si>
  <si>
    <t>If "Real estate collateral location" belongs to 'MT - Malta' then "Post code / ZIP" should follow the format "ABC"</t>
  </si>
  <si>
    <t>LT_R_PR_011_10</t>
  </si>
  <si>
    <t>If "Real estate collateral location" belongs to 'NL - The Netherlands' then "Post code / ZIP" should follow the format "1234 AB2"</t>
  </si>
  <si>
    <t>LT_R_PR_011_11</t>
  </si>
  <si>
    <t>If "Real estate collateral location" belongs to 'PL - Poland' then "Post code / ZIP" should follow the format "12-345"</t>
  </si>
  <si>
    <t>LT_R_PR_011_12</t>
  </si>
  <si>
    <t>If "Real estate collateral location" belongs to 'PT - Portugal' then "Post code / ZIP" should follow the format "1234-567"</t>
  </si>
  <si>
    <t>LT_R_PR_011_13</t>
  </si>
  <si>
    <t>If "Real estate collateral location" belongs to 'LV - Latvia' then "Post code / ZIP" should follow the format"LV-1234"</t>
  </si>
  <si>
    <t>LT_R_PR_011_14</t>
  </si>
  <si>
    <t>If "Real estate collateral location" belongs to 'GB - Great Britain' then "Post code / ZIP" should follow the format "AA9A 9AA", "A9A 9AA", "A9 9AA", "A99 9AA", "AA9 9AA" or "AA99 9AA"</t>
  </si>
  <si>
    <t>LT_R_PR_011_15</t>
  </si>
  <si>
    <t xml:space="preserve">If "Real estate collateral location" is populated with other than default values then "Post code / ZIP" cannot be 'Not Applicable' </t>
  </si>
  <si>
    <t>LT_R_PR_013_01</t>
  </si>
  <si>
    <t xml:space="preserve">If the protection is a "personal guarantee" then "Protection called" should be 'Not Applicable' (We consider "personal guarantee" when "Protection ID" matches the "Protection Provider ID" (Guarantor) or "Tax ID" (Protection level) is populated other than default value and the "Protection type" equals '7 - Other protection') </t>
  </si>
  <si>
    <t>LT_R_PR_014_01</t>
  </si>
  <si>
    <t>LT_R_PR_014_02</t>
  </si>
  <si>
    <t>LT_R_PR_014_03</t>
  </si>
  <si>
    <t>If "Type of protection value" is set as '1 - Fair value' then "Protection type" has to be set as '3 - Other physical collaterals', '5 - Types of protection values other than notional amount, market value, fair value or long-term sustainable value', '7 - Other protection', '12 - Securities', '13 - Gold' or '18 - Equity and investment funds shares'</t>
  </si>
  <si>
    <t>LT_R_PR_014_04</t>
  </si>
  <si>
    <t>LT_R_PR_014_05</t>
  </si>
  <si>
    <t>LT_R_PR_014_06</t>
  </si>
  <si>
    <t>LT_R_PR_014_07</t>
  </si>
  <si>
    <t>LT_R_PR_014_08</t>
  </si>
  <si>
    <t>LT_R_PR_014_09</t>
  </si>
  <si>
    <t>LT_R_PR_014_10</t>
  </si>
  <si>
    <t>LT_R_PR_014_11</t>
  </si>
  <si>
    <t>LT_R_PR_014_12</t>
  </si>
  <si>
    <t>LT_R_PR_014_14</t>
  </si>
  <si>
    <t>LT_R_PR_014_15</t>
  </si>
  <si>
    <t>LT_R_PR_014_16</t>
  </si>
  <si>
    <t>If "Flag Chronic Physical Risk at protection level" is set as 'Y - Yes' then "Protection Type" must be '8 - Residential real estate collateral', '9- Offices and commercial premises' or '10 - Commercial real estate collateral'</t>
  </si>
  <si>
    <t>LT_R_PR_014_17</t>
  </si>
  <si>
    <t>LT_R_PR_014_18</t>
  </si>
  <si>
    <t>LT_R_PR_014_19</t>
  </si>
  <si>
    <t>LT_R_PR_014_20</t>
  </si>
  <si>
    <t>LT_R_PR_014_21</t>
  </si>
  <si>
    <t>LT_R_PR_016_01</t>
  </si>
  <si>
    <t>If "Protection valuation approach" is set as '1 - Counterparty estimation' or '3 - Mark-to-market' then "Type of protection value" has to be set as '1 - Fair value'</t>
  </si>
  <si>
    <t>LT_R_PR_016_02</t>
  </si>
  <si>
    <t>If "Protection valuation approach" is set as '2 - Creditor valuation' then "Type of protection value" has to be set as '1 - Fair value', '2 - Long-term sustainable value' or '3 - Market value'</t>
  </si>
  <si>
    <t>LT_R_PR_016_03</t>
  </si>
  <si>
    <t xml:space="preserve">If "Protection valuation approach" is set as '4 - Other type of valuation' and the protection is other than "personal guarantee" then "Type of protection value" has to be set as '4 - Notional amount'. (We consider "personal guarantee" when "Protection ID" matches the "Protection Provider ID" (Guarantor) or "Tax ID" (Protection level) is populated other than default value and the "Protection type" equals '7 - Other protection') </t>
  </si>
  <si>
    <t>LT_R_PR_016_04</t>
  </si>
  <si>
    <t>If "Protection valuation approach" is set as '5 - Third-party valuation' then "Type of protection value" has to be set as '1 - Fair value' or '3 - Market value'</t>
  </si>
  <si>
    <t>LT_R_PR_016_05</t>
  </si>
  <si>
    <t xml:space="preserve">If the protection is a "personal guarantee" then "Type of protection value" should be 'Not Applicable' (We consider "personal guarantee" when "Protection ID" matches the "Protection Provider ID" (Guarantor) or "Tax ID" (Protection level) is populated other than default value and the "Protection type" equals '7 - Other protection') </t>
  </si>
  <si>
    <t>LT_R_PR_017_01</t>
  </si>
  <si>
    <t xml:space="preserve">If "Appraised market value" is a non default value greater than 0 and the protection is other than "personal guarantee", then "Appraisal currency" cannot be 'Not applicable' (We consider "personal guarantee" when "Protection ID" matches the "Protection Provider ID" (Guarantor) or "Tax ID" (Protection level) is populated other than default value and the "Protection type" equals '7 - Other protection') </t>
  </si>
  <si>
    <t>LT_R_PR_017_02</t>
  </si>
  <si>
    <t xml:space="preserve">If the protection is a "personal guarantee" then "Appraisal currency" should be 'Not Applicable' (We consider "personal guarantee" when "Protection ID" matches the "Protection Provider ID" (Guarantor) or "Tax ID" (Protection level) is populated other than default value and the "Protection type" equals '7 - Other protection') </t>
  </si>
  <si>
    <t>LT_R_PR_018_01</t>
  </si>
  <si>
    <t>If the protection is a "personal guarantee" then "Provider of latest valuation (appraiser)" should be 'Not Applicable' (We consider "personal guarantee" when "Protection ID" matches the "Protection Provider ID" (Guarantor) or "Tax ID" (Protection level) is populated other than default value and the "Protection type" equals '7 - Other protection')</t>
  </si>
  <si>
    <t>LT_R_PR_019_01</t>
  </si>
  <si>
    <t>LT_R_PR_019_03</t>
  </si>
  <si>
    <t>LT_R_PR_020_01</t>
  </si>
  <si>
    <t>LT_R_PR_020_03</t>
  </si>
  <si>
    <t>LT_R_PR_020_04</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</si>
  <si>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</si>
  <si>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LT_R_PR_021_01</t>
  </si>
  <si>
    <t>If "Type of protection value" is set as '4 - Notional Amount' then "Date of Protection Value" should be equal to "Reference Date"</t>
  </si>
  <si>
    <t>LT_R_PR_021_02</t>
  </si>
  <si>
    <t>LT_R_PR_021_03</t>
  </si>
  <si>
    <t>LT_R_PR_021_04</t>
  </si>
  <si>
    <t>LT_R_PR_021_05</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</si>
  <si>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</si>
  <si>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LT_R_PR_022_01</t>
  </si>
  <si>
    <t>LT_R_PR_022_02</t>
  </si>
  <si>
    <t>LT_R_PR_022_03</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</si>
  <si>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</si>
  <si>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LT_R_PR_024_01</t>
  </si>
  <si>
    <t>LT_R_PR_024_02</t>
  </si>
  <si>
    <t>LT_R_PR_024_03</t>
  </si>
  <si>
    <t>LT_R_PR_024_04</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</si>
  <si>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</si>
  <si>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LT_R_PR_025_01</t>
  </si>
  <si>
    <t>If "Performing status" is '1 - Non-Performing' and "Protection type" is other than default values or other than '7 - Other protection', then "Most recent appraised market value at the time when the instrument was classified as non-performing" cannot be 'Not applicable'</t>
  </si>
  <si>
    <t>LT_R_PR_025_02</t>
  </si>
  <si>
    <t>If the protection is a "personal guarantee" then "Most recent appraised market value at the time when the instrument was classified as non-performing" must be 'Not applicable' (We consider "personal guarantee" when "Protection ID" matches the "Protection Provider ID" (Guarantor) or "Tax ID" (Protection level) is populated other than default value and the "Protection type" equals '7 - Other protection')</t>
  </si>
  <si>
    <t>LT_R_PR_026_01</t>
  </si>
  <si>
    <t xml:space="preserve">If "Appraised market value" is other than default or zero and the protection is other than "personal guarantee" then "Protection valuation approach" cannot be 'Not applicable' (We consider "personal guarantee" when "Protection ID" matches the "Protection Provider ID" (Guarantor) or "Tax ID" (Protection level) is populated other than default value and the "Protection type" equals '7 - Other protection') </t>
  </si>
  <si>
    <t>LT_R_PR_026_02</t>
  </si>
  <si>
    <t xml:space="preserve">If the protection is a "personal guarantee" then "Protection valuation approach" should be 'Not applicable' (We consider "personal guarantee" when "Protection ID" matches the "Protection Provider ID" (Guarantor) or "Tax ID" (Protection level) is populated other than default value and the "Protection type" equals '7 - Other protection') </t>
  </si>
  <si>
    <t>LT_R_PR_027_01</t>
  </si>
  <si>
    <t>LT_R_PR_027_02</t>
  </si>
  <si>
    <t>LT_R_PR_027_03</t>
  </si>
  <si>
    <t>LT_R_PR_027_04</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</si>
  <si>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</si>
  <si>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LT_R_PR_028_01</t>
  </si>
  <si>
    <t>If "Previous appraisal date" is populated other than default values then "Previous appraised market value" has to be populated other than default values</t>
  </si>
  <si>
    <t>LT_R_PR_028_02</t>
  </si>
  <si>
    <t xml:space="preserve">If the protection is a "personal guarantee" then "Previous appraised market value" must be 'Not applicable' (We consider "personal guarantee" when "Protection ID" matches the "Protection Provider ID" (Guarantor) or "Tax ID" (Protection level) is populated other than default value and the "Protection type" equals '7 - Other protection') </t>
  </si>
  <si>
    <t>LT_R_PR_029_01</t>
  </si>
  <si>
    <t>If "Protection type" is set as '8 - Residential real estate collateral', '9 - Offices and commercial premises' or '10 - Commercial real estate collateral', then "Construction status" must be populated other than default values</t>
  </si>
  <si>
    <t>LT_R_PR_029_02</t>
  </si>
  <si>
    <t>LT_R_PR_029_03</t>
  </si>
  <si>
    <t>LT_R_PR_029_04</t>
  </si>
  <si>
    <t>LT_R_PR_029_05</t>
  </si>
  <si>
    <t>LT_R_PR_029_06</t>
  </si>
  <si>
    <t>If "Date of first usage of the building" is later than "Reference date", then "Construction status" should be set as '2 - In construction' , '3 - Land bank without zoning permit' or '4 - Land bank building permit'</t>
  </si>
  <si>
    <t>LT_R_PR_029_07</t>
  </si>
  <si>
    <t>LT_R_PR_029_08</t>
  </si>
  <si>
    <t>LT_R_PR_030_01</t>
  </si>
  <si>
    <t>If "Construction status" is populated other than default value then "Date of construction status" cannot be 'Not Applicable'</t>
  </si>
  <si>
    <t>LT_R_PR_030_02</t>
  </si>
  <si>
    <t>If "Construction status" is populated as 'Not applicable' then "Date of construction status" must be populated with default values</t>
  </si>
  <si>
    <t>LT_R_PR_030_03</t>
  </si>
  <si>
    <t>"Date of construction status" cannot be later than "Reference date"</t>
  </si>
  <si>
    <t>LT_R_PR_031_01</t>
  </si>
  <si>
    <t>If  "Protection type" equals '9 - Offices and commercial premises' or '10 - Commercial real estate collateral' then "Date of first usage of the building" cannot be 'Not applicable'</t>
  </si>
  <si>
    <t>LT_R_PR_032_01</t>
  </si>
  <si>
    <t>LT_R_PR_032_02</t>
  </si>
  <si>
    <t>If "Protection type" is not '8 - Residential real estate collateral' or '9 - Offices and commercial premises' or '10 - Commercial real estate collateral', then "Development status" must be default value</t>
  </si>
  <si>
    <t>LT_R_PR_033_01</t>
  </si>
  <si>
    <t>If "Protection type" equals '8 - Residential real estate collateral', then "Main purpose" must be '7 - Residential' or '8 - Mixed'</t>
  </si>
  <si>
    <t>LT_R_PR_033_02</t>
  </si>
  <si>
    <t>If "Protection type" equals '9 - Offices and commercial premises', then "Main purpose" must be '1 - Office' or '8 - Mixed' or '9 - Other'</t>
  </si>
  <si>
    <t>LT_R_PR_033_03</t>
  </si>
  <si>
    <t>If "Protection type" equals '10 - Commercial real estate collateral', then "Main purpose" must be '2 - Hotel', '3 - Shopping' or '4 - Leisure' or '5 - Parking' or '6 - Logistic' or '8 - Mixed' or '9 - Other'</t>
  </si>
  <si>
    <t>LT_R_PR_033_04</t>
  </si>
  <si>
    <t>If "Protection type" is other than '8 - Residential real estate collateral' or '9 - Offices and commercial premises' or '10 - Commercial real estate collateral', then "Main purpose" must be a default value</t>
  </si>
  <si>
    <t>LT_R_PR_034_01</t>
  </si>
  <si>
    <t>If "Protection type" does not equal '8 - Residential real estate collateral' nor '9 - Offices and commercial premises' nor '10 - Commercial real estate collateral' then "Prime location according to bank-internal definition (Y/N)" must be populated with default values</t>
  </si>
  <si>
    <t>LT_R_PR_034_02</t>
  </si>
  <si>
    <t>If "Protection type" equals '8 - Residential real estate collateral' or '9 - Offices and commercial premises' or '10 - Commercial real estate collateral' then "Prime location according to bank-internal definition (Y/N)" cannot be 'Not applicable'</t>
  </si>
  <si>
    <t>LT_R_PR_035_01</t>
  </si>
  <si>
    <t>If "Current annual operating expenses" is populated other than default values then "Currency of annual income and expenses" cannot be 'Not applicable'</t>
  </si>
  <si>
    <t>LT_R_PR_035_02</t>
  </si>
  <si>
    <t>If "Current annual income" is populated other than default values then "Currency of annual income and expenses" cannot be 'Not applicable'</t>
  </si>
  <si>
    <t>LT_R_PR_039_01</t>
  </si>
  <si>
    <t>If the protection is a "personal guarantee" then "Fiscal ID" cannot be 'Not applicable' (We consider "personal guarantee" when "Protection ID" matches the "Protection Provider ID" (Guarantor) or "Tax ID" (Protection level) is populated other than default value and the "Protection type" equals '7 - Other protection')</t>
  </si>
  <si>
    <t>LT_R_PR_040_01</t>
  </si>
  <si>
    <t>If "Protection Type" is populated with other than '8 - Residential real estate collateral', '9- Offices and commercial premises', '10 - Commercial real estate collateral' then "EP Score Data Type" must be 'Not Applicable'</t>
  </si>
  <si>
    <t>LT_R_PR_040_02</t>
  </si>
  <si>
    <t>If "EP Score" is populated with other than default values or 'EPSC7 - Without EP Score' then "EP Score Data Type" cannot be 'Not Applicable'</t>
  </si>
  <si>
    <t>LT_R_PR_040_03</t>
  </si>
  <si>
    <t>If "EP Score" is populated with 'Not Applicable' values or 'EPSC7 - Without EP Score' then "EP Score Data Type" must be 'Not Applicable'</t>
  </si>
  <si>
    <t>LT_R_PR_041_01</t>
  </si>
  <si>
    <t>If "Protection Type" is populated with other than '8 - Residential real estate collateral', '9- Offices and commercial premises', '10 - Commercial real estate collateral' then "EP Score" must be 'Not Applicable'</t>
  </si>
  <si>
    <t>LT_R_PR_042_01</t>
  </si>
  <si>
    <t>If "Protection Type" is populated with other than '8 - Residential real estate collateral', '9- Offices and commercial premises', '10 - Commercial real estate collateral' then "EPC Label Data Type" must be 'Not Applicable'</t>
  </si>
  <si>
    <t>LT_R_PR_042_02</t>
  </si>
  <si>
    <t>If "EPC Label" is populated with other than default values or 'EPCL8 - Without EPC Label' then "EPC Label Data Type" cannot be 'Not Applicable'</t>
  </si>
  <si>
    <t>LT_R_PR_042_03</t>
  </si>
  <si>
    <t>If "EPC Label" is populated with 'Not Applicable' values or 'EPCL8 - Without EPC Label' then "EPC Label Data Type" must be 'Not Applicable'</t>
  </si>
  <si>
    <t>LT_R_PR_043_01</t>
  </si>
  <si>
    <t>If "Protection Type" is populated with other than '8 - Residential real estate collateral', '9- Offices and commercial premises', '10 - Commercial real estate collateral' then "EPC Label" must be 'Not Applicable'</t>
  </si>
  <si>
    <t>LT_R_PR_044_01</t>
  </si>
  <si>
    <t>If "Protection Type" is populated with other than '8 - Residential real estate collateral', '9- Offices and commercial premises', '10 - Commercial real estate collateral' or '51 - Auto Collateral' then "EPC or Vehicle emissions label data type" must be 'Not Applicable'</t>
  </si>
  <si>
    <t>LT_R_PR_044_02</t>
  </si>
  <si>
    <t>If "EPC emissions label" is populated with other than default values or 'EPCL8 - Without EPC Label' then "EPC or Vehicle emissions label data type" cannot be 'Not Applicable'</t>
  </si>
  <si>
    <t>LT_R_PR_044_03</t>
  </si>
  <si>
    <t>If "Vehicle emissions label" is populated with other than default values then "EPC or Vehicle emissions label data type" cannot be 'Not Applicable'</t>
  </si>
  <si>
    <t>LT_R_PR_045_01</t>
  </si>
  <si>
    <t>If "Protection Type" is populated with other than '8 - Residential real estate collateral', '9- Offices and commercial premises' or '10 - Commercial real estate collateral' then "EPC emissions label" must be 'Not Applicable'</t>
  </si>
  <si>
    <t>LT_R_PR_046_01</t>
  </si>
  <si>
    <t>If "Protection Type" is populated with other than '51 - Auto Collateral' then "Vehicle emissions label" must be 'Not Applicable'</t>
  </si>
  <si>
    <t>LT_R_PR_047_01</t>
  </si>
  <si>
    <t>If "Protection Type" is populated with other than '8 - Residential real estate collateral', '9- Offices and commercial premises', '10 - Commercial real estate collateral' or '51 - Auto Collateral' then "Emissions score data type" must be 'Not Applicable'</t>
  </si>
  <si>
    <t>LT_R_PR_047_02</t>
  </si>
  <si>
    <t>If "EPC emissions score" is populated with other than default values then "Emissions score data type" cannot be 'Not Applicable'</t>
  </si>
  <si>
    <t>LT_R_PR_047_03</t>
  </si>
  <si>
    <t>If "Vehicle's emissions score" is populated with other than default values then "Emissions score data type" cannot be 'Not Applicable'</t>
  </si>
  <si>
    <t>LT_R_PR_048_01</t>
  </si>
  <si>
    <t>If "Protection Type" is populated with other than '8 - Residential real estate collateral', '9- Offices and commercial premises' or '10 - Commercial real estate collateral' then "EPC emissions score" must be 'Not Applicable'</t>
  </si>
  <si>
    <t>LT_R_PR_049_01</t>
  </si>
  <si>
    <t>If "Protection Type" is populated with other than '51 - Auto Collateral' then "Vehicle's emissions score" must be 'Not Applicable'</t>
  </si>
  <si>
    <t>LT_R_PR_050_01</t>
  </si>
  <si>
    <t>If "Financed emissions calculation approach at protection level scope 1" is populated with other than default values then "Protection's emissions scope 1" cannot be 'Not Applicable'</t>
  </si>
  <si>
    <t>LT_R_PR_050_02</t>
  </si>
  <si>
    <t>If "Financed emissions calculation approach at protection level scope 1" is populated with 'Not Applicable' values then "Protection's emissions scope 1" must be 'Not Applicable'</t>
  </si>
  <si>
    <t>LT_R_PR_050_03</t>
  </si>
  <si>
    <t>If "Protection Type" is populated with other than '8 - Residential real estate collateral', '9- Offices and commercial premises', '10 - Commercial real estate collateral' or '51 - Auto Collateral' then "Protection's emissions scope 1" must be 'Not Applicable'</t>
  </si>
  <si>
    <t>LT_R_PR_051_01</t>
  </si>
  <si>
    <t>If "Financed emissions calculation approach at protection level scope 2" is populated with other than default values then "Protection's emissions scope 2" cannot be 'Not Applicable'</t>
  </si>
  <si>
    <t>LT_R_PR_051_02</t>
  </si>
  <si>
    <t>If "Financed emissions calculation approach at protection level scope 2" is populated with 'Not Applicable' values then "Protection's emissions scope 2" must be 'Not Applicable'</t>
  </si>
  <si>
    <t>LT_R_PR_051_03</t>
  </si>
  <si>
    <t>If "Protection Type" is populated with other than '8 - Residential real estate collateral', '9- Offices and commercial premises', '10 - Commercial real estate collateral' or '51 - Auto Collateral' then "Protection's emissions scope 2" must be 'Not Applicable'</t>
  </si>
  <si>
    <t>LT_R_PR_052_01</t>
  </si>
  <si>
    <t>If "Financed emissions calculation approach at protection level scope 3" is populated with other than default values then "Protection's emissions scope 3" cannot be 'Not Applicable'</t>
  </si>
  <si>
    <t>LT_R_PR_052_02</t>
  </si>
  <si>
    <t>If "Financed emissions calculation approach at protection level scope 3" is populated with 'Not Applicable' values then "Protection's emissions scope 3" must be 'Not Applicable'</t>
  </si>
  <si>
    <t>LT_R_PR_052_03</t>
  </si>
  <si>
    <t>If "Protection Type" is populated with other than '8 - Residential real estate collateral', '9- Offices and commercial premises', '10 - Commercial real estate collateral' or '51 - Auto Collateral' then "Protection's emissions scope 3" must be 'Not Applicable'</t>
  </si>
  <si>
    <t>LT_R_PR_053_01</t>
  </si>
  <si>
    <t>If "Financed emissions calculation approach at instrument level scope 1" is set as 'IM15 - Based on Financed assets - Motor vehicle loans' then at least one PROTECTION_ID linked to INSTRUMENT_ID "Financed emissions calculation approach at protection level scope 1"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</si>
  <si>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LT_R_PR_053_02</t>
  </si>
  <si>
    <t>If "Financed emissions calculation approach at instrument level scope 1" is set as 'IM16 - Based on financed assets - Commercial real estate loans' then at least one PROTECTION_ID linked to INSTRUMENT_ID "Financed emissions calculation approach at protection level scope 1"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</si>
  <si>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LT_R_PR_054_01</t>
  </si>
  <si>
    <t>If "Financed emissions calculation approach at instrument level scope 2" is set as 'IM15 - Based on Financed assets - Motor vehicle loans' then at least one PROTECTION_ID linked to INSTRUMENT_ID "Financed emissions calculation approach at protection level scope 2"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</si>
  <si>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LT_R_PR_054_02</t>
  </si>
  <si>
    <t>If "Financed emissions calculation approach at instrument level scope 2" is set as 'IM16 - Based on financed assets - Commercial real estate loans' then at least one PROTECTION_ID linked to INSTRUMENT_ID "Financed emissions calculation approach at protection level scope 2"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</si>
  <si>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LT_R_PR_055_01</t>
  </si>
  <si>
    <t>If "Financed emissions calculation approach at instrument level scope 3" is set as 'IM15 - Based on Financed assets - Motor vehicle loans' then at least one PROTECTION_ID linked to INSTRUMENT_ID "Financed emissions calculation approach at protection level scope 3" must be populated as 'PM01 - Based on fuel consumption', 'PM02 - Based on vehicle distance', 'PM03 - Average distance per province/state', 'PM04 - Average distance per country', 'PM05 - Distance by country/state - known vehicle type' or 'PM06 - Distance by country/state - unknown vehicle type'</t>
  </si>
  <si>
    <t>LT_R_PR_055_02</t>
  </si>
  <si>
    <t>If "Financed emissions calculation approach at instrument level scope 3" is set as 'IM16 - Based on financed assets - Commercial real estate loans' then at least one PROTECTION_ID linked to INSTRUMENT_ID "Financed emissions calculation approach at protection level scope 3" must be populated as 'PM07 - Supplier specific factors and energy consumption', 'PM08 - Average emission factors and energy consumption', 'PM09 - Average based on EPC label and floor area', 'PM10 - Average based on location/building statistical and floor area' or 'PM11 - Average based on number of buildings'</t>
  </si>
  <si>
    <t>LT_R_PR_056_01</t>
  </si>
  <si>
    <t>If "Protection Type" is populated with other than '8 - Residential real estate collateral', '9- Offices and commercial premises' or '10 - Commercial real estate collateral' then "Flag Acute Physical Risk at protection level" must be 'N - No'</t>
  </si>
  <si>
    <t>LT_R_PR_057_01</t>
  </si>
  <si>
    <t>If "Protection Type" is populated with other than '8 - Residential real estate collateral', '9- Offices and commercial premises' or '10 - Commercial real estate collateral' then "Flag Chronic Physical Risk at protection level" must be 'N - No'</t>
  </si>
  <si>
    <t>LT_R_PR_059_01</t>
  </si>
  <si>
    <t>If "Insurance ID" is populated with other than default values then "Type of hazards insured" cannot be 'Not Applicable'</t>
  </si>
  <si>
    <t>LT_R_PR_059_02</t>
  </si>
  <si>
    <t>If "Insurance ID" is populated with 'Not Applicable' values then "Type of hazards insured" must be defaulted</t>
  </si>
  <si>
    <t>LT_R_PR_060_01</t>
  </si>
  <si>
    <t>If "Insurance ID" is populated with other than default values then "Total amount covered by the insurance" cannot be 'Not Applicable'</t>
  </si>
  <si>
    <t>LT_R_PR_060_02</t>
  </si>
  <si>
    <t>If "Insurance ID" is populated with 'Not Applicable' values then "Total amount covered by the insurance" must be defaulted</t>
  </si>
  <si>
    <t>LT_R_PR_061_01</t>
  </si>
  <si>
    <t>If "Insurance ID" is populated with other than default values then "Maturity date of the insurance" cannot be 'Not Applicable'</t>
  </si>
  <si>
    <t>LT_R_PR_061_02</t>
  </si>
  <si>
    <t>If "Insurance ID" is populated with 'Not Applicable' values then "Maturity date of the insurance" must be defaulted</t>
  </si>
  <si>
    <t>LT_R_PR_062_01</t>
  </si>
  <si>
    <t>If "Protection Type" is populated with other than '8 - Residential real estate collateral', '9- Offices and commercial premises' or '10 - Commercial real estate collateral' then "Flag first home" must be 'N - No'</t>
  </si>
  <si>
    <t>LT_R_PR_063_01</t>
  </si>
  <si>
    <t>If "Construction status" is set as '1 - Built' then "Year of Construction" cannot be 'Not Applicable'</t>
  </si>
  <si>
    <t>LT_R_PR_063_02</t>
  </si>
  <si>
    <t>If "Date of first usage of the building" is lower than or equal to "Reference Date" then "Year of Construction" cannot be 'Not Applicable'</t>
  </si>
  <si>
    <t>LT_R_PR_064_01</t>
  </si>
  <si>
    <t>If "Protection Type" is set as '8 - Residential real estate collateral', '9- Offices and commercial premises', '10 - Commercial real estate collateral' then "Building Area (M2)" cannot be 'Not applicable'</t>
  </si>
  <si>
    <t>LT_R_PR_064_02</t>
  </si>
  <si>
    <t>If "Protection Type" is populated with other values than '8 - Residential real estate collateral', '9- Offices and commercial premises', '10 - Commercial real estate collateral' then "Building Area (M2)" must be default a default value</t>
  </si>
  <si>
    <t>LT_R_PR_065_01</t>
  </si>
  <si>
    <t>If "Protection Type" is set as '8 - Residential real estate collateral', '9- Offices and commercial premises', '10 - Commercial real estate collateral' then "Land Area (M2)" cannot be 'Not applicable'</t>
  </si>
  <si>
    <t>LT_R_PR_065_02</t>
  </si>
  <si>
    <t>If "Protection Type" is populated with other values than '8 - Residential real estate collateral', '9- Offices and commercial premises', '10 - Commercial real estate collateral' then "Land Area (M2)" must be default a default value</t>
  </si>
  <si>
    <t>LT_R_PR_065_03</t>
  </si>
  <si>
    <t>The sum of "Land Area (M2)" and "Building Area (M2)" must be greater than 30</t>
  </si>
  <si>
    <t>LT_R_PR_067_01</t>
  </si>
  <si>
    <t>If "Protection type" is '8 - Residential real estate collateral', '9 - Offices and commercial premises' or '10 - Commercial real estate collateral', then "Real estate sustainable certifications" cannot be 'Not Applicable'</t>
  </si>
  <si>
    <t>LT_R_PR_067_02</t>
  </si>
  <si>
    <t>If "Protection type" is not '8 - Residential real estate collateral', '9 - Offices and commercial premises' or '10 - Commercial real estate collateral', then "Real estate sustainable certifications" must be 'Not Applicable'</t>
  </si>
  <si>
    <t>LT_R_PR_068_01</t>
  </si>
  <si>
    <t>If "Protection type" is '51 - Auto collateral' then "Type of vehicle" cannot be 'Not Applicable'</t>
  </si>
  <si>
    <t>LT_R_PR_068_02</t>
  </si>
  <si>
    <t>If "Protection type" is populated with other than '51 - Auto collateral' then "Type of vehicle" must be 'Not Applicable'</t>
  </si>
  <si>
    <t>LT_R_PR_069_01</t>
  </si>
  <si>
    <t>If "Protection type" is '51 - Auto collateral' then "Registration date of the vehicle" cannot be 'Not Applicable'</t>
  </si>
  <si>
    <t>LT_R_PR_069_02</t>
  </si>
  <si>
    <t>If "Protection type" is populated with other than '51 - Auto collateral' then "Registration date of the vehicle" must be 'Not Applicable'</t>
  </si>
  <si>
    <t>LT_R_PR_069_03</t>
  </si>
  <si>
    <t>"Registration date of the vehicle" must be earlier than "Date of original protection value"</t>
  </si>
  <si>
    <t>LT_R_PR_070_01</t>
  </si>
  <si>
    <t>If "Real estate collateral location" is populated with other than 'ES - Spain', then "Actual annual primary energy demand from non-renewable sources of the building" must be 'Not Applicable'</t>
  </si>
  <si>
    <t>LT_R_PR_070_02</t>
  </si>
  <si>
    <t>If "Real estate collateral location" is set as 'ES - Spain', then "Actual annual primary energy demand from non-renewable sources of the building" cannot be 'Not Applicable'</t>
  </si>
  <si>
    <t>LT_R_PR_071_01</t>
  </si>
  <si>
    <t>If "Real estate collateral location" is set as 'ES - Spain', then "Actual annual primary energy demand of the building" must be 'Not Applicable'</t>
  </si>
  <si>
    <t>LT_R_PR_071_02</t>
  </si>
  <si>
    <t>If "Real estate collateral location" is populated with other than 'ES - Spain', then "Actual annual primary energy demand of the building" cannot be 'Not Applicable'</t>
  </si>
  <si>
    <t>LT_R_PR_072_01</t>
  </si>
  <si>
    <t>If "Real estate collateral location" is populated with other than 'PT - Portugal', then "Annual primary energy demand of reference" must be 'Not Applicable'</t>
  </si>
  <si>
    <t>LT_R_PR_072_02</t>
  </si>
  <si>
    <t>If "Real estate collateral location" is set as 'PT - Portugal', then "Annual primary energy demand of reference" cannot be 'Not Applicable'</t>
  </si>
  <si>
    <t>LT_R_PR_073_01</t>
  </si>
  <si>
    <t>If "Real estate collateral location" is populated with other than 'ES - Spain', then "Climatic zone of the building" must be 'Not Applicable'</t>
  </si>
  <si>
    <t>LT_R_PR_073_02</t>
  </si>
  <si>
    <t>If "Real estate collateral location" is set as 'ES - Spain', then "Climatic zone of the building" cannot be 'Not Applicable'</t>
  </si>
  <si>
    <t>LT_R_PR_074_01</t>
  </si>
  <si>
    <t>If "Protection type" is '8 - Residential real estate collateral', '9 - Offices and commercial premises' or '10 - Commercial real estate collateral', then "Real estate longitude" cannot be 'Not Applicable'</t>
  </si>
  <si>
    <t>LT_R_PR_074_02</t>
  </si>
  <si>
    <t>If "Protection type" is populated with other than '8 - Residential real estate collateral', '9 - Offices and commercial premises' or '10 - Commercial real estate collateral', then "Real estate longitude" must be 'Not Applicable'</t>
  </si>
  <si>
    <t>LT_R_PR_075_01</t>
  </si>
  <si>
    <t>If "Protection type" is '8 - Residential real estate collateral', '9 - Offices and commercial premises' or '10 - Commercial real estate collateral', then "Real estate latitude" cannot be 'Not Applicable'</t>
  </si>
  <si>
    <t>LT_R_PR_075_02</t>
  </si>
  <si>
    <t>If "Protection type" is populated with other than '8 - Residential real estate collateral', '9 - Offices and commercial premises' or '10 - Commercial real estate collateral', then "Real estate latitude" must be 'Not Applicable'</t>
  </si>
  <si>
    <t>LT_R_PR_076_01</t>
  </si>
  <si>
    <t>If "Protection type" is '51 - Auto collateral' then "Flag of electric vehicle" cannot be 'Not Applicable'</t>
  </si>
  <si>
    <t>LT_R_PR_076_02</t>
  </si>
  <si>
    <t>If "Protection type" is populated with other than '51 - Auto collateral' then "Flag of electric vehicle" must be 'No'</t>
  </si>
  <si>
    <t>LT_S_AC_000_01</t>
  </si>
  <si>
    <t>Missing critical fields: file does not contain some of the key fields required</t>
  </si>
  <si>
    <t>STRUCTURE</t>
  </si>
  <si>
    <t>LT_S_AC</t>
  </si>
  <si>
    <t>LT_S_AC_000_02</t>
  </si>
  <si>
    <t>Received field names not expected: file contains field names not requested</t>
  </si>
  <si>
    <t>LT_S_AC_000_03</t>
  </si>
  <si>
    <t>Missing field names: file does not contain some of the required field names</t>
  </si>
  <si>
    <t>LT_S_AC_001_01</t>
  </si>
  <si>
    <t>"Entity code of the informing society" can only be informed as one value in INSTR_ACTIVITY table</t>
  </si>
  <si>
    <t>LT_S_AC_002_01</t>
  </si>
  <si>
    <t>"Reference date" can only be informed as one value in INSTR_ACTIVITY table</t>
  </si>
  <si>
    <t>LT_S_EN_000_01</t>
  </si>
  <si>
    <t>LT_S_EN</t>
  </si>
  <si>
    <t>LT_S_EN_000_02</t>
  </si>
  <si>
    <t>LT_S_EN_000_03</t>
  </si>
  <si>
    <t>LT_S_EN_001_01</t>
  </si>
  <si>
    <t>"Entity code of the informing society" can only be informed as one value in ENTITY table</t>
  </si>
  <si>
    <t>LT_S_EN_009_01</t>
  </si>
  <si>
    <t>"Reference date" can only be informed as one value in ENTITY table</t>
  </si>
  <si>
    <t>LT_S_IE_000_01</t>
  </si>
  <si>
    <t>LT_S_IE</t>
  </si>
  <si>
    <t>LT_S_IE_000_02</t>
  </si>
  <si>
    <t>LT_S_IE_000_03</t>
  </si>
  <si>
    <t>LT_S_IE_001_01</t>
  </si>
  <si>
    <t>"Entity code of the informing society" can only be informed as one value in INSTR_ENTITY table</t>
  </si>
  <si>
    <t>LT_S_IE_002_01</t>
  </si>
  <si>
    <t>"Reference date" can only be informed as one value in INSTR_ENTITY table</t>
  </si>
  <si>
    <t>LT_S_IN_000_01</t>
  </si>
  <si>
    <t>LT_S_IN</t>
  </si>
  <si>
    <t>LT_S_IN_000_02</t>
  </si>
  <si>
    <t>LT_S_IN_000_03</t>
  </si>
  <si>
    <t>LT_S_IN_000_04</t>
  </si>
  <si>
    <t>Missing critical data: no record contains a valid "Subportfolio ID"/"IDCMB". At least one record with valid "Subportfolio ID"/"IDCMB" is required.</t>
  </si>
  <si>
    <t>SUBPORTFOLIOID</t>
  </si>
  <si>
    <t>LT_S_IN_001_01</t>
  </si>
  <si>
    <t>"Entity code of the informing society" can only be informed as one value in INSTRUMENT table</t>
  </si>
  <si>
    <t>LT_S_IN_007_01</t>
  </si>
  <si>
    <t>"Reference date" can only be informed as one value in INSTRUMENT table</t>
  </si>
  <si>
    <t>LT_S_IP_000_01</t>
  </si>
  <si>
    <t>LT_S_IP</t>
  </si>
  <si>
    <t>LT_S_IP_000_02</t>
  </si>
  <si>
    <t>LT_S_IP_000_03</t>
  </si>
  <si>
    <t>LT_S_IP_001_01</t>
  </si>
  <si>
    <t>"Entity code of the informing society" can only be informed as one value in INSTR_PROTECTION table</t>
  </si>
  <si>
    <t>LT_S_IP_002_01</t>
  </si>
  <si>
    <t>"Reference date" can only be informed as one value in INSTR_PROTECTION table</t>
  </si>
  <si>
    <t>LT_S_PR_000_01</t>
  </si>
  <si>
    <t>LT_S_PR</t>
  </si>
  <si>
    <t>LT_S_PR_000_02</t>
  </si>
  <si>
    <t>LT_S_PR_000_03</t>
  </si>
  <si>
    <t>LT_S_PR_001_01</t>
  </si>
  <si>
    <t>"Entity code of the informing society" can only be informed as one value in PROTECTION table</t>
  </si>
  <si>
    <t>LT_S_PR_003_01</t>
  </si>
  <si>
    <t>"Reference date" can only be informed as one value in PROTECTION table</t>
  </si>
  <si>
    <t>FLAG Controlo Ficheiro PDS</t>
  </si>
  <si>
    <t>STREAM 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</si>
</sst>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b/>
      <sz val="11"/>
      <color theme="1"/>
      <name val="Aptos Narrow"/>
      <family val="2"/>
      <scheme val="minor"/>
    </font>
    <font>
      <sz val="11"/>
      <color theme="1"/>
      <name val="Aptos Narrow"/>
      <family val="2"/>
      <scheme val="minor"/>
    </font>
    <font>
      <sz val="8"/>
      <color theme="1"/>
      <name val="Arial"/>
      <family val="2"/>
    </font>
    <font>
      <b/>
      <sz val="11"/>
      <color theme="0"/>
      <name val="Aptos Narrow"/>
      <family val="2"/>
      <scheme val="minor"/>
    </font>
    <font>
      <b/>
      <sz val="11"/>
      <color theme="0"/>
      <name val="Calibri"/>
      <family val="2"/>
    </font>
    <font>
      <sz val="11"/>
      <color rgb="FF000000"/>
      <name val="Calibri"/>
      <family val="2"/>
    </font>
    <font>
      <sz val="10"/>
      <color theme="1"/>
      <name val="Santander Text"/>
      <family val="2"/>
    </font>
    <font>
      <sz val="10"/>
      <name val="Santander Text"/>
      <family val="2"/>
    </font>
    <font>
      <sz val="10"/>
      <color rgb="FF000000"/>
      <name val="Santander Text"/>
      <family val="2"/>
    </font>
    <font>
      <b/>
      <sz val="10"/>
      <color theme="0"/>
      <name val="Santander Text"/>
      <family val="2"/>
    </font>
    <font>
      <b/>
      <sz val="11"/>
      <name val="Aptos Narrow"/>
      <family val="2"/>
      <scheme val="minor"/>
    </font>
    <font>
      <sz val="11"/>
      <color theme="0"/>
      <name val="Aptos Narrow"/>
      <family val="2"/>
      <scheme val="minor"/>
    </font>
    <font>
      <sz val="11"/>
      <name val="Calibri"/>
      <family val="2"/>
    </font>
    <font>
      <b/>
      <sz val="11"/>
      <color theme="0" tint="-0.249977111117893"/>
      <name val="Aptos Narrow"/>
      <family val="2"/>
      <scheme val="minor"/>
    </font>
    <font>
      <b/>
      <u/>
      <sz val="11"/>
      <color theme="1"/>
      <name val="Aptos Narrow"/>
      <family val="2"/>
      <scheme val="minor"/>
    </font>
    <font>
      <sz val="12"/>
      <color theme="1"/>
      <name val="Aptos Narrow"/>
      <family val="2"/>
      <scheme val="minor"/>
    </font>
    <font>
      <sz val="11"/>
      <color theme="1"/>
      <name val="Santander Text"/>
      <family val="2"/>
    </font>
    <font>
      <b/>
      <sz val="12"/>
      <color theme="1"/>
      <name val="Aptos Narrow"/>
      <family val="2"/>
      <scheme val="minor"/>
    </font>
    <font>
      <b/>
      <sz val="12"/>
      <color theme="0"/>
      <name val="Aptos Narrow"/>
      <family val="2"/>
      <scheme val="minor"/>
    </font>
    <font>
      <b/>
      <u/>
      <sz val="12"/>
      <color theme="1"/>
      <name val="Aptos Narrow"/>
      <family val="2"/>
      <scheme val="minor"/>
    </font>
    <font>
      <b/>
      <sz val="36"/>
      <color theme="0"/>
      <name val="Aptos Narrow"/>
      <family val="2"/>
      <scheme val="minor"/>
    </font>
    <font>
      <sz val="14"/>
      <color theme="1"/>
      <name val="Aptos Narrow"/>
      <family val="2"/>
      <scheme val="minor"/>
    </font>
    <font>
      <sz val="14"/>
      <color rgb="FF000000"/>
      <name val="Aptos Narrow"/>
      <family val="2"/>
      <scheme val="minor"/>
    </font>
    <font>
      <sz val="15"/>
      <color theme="1"/>
      <name val="Aptos Narrow"/>
      <family val="2"/>
      <scheme val="minor"/>
    </font>
    <font>
      <b/>
      <sz val="15"/>
      <color theme="0"/>
      <name val="Aptos Narrow"/>
      <family val="2"/>
      <scheme val="minor"/>
    </font>
    <font>
      <sz val="15"/>
      <name val="Aptos Narrow"/>
      <family val="2"/>
      <scheme val="minor"/>
    </font>
    <font>
      <b/>
      <sz val="15"/>
      <color theme="1"/>
      <name val="Aptos Narrow"/>
      <family val="2"/>
      <scheme val="minor"/>
    </font>
    <font>
      <sz val="15"/>
      <color rgb="FF000000"/>
      <name val="Aptos Narrow"/>
      <family val="2"/>
      <scheme val="minor"/>
    </font>
    <font>
      <sz val="15"/>
      <color rgb="FF000000"/>
      <name val="Calibri"/>
      <family val="2"/>
    </font>
    <font>
      <sz val="15"/>
      <color theme="0" tint="-0.34998626667073579"/>
      <name val="Aptos Narrow"/>
      <family val="2"/>
      <scheme val="minor"/>
    </font>
  </fonts>
  <fills count="21">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theme="9"/>
        <bgColor indexed="64"/>
      </patternFill>
    </fill>
    <fill>
      <patternFill patternType="solid">
        <fgColor theme="9" tint="0.79998168889431442"/>
        <bgColor indexed="64"/>
      </patternFill>
    </fill>
    <fill>
      <patternFill patternType="solid">
        <fgColor theme="5"/>
        <bgColor indexed="64"/>
      </patternFill>
    </fill>
    <fill>
      <patternFill patternType="solid">
        <fgColor rgb="FFFFFF00"/>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2"/>
        <bgColor indexed="64"/>
      </patternFill>
    </fill>
    <fill>
      <patternFill patternType="solid">
        <fgColor theme="2" tint="-0.499984740745262"/>
        <bgColor indexed="64"/>
      </patternFill>
    </fill>
    <fill>
      <patternFill patternType="solid">
        <fgColor rgb="FFFF7C80"/>
        <bgColor indexed="64"/>
      </patternFill>
    </fill>
    <fill>
      <patternFill patternType="solid">
        <fgColor theme="0"/>
        <bgColor indexed="64"/>
      </patternFill>
    </fill>
    <fill>
      <patternFill patternType="solid">
        <fgColor rgb="FFFFE181"/>
        <bgColor indexed="64"/>
      </patternFill>
    </fill>
  </fills>
  <borders count="27">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hair">
        <color indexed="64"/>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rgb="FFFF0000"/>
      </bottom>
      <diagonal/>
    </border>
  </borders>
  <cellStyleXfs count="3">
    <xf numFmtId="0" fontId="0" fillId="0" borderId="0"/>
    <xf numFmtId="9" fontId="2" fillId="0" borderId="0" applyFont="0" applyFill="0" applyBorder="0" applyAlignment="0" applyProtection="0"/>
    <xf numFmtId="0" fontId="16" fillId="0" borderId="0"/>
  </cellStyleXfs>
  <cellXfs count="187">
    <xf numFmtId="0" fontId="0" fillId="0" borderId="0" xfId="0"/>
    <xf numFmtId="0" fontId="0" fillId="0" borderId="0" xfId="0" applyAlignment="1">
      <alignment vertical="center"/>
    </xf>
    <xf numFmtId="0" fontId="1" fillId="0" borderId="0" xfId="0" applyFont="1"/>
    <xf numFmtId="0" fontId="1" fillId="0" borderId="0" xfId="0" applyFont="1" applyAlignment="1">
      <alignment vertical="center"/>
    </xf>
    <xf numFmtId="0" fontId="0" fillId="0" borderId="0" xfId="0" applyAlignment="1">
      <alignment vertical="center" wrapText="1"/>
    </xf>
    <xf numFmtId="0" fontId="3" fillId="2" borderId="0" xfId="0" applyFont="1" applyFill="1" applyAlignment="1">
      <alignment vertical="center"/>
    </xf>
    <xf numFmtId="9" fontId="0" fillId="0" borderId="0" xfId="1" applyFont="1"/>
    <xf numFmtId="0" fontId="0" fillId="0" borderId="0" xfId="0" applyAlignment="1">
      <alignment horizontal="left"/>
    </xf>
    <xf numFmtId="0" fontId="5" fillId="3" borderId="0" xfId="0" applyFont="1" applyFill="1" applyAlignment="1">
      <alignment horizontal="center" vertical="center"/>
    </xf>
    <xf numFmtId="0" fontId="6" fillId="0" borderId="0" xfId="0" applyFont="1" applyAlignment="1">
      <alignment vertical="center" wrapText="1"/>
    </xf>
    <xf numFmtId="0" fontId="0" fillId="4" borderId="0" xfId="0" applyFill="1"/>
    <xf numFmtId="0" fontId="0" fillId="5" borderId="0" xfId="0" applyFill="1"/>
    <xf numFmtId="0" fontId="0" fillId="0" borderId="0" xfId="0" applyAlignment="1">
      <alignment horizontal="left" indent="1"/>
    </xf>
    <xf numFmtId="0" fontId="0" fillId="0" borderId="0" xfId="0" applyAlignment="1">
      <alignment horizontal="left" vertical="center" indent="1"/>
    </xf>
    <xf numFmtId="0" fontId="3" fillId="2" borderId="0" xfId="0" applyFont="1" applyFill="1" applyAlignment="1">
      <alignment horizontal="left" vertical="center" indent="1"/>
    </xf>
    <xf numFmtId="14" fontId="0" fillId="0" borderId="0" xfId="0" applyNumberFormat="1"/>
    <xf numFmtId="0" fontId="5" fillId="6" borderId="0" xfId="0" applyFont="1" applyFill="1" applyAlignment="1">
      <alignment horizontal="center" vertical="center"/>
    </xf>
    <xf numFmtId="0" fontId="0" fillId="0" borderId="0" xfId="0" applyAlignment="1">
      <alignment horizontal="left" indent="2"/>
    </xf>
    <xf numFmtId="0" fontId="0" fillId="7" borderId="0" xfId="0" applyFill="1"/>
    <xf numFmtId="0" fontId="5" fillId="6" borderId="0" xfId="0" applyFont="1" applyFill="1" applyAlignment="1">
      <alignment horizontal="center" vertical="center" wrapText="1"/>
    </xf>
    <xf numFmtId="0" fontId="4" fillId="3" borderId="0" xfId="0" applyFont="1" applyFill="1" applyAlignment="1">
      <alignment vertical="center"/>
    </xf>
    <xf numFmtId="0" fontId="4" fillId="8" borderId="0" xfId="0" applyFont="1" applyFill="1" applyAlignment="1">
      <alignment vertical="center"/>
    </xf>
    <xf numFmtId="0" fontId="0" fillId="0" borderId="0" xfId="0" pivotButton="1"/>
    <xf numFmtId="0" fontId="0" fillId="5" borderId="0" xfId="0" applyFill="1" applyAlignment="1">
      <alignment horizontal="left" indent="1"/>
    </xf>
    <xf numFmtId="0" fontId="7" fillId="0" borderId="0" xfId="0" applyFont="1"/>
    <xf numFmtId="0" fontId="8" fillId="0" borderId="1" xfId="0" quotePrefix="1"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readingOrder="1"/>
    </xf>
    <xf numFmtId="0" fontId="10" fillId="3" borderId="1" xfId="0" applyFont="1" applyFill="1" applyBorder="1"/>
    <xf numFmtId="0" fontId="0" fillId="0" borderId="0" xfId="0" applyAlignment="1">
      <alignment wrapText="1"/>
    </xf>
    <xf numFmtId="0" fontId="10" fillId="3" borderId="1" xfId="0" applyFont="1" applyFill="1" applyBorder="1" applyAlignment="1">
      <alignment vertical="center"/>
    </xf>
    <xf numFmtId="0" fontId="7" fillId="0" borderId="1" xfId="0" applyFont="1" applyBorder="1" applyAlignment="1">
      <alignment vertical="center"/>
    </xf>
    <xf numFmtId="0" fontId="7" fillId="0" borderId="0" xfId="0" applyFont="1" applyAlignment="1">
      <alignment vertical="center"/>
    </xf>
    <xf numFmtId="0" fontId="0" fillId="0" borderId="1" xfId="0" quotePrefix="1" applyBorder="1"/>
    <xf numFmtId="0" fontId="8" fillId="9" borderId="1" xfId="0" quotePrefix="1" applyFont="1" applyFill="1" applyBorder="1" applyAlignment="1">
      <alignment horizontal="left" vertical="center" wrapText="1"/>
    </xf>
    <xf numFmtId="0" fontId="0" fillId="11" borderId="0" xfId="0" applyFill="1"/>
    <xf numFmtId="0" fontId="0" fillId="11" borderId="2" xfId="0" applyFill="1" applyBorder="1" applyAlignment="1">
      <alignment horizontal="center"/>
    </xf>
    <xf numFmtId="0" fontId="0" fillId="11" borderId="2" xfId="1" applyNumberFormat="1" applyFont="1" applyFill="1" applyBorder="1" applyAlignment="1">
      <alignment horizontal="center"/>
    </xf>
    <xf numFmtId="0" fontId="0" fillId="10" borderId="2" xfId="0" applyFill="1" applyBorder="1" applyAlignment="1">
      <alignment horizontal="center"/>
    </xf>
    <xf numFmtId="0" fontId="0" fillId="12" borderId="2" xfId="0" applyFill="1" applyBorder="1" applyAlignment="1">
      <alignment horizontal="center"/>
    </xf>
    <xf numFmtId="0" fontId="11" fillId="11" borderId="2" xfId="0" applyFont="1" applyFill="1" applyBorder="1"/>
    <xf numFmtId="0" fontId="1" fillId="11" borderId="0" xfId="0" applyFont="1" applyFill="1"/>
    <xf numFmtId="0" fontId="0" fillId="11" borderId="0" xfId="0" applyFill="1" applyAlignment="1">
      <alignment horizontal="left" indent="2"/>
    </xf>
    <xf numFmtId="0" fontId="0" fillId="0" borderId="0" xfId="0" applyAlignment="1">
      <alignment horizontal="center"/>
    </xf>
    <xf numFmtId="0" fontId="11" fillId="11" borderId="2" xfId="0" applyFont="1" applyFill="1" applyBorder="1" applyAlignment="1">
      <alignment vertical="center" wrapText="1"/>
    </xf>
    <xf numFmtId="0" fontId="11" fillId="11" borderId="0" xfId="0" applyFont="1" applyFill="1" applyAlignment="1">
      <alignment vertical="center" wrapText="1"/>
    </xf>
    <xf numFmtId="0" fontId="0" fillId="11" borderId="0" xfId="0" applyFill="1" applyAlignment="1">
      <alignment horizontal="center"/>
    </xf>
    <xf numFmtId="0" fontId="0" fillId="11" borderId="0" xfId="1" applyNumberFormat="1" applyFont="1" applyFill="1" applyBorder="1" applyAlignment="1">
      <alignment horizontal="center"/>
    </xf>
    <xf numFmtId="0" fontId="12" fillId="3" borderId="0" xfId="0" applyFont="1" applyFill="1" applyAlignment="1">
      <alignment vertical="center"/>
    </xf>
    <xf numFmtId="0" fontId="13" fillId="0" borderId="0" xfId="0" applyFont="1"/>
    <xf numFmtId="0" fontId="14" fillId="0" borderId="0" xfId="0" applyFont="1" applyAlignment="1">
      <alignment horizontal="center" vertical="center"/>
    </xf>
    <xf numFmtId="0" fontId="15" fillId="11" borderId="0" xfId="0" applyFont="1" applyFill="1"/>
    <xf numFmtId="0" fontId="11" fillId="11" borderId="3" xfId="0" applyFont="1" applyFill="1" applyBorder="1" applyAlignment="1">
      <alignment vertical="center" wrapText="1"/>
    </xf>
    <xf numFmtId="0" fontId="0" fillId="11" borderId="12" xfId="0" applyFill="1" applyBorder="1"/>
    <xf numFmtId="0" fontId="0" fillId="11" borderId="3" xfId="0" applyFill="1" applyBorder="1" applyAlignment="1">
      <alignment horizontal="left"/>
    </xf>
    <xf numFmtId="0" fontId="0" fillId="11" borderId="13" xfId="0" applyFill="1" applyBorder="1"/>
    <xf numFmtId="0" fontId="0" fillId="11" borderId="14" xfId="0" applyFill="1" applyBorder="1" applyAlignment="1">
      <alignment horizontal="left"/>
    </xf>
    <xf numFmtId="0" fontId="0" fillId="11" borderId="15" xfId="0" applyFill="1" applyBorder="1"/>
    <xf numFmtId="0" fontId="0" fillId="11" borderId="16" xfId="0" applyFill="1" applyBorder="1" applyAlignment="1">
      <alignment horizontal="left"/>
    </xf>
    <xf numFmtId="0" fontId="0" fillId="11" borderId="17" xfId="0" applyFill="1" applyBorder="1"/>
    <xf numFmtId="0" fontId="0" fillId="11" borderId="18" xfId="0" applyFill="1" applyBorder="1"/>
    <xf numFmtId="0" fontId="0" fillId="11" borderId="19" xfId="0" applyFill="1" applyBorder="1"/>
    <xf numFmtId="0" fontId="11" fillId="11" borderId="14" xfId="0" applyFont="1" applyFill="1" applyBorder="1" applyAlignment="1">
      <alignment vertical="center" wrapText="1"/>
    </xf>
    <xf numFmtId="0" fontId="0" fillId="11" borderId="3" xfId="0" applyFill="1" applyBorder="1"/>
    <xf numFmtId="0" fontId="0" fillId="0" borderId="20" xfId="0" pivotButton="1" applyBorder="1"/>
    <xf numFmtId="0" fontId="0" fillId="0" borderId="21" xfId="0" applyBorder="1"/>
    <xf numFmtId="0" fontId="0" fillId="0" borderId="4" xfId="0" applyBorder="1"/>
    <xf numFmtId="0" fontId="0" fillId="0" borderId="5" xfId="0" pivotButton="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7" xfId="0" pivotButton="1" applyBorder="1"/>
    <xf numFmtId="0" fontId="0" fillId="0" borderId="7" xfId="0" applyBorder="1" applyAlignment="1">
      <alignment horizontal="left"/>
    </xf>
    <xf numFmtId="0" fontId="0" fillId="0" borderId="9" xfId="0" applyBorder="1" applyAlignment="1">
      <alignment horizontal="left"/>
    </xf>
    <xf numFmtId="0" fontId="1" fillId="0" borderId="20" xfId="0" pivotButton="1" applyFont="1" applyBorder="1"/>
    <xf numFmtId="0" fontId="0" fillId="0" borderId="4" xfId="0" pivotButton="1" applyBorder="1"/>
    <xf numFmtId="0" fontId="1" fillId="0" borderId="21" xfId="0" applyFont="1" applyBorder="1"/>
    <xf numFmtId="9" fontId="0" fillId="0" borderId="0" xfId="0" applyNumberFormat="1" applyAlignment="1">
      <alignment horizontal="center"/>
    </xf>
    <xf numFmtId="9" fontId="0" fillId="0" borderId="8" xfId="0" applyNumberFormat="1"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9" fontId="0" fillId="0" borderId="11" xfId="0" applyNumberFormat="1" applyBorder="1" applyAlignment="1">
      <alignment horizontal="center"/>
    </xf>
    <xf numFmtId="0" fontId="0" fillId="0" borderId="8" xfId="0" applyBorder="1" applyAlignment="1">
      <alignment horizontal="center"/>
    </xf>
    <xf numFmtId="0" fontId="0" fillId="0" borderId="10" xfId="0" applyBorder="1"/>
    <xf numFmtId="0" fontId="0" fillId="0" borderId="11" xfId="0" applyBorder="1"/>
    <xf numFmtId="0" fontId="0" fillId="15" borderId="0" xfId="0" applyFill="1"/>
    <xf numFmtId="0" fontId="16" fillId="0" borderId="0" xfId="0" applyFont="1"/>
    <xf numFmtId="0" fontId="18" fillId="0" borderId="0" xfId="0" applyFont="1"/>
    <xf numFmtId="0" fontId="16" fillId="11" borderId="5" xfId="0" applyFont="1" applyFill="1" applyBorder="1"/>
    <xf numFmtId="0" fontId="16" fillId="11" borderId="6" xfId="0" applyFont="1" applyFill="1" applyBorder="1"/>
    <xf numFmtId="0" fontId="16" fillId="11" borderId="7" xfId="0" applyFont="1" applyFill="1" applyBorder="1"/>
    <xf numFmtId="0" fontId="16" fillId="11" borderId="0" xfId="0" applyFont="1" applyFill="1"/>
    <xf numFmtId="0" fontId="16" fillId="11" borderId="8" xfId="0" applyFont="1" applyFill="1" applyBorder="1"/>
    <xf numFmtId="0" fontId="16" fillId="11" borderId="9" xfId="0" applyFont="1" applyFill="1" applyBorder="1"/>
    <xf numFmtId="0" fontId="16" fillId="11" borderId="10" xfId="0" applyFont="1" applyFill="1" applyBorder="1"/>
    <xf numFmtId="0" fontId="16" fillId="11" borderId="11" xfId="0" applyFont="1" applyFill="1" applyBorder="1"/>
    <xf numFmtId="0" fontId="16" fillId="0" borderId="0" xfId="0" applyFont="1" applyAlignment="1">
      <alignment horizontal="left"/>
    </xf>
    <xf numFmtId="0" fontId="18" fillId="0" borderId="22" xfId="0" applyFont="1" applyBorder="1" applyAlignment="1">
      <alignment horizontal="left"/>
    </xf>
    <xf numFmtId="0" fontId="18" fillId="0" borderId="22" xfId="0" applyFont="1" applyBorder="1" applyAlignment="1">
      <alignment horizontal="center"/>
    </xf>
    <xf numFmtId="14" fontId="16" fillId="0" borderId="22" xfId="0" applyNumberFormat="1" applyFont="1" applyBorder="1" applyAlignment="1">
      <alignment horizontal="center" vertical="center"/>
    </xf>
    <xf numFmtId="0" fontId="18" fillId="0" borderId="0" xfId="0" applyFont="1" applyAlignment="1">
      <alignment horizontal="center"/>
    </xf>
    <xf numFmtId="0" fontId="18" fillId="0" borderId="0" xfId="0" applyFont="1" applyAlignment="1">
      <alignment horizontal="left"/>
    </xf>
    <xf numFmtId="9" fontId="16" fillId="0" borderId="0" xfId="1" applyFont="1"/>
    <xf numFmtId="0" fontId="16" fillId="0" borderId="0" xfId="0" applyFont="1" applyAlignment="1">
      <alignment horizontal="center" vertical="center"/>
    </xf>
    <xf numFmtId="0" fontId="20" fillId="11" borderId="4" xfId="0" applyFont="1" applyFill="1" applyBorder="1"/>
    <xf numFmtId="0" fontId="18" fillId="11" borderId="7" xfId="0" applyFont="1" applyFill="1" applyBorder="1"/>
    <xf numFmtId="0" fontId="20" fillId="11" borderId="7" xfId="0" applyFont="1" applyFill="1" applyBorder="1"/>
    <xf numFmtId="0" fontId="17" fillId="11" borderId="26" xfId="0" applyFont="1" applyFill="1" applyBorder="1" applyAlignment="1">
      <alignment horizontal="left"/>
    </xf>
    <xf numFmtId="0" fontId="17" fillId="11" borderId="26" xfId="0" applyFont="1" applyFill="1" applyBorder="1" applyAlignment="1">
      <alignment horizontal="left" wrapText="1"/>
    </xf>
    <xf numFmtId="0" fontId="19" fillId="2" borderId="22" xfId="0" applyFont="1" applyFill="1" applyBorder="1" applyAlignment="1">
      <alignment horizontal="center" vertical="center"/>
    </xf>
    <xf numFmtId="0" fontId="8" fillId="0" borderId="0" xfId="0" quotePrefix="1" applyFont="1" applyAlignment="1">
      <alignment horizontal="left" vertical="center" wrapText="1"/>
    </xf>
    <xf numFmtId="0" fontId="7" fillId="9" borderId="1" xfId="0" applyFont="1" applyFill="1" applyBorder="1" applyAlignment="1">
      <alignment vertical="center"/>
    </xf>
    <xf numFmtId="0" fontId="15" fillId="11" borderId="4" xfId="0" applyFont="1" applyFill="1" applyBorder="1"/>
    <xf numFmtId="0" fontId="0" fillId="11" borderId="5" xfId="0" applyFill="1" applyBorder="1"/>
    <xf numFmtId="0" fontId="0" fillId="11" borderId="6" xfId="0" applyFill="1" applyBorder="1"/>
    <xf numFmtId="0" fontId="15" fillId="11" borderId="7" xfId="0" applyFont="1" applyFill="1" applyBorder="1"/>
    <xf numFmtId="0" fontId="0" fillId="11" borderId="8" xfId="0" applyFill="1" applyBorder="1"/>
    <xf numFmtId="0" fontId="1" fillId="11" borderId="7" xfId="0" applyFont="1" applyFill="1" applyBorder="1"/>
    <xf numFmtId="0" fontId="0" fillId="11" borderId="7" xfId="0" applyFill="1" applyBorder="1"/>
    <xf numFmtId="0" fontId="0" fillId="11" borderId="9" xfId="0" applyFill="1" applyBorder="1"/>
    <xf numFmtId="0" fontId="0" fillId="11" borderId="10" xfId="0" applyFill="1" applyBorder="1"/>
    <xf numFmtId="0" fontId="0" fillId="11" borderId="11" xfId="0" applyFill="1" applyBorder="1"/>
    <xf numFmtId="0" fontId="0" fillId="11" borderId="0" xfId="0" applyFill="1" applyAlignment="1">
      <alignment vertical="top" wrapText="1"/>
    </xf>
    <xf numFmtId="0" fontId="0" fillId="11" borderId="8" xfId="0" applyFill="1" applyBorder="1" applyAlignment="1">
      <alignment vertical="top" wrapText="1"/>
    </xf>
    <xf numFmtId="0" fontId="0" fillId="11" borderId="7" xfId="0" applyFill="1" applyBorder="1" applyAlignment="1">
      <alignment vertical="top"/>
    </xf>
    <xf numFmtId="0" fontId="0" fillId="0" borderId="0" xfId="0" quotePrefix="1"/>
    <xf numFmtId="0" fontId="22" fillId="0" borderId="0" xfId="0" applyFont="1" applyAlignment="1">
      <alignment vertical="center"/>
    </xf>
    <xf numFmtId="9" fontId="22" fillId="0" borderId="0" xfId="1" applyFont="1" applyAlignment="1">
      <alignment vertical="center"/>
    </xf>
    <xf numFmtId="0" fontId="23" fillId="0" borderId="22" xfId="0" applyFont="1" applyBorder="1" applyAlignment="1">
      <alignment vertical="center"/>
    </xf>
    <xf numFmtId="0" fontId="22" fillId="0" borderId="22" xfId="0" applyFont="1" applyBorder="1" applyAlignment="1">
      <alignment vertical="center"/>
    </xf>
    <xf numFmtId="0" fontId="22" fillId="0" borderId="22" xfId="0" applyFont="1" applyBorder="1" applyAlignment="1">
      <alignment horizontal="center" vertical="center"/>
    </xf>
    <xf numFmtId="0" fontId="0" fillId="0" borderId="22" xfId="0" applyBorder="1"/>
    <xf numFmtId="0" fontId="0" fillId="18" borderId="0" xfId="0" applyFill="1"/>
    <xf numFmtId="0" fontId="24" fillId="11" borderId="26" xfId="0" applyFont="1" applyFill="1" applyBorder="1" applyAlignment="1">
      <alignment horizontal="left" vertical="center"/>
    </xf>
    <xf numFmtId="0" fontId="24" fillId="0" borderId="0" xfId="0" applyFont="1" applyAlignment="1">
      <alignment vertical="center"/>
    </xf>
    <xf numFmtId="9" fontId="24" fillId="0" borderId="0" xfId="1" applyFont="1" applyAlignment="1">
      <alignment vertical="center"/>
    </xf>
    <xf numFmtId="0" fontId="25" fillId="2" borderId="22" xfId="0" applyFont="1" applyFill="1" applyBorder="1" applyAlignment="1">
      <alignment horizontal="center" vertical="center"/>
    </xf>
    <xf numFmtId="14" fontId="24" fillId="0" borderId="22" xfId="1" applyNumberFormat="1" applyFont="1" applyBorder="1" applyAlignment="1">
      <alignment horizontal="center" vertical="center"/>
    </xf>
    <xf numFmtId="0" fontId="25" fillId="2" borderId="22" xfId="0" applyFont="1" applyFill="1" applyBorder="1" applyAlignment="1">
      <alignment horizontal="left" vertical="center"/>
    </xf>
    <xf numFmtId="9" fontId="25" fillId="2" borderId="22" xfId="1" applyFont="1" applyFill="1" applyBorder="1" applyAlignment="1">
      <alignment horizontal="center" vertical="center"/>
    </xf>
    <xf numFmtId="0" fontId="24" fillId="0" borderId="22" xfId="1" applyNumberFormat="1" applyFont="1" applyBorder="1" applyAlignment="1">
      <alignment horizontal="center" vertical="center"/>
    </xf>
    <xf numFmtId="9" fontId="24" fillId="0" borderId="22" xfId="1" applyFont="1" applyBorder="1" applyAlignment="1">
      <alignment horizontal="center" vertical="center"/>
    </xf>
    <xf numFmtId="0" fontId="25" fillId="2" borderId="22" xfId="1" applyNumberFormat="1" applyFont="1" applyFill="1" applyBorder="1" applyAlignment="1">
      <alignment horizontal="center" vertical="center"/>
    </xf>
    <xf numFmtId="0" fontId="24" fillId="0" borderId="0" xfId="0" applyFont="1" applyAlignment="1">
      <alignment horizontal="left" vertical="center"/>
    </xf>
    <xf numFmtId="14" fontId="24" fillId="0" borderId="0" xfId="1" applyNumberFormat="1" applyFont="1" applyBorder="1" applyAlignment="1">
      <alignment horizontal="center" vertical="center"/>
    </xf>
    <xf numFmtId="0" fontId="28" fillId="0" borderId="22" xfId="0" applyFont="1" applyBorder="1" applyAlignment="1">
      <alignment horizontal="center" vertical="center"/>
    </xf>
    <xf numFmtId="0" fontId="28" fillId="0" borderId="22" xfId="0" applyFont="1" applyBorder="1" applyAlignment="1">
      <alignment vertical="center"/>
    </xf>
    <xf numFmtId="0" fontId="24" fillId="0" borderId="21" xfId="0" applyFont="1" applyBorder="1" applyAlignment="1">
      <alignment vertical="center"/>
    </xf>
    <xf numFmtId="0" fontId="24" fillId="0" borderId="22" xfId="0" applyFont="1" applyBorder="1" applyAlignment="1">
      <alignment horizontal="center" vertical="center"/>
    </xf>
    <xf numFmtId="0" fontId="24" fillId="0" borderId="21" xfId="0" applyFont="1" applyBorder="1" applyAlignment="1">
      <alignment vertical="center" wrapText="1"/>
    </xf>
    <xf numFmtId="0" fontId="24" fillId="12" borderId="22" xfId="0" applyFont="1" applyFill="1" applyBorder="1" applyAlignment="1">
      <alignment horizontal="center" vertical="center"/>
    </xf>
    <xf numFmtId="0" fontId="24" fillId="0" borderId="22" xfId="0" applyFont="1" applyBorder="1" applyAlignment="1">
      <alignment vertical="center"/>
    </xf>
    <xf numFmtId="0" fontId="24" fillId="0" borderId="22" xfId="0" applyFont="1" applyBorder="1" applyAlignment="1">
      <alignment vertical="center" wrapText="1"/>
    </xf>
    <xf numFmtId="0" fontId="24" fillId="12" borderId="20" xfId="0" applyFont="1" applyFill="1" applyBorder="1" applyAlignment="1">
      <alignment horizontal="left" vertical="center"/>
    </xf>
    <xf numFmtId="0" fontId="24" fillId="0" borderId="20" xfId="0" applyFont="1" applyBorder="1" applyAlignment="1">
      <alignment horizontal="left" vertical="center"/>
    </xf>
    <xf numFmtId="0" fontId="29" fillId="0" borderId="0" xfId="0" applyFont="1" applyAlignment="1">
      <alignment vertical="center"/>
    </xf>
    <xf numFmtId="0" fontId="25" fillId="2" borderId="24" xfId="0" applyFont="1" applyFill="1" applyBorder="1" applyAlignment="1">
      <alignment horizontal="center" vertical="center"/>
    </xf>
    <xf numFmtId="0" fontId="30" fillId="19" borderId="0" xfId="0" applyFont="1" applyFill="1" applyAlignment="1">
      <alignment vertical="center"/>
    </xf>
    <xf numFmtId="0" fontId="0" fillId="0" borderId="22" xfId="0" applyBorder="1" applyAlignment="1">
      <alignment vertical="center"/>
    </xf>
    <xf numFmtId="0" fontId="0" fillId="12" borderId="22" xfId="0" applyFill="1" applyBorder="1" applyAlignment="1">
      <alignment vertical="center"/>
    </xf>
    <xf numFmtId="0" fontId="0" fillId="20" borderId="22" xfId="0" applyFill="1" applyBorder="1" applyAlignment="1">
      <alignment vertical="center"/>
    </xf>
    <xf numFmtId="0" fontId="26" fillId="0" borderId="22" xfId="0" applyFont="1" applyBorder="1" applyAlignment="1">
      <alignment horizontal="left" vertical="center"/>
    </xf>
    <xf numFmtId="0" fontId="30" fillId="19" borderId="0" xfId="0" applyFont="1" applyFill="1" applyAlignment="1">
      <alignment horizontal="center" vertical="center"/>
    </xf>
    <xf numFmtId="0" fontId="25" fillId="2" borderId="24" xfId="0" applyFont="1" applyFill="1" applyBorder="1" applyAlignment="1">
      <alignment horizontal="center" vertical="center" wrapText="1"/>
    </xf>
    <xf numFmtId="0" fontId="28" fillId="7" borderId="22" xfId="0" applyFont="1" applyFill="1" applyBorder="1" applyAlignment="1">
      <alignment vertical="center"/>
    </xf>
    <xf numFmtId="0" fontId="16" fillId="0" borderId="0" xfId="2"/>
    <xf numFmtId="0" fontId="0" fillId="0" borderId="0" xfId="0" applyAlignment="1">
      <alignment horizontal="left"/>
    </xf>
    <xf numFmtId="0" fontId="0" fillId="0" borderId="0" xfId="0" applyAlignment="1">
      <alignment horizontal="center"/>
    </xf>
    <xf numFmtId="0" fontId="16" fillId="11" borderId="7" xfId="0" quotePrefix="1" applyFont="1" applyFill="1" applyBorder="1" applyAlignment="1">
      <alignment horizontal="left" vertical="top" wrapText="1"/>
    </xf>
    <xf numFmtId="0" fontId="16" fillId="11" borderId="0" xfId="0" quotePrefix="1" applyFont="1" applyFill="1" applyAlignment="1">
      <alignment horizontal="left" vertical="top" wrapText="1"/>
    </xf>
    <xf numFmtId="0" fontId="16" fillId="11" borderId="8" xfId="0" quotePrefix="1" applyFont="1" applyFill="1" applyBorder="1" applyAlignment="1">
      <alignment horizontal="left" vertical="top" wrapText="1"/>
    </xf>
    <xf numFmtId="0" fontId="16" fillId="11" borderId="7" xfId="0" applyFont="1" applyFill="1" applyBorder="1" applyAlignment="1">
      <alignment horizontal="left" vertical="top" wrapText="1"/>
    </xf>
    <xf numFmtId="0" fontId="16" fillId="11" borderId="0" xfId="0" applyFont="1" applyFill="1" applyAlignment="1">
      <alignment horizontal="left" vertical="top" wrapText="1"/>
    </xf>
    <xf numFmtId="0" fontId="16" fillId="11" borderId="8" xfId="0" applyFont="1" applyFill="1" applyBorder="1" applyAlignment="1">
      <alignment horizontal="left" vertical="top" wrapText="1"/>
    </xf>
    <xf numFmtId="0" fontId="21" fillId="14" borderId="22" xfId="0" applyFont="1" applyFill="1" applyBorder="1" applyAlignment="1">
      <alignment horizontal="center" vertical="center" textRotation="90"/>
    </xf>
    <xf numFmtId="0" fontId="21" fillId="13" borderId="24" xfId="0" applyFont="1" applyFill="1" applyBorder="1" applyAlignment="1">
      <alignment horizontal="center" vertical="center" textRotation="90"/>
    </xf>
    <xf numFmtId="0" fontId="21" fillId="13" borderId="23" xfId="0" applyFont="1" applyFill="1" applyBorder="1" applyAlignment="1">
      <alignment horizontal="center" vertical="center" textRotation="90"/>
    </xf>
    <xf numFmtId="0" fontId="21" fillId="13" borderId="25" xfId="0" applyFont="1" applyFill="1" applyBorder="1" applyAlignment="1">
      <alignment horizontal="center" vertical="center" textRotation="90"/>
    </xf>
    <xf numFmtId="0" fontId="0" fillId="11" borderId="7" xfId="0" quotePrefix="1" applyFill="1" applyBorder="1" applyAlignment="1">
      <alignment horizontal="left" vertical="top" wrapText="1"/>
    </xf>
    <xf numFmtId="0" fontId="0" fillId="11" borderId="0" xfId="0" quotePrefix="1" applyFill="1" applyAlignment="1">
      <alignment horizontal="left" vertical="top" wrapText="1"/>
    </xf>
    <xf numFmtId="0" fontId="0" fillId="11" borderId="8" xfId="0" quotePrefix="1" applyFill="1" applyBorder="1" applyAlignment="1">
      <alignment horizontal="left" vertical="top" wrapText="1"/>
    </xf>
    <xf numFmtId="0" fontId="0" fillId="11" borderId="7" xfId="0" applyFill="1" applyBorder="1" applyAlignment="1">
      <alignment horizontal="left" vertical="top" wrapText="1"/>
    </xf>
    <xf numFmtId="0" fontId="0" fillId="11" borderId="0" xfId="0" applyFill="1" applyAlignment="1">
      <alignment horizontal="left" vertical="top" wrapText="1"/>
    </xf>
    <xf numFmtId="0" fontId="0" fillId="11" borderId="8" xfId="0" applyFill="1" applyBorder="1" applyAlignment="1">
      <alignment horizontal="left" vertical="top" wrapText="1"/>
    </xf>
    <xf numFmtId="0" fontId="27" fillId="16" borderId="22" xfId="0" applyFont="1" applyFill="1" applyBorder="1" applyAlignment="1">
      <alignment horizontal="center" vertical="center"/>
    </xf>
    <xf numFmtId="9" fontId="25" fillId="17" borderId="22" xfId="1" applyFont="1" applyFill="1" applyBorder="1" applyAlignment="1">
      <alignment horizontal="center" vertical="center"/>
    </xf>
  </cellXfs>
  <cellStyles count="3">
    <cellStyle name="Normal" xfId="0" builtinId="0"/>
    <cellStyle name="Normal 2" xfId="2" xr:uid="{41BC24D2-8269-4FD2-83B8-CC2634779C50}"/>
    <cellStyle name="Percent" xfId="1" builtinId="5"/>
  </cellStyles>
  <dxfs count="58">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7C80"/>
        </patternFill>
      </fill>
    </dxf>
    <dxf>
      <fill>
        <patternFill>
          <bgColor theme="9" tint="0.59996337778862885"/>
        </patternFill>
      </fill>
    </dxf>
    <dxf>
      <fill>
        <patternFill>
          <bgColor theme="9" tint="0.59996337778862885"/>
        </patternFill>
      </fill>
    </dxf>
    <dxf>
      <fill>
        <patternFill>
          <bgColor rgb="FFFFE181"/>
        </patternFill>
      </fill>
    </dxf>
    <dxf>
      <fill>
        <patternFill>
          <bgColor theme="9" tint="0.59996337778862885"/>
        </patternFill>
      </fill>
    </dxf>
    <dxf>
      <fill>
        <patternFill patternType="solid">
          <bgColor rgb="FFFF7C80"/>
        </patternFill>
      </fill>
    </dxf>
    <dxf>
      <fill>
        <patternFill>
          <bgColor rgb="FFFF7C80"/>
        </patternFill>
      </fill>
    </dxf>
    <dxf>
      <fill>
        <patternFill patternType="solid">
          <bgColor rgb="FFFF7C80"/>
        </patternFill>
      </fill>
    </dxf>
    <dxf>
      <fill>
        <patternFill>
          <bgColor rgb="FFFF8989"/>
        </patternFill>
      </fill>
    </dxf>
    <dxf>
      <fill>
        <patternFill>
          <bgColor rgb="FFFF8989"/>
        </patternFill>
      </fill>
    </dxf>
    <dxf>
      <fill>
        <patternFill>
          <bgColor rgb="FFFF7C80"/>
        </patternFill>
      </fill>
    </dxf>
    <dxf>
      <fill>
        <patternFill>
          <bgColor rgb="FFFF8989"/>
        </patternFill>
      </fill>
    </dxf>
    <dxf>
      <fill>
        <patternFill>
          <bgColor rgb="FFFF8989"/>
        </patternFill>
      </fill>
    </dxf>
    <dxf>
      <fill>
        <patternFill patternType="solid">
          <bgColor rgb="FFFF7C80"/>
        </patternFill>
      </fill>
    </dxf>
    <dxf>
      <fill>
        <patternFill>
          <bgColor rgb="FFFF7C80"/>
        </patternFill>
      </fill>
    </dxf>
    <dxf>
      <fill>
        <patternFill>
          <bgColor rgb="FFFF8989"/>
        </patternFill>
      </fill>
    </dxf>
    <dxf>
      <fill>
        <patternFill>
          <bgColor rgb="FFFF7C80"/>
        </patternFill>
      </fill>
    </dxf>
    <dxf>
      <fill>
        <patternFill>
          <bgColor rgb="FFFF8989"/>
        </patternFill>
      </fill>
    </dxf>
    <dxf>
      <fill>
        <patternFill patternType="solid">
          <bgColor rgb="FFFF7C80"/>
        </patternFill>
      </fill>
    </dxf>
    <dxf>
      <fill>
        <patternFill>
          <bgColor rgb="FFFF8989"/>
        </patternFill>
      </fill>
    </dxf>
    <dxf>
      <fill>
        <patternFill>
          <bgColor rgb="FFFF7C80"/>
        </patternFill>
      </fill>
    </dxf>
    <dxf>
      <fill>
        <patternFill patternType="solid">
          <bgColor rgb="FFFF7C80"/>
        </patternFill>
      </fill>
    </dxf>
    <dxf>
      <fill>
        <patternFill>
          <bgColor rgb="FFFF7C80"/>
        </patternFill>
      </fill>
    </dxf>
    <dxf>
      <fill>
        <patternFill>
          <bgColor rgb="FFFF7C80"/>
        </patternFill>
      </fill>
    </dxf>
    <dxf>
      <fill>
        <patternFill>
          <bgColor theme="9" tint="0.59996337778862885"/>
        </patternFill>
      </fill>
    </dxf>
    <dxf>
      <fill>
        <patternFill>
          <bgColor rgb="FFFF7C80"/>
        </patternFill>
      </fill>
    </dxf>
    <dxf>
      <fill>
        <patternFill patternType="solid">
          <bgColor rgb="FFFF7C80"/>
        </patternFill>
      </fill>
    </dxf>
    <dxf>
      <fill>
        <patternFill>
          <bgColor rgb="FFFF8989"/>
        </patternFill>
      </fill>
    </dxf>
    <dxf>
      <fill>
        <patternFill patternType="solid">
          <bgColor rgb="FFFF7C80"/>
        </patternFill>
      </fill>
    </dxf>
    <dxf>
      <font>
        <b val="0"/>
      </font>
    </dxf>
    <dxf>
      <font>
        <b val="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patternFill>
      </fill>
    </dxf>
    <dxf>
      <fill>
        <patternFill patternType="solid">
          <bgColor theme="9"/>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numFmt numFmtId="13" formatCode="0%"/>
    </dxf>
    <dxf>
      <numFmt numFmtId="13" formatCode="0%"/>
    </dxf>
    <dxf>
      <numFmt numFmtId="13" formatCode="0%"/>
    </dxf>
    <dxf>
      <font>
        <b/>
      </font>
    </dxf>
    <dxf>
      <border>
        <left style="thin">
          <color indexed="64"/>
        </left>
        <right style="thin">
          <color indexed="64"/>
        </right>
        <top style="thin">
          <color indexed="64"/>
        </top>
        <bottom style="thin">
          <color indexed="64"/>
        </bottom>
      </border>
    </dxf>
    <dxf>
      <font>
        <b/>
      </font>
    </dxf>
  </dxfs>
  <tableStyles count="0" defaultTableStyle="TableStyleMedium2" defaultPivotStyle="PivotStyleLight16"/>
  <colors>
    <mruColors>
      <color rgb="FFFFE181"/>
      <color rgb="FFFF7C80"/>
      <color rgb="FFFF8989"/>
      <color rgb="FF1DC8D1"/>
      <color rgb="FF159197"/>
      <color rgb="FF105E6E"/>
      <color rgb="FF11787D"/>
      <color rgb="FFFF7575"/>
      <color rgb="FFFF6699"/>
      <color rgb="FFFF89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8</c:v>
                </c:pt>
                <c:pt idx="1">
                  <c:v>17</c:v>
                </c:pt>
                <c:pt idx="2">
                  <c:v>2</c:v>
                </c:pt>
                <c:pt idx="3">
                  <c:v>1</c:v>
                </c:pt>
                <c:pt idx="4">
                  <c:v>3</c:v>
                </c:pt>
                <c:pt idx="5">
                  <c:v>6</c:v>
                </c:pt>
                <c:pt idx="6">
                  <c:v>3</c:v>
                </c:pt>
                <c:pt idx="7">
                  <c:v>0</c:v>
                </c:pt>
                <c:pt idx="8">
                  <c:v>43</c:v>
                </c:pt>
                <c:pt idx="9">
                  <c:v>7</c:v>
                </c:pt>
                <c:pt idx="10">
                  <c:v>171</c:v>
                </c:pt>
              </c:numCache>
            </c:numRef>
          </c:val>
          <c:extLst>
            <c:ext xmlns:c16="http://schemas.microsoft.com/office/drawing/2014/chart" uri="{C3380CC4-5D6E-409C-BE32-E72D297353CC}">
              <c16:uniqueId val="{00000000-89A7-4EA6-9357-F56977281457}"/>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89A7-4EA6-9357-F56977281457}"/>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A8-4F26-BB07-73280CFFBFEF}"/>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A8-4F26-BB07-73280CFFBFEF}"/>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A8-4F26-BB07-73280CFFBFEF}"/>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A8-4F26-BB07-73280CFFBFEF}"/>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A8-4F26-BB07-73280CFFBFEF}"/>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A8-4F26-BB07-73280CFFBFEF}"/>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A8-4F26-BB07-73280CFFBFEF}"/>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A8-4F26-BB07-73280CFFBFEF}"/>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A8-4F26-BB07-73280CFFBFEF}"/>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A8-4F26-BB07-73280CFFBFEF}"/>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1AB-4571-BA28-B678C87DE851}"/>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A8-4F26-BB07-73280CFFBFEF}"/>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0A8-4F26-BB07-73280CFFBFEF}"/>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0A8-4F26-BB07-73280CFFBFEF}"/>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81AB-4571-BA28-B678C87DE85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14-30A8-4F26-BB07-73280CFFBFE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1554219622962067"/>
          <c:y val="0.15515485564304463"/>
          <c:w val="0.46352969895913404"/>
          <c:h val="0.74756491874685882"/>
        </c:manualLayout>
      </c:layout>
      <c:doughnutChart>
        <c:varyColors val="1"/>
        <c:ser>
          <c:idx val="0"/>
          <c:order val="0"/>
          <c:tx>
            <c:strRef>
              <c:f>Aux.!$F$2</c:f>
              <c:strCache>
                <c:ptCount val="1"/>
                <c:pt idx="0">
                  <c:v>Status Atual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D94-4ABF-952A-8D08AF33AD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D94-4ABF-952A-8D08AF33AD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D94-4ABF-952A-8D08AF33AD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D94-4ABF-952A-8D08AF33ADE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D94-4ABF-952A-8D08AF33ADE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D94-4ABF-952A-8D08AF33ADE6}"/>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D94-4ABF-952A-8D08AF33ADE6}"/>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D94-4ABF-952A-8D08AF33ADE6}"/>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D94-4ABF-952A-8D08AF33ADE6}"/>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D94-4ABF-952A-8D08AF33ADE6}"/>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6F4-450A-8ECC-61912C9698C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00-328B-44A9-A1E6-87B492E982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3615945701311827"/>
          <c:y val="0.11024822695035463"/>
          <c:w val="0.33927250448160839"/>
          <c:h val="0.75930976713017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dLbl>
              <c:idx val="1"/>
              <c:layout>
                <c:manualLayout>
                  <c:x val="0"/>
                  <c:y val="8.11325594224113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AD-448D-9AB4-63200B0C83D0}"/>
                </c:ext>
              </c:extLst>
            </c:dLbl>
            <c:dLbl>
              <c:idx val="4"/>
              <c:layout>
                <c:manualLayout>
                  <c:x val="0"/>
                  <c:y val="4.05662797112056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AD-448D-9AB4-63200B0C83D0}"/>
                </c:ext>
              </c:extLst>
            </c:dLbl>
            <c:dLbl>
              <c:idx val="7"/>
              <c:layout>
                <c:manualLayout>
                  <c:x val="-3.3861424021993884E-17"/>
                  <c:y val="8.11325594224121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AD-448D-9AB4-63200B0C83D0}"/>
                </c:ext>
              </c:extLst>
            </c:dLbl>
            <c:dLbl>
              <c:idx val="8"/>
              <c:layout>
                <c:manualLayout>
                  <c:x val="0"/>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AD-448D-9AB4-63200B0C83D0}"/>
                </c:ext>
              </c:extLst>
            </c:dLbl>
            <c:dLbl>
              <c:idx val="9"/>
              <c:layout>
                <c:manualLayout>
                  <c:x val="0"/>
                  <c:y val="8.11325594224126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8</c:v>
                </c:pt>
                <c:pt idx="1">
                  <c:v>17</c:v>
                </c:pt>
                <c:pt idx="2">
                  <c:v>2</c:v>
                </c:pt>
                <c:pt idx="3">
                  <c:v>1</c:v>
                </c:pt>
                <c:pt idx="4">
                  <c:v>3</c:v>
                </c:pt>
                <c:pt idx="5">
                  <c:v>6</c:v>
                </c:pt>
                <c:pt idx="6">
                  <c:v>3</c:v>
                </c:pt>
                <c:pt idx="7">
                  <c:v>0</c:v>
                </c:pt>
                <c:pt idx="8">
                  <c:v>43</c:v>
                </c:pt>
                <c:pt idx="9">
                  <c:v>7</c:v>
                </c:pt>
                <c:pt idx="10">
                  <c:v>171</c:v>
                </c:pt>
              </c:numCache>
            </c:numRef>
          </c:val>
          <c:extLst>
            <c:ext xmlns:c16="http://schemas.microsoft.com/office/drawing/2014/chart" uri="{C3380CC4-5D6E-409C-BE32-E72D297353CC}">
              <c16:uniqueId val="{00000000-B6AD-448D-9AB4-63200B0C83D0}"/>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dLbl>
              <c:idx val="0"/>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AD-448D-9AB4-63200B0C83D0}"/>
                </c:ext>
              </c:extLst>
            </c:dLbl>
            <c:dLbl>
              <c:idx val="1"/>
              <c:layout>
                <c:manualLayout>
                  <c:x val="-7.388032405539055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AD-448D-9AB4-63200B0C83D0}"/>
                </c:ext>
              </c:extLst>
            </c:dLbl>
            <c:dLbl>
              <c:idx val="3"/>
              <c:layout>
                <c:manualLayout>
                  <c:x val="0"/>
                  <c:y val="-4.05662797112079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AD-448D-9AB4-63200B0C83D0}"/>
                </c:ext>
              </c:extLst>
            </c:dLbl>
            <c:dLbl>
              <c:idx val="4"/>
              <c:layout>
                <c:manualLayout>
                  <c:x val="3.6940162027694263E-3"/>
                  <c:y val="-7.43706536677409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AD-448D-9AB4-63200B0C83D0}"/>
                </c:ext>
              </c:extLst>
            </c:dLbl>
            <c:dLbl>
              <c:idx val="5"/>
              <c:layout>
                <c:manualLayout>
                  <c:x val="-1.847008101384747E-3"/>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AD-448D-9AB4-63200B0C83D0}"/>
                </c:ext>
              </c:extLst>
            </c:dLbl>
            <c:dLbl>
              <c:idx val="7"/>
              <c:layout>
                <c:manualLayout>
                  <c:x val="-3.3861424021993884E-17"/>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AD-448D-9AB4-63200B0C83D0}"/>
                </c:ext>
              </c:extLst>
            </c:dLbl>
            <c:dLbl>
              <c:idx val="8"/>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AD-448D-9AB4-63200B0C83D0}"/>
                </c:ext>
              </c:extLst>
            </c:dLbl>
            <c:dLbl>
              <c:idx val="10"/>
              <c:layout>
                <c:manualLayout>
                  <c:x val="-5.5410243041542412E-3"/>
                  <c:y val="-4.05662797112064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B6AD-448D-9AB4-63200B0C83D0}"/>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79-4052-9DDA-E02D1793420C}"/>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79-4052-9DDA-E02D1793420C}"/>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79-4052-9DDA-E02D1793420C}"/>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79-4052-9DDA-E02D1793420C}"/>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79-4052-9DDA-E02D1793420C}"/>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79-4052-9DDA-E02D1793420C}"/>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F79-4052-9DDA-E02D1793420C}"/>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F79-4052-9DDA-E02D1793420C}"/>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F79-4052-9DDA-E02D1793420C}"/>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F79-4052-9DDA-E02D1793420C}"/>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F79-4052-9DDA-E02D1793420C}"/>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79-4052-9DDA-E02D1793420C}"/>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F79-4052-9DDA-E02D1793420C}"/>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F79-4052-9DDA-E02D1793420C}"/>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CF79-4052-9DDA-E02D1793420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16-CF79-4052-9DDA-E02D179342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148590</xdr:colOff>
      <xdr:row>0</xdr:row>
      <xdr:rowOff>129540</xdr:rowOff>
    </xdr:from>
    <xdr:to>
      <xdr:col>2</xdr:col>
      <xdr:colOff>1349196</xdr:colOff>
      <xdr:row>1</xdr:row>
      <xdr:rowOff>281940</xdr:rowOff>
    </xdr:to>
    <xdr:pic>
      <xdr:nvPicPr>
        <xdr:cNvPr id="2" name="Gráfico 10">
          <a:extLst>
            <a:ext uri="{FF2B5EF4-FFF2-40B4-BE49-F238E27FC236}">
              <a16:creationId xmlns:a16="http://schemas.microsoft.com/office/drawing/2014/main" id="{F05960C4-6ED2-49C8-874C-7FE04DBD02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590" y="129540"/>
          <a:ext cx="1772106" cy="350520"/>
        </a:xfrm>
        <a:prstGeom prst="rect">
          <a:avLst/>
        </a:prstGeom>
      </xdr:spPr>
    </xdr:pic>
    <xdr:clientData/>
  </xdr:twoCellAnchor>
  <xdr:twoCellAnchor>
    <xdr:from>
      <xdr:col>1</xdr:col>
      <xdr:colOff>325756</xdr:colOff>
      <xdr:row>5</xdr:row>
      <xdr:rowOff>59055</xdr:rowOff>
    </xdr:from>
    <xdr:to>
      <xdr:col>2</xdr:col>
      <xdr:colOff>2040256</xdr:colOff>
      <xdr:row>7</xdr:row>
      <xdr:rowOff>57361</xdr:rowOff>
    </xdr:to>
    <xdr:sp macro="" textlink="">
      <xdr:nvSpPr>
        <xdr:cNvPr id="3" name="Rectangle: Rounded Corners 23">
          <a:extLst>
            <a:ext uri="{FF2B5EF4-FFF2-40B4-BE49-F238E27FC236}">
              <a16:creationId xmlns:a16="http://schemas.microsoft.com/office/drawing/2014/main" id="{E727F581-D24A-491E-895D-2F692B2880F5}"/>
            </a:ext>
          </a:extLst>
        </xdr:cNvPr>
        <xdr:cNvSpPr/>
      </xdr:nvSpPr>
      <xdr:spPr>
        <a:xfrm>
          <a:off x="544831" y="1078230"/>
          <a:ext cx="2066925" cy="36025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LT</a:t>
          </a:r>
        </a:p>
      </xdr:txBody>
    </xdr:sp>
    <xdr:clientData/>
  </xdr:twoCellAnchor>
  <xdr:twoCellAnchor>
    <xdr:from>
      <xdr:col>7</xdr:col>
      <xdr:colOff>554355</xdr:colOff>
      <xdr:row>5</xdr:row>
      <xdr:rowOff>45720</xdr:rowOff>
    </xdr:from>
    <xdr:to>
      <xdr:col>13</xdr:col>
      <xdr:colOff>135255</xdr:colOff>
      <xdr:row>7</xdr:row>
      <xdr:rowOff>53551</xdr:rowOff>
    </xdr:to>
    <xdr:sp macro="" textlink="">
      <xdr:nvSpPr>
        <xdr:cNvPr id="4" name="Rectangle: Rounded Corners 23">
          <a:extLst>
            <a:ext uri="{FF2B5EF4-FFF2-40B4-BE49-F238E27FC236}">
              <a16:creationId xmlns:a16="http://schemas.microsoft.com/office/drawing/2014/main" id="{CF83756B-99B2-4C4A-A724-D8F57406C47C}"/>
            </a:ext>
          </a:extLst>
        </xdr:cNvPr>
        <xdr:cNvSpPr/>
      </xdr:nvSpPr>
      <xdr:spPr>
        <a:xfrm>
          <a:off x="5850255" y="1064895"/>
          <a:ext cx="3752850" cy="369781"/>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Quick-Win LT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164" name="Rectangle: Rounded Corners 23">
          <a:extLst>
            <a:ext uri="{FF2B5EF4-FFF2-40B4-BE49-F238E27FC236}">
              <a16:creationId xmlns:a16="http://schemas.microsoft.com/office/drawing/2014/main" id="{B6FE388C-EDF8-492B-8AFE-A99A80FE6962}"/>
            </a:ext>
          </a:extLst>
        </xdr:cNvPr>
        <xdr:cNvSpPr/>
      </xdr:nvSpPr>
      <xdr:spPr>
        <a:xfrm>
          <a:off x="608755" y="1032933"/>
          <a:ext cx="154685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593" name="Gráfico 10">
          <a:extLst>
            <a:ext uri="{FF2B5EF4-FFF2-40B4-BE49-F238E27FC236}">
              <a16:creationId xmlns:a16="http://schemas.microsoft.com/office/drawing/2014/main" id="{3325F014-00A4-4E2B-8DAB-3755B5082B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739" y="321732"/>
          <a:ext cx="954194" cy="19521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206" name="Rectangle: Rounded Corners 23">
          <a:extLst>
            <a:ext uri="{FF2B5EF4-FFF2-40B4-BE49-F238E27FC236}">
              <a16:creationId xmlns:a16="http://schemas.microsoft.com/office/drawing/2014/main" id="{F233DCD2-1F20-4B05-96F6-2AA2A229CFF4}"/>
            </a:ext>
          </a:extLst>
        </xdr:cNvPr>
        <xdr:cNvSpPr/>
      </xdr:nvSpPr>
      <xdr:spPr>
        <a:xfrm>
          <a:off x="3387727" y="1045210"/>
          <a:ext cx="156971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19897</xdr:rowOff>
    </xdr:from>
    <xdr:to>
      <xdr:col>19</xdr:col>
      <xdr:colOff>1464130</xdr:colOff>
      <xdr:row>23</xdr:row>
      <xdr:rowOff>58420</xdr:rowOff>
    </xdr:to>
    <xdr:graphicFrame macro="">
      <xdr:nvGraphicFramePr>
        <xdr:cNvPr id="58" name="Chart 18">
          <a:extLst>
            <a:ext uri="{FF2B5EF4-FFF2-40B4-BE49-F238E27FC236}">
              <a16:creationId xmlns:a16="http://schemas.microsoft.com/office/drawing/2014/main" id="{1B7F7943-45D5-9980-0EBF-70223FAE6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23</xdr:row>
      <xdr:rowOff>10375</xdr:rowOff>
    </xdr:to>
    <xdr:graphicFrame macro="">
      <xdr:nvGraphicFramePr>
        <xdr:cNvPr id="38" name="Chart 1">
          <a:extLst>
            <a:ext uri="{FF2B5EF4-FFF2-40B4-BE49-F238E27FC236}">
              <a16:creationId xmlns:a16="http://schemas.microsoft.com/office/drawing/2014/main" id="{18D503FE-B9F2-47E6-B32F-B395FE318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559" name="Rectangle: Rounded Corners 23">
          <a:extLst>
            <a:ext uri="{FF2B5EF4-FFF2-40B4-BE49-F238E27FC236}">
              <a16:creationId xmlns:a16="http://schemas.microsoft.com/office/drawing/2014/main" id="{8AB3760D-1153-416E-ABFF-738936303D6C}"/>
            </a:ext>
          </a:extLst>
        </xdr:cNvPr>
        <xdr:cNvSpPr/>
      </xdr:nvSpPr>
      <xdr:spPr>
        <a:xfrm>
          <a:off x="6257928" y="1045211"/>
          <a:ext cx="241193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586" name="Rectangle: Rounded Corners 23">
          <a:extLst>
            <a:ext uri="{FF2B5EF4-FFF2-40B4-BE49-F238E27FC236}">
              <a16:creationId xmlns:a16="http://schemas.microsoft.com/office/drawing/2014/main" id="{CC4D65E4-C75E-4359-A1E4-77F7905F2E44}"/>
            </a:ext>
          </a:extLst>
        </xdr:cNvPr>
        <xdr:cNvSpPr/>
      </xdr:nvSpPr>
      <xdr:spPr>
        <a:xfrm>
          <a:off x="16872742" y="1035535"/>
          <a:ext cx="3355367" cy="284237"/>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8</xdr:col>
      <xdr:colOff>0</xdr:colOff>
      <xdr:row>1</xdr:row>
      <xdr:rowOff>168487</xdr:rowOff>
    </xdr:from>
    <xdr:to>
      <xdr:col>8</xdr:col>
      <xdr:colOff>969222</xdr:colOff>
      <xdr:row>1</xdr:row>
      <xdr:rowOff>378945</xdr:rowOff>
    </xdr:to>
    <xdr:pic>
      <xdr:nvPicPr>
        <xdr:cNvPr id="2" name="Gráfico 10">
          <a:extLst>
            <a:ext uri="{FF2B5EF4-FFF2-40B4-BE49-F238E27FC236}">
              <a16:creationId xmlns:a16="http://schemas.microsoft.com/office/drawing/2014/main" id="{C0DCAB47-AABA-43A1-A36D-8F0F9C4BDC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79583" y="366607"/>
          <a:ext cx="969222" cy="2028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655320</xdr:colOff>
      <xdr:row>3</xdr:row>
      <xdr:rowOff>91440</xdr:rowOff>
    </xdr:from>
    <xdr:to>
      <xdr:col>16</xdr:col>
      <xdr:colOff>381000</xdr:colOff>
      <xdr:row>23</xdr:row>
      <xdr:rowOff>45720</xdr:rowOff>
    </xdr:to>
    <xdr:graphicFrame macro="">
      <xdr:nvGraphicFramePr>
        <xdr:cNvPr id="25" name="Chart 2">
          <a:extLst>
            <a:ext uri="{FF2B5EF4-FFF2-40B4-BE49-F238E27FC236}">
              <a16:creationId xmlns:a16="http://schemas.microsoft.com/office/drawing/2014/main" id="{7E616239-964C-D285-FF6F-6361EEFB3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2" name="Rectangle: Rounded Corners 23">
          <a:extLst>
            <a:ext uri="{FF2B5EF4-FFF2-40B4-BE49-F238E27FC236}">
              <a16:creationId xmlns:a16="http://schemas.microsoft.com/office/drawing/2014/main" id="{D675AB53-D9B5-4BD8-8AE8-454016569FA2}"/>
            </a:ext>
          </a:extLst>
        </xdr:cNvPr>
        <xdr:cNvSpPr/>
      </xdr:nvSpPr>
      <xdr:spPr>
        <a:xfrm>
          <a:off x="746762" y="1021080"/>
          <a:ext cx="154685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3" name="Gráfico 10">
          <a:extLst>
            <a:ext uri="{FF2B5EF4-FFF2-40B4-BE49-F238E27FC236}">
              <a16:creationId xmlns:a16="http://schemas.microsoft.com/office/drawing/2014/main" id="{9C18FD94-18B7-4266-9357-96071C642F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49" y="325542"/>
          <a:ext cx="969434" cy="18759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4" name="Rectangle: Rounded Corners 23">
          <a:extLst>
            <a:ext uri="{FF2B5EF4-FFF2-40B4-BE49-F238E27FC236}">
              <a16:creationId xmlns:a16="http://schemas.microsoft.com/office/drawing/2014/main" id="{90DB99AF-3A0B-4405-BECD-EC9FCE79B232}"/>
            </a:ext>
          </a:extLst>
        </xdr:cNvPr>
        <xdr:cNvSpPr/>
      </xdr:nvSpPr>
      <xdr:spPr>
        <a:xfrm>
          <a:off x="2912747" y="1033357"/>
          <a:ext cx="156971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19896</xdr:rowOff>
    </xdr:from>
    <xdr:to>
      <xdr:col>19</xdr:col>
      <xdr:colOff>915865</xdr:colOff>
      <xdr:row>25</xdr:row>
      <xdr:rowOff>36633</xdr:rowOff>
    </xdr:to>
    <xdr:graphicFrame macro="">
      <xdr:nvGraphicFramePr>
        <xdr:cNvPr id="5" name="Chart 18">
          <a:extLst>
            <a:ext uri="{FF2B5EF4-FFF2-40B4-BE49-F238E27FC236}">
              <a16:creationId xmlns:a16="http://schemas.microsoft.com/office/drawing/2014/main" id="{190A39D5-2B21-4812-9C86-91DDFF79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24</xdr:row>
      <xdr:rowOff>87923</xdr:rowOff>
    </xdr:to>
    <xdr:graphicFrame macro="">
      <xdr:nvGraphicFramePr>
        <xdr:cNvPr id="6" name="Chart 1">
          <a:extLst>
            <a:ext uri="{FF2B5EF4-FFF2-40B4-BE49-F238E27FC236}">
              <a16:creationId xmlns:a16="http://schemas.microsoft.com/office/drawing/2014/main" id="{40514E50-3854-48FC-971B-55B87065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7" name="Rectangle: Rounded Corners 23">
          <a:extLst>
            <a:ext uri="{FF2B5EF4-FFF2-40B4-BE49-F238E27FC236}">
              <a16:creationId xmlns:a16="http://schemas.microsoft.com/office/drawing/2014/main" id="{510965BF-43CD-4E99-9D25-525E70EF2165}"/>
            </a:ext>
          </a:extLst>
        </xdr:cNvPr>
        <xdr:cNvSpPr/>
      </xdr:nvSpPr>
      <xdr:spPr>
        <a:xfrm>
          <a:off x="6256235" y="1033358"/>
          <a:ext cx="3131604"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8" name="Rectangle: Rounded Corners 23">
          <a:extLst>
            <a:ext uri="{FF2B5EF4-FFF2-40B4-BE49-F238E27FC236}">
              <a16:creationId xmlns:a16="http://schemas.microsoft.com/office/drawing/2014/main" id="{986A7A2E-153F-456E-B739-16E49DE80C79}"/>
            </a:ext>
          </a:extLst>
        </xdr:cNvPr>
        <xdr:cNvSpPr/>
      </xdr:nvSpPr>
      <xdr:spPr>
        <a:xfrm>
          <a:off x="15311731" y="1033358"/>
          <a:ext cx="293517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7</xdr:col>
      <xdr:colOff>1</xdr:colOff>
      <xdr:row>1</xdr:row>
      <xdr:rowOff>97693</xdr:rowOff>
    </xdr:from>
    <xdr:to>
      <xdr:col>8</xdr:col>
      <xdr:colOff>738295</xdr:colOff>
      <xdr:row>1</xdr:row>
      <xdr:rowOff>285291</xdr:rowOff>
    </xdr:to>
    <xdr:pic>
      <xdr:nvPicPr>
        <xdr:cNvPr id="10" name="Gráfico 10">
          <a:extLst>
            <a:ext uri="{FF2B5EF4-FFF2-40B4-BE49-F238E27FC236}">
              <a16:creationId xmlns:a16="http://schemas.microsoft.com/office/drawing/2014/main" id="{B1360AB1-EADA-4012-B51C-D7732D7CA2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1" y="293078"/>
          <a:ext cx="972756" cy="1875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44824</xdr:colOff>
      <xdr:row>2</xdr:row>
      <xdr:rowOff>21695</xdr:rowOff>
    </xdr:from>
    <xdr:to>
      <xdr:col>52</xdr:col>
      <xdr:colOff>423333</xdr:colOff>
      <xdr:row>4</xdr:row>
      <xdr:rowOff>84666</xdr:rowOff>
    </xdr:to>
    <xdr:sp macro="" textlink="">
      <xdr:nvSpPr>
        <xdr:cNvPr id="2" name="Right Arrow 1">
          <a:extLst>
            <a:ext uri="{FF2B5EF4-FFF2-40B4-BE49-F238E27FC236}">
              <a16:creationId xmlns:a16="http://schemas.microsoft.com/office/drawing/2014/main" id="{41002B47-F2B4-424E-A2FA-0995D7E87FF4}"/>
            </a:ext>
          </a:extLst>
        </xdr:cNvPr>
        <xdr:cNvSpPr/>
      </xdr:nvSpPr>
      <xdr:spPr>
        <a:xfrm>
          <a:off x="4193491" y="868362"/>
          <a:ext cx="52617842" cy="458082"/>
        </a:xfrm>
        <a:prstGeom prst="rightArrow">
          <a:avLst>
            <a:gd name="adj1" fmla="val 70290"/>
            <a:gd name="adj2" fmla="val 50000"/>
          </a:avLst>
        </a:prstGeom>
        <a:solidFill>
          <a:srgbClr val="FF0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2000" b="1">
              <a:latin typeface="Arial" panose="020B0604020202020204" pitchFamily="34" charset="0"/>
              <a:cs typeface="Arial" panose="020B0604020202020204" pitchFamily="34" charset="0"/>
            </a:rPr>
            <a:t>Tempo</a:t>
          </a:r>
          <a:endParaRPr lang="pt-PT" sz="1800" b="1">
            <a:latin typeface="Arial" panose="020B0604020202020204" pitchFamily="34" charset="0"/>
            <a:cs typeface="Arial" panose="020B0604020202020204" pitchFamily="34" charset="0"/>
          </a:endParaRPr>
        </a:p>
      </xdr:txBody>
    </xdr:sp>
    <xdr:clientData/>
  </xdr:twoCellAnchor>
  <xdr:twoCellAnchor editAs="absolute">
    <xdr:from>
      <xdr:col>0</xdr:col>
      <xdr:colOff>207219</xdr:colOff>
      <xdr:row>0</xdr:row>
      <xdr:rowOff>74951</xdr:rowOff>
    </xdr:from>
    <xdr:to>
      <xdr:col>2</xdr:col>
      <xdr:colOff>1065873</xdr:colOff>
      <xdr:row>0</xdr:row>
      <xdr:rowOff>536990</xdr:rowOff>
    </xdr:to>
    <xdr:pic>
      <xdr:nvPicPr>
        <xdr:cNvPr id="10" name="Gráfico 10">
          <a:extLst>
            <a:ext uri="{FF2B5EF4-FFF2-40B4-BE49-F238E27FC236}">
              <a16:creationId xmlns:a16="http://schemas.microsoft.com/office/drawing/2014/main" id="{4B8BE632-0A0F-4A55-A2E2-826CDECBDB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219" y="74951"/>
          <a:ext cx="2391076" cy="462039"/>
        </a:xfrm>
        <a:prstGeom prst="rect">
          <a:avLst/>
        </a:prstGeom>
      </xdr:spPr>
    </xdr:pic>
    <xdr:clientData/>
  </xdr:twoCellAnchor>
  <xdr:twoCellAnchor>
    <xdr:from>
      <xdr:col>8</xdr:col>
      <xdr:colOff>63500</xdr:colOff>
      <xdr:row>30</xdr:row>
      <xdr:rowOff>63500</xdr:rowOff>
    </xdr:from>
    <xdr:to>
      <xdr:col>8</xdr:col>
      <xdr:colOff>850900</xdr:colOff>
      <xdr:row>35</xdr:row>
      <xdr:rowOff>139700</xdr:rowOff>
    </xdr:to>
    <xdr:cxnSp macro="">
      <xdr:nvCxnSpPr>
        <xdr:cNvPr id="13" name="Straight Arrow Connector 12">
          <a:extLst>
            <a:ext uri="{FF2B5EF4-FFF2-40B4-BE49-F238E27FC236}">
              <a16:creationId xmlns:a16="http://schemas.microsoft.com/office/drawing/2014/main" id="{24D6E046-175A-DDA4-FC3C-7219451E2DB4}"/>
            </a:ext>
          </a:extLst>
        </xdr:cNvPr>
        <xdr:cNvCxnSpPr/>
      </xdr:nvCxnSpPr>
      <xdr:spPr>
        <a:xfrm>
          <a:off x="6565900" y="6007100"/>
          <a:ext cx="787400" cy="1092200"/>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30662</xdr:colOff>
      <xdr:row>30</xdr:row>
      <xdr:rowOff>2948</xdr:rowOff>
    </xdr:from>
    <xdr:to>
      <xdr:col>14</xdr:col>
      <xdr:colOff>835207</xdr:colOff>
      <xdr:row>35</xdr:row>
      <xdr:rowOff>79148</xdr:rowOff>
    </xdr:to>
    <xdr:cxnSp macro="">
      <xdr:nvCxnSpPr>
        <xdr:cNvPr id="3" name="Straight Arrow Connector 2">
          <a:extLst>
            <a:ext uri="{FF2B5EF4-FFF2-40B4-BE49-F238E27FC236}">
              <a16:creationId xmlns:a16="http://schemas.microsoft.com/office/drawing/2014/main" id="{4EB166E2-19C1-497E-A947-74262C6ECD26}"/>
            </a:ext>
          </a:extLst>
        </xdr:cNvPr>
        <xdr:cNvCxnSpPr/>
      </xdr:nvCxnSpPr>
      <xdr:spPr>
        <a:xfrm>
          <a:off x="23060751" y="11211832"/>
          <a:ext cx="804545" cy="109673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1401536</xdr:colOff>
      <xdr:row>30</xdr:row>
      <xdr:rowOff>40821</xdr:rowOff>
    </xdr:from>
    <xdr:to>
      <xdr:col>21</xdr:col>
      <xdr:colOff>66085</xdr:colOff>
      <xdr:row>35</xdr:row>
      <xdr:rowOff>84047</xdr:rowOff>
    </xdr:to>
    <xdr:cxnSp macro="">
      <xdr:nvCxnSpPr>
        <xdr:cNvPr id="5" name="Straight Arrow Connector 4">
          <a:extLst>
            <a:ext uri="{FF2B5EF4-FFF2-40B4-BE49-F238E27FC236}">
              <a16:creationId xmlns:a16="http://schemas.microsoft.com/office/drawing/2014/main" id="{83908BBA-9DC4-4050-AB04-06AE07C3A348}"/>
            </a:ext>
          </a:extLst>
        </xdr:cNvPr>
        <xdr:cNvCxnSpPr/>
      </xdr:nvCxnSpPr>
      <xdr:spPr>
        <a:xfrm>
          <a:off x="31024286" y="15725321"/>
          <a:ext cx="680674" cy="99572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20411</xdr:colOff>
      <xdr:row>30</xdr:row>
      <xdr:rowOff>88446</xdr:rowOff>
    </xdr:from>
    <xdr:to>
      <xdr:col>27</xdr:col>
      <xdr:colOff>97835</xdr:colOff>
      <xdr:row>35</xdr:row>
      <xdr:rowOff>131672</xdr:rowOff>
    </xdr:to>
    <xdr:cxnSp macro="">
      <xdr:nvCxnSpPr>
        <xdr:cNvPr id="4" name="Straight Arrow Connector 3">
          <a:extLst>
            <a:ext uri="{FF2B5EF4-FFF2-40B4-BE49-F238E27FC236}">
              <a16:creationId xmlns:a16="http://schemas.microsoft.com/office/drawing/2014/main" id="{79C5795B-3399-40AF-852F-C6BC9BDF8801}"/>
            </a:ext>
          </a:extLst>
        </xdr:cNvPr>
        <xdr:cNvCxnSpPr/>
      </xdr:nvCxnSpPr>
      <xdr:spPr>
        <a:xfrm>
          <a:off x="40231786" y="15772946"/>
          <a:ext cx="680674" cy="99572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191979</xdr:colOff>
      <xdr:row>0</xdr:row>
      <xdr:rowOff>56984</xdr:rowOff>
    </xdr:from>
    <xdr:to>
      <xdr:col>2</xdr:col>
      <xdr:colOff>1291725</xdr:colOff>
      <xdr:row>0</xdr:row>
      <xdr:rowOff>512673</xdr:rowOff>
    </xdr:to>
    <xdr:pic>
      <xdr:nvPicPr>
        <xdr:cNvPr id="4" name="Gráfico 10">
          <a:extLst>
            <a:ext uri="{FF2B5EF4-FFF2-40B4-BE49-F238E27FC236}">
              <a16:creationId xmlns:a16="http://schemas.microsoft.com/office/drawing/2014/main" id="{D24F1CB4-CB7A-401D-9863-07977D44EA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79" y="52539"/>
          <a:ext cx="2380591" cy="4620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santandernet.sharepoint.com/sites/BSLoanTapeBCE/Shared%20Documents/General/03.%20Loan%20Tape/01.%20Documenta&#231;&#227;o%20Final/01.%20Loan%20Tape/02.%20Especifica&#231;&#227;o/Especifica&#231;&#227;o%20Final%20LF/BS%20-%20Esp.%20&amp;%20Certifica&#231;&#227;o%20LF%20-%20Implementa&#231;&#227;o_20250808.xlsx" TargetMode="External"/><Relationship Id="rId2" Type="http://schemas.microsoft.com/office/2019/04/relationships/externalLinkLongPath" Target="/sites/BSLoanTapeBCE/Shared%20Documents/General/03.%20Loan%20Tape/01.%20Documenta&#231;&#227;o%20Final/01.%20Loan%20Tape/02.%20Especifica&#231;&#227;o/Especifica&#231;&#227;o%20Final%20LF/BS%20-%20Esp.%20&amp;%20Certifica&#231;&#227;o%20LF%20-%20Implementa&#231;&#227;o_20250808.xlsx?D61C1DD6" TargetMode="External"/><Relationship Id="rId1" Type="http://schemas.openxmlformats.org/officeDocument/2006/relationships/externalLinkPath" Target="file:///\\D61C1DD6\BS%20-%20Esp.%20&amp;%20Certifica&#231;&#227;o%20LF%20-%20Implementa&#231;&#227;o_20250808.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antandernet.sharepoint.com/sites/StructuralLoanTape/Shared%20Documents/General/Fields%20applicability/Structure%20Available%20from%20November/Granular%20Tool%20-%20Fields%20Applicability_20250912.xlsx" TargetMode="External"/><Relationship Id="rId1" Type="http://schemas.openxmlformats.org/officeDocument/2006/relationships/externalLinkPath" Target="/sites/StructuralLoanTape/Shared%20Documents/General/Fields%20applicability/Structure%20Available%20from%20November/Granular%20Tool%20-%20Fields%20Applicability_202509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apa"/>
      <sheetName val="Metodologia"/>
      <sheetName val="Especificação"/>
      <sheetName val="Especificação outros campos"/>
      <sheetName val="lt805_conf_exp "/>
      <sheetName val="lt804_conf_dflt"/>
      <sheetName val="lt831_param_conceitos"/>
      <sheetName val="Code List"/>
      <sheetName val="AUX"/>
    </sheetNames>
    <sheetDataSet>
      <sheetData sheetId="0"/>
      <sheetData sheetId="1"/>
      <sheetData sheetId="2">
        <row r="1">
          <cell r="C1"/>
          <cell r="G1"/>
        </row>
        <row r="2">
          <cell r="C2"/>
          <cell r="G2"/>
        </row>
        <row r="3">
          <cell r="C3">
            <v>45958</v>
          </cell>
          <cell r="G3"/>
        </row>
        <row r="4">
          <cell r="C4"/>
          <cell r="G4"/>
        </row>
        <row r="5">
          <cell r="C5"/>
          <cell r="G5"/>
        </row>
        <row r="6">
          <cell r="C6"/>
          <cell r="G6"/>
        </row>
        <row r="7">
          <cell r="C7" t="str">
            <v>1. Especificação</v>
          </cell>
          <cell r="G7"/>
        </row>
        <row r="8">
          <cell r="C8"/>
          <cell r="G8"/>
        </row>
        <row r="9">
          <cell r="C9" t="str">
            <v>Outros</v>
          </cell>
          <cell r="G9"/>
        </row>
        <row r="10">
          <cell r="C10" t="str">
            <v xml:space="preserve">Stream </v>
          </cell>
          <cell r="G10" t="str">
            <v>Column_name</v>
          </cell>
        </row>
        <row r="11">
          <cell r="C11" t="str">
            <v>A. Novos Campos</v>
          </cell>
          <cell r="G11" t="str">
            <v>us_prcds</v>
          </cell>
        </row>
        <row r="12">
          <cell r="C12" t="str">
            <v>A. Novos Campos</v>
          </cell>
          <cell r="G12" t="str">
            <v>typ_off_blnc_prdct</v>
          </cell>
        </row>
        <row r="13">
          <cell r="C13" t="str">
            <v>A. Novos Campos</v>
          </cell>
          <cell r="G13" t="str">
            <v>typ_fclty</v>
          </cell>
        </row>
        <row r="14">
          <cell r="C14" t="str">
            <v>A. Novos Campos</v>
          </cell>
          <cell r="G14" t="str">
            <v>typ_dl</v>
          </cell>
        </row>
        <row r="15">
          <cell r="C15" t="str">
            <v>A. Novos Campos</v>
          </cell>
          <cell r="G15" t="str">
            <v>typ_cl</v>
          </cell>
        </row>
        <row r="16">
          <cell r="C16" t="str">
            <v>A. Novos Campos</v>
          </cell>
          <cell r="G16" t="str">
            <v>ttl_prmssbl_dbt_blnc</v>
          </cell>
        </row>
        <row r="17">
          <cell r="C17" t="str">
            <v>A. Novos Campos</v>
          </cell>
          <cell r="G17" t="str">
            <v>ttl_lvrg_rt_incptn_hlt</v>
          </cell>
        </row>
        <row r="18">
          <cell r="C18" t="str">
            <v>A. Novos Campos</v>
          </cell>
          <cell r="G18" t="str">
            <v>ttl_lvrg_rt_incptn</v>
          </cell>
        </row>
        <row r="19">
          <cell r="C19" t="str">
            <v>A. Novos Campos</v>
          </cell>
          <cell r="G19" t="str">
            <v>scan</v>
          </cell>
        </row>
        <row r="20">
          <cell r="C20" t="str">
            <v>A. Novos Campos</v>
          </cell>
          <cell r="G20" t="str">
            <v>rwa_prmtgtn</v>
          </cell>
        </row>
        <row r="21">
          <cell r="C21" t="str">
            <v>A. Novos Campos</v>
          </cell>
          <cell r="G21" t="str">
            <v>rwa_mtgtn</v>
          </cell>
        </row>
        <row r="22">
          <cell r="C22" t="str">
            <v>A. Novos Campos</v>
          </cell>
          <cell r="G22" t="str">
            <v>rorwa</v>
          </cell>
        </row>
        <row r="23">
          <cell r="C23" t="str">
            <v>A. Novos Campos</v>
          </cell>
          <cell r="G23" t="str">
            <v>rorwa</v>
          </cell>
        </row>
        <row r="24">
          <cell r="C24" t="str">
            <v>A. Novos Campos</v>
          </cell>
          <cell r="G24" t="str">
            <v>rorac</v>
          </cell>
        </row>
        <row r="25">
          <cell r="C25" t="str">
            <v>A. Novos Campos</v>
          </cell>
          <cell r="G25" t="str">
            <v>rorac</v>
          </cell>
        </row>
        <row r="26">
          <cell r="C26" t="str">
            <v>A. Novos Campos</v>
          </cell>
          <cell r="G26" t="str">
            <v>pd_ec_rd</v>
          </cell>
        </row>
        <row r="27">
          <cell r="C27" t="str">
            <v>A. Novos Campos</v>
          </cell>
          <cell r="G27" t="str">
            <v>pd_ec_incptn</v>
          </cell>
        </row>
        <row r="28">
          <cell r="C28" t="str">
            <v>A. Novos Campos</v>
          </cell>
          <cell r="G28" t="str">
            <v>grp_spprt</v>
          </cell>
        </row>
        <row r="29">
          <cell r="C29" t="str">
            <v>A. Novos Campos</v>
          </cell>
          <cell r="G29" t="str">
            <v>grp_rorwa</v>
          </cell>
        </row>
        <row r="30">
          <cell r="C30" t="str">
            <v>A. Novos Campos</v>
          </cell>
          <cell r="G30" t="str">
            <v>grp_rorac</v>
          </cell>
        </row>
        <row r="31">
          <cell r="C31" t="str">
            <v>A. Novos Campos</v>
          </cell>
          <cell r="G31" t="str">
            <v>flln_angl_nrrw_dfntn</v>
          </cell>
        </row>
        <row r="32">
          <cell r="C32" t="str">
            <v>A. Novos Campos</v>
          </cell>
          <cell r="G32" t="str">
            <v>flln_angl_extndd_dfntn</v>
          </cell>
        </row>
        <row r="33">
          <cell r="C33" t="str">
            <v>A. Novos Campos</v>
          </cell>
          <cell r="G33" t="str">
            <v>flg_rqst_emrgncy_fndng</v>
          </cell>
        </row>
        <row r="34">
          <cell r="C34" t="str">
            <v>A. Novos Campos</v>
          </cell>
          <cell r="G34" t="str">
            <v>excldd_lf</v>
          </cell>
        </row>
        <row r="35">
          <cell r="C35" t="str">
            <v>A. Novos Campos</v>
          </cell>
          <cell r="G35" t="str">
            <v>dt_mdfctn</v>
          </cell>
        </row>
        <row r="36">
          <cell r="C36" t="str">
            <v>A. Novos Campos</v>
          </cell>
          <cell r="G36" t="str">
            <v>dstntn_fnds</v>
          </cell>
        </row>
        <row r="37">
          <cell r="C37" t="str">
            <v>B1. Re-especificação de campos complexos | Sindicados</v>
          </cell>
          <cell r="G37" t="str">
            <v>zcliente_lndrs</v>
          </cell>
        </row>
        <row r="38">
          <cell r="C38" t="str">
            <v>B1. Re-especificação de campos complexos | Sindicados</v>
          </cell>
          <cell r="G38" t="str">
            <v>zcliente_agnt</v>
          </cell>
        </row>
        <row r="39">
          <cell r="C39" t="str">
            <v>B1. Re-especificação de campos complexos | Sindicados</v>
          </cell>
          <cell r="G39" t="str">
            <v>trnch</v>
          </cell>
        </row>
        <row r="40">
          <cell r="C40" t="str">
            <v>B1. Re-especificação de campos complexos | Sindicados</v>
          </cell>
          <cell r="G40" t="str">
            <v>syndctn_typ</v>
          </cell>
        </row>
        <row r="41">
          <cell r="C41" t="str">
            <v>B1. Re-especificação de campos complexos | Sindicados</v>
          </cell>
          <cell r="G41" t="str">
            <v>syndctd_shr</v>
          </cell>
        </row>
        <row r="42">
          <cell r="C42" t="str">
            <v>B1. Re-especificação de campos complexos | Sindicados</v>
          </cell>
          <cell r="G42" t="str">
            <v>syndctd_lndrs</v>
          </cell>
        </row>
        <row r="43">
          <cell r="C43" t="str">
            <v>B1. Re-especificação de campos complexos | Sindicados</v>
          </cell>
          <cell r="G43" t="str">
            <v>syndctd_cntrct_id</v>
          </cell>
        </row>
        <row r="44">
          <cell r="C44" t="str">
            <v>B1. Re-especificação de campos complexos | Sindicados</v>
          </cell>
          <cell r="G44" t="str">
            <v>syndctd_agnt</v>
          </cell>
        </row>
        <row r="45">
          <cell r="C45" t="str">
            <v>B1. Re-especificação de campos complexos | Sindicados</v>
          </cell>
          <cell r="G45" t="str">
            <v>syndct_rl</v>
          </cell>
        </row>
        <row r="46">
          <cell r="C46" t="str">
            <v>B1. Re-especificação de campos complexos | Sindicados</v>
          </cell>
          <cell r="G46" t="str">
            <v>stts_undrwrttn_trnsctn</v>
          </cell>
        </row>
        <row r="47">
          <cell r="C47" t="str">
            <v>B1. Re-especificação de campos complexos | Sindicados</v>
          </cell>
          <cell r="G47" t="str">
            <v>rtntn_shr</v>
          </cell>
        </row>
        <row r="48">
          <cell r="C48" t="str">
            <v>B1. Re-especificação de campos complexos | Sindicados</v>
          </cell>
          <cell r="G48" t="str">
            <v>fld_syndctn</v>
          </cell>
        </row>
        <row r="49">
          <cell r="C49" t="str">
            <v>B2. Re-especificação de campos complexos - Resto</v>
          </cell>
          <cell r="G49" t="str">
            <v>typ_instrmnt</v>
          </cell>
        </row>
        <row r="50">
          <cell r="C50" t="str">
            <v>B2. Re-especificação de campos complexos - Resto</v>
          </cell>
          <cell r="G50" t="str">
            <v>fr_csh_flw_t3</v>
          </cell>
        </row>
        <row r="51">
          <cell r="C51" t="str">
            <v>B2. Re-especificação de campos complexos - Resto</v>
          </cell>
          <cell r="G51" t="str">
            <v>fr_csh_flw_t2</v>
          </cell>
        </row>
        <row r="52">
          <cell r="C52" t="str">
            <v>B2. Re-especificação de campos complexos - Resto</v>
          </cell>
          <cell r="G52" t="str">
            <v>fr_csh_flw_t1</v>
          </cell>
        </row>
        <row r="53">
          <cell r="C53" t="str">
            <v>B2. Re-especificação de campos complexos - Resto</v>
          </cell>
          <cell r="G53" t="str">
            <v>fr_csh_flw</v>
          </cell>
        </row>
        <row r="54">
          <cell r="C54" t="str">
            <v>B2. Re-especificação de campos complexos - Resto</v>
          </cell>
          <cell r="G54" t="str">
            <v>dbt_rpymnt_cpcty_ttl</v>
          </cell>
        </row>
        <row r="55">
          <cell r="C55" t="str">
            <v>B2. Re-especificação de campos complexos - Resto</v>
          </cell>
          <cell r="G55" t="str">
            <v>dbt_rpymnt_cpcty_snr_dbt</v>
          </cell>
        </row>
        <row r="56">
          <cell r="C56" t="str">
            <v>B2. Re-especificação de campos complexos - Resto</v>
          </cell>
          <cell r="G56" t="str">
            <v>amnt_d_at_mtrty</v>
          </cell>
        </row>
        <row r="57">
          <cell r="C57" t="str">
            <v>B2. Re-especificação de campos complexos - Resto</v>
          </cell>
          <cell r="G57" t="str">
            <v>accrd_intrst_instrmnt</v>
          </cell>
        </row>
        <row r="58">
          <cell r="C58" t="str">
            <v>B2. Re-especificação de campos complexos - Resto</v>
          </cell>
          <cell r="G58" t="str">
            <v>ttl_intrst_pd</v>
          </cell>
        </row>
        <row r="59">
          <cell r="C59" t="str">
            <v>B2. Re-especificação de campos complexos - Resto</v>
          </cell>
          <cell r="G59" t="str">
            <v>rtng_scl</v>
          </cell>
        </row>
        <row r="60">
          <cell r="C60" t="str">
            <v>B2. Re-especificação de campos complexos - Resto</v>
          </cell>
          <cell r="G60" t="str">
            <v>rcvd_intrst_24m</v>
          </cell>
        </row>
        <row r="61">
          <cell r="C61" t="str">
            <v>B2. Re-especificação de campos complexos - Resto</v>
          </cell>
          <cell r="G61" t="str">
            <v>rcvd_intrst_12m</v>
          </cell>
        </row>
        <row r="62">
          <cell r="C62" t="str">
            <v>B2. Re-especificação de campos complexos - Resto</v>
          </cell>
          <cell r="G62" t="str">
            <v>prfrmng_stts_prvs</v>
          </cell>
        </row>
        <row r="63">
          <cell r="C63" t="str">
            <v>B2. Re-especificação de campos complexos - Resto</v>
          </cell>
          <cell r="G63" t="str">
            <v>lvrg_fnnc_flg</v>
          </cell>
        </row>
        <row r="64">
          <cell r="C64" t="str">
            <v>B2. Re-especificação de campos complexos - Resto</v>
          </cell>
          <cell r="G64" t="str">
            <v>frbrnc_stts_instrmnt</v>
          </cell>
        </row>
        <row r="65">
          <cell r="C65" t="str">
            <v>B2. Re-especificação de campos complexos - Resto</v>
          </cell>
          <cell r="G65" t="str">
            <v>flg_lbo</v>
          </cell>
        </row>
        <row r="66">
          <cell r="C66" t="str">
            <v>B2. Re-especificação de campos complexos - Resto</v>
          </cell>
          <cell r="G66" t="str">
            <v>extrnl_rtng_prvs</v>
          </cell>
        </row>
        <row r="67">
          <cell r="C67" t="str">
            <v>B2. Re-especificação de campos complexos - Resto</v>
          </cell>
          <cell r="G67" t="str">
            <v>extrnl_rtng_nm</v>
          </cell>
        </row>
        <row r="68">
          <cell r="C68" t="str">
            <v>B2. Re-especificação de campos complexos - Resto</v>
          </cell>
          <cell r="G68" t="str">
            <v>extrnl_rtng</v>
          </cell>
        </row>
        <row r="69">
          <cell r="C69" t="str">
            <v>B2. Re-especificação de campos complexos - Resto</v>
          </cell>
          <cell r="G69" t="str">
            <v>ecnmc_actvty</v>
          </cell>
        </row>
        <row r="70">
          <cell r="C70" t="str">
            <v>B2. Re-especificação de campos complexos - Resto</v>
          </cell>
          <cell r="G70" t="str">
            <v>ec_grp_nm</v>
          </cell>
        </row>
        <row r="71">
          <cell r="C71" t="str">
            <v>B2. Re-especificação de campos complexos - Resto</v>
          </cell>
          <cell r="G71" t="str">
            <v>ec_grp_id</v>
          </cell>
        </row>
        <row r="72">
          <cell r="C72" t="str">
            <v>B2. Re-especificação de campos complexos - Resto</v>
          </cell>
          <cell r="G72" t="str">
            <v>dt_frbrnc_stts</v>
          </cell>
        </row>
        <row r="73">
          <cell r="C73" t="str">
            <v>B2. Re-especificação de campos complexos - Resto</v>
          </cell>
          <cell r="G73" t="str">
            <v>dt_extrnl_rtng</v>
          </cell>
        </row>
        <row r="74">
          <cell r="C74" t="str">
            <v>B2. Re-especificação de campos complexos - Resto</v>
          </cell>
          <cell r="G74" t="str">
            <v>dflt_stts_instrmnt</v>
          </cell>
        </row>
        <row r="75">
          <cell r="C75" t="str">
            <v>B2. Re-especificação de campos complexos - Resto</v>
          </cell>
          <cell r="G75" t="str">
            <v>cntry</v>
          </cell>
        </row>
        <row r="76">
          <cell r="C76" t="str">
            <v>C. Campos em testes ou c/ incidências</v>
          </cell>
          <cell r="G76" t="str">
            <v>rwa</v>
          </cell>
        </row>
        <row r="77">
          <cell r="C77" t="str">
            <v>C. Campos em testes ou c/ incidências</v>
          </cell>
          <cell r="G77" t="str">
            <v>rtng_mthd</v>
          </cell>
        </row>
        <row r="78">
          <cell r="C78" t="str">
            <v>C. Campos em testes ou c/ incidências</v>
          </cell>
          <cell r="G78" t="str">
            <v>rtng_mthd</v>
          </cell>
        </row>
        <row r="79">
          <cell r="C79" t="str">
            <v>C. Campos em testes ou c/ incidências</v>
          </cell>
          <cell r="G79" t="str">
            <v>pd_crr_incptn</v>
          </cell>
        </row>
        <row r="80">
          <cell r="C80" t="str">
            <v>C. Campos em testes ou c/ incidências</v>
          </cell>
          <cell r="G80" t="str">
            <v>mn_entty_id</v>
          </cell>
        </row>
        <row r="81">
          <cell r="C81" t="str">
            <v>C. Campos em testes ou c/ incidências</v>
          </cell>
          <cell r="G81" t="str">
            <v>intrnl_rtng_prvs</v>
          </cell>
        </row>
        <row r="82">
          <cell r="C82" t="str">
            <v>C. Campos em testes ou c/ incidências</v>
          </cell>
          <cell r="G82" t="str">
            <v>intrnl_rtng_incptn</v>
          </cell>
        </row>
        <row r="83">
          <cell r="C83" t="str">
            <v>C. Campos em testes ou c/ incidências</v>
          </cell>
          <cell r="G83" t="str">
            <v>intrnl_rtng</v>
          </cell>
        </row>
        <row r="84">
          <cell r="C84" t="str">
            <v>C. Campos em testes ou c/ incidências</v>
          </cell>
          <cell r="G84" t="str">
            <v>intrnl_rtng</v>
          </cell>
        </row>
        <row r="85">
          <cell r="C85" t="str">
            <v>C. Campos em testes ou c/ incidências</v>
          </cell>
          <cell r="G85" t="str">
            <v>idcmb</v>
          </cell>
        </row>
        <row r="86">
          <cell r="C86" t="str">
            <v>C. Campos em testes ou c/ incidências</v>
          </cell>
          <cell r="G86" t="str">
            <v>ead</v>
          </cell>
        </row>
        <row r="87">
          <cell r="C87" t="str">
            <v>C. Campos em testes ou c/ incidências</v>
          </cell>
          <cell r="G87" t="str">
            <v>dt_lgl_fnl_mtrty</v>
          </cell>
        </row>
        <row r="88">
          <cell r="C88" t="str">
            <v>C. Campos em testes ou c/ incidências</v>
          </cell>
          <cell r="G88" t="str">
            <v>dt_intrnl_rtng</v>
          </cell>
        </row>
        <row r="89">
          <cell r="C89" t="str">
            <v>C. Campos em testes ou c/ incidências</v>
          </cell>
          <cell r="G89" t="str">
            <v>dt_intrnl_rtng</v>
          </cell>
        </row>
        <row r="90">
          <cell r="C90" t="str">
            <v>C. Campos em testes ou c/ incidências</v>
          </cell>
          <cell r="G90" t="str">
            <v>dt_dflt_stts_instrmnt</v>
          </cell>
        </row>
        <row r="91">
          <cell r="C91" t="str">
            <v>C. Campos em testes ou c/ incidências</v>
          </cell>
          <cell r="G91" t="str">
            <v>accmltd_imprmnt_instrmnt_prvs</v>
          </cell>
        </row>
        <row r="92">
          <cell r="C92" t="str">
            <v>D. Campos com NOK controlos Corporativos</v>
          </cell>
          <cell r="G92" t="str">
            <v>rcvd_amrtstn_12m</v>
          </cell>
        </row>
        <row r="93">
          <cell r="C93" t="str">
            <v>D. Campos com NOK controlos Corporativos</v>
          </cell>
          <cell r="G93" t="str">
            <v>pd_ifrs9_12m_rd</v>
          </cell>
        </row>
        <row r="94">
          <cell r="C94" t="str">
            <v>D. Campos com NOK controlos Corporativos</v>
          </cell>
          <cell r="G94" t="str">
            <v>pd_crr_rd</v>
          </cell>
        </row>
        <row r="95">
          <cell r="C95" t="str">
            <v>D. Campos com NOK controlos Corporativos</v>
          </cell>
          <cell r="G95" t="str">
            <v>pd_crr_rd</v>
          </cell>
        </row>
        <row r="96">
          <cell r="C96" t="str">
            <v>D. Campos com NOK controlos Corporativos</v>
          </cell>
          <cell r="G96" t="str">
            <v>otstndng_nmnl_amnt_instrmnt</v>
          </cell>
        </row>
        <row r="97">
          <cell r="C97" t="str">
            <v>D. Campos com NOK controlos Corporativos</v>
          </cell>
          <cell r="G97" t="str">
            <v>off_blnc_sht_amnt_instrmnt</v>
          </cell>
        </row>
        <row r="98">
          <cell r="C98" t="str">
            <v>D. Campos com NOK controlos Corporativos</v>
          </cell>
          <cell r="G98" t="str">
            <v>lgl_prcdng_stts_le</v>
          </cell>
        </row>
        <row r="99">
          <cell r="C99" t="str">
            <v>D. Campos com NOK controlos Corporativos</v>
          </cell>
          <cell r="G99" t="str">
            <v>entty_id</v>
          </cell>
        </row>
        <row r="100">
          <cell r="C100" t="str">
            <v>D. Campos com NOK controlos Corporativos</v>
          </cell>
          <cell r="G100" t="str">
            <v>entty_id</v>
          </cell>
        </row>
        <row r="101">
          <cell r="C101" t="str">
            <v>D. Campos com NOK controlos Corporativos</v>
          </cell>
          <cell r="G101" t="str">
            <v>eir</v>
          </cell>
        </row>
        <row r="102">
          <cell r="C102" t="str">
            <v>D. Campos com NOK controlos Corporativos</v>
          </cell>
          <cell r="G102" t="str">
            <v>dt_pst_d</v>
          </cell>
        </row>
        <row r="103">
          <cell r="C103" t="str">
            <v>D. Campos com NOK controlos Corporativos</v>
          </cell>
          <cell r="G103" t="str">
            <v>dt_orgnl_mtrty</v>
          </cell>
        </row>
        <row r="104">
          <cell r="C104" t="str">
            <v>D. Campos com NOK controlos Corporativos</v>
          </cell>
          <cell r="G104" t="str">
            <v>dt_incptn</v>
          </cell>
        </row>
        <row r="105">
          <cell r="C105" t="str">
            <v>D. Campos com NOK controlos Corporativos</v>
          </cell>
          <cell r="G105" t="str">
            <v>dpd</v>
          </cell>
        </row>
        <row r="106">
          <cell r="C106" t="str">
            <v>D. Campos com NOK controlos Corporativos</v>
          </cell>
          <cell r="G106" t="str">
            <v>arrrs_instrmnt</v>
          </cell>
        </row>
        <row r="107">
          <cell r="C107" t="str">
            <v xml:space="preserve">E. Campos com outras possíveis alterações - Dependente de decisões OSI </v>
          </cell>
          <cell r="G107" t="str">
            <v>typ_amrtstn</v>
          </cell>
        </row>
        <row r="108">
          <cell r="C108" t="str">
            <v xml:space="preserve">E. Campos com outras possíveis alterações - Dependente de decisões OSI </v>
          </cell>
          <cell r="G108" t="str">
            <v>pymnt_intrst_only</v>
          </cell>
        </row>
        <row r="109">
          <cell r="C109" t="str">
            <v xml:space="preserve">E. Campos com outras possíveis alterações - Dependente de decisões OSI </v>
          </cell>
          <cell r="G109" t="str">
            <v>pd_ifrs9_12m_rd</v>
          </cell>
        </row>
        <row r="110">
          <cell r="C110" t="str">
            <v xml:space="preserve">E. Campos com outras possíveis alterações - Dependente de decisões OSI </v>
          </cell>
          <cell r="G110" t="str">
            <v>dt_prfrmng_stts_le</v>
          </cell>
        </row>
        <row r="111">
          <cell r="C111" t="str">
            <v xml:space="preserve">E. Campos com outras possíveis alterações - Dependente de decisões OSI </v>
          </cell>
          <cell r="G111" t="str">
            <v>dt_dflt_stts</v>
          </cell>
        </row>
        <row r="112">
          <cell r="C112" t="str">
            <v xml:space="preserve">E. Campos com outras possíveis alterações - Dependente de decisões OSI </v>
          </cell>
          <cell r="G112" t="str">
            <v>dflt_stts</v>
          </cell>
        </row>
        <row r="113">
          <cell r="C113" t="str">
            <v>F1. Fora âmbito | Campos concluídos - Sem necessidade de espec.</v>
          </cell>
          <cell r="G113" t="str">
            <v>wtch_lst</v>
          </cell>
        </row>
        <row r="114">
          <cell r="C114" t="str">
            <v>F1. Fora âmbito | Campos concluídos - Sem necessidade de espec.</v>
          </cell>
          <cell r="G114" t="str">
            <v>ttl_lvrg_rt_prvs</v>
          </cell>
        </row>
        <row r="115">
          <cell r="C115" t="str">
            <v>F1. Fora âmbito | Campos concluídos - Sem necessidade de espec.</v>
          </cell>
          <cell r="G115" t="str">
            <v>ttl_lvrg_rt</v>
          </cell>
        </row>
        <row r="116">
          <cell r="C116" t="str">
            <v>F1. Fora âmbito | Campos concluídos - Sem necessidade de espec.</v>
          </cell>
          <cell r="G116" t="str">
            <v>subportfolio_id</v>
          </cell>
        </row>
        <row r="117">
          <cell r="C117" t="str">
            <v>F1. Fora âmbito | Campos concluídos - Sem necessidade de espec.</v>
          </cell>
          <cell r="G117" t="str">
            <v>sicr_assssmnt_mthd</v>
          </cell>
        </row>
        <row r="118">
          <cell r="C118" t="str">
            <v>F1. Fora âmbito | Campos concluídos - Sem necessidade de espec.</v>
          </cell>
          <cell r="G118" t="str">
            <v>rwa_mthd</v>
          </cell>
        </row>
        <row r="119">
          <cell r="C119" t="str">
            <v>F1. Fora âmbito | Campos concluídos - Sem necessidade de espec.</v>
          </cell>
          <cell r="G119" t="str">
            <v>rtng_scl</v>
          </cell>
        </row>
        <row r="120">
          <cell r="C120" t="str">
            <v>F1. Fora âmbito | Campos concluídos - Sem necessidade de espec.</v>
          </cell>
          <cell r="G120" t="str">
            <v>rcvd_amrtstn_24m</v>
          </cell>
        </row>
        <row r="121">
          <cell r="C121" t="str">
            <v>F1. Fora âmbito | Campos concluídos - Sem necessidade de espec.</v>
          </cell>
          <cell r="G121" t="str">
            <v>prps</v>
          </cell>
        </row>
        <row r="122">
          <cell r="C122" t="str">
            <v>F1. Fora âmbito | Campos concluídos - Sem necessidade de espec.</v>
          </cell>
          <cell r="G122" t="str">
            <v>prfrmng_stts_le</v>
          </cell>
        </row>
        <row r="123">
          <cell r="C123" t="str">
            <v>F1. Fora âmbito | Campos concluídos - Sem necessidade de espec.</v>
          </cell>
          <cell r="G123" t="str">
            <v>prdntl_prtfl</v>
          </cell>
        </row>
        <row r="124">
          <cell r="C124" t="str">
            <v>F1. Fora âmbito | Campos concluídos - Sem necessidade de espec.</v>
          </cell>
          <cell r="G124" t="str">
            <v>pd_ifrs9_rmnng_lftm_rd</v>
          </cell>
        </row>
        <row r="125">
          <cell r="C125" t="str">
            <v>F1. Fora âmbito | Campos concluídos - Sem necessidade de espec.</v>
          </cell>
          <cell r="G125" t="str">
            <v>pd_ifrs9_rmnng_lftm_incptn</v>
          </cell>
        </row>
        <row r="126">
          <cell r="C126" t="str">
            <v>F1. Fora âmbito | Campos concluídos - Sem necessidade de espec.</v>
          </cell>
          <cell r="G126" t="str">
            <v>pd_ifrs9_lftm_incptn</v>
          </cell>
        </row>
        <row r="127">
          <cell r="C127" t="str">
            <v>F1. Fora âmbito | Campos concluídos - Sem necessidade de espec.</v>
          </cell>
          <cell r="G127" t="str">
            <v>pd_ifrs9_12m_incptn</v>
          </cell>
        </row>
        <row r="128">
          <cell r="C128" t="str">
            <v>F1. Fora âmbito | Campos concluídos - Sem necessidade de espec.</v>
          </cell>
          <cell r="G128" t="str">
            <v>osi_id</v>
          </cell>
        </row>
        <row r="129">
          <cell r="C129" t="str">
            <v>F1. Fora âmbito | Campos concluídos - Sem necessidade de espec.</v>
          </cell>
          <cell r="G129" t="str">
            <v>obsrvd_agnt_nm</v>
          </cell>
        </row>
        <row r="130">
          <cell r="C130" t="str">
            <v>F1. Fora âmbito | Campos concluídos - Sem necessidade de espec.</v>
          </cell>
          <cell r="G130" t="str">
            <v>obsrvd_agnt_id</v>
          </cell>
        </row>
        <row r="131">
          <cell r="C131" t="str">
            <v>F1. Fora âmbito | Campos concluídos - Sem necessidade de espec.</v>
          </cell>
          <cell r="G131" t="str">
            <v>nmbr_frbrnc_msrs</v>
          </cell>
        </row>
        <row r="132">
          <cell r="C132" t="str">
            <v>F1. Fora âmbito | Campos concluídos - Sem necessidade de espec.</v>
          </cell>
          <cell r="G132" t="str">
            <v>lvrg_prvs</v>
          </cell>
        </row>
        <row r="133">
          <cell r="C133" t="str">
            <v>F1. Fora âmbito | Campos concluídos - Sem necessidade de espec.</v>
          </cell>
          <cell r="G133" t="str">
            <v>lvrg</v>
          </cell>
        </row>
        <row r="134">
          <cell r="C134" t="str">
            <v>F1. Fora âmbito | Campos concluídos - Sem necessidade de espec.</v>
          </cell>
          <cell r="G134" t="str">
            <v>lgd</v>
          </cell>
        </row>
        <row r="135">
          <cell r="C135" t="str">
            <v>F1. Fora âmbito | Campos concluídos - Sem necessidade de espec.</v>
          </cell>
          <cell r="G135" t="str">
            <v>lei</v>
          </cell>
        </row>
        <row r="136">
          <cell r="C136" t="str">
            <v>F1. Fora âmbito | Campos concluídos - Sem necessidade de espec.</v>
          </cell>
          <cell r="G136" t="str">
            <v>jnt_lblty_amnt</v>
          </cell>
        </row>
        <row r="137">
          <cell r="C137" t="str">
            <v>F1. Fora âmbito | Campos concluídos - Sem necessidade de espec.</v>
          </cell>
          <cell r="G137" t="str">
            <v>intrnl_unt</v>
          </cell>
        </row>
        <row r="138">
          <cell r="C138" t="str">
            <v>F1. Fora âmbito | Campos concluídos - Sem necessidade de espec.</v>
          </cell>
          <cell r="G138" t="str">
            <v>intrnl_unt</v>
          </cell>
        </row>
        <row r="139">
          <cell r="C139" t="str">
            <v>F1. Fora âmbito | Campos concluídos - Sem necessidade de espec.</v>
          </cell>
          <cell r="G139" t="str">
            <v>intrnl_sgmnt</v>
          </cell>
        </row>
        <row r="140">
          <cell r="C140" t="str">
            <v>F1. Fora âmbito | Campos concluídos - Sem necessidade de espec.</v>
          </cell>
          <cell r="G140" t="str">
            <v>intrnl_sgmnt</v>
          </cell>
        </row>
        <row r="141">
          <cell r="C141" t="str">
            <v>F1. Fora âmbito | Campos concluídos - Sem necessidade de espec.</v>
          </cell>
          <cell r="G141" t="str">
            <v>instrmnt_id</v>
          </cell>
        </row>
        <row r="142">
          <cell r="C142" t="str">
            <v>F1. Fora âmbito | Campos concluídos - Sem necessidade de espec.</v>
          </cell>
          <cell r="G142" t="str">
            <v>instrmnt_id</v>
          </cell>
        </row>
        <row r="143">
          <cell r="C143" t="str">
            <v>F1. Fora âmbito | Campos concluídos - Sem necessidade de espec.</v>
          </cell>
          <cell r="G143" t="str">
            <v>instr_snrty_clss</v>
          </cell>
        </row>
        <row r="144">
          <cell r="C144" t="str">
            <v>F1. Fora âmbito | Campos concluídos - Sem necessidade de espec.</v>
          </cell>
          <cell r="G144" t="str">
            <v>imprmnt_assssmnt_mthd</v>
          </cell>
        </row>
        <row r="145">
          <cell r="C145" t="str">
            <v>F1. Fora âmbito | Campos concluídos - Sem necessidade de espec.</v>
          </cell>
          <cell r="G145" t="str">
            <v>grss_crryng_amnt_instrmnt</v>
          </cell>
        </row>
        <row r="146">
          <cell r="C146" t="str">
            <v>F1. Fora âmbito | Campos concluídos - Sem necessidade de espec.</v>
          </cell>
          <cell r="G146" t="str">
            <v>grp_nt_dbt</v>
          </cell>
        </row>
        <row r="147">
          <cell r="C147" t="str">
            <v>F1. Fora âmbito | Campos concluídos - Sem necessidade de espec.</v>
          </cell>
          <cell r="G147" t="str">
            <v>grp_eqty</v>
          </cell>
        </row>
        <row r="148">
          <cell r="C148" t="str">
            <v>F1. Fora âmbito | Campos concluídos - Sem necessidade de espec.</v>
          </cell>
          <cell r="G148" t="str">
            <v>grp_ebitda</v>
          </cell>
        </row>
        <row r="149">
          <cell r="C149" t="str">
            <v>F1. Fora âmbito | Campos concluídos - Sem necessidade de espec.</v>
          </cell>
          <cell r="G149" t="str">
            <v>gcc_prnt_nm</v>
          </cell>
        </row>
        <row r="150">
          <cell r="C150" t="str">
            <v>F1. Fora âmbito | Campos concluídos - Sem necessidade de espec.</v>
          </cell>
          <cell r="G150" t="str">
            <v>gcc_prnt_id</v>
          </cell>
        </row>
        <row r="151">
          <cell r="C151" t="str">
            <v>F1. Fora âmbito | Campos concluídos - Sem necessidade de espec.</v>
          </cell>
          <cell r="G151" t="str">
            <v>expsr_in_scp</v>
          </cell>
        </row>
        <row r="152">
          <cell r="C152" t="str">
            <v>F1. Fora âmbito | Campos concluídos - Sem necessidade de espec.</v>
          </cell>
          <cell r="G152" t="str">
            <v>entty_nm</v>
          </cell>
        </row>
        <row r="153">
          <cell r="C153" t="str">
            <v>F1. Fora âmbito | Campos concluídos - Sem necessidade de espec.</v>
          </cell>
          <cell r="G153" t="str">
            <v>dt_rfrnc</v>
          </cell>
        </row>
        <row r="154">
          <cell r="C154" t="str">
            <v>F1. Fora âmbito | Campos concluídos - Sem necessidade de espec.</v>
          </cell>
          <cell r="G154" t="str">
            <v>dt_rfrnc</v>
          </cell>
        </row>
        <row r="155">
          <cell r="C155" t="str">
            <v>F1. Fora âmbito | Campos concluídos - Sem necessidade de espec.</v>
          </cell>
          <cell r="G155" t="str">
            <v>dt_rfrnc</v>
          </cell>
        </row>
        <row r="156">
          <cell r="C156" t="str">
            <v>F1. Fora âmbito | Campos concluídos - Sem necessidade de espec.</v>
          </cell>
          <cell r="G156" t="str">
            <v>dt_inttn_lgl_prcdngs_le</v>
          </cell>
        </row>
        <row r="157">
          <cell r="C157" t="str">
            <v>F1. Fora âmbito | Campos concluídos - Sem necessidade de espec.</v>
          </cell>
          <cell r="G157" t="str">
            <v>csh_swp_trp</v>
          </cell>
        </row>
        <row r="158">
          <cell r="C158" t="str">
            <v>F1. Fora âmbito | Campos concluídos - Sem necessidade de espec.</v>
          </cell>
          <cell r="G158" t="str">
            <v>crryng_amnt_instrmnt</v>
          </cell>
        </row>
        <row r="159">
          <cell r="C159" t="str">
            <v>F1. Fora âmbito | Campos concluídos - Sem necessidade de espec.</v>
          </cell>
          <cell r="G159" t="str">
            <v>crrncy_dnmntn</v>
          </cell>
        </row>
        <row r="160">
          <cell r="C160" t="str">
            <v>F1. Fora âmbito | Campos concluídos - Sem necessidade de espec.</v>
          </cell>
          <cell r="G160" t="str">
            <v>cod_soc</v>
          </cell>
        </row>
        <row r="161">
          <cell r="C161" t="str">
            <v>F1. Fora âmbito | Campos concluídos - Sem necessidade de espec.</v>
          </cell>
          <cell r="G161" t="str">
            <v>cod_soc</v>
          </cell>
        </row>
        <row r="162">
          <cell r="C162" t="str">
            <v>F1. Fora âmbito | Campos concluídos - Sem necessidade de espec.</v>
          </cell>
          <cell r="G162" t="str">
            <v>cod_soc</v>
          </cell>
        </row>
        <row r="163">
          <cell r="C163" t="str">
            <v>F1. Fora âmbito | Campos concluídos - Sem necessidade de espec.</v>
          </cell>
          <cell r="G163" t="str">
            <v>ccf</v>
          </cell>
        </row>
        <row r="164">
          <cell r="C164" t="str">
            <v>F1. Fora âmbito | Campos concluídos - Sem necessidade de espec.</v>
          </cell>
          <cell r="G164" t="str">
            <v>brchd_cvnnts</v>
          </cell>
        </row>
        <row r="165">
          <cell r="C165" t="str">
            <v>F1. Fora âmbito | Campos concluídos - Sem necessidade de espec.</v>
          </cell>
          <cell r="G165" t="str">
            <v>accntng_clssfctn</v>
          </cell>
        </row>
        <row r="166">
          <cell r="C166" t="str">
            <v>F1. Fora âmbito | Campos concluídos - Sem necessidade de espec.</v>
          </cell>
          <cell r="G166" t="str">
            <v>accmltd_wrtffs_instrmnt</v>
          </cell>
        </row>
        <row r="167">
          <cell r="C167" t="str">
            <v>F1. Fora âmbito | Campos concluídos - Sem necessidade de espec.</v>
          </cell>
          <cell r="G167" t="str">
            <v>accmltd_imprmnt_instrmnt</v>
          </cell>
        </row>
        <row r="168">
          <cell r="C168" t="str">
            <v>F2. Fora âmbito | Campos em testes ou c/ incidências (LT - PM)</v>
          </cell>
          <cell r="G168" t="str">
            <v>prfrmng_stts</v>
          </cell>
        </row>
        <row r="169">
          <cell r="C169" t="str">
            <v>F2. Fora âmbito | Campos em testes ou c/ incidências (LT - PM)</v>
          </cell>
          <cell r="G169" t="str">
            <v>imprmnt_stts_prvs</v>
          </cell>
        </row>
        <row r="170">
          <cell r="C170" t="str">
            <v>F2. Fora âmbito | Campos em testes ou c/ incidências (LT - PM)</v>
          </cell>
          <cell r="G170" t="str">
            <v>imprmnt_stts</v>
          </cell>
        </row>
        <row r="171">
          <cell r="C171" t="str">
            <v>F2. Fora âmbito | Campos em testes ou c/ incidências (LT - PM)</v>
          </cell>
          <cell r="G171" t="str">
            <v>ifrs9_bhvrl_mtrty</v>
          </cell>
        </row>
        <row r="172">
          <cell r="C172" t="str">
            <v>F2. Fora âmbito | Campos em testes ou c/ incidências (LT - PM)</v>
          </cell>
          <cell r="G172" t="str">
            <v>dt_prfrmng_stts_prvs</v>
          </cell>
        </row>
        <row r="173">
          <cell r="C173" t="str">
            <v>F2. Fora âmbito | Campos em testes ou c/ incidências (LT - PM)</v>
          </cell>
          <cell r="G173" t="str">
            <v>dt_prfrmng_stts</v>
          </cell>
        </row>
        <row r="174">
          <cell r="C174" t="str">
            <v>F2. Fora âmbito | Campos em testes ou c/ incidências (LT - PM)</v>
          </cell>
          <cell r="G174" t="str">
            <v>dt_imprmnt_stts</v>
          </cell>
        </row>
        <row r="175">
          <cell r="C175" t="str">
            <v>F3. Fora âmbito | Fonte Manual LF</v>
          </cell>
          <cell r="G175" t="str">
            <v>spnsr_nm</v>
          </cell>
        </row>
        <row r="176">
          <cell r="C176" t="str">
            <v>F3. Fora âmbito | Fonte Manual LF</v>
          </cell>
          <cell r="G176" t="str">
            <v>ownd_by_spnsr</v>
          </cell>
        </row>
        <row r="177">
          <cell r="C177" t="str">
            <v>F3. Fora âmbito | Fonte Manual LF</v>
          </cell>
          <cell r="G177" t="str">
            <v>cvnnt_typ</v>
          </cell>
        </row>
        <row r="178">
          <cell r="C178" t="str">
            <v>F3. Fora âmbito | Fonte Manual LF</v>
          </cell>
          <cell r="G178" t="str">
            <v>cvnnt_stts</v>
          </cell>
        </row>
        <row r="179">
          <cell r="C179" t="str">
            <v>F4. Fora âmbito | Re-especificação de campos complexos - Dem. Fin. CIB</v>
          </cell>
          <cell r="G179" t="str">
            <v>ttl_dbt_prvs</v>
          </cell>
        </row>
        <row r="180">
          <cell r="C180" t="str">
            <v>F4. Fora âmbito | Re-especificação de campos complexos - Dem. Fin. CIB</v>
          </cell>
          <cell r="G180" t="str">
            <v>ttl_dbt</v>
          </cell>
        </row>
        <row r="181">
          <cell r="C181" t="str">
            <v>F4. Fora âmbito | Re-especificação de campos complexos - Dem. Fin. CIB</v>
          </cell>
          <cell r="G181" t="str">
            <v>nt_incm_prvs</v>
          </cell>
        </row>
        <row r="182">
          <cell r="C182" t="str">
            <v>F4. Fora âmbito | Re-especificação de campos complexos - Dem. Fin. CIB</v>
          </cell>
          <cell r="G182" t="str">
            <v>nt_incm</v>
          </cell>
        </row>
        <row r="183">
          <cell r="C183" t="str">
            <v>F4. Fora âmbito | Re-especificação de campos complexos - Dem. Fin. CIB</v>
          </cell>
          <cell r="G183" t="str">
            <v>eqty_prvs</v>
          </cell>
        </row>
        <row r="184">
          <cell r="C184" t="str">
            <v>F4. Fora âmbito | Re-especificação de campos complexos - Dem. Fin. CIB</v>
          </cell>
          <cell r="G184" t="str">
            <v>eqty</v>
          </cell>
        </row>
        <row r="185">
          <cell r="C185" t="str">
            <v>F4. Fora âmbito | Re-especificação de campos complexos - Dem. Fin. CIB</v>
          </cell>
          <cell r="G185" t="str">
            <v>ebitda_prvs</v>
          </cell>
        </row>
        <row r="186">
          <cell r="C186" t="str">
            <v>F4. Fora âmbito | Re-especificação de campos complexos - Dem. Fin. CIB</v>
          </cell>
          <cell r="G186" t="str">
            <v>ebitda</v>
          </cell>
        </row>
        <row r="187">
          <cell r="C187" t="str">
            <v>F4. Fora âmbito | Re-especificação de campos complexos - Dem. Fin. CIB</v>
          </cell>
          <cell r="G187" t="str">
            <v>dt_fnncl_sttmts_prvs</v>
          </cell>
        </row>
        <row r="188">
          <cell r="C188" t="str">
            <v>F4. Fora âmbito | Re-especificação de campos complexos - Dem. Fin. CIB</v>
          </cell>
          <cell r="G188" t="str">
            <v>dt_fnncl_sttmts</v>
          </cell>
        </row>
        <row r="189">
          <cell r="C189" t="str">
            <v>F4. Fora âmbito | Re-especificação de campos complexos - Dem. Fin. CIB</v>
          </cell>
          <cell r="G189" t="str">
            <v>annl_trnvr_prvs</v>
          </cell>
        </row>
        <row r="190">
          <cell r="C190" t="str">
            <v>F4. Fora âmbito | Re-especificação de campos complexos - Dem. Fin. CIB</v>
          </cell>
          <cell r="G190" t="str">
            <v>annl_trnvr_le</v>
          </cell>
        </row>
        <row r="191">
          <cell r="C191" t="str">
            <v>F4. Fora âmbito | Re-especificação de campos complexos - Dem. Fin. CIB</v>
          </cell>
          <cell r="G191" t="str">
            <v>accntng_frmwrk_sl</v>
          </cell>
        </row>
      </sheetData>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READ ME - APPLICABILITY"/>
      <sheetName val="Overview"/>
      <sheetName val="CodeList"/>
      <sheetName val="Hoja1"/>
      <sheetName val="SUBPORTFOLIO_ID - Code List"/>
      <sheetName val="BDR - Code List"/>
      <sheetName val="Conversion Codes Subportfolio"/>
    </sheetNames>
    <sheetDataSet>
      <sheetData sheetId="0" refreshError="1"/>
      <sheetData sheetId="1" refreshError="1"/>
      <sheetData sheetId="2">
        <row r="1">
          <cell r="E1" t="str">
            <v>Data field</v>
          </cell>
          <cell r="Z1" t="str">
            <v>Structural 
ECB Loan Tape</v>
          </cell>
          <cell r="AA1" t="str">
            <v>Green 
Dashboard</v>
          </cell>
          <cell r="AB1" t="str">
            <v>Pillar III ESG &amp; CSRD</v>
          </cell>
          <cell r="AC1" t="str">
            <v>Green Finance</v>
          </cell>
          <cell r="AD1" t="str">
            <v>ESG Risks</v>
          </cell>
          <cell r="AE1" t="str">
            <v>Leveraged Finance</v>
          </cell>
        </row>
        <row r="2">
          <cell r="E2" t="str">
            <v>COD_SOC</v>
          </cell>
          <cell r="Z2" t="str">
            <v>Y</v>
          </cell>
          <cell r="AA2" t="str">
            <v>N</v>
          </cell>
          <cell r="AB2" t="str">
            <v>Y</v>
          </cell>
          <cell r="AC2" t="str">
            <v>Y</v>
          </cell>
          <cell r="AD2" t="str">
            <v>Y</v>
          </cell>
          <cell r="AE2" t="str">
            <v>Y</v>
          </cell>
        </row>
        <row r="3">
          <cell r="E3" t="str">
            <v>CNTRY</v>
          </cell>
          <cell r="Z3" t="str">
            <v>Y</v>
          </cell>
          <cell r="AA3" t="str">
            <v>N</v>
          </cell>
          <cell r="AB3" t="str">
            <v>Y</v>
          </cell>
          <cell r="AC3" t="str">
            <v>Y</v>
          </cell>
          <cell r="AD3" t="str">
            <v>Y</v>
          </cell>
          <cell r="AE3" t="str">
            <v>Y</v>
          </cell>
        </row>
        <row r="4">
          <cell r="E4" t="str">
            <v>DT_BRTH</v>
          </cell>
          <cell r="Z4" t="str">
            <v>Y</v>
          </cell>
          <cell r="AA4" t="str">
            <v>N</v>
          </cell>
          <cell r="AB4" t="str">
            <v>N</v>
          </cell>
          <cell r="AC4" t="str">
            <v>N</v>
          </cell>
          <cell r="AD4" t="str">
            <v>N</v>
          </cell>
          <cell r="AE4" t="str">
            <v>N</v>
          </cell>
        </row>
        <row r="5">
          <cell r="E5" t="str">
            <v>DT_DFLT_STTS</v>
          </cell>
          <cell r="Z5" t="str">
            <v>Y</v>
          </cell>
          <cell r="AA5" t="str">
            <v>N</v>
          </cell>
          <cell r="AB5" t="str">
            <v>N</v>
          </cell>
          <cell r="AC5" t="str">
            <v>N</v>
          </cell>
          <cell r="AD5" t="str">
            <v>N</v>
          </cell>
          <cell r="AE5" t="str">
            <v>Y</v>
          </cell>
        </row>
        <row r="6">
          <cell r="E6" t="str">
            <v>DT_FNNCL_STTMTS</v>
          </cell>
          <cell r="Z6" t="str">
            <v>Y</v>
          </cell>
          <cell r="AA6" t="str">
            <v>N</v>
          </cell>
          <cell r="AB6" t="str">
            <v>N</v>
          </cell>
          <cell r="AC6" t="str">
            <v>N</v>
          </cell>
          <cell r="AD6" t="str">
            <v>N</v>
          </cell>
          <cell r="AE6" t="str">
            <v>Y</v>
          </cell>
        </row>
        <row r="7">
          <cell r="E7" t="str">
            <v>DT_FNNCL_STTMTS_PRVS</v>
          </cell>
          <cell r="Z7" t="str">
            <v>Y</v>
          </cell>
          <cell r="AA7" t="str">
            <v>N</v>
          </cell>
          <cell r="AB7" t="str">
            <v>N</v>
          </cell>
          <cell r="AC7" t="str">
            <v>N</v>
          </cell>
          <cell r="AD7" t="str">
            <v>N</v>
          </cell>
          <cell r="AE7" t="str">
            <v>Y</v>
          </cell>
        </row>
        <row r="8">
          <cell r="E8" t="str">
            <v>DT_INTTN_LGL_PRCDNGS_LE</v>
          </cell>
          <cell r="Z8" t="str">
            <v>Y</v>
          </cell>
          <cell r="AA8" t="str">
            <v>N</v>
          </cell>
          <cell r="AB8" t="str">
            <v>N</v>
          </cell>
          <cell r="AC8" t="str">
            <v>N</v>
          </cell>
          <cell r="AD8" t="str">
            <v>N</v>
          </cell>
          <cell r="AE8" t="str">
            <v>Y</v>
          </cell>
        </row>
        <row r="9">
          <cell r="E9" t="str">
            <v>DT_PRFRMNG_STTS_LE</v>
          </cell>
          <cell r="Z9" t="str">
            <v>Y</v>
          </cell>
          <cell r="AA9" t="str">
            <v>N</v>
          </cell>
          <cell r="AB9" t="str">
            <v>N</v>
          </cell>
          <cell r="AC9" t="str">
            <v>N</v>
          </cell>
          <cell r="AD9" t="str">
            <v>N</v>
          </cell>
          <cell r="AE9" t="str">
            <v>Y</v>
          </cell>
        </row>
        <row r="10">
          <cell r="E10" t="str">
            <v>DT_RFRNC</v>
          </cell>
          <cell r="Z10" t="str">
            <v>Y</v>
          </cell>
          <cell r="AA10" t="str">
            <v>N</v>
          </cell>
          <cell r="AB10" t="str">
            <v>Y</v>
          </cell>
          <cell r="AC10" t="str">
            <v>Y</v>
          </cell>
          <cell r="AD10" t="str">
            <v>N</v>
          </cell>
          <cell r="AE10" t="str">
            <v>Y</v>
          </cell>
        </row>
        <row r="11">
          <cell r="E11" t="str">
            <v>ENTTY_ID</v>
          </cell>
          <cell r="Z11" t="str">
            <v>Y</v>
          </cell>
          <cell r="AA11" t="str">
            <v>N</v>
          </cell>
          <cell r="AB11" t="str">
            <v>Y</v>
          </cell>
          <cell r="AC11" t="str">
            <v>Y</v>
          </cell>
          <cell r="AD11" t="str">
            <v>Y</v>
          </cell>
          <cell r="AE11" t="str">
            <v>Y</v>
          </cell>
        </row>
        <row r="12">
          <cell r="E12" t="str">
            <v>GCC_PRNT_ID</v>
          </cell>
          <cell r="Z12" t="str">
            <v>Y</v>
          </cell>
          <cell r="AA12" t="str">
            <v>N</v>
          </cell>
          <cell r="AB12" t="str">
            <v>N</v>
          </cell>
          <cell r="AC12" t="str">
            <v>N</v>
          </cell>
          <cell r="AD12" t="str">
            <v>N</v>
          </cell>
          <cell r="AE12" t="str">
            <v>Y</v>
          </cell>
        </row>
        <row r="13">
          <cell r="E13" t="str">
            <v>GCC_PRNT_NM</v>
          </cell>
          <cell r="Z13" t="str">
            <v>Y</v>
          </cell>
          <cell r="AA13" t="str">
            <v>N</v>
          </cell>
          <cell r="AB13" t="str">
            <v>N</v>
          </cell>
          <cell r="AC13" t="str">
            <v>N</v>
          </cell>
          <cell r="AD13" t="str">
            <v>N</v>
          </cell>
          <cell r="AE13" t="str">
            <v>Y</v>
          </cell>
        </row>
        <row r="14">
          <cell r="E14" t="str">
            <v>INTRNL_SGMNT</v>
          </cell>
          <cell r="Z14" t="str">
            <v>Y</v>
          </cell>
          <cell r="AA14" t="str">
            <v>N</v>
          </cell>
          <cell r="AB14" t="str">
            <v>N</v>
          </cell>
          <cell r="AC14" t="str">
            <v>N</v>
          </cell>
          <cell r="AD14" t="str">
            <v>N</v>
          </cell>
          <cell r="AE14" t="str">
            <v>Y</v>
          </cell>
        </row>
        <row r="15">
          <cell r="E15" t="str">
            <v>INTRNL_UNT</v>
          </cell>
          <cell r="Z15" t="str">
            <v>Y</v>
          </cell>
          <cell r="AA15" t="str">
            <v>N</v>
          </cell>
          <cell r="AB15" t="str">
            <v>N</v>
          </cell>
          <cell r="AC15" t="str">
            <v>N</v>
          </cell>
          <cell r="AD15" t="str">
            <v>N</v>
          </cell>
          <cell r="AE15" t="str">
            <v>Y</v>
          </cell>
        </row>
        <row r="16">
          <cell r="E16" t="str">
            <v>LEI</v>
          </cell>
          <cell r="Z16" t="str">
            <v>Y</v>
          </cell>
          <cell r="AA16" t="str">
            <v>N</v>
          </cell>
          <cell r="AB16" t="str">
            <v>Y</v>
          </cell>
          <cell r="AC16" t="str">
            <v>N</v>
          </cell>
          <cell r="AD16" t="str">
            <v>N</v>
          </cell>
          <cell r="AE16" t="str">
            <v>Y</v>
          </cell>
        </row>
        <row r="17">
          <cell r="E17" t="str">
            <v>ENTTY_NM</v>
          </cell>
          <cell r="Z17" t="str">
            <v>Y</v>
          </cell>
          <cell r="AA17" t="str">
            <v>N</v>
          </cell>
          <cell r="AB17" t="str">
            <v>Y</v>
          </cell>
          <cell r="AC17" t="str">
            <v>Y</v>
          </cell>
          <cell r="AD17" t="str">
            <v>N</v>
          </cell>
          <cell r="AE17" t="str">
            <v>Y</v>
          </cell>
        </row>
        <row r="18">
          <cell r="E18" t="str">
            <v>EXTRNL_RTNG_NM</v>
          </cell>
          <cell r="Z18" t="str">
            <v>Y</v>
          </cell>
          <cell r="AA18" t="str">
            <v>N</v>
          </cell>
          <cell r="AB18" t="str">
            <v>N</v>
          </cell>
          <cell r="AC18" t="str">
            <v>N</v>
          </cell>
          <cell r="AD18" t="str">
            <v>N</v>
          </cell>
          <cell r="AE18" t="str">
            <v>Y</v>
          </cell>
        </row>
        <row r="19">
          <cell r="E19" t="str">
            <v>ACCNTNG_FRMWRK_SL</v>
          </cell>
          <cell r="Z19" t="str">
            <v>Y</v>
          </cell>
          <cell r="AA19" t="str">
            <v>N</v>
          </cell>
          <cell r="AB19" t="str">
            <v>N</v>
          </cell>
          <cell r="AC19" t="str">
            <v>N</v>
          </cell>
          <cell r="AD19" t="str">
            <v>N</v>
          </cell>
          <cell r="AE19" t="str">
            <v>Y</v>
          </cell>
        </row>
        <row r="20">
          <cell r="E20" t="str">
            <v>CR_FLG</v>
          </cell>
          <cell r="Z20" t="str">
            <v>Y</v>
          </cell>
          <cell r="AA20" t="str">
            <v>N</v>
          </cell>
          <cell r="AB20" t="str">
            <v>N</v>
          </cell>
          <cell r="AC20" t="str">
            <v>N</v>
          </cell>
          <cell r="AD20" t="str">
            <v>N</v>
          </cell>
          <cell r="AE20" t="str">
            <v>N</v>
          </cell>
        </row>
        <row r="21">
          <cell r="E21" t="str">
            <v>DCSD</v>
          </cell>
          <cell r="Z21" t="str">
            <v>Y</v>
          </cell>
          <cell r="AA21" t="str">
            <v>N</v>
          </cell>
          <cell r="AB21" t="str">
            <v>N</v>
          </cell>
          <cell r="AC21" t="str">
            <v>N</v>
          </cell>
          <cell r="AD21" t="str">
            <v>N</v>
          </cell>
          <cell r="AE21" t="str">
            <v>N</v>
          </cell>
        </row>
        <row r="22">
          <cell r="E22" t="str">
            <v>DFLT_STTS</v>
          </cell>
          <cell r="Z22" t="str">
            <v>Y</v>
          </cell>
          <cell r="AA22" t="str">
            <v>N</v>
          </cell>
          <cell r="AB22" t="str">
            <v>N</v>
          </cell>
          <cell r="AC22" t="str">
            <v>N</v>
          </cell>
          <cell r="AD22" t="str">
            <v>N</v>
          </cell>
          <cell r="AE22" t="str">
            <v>Y</v>
          </cell>
        </row>
        <row r="23">
          <cell r="E23" t="str">
            <v>DT_EXTRNL_RTNG</v>
          </cell>
          <cell r="Z23" t="str">
            <v>Y</v>
          </cell>
          <cell r="AA23" t="str">
            <v>N</v>
          </cell>
          <cell r="AB23" t="str">
            <v>N</v>
          </cell>
          <cell r="AC23" t="str">
            <v>N</v>
          </cell>
          <cell r="AD23" t="str">
            <v>N</v>
          </cell>
          <cell r="AE23" t="str">
            <v>Y</v>
          </cell>
        </row>
        <row r="24">
          <cell r="E24" t="str">
            <v>DT_INTRNL_RTNG</v>
          </cell>
          <cell r="Z24" t="str">
            <v>Y</v>
          </cell>
          <cell r="AA24" t="str">
            <v>N</v>
          </cell>
          <cell r="AB24" t="str">
            <v>N</v>
          </cell>
          <cell r="AC24" t="str">
            <v>N</v>
          </cell>
          <cell r="AD24" t="str">
            <v>N</v>
          </cell>
          <cell r="AE24" t="str">
            <v>Y</v>
          </cell>
        </row>
        <row r="25">
          <cell r="E25" t="str">
            <v>ECNMC_ACTVTY</v>
          </cell>
          <cell r="Z25" t="str">
            <v>Y</v>
          </cell>
          <cell r="AA25" t="str">
            <v>N</v>
          </cell>
          <cell r="AB25" t="str">
            <v>Y</v>
          </cell>
          <cell r="AC25" t="str">
            <v>Y</v>
          </cell>
          <cell r="AD25" t="str">
            <v>Y</v>
          </cell>
          <cell r="AE25" t="str">
            <v>Y</v>
          </cell>
        </row>
        <row r="26">
          <cell r="E26" t="str">
            <v>EMPLYMNT_STTS_INTRNL</v>
          </cell>
          <cell r="Z26" t="str">
            <v>Y</v>
          </cell>
          <cell r="AA26" t="str">
            <v>N</v>
          </cell>
          <cell r="AB26" t="str">
            <v>N</v>
          </cell>
          <cell r="AC26" t="str">
            <v>N</v>
          </cell>
          <cell r="AD26" t="str">
            <v>N</v>
          </cell>
          <cell r="AE26" t="str">
            <v>N</v>
          </cell>
        </row>
        <row r="27">
          <cell r="E27" t="str">
            <v>EMPLYMNT_STTS</v>
          </cell>
          <cell r="Z27" t="str">
            <v>Y</v>
          </cell>
          <cell r="AA27" t="str">
            <v>N</v>
          </cell>
          <cell r="AB27" t="str">
            <v>N</v>
          </cell>
          <cell r="AC27" t="str">
            <v>N</v>
          </cell>
          <cell r="AD27" t="str">
            <v>N</v>
          </cell>
          <cell r="AE27" t="str">
            <v>N</v>
          </cell>
        </row>
        <row r="28">
          <cell r="E28" t="str">
            <v>ENTRPRS_SZ_LE</v>
          </cell>
          <cell r="Z28" t="str">
            <v>Y</v>
          </cell>
          <cell r="AA28" t="str">
            <v>N</v>
          </cell>
          <cell r="AB28" t="str">
            <v>N</v>
          </cell>
          <cell r="AC28" t="str">
            <v>N</v>
          </cell>
          <cell r="AD28" t="str">
            <v>N</v>
          </cell>
          <cell r="AE28" t="str">
            <v>N</v>
          </cell>
        </row>
        <row r="29">
          <cell r="E29" t="str">
            <v>EXTRNL_RTNG</v>
          </cell>
          <cell r="Z29" t="str">
            <v>Y</v>
          </cell>
          <cell r="AA29" t="str">
            <v>N</v>
          </cell>
          <cell r="AB29" t="str">
            <v>N</v>
          </cell>
          <cell r="AC29" t="str">
            <v>N</v>
          </cell>
          <cell r="AD29" t="str">
            <v>N</v>
          </cell>
          <cell r="AE29" t="str">
            <v>Y</v>
          </cell>
        </row>
        <row r="30">
          <cell r="E30" t="str">
            <v>EXTRNL_RTNG_PRVS</v>
          </cell>
          <cell r="Z30" t="str">
            <v>Y</v>
          </cell>
          <cell r="AA30" t="str">
            <v>N</v>
          </cell>
          <cell r="AB30" t="str">
            <v>N</v>
          </cell>
          <cell r="AC30" t="str">
            <v>N</v>
          </cell>
          <cell r="AD30" t="str">
            <v>N</v>
          </cell>
          <cell r="AE30" t="str">
            <v>Y</v>
          </cell>
        </row>
        <row r="31">
          <cell r="E31" t="str">
            <v>FLG_BNKRPTCY_IN_GRP</v>
          </cell>
          <cell r="Z31" t="str">
            <v>Y</v>
          </cell>
          <cell r="AA31" t="str">
            <v>N</v>
          </cell>
          <cell r="AB31" t="str">
            <v>N</v>
          </cell>
          <cell r="AC31" t="str">
            <v>N</v>
          </cell>
          <cell r="AD31" t="str">
            <v>N</v>
          </cell>
          <cell r="AE31" t="str">
            <v>N</v>
          </cell>
        </row>
        <row r="32">
          <cell r="E32" t="str">
            <v>FLG_HGH_CDS</v>
          </cell>
          <cell r="Z32" t="str">
            <v>Y</v>
          </cell>
          <cell r="AA32" t="str">
            <v>N</v>
          </cell>
          <cell r="AB32" t="str">
            <v>N</v>
          </cell>
          <cell r="AC32" t="str">
            <v>N</v>
          </cell>
          <cell r="AD32" t="str">
            <v>N</v>
          </cell>
          <cell r="AE32" t="str">
            <v>N</v>
          </cell>
        </row>
        <row r="33">
          <cell r="E33" t="str">
            <v>FLG_ISDA_CRDT_EVNT</v>
          </cell>
          <cell r="Z33" t="str">
            <v>Y</v>
          </cell>
          <cell r="AA33" t="str">
            <v>N</v>
          </cell>
          <cell r="AB33" t="str">
            <v>N</v>
          </cell>
          <cell r="AC33" t="str">
            <v>N</v>
          </cell>
          <cell r="AD33" t="str">
            <v>N</v>
          </cell>
          <cell r="AE33" t="str">
            <v>N</v>
          </cell>
        </row>
        <row r="34">
          <cell r="E34" t="str">
            <v>FLG_NN_ACCRL</v>
          </cell>
          <cell r="Z34" t="str">
            <v>Y</v>
          </cell>
          <cell r="AA34" t="str">
            <v>N</v>
          </cell>
          <cell r="AB34" t="str">
            <v>N</v>
          </cell>
          <cell r="AC34" t="str">
            <v>N</v>
          </cell>
          <cell r="AD34" t="str">
            <v>N</v>
          </cell>
          <cell r="AE34" t="str">
            <v>N</v>
          </cell>
        </row>
        <row r="35">
          <cell r="E35" t="str">
            <v>FLG_RQST_BNKRPTCY</v>
          </cell>
          <cell r="Z35" t="str">
            <v>Y</v>
          </cell>
          <cell r="AA35" t="str">
            <v>N</v>
          </cell>
          <cell r="AB35" t="str">
            <v>N</v>
          </cell>
          <cell r="AC35" t="str">
            <v>N</v>
          </cell>
          <cell r="AD35" t="str">
            <v>N</v>
          </cell>
          <cell r="AE35" t="str">
            <v>N</v>
          </cell>
        </row>
        <row r="36">
          <cell r="E36" t="str">
            <v>FLG_RQST_DSTRSSD_RSTRCTRNG</v>
          </cell>
          <cell r="Z36" t="str">
            <v>Y</v>
          </cell>
          <cell r="AA36" t="str">
            <v>N</v>
          </cell>
          <cell r="AB36" t="str">
            <v>N</v>
          </cell>
          <cell r="AC36" t="str">
            <v>N</v>
          </cell>
          <cell r="AD36" t="str">
            <v>N</v>
          </cell>
          <cell r="AE36" t="str">
            <v>N</v>
          </cell>
        </row>
        <row r="37">
          <cell r="E37" t="str">
            <v>FLG_RQST_EMRGNCY_FNDNG</v>
          </cell>
          <cell r="Z37" t="str">
            <v>Y</v>
          </cell>
          <cell r="AA37" t="str">
            <v>N</v>
          </cell>
          <cell r="AB37" t="str">
            <v>N</v>
          </cell>
          <cell r="AC37" t="str">
            <v>N</v>
          </cell>
          <cell r="AD37" t="str">
            <v>N</v>
          </cell>
          <cell r="AE37" t="str">
            <v>Y</v>
          </cell>
        </row>
        <row r="38">
          <cell r="E38" t="str">
            <v>FLG_SLL_WTH_LSS</v>
          </cell>
          <cell r="Z38" t="str">
            <v>Y</v>
          </cell>
          <cell r="AA38" t="str">
            <v>N</v>
          </cell>
          <cell r="AB38" t="str">
            <v>N</v>
          </cell>
          <cell r="AC38" t="str">
            <v>N</v>
          </cell>
          <cell r="AD38" t="str">
            <v>N</v>
          </cell>
          <cell r="AE38" t="str">
            <v>N</v>
          </cell>
        </row>
        <row r="39">
          <cell r="E39" t="str">
            <v>INCM_SC</v>
          </cell>
          <cell r="Z39" t="str">
            <v>Y</v>
          </cell>
          <cell r="AA39" t="str">
            <v>N</v>
          </cell>
          <cell r="AB39" t="str">
            <v>N</v>
          </cell>
          <cell r="AC39" t="str">
            <v>N</v>
          </cell>
          <cell r="AD39" t="str">
            <v>N</v>
          </cell>
          <cell r="AE39" t="str">
            <v>N</v>
          </cell>
        </row>
        <row r="40">
          <cell r="E40" t="str">
            <v>INTRNL_RTNG</v>
          </cell>
          <cell r="Z40" t="str">
            <v>Y</v>
          </cell>
          <cell r="AA40" t="str">
            <v>N</v>
          </cell>
          <cell r="AB40" t="str">
            <v>N</v>
          </cell>
          <cell r="AC40" t="str">
            <v>N</v>
          </cell>
          <cell r="AD40" t="str">
            <v>N</v>
          </cell>
          <cell r="AE40" t="str">
            <v>Y</v>
          </cell>
        </row>
        <row r="41">
          <cell r="E41" t="str">
            <v>INTRNL_RTNG_PRVS</v>
          </cell>
          <cell r="Z41" t="str">
            <v>Y</v>
          </cell>
          <cell r="AA41" t="str">
            <v>N</v>
          </cell>
          <cell r="AB41" t="str">
            <v>N</v>
          </cell>
          <cell r="AC41" t="str">
            <v>N</v>
          </cell>
          <cell r="AD41" t="str">
            <v>N</v>
          </cell>
          <cell r="AE41" t="str">
            <v>Y</v>
          </cell>
        </row>
        <row r="42">
          <cell r="E42" t="str">
            <v>LGL_PRCDNG_STTS_LE</v>
          </cell>
          <cell r="Z42" t="str">
            <v>Y</v>
          </cell>
          <cell r="AA42" t="str">
            <v>N</v>
          </cell>
          <cell r="AB42" t="str">
            <v>N</v>
          </cell>
          <cell r="AC42" t="str">
            <v>N</v>
          </cell>
          <cell r="AD42" t="str">
            <v>N</v>
          </cell>
          <cell r="AE42" t="str">
            <v>Y</v>
          </cell>
        </row>
        <row r="43">
          <cell r="E43" t="str">
            <v>OWND_BY_SPNSR</v>
          </cell>
          <cell r="Z43" t="str">
            <v>Y</v>
          </cell>
          <cell r="AA43" t="str">
            <v>N</v>
          </cell>
          <cell r="AB43" t="str">
            <v>N</v>
          </cell>
          <cell r="AC43" t="str">
            <v>N</v>
          </cell>
          <cell r="AD43" t="str">
            <v>N</v>
          </cell>
          <cell r="AE43" t="str">
            <v>Y</v>
          </cell>
        </row>
        <row r="44">
          <cell r="E44" t="str">
            <v>PRFRMNG_STTS_LE</v>
          </cell>
          <cell r="Z44" t="str">
            <v>Y</v>
          </cell>
          <cell r="AA44" t="str">
            <v>N</v>
          </cell>
          <cell r="AB44" t="str">
            <v>N</v>
          </cell>
          <cell r="AC44" t="str">
            <v>N</v>
          </cell>
          <cell r="AD44" t="str">
            <v>N</v>
          </cell>
          <cell r="AE44" t="str">
            <v>Y</v>
          </cell>
        </row>
        <row r="45">
          <cell r="E45" t="str">
            <v>RTNG_MTHD</v>
          </cell>
          <cell r="Z45" t="str">
            <v>Y</v>
          </cell>
          <cell r="AA45" t="str">
            <v>N</v>
          </cell>
          <cell r="AB45" t="str">
            <v>N</v>
          </cell>
          <cell r="AC45" t="str">
            <v>N</v>
          </cell>
          <cell r="AD45" t="str">
            <v>N</v>
          </cell>
          <cell r="AE45" t="str">
            <v>Y</v>
          </cell>
        </row>
        <row r="46">
          <cell r="E46" t="str">
            <v>RTNG_SCL</v>
          </cell>
          <cell r="Z46" t="str">
            <v>Y</v>
          </cell>
          <cell r="AA46" t="str">
            <v>N</v>
          </cell>
          <cell r="AB46" t="str">
            <v>N</v>
          </cell>
          <cell r="AC46" t="str">
            <v>N</v>
          </cell>
          <cell r="AD46" t="str">
            <v>N</v>
          </cell>
          <cell r="AE46" t="str">
            <v>Y</v>
          </cell>
        </row>
        <row r="47">
          <cell r="E47" t="str">
            <v>WTCH_LST</v>
          </cell>
          <cell r="Z47" t="str">
            <v>Y</v>
          </cell>
          <cell r="AA47" t="str">
            <v>N</v>
          </cell>
          <cell r="AB47" t="str">
            <v>N</v>
          </cell>
          <cell r="AC47" t="str">
            <v>N</v>
          </cell>
          <cell r="AD47" t="str">
            <v>N</v>
          </cell>
          <cell r="AE47" t="str">
            <v>Y</v>
          </cell>
        </row>
        <row r="48">
          <cell r="E48" t="str">
            <v>SNGL_PRPS_VHCL</v>
          </cell>
          <cell r="Z48" t="str">
            <v>Y</v>
          </cell>
          <cell r="AA48" t="str">
            <v>N</v>
          </cell>
          <cell r="AB48" t="str">
            <v>N</v>
          </cell>
          <cell r="AC48" t="str">
            <v>N</v>
          </cell>
          <cell r="AD48" t="str">
            <v>N</v>
          </cell>
          <cell r="AE48" t="str">
            <v>N</v>
          </cell>
        </row>
        <row r="49">
          <cell r="E49" t="str">
            <v>GRP_EBITDA</v>
          </cell>
          <cell r="Z49" t="str">
            <v>Y</v>
          </cell>
          <cell r="AA49" t="str">
            <v>N</v>
          </cell>
          <cell r="AB49" t="str">
            <v>N</v>
          </cell>
          <cell r="AC49" t="str">
            <v>N</v>
          </cell>
          <cell r="AD49" t="str">
            <v>N</v>
          </cell>
          <cell r="AE49" t="str">
            <v>Y</v>
          </cell>
        </row>
        <row r="50">
          <cell r="E50" t="str">
            <v>GRP_EQTY</v>
          </cell>
          <cell r="Z50" t="str">
            <v>Y</v>
          </cell>
          <cell r="AA50" t="str">
            <v>N</v>
          </cell>
          <cell r="AB50" t="str">
            <v>Y</v>
          </cell>
          <cell r="AC50" t="str">
            <v>N</v>
          </cell>
          <cell r="AD50" t="str">
            <v>N</v>
          </cell>
          <cell r="AE50" t="str">
            <v>Y</v>
          </cell>
        </row>
        <row r="51">
          <cell r="E51" t="str">
            <v>GRP_NT_DBT</v>
          </cell>
          <cell r="Z51" t="str">
            <v>Y</v>
          </cell>
          <cell r="AA51" t="str">
            <v>N</v>
          </cell>
          <cell r="AB51" t="str">
            <v>N</v>
          </cell>
          <cell r="AC51" t="str">
            <v>N</v>
          </cell>
          <cell r="AD51" t="str">
            <v>N</v>
          </cell>
          <cell r="AE51" t="str">
            <v>Y</v>
          </cell>
        </row>
        <row r="52">
          <cell r="E52" t="str">
            <v>ANNL_TRNVR_LE</v>
          </cell>
          <cell r="Z52" t="str">
            <v>Y</v>
          </cell>
          <cell r="AA52" t="str">
            <v>N</v>
          </cell>
          <cell r="AB52" t="str">
            <v>Y</v>
          </cell>
          <cell r="AC52" t="str">
            <v>N</v>
          </cell>
          <cell r="AD52" t="str">
            <v>N</v>
          </cell>
          <cell r="AE52" t="str">
            <v>Y</v>
          </cell>
        </row>
        <row r="53">
          <cell r="E53" t="str">
            <v>ANNL_TRNVR_PRVS</v>
          </cell>
          <cell r="Z53" t="str">
            <v>Y</v>
          </cell>
          <cell r="AA53" t="str">
            <v>N</v>
          </cell>
          <cell r="AB53" t="str">
            <v>N</v>
          </cell>
          <cell r="AC53" t="str">
            <v>N</v>
          </cell>
          <cell r="AD53" t="str">
            <v>N</v>
          </cell>
          <cell r="AE53" t="str">
            <v>Y</v>
          </cell>
        </row>
        <row r="54">
          <cell r="E54" t="str">
            <v>CAPEX</v>
          </cell>
          <cell r="Z54" t="str">
            <v>Y</v>
          </cell>
          <cell r="AA54" t="str">
            <v>N</v>
          </cell>
          <cell r="AB54" t="str">
            <v>N</v>
          </cell>
          <cell r="AC54" t="str">
            <v>N</v>
          </cell>
          <cell r="AD54" t="str">
            <v>N</v>
          </cell>
          <cell r="AE54" t="str">
            <v>N</v>
          </cell>
        </row>
        <row r="55">
          <cell r="E55" t="str">
            <v>CAPEX_PRVS</v>
          </cell>
          <cell r="Z55" t="str">
            <v>Y</v>
          </cell>
          <cell r="AA55" t="str">
            <v>N</v>
          </cell>
          <cell r="AB55" t="str">
            <v>N</v>
          </cell>
          <cell r="AC55" t="str">
            <v>N</v>
          </cell>
          <cell r="AD55" t="str">
            <v>N</v>
          </cell>
          <cell r="AE55" t="str">
            <v>N</v>
          </cell>
        </row>
        <row r="56">
          <cell r="E56" t="str">
            <v>CLLCTN_MD</v>
          </cell>
          <cell r="Z56" t="str">
            <v>Y</v>
          </cell>
          <cell r="AA56" t="str">
            <v>N</v>
          </cell>
          <cell r="AB56" t="str">
            <v>N</v>
          </cell>
          <cell r="AC56" t="str">
            <v>N</v>
          </cell>
          <cell r="AD56" t="str">
            <v>N</v>
          </cell>
          <cell r="AE56" t="str">
            <v>N</v>
          </cell>
        </row>
        <row r="57">
          <cell r="E57" t="str">
            <v>CSH</v>
          </cell>
          <cell r="Z57" t="str">
            <v>Y</v>
          </cell>
          <cell r="AA57" t="str">
            <v>N</v>
          </cell>
          <cell r="AB57" t="str">
            <v>N</v>
          </cell>
          <cell r="AC57" t="str">
            <v>N</v>
          </cell>
          <cell r="AD57" t="str">
            <v>N</v>
          </cell>
          <cell r="AE57" t="str">
            <v>N</v>
          </cell>
        </row>
        <row r="58">
          <cell r="E58" t="str">
            <v>CSH_PRVS</v>
          </cell>
          <cell r="Z58" t="str">
            <v>Y</v>
          </cell>
          <cell r="AA58" t="str">
            <v>N</v>
          </cell>
          <cell r="AB58" t="str">
            <v>N</v>
          </cell>
          <cell r="AC58" t="str">
            <v>N</v>
          </cell>
          <cell r="AD58" t="str">
            <v>N</v>
          </cell>
          <cell r="AE58" t="str">
            <v>N</v>
          </cell>
        </row>
        <row r="59">
          <cell r="E59" t="str">
            <v>EBITDA</v>
          </cell>
          <cell r="Z59" t="str">
            <v>Y</v>
          </cell>
          <cell r="AA59" t="str">
            <v>N</v>
          </cell>
          <cell r="AB59" t="str">
            <v>N</v>
          </cell>
          <cell r="AC59" t="str">
            <v>N</v>
          </cell>
          <cell r="AD59" t="str">
            <v>N</v>
          </cell>
          <cell r="AE59" t="str">
            <v>Y</v>
          </cell>
        </row>
        <row r="60">
          <cell r="E60" t="str">
            <v>EBITDA_PRVS</v>
          </cell>
          <cell r="Z60" t="str">
            <v>Y</v>
          </cell>
          <cell r="AA60" t="str">
            <v>N</v>
          </cell>
          <cell r="AB60" t="str">
            <v>N</v>
          </cell>
          <cell r="AC60" t="str">
            <v>N</v>
          </cell>
          <cell r="AD60" t="str">
            <v>N</v>
          </cell>
          <cell r="AE60" t="str">
            <v>Y</v>
          </cell>
        </row>
        <row r="61">
          <cell r="E61" t="str">
            <v>EQTY</v>
          </cell>
          <cell r="Z61" t="str">
            <v>Y</v>
          </cell>
          <cell r="AA61" t="str">
            <v>N</v>
          </cell>
          <cell r="AB61" t="str">
            <v>Y</v>
          </cell>
          <cell r="AC61" t="str">
            <v>N</v>
          </cell>
          <cell r="AD61" t="str">
            <v>N</v>
          </cell>
          <cell r="AE61" t="str">
            <v>Y</v>
          </cell>
        </row>
        <row r="62">
          <cell r="E62" t="str">
            <v>EQTY_PRVS</v>
          </cell>
          <cell r="Z62" t="str">
            <v>Y</v>
          </cell>
          <cell r="AA62" t="str">
            <v>N</v>
          </cell>
          <cell r="AB62" t="str">
            <v>N</v>
          </cell>
          <cell r="AC62" t="str">
            <v>N</v>
          </cell>
          <cell r="AD62" t="str">
            <v>N</v>
          </cell>
          <cell r="AE62" t="str">
            <v>Y</v>
          </cell>
        </row>
        <row r="63">
          <cell r="E63" t="str">
            <v>GRP_TTL_DBT</v>
          </cell>
          <cell r="Z63" t="str">
            <v>Y</v>
          </cell>
          <cell r="AA63" t="str">
            <v>N</v>
          </cell>
          <cell r="AB63" t="str">
            <v>Y</v>
          </cell>
          <cell r="AC63" t="str">
            <v>N</v>
          </cell>
          <cell r="AD63" t="str">
            <v>N</v>
          </cell>
          <cell r="AE63" t="str">
            <v>N</v>
          </cell>
        </row>
        <row r="64">
          <cell r="E64" t="str">
            <v>GDWILL</v>
          </cell>
          <cell r="Z64" t="str">
            <v>Y</v>
          </cell>
          <cell r="AA64" t="str">
            <v>N</v>
          </cell>
          <cell r="AB64" t="str">
            <v>N</v>
          </cell>
          <cell r="AC64" t="str">
            <v>N</v>
          </cell>
          <cell r="AD64" t="str">
            <v>N</v>
          </cell>
          <cell r="AE64" t="str">
            <v>N</v>
          </cell>
        </row>
        <row r="65">
          <cell r="E65" t="str">
            <v>GDWILL_PRVS</v>
          </cell>
          <cell r="Z65" t="str">
            <v>Y</v>
          </cell>
          <cell r="AA65" t="str">
            <v>N</v>
          </cell>
          <cell r="AB65" t="str">
            <v>N</v>
          </cell>
          <cell r="AC65" t="str">
            <v>N</v>
          </cell>
          <cell r="AD65" t="str">
            <v>N</v>
          </cell>
          <cell r="AE65" t="str">
            <v>N</v>
          </cell>
        </row>
        <row r="66">
          <cell r="E66" t="str">
            <v>LTI</v>
          </cell>
          <cell r="Z66" t="str">
            <v>Y</v>
          </cell>
          <cell r="AA66" t="str">
            <v>N</v>
          </cell>
          <cell r="AB66" t="str">
            <v>N</v>
          </cell>
          <cell r="AC66" t="str">
            <v>N</v>
          </cell>
          <cell r="AD66" t="str">
            <v>N</v>
          </cell>
          <cell r="AE66" t="str">
            <v>N</v>
          </cell>
        </row>
        <row r="67">
          <cell r="E67" t="str">
            <v>LVRG</v>
          </cell>
          <cell r="Z67" t="str">
            <v>Y</v>
          </cell>
          <cell r="AA67" t="str">
            <v>N</v>
          </cell>
          <cell r="AB67" t="str">
            <v>N</v>
          </cell>
          <cell r="AC67" t="str">
            <v>N</v>
          </cell>
          <cell r="AD67" t="str">
            <v>N</v>
          </cell>
          <cell r="AE67" t="str">
            <v>Y</v>
          </cell>
        </row>
        <row r="68">
          <cell r="E68" t="str">
            <v>LVRG_PRVS</v>
          </cell>
          <cell r="Z68" t="str">
            <v>Y</v>
          </cell>
          <cell r="AA68" t="str">
            <v>N</v>
          </cell>
          <cell r="AB68" t="str">
            <v>N</v>
          </cell>
          <cell r="AC68" t="str">
            <v>N</v>
          </cell>
          <cell r="AD68" t="str">
            <v>N</v>
          </cell>
          <cell r="AE68" t="str">
            <v>Y</v>
          </cell>
        </row>
        <row r="69">
          <cell r="E69" t="str">
            <v>MNTHL_INCM</v>
          </cell>
          <cell r="Z69" t="str">
            <v>Y</v>
          </cell>
          <cell r="AA69" t="str">
            <v>N</v>
          </cell>
          <cell r="AB69" t="str">
            <v>N</v>
          </cell>
          <cell r="AC69" t="str">
            <v>N</v>
          </cell>
          <cell r="AD69" t="str">
            <v>N</v>
          </cell>
          <cell r="AE69" t="str">
            <v>N</v>
          </cell>
        </row>
        <row r="70">
          <cell r="E70" t="str">
            <v>MNTHL_INCM_SLR</v>
          </cell>
          <cell r="Z70" t="str">
            <v>Y</v>
          </cell>
          <cell r="AA70" t="str">
            <v>N</v>
          </cell>
          <cell r="AB70" t="str">
            <v>N</v>
          </cell>
          <cell r="AC70" t="str">
            <v>N</v>
          </cell>
          <cell r="AD70" t="str">
            <v>N</v>
          </cell>
          <cell r="AE70" t="str">
            <v>N</v>
          </cell>
        </row>
        <row r="71">
          <cell r="E71" t="str">
            <v>MNTHL_TRNVR</v>
          </cell>
          <cell r="Z71" t="str">
            <v>Y</v>
          </cell>
          <cell r="AA71" t="str">
            <v>N</v>
          </cell>
          <cell r="AB71" t="str">
            <v>N</v>
          </cell>
          <cell r="AC71" t="str">
            <v>N</v>
          </cell>
          <cell r="AD71" t="str">
            <v>N</v>
          </cell>
          <cell r="AE71" t="str">
            <v>N</v>
          </cell>
        </row>
        <row r="72">
          <cell r="E72" t="str">
            <v>NT_INCM</v>
          </cell>
          <cell r="Z72" t="str">
            <v>Y</v>
          </cell>
          <cell r="AA72" t="str">
            <v>N</v>
          </cell>
          <cell r="AB72" t="str">
            <v>N</v>
          </cell>
          <cell r="AC72" t="str">
            <v>N</v>
          </cell>
          <cell r="AD72" t="str">
            <v>N</v>
          </cell>
          <cell r="AE72" t="str">
            <v>Y</v>
          </cell>
        </row>
        <row r="73">
          <cell r="E73" t="str">
            <v>NT_INCM_PRVS</v>
          </cell>
          <cell r="Z73" t="str">
            <v>Y</v>
          </cell>
          <cell r="AA73" t="str">
            <v>N</v>
          </cell>
          <cell r="AB73" t="str">
            <v>N</v>
          </cell>
          <cell r="AC73" t="str">
            <v>N</v>
          </cell>
          <cell r="AD73" t="str">
            <v>N</v>
          </cell>
          <cell r="AE73" t="str">
            <v>Y</v>
          </cell>
        </row>
        <row r="74">
          <cell r="E74" t="str">
            <v>TTL_DBT</v>
          </cell>
          <cell r="Z74" t="str">
            <v>Y</v>
          </cell>
          <cell r="AA74" t="str">
            <v>N</v>
          </cell>
          <cell r="AB74" t="str">
            <v>Y</v>
          </cell>
          <cell r="AC74" t="str">
            <v>N</v>
          </cell>
          <cell r="AD74" t="str">
            <v>N</v>
          </cell>
          <cell r="AE74" t="str">
            <v>Y</v>
          </cell>
        </row>
        <row r="75">
          <cell r="E75" t="str">
            <v>TTL_DBT_PRVS</v>
          </cell>
          <cell r="Z75" t="str">
            <v>Y</v>
          </cell>
          <cell r="AA75" t="str">
            <v>N</v>
          </cell>
          <cell r="AB75" t="str">
            <v>N</v>
          </cell>
          <cell r="AC75" t="str">
            <v>N</v>
          </cell>
          <cell r="AD75" t="str">
            <v>N</v>
          </cell>
          <cell r="AE75" t="str">
            <v>Y</v>
          </cell>
        </row>
        <row r="76">
          <cell r="E76" t="str">
            <v>TTL_INTRST_PD</v>
          </cell>
          <cell r="Z76" t="str">
            <v>Y</v>
          </cell>
          <cell r="AA76" t="str">
            <v>N</v>
          </cell>
          <cell r="AB76" t="str">
            <v>N</v>
          </cell>
          <cell r="AC76" t="str">
            <v>N</v>
          </cell>
          <cell r="AD76" t="str">
            <v>N</v>
          </cell>
          <cell r="AE76" t="str">
            <v>Y</v>
          </cell>
        </row>
        <row r="77">
          <cell r="E77" t="str">
            <v>TTL_LVRG_RT</v>
          </cell>
          <cell r="Z77" t="str">
            <v>Y</v>
          </cell>
          <cell r="AA77" t="str">
            <v>N</v>
          </cell>
          <cell r="AB77" t="str">
            <v>N</v>
          </cell>
          <cell r="AC77" t="str">
            <v>N</v>
          </cell>
          <cell r="AD77" t="str">
            <v>N</v>
          </cell>
          <cell r="AE77" t="str">
            <v>Y</v>
          </cell>
        </row>
        <row r="78">
          <cell r="E78" t="str">
            <v>TTL_LVRG_RT_PRVS</v>
          </cell>
          <cell r="Z78" t="str">
            <v>Y</v>
          </cell>
          <cell r="AA78" t="str">
            <v>N</v>
          </cell>
          <cell r="AB78" t="str">
            <v>N</v>
          </cell>
          <cell r="AC78" t="str">
            <v>N</v>
          </cell>
          <cell r="AD78" t="str">
            <v>N</v>
          </cell>
          <cell r="AE78" t="str">
            <v>Y</v>
          </cell>
        </row>
        <row r="79">
          <cell r="E79" t="str">
            <v>DBT_RPYMNT_CPCTY_SNR_DBT</v>
          </cell>
          <cell r="Z79" t="str">
            <v>Y</v>
          </cell>
          <cell r="AA79" t="str">
            <v>N</v>
          </cell>
          <cell r="AB79" t="str">
            <v>N</v>
          </cell>
          <cell r="AC79" t="str">
            <v>N</v>
          </cell>
          <cell r="AD79" t="str">
            <v>N</v>
          </cell>
          <cell r="AE79" t="str">
            <v>Y</v>
          </cell>
        </row>
        <row r="80">
          <cell r="E80" t="str">
            <v>DBT_RPYMNT_CPCTY_TTL</v>
          </cell>
          <cell r="Z80" t="str">
            <v>Y</v>
          </cell>
          <cell r="AA80" t="str">
            <v>N</v>
          </cell>
          <cell r="AB80" t="str">
            <v>N</v>
          </cell>
          <cell r="AC80" t="str">
            <v>N</v>
          </cell>
          <cell r="AD80" t="str">
            <v>N</v>
          </cell>
          <cell r="AE80" t="str">
            <v>Y</v>
          </cell>
        </row>
        <row r="81">
          <cell r="E81" t="str">
            <v>DBT_SRVC_RT</v>
          </cell>
          <cell r="Z81" t="str">
            <v>Y</v>
          </cell>
          <cell r="AA81" t="str">
            <v>N</v>
          </cell>
          <cell r="AB81" t="str">
            <v>N</v>
          </cell>
          <cell r="AC81" t="str">
            <v>N</v>
          </cell>
          <cell r="AD81" t="str">
            <v>N</v>
          </cell>
          <cell r="AE81" t="str">
            <v>N</v>
          </cell>
        </row>
        <row r="82">
          <cell r="E82" t="str">
            <v>DBT_SRVC_RT_12M</v>
          </cell>
          <cell r="Z82" t="str">
            <v>Y</v>
          </cell>
          <cell r="AA82" t="str">
            <v>N</v>
          </cell>
          <cell r="AB82" t="str">
            <v>N</v>
          </cell>
          <cell r="AC82" t="str">
            <v>N</v>
          </cell>
          <cell r="AD82" t="str">
            <v>N</v>
          </cell>
          <cell r="AE82" t="str">
            <v>N</v>
          </cell>
        </row>
        <row r="83">
          <cell r="E83" t="str">
            <v>PD_CRR_RD</v>
          </cell>
          <cell r="Z83" t="str">
            <v>Y</v>
          </cell>
          <cell r="AA83" t="str">
            <v>N</v>
          </cell>
          <cell r="AB83" t="str">
            <v>N</v>
          </cell>
          <cell r="AC83" t="str">
            <v>N</v>
          </cell>
          <cell r="AD83" t="str">
            <v>N</v>
          </cell>
          <cell r="AE83" t="str">
            <v>Y</v>
          </cell>
        </row>
        <row r="84">
          <cell r="E84" t="str">
            <v>PD_IFRS9_12M_RD</v>
          </cell>
          <cell r="Z84" t="str">
            <v>Y</v>
          </cell>
          <cell r="AA84" t="str">
            <v>N</v>
          </cell>
          <cell r="AB84" t="str">
            <v>N</v>
          </cell>
          <cell r="AC84" t="str">
            <v>N</v>
          </cell>
          <cell r="AD84" t="str">
            <v>N</v>
          </cell>
          <cell r="AE84" t="str">
            <v>Y</v>
          </cell>
        </row>
        <row r="85">
          <cell r="E85" t="str">
            <v>PD_IFRS9_12M_RD_T1</v>
          </cell>
          <cell r="Z85" t="str">
            <v>Y</v>
          </cell>
          <cell r="AA85" t="str">
            <v>N</v>
          </cell>
          <cell r="AB85" t="str">
            <v>N</v>
          </cell>
          <cell r="AC85" t="str">
            <v>N</v>
          </cell>
          <cell r="AD85" t="str">
            <v>N</v>
          </cell>
          <cell r="AE85" t="str">
            <v>N</v>
          </cell>
        </row>
        <row r="86">
          <cell r="E86" t="str">
            <v>TAX_ID</v>
          </cell>
          <cell r="Z86" t="str">
            <v>Y</v>
          </cell>
          <cell r="AA86" t="str">
            <v>N</v>
          </cell>
          <cell r="AB86" t="str">
            <v>N</v>
          </cell>
          <cell r="AC86" t="str">
            <v>N</v>
          </cell>
          <cell r="AD86" t="str">
            <v>N</v>
          </cell>
          <cell r="AE86" t="str">
            <v>N</v>
          </cell>
        </row>
        <row r="87">
          <cell r="E87" t="str">
            <v>ANNL_TRNVR_LE_BDR</v>
          </cell>
          <cell r="Z87" t="str">
            <v>Y</v>
          </cell>
          <cell r="AA87" t="str">
            <v>N</v>
          </cell>
          <cell r="AB87" t="str">
            <v>N</v>
          </cell>
          <cell r="AC87" t="str">
            <v>N</v>
          </cell>
          <cell r="AD87" t="str">
            <v>N</v>
          </cell>
          <cell r="AE87" t="str">
            <v>N</v>
          </cell>
        </row>
        <row r="88">
          <cell r="E88" t="str">
            <v>ANNL_TRNVR_PRVS_BDR</v>
          </cell>
          <cell r="Z88" t="str">
            <v>Y</v>
          </cell>
          <cell r="AA88" t="str">
            <v>N</v>
          </cell>
          <cell r="AB88" t="str">
            <v>N</v>
          </cell>
          <cell r="AC88" t="str">
            <v>N</v>
          </cell>
          <cell r="AD88" t="str">
            <v>N</v>
          </cell>
          <cell r="AE88" t="str">
            <v>N</v>
          </cell>
        </row>
        <row r="89">
          <cell r="E89" t="str">
            <v>OSI_ID</v>
          </cell>
          <cell r="Z89" t="str">
            <v>Y</v>
          </cell>
          <cell r="AA89" t="str">
            <v>N</v>
          </cell>
          <cell r="AB89" t="str">
            <v>N</v>
          </cell>
          <cell r="AC89" t="str">
            <v>N</v>
          </cell>
          <cell r="AD89" t="str">
            <v>N</v>
          </cell>
          <cell r="AE89" t="str">
            <v>Y</v>
          </cell>
        </row>
        <row r="90">
          <cell r="E90" t="str">
            <v>PD_CRR_RD_T1</v>
          </cell>
          <cell r="Z90" t="str">
            <v>Y</v>
          </cell>
          <cell r="AA90" t="str">
            <v>N</v>
          </cell>
          <cell r="AB90" t="str">
            <v>N</v>
          </cell>
          <cell r="AC90" t="str">
            <v>N</v>
          </cell>
          <cell r="AD90" t="str">
            <v>N</v>
          </cell>
          <cell r="AE90" t="str">
            <v>N</v>
          </cell>
        </row>
        <row r="91">
          <cell r="E91" t="str">
            <v>EC_GRP_ID</v>
          </cell>
          <cell r="Z91" t="str">
            <v>Y</v>
          </cell>
          <cell r="AA91" t="str">
            <v>N</v>
          </cell>
          <cell r="AB91" t="str">
            <v>Y</v>
          </cell>
          <cell r="AC91" t="str">
            <v>Y</v>
          </cell>
          <cell r="AD91" t="str">
            <v>N</v>
          </cell>
          <cell r="AE91" t="str">
            <v>Y</v>
          </cell>
        </row>
        <row r="92">
          <cell r="E92" t="str">
            <v>EC_GRP_NM</v>
          </cell>
          <cell r="Z92" t="str">
            <v>Y</v>
          </cell>
          <cell r="AA92" t="str">
            <v>N</v>
          </cell>
          <cell r="AB92" t="str">
            <v>Y</v>
          </cell>
          <cell r="AC92" t="str">
            <v>Y</v>
          </cell>
          <cell r="AD92" t="str">
            <v>N</v>
          </cell>
          <cell r="AE92" t="str">
            <v>Y</v>
          </cell>
        </row>
        <row r="93">
          <cell r="E93" t="str">
            <v>PST_CD</v>
          </cell>
          <cell r="Z93" t="str">
            <v>N</v>
          </cell>
          <cell r="AA93" t="str">
            <v>N</v>
          </cell>
          <cell r="AB93" t="str">
            <v>Y</v>
          </cell>
          <cell r="AC93" t="str">
            <v>N</v>
          </cell>
          <cell r="AD93" t="str">
            <v>Y</v>
          </cell>
          <cell r="AE93" t="str">
            <v>N</v>
          </cell>
        </row>
        <row r="94">
          <cell r="E94" t="str">
            <v>ESG_SBSCTR</v>
          </cell>
          <cell r="Z94" t="str">
            <v>N</v>
          </cell>
          <cell r="AA94" t="str">
            <v>N</v>
          </cell>
          <cell r="AB94" t="str">
            <v>Y</v>
          </cell>
          <cell r="AC94" t="str">
            <v>N</v>
          </cell>
          <cell r="AD94" t="str">
            <v>N</v>
          </cell>
          <cell r="AE94" t="str">
            <v>N</v>
          </cell>
        </row>
        <row r="95">
          <cell r="E95" t="str">
            <v>NACE_ESG</v>
          </cell>
          <cell r="Z95" t="str">
            <v>N</v>
          </cell>
          <cell r="AA95" t="str">
            <v>N</v>
          </cell>
          <cell r="AB95" t="str">
            <v>Y</v>
          </cell>
          <cell r="AC95" t="str">
            <v>N</v>
          </cell>
          <cell r="AD95" t="str">
            <v>Y</v>
          </cell>
          <cell r="AE95" t="str">
            <v>N</v>
          </cell>
        </row>
        <row r="96">
          <cell r="E96" t="str">
            <v>TTL_LBLTY</v>
          </cell>
          <cell r="Z96" t="str">
            <v>N</v>
          </cell>
          <cell r="AA96" t="str">
            <v>N</v>
          </cell>
          <cell r="AB96" t="str">
            <v>Y</v>
          </cell>
          <cell r="AC96" t="str">
            <v>N</v>
          </cell>
          <cell r="AD96" t="str">
            <v>N</v>
          </cell>
          <cell r="AE96" t="str">
            <v>N</v>
          </cell>
        </row>
        <row r="97">
          <cell r="E97" t="str">
            <v>TXNMY_ELGBL_CAPEX_CCM</v>
          </cell>
          <cell r="Z97" t="str">
            <v>N</v>
          </cell>
          <cell r="AA97" t="str">
            <v>N</v>
          </cell>
          <cell r="AB97" t="str">
            <v>Y</v>
          </cell>
          <cell r="AC97" t="str">
            <v>N</v>
          </cell>
          <cell r="AD97" t="str">
            <v>N</v>
          </cell>
          <cell r="AE97" t="str">
            <v>N</v>
          </cell>
        </row>
        <row r="98">
          <cell r="E98" t="str">
            <v>TXNMY_ELGBL_TRNVR_CCM</v>
          </cell>
          <cell r="Z98" t="str">
            <v>N</v>
          </cell>
          <cell r="AA98" t="str">
            <v>N</v>
          </cell>
          <cell r="AB98" t="str">
            <v>Y</v>
          </cell>
          <cell r="AC98" t="str">
            <v>N</v>
          </cell>
          <cell r="AD98" t="str">
            <v>N</v>
          </cell>
          <cell r="AE98" t="str">
            <v>N</v>
          </cell>
        </row>
        <row r="99">
          <cell r="E99" t="str">
            <v>TXNMY_ELGBL_CAPEX_CCA</v>
          </cell>
          <cell r="Z99" t="str">
            <v>N</v>
          </cell>
          <cell r="AA99" t="str">
            <v>N</v>
          </cell>
          <cell r="AB99" t="str">
            <v>Y</v>
          </cell>
          <cell r="AC99" t="str">
            <v>N</v>
          </cell>
          <cell r="AD99" t="str">
            <v>N</v>
          </cell>
          <cell r="AE99" t="str">
            <v>N</v>
          </cell>
        </row>
        <row r="100">
          <cell r="E100" t="str">
            <v>TXNMY_ELGBL_TRNVR_CCA</v>
          </cell>
          <cell r="Z100" t="str">
            <v>N</v>
          </cell>
          <cell r="AA100" t="str">
            <v>N</v>
          </cell>
          <cell r="AB100" t="str">
            <v>Y</v>
          </cell>
          <cell r="AC100" t="str">
            <v>N</v>
          </cell>
          <cell r="AD100" t="str">
            <v>N</v>
          </cell>
          <cell r="AE100" t="str">
            <v>N</v>
          </cell>
        </row>
        <row r="101">
          <cell r="E101" t="str">
            <v>ENBLNG_CAPEX_CCM</v>
          </cell>
          <cell r="Z101" t="str">
            <v>N</v>
          </cell>
          <cell r="AA101" t="str">
            <v>N</v>
          </cell>
          <cell r="AB101" t="str">
            <v>Y</v>
          </cell>
          <cell r="AC101" t="str">
            <v>N</v>
          </cell>
          <cell r="AD101" t="str">
            <v>N</v>
          </cell>
          <cell r="AE101" t="str">
            <v>N</v>
          </cell>
        </row>
        <row r="102">
          <cell r="E102" t="str">
            <v>ENBLNG_CAPEX_CCA</v>
          </cell>
          <cell r="Z102" t="str">
            <v>N</v>
          </cell>
          <cell r="AA102" t="str">
            <v>N</v>
          </cell>
          <cell r="AB102" t="str">
            <v>Y</v>
          </cell>
          <cell r="AC102" t="str">
            <v>N</v>
          </cell>
          <cell r="AD102" t="str">
            <v>N</v>
          </cell>
          <cell r="AE102" t="str">
            <v>N</v>
          </cell>
        </row>
        <row r="103">
          <cell r="E103" t="str">
            <v>TRNSTNL_CAPEX</v>
          </cell>
          <cell r="Z103" t="str">
            <v>N</v>
          </cell>
          <cell r="AA103" t="str">
            <v>N</v>
          </cell>
          <cell r="AB103" t="str">
            <v>Y</v>
          </cell>
          <cell r="AC103" t="str">
            <v>N</v>
          </cell>
          <cell r="AD103" t="str">
            <v>N</v>
          </cell>
          <cell r="AE103" t="str">
            <v>N</v>
          </cell>
        </row>
        <row r="104">
          <cell r="E104" t="str">
            <v>PURE_CAPEX_CCM</v>
          </cell>
          <cell r="Z104" t="str">
            <v>N</v>
          </cell>
          <cell r="AA104" t="str">
            <v>N</v>
          </cell>
          <cell r="AB104" t="str">
            <v>Y</v>
          </cell>
          <cell r="AC104" t="str">
            <v>N</v>
          </cell>
          <cell r="AD104" t="str">
            <v>N</v>
          </cell>
          <cell r="AE104" t="str">
            <v>N</v>
          </cell>
        </row>
        <row r="105">
          <cell r="E105" t="str">
            <v>PURE_CAPEX_CCA</v>
          </cell>
          <cell r="Z105" t="str">
            <v>N</v>
          </cell>
          <cell r="AA105" t="str">
            <v>N</v>
          </cell>
          <cell r="AB105" t="str">
            <v>Y</v>
          </cell>
          <cell r="AC105" t="str">
            <v>N</v>
          </cell>
          <cell r="AD105" t="str">
            <v>N</v>
          </cell>
          <cell r="AE105" t="str">
            <v>N</v>
          </cell>
        </row>
        <row r="106">
          <cell r="E106" t="str">
            <v>ENBLNG_TRNVR_CCM</v>
          </cell>
          <cell r="Z106" t="str">
            <v>N</v>
          </cell>
          <cell r="AA106" t="str">
            <v>N</v>
          </cell>
          <cell r="AB106" t="str">
            <v>Y</v>
          </cell>
          <cell r="AC106" t="str">
            <v>N</v>
          </cell>
          <cell r="AD106" t="str">
            <v>N</v>
          </cell>
          <cell r="AE106" t="str">
            <v>N</v>
          </cell>
        </row>
        <row r="107">
          <cell r="E107" t="str">
            <v>ENBLNG_TRNVR_CCA</v>
          </cell>
          <cell r="Z107" t="str">
            <v>N</v>
          </cell>
          <cell r="AA107" t="str">
            <v>N</v>
          </cell>
          <cell r="AB107" t="str">
            <v>Y</v>
          </cell>
          <cell r="AC107" t="str">
            <v>N</v>
          </cell>
          <cell r="AD107" t="str">
            <v>N</v>
          </cell>
          <cell r="AE107" t="str">
            <v>N</v>
          </cell>
        </row>
        <row r="108">
          <cell r="E108" t="str">
            <v>TRNSTNL_TRNVR</v>
          </cell>
          <cell r="Z108" t="str">
            <v>N</v>
          </cell>
          <cell r="AA108" t="str">
            <v>N</v>
          </cell>
          <cell r="AB108" t="str">
            <v>Y</v>
          </cell>
          <cell r="AC108" t="str">
            <v>N</v>
          </cell>
          <cell r="AD108" t="str">
            <v>N</v>
          </cell>
          <cell r="AE108" t="str">
            <v>N</v>
          </cell>
        </row>
        <row r="109">
          <cell r="E109" t="str">
            <v>PURE_TRNVR_CCM</v>
          </cell>
          <cell r="Z109" t="str">
            <v>N</v>
          </cell>
          <cell r="AA109" t="str">
            <v>N</v>
          </cell>
          <cell r="AB109" t="str">
            <v>Y</v>
          </cell>
          <cell r="AC109" t="str">
            <v>N</v>
          </cell>
          <cell r="AD109" t="str">
            <v>N</v>
          </cell>
          <cell r="AE109" t="str">
            <v>N</v>
          </cell>
        </row>
        <row r="110">
          <cell r="E110" t="str">
            <v>PURE_TRNVR_CCA</v>
          </cell>
          <cell r="Z110" t="str">
            <v>N</v>
          </cell>
          <cell r="AA110" t="str">
            <v>N</v>
          </cell>
          <cell r="AB110" t="str">
            <v>Y</v>
          </cell>
          <cell r="AC110" t="str">
            <v>N</v>
          </cell>
          <cell r="AD110" t="str">
            <v>N</v>
          </cell>
          <cell r="AE110" t="str">
            <v>N</v>
          </cell>
        </row>
        <row r="111">
          <cell r="E111" t="str">
            <v>FLG_CSRD_APPLCBLTY</v>
          </cell>
          <cell r="Z111" t="str">
            <v>N</v>
          </cell>
          <cell r="AA111" t="str">
            <v>N</v>
          </cell>
          <cell r="AB111" t="str">
            <v>Y</v>
          </cell>
          <cell r="AC111" t="str">
            <v>N</v>
          </cell>
          <cell r="AD111" t="str">
            <v>Y</v>
          </cell>
          <cell r="AE111" t="str">
            <v>N</v>
          </cell>
        </row>
        <row r="112">
          <cell r="E112" t="str">
            <v>FLG_GRP_CSRD_APPLCBLTY</v>
          </cell>
          <cell r="Z112" t="str">
            <v>N</v>
          </cell>
          <cell r="AA112" t="str">
            <v>N</v>
          </cell>
          <cell r="AB112" t="str">
            <v>Y</v>
          </cell>
          <cell r="AC112" t="str">
            <v>N</v>
          </cell>
          <cell r="AD112" t="str">
            <v>Y</v>
          </cell>
          <cell r="AE112" t="str">
            <v>N</v>
          </cell>
        </row>
        <row r="113">
          <cell r="E113" t="str">
            <v>ISIN</v>
          </cell>
          <cell r="Z113" t="str">
            <v>N</v>
          </cell>
          <cell r="AA113" t="str">
            <v>N</v>
          </cell>
          <cell r="AB113" t="str">
            <v>Y</v>
          </cell>
          <cell r="AC113" t="str">
            <v>N</v>
          </cell>
          <cell r="AD113" t="str">
            <v>N</v>
          </cell>
          <cell r="AE113" t="str">
            <v>N</v>
          </cell>
        </row>
        <row r="114">
          <cell r="E114" t="str">
            <v>GRP_ANNL_TRNVR_LE</v>
          </cell>
          <cell r="Z114" t="str">
            <v>N</v>
          </cell>
          <cell r="AA114" t="str">
            <v>N</v>
          </cell>
          <cell r="AB114" t="str">
            <v>Y</v>
          </cell>
          <cell r="AC114" t="str">
            <v>N</v>
          </cell>
          <cell r="AD114" t="str">
            <v>N</v>
          </cell>
          <cell r="AE114" t="str">
            <v>N</v>
          </cell>
        </row>
        <row r="115">
          <cell r="E115" t="str">
            <v>GRP_TTL_LBLTY</v>
          </cell>
          <cell r="Z115" t="str">
            <v>N</v>
          </cell>
          <cell r="AA115" t="str">
            <v>N</v>
          </cell>
          <cell r="AB115" t="str">
            <v>Y</v>
          </cell>
          <cell r="AC115" t="str">
            <v>N</v>
          </cell>
          <cell r="AD115" t="str">
            <v>N</v>
          </cell>
          <cell r="AE115" t="str">
            <v>N</v>
          </cell>
        </row>
        <row r="116">
          <cell r="E116" t="str">
            <v>CNTRPRTY_EMSSNS_SCP1</v>
          </cell>
          <cell r="Z116" t="str">
            <v>N</v>
          </cell>
          <cell r="AA116" t="str">
            <v>N</v>
          </cell>
          <cell r="AB116" t="str">
            <v>Y</v>
          </cell>
          <cell r="AC116" t="str">
            <v>N</v>
          </cell>
          <cell r="AD116" t="str">
            <v>Y</v>
          </cell>
          <cell r="AE116" t="str">
            <v>N</v>
          </cell>
        </row>
        <row r="117">
          <cell r="E117" t="str">
            <v>CNTRPRTY_EMSSNS_SCP2</v>
          </cell>
          <cell r="Z117" t="str">
            <v>N</v>
          </cell>
          <cell r="AA117" t="str">
            <v>N</v>
          </cell>
          <cell r="AB117" t="str">
            <v>Y</v>
          </cell>
          <cell r="AC117" t="str">
            <v>N</v>
          </cell>
          <cell r="AD117" t="str">
            <v>Y</v>
          </cell>
          <cell r="AE117" t="str">
            <v>N</v>
          </cell>
        </row>
        <row r="118">
          <cell r="E118" t="str">
            <v>CNTRPRTY_EMSSNS_SCP3</v>
          </cell>
          <cell r="Z118" t="str">
            <v>N</v>
          </cell>
          <cell r="AA118" t="str">
            <v>N</v>
          </cell>
          <cell r="AB118" t="str">
            <v>Y</v>
          </cell>
          <cell r="AC118" t="str">
            <v>N</v>
          </cell>
          <cell r="AD118" t="str">
            <v>Y</v>
          </cell>
          <cell r="AE118" t="str">
            <v>N</v>
          </cell>
        </row>
        <row r="119">
          <cell r="E119" t="str">
            <v>FLG_EXCLDD_EU_PRS_ALGND_BNCHMRK</v>
          </cell>
          <cell r="Z119" t="str">
            <v>N</v>
          </cell>
          <cell r="AA119" t="str">
            <v>N</v>
          </cell>
          <cell r="AB119" t="str">
            <v>Y</v>
          </cell>
          <cell r="AC119" t="str">
            <v>N</v>
          </cell>
          <cell r="AD119" t="str">
            <v>N</v>
          </cell>
          <cell r="AE119" t="str">
            <v>N</v>
          </cell>
        </row>
        <row r="120">
          <cell r="E120" t="str">
            <v>GRP_EMSSNS_SCP1</v>
          </cell>
          <cell r="Z120" t="str">
            <v>N</v>
          </cell>
          <cell r="AA120" t="str">
            <v>N</v>
          </cell>
          <cell r="AB120" t="str">
            <v>Y</v>
          </cell>
          <cell r="AC120" t="str">
            <v>N</v>
          </cell>
          <cell r="AD120" t="str">
            <v>Y</v>
          </cell>
          <cell r="AE120" t="str">
            <v>N</v>
          </cell>
        </row>
        <row r="121">
          <cell r="E121" t="str">
            <v>GRP_EMSSNS_SCP2</v>
          </cell>
          <cell r="Z121" t="str">
            <v>N</v>
          </cell>
          <cell r="AA121" t="str">
            <v>N</v>
          </cell>
          <cell r="AB121" t="str">
            <v>Y</v>
          </cell>
          <cell r="AC121" t="str">
            <v>N</v>
          </cell>
          <cell r="AD121" t="str">
            <v>Y</v>
          </cell>
          <cell r="AE121" t="str">
            <v>N</v>
          </cell>
        </row>
        <row r="122">
          <cell r="E122" t="str">
            <v>GRP_EMSSNS_SCP3</v>
          </cell>
          <cell r="Z122" t="str">
            <v>N</v>
          </cell>
          <cell r="AA122" t="str">
            <v>N</v>
          </cell>
          <cell r="AB122" t="str">
            <v>Y</v>
          </cell>
          <cell r="AC122" t="str">
            <v>N</v>
          </cell>
          <cell r="AD122" t="str">
            <v>Y</v>
          </cell>
          <cell r="AE122" t="str">
            <v>N</v>
          </cell>
        </row>
        <row r="123">
          <cell r="E123" t="str">
            <v>FLG_ACT_PHYSCL_RSK</v>
          </cell>
          <cell r="Z123" t="str">
            <v>N</v>
          </cell>
          <cell r="AA123" t="str">
            <v>N</v>
          </cell>
          <cell r="AB123" t="str">
            <v>Y</v>
          </cell>
          <cell r="AC123" t="str">
            <v>N</v>
          </cell>
          <cell r="AD123" t="str">
            <v>N</v>
          </cell>
          <cell r="AE123" t="str">
            <v>N</v>
          </cell>
        </row>
        <row r="124">
          <cell r="E124" t="str">
            <v>FLG_CHRNC_PHYSCL_RSK</v>
          </cell>
          <cell r="Z124" t="str">
            <v>N</v>
          </cell>
          <cell r="AA124" t="str">
            <v>N</v>
          </cell>
          <cell r="AB124" t="str">
            <v>Y</v>
          </cell>
          <cell r="AC124" t="str">
            <v>N</v>
          </cell>
          <cell r="AD124" t="str">
            <v>N</v>
          </cell>
          <cell r="AE124" t="str">
            <v>N</v>
          </cell>
        </row>
        <row r="125">
          <cell r="E125" t="str">
            <v>GRP_ECNMC_ACTVTY</v>
          </cell>
          <cell r="Z125" t="str">
            <v>N</v>
          </cell>
          <cell r="AA125" t="str">
            <v>N</v>
          </cell>
          <cell r="AB125" t="str">
            <v>Y</v>
          </cell>
          <cell r="AC125" t="str">
            <v>Y</v>
          </cell>
          <cell r="AD125" t="str">
            <v>Y</v>
          </cell>
          <cell r="AE125" t="str">
            <v>N</v>
          </cell>
        </row>
        <row r="126">
          <cell r="E126" t="str">
            <v>PRSN_TYP</v>
          </cell>
          <cell r="Z126" t="str">
            <v>Y</v>
          </cell>
          <cell r="AA126" t="str">
            <v>N</v>
          </cell>
          <cell r="AB126" t="str">
            <v>N</v>
          </cell>
          <cell r="AC126" t="str">
            <v>N</v>
          </cell>
          <cell r="AD126" t="str">
            <v>N</v>
          </cell>
          <cell r="AE126" t="str">
            <v>N</v>
          </cell>
        </row>
        <row r="127">
          <cell r="E127" t="str">
            <v>FR_CSH_FLW</v>
          </cell>
          <cell r="Z127" t="str">
            <v>Y</v>
          </cell>
          <cell r="AA127" t="str">
            <v>N</v>
          </cell>
          <cell r="AB127" t="str">
            <v>N</v>
          </cell>
          <cell r="AC127" t="str">
            <v>N</v>
          </cell>
          <cell r="AD127" t="str">
            <v>N</v>
          </cell>
          <cell r="AE127" t="str">
            <v>Y</v>
          </cell>
        </row>
        <row r="128">
          <cell r="E128" t="str">
            <v>FR_CSH_FLW_T1</v>
          </cell>
          <cell r="Z128" t="str">
            <v>Y</v>
          </cell>
          <cell r="AA128" t="str">
            <v>N</v>
          </cell>
          <cell r="AB128" t="str">
            <v>N</v>
          </cell>
          <cell r="AC128" t="str">
            <v>N</v>
          </cell>
          <cell r="AD128" t="str">
            <v>N</v>
          </cell>
          <cell r="AE128" t="str">
            <v>Y</v>
          </cell>
        </row>
        <row r="129">
          <cell r="E129" t="str">
            <v>FR_CSH_FLW_T2</v>
          </cell>
          <cell r="Z129" t="str">
            <v>Y</v>
          </cell>
          <cell r="AA129" t="str">
            <v>N</v>
          </cell>
          <cell r="AB129" t="str">
            <v>N</v>
          </cell>
          <cell r="AC129" t="str">
            <v>N</v>
          </cell>
          <cell r="AD129" t="str">
            <v>N</v>
          </cell>
          <cell r="AE129" t="str">
            <v>Y</v>
          </cell>
        </row>
        <row r="130">
          <cell r="E130" t="str">
            <v>FR_CSH_FLW_T3</v>
          </cell>
          <cell r="Z130" t="str">
            <v>Y</v>
          </cell>
          <cell r="AA130" t="str">
            <v>N</v>
          </cell>
          <cell r="AB130" t="str">
            <v>N</v>
          </cell>
          <cell r="AC130" t="str">
            <v>N</v>
          </cell>
          <cell r="AD130" t="str">
            <v>N</v>
          </cell>
          <cell r="AE130" t="str">
            <v>Y</v>
          </cell>
        </row>
        <row r="131">
          <cell r="E131" t="str">
            <v>ADDRSS_CTY</v>
          </cell>
          <cell r="Z131" t="str">
            <v>Y</v>
          </cell>
          <cell r="AA131" t="str">
            <v>N</v>
          </cell>
          <cell r="AB131" t="str">
            <v>N</v>
          </cell>
          <cell r="AC131" t="str">
            <v>N</v>
          </cell>
          <cell r="AD131" t="str">
            <v>N</v>
          </cell>
          <cell r="AE131" t="str">
            <v>N</v>
          </cell>
        </row>
        <row r="132">
          <cell r="E132" t="str">
            <v>ADDRSS_STRT</v>
          </cell>
          <cell r="Z132" t="str">
            <v>Y</v>
          </cell>
          <cell r="AA132" t="str">
            <v>N</v>
          </cell>
          <cell r="AB132" t="str">
            <v>N</v>
          </cell>
          <cell r="AC132" t="str">
            <v>N</v>
          </cell>
          <cell r="AD132" t="str">
            <v>N</v>
          </cell>
          <cell r="AE132" t="str">
            <v>N</v>
          </cell>
        </row>
        <row r="133">
          <cell r="E133" t="str">
            <v>DT_ENTRPRS_SZ</v>
          </cell>
          <cell r="Z133" t="str">
            <v>Y</v>
          </cell>
          <cell r="AA133" t="str">
            <v>N</v>
          </cell>
          <cell r="AB133" t="str">
            <v>N</v>
          </cell>
          <cell r="AC133" t="str">
            <v>N</v>
          </cell>
          <cell r="AD133" t="str">
            <v>N</v>
          </cell>
          <cell r="AE133" t="str">
            <v>N</v>
          </cell>
        </row>
        <row r="134">
          <cell r="E134" t="str">
            <v>NMBR_EMPLYS</v>
          </cell>
          <cell r="Z134" t="str">
            <v>Y</v>
          </cell>
          <cell r="AA134" t="str">
            <v>N</v>
          </cell>
          <cell r="AB134" t="str">
            <v>N</v>
          </cell>
          <cell r="AC134" t="str">
            <v>N</v>
          </cell>
          <cell r="AD134" t="str">
            <v>N</v>
          </cell>
          <cell r="AE134" t="str">
            <v>N</v>
          </cell>
        </row>
        <row r="135">
          <cell r="E135" t="str">
            <v>LGL_FRM</v>
          </cell>
          <cell r="Z135" t="str">
            <v>Y</v>
          </cell>
          <cell r="AA135" t="str">
            <v>N</v>
          </cell>
          <cell r="AB135" t="str">
            <v>N</v>
          </cell>
          <cell r="AC135" t="str">
            <v>N</v>
          </cell>
          <cell r="AD135" t="str">
            <v>N</v>
          </cell>
          <cell r="AE135" t="str">
            <v>N</v>
          </cell>
        </row>
        <row r="136">
          <cell r="E136" t="str">
            <v>HD_OFFC_UNDRTKNG_ID</v>
          </cell>
          <cell r="Z136" t="str">
            <v>Y</v>
          </cell>
          <cell r="AA136" t="str">
            <v>N</v>
          </cell>
          <cell r="AB136" t="str">
            <v>N</v>
          </cell>
          <cell r="AC136" t="str">
            <v>N</v>
          </cell>
          <cell r="AD136" t="str">
            <v>N</v>
          </cell>
          <cell r="AE136" t="str">
            <v>N</v>
          </cell>
        </row>
        <row r="137">
          <cell r="E137" t="str">
            <v>IMMDT_PRNT_UNDRTKNG_ID</v>
          </cell>
          <cell r="Z137" t="str">
            <v>Y</v>
          </cell>
          <cell r="AA137" t="str">
            <v>N</v>
          </cell>
          <cell r="AB137" t="str">
            <v>N</v>
          </cell>
          <cell r="AC137" t="str">
            <v>N</v>
          </cell>
          <cell r="AD137" t="str">
            <v>N</v>
          </cell>
          <cell r="AE137" t="str">
            <v>N</v>
          </cell>
        </row>
        <row r="138">
          <cell r="E138" t="str">
            <v>ULTMT_PRNT_UNDRTKNG_ID</v>
          </cell>
          <cell r="Z138" t="str">
            <v>Y</v>
          </cell>
          <cell r="AA138" t="str">
            <v>N</v>
          </cell>
          <cell r="AB138" t="str">
            <v>N</v>
          </cell>
          <cell r="AC138" t="str">
            <v>N</v>
          </cell>
          <cell r="AD138" t="str">
            <v>N</v>
          </cell>
          <cell r="AE138" t="str">
            <v>N</v>
          </cell>
        </row>
        <row r="139">
          <cell r="E139" t="str">
            <v>TTL_ASSTS</v>
          </cell>
          <cell r="Z139" t="str">
            <v>Y</v>
          </cell>
          <cell r="AA139" t="str">
            <v>N</v>
          </cell>
          <cell r="AB139" t="str">
            <v>N</v>
          </cell>
          <cell r="AC139" t="str">
            <v>N</v>
          </cell>
          <cell r="AD139" t="str">
            <v>N</v>
          </cell>
          <cell r="AE139" t="str">
            <v>N</v>
          </cell>
        </row>
        <row r="140">
          <cell r="E140" t="str">
            <v>FLLN_ANGL_NRRW_DFNTN</v>
          </cell>
          <cell r="Z140" t="str">
            <v>N</v>
          </cell>
          <cell r="AA140" t="str">
            <v>N</v>
          </cell>
          <cell r="AB140" t="str">
            <v>N</v>
          </cell>
          <cell r="AC140" t="str">
            <v>N</v>
          </cell>
          <cell r="AD140" t="str">
            <v>N</v>
          </cell>
          <cell r="AE140" t="str">
            <v>Y</v>
          </cell>
        </row>
        <row r="141">
          <cell r="E141" t="str">
            <v>FLLN_ANGL_EXTNDD_DFNTN</v>
          </cell>
          <cell r="Z141" t="str">
            <v>N</v>
          </cell>
          <cell r="AA141" t="str">
            <v>N</v>
          </cell>
          <cell r="AB141" t="str">
            <v>N</v>
          </cell>
          <cell r="AC141" t="str">
            <v>N</v>
          </cell>
          <cell r="AD141" t="str">
            <v>N</v>
          </cell>
          <cell r="AE141" t="str">
            <v>Y</v>
          </cell>
        </row>
        <row r="142">
          <cell r="E142" t="str">
            <v>ENTTY_ID_BDR</v>
          </cell>
          <cell r="Z142" t="str">
            <v>Y</v>
          </cell>
          <cell r="AA142" t="str">
            <v>N</v>
          </cell>
          <cell r="AB142" t="str">
            <v>N</v>
          </cell>
          <cell r="AC142" t="str">
            <v>N</v>
          </cell>
          <cell r="AD142" t="str">
            <v>N</v>
          </cell>
          <cell r="AE142" t="str">
            <v>N</v>
          </cell>
        </row>
        <row r="143">
          <cell r="E143" t="str">
            <v>TXNMY_ELGBL_CAPEX_W</v>
          </cell>
          <cell r="Z143" t="str">
            <v>N</v>
          </cell>
          <cell r="AA143" t="str">
            <v>N</v>
          </cell>
          <cell r="AB143" t="str">
            <v>Y</v>
          </cell>
          <cell r="AC143" t="str">
            <v>N</v>
          </cell>
          <cell r="AD143" t="str">
            <v>N</v>
          </cell>
          <cell r="AE143" t="str">
            <v>N</v>
          </cell>
        </row>
        <row r="144">
          <cell r="E144" t="str">
            <v>TXNMY_ELGBL_TRNVR_W</v>
          </cell>
          <cell r="Z144" t="str">
            <v>N</v>
          </cell>
          <cell r="AA144" t="str">
            <v>N</v>
          </cell>
          <cell r="AB144" t="str">
            <v>Y</v>
          </cell>
          <cell r="AC144" t="str">
            <v>N</v>
          </cell>
          <cell r="AD144" t="str">
            <v>N</v>
          </cell>
          <cell r="AE144" t="str">
            <v>N</v>
          </cell>
        </row>
        <row r="145">
          <cell r="E145" t="str">
            <v>TXNMY_ELGBL_CAPEX_P</v>
          </cell>
          <cell r="Z145" t="str">
            <v>N</v>
          </cell>
          <cell r="AA145" t="str">
            <v>N</v>
          </cell>
          <cell r="AB145" t="str">
            <v>Y</v>
          </cell>
          <cell r="AC145" t="str">
            <v>N</v>
          </cell>
          <cell r="AD145" t="str">
            <v>N</v>
          </cell>
          <cell r="AE145" t="str">
            <v>N</v>
          </cell>
        </row>
        <row r="146">
          <cell r="E146" t="str">
            <v>TXNMY_ELGBL_TRNVR_P</v>
          </cell>
          <cell r="Z146" t="str">
            <v>N</v>
          </cell>
          <cell r="AA146" t="str">
            <v>N</v>
          </cell>
          <cell r="AB146" t="str">
            <v>Y</v>
          </cell>
          <cell r="AC146" t="str">
            <v>N</v>
          </cell>
          <cell r="AD146" t="str">
            <v>N</v>
          </cell>
          <cell r="AE146" t="str">
            <v>N</v>
          </cell>
        </row>
        <row r="147">
          <cell r="E147" t="str">
            <v>TXNMY_ELGBL_CAPEX_B</v>
          </cell>
          <cell r="Z147" t="str">
            <v>N</v>
          </cell>
          <cell r="AA147" t="str">
            <v>N</v>
          </cell>
          <cell r="AB147" t="str">
            <v>Y</v>
          </cell>
          <cell r="AC147" t="str">
            <v>N</v>
          </cell>
          <cell r="AD147" t="str">
            <v>N</v>
          </cell>
          <cell r="AE147" t="str">
            <v>N</v>
          </cell>
        </row>
        <row r="148">
          <cell r="E148" t="str">
            <v>TXNMY_ELGBL_TRNVR_B</v>
          </cell>
          <cell r="Z148" t="str">
            <v>N</v>
          </cell>
          <cell r="AA148" t="str">
            <v>N</v>
          </cell>
          <cell r="AB148" t="str">
            <v>Y</v>
          </cell>
          <cell r="AC148" t="str">
            <v>N</v>
          </cell>
          <cell r="AD148" t="str">
            <v>N</v>
          </cell>
          <cell r="AE148" t="str">
            <v>N</v>
          </cell>
        </row>
        <row r="149">
          <cell r="E149" t="str">
            <v>TXNMY_ELGBL_CAPEX_CE</v>
          </cell>
          <cell r="Z149" t="str">
            <v>N</v>
          </cell>
          <cell r="AA149" t="str">
            <v>N</v>
          </cell>
          <cell r="AB149" t="str">
            <v>Y</v>
          </cell>
          <cell r="AC149" t="str">
            <v>N</v>
          </cell>
          <cell r="AD149" t="str">
            <v>N</v>
          </cell>
          <cell r="AE149" t="str">
            <v>N</v>
          </cell>
        </row>
        <row r="150">
          <cell r="E150" t="str">
            <v>TXNMY_ELGBL_TRNVR_CE</v>
          </cell>
          <cell r="Z150" t="str">
            <v>N</v>
          </cell>
          <cell r="AA150" t="str">
            <v>N</v>
          </cell>
          <cell r="AB150" t="str">
            <v>Y</v>
          </cell>
          <cell r="AC150" t="str">
            <v>N</v>
          </cell>
          <cell r="AD150" t="str">
            <v>N</v>
          </cell>
          <cell r="AE150" t="str">
            <v>N</v>
          </cell>
        </row>
        <row r="151">
          <cell r="E151" t="str">
            <v>PURE_CAPEX_P</v>
          </cell>
          <cell r="Z151" t="str">
            <v>N</v>
          </cell>
          <cell r="AA151" t="str">
            <v>N</v>
          </cell>
          <cell r="AB151" t="str">
            <v>Y</v>
          </cell>
          <cell r="AC151" t="str">
            <v>N</v>
          </cell>
          <cell r="AD151" t="str">
            <v>N</v>
          </cell>
          <cell r="AE151" t="str">
            <v>N</v>
          </cell>
        </row>
        <row r="152">
          <cell r="E152" t="str">
            <v>PURE_TRNVR_P</v>
          </cell>
          <cell r="Z152" t="str">
            <v>N</v>
          </cell>
          <cell r="AA152" t="str">
            <v>N</v>
          </cell>
          <cell r="AB152" t="str">
            <v>Y</v>
          </cell>
          <cell r="AC152" t="str">
            <v>N</v>
          </cell>
          <cell r="AD152" t="str">
            <v>N</v>
          </cell>
          <cell r="AE152" t="str">
            <v>N</v>
          </cell>
        </row>
        <row r="153">
          <cell r="E153" t="str">
            <v>PURE_CAPEX_B</v>
          </cell>
          <cell r="Z153" t="str">
            <v>N</v>
          </cell>
          <cell r="AA153" t="str">
            <v>N</v>
          </cell>
          <cell r="AB153" t="str">
            <v>Y</v>
          </cell>
          <cell r="AC153" t="str">
            <v>N</v>
          </cell>
          <cell r="AD153" t="str">
            <v>N</v>
          </cell>
          <cell r="AE153" t="str">
            <v>N</v>
          </cell>
        </row>
        <row r="154">
          <cell r="E154" t="str">
            <v>PURE_TRNVR_B</v>
          </cell>
          <cell r="Z154" t="str">
            <v>N</v>
          </cell>
          <cell r="AA154" t="str">
            <v>N</v>
          </cell>
          <cell r="AB154" t="str">
            <v>Y</v>
          </cell>
          <cell r="AC154" t="str">
            <v>N</v>
          </cell>
          <cell r="AD154" t="str">
            <v>N</v>
          </cell>
          <cell r="AE154" t="str">
            <v>N</v>
          </cell>
        </row>
        <row r="155">
          <cell r="E155" t="str">
            <v>PURE_CAPEX_W</v>
          </cell>
          <cell r="Z155" t="str">
            <v>N</v>
          </cell>
          <cell r="AA155" t="str">
            <v>N</v>
          </cell>
          <cell r="AB155" t="str">
            <v>Y</v>
          </cell>
          <cell r="AC155" t="str">
            <v>N</v>
          </cell>
          <cell r="AD155" t="str">
            <v>N</v>
          </cell>
          <cell r="AE155" t="str">
            <v>N</v>
          </cell>
        </row>
        <row r="156">
          <cell r="E156" t="str">
            <v>PURE_TRNVR_W</v>
          </cell>
          <cell r="Z156" t="str">
            <v>N</v>
          </cell>
          <cell r="AA156" t="str">
            <v>N</v>
          </cell>
          <cell r="AB156" t="str">
            <v>Y</v>
          </cell>
          <cell r="AC156" t="str">
            <v>N</v>
          </cell>
          <cell r="AD156" t="str">
            <v>N</v>
          </cell>
          <cell r="AE156" t="str">
            <v>N</v>
          </cell>
        </row>
        <row r="157">
          <cell r="E157" t="str">
            <v>PURE_CAPEX_CE</v>
          </cell>
          <cell r="Z157" t="str">
            <v>N</v>
          </cell>
          <cell r="AA157" t="str">
            <v>N</v>
          </cell>
          <cell r="AB157" t="str">
            <v>Y</v>
          </cell>
          <cell r="AC157" t="str">
            <v>N</v>
          </cell>
          <cell r="AD157" t="str">
            <v>N</v>
          </cell>
          <cell r="AE157" t="str">
            <v>N</v>
          </cell>
        </row>
        <row r="158">
          <cell r="E158" t="str">
            <v>PURE_TRNVR_CE</v>
          </cell>
          <cell r="Z158" t="str">
            <v>N</v>
          </cell>
          <cell r="AA158" t="str">
            <v>N</v>
          </cell>
          <cell r="AB158" t="str">
            <v>Y</v>
          </cell>
          <cell r="AC158" t="str">
            <v>N</v>
          </cell>
          <cell r="AD158" t="str">
            <v>N</v>
          </cell>
          <cell r="AE158" t="str">
            <v>N</v>
          </cell>
        </row>
        <row r="159">
          <cell r="E159" t="str">
            <v>ENBLNG_CAPEX_W</v>
          </cell>
          <cell r="Z159" t="str">
            <v>N</v>
          </cell>
          <cell r="AA159" t="str">
            <v>N</v>
          </cell>
          <cell r="AB159" t="str">
            <v>Y</v>
          </cell>
          <cell r="AC159" t="str">
            <v>N</v>
          </cell>
          <cell r="AD159" t="str">
            <v>N</v>
          </cell>
          <cell r="AE159" t="str">
            <v>N</v>
          </cell>
        </row>
        <row r="160">
          <cell r="E160" t="str">
            <v>ENBLNG_TRNVR_W</v>
          </cell>
          <cell r="Z160" t="str">
            <v>N</v>
          </cell>
          <cell r="AA160" t="str">
            <v>N</v>
          </cell>
          <cell r="AB160" t="str">
            <v>Y</v>
          </cell>
          <cell r="AC160" t="str">
            <v>N</v>
          </cell>
          <cell r="AD160" t="str">
            <v>N</v>
          </cell>
          <cell r="AE160" t="str">
            <v>N</v>
          </cell>
        </row>
        <row r="161">
          <cell r="E161" t="str">
            <v>ENBLNG_CAPEX_CE</v>
          </cell>
          <cell r="Z161" t="str">
            <v>N</v>
          </cell>
          <cell r="AA161" t="str">
            <v>N</v>
          </cell>
          <cell r="AB161" t="str">
            <v>Y</v>
          </cell>
          <cell r="AC161" t="str">
            <v>N</v>
          </cell>
          <cell r="AD161" t="str">
            <v>N</v>
          </cell>
          <cell r="AE161" t="str">
            <v>N</v>
          </cell>
        </row>
        <row r="162">
          <cell r="E162" t="str">
            <v>ENBLNG_TRNVR_CE</v>
          </cell>
          <cell r="Z162" t="str">
            <v>N</v>
          </cell>
          <cell r="AA162" t="str">
            <v>N</v>
          </cell>
          <cell r="AB162" t="str">
            <v>Y</v>
          </cell>
          <cell r="AC162" t="str">
            <v>N</v>
          </cell>
          <cell r="AD162" t="str">
            <v>N</v>
          </cell>
          <cell r="AE162" t="str">
            <v>N</v>
          </cell>
        </row>
        <row r="163">
          <cell r="E163" t="str">
            <v>RORAC</v>
          </cell>
          <cell r="Z163" t="str">
            <v>N</v>
          </cell>
          <cell r="AA163" t="str">
            <v>N</v>
          </cell>
          <cell r="AB163" t="str">
            <v>N</v>
          </cell>
          <cell r="AC163" t="str">
            <v>N</v>
          </cell>
          <cell r="AD163" t="str">
            <v>N</v>
          </cell>
          <cell r="AE163" t="str">
            <v>Y</v>
          </cell>
        </row>
        <row r="164">
          <cell r="E164" t="str">
            <v>GRP_RORAC</v>
          </cell>
          <cell r="Z164" t="str">
            <v>N</v>
          </cell>
          <cell r="AA164" t="str">
            <v>N</v>
          </cell>
          <cell r="AB164" t="str">
            <v>N</v>
          </cell>
          <cell r="AC164" t="str">
            <v>N</v>
          </cell>
          <cell r="AD164" t="str">
            <v>N</v>
          </cell>
          <cell r="AE164" t="str">
            <v>Y</v>
          </cell>
        </row>
        <row r="165">
          <cell r="E165" t="str">
            <v>RORWA</v>
          </cell>
          <cell r="Z165" t="str">
            <v>N</v>
          </cell>
          <cell r="AA165" t="str">
            <v>N</v>
          </cell>
          <cell r="AB165" t="str">
            <v>N</v>
          </cell>
          <cell r="AC165" t="str">
            <v>N</v>
          </cell>
          <cell r="AD165" t="str">
            <v>N</v>
          </cell>
          <cell r="AE165" t="str">
            <v>Y</v>
          </cell>
        </row>
        <row r="166">
          <cell r="E166" t="str">
            <v>GRP_RORWA</v>
          </cell>
          <cell r="Z166" t="str">
            <v>N</v>
          </cell>
          <cell r="AA166" t="str">
            <v>N</v>
          </cell>
          <cell r="AB166" t="str">
            <v>N</v>
          </cell>
          <cell r="AC166" t="str">
            <v>N</v>
          </cell>
          <cell r="AD166" t="str">
            <v>N</v>
          </cell>
          <cell r="AE166" t="str">
            <v>Y</v>
          </cell>
        </row>
        <row r="167">
          <cell r="E167" t="str">
            <v>SCAN</v>
          </cell>
          <cell r="Z167" t="str">
            <v>N</v>
          </cell>
          <cell r="AA167" t="str">
            <v>N</v>
          </cell>
          <cell r="AB167" t="str">
            <v>N</v>
          </cell>
          <cell r="AC167" t="str">
            <v>N</v>
          </cell>
          <cell r="AD167" t="str">
            <v>N</v>
          </cell>
          <cell r="AE167" t="str">
            <v>Y</v>
          </cell>
        </row>
        <row r="168">
          <cell r="E168" t="str">
            <v>TTL_PRMSSBL_DBT_BLNC</v>
          </cell>
          <cell r="Z168" t="str">
            <v>N</v>
          </cell>
          <cell r="AA168" t="str">
            <v>N</v>
          </cell>
          <cell r="AB168" t="str">
            <v>N</v>
          </cell>
          <cell r="AC168" t="str">
            <v>N</v>
          </cell>
          <cell r="AD168" t="str">
            <v>N</v>
          </cell>
          <cell r="AE168" t="str">
            <v>Y</v>
          </cell>
        </row>
        <row r="169">
          <cell r="E169" t="str">
            <v>SSTNBL_CLNT</v>
          </cell>
          <cell r="Z169" t="str">
            <v>N</v>
          </cell>
          <cell r="AA169" t="str">
            <v>Y</v>
          </cell>
          <cell r="AB169" t="str">
            <v>N</v>
          </cell>
          <cell r="AC169" t="str">
            <v>Y</v>
          </cell>
          <cell r="AD169" t="str">
            <v>N</v>
          </cell>
          <cell r="AE169" t="str">
            <v>N</v>
          </cell>
        </row>
        <row r="170">
          <cell r="E170" t="str">
            <v>DT_SSTNBL_CLNT</v>
          </cell>
          <cell r="Z170" t="str">
            <v>N</v>
          </cell>
          <cell r="AA170" t="str">
            <v>Y</v>
          </cell>
          <cell r="AB170" t="str">
            <v>N</v>
          </cell>
          <cell r="AC170" t="str">
            <v>Y</v>
          </cell>
          <cell r="AD170" t="str">
            <v>N</v>
          </cell>
          <cell r="AE170" t="str">
            <v>N</v>
          </cell>
        </row>
        <row r="171">
          <cell r="E171" t="str">
            <v>DT_FNNCL_STTMTS_SSTNBL_CLNT</v>
          </cell>
          <cell r="Z171" t="str">
            <v>N</v>
          </cell>
          <cell r="AA171" t="str">
            <v>Y</v>
          </cell>
          <cell r="AB171" t="str">
            <v>N</v>
          </cell>
          <cell r="AC171" t="str">
            <v>Y</v>
          </cell>
          <cell r="AD171" t="str">
            <v>N</v>
          </cell>
          <cell r="AE171" t="str">
            <v>N</v>
          </cell>
        </row>
        <row r="172">
          <cell r="E172" t="str">
            <v>CNTRPRTY_SSTNBL_CTGRY</v>
          </cell>
          <cell r="Z172" t="str">
            <v>N</v>
          </cell>
          <cell r="AA172" t="str">
            <v>Y</v>
          </cell>
          <cell r="AB172" t="str">
            <v>N</v>
          </cell>
          <cell r="AC172" t="str">
            <v>Y</v>
          </cell>
          <cell r="AD172" t="str">
            <v>N</v>
          </cell>
          <cell r="AE172" t="str">
            <v>N</v>
          </cell>
        </row>
        <row r="173">
          <cell r="E173" t="str">
            <v>COD_SOC</v>
          </cell>
          <cell r="Z173" t="str">
            <v>Y</v>
          </cell>
          <cell r="AA173" t="str">
            <v>N</v>
          </cell>
          <cell r="AB173" t="str">
            <v>Y</v>
          </cell>
          <cell r="AC173" t="str">
            <v>Y</v>
          </cell>
          <cell r="AD173" t="str">
            <v>N</v>
          </cell>
          <cell r="AE173" t="str">
            <v>Y</v>
          </cell>
        </row>
        <row r="174">
          <cell r="E174" t="str">
            <v>DT_RFRNC</v>
          </cell>
          <cell r="Z174" t="str">
            <v>Y</v>
          </cell>
          <cell r="AA174" t="str">
            <v>N</v>
          </cell>
          <cell r="AB174" t="str">
            <v>Y</v>
          </cell>
          <cell r="AC174" t="str">
            <v>Y</v>
          </cell>
          <cell r="AD174" t="str">
            <v>N</v>
          </cell>
          <cell r="AE174" t="str">
            <v>Y</v>
          </cell>
        </row>
        <row r="175">
          <cell r="E175" t="str">
            <v>ENTTY_ID</v>
          </cell>
          <cell r="Z175" t="str">
            <v>Y</v>
          </cell>
          <cell r="AA175" t="str">
            <v>N</v>
          </cell>
          <cell r="AB175" t="str">
            <v>Y</v>
          </cell>
          <cell r="AC175" t="str">
            <v>Y</v>
          </cell>
          <cell r="AD175" t="str">
            <v>N</v>
          </cell>
          <cell r="AE175" t="str">
            <v>Y</v>
          </cell>
        </row>
        <row r="176">
          <cell r="E176" t="str">
            <v>INSTRMNT_ID</v>
          </cell>
          <cell r="Z176" t="str">
            <v>Y</v>
          </cell>
          <cell r="AA176" t="str">
            <v>N</v>
          </cell>
          <cell r="AB176" t="str">
            <v>Y</v>
          </cell>
          <cell r="AC176" t="str">
            <v>Y</v>
          </cell>
          <cell r="AD176" t="str">
            <v>N</v>
          </cell>
          <cell r="AE176" t="str">
            <v>Y</v>
          </cell>
        </row>
        <row r="177">
          <cell r="E177" t="str">
            <v>JNT_LBLTY_AMNT</v>
          </cell>
          <cell r="Z177" t="str">
            <v>Y</v>
          </cell>
          <cell r="AA177" t="str">
            <v>N</v>
          </cell>
          <cell r="AB177" t="str">
            <v>N</v>
          </cell>
          <cell r="AC177" t="str">
            <v>N</v>
          </cell>
          <cell r="AD177" t="str">
            <v>N</v>
          </cell>
          <cell r="AE177" t="str">
            <v>Y</v>
          </cell>
        </row>
        <row r="178">
          <cell r="E178" t="str">
            <v>MN_ENTTY_ID</v>
          </cell>
          <cell r="Z178" t="str">
            <v>Y</v>
          </cell>
          <cell r="AA178" t="str">
            <v>N</v>
          </cell>
          <cell r="AB178" t="str">
            <v>Y</v>
          </cell>
          <cell r="AC178" t="str">
            <v>Y</v>
          </cell>
          <cell r="AD178" t="str">
            <v>N</v>
          </cell>
          <cell r="AE178" t="str">
            <v>Y</v>
          </cell>
        </row>
        <row r="179">
          <cell r="E179" t="str">
            <v>COD_SOC</v>
          </cell>
          <cell r="Z179" t="str">
            <v>Y</v>
          </cell>
          <cell r="AA179" t="str">
            <v>Y</v>
          </cell>
          <cell r="AB179" t="str">
            <v>Y</v>
          </cell>
          <cell r="AC179" t="str">
            <v>Y</v>
          </cell>
          <cell r="AD179" t="str">
            <v>Y</v>
          </cell>
          <cell r="AE179" t="str">
            <v>Y</v>
          </cell>
        </row>
        <row r="180">
          <cell r="E180" t="str">
            <v>SUBPORTFOLIO_ID</v>
          </cell>
          <cell r="Z180" t="str">
            <v>Y</v>
          </cell>
          <cell r="AA180" t="str">
            <v>Y</v>
          </cell>
          <cell r="AB180" t="str">
            <v>Y</v>
          </cell>
          <cell r="AC180" t="str">
            <v>Y</v>
          </cell>
          <cell r="AD180" t="str">
            <v>Y</v>
          </cell>
          <cell r="AE180" t="str">
            <v>Y</v>
          </cell>
        </row>
        <row r="181">
          <cell r="E181" t="str">
            <v>CRE_FNRP18</v>
          </cell>
          <cell r="Z181" t="str">
            <v>Y</v>
          </cell>
          <cell r="AA181" t="str">
            <v>N</v>
          </cell>
          <cell r="AB181" t="str">
            <v>N</v>
          </cell>
          <cell r="AC181" t="str">
            <v>N</v>
          </cell>
          <cell r="AD181" t="str">
            <v>N</v>
          </cell>
          <cell r="AE181" t="str">
            <v>N</v>
          </cell>
        </row>
        <row r="182">
          <cell r="E182" t="str">
            <v>SME_FNRP18</v>
          </cell>
          <cell r="Z182" t="str">
            <v>Y</v>
          </cell>
          <cell r="AA182" t="str">
            <v>N</v>
          </cell>
          <cell r="AB182" t="str">
            <v>N</v>
          </cell>
          <cell r="AC182" t="str">
            <v>N</v>
          </cell>
          <cell r="AD182" t="str">
            <v>N</v>
          </cell>
          <cell r="AE182" t="str">
            <v>N</v>
          </cell>
        </row>
        <row r="183">
          <cell r="E183" t="str">
            <v>RRE_FNRP18</v>
          </cell>
          <cell r="Z183" t="str">
            <v>Y</v>
          </cell>
          <cell r="AA183" t="str">
            <v>N</v>
          </cell>
          <cell r="AB183" t="str">
            <v>N</v>
          </cell>
          <cell r="AC183" t="str">
            <v>N</v>
          </cell>
          <cell r="AD183" t="str">
            <v>N</v>
          </cell>
          <cell r="AE183" t="str">
            <v>N</v>
          </cell>
        </row>
        <row r="184">
          <cell r="E184" t="str">
            <v>CNSMPTN_FNRP18</v>
          </cell>
          <cell r="Z184" t="str">
            <v>Y</v>
          </cell>
          <cell r="AA184" t="str">
            <v>N</v>
          </cell>
          <cell r="AB184" t="str">
            <v>N</v>
          </cell>
          <cell r="AC184" t="str">
            <v>N</v>
          </cell>
          <cell r="AD184" t="str">
            <v>N</v>
          </cell>
          <cell r="AE184" t="str">
            <v>N</v>
          </cell>
        </row>
        <row r="185">
          <cell r="E185" t="str">
            <v>DT_RFRNC</v>
          </cell>
          <cell r="Z185" t="str">
            <v>Y</v>
          </cell>
          <cell r="AA185" t="str">
            <v>Y</v>
          </cell>
          <cell r="AB185" t="str">
            <v>Y</v>
          </cell>
          <cell r="AC185" t="str">
            <v>Y</v>
          </cell>
          <cell r="AD185" t="str">
            <v>Y</v>
          </cell>
          <cell r="AE185" t="str">
            <v>Y</v>
          </cell>
        </row>
        <row r="186">
          <cell r="E186" t="str">
            <v>INSTRMNT_ID</v>
          </cell>
          <cell r="Z186" t="str">
            <v>Y</v>
          </cell>
          <cell r="AA186" t="str">
            <v>Y</v>
          </cell>
          <cell r="AB186" t="str">
            <v>Y</v>
          </cell>
          <cell r="AC186" t="str">
            <v>Y</v>
          </cell>
          <cell r="AD186" t="str">
            <v>Y</v>
          </cell>
          <cell r="AE186" t="str">
            <v>Y</v>
          </cell>
        </row>
        <row r="187">
          <cell r="E187" t="str">
            <v>CNTRCT_ID</v>
          </cell>
          <cell r="Z187" t="str">
            <v>Y</v>
          </cell>
          <cell r="AA187" t="str">
            <v>N</v>
          </cell>
          <cell r="AB187" t="str">
            <v>N</v>
          </cell>
          <cell r="AC187" t="str">
            <v>N</v>
          </cell>
          <cell r="AD187" t="str">
            <v>N</v>
          </cell>
          <cell r="AE187" t="str">
            <v>N</v>
          </cell>
        </row>
        <row r="188">
          <cell r="E188" t="str">
            <v>CRRNCY_DNMNTN</v>
          </cell>
          <cell r="Z188" t="str">
            <v>Y</v>
          </cell>
          <cell r="AA188" t="str">
            <v>N</v>
          </cell>
          <cell r="AB188" t="str">
            <v>N</v>
          </cell>
          <cell r="AC188" t="str">
            <v>Y</v>
          </cell>
          <cell r="AD188" t="str">
            <v>N</v>
          </cell>
          <cell r="AE188" t="str">
            <v>Y</v>
          </cell>
        </row>
        <row r="189">
          <cell r="E189" t="str">
            <v>DT_INCPTN</v>
          </cell>
          <cell r="Z189" t="str">
            <v>Y</v>
          </cell>
          <cell r="AA189" t="str">
            <v>N</v>
          </cell>
          <cell r="AB189" t="str">
            <v>Y</v>
          </cell>
          <cell r="AC189" t="str">
            <v>Y</v>
          </cell>
          <cell r="AD189" t="str">
            <v>N</v>
          </cell>
          <cell r="AE189" t="str">
            <v>Y</v>
          </cell>
        </row>
        <row r="190">
          <cell r="E190" t="str">
            <v>OBSRVD_AGNT_ID</v>
          </cell>
          <cell r="Z190" t="str">
            <v>Y</v>
          </cell>
          <cell r="AA190" t="str">
            <v>N</v>
          </cell>
          <cell r="AB190" t="str">
            <v>N</v>
          </cell>
          <cell r="AC190" t="str">
            <v>N</v>
          </cell>
          <cell r="AD190" t="str">
            <v>N</v>
          </cell>
          <cell r="AE190" t="str">
            <v>Y</v>
          </cell>
        </row>
        <row r="191">
          <cell r="E191" t="str">
            <v>OBSRVD_AGNT_NM</v>
          </cell>
          <cell r="Z191" t="str">
            <v>Y</v>
          </cell>
          <cell r="AA191" t="str">
            <v>N</v>
          </cell>
          <cell r="AB191" t="str">
            <v>N</v>
          </cell>
          <cell r="AC191" t="str">
            <v>N</v>
          </cell>
          <cell r="AD191" t="str">
            <v>N</v>
          </cell>
          <cell r="AE191" t="str">
            <v>Y</v>
          </cell>
        </row>
        <row r="192">
          <cell r="E192" t="str">
            <v>PRDCT</v>
          </cell>
          <cell r="Z192" t="str">
            <v>Y</v>
          </cell>
          <cell r="AA192" t="str">
            <v>N</v>
          </cell>
          <cell r="AB192" t="str">
            <v>N</v>
          </cell>
          <cell r="AC192" t="str">
            <v>Y</v>
          </cell>
          <cell r="AD192" t="str">
            <v>N</v>
          </cell>
          <cell r="AE192" t="str">
            <v>N</v>
          </cell>
        </row>
        <row r="193">
          <cell r="E193" t="str">
            <v>BRCHD_CVNNTS</v>
          </cell>
          <cell r="Z193" t="str">
            <v>Y</v>
          </cell>
          <cell r="AA193" t="str">
            <v>N</v>
          </cell>
          <cell r="AB193" t="str">
            <v>N</v>
          </cell>
          <cell r="AC193" t="str">
            <v>N</v>
          </cell>
          <cell r="AD193" t="str">
            <v>N</v>
          </cell>
          <cell r="AE193" t="str">
            <v>Y</v>
          </cell>
        </row>
        <row r="194">
          <cell r="E194" t="str">
            <v>CHNNL_ORGNTN</v>
          </cell>
          <cell r="Z194" t="str">
            <v>Y</v>
          </cell>
          <cell r="AA194" t="str">
            <v>N</v>
          </cell>
          <cell r="AB194" t="str">
            <v>N</v>
          </cell>
          <cell r="AC194" t="str">
            <v>Y</v>
          </cell>
          <cell r="AD194" t="str">
            <v>N</v>
          </cell>
          <cell r="AE194" t="str">
            <v>N</v>
          </cell>
        </row>
        <row r="195">
          <cell r="E195" t="str">
            <v>CSH_SWP_TRP</v>
          </cell>
          <cell r="Z195" t="str">
            <v>Y</v>
          </cell>
          <cell r="AA195" t="str">
            <v>N</v>
          </cell>
          <cell r="AB195" t="str">
            <v>N</v>
          </cell>
          <cell r="AC195" t="str">
            <v>N</v>
          </cell>
          <cell r="AD195" t="str">
            <v>N</v>
          </cell>
          <cell r="AE195" t="str">
            <v>Y</v>
          </cell>
        </row>
        <row r="196">
          <cell r="E196" t="str">
            <v>CVNNT_STTS</v>
          </cell>
          <cell r="Z196" t="str">
            <v>Y</v>
          </cell>
          <cell r="AA196" t="str">
            <v>N</v>
          </cell>
          <cell r="AB196" t="str">
            <v>N</v>
          </cell>
          <cell r="AC196" t="str">
            <v>N</v>
          </cell>
          <cell r="AD196" t="str">
            <v>N</v>
          </cell>
          <cell r="AE196" t="str">
            <v>Y</v>
          </cell>
        </row>
        <row r="197">
          <cell r="E197" t="str">
            <v>CVNNT_TYP</v>
          </cell>
          <cell r="Z197" t="str">
            <v>Y</v>
          </cell>
          <cell r="AA197" t="str">
            <v>N</v>
          </cell>
          <cell r="AB197" t="str">
            <v>N</v>
          </cell>
          <cell r="AC197" t="str">
            <v>N</v>
          </cell>
          <cell r="AD197" t="str">
            <v>N</v>
          </cell>
          <cell r="AE197" t="str">
            <v>Y</v>
          </cell>
        </row>
        <row r="198">
          <cell r="E198" t="str">
            <v>DFLT_STTS_INSTRMNT</v>
          </cell>
          <cell r="Z198" t="str">
            <v>Y</v>
          </cell>
          <cell r="AA198" t="str">
            <v>Y</v>
          </cell>
          <cell r="AB198" t="str">
            <v>Y</v>
          </cell>
          <cell r="AC198" t="str">
            <v>Y</v>
          </cell>
          <cell r="AD198" t="str">
            <v>N</v>
          </cell>
          <cell r="AE198" t="str">
            <v>Y</v>
          </cell>
        </row>
        <row r="199">
          <cell r="E199" t="str">
            <v>DT_DFLT_STTS_INSTRMNT</v>
          </cell>
          <cell r="Z199" t="str">
            <v>Y</v>
          </cell>
          <cell r="AA199" t="str">
            <v>N</v>
          </cell>
          <cell r="AB199" t="str">
            <v>N</v>
          </cell>
          <cell r="AC199" t="str">
            <v>N</v>
          </cell>
          <cell r="AD199" t="str">
            <v>N</v>
          </cell>
          <cell r="AE199" t="str">
            <v>Y</v>
          </cell>
        </row>
        <row r="200">
          <cell r="E200" t="str">
            <v>DT_END_GP_PPAL</v>
          </cell>
          <cell r="Z200" t="str">
            <v>Y</v>
          </cell>
          <cell r="AA200" t="str">
            <v>N</v>
          </cell>
          <cell r="AB200" t="str">
            <v>N</v>
          </cell>
          <cell r="AC200" t="str">
            <v>N</v>
          </cell>
          <cell r="AD200" t="str">
            <v>N</v>
          </cell>
          <cell r="AE200" t="str">
            <v>N</v>
          </cell>
        </row>
        <row r="201">
          <cell r="E201" t="str">
            <v>DT_END_INTRST_ONLY</v>
          </cell>
          <cell r="Z201" t="str">
            <v>Y</v>
          </cell>
          <cell r="AA201" t="str">
            <v>N</v>
          </cell>
          <cell r="AB201" t="str">
            <v>N</v>
          </cell>
          <cell r="AC201" t="str">
            <v>N</v>
          </cell>
          <cell r="AD201" t="str">
            <v>N</v>
          </cell>
          <cell r="AE201" t="str">
            <v>N</v>
          </cell>
        </row>
        <row r="202">
          <cell r="E202" t="str">
            <v>DT_FRBRNC_STTS</v>
          </cell>
          <cell r="Z202" t="str">
            <v>Y</v>
          </cell>
          <cell r="AA202" t="str">
            <v>N</v>
          </cell>
          <cell r="AB202" t="str">
            <v>N</v>
          </cell>
          <cell r="AC202" t="str">
            <v>N</v>
          </cell>
          <cell r="AD202" t="str">
            <v>N</v>
          </cell>
          <cell r="AE202" t="str">
            <v>Y</v>
          </cell>
        </row>
        <row r="203">
          <cell r="E203" t="str">
            <v>DT_FRBRNC_STTS_PRVS</v>
          </cell>
          <cell r="Z203" t="str">
            <v>Y</v>
          </cell>
          <cell r="AA203" t="str">
            <v>N</v>
          </cell>
          <cell r="AB203" t="str">
            <v>N</v>
          </cell>
          <cell r="AC203" t="str">
            <v>N</v>
          </cell>
          <cell r="AD203" t="str">
            <v>N</v>
          </cell>
          <cell r="AE203" t="str">
            <v>N</v>
          </cell>
        </row>
        <row r="204">
          <cell r="E204" t="str">
            <v>DT_INTRNL_RTNG</v>
          </cell>
          <cell r="Z204" t="str">
            <v>Y</v>
          </cell>
          <cell r="AA204" t="str">
            <v>N</v>
          </cell>
          <cell r="AB204" t="str">
            <v>N</v>
          </cell>
          <cell r="AC204" t="str">
            <v>N</v>
          </cell>
          <cell r="AD204" t="str">
            <v>N</v>
          </cell>
          <cell r="AE204" t="str">
            <v>Y</v>
          </cell>
        </row>
        <row r="205">
          <cell r="E205" t="str">
            <v>DT_PRFRMNG_STTS</v>
          </cell>
          <cell r="Z205" t="str">
            <v>Y</v>
          </cell>
          <cell r="AA205" t="str">
            <v>N</v>
          </cell>
          <cell r="AB205" t="str">
            <v>N</v>
          </cell>
          <cell r="AC205" t="str">
            <v>N</v>
          </cell>
          <cell r="AD205" t="str">
            <v>N</v>
          </cell>
          <cell r="AE205" t="str">
            <v>Y</v>
          </cell>
        </row>
        <row r="206">
          <cell r="E206" t="str">
            <v>DT_PRFRMNG_STTS_PRVS</v>
          </cell>
          <cell r="Z206" t="str">
            <v>Y</v>
          </cell>
          <cell r="AA206" t="str">
            <v>N</v>
          </cell>
          <cell r="AB206" t="str">
            <v>N</v>
          </cell>
          <cell r="AC206" t="str">
            <v>N</v>
          </cell>
          <cell r="AD206" t="str">
            <v>N</v>
          </cell>
          <cell r="AE206" t="str">
            <v>Y</v>
          </cell>
        </row>
        <row r="207">
          <cell r="E207" t="str">
            <v>DT_STRT_INTRST_ONLY</v>
          </cell>
          <cell r="Z207" t="str">
            <v>Y</v>
          </cell>
          <cell r="AA207" t="str">
            <v>N</v>
          </cell>
          <cell r="AB207" t="str">
            <v>N</v>
          </cell>
          <cell r="AC207" t="str">
            <v>N</v>
          </cell>
          <cell r="AD207" t="str">
            <v>N</v>
          </cell>
          <cell r="AE207" t="str">
            <v>N</v>
          </cell>
        </row>
        <row r="208">
          <cell r="E208" t="str">
            <v>EXPSR_IN_SCP</v>
          </cell>
          <cell r="Z208" t="str">
            <v>Y</v>
          </cell>
          <cell r="AA208" t="str">
            <v>N</v>
          </cell>
          <cell r="AB208" t="str">
            <v>N</v>
          </cell>
          <cell r="AC208" t="str">
            <v>N</v>
          </cell>
          <cell r="AD208" t="str">
            <v>N</v>
          </cell>
          <cell r="AE208" t="str">
            <v>Y</v>
          </cell>
        </row>
        <row r="209">
          <cell r="E209" t="str">
            <v>FLD_SYNDCTN</v>
          </cell>
          <cell r="Z209" t="str">
            <v>Y</v>
          </cell>
          <cell r="AA209" t="str">
            <v>N</v>
          </cell>
          <cell r="AB209" t="str">
            <v>N</v>
          </cell>
          <cell r="AC209" t="str">
            <v>N</v>
          </cell>
          <cell r="AD209" t="str">
            <v>N</v>
          </cell>
          <cell r="AE209" t="str">
            <v>Y</v>
          </cell>
        </row>
        <row r="210">
          <cell r="E210" t="str">
            <v>FLG_LBO</v>
          </cell>
          <cell r="Z210" t="str">
            <v>Y</v>
          </cell>
          <cell r="AA210" t="str">
            <v>N</v>
          </cell>
          <cell r="AB210" t="str">
            <v>N</v>
          </cell>
          <cell r="AC210" t="str">
            <v>N</v>
          </cell>
          <cell r="AD210" t="str">
            <v>N</v>
          </cell>
          <cell r="AE210" t="str">
            <v>Y</v>
          </cell>
        </row>
        <row r="211">
          <cell r="E211" t="str">
            <v>FRBRNC_STTS_INSTRMNT</v>
          </cell>
          <cell r="Z211" t="str">
            <v>Y</v>
          </cell>
          <cell r="AA211" t="str">
            <v>N</v>
          </cell>
          <cell r="AB211" t="str">
            <v>Y</v>
          </cell>
          <cell r="AC211" t="str">
            <v>N</v>
          </cell>
          <cell r="AD211" t="str">
            <v>N</v>
          </cell>
          <cell r="AE211" t="str">
            <v>Y</v>
          </cell>
        </row>
        <row r="212">
          <cell r="E212" t="str">
            <v>IMPRMNT_STTS</v>
          </cell>
          <cell r="Z212" t="str">
            <v>Y</v>
          </cell>
          <cell r="AA212" t="str">
            <v>Y</v>
          </cell>
          <cell r="AB212" t="str">
            <v>Y</v>
          </cell>
          <cell r="AC212" t="str">
            <v>N</v>
          </cell>
          <cell r="AD212" t="str">
            <v>N</v>
          </cell>
          <cell r="AE212" t="str">
            <v>Y</v>
          </cell>
        </row>
        <row r="213">
          <cell r="E213" t="str">
            <v>IMPRMNT_STTS_PRVS</v>
          </cell>
          <cell r="Z213" t="str">
            <v>Y</v>
          </cell>
          <cell r="AA213" t="str">
            <v>N</v>
          </cell>
          <cell r="AB213" t="str">
            <v>N</v>
          </cell>
          <cell r="AC213" t="str">
            <v>N</v>
          </cell>
          <cell r="AD213" t="str">
            <v>N</v>
          </cell>
          <cell r="AE213" t="str">
            <v>Y</v>
          </cell>
        </row>
        <row r="214">
          <cell r="E214" t="str">
            <v>INTRNL_RTNG</v>
          </cell>
          <cell r="Z214" t="str">
            <v>Y</v>
          </cell>
          <cell r="AA214" t="str">
            <v>N</v>
          </cell>
          <cell r="AB214" t="str">
            <v>N</v>
          </cell>
          <cell r="AC214" t="str">
            <v>N</v>
          </cell>
          <cell r="AD214" t="str">
            <v>N</v>
          </cell>
          <cell r="AE214" t="str">
            <v>Y</v>
          </cell>
        </row>
        <row r="215">
          <cell r="E215" t="str">
            <v>INTRNL_RTNG_INCPTN</v>
          </cell>
          <cell r="Z215" t="str">
            <v>Y</v>
          </cell>
          <cell r="AA215" t="str">
            <v>N</v>
          </cell>
          <cell r="AB215" t="str">
            <v>N</v>
          </cell>
          <cell r="AC215" t="str">
            <v>N</v>
          </cell>
          <cell r="AD215" t="str">
            <v>N</v>
          </cell>
          <cell r="AE215" t="str">
            <v>Y</v>
          </cell>
        </row>
        <row r="216">
          <cell r="E216" t="str">
            <v>INTRNL_SGMNT</v>
          </cell>
          <cell r="Z216" t="str">
            <v>Y</v>
          </cell>
          <cell r="AA216" t="str">
            <v>N</v>
          </cell>
          <cell r="AB216" t="str">
            <v>N</v>
          </cell>
          <cell r="AC216" t="str">
            <v>N</v>
          </cell>
          <cell r="AD216" t="str">
            <v>Y</v>
          </cell>
          <cell r="AE216" t="str">
            <v>Y</v>
          </cell>
        </row>
        <row r="217">
          <cell r="E217" t="str">
            <v>INTRNL_UNT</v>
          </cell>
          <cell r="Z217" t="str">
            <v>Y</v>
          </cell>
          <cell r="AA217" t="str">
            <v>N</v>
          </cell>
          <cell r="AB217" t="str">
            <v>N</v>
          </cell>
          <cell r="AC217" t="str">
            <v>N</v>
          </cell>
          <cell r="AD217" t="str">
            <v>N</v>
          </cell>
          <cell r="AE217" t="str">
            <v>Y</v>
          </cell>
        </row>
        <row r="218">
          <cell r="E218" t="str">
            <v>LCRE</v>
          </cell>
          <cell r="Z218" t="str">
            <v>Y</v>
          </cell>
          <cell r="AA218" t="str">
            <v>N</v>
          </cell>
          <cell r="AB218" t="str">
            <v>N</v>
          </cell>
          <cell r="AC218" t="str">
            <v>N</v>
          </cell>
          <cell r="AD218" t="str">
            <v>N</v>
          </cell>
          <cell r="AE218" t="str">
            <v>N</v>
          </cell>
        </row>
        <row r="219">
          <cell r="E219" t="str">
            <v>LGL_PRCDNG_STTS</v>
          </cell>
          <cell r="Z219" t="str">
            <v>Y</v>
          </cell>
          <cell r="AA219" t="str">
            <v>N</v>
          </cell>
          <cell r="AB219" t="str">
            <v>N</v>
          </cell>
          <cell r="AC219" t="str">
            <v>N</v>
          </cell>
          <cell r="AD219" t="str">
            <v>N</v>
          </cell>
          <cell r="AE219" t="str">
            <v>N</v>
          </cell>
        </row>
        <row r="220">
          <cell r="E220" t="str">
            <v>LND_DRGTN</v>
          </cell>
          <cell r="Z220" t="str">
            <v>Y</v>
          </cell>
          <cell r="AA220" t="str">
            <v>N</v>
          </cell>
          <cell r="AB220" t="str">
            <v>N</v>
          </cell>
          <cell r="AC220" t="str">
            <v>N</v>
          </cell>
          <cell r="AD220" t="str">
            <v>N</v>
          </cell>
          <cell r="AE220" t="str">
            <v>N</v>
          </cell>
        </row>
        <row r="221">
          <cell r="E221" t="str">
            <v>POCI</v>
          </cell>
          <cell r="Z221" t="str">
            <v>Y</v>
          </cell>
          <cell r="AA221" t="str">
            <v>N</v>
          </cell>
          <cell r="AB221" t="str">
            <v>N</v>
          </cell>
          <cell r="AC221" t="str">
            <v>N</v>
          </cell>
          <cell r="AD221" t="str">
            <v>N</v>
          </cell>
          <cell r="AE221" t="str">
            <v>N</v>
          </cell>
        </row>
        <row r="222">
          <cell r="E222" t="str">
            <v>PRFRMNG_STTS</v>
          </cell>
          <cell r="Z222" t="str">
            <v>Y</v>
          </cell>
          <cell r="AA222" t="str">
            <v>Y</v>
          </cell>
          <cell r="AB222" t="str">
            <v>Y</v>
          </cell>
          <cell r="AC222" t="str">
            <v>N</v>
          </cell>
          <cell r="AD222" t="str">
            <v>N</v>
          </cell>
          <cell r="AE222" t="str">
            <v>Y</v>
          </cell>
        </row>
        <row r="223">
          <cell r="E223" t="str">
            <v>PRFRMNG_STTS_PRVS</v>
          </cell>
          <cell r="Z223" t="str">
            <v>Y</v>
          </cell>
          <cell r="AA223" t="str">
            <v>N</v>
          </cell>
          <cell r="AB223" t="str">
            <v>N</v>
          </cell>
          <cell r="AC223" t="str">
            <v>N</v>
          </cell>
          <cell r="AD223" t="str">
            <v>N</v>
          </cell>
          <cell r="AE223" t="str">
            <v>Y</v>
          </cell>
        </row>
        <row r="224">
          <cell r="E224" t="str">
            <v>PRJCT_FNNC_LN</v>
          </cell>
          <cell r="Z224" t="str">
            <v>Y</v>
          </cell>
          <cell r="AA224" t="str">
            <v>N</v>
          </cell>
          <cell r="AB224" t="str">
            <v>Y</v>
          </cell>
          <cell r="AC224" t="str">
            <v>N</v>
          </cell>
          <cell r="AD224" t="str">
            <v>N</v>
          </cell>
          <cell r="AE224" t="str">
            <v>N</v>
          </cell>
        </row>
        <row r="225">
          <cell r="E225" t="str">
            <v>PRPS</v>
          </cell>
          <cell r="Z225" t="str">
            <v>Y</v>
          </cell>
          <cell r="AA225" t="str">
            <v>N</v>
          </cell>
          <cell r="AB225" t="str">
            <v>N</v>
          </cell>
          <cell r="AC225" t="str">
            <v>N</v>
          </cell>
          <cell r="AD225" t="str">
            <v>N</v>
          </cell>
          <cell r="AE225" t="str">
            <v>Y</v>
          </cell>
        </row>
        <row r="226">
          <cell r="E226" t="str">
            <v>PYMNT_INTRST_ONLY</v>
          </cell>
          <cell r="Z226" t="str">
            <v>Y</v>
          </cell>
          <cell r="AA226" t="str">
            <v>N</v>
          </cell>
          <cell r="AB226" t="str">
            <v>N</v>
          </cell>
          <cell r="AC226" t="str">
            <v>N</v>
          </cell>
          <cell r="AD226" t="str">
            <v>N</v>
          </cell>
          <cell r="AE226" t="str">
            <v>Y</v>
          </cell>
        </row>
        <row r="227">
          <cell r="E227" t="str">
            <v>RCRS</v>
          </cell>
          <cell r="Z227" t="str">
            <v>Y</v>
          </cell>
          <cell r="AA227" t="str">
            <v>N</v>
          </cell>
          <cell r="AB227" t="str">
            <v>N</v>
          </cell>
          <cell r="AC227" t="str">
            <v>N</v>
          </cell>
          <cell r="AD227" t="str">
            <v>N</v>
          </cell>
          <cell r="AE227" t="str">
            <v>N</v>
          </cell>
        </row>
        <row r="228">
          <cell r="E228" t="str">
            <v>RFNNC_PRPS</v>
          </cell>
          <cell r="Z228" t="str">
            <v>Y</v>
          </cell>
          <cell r="AA228" t="str">
            <v>N</v>
          </cell>
          <cell r="AB228" t="str">
            <v>N</v>
          </cell>
          <cell r="AC228" t="str">
            <v>N</v>
          </cell>
          <cell r="AD228" t="str">
            <v>N</v>
          </cell>
          <cell r="AE228" t="str">
            <v>N</v>
          </cell>
        </row>
        <row r="229">
          <cell r="E229" t="str">
            <v>SPCLTV_LNDNG</v>
          </cell>
          <cell r="Z229" t="str">
            <v>Y</v>
          </cell>
          <cell r="AA229" t="str">
            <v>N</v>
          </cell>
          <cell r="AB229" t="str">
            <v>N</v>
          </cell>
          <cell r="AC229" t="str">
            <v>N</v>
          </cell>
          <cell r="AD229" t="str">
            <v>N</v>
          </cell>
          <cell r="AE229" t="str">
            <v>N</v>
          </cell>
        </row>
        <row r="230">
          <cell r="E230" t="str">
            <v>STTS_UNDRWRTTN_TRNSCTN</v>
          </cell>
          <cell r="Z230" t="str">
            <v>Y</v>
          </cell>
          <cell r="AA230" t="str">
            <v>N</v>
          </cell>
          <cell r="AB230" t="str">
            <v>N</v>
          </cell>
          <cell r="AC230" t="str">
            <v>N</v>
          </cell>
          <cell r="AD230" t="str">
            <v>N</v>
          </cell>
          <cell r="AE230" t="str">
            <v>Y</v>
          </cell>
        </row>
        <row r="231">
          <cell r="E231" t="str">
            <v>TRNCH</v>
          </cell>
          <cell r="Z231" t="str">
            <v>Y</v>
          </cell>
          <cell r="AA231" t="str">
            <v>N</v>
          </cell>
          <cell r="AB231" t="str">
            <v>N</v>
          </cell>
          <cell r="AC231" t="str">
            <v>N</v>
          </cell>
          <cell r="AD231" t="str">
            <v>N</v>
          </cell>
          <cell r="AE231" t="str">
            <v>Y</v>
          </cell>
        </row>
        <row r="232">
          <cell r="E232" t="str">
            <v>TYP_AMRTSTN</v>
          </cell>
          <cell r="Z232" t="str">
            <v>Y</v>
          </cell>
          <cell r="AA232" t="str">
            <v>N</v>
          </cell>
          <cell r="AB232" t="str">
            <v>N</v>
          </cell>
          <cell r="AC232" t="str">
            <v>N</v>
          </cell>
          <cell r="AD232" t="str">
            <v>N</v>
          </cell>
          <cell r="AE232" t="str">
            <v>Y</v>
          </cell>
        </row>
        <row r="233">
          <cell r="E233" t="str">
            <v>TYP_INSTRMNT</v>
          </cell>
          <cell r="Z233" t="str">
            <v>Y</v>
          </cell>
          <cell r="AA233" t="str">
            <v>Y</v>
          </cell>
          <cell r="AB233" t="str">
            <v>Y</v>
          </cell>
          <cell r="AC233" t="str">
            <v>N</v>
          </cell>
          <cell r="AD233" t="str">
            <v>N</v>
          </cell>
          <cell r="AE233" t="str">
            <v>Y</v>
          </cell>
        </row>
        <row r="234">
          <cell r="E234" t="str">
            <v>TYP_INTRST_RT</v>
          </cell>
          <cell r="Z234" t="str">
            <v>Y</v>
          </cell>
          <cell r="AA234" t="str">
            <v>N</v>
          </cell>
          <cell r="AB234" t="str">
            <v>N</v>
          </cell>
          <cell r="AC234" t="str">
            <v>N</v>
          </cell>
          <cell r="AD234" t="str">
            <v>N</v>
          </cell>
          <cell r="AE234" t="str">
            <v>N</v>
          </cell>
        </row>
        <row r="235">
          <cell r="E235" t="str">
            <v>TYP_MRTGG</v>
          </cell>
          <cell r="Z235" t="str">
            <v>Y</v>
          </cell>
          <cell r="AA235" t="str">
            <v>N</v>
          </cell>
          <cell r="AB235" t="str">
            <v>N</v>
          </cell>
          <cell r="AC235" t="str">
            <v>N</v>
          </cell>
          <cell r="AD235" t="str">
            <v>N</v>
          </cell>
          <cell r="AE235" t="str">
            <v>N</v>
          </cell>
        </row>
        <row r="236">
          <cell r="E236" t="str">
            <v>TYP_CRE_OPRTN</v>
          </cell>
          <cell r="Z236" t="str">
            <v>Y</v>
          </cell>
          <cell r="AA236" t="str">
            <v>N</v>
          </cell>
          <cell r="AB236" t="str">
            <v>N</v>
          </cell>
          <cell r="AC236" t="str">
            <v>N</v>
          </cell>
          <cell r="AD236" t="str">
            <v>N</v>
          </cell>
          <cell r="AE236" t="str">
            <v>N</v>
          </cell>
        </row>
        <row r="237">
          <cell r="E237" t="str">
            <v>DT_STRT_GP_PPAL</v>
          </cell>
          <cell r="Z237" t="str">
            <v>Y</v>
          </cell>
          <cell r="AA237" t="str">
            <v>N</v>
          </cell>
          <cell r="AB237" t="str">
            <v>N</v>
          </cell>
          <cell r="AC237" t="str">
            <v>N</v>
          </cell>
          <cell r="AD237" t="str">
            <v>N</v>
          </cell>
          <cell r="AE237" t="str">
            <v>N</v>
          </cell>
        </row>
        <row r="238">
          <cell r="E238" t="str">
            <v>GRSS_CRRYNG_AMNT_INSTRMNT</v>
          </cell>
          <cell r="Z238" t="str">
            <v>Y</v>
          </cell>
          <cell r="AA238" t="str">
            <v>Y</v>
          </cell>
          <cell r="AB238" t="str">
            <v>Y</v>
          </cell>
          <cell r="AC238" t="str">
            <v>Y</v>
          </cell>
          <cell r="AD238" t="str">
            <v>Y</v>
          </cell>
          <cell r="AE238" t="str">
            <v>Y</v>
          </cell>
        </row>
        <row r="239">
          <cell r="E239" t="str">
            <v>ACCMLTD_CHNGS_FV_CR_INSTRMNT</v>
          </cell>
          <cell r="Z239" t="str">
            <v>Y</v>
          </cell>
          <cell r="AA239" t="str">
            <v>Y</v>
          </cell>
          <cell r="AB239" t="str">
            <v>Y</v>
          </cell>
          <cell r="AC239" t="str">
            <v>Y</v>
          </cell>
          <cell r="AD239" t="str">
            <v>N</v>
          </cell>
          <cell r="AE239" t="str">
            <v>Y</v>
          </cell>
        </row>
        <row r="240">
          <cell r="E240" t="str">
            <v>ACCNTNG_CLSSFCTN</v>
          </cell>
          <cell r="Z240" t="str">
            <v>Y</v>
          </cell>
          <cell r="AA240" t="str">
            <v>Y</v>
          </cell>
          <cell r="AB240" t="str">
            <v>Y</v>
          </cell>
          <cell r="AC240" t="str">
            <v>N</v>
          </cell>
          <cell r="AD240" t="str">
            <v>N</v>
          </cell>
          <cell r="AE240" t="str">
            <v>Y</v>
          </cell>
        </row>
        <row r="241">
          <cell r="E241" t="str">
            <v>ACCRD_INTRST_INSTRMNT</v>
          </cell>
          <cell r="Z241" t="str">
            <v>Y</v>
          </cell>
          <cell r="AA241" t="str">
            <v>N</v>
          </cell>
          <cell r="AB241" t="str">
            <v>N</v>
          </cell>
          <cell r="AC241" t="str">
            <v>N</v>
          </cell>
          <cell r="AD241" t="str">
            <v>N</v>
          </cell>
          <cell r="AE241" t="str">
            <v>Y</v>
          </cell>
        </row>
        <row r="242">
          <cell r="E242" t="str">
            <v>AMNT_D_AT_MTRTY</v>
          </cell>
          <cell r="Z242" t="str">
            <v>Y</v>
          </cell>
          <cell r="AA242" t="str">
            <v>N</v>
          </cell>
          <cell r="AB242" t="str">
            <v>N</v>
          </cell>
          <cell r="AC242" t="str">
            <v>N</v>
          </cell>
          <cell r="AD242" t="str">
            <v>N</v>
          </cell>
          <cell r="AE242" t="str">
            <v>Y</v>
          </cell>
        </row>
        <row r="243">
          <cell r="E243" t="str">
            <v>CCF</v>
          </cell>
          <cell r="Z243" t="str">
            <v>Y</v>
          </cell>
          <cell r="AA243" t="str">
            <v>Y</v>
          </cell>
          <cell r="AB243" t="str">
            <v>N</v>
          </cell>
          <cell r="AC243" t="str">
            <v>N</v>
          </cell>
          <cell r="AD243" t="str">
            <v>N</v>
          </cell>
          <cell r="AE243" t="str">
            <v>Y</v>
          </cell>
        </row>
        <row r="244">
          <cell r="E244" t="str">
            <v>CMMTMNT_INCPTN_INSTRMNT</v>
          </cell>
          <cell r="Z244" t="str">
            <v>Y</v>
          </cell>
          <cell r="AA244" t="str">
            <v>N</v>
          </cell>
          <cell r="AB244" t="str">
            <v>N</v>
          </cell>
          <cell r="AC244" t="str">
            <v>Y</v>
          </cell>
          <cell r="AD244" t="str">
            <v>N</v>
          </cell>
          <cell r="AE244" t="str">
            <v>Y</v>
          </cell>
        </row>
        <row r="245">
          <cell r="E245" t="str">
            <v>CMMTMNT_INSTRMNT</v>
          </cell>
          <cell r="Z245" t="str">
            <v>Y</v>
          </cell>
          <cell r="AA245" t="str">
            <v>N</v>
          </cell>
          <cell r="AB245" t="str">
            <v>N</v>
          </cell>
          <cell r="AC245" t="str">
            <v>Y</v>
          </cell>
          <cell r="AD245" t="str">
            <v>N</v>
          </cell>
          <cell r="AE245" t="str">
            <v>Y</v>
          </cell>
        </row>
        <row r="246">
          <cell r="E246" t="str">
            <v>CRRYNG_AMNT_INSTRMNT</v>
          </cell>
          <cell r="Z246" t="str">
            <v>Y</v>
          </cell>
          <cell r="AA246" t="str">
            <v>N</v>
          </cell>
          <cell r="AB246" t="str">
            <v>N</v>
          </cell>
          <cell r="AC246" t="str">
            <v>N</v>
          </cell>
          <cell r="AD246" t="str">
            <v>N</v>
          </cell>
          <cell r="AE246" t="str">
            <v>Y</v>
          </cell>
        </row>
        <row r="247">
          <cell r="E247" t="str">
            <v>DBT_YLD</v>
          </cell>
          <cell r="Z247" t="str">
            <v>Y</v>
          </cell>
          <cell r="AA247" t="str">
            <v>N</v>
          </cell>
          <cell r="AB247" t="str">
            <v>N</v>
          </cell>
          <cell r="AC247" t="str">
            <v>N</v>
          </cell>
          <cell r="AD247" t="str">
            <v>N</v>
          </cell>
          <cell r="AE247" t="str">
            <v>N</v>
          </cell>
        </row>
        <row r="248">
          <cell r="E248" t="str">
            <v>DT_LGL_FNL_MTRTY</v>
          </cell>
          <cell r="Z248" t="str">
            <v>Y</v>
          </cell>
          <cell r="AA248" t="str">
            <v>N</v>
          </cell>
          <cell r="AB248" t="str">
            <v>Y</v>
          </cell>
          <cell r="AC248" t="str">
            <v>Y</v>
          </cell>
          <cell r="AD248" t="str">
            <v>N</v>
          </cell>
          <cell r="AE248" t="str">
            <v>Y</v>
          </cell>
        </row>
        <row r="249">
          <cell r="E249" t="str">
            <v>DT_NXT_INTRST_RT_RST</v>
          </cell>
          <cell r="Z249" t="str">
            <v>Y</v>
          </cell>
          <cell r="AA249" t="str">
            <v>N</v>
          </cell>
          <cell r="AB249" t="str">
            <v>N</v>
          </cell>
          <cell r="AC249" t="str">
            <v>N</v>
          </cell>
          <cell r="AD249" t="str">
            <v>N</v>
          </cell>
          <cell r="AE249" t="str">
            <v>N</v>
          </cell>
        </row>
        <row r="250">
          <cell r="E250" t="str">
            <v>DT_ORGNL_MTRTY</v>
          </cell>
          <cell r="Z250" t="str">
            <v>Y</v>
          </cell>
          <cell r="AA250" t="str">
            <v>N</v>
          </cell>
          <cell r="AB250" t="str">
            <v>Y</v>
          </cell>
          <cell r="AC250" t="str">
            <v>Y</v>
          </cell>
          <cell r="AD250" t="str">
            <v>N</v>
          </cell>
          <cell r="AE250" t="str">
            <v>Y</v>
          </cell>
        </row>
        <row r="251">
          <cell r="E251" t="str">
            <v>IFRS9_BHVRL_MTRTY</v>
          </cell>
          <cell r="Z251" t="str">
            <v>Y</v>
          </cell>
          <cell r="AA251" t="str">
            <v>N</v>
          </cell>
          <cell r="AB251" t="str">
            <v>N</v>
          </cell>
          <cell r="AC251" t="str">
            <v>N</v>
          </cell>
          <cell r="AD251" t="str">
            <v>N</v>
          </cell>
          <cell r="AE251" t="str">
            <v>Y</v>
          </cell>
        </row>
        <row r="252">
          <cell r="E252" t="str">
            <v>EAD</v>
          </cell>
          <cell r="Z252" t="str">
            <v>Y</v>
          </cell>
          <cell r="AA252" t="str">
            <v>Y</v>
          </cell>
          <cell r="AB252" t="str">
            <v>N</v>
          </cell>
          <cell r="AC252" t="str">
            <v>N</v>
          </cell>
          <cell r="AD252" t="str">
            <v>Y</v>
          </cell>
          <cell r="AE252" t="str">
            <v>Y</v>
          </cell>
        </row>
        <row r="253">
          <cell r="E253" t="str">
            <v>IFRS9_CCF</v>
          </cell>
          <cell r="Z253" t="str">
            <v>Y</v>
          </cell>
          <cell r="AA253" t="str">
            <v>N</v>
          </cell>
          <cell r="AB253" t="str">
            <v>N</v>
          </cell>
          <cell r="AC253" t="str">
            <v>N</v>
          </cell>
          <cell r="AD253" t="str">
            <v>N</v>
          </cell>
          <cell r="AE253" t="str">
            <v>N</v>
          </cell>
        </row>
        <row r="254">
          <cell r="E254" t="str">
            <v>IFRS9_EAD</v>
          </cell>
          <cell r="Z254" t="str">
            <v>Y</v>
          </cell>
          <cell r="AA254" t="str">
            <v>N</v>
          </cell>
          <cell r="AB254" t="str">
            <v>N</v>
          </cell>
          <cell r="AC254" t="str">
            <v>N</v>
          </cell>
          <cell r="AD254" t="str">
            <v>N</v>
          </cell>
          <cell r="AE254" t="str">
            <v>N</v>
          </cell>
        </row>
        <row r="255">
          <cell r="E255" t="str">
            <v>INSTLMNT_PAY</v>
          </cell>
          <cell r="Z255" t="str">
            <v>Y</v>
          </cell>
          <cell r="AA255" t="str">
            <v>N</v>
          </cell>
          <cell r="AB255" t="str">
            <v>N</v>
          </cell>
          <cell r="AC255" t="str">
            <v>N</v>
          </cell>
          <cell r="AD255" t="str">
            <v>N</v>
          </cell>
          <cell r="AE255" t="str">
            <v>N</v>
          </cell>
        </row>
        <row r="256">
          <cell r="E256" t="str">
            <v>OFF_BLNC_SHT_AMNT_INSTRMNT</v>
          </cell>
          <cell r="Z256" t="str">
            <v>Y</v>
          </cell>
          <cell r="AA256" t="str">
            <v>Y</v>
          </cell>
          <cell r="AB256" t="str">
            <v>N</v>
          </cell>
          <cell r="AC256" t="str">
            <v>Y</v>
          </cell>
          <cell r="AD256" t="str">
            <v>Y</v>
          </cell>
          <cell r="AE256" t="str">
            <v>Y</v>
          </cell>
        </row>
        <row r="257">
          <cell r="E257" t="str">
            <v>OFF_BLNC_SHT_AMNT_INSTRMNT_PRVS</v>
          </cell>
          <cell r="Z257" t="str">
            <v>Y</v>
          </cell>
          <cell r="AA257" t="str">
            <v>N</v>
          </cell>
          <cell r="AB257" t="str">
            <v>N</v>
          </cell>
          <cell r="AC257" t="str">
            <v>N</v>
          </cell>
          <cell r="AD257" t="str">
            <v>N</v>
          </cell>
          <cell r="AE257" t="str">
            <v>N</v>
          </cell>
        </row>
        <row r="258">
          <cell r="E258" t="str">
            <v>OTSTNDNG_NMNL_AMNT_INSTRMNT</v>
          </cell>
          <cell r="Z258" t="str">
            <v>Y</v>
          </cell>
          <cell r="AA258" t="str">
            <v>N</v>
          </cell>
          <cell r="AB258" t="str">
            <v>N</v>
          </cell>
          <cell r="AC258" t="str">
            <v>N</v>
          </cell>
          <cell r="AD258" t="str">
            <v>N</v>
          </cell>
          <cell r="AE258" t="str">
            <v>Y</v>
          </cell>
        </row>
        <row r="259">
          <cell r="E259" t="str">
            <v>OTSTNDNG_NMNL_AMNT_INSTRMNT_PRVS</v>
          </cell>
          <cell r="Z259" t="str">
            <v>Y</v>
          </cell>
          <cell r="AA259" t="str">
            <v>N</v>
          </cell>
          <cell r="AB259" t="str">
            <v>N</v>
          </cell>
          <cell r="AC259" t="str">
            <v>N</v>
          </cell>
          <cell r="AD259" t="str">
            <v>N</v>
          </cell>
          <cell r="AE259" t="str">
            <v>N</v>
          </cell>
        </row>
        <row r="260">
          <cell r="E260" t="str">
            <v>PRVSNS_OFF_BLNC_SHT</v>
          </cell>
          <cell r="Z260" t="str">
            <v>Y</v>
          </cell>
          <cell r="AA260" t="str">
            <v>Y</v>
          </cell>
          <cell r="AB260" t="str">
            <v>N</v>
          </cell>
          <cell r="AC260" t="str">
            <v>Y</v>
          </cell>
          <cell r="AD260" t="str">
            <v>N</v>
          </cell>
          <cell r="AE260" t="str">
            <v>Y</v>
          </cell>
        </row>
        <row r="261">
          <cell r="E261" t="str">
            <v>PYMNT_FRQNCY</v>
          </cell>
          <cell r="Z261" t="str">
            <v>Y</v>
          </cell>
          <cell r="AA261" t="str">
            <v>N</v>
          </cell>
          <cell r="AB261" t="str">
            <v>N</v>
          </cell>
          <cell r="AC261" t="str">
            <v>N</v>
          </cell>
          <cell r="AD261" t="str">
            <v>N</v>
          </cell>
          <cell r="AE261" t="str">
            <v>N</v>
          </cell>
        </row>
        <row r="262">
          <cell r="E262" t="str">
            <v>RTNTN_SHR</v>
          </cell>
          <cell r="Z262" t="str">
            <v>Y</v>
          </cell>
          <cell r="AA262" t="str">
            <v>N</v>
          </cell>
          <cell r="AB262" t="str">
            <v>N</v>
          </cell>
          <cell r="AC262" t="str">
            <v>N</v>
          </cell>
          <cell r="AD262" t="str">
            <v>N</v>
          </cell>
          <cell r="AE262" t="str">
            <v>Y</v>
          </cell>
        </row>
        <row r="263">
          <cell r="E263" t="str">
            <v>RWA</v>
          </cell>
          <cell r="Z263" t="str">
            <v>Y</v>
          </cell>
          <cell r="AA263" t="str">
            <v>Y</v>
          </cell>
          <cell r="AB263" t="str">
            <v>Y</v>
          </cell>
          <cell r="AC263" t="str">
            <v>Y</v>
          </cell>
          <cell r="AD263" t="str">
            <v>N</v>
          </cell>
          <cell r="AE263" t="str">
            <v>Y</v>
          </cell>
        </row>
        <row r="264">
          <cell r="E264" t="str">
            <v>RWA_MTHD</v>
          </cell>
          <cell r="Z264" t="str">
            <v>Y</v>
          </cell>
          <cell r="AA264" t="str">
            <v>N</v>
          </cell>
          <cell r="AB264" t="str">
            <v>N</v>
          </cell>
          <cell r="AC264" t="str">
            <v>N</v>
          </cell>
          <cell r="AD264" t="str">
            <v>N</v>
          </cell>
          <cell r="AE264" t="str">
            <v>Y</v>
          </cell>
        </row>
        <row r="265">
          <cell r="E265" t="str">
            <v>SPNSR_NM</v>
          </cell>
          <cell r="Z265" t="str">
            <v>Y</v>
          </cell>
          <cell r="AA265" t="str">
            <v>N</v>
          </cell>
          <cell r="AB265" t="str">
            <v>N</v>
          </cell>
          <cell r="AC265" t="str">
            <v>N</v>
          </cell>
          <cell r="AD265" t="str">
            <v>N</v>
          </cell>
          <cell r="AE265" t="str">
            <v>Y</v>
          </cell>
        </row>
        <row r="266">
          <cell r="E266" t="str">
            <v>ACCMLTD_IMPRMNT_INSTRMNT</v>
          </cell>
          <cell r="Z266" t="str">
            <v>Y</v>
          </cell>
          <cell r="AA266" t="str">
            <v>Y</v>
          </cell>
          <cell r="AB266" t="str">
            <v>Y</v>
          </cell>
          <cell r="AC266" t="str">
            <v>Y</v>
          </cell>
          <cell r="AD266" t="str">
            <v>N</v>
          </cell>
          <cell r="AE266" t="str">
            <v>Y</v>
          </cell>
        </row>
        <row r="267">
          <cell r="E267" t="str">
            <v>ACCMLTD_IMPRMNT_INSTRMNT_PRVS</v>
          </cell>
          <cell r="Z267" t="str">
            <v>Y</v>
          </cell>
          <cell r="AA267" t="str">
            <v>N</v>
          </cell>
          <cell r="AB267" t="str">
            <v>N</v>
          </cell>
          <cell r="AC267" t="str">
            <v>N</v>
          </cell>
          <cell r="AD267" t="str">
            <v>N</v>
          </cell>
          <cell r="AE267" t="str">
            <v>Y</v>
          </cell>
        </row>
        <row r="268">
          <cell r="E268" t="str">
            <v>ACCMLTD_WRTFFS_INSTRMNT</v>
          </cell>
          <cell r="Z268" t="str">
            <v>Y</v>
          </cell>
          <cell r="AA268" t="str">
            <v>N</v>
          </cell>
          <cell r="AB268" t="str">
            <v>N</v>
          </cell>
          <cell r="AC268" t="str">
            <v>N</v>
          </cell>
          <cell r="AD268" t="str">
            <v>N</v>
          </cell>
          <cell r="AE268" t="str">
            <v>Y</v>
          </cell>
        </row>
        <row r="269">
          <cell r="E269" t="str">
            <v>ARRRS_INSTRMNT</v>
          </cell>
          <cell r="Z269" t="str">
            <v>Y</v>
          </cell>
          <cell r="AA269" t="str">
            <v>N</v>
          </cell>
          <cell r="AB269" t="str">
            <v>N</v>
          </cell>
          <cell r="AC269" t="str">
            <v>N</v>
          </cell>
          <cell r="AD269" t="str">
            <v>N</v>
          </cell>
          <cell r="AE269" t="str">
            <v>Y</v>
          </cell>
        </row>
        <row r="270">
          <cell r="E270" t="str">
            <v>ARRRS_INSTRMNT_12M</v>
          </cell>
          <cell r="Z270" t="str">
            <v>Y</v>
          </cell>
          <cell r="AA270" t="str">
            <v>N</v>
          </cell>
          <cell r="AB270" t="str">
            <v>N</v>
          </cell>
          <cell r="AC270" t="str">
            <v>N</v>
          </cell>
          <cell r="AD270" t="str">
            <v>N</v>
          </cell>
          <cell r="AE270" t="str">
            <v>N</v>
          </cell>
        </row>
        <row r="271">
          <cell r="E271" t="str">
            <v>CMLTV_RCVRS_SNC_DFLT_INSTRMNT</v>
          </cell>
          <cell r="Z271" t="str">
            <v>Y</v>
          </cell>
          <cell r="AA271" t="str">
            <v>N</v>
          </cell>
          <cell r="AB271" t="str">
            <v>N</v>
          </cell>
          <cell r="AC271" t="str">
            <v>N</v>
          </cell>
          <cell r="AD271" t="str">
            <v>N</v>
          </cell>
          <cell r="AE271" t="str">
            <v>N</v>
          </cell>
        </row>
        <row r="272">
          <cell r="E272" t="str">
            <v>DPD</v>
          </cell>
          <cell r="Z272" t="str">
            <v>Y</v>
          </cell>
          <cell r="AA272" t="str">
            <v>N</v>
          </cell>
          <cell r="AB272" t="str">
            <v>N</v>
          </cell>
          <cell r="AC272" t="str">
            <v>N</v>
          </cell>
          <cell r="AD272" t="str">
            <v>N</v>
          </cell>
          <cell r="AE272" t="str">
            <v>Y</v>
          </cell>
        </row>
        <row r="273">
          <cell r="E273" t="str">
            <v>DPD_12M</v>
          </cell>
          <cell r="Z273" t="str">
            <v>Y</v>
          </cell>
          <cell r="AA273" t="str">
            <v>N</v>
          </cell>
          <cell r="AB273" t="str">
            <v>N</v>
          </cell>
          <cell r="AC273" t="str">
            <v>N</v>
          </cell>
          <cell r="AD273" t="str">
            <v>N</v>
          </cell>
          <cell r="AE273" t="str">
            <v>N</v>
          </cell>
        </row>
        <row r="274">
          <cell r="E274" t="str">
            <v>DPD_12M_FRBRNC_STTS</v>
          </cell>
          <cell r="Z274" t="str">
            <v>Y</v>
          </cell>
          <cell r="AA274" t="str">
            <v>N</v>
          </cell>
          <cell r="AB274" t="str">
            <v>N</v>
          </cell>
          <cell r="AC274" t="str">
            <v>N</v>
          </cell>
          <cell r="AD274" t="str">
            <v>N</v>
          </cell>
          <cell r="AE274" t="str">
            <v>N</v>
          </cell>
        </row>
        <row r="275">
          <cell r="E275" t="str">
            <v>DPD_12M_PRFRMNG_STTS</v>
          </cell>
          <cell r="Z275" t="str">
            <v>Y</v>
          </cell>
          <cell r="AA275" t="str">
            <v>N</v>
          </cell>
          <cell r="AB275" t="str">
            <v>N</v>
          </cell>
          <cell r="AC275" t="str">
            <v>N</v>
          </cell>
          <cell r="AD275" t="str">
            <v>N</v>
          </cell>
          <cell r="AE275" t="str">
            <v>N</v>
          </cell>
        </row>
        <row r="276">
          <cell r="E276" t="str">
            <v>DPD_24M_FRBRNC_STTS</v>
          </cell>
          <cell r="Z276" t="str">
            <v>Y</v>
          </cell>
          <cell r="AA276" t="str">
            <v>N</v>
          </cell>
          <cell r="AB276" t="str">
            <v>N</v>
          </cell>
          <cell r="AC276" t="str">
            <v>N</v>
          </cell>
          <cell r="AD276" t="str">
            <v>N</v>
          </cell>
          <cell r="AE276" t="str">
            <v>N</v>
          </cell>
        </row>
        <row r="277">
          <cell r="E277" t="str">
            <v>DPD_24M_PRFRMNG_STTS</v>
          </cell>
          <cell r="Z277" t="str">
            <v>Y</v>
          </cell>
          <cell r="AA277" t="str">
            <v>N</v>
          </cell>
          <cell r="AB277" t="str">
            <v>N</v>
          </cell>
          <cell r="AC277" t="str">
            <v>N</v>
          </cell>
          <cell r="AD277" t="str">
            <v>N</v>
          </cell>
          <cell r="AE277" t="str">
            <v>N</v>
          </cell>
        </row>
        <row r="278">
          <cell r="E278" t="str">
            <v>DPD_FRBRNC_STTS</v>
          </cell>
          <cell r="Z278" t="str">
            <v>Y</v>
          </cell>
          <cell r="AA278" t="str">
            <v>N</v>
          </cell>
          <cell r="AB278" t="str">
            <v>N</v>
          </cell>
          <cell r="AC278" t="str">
            <v>N</v>
          </cell>
          <cell r="AD278" t="str">
            <v>N</v>
          </cell>
          <cell r="AE278" t="str">
            <v>N</v>
          </cell>
        </row>
        <row r="279">
          <cell r="E279" t="str">
            <v>DPD_PRFRMNG_STTS</v>
          </cell>
          <cell r="Z279" t="str">
            <v>Y</v>
          </cell>
          <cell r="AA279" t="str">
            <v>N</v>
          </cell>
          <cell r="AB279" t="str">
            <v>N</v>
          </cell>
          <cell r="AC279" t="str">
            <v>N</v>
          </cell>
          <cell r="AD279" t="str">
            <v>N</v>
          </cell>
          <cell r="AE279" t="str">
            <v>N</v>
          </cell>
        </row>
        <row r="280">
          <cell r="E280" t="str">
            <v>DT_IMPRMNT_STTS</v>
          </cell>
          <cell r="Z280" t="str">
            <v>Y</v>
          </cell>
          <cell r="AA280" t="str">
            <v>N</v>
          </cell>
          <cell r="AB280" t="str">
            <v>N</v>
          </cell>
          <cell r="AC280" t="str">
            <v>N</v>
          </cell>
          <cell r="AD280" t="str">
            <v>N</v>
          </cell>
          <cell r="AE280" t="str">
            <v>Y</v>
          </cell>
        </row>
        <row r="281">
          <cell r="E281" t="str">
            <v>DT_IMPRMNT_STTS_PRVS</v>
          </cell>
          <cell r="Z281" t="str">
            <v>Y</v>
          </cell>
          <cell r="AA281" t="str">
            <v>N</v>
          </cell>
          <cell r="AB281" t="str">
            <v>N</v>
          </cell>
          <cell r="AC281" t="str">
            <v>N</v>
          </cell>
          <cell r="AD281" t="str">
            <v>N</v>
          </cell>
          <cell r="AE281" t="str">
            <v>N</v>
          </cell>
        </row>
        <row r="282">
          <cell r="E282" t="str">
            <v>DT_PST_D</v>
          </cell>
          <cell r="Z282" t="str">
            <v>Y</v>
          </cell>
          <cell r="AA282" t="str">
            <v>N</v>
          </cell>
          <cell r="AB282" t="str">
            <v>N</v>
          </cell>
          <cell r="AC282" t="str">
            <v>N</v>
          </cell>
          <cell r="AD282" t="str">
            <v>N</v>
          </cell>
          <cell r="AE282" t="str">
            <v>Y</v>
          </cell>
        </row>
        <row r="283">
          <cell r="E283" t="str">
            <v>IMPRMNT_ASSSSMNT_MTHD</v>
          </cell>
          <cell r="Z283" t="str">
            <v>Y</v>
          </cell>
          <cell r="AA283" t="str">
            <v>N</v>
          </cell>
          <cell r="AB283" t="str">
            <v>N</v>
          </cell>
          <cell r="AC283" t="str">
            <v>N</v>
          </cell>
          <cell r="AD283" t="str">
            <v>N</v>
          </cell>
          <cell r="AE283" t="str">
            <v>Y</v>
          </cell>
        </row>
        <row r="284">
          <cell r="E284" t="str">
            <v>IMPRMNT_CLCLTN_MTHD</v>
          </cell>
          <cell r="Z284" t="str">
            <v>Y</v>
          </cell>
          <cell r="AA284" t="str">
            <v>N</v>
          </cell>
          <cell r="AB284" t="str">
            <v>N</v>
          </cell>
          <cell r="AC284" t="str">
            <v>N</v>
          </cell>
          <cell r="AD284" t="str">
            <v>N</v>
          </cell>
          <cell r="AE284" t="str">
            <v>N</v>
          </cell>
        </row>
        <row r="285">
          <cell r="E285" t="str">
            <v>NMBR_FRBRNC_MSRS</v>
          </cell>
          <cell r="Z285" t="str">
            <v>Y</v>
          </cell>
          <cell r="AA285" t="str">
            <v>N</v>
          </cell>
          <cell r="AB285" t="str">
            <v>N</v>
          </cell>
          <cell r="AC285" t="str">
            <v>N</v>
          </cell>
          <cell r="AD285" t="str">
            <v>N</v>
          </cell>
          <cell r="AE285" t="str">
            <v>Y</v>
          </cell>
        </row>
        <row r="286">
          <cell r="E286" t="str">
            <v>IFRS9_LGD</v>
          </cell>
          <cell r="Z286" t="str">
            <v>Y</v>
          </cell>
          <cell r="AA286" t="str">
            <v>N</v>
          </cell>
          <cell r="AB286" t="str">
            <v>N</v>
          </cell>
          <cell r="AC286" t="str">
            <v>N</v>
          </cell>
          <cell r="AD286" t="str">
            <v>N</v>
          </cell>
          <cell r="AE286" t="str">
            <v>N</v>
          </cell>
        </row>
        <row r="287">
          <cell r="E287" t="str">
            <v>LGD</v>
          </cell>
          <cell r="Z287" t="str">
            <v>Y</v>
          </cell>
          <cell r="AA287" t="str">
            <v>N</v>
          </cell>
          <cell r="AB287" t="str">
            <v>N</v>
          </cell>
          <cell r="AC287" t="str">
            <v>N</v>
          </cell>
          <cell r="AD287" t="str">
            <v>N</v>
          </cell>
          <cell r="AE287" t="str">
            <v>Y</v>
          </cell>
        </row>
        <row r="288">
          <cell r="E288" t="str">
            <v>LTV</v>
          </cell>
          <cell r="Z288" t="str">
            <v>Y</v>
          </cell>
          <cell r="AA288" t="str">
            <v>N</v>
          </cell>
          <cell r="AB288" t="str">
            <v>Y</v>
          </cell>
          <cell r="AC288" t="str">
            <v>N</v>
          </cell>
          <cell r="AD288" t="str">
            <v>N</v>
          </cell>
          <cell r="AE288" t="str">
            <v>N</v>
          </cell>
        </row>
        <row r="289">
          <cell r="E289" t="str">
            <v>LTV_INCPTN</v>
          </cell>
          <cell r="Z289" t="str">
            <v>Y</v>
          </cell>
          <cell r="AA289" t="str">
            <v>N</v>
          </cell>
          <cell r="AB289" t="str">
            <v>Y</v>
          </cell>
          <cell r="AC289" t="str">
            <v>N</v>
          </cell>
          <cell r="AD289" t="str">
            <v>N</v>
          </cell>
          <cell r="AE289" t="str">
            <v>N</v>
          </cell>
        </row>
        <row r="290">
          <cell r="E290" t="str">
            <v>LTV_NPE</v>
          </cell>
          <cell r="Z290" t="str">
            <v>Y</v>
          </cell>
          <cell r="AA290" t="str">
            <v>N</v>
          </cell>
          <cell r="AB290" t="str">
            <v>N</v>
          </cell>
          <cell r="AC290" t="str">
            <v>N</v>
          </cell>
          <cell r="AD290" t="str">
            <v>N</v>
          </cell>
          <cell r="AE290" t="str">
            <v>N</v>
          </cell>
        </row>
        <row r="291">
          <cell r="E291" t="str">
            <v>PD_CRR_INCPTN</v>
          </cell>
          <cell r="Z291" t="str">
            <v>Y</v>
          </cell>
          <cell r="AA291" t="str">
            <v>N</v>
          </cell>
          <cell r="AB291" t="str">
            <v>N</v>
          </cell>
          <cell r="AC291" t="str">
            <v>N</v>
          </cell>
          <cell r="AD291" t="str">
            <v>N</v>
          </cell>
          <cell r="AE291" t="str">
            <v>Y</v>
          </cell>
        </row>
        <row r="292">
          <cell r="E292" t="str">
            <v>PD_CRR_RD</v>
          </cell>
          <cell r="Z292" t="str">
            <v>Y</v>
          </cell>
          <cell r="AA292" t="str">
            <v>N</v>
          </cell>
          <cell r="AB292" t="str">
            <v>N</v>
          </cell>
          <cell r="AC292" t="str">
            <v>N</v>
          </cell>
          <cell r="AD292" t="str">
            <v>N</v>
          </cell>
          <cell r="AE292" t="str">
            <v>Y</v>
          </cell>
        </row>
        <row r="293">
          <cell r="E293" t="str">
            <v>PD_CRR_RD_T1</v>
          </cell>
          <cell r="Z293" t="str">
            <v>Y</v>
          </cell>
          <cell r="AA293" t="str">
            <v>N</v>
          </cell>
          <cell r="AB293" t="str">
            <v>N</v>
          </cell>
          <cell r="AC293" t="str">
            <v>N</v>
          </cell>
          <cell r="AD293" t="str">
            <v>N</v>
          </cell>
          <cell r="AE293" t="str">
            <v>N</v>
          </cell>
        </row>
        <row r="294">
          <cell r="E294" t="str">
            <v>PD_IFRS9_12M_INCPTN</v>
          </cell>
          <cell r="Z294" t="str">
            <v>Y</v>
          </cell>
          <cell r="AA294" t="str">
            <v>N</v>
          </cell>
          <cell r="AB294" t="str">
            <v>N</v>
          </cell>
          <cell r="AC294" t="str">
            <v>N</v>
          </cell>
          <cell r="AD294" t="str">
            <v>N</v>
          </cell>
          <cell r="AE294" t="str">
            <v>Y</v>
          </cell>
        </row>
        <row r="295">
          <cell r="E295" t="str">
            <v>PD_IFRS9_12M_RD</v>
          </cell>
          <cell r="Z295" t="str">
            <v>Y</v>
          </cell>
          <cell r="AA295" t="str">
            <v>N</v>
          </cell>
          <cell r="AB295" t="str">
            <v>N</v>
          </cell>
          <cell r="AC295" t="str">
            <v>N</v>
          </cell>
          <cell r="AD295" t="str">
            <v>N</v>
          </cell>
          <cell r="AE295" t="str">
            <v>Y</v>
          </cell>
        </row>
        <row r="296">
          <cell r="E296" t="str">
            <v>PD_IFRS9_12M_RD_T1</v>
          </cell>
          <cell r="Z296" t="str">
            <v>Y</v>
          </cell>
          <cell r="AA296" t="str">
            <v>N</v>
          </cell>
          <cell r="AB296" t="str">
            <v>N</v>
          </cell>
          <cell r="AC296" t="str">
            <v>N</v>
          </cell>
          <cell r="AD296" t="str">
            <v>N</v>
          </cell>
          <cell r="AE296" t="str">
            <v>N</v>
          </cell>
        </row>
        <row r="297">
          <cell r="E297" t="str">
            <v>PD_IFRS9_LFTM_INCPTN</v>
          </cell>
          <cell r="Z297" t="str">
            <v>Y</v>
          </cell>
          <cell r="AA297" t="str">
            <v>N</v>
          </cell>
          <cell r="AB297" t="str">
            <v>N</v>
          </cell>
          <cell r="AC297" t="str">
            <v>N</v>
          </cell>
          <cell r="AD297" t="str">
            <v>N</v>
          </cell>
          <cell r="AE297" t="str">
            <v>Y</v>
          </cell>
        </row>
        <row r="298">
          <cell r="E298" t="str">
            <v>PD_IFRS9_RMNNG_LFTM_INCPTN</v>
          </cell>
          <cell r="Z298" t="str">
            <v>Y</v>
          </cell>
          <cell r="AA298" t="str">
            <v>N</v>
          </cell>
          <cell r="AB298" t="str">
            <v>N</v>
          </cell>
          <cell r="AC298" t="str">
            <v>N</v>
          </cell>
          <cell r="AD298" t="str">
            <v>N</v>
          </cell>
          <cell r="AE298" t="str">
            <v>Y</v>
          </cell>
        </row>
        <row r="299">
          <cell r="E299" t="str">
            <v>PD_IFRS9_RMNNG_LFTM_RD</v>
          </cell>
          <cell r="Z299" t="str">
            <v>Y</v>
          </cell>
          <cell r="AA299" t="str">
            <v>N</v>
          </cell>
          <cell r="AB299" t="str">
            <v>N</v>
          </cell>
          <cell r="AC299" t="str">
            <v>N</v>
          </cell>
          <cell r="AD299" t="str">
            <v>N</v>
          </cell>
          <cell r="AE299" t="str">
            <v>Y</v>
          </cell>
        </row>
        <row r="300">
          <cell r="E300" t="str">
            <v>RTNG_MTHD</v>
          </cell>
          <cell r="Z300" t="str">
            <v>Y</v>
          </cell>
          <cell r="AA300" t="str">
            <v>N</v>
          </cell>
          <cell r="AB300" t="str">
            <v>N</v>
          </cell>
          <cell r="AC300" t="str">
            <v>N</v>
          </cell>
          <cell r="AD300" t="str">
            <v>N</v>
          </cell>
          <cell r="AE300" t="str">
            <v>Y</v>
          </cell>
        </row>
        <row r="301">
          <cell r="E301" t="str">
            <v>RTNG_SCL</v>
          </cell>
          <cell r="Z301" t="str">
            <v>Y</v>
          </cell>
          <cell r="AA301" t="str">
            <v>N</v>
          </cell>
          <cell r="AB301" t="str">
            <v>N</v>
          </cell>
          <cell r="AC301" t="str">
            <v>N</v>
          </cell>
          <cell r="AD301" t="str">
            <v>N</v>
          </cell>
          <cell r="AE301" t="str">
            <v>Y</v>
          </cell>
        </row>
        <row r="302">
          <cell r="E302" t="str">
            <v>SICR_ASSSSMNT_MTHD</v>
          </cell>
          <cell r="Z302" t="str">
            <v>Y</v>
          </cell>
          <cell r="AA302" t="str">
            <v>N</v>
          </cell>
          <cell r="AB302" t="str">
            <v>N</v>
          </cell>
          <cell r="AC302" t="str">
            <v>N</v>
          </cell>
          <cell r="AD302" t="str">
            <v>N</v>
          </cell>
          <cell r="AE302" t="str">
            <v>Y</v>
          </cell>
        </row>
        <row r="303">
          <cell r="E303" t="str">
            <v>ANNLSD_AGRD_RT</v>
          </cell>
          <cell r="Z303" t="str">
            <v>Y</v>
          </cell>
          <cell r="AA303" t="str">
            <v>N</v>
          </cell>
          <cell r="AB303" t="str">
            <v>N</v>
          </cell>
          <cell r="AC303" t="str">
            <v>Y</v>
          </cell>
          <cell r="AD303" t="str">
            <v>N</v>
          </cell>
          <cell r="AE303" t="str">
            <v>N</v>
          </cell>
        </row>
        <row r="304">
          <cell r="E304" t="str">
            <v>EIR</v>
          </cell>
          <cell r="Z304" t="str">
            <v>Y</v>
          </cell>
          <cell r="AA304" t="str">
            <v>N</v>
          </cell>
          <cell r="AB304" t="str">
            <v>Y</v>
          </cell>
          <cell r="AC304" t="str">
            <v>N</v>
          </cell>
          <cell r="AD304" t="str">
            <v>N</v>
          </cell>
          <cell r="AE304" t="str">
            <v>Y</v>
          </cell>
        </row>
        <row r="305">
          <cell r="E305" t="str">
            <v>EIR_INCPTN</v>
          </cell>
          <cell r="Z305" t="str">
            <v>Y</v>
          </cell>
          <cell r="AA305" t="str">
            <v>N</v>
          </cell>
          <cell r="AB305" t="str">
            <v>Y</v>
          </cell>
          <cell r="AC305" t="str">
            <v>N</v>
          </cell>
          <cell r="AD305" t="str">
            <v>N</v>
          </cell>
          <cell r="AE305" t="str">
            <v>N</v>
          </cell>
        </row>
        <row r="306">
          <cell r="E306" t="str">
            <v>INTRST_RT_RST_FRQNCY</v>
          </cell>
          <cell r="Z306" t="str">
            <v>Y</v>
          </cell>
          <cell r="AA306" t="str">
            <v>N</v>
          </cell>
          <cell r="AB306" t="str">
            <v>N</v>
          </cell>
          <cell r="AC306" t="str">
            <v>N</v>
          </cell>
          <cell r="AD306" t="str">
            <v>N</v>
          </cell>
          <cell r="AE306" t="str">
            <v>N</v>
          </cell>
        </row>
        <row r="307">
          <cell r="E307" t="str">
            <v>RCVD_AMRTSTN_12M</v>
          </cell>
          <cell r="Z307" t="str">
            <v>Y</v>
          </cell>
          <cell r="AA307" t="str">
            <v>N</v>
          </cell>
          <cell r="AB307" t="str">
            <v>N</v>
          </cell>
          <cell r="AC307" t="str">
            <v>N</v>
          </cell>
          <cell r="AD307" t="str">
            <v>N</v>
          </cell>
          <cell r="AE307" t="str">
            <v>Y</v>
          </cell>
        </row>
        <row r="308">
          <cell r="E308" t="str">
            <v>RCVD_AMRTSTN_24M</v>
          </cell>
          <cell r="Z308" t="str">
            <v>Y</v>
          </cell>
          <cell r="AA308" t="str">
            <v>N</v>
          </cell>
          <cell r="AB308" t="str">
            <v>N</v>
          </cell>
          <cell r="AC308" t="str">
            <v>N</v>
          </cell>
          <cell r="AD308" t="str">
            <v>N</v>
          </cell>
          <cell r="AE308" t="str">
            <v>Y</v>
          </cell>
        </row>
        <row r="309">
          <cell r="E309" t="str">
            <v>RCVD_INTRST_12M</v>
          </cell>
          <cell r="Z309" t="str">
            <v>Y</v>
          </cell>
          <cell r="AA309" t="str">
            <v>N</v>
          </cell>
          <cell r="AB309" t="str">
            <v>N</v>
          </cell>
          <cell r="AC309" t="str">
            <v>N</v>
          </cell>
          <cell r="AD309" t="str">
            <v>N</v>
          </cell>
          <cell r="AE309" t="str">
            <v>Y</v>
          </cell>
        </row>
        <row r="310">
          <cell r="E310" t="str">
            <v>RCVD_INTRST_24M</v>
          </cell>
          <cell r="Z310" t="str">
            <v>Y</v>
          </cell>
          <cell r="AA310" t="str">
            <v>N</v>
          </cell>
          <cell r="AB310" t="str">
            <v>N</v>
          </cell>
          <cell r="AC310" t="str">
            <v>N</v>
          </cell>
          <cell r="AD310" t="str">
            <v>N</v>
          </cell>
          <cell r="AE310" t="str">
            <v>Y</v>
          </cell>
        </row>
        <row r="311">
          <cell r="E311" t="str">
            <v>SYNDCT_RL</v>
          </cell>
          <cell r="Z311" t="str">
            <v>Y</v>
          </cell>
          <cell r="AA311" t="str">
            <v>N</v>
          </cell>
          <cell r="AB311" t="str">
            <v>N</v>
          </cell>
          <cell r="AC311" t="str">
            <v>N</v>
          </cell>
          <cell r="AD311" t="str">
            <v>N</v>
          </cell>
          <cell r="AE311" t="str">
            <v>Y</v>
          </cell>
        </row>
        <row r="312">
          <cell r="E312" t="str">
            <v>SYNDCTD_AGNT</v>
          </cell>
          <cell r="Z312" t="str">
            <v>Y</v>
          </cell>
          <cell r="AA312" t="str">
            <v>N</v>
          </cell>
          <cell r="AB312" t="str">
            <v>N</v>
          </cell>
          <cell r="AC312" t="str">
            <v>Y</v>
          </cell>
          <cell r="AD312" t="str">
            <v>N</v>
          </cell>
          <cell r="AE312" t="str">
            <v>Y</v>
          </cell>
        </row>
        <row r="313">
          <cell r="E313" t="str">
            <v>SYNDCTD_CNTRCT_ID</v>
          </cell>
          <cell r="Z313" t="str">
            <v>Y</v>
          </cell>
          <cell r="AA313" t="str">
            <v>N</v>
          </cell>
          <cell r="AB313" t="str">
            <v>N</v>
          </cell>
          <cell r="AC313" t="str">
            <v>N</v>
          </cell>
          <cell r="AD313" t="str">
            <v>N</v>
          </cell>
          <cell r="AE313" t="str">
            <v>Y</v>
          </cell>
        </row>
        <row r="314">
          <cell r="E314" t="str">
            <v>SYNDCTD_LNDRS</v>
          </cell>
          <cell r="Z314" t="str">
            <v>Y</v>
          </cell>
          <cell r="AA314" t="str">
            <v>N</v>
          </cell>
          <cell r="AB314" t="str">
            <v>N</v>
          </cell>
          <cell r="AC314" t="str">
            <v>N</v>
          </cell>
          <cell r="AD314" t="str">
            <v>N</v>
          </cell>
          <cell r="AE314" t="str">
            <v>Y</v>
          </cell>
        </row>
        <row r="315">
          <cell r="E315" t="str">
            <v>SYNDCTD_SHR</v>
          </cell>
          <cell r="Z315" t="str">
            <v>Y</v>
          </cell>
          <cell r="AA315" t="str">
            <v>N</v>
          </cell>
          <cell r="AB315" t="str">
            <v>N</v>
          </cell>
          <cell r="AC315" t="str">
            <v>Y</v>
          </cell>
          <cell r="AD315" t="str">
            <v>N</v>
          </cell>
          <cell r="AE315" t="str">
            <v>Y</v>
          </cell>
        </row>
        <row r="316">
          <cell r="E316" t="str">
            <v>SYNDCTN_TYP</v>
          </cell>
          <cell r="Z316" t="str">
            <v>Y</v>
          </cell>
          <cell r="AA316" t="str">
            <v>N</v>
          </cell>
          <cell r="AB316" t="str">
            <v>N</v>
          </cell>
          <cell r="AC316" t="str">
            <v>Y</v>
          </cell>
          <cell r="AD316" t="str">
            <v>N</v>
          </cell>
          <cell r="AE316" t="str">
            <v>Y</v>
          </cell>
        </row>
        <row r="317">
          <cell r="E317" t="str">
            <v>EBA_CMPLNT_MRTR_ST_C19</v>
          </cell>
          <cell r="Z317" t="str">
            <v>Y</v>
          </cell>
          <cell r="AA317" t="str">
            <v>N</v>
          </cell>
          <cell r="AB317" t="str">
            <v>N</v>
          </cell>
          <cell r="AC317" t="str">
            <v>N</v>
          </cell>
          <cell r="AD317" t="str">
            <v>N</v>
          </cell>
          <cell r="AE317" t="str">
            <v>N</v>
          </cell>
        </row>
        <row r="318">
          <cell r="E318" t="str">
            <v>DT_CMPLNT_MRTR_STTS_C19</v>
          </cell>
          <cell r="Z318" t="str">
            <v>Y</v>
          </cell>
          <cell r="AA318" t="str">
            <v>N</v>
          </cell>
          <cell r="AB318" t="str">
            <v>N</v>
          </cell>
          <cell r="AC318" t="str">
            <v>N</v>
          </cell>
          <cell r="AD318" t="str">
            <v>N</v>
          </cell>
          <cell r="AE318" t="str">
            <v>N</v>
          </cell>
        </row>
        <row r="319">
          <cell r="E319" t="str">
            <v>DT_CMPLNT_MRTR_STTS_PRVS_C19</v>
          </cell>
          <cell r="Z319" t="str">
            <v>Y</v>
          </cell>
          <cell r="AA319" t="str">
            <v>N</v>
          </cell>
          <cell r="AB319" t="str">
            <v>N</v>
          </cell>
          <cell r="AC319" t="str">
            <v>N</v>
          </cell>
          <cell r="AD319" t="str">
            <v>N</v>
          </cell>
          <cell r="AE319" t="str">
            <v>N</v>
          </cell>
        </row>
        <row r="320">
          <cell r="E320" t="str">
            <v>MTRTY_LTST_MRTR_C19</v>
          </cell>
          <cell r="Z320" t="str">
            <v>Y</v>
          </cell>
          <cell r="AA320" t="str">
            <v>N</v>
          </cell>
          <cell r="AB320" t="str">
            <v>N</v>
          </cell>
          <cell r="AC320" t="str">
            <v>N</v>
          </cell>
          <cell r="AD320" t="str">
            <v>N</v>
          </cell>
          <cell r="AE320" t="str">
            <v>N</v>
          </cell>
        </row>
        <row r="321">
          <cell r="E321" t="str">
            <v>TYP_CMPLNT_MRTR_C19</v>
          </cell>
          <cell r="Z321" t="str">
            <v>Y</v>
          </cell>
          <cell r="AA321" t="str">
            <v>N</v>
          </cell>
          <cell r="AB321" t="str">
            <v>N</v>
          </cell>
          <cell r="AC321" t="str">
            <v>N</v>
          </cell>
          <cell r="AD321" t="str">
            <v>N</v>
          </cell>
          <cell r="AE321" t="str">
            <v>N</v>
          </cell>
        </row>
        <row r="322">
          <cell r="E322" t="str">
            <v>GRC_PRD_CPTL_INTRST_C19</v>
          </cell>
          <cell r="Z322" t="str">
            <v>Y</v>
          </cell>
          <cell r="AA322" t="str">
            <v>N</v>
          </cell>
          <cell r="AB322" t="str">
            <v>N</v>
          </cell>
          <cell r="AC322" t="str">
            <v>N</v>
          </cell>
          <cell r="AD322" t="str">
            <v>N</v>
          </cell>
          <cell r="AE322" t="str">
            <v>N</v>
          </cell>
        </row>
        <row r="323">
          <cell r="E323" t="str">
            <v>CMPLNT_MRTR_C19_NM</v>
          </cell>
          <cell r="Z323" t="str">
            <v>Y</v>
          </cell>
          <cell r="AA323" t="str">
            <v>N</v>
          </cell>
          <cell r="AB323" t="str">
            <v>N</v>
          </cell>
          <cell r="AC323" t="str">
            <v>N</v>
          </cell>
          <cell r="AD323" t="str">
            <v>N</v>
          </cell>
          <cell r="AE323" t="str">
            <v>N</v>
          </cell>
        </row>
        <row r="324">
          <cell r="E324" t="str">
            <v>FRBRNC_STTS_C19</v>
          </cell>
          <cell r="Z324" t="str">
            <v>Y</v>
          </cell>
          <cell r="AA324" t="str">
            <v>N</v>
          </cell>
          <cell r="AB324" t="str">
            <v>N</v>
          </cell>
          <cell r="AC324" t="str">
            <v>N</v>
          </cell>
          <cell r="AD324" t="str">
            <v>N</v>
          </cell>
          <cell r="AE324" t="str">
            <v>N</v>
          </cell>
        </row>
        <row r="325">
          <cell r="E325" t="str">
            <v>DT_FRBRNC_STTS_C19</v>
          </cell>
          <cell r="Z325" t="str">
            <v>Y</v>
          </cell>
          <cell r="AA325" t="str">
            <v>N</v>
          </cell>
          <cell r="AB325" t="str">
            <v>N</v>
          </cell>
          <cell r="AC325" t="str">
            <v>N</v>
          </cell>
          <cell r="AD325" t="str">
            <v>N</v>
          </cell>
          <cell r="AE325" t="str">
            <v>N</v>
          </cell>
        </row>
        <row r="326">
          <cell r="E326" t="str">
            <v>DT_FRBRNC_STTS_PRVS_C19</v>
          </cell>
          <cell r="Z326" t="str">
            <v>Y</v>
          </cell>
          <cell r="AA326" t="str">
            <v>N</v>
          </cell>
          <cell r="AB326" t="str">
            <v>N</v>
          </cell>
          <cell r="AC326" t="str">
            <v>N</v>
          </cell>
          <cell r="AD326" t="str">
            <v>N</v>
          </cell>
          <cell r="AE326" t="str">
            <v>N</v>
          </cell>
        </row>
        <row r="327">
          <cell r="E327" t="str">
            <v>MTRTY_LTST_FRBRNC_MSR_C19</v>
          </cell>
          <cell r="Z327" t="str">
            <v>Y</v>
          </cell>
          <cell r="AA327" t="str">
            <v>N</v>
          </cell>
          <cell r="AB327" t="str">
            <v>N</v>
          </cell>
          <cell r="AC327" t="str">
            <v>N</v>
          </cell>
          <cell r="AD327" t="str">
            <v>N</v>
          </cell>
          <cell r="AE327" t="str">
            <v>N</v>
          </cell>
        </row>
        <row r="328">
          <cell r="E328" t="str">
            <v>DT_END_GP_PPAL_C19</v>
          </cell>
          <cell r="Z328" t="str">
            <v>Y</v>
          </cell>
          <cell r="AA328" t="str">
            <v>N</v>
          </cell>
          <cell r="AB328" t="str">
            <v>N</v>
          </cell>
          <cell r="AC328" t="str">
            <v>N</v>
          </cell>
          <cell r="AD328" t="str">
            <v>N</v>
          </cell>
          <cell r="AE328" t="str">
            <v>N</v>
          </cell>
        </row>
        <row r="329">
          <cell r="E329" t="str">
            <v>DT_END_INTRST_ONLY_C19</v>
          </cell>
          <cell r="Z329" t="str">
            <v>Y</v>
          </cell>
          <cell r="AA329" t="str">
            <v>N</v>
          </cell>
          <cell r="AB329" t="str">
            <v>N</v>
          </cell>
          <cell r="AC329" t="str">
            <v>N</v>
          </cell>
          <cell r="AD329" t="str">
            <v>N</v>
          </cell>
          <cell r="AE329" t="str">
            <v>N</v>
          </cell>
        </row>
        <row r="330">
          <cell r="E330" t="str">
            <v>SBJCT_PBLC_GRNT_SCHM_C19</v>
          </cell>
          <cell r="Z330" t="str">
            <v>Y</v>
          </cell>
          <cell r="AA330" t="str">
            <v>N</v>
          </cell>
          <cell r="AB330" t="str">
            <v>N</v>
          </cell>
          <cell r="AC330" t="str">
            <v>N</v>
          </cell>
          <cell r="AD330" t="str">
            <v>N</v>
          </cell>
          <cell r="AE330" t="str">
            <v>N</v>
          </cell>
        </row>
        <row r="331">
          <cell r="E331" t="str">
            <v>PBLC_GRNT_SCHM_C19_NM</v>
          </cell>
          <cell r="Z331" t="str">
            <v>Y</v>
          </cell>
          <cell r="AA331" t="str">
            <v>N</v>
          </cell>
          <cell r="AB331" t="str">
            <v>N</v>
          </cell>
          <cell r="AC331" t="str">
            <v>N</v>
          </cell>
          <cell r="AD331" t="str">
            <v>N</v>
          </cell>
          <cell r="AE331" t="str">
            <v>N</v>
          </cell>
        </row>
        <row r="332">
          <cell r="E332" t="str">
            <v>PMNT_PBLC_GRNT_SCHM_C19</v>
          </cell>
          <cell r="Z332" t="str">
            <v>Y</v>
          </cell>
          <cell r="AA332" t="str">
            <v>N</v>
          </cell>
          <cell r="AB332" t="str">
            <v>N</v>
          </cell>
          <cell r="AC332" t="str">
            <v>N</v>
          </cell>
          <cell r="AD332" t="str">
            <v>N</v>
          </cell>
          <cell r="AE332" t="str">
            <v>N</v>
          </cell>
        </row>
        <row r="333">
          <cell r="E333" t="str">
            <v>ASST_SCRT_CLSS</v>
          </cell>
          <cell r="Z333" t="str">
            <v>Y</v>
          </cell>
          <cell r="AA333" t="str">
            <v>N</v>
          </cell>
          <cell r="AB333" t="str">
            <v>N</v>
          </cell>
          <cell r="AC333" t="str">
            <v>Y</v>
          </cell>
          <cell r="AD333" t="str">
            <v>N</v>
          </cell>
          <cell r="AE333" t="str">
            <v>N</v>
          </cell>
        </row>
        <row r="334">
          <cell r="E334" t="str">
            <v>CPN_CRRNCY</v>
          </cell>
          <cell r="Z334" t="str">
            <v>Y</v>
          </cell>
          <cell r="AA334" t="str">
            <v>N</v>
          </cell>
          <cell r="AB334" t="str">
            <v>N</v>
          </cell>
          <cell r="AC334" t="str">
            <v>N</v>
          </cell>
          <cell r="AD334" t="str">
            <v>N</v>
          </cell>
          <cell r="AE334" t="str">
            <v>N</v>
          </cell>
        </row>
        <row r="335">
          <cell r="E335" t="str">
            <v>CPN_RT_FXD</v>
          </cell>
          <cell r="Z335" t="str">
            <v>Y</v>
          </cell>
          <cell r="AA335" t="str">
            <v>N</v>
          </cell>
          <cell r="AB335" t="str">
            <v>N</v>
          </cell>
          <cell r="AC335" t="str">
            <v>N</v>
          </cell>
          <cell r="AD335" t="str">
            <v>N</v>
          </cell>
          <cell r="AE335" t="str">
            <v>N</v>
          </cell>
        </row>
        <row r="336">
          <cell r="E336" t="str">
            <v>DT_VLTN</v>
          </cell>
          <cell r="Z336" t="str">
            <v>Y</v>
          </cell>
          <cell r="AA336" t="str">
            <v>N</v>
          </cell>
          <cell r="AB336" t="str">
            <v>N</v>
          </cell>
          <cell r="AC336" t="str">
            <v>N</v>
          </cell>
          <cell r="AD336" t="str">
            <v>N</v>
          </cell>
          <cell r="AE336" t="str">
            <v>N</v>
          </cell>
        </row>
        <row r="337">
          <cell r="E337" t="str">
            <v>ELGBLTY_ECB</v>
          </cell>
          <cell r="Z337" t="str">
            <v>Y</v>
          </cell>
          <cell r="AA337" t="str">
            <v>N</v>
          </cell>
          <cell r="AB337" t="str">
            <v>N</v>
          </cell>
          <cell r="AC337" t="str">
            <v>N</v>
          </cell>
          <cell r="AD337" t="str">
            <v>N</v>
          </cell>
          <cell r="AE337" t="str">
            <v>N</v>
          </cell>
        </row>
        <row r="338">
          <cell r="E338" t="str">
            <v>GRNTR_ID</v>
          </cell>
          <cell r="Z338" t="str">
            <v>Y</v>
          </cell>
          <cell r="AA338" t="str">
            <v>N</v>
          </cell>
          <cell r="AB338" t="str">
            <v>N</v>
          </cell>
          <cell r="AC338" t="str">
            <v>N</v>
          </cell>
          <cell r="AD338" t="str">
            <v>N</v>
          </cell>
          <cell r="AE338" t="str">
            <v>N</v>
          </cell>
        </row>
        <row r="339">
          <cell r="E339" t="str">
            <v>GRNTR_ID_TYP</v>
          </cell>
          <cell r="Z339" t="str">
            <v>Y</v>
          </cell>
          <cell r="AA339" t="str">
            <v>N</v>
          </cell>
          <cell r="AB339" t="str">
            <v>N</v>
          </cell>
          <cell r="AC339" t="str">
            <v>N</v>
          </cell>
          <cell r="AD339" t="str">
            <v>N</v>
          </cell>
          <cell r="AE339" t="str">
            <v>N</v>
          </cell>
        </row>
        <row r="340">
          <cell r="E340" t="str">
            <v>HEDGE_ID</v>
          </cell>
          <cell r="Z340" t="str">
            <v>Y</v>
          </cell>
          <cell r="AA340" t="str">
            <v>N</v>
          </cell>
          <cell r="AB340" t="str">
            <v>N</v>
          </cell>
          <cell r="AC340" t="str">
            <v>N</v>
          </cell>
          <cell r="AD340" t="str">
            <v>N</v>
          </cell>
          <cell r="AE340" t="str">
            <v>N</v>
          </cell>
        </row>
        <row r="341">
          <cell r="E341" t="str">
            <v>INSTR_SNRTY_CLSS</v>
          </cell>
          <cell r="Z341" t="str">
            <v>Y</v>
          </cell>
          <cell r="AA341" t="str">
            <v>N</v>
          </cell>
          <cell r="AB341" t="str">
            <v>N</v>
          </cell>
          <cell r="AC341" t="str">
            <v>N</v>
          </cell>
          <cell r="AD341" t="str">
            <v>N</v>
          </cell>
          <cell r="AE341" t="str">
            <v>Y</v>
          </cell>
        </row>
        <row r="342">
          <cell r="E342" t="str">
            <v>INSTRMNT_CLSS</v>
          </cell>
          <cell r="Z342" t="str">
            <v>Y</v>
          </cell>
          <cell r="AA342" t="str">
            <v>N</v>
          </cell>
          <cell r="AB342" t="str">
            <v>N</v>
          </cell>
          <cell r="AC342" t="str">
            <v>N</v>
          </cell>
          <cell r="AD342" t="str">
            <v>N</v>
          </cell>
          <cell r="AE342" t="str">
            <v>N</v>
          </cell>
        </row>
        <row r="343">
          <cell r="E343" t="str">
            <v>ISIN</v>
          </cell>
          <cell r="Z343" t="str">
            <v>Y</v>
          </cell>
          <cell r="AA343" t="str">
            <v>N</v>
          </cell>
          <cell r="AB343" t="str">
            <v>N</v>
          </cell>
          <cell r="AC343" t="str">
            <v>N</v>
          </cell>
          <cell r="AD343" t="str">
            <v>N</v>
          </cell>
          <cell r="AE343" t="str">
            <v>N</v>
          </cell>
        </row>
        <row r="344">
          <cell r="E344" t="str">
            <v>ISSR_CNTRY</v>
          </cell>
          <cell r="Z344" t="str">
            <v>Y</v>
          </cell>
          <cell r="AA344" t="str">
            <v>N</v>
          </cell>
          <cell r="AB344" t="str">
            <v>Y</v>
          </cell>
          <cell r="AC344" t="str">
            <v>N</v>
          </cell>
          <cell r="AD344" t="str">
            <v>N</v>
          </cell>
          <cell r="AE344" t="str">
            <v>N</v>
          </cell>
        </row>
        <row r="345">
          <cell r="E345" t="str">
            <v>ISSR_ESA_2010</v>
          </cell>
          <cell r="Z345" t="str">
            <v>Y</v>
          </cell>
          <cell r="AA345" t="str">
            <v>N</v>
          </cell>
          <cell r="AB345" t="str">
            <v>N</v>
          </cell>
          <cell r="AC345" t="str">
            <v>N</v>
          </cell>
          <cell r="AD345" t="str">
            <v>N</v>
          </cell>
          <cell r="AE345" t="str">
            <v>N</v>
          </cell>
        </row>
        <row r="346">
          <cell r="E346" t="str">
            <v>ISSR_ID</v>
          </cell>
          <cell r="Z346" t="str">
            <v>Y</v>
          </cell>
          <cell r="AA346" t="str">
            <v>N</v>
          </cell>
          <cell r="AB346" t="str">
            <v>N</v>
          </cell>
          <cell r="AC346" t="str">
            <v>N</v>
          </cell>
          <cell r="AD346" t="str">
            <v>N</v>
          </cell>
          <cell r="AE346" t="str">
            <v>N</v>
          </cell>
        </row>
        <row r="347">
          <cell r="E347" t="str">
            <v>ISSR_ID_TYP</v>
          </cell>
          <cell r="Z347" t="str">
            <v>Y</v>
          </cell>
          <cell r="AA347" t="str">
            <v>N</v>
          </cell>
          <cell r="AB347" t="str">
            <v>N</v>
          </cell>
          <cell r="AC347" t="str">
            <v>N</v>
          </cell>
          <cell r="AD347" t="str">
            <v>N</v>
          </cell>
          <cell r="AE347" t="str">
            <v>N</v>
          </cell>
        </row>
        <row r="348">
          <cell r="E348" t="str">
            <v>ISSR_NACE_SCTR</v>
          </cell>
          <cell r="Z348" t="str">
            <v>Y</v>
          </cell>
          <cell r="AA348" t="str">
            <v>N</v>
          </cell>
          <cell r="AB348" t="str">
            <v>Y</v>
          </cell>
          <cell r="AC348" t="str">
            <v>N</v>
          </cell>
          <cell r="AD348" t="str">
            <v>N</v>
          </cell>
          <cell r="AE348" t="str">
            <v>N</v>
          </cell>
        </row>
        <row r="349">
          <cell r="E349" t="str">
            <v>ISSR_RTNG</v>
          </cell>
          <cell r="Z349" t="str">
            <v>Y</v>
          </cell>
          <cell r="AA349" t="str">
            <v>N</v>
          </cell>
          <cell r="AB349" t="str">
            <v>N</v>
          </cell>
          <cell r="AC349" t="str">
            <v>N</v>
          </cell>
          <cell r="AD349" t="str">
            <v>N</v>
          </cell>
          <cell r="AE349" t="str">
            <v>N</v>
          </cell>
        </row>
        <row r="350">
          <cell r="E350" t="str">
            <v>ISSR_RTNG_SRC</v>
          </cell>
          <cell r="Z350" t="str">
            <v>Y</v>
          </cell>
          <cell r="AA350" t="str">
            <v>N</v>
          </cell>
          <cell r="AB350" t="str">
            <v>N</v>
          </cell>
          <cell r="AC350" t="str">
            <v>N</v>
          </cell>
          <cell r="AD350" t="str">
            <v>N</v>
          </cell>
          <cell r="AE350" t="str">
            <v>N</v>
          </cell>
        </row>
        <row r="351">
          <cell r="E351" t="str">
            <v>ISSR_TYP</v>
          </cell>
          <cell r="Z351" t="str">
            <v>Y</v>
          </cell>
          <cell r="AA351" t="str">
            <v>N</v>
          </cell>
          <cell r="AB351" t="str">
            <v>N</v>
          </cell>
          <cell r="AC351" t="str">
            <v>N</v>
          </cell>
          <cell r="AD351" t="str">
            <v>N</v>
          </cell>
          <cell r="AE351" t="str">
            <v>N</v>
          </cell>
        </row>
        <row r="352">
          <cell r="E352" t="str">
            <v>LCR_BFFR_CTGRY</v>
          </cell>
          <cell r="Z352" t="str">
            <v>Y</v>
          </cell>
          <cell r="AA352" t="str">
            <v>N</v>
          </cell>
          <cell r="AB352" t="str">
            <v>N</v>
          </cell>
          <cell r="AC352" t="str">
            <v>N</v>
          </cell>
          <cell r="AD352" t="str">
            <v>N</v>
          </cell>
          <cell r="AE352" t="str">
            <v>N</v>
          </cell>
        </row>
        <row r="353">
          <cell r="E353" t="str">
            <v>PRCH_UNDR_RSL_AGR</v>
          </cell>
          <cell r="Z353" t="str">
            <v>Y</v>
          </cell>
          <cell r="AA353" t="str">
            <v>N</v>
          </cell>
          <cell r="AB353" t="str">
            <v>N</v>
          </cell>
          <cell r="AC353" t="str">
            <v>N</v>
          </cell>
          <cell r="AD353" t="str">
            <v>N</v>
          </cell>
          <cell r="AE353" t="str">
            <v>N</v>
          </cell>
        </row>
        <row r="354">
          <cell r="E354" t="str">
            <v>PRDNTL_PRTFL</v>
          </cell>
          <cell r="Z354" t="str">
            <v>Y</v>
          </cell>
          <cell r="AA354" t="str">
            <v>N</v>
          </cell>
          <cell r="AB354" t="str">
            <v>N</v>
          </cell>
          <cell r="AC354" t="str">
            <v>N</v>
          </cell>
          <cell r="AD354" t="str">
            <v>N</v>
          </cell>
          <cell r="AE354" t="str">
            <v>Y</v>
          </cell>
        </row>
        <row r="355">
          <cell r="E355" t="str">
            <v>PRMRY_ASST_CLSSF</v>
          </cell>
          <cell r="Z355" t="str">
            <v>Y</v>
          </cell>
          <cell r="AA355" t="str">
            <v>N</v>
          </cell>
          <cell r="AB355" t="str">
            <v>Y</v>
          </cell>
          <cell r="AC355" t="str">
            <v>N</v>
          </cell>
          <cell r="AD355" t="str">
            <v>N</v>
          </cell>
          <cell r="AE355" t="str">
            <v>N</v>
          </cell>
        </row>
        <row r="356">
          <cell r="E356" t="str">
            <v>PRT_LCR_BFFR</v>
          </cell>
          <cell r="Z356" t="str">
            <v>Y</v>
          </cell>
          <cell r="AA356" t="str">
            <v>N</v>
          </cell>
          <cell r="AB356" t="str">
            <v>N</v>
          </cell>
          <cell r="AC356" t="str">
            <v>N</v>
          </cell>
          <cell r="AD356" t="str">
            <v>N</v>
          </cell>
          <cell r="AE356" t="str">
            <v>N</v>
          </cell>
        </row>
        <row r="357">
          <cell r="E357" t="str">
            <v>CPN_RT_FLTNG</v>
          </cell>
          <cell r="Z357" t="str">
            <v>Y</v>
          </cell>
          <cell r="AA357" t="str">
            <v>N</v>
          </cell>
          <cell r="AB357" t="str">
            <v>N</v>
          </cell>
          <cell r="AC357" t="str">
            <v>N</v>
          </cell>
          <cell r="AD357" t="str">
            <v>N</v>
          </cell>
          <cell r="AE357" t="str">
            <v>N</v>
          </cell>
        </row>
        <row r="358">
          <cell r="E358" t="str">
            <v>SPRD</v>
          </cell>
          <cell r="Z358" t="str">
            <v>Y</v>
          </cell>
          <cell r="AA358" t="str">
            <v>N</v>
          </cell>
          <cell r="AB358" t="str">
            <v>N</v>
          </cell>
          <cell r="AC358" t="str">
            <v>N</v>
          </cell>
          <cell r="AD358" t="str">
            <v>N</v>
          </cell>
          <cell r="AE358" t="str">
            <v>N</v>
          </cell>
        </row>
        <row r="359">
          <cell r="E359" t="str">
            <v>SRCS_ENCMBRNC</v>
          </cell>
          <cell r="Z359" t="str">
            <v>Y</v>
          </cell>
          <cell r="AA359" t="str">
            <v>N</v>
          </cell>
          <cell r="AB359" t="str">
            <v>N</v>
          </cell>
          <cell r="AC359" t="str">
            <v>N</v>
          </cell>
          <cell r="AD359" t="str">
            <v>N</v>
          </cell>
          <cell r="AE359" t="str">
            <v>N</v>
          </cell>
        </row>
        <row r="360">
          <cell r="E360" t="str">
            <v>TYPE_OF_PLCMNT</v>
          </cell>
          <cell r="Z360" t="str">
            <v>Y</v>
          </cell>
          <cell r="AA360" t="str">
            <v>N</v>
          </cell>
          <cell r="AB360" t="str">
            <v>N</v>
          </cell>
          <cell r="AC360" t="str">
            <v>N</v>
          </cell>
          <cell r="AD360" t="str">
            <v>N</v>
          </cell>
          <cell r="AE360" t="str">
            <v>N</v>
          </cell>
        </row>
        <row r="361">
          <cell r="E361" t="str">
            <v>VLTN_CRRNCY</v>
          </cell>
          <cell r="Z361" t="str">
            <v>Y</v>
          </cell>
          <cell r="AA361" t="str">
            <v>N</v>
          </cell>
          <cell r="AB361" t="str">
            <v>N</v>
          </cell>
          <cell r="AC361" t="str">
            <v>N</v>
          </cell>
          <cell r="AD361" t="str">
            <v>N</v>
          </cell>
          <cell r="AE361" t="str">
            <v>N</v>
          </cell>
        </row>
        <row r="362">
          <cell r="E362" t="str">
            <v>VLTN_TYP</v>
          </cell>
          <cell r="Z362" t="str">
            <v>Y</v>
          </cell>
          <cell r="AA362" t="str">
            <v>N</v>
          </cell>
          <cell r="AB362" t="str">
            <v>N</v>
          </cell>
          <cell r="AC362" t="str">
            <v>N</v>
          </cell>
          <cell r="AD362" t="str">
            <v>N</v>
          </cell>
          <cell r="AE362" t="str">
            <v>N</v>
          </cell>
        </row>
        <row r="363">
          <cell r="E363" t="str">
            <v>LVRG_FNNC_FLG</v>
          </cell>
          <cell r="Z363" t="str">
            <v>Y</v>
          </cell>
          <cell r="AA363" t="str">
            <v>N</v>
          </cell>
          <cell r="AB363" t="str">
            <v>N</v>
          </cell>
          <cell r="AC363" t="str">
            <v>N</v>
          </cell>
          <cell r="AD363" t="str">
            <v>N</v>
          </cell>
          <cell r="AE363" t="str">
            <v>Y</v>
          </cell>
        </row>
        <row r="364">
          <cell r="E364" t="str">
            <v>INTRNL_SGMNT_IFRS9</v>
          </cell>
          <cell r="Z364" t="str">
            <v>Y</v>
          </cell>
          <cell r="AA364" t="str">
            <v>N</v>
          </cell>
          <cell r="AB364" t="str">
            <v>N</v>
          </cell>
          <cell r="AC364" t="str">
            <v>N</v>
          </cell>
          <cell r="AD364" t="str">
            <v>N</v>
          </cell>
          <cell r="AE364" t="str">
            <v>N</v>
          </cell>
        </row>
        <row r="365">
          <cell r="E365" t="str">
            <v>INTRNL_SGMNT_CAT_MSTA</v>
          </cell>
          <cell r="Z365" t="str">
            <v>Y</v>
          </cell>
          <cell r="AA365" t="str">
            <v>N</v>
          </cell>
          <cell r="AB365" t="str">
            <v>N</v>
          </cell>
          <cell r="AC365" t="str">
            <v>N</v>
          </cell>
          <cell r="AD365" t="str">
            <v>Y</v>
          </cell>
          <cell r="AE365" t="str">
            <v>N</v>
          </cell>
        </row>
        <row r="366">
          <cell r="E366" t="str">
            <v>INTRNL_SGMNT_CATGSUB</v>
          </cell>
          <cell r="Z366" t="str">
            <v>Y</v>
          </cell>
          <cell r="AA366" t="str">
            <v>N</v>
          </cell>
          <cell r="AB366" t="str">
            <v>N</v>
          </cell>
          <cell r="AC366" t="str">
            <v>N</v>
          </cell>
          <cell r="AD366" t="str">
            <v>Y</v>
          </cell>
          <cell r="AE366" t="str">
            <v>N</v>
          </cell>
        </row>
        <row r="367">
          <cell r="E367" t="str">
            <v>CRRLTN_CFFCNT</v>
          </cell>
          <cell r="Z367" t="str">
            <v>Y</v>
          </cell>
          <cell r="AA367" t="str">
            <v>N</v>
          </cell>
          <cell r="AB367" t="str">
            <v>N</v>
          </cell>
          <cell r="AC367" t="str">
            <v>N</v>
          </cell>
          <cell r="AD367" t="str">
            <v>N</v>
          </cell>
          <cell r="AE367" t="str">
            <v>N</v>
          </cell>
        </row>
        <row r="368">
          <cell r="E368" t="str">
            <v>ISIN_SCRTSTN</v>
          </cell>
          <cell r="Z368" t="str">
            <v>Y</v>
          </cell>
          <cell r="AA368" t="str">
            <v>N</v>
          </cell>
          <cell r="AB368" t="str">
            <v>N</v>
          </cell>
          <cell r="AC368" t="str">
            <v>N</v>
          </cell>
          <cell r="AD368" t="str">
            <v>N</v>
          </cell>
          <cell r="AE368" t="str">
            <v>N</v>
          </cell>
        </row>
        <row r="369">
          <cell r="E369" t="str">
            <v>CNTRCT_ID_BDR</v>
          </cell>
          <cell r="Z369" t="str">
            <v>Y</v>
          </cell>
          <cell r="AA369" t="str">
            <v>N</v>
          </cell>
          <cell r="AB369" t="str">
            <v>N</v>
          </cell>
          <cell r="AC369" t="str">
            <v>Y</v>
          </cell>
          <cell r="AD369" t="str">
            <v>N</v>
          </cell>
          <cell r="AE369" t="str">
            <v>N</v>
          </cell>
        </row>
        <row r="370">
          <cell r="E370" t="str">
            <v>COD_SOC_INTRGRP</v>
          </cell>
          <cell r="Z370" t="str">
            <v>Y</v>
          </cell>
          <cell r="AA370" t="str">
            <v>Y</v>
          </cell>
          <cell r="AB370" t="str">
            <v>Y</v>
          </cell>
          <cell r="AC370" t="str">
            <v>N</v>
          </cell>
          <cell r="AD370" t="str">
            <v>N</v>
          </cell>
          <cell r="AE370" t="str">
            <v>N</v>
          </cell>
        </row>
        <row r="371">
          <cell r="E371" t="str">
            <v>LCL_INSTMRNT_ID</v>
          </cell>
          <cell r="Z371" t="str">
            <v>Y</v>
          </cell>
          <cell r="AA371" t="str">
            <v>Y</v>
          </cell>
          <cell r="AB371" t="str">
            <v>Y</v>
          </cell>
          <cell r="AC371" t="str">
            <v>N</v>
          </cell>
          <cell r="AD371" t="str">
            <v>N</v>
          </cell>
          <cell r="AE371" t="str">
            <v>N</v>
          </cell>
        </row>
        <row r="372">
          <cell r="E372" t="str">
            <v>SSTNBL_INDCTR</v>
          </cell>
          <cell r="Z372" t="str">
            <v>N</v>
          </cell>
          <cell r="AA372" t="str">
            <v>Y</v>
          </cell>
          <cell r="AB372" t="str">
            <v>Y</v>
          </cell>
          <cell r="AC372" t="str">
            <v>Y</v>
          </cell>
          <cell r="AD372" t="str">
            <v>N</v>
          </cell>
          <cell r="AE372" t="str">
            <v>N</v>
          </cell>
        </row>
        <row r="373">
          <cell r="E373" t="str">
            <v>SSTNBL_CTGRY</v>
          </cell>
          <cell r="Z373" t="str">
            <v>N</v>
          </cell>
          <cell r="AA373" t="str">
            <v>Y</v>
          </cell>
          <cell r="AB373" t="str">
            <v>Y</v>
          </cell>
          <cell r="AC373" t="str">
            <v>Y</v>
          </cell>
          <cell r="AD373" t="str">
            <v>N</v>
          </cell>
          <cell r="AE373" t="str">
            <v>N</v>
          </cell>
        </row>
        <row r="374">
          <cell r="E374" t="str">
            <v>AVRG_BLNC</v>
          </cell>
          <cell r="Z374" t="str">
            <v>N</v>
          </cell>
          <cell r="AA374" t="str">
            <v>Y</v>
          </cell>
          <cell r="AB374" t="str">
            <v>N</v>
          </cell>
          <cell r="AC374" t="str">
            <v>Y</v>
          </cell>
          <cell r="AD374" t="str">
            <v>N</v>
          </cell>
          <cell r="AE374" t="str">
            <v>N</v>
          </cell>
        </row>
        <row r="375">
          <cell r="E375" t="str">
            <v>NW_BSNSS</v>
          </cell>
          <cell r="Z375" t="str">
            <v>N</v>
          </cell>
          <cell r="AA375" t="str">
            <v>Y</v>
          </cell>
          <cell r="AB375" t="str">
            <v>Y</v>
          </cell>
          <cell r="AC375" t="str">
            <v>Y</v>
          </cell>
          <cell r="AD375" t="str">
            <v>N</v>
          </cell>
          <cell r="AE375" t="str">
            <v>N</v>
          </cell>
        </row>
        <row r="376">
          <cell r="E376" t="str">
            <v>GRSS_INTRST_INCM</v>
          </cell>
          <cell r="Z376" t="str">
            <v>N</v>
          </cell>
          <cell r="AA376" t="str">
            <v>Y</v>
          </cell>
          <cell r="AB376" t="str">
            <v>Y</v>
          </cell>
          <cell r="AC376" t="str">
            <v>Y</v>
          </cell>
          <cell r="AD376" t="str">
            <v>N</v>
          </cell>
          <cell r="AE376" t="str">
            <v>N</v>
          </cell>
        </row>
        <row r="377">
          <cell r="E377" t="str">
            <v>GRSS_CMMSSN_INCM</v>
          </cell>
          <cell r="Z377" t="str">
            <v>N</v>
          </cell>
          <cell r="AA377" t="str">
            <v>Y</v>
          </cell>
          <cell r="AB377" t="str">
            <v>Y</v>
          </cell>
          <cell r="AC377" t="str">
            <v>Y</v>
          </cell>
          <cell r="AD377" t="str">
            <v>N</v>
          </cell>
          <cell r="AE377" t="str">
            <v>N</v>
          </cell>
        </row>
        <row r="378">
          <cell r="E378" t="str">
            <v>INTRNL_TRNSFR_RT</v>
          </cell>
          <cell r="Z378" t="str">
            <v>N</v>
          </cell>
          <cell r="AA378" t="str">
            <v>Y</v>
          </cell>
          <cell r="AB378" t="str">
            <v>N</v>
          </cell>
          <cell r="AC378" t="str">
            <v>Y</v>
          </cell>
          <cell r="AD378" t="str">
            <v>N</v>
          </cell>
          <cell r="AE378" t="str">
            <v>N</v>
          </cell>
        </row>
        <row r="379">
          <cell r="E379" t="str">
            <v>NT_LN_LSS_PRVSN</v>
          </cell>
          <cell r="Z379" t="str">
            <v>N</v>
          </cell>
          <cell r="AA379" t="str">
            <v>Y</v>
          </cell>
          <cell r="AB379" t="str">
            <v>N</v>
          </cell>
          <cell r="AC379" t="str">
            <v>Y</v>
          </cell>
          <cell r="AD379" t="str">
            <v>N</v>
          </cell>
          <cell r="AE379" t="str">
            <v>N</v>
          </cell>
        </row>
        <row r="380">
          <cell r="E380" t="str">
            <v>BSNSS_AREA</v>
          </cell>
          <cell r="Z380" t="str">
            <v>N</v>
          </cell>
          <cell r="AA380" t="str">
            <v>Y</v>
          </cell>
          <cell r="AB380" t="str">
            <v>N</v>
          </cell>
          <cell r="AC380" t="str">
            <v>Y</v>
          </cell>
          <cell r="AD380" t="str">
            <v>N</v>
          </cell>
          <cell r="AE380" t="str">
            <v>N</v>
          </cell>
        </row>
        <row r="381">
          <cell r="E381" t="str">
            <v>MNGMNT_PRDCT</v>
          </cell>
          <cell r="Z381" t="str">
            <v>N</v>
          </cell>
          <cell r="AA381" t="str">
            <v>Y</v>
          </cell>
          <cell r="AB381" t="str">
            <v>N</v>
          </cell>
          <cell r="AC381" t="str">
            <v>Y</v>
          </cell>
          <cell r="AD381" t="str">
            <v>N</v>
          </cell>
          <cell r="AE381" t="str">
            <v>N</v>
          </cell>
        </row>
        <row r="382">
          <cell r="E382" t="str">
            <v>GRSS_CMMSSN_EXPNS</v>
          </cell>
          <cell r="Z382" t="str">
            <v>N</v>
          </cell>
          <cell r="AA382" t="str">
            <v>Y</v>
          </cell>
          <cell r="AB382" t="str">
            <v>N</v>
          </cell>
          <cell r="AC382" t="str">
            <v>Y</v>
          </cell>
          <cell r="AD382" t="str">
            <v>N</v>
          </cell>
          <cell r="AE382" t="str">
            <v>N</v>
          </cell>
        </row>
        <row r="383">
          <cell r="E383" t="str">
            <v>GNS_FNNCL_TRNSCTN_EXCHNG_DFFRNCS</v>
          </cell>
          <cell r="Z383" t="str">
            <v>N</v>
          </cell>
          <cell r="AA383" t="str">
            <v>Y</v>
          </cell>
          <cell r="AB383" t="str">
            <v>N</v>
          </cell>
          <cell r="AC383" t="str">
            <v>Y</v>
          </cell>
          <cell r="AD383" t="str">
            <v>N</v>
          </cell>
          <cell r="AE383" t="str">
            <v>N</v>
          </cell>
        </row>
        <row r="384">
          <cell r="E384" t="str">
            <v>FLG_INTRBSNSS</v>
          </cell>
          <cell r="Z384" t="str">
            <v>N</v>
          </cell>
          <cell r="AA384" t="str">
            <v>Y</v>
          </cell>
          <cell r="AB384" t="str">
            <v>N</v>
          </cell>
          <cell r="AC384" t="str">
            <v>N</v>
          </cell>
          <cell r="AD384" t="str">
            <v>N</v>
          </cell>
          <cell r="AE384" t="str">
            <v>N</v>
          </cell>
        </row>
        <row r="385">
          <cell r="E385" t="str">
            <v>INTRBSNSS_ADJ_COD</v>
          </cell>
          <cell r="Z385" t="str">
            <v>N</v>
          </cell>
          <cell r="AA385" t="str">
            <v>Y</v>
          </cell>
          <cell r="AB385" t="str">
            <v>N</v>
          </cell>
          <cell r="AC385" t="str">
            <v>N</v>
          </cell>
          <cell r="AD385" t="str">
            <v>N</v>
          </cell>
          <cell r="AE385" t="str">
            <v>N</v>
          </cell>
        </row>
        <row r="386">
          <cell r="E386" t="str">
            <v>COD_SOC_DSTNTN</v>
          </cell>
          <cell r="Z386" t="str">
            <v>N</v>
          </cell>
          <cell r="AA386" t="str">
            <v>Y</v>
          </cell>
          <cell r="AB386" t="str">
            <v>N</v>
          </cell>
          <cell r="AC386" t="str">
            <v>N</v>
          </cell>
          <cell r="AD386" t="str">
            <v>N</v>
          </cell>
          <cell r="AE386" t="str">
            <v>N</v>
          </cell>
        </row>
        <row r="387">
          <cell r="E387" t="str">
            <v>BSNSS_AREA_DSTNTN</v>
          </cell>
          <cell r="Z387" t="str">
            <v>N</v>
          </cell>
          <cell r="AA387" t="str">
            <v>Y</v>
          </cell>
          <cell r="AB387" t="str">
            <v>N</v>
          </cell>
          <cell r="AC387" t="str">
            <v>N</v>
          </cell>
          <cell r="AD387" t="str">
            <v>N</v>
          </cell>
          <cell r="AE387" t="str">
            <v>N</v>
          </cell>
        </row>
        <row r="388">
          <cell r="E388" t="str">
            <v>AVRG_BLNC_OFF_BLNC</v>
          </cell>
          <cell r="Z388" t="str">
            <v>N</v>
          </cell>
          <cell r="AA388" t="str">
            <v>Y</v>
          </cell>
          <cell r="AB388" t="str">
            <v>N</v>
          </cell>
          <cell r="AC388" t="str">
            <v>N</v>
          </cell>
          <cell r="AD388" t="str">
            <v>N</v>
          </cell>
          <cell r="AE388" t="str">
            <v>N</v>
          </cell>
        </row>
        <row r="389">
          <cell r="E389" t="str">
            <v>INTRNL_TRNSFR_RT_OFF_BLNC</v>
          </cell>
          <cell r="Z389" t="str">
            <v>N</v>
          </cell>
          <cell r="AA389" t="str">
            <v>Y</v>
          </cell>
          <cell r="AB389" t="str">
            <v>N</v>
          </cell>
          <cell r="AC389" t="str">
            <v>Y</v>
          </cell>
          <cell r="AD389" t="str">
            <v>N</v>
          </cell>
          <cell r="AE389" t="str">
            <v>N</v>
          </cell>
        </row>
        <row r="390">
          <cell r="E390" t="str">
            <v>GRSS_CMMSSN_INCM_OFF_BLNC</v>
          </cell>
          <cell r="Z390" t="str">
            <v>N</v>
          </cell>
          <cell r="AA390" t="str">
            <v>Y</v>
          </cell>
          <cell r="AB390" t="str">
            <v>Y</v>
          </cell>
          <cell r="AC390" t="str">
            <v>Y</v>
          </cell>
          <cell r="AD390" t="str">
            <v>N</v>
          </cell>
          <cell r="AE390" t="str">
            <v>N</v>
          </cell>
        </row>
        <row r="391">
          <cell r="E391" t="str">
            <v>GRSS_CMMSSN_EXPNS_OFF_BLNC</v>
          </cell>
          <cell r="Z391" t="str">
            <v>N</v>
          </cell>
          <cell r="AA391" t="str">
            <v>Y</v>
          </cell>
          <cell r="AB391" t="str">
            <v>N</v>
          </cell>
          <cell r="AC391" t="str">
            <v>Y</v>
          </cell>
          <cell r="AD391" t="str">
            <v>N</v>
          </cell>
          <cell r="AE391" t="str">
            <v>N</v>
          </cell>
        </row>
        <row r="392">
          <cell r="E392" t="str">
            <v>RWA_OFF_BLNC</v>
          </cell>
          <cell r="Z392" t="str">
            <v>N</v>
          </cell>
          <cell r="AA392" t="str">
            <v>Y</v>
          </cell>
          <cell r="AB392" t="str">
            <v>N</v>
          </cell>
          <cell r="AC392" t="str">
            <v>N</v>
          </cell>
          <cell r="AD392" t="str">
            <v>N</v>
          </cell>
          <cell r="AE392" t="str">
            <v>N</v>
          </cell>
        </row>
        <row r="393">
          <cell r="E393" t="str">
            <v>GRSS_INTRST_EXPNS</v>
          </cell>
          <cell r="Z393" t="str">
            <v>N</v>
          </cell>
          <cell r="AA393" t="str">
            <v>Y</v>
          </cell>
          <cell r="AB393" t="str">
            <v>N</v>
          </cell>
          <cell r="AC393" t="str">
            <v>Y</v>
          </cell>
          <cell r="AD393" t="str">
            <v>N</v>
          </cell>
          <cell r="AE393" t="str">
            <v>N</v>
          </cell>
        </row>
        <row r="394">
          <cell r="E394" t="str">
            <v>NT_LN_LSS_PRVSN_OFF_BLNC</v>
          </cell>
          <cell r="Z394" t="str">
            <v>N</v>
          </cell>
          <cell r="AA394" t="str">
            <v>Y</v>
          </cell>
          <cell r="AB394" t="str">
            <v>N</v>
          </cell>
          <cell r="AC394" t="str">
            <v>Y</v>
          </cell>
          <cell r="AD394" t="str">
            <v>N</v>
          </cell>
          <cell r="AE394" t="str">
            <v>N</v>
          </cell>
        </row>
        <row r="395">
          <cell r="E395" t="str">
            <v>GRSS_INTRST_INCM_CCRR</v>
          </cell>
          <cell r="Z395" t="str">
            <v>N</v>
          </cell>
          <cell r="AA395" t="str">
            <v>Y</v>
          </cell>
          <cell r="AB395" t="str">
            <v>N</v>
          </cell>
          <cell r="AC395" t="str">
            <v>Y</v>
          </cell>
          <cell r="AD395" t="str">
            <v>N</v>
          </cell>
          <cell r="AE395" t="str">
            <v>N</v>
          </cell>
        </row>
        <row r="396">
          <cell r="E396" t="str">
            <v>GRSS_INTRST_EXPNS_CCRR</v>
          </cell>
          <cell r="Z396" t="str">
            <v>N</v>
          </cell>
          <cell r="AA396" t="str">
            <v>Y</v>
          </cell>
          <cell r="AB396" t="str">
            <v>N</v>
          </cell>
          <cell r="AC396" t="str">
            <v>Y</v>
          </cell>
          <cell r="AD396" t="str">
            <v>N</v>
          </cell>
          <cell r="AE396" t="str">
            <v>N</v>
          </cell>
        </row>
        <row r="397">
          <cell r="E397" t="str">
            <v>GRSS_CMMSSN_INCM_CCRR</v>
          </cell>
          <cell r="Z397" t="str">
            <v>N</v>
          </cell>
          <cell r="AA397" t="str">
            <v>Y</v>
          </cell>
          <cell r="AB397" t="str">
            <v>N</v>
          </cell>
          <cell r="AC397" t="str">
            <v>Y</v>
          </cell>
          <cell r="AD397" t="str">
            <v>N</v>
          </cell>
          <cell r="AE397" t="str">
            <v>N</v>
          </cell>
        </row>
        <row r="398">
          <cell r="E398" t="str">
            <v>GRSS_CMMSSN_EXPNS_CCRR</v>
          </cell>
          <cell r="Z398" t="str">
            <v>N</v>
          </cell>
          <cell r="AA398" t="str">
            <v>Y</v>
          </cell>
          <cell r="AB398" t="str">
            <v>N</v>
          </cell>
          <cell r="AC398" t="str">
            <v>Y</v>
          </cell>
          <cell r="AD398" t="str">
            <v>N</v>
          </cell>
          <cell r="AE398" t="str">
            <v>N</v>
          </cell>
        </row>
        <row r="399">
          <cell r="E399" t="str">
            <v>GNS_FNNCL_TRNSCTN_EXCHNG_CCRR</v>
          </cell>
          <cell r="Z399" t="str">
            <v>N</v>
          </cell>
          <cell r="AA399" t="str">
            <v>Y</v>
          </cell>
          <cell r="AB399" t="str">
            <v>N</v>
          </cell>
          <cell r="AC399" t="str">
            <v>Y</v>
          </cell>
          <cell r="AD399" t="str">
            <v>N</v>
          </cell>
          <cell r="AE399" t="str">
            <v>N</v>
          </cell>
        </row>
        <row r="400">
          <cell r="E400" t="str">
            <v>BSNSS_AREA_CCRR</v>
          </cell>
          <cell r="Z400" t="str">
            <v>N</v>
          </cell>
          <cell r="AA400" t="str">
            <v>Y</v>
          </cell>
          <cell r="AB400" t="str">
            <v>N</v>
          </cell>
          <cell r="AC400" t="str">
            <v>N</v>
          </cell>
          <cell r="AD400" t="str">
            <v>N</v>
          </cell>
          <cell r="AE400" t="str">
            <v>N</v>
          </cell>
        </row>
        <row r="401">
          <cell r="E401" t="str">
            <v>GRSS_CMMSSN_INCM_OFF_BLNC_CCRR</v>
          </cell>
          <cell r="Z401" t="str">
            <v>N</v>
          </cell>
          <cell r="AA401" t="str">
            <v>Y</v>
          </cell>
          <cell r="AB401" t="str">
            <v>N</v>
          </cell>
          <cell r="AC401" t="str">
            <v>Y</v>
          </cell>
          <cell r="AD401" t="str">
            <v>N</v>
          </cell>
          <cell r="AE401" t="str">
            <v>N</v>
          </cell>
        </row>
        <row r="402">
          <cell r="E402" t="str">
            <v>GRSS_CMMSSN_EXPNS_OFF_BLNC_CCRR</v>
          </cell>
          <cell r="Z402" t="str">
            <v>N</v>
          </cell>
          <cell r="AA402" t="str">
            <v>Y</v>
          </cell>
          <cell r="AB402" t="str">
            <v>N</v>
          </cell>
          <cell r="AC402" t="str">
            <v>Y</v>
          </cell>
          <cell r="AD402" t="str">
            <v>N</v>
          </cell>
          <cell r="AE402" t="str">
            <v>N</v>
          </cell>
        </row>
        <row r="403">
          <cell r="E403" t="str">
            <v>ENVRNMNTL_OBJCTV</v>
          </cell>
          <cell r="Z403" t="str">
            <v>N</v>
          </cell>
          <cell r="AA403" t="str">
            <v>N</v>
          </cell>
          <cell r="AB403" t="str">
            <v>Y</v>
          </cell>
          <cell r="AC403" t="str">
            <v>N</v>
          </cell>
          <cell r="AD403" t="str">
            <v>N</v>
          </cell>
          <cell r="AE403" t="str">
            <v>N</v>
          </cell>
        </row>
        <row r="404">
          <cell r="E404" t="str">
            <v>RSK_MTGTD_CCT</v>
          </cell>
          <cell r="Z404" t="str">
            <v>N</v>
          </cell>
          <cell r="AA404" t="str">
            <v>N</v>
          </cell>
          <cell r="AB404" t="str">
            <v>Y</v>
          </cell>
          <cell r="AC404" t="str">
            <v>N</v>
          </cell>
          <cell r="AD404" t="str">
            <v>N</v>
          </cell>
          <cell r="AE404" t="str">
            <v>N</v>
          </cell>
        </row>
        <row r="405">
          <cell r="E405" t="str">
            <v>RSK_MTGTD_CCP</v>
          </cell>
          <cell r="Z405" t="str">
            <v>N</v>
          </cell>
          <cell r="AA405" t="str">
            <v>N</v>
          </cell>
          <cell r="AB405" t="str">
            <v>Y</v>
          </cell>
          <cell r="AC405" t="str">
            <v>N</v>
          </cell>
          <cell r="AD405" t="str">
            <v>N</v>
          </cell>
          <cell r="AE405" t="str">
            <v>N</v>
          </cell>
        </row>
        <row r="406">
          <cell r="E406" t="str">
            <v>TYP_ACTVTY</v>
          </cell>
          <cell r="Z406" t="str">
            <v>N</v>
          </cell>
          <cell r="AA406" t="str">
            <v>N</v>
          </cell>
          <cell r="AB406" t="str">
            <v>Y</v>
          </cell>
          <cell r="AC406" t="str">
            <v>N</v>
          </cell>
          <cell r="AD406" t="str">
            <v>N</v>
          </cell>
          <cell r="AE406" t="str">
            <v>N</v>
          </cell>
        </row>
        <row r="407">
          <cell r="E407" t="str">
            <v>LNS_CLLTRLZD_CLSSFCTN</v>
          </cell>
          <cell r="Z407" t="str">
            <v>N</v>
          </cell>
          <cell r="AA407" t="str">
            <v>N</v>
          </cell>
          <cell r="AB407" t="str">
            <v>Y</v>
          </cell>
          <cell r="AC407" t="str">
            <v>N</v>
          </cell>
          <cell r="AD407" t="str">
            <v>N</v>
          </cell>
          <cell r="AE407" t="str">
            <v>N</v>
          </cell>
        </row>
        <row r="408">
          <cell r="E408" t="str">
            <v>MTHD_USD_INSTRMNT_SCP_1</v>
          </cell>
          <cell r="Z408" t="str">
            <v>N</v>
          </cell>
          <cell r="AA408" t="str">
            <v>N</v>
          </cell>
          <cell r="AB408" t="str">
            <v>Y</v>
          </cell>
          <cell r="AC408" t="str">
            <v>N</v>
          </cell>
          <cell r="AD408" t="str">
            <v>N</v>
          </cell>
          <cell r="AE408" t="str">
            <v>N</v>
          </cell>
        </row>
        <row r="409">
          <cell r="E409" t="str">
            <v>MTHD_USD_INSTRMNT_SCP_2</v>
          </cell>
          <cell r="Z409" t="str">
            <v>N</v>
          </cell>
          <cell r="AA409" t="str">
            <v>N</v>
          </cell>
          <cell r="AB409" t="str">
            <v>Y</v>
          </cell>
          <cell r="AC409" t="str">
            <v>N</v>
          </cell>
          <cell r="AD409" t="str">
            <v>N</v>
          </cell>
          <cell r="AE409" t="str">
            <v>N</v>
          </cell>
        </row>
        <row r="410">
          <cell r="E410" t="str">
            <v>MTHD_USD_INSTRMNT_SCP_3</v>
          </cell>
          <cell r="Z410" t="str">
            <v>N</v>
          </cell>
          <cell r="AA410" t="str">
            <v>N</v>
          </cell>
          <cell r="AB410" t="str">
            <v>Y</v>
          </cell>
          <cell r="AC410" t="str">
            <v>N</v>
          </cell>
          <cell r="AD410" t="str">
            <v>N</v>
          </cell>
          <cell r="AE410" t="str">
            <v>N</v>
          </cell>
        </row>
        <row r="411">
          <cell r="E411" t="str">
            <v>CNCLLD_INSTRMNT_STTS</v>
          </cell>
          <cell r="Z411" t="str">
            <v>N</v>
          </cell>
          <cell r="AA411" t="str">
            <v>Y</v>
          </cell>
          <cell r="AB411" t="str">
            <v>Y</v>
          </cell>
          <cell r="AC411" t="str">
            <v>Y</v>
          </cell>
          <cell r="AD411" t="str">
            <v>N</v>
          </cell>
          <cell r="AE411" t="str">
            <v>N</v>
          </cell>
        </row>
        <row r="412">
          <cell r="E412" t="str">
            <v>IDCMB</v>
          </cell>
          <cell r="Z412" t="str">
            <v>Y</v>
          </cell>
          <cell r="AA412" t="str">
            <v>Y</v>
          </cell>
          <cell r="AB412" t="str">
            <v>Y</v>
          </cell>
          <cell r="AC412" t="str">
            <v>Y</v>
          </cell>
          <cell r="AD412" t="str">
            <v>Y</v>
          </cell>
          <cell r="AE412" t="str">
            <v>Y</v>
          </cell>
        </row>
        <row r="413">
          <cell r="E413" t="str">
            <v>EXPCTD_LSS_CRR</v>
          </cell>
          <cell r="Z413" t="str">
            <v>Y</v>
          </cell>
          <cell r="AA413" t="str">
            <v>N</v>
          </cell>
          <cell r="AB413" t="str">
            <v>N</v>
          </cell>
          <cell r="AC413" t="str">
            <v>N</v>
          </cell>
          <cell r="AD413" t="str">
            <v>N</v>
          </cell>
          <cell r="AE413" t="str">
            <v>N</v>
          </cell>
        </row>
        <row r="414">
          <cell r="E414" t="str">
            <v>LSTI</v>
          </cell>
          <cell r="Z414" t="str">
            <v>Y</v>
          </cell>
          <cell r="AA414" t="str">
            <v>N</v>
          </cell>
          <cell r="AB414" t="str">
            <v>N</v>
          </cell>
          <cell r="AC414" t="str">
            <v>N</v>
          </cell>
          <cell r="AD414" t="str">
            <v>N</v>
          </cell>
          <cell r="AE414" t="str">
            <v>N</v>
          </cell>
        </row>
        <row r="415">
          <cell r="E415" t="str">
            <v>DSTI</v>
          </cell>
          <cell r="Z415" t="str">
            <v>Y</v>
          </cell>
          <cell r="AA415" t="str">
            <v>N</v>
          </cell>
          <cell r="AB415" t="str">
            <v>N</v>
          </cell>
          <cell r="AC415" t="str">
            <v>N</v>
          </cell>
          <cell r="AD415" t="str">
            <v>N</v>
          </cell>
          <cell r="AE415" t="str">
            <v>N</v>
          </cell>
        </row>
        <row r="416">
          <cell r="E416" t="str">
            <v>LTI_INSTRMNT</v>
          </cell>
          <cell r="Z416" t="str">
            <v>Y</v>
          </cell>
          <cell r="AA416" t="str">
            <v>N</v>
          </cell>
          <cell r="AB416" t="str">
            <v>N</v>
          </cell>
          <cell r="AC416" t="str">
            <v>N</v>
          </cell>
          <cell r="AD416" t="str">
            <v>N</v>
          </cell>
          <cell r="AE416" t="str">
            <v>N</v>
          </cell>
        </row>
        <row r="417">
          <cell r="E417" t="str">
            <v>SSTNBL_CTGRY_TXNMY</v>
          </cell>
          <cell r="Z417" t="str">
            <v>N</v>
          </cell>
          <cell r="AA417" t="str">
            <v>N</v>
          </cell>
          <cell r="AB417" t="str">
            <v>Y</v>
          </cell>
          <cell r="AC417" t="str">
            <v>N</v>
          </cell>
          <cell r="AD417" t="str">
            <v>N</v>
          </cell>
          <cell r="AE417" t="str">
            <v>N</v>
          </cell>
        </row>
        <row r="418">
          <cell r="E418" t="str">
            <v>INTRST_RT_CP</v>
          </cell>
          <cell r="Z418" t="str">
            <v>Y</v>
          </cell>
          <cell r="AA418" t="str">
            <v>N</v>
          </cell>
          <cell r="AB418" t="str">
            <v>N</v>
          </cell>
          <cell r="AC418" t="str">
            <v>N</v>
          </cell>
          <cell r="AD418" t="str">
            <v>N</v>
          </cell>
          <cell r="AE418" t="str">
            <v>N</v>
          </cell>
        </row>
        <row r="419">
          <cell r="E419" t="str">
            <v>INTRST_RT_FLR</v>
          </cell>
          <cell r="Z419" t="str">
            <v>Y</v>
          </cell>
          <cell r="AA419" t="str">
            <v>N</v>
          </cell>
          <cell r="AB419" t="str">
            <v>N</v>
          </cell>
          <cell r="AC419" t="str">
            <v>N</v>
          </cell>
          <cell r="AD419" t="str">
            <v>N</v>
          </cell>
          <cell r="AE419" t="str">
            <v>N</v>
          </cell>
        </row>
        <row r="420">
          <cell r="E420" t="str">
            <v>NMNL_INTRST_RT_FEE</v>
          </cell>
          <cell r="Z420" t="str">
            <v>Y</v>
          </cell>
          <cell r="AA420" t="str">
            <v>N</v>
          </cell>
          <cell r="AB420" t="str">
            <v>N</v>
          </cell>
          <cell r="AC420" t="str">
            <v>N</v>
          </cell>
          <cell r="AD420" t="str">
            <v>N</v>
          </cell>
          <cell r="AE420" t="str">
            <v>N</v>
          </cell>
        </row>
        <row r="421">
          <cell r="E421" t="str">
            <v>RFRNC_RT</v>
          </cell>
          <cell r="Z421" t="str">
            <v>Y</v>
          </cell>
          <cell r="AA421" t="str">
            <v>N</v>
          </cell>
          <cell r="AB421" t="str">
            <v>N</v>
          </cell>
          <cell r="AC421" t="str">
            <v>N</v>
          </cell>
          <cell r="AD421" t="str">
            <v>N</v>
          </cell>
          <cell r="AE421" t="str">
            <v>N</v>
          </cell>
        </row>
        <row r="422">
          <cell r="E422" t="str">
            <v>DT_STTLMNT</v>
          </cell>
          <cell r="Z422" t="str">
            <v>Y</v>
          </cell>
          <cell r="AA422" t="str">
            <v>N</v>
          </cell>
          <cell r="AB422" t="str">
            <v>N</v>
          </cell>
          <cell r="AC422" t="str">
            <v>N</v>
          </cell>
          <cell r="AD422" t="str">
            <v>N</v>
          </cell>
          <cell r="AE422" t="str">
            <v>N</v>
          </cell>
        </row>
        <row r="423">
          <cell r="E423" t="str">
            <v>TRNSFRRD_AMNT</v>
          </cell>
          <cell r="Z423" t="str">
            <v>Y</v>
          </cell>
          <cell r="AA423" t="str">
            <v>N</v>
          </cell>
          <cell r="AB423" t="str">
            <v>N</v>
          </cell>
          <cell r="AC423" t="str">
            <v>N</v>
          </cell>
          <cell r="AD423" t="str">
            <v>N</v>
          </cell>
          <cell r="AE423" t="str">
            <v>N</v>
          </cell>
        </row>
        <row r="424">
          <cell r="E424" t="str">
            <v>TYP_SCRTZTN</v>
          </cell>
          <cell r="Z424" t="str">
            <v>Y</v>
          </cell>
          <cell r="AA424" t="str">
            <v>N</v>
          </cell>
          <cell r="AB424" t="str">
            <v>N</v>
          </cell>
          <cell r="AC424" t="str">
            <v>Y</v>
          </cell>
          <cell r="AD424" t="str">
            <v>N</v>
          </cell>
          <cell r="AE424" t="str">
            <v>N</v>
          </cell>
        </row>
        <row r="425">
          <cell r="E425" t="str">
            <v>TYP_OFF_BLNC_PRDCT</v>
          </cell>
          <cell r="Z425" t="str">
            <v>Y</v>
          </cell>
          <cell r="AA425" t="str">
            <v>Y</v>
          </cell>
          <cell r="AB425" t="str">
            <v>Y</v>
          </cell>
          <cell r="AC425" t="str">
            <v>N</v>
          </cell>
          <cell r="AD425" t="str">
            <v>N</v>
          </cell>
          <cell r="AE425" t="str">
            <v>Y</v>
          </cell>
        </row>
        <row r="426">
          <cell r="E426" t="str">
            <v>BLNC_SHT_RCGNTN</v>
          </cell>
          <cell r="Z426" t="str">
            <v>Y</v>
          </cell>
          <cell r="AA426" t="str">
            <v>N</v>
          </cell>
          <cell r="AB426" t="str">
            <v>N</v>
          </cell>
          <cell r="AC426" t="str">
            <v>N</v>
          </cell>
          <cell r="AD426" t="str">
            <v>N</v>
          </cell>
          <cell r="AE426" t="str">
            <v>N</v>
          </cell>
        </row>
        <row r="427">
          <cell r="E427" t="str">
            <v>FLG_DFLT</v>
          </cell>
          <cell r="Z427" t="str">
            <v>Y</v>
          </cell>
          <cell r="AA427" t="str">
            <v>N</v>
          </cell>
          <cell r="AB427" t="str">
            <v>N</v>
          </cell>
          <cell r="AC427" t="str">
            <v>N</v>
          </cell>
          <cell r="AD427" t="str">
            <v>N</v>
          </cell>
          <cell r="AE427" t="str">
            <v>N</v>
          </cell>
        </row>
        <row r="428">
          <cell r="E428" t="str">
            <v>FLG_HGH_RSK</v>
          </cell>
          <cell r="Z428" t="str">
            <v>Y</v>
          </cell>
          <cell r="AA428" t="str">
            <v>N</v>
          </cell>
          <cell r="AB428" t="str">
            <v>N</v>
          </cell>
          <cell r="AC428" t="str">
            <v>N</v>
          </cell>
          <cell r="AD428" t="str">
            <v>N</v>
          </cell>
          <cell r="AE428" t="str">
            <v>N</v>
          </cell>
        </row>
        <row r="429">
          <cell r="E429" t="str">
            <v>EXCLDD_LF</v>
          </cell>
          <cell r="Z429" t="str">
            <v>N</v>
          </cell>
          <cell r="AA429" t="str">
            <v>N</v>
          </cell>
          <cell r="AB429" t="str">
            <v>N</v>
          </cell>
          <cell r="AC429" t="str">
            <v>N</v>
          </cell>
          <cell r="AD429" t="str">
            <v>N</v>
          </cell>
          <cell r="AE429" t="str">
            <v>Y</v>
          </cell>
        </row>
        <row r="430">
          <cell r="E430" t="str">
            <v>RWA_MTGTN</v>
          </cell>
          <cell r="Z430" t="str">
            <v>N</v>
          </cell>
          <cell r="AA430" t="str">
            <v>N</v>
          </cell>
          <cell r="AB430" t="str">
            <v>N</v>
          </cell>
          <cell r="AC430" t="str">
            <v>N</v>
          </cell>
          <cell r="AD430" t="str">
            <v>N</v>
          </cell>
          <cell r="AE430" t="str">
            <v>Y</v>
          </cell>
        </row>
        <row r="431">
          <cell r="E431" t="str">
            <v>RWA_PRMTGTN</v>
          </cell>
          <cell r="Z431" t="str">
            <v>N</v>
          </cell>
          <cell r="AA431" t="str">
            <v>N</v>
          </cell>
          <cell r="AB431" t="str">
            <v>N</v>
          </cell>
          <cell r="AC431" t="str">
            <v>N</v>
          </cell>
          <cell r="AD431" t="str">
            <v>N</v>
          </cell>
          <cell r="AE431" t="str">
            <v>Y</v>
          </cell>
        </row>
        <row r="432">
          <cell r="E432" t="str">
            <v>US_PRCDS</v>
          </cell>
          <cell r="Z432" t="str">
            <v>N</v>
          </cell>
          <cell r="AA432" t="str">
            <v>N</v>
          </cell>
          <cell r="AB432" t="str">
            <v>N</v>
          </cell>
          <cell r="AC432" t="str">
            <v>N</v>
          </cell>
          <cell r="AD432" t="str">
            <v>N</v>
          </cell>
          <cell r="AE432" t="str">
            <v>Y</v>
          </cell>
        </row>
        <row r="433">
          <cell r="E433" t="str">
            <v>TTL_LVRG_RT_INCPTN</v>
          </cell>
          <cell r="Z433" t="str">
            <v>N</v>
          </cell>
          <cell r="AA433" t="str">
            <v>N</v>
          </cell>
          <cell r="AB433" t="str">
            <v>N</v>
          </cell>
          <cell r="AC433" t="str">
            <v>N</v>
          </cell>
          <cell r="AD433" t="str">
            <v>N</v>
          </cell>
          <cell r="AE433" t="str">
            <v>Y</v>
          </cell>
        </row>
        <row r="434">
          <cell r="E434" t="str">
            <v>TYP_FCLTY</v>
          </cell>
          <cell r="Z434" t="str">
            <v>N</v>
          </cell>
          <cell r="AA434" t="str">
            <v>N</v>
          </cell>
          <cell r="AB434" t="str">
            <v>N</v>
          </cell>
          <cell r="AC434" t="str">
            <v>N</v>
          </cell>
          <cell r="AD434" t="str">
            <v>N</v>
          </cell>
          <cell r="AE434" t="str">
            <v>Y</v>
          </cell>
        </row>
        <row r="435">
          <cell r="E435" t="str">
            <v>TYP_CL</v>
          </cell>
          <cell r="Z435" t="str">
            <v>N</v>
          </cell>
          <cell r="AA435" t="str">
            <v>N</v>
          </cell>
          <cell r="AB435" t="str">
            <v>N</v>
          </cell>
          <cell r="AC435" t="str">
            <v>N</v>
          </cell>
          <cell r="AD435" t="str">
            <v>N</v>
          </cell>
          <cell r="AE435" t="str">
            <v>Y</v>
          </cell>
        </row>
        <row r="436">
          <cell r="E436" t="str">
            <v>FLG_MNMM_SFGRDS</v>
          </cell>
          <cell r="Z436" t="str">
            <v>N</v>
          </cell>
          <cell r="AA436" t="str">
            <v>N</v>
          </cell>
          <cell r="AB436" t="str">
            <v>Y</v>
          </cell>
          <cell r="AC436" t="str">
            <v>N</v>
          </cell>
          <cell r="AD436" t="str">
            <v>Y</v>
          </cell>
          <cell r="AE436" t="str">
            <v>N</v>
          </cell>
        </row>
        <row r="437">
          <cell r="E437" t="str">
            <v>RORAC</v>
          </cell>
          <cell r="Z437" t="str">
            <v>N</v>
          </cell>
          <cell r="AA437" t="str">
            <v>N</v>
          </cell>
          <cell r="AB437" t="str">
            <v>N</v>
          </cell>
          <cell r="AC437" t="str">
            <v>N</v>
          </cell>
          <cell r="AD437" t="str">
            <v>N</v>
          </cell>
          <cell r="AE437" t="str">
            <v>Y</v>
          </cell>
        </row>
        <row r="438">
          <cell r="E438" t="str">
            <v>RORWA</v>
          </cell>
          <cell r="Z438" t="str">
            <v>N</v>
          </cell>
          <cell r="AA438" t="str">
            <v>N</v>
          </cell>
          <cell r="AB438" t="str">
            <v>N</v>
          </cell>
          <cell r="AC438" t="str">
            <v>Y</v>
          </cell>
          <cell r="AD438" t="str">
            <v>N</v>
          </cell>
          <cell r="AE438" t="str">
            <v>Y</v>
          </cell>
        </row>
        <row r="439">
          <cell r="E439" t="str">
            <v>TYP_DL</v>
          </cell>
          <cell r="Z439" t="str">
            <v>N</v>
          </cell>
          <cell r="AA439" t="str">
            <v>N</v>
          </cell>
          <cell r="AB439" t="str">
            <v>N</v>
          </cell>
          <cell r="AC439" t="str">
            <v>N</v>
          </cell>
          <cell r="AD439" t="str">
            <v>N</v>
          </cell>
          <cell r="AE439" t="str">
            <v>Y</v>
          </cell>
        </row>
        <row r="440">
          <cell r="E440" t="str">
            <v>DSTNTN_FNDS</v>
          </cell>
          <cell r="Z440" t="str">
            <v>N</v>
          </cell>
          <cell r="AA440" t="str">
            <v>N</v>
          </cell>
          <cell r="AB440" t="str">
            <v>N</v>
          </cell>
          <cell r="AC440" t="str">
            <v>N</v>
          </cell>
          <cell r="AD440" t="str">
            <v>N</v>
          </cell>
          <cell r="AE440" t="str">
            <v>Y</v>
          </cell>
        </row>
        <row r="441">
          <cell r="E441" t="str">
            <v>PRTNR</v>
          </cell>
          <cell r="Z441" t="str">
            <v>N</v>
          </cell>
          <cell r="AA441" t="str">
            <v>N</v>
          </cell>
          <cell r="AB441" t="str">
            <v>N</v>
          </cell>
          <cell r="AC441" t="str">
            <v>Y</v>
          </cell>
          <cell r="AD441" t="str">
            <v>N</v>
          </cell>
          <cell r="AE441" t="str">
            <v>N</v>
          </cell>
        </row>
        <row r="442">
          <cell r="E442" t="str">
            <v>INCNTVS</v>
          </cell>
          <cell r="Z442" t="str">
            <v>N</v>
          </cell>
          <cell r="AA442" t="str">
            <v>N</v>
          </cell>
          <cell r="AB442" t="str">
            <v>N</v>
          </cell>
          <cell r="AC442" t="str">
            <v>Y</v>
          </cell>
          <cell r="AD442" t="str">
            <v>N</v>
          </cell>
          <cell r="AE442" t="str">
            <v>N</v>
          </cell>
        </row>
        <row r="443">
          <cell r="E443" t="str">
            <v>OTHR_OPRTNG_INCM</v>
          </cell>
          <cell r="Z443" t="str">
            <v>N</v>
          </cell>
          <cell r="AA443" t="str">
            <v>N</v>
          </cell>
          <cell r="AB443" t="str">
            <v>N</v>
          </cell>
          <cell r="AC443" t="str">
            <v>Y</v>
          </cell>
          <cell r="AD443" t="str">
            <v>N</v>
          </cell>
          <cell r="AE443" t="str">
            <v>N</v>
          </cell>
        </row>
        <row r="444">
          <cell r="E444" t="str">
            <v>RFRRL_FS</v>
          </cell>
          <cell r="Z444" t="str">
            <v>N</v>
          </cell>
          <cell r="AA444" t="str">
            <v>N</v>
          </cell>
          <cell r="AB444" t="str">
            <v>N</v>
          </cell>
          <cell r="AC444" t="str">
            <v>Y</v>
          </cell>
          <cell r="AD444" t="str">
            <v>N</v>
          </cell>
          <cell r="AE444" t="str">
            <v>N</v>
          </cell>
        </row>
        <row r="445">
          <cell r="E445" t="str">
            <v>INSRNC_CMSSNS</v>
          </cell>
          <cell r="Z445" t="str">
            <v>N</v>
          </cell>
          <cell r="AA445" t="str">
            <v>N</v>
          </cell>
          <cell r="AB445" t="str">
            <v>N</v>
          </cell>
          <cell r="AC445" t="str">
            <v>Y</v>
          </cell>
          <cell r="AD445" t="str">
            <v>N</v>
          </cell>
          <cell r="AE445" t="str">
            <v>N</v>
          </cell>
        </row>
        <row r="446">
          <cell r="E446" t="str">
            <v>OTHR_INCM_AND_CHRGS</v>
          </cell>
          <cell r="Z446" t="str">
            <v>N</v>
          </cell>
          <cell r="AA446" t="str">
            <v>N</v>
          </cell>
          <cell r="AB446" t="str">
            <v>N</v>
          </cell>
          <cell r="AC446" t="str">
            <v>Y</v>
          </cell>
          <cell r="AD446" t="str">
            <v>N</v>
          </cell>
          <cell r="AE446" t="str">
            <v>N</v>
          </cell>
        </row>
        <row r="447">
          <cell r="E447" t="str">
            <v>TX_ON_PRFT</v>
          </cell>
          <cell r="Z447" t="str">
            <v>N</v>
          </cell>
          <cell r="AA447" t="str">
            <v>N</v>
          </cell>
          <cell r="AB447" t="str">
            <v>N</v>
          </cell>
          <cell r="AC447" t="str">
            <v>Y</v>
          </cell>
          <cell r="AD447" t="str">
            <v>N</v>
          </cell>
          <cell r="AE447" t="str">
            <v>N</v>
          </cell>
        </row>
        <row r="448">
          <cell r="E448" t="str">
            <v>PD_EC_INCPTN PD_EC_MDFCTN</v>
          </cell>
          <cell r="Z448" t="str">
            <v>N</v>
          </cell>
          <cell r="AA448" t="str">
            <v>N</v>
          </cell>
          <cell r="AB448" t="str">
            <v>N</v>
          </cell>
          <cell r="AC448" t="str">
            <v>N</v>
          </cell>
          <cell r="AD448" t="str">
            <v>N</v>
          </cell>
          <cell r="AE448" t="str">
            <v>Y</v>
          </cell>
        </row>
        <row r="449">
          <cell r="E449" t="str">
            <v>PD_EC_RD</v>
          </cell>
          <cell r="Z449" t="str">
            <v>Y</v>
          </cell>
          <cell r="AA449" t="str">
            <v>N</v>
          </cell>
          <cell r="AB449" t="str">
            <v>N</v>
          </cell>
          <cell r="AC449" t="str">
            <v>N</v>
          </cell>
          <cell r="AD449" t="str">
            <v>N</v>
          </cell>
          <cell r="AE449" t="str">
            <v>Y</v>
          </cell>
        </row>
        <row r="450">
          <cell r="E450" t="str">
            <v>TTL_LVRG_RT_INCPTN_HLT</v>
          </cell>
          <cell r="Z450" t="str">
            <v>N</v>
          </cell>
          <cell r="AA450" t="str">
            <v>N</v>
          </cell>
          <cell r="AB450" t="str">
            <v>N</v>
          </cell>
          <cell r="AC450" t="str">
            <v>N</v>
          </cell>
          <cell r="AD450" t="str">
            <v>N</v>
          </cell>
          <cell r="AE450" t="str">
            <v>Y</v>
          </cell>
        </row>
        <row r="451">
          <cell r="E451" t="str">
            <v>DT_MDFCTN</v>
          </cell>
          <cell r="Z451" t="str">
            <v>Y</v>
          </cell>
          <cell r="AA451" t="str">
            <v>N</v>
          </cell>
          <cell r="AB451" t="str">
            <v>N</v>
          </cell>
          <cell r="AC451" t="str">
            <v>N</v>
          </cell>
          <cell r="AD451" t="str">
            <v>N</v>
          </cell>
          <cell r="AE451" t="str">
            <v>Y</v>
          </cell>
        </row>
        <row r="452">
          <cell r="E452" t="str">
            <v>ACCNTNG_SCTR</v>
          </cell>
          <cell r="Z452" t="str">
            <v>Y</v>
          </cell>
          <cell r="AA452" t="str">
            <v>Y</v>
          </cell>
          <cell r="AB452" t="str">
            <v>Y</v>
          </cell>
          <cell r="AC452" t="str">
            <v>Y</v>
          </cell>
          <cell r="AD452" t="str">
            <v>Y</v>
          </cell>
          <cell r="AE452" t="str">
            <v>Y</v>
          </cell>
        </row>
        <row r="453">
          <cell r="E453" t="str">
            <v>SSTNBL_CLSSFCTN_MTHD</v>
          </cell>
          <cell r="Z453" t="str">
            <v>N</v>
          </cell>
          <cell r="AA453" t="str">
            <v>N</v>
          </cell>
          <cell r="AB453" t="str">
            <v>N</v>
          </cell>
          <cell r="AC453" t="str">
            <v>Y</v>
          </cell>
          <cell r="AD453" t="str">
            <v>N</v>
          </cell>
          <cell r="AE453" t="str">
            <v>N</v>
          </cell>
        </row>
        <row r="454">
          <cell r="E454" t="str">
            <v>DT_SSTNBL_CLSSFCTN</v>
          </cell>
          <cell r="Z454" t="str">
            <v>N</v>
          </cell>
          <cell r="AA454" t="str">
            <v>N</v>
          </cell>
          <cell r="AB454" t="str">
            <v>N</v>
          </cell>
          <cell r="AC454" t="str">
            <v>Y</v>
          </cell>
          <cell r="AD454" t="str">
            <v>N</v>
          </cell>
          <cell r="AE454" t="str">
            <v>N</v>
          </cell>
        </row>
        <row r="455">
          <cell r="E455" t="str">
            <v>TTL_LVRG_RT_ MDFCTN</v>
          </cell>
          <cell r="Z455" t="str">
            <v>N</v>
          </cell>
          <cell r="AA455" t="str">
            <v>N</v>
          </cell>
          <cell r="AB455" t="str">
            <v>N</v>
          </cell>
          <cell r="AC455" t="str">
            <v>N</v>
          </cell>
          <cell r="AD455" t="str">
            <v>N</v>
          </cell>
          <cell r="AE455" t="str">
            <v>Y</v>
          </cell>
        </row>
        <row r="456">
          <cell r="E456" t="str">
            <v>TTL_LVRG_RT_ MDFCTN_HLT</v>
          </cell>
          <cell r="Z456" t="str">
            <v>N</v>
          </cell>
          <cell r="AA456" t="str">
            <v>N</v>
          </cell>
          <cell r="AB456" t="str">
            <v>N</v>
          </cell>
          <cell r="AC456" t="str">
            <v>N</v>
          </cell>
          <cell r="AD456" t="str">
            <v>N</v>
          </cell>
          <cell r="AE456" t="str">
            <v>Y</v>
          </cell>
        </row>
        <row r="457">
          <cell r="E457" t="str">
            <v>COD_SOC</v>
          </cell>
          <cell r="Z457" t="str">
            <v>Y</v>
          </cell>
          <cell r="AA457" t="str">
            <v>Y</v>
          </cell>
          <cell r="AB457" t="str">
            <v>Y</v>
          </cell>
          <cell r="AC457" t="str">
            <v>N</v>
          </cell>
          <cell r="AD457" t="str">
            <v>N</v>
          </cell>
          <cell r="AE457" t="str">
            <v>Y</v>
          </cell>
        </row>
        <row r="458">
          <cell r="E458" t="str">
            <v>DT_RFRNC</v>
          </cell>
          <cell r="Z458" t="str">
            <v>Y</v>
          </cell>
          <cell r="AA458" t="str">
            <v>Y</v>
          </cell>
          <cell r="AB458" t="str">
            <v>Y</v>
          </cell>
          <cell r="AC458" t="str">
            <v>N</v>
          </cell>
          <cell r="AD458" t="str">
            <v>N</v>
          </cell>
          <cell r="AE458" t="str">
            <v>Y</v>
          </cell>
        </row>
        <row r="459">
          <cell r="E459" t="str">
            <v>INSTRMNT_ID</v>
          </cell>
          <cell r="Z459" t="str">
            <v>Y</v>
          </cell>
          <cell r="AA459" t="str">
            <v>Y</v>
          </cell>
          <cell r="AB459" t="str">
            <v>Y</v>
          </cell>
          <cell r="AC459" t="str">
            <v>N</v>
          </cell>
          <cell r="AD459" t="str">
            <v>N</v>
          </cell>
          <cell r="AE459" t="str">
            <v>Y</v>
          </cell>
        </row>
        <row r="460">
          <cell r="E460" t="str">
            <v>PRTCTN_ID</v>
          </cell>
          <cell r="Z460" t="str">
            <v>Y</v>
          </cell>
          <cell r="AA460" t="str">
            <v>Y</v>
          </cell>
          <cell r="AB460" t="str">
            <v>Y</v>
          </cell>
          <cell r="AC460" t="str">
            <v>N</v>
          </cell>
          <cell r="AD460" t="str">
            <v>N</v>
          </cell>
          <cell r="AE460" t="str">
            <v>Y</v>
          </cell>
        </row>
        <row r="461">
          <cell r="E461" t="str">
            <v>PRTCTN_ALLCTD_VL</v>
          </cell>
          <cell r="Z461" t="str">
            <v>Y</v>
          </cell>
          <cell r="AA461" t="str">
            <v>N</v>
          </cell>
          <cell r="AB461" t="str">
            <v>Y</v>
          </cell>
          <cell r="AC461" t="str">
            <v>N</v>
          </cell>
          <cell r="AD461" t="str">
            <v>N</v>
          </cell>
          <cell r="AE461" t="str">
            <v>N</v>
          </cell>
        </row>
        <row r="462">
          <cell r="E462" t="str">
            <v>THRD_PRTY_PRRTY_CLMS</v>
          </cell>
          <cell r="Z462" t="str">
            <v>Y</v>
          </cell>
          <cell r="AA462" t="str">
            <v>N</v>
          </cell>
          <cell r="AB462" t="str">
            <v>N</v>
          </cell>
          <cell r="AC462" t="str">
            <v>N</v>
          </cell>
          <cell r="AD462" t="str">
            <v>N</v>
          </cell>
          <cell r="AE462" t="str">
            <v>N</v>
          </cell>
        </row>
        <row r="463">
          <cell r="E463" t="str">
            <v>TYP_RLTN</v>
          </cell>
          <cell r="Z463" t="str">
            <v>N</v>
          </cell>
          <cell r="AA463" t="str">
            <v>Y</v>
          </cell>
          <cell r="AB463" t="str">
            <v>Y</v>
          </cell>
          <cell r="AC463" t="str">
            <v>N</v>
          </cell>
          <cell r="AD463" t="str">
            <v>N</v>
          </cell>
          <cell r="AE463" t="str">
            <v>N</v>
          </cell>
        </row>
        <row r="464">
          <cell r="E464" t="str">
            <v>GRP_SPPRT</v>
          </cell>
          <cell r="Z464" t="str">
            <v>Y</v>
          </cell>
          <cell r="AA464" t="str">
            <v>N</v>
          </cell>
          <cell r="AB464" t="str">
            <v>N</v>
          </cell>
          <cell r="AC464" t="str">
            <v>N</v>
          </cell>
          <cell r="AD464" t="str">
            <v>N</v>
          </cell>
          <cell r="AE464" t="str">
            <v>Y</v>
          </cell>
        </row>
        <row r="465">
          <cell r="E465" t="str">
            <v>COD_SOC</v>
          </cell>
          <cell r="Z465" t="str">
            <v>Y</v>
          </cell>
          <cell r="AA465" t="str">
            <v>Y</v>
          </cell>
          <cell r="AB465" t="str">
            <v>Y</v>
          </cell>
          <cell r="AC465" t="str">
            <v>N</v>
          </cell>
          <cell r="AD465" t="str">
            <v>Y</v>
          </cell>
          <cell r="AE465" t="str">
            <v>N</v>
          </cell>
        </row>
        <row r="466">
          <cell r="E466" t="str">
            <v>DT_MTRTY_PRTCTN</v>
          </cell>
          <cell r="Z466" t="str">
            <v>Y</v>
          </cell>
          <cell r="AA466" t="str">
            <v>N</v>
          </cell>
          <cell r="AB466" t="str">
            <v>N</v>
          </cell>
          <cell r="AC466" t="str">
            <v>N</v>
          </cell>
          <cell r="AD466" t="str">
            <v>N</v>
          </cell>
          <cell r="AE466" t="str">
            <v>N</v>
          </cell>
        </row>
        <row r="467">
          <cell r="E467" t="str">
            <v>DT_RFRNC</v>
          </cell>
          <cell r="Z467" t="str">
            <v>Y</v>
          </cell>
          <cell r="AA467" t="str">
            <v>Y</v>
          </cell>
          <cell r="AB467" t="str">
            <v>Y</v>
          </cell>
          <cell r="AC467" t="str">
            <v>N</v>
          </cell>
          <cell r="AD467" t="str">
            <v>Y</v>
          </cell>
          <cell r="AE467" t="str">
            <v>N</v>
          </cell>
        </row>
        <row r="468">
          <cell r="E468" t="str">
            <v>NTNL_ID</v>
          </cell>
          <cell r="Z468" t="str">
            <v>Y</v>
          </cell>
          <cell r="AA468" t="str">
            <v>N</v>
          </cell>
          <cell r="AB468" t="str">
            <v>N</v>
          </cell>
          <cell r="AC468" t="str">
            <v>N</v>
          </cell>
          <cell r="AD468" t="str">
            <v>N</v>
          </cell>
          <cell r="AE468" t="str">
            <v>N</v>
          </cell>
        </row>
        <row r="469">
          <cell r="E469" t="str">
            <v>PRTCTN_ID</v>
          </cell>
          <cell r="Z469" t="str">
            <v>Y</v>
          </cell>
          <cell r="AA469" t="str">
            <v>Y</v>
          </cell>
          <cell r="AB469" t="str">
            <v>Y</v>
          </cell>
          <cell r="AC469" t="str">
            <v>N</v>
          </cell>
          <cell r="AD469" t="str">
            <v>Y</v>
          </cell>
          <cell r="AE469" t="str">
            <v>N</v>
          </cell>
        </row>
        <row r="470">
          <cell r="E470" t="str">
            <v>PRTCTN_PRVDR_ID</v>
          </cell>
          <cell r="Z470" t="str">
            <v>Y</v>
          </cell>
          <cell r="AA470" t="str">
            <v>N</v>
          </cell>
          <cell r="AB470" t="str">
            <v>N</v>
          </cell>
          <cell r="AC470" t="str">
            <v>N</v>
          </cell>
          <cell r="AD470" t="str">
            <v>N</v>
          </cell>
          <cell r="AE470" t="str">
            <v>N</v>
          </cell>
        </row>
        <row r="471">
          <cell r="E471" t="str">
            <v>RL_ESTT_ADDRSS</v>
          </cell>
          <cell r="Z471" t="str">
            <v>Y</v>
          </cell>
          <cell r="AA471" t="str">
            <v>N</v>
          </cell>
          <cell r="AB471" t="str">
            <v>N</v>
          </cell>
          <cell r="AC471" t="str">
            <v>N</v>
          </cell>
          <cell r="AD471" t="str">
            <v>Y</v>
          </cell>
          <cell r="AE471" t="str">
            <v>N</v>
          </cell>
        </row>
        <row r="472">
          <cell r="E472" t="str">
            <v>RL_ESTT_CLLTRL_LCTN</v>
          </cell>
          <cell r="Z472" t="str">
            <v>Y</v>
          </cell>
          <cell r="AA472" t="str">
            <v>N</v>
          </cell>
          <cell r="AB472" t="str">
            <v>Y</v>
          </cell>
          <cell r="AC472" t="str">
            <v>N</v>
          </cell>
          <cell r="AD472" t="str">
            <v>Y</v>
          </cell>
          <cell r="AE472" t="str">
            <v>N</v>
          </cell>
        </row>
        <row r="473">
          <cell r="E473" t="str">
            <v>RL_ESTT_CLLTRL_LCTN_INT</v>
          </cell>
          <cell r="Z473" t="str">
            <v>Y</v>
          </cell>
          <cell r="AA473" t="str">
            <v>N</v>
          </cell>
          <cell r="AB473" t="str">
            <v>N</v>
          </cell>
          <cell r="AC473" t="str">
            <v>N</v>
          </cell>
          <cell r="AD473" t="str">
            <v>Y</v>
          </cell>
          <cell r="AE473" t="str">
            <v>N</v>
          </cell>
        </row>
        <row r="474">
          <cell r="E474" t="str">
            <v>RL_ESTT_CTY</v>
          </cell>
          <cell r="Z474" t="str">
            <v>Y</v>
          </cell>
          <cell r="AA474" t="str">
            <v>N</v>
          </cell>
          <cell r="AB474" t="str">
            <v>N</v>
          </cell>
          <cell r="AC474" t="str">
            <v>N</v>
          </cell>
          <cell r="AD474" t="str">
            <v>Y</v>
          </cell>
          <cell r="AE474" t="str">
            <v>N</v>
          </cell>
        </row>
        <row r="475">
          <cell r="E475" t="str">
            <v>RL_ESTT_PST_CD</v>
          </cell>
          <cell r="Z475" t="str">
            <v>Y</v>
          </cell>
          <cell r="AA475" t="str">
            <v>N</v>
          </cell>
          <cell r="AB475" t="str">
            <v>Y</v>
          </cell>
          <cell r="AC475" t="str">
            <v>N</v>
          </cell>
          <cell r="AD475" t="str">
            <v>Y</v>
          </cell>
          <cell r="AE475" t="str">
            <v>N</v>
          </cell>
        </row>
        <row r="476">
          <cell r="E476" t="str">
            <v>HRCT_MV</v>
          </cell>
          <cell r="Z476" t="str">
            <v>Y</v>
          </cell>
          <cell r="AA476" t="str">
            <v>N</v>
          </cell>
          <cell r="AB476" t="str">
            <v>N</v>
          </cell>
          <cell r="AC476" t="str">
            <v>N</v>
          </cell>
          <cell r="AD476" t="str">
            <v>N</v>
          </cell>
          <cell r="AE476" t="str">
            <v>N</v>
          </cell>
        </row>
        <row r="477">
          <cell r="E477" t="str">
            <v>PRTCTN_CLLD</v>
          </cell>
          <cell r="Z477" t="str">
            <v>Y</v>
          </cell>
          <cell r="AA477" t="str">
            <v>N</v>
          </cell>
          <cell r="AB477" t="str">
            <v>N</v>
          </cell>
          <cell r="AC477" t="str">
            <v>N</v>
          </cell>
          <cell r="AD477" t="str">
            <v>N</v>
          </cell>
          <cell r="AE477" t="str">
            <v>N</v>
          </cell>
        </row>
        <row r="478">
          <cell r="E478" t="str">
            <v>TYP_PRTCTN</v>
          </cell>
          <cell r="Z478" t="str">
            <v>Y</v>
          </cell>
          <cell r="AA478" t="str">
            <v>Y</v>
          </cell>
          <cell r="AB478" t="str">
            <v>Y</v>
          </cell>
          <cell r="AC478" t="str">
            <v>N</v>
          </cell>
          <cell r="AD478" t="str">
            <v>Y</v>
          </cell>
          <cell r="AE478" t="str">
            <v>N</v>
          </cell>
        </row>
        <row r="479">
          <cell r="E479" t="str">
            <v>TYP_PRTCTN_INTRNL</v>
          </cell>
          <cell r="Z479" t="str">
            <v>Y</v>
          </cell>
          <cell r="AA479" t="str">
            <v>N</v>
          </cell>
          <cell r="AB479" t="str">
            <v>N</v>
          </cell>
          <cell r="AC479" t="str">
            <v>N</v>
          </cell>
          <cell r="AD479" t="str">
            <v>N</v>
          </cell>
          <cell r="AE479" t="str">
            <v>N</v>
          </cell>
        </row>
        <row r="480">
          <cell r="E480" t="str">
            <v>TYP_PRTCTN_VL</v>
          </cell>
          <cell r="Z480" t="str">
            <v>Y</v>
          </cell>
          <cell r="AA480" t="str">
            <v>N</v>
          </cell>
          <cell r="AB480" t="str">
            <v>N</v>
          </cell>
          <cell r="AC480" t="str">
            <v>N</v>
          </cell>
          <cell r="AD480" t="str">
            <v>N</v>
          </cell>
          <cell r="AE480" t="str">
            <v>N</v>
          </cell>
        </row>
        <row r="481">
          <cell r="E481" t="str">
            <v>APPRSL_CRRNCY</v>
          </cell>
          <cell r="Z481" t="str">
            <v>Y</v>
          </cell>
          <cell r="AA481" t="str">
            <v>N</v>
          </cell>
          <cell r="AB481" t="str">
            <v>N</v>
          </cell>
          <cell r="AC481" t="str">
            <v>N</v>
          </cell>
          <cell r="AD481" t="str">
            <v>N</v>
          </cell>
          <cell r="AE481" t="str">
            <v>N</v>
          </cell>
        </row>
        <row r="482">
          <cell r="E482" t="str">
            <v>APPRSR</v>
          </cell>
          <cell r="Z482" t="str">
            <v>Y</v>
          </cell>
          <cell r="AA482" t="str">
            <v>N</v>
          </cell>
          <cell r="AB482" t="str">
            <v>N</v>
          </cell>
          <cell r="AC482" t="str">
            <v>N</v>
          </cell>
          <cell r="AD482" t="str">
            <v>N</v>
          </cell>
          <cell r="AE482" t="str">
            <v>N</v>
          </cell>
        </row>
        <row r="483">
          <cell r="E483" t="str">
            <v>DT_LST_FLL_APPRSL</v>
          </cell>
          <cell r="Z483" t="str">
            <v>Y</v>
          </cell>
          <cell r="AA483" t="str">
            <v>N</v>
          </cell>
          <cell r="AB483" t="str">
            <v>N</v>
          </cell>
          <cell r="AC483" t="str">
            <v>N</v>
          </cell>
          <cell r="AD483" t="str">
            <v>N</v>
          </cell>
          <cell r="AE483" t="str">
            <v>N</v>
          </cell>
        </row>
        <row r="484">
          <cell r="E484" t="str">
            <v>DT_ORGNL_PRTCTN_VL</v>
          </cell>
          <cell r="Z484" t="str">
            <v>Y</v>
          </cell>
          <cell r="AA484" t="str">
            <v>N</v>
          </cell>
          <cell r="AB484" t="str">
            <v>N</v>
          </cell>
          <cell r="AC484" t="str">
            <v>N</v>
          </cell>
          <cell r="AD484" t="str">
            <v>N</v>
          </cell>
          <cell r="AE484" t="str">
            <v>N</v>
          </cell>
        </row>
        <row r="485">
          <cell r="E485" t="str">
            <v>DT_PRTCTN_VL</v>
          </cell>
          <cell r="Z485" t="str">
            <v>Y</v>
          </cell>
          <cell r="AA485" t="str">
            <v>N</v>
          </cell>
          <cell r="AB485" t="str">
            <v>N</v>
          </cell>
          <cell r="AC485" t="str">
            <v>N</v>
          </cell>
          <cell r="AD485" t="str">
            <v>N</v>
          </cell>
          <cell r="AE485" t="str">
            <v>N</v>
          </cell>
        </row>
        <row r="486">
          <cell r="E486" t="str">
            <v>ORGNL_PRTCTN_VL</v>
          </cell>
          <cell r="Z486" t="str">
            <v>Y</v>
          </cell>
          <cell r="AA486" t="str">
            <v>N</v>
          </cell>
          <cell r="AB486" t="str">
            <v>Y</v>
          </cell>
          <cell r="AC486" t="str">
            <v>N</v>
          </cell>
          <cell r="AD486" t="str">
            <v>N</v>
          </cell>
          <cell r="AE486" t="str">
            <v>N</v>
          </cell>
        </row>
        <row r="487">
          <cell r="E487" t="str">
            <v>PRTCTN_FRCD_SL_VL</v>
          </cell>
          <cell r="Z487" t="str">
            <v>Y</v>
          </cell>
          <cell r="AA487" t="str">
            <v>N</v>
          </cell>
          <cell r="AB487" t="str">
            <v>N</v>
          </cell>
          <cell r="AC487" t="str">
            <v>N</v>
          </cell>
          <cell r="AD487" t="str">
            <v>N</v>
          </cell>
          <cell r="AE487" t="str">
            <v>N</v>
          </cell>
        </row>
        <row r="488">
          <cell r="E488" t="str">
            <v>PRTCTN_VL</v>
          </cell>
          <cell r="Z488" t="str">
            <v>Y</v>
          </cell>
          <cell r="AA488" t="str">
            <v>Y</v>
          </cell>
          <cell r="AB488" t="str">
            <v>Y</v>
          </cell>
          <cell r="AC488" t="str">
            <v>N</v>
          </cell>
          <cell r="AD488" t="str">
            <v>N</v>
          </cell>
          <cell r="AE488" t="str">
            <v>N</v>
          </cell>
        </row>
        <row r="489">
          <cell r="E489" t="str">
            <v>PRTCTN_VL_NPE</v>
          </cell>
          <cell r="Z489" t="str">
            <v>Y</v>
          </cell>
          <cell r="AA489" t="str">
            <v>N</v>
          </cell>
          <cell r="AB489" t="str">
            <v>N</v>
          </cell>
          <cell r="AC489" t="str">
            <v>N</v>
          </cell>
          <cell r="AD489" t="str">
            <v>N</v>
          </cell>
          <cell r="AE489" t="str">
            <v>N</v>
          </cell>
        </row>
        <row r="490">
          <cell r="E490" t="str">
            <v>PRTCTN_VLTN_APPRCH</v>
          </cell>
          <cell r="Z490" t="str">
            <v>Y</v>
          </cell>
          <cell r="AA490" t="str">
            <v>N</v>
          </cell>
          <cell r="AB490" t="str">
            <v>N</v>
          </cell>
          <cell r="AC490" t="str">
            <v>N</v>
          </cell>
          <cell r="AD490" t="str">
            <v>N</v>
          </cell>
          <cell r="AE490" t="str">
            <v>N</v>
          </cell>
        </row>
        <row r="491">
          <cell r="E491" t="str">
            <v>DT_APPRSL_PRVS</v>
          </cell>
          <cell r="Z491" t="str">
            <v>Y</v>
          </cell>
          <cell r="AA491" t="str">
            <v>N</v>
          </cell>
          <cell r="AB491" t="str">
            <v>N</v>
          </cell>
          <cell r="AC491" t="str">
            <v>N</v>
          </cell>
          <cell r="AD491" t="str">
            <v>N</v>
          </cell>
          <cell r="AE491" t="str">
            <v>N</v>
          </cell>
        </row>
        <row r="492">
          <cell r="E492" t="str">
            <v>PRTCTN_VL_PRVS</v>
          </cell>
          <cell r="Z492" t="str">
            <v>Y</v>
          </cell>
          <cell r="AA492" t="str">
            <v>N</v>
          </cell>
          <cell r="AB492" t="str">
            <v>N</v>
          </cell>
          <cell r="AC492" t="str">
            <v>N</v>
          </cell>
          <cell r="AD492" t="str">
            <v>N</v>
          </cell>
          <cell r="AE492" t="str">
            <v>N</v>
          </cell>
        </row>
        <row r="493">
          <cell r="E493" t="str">
            <v>CNSTRCTN_STTS</v>
          </cell>
          <cell r="Z493" t="str">
            <v>Y</v>
          </cell>
          <cell r="AA493" t="str">
            <v>N</v>
          </cell>
          <cell r="AB493" t="str">
            <v>N</v>
          </cell>
          <cell r="AC493" t="str">
            <v>N</v>
          </cell>
          <cell r="AD493" t="str">
            <v>N</v>
          </cell>
          <cell r="AE493" t="str">
            <v>N</v>
          </cell>
        </row>
        <row r="494">
          <cell r="E494" t="str">
            <v>DT_CNSTRCTN_STTS</v>
          </cell>
          <cell r="Z494" t="str">
            <v>Y</v>
          </cell>
          <cell r="AA494" t="str">
            <v>N</v>
          </cell>
          <cell r="AB494" t="str">
            <v>N</v>
          </cell>
          <cell r="AC494" t="str">
            <v>N</v>
          </cell>
          <cell r="AD494" t="str">
            <v>N</v>
          </cell>
          <cell r="AE494" t="str">
            <v>N</v>
          </cell>
        </row>
        <row r="495">
          <cell r="E495" t="str">
            <v>DT_FRST_USG</v>
          </cell>
          <cell r="Z495" t="str">
            <v>Y</v>
          </cell>
          <cell r="AA495" t="str">
            <v>N</v>
          </cell>
          <cell r="AB495" t="str">
            <v>N</v>
          </cell>
          <cell r="AC495" t="str">
            <v>N</v>
          </cell>
          <cell r="AD495" t="str">
            <v>N</v>
          </cell>
          <cell r="AE495" t="str">
            <v>N</v>
          </cell>
        </row>
        <row r="496">
          <cell r="E496" t="str">
            <v>DVLPMNT_STTS</v>
          </cell>
          <cell r="Z496" t="str">
            <v>Y</v>
          </cell>
          <cell r="AA496" t="str">
            <v>N</v>
          </cell>
          <cell r="AB496" t="str">
            <v>N</v>
          </cell>
          <cell r="AC496" t="str">
            <v>N</v>
          </cell>
          <cell r="AD496" t="str">
            <v>N</v>
          </cell>
          <cell r="AE496" t="str">
            <v>N</v>
          </cell>
        </row>
        <row r="497">
          <cell r="E497" t="str">
            <v>MN_PRPS</v>
          </cell>
          <cell r="Z497" t="str">
            <v>Y</v>
          </cell>
          <cell r="AA497" t="str">
            <v>N</v>
          </cell>
          <cell r="AB497" t="str">
            <v>N</v>
          </cell>
          <cell r="AC497" t="str">
            <v>N</v>
          </cell>
          <cell r="AD497" t="str">
            <v>N</v>
          </cell>
          <cell r="AE497" t="str">
            <v>N</v>
          </cell>
        </row>
        <row r="498">
          <cell r="E498" t="str">
            <v>PRM_LCTN</v>
          </cell>
          <cell r="Z498" t="str">
            <v>Y</v>
          </cell>
          <cell r="AA498" t="str">
            <v>N</v>
          </cell>
          <cell r="AB498" t="str">
            <v>N</v>
          </cell>
          <cell r="AC498" t="str">
            <v>N</v>
          </cell>
          <cell r="AD498" t="str">
            <v>N</v>
          </cell>
          <cell r="AE498" t="str">
            <v>N</v>
          </cell>
        </row>
        <row r="499">
          <cell r="E499" t="str">
            <v>CRE_INCM_CRRNCY</v>
          </cell>
          <cell r="Z499" t="str">
            <v>Y</v>
          </cell>
          <cell r="AA499" t="str">
            <v>N</v>
          </cell>
          <cell r="AB499" t="str">
            <v>N</v>
          </cell>
          <cell r="AC499" t="str">
            <v>N</v>
          </cell>
          <cell r="AD499" t="str">
            <v>N</v>
          </cell>
          <cell r="AE499" t="str">
            <v>N</v>
          </cell>
        </row>
        <row r="500">
          <cell r="E500" t="str">
            <v>CRE_YRLY_EXPNSS</v>
          </cell>
          <cell r="Z500" t="str">
            <v>Y</v>
          </cell>
          <cell r="AA500" t="str">
            <v>N</v>
          </cell>
          <cell r="AB500" t="str">
            <v>N</v>
          </cell>
          <cell r="AC500" t="str">
            <v>N</v>
          </cell>
          <cell r="AD500" t="str">
            <v>N</v>
          </cell>
          <cell r="AE500" t="str">
            <v>N</v>
          </cell>
        </row>
        <row r="501">
          <cell r="E501" t="str">
            <v>CRE_YRLY_INCM</v>
          </cell>
          <cell r="Z501" t="str">
            <v>Y</v>
          </cell>
          <cell r="AA501" t="str">
            <v>N</v>
          </cell>
          <cell r="AB501" t="str">
            <v>N</v>
          </cell>
          <cell r="AC501" t="str">
            <v>N</v>
          </cell>
          <cell r="AD501" t="str">
            <v>N</v>
          </cell>
          <cell r="AE501" t="str">
            <v>N</v>
          </cell>
        </row>
        <row r="502">
          <cell r="E502" t="str">
            <v>PRTCTN_TYP_PBLC_GRNT_SCHM_C19</v>
          </cell>
          <cell r="Z502" t="str">
            <v>Y</v>
          </cell>
          <cell r="AA502" t="str">
            <v>N</v>
          </cell>
          <cell r="AB502" t="str">
            <v>N</v>
          </cell>
          <cell r="AC502" t="str">
            <v>N</v>
          </cell>
          <cell r="AD502" t="str">
            <v>N</v>
          </cell>
          <cell r="AE502" t="str">
            <v>N</v>
          </cell>
        </row>
        <row r="503">
          <cell r="E503" t="str">
            <v>TAX_ID</v>
          </cell>
          <cell r="Z503" t="str">
            <v>Y</v>
          </cell>
          <cell r="AA503" t="str">
            <v>N</v>
          </cell>
          <cell r="AB503" t="str">
            <v>N</v>
          </cell>
          <cell r="AC503" t="str">
            <v>N</v>
          </cell>
          <cell r="AD503" t="str">
            <v>N</v>
          </cell>
          <cell r="AE503" t="str">
            <v>N</v>
          </cell>
        </row>
        <row r="504">
          <cell r="E504" t="str">
            <v>TYP_EP_SCR</v>
          </cell>
          <cell r="Z504" t="str">
            <v>N</v>
          </cell>
          <cell r="AA504" t="str">
            <v>N</v>
          </cell>
          <cell r="AB504" t="str">
            <v>Y</v>
          </cell>
          <cell r="AC504" t="str">
            <v>N</v>
          </cell>
          <cell r="AD504" t="str">
            <v>Y</v>
          </cell>
          <cell r="AE504" t="str">
            <v>N</v>
          </cell>
        </row>
        <row r="505">
          <cell r="E505" t="str">
            <v>EP_SCR</v>
          </cell>
          <cell r="Z505" t="str">
            <v>N</v>
          </cell>
          <cell r="AA505" t="str">
            <v>N</v>
          </cell>
          <cell r="AB505" t="str">
            <v>Y</v>
          </cell>
          <cell r="AC505" t="str">
            <v>N</v>
          </cell>
          <cell r="AD505" t="str">
            <v>Y</v>
          </cell>
          <cell r="AE505" t="str">
            <v>N</v>
          </cell>
        </row>
        <row r="506">
          <cell r="E506" t="str">
            <v>TYP_EPC_LBL</v>
          </cell>
          <cell r="Z506" t="str">
            <v>N</v>
          </cell>
          <cell r="AA506" t="str">
            <v>N</v>
          </cell>
          <cell r="AB506" t="str">
            <v>Y</v>
          </cell>
          <cell r="AC506" t="str">
            <v>N</v>
          </cell>
          <cell r="AD506" t="str">
            <v>Y</v>
          </cell>
          <cell r="AE506" t="str">
            <v>N</v>
          </cell>
        </row>
        <row r="507">
          <cell r="E507" t="str">
            <v>EPC_LBL</v>
          </cell>
          <cell r="Z507" t="str">
            <v>N</v>
          </cell>
          <cell r="AA507" t="str">
            <v>N</v>
          </cell>
          <cell r="AB507" t="str">
            <v>Y</v>
          </cell>
          <cell r="AC507" t="str">
            <v>N</v>
          </cell>
          <cell r="AD507" t="str">
            <v>Y</v>
          </cell>
          <cell r="AE507" t="str">
            <v>N</v>
          </cell>
        </row>
        <row r="508">
          <cell r="E508" t="str">
            <v>TYP_EMSSNS_LBL</v>
          </cell>
          <cell r="Z508" t="str">
            <v>N</v>
          </cell>
          <cell r="AA508" t="str">
            <v>N</v>
          </cell>
          <cell r="AB508" t="str">
            <v>N</v>
          </cell>
          <cell r="AC508" t="str">
            <v>N</v>
          </cell>
          <cell r="AD508" t="str">
            <v>Y</v>
          </cell>
          <cell r="AE508" t="str">
            <v>N</v>
          </cell>
        </row>
        <row r="509">
          <cell r="E509" t="str">
            <v>EPC_EMSSNS_LBL</v>
          </cell>
          <cell r="Z509" t="str">
            <v>N</v>
          </cell>
          <cell r="AA509" t="str">
            <v>N</v>
          </cell>
          <cell r="AB509" t="str">
            <v>N</v>
          </cell>
          <cell r="AC509" t="str">
            <v>N</v>
          </cell>
          <cell r="AD509" t="str">
            <v>Y</v>
          </cell>
          <cell r="AE509" t="str">
            <v>N</v>
          </cell>
        </row>
        <row r="510">
          <cell r="E510" t="str">
            <v>VHCL_EMSSNS_LBL</v>
          </cell>
          <cell r="Z510" t="str">
            <v>N</v>
          </cell>
          <cell r="AA510" t="str">
            <v>N</v>
          </cell>
          <cell r="AB510" t="str">
            <v>N</v>
          </cell>
          <cell r="AC510" t="str">
            <v>N</v>
          </cell>
          <cell r="AD510" t="str">
            <v>Y</v>
          </cell>
          <cell r="AE510" t="str">
            <v>N</v>
          </cell>
        </row>
        <row r="511">
          <cell r="E511" t="str">
            <v>TYP_EMSSNS_SCR</v>
          </cell>
          <cell r="Z511" t="str">
            <v>N</v>
          </cell>
          <cell r="AA511" t="str">
            <v>N</v>
          </cell>
          <cell r="AB511" t="str">
            <v>N</v>
          </cell>
          <cell r="AC511" t="str">
            <v>N</v>
          </cell>
          <cell r="AD511" t="str">
            <v>Y</v>
          </cell>
          <cell r="AE511" t="str">
            <v>N</v>
          </cell>
        </row>
        <row r="512">
          <cell r="E512" t="str">
            <v>EPC_EMSSNS_SCR</v>
          </cell>
          <cell r="Z512" t="str">
            <v>N</v>
          </cell>
          <cell r="AA512" t="str">
            <v>N</v>
          </cell>
          <cell r="AB512" t="str">
            <v>N</v>
          </cell>
          <cell r="AC512" t="str">
            <v>N</v>
          </cell>
          <cell r="AD512" t="str">
            <v>Y</v>
          </cell>
          <cell r="AE512" t="str">
            <v>N</v>
          </cell>
        </row>
        <row r="513">
          <cell r="E513" t="str">
            <v>VHCL_EMSSNS_SCR</v>
          </cell>
          <cell r="Z513" t="str">
            <v>N</v>
          </cell>
          <cell r="AA513" t="str">
            <v>N</v>
          </cell>
          <cell r="AB513" t="str">
            <v>N</v>
          </cell>
          <cell r="AC513" t="str">
            <v>N</v>
          </cell>
          <cell r="AD513" t="str">
            <v>Y</v>
          </cell>
          <cell r="AE513" t="str">
            <v>N</v>
          </cell>
        </row>
        <row r="514">
          <cell r="E514" t="str">
            <v>EMSSNS_SCP1_PRTCTN</v>
          </cell>
          <cell r="Z514" t="str">
            <v>N</v>
          </cell>
          <cell r="AA514" t="str">
            <v>N</v>
          </cell>
          <cell r="AB514" t="str">
            <v>Y</v>
          </cell>
          <cell r="AC514" t="str">
            <v>N</v>
          </cell>
          <cell r="AD514" t="str">
            <v>Y</v>
          </cell>
          <cell r="AE514" t="str">
            <v>N</v>
          </cell>
        </row>
        <row r="515">
          <cell r="E515" t="str">
            <v>EMSSNS_SCP2_PRTCTN</v>
          </cell>
          <cell r="Z515" t="str">
            <v>N</v>
          </cell>
          <cell r="AA515" t="str">
            <v>N</v>
          </cell>
          <cell r="AB515" t="str">
            <v>Y</v>
          </cell>
          <cell r="AC515" t="str">
            <v>N</v>
          </cell>
          <cell r="AD515" t="str">
            <v>Y</v>
          </cell>
          <cell r="AE515" t="str">
            <v>N</v>
          </cell>
        </row>
        <row r="516">
          <cell r="E516" t="str">
            <v>EMSSNS_SCP3_PRTCTN</v>
          </cell>
          <cell r="Z516" t="str">
            <v>N</v>
          </cell>
          <cell r="AA516" t="str">
            <v>N</v>
          </cell>
          <cell r="AB516" t="str">
            <v>Y</v>
          </cell>
          <cell r="AC516" t="str">
            <v>N</v>
          </cell>
          <cell r="AD516" t="str">
            <v>Y</v>
          </cell>
          <cell r="AE516" t="str">
            <v>N</v>
          </cell>
        </row>
        <row r="517">
          <cell r="E517" t="str">
            <v>MTHD_USD_PRTCTN_SCP_1</v>
          </cell>
          <cell r="Z517" t="str">
            <v>N</v>
          </cell>
          <cell r="AA517" t="str">
            <v>N</v>
          </cell>
          <cell r="AB517" t="str">
            <v>Y</v>
          </cell>
          <cell r="AC517" t="str">
            <v>N</v>
          </cell>
          <cell r="AD517" t="str">
            <v>Y</v>
          </cell>
          <cell r="AE517" t="str">
            <v>N</v>
          </cell>
        </row>
        <row r="518">
          <cell r="E518" t="str">
            <v>MTHD_USD_PRTCTN_SCP_2</v>
          </cell>
          <cell r="Z518" t="str">
            <v>N</v>
          </cell>
          <cell r="AA518" t="str">
            <v>N</v>
          </cell>
          <cell r="AB518" t="str">
            <v>Y</v>
          </cell>
          <cell r="AC518" t="str">
            <v>N</v>
          </cell>
          <cell r="AD518" t="str">
            <v>Y</v>
          </cell>
          <cell r="AE518" t="str">
            <v>N</v>
          </cell>
        </row>
        <row r="519">
          <cell r="E519" t="str">
            <v>MTHD_USD_PRTCTN_SCP_3</v>
          </cell>
          <cell r="Z519" t="str">
            <v>N</v>
          </cell>
          <cell r="AA519" t="str">
            <v>N</v>
          </cell>
          <cell r="AB519" t="str">
            <v>Y</v>
          </cell>
          <cell r="AC519" t="str">
            <v>N</v>
          </cell>
          <cell r="AD519" t="str">
            <v>Y</v>
          </cell>
          <cell r="AE519" t="str">
            <v>N</v>
          </cell>
        </row>
        <row r="520">
          <cell r="E520" t="str">
            <v>FLG_ACT_PHYSCL_RSK</v>
          </cell>
          <cell r="Z520" t="str">
            <v>N</v>
          </cell>
          <cell r="AA520" t="str">
            <v>N</v>
          </cell>
          <cell r="AB520" t="str">
            <v>Y</v>
          </cell>
          <cell r="AC520" t="str">
            <v>N</v>
          </cell>
          <cell r="AD520" t="str">
            <v>N</v>
          </cell>
          <cell r="AE520" t="str">
            <v>N</v>
          </cell>
        </row>
        <row r="521">
          <cell r="E521" t="str">
            <v>FLG_CHRNC_PHYSCL_RSK</v>
          </cell>
          <cell r="Z521" t="str">
            <v>N</v>
          </cell>
          <cell r="AA521" t="str">
            <v>N</v>
          </cell>
          <cell r="AB521" t="str">
            <v>Y</v>
          </cell>
          <cell r="AC521" t="str">
            <v>N</v>
          </cell>
          <cell r="AD521" t="str">
            <v>N</v>
          </cell>
          <cell r="AE521" t="str">
            <v>N</v>
          </cell>
        </row>
        <row r="522">
          <cell r="E522" t="str">
            <v>INSRNC_ID</v>
          </cell>
          <cell r="Z522" t="str">
            <v>N</v>
          </cell>
          <cell r="AA522" t="str">
            <v>N</v>
          </cell>
          <cell r="AB522" t="str">
            <v>N</v>
          </cell>
          <cell r="AC522" t="str">
            <v>N</v>
          </cell>
          <cell r="AD522" t="str">
            <v>Y</v>
          </cell>
          <cell r="AE522" t="str">
            <v>N</v>
          </cell>
        </row>
        <row r="523">
          <cell r="E523" t="str">
            <v>TYP_HZRDS_INSRD</v>
          </cell>
          <cell r="Z523" t="str">
            <v>N</v>
          </cell>
          <cell r="AA523" t="str">
            <v>N</v>
          </cell>
          <cell r="AB523" t="str">
            <v>N</v>
          </cell>
          <cell r="AC523" t="str">
            <v>N</v>
          </cell>
          <cell r="AD523" t="str">
            <v>Y</v>
          </cell>
          <cell r="AE523" t="str">
            <v>N</v>
          </cell>
        </row>
        <row r="524">
          <cell r="E524" t="str">
            <v>AMNT_CVRD_INSRNC</v>
          </cell>
          <cell r="Z524" t="str">
            <v>N</v>
          </cell>
          <cell r="AA524" t="str">
            <v>N</v>
          </cell>
          <cell r="AB524" t="str">
            <v>N</v>
          </cell>
          <cell r="AC524" t="str">
            <v>N</v>
          </cell>
          <cell r="AD524" t="str">
            <v>Y</v>
          </cell>
          <cell r="AE524" t="str">
            <v>N</v>
          </cell>
        </row>
        <row r="525">
          <cell r="E525" t="str">
            <v>DT_MTRTY_INSRNC</v>
          </cell>
          <cell r="Z525" t="str">
            <v>N</v>
          </cell>
          <cell r="AA525" t="str">
            <v>N</v>
          </cell>
          <cell r="AB525" t="str">
            <v>N</v>
          </cell>
          <cell r="AC525" t="str">
            <v>N</v>
          </cell>
          <cell r="AD525" t="str">
            <v>Y</v>
          </cell>
          <cell r="AE525" t="str">
            <v>N</v>
          </cell>
        </row>
        <row r="526">
          <cell r="E526" t="str">
            <v>FLG_FRST_HM</v>
          </cell>
          <cell r="Z526" t="str">
            <v>N</v>
          </cell>
          <cell r="AA526" t="str">
            <v>N</v>
          </cell>
          <cell r="AB526" t="str">
            <v>N</v>
          </cell>
          <cell r="AC526" t="str">
            <v>N</v>
          </cell>
          <cell r="AD526" t="str">
            <v>Y</v>
          </cell>
          <cell r="AE526" t="str">
            <v>N</v>
          </cell>
        </row>
        <row r="527">
          <cell r="E527" t="str">
            <v>YR_CNSTRCTN</v>
          </cell>
          <cell r="Z527" t="str">
            <v>Y</v>
          </cell>
          <cell r="AA527" t="str">
            <v>N</v>
          </cell>
          <cell r="AB527" t="str">
            <v>Y</v>
          </cell>
          <cell r="AC527" t="str">
            <v>N</v>
          </cell>
          <cell r="AD527" t="str">
            <v>Y</v>
          </cell>
          <cell r="AE527" t="str">
            <v>N</v>
          </cell>
        </row>
        <row r="528">
          <cell r="E528" t="str">
            <v>BLDNG_AR</v>
          </cell>
          <cell r="Z528" t="str">
            <v>N</v>
          </cell>
          <cell r="AA528" t="str">
            <v>N</v>
          </cell>
          <cell r="AB528" t="str">
            <v>Y</v>
          </cell>
          <cell r="AC528" t="str">
            <v>N</v>
          </cell>
          <cell r="AD528" t="str">
            <v>Y</v>
          </cell>
          <cell r="AE528" t="str">
            <v>N</v>
          </cell>
        </row>
        <row r="529">
          <cell r="E529" t="str">
            <v>LND_AR</v>
          </cell>
          <cell r="Z529" t="str">
            <v>Y</v>
          </cell>
          <cell r="AA529" t="str">
            <v>N</v>
          </cell>
          <cell r="AB529" t="str">
            <v>N</v>
          </cell>
          <cell r="AC529" t="str">
            <v>N</v>
          </cell>
          <cell r="AD529" t="str">
            <v>N</v>
          </cell>
          <cell r="AE529" t="str">
            <v>N</v>
          </cell>
        </row>
        <row r="530">
          <cell r="E530" t="str">
            <v>LN_PSTN</v>
          </cell>
          <cell r="Z530" t="str">
            <v>Y</v>
          </cell>
          <cell r="AA530" t="str">
            <v>N</v>
          </cell>
          <cell r="AB530" t="str">
            <v>N</v>
          </cell>
          <cell r="AC530" t="str">
            <v>N</v>
          </cell>
          <cell r="AD530" t="str">
            <v>N</v>
          </cell>
          <cell r="AE530" t="str">
            <v>N</v>
          </cell>
        </row>
        <row r="531">
          <cell r="E531" t="str">
            <v>RL_ESTT_CRTFCTN</v>
          </cell>
          <cell r="Z531" t="str">
            <v>N</v>
          </cell>
          <cell r="AA531" t="str">
            <v>N</v>
          </cell>
          <cell r="AB531" t="str">
            <v>Y</v>
          </cell>
          <cell r="AC531" t="str">
            <v>N</v>
          </cell>
          <cell r="AD531" t="str">
            <v>Y</v>
          </cell>
          <cell r="AE531" t="str">
            <v>N</v>
          </cell>
        </row>
        <row r="532">
          <cell r="E532" t="str">
            <v>TYP_VHCL</v>
          </cell>
          <cell r="Z532" t="str">
            <v>N</v>
          </cell>
          <cell r="AA532" t="str">
            <v>Y</v>
          </cell>
          <cell r="AB532" t="str">
            <v>Y</v>
          </cell>
          <cell r="AC532" t="str">
            <v>N</v>
          </cell>
          <cell r="AD532" t="str">
            <v>Y</v>
          </cell>
          <cell r="AE532" t="str">
            <v>N</v>
          </cell>
        </row>
        <row r="533">
          <cell r="E533" t="str">
            <v>DT_RGSTRTN</v>
          </cell>
          <cell r="Z533" t="str">
            <v>N</v>
          </cell>
          <cell r="AA533" t="str">
            <v>N</v>
          </cell>
          <cell r="AB533" t="str">
            <v>Y</v>
          </cell>
          <cell r="AC533" t="str">
            <v>N</v>
          </cell>
          <cell r="AD533" t="str">
            <v>Y</v>
          </cell>
          <cell r="AE533" t="str">
            <v>N</v>
          </cell>
        </row>
        <row r="534">
          <cell r="E534" t="str">
            <v>PRMRY_ENRGY_DMND_NN_RNWBL</v>
          </cell>
          <cell r="Z534" t="str">
            <v>N</v>
          </cell>
          <cell r="AA534" t="str">
            <v>N</v>
          </cell>
          <cell r="AB534" t="str">
            <v>Y</v>
          </cell>
          <cell r="AC534" t="str">
            <v>N</v>
          </cell>
          <cell r="AD534" t="str">
            <v>Y</v>
          </cell>
          <cell r="AE534" t="str">
            <v>N</v>
          </cell>
        </row>
        <row r="535">
          <cell r="E535" t="str">
            <v>PRMRY_ENRGY_DMND_TTL</v>
          </cell>
          <cell r="Z535" t="str">
            <v>N</v>
          </cell>
          <cell r="AA535" t="str">
            <v>N</v>
          </cell>
          <cell r="AB535" t="str">
            <v>Y</v>
          </cell>
          <cell r="AC535" t="str">
            <v>N</v>
          </cell>
          <cell r="AD535" t="str">
            <v>Y</v>
          </cell>
          <cell r="AE535" t="str">
            <v>N</v>
          </cell>
        </row>
        <row r="536">
          <cell r="E536" t="str">
            <v>PRMRY_ENRGY_DMND_RFRNC_VL</v>
          </cell>
          <cell r="Z536" t="str">
            <v>N</v>
          </cell>
          <cell r="AA536" t="str">
            <v>N</v>
          </cell>
          <cell r="AB536" t="str">
            <v>Y</v>
          </cell>
          <cell r="AC536" t="str">
            <v>N</v>
          </cell>
          <cell r="AD536" t="str">
            <v>Y</v>
          </cell>
          <cell r="AE536" t="str">
            <v>N</v>
          </cell>
        </row>
        <row r="537">
          <cell r="E537" t="str">
            <v>RL_ESTT_CLMT_ZN</v>
          </cell>
          <cell r="Z537" t="str">
            <v>N</v>
          </cell>
          <cell r="AA537" t="str">
            <v>N</v>
          </cell>
          <cell r="AB537" t="str">
            <v>Y</v>
          </cell>
          <cell r="AC537" t="str">
            <v>N</v>
          </cell>
          <cell r="AD537" t="str">
            <v>Y</v>
          </cell>
          <cell r="AE537" t="str">
            <v>N</v>
          </cell>
        </row>
        <row r="538">
          <cell r="E538" t="str">
            <v>RL_ESTT_LNGTD</v>
          </cell>
          <cell r="Z538" t="str">
            <v>Y</v>
          </cell>
          <cell r="AA538" t="str">
            <v>N</v>
          </cell>
          <cell r="AB538" t="str">
            <v>N</v>
          </cell>
          <cell r="AC538" t="str">
            <v>N</v>
          </cell>
          <cell r="AD538" t="str">
            <v>N</v>
          </cell>
          <cell r="AE538" t="str">
            <v>N</v>
          </cell>
        </row>
        <row r="539">
          <cell r="E539" t="str">
            <v>RL_ESTT_LTTD</v>
          </cell>
          <cell r="Z539" t="str">
            <v>Y</v>
          </cell>
          <cell r="AA539" t="str">
            <v>N</v>
          </cell>
          <cell r="AB539" t="str">
            <v>N</v>
          </cell>
          <cell r="AC539" t="str">
            <v>N</v>
          </cell>
          <cell r="AD539" t="str">
            <v>N</v>
          </cell>
          <cell r="AE539" t="str">
            <v>N</v>
          </cell>
        </row>
        <row r="540">
          <cell r="E540" t="str">
            <v>FLG_ELCTRC_VHCL</v>
          </cell>
          <cell r="Z540" t="str">
            <v>N</v>
          </cell>
          <cell r="AA540" t="str">
            <v>Y</v>
          </cell>
          <cell r="AB540" t="str">
            <v>N</v>
          </cell>
          <cell r="AC540" t="str">
            <v>N</v>
          </cell>
          <cell r="AD540" t="str">
            <v>N</v>
          </cell>
          <cell r="AE540" t="str">
            <v>N</v>
          </cell>
        </row>
        <row r="541">
          <cell r="E541" t="str">
            <v>COD_SOC</v>
          </cell>
          <cell r="Z541" t="str">
            <v>N</v>
          </cell>
          <cell r="AA541" t="str">
            <v>Y</v>
          </cell>
          <cell r="AB541" t="str">
            <v>Y</v>
          </cell>
          <cell r="AC541" t="str">
            <v>Y</v>
          </cell>
          <cell r="AD541" t="str">
            <v>N</v>
          </cell>
          <cell r="AE541" t="str">
            <v>N</v>
          </cell>
        </row>
        <row r="542">
          <cell r="E542" t="str">
            <v>DT_RFRNC</v>
          </cell>
          <cell r="Z542" t="str">
            <v>N</v>
          </cell>
          <cell r="AA542" t="str">
            <v>Y</v>
          </cell>
          <cell r="AB542" t="str">
            <v>Y</v>
          </cell>
          <cell r="AC542" t="str">
            <v>Y</v>
          </cell>
          <cell r="AD542" t="str">
            <v>N</v>
          </cell>
          <cell r="AE542" t="str">
            <v>N</v>
          </cell>
        </row>
        <row r="543">
          <cell r="E543" t="str">
            <v>INSTRMNT_ID</v>
          </cell>
          <cell r="Z543" t="str">
            <v>N</v>
          </cell>
          <cell r="AA543" t="str">
            <v>Y</v>
          </cell>
          <cell r="AB543" t="str">
            <v>Y</v>
          </cell>
          <cell r="AC543" t="str">
            <v>Y</v>
          </cell>
          <cell r="AD543" t="str">
            <v>N</v>
          </cell>
          <cell r="AE543" t="str">
            <v>N</v>
          </cell>
        </row>
        <row r="544">
          <cell r="E544" t="str">
            <v>SSTNBL_CTGRY</v>
          </cell>
          <cell r="Z544" t="str">
            <v>N</v>
          </cell>
          <cell r="AA544" t="str">
            <v>Y</v>
          </cell>
          <cell r="AB544" t="str">
            <v>Y</v>
          </cell>
          <cell r="AC544" t="str">
            <v>Y</v>
          </cell>
          <cell r="AD544" t="str">
            <v>N</v>
          </cell>
          <cell r="AE544" t="str">
            <v>N</v>
          </cell>
        </row>
        <row r="545">
          <cell r="E545" t="str">
            <v>PRCNTG_ACTVTY</v>
          </cell>
          <cell r="Z545" t="str">
            <v>N</v>
          </cell>
          <cell r="AA545" t="str">
            <v>Y</v>
          </cell>
          <cell r="AB545" t="str">
            <v>Y</v>
          </cell>
          <cell r="AC545" t="str">
            <v>Y</v>
          </cell>
          <cell r="AD545" t="str">
            <v>N</v>
          </cell>
          <cell r="AE545" t="str">
            <v>N</v>
          </cell>
        </row>
        <row r="546">
          <cell r="E546" t="str">
            <v>ENVRNMNTL_OBJCTV</v>
          </cell>
          <cell r="Z546" t="str">
            <v>N</v>
          </cell>
          <cell r="AA546" t="str">
            <v>N</v>
          </cell>
          <cell r="AB546" t="str">
            <v>Y</v>
          </cell>
          <cell r="AC546" t="str">
            <v>N</v>
          </cell>
          <cell r="AD546" t="str">
            <v>N</v>
          </cell>
          <cell r="AE546" t="str">
            <v>N</v>
          </cell>
        </row>
        <row r="547">
          <cell r="E547" t="str">
            <v>TYP_ACTVTY</v>
          </cell>
          <cell r="Z547" t="str">
            <v>N</v>
          </cell>
          <cell r="AA547" t="str">
            <v>N</v>
          </cell>
          <cell r="AB547" t="str">
            <v>Y</v>
          </cell>
          <cell r="AC547" t="str">
            <v>N</v>
          </cell>
          <cell r="AD547" t="str">
            <v>N</v>
          </cell>
          <cell r="AE547" t="str">
            <v>N</v>
          </cell>
        </row>
        <row r="548">
          <cell r="E548" t="str">
            <v>SSTNBL_INDCTR</v>
          </cell>
          <cell r="Z548" t="str">
            <v>N</v>
          </cell>
          <cell r="AA548" t="str">
            <v>Y</v>
          </cell>
          <cell r="AB548" t="str">
            <v>Y</v>
          </cell>
          <cell r="AC548" t="str">
            <v>Y</v>
          </cell>
          <cell r="AD548" t="str">
            <v>N</v>
          </cell>
          <cell r="AE548" t="str">
            <v>N</v>
          </cell>
        </row>
        <row r="549">
          <cell r="E549" t="str">
            <v>FLG_SBSTNTL_CNTRBTN</v>
          </cell>
          <cell r="Z549" t="str">
            <v>N</v>
          </cell>
          <cell r="AA549" t="str">
            <v>N</v>
          </cell>
          <cell r="AB549" t="str">
            <v>Y</v>
          </cell>
          <cell r="AC549" t="str">
            <v>N</v>
          </cell>
          <cell r="AD549" t="str">
            <v>N</v>
          </cell>
          <cell r="AE549" t="str">
            <v>N</v>
          </cell>
        </row>
        <row r="550">
          <cell r="E550" t="str">
            <v>FLG_DNSH_CMPLNC</v>
          </cell>
          <cell r="Z550" t="str">
            <v>N</v>
          </cell>
          <cell r="AA550" t="str">
            <v>N</v>
          </cell>
          <cell r="AB550" t="str">
            <v>Y</v>
          </cell>
          <cell r="AC550" t="str">
            <v>N</v>
          </cell>
          <cell r="AD550" t="str">
            <v>N</v>
          </cell>
          <cell r="AE550" t="str">
            <v>N</v>
          </cell>
        </row>
        <row r="551">
          <cell r="E551" t="str">
            <v>DNSH_DTL</v>
          </cell>
          <cell r="Z551" t="str">
            <v>N</v>
          </cell>
          <cell r="AA551" t="str">
            <v>N</v>
          </cell>
          <cell r="AB551" t="str">
            <v>Y</v>
          </cell>
          <cell r="AC551" t="str">
            <v>N</v>
          </cell>
          <cell r="AD551" t="str">
            <v>N</v>
          </cell>
          <cell r="AE551" t="str">
            <v>N</v>
          </cell>
        </row>
      </sheetData>
      <sheetData sheetId="3" refreshError="1"/>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Gonçalo Mendes Baptista Filipe" id="{82BF7F14-77B9-4558-8297-8B12AA3D0639}" userId="S::E807332@corp.santander.pt::80cd4403-b592-4e78-81fa-04e264df025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598495371" createdVersion="8" refreshedVersion="8" minRefreshableVersion="3" recordCount="379" xr:uid="{CF0CA261-5F75-4F99-8352-670AEF063F36}">
  <cacheSource type="worksheet">
    <worksheetSource ref="C5:X384" sheet="Detalhe"/>
  </cacheSource>
  <cacheFields count="23">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ontainsBlank="1"/>
    </cacheField>
    <cacheField name="Descrição" numFmtId="0">
      <sharedItems containsBlank="1" longText="1"/>
    </cacheField>
    <cacheField name="Detalhe" numFmtId="0">
      <sharedItems containsBlank="1" longText="1"/>
    </cacheField>
    <cacheField name="Quick-win" numFmtId="0">
      <sharedItems count="3">
        <s v="Campo Fechado"/>
        <s v="Sim"/>
        <s v="Não"/>
      </sharedItems>
    </cacheField>
    <cacheField name="Data alteração status" numFmtId="14">
      <sharedItems containsSemiMixedTypes="0" containsNonDate="0" containsDate="1" containsString="0" minDate="2024-06-07T00:00:00" maxDate="2025-01-14T00:00:00"/>
    </cacheField>
    <cacheField name="Status Atual" numFmtId="0">
      <sharedItems count="10">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ntainsBlank="1"/>
    </cacheField>
    <cacheField name="Structural _x000a_ECB Loan Tape" numFmtId="0">
      <sharedItems/>
    </cacheField>
    <cacheField name="Green _x000a_Dashboard" numFmtId="0">
      <sharedItems/>
    </cacheField>
    <cacheField name="Pillar III ESG" numFmtId="0">
      <sharedItems/>
    </cacheField>
    <cacheField name="Green Finance" numFmtId="0">
      <sharedItems/>
    </cacheField>
    <cacheField name="ESG Risks" numFmtId="0">
      <sharedItems/>
    </cacheField>
    <cacheField name="Leveraged Finance" numFmtId="0">
      <sharedItems/>
    </cacheField>
    <cacheField name="Âmbito (Projeto) " numFmtId="0">
      <sharedItems count="4">
        <s v="PM"/>
        <s v="LF"/>
        <s v="PM &amp; LF"/>
        <s v="PM - Novos Campos"/>
      </sharedItems>
    </cacheField>
    <cacheField name="STREAM"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600115742" createdVersion="8" refreshedVersion="8" minRefreshableVersion="3" recordCount="346" xr:uid="{00000000-000A-0000-FFFF-FFFF06000000}">
  <cacheSource type="worksheet">
    <worksheetSource ref="C5:Q351" sheet="Detalhe"/>
  </cacheSource>
  <cacheFields count="15">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acheField>
    <cacheField name="Descrição" numFmtId="0">
      <sharedItems containsBlank="1" longText="1"/>
    </cacheField>
    <cacheField name="Detalhe" numFmtId="0">
      <sharedItems containsBlank="1" longText="1"/>
    </cacheField>
    <cacheField name="Quick-win" numFmtId="0">
      <sharedItems/>
    </cacheField>
    <cacheField name="Data alteração status" numFmtId="14">
      <sharedItems containsSemiMixedTypes="0" containsNonDate="0" containsDate="1" containsString="0" minDate="2024-06-07T00:00:00" maxDate="2025-01-14T00:00:00"/>
    </cacheField>
    <cacheField name="Status Atual" numFmtId="0">
      <sharedItems count="15">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 v="4.2 Em implementação - Incidência" u="1"/>
        <s v="6. Incidência" u="1"/>
        <s v="4. Em implementação" u="1"/>
        <s v="5. Em testes" u="1"/>
        <s v="10. Em correção de incidência" u="1"/>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unt="20">
        <s v="Campo concluido"/>
        <s v="Necessidade de correção de erros"/>
        <s v="Melhorias estruturais (garantir coerência entre campos)"/>
        <s v="Alteração de especificação por parte do BCE"/>
        <s v="Novo campo"/>
        <s v="Pendente de decisão"/>
        <s v="Analisar controlos NOK"/>
        <s v="Campo concluído, mas sem ou pouca informação na fonte"/>
        <s v="-" u="1"/>
        <s v="Campo concluído, sem informação na fonte" u="1"/>
        <s v="Campo concluído, mas com pouca qualidade de dados" u="1"/>
        <s v="?" u="1"/>
        <s v="Alteração de especificação por parte da área" u="1"/>
        <s v="Especificar, informação começou a ser produzida em 2024" u="1"/>
        <s v="Avaliar necessidade de alteração da fonte para fins de reconciliação" u="1"/>
        <s v="Avaliar necessidade de alteração da fonte dos 1ºs titulares para fins de reconciliação" u="1"/>
        <s v="Alteração de especificação com base nas melhorias efetuadas ao MUG" u="1"/>
        <s v=" Alteração de especificação com base nas melhorias efetuadas ao MUG" u="1"/>
        <s v="Necessidade de correção de incidências" u="1"/>
        <s v="Em implementação"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s v="INSTRUMENT"/>
    <s v="ACCMLTD_CHNGS_FV_CR_INSTRMNT"/>
    <x v="0"/>
    <s v="9. Concluído"/>
    <s v="OK"/>
    <s v="Concluido, controlos OK"/>
    <m/>
    <x v="0"/>
    <d v="2024-06-07T00:00:00"/>
    <x v="0"/>
    <s v="OK"/>
    <m/>
    <m/>
    <m/>
    <s v="Campo concluido"/>
    <s v="Y"/>
    <s v="Y"/>
    <s v="Y"/>
    <s v="N"/>
    <s v="N"/>
    <s v="N"/>
    <x v="0"/>
    <n v="0"/>
  </r>
  <r>
    <s v="INSTRUMENT"/>
    <s v="ACCMLTD_IMPRMNT_INSTRMNT"/>
    <x v="0"/>
    <s v="9. Concluído"/>
    <s v="OK"/>
    <s v="Concluido, controlos OK"/>
    <m/>
    <x v="0"/>
    <d v="2024-06-07T00:00:00"/>
    <x v="0"/>
    <s v="OK"/>
    <m/>
    <m/>
    <m/>
    <s v="Campo concluido"/>
    <s v="Y"/>
    <s v="Y"/>
    <s v="Y"/>
    <s v="N"/>
    <s v="N"/>
    <s v="Y"/>
    <x v="0"/>
    <s v="6.1. Fora âmbito | Campos concluídos - Sem necessidade de espec."/>
  </r>
  <r>
    <s v="INSTRUMENT"/>
    <s v="ACCMLTD_IMPRMNT_INSTRMNT_PRVS"/>
    <x v="0"/>
    <s v="5.2 Em testes - Incidência"/>
    <s v="OK"/>
    <s v="Campo com incidência. Verificar fonte LT"/>
    <m/>
    <x v="1"/>
    <d v="2024-06-07T00:00:00"/>
    <x v="1"/>
    <s v="OK"/>
    <m/>
    <m/>
    <m/>
    <s v="Necessidade de correção de erros"/>
    <s v="Y"/>
    <s v="N"/>
    <s v="N"/>
    <s v="N"/>
    <s v="N"/>
    <s v="Y"/>
    <x v="1"/>
    <s v="3. Campos em testes ou c/ incidências"/>
  </r>
  <r>
    <s v="INSTRUMENT"/>
    <s v="ACCMLTD_WRTFFS_INSTRMNT"/>
    <x v="0"/>
    <s v="9. Concluído"/>
    <s v="OK"/>
    <s v="Concluido, controlos OK"/>
    <m/>
    <x v="0"/>
    <d v="2024-06-07T00:00:00"/>
    <x v="0"/>
    <s v="OK"/>
    <m/>
    <m/>
    <m/>
    <s v="Campo concluido"/>
    <s v="Y"/>
    <s v="N"/>
    <s v="N"/>
    <s v="N"/>
    <s v="N"/>
    <s v="Y"/>
    <x v="0"/>
    <s v="6.1. Fora âmbito | Campos concluídos - Sem necessidade de espec."/>
  </r>
  <r>
    <s v="INSTRUMENT"/>
    <s v="ACCNTNG_CLSSFCTN"/>
    <x v="0"/>
    <s v="9. Concluído"/>
    <s v="OK"/>
    <s v="Concluido, controlos OK"/>
    <m/>
    <x v="0"/>
    <d v="2024-06-07T00:00:00"/>
    <x v="0"/>
    <s v="OK"/>
    <m/>
    <m/>
    <m/>
    <s v="Campo concluido"/>
    <s v="Y"/>
    <s v="Y"/>
    <s v="Y"/>
    <s v="N"/>
    <s v="N"/>
    <s v="Y"/>
    <x v="0"/>
    <s v="6.1. Fora âmbito | Campos concluídos - Sem necessidade de espec."/>
  </r>
  <r>
    <s v="ENTITY"/>
    <s v="ACCNTNG_FRMWRK_SL"/>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TYP_MRTGG"/>
    <x v="0"/>
    <s v="3. Pendente de decisão"/>
    <s v="NOK"/>
    <s v="Alteração da Code list por parte do BCE"/>
    <m/>
    <x v="1"/>
    <d v="2024-10-03T00:00:00"/>
    <x v="2"/>
    <s v="NOK"/>
    <s v="Alterar especificação de acordo com codelist atual. No MUG existem apenas garantias elegiveis para cálculo de capital? Se sim, TYP_MRTGG irá assumir os valores 1, 5 e N/A. Caso contrário assumirá os valores  1, 5, 6 e N/A."/>
    <m/>
    <m/>
    <s v="Alteração de especificação por parte do BCE"/>
    <s v="Y"/>
    <s v="N"/>
    <s v="N"/>
    <s v="N"/>
    <s v="N"/>
    <s v="N"/>
    <x v="0"/>
    <n v="0"/>
  </r>
  <r>
    <s v="INSTRUMENT"/>
    <s v="AMNT_D_AT_MTRTY"/>
    <x v="0"/>
    <s v="1. Especificar"/>
    <s v="NOK"/>
    <s v="Em especificação"/>
    <m/>
    <x v="2"/>
    <d v="2024-06-07T00:00:00"/>
    <x v="3"/>
    <s v="NOK"/>
    <m/>
    <m/>
    <m/>
    <s v="Novo campo"/>
    <s v="Y"/>
    <s v="N"/>
    <s v="N"/>
    <s v="N"/>
    <s v="N"/>
    <s v="Y"/>
    <x v="1"/>
    <s v="2.2 Re-especificação de campos complexos - Resto"/>
  </r>
  <r>
    <s v="ENTITY"/>
    <s v="ANNL_TRNVR_LE"/>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ANNL_TRNVR_LE_BDR"/>
    <x v="1"/>
    <s v="9. Concluído"/>
    <s v="OK"/>
    <s v="Concluido, controlos OK"/>
    <m/>
    <x v="0"/>
    <d v="2024-06-07T00:00:00"/>
    <x v="0"/>
    <s v="OK"/>
    <m/>
    <m/>
    <m/>
    <s v="Campo concluido"/>
    <s v="Y"/>
    <s v="N"/>
    <s v="N"/>
    <s v="N"/>
    <s v="N"/>
    <s v="N"/>
    <x v="0"/>
    <n v="0"/>
  </r>
  <r>
    <s v="ENTITY"/>
    <s v="ANNL_TRNVR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ANNL_TRNVR_PRVS_BDR"/>
    <x v="1"/>
    <s v="9. Concluído"/>
    <s v="OK"/>
    <s v="Concluido, controlos OK"/>
    <m/>
    <x v="0"/>
    <d v="2024-06-07T00:00:00"/>
    <x v="0"/>
    <s v="OK"/>
    <m/>
    <m/>
    <m/>
    <s v="Campo concluido"/>
    <s v="Y"/>
    <s v="N"/>
    <s v="N"/>
    <s v="N"/>
    <s v="N"/>
    <s v="N"/>
    <x v="0"/>
    <n v="0"/>
  </r>
  <r>
    <s v="INSTRUMENT"/>
    <s v="ANNLSD_AGRD_RT"/>
    <x v="0"/>
    <s v="3. Pendente de decisão"/>
    <s v="OK"/>
    <s v="Verificar necessidade de alteração da fonte para fins de reconciliação. Rever Fonte"/>
    <s v="Rever se devemos utilizar a informação de IFRS9 ou manter a de alm"/>
    <x v="1"/>
    <d v="2024-06-07T00:00:00"/>
    <x v="4"/>
    <s v="OK"/>
    <m/>
    <m/>
    <m/>
    <s v="Pendente de decisão"/>
    <s v="Y"/>
    <s v="N"/>
    <s v="Y"/>
    <s v="N"/>
    <s v="N"/>
    <s v="N"/>
    <x v="0"/>
    <n v="0"/>
  </r>
  <r>
    <s v="PROTECTION"/>
    <s v="APPRSL_CRRNCY"/>
    <x v="0"/>
    <s v="7. Analisar controlos e completude"/>
    <s v="NOK"/>
    <s v="Controlos NOK"/>
    <m/>
    <x v="2"/>
    <d v="2024-06-07T00:00:00"/>
    <x v="5"/>
    <s v="NOK"/>
    <m/>
    <m/>
    <m/>
    <s v="Analisar controlos NOK"/>
    <s v="Y"/>
    <s v="N"/>
    <s v="N"/>
    <s v="N"/>
    <s v="N"/>
    <s v="N"/>
    <x v="0"/>
    <n v="0"/>
  </r>
  <r>
    <s v="PROTECTION"/>
    <s v="APPRSR"/>
    <x v="0"/>
    <s v="7. Analisar controlos e completude"/>
    <s v="NOK"/>
    <s v="Controlos NOK"/>
    <m/>
    <x v="2"/>
    <d v="2024-06-07T00:00:00"/>
    <x v="5"/>
    <s v="NOK"/>
    <m/>
    <m/>
    <m/>
    <s v="Analisar controlos NOK"/>
    <s v="Y"/>
    <s v="N"/>
    <s v="N"/>
    <s v="N"/>
    <s v="N"/>
    <s v="N"/>
    <x v="0"/>
    <n v="0"/>
  </r>
  <r>
    <s v="INSTRUMENT"/>
    <s v="ARRRS_INSTRMNT"/>
    <x v="0"/>
    <s v="7. Analisar controlos e completude"/>
    <s v="NOK"/>
    <s v="Controlos NOK"/>
    <m/>
    <x v="2"/>
    <d v="2024-06-07T00:00:00"/>
    <x v="5"/>
    <s v="NOK"/>
    <m/>
    <m/>
    <m/>
    <s v="Analisar controlos NOK"/>
    <s v="Y"/>
    <s v="N"/>
    <s v="N"/>
    <s v="N"/>
    <s v="N"/>
    <s v="Y"/>
    <x v="1"/>
    <s v="4. Campos com NOK controlos Corporativos"/>
  </r>
  <r>
    <s v="INSTRUMENT"/>
    <s v="ARRRS_INSTRMNT_12M"/>
    <x v="0"/>
    <s v="7. Analisar controlos e completude"/>
    <s v="NOK"/>
    <s v="Controlos NOK"/>
    <m/>
    <x v="2"/>
    <d v="2024-06-07T00:00:00"/>
    <x v="5"/>
    <s v="NOK"/>
    <m/>
    <m/>
    <m/>
    <s v="Analisar controlos NOK"/>
    <s v="Y"/>
    <s v="N"/>
    <s v="N"/>
    <s v="N"/>
    <s v="N"/>
    <s v="N"/>
    <x v="0"/>
    <n v="0"/>
  </r>
  <r>
    <s v="INSTRUMENT"/>
    <s v="ASST_SCRT_CLSS"/>
    <x v="1"/>
    <s v="9. Concluído"/>
    <s v="OK"/>
    <s v="Concluido, controlos OK"/>
    <m/>
    <x v="0"/>
    <d v="2024-06-07T00:00:00"/>
    <x v="0"/>
    <s v="OK"/>
    <m/>
    <m/>
    <m/>
    <s v="Campo concluido"/>
    <s v="Y"/>
    <s v="N"/>
    <s v="N"/>
    <s v="N"/>
    <s v="N"/>
    <s v="N"/>
    <x v="0"/>
    <n v="0"/>
  </r>
  <r>
    <s v="INSTRUMENT"/>
    <s v="BRCHD_CVNNTS"/>
    <x v="0"/>
    <s v="8. Concluído - sem dados"/>
    <s v="OK"/>
    <s v="Campo especificado, mas sem dados. Campo marcado com MISS ou NA"/>
    <m/>
    <x v="0"/>
    <d v="2024-06-07T00:00:00"/>
    <x v="6"/>
    <s v="OK"/>
    <m/>
    <m/>
    <m/>
    <s v="Campo concluído, mas sem ou pouca informação na fonte"/>
    <s v="Y"/>
    <s v="N"/>
    <s v="N"/>
    <s v="N"/>
    <s v="N"/>
    <s v="Y"/>
    <x v="0"/>
    <s v="6.1. Fora âmbito | Campos concluídos - Sem necessidade de espec."/>
  </r>
  <r>
    <s v="ENTITY"/>
    <s v="CAPEX"/>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APEX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CF"/>
    <x v="0"/>
    <s v="9. Concluído"/>
    <s v="OK"/>
    <s v="Concluido, controlos OK"/>
    <m/>
    <x v="0"/>
    <d v="2024-06-07T00:00:00"/>
    <x v="0"/>
    <s v="OK"/>
    <m/>
    <m/>
    <m/>
    <s v="Campo concluido"/>
    <s v="Y"/>
    <s v="Y"/>
    <s v="N"/>
    <s v="N"/>
    <s v="N"/>
    <s v="Y"/>
    <x v="0"/>
    <s v="6.1. Fora âmbito | Campos concluídos - Sem necessidade de espec."/>
  </r>
  <r>
    <s v="INSTRUMENT"/>
    <s v="CHNNL_ORGNTN"/>
    <x v="1"/>
    <s v="4.1 Em implementação - Re-especificação"/>
    <s v="NOK"/>
    <s v="Aguarda implementação de IT"/>
    <m/>
    <x v="2"/>
    <d v="2024-06-07T00:00:00"/>
    <x v="7"/>
    <s v="NOK"/>
    <m/>
    <d v="2024-01-05T00:00:00"/>
    <m/>
    <s v="Melhorias estruturais (garantir coerência entre campos)"/>
    <s v="Y"/>
    <s v="N"/>
    <s v="N"/>
    <s v="N"/>
    <s v="N"/>
    <s v="N"/>
    <x v="0"/>
    <n v="0"/>
  </r>
  <r>
    <s v="ENTITY"/>
    <s v="CLLCTN_MD"/>
    <x v="1"/>
    <s v="9. Concluído"/>
    <s v="OK"/>
    <s v="Concluido, controlos OK"/>
    <m/>
    <x v="0"/>
    <d v="2024-06-07T00:00:00"/>
    <x v="0"/>
    <s v="OK"/>
    <m/>
    <m/>
    <m/>
    <s v="Campo concluido"/>
    <s v="Y"/>
    <s v="N"/>
    <s v="N"/>
    <s v="N"/>
    <s v="N"/>
    <s v="N"/>
    <x v="0"/>
    <n v="0"/>
  </r>
  <r>
    <s v="ENTITY"/>
    <s v="TTL_INTRST_PD"/>
    <x v="1"/>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CMMTMNT_INCPTN_INSTRMNT"/>
    <x v="0"/>
    <s v="7. Analisar controlos e completude"/>
    <s v="NOK"/>
    <s v="Analisar controlos e completude"/>
    <m/>
    <x v="2"/>
    <d v="2024-06-07T00:00:00"/>
    <x v="5"/>
    <s v="NOK"/>
    <m/>
    <m/>
    <m/>
    <s v="Analisar controlos NOK"/>
    <s v="Y"/>
    <s v="N"/>
    <s v="N"/>
    <s v="N"/>
    <s v="N"/>
    <s v="N"/>
    <x v="0"/>
    <n v="0"/>
  </r>
  <r>
    <s v="PROTECTION"/>
    <s v="RL_ESTT_CLLTRL_LCTN"/>
    <x v="0"/>
    <s v="2. Alterar especificação"/>
    <s v="NOK"/>
    <s v="Alterados 3 casos. Campo está a devolver PT para todas as proteções, no entanto estas não estão localizadas em PT e alterou-se a localização para os respetivos paises."/>
    <m/>
    <x v="2"/>
    <d v="2024-06-07T00:00:00"/>
    <x v="2"/>
    <s v="NOK"/>
    <m/>
    <m/>
    <m/>
    <s v="Melhorias estruturais (garantir coerência entre campos)"/>
    <s v="Y"/>
    <s v="N"/>
    <s v="Y"/>
    <s v="N"/>
    <s v="Y"/>
    <s v="N"/>
    <x v="0"/>
    <n v="0"/>
  </r>
  <r>
    <s v="INSTRUMENT"/>
    <s v="CMPLNT_MRTR_C19_NM"/>
    <x v="1"/>
    <s v="9. Concluído"/>
    <s v="OK"/>
    <s v="Concluido, controlos OK"/>
    <m/>
    <x v="0"/>
    <d v="2024-06-07T00:00:00"/>
    <x v="0"/>
    <s v="OK"/>
    <m/>
    <m/>
    <m/>
    <s v="Campo concluido"/>
    <s v="Y"/>
    <s v="N"/>
    <s v="N"/>
    <s v="N"/>
    <s v="N"/>
    <s v="N"/>
    <x v="0"/>
    <n v="0"/>
  </r>
  <r>
    <s v="INSTRUMENT"/>
    <s v="CNSMPTN_FNRP18"/>
    <x v="1"/>
    <s v="9. Concluído"/>
    <s v="OK"/>
    <s v="Concluido, controlos OK"/>
    <m/>
    <x v="0"/>
    <d v="2024-06-07T00:00:00"/>
    <x v="0"/>
    <s v="OK"/>
    <m/>
    <m/>
    <m/>
    <s v="Campo concluido"/>
    <s v="Y"/>
    <s v="N"/>
    <s v="N"/>
    <s v="N"/>
    <s v="N"/>
    <s v="N"/>
    <x v="0"/>
    <n v="0"/>
  </r>
  <r>
    <s v="PROTECTION"/>
    <s v="DT_APPRSL_PRVS"/>
    <x v="0"/>
    <s v="5.2 Em testes - Incidência"/>
    <s v="NOK"/>
    <s v="Campo com incidência e controlos NOK"/>
    <s v="1) Campo com incidência, data igual à data da protection_vl 2) Alteração de formatos MISS"/>
    <x v="0"/>
    <d v="2025-01-13T00:00:00"/>
    <x v="0"/>
    <s v="OK"/>
    <s v="Alteraração da definição do campo no Guia da Corporação. Campo passou a reportar a data da avaliação completa anterior à data da última avaliação  completa._x000a_"/>
    <d v="2024-07-12T00:00:00"/>
    <d v="2024-12-20T00:00:00"/>
    <s v="Alteração de especificação por parte do BCE"/>
    <s v="Y"/>
    <s v="N"/>
    <s v="N"/>
    <s v="N"/>
    <s v="N"/>
    <s v="N"/>
    <x v="0"/>
    <n v="0"/>
  </r>
  <r>
    <s v="INSTRUMENT"/>
    <s v="CNTRCT_ID"/>
    <x v="0"/>
    <s v="9. Concluído"/>
    <s v="OK"/>
    <s v="Concluido, controlos OK"/>
    <m/>
    <x v="0"/>
    <d v="2024-06-07T00:00:00"/>
    <x v="0"/>
    <s v="OK"/>
    <m/>
    <m/>
    <m/>
    <s v="Campo concluido"/>
    <s v="Y"/>
    <s v="N"/>
    <s v="N"/>
    <s v="N"/>
    <s v="N"/>
    <s v="N"/>
    <x v="0"/>
    <n v="0"/>
  </r>
  <r>
    <s v="INSTRUMENT"/>
    <s v="CNTRCT_ID_BDR"/>
    <x v="1"/>
    <s v="9. Concluído"/>
    <s v="OK"/>
    <s v="Concluido, controlos OK"/>
    <m/>
    <x v="0"/>
    <d v="2024-06-07T00:00:00"/>
    <x v="0"/>
    <s v="OK"/>
    <m/>
    <m/>
    <m/>
    <s v="Campo concluido"/>
    <s v="Y"/>
    <s v="N"/>
    <s v="N"/>
    <s v="N"/>
    <s v="N"/>
    <s v="N"/>
    <x v="0"/>
    <n v="0"/>
  </r>
  <r>
    <s v="ENTITY"/>
    <s v="CNTRY"/>
    <x v="0"/>
    <s v="9. Concluído"/>
    <s v="OK"/>
    <s v="Concluido, controlos OK"/>
    <m/>
    <x v="0"/>
    <d v="2024-06-07T00:00:00"/>
    <x v="0"/>
    <s v="OK"/>
    <m/>
    <m/>
    <m/>
    <s v="Campo concluido"/>
    <s v="Y"/>
    <s v="N"/>
    <s v="Y"/>
    <s v="N"/>
    <s v="Y"/>
    <s v="Y"/>
    <x v="0"/>
    <s v="6.1. Fora âmbito | Campos concluídos - Sem necessidade de espec."/>
  </r>
  <r>
    <s v="ENTITY"/>
    <s v="COD_SOC"/>
    <x v="0"/>
    <s v="9. Concluído"/>
    <s v="OK"/>
    <s v="Concluido, controlos OK"/>
    <m/>
    <x v="0"/>
    <d v="2024-06-07T00:00:00"/>
    <x v="0"/>
    <s v="OK"/>
    <m/>
    <m/>
    <m/>
    <s v="Campo concluido"/>
    <s v="Y"/>
    <s v="N"/>
    <s v="Y"/>
    <s v="N"/>
    <s v="Y"/>
    <s v="Y"/>
    <x v="0"/>
    <s v="6.1. Fora âmbito | Campos concluídos - Sem necessidade de espec."/>
  </r>
  <r>
    <s v="INSTR_ENTITY"/>
    <s v="COD_SOC"/>
    <x v="0"/>
    <s v="9. Concluído"/>
    <s v="OK"/>
    <s v="Concluido, controlos OK"/>
    <m/>
    <x v="0"/>
    <d v="2024-06-07T00:00:00"/>
    <x v="0"/>
    <s v="OK"/>
    <m/>
    <m/>
    <m/>
    <s v="Campo concluido"/>
    <s v="Y"/>
    <s v="N"/>
    <s v="Y"/>
    <s v="N"/>
    <s v="N"/>
    <s v="Y"/>
    <x v="0"/>
    <s v="6.1. Fora âmbito | Campos concluídos - Sem necessidade de espec."/>
  </r>
  <r>
    <s v="INSTR_PROTECTION"/>
    <s v="COD_SOC"/>
    <x v="0"/>
    <s v="9. Concluído"/>
    <s v="OK"/>
    <s v="Concluido, controlos OK"/>
    <m/>
    <x v="0"/>
    <d v="2024-06-07T00:00:00"/>
    <x v="0"/>
    <s v="OK"/>
    <m/>
    <m/>
    <m/>
    <s v="Campo concluido"/>
    <s v="Y"/>
    <s v="Y"/>
    <s v="Y"/>
    <s v="N"/>
    <s v="N"/>
    <s v="N"/>
    <x v="0"/>
    <n v="0"/>
  </r>
  <r>
    <s v="INSTRUMENT"/>
    <s v="COD_SOC"/>
    <x v="0"/>
    <s v="9. Concluído"/>
    <s v="OK"/>
    <s v="Concluido, controlos OK"/>
    <m/>
    <x v="0"/>
    <d v="2024-06-07T00:00:00"/>
    <x v="0"/>
    <s v="OK"/>
    <m/>
    <m/>
    <m/>
    <s v="Campo concluido"/>
    <s v="Y"/>
    <s v="Y"/>
    <s v="Y"/>
    <s v="N"/>
    <s v="Y"/>
    <s v="Y"/>
    <x v="0"/>
    <s v="6.1. Fora âmbito | Campos concluídos - Sem necessidade de espec."/>
  </r>
  <r>
    <s v="PROTECTION"/>
    <s v="COD_SOC"/>
    <x v="0"/>
    <s v="9. Concluído"/>
    <s v="OK"/>
    <s v="Concluido, controlos OK"/>
    <m/>
    <x v="0"/>
    <d v="2024-06-07T00:00:00"/>
    <x v="0"/>
    <s v="OK"/>
    <m/>
    <m/>
    <m/>
    <s v="Campo concluido"/>
    <s v="Y"/>
    <s v="Y"/>
    <s v="Y"/>
    <s v="N"/>
    <s v="Y"/>
    <s v="N"/>
    <x v="0"/>
    <n v="0"/>
  </r>
  <r>
    <s v="INSTRUMENT"/>
    <s v="COD_SOC_INTRGRP"/>
    <x v="0"/>
    <s v="4.1 Em implementação - Re-especificação"/>
    <s v="NOK"/>
    <s v="Aguarda implementação de IT"/>
    <m/>
    <x v="2"/>
    <d v="2024-06-17T00:00:00"/>
    <x v="8"/>
    <s v="NOK"/>
    <m/>
    <d v="2024-01-12T00:00:00"/>
    <d v="2024-03-28T00:00:00"/>
    <s v="Novo campo"/>
    <s v="Y"/>
    <s v="Y"/>
    <s v="N"/>
    <s v="N"/>
    <s v="N"/>
    <s v="N"/>
    <x v="0"/>
    <n v="0"/>
  </r>
  <r>
    <s v="INSTRUMENT"/>
    <s v="CPN_CRRNCY"/>
    <x v="1"/>
    <s v="9. Concluído"/>
    <s v="OK"/>
    <s v="Concluido, controlos OK"/>
    <m/>
    <x v="0"/>
    <d v="2024-06-07T00:00:00"/>
    <x v="0"/>
    <s v="OK"/>
    <m/>
    <m/>
    <m/>
    <s v="Campo concluido"/>
    <s v="Y"/>
    <s v="N"/>
    <s v="N"/>
    <s v="N"/>
    <s v="N"/>
    <s v="N"/>
    <x v="0"/>
    <n v="0"/>
  </r>
  <r>
    <s v="INSTRUMENT"/>
    <s v="CPN_RT_FXD"/>
    <x v="1"/>
    <s v="9. Concluído"/>
    <s v="OK"/>
    <s v="Concluido, controlos OK"/>
    <m/>
    <x v="0"/>
    <d v="2024-06-07T00:00:00"/>
    <x v="0"/>
    <s v="OK"/>
    <m/>
    <m/>
    <m/>
    <s v="Campo concluido"/>
    <s v="Y"/>
    <s v="N"/>
    <s v="N"/>
    <s v="N"/>
    <s v="N"/>
    <s v="N"/>
    <x v="0"/>
    <n v="0"/>
  </r>
  <r>
    <s v="ENTITY"/>
    <s v="CR_FLG"/>
    <x v="1"/>
    <s v="7. Analisar controlos e completude"/>
    <s v="NOK"/>
    <s v="Controlos NOK"/>
    <m/>
    <x v="2"/>
    <d v="2024-06-07T00:00:00"/>
    <x v="5"/>
    <s v="NOK"/>
    <m/>
    <m/>
    <m/>
    <s v="Analisar controlos NOK"/>
    <s v="Y"/>
    <s v="N"/>
    <s v="N"/>
    <s v="N"/>
    <s v="N"/>
    <s v="N"/>
    <x v="0"/>
    <n v="0"/>
  </r>
  <r>
    <s v="INSTRUMENT"/>
    <s v="CRE_FNRP18"/>
    <x v="0"/>
    <s v="9. Concluído"/>
    <s v="OK"/>
    <s v="Concluido, controlos OK"/>
    <m/>
    <x v="0"/>
    <d v="2024-06-07T00:00:00"/>
    <x v="0"/>
    <s v="OK"/>
    <m/>
    <m/>
    <m/>
    <s v="Campo concluido"/>
    <s v="Y"/>
    <s v="N"/>
    <s v="N"/>
    <s v="N"/>
    <s v="N"/>
    <s v="N"/>
    <x v="0"/>
    <n v="0"/>
  </r>
  <r>
    <s v="PROTECTION"/>
    <s v="CRE_INCM_CRRNCY"/>
    <x v="1"/>
    <s v="8. Concluído - sem dados"/>
    <s v="NOK"/>
    <s v="Campo sem mapeamento, para análise da área  de Riscos"/>
    <m/>
    <x v="0"/>
    <d v="2024-06-07T00:00:00"/>
    <x v="6"/>
    <s v="NOK"/>
    <m/>
    <m/>
    <m/>
    <s v="Campo concluído, mas sem ou pouca informação na fonte"/>
    <s v="Y"/>
    <s v="N"/>
    <s v="N"/>
    <s v="N"/>
    <s v="N"/>
    <s v="N"/>
    <x v="0"/>
    <n v="0"/>
  </r>
  <r>
    <s v="PROTECTION"/>
    <s v="CRE_YRLY_EXPNSS"/>
    <x v="1"/>
    <s v="8. Concluído - sem dados"/>
    <s v="OK"/>
    <s v="Campo sem mapeamento, para análise da área  de Riscos"/>
    <m/>
    <x v="0"/>
    <d v="2024-06-07T00:00:00"/>
    <x v="6"/>
    <s v="OK"/>
    <m/>
    <m/>
    <m/>
    <s v="Campo concluído, mas sem ou pouca informação na fonte"/>
    <s v="Y"/>
    <s v="N"/>
    <s v="N"/>
    <s v="N"/>
    <s v="N"/>
    <s v="N"/>
    <x v="0"/>
    <n v="0"/>
  </r>
  <r>
    <s v="PROTECTION"/>
    <s v="CRE_YRLY_INCM"/>
    <x v="1"/>
    <s v="8. Concluído - sem dados"/>
    <s v="OK"/>
    <s v="Campo sem mapeamento, para análise da área  de Riscos"/>
    <m/>
    <x v="0"/>
    <d v="2024-06-07T00:00:00"/>
    <x v="6"/>
    <s v="OK"/>
    <m/>
    <m/>
    <m/>
    <s v="Campo concluído, mas sem ou pouca informação na fonte"/>
    <s v="Y"/>
    <s v="N"/>
    <s v="N"/>
    <s v="N"/>
    <s v="N"/>
    <s v="N"/>
    <x v="0"/>
    <n v="0"/>
  </r>
  <r>
    <s v="INSTRUMENT"/>
    <s v="CRRLTN_CFFCNT"/>
    <x v="1"/>
    <s v="7. Analisar controlos e completude"/>
    <s v="NOK"/>
    <s v="Controlos NOK"/>
    <m/>
    <x v="2"/>
    <d v="2024-06-07T00:00:00"/>
    <x v="5"/>
    <s v="NOK"/>
    <m/>
    <m/>
    <m/>
    <s v="Analisar controlos NOK"/>
    <s v="Y"/>
    <s v="N"/>
    <s v="N"/>
    <s v="N"/>
    <s v="N"/>
    <s v="N"/>
    <x v="0"/>
    <n v="0"/>
  </r>
  <r>
    <s v="INSTRUMENT"/>
    <s v="CRRNCY_DNMNTN"/>
    <x v="0"/>
    <s v="9. Concluído"/>
    <s v="OK"/>
    <s v="Concluido, controlos OK"/>
    <m/>
    <x v="0"/>
    <d v="2024-06-07T00:00:00"/>
    <x v="0"/>
    <s v="OK"/>
    <m/>
    <m/>
    <m/>
    <s v="Campo concluido"/>
    <s v="Y"/>
    <s v="N"/>
    <s v="N"/>
    <s v="N"/>
    <s v="N"/>
    <s v="Y"/>
    <x v="0"/>
    <s v="6.1. Fora âmbito | Campos concluídos - Sem necessidade de espec."/>
  </r>
  <r>
    <s v="INSTRUMENT"/>
    <s v="CRRYNG_AMNT_INSTRMNT"/>
    <x v="0"/>
    <s v="9. Concluído"/>
    <s v="OK"/>
    <s v="Concluido, controlos OK"/>
    <m/>
    <x v="0"/>
    <d v="2024-06-07T00:00:00"/>
    <x v="0"/>
    <s v="OK"/>
    <m/>
    <m/>
    <m/>
    <s v="Campo concluido"/>
    <s v="Y"/>
    <s v="N"/>
    <s v="N"/>
    <s v="N"/>
    <s v="N"/>
    <s v="Y"/>
    <x v="0"/>
    <s v="6.1. Fora âmbito | Campos concluídos - Sem necessidade de espec."/>
  </r>
  <r>
    <s v="ENTITY"/>
    <s v="CSH"/>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SH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SH_SWP_TRP"/>
    <x v="0"/>
    <s v="9. Concluído"/>
    <s v="OK"/>
    <s v="Concluido, controlos OK"/>
    <m/>
    <x v="0"/>
    <d v="2024-06-07T00:00:00"/>
    <x v="0"/>
    <s v="OK"/>
    <m/>
    <m/>
    <m/>
    <s v="Campo concluido"/>
    <s v="Y"/>
    <s v="N"/>
    <s v="N"/>
    <s v="N"/>
    <s v="N"/>
    <s v="Y"/>
    <x v="0"/>
    <s v="6.1. Fora âmbito | Campos concluídos - Sem necessidade de espec."/>
  </r>
  <r>
    <s v="INSTRUMENT"/>
    <s v="CVNNT_STTS"/>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CVNNT_TYP"/>
    <x v="1"/>
    <s v="9. Concluído"/>
    <s v="OK"/>
    <s v="Concluido, controlos OK"/>
    <m/>
    <x v="0"/>
    <d v="2024-06-07T00:00:00"/>
    <x v="0"/>
    <s v="OK"/>
    <m/>
    <m/>
    <m/>
    <s v="Campo concluido"/>
    <s v="Y"/>
    <s v="N"/>
    <s v="N"/>
    <s v="N"/>
    <s v="N"/>
    <s v="Y"/>
    <x v="2"/>
    <s v="6.3. Fora âmbito | Fonte Manual LF"/>
  </r>
  <r>
    <s v="ENTITY"/>
    <s v="DBT_RPYMNT_CPCTY_SNR_DBT"/>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ENTITY"/>
    <s v="DBT_RPYMNT_CPCTY_TTL"/>
    <x v="1"/>
    <s v="9. Concluído"/>
    <s v="OK"/>
    <s v="Concluido, controlos OK"/>
    <m/>
    <x v="0"/>
    <d v="2024-06-07T00:00:00"/>
    <x v="0"/>
    <s v="OK"/>
    <m/>
    <m/>
    <m/>
    <s v="Campo concluido"/>
    <s v="Y"/>
    <s v="N"/>
    <s v="N"/>
    <s v="N"/>
    <s v="N"/>
    <s v="Y"/>
    <x v="0"/>
    <s v="6.1. Fora âmbito | Campos concluídos - Sem necessidade de espec."/>
  </r>
  <r>
    <s v="ENTITY"/>
    <s v="DBT_SRVC_R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DBT_SRVC_RT_12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DBT_YLD"/>
    <x v="1"/>
    <s v="8. Concluído - sem dados"/>
    <s v="OK"/>
    <s v="Concluido, controlos OK"/>
    <m/>
    <x v="0"/>
    <d v="2024-06-07T00:00:00"/>
    <x v="6"/>
    <s v="OK"/>
    <m/>
    <m/>
    <m/>
    <s v="Campo concluído, mas sem ou pouca informação na fonte"/>
    <s v="Y"/>
    <s v="N"/>
    <s v="N"/>
    <s v="N"/>
    <s v="N"/>
    <s v="N"/>
    <x v="0"/>
    <n v="0"/>
  </r>
  <r>
    <s v="ENTITY"/>
    <s v="DCSD"/>
    <x v="1"/>
    <s v="9. Concluído"/>
    <s v="OK"/>
    <s v="Concluido, controlos OK"/>
    <m/>
    <x v="0"/>
    <d v="2024-06-07T00:00:00"/>
    <x v="0"/>
    <s v="OK"/>
    <m/>
    <m/>
    <m/>
    <s v="Campo concluido"/>
    <s v="Y"/>
    <s v="N"/>
    <s v="N"/>
    <s v="N"/>
    <s v="N"/>
    <s v="N"/>
    <x v="0"/>
    <n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x v="1"/>
    <d v="2024-06-07T00:00:00"/>
    <x v="4"/>
    <s v="NOK"/>
    <m/>
    <m/>
    <m/>
    <s v="Pendente de decisão"/>
    <s v="Y"/>
    <s v="N"/>
    <s v="N"/>
    <s v="N"/>
    <s v="N"/>
    <s v="Y"/>
    <x v="1"/>
    <s v="5. Campos com outras possíveis alterações - Dependente de decisões OSI "/>
  </r>
  <r>
    <s v="INSTRUMENT"/>
    <s v="RFNNC_PRPS"/>
    <x v="0"/>
    <s v="2. Alterar especificação"/>
    <s v="OK"/>
    <s v="Alterar especificação. Campo depende do FRBRNC_STTS_INSTRMNT"/>
    <s v="Sempre que o campo FRBRNC_STTS_INSTRMNT =3 o campo RFNNC_PRPS deve estar marcado como Y. Reespecificar, implementar e testar."/>
    <x v="2"/>
    <d v="2024-06-07T00:00:00"/>
    <x v="2"/>
    <s v="OK"/>
    <m/>
    <m/>
    <m/>
    <s v="Melhorias estruturais (garantir coerência entre campos)"/>
    <s v="Y"/>
    <s v="N"/>
    <s v="N"/>
    <s v="N"/>
    <s v="N"/>
    <s v="N"/>
    <x v="0"/>
    <n v="0"/>
  </r>
  <r>
    <s v="INSTRUMENT"/>
    <s v="DPD"/>
    <x v="0"/>
    <s v="7. Analisar controlos e completude"/>
    <s v="NOK"/>
    <s v="Controlos NOK"/>
    <m/>
    <x v="2"/>
    <d v="2024-06-07T00:00:00"/>
    <x v="5"/>
    <s v="NOK"/>
    <m/>
    <m/>
    <m/>
    <s v="Analisar controlos NOK"/>
    <s v="Y"/>
    <s v="N"/>
    <s v="N"/>
    <s v="N"/>
    <s v="N"/>
    <s v="Y"/>
    <x v="1"/>
    <s v="4. Campos com NOK controlos Corporativos"/>
  </r>
  <r>
    <s v="INSTRUMENT"/>
    <s v="DPD_12M"/>
    <x v="0"/>
    <s v="7. Analisar controlos e completude"/>
    <s v="NOK"/>
    <s v="Controlos NOK"/>
    <m/>
    <x v="2"/>
    <d v="2024-06-07T00:00:00"/>
    <x v="5"/>
    <s v="NOK"/>
    <m/>
    <m/>
    <m/>
    <s v="Analisar controlos NOK"/>
    <s v="Y"/>
    <s v="N"/>
    <s v="N"/>
    <s v="N"/>
    <s v="N"/>
    <s v="N"/>
    <x v="0"/>
    <n v="0"/>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x v="2"/>
    <d v="2024-06-07T00:00:00"/>
    <x v="8"/>
    <s v="NOK"/>
    <m/>
    <d v="2022-04-28T00:00:00"/>
    <d v="2022-05-19T00:00:00"/>
    <s v="Melhorias estruturais (garantir coerência entre campos)"/>
    <s v="Y"/>
    <s v="N"/>
    <s v="N"/>
    <s v="N"/>
    <s v="N"/>
    <s v="N"/>
    <x v="0"/>
    <n v="0"/>
  </r>
  <r>
    <s v="INSTRUMENT"/>
    <s v="DPD_12M_PRFRMNG_STTS"/>
    <x v="0"/>
    <s v="5.1 Em testes - Re-especificação"/>
    <s v="NOK"/>
    <s v="Campo depende do histórico do PRFRMNG_STTS. Não é necessário alterar a especificação do mesmo, apenas testar se a metodologia do campo PRFRMNG_STTS for alterada."/>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24M_FRBRNC_STTS"/>
    <x v="0"/>
    <s v="7. Analisar controlos e completude"/>
    <s v="NOK"/>
    <s v="Controlos NOK"/>
    <m/>
    <x v="2"/>
    <d v="2024-06-07T00:00:00"/>
    <x v="5"/>
    <s v="NOK"/>
    <m/>
    <m/>
    <m/>
    <s v="Analisar controlos NOK"/>
    <s v="Y"/>
    <s v="N"/>
    <s v="N"/>
    <s v="N"/>
    <s v="N"/>
    <s v="N"/>
    <x v="0"/>
    <n v="0"/>
  </r>
  <r>
    <s v="INSTRUMENT"/>
    <s v="DPD_24M_PRFRMNG_STTS"/>
    <x v="0"/>
    <s v="5.1 Em testes - Re-especificação"/>
    <s v="N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FRBRNC_STTS"/>
    <x v="0"/>
    <s v="7. Analisar controlos e completude"/>
    <s v="NOK"/>
    <s v="Controlos NOK"/>
    <m/>
    <x v="2"/>
    <d v="2024-06-07T00:00:00"/>
    <x v="5"/>
    <s v="NOK"/>
    <m/>
    <m/>
    <m/>
    <s v="Analisar controlos NOK"/>
    <s v="Y"/>
    <s v="N"/>
    <s v="N"/>
    <s v="N"/>
    <s v="N"/>
    <s v="N"/>
    <x v="0"/>
    <n v="0"/>
  </r>
  <r>
    <s v="INSTRUMENT"/>
    <s v="DPD_PRFRMNG_STT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STI"/>
    <x v="1"/>
    <s v="1. Especificar"/>
    <s v="OK"/>
    <s v="Em especificação (Campos Novos)"/>
    <m/>
    <x v="2"/>
    <d v="2024-06-07T00:00:00"/>
    <x v="3"/>
    <s v="OK"/>
    <m/>
    <m/>
    <m/>
    <s v="Novo campo"/>
    <s v="Y"/>
    <s v="N"/>
    <s v="N"/>
    <s v="N"/>
    <s v="N"/>
    <s v="N"/>
    <x v="0"/>
    <n v="0"/>
  </r>
  <r>
    <s v="PROTECTION"/>
    <s v="TYP_PRTCTN"/>
    <x v="0"/>
    <s v="2. Alterar especificação"/>
    <s v="NOK"/>
    <s v="Alterar especificação (alteração da fonte para MUG)"/>
    <s v="Campo depende do campo 'cgarant' do MUG"/>
    <x v="0"/>
    <d v="2025-01-13T00:00:00"/>
    <x v="0"/>
    <s v="OK"/>
    <s v="Alteração de especificação com base no campo cgarant_bem e cgarant_rpt do MUG. Controlo NOK - A Corporação ajustou o controlo e estes casos passarão a estar OK_x000a_"/>
    <d v="2024-07-19T00:00:00"/>
    <d v="2024-12-20T00:00:00"/>
    <s v="Necessidade de correção de erros"/>
    <s v="Y"/>
    <s v="Y"/>
    <s v="Y"/>
    <s v="N"/>
    <s v="Y"/>
    <s v="N"/>
    <x v="0"/>
    <n v="0"/>
  </r>
  <r>
    <s v="ENTITY"/>
    <s v="DT_BRTH"/>
    <x v="1"/>
    <s v="7. Analisar controlos e completude"/>
    <s v="NOK"/>
    <s v="Controlos NOK"/>
    <m/>
    <x v="2"/>
    <d v="2024-06-07T00:00:00"/>
    <x v="5"/>
    <s v="NOK"/>
    <m/>
    <m/>
    <m/>
    <s v="Analisar controlos NOK"/>
    <s v="Y"/>
    <s v="N"/>
    <s v="N"/>
    <s v="N"/>
    <s v="N"/>
    <s v="N"/>
    <x v="0"/>
    <n v="0"/>
  </r>
  <r>
    <s v="INSTRUMENT"/>
    <s v="DT_CMPLNT_MRTR_STTS_C19"/>
    <x v="1"/>
    <s v="9. Concluído"/>
    <s v="OK"/>
    <s v="Concluido, controlos OK"/>
    <m/>
    <x v="0"/>
    <d v="2024-06-07T00:00:00"/>
    <x v="0"/>
    <s v="OK"/>
    <m/>
    <m/>
    <m/>
    <s v="Campo concluido"/>
    <s v="Y"/>
    <s v="N"/>
    <s v="N"/>
    <s v="N"/>
    <s v="N"/>
    <s v="N"/>
    <x v="0"/>
    <n v="0"/>
  </r>
  <r>
    <s v="INSTRUMENT"/>
    <s v="DT_CMPLNT_MRTR_STTS_PRVS_C19"/>
    <x v="1"/>
    <s v="9. Concluído"/>
    <s v="OK"/>
    <s v="Concluido, controlos OK"/>
    <m/>
    <x v="0"/>
    <d v="2024-06-07T00:00:00"/>
    <x v="0"/>
    <s v="OK"/>
    <m/>
    <m/>
    <m/>
    <s v="Campo concluido"/>
    <s v="Y"/>
    <s v="N"/>
    <s v="N"/>
    <s v="N"/>
    <s v="N"/>
    <s v="N"/>
    <x v="0"/>
    <n v="0"/>
  </r>
  <r>
    <s v="PROTECTION"/>
    <s v="DT_PRTCTN_VL"/>
    <x v="0"/>
    <s v="5.2 Em testes - Incidência"/>
    <s v="NOK"/>
    <s v="Campo com incidência e controlos NOK. "/>
    <s v="Alteração formato de 0001-01-01 para 0000-00-00"/>
    <x v="0"/>
    <d v="2025-01-13T00:00:00"/>
    <x v="0"/>
    <s v="OK"/>
    <s v="Incidência corrigida. Especificação alterada para campo da GT018, de modo a estar coerente com a especificação do campo PRTCTN_VL_x000a_Controlo NOK (ver caderno de testes a 03/12/2023)"/>
    <d v="2024-07-19T00:00:00"/>
    <d v="2024-12-20T00:00:00"/>
    <s v="Necessidade de correção de erros"/>
    <s v="Y"/>
    <s v="N"/>
    <s v="N"/>
    <s v="N"/>
    <s v="N"/>
    <s v="N"/>
    <x v="0"/>
    <n v="0"/>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x v="2"/>
    <d v="2024-06-07T00:00:00"/>
    <x v="1"/>
    <s v="NOK"/>
    <m/>
    <m/>
    <m/>
    <s v="Melhorias estruturais (garantir coerência entre campos)"/>
    <s v="Y"/>
    <s v="N"/>
    <s v="N"/>
    <s v="N"/>
    <s v="N"/>
    <s v="Y"/>
    <x v="1"/>
    <s v="3. Campos em testes ou c/ incidências"/>
  </r>
  <r>
    <s v="INSTRUMENT"/>
    <s v="DT_END_GP_PPAL"/>
    <x v="0"/>
    <s v="7. Analisar controlos e completude"/>
    <s v="NOK"/>
    <s v="Controlos NOK"/>
    <m/>
    <x v="2"/>
    <d v="2024-06-07T00:00:00"/>
    <x v="5"/>
    <s v="NOK"/>
    <m/>
    <m/>
    <m/>
    <s v="Analisar controlos NOK"/>
    <s v="Y"/>
    <s v="N"/>
    <s v="N"/>
    <s v="N"/>
    <s v="N"/>
    <s v="N"/>
    <x v="0"/>
    <n v="0"/>
  </r>
  <r>
    <s v="INSTRUMENT"/>
    <s v="DT_END_GP_PPAL_C19"/>
    <x v="1"/>
    <s v="9. Concluído"/>
    <s v="OK"/>
    <s v="Concluido, controlos OK"/>
    <m/>
    <x v="0"/>
    <d v="2024-06-07T00:00:00"/>
    <x v="0"/>
    <s v="OK"/>
    <m/>
    <m/>
    <m/>
    <s v="Campo concluido"/>
    <s v="Y"/>
    <s v="N"/>
    <s v="N"/>
    <s v="N"/>
    <s v="N"/>
    <s v="N"/>
    <x v="0"/>
    <n v="0"/>
  </r>
  <r>
    <s v="INSTRUMENT"/>
    <s v="DT_END_INTRST_ONLY"/>
    <x v="0"/>
    <s v="7. Analisar controlos e completude"/>
    <s v="NOK"/>
    <s v="Controlos NOK"/>
    <m/>
    <x v="2"/>
    <d v="2024-06-07T00:00:00"/>
    <x v="5"/>
    <s v="NOK"/>
    <m/>
    <m/>
    <m/>
    <s v="Analisar controlos NOK"/>
    <s v="Y"/>
    <s v="N"/>
    <s v="N"/>
    <s v="N"/>
    <s v="N"/>
    <s v="N"/>
    <x v="0"/>
    <n v="0"/>
  </r>
  <r>
    <s v="INSTRUMENT"/>
    <s v="DT_END_INTRST_ONLY_C19"/>
    <x v="1"/>
    <s v="9. Concluído"/>
    <s v="OK"/>
    <s v="Concluido, controlos OK"/>
    <m/>
    <x v="0"/>
    <d v="2024-06-07T00:00:00"/>
    <x v="0"/>
    <s v="OK"/>
    <m/>
    <m/>
    <m/>
    <s v="Campo concluido"/>
    <s v="Y"/>
    <s v="N"/>
    <s v="N"/>
    <s v="N"/>
    <s v="N"/>
    <s v="N"/>
    <x v="0"/>
    <n v="0"/>
  </r>
  <r>
    <s v="PROTECTION"/>
    <s v="CNSTRCTN_STTS"/>
    <x v="1"/>
    <s v="2. Alterar especificação"/>
    <s v="NOK"/>
    <s v="Campo dependente do MUG"/>
    <s v="Campo depende do campo 'cgarant' do MUG"/>
    <x v="0"/>
    <d v="2025-01-13T00:00:00"/>
    <x v="0"/>
    <s v="OK"/>
    <m/>
    <d v="2024-08-09T00:00:00"/>
    <d v="2024-12-20T00:00:00"/>
    <s v="Necessidade de correção de erros"/>
    <s v="Y"/>
    <s v="N"/>
    <s v="N"/>
    <s v="N"/>
    <s v="N"/>
    <s v="N"/>
    <x v="0"/>
    <n v="0"/>
  </r>
  <r>
    <s v="ENTITY"/>
    <s v="DT_FNNCL_STTMT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ENTITY"/>
    <s v="DT_FNNCL_STTMTS_PRV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INSTRUMENT"/>
    <s v="RCVD_INTRST_24M"/>
    <x v="0"/>
    <s v="2. Alterar especificação"/>
    <s v="OK"/>
    <s v="Em especificação (Amortizações Capital/ Juros). Campo com dados mas pouca qualidade"/>
    <m/>
    <x v="2"/>
    <d v="2024-06-07T00:00:00"/>
    <x v="2"/>
    <s v="OK"/>
    <m/>
    <m/>
    <m/>
    <s v="Melhorias estruturais (garantir coerência entre campos)"/>
    <s v="Y"/>
    <s v="N"/>
    <s v="N"/>
    <s v="N"/>
    <s v="N"/>
    <s v="Y"/>
    <x v="1"/>
    <s v="2.2 Re-especificação de campos complexos - Resto"/>
  </r>
  <r>
    <s v="INSTRUMENT"/>
    <s v="DT_FRBRNC_STTS_C19"/>
    <x v="1"/>
    <s v="9. Concluído"/>
    <s v="OK"/>
    <s v="Concluido, controlos OK"/>
    <m/>
    <x v="0"/>
    <d v="2024-06-07T00:00:00"/>
    <x v="0"/>
    <s v="OK"/>
    <m/>
    <m/>
    <m/>
    <s v="Campo concluido"/>
    <s v="Y"/>
    <s v="N"/>
    <s v="N"/>
    <s v="N"/>
    <s v="N"/>
    <s v="N"/>
    <x v="0"/>
    <n v="0"/>
  </r>
  <r>
    <s v="INSTRUMENT"/>
    <s v="RCVD_INTRST_12M"/>
    <x v="0"/>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DT_FRBRNC_STTS_PRVS_C19"/>
    <x v="1"/>
    <s v="9. Concluído"/>
    <s v="OK"/>
    <s v="Concluido, controlos OK"/>
    <m/>
    <x v="0"/>
    <d v="2024-06-07T00:00:00"/>
    <x v="0"/>
    <s v="OK"/>
    <m/>
    <m/>
    <m/>
    <s v="Campo concluido"/>
    <s v="Y"/>
    <s v="N"/>
    <s v="N"/>
    <s v="N"/>
    <s v="N"/>
    <s v="N"/>
    <x v="0"/>
    <n v="0"/>
  </r>
  <r>
    <s v="PROTECTION"/>
    <s v="DT_FRST_USG"/>
    <x v="1"/>
    <s v="7. Analisar controlos e completude"/>
    <s v="NOK"/>
    <s v="Controlos NOK por parte de Riscos"/>
    <m/>
    <x v="2"/>
    <d v="2024-06-07T00:00:00"/>
    <x v="5"/>
    <s v="NOK"/>
    <m/>
    <m/>
    <m/>
    <s v="Analisar controlos NOK"/>
    <s v="Y"/>
    <s v="N"/>
    <s v="N"/>
    <s v="N"/>
    <s v="N"/>
    <s v="N"/>
    <x v="0"/>
    <n v="0"/>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N"/>
    <x v="0"/>
    <n v="0"/>
  </r>
  <r>
    <s v="INSTRUMENT"/>
    <s v="DT_INCPTN"/>
    <x v="0"/>
    <s v="7. Analisar controlos e completude"/>
    <s v="NOK"/>
    <s v="Controlos NOK"/>
    <m/>
    <x v="2"/>
    <d v="2024-06-07T00:00:00"/>
    <x v="5"/>
    <s v="NOK"/>
    <m/>
    <m/>
    <m/>
    <s v="Analisar controlos NOK"/>
    <s v="Y"/>
    <s v="N"/>
    <s v="Y"/>
    <s v="N"/>
    <s v="N"/>
    <s v="Y"/>
    <x v="1"/>
    <s v="4. Campos com NOK controlos Corporativos"/>
  </r>
  <r>
    <s v="ENTITY"/>
    <s v="DT_INTRNL_RTNG"/>
    <x v="0"/>
    <s v="5.1 Em testes - Re-especificação"/>
    <s v="NOK"/>
    <s v="Em testes, campo entregue por IT durante a OSI. Incidência nos formatos. Testar e validar controlos NOK"/>
    <m/>
    <x v="1"/>
    <d v="2024-06-07T00:00:00"/>
    <x v="8"/>
    <s v="NOK"/>
    <s v="Campo entregue durante a OSI"/>
    <d v="2024-02-16T00:00:00"/>
    <d v="2024-05-24T00:00:00"/>
    <s v="Necessidade de correção de erros"/>
    <s v="Y"/>
    <s v="N"/>
    <s v="N"/>
    <s v="N"/>
    <s v="N"/>
    <s v="Y"/>
    <x v="1"/>
    <s v="3. Campos em testes ou c/ incidências"/>
  </r>
  <r>
    <s v="INSTRUMENT"/>
    <s v="DT_INTRNL_RTNG"/>
    <x v="0"/>
    <s v="5.1 Em testes - Re-especificação"/>
    <s v="NOK"/>
    <s v="Em testes, campo entregue por IT durante a OSI. Testar e validar controlos"/>
    <m/>
    <x v="1"/>
    <d v="2024-06-07T00:00:00"/>
    <x v="8"/>
    <s v="NOK"/>
    <s v="Campo entregue durante a OSI"/>
    <d v="2024-02-16T00:00:00"/>
    <d v="2024-05-24T00:00:00"/>
    <s v="Necessidade de correção de erros"/>
    <s v="Y"/>
    <s v="N"/>
    <s v="N"/>
    <s v="N"/>
    <s v="N"/>
    <s v="Y"/>
    <x v="1"/>
    <s v="3. Campos em testes ou c/ incidências"/>
  </r>
  <r>
    <s v="ENTITY"/>
    <s v="DT_INTTN_LGL_PRCDNGS_LE"/>
    <x v="0"/>
    <s v="9. Concluído"/>
    <s v="OK"/>
    <s v="Concluido, controlos OK"/>
    <m/>
    <x v="0"/>
    <d v="2024-06-07T00:00:00"/>
    <x v="0"/>
    <s v="OK"/>
    <m/>
    <m/>
    <m/>
    <s v="Campo concluido"/>
    <s v="Y"/>
    <s v="N"/>
    <s v="N"/>
    <s v="N"/>
    <s v="N"/>
    <s v="Y"/>
    <x v="0"/>
    <s v="6.1. Fora âmbito | Campos concluídos - Sem necessidade de espec."/>
  </r>
  <r>
    <s v="PROTECTION"/>
    <s v="DVLPMNT_STTS"/>
    <x v="0"/>
    <s v="2. Alterar especificação"/>
    <s v="NOK"/>
    <s v="Alterar especificação. Campo dependente do MUG"/>
    <s v="Campo depende do campo 'cgarant' do MUG"/>
    <x v="0"/>
    <d v="2025-01-13T00:00:00"/>
    <x v="0"/>
    <s v="OK"/>
    <s v="Mapeamento de acordo com o CNSTRCTN_STTS"/>
    <d v="2024-08-09T00:00:00"/>
    <d v="2024-12-20T00:00:00"/>
    <s v="Necessidade de correção de erros"/>
    <s v="Y"/>
    <s v="N"/>
    <s v="N"/>
    <s v="N"/>
    <s v="N"/>
    <s v="N"/>
    <x v="0"/>
    <n v="0"/>
  </r>
  <r>
    <s v="PROTECTION"/>
    <s v="DT_LST_FLL_APPRSL"/>
    <x v="0"/>
    <s v="5.2 Em testes - Incidência"/>
    <s v="NOK"/>
    <s v="Campo com incidência e controlos NOK"/>
    <s v="1) Campo com incidência, data igual à data da protection_vl 2) Alteração de formatos MISS"/>
    <x v="0"/>
    <d v="2025-01-13T00:00:00"/>
    <x v="0"/>
    <s v="OK"/>
    <s v="Campo está a reportar a data da última avaliação e não a data da última avaliação in person. Implementação não está a aplicar a metodologia de cálculo de acordo com a especificação"/>
    <d v="2024-06-28T00:00:00"/>
    <d v="2024-12-20T00:00:00"/>
    <s v="Necessidade de correção de erros"/>
    <s v="Y"/>
    <s v="N"/>
    <s v="N"/>
    <s v="N"/>
    <s v="N"/>
    <s v="N"/>
    <x v="0"/>
    <n v="0"/>
  </r>
  <r>
    <s v="PROTECTION"/>
    <s v="DT_MTRTY_PRTCTN"/>
    <x v="0"/>
    <s v="7. Analisar controlos e completude"/>
    <s v="NOK"/>
    <s v="Controlos NOK por parte de Riscos"/>
    <m/>
    <x v="2"/>
    <d v="2024-06-07T00:00:00"/>
    <x v="5"/>
    <s v="NOK"/>
    <m/>
    <m/>
    <m/>
    <s v="Analisar controlos NOK"/>
    <s v="Y"/>
    <s v="N"/>
    <s v="N"/>
    <s v="N"/>
    <s v="N"/>
    <s v="N"/>
    <x v="0"/>
    <n v="0"/>
  </r>
  <r>
    <s v="INSTRUMENT"/>
    <s v="SICR_ASSSSMNT_MTHD"/>
    <x v="0"/>
    <s v="3. Pendente de decisão"/>
    <s v="OK"/>
    <s v="Rever com Corporação se a codelist do IMPRMNT_STTS alterou, caso não tenha alterado não é necessário alterar o campo."/>
    <m/>
    <x v="0"/>
    <d v="2024-06-28T00:00:00"/>
    <x v="0"/>
    <s v="OK"/>
    <s v="E-mail enviado para Corporação. Codelist IMPRMNT_STTS não alterou"/>
    <m/>
    <s v="-"/>
    <s v="Campo concluido"/>
    <s v="Y"/>
    <s v="N"/>
    <s v="N"/>
    <s v="N"/>
    <s v="N"/>
    <s v="Y"/>
    <x v="0"/>
    <s v="6.1. Fora âmbito | Campos concluídos - Sem necessidade de espec."/>
  </r>
  <r>
    <s v="INSTRUMENT"/>
    <s v="DT_ORGNL_MTRTY"/>
    <x v="0"/>
    <s v="7. Analisar controlos e completude"/>
    <s v="NOK"/>
    <s v="Controlos NOK"/>
    <m/>
    <x v="2"/>
    <d v="2024-06-07T00:00:00"/>
    <x v="5"/>
    <s v="NOK"/>
    <m/>
    <m/>
    <m/>
    <s v="Analisar controlos NOK"/>
    <s v="Y"/>
    <s v="N"/>
    <s v="N"/>
    <s v="N"/>
    <s v="N"/>
    <s v="Y"/>
    <x v="1"/>
    <s v="4. Campos com NOK controlos Corporativos"/>
  </r>
  <r>
    <s v="PROTECTION"/>
    <s v="NTNL_ID"/>
    <x v="0"/>
    <s v="5.2 Em testes - Incidência"/>
    <s v="NOK"/>
    <s v="Campo com incidência (Formatos). Remover aspas"/>
    <m/>
    <x v="0"/>
    <d v="2025-01-13T00:00:00"/>
    <x v="0"/>
    <s v="OK"/>
    <m/>
    <d v="2024-08-09T00:00:00"/>
    <d v="2024-12-20T00:00:00"/>
    <s v="Necessidade de correção de erros"/>
    <s v="Y"/>
    <s v="N"/>
    <s v="N"/>
    <s v="N"/>
    <s v="N"/>
    <s v="N"/>
    <x v="0"/>
    <n v="0"/>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x v="1"/>
    <d v="2025-01-13T00:00:00"/>
    <x v="8"/>
    <s v="OK"/>
    <s v="Alteração de fonte e tabelas reporting para tabelas terminadas em 7_8_x000a_"/>
    <d v="2024-08-30T00:00:00"/>
    <m/>
    <s v="Necessidade de correção de erros"/>
    <s v="Y"/>
    <s v="N"/>
    <s v="Y"/>
    <s v="N"/>
    <s v="N"/>
    <s v="Y"/>
    <x v="0"/>
    <s v="6.2.  Fora âmbito | Campos em testes ou c/ incidências (LT - PM)"/>
  </r>
  <r>
    <s v="INSTRUMENT"/>
    <s v="DT_PST_D"/>
    <x v="0"/>
    <s v="7. Analisar controlos e completude"/>
    <s v="NOK"/>
    <s v="Controlos NOK"/>
    <m/>
    <x v="2"/>
    <d v="2024-06-07T00:00:00"/>
    <x v="5"/>
    <s v="NOK"/>
    <m/>
    <m/>
    <m/>
    <s v="Analisar controlos NOK"/>
    <s v="Y"/>
    <s v="N"/>
    <s v="N"/>
    <s v="N"/>
    <s v="N"/>
    <s v="Y"/>
    <x v="1"/>
    <s v="4. Campos com NOK controlos Corporativos"/>
  </r>
  <r>
    <s v="ENTITY"/>
    <s v="DT_RFRNC"/>
    <x v="0"/>
    <s v="9. Concluído"/>
    <s v="OK"/>
    <s v="Concluido, controlos OK"/>
    <m/>
    <x v="0"/>
    <d v="2024-06-07T00:00:00"/>
    <x v="0"/>
    <s v="OK"/>
    <m/>
    <m/>
    <m/>
    <s v="Campo concluido"/>
    <s v="Y"/>
    <s v="N"/>
    <s v="Y"/>
    <s v="N"/>
    <s v="N"/>
    <s v="Y"/>
    <x v="0"/>
    <s v="6.1. Fora âmbito | Campos concluídos - Sem necessidade de espec."/>
  </r>
  <r>
    <s v="INSTR_ENTITY"/>
    <s v="DT_RFRNC"/>
    <x v="0"/>
    <s v="9. Concluído"/>
    <s v="OK"/>
    <s v="Concluido, controlos OK"/>
    <m/>
    <x v="0"/>
    <d v="2024-06-07T00:00:00"/>
    <x v="0"/>
    <s v="OK"/>
    <m/>
    <m/>
    <m/>
    <s v="Campo concluido"/>
    <s v="Y"/>
    <s v="N"/>
    <s v="Y"/>
    <s v="N"/>
    <s v="N"/>
    <s v="Y"/>
    <x v="0"/>
    <s v="6.1. Fora âmbito | Campos concluídos - Sem necessidade de espec."/>
  </r>
  <r>
    <s v="INSTR_PROTECTION"/>
    <s v="DT_RFRNC"/>
    <x v="0"/>
    <s v="9. Concluído"/>
    <s v="OK"/>
    <s v="Concluido, controlos OK"/>
    <m/>
    <x v="0"/>
    <d v="2024-06-07T00:00:00"/>
    <x v="0"/>
    <s v="OK"/>
    <m/>
    <m/>
    <m/>
    <s v="Campo concluido"/>
    <s v="Y"/>
    <s v="Y"/>
    <s v="Y"/>
    <s v="N"/>
    <s v="N"/>
    <s v="N"/>
    <x v="0"/>
    <n v="0"/>
  </r>
  <r>
    <s v="INSTRUMENT"/>
    <s v="DT_RFRNC"/>
    <x v="0"/>
    <s v="9. Concluído"/>
    <s v="OK"/>
    <s v="Concluido, controlos OK"/>
    <m/>
    <x v="0"/>
    <d v="2024-06-07T00:00:00"/>
    <x v="0"/>
    <s v="OK"/>
    <m/>
    <m/>
    <m/>
    <s v="Campo concluido"/>
    <s v="Y"/>
    <s v="Y"/>
    <s v="Y"/>
    <s v="N"/>
    <s v="Y"/>
    <s v="Y"/>
    <x v="0"/>
    <s v="6.1. Fora âmbito | Campos concluídos - Sem necessidade de espec."/>
  </r>
  <r>
    <s v="PROTECTION"/>
    <s v="DT_RFRNC"/>
    <x v="0"/>
    <s v="9. Concluído"/>
    <s v="OK"/>
    <s v="Concluido, controlos OK"/>
    <m/>
    <x v="0"/>
    <d v="2024-06-07T00:00:00"/>
    <x v="0"/>
    <s v="OK"/>
    <m/>
    <m/>
    <m/>
    <s v="Campo concluido"/>
    <s v="Y"/>
    <s v="Y"/>
    <s v="Y"/>
    <s v="N"/>
    <s v="Y"/>
    <s v="N"/>
    <x v="0"/>
    <n v="0"/>
  </r>
  <r>
    <s v="INSTRUMENT"/>
    <s v="DT_STRT_GP_PPAL"/>
    <x v="0"/>
    <s v="7. Analisar controlos e completude"/>
    <s v="NOK"/>
    <s v="Controlos NOK"/>
    <m/>
    <x v="2"/>
    <d v="2024-06-07T00:00:00"/>
    <x v="5"/>
    <s v="NOK"/>
    <m/>
    <m/>
    <m/>
    <s v="Analisar controlos NOK"/>
    <s v="Y"/>
    <s v="N"/>
    <s v="N"/>
    <s v="N"/>
    <s v="N"/>
    <s v="N"/>
    <x v="0"/>
    <n v="0"/>
  </r>
  <r>
    <s v="INSTRUMENT"/>
    <s v="DT_STRT_INTRST_ONLY"/>
    <x v="0"/>
    <s v="7. Analisar controlos e completude"/>
    <s v="NOK"/>
    <s v="Controlos NOK"/>
    <m/>
    <x v="2"/>
    <d v="2024-06-07T00:00:00"/>
    <x v="5"/>
    <s v="NOK"/>
    <m/>
    <m/>
    <m/>
    <s v="Analisar controlos NOK"/>
    <s v="Y"/>
    <s v="N"/>
    <s v="N"/>
    <s v="N"/>
    <s v="N"/>
    <s v="N"/>
    <x v="0"/>
    <n v="0"/>
  </r>
  <r>
    <s v="INSTRUMENT"/>
    <s v="DT_VLTN"/>
    <x v="1"/>
    <s v="9. Concluído"/>
    <s v="OK"/>
    <s v="Concluido, controlos OK"/>
    <m/>
    <x v="0"/>
    <d v="2024-06-07T00:00:00"/>
    <x v="0"/>
    <s v="OK"/>
    <m/>
    <m/>
    <m/>
    <s v="Campo concluido"/>
    <s v="Y"/>
    <s v="N"/>
    <s v="N"/>
    <s v="N"/>
    <s v="N"/>
    <s v="N"/>
    <x v="0"/>
    <n v="0"/>
  </r>
  <r>
    <s v="INSTRUMENT"/>
    <s v="POCI"/>
    <x v="0"/>
    <s v="9. Concluído"/>
    <s v="OK"/>
    <s v="Concluido, controlos OK"/>
    <m/>
    <x v="0"/>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s v="Campo concluido"/>
    <s v="Y"/>
    <s v="N"/>
    <s v="N"/>
    <s v="N"/>
    <s v="N"/>
    <s v="N"/>
    <x v="0"/>
    <n v="0"/>
  </r>
  <r>
    <s v="INSTRUMENT"/>
    <s v="EAD"/>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s v="Necessidade de correção de erros"/>
    <s v="Y"/>
    <s v="Y"/>
    <s v="N"/>
    <s v="N"/>
    <s v="Y"/>
    <s v="Y"/>
    <x v="1"/>
    <s v="3. Campos em testes ou c/ incidências"/>
  </r>
  <r>
    <s v="INSTRUMENT"/>
    <s v="EBA_CMPLNT_MRTR_ST_C19"/>
    <x v="1"/>
    <s v="9. Concluído"/>
    <s v="OK"/>
    <s v="Concluido, controlos OK"/>
    <m/>
    <x v="0"/>
    <d v="2024-06-07T00:00:00"/>
    <x v="0"/>
    <s v="OK"/>
    <m/>
    <m/>
    <m/>
    <s v="Campo concluido"/>
    <s v="Y"/>
    <s v="N"/>
    <s v="N"/>
    <s v="N"/>
    <s v="N"/>
    <s v="N"/>
    <x v="0"/>
    <n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x v="1"/>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s v="Pendente de decisão"/>
    <s v="Y"/>
    <s v="N"/>
    <s v="N"/>
    <s v="N"/>
    <s v="N"/>
    <s v="N"/>
    <x v="0"/>
    <n v="0"/>
  </r>
  <r>
    <s v="INSTRUMENT"/>
    <s v="INSTLMNT_PAY"/>
    <x v="1"/>
    <s v="2. Alterar especificação"/>
    <s v="OK"/>
    <s v="Campo especificado, mas com pouca qualidade de dados"/>
    <m/>
    <x v="2"/>
    <d v="2024-06-07T00:00:00"/>
    <x v="2"/>
    <s v="OK"/>
    <m/>
    <m/>
    <m/>
    <s v="Campo concluído, mas sem ou pouca informação na fonte"/>
    <s v="Y"/>
    <s v="N"/>
    <s v="N"/>
    <s v="N"/>
    <s v="N"/>
    <s v="N"/>
    <x v="0"/>
    <n v="0"/>
  </r>
  <r>
    <s v="ENTITY"/>
    <s v="EC_GRP_ID"/>
    <x v="1"/>
    <s v="1. Especificar"/>
    <s v="OK"/>
    <s v="Em especificação (Campos Novos)"/>
    <m/>
    <x v="2"/>
    <d v="2024-06-07T00:00:00"/>
    <x v="3"/>
    <s v="OK"/>
    <m/>
    <m/>
    <m/>
    <s v="Novo campo"/>
    <s v="Y"/>
    <s v="N"/>
    <s v="N"/>
    <s v="N"/>
    <s v="N"/>
    <s v="Y"/>
    <x v="1"/>
    <s v="2.2 Re-especificação de campos complexos - Resto"/>
  </r>
  <r>
    <s v="ENTITY"/>
    <s v="EC_GRP_NM"/>
    <x v="1"/>
    <s v="1. Especificar"/>
    <s v="OK"/>
    <s v="Em especificação (Campos Novos)"/>
    <m/>
    <x v="2"/>
    <d v="2024-06-07T00:00:00"/>
    <x v="3"/>
    <s v="OK"/>
    <m/>
    <m/>
    <m/>
    <s v="Novo campo"/>
    <s v="Y"/>
    <s v="N"/>
    <s v="Y"/>
    <s v="N"/>
    <s v="N"/>
    <s v="Y"/>
    <x v="1"/>
    <s v="2.2 Re-especificação de campos complexos - Resto"/>
  </r>
  <r>
    <s v="ENTITY"/>
    <s v="ECNMC_ACTVTY"/>
    <x v="0"/>
    <s v="9. Concluído"/>
    <s v="OK"/>
    <s v="Concluido, controlos OK"/>
    <m/>
    <x v="0"/>
    <d v="2024-06-07T00:00:00"/>
    <x v="0"/>
    <s v="OK"/>
    <m/>
    <m/>
    <m/>
    <s v="Campo concluido"/>
    <s v="Y"/>
    <s v="N"/>
    <s v="Y"/>
    <s v="N"/>
    <s v="Y"/>
    <s v="Y"/>
    <x v="0"/>
    <s v="6.1. Fora âmbito | Campos concluídos - Sem necessidade de espec."/>
  </r>
  <r>
    <s v="INSTRUMENT"/>
    <s v="EIR"/>
    <x v="0"/>
    <s v="7. Analisar controlos e completude"/>
    <s v="NOK"/>
    <s v="Controlos NOK"/>
    <m/>
    <x v="2"/>
    <d v="2024-06-07T00:00:00"/>
    <x v="5"/>
    <s v="NOK"/>
    <m/>
    <m/>
    <m/>
    <s v="Analisar controlos NOK"/>
    <s v="Y"/>
    <s v="N"/>
    <s v="N"/>
    <s v="N"/>
    <s v="N"/>
    <s v="Y"/>
    <x v="1"/>
    <s v="4. Campos com NOK controlos Corporativos"/>
  </r>
  <r>
    <s v="INSTRUMENT"/>
    <s v="EIR_INCPTN"/>
    <x v="0"/>
    <s v="7. Analisar controlos e completude"/>
    <s v="NOK"/>
    <s v="Controlos NOK"/>
    <m/>
    <x v="2"/>
    <d v="2024-06-07T00:00:00"/>
    <x v="5"/>
    <s v="NOK"/>
    <m/>
    <m/>
    <m/>
    <s v="Analisar controlos NOK"/>
    <s v="Y"/>
    <s v="N"/>
    <s v="Y"/>
    <s v="N"/>
    <s v="N"/>
    <s v="N"/>
    <x v="0"/>
    <n v="0"/>
  </r>
  <r>
    <s v="INSTRUMENT"/>
    <s v="ELGBLTY_ECB"/>
    <x v="1"/>
    <s v="9. Concluído"/>
    <s v="OK"/>
    <s v="Concluido, controlos OK"/>
    <m/>
    <x v="0"/>
    <d v="2024-06-07T00:00:00"/>
    <x v="0"/>
    <s v="OK"/>
    <m/>
    <m/>
    <m/>
    <s v="Campo concluido"/>
    <s v="Y"/>
    <s v="N"/>
    <s v="N"/>
    <s v="N"/>
    <s v="N"/>
    <s v="N"/>
    <x v="0"/>
    <n v="0"/>
  </r>
  <r>
    <s v="ENTITY"/>
    <s v="EMPLYMNT_STTS"/>
    <x v="1"/>
    <s v="9. Concluído"/>
    <s v="OK"/>
    <s v="Concluido, controlos OK"/>
    <m/>
    <x v="0"/>
    <d v="2024-06-07T00:00:00"/>
    <x v="0"/>
    <s v="OK"/>
    <m/>
    <m/>
    <m/>
    <s v="Campo concluido"/>
    <s v="Y"/>
    <s v="N"/>
    <s v="N"/>
    <s v="N"/>
    <s v="N"/>
    <s v="N"/>
    <x v="0"/>
    <n v="0"/>
  </r>
  <r>
    <s v="ENTITY"/>
    <s v="EMPLYMNT_STTS_INTRNL"/>
    <x v="1"/>
    <s v="9. Concluído"/>
    <s v="OK"/>
    <s v="Concluido, controlos OK"/>
    <m/>
    <x v="0"/>
    <d v="2024-06-07T00:00:00"/>
    <x v="0"/>
    <s v="OK"/>
    <m/>
    <m/>
    <m/>
    <s v="Campo concluido"/>
    <s v="Y"/>
    <s v="N"/>
    <s v="N"/>
    <s v="N"/>
    <s v="N"/>
    <s v="N"/>
    <x v="0"/>
    <n v="0"/>
  </r>
  <r>
    <s v="ENTITY"/>
    <s v="ENTRPRS_SZ_LE"/>
    <x v="0"/>
    <s v="7. Analisar controlos e completude"/>
    <s v="NOK"/>
    <s v="Controlos NOK"/>
    <m/>
    <x v="2"/>
    <d v="2024-06-07T00:00:00"/>
    <x v="5"/>
    <s v="NOK"/>
    <m/>
    <m/>
    <m/>
    <s v="Analisar controlos NOK"/>
    <s v="Y"/>
    <s v="N"/>
    <s v="N"/>
    <s v="N"/>
    <s v="N"/>
    <s v="N"/>
    <x v="0"/>
    <n v="0"/>
  </r>
  <r>
    <s v="ENTITY"/>
    <s v="ENTTY_ID"/>
    <x v="0"/>
    <s v="7. Analisar controlos e completude"/>
    <s v="NOK"/>
    <s v="Controlos NOK"/>
    <m/>
    <x v="2"/>
    <d v="2024-06-07T00:00:00"/>
    <x v="5"/>
    <s v="NOK"/>
    <m/>
    <m/>
    <m/>
    <s v="Analisar controlos NOK"/>
    <s v="Y"/>
    <s v="N"/>
    <s v="Y"/>
    <s v="N"/>
    <s v="Y"/>
    <s v="Y"/>
    <x v="1"/>
    <s v="4. Campos com NOK controlos Corporativos"/>
  </r>
  <r>
    <s v="INSTR_ENTITY"/>
    <s v="ENTTY_ID"/>
    <x v="0"/>
    <s v="7. Analisar controlos e completude"/>
    <s v="NOK"/>
    <s v="Controlos NOK"/>
    <m/>
    <x v="2"/>
    <d v="2024-06-07T00:00:00"/>
    <x v="5"/>
    <s v="NOK"/>
    <m/>
    <m/>
    <m/>
    <s v="Analisar controlos NOK"/>
    <s v="Y"/>
    <s v="N"/>
    <s v="Y"/>
    <s v="N"/>
    <s v="N"/>
    <s v="Y"/>
    <x v="1"/>
    <s v="4. Campos com NOK controlos Corporativos"/>
  </r>
  <r>
    <s v="ENTITY"/>
    <s v="ENTTY_NM"/>
    <x v="0"/>
    <s v="9. Concluído"/>
    <s v="OK"/>
    <s v="Concluido, controlos OK"/>
    <m/>
    <x v="0"/>
    <d v="2024-06-07T00:00:00"/>
    <x v="0"/>
    <s v="OK"/>
    <m/>
    <m/>
    <m/>
    <s v="Campo concluido"/>
    <s v="Y"/>
    <s v="N"/>
    <s v="Y"/>
    <s v="N"/>
    <s v="N"/>
    <s v="Y"/>
    <x v="0"/>
    <s v="6.1. Fora âmbito | Campos concluídos - Sem necessidade de espec."/>
  </r>
  <r>
    <s v="ENTITY"/>
    <s v="EQTY"/>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EQTY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EXPCTD_LSS_CRR"/>
    <x v="1"/>
    <s v="4.1 Em implementação - Re-especificação"/>
    <s v="OK"/>
    <s v="Aguarda implementação de IT"/>
    <m/>
    <x v="2"/>
    <d v="2024-06-17T00:00:00"/>
    <x v="8"/>
    <s v="OK"/>
    <m/>
    <d v="2024-02-02T00:00:00"/>
    <d v="2024-03-28T00:00:00"/>
    <s v="Novo campo"/>
    <s v="Y"/>
    <s v="N"/>
    <s v="N"/>
    <s v="N"/>
    <s v="N"/>
    <s v="N"/>
    <x v="0"/>
    <n v="0"/>
  </r>
  <r>
    <s v="INSTRUMENT"/>
    <s v="EXPSR_IN_SCP"/>
    <x v="0"/>
    <s v="9. Concluído"/>
    <s v="OK"/>
    <s v="Concluido, controlos OK"/>
    <m/>
    <x v="0"/>
    <d v="2024-06-07T00:00:00"/>
    <x v="0"/>
    <s v="OK"/>
    <m/>
    <m/>
    <m/>
    <s v="Campo concluido"/>
    <s v="Y"/>
    <s v="N"/>
    <s v="N"/>
    <s v="N"/>
    <s v="N"/>
    <s v="Y"/>
    <x v="0"/>
    <s v="6.1. Fora âmbito | Campos concluídos - Sem necessidade de espec."/>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OK"/>
    <m/>
    <m/>
    <m/>
    <s v="Melhorias estruturais (garantir coerência entre campos)"/>
    <s v="Y"/>
    <s v="N"/>
    <s v="Y"/>
    <s v="N"/>
    <s v="N"/>
    <s v="Y"/>
    <x v="1"/>
    <s v="2.2 Re-especificação de campos complexos - Resto"/>
  </r>
  <r>
    <s v="ENTITY"/>
    <s v="EXTRNL_RTNG_PRVS"/>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EXTRNL_RTNG_NM"/>
    <x v="0"/>
    <s v="2. Alterar especificação"/>
    <s v="NOK"/>
    <s v="Alterar especificação para casos em informação na fonte."/>
    <s v="Quando não existe informação na fonte em vez de MISS substituir por NA"/>
    <x v="1"/>
    <d v="2024-06-07T00:00:00"/>
    <x v="2"/>
    <s v="NOK"/>
    <m/>
    <m/>
    <m/>
    <s v="Alteração de especificação por parte do BCE"/>
    <s v="Y"/>
    <s v="N"/>
    <s v="N"/>
    <s v="N"/>
    <s v="N"/>
    <s v="Y"/>
    <x v="1"/>
    <s v="2.2 Re-especificação de campos complexos - Resto"/>
  </r>
  <r>
    <s v="INSTRUMENT"/>
    <s v="FLD_SYND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FLG_BNKRPTCY_IN_GRP"/>
    <x v="0"/>
    <s v="9. Concluído"/>
    <s v="OK"/>
    <s v="Concluido, controlos OK"/>
    <m/>
    <x v="0"/>
    <d v="2024-06-07T00:00:00"/>
    <x v="0"/>
    <s v="OK"/>
    <m/>
    <m/>
    <m/>
    <s v="Campo concluido"/>
    <s v="Y"/>
    <s v="N"/>
    <s v="N"/>
    <s v="N"/>
    <s v="N"/>
    <s v="N"/>
    <x v="0"/>
    <n v="0"/>
  </r>
  <r>
    <s v="ENTITY"/>
    <s v="FLG_HGH_CDS"/>
    <x v="0"/>
    <s v="9. Concluído"/>
    <s v="OK"/>
    <s v="Concluido, controlos OK"/>
    <m/>
    <x v="0"/>
    <d v="2024-06-07T00:00:00"/>
    <x v="0"/>
    <s v="OK"/>
    <m/>
    <m/>
    <m/>
    <s v="Campo concluido"/>
    <s v="Y"/>
    <s v="N"/>
    <s v="N"/>
    <s v="N"/>
    <s v="N"/>
    <s v="N"/>
    <x v="0"/>
    <n v="0"/>
  </r>
  <r>
    <s v="ENTITY"/>
    <s v="FLG_ISDA_CRDT_EVNT"/>
    <x v="0"/>
    <s v="9. Concluído"/>
    <s v="OK"/>
    <s v="Concluido, controlos OK"/>
    <m/>
    <x v="0"/>
    <d v="2024-06-07T00:00:00"/>
    <x v="0"/>
    <s v="OK"/>
    <m/>
    <m/>
    <m/>
    <s v="Campo concluido"/>
    <s v="Y"/>
    <s v="N"/>
    <s v="N"/>
    <s v="N"/>
    <s v="N"/>
    <s v="N"/>
    <x v="0"/>
    <n v="0"/>
  </r>
  <r>
    <s v="INSTRUMENT"/>
    <s v="FLG_LBO"/>
    <x v="1"/>
    <s v="9. Concluído"/>
    <s v="OK"/>
    <s v="Concluido, controlos OK"/>
    <m/>
    <x v="0"/>
    <d v="2024-06-07T00:00:00"/>
    <x v="0"/>
    <s v="OK"/>
    <m/>
    <m/>
    <m/>
    <s v="Campo concluido"/>
    <s v="Y"/>
    <s v="N"/>
    <s v="N"/>
    <s v="N"/>
    <s v="N"/>
    <s v="Y"/>
    <x v="2"/>
    <s v="6.3. Fora âmbito | Fonte Manual LF"/>
  </r>
  <r>
    <s v="ENTITY"/>
    <s v="FLG_NN_ACCRL"/>
    <x v="0"/>
    <s v="9. Concluído"/>
    <s v="OK"/>
    <s v="Concluido, controlos OK"/>
    <m/>
    <x v="0"/>
    <d v="2024-06-07T00:00:00"/>
    <x v="0"/>
    <s v="OK"/>
    <m/>
    <m/>
    <m/>
    <s v="Campo concluido"/>
    <s v="Y"/>
    <s v="N"/>
    <s v="N"/>
    <s v="N"/>
    <s v="N"/>
    <s v="N"/>
    <x v="0"/>
    <n v="0"/>
  </r>
  <r>
    <s v="ENTITY"/>
    <s v="FLG_RQST_BNKRPTCY"/>
    <x v="0"/>
    <s v="9. Concluído"/>
    <s v="OK"/>
    <s v="Concluido, controlos OK"/>
    <m/>
    <x v="0"/>
    <d v="2024-06-07T00:00:00"/>
    <x v="0"/>
    <s v="OK"/>
    <m/>
    <m/>
    <m/>
    <s v="Campo concluido"/>
    <s v="Y"/>
    <s v="N"/>
    <s v="N"/>
    <s v="N"/>
    <s v="N"/>
    <s v="N"/>
    <x v="0"/>
    <n v="0"/>
  </r>
  <r>
    <s v="ENTITY"/>
    <s v="FLG_RQST_DSTRSSD_RSTRCTRNG"/>
    <x v="0"/>
    <s v="1. Especificar"/>
    <s v="NOK"/>
    <s v="Em especificação, rever fonte"/>
    <m/>
    <x v="2"/>
    <d v="2024-06-07T00:00:00"/>
    <x v="3"/>
    <s v="NOK"/>
    <m/>
    <m/>
    <m/>
    <s v="Melhorias estruturais (garantir coerência entre campos)"/>
    <s v="Y"/>
    <s v="N"/>
    <s v="N"/>
    <s v="N"/>
    <s v="N"/>
    <s v="N"/>
    <x v="0"/>
    <n v="0"/>
  </r>
  <r>
    <s v="ENTITY"/>
    <s v="FLG_RQST_EMRGNCY_FNDNG"/>
    <x v="0"/>
    <s v="9. Concluído"/>
    <s v="OK"/>
    <s v="Concluido, controlos OK"/>
    <m/>
    <x v="0"/>
    <d v="2024-06-07T00:00:00"/>
    <x v="0"/>
    <s v="OK"/>
    <m/>
    <m/>
    <m/>
    <s v="Campo concluido"/>
    <s v="Y"/>
    <s v="N"/>
    <s v="N"/>
    <s v="N"/>
    <s v="N"/>
    <s v="Y"/>
    <x v="0"/>
    <s v="6.1. Fora âmbito | Campos concluídos - Sem necessidade de espec."/>
  </r>
  <r>
    <s v="ENTITY"/>
    <s v="FLG_SLL_WTH_LSS"/>
    <x v="0"/>
    <s v="9. Concluído"/>
    <s v="OK"/>
    <s v="Concluido, controlos OK"/>
    <m/>
    <x v="0"/>
    <d v="2024-06-07T00:00:00"/>
    <x v="0"/>
    <s v="OK"/>
    <m/>
    <m/>
    <m/>
    <s v="Campo concluido"/>
    <s v="Y"/>
    <s v="N"/>
    <s v="N"/>
    <s v="N"/>
    <s v="N"/>
    <s v="N"/>
    <x v="0"/>
    <n v="0"/>
  </r>
  <r>
    <s v="ENTITY"/>
    <s v="FR_CSH_FLW"/>
    <x v="0"/>
    <s v="1. Especificar"/>
    <s v="OK"/>
    <s v="Em especificação (Campos Novos)"/>
    <m/>
    <x v="2"/>
    <d v="2024-06-07T00:00:00"/>
    <x v="3"/>
    <s v="OK"/>
    <m/>
    <m/>
    <m/>
    <s v="Novo campo"/>
    <s v="Y"/>
    <s v="N"/>
    <s v="N"/>
    <s v="N"/>
    <s v="N"/>
    <s v="Y"/>
    <x v="1"/>
    <s v="2.2 Re-especificação de campos complexos - Resto"/>
  </r>
  <r>
    <s v="ENTITY"/>
    <s v="FR_CSH_FLW_T1"/>
    <x v="0"/>
    <s v="1. Especificar"/>
    <s v="OK"/>
    <s v="Em especificação (Campos Novos)"/>
    <m/>
    <x v="2"/>
    <d v="2024-06-07T00:00:00"/>
    <x v="3"/>
    <s v="OK"/>
    <m/>
    <m/>
    <m/>
    <s v="Novo campo"/>
    <s v="Y"/>
    <s v="N"/>
    <s v="N"/>
    <s v="N"/>
    <s v="N"/>
    <s v="Y"/>
    <x v="1"/>
    <s v="2.2 Re-especificação de campos complexos - Resto"/>
  </r>
  <r>
    <s v="ENTITY"/>
    <s v="FR_CSH_FLW_T2"/>
    <x v="0"/>
    <s v="1. Especificar"/>
    <s v="OK"/>
    <s v="Em especificação (Campos Novos)"/>
    <m/>
    <x v="2"/>
    <d v="2024-06-07T00:00:00"/>
    <x v="3"/>
    <s v="OK"/>
    <m/>
    <m/>
    <m/>
    <s v="Novo campo"/>
    <s v="Y"/>
    <s v="N"/>
    <s v="N"/>
    <s v="N"/>
    <s v="N"/>
    <s v="Y"/>
    <x v="1"/>
    <s v="2.2 Re-especificação de campos complexos - Resto"/>
  </r>
  <r>
    <s v="ENTITY"/>
    <s v="FR_CSH_FLW_T3"/>
    <x v="0"/>
    <s v="1. Especificar"/>
    <s v="OK"/>
    <s v="Em especificação (Campos Novos)"/>
    <m/>
    <x v="2"/>
    <d v="2024-06-07T00:00:00"/>
    <x v="3"/>
    <s v="OK"/>
    <m/>
    <m/>
    <m/>
    <s v="Novo campo"/>
    <s v="Y"/>
    <s v="N"/>
    <s v="N"/>
    <s v="N"/>
    <s v="N"/>
    <s v="Y"/>
    <x v="1"/>
    <s v="2.2 Re-especificação de campos complexos - Resto"/>
  </r>
  <r>
    <s v="INSTRUMENT"/>
    <s v="FRBRNC_STTS_C19"/>
    <x v="1"/>
    <s v="9. Concluído"/>
    <s v="OK"/>
    <s v="Concluido, controlos OK"/>
    <m/>
    <x v="0"/>
    <d v="2024-06-07T00:00:00"/>
    <x v="0"/>
    <s v="OK"/>
    <m/>
    <m/>
    <m/>
    <s v="Campo concluido"/>
    <s v="Y"/>
    <s v="N"/>
    <s v="N"/>
    <s v="N"/>
    <s v="N"/>
    <s v="N"/>
    <x v="0"/>
    <n v="0"/>
  </r>
  <r>
    <s v="ENTITY"/>
    <s v="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GCC_PRNT_ID"/>
    <x v="0"/>
    <s v="9. Concluído"/>
    <s v="OK"/>
    <s v="Concluido, controlos OK"/>
    <m/>
    <x v="0"/>
    <d v="2024-06-07T00:00:00"/>
    <x v="0"/>
    <s v="OK"/>
    <m/>
    <m/>
    <m/>
    <s v="Campo concluido"/>
    <s v="Y"/>
    <s v="N"/>
    <s v="N"/>
    <s v="N"/>
    <s v="N"/>
    <s v="Y"/>
    <x v="0"/>
    <s v="6.1. Fora âmbito | Campos concluídos - Sem necessidade de espec."/>
  </r>
  <r>
    <s v="ENTITY"/>
    <s v="GCC_PRNT_NM"/>
    <x v="0"/>
    <s v="9. Concluído"/>
    <s v="OK"/>
    <s v="Concluido, controlos OK"/>
    <m/>
    <x v="0"/>
    <d v="2024-06-07T00:00:00"/>
    <x v="0"/>
    <s v="OK"/>
    <m/>
    <m/>
    <m/>
    <s v="Campo concluido"/>
    <s v="Y"/>
    <s v="N"/>
    <s v="N"/>
    <s v="N"/>
    <s v="N"/>
    <s v="Y"/>
    <x v="0"/>
    <s v="6.1. Fora âmbito | Campos concluídos - Sem necessidade de espec."/>
  </r>
  <r>
    <s v="ENTITY"/>
    <s v="GDWILL"/>
    <x v="0"/>
    <s v="9. Concluído"/>
    <s v="OK"/>
    <s v="Concluido, controlos OK"/>
    <m/>
    <x v="0"/>
    <d v="2024-06-07T00:00:00"/>
    <x v="0"/>
    <s v="OK"/>
    <m/>
    <m/>
    <m/>
    <s v="Campo concluido"/>
    <s v="Y"/>
    <s v="N"/>
    <s v="N"/>
    <s v="N"/>
    <s v="N"/>
    <s v="N"/>
    <x v="0"/>
    <n v="0"/>
  </r>
  <r>
    <s v="ENTITY"/>
    <s v="GDWILL_PRVS"/>
    <x v="0"/>
    <s v="9. Concluído"/>
    <s v="OK"/>
    <s v="Concluido, controlos OK"/>
    <m/>
    <x v="0"/>
    <d v="2024-06-07T00:00:00"/>
    <x v="0"/>
    <s v="OK"/>
    <m/>
    <m/>
    <m/>
    <s v="Campo concluido"/>
    <s v="Y"/>
    <s v="N"/>
    <s v="N"/>
    <s v="N"/>
    <s v="N"/>
    <s v="N"/>
    <x v="0"/>
    <n v="0"/>
  </r>
  <r>
    <s v="INSTRUMENT"/>
    <s v="GRC_PRD_CPTL_INTRST_C19"/>
    <x v="1"/>
    <s v="9. Concluído"/>
    <s v="OK"/>
    <s v="Concluido, controlos OK"/>
    <m/>
    <x v="0"/>
    <d v="2024-06-07T00:00:00"/>
    <x v="0"/>
    <s v="OK"/>
    <m/>
    <m/>
    <m/>
    <s v="Campo concluido"/>
    <s v="Y"/>
    <s v="N"/>
    <s v="N"/>
    <s v="N"/>
    <s v="N"/>
    <s v="N"/>
    <x v="0"/>
    <n v="0"/>
  </r>
  <r>
    <s v="INSTRUMENT"/>
    <s v="GRNTR_ID"/>
    <x v="1"/>
    <s v="9. Concluído"/>
    <s v="OK"/>
    <s v="Concluido, controlos OK"/>
    <m/>
    <x v="0"/>
    <d v="2024-06-07T00:00:00"/>
    <x v="0"/>
    <s v="OK"/>
    <m/>
    <m/>
    <m/>
    <s v="Campo concluido"/>
    <s v="Y"/>
    <s v="N"/>
    <s v="N"/>
    <s v="N"/>
    <s v="N"/>
    <s v="N"/>
    <x v="0"/>
    <n v="0"/>
  </r>
  <r>
    <s v="INSTRUMENT"/>
    <s v="GRNTR_ID_TYP"/>
    <x v="1"/>
    <s v="9. Concluído"/>
    <s v="OK"/>
    <s v="Concluido, controlos OK"/>
    <m/>
    <x v="0"/>
    <d v="2024-06-07T00:00:00"/>
    <x v="0"/>
    <s v="OK"/>
    <m/>
    <m/>
    <m/>
    <s v="Campo concluido"/>
    <s v="Y"/>
    <s v="N"/>
    <s v="N"/>
    <s v="N"/>
    <s v="N"/>
    <s v="N"/>
    <x v="0"/>
    <n v="0"/>
  </r>
  <r>
    <s v="ENTITY"/>
    <s v="GRP_EBITDA"/>
    <x v="0"/>
    <s v="9. Concluído"/>
    <s v="OK"/>
    <s v="Concluido, controlos OK"/>
    <m/>
    <x v="0"/>
    <d v="2024-06-07T00:00:00"/>
    <x v="0"/>
    <s v="OK"/>
    <m/>
    <m/>
    <m/>
    <s v="Campo concluido"/>
    <s v="Y"/>
    <s v="N"/>
    <s v="N"/>
    <s v="N"/>
    <s v="N"/>
    <s v="Y"/>
    <x v="0"/>
    <s v="6.1. Fora âmbito | Campos concluídos - Sem necessidade de espec."/>
  </r>
  <r>
    <s v="ENTITY"/>
    <s v="GRP_EQTY"/>
    <x v="0"/>
    <s v="9. Concluído"/>
    <s v="OK"/>
    <s v="Concluido, controlos OK"/>
    <m/>
    <x v="0"/>
    <d v="2024-06-07T00:00:00"/>
    <x v="0"/>
    <s v="OK"/>
    <m/>
    <m/>
    <m/>
    <s v="Campo concluido"/>
    <s v="Y"/>
    <s v="N"/>
    <s v="Y"/>
    <s v="N"/>
    <s v="N"/>
    <s v="Y"/>
    <x v="0"/>
    <s v="6.1. Fora âmbito | Campos concluídos - Sem necessidade de espec."/>
  </r>
  <r>
    <s v="ENTITY"/>
    <s v="GRP_NT_DBT"/>
    <x v="0"/>
    <s v="9. Concluído"/>
    <s v="OK"/>
    <s v="Concluido, controlos OK"/>
    <m/>
    <x v="0"/>
    <d v="2024-06-07T00:00:00"/>
    <x v="0"/>
    <s v="OK"/>
    <m/>
    <m/>
    <m/>
    <s v="Campo concluido"/>
    <s v="Y"/>
    <s v="N"/>
    <s v="N"/>
    <s v="N"/>
    <s v="N"/>
    <s v="Y"/>
    <x v="0"/>
    <s v="6.1. Fora âmbito | Campos concluídos - Sem necessidade de espec."/>
  </r>
  <r>
    <s v="ENTITY"/>
    <s v="GRP_TTL_DBT"/>
    <x v="1"/>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N"/>
    <x v="0"/>
    <n v="0"/>
  </r>
  <r>
    <s v="INSTRUMENT"/>
    <s v="GRSS_CRRYNG_AMNT_INSTRMNT"/>
    <x v="0"/>
    <s v="9. Concluído"/>
    <s v="OK"/>
    <s v="Concluido, controlos OK"/>
    <m/>
    <x v="0"/>
    <d v="2024-06-07T00:00:00"/>
    <x v="0"/>
    <s v="OK"/>
    <m/>
    <m/>
    <m/>
    <s v="Campo concluido"/>
    <s v="Y"/>
    <s v="Y"/>
    <s v="Y"/>
    <s v="N"/>
    <s v="Y"/>
    <s v="Y"/>
    <x v="0"/>
    <s v="6.1. Fora âmbito | Campos concluídos - Sem necessidade de espec."/>
  </r>
  <r>
    <s v="INSTRUMENT"/>
    <s v="HEDGE_ID"/>
    <x v="1"/>
    <s v="9. Concluído"/>
    <s v="OK"/>
    <s v="Concluido, controlos OK"/>
    <m/>
    <x v="0"/>
    <d v="2024-06-07T00:00:00"/>
    <x v="0"/>
    <s v="OK"/>
    <m/>
    <m/>
    <m/>
    <s v="Campo concluido"/>
    <s v="Y"/>
    <s v="N"/>
    <s v="N"/>
    <s v="N"/>
    <s v="N"/>
    <s v="N"/>
    <x v="0"/>
    <n v="0"/>
  </r>
  <r>
    <s v="PROTECTION"/>
    <s v="HRCT_MV"/>
    <x v="0"/>
    <s v="9. Concluído"/>
    <s v="OK"/>
    <s v="Concluido, controlos OK"/>
    <m/>
    <x v="0"/>
    <d v="2024-06-07T00:00:00"/>
    <x v="0"/>
    <s v="OK"/>
    <m/>
    <m/>
    <m/>
    <s v="Campo concluido"/>
    <s v="Y"/>
    <s v="N"/>
    <s v="N"/>
    <s v="N"/>
    <s v="N"/>
    <s v="N"/>
    <x v="0"/>
    <n v="0"/>
  </r>
  <r>
    <s v="INSTRUMENT"/>
    <s v="IDCMB"/>
    <x v="1"/>
    <s v="5.1 Em testes - Re-especificação"/>
    <s v="NOK"/>
    <s v="Em testes pela equipa de CDO"/>
    <m/>
    <x v="1"/>
    <d v="2024-06-07T00:00:00"/>
    <x v="8"/>
    <s v="NOK"/>
    <m/>
    <d v="2024-02-06T00:00:00"/>
    <d v="2024-02-08T00:00:00"/>
    <s v="Novo campo"/>
    <s v="Y"/>
    <s v="Y"/>
    <s v="Y"/>
    <s v="N"/>
    <s v="Y"/>
    <s v="Y"/>
    <x v="1"/>
    <s v="3. Campos em testes ou c/ incidências"/>
  </r>
  <r>
    <s v="ENTITY"/>
    <s v="EBITDA_PRVS"/>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FRS9_CCF"/>
    <x v="0"/>
    <s v="9. Concluído"/>
    <s v="OK"/>
    <s v="Concluido, controlos OK"/>
    <m/>
    <x v="0"/>
    <d v="2024-06-07T00:00:00"/>
    <x v="0"/>
    <s v="OK"/>
    <s v="Campo Imparidade"/>
    <m/>
    <m/>
    <s v="Campo concluido"/>
    <s v="Y"/>
    <s v="N"/>
    <s v="N"/>
    <s v="N"/>
    <s v="N"/>
    <s v="N"/>
    <x v="0"/>
    <n v="0"/>
  </r>
  <r>
    <s v="INSTRUMENT"/>
    <s v="IFRS9_EAD"/>
    <x v="0"/>
    <s v="7. Analisar controlos e completude"/>
    <s v="NOK"/>
    <s v="Controlos NOK"/>
    <m/>
    <x v="2"/>
    <d v="2024-06-07T00:00:00"/>
    <x v="5"/>
    <s v="NOK"/>
    <s v="Campo Imparidade"/>
    <m/>
    <m/>
    <s v="Analisar controlos NOK"/>
    <s v="Y"/>
    <s v="N"/>
    <s v="N"/>
    <s v="N"/>
    <s v="N"/>
    <s v="N"/>
    <x v="0"/>
    <n v="0"/>
  </r>
  <r>
    <s v="INSTRUMENT"/>
    <s v="IFRS9_LGD"/>
    <x v="0"/>
    <s v="9. Concluído"/>
    <s v="OK"/>
    <s v="Concluido, controlos OK"/>
    <m/>
    <x v="0"/>
    <d v="2024-06-07T00:00:00"/>
    <x v="0"/>
    <s v="OK"/>
    <s v="Campo Imparidade"/>
    <m/>
    <m/>
    <s v="Campo concluido"/>
    <s v="Y"/>
    <s v="N"/>
    <s v="N"/>
    <s v="N"/>
    <s v="N"/>
    <s v="N"/>
    <x v="0"/>
    <n v="0"/>
  </r>
  <r>
    <s v="INSTRUMENT"/>
    <s v="IMPRMNT_ASSSSMNT_MTHD"/>
    <x v="0"/>
    <s v="9. Concluído"/>
    <s v="OK"/>
    <s v="Concluido, controlos OK"/>
    <m/>
    <x v="0"/>
    <d v="2024-06-07T00:00:00"/>
    <x v="0"/>
    <s v="OK"/>
    <m/>
    <m/>
    <m/>
    <s v="Campo concluido"/>
    <s v="Y"/>
    <s v="N"/>
    <s v="N"/>
    <s v="N"/>
    <s v="N"/>
    <s v="Y"/>
    <x v="0"/>
    <s v="6.1. Fora âmbito | Campos concluídos - Sem necessidade de espec."/>
  </r>
  <r>
    <s v="INSTRUMENT"/>
    <s v="IMPRMNT_CLCLTN_MTHD"/>
    <x v="0"/>
    <s v="7. Analisar controlos e completude"/>
    <s v="NOK"/>
    <s v="Controlos NOK"/>
    <m/>
    <x v="2"/>
    <d v="2024-06-07T00:00:00"/>
    <x v="5"/>
    <s v="NOK"/>
    <m/>
    <m/>
    <m/>
    <s v="Analisar controlos NOK"/>
    <s v="Y"/>
    <s v="N"/>
    <s v="N"/>
    <s v="N"/>
    <s v="N"/>
    <s v="N"/>
    <x v="0"/>
    <n v="0"/>
  </r>
  <r>
    <s v="INSTRUMENT"/>
    <s v="IMPRMNT_STTS"/>
    <x v="0"/>
    <s v="3. Pendente de decisão"/>
    <s v="NOK"/>
    <s v="Rever com a Corporação se a nova code list foi apenas para a OSI (relativamente ao tema dos POCI)."/>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INCM_SC"/>
    <x v="1"/>
    <s v="1. Especificar"/>
    <s v="OK"/>
    <s v="Em especificação (Salários)"/>
    <m/>
    <x v="2"/>
    <d v="2024-06-07T00:00:00"/>
    <x v="3"/>
    <s v="OK"/>
    <m/>
    <m/>
    <m/>
    <s v="Melhorias estruturais (garantir coerência entre campos)"/>
    <s v="Y"/>
    <s v="N"/>
    <s v="N"/>
    <s v="N"/>
    <s v="N"/>
    <s v="N"/>
    <x v="0"/>
    <n v="0"/>
  </r>
  <r>
    <s v="ENTITY"/>
    <s v="EBITDA"/>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NSTR_SNRTY_CLSS"/>
    <x v="1"/>
    <s v="9. Concluído"/>
    <s v="OK"/>
    <s v="Concluido, controlos OK"/>
    <m/>
    <x v="0"/>
    <d v="2024-06-07T00:00:00"/>
    <x v="0"/>
    <s v="OK"/>
    <m/>
    <m/>
    <m/>
    <s v="Campo concluido"/>
    <s v="Y"/>
    <s v="N"/>
    <s v="N"/>
    <s v="N"/>
    <s v="N"/>
    <s v="Y"/>
    <x v="0"/>
    <s v="6.1. Fora âmbito | Campos concluídos - Sem necessidade de espec."/>
  </r>
  <r>
    <s v="INSTRUMENT"/>
    <s v="INSTRMNT_CLSS"/>
    <x v="1"/>
    <s v="9. Concluído"/>
    <s v="OK"/>
    <s v="Concluido, controlos OK"/>
    <m/>
    <x v="0"/>
    <d v="2024-06-07T00:00:00"/>
    <x v="0"/>
    <s v="OK"/>
    <m/>
    <m/>
    <m/>
    <s v="Campo concluido"/>
    <s v="Y"/>
    <s v="N"/>
    <s v="N"/>
    <s v="N"/>
    <s v="N"/>
    <s v="N"/>
    <x v="0"/>
    <n v="0"/>
  </r>
  <r>
    <s v="INSTR_ENTITY"/>
    <s v="INSTRMNT_ID"/>
    <x v="0"/>
    <s v="9. Concluído"/>
    <s v="OK"/>
    <s v="Concluido, controlos OK"/>
    <m/>
    <x v="0"/>
    <d v="2024-06-07T00:00:00"/>
    <x v="0"/>
    <s v="OK"/>
    <m/>
    <m/>
    <m/>
    <s v="Campo concluido"/>
    <s v="Y"/>
    <s v="N"/>
    <s v="Y"/>
    <s v="N"/>
    <s v="N"/>
    <s v="Y"/>
    <x v="0"/>
    <s v="6.1. Fora âmbito | Campos concluídos - Sem necessidade de espec."/>
  </r>
  <r>
    <s v="INSTR_PROTECTION"/>
    <s v="INSTRMNT_ID"/>
    <x v="0"/>
    <s v="9. Concluído"/>
    <s v="OK"/>
    <s v="Concluido, controlos OK"/>
    <m/>
    <x v="0"/>
    <d v="2024-06-07T00:00:00"/>
    <x v="0"/>
    <s v="OK"/>
    <m/>
    <m/>
    <m/>
    <s v="Campo concluido"/>
    <s v="Y"/>
    <s v="Y"/>
    <s v="Y"/>
    <s v="N"/>
    <s v="N"/>
    <s v="N"/>
    <x v="0"/>
    <n v="0"/>
  </r>
  <r>
    <s v="INSTRUMENT"/>
    <s v="INSTRMNT_ID"/>
    <x v="0"/>
    <s v="9. Concluído"/>
    <s v="OK"/>
    <s v="Concluido, controlos OK"/>
    <m/>
    <x v="0"/>
    <d v="2024-06-07T00:00:00"/>
    <x v="0"/>
    <s v="OK"/>
    <m/>
    <m/>
    <m/>
    <s v="Campo concluido"/>
    <s v="Y"/>
    <s v="Y"/>
    <s v="Y"/>
    <s v="N"/>
    <s v="Y"/>
    <s v="Y"/>
    <x v="0"/>
    <s v="6.1. Fora âmbito | Campos concluídos - Sem necessidade de espec."/>
  </r>
  <r>
    <s v="ENTITY"/>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_INCPTN"/>
    <x v="0"/>
    <s v="5.2 Em testes - Incidência"/>
    <s v="NOK"/>
    <s v="Alterar especificação, campo com incidência. Controlos NOK"/>
    <s v="Na LT apenas foi especifido os restantes internal ratings, estando em falta o internal rating à data de inception."/>
    <x v="2"/>
    <d v="2024-06-07T00:00:00"/>
    <x v="1"/>
    <s v="NOK"/>
    <m/>
    <m/>
    <m/>
    <s v="Melhorias estruturais (garantir coerência entre campos)"/>
    <s v="Y"/>
    <s v="N"/>
    <s v="N"/>
    <s v="N"/>
    <s v="N"/>
    <s v="Y"/>
    <x v="1"/>
    <s v="3. Campos em testes ou c/ incidências"/>
  </r>
  <r>
    <s v="ENTITY"/>
    <s v="INTRNL_RTNG_PRVS"/>
    <x v="0"/>
    <s v="5.1 Em testes - Re-especificação"/>
    <s v="OK"/>
    <s v="Em testes, campo entregue por IT durante a OSI. Testar e validar controlos"/>
    <m/>
    <x v="1"/>
    <d v="2024-06-07T00:00:00"/>
    <x v="8"/>
    <s v="OK"/>
    <s v="Campo entregue durante a OSI"/>
    <d v="2024-02-16T00:00:00"/>
    <d v="2024-05-24T00:00:00"/>
    <s v="Necessidade de correção de erros"/>
    <s v="Y"/>
    <s v="N"/>
    <s v="N"/>
    <s v="N"/>
    <s v="N"/>
    <s v="Y"/>
    <x v="1"/>
    <s v="3. Campos em testes ou c/ incidências"/>
  </r>
  <r>
    <s v="ENTITY"/>
    <s v="INTRNL_SGMNT"/>
    <x v="0"/>
    <s v="9. Concluído"/>
    <s v="OK"/>
    <s v="Concluido, controlos OK"/>
    <m/>
    <x v="0"/>
    <d v="2024-06-07T00:00:00"/>
    <x v="0"/>
    <s v="OK"/>
    <m/>
    <m/>
    <m/>
    <s v="Campo concluido"/>
    <s v="Y"/>
    <s v="N"/>
    <s v="N"/>
    <s v="N"/>
    <s v="N"/>
    <s v="Y"/>
    <x v="0"/>
    <s v="6.1. Fora âmbito | Campos concluídos - Sem necessidade de espec."/>
  </r>
  <r>
    <s v="INSTRUMENT"/>
    <s v="INTRNL_SGMNT"/>
    <x v="0"/>
    <s v="9. Concluído"/>
    <s v="OK"/>
    <s v="Concluido, controlos OK"/>
    <m/>
    <x v="0"/>
    <d v="2024-06-07T00:00:00"/>
    <x v="0"/>
    <s v="OK"/>
    <m/>
    <m/>
    <m/>
    <s v="Campo concluido"/>
    <s v="Y"/>
    <s v="N"/>
    <s v="N"/>
    <s v="N"/>
    <s v="Y"/>
    <s v="Y"/>
    <x v="0"/>
    <s v="6.1. Fora âmbito | Campos concluídos - Sem necessidade de espec."/>
  </r>
  <r>
    <s v="INSTRUMENT"/>
    <s v="INTRNL_SGMNT_CAT_MSTA"/>
    <x v="1"/>
    <s v="9. Concluído"/>
    <s v="OK"/>
    <s v="Concluido, controlos OK"/>
    <m/>
    <x v="0"/>
    <d v="2024-06-07T00:00:00"/>
    <x v="0"/>
    <s v="OK"/>
    <m/>
    <m/>
    <m/>
    <s v="Campo concluido"/>
    <s v="Y"/>
    <s v="N"/>
    <s v="N"/>
    <s v="N"/>
    <s v="Y"/>
    <s v="N"/>
    <x v="0"/>
    <n v="0"/>
  </r>
  <r>
    <s v="INSTRUMENT"/>
    <s v="INTRNL_SGMNT_CATGSUB"/>
    <x v="1"/>
    <s v="9. Concluído"/>
    <s v="OK"/>
    <s v="Concluido, controlos OK"/>
    <m/>
    <x v="0"/>
    <d v="2024-06-07T00:00:00"/>
    <x v="0"/>
    <s v="OK"/>
    <m/>
    <m/>
    <m/>
    <s v="Campo concluido"/>
    <s v="Y"/>
    <s v="N"/>
    <s v="N"/>
    <s v="N"/>
    <s v="Y"/>
    <s v="N"/>
    <x v="0"/>
    <n v="0"/>
  </r>
  <r>
    <s v="INSTRUMENT"/>
    <s v="INTRNL_SGMNT_IFRS9"/>
    <x v="1"/>
    <s v="9. Concluído"/>
    <s v="OK"/>
    <s v="Concluido, controlos OK"/>
    <m/>
    <x v="0"/>
    <d v="2024-06-07T00:00:00"/>
    <x v="0"/>
    <s v="OK"/>
    <s v="Campo Imparidade"/>
    <m/>
    <m/>
    <s v="Campo concluido"/>
    <s v="Y"/>
    <s v="N"/>
    <s v="N"/>
    <s v="N"/>
    <s v="N"/>
    <s v="N"/>
    <x v="0"/>
    <n v="0"/>
  </r>
  <r>
    <s v="ENTITY"/>
    <s v="INTRNL_UNT"/>
    <x v="0"/>
    <s v="9. Concluído"/>
    <s v="OK"/>
    <s v="Concluido, controlos OK"/>
    <m/>
    <x v="0"/>
    <d v="2024-06-07T00:00:00"/>
    <x v="0"/>
    <s v="OK"/>
    <m/>
    <m/>
    <m/>
    <s v="Campo concluido"/>
    <s v="Y"/>
    <s v="N"/>
    <s v="N"/>
    <s v="N"/>
    <s v="N"/>
    <s v="Y"/>
    <x v="0"/>
    <s v="6.1. Fora âmbito | Campos concluídos - Sem necessidade de espec."/>
  </r>
  <r>
    <s v="INSTRUMENT"/>
    <s v="INTRNL_UNT"/>
    <x v="0"/>
    <s v="9. Concluído"/>
    <s v="OK"/>
    <s v="Concluido, controlos OK"/>
    <m/>
    <x v="0"/>
    <d v="2024-06-07T00:00:00"/>
    <x v="0"/>
    <s v="OK"/>
    <m/>
    <m/>
    <m/>
    <s v="Campo concluido"/>
    <s v="Y"/>
    <s v="N"/>
    <s v="N"/>
    <s v="N"/>
    <s v="N"/>
    <s v="Y"/>
    <x v="0"/>
    <s v="6.1. Fora âmbito | Campos concluídos - Sem necessidade de espec."/>
  </r>
  <r>
    <s v="INSTRUMENT"/>
    <s v="INTRST_RT_RST_FRQNCY"/>
    <x v="0"/>
    <s v="9. Concluído"/>
    <s v="OK"/>
    <s v="Concluido, controlos OK"/>
    <m/>
    <x v="0"/>
    <d v="2024-06-07T00:00:00"/>
    <x v="0"/>
    <s v="OK"/>
    <m/>
    <m/>
    <m/>
    <s v="Campo concluido"/>
    <s v="Y"/>
    <s v="N"/>
    <s v="N"/>
    <s v="N"/>
    <s v="N"/>
    <s v="N"/>
    <x v="0"/>
    <n v="0"/>
  </r>
  <r>
    <s v="INSTRUMENT"/>
    <s v="ISIN"/>
    <x v="1"/>
    <s v="9. Concluído"/>
    <s v="OK"/>
    <s v="Concluido, controlos OK"/>
    <m/>
    <x v="0"/>
    <d v="2024-06-07T00:00:00"/>
    <x v="0"/>
    <s v="OK"/>
    <m/>
    <m/>
    <m/>
    <s v="Campo concluido"/>
    <s v="Y"/>
    <s v="N"/>
    <s v="N"/>
    <s v="N"/>
    <s v="N"/>
    <s v="N"/>
    <x v="0"/>
    <n v="0"/>
  </r>
  <r>
    <s v="INSTRUMENT"/>
    <s v="ISIN_SCRTSTN"/>
    <x v="1"/>
    <s v="9. Concluído"/>
    <s v="OK"/>
    <s v="Concluido, controlos OK"/>
    <m/>
    <x v="0"/>
    <d v="2024-06-07T00:00:00"/>
    <x v="0"/>
    <s v="OK"/>
    <m/>
    <m/>
    <m/>
    <s v="Campo concluido"/>
    <s v="Y"/>
    <s v="N"/>
    <s v="N"/>
    <s v="N"/>
    <s v="N"/>
    <s v="N"/>
    <x v="0"/>
    <n v="0"/>
  </r>
  <r>
    <s v="INSTRUMENT"/>
    <s v="ISSR_CNTRY"/>
    <x v="1"/>
    <s v="9. Concluído"/>
    <s v="OK"/>
    <s v="Concluido, controlos OK"/>
    <m/>
    <x v="0"/>
    <d v="2024-06-07T00:00:00"/>
    <x v="0"/>
    <s v="OK"/>
    <m/>
    <m/>
    <m/>
    <s v="Campo concluido"/>
    <s v="Y"/>
    <s v="N"/>
    <s v="Y"/>
    <s v="N"/>
    <s v="N"/>
    <s v="N"/>
    <x v="0"/>
    <n v="0"/>
  </r>
  <r>
    <s v="INSTRUMENT"/>
    <s v="ISSR_ESA_2010"/>
    <x v="1"/>
    <s v="7. Analisar controlos e completude"/>
    <s v="NOK"/>
    <s v="Controlos NOK"/>
    <m/>
    <x v="2"/>
    <d v="2024-06-07T00:00:00"/>
    <x v="5"/>
    <s v="NOK"/>
    <m/>
    <m/>
    <m/>
    <s v="Analisar controlos NOK"/>
    <s v="Y"/>
    <s v="N"/>
    <s v="N"/>
    <s v="N"/>
    <s v="N"/>
    <s v="N"/>
    <x v="0"/>
    <n v="0"/>
  </r>
  <r>
    <s v="INSTRUMENT"/>
    <s v="ISSR_ID"/>
    <x v="1"/>
    <s v="9. Concluído"/>
    <s v="OK"/>
    <s v="Concluido, controlos OK"/>
    <m/>
    <x v="0"/>
    <d v="2024-06-07T00:00:00"/>
    <x v="0"/>
    <s v="OK"/>
    <m/>
    <m/>
    <m/>
    <s v="Campo concluido"/>
    <s v="Y"/>
    <s v="N"/>
    <s v="N"/>
    <s v="N"/>
    <s v="N"/>
    <s v="N"/>
    <x v="0"/>
    <n v="0"/>
  </r>
  <r>
    <s v="INSTRUMENT"/>
    <s v="ISSR_ID_TYP"/>
    <x v="1"/>
    <s v="9. Concluído"/>
    <s v="OK"/>
    <s v="Concluido, controlos OK"/>
    <m/>
    <x v="0"/>
    <d v="2024-06-07T00:00:00"/>
    <x v="0"/>
    <s v="OK"/>
    <m/>
    <m/>
    <m/>
    <s v="Campo concluido"/>
    <s v="Y"/>
    <s v="N"/>
    <s v="N"/>
    <s v="N"/>
    <s v="N"/>
    <s v="N"/>
    <x v="0"/>
    <n v="0"/>
  </r>
  <r>
    <s v="INSTRUMENT"/>
    <s v="ISSR_NACE_SCTR"/>
    <x v="1"/>
    <s v="9. Concluído"/>
    <s v="OK"/>
    <s v="Concluido, controlos OK"/>
    <m/>
    <x v="0"/>
    <d v="2024-06-07T00:00:00"/>
    <x v="0"/>
    <s v="OK"/>
    <m/>
    <m/>
    <m/>
    <s v="Campo concluido"/>
    <s v="Y"/>
    <s v="N"/>
    <s v="Y"/>
    <s v="N"/>
    <s v="N"/>
    <s v="N"/>
    <x v="0"/>
    <n v="0"/>
  </r>
  <r>
    <s v="INSTRUMENT"/>
    <s v="ISSR_RTNG"/>
    <x v="1"/>
    <s v="8. Concluído - sem dados"/>
    <s v="OK"/>
    <s v="Campo especificado, mas sem dados. Campo marcado com MISS ou NA"/>
    <m/>
    <x v="0"/>
    <d v="2024-06-07T00:00:00"/>
    <x v="6"/>
    <s v="OK"/>
    <m/>
    <m/>
    <m/>
    <s v="Campo concluído, mas sem ou pouca informação na fonte"/>
    <s v="Y"/>
    <s v="N"/>
    <s v="N"/>
    <s v="N"/>
    <s v="N"/>
    <s v="N"/>
    <x v="0"/>
    <n v="0"/>
  </r>
  <r>
    <s v="INSTRUMENT"/>
    <s v="ISSR_RTNG_SRC"/>
    <x v="1"/>
    <s v="8. Concluído - sem dados"/>
    <s v="OK"/>
    <s v="Campo especificado, mas sem dados. Campo marcado com MISS ou NA"/>
    <m/>
    <x v="0"/>
    <d v="2024-06-07T00:00:00"/>
    <x v="6"/>
    <s v="OK"/>
    <m/>
    <m/>
    <m/>
    <s v="Campo concluído, mas sem ou pouca informação na fonte"/>
    <s v="Y"/>
    <s v="N"/>
    <s v="N"/>
    <s v="N"/>
    <s v="N"/>
    <s v="N"/>
    <x v="0"/>
    <n v="0"/>
  </r>
  <r>
    <s v="INSTRUMENT"/>
    <s v="ISSR_TYP"/>
    <x v="1"/>
    <s v="9. Concluído"/>
    <s v="OK"/>
    <s v="Concluido, controlos OK"/>
    <m/>
    <x v="0"/>
    <d v="2024-06-07T00:00:00"/>
    <x v="0"/>
    <s v="OK"/>
    <m/>
    <m/>
    <m/>
    <s v="Campo concluido"/>
    <s v="Y"/>
    <s v="N"/>
    <s v="N"/>
    <s v="N"/>
    <s v="N"/>
    <s v="N"/>
    <x v="0"/>
    <n v="0"/>
  </r>
  <r>
    <s v="INSTR_ENTITY"/>
    <s v="JNT_LBLTY_AMNT"/>
    <x v="0"/>
    <s v="9. Concluído"/>
    <s v="OK"/>
    <s v="Concluido, controlos OK"/>
    <m/>
    <x v="0"/>
    <d v="2024-06-07T00:00:00"/>
    <x v="0"/>
    <s v="OK"/>
    <m/>
    <m/>
    <m/>
    <s v="Campo concluido"/>
    <s v="Y"/>
    <s v="N"/>
    <s v="N"/>
    <s v="N"/>
    <s v="N"/>
    <s v="Y"/>
    <x v="0"/>
    <s v="6.1. Fora âmbito | Campos concluídos - Sem necessidade de espec."/>
  </r>
  <r>
    <s v="INSTRUMENT"/>
    <s v="LCL_INSTMRNT_ID"/>
    <x v="1"/>
    <s v="7. Analisar controlos e completude"/>
    <s v="NOK"/>
    <s v="Controlos NOK"/>
    <m/>
    <x v="2"/>
    <d v="2024-06-07T00:00:00"/>
    <x v="5"/>
    <s v="NOK"/>
    <m/>
    <m/>
    <m/>
    <s v="Analisar controlos NOK"/>
    <s v="Y"/>
    <s v="Y"/>
    <s v="Y"/>
    <s v="N"/>
    <s v="N"/>
    <s v="N"/>
    <x v="0"/>
    <n v="0"/>
  </r>
  <r>
    <s v="INSTRUMENT"/>
    <s v="LCR_BFFR_CTGRY"/>
    <x v="1"/>
    <s v="9. Concluído"/>
    <s v="OK"/>
    <s v="Concluido, controlos OK"/>
    <m/>
    <x v="0"/>
    <d v="2024-06-07T00:00:00"/>
    <x v="0"/>
    <s v="OK"/>
    <m/>
    <m/>
    <m/>
    <s v="Campo concluido"/>
    <s v="Y"/>
    <s v="N"/>
    <s v="N"/>
    <s v="N"/>
    <s v="N"/>
    <s v="N"/>
    <x v="0"/>
    <n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x v="1"/>
    <d v="2024-06-07T00:00:00"/>
    <x v="4"/>
    <s v="OK"/>
    <m/>
    <m/>
    <m/>
    <s v="Pendente de decisão"/>
    <s v="Y"/>
    <s v="N"/>
    <s v="N"/>
    <s v="N"/>
    <s v="N"/>
    <s v="N"/>
    <x v="0"/>
    <n v="0"/>
  </r>
  <r>
    <s v="ENTITY"/>
    <s v="LEI"/>
    <x v="0"/>
    <s v="9. Concluído"/>
    <s v="OK"/>
    <s v="Concluido, controlos OK"/>
    <m/>
    <x v="0"/>
    <d v="2024-06-07T00:00:00"/>
    <x v="0"/>
    <s v="OK"/>
    <m/>
    <m/>
    <m/>
    <s v="Campo concluido"/>
    <s v="Y"/>
    <s v="N"/>
    <s v="Y"/>
    <s v="N"/>
    <s v="N"/>
    <s v="Y"/>
    <x v="0"/>
    <s v="6.1. Fora âmbito | Campos concluídos - Sem necessidade de espec."/>
  </r>
  <r>
    <s v="INSTRUMENT"/>
    <s v="LGD"/>
    <x v="0"/>
    <s v="9. Concluído"/>
    <s v="OK"/>
    <s v="Concluido, controlos OK"/>
    <m/>
    <x v="0"/>
    <d v="2024-06-07T00:00:00"/>
    <x v="0"/>
    <s v="OK"/>
    <m/>
    <m/>
    <m/>
    <s v="Campo concluido"/>
    <s v="Y"/>
    <s v="N"/>
    <s v="N"/>
    <s v="N"/>
    <s v="N"/>
    <s v="Y"/>
    <x v="0"/>
    <s v="6.1. Fora âmbito | Campos concluídos - Sem necessidade de espec."/>
  </r>
  <r>
    <s v="INSTRUMENT"/>
    <s v="LGL_PRCDNG_STTS"/>
    <x v="0"/>
    <s v="9. Concluído"/>
    <s v="OK"/>
    <s v="Concluido, controlos OK"/>
    <m/>
    <x v="0"/>
    <d v="2024-06-07T00:00:00"/>
    <x v="0"/>
    <s v="OK"/>
    <m/>
    <m/>
    <m/>
    <s v="Campo concluido"/>
    <s v="Y"/>
    <s v="N"/>
    <s v="N"/>
    <s v="N"/>
    <s v="N"/>
    <s v="N"/>
    <x v="0"/>
    <n v="0"/>
  </r>
  <r>
    <s v="ENTITY"/>
    <s v="LGL_PRCDNG_STTS_LE"/>
    <x v="0"/>
    <s v="7. Analisar controlos e completude"/>
    <s v="NOK"/>
    <s v="Controlos NOK"/>
    <m/>
    <x v="2"/>
    <d v="2024-06-07T00:00:00"/>
    <x v="5"/>
    <s v="NOK"/>
    <m/>
    <m/>
    <m/>
    <s v="Analisar controlos NOK"/>
    <s v="Y"/>
    <s v="N"/>
    <s v="N"/>
    <s v="N"/>
    <s v="N"/>
    <s v="Y"/>
    <x v="1"/>
    <s v="4. Campos com NOK controlos Corporativos"/>
  </r>
  <r>
    <s v="INSTRUMENT"/>
    <s v="LND_DRGTN"/>
    <x v="1"/>
    <s v="9. Concluído"/>
    <s v="OK"/>
    <s v="Concluido, controlos OK"/>
    <m/>
    <x v="0"/>
    <d v="2024-06-07T00:00:00"/>
    <x v="0"/>
    <s v="OK"/>
    <m/>
    <m/>
    <m/>
    <s v="Campo concluido"/>
    <s v="Y"/>
    <s v="N"/>
    <s v="N"/>
    <s v="N"/>
    <s v="N"/>
    <s v="N"/>
    <x v="0"/>
    <n v="0"/>
  </r>
  <r>
    <s v="INSTRUMENT"/>
    <s v="LSTI"/>
    <x v="1"/>
    <s v="1. Especificar"/>
    <s v="OK"/>
    <s v="Em especificação (Campos Novos)"/>
    <m/>
    <x v="2"/>
    <d v="2024-06-07T00:00:00"/>
    <x v="3"/>
    <s v="OK"/>
    <m/>
    <m/>
    <m/>
    <s v="Novo campo"/>
    <s v="Y"/>
    <s v="N"/>
    <s v="N"/>
    <s v="N"/>
    <s v="N"/>
    <s v="N"/>
    <x v="0"/>
    <n v="0"/>
  </r>
  <r>
    <s v="ENTITY"/>
    <s v="LTI"/>
    <x v="1"/>
    <s v="1. Especificar"/>
    <s v="NOK"/>
    <s v="Em especificação (Salários)"/>
    <m/>
    <x v="2"/>
    <d v="2024-06-07T00:00:00"/>
    <x v="3"/>
    <s v="NOK"/>
    <m/>
    <m/>
    <m/>
    <s v="Melhorias estruturais (garantir coerência entre campos)"/>
    <s v="Y"/>
    <s v="N"/>
    <s v="N"/>
    <s v="N"/>
    <s v="N"/>
    <s v="N"/>
    <x v="0"/>
    <n v="0"/>
  </r>
  <r>
    <s v="INSTRUMENT"/>
    <s v="LTI_INSTRMNT"/>
    <x v="1"/>
    <s v="1. Especificar"/>
    <s v="OK"/>
    <s v="Em especificação (Campos Novos)"/>
    <m/>
    <x v="2"/>
    <d v="2024-06-07T00:00:00"/>
    <x v="3"/>
    <s v="OK"/>
    <m/>
    <m/>
    <m/>
    <s v="Novo campo"/>
    <s v="Y"/>
    <s v="N"/>
    <s v="N"/>
    <s v="N"/>
    <s v="N"/>
    <s v="N"/>
    <x v="0"/>
    <n v="0"/>
  </r>
  <r>
    <s v="INSTRUMENT"/>
    <s v="LTV"/>
    <x v="0"/>
    <s v="7. Analisar controlos e completude"/>
    <s v="NOK"/>
    <s v="Controlos NOK"/>
    <m/>
    <x v="2"/>
    <d v="2024-06-07T00:00:00"/>
    <x v="5"/>
    <s v="NOK"/>
    <m/>
    <m/>
    <m/>
    <s v="Analisar controlos NOK"/>
    <s v="Y"/>
    <s v="N"/>
    <s v="Y"/>
    <s v="N"/>
    <s v="N"/>
    <s v="N"/>
    <x v="0"/>
    <n v="0"/>
  </r>
  <r>
    <s v="INSTRUMENT"/>
    <s v="LTV_INCPTN"/>
    <x v="0"/>
    <s v="9. Concluído"/>
    <s v="OK"/>
    <s v="Concluido, controlos OK"/>
    <m/>
    <x v="0"/>
    <d v="2024-06-07T00:00:00"/>
    <x v="0"/>
    <s v="OK"/>
    <m/>
    <m/>
    <m/>
    <s v="Campo concluido"/>
    <s v="Y"/>
    <s v="N"/>
    <s v="Y"/>
    <s v="N"/>
    <s v="N"/>
    <s v="N"/>
    <x v="0"/>
    <n v="0"/>
  </r>
  <r>
    <s v="INSTRUMENT"/>
    <s v="LTV_NPE"/>
    <x v="0"/>
    <s v="5.1 Em testes - Re-especificação"/>
    <s v="OK"/>
    <s v="Em testes. Campo depende do campo PRFRMNG_STTS. Não é necessário alterar a especificação do mesmo, apenas testar  se o campo PRFRMNG_STTS for alterado."/>
    <m/>
    <x v="1"/>
    <d v="2024-06-07T00:00:00"/>
    <x v="8"/>
    <s v="OK"/>
    <m/>
    <d v="2022-05-16T00:00:00"/>
    <d v="2022-05-27T00:00:00"/>
    <s v="Pendente de decisão"/>
    <s v="Y"/>
    <s v="N"/>
    <s v="N"/>
    <s v="N"/>
    <s v="N"/>
    <s v="N"/>
    <x v="0"/>
    <n v="0"/>
  </r>
  <r>
    <s v="ENTITY"/>
    <s v="LVRG"/>
    <x v="0"/>
    <s v="9. Concluído"/>
    <s v="OK"/>
    <s v="Concluido, controlos OK"/>
    <m/>
    <x v="0"/>
    <d v="2024-06-07T00:00:00"/>
    <x v="0"/>
    <s v="OK"/>
    <m/>
    <m/>
    <m/>
    <s v="Campo concluido"/>
    <s v="Y"/>
    <s v="N"/>
    <s v="N"/>
    <s v="N"/>
    <s v="N"/>
    <s v="Y"/>
    <x v="0"/>
    <s v="6.1. Fora âmbito | Campos concluídos - Sem necessidade de espec."/>
  </r>
  <r>
    <s v="INSTRUMENT"/>
    <s v="LVRG_FNNC_FLG"/>
    <x v="1"/>
    <s v="9. Concluído"/>
    <s v="OK"/>
    <s v="Concluido, controlos OK"/>
    <m/>
    <x v="0"/>
    <d v="2024-06-07T00:00:00"/>
    <x v="0"/>
    <s v="OK"/>
    <m/>
    <m/>
    <m/>
    <s v="Campo concluido"/>
    <s v="Y"/>
    <s v="N"/>
    <s v="N"/>
    <s v="N"/>
    <s v="N"/>
    <s v="Y"/>
    <x v="2"/>
    <s v="6.3. Fora âmbito | Fonte Manual LF"/>
  </r>
  <r>
    <s v="ENTITY"/>
    <s v="LVRG_PRVS"/>
    <x v="0"/>
    <s v="9. Concluído"/>
    <s v="OK"/>
    <s v="Concluido, controlos OK"/>
    <m/>
    <x v="0"/>
    <d v="2024-06-07T00:00:00"/>
    <x v="0"/>
    <s v="OK"/>
    <m/>
    <m/>
    <m/>
    <s v="Campo concluido"/>
    <s v="Y"/>
    <s v="N"/>
    <s v="N"/>
    <s v="N"/>
    <s v="N"/>
    <s v="Y"/>
    <x v="0"/>
    <s v="6.1. Fora âmbito | Campos concluídos - Sem necessidade de espec."/>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x v="1"/>
    <d v="2024-06-07T00:00:00"/>
    <x v="1"/>
    <s v="OK"/>
    <m/>
    <d v="2024-02-02T00:00:00"/>
    <d v="2024-03-21T00:00:00"/>
    <s v="Pendente de decisão"/>
    <s v="Y"/>
    <s v="N"/>
    <s v="Y"/>
    <s v="N"/>
    <s v="N"/>
    <s v="Y"/>
    <x v="1"/>
    <s v="3. Campos em testes ou c/ incidências"/>
  </r>
  <r>
    <s v="PROTECTION"/>
    <s v="MN_PRPS"/>
    <x v="1"/>
    <s v="7. Analisar controlos e completude"/>
    <s v="NOK"/>
    <s v="Controlos NOK"/>
    <m/>
    <x v="2"/>
    <d v="2024-06-07T00:00:00"/>
    <x v="5"/>
    <s v="NOK"/>
    <m/>
    <m/>
    <m/>
    <s v="Analisar controlos NOK"/>
    <s v="Y"/>
    <s v="N"/>
    <s v="N"/>
    <s v="N"/>
    <s v="N"/>
    <s v="N"/>
    <x v="0"/>
    <n v="0"/>
  </r>
  <r>
    <s v="ENTITY"/>
    <s v="MNTHL_INCM"/>
    <x v="1"/>
    <s v="1. Especificar"/>
    <s v="OK"/>
    <s v="Em especificação (Salários)"/>
    <m/>
    <x v="2"/>
    <d v="2024-06-07T00:00:00"/>
    <x v="3"/>
    <s v="OK"/>
    <m/>
    <m/>
    <m/>
    <s v="Melhorias estruturais (garantir coerência entre campos)"/>
    <s v="Y"/>
    <s v="N"/>
    <s v="N"/>
    <s v="N"/>
    <s v="N"/>
    <s v="N"/>
    <x v="0"/>
    <n v="0"/>
  </r>
  <r>
    <s v="ENTITY"/>
    <s v="MNTHL_INCM_SLR"/>
    <x v="1"/>
    <s v="1. Especificar"/>
    <s v="NOK"/>
    <s v="Em especificação (Salários)"/>
    <m/>
    <x v="2"/>
    <d v="2024-06-07T00:00:00"/>
    <x v="3"/>
    <s v="NOK"/>
    <m/>
    <m/>
    <m/>
    <s v="Melhorias estruturais (garantir coerência entre campos)"/>
    <s v="Y"/>
    <s v="N"/>
    <s v="N"/>
    <s v="N"/>
    <s v="N"/>
    <s v="N"/>
    <x v="0"/>
    <n v="0"/>
  </r>
  <r>
    <s v="ENTITY"/>
    <s v="MNTHL_TRNVR"/>
    <x v="1"/>
    <s v="1. Especificar"/>
    <s v="OK"/>
    <s v="Em especificação (Salários)"/>
    <m/>
    <x v="2"/>
    <d v="2024-06-07T00:00:00"/>
    <x v="3"/>
    <s v="OK"/>
    <m/>
    <m/>
    <m/>
    <s v="Melhorias estruturais (garantir coerência entre campos)"/>
    <s v="Y"/>
    <s v="N"/>
    <s v="N"/>
    <s v="N"/>
    <s v="N"/>
    <s v="N"/>
    <x v="0"/>
    <n v="0"/>
  </r>
  <r>
    <s v="INSTRUMENT"/>
    <s v="MTRTY_LTST_FRBRNC_MSR_C19"/>
    <x v="1"/>
    <s v="9. Concluído"/>
    <s v="OK"/>
    <s v="Concluido, controlos OK"/>
    <m/>
    <x v="0"/>
    <d v="2024-06-07T00:00:00"/>
    <x v="0"/>
    <s v="OK"/>
    <m/>
    <m/>
    <m/>
    <s v="Campo concluido"/>
    <s v="Y"/>
    <s v="N"/>
    <s v="N"/>
    <s v="N"/>
    <s v="N"/>
    <s v="N"/>
    <x v="0"/>
    <n v="0"/>
  </r>
  <r>
    <s v="INSTRUMENT"/>
    <s v="MTRTY_LTST_MRTR_C19"/>
    <x v="1"/>
    <s v="9. Concluído"/>
    <s v="OK"/>
    <s v="Concluido, controlos OK"/>
    <m/>
    <x v="0"/>
    <d v="2024-06-07T00:00:00"/>
    <x v="0"/>
    <s v="OK"/>
    <m/>
    <m/>
    <m/>
    <s v="Campo concluido"/>
    <s v="Y"/>
    <s v="N"/>
    <s v="N"/>
    <s v="N"/>
    <s v="N"/>
    <s v="N"/>
    <x v="0"/>
    <n v="0"/>
  </r>
  <r>
    <s v="INSTRUMENT"/>
    <s v="NMBR_FRBRNC_MSRS"/>
    <x v="0"/>
    <s v="9. Concluído"/>
    <s v="OK"/>
    <s v="Concluido, controlos OK"/>
    <m/>
    <x v="0"/>
    <d v="2024-06-07T00:00:00"/>
    <x v="0"/>
    <s v="OK"/>
    <m/>
    <m/>
    <m/>
    <s v="Campo concluido"/>
    <s v="Y"/>
    <s v="N"/>
    <s v="N"/>
    <s v="N"/>
    <s v="N"/>
    <s v="Y"/>
    <x v="0"/>
    <s v="6.1. Fora âmbito | Campos concluídos - Sem necessidade de espec."/>
  </r>
  <r>
    <s v="ENTITY"/>
    <s v="NT_INC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NT_INCM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RWA_MTHD"/>
    <x v="0"/>
    <s v="5.1 Em testes - Re-especificação"/>
    <s v="OK"/>
    <s v="Em testes, campo entregue por IT durante a OSI. Testar e validar controlos"/>
    <s v="Alteração de formato de 11111111.00 para 11111111"/>
    <x v="0"/>
    <d v="2024-06-20T00:00:00"/>
    <x v="0"/>
    <s v="OK"/>
    <s v="Incidência relativamente ao formatos corrigida. Controlos testados e OK"/>
    <m/>
    <d v="2024-06-20T00:00:00"/>
    <s v="Campo concluido"/>
    <s v="Y"/>
    <s v="N"/>
    <s v="N"/>
    <s v="N"/>
    <s v="N"/>
    <s v="Y"/>
    <x v="0"/>
    <s v="6.1. Fora âmbito | Campos concluídos - Sem necessidade de espec."/>
  </r>
  <r>
    <s v="INSTRUMENT"/>
    <s v="OBSRVD_AGNT_ID"/>
    <x v="0"/>
    <s v="9. Concluído"/>
    <s v="OK"/>
    <s v="Concluido, controlos OK"/>
    <m/>
    <x v="0"/>
    <d v="2024-06-07T00:00:00"/>
    <x v="0"/>
    <s v="OK"/>
    <m/>
    <m/>
    <m/>
    <s v="Campo concluido"/>
    <s v="Y"/>
    <s v="N"/>
    <s v="N"/>
    <s v="N"/>
    <s v="N"/>
    <s v="Y"/>
    <x v="0"/>
    <s v="6.1. Fora âmbito | Campos concluídos - Sem necessidade de espec."/>
  </r>
  <r>
    <s v="INSTRUMENT"/>
    <s v="OBSRVD_AGNT_NM"/>
    <x v="0"/>
    <s v="9. Concluído"/>
    <s v="OK"/>
    <s v="Concluido, controlos OK"/>
    <m/>
    <x v="0"/>
    <d v="2024-06-07T00:00:00"/>
    <x v="0"/>
    <s v="OK"/>
    <m/>
    <m/>
    <m/>
    <s v="Campo concluido"/>
    <s v="Y"/>
    <s v="N"/>
    <s v="N"/>
    <s v="N"/>
    <s v="N"/>
    <s v="Y"/>
    <x v="0"/>
    <s v="6.1. Fora âmbito | Campos concluídos - Sem necessidade de espec."/>
  </r>
  <r>
    <s v="INSTRUMENT"/>
    <s v="OFF_BLNC_SHT_AMNT_INSTRMNT"/>
    <x v="0"/>
    <s v="7. Analisar controlos e completude"/>
    <s v="NOK"/>
    <s v="Controlos NOK"/>
    <m/>
    <x v="2"/>
    <d v="2024-06-07T00:00:00"/>
    <x v="5"/>
    <s v="NOK"/>
    <m/>
    <m/>
    <m/>
    <s v="Analisar controlos NOK"/>
    <s v="Y"/>
    <s v="Y"/>
    <s v="N"/>
    <s v="N"/>
    <s v="Y"/>
    <s v="Y"/>
    <x v="1"/>
    <s v="4. Campos com NOK controlos Corporativos"/>
  </r>
  <r>
    <s v="INSTRUMENT"/>
    <s v="OFF_BLNC_SHT_AMNT_INSTRMNT_PRVS"/>
    <x v="0"/>
    <s v="5.2 Em testes - Incidência"/>
    <s v="OK"/>
    <s v="Campo com incidência"/>
    <s v="MISS deviam estar a ser reportados como NA ou zero"/>
    <x v="1"/>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s v="Necessidade de correção de erros"/>
    <s v="Y"/>
    <s v="N"/>
    <s v="N"/>
    <s v="N"/>
    <s v="N"/>
    <s v="N"/>
    <x v="0"/>
    <n v="0"/>
  </r>
  <r>
    <s v="PROTECTION"/>
    <s v="DT_ORGNL_PRTCTN_VL"/>
    <x v="0"/>
    <s v="5.2 Em testes - Incidência"/>
    <s v="NOK"/>
    <s v="Campo com incidência e controlos NOK"/>
    <s v="1) Campo com incidência, data igual à data da protection_vl 2) Alteração de formatos MISS"/>
    <x v="0"/>
    <d v="2025-01-13T00:00:00"/>
    <x v="0"/>
    <s v="OK"/>
    <m/>
    <d v="2024-09-20T00:00:00"/>
    <d v="2024-12-20T00:00:00"/>
    <s v="Necessidade de correção de erros"/>
    <s v="Y"/>
    <s v="N"/>
    <s v="N"/>
    <s v="N"/>
    <s v="N"/>
    <s v="N"/>
    <x v="0"/>
    <n v="0"/>
  </r>
  <r>
    <s v="ENTITY"/>
    <s v="OSI_ID"/>
    <x v="0"/>
    <s v="9. Concluído"/>
    <s v="OK"/>
    <s v="Concluido, controlos OK"/>
    <m/>
    <x v="0"/>
    <d v="2024-06-07T00:00:00"/>
    <x v="0"/>
    <s v="OK"/>
    <m/>
    <m/>
    <m/>
    <s v="Campo concluido"/>
    <s v="Y"/>
    <s v="N"/>
    <s v="N"/>
    <s v="N"/>
    <s v="N"/>
    <s v="Y"/>
    <x v="0"/>
    <s v="6.1. Fora âmbito | Campos concluídos - Sem necessidade de espec."/>
  </r>
  <r>
    <s v="INSTRUMENT"/>
    <s v="OTSTNDNG_NMNL_AMNT_INSTRMNT"/>
    <x v="0"/>
    <s v="7. Analisar controlos e completude"/>
    <s v="NOK"/>
    <s v="Controlos NOK"/>
    <m/>
    <x v="2"/>
    <d v="2024-06-07T00:00:00"/>
    <x v="5"/>
    <s v="NOK"/>
    <m/>
    <m/>
    <m/>
    <s v="Analisar controlos NOK"/>
    <s v="Y"/>
    <s v="N"/>
    <s v="N"/>
    <s v="N"/>
    <s v="N"/>
    <s v="Y"/>
    <x v="1"/>
    <s v="4. Campos com NOK controlos Corporativos"/>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N"/>
    <x v="0"/>
    <n v="0"/>
  </r>
  <r>
    <s v="ENTITY"/>
    <s v="OWND_BY_SPNSR"/>
    <x v="1"/>
    <s v="9. Concluído"/>
    <s v="OK"/>
    <s v="Concluido, controlos OK"/>
    <m/>
    <x v="0"/>
    <d v="2024-06-07T00:00:00"/>
    <x v="0"/>
    <s v="OK"/>
    <m/>
    <m/>
    <m/>
    <s v="Campo concluido"/>
    <s v="Y"/>
    <s v="N"/>
    <s v="N"/>
    <s v="N"/>
    <s v="N"/>
    <s v="Y"/>
    <x v="2"/>
    <s v="6.3. Fora âmbito | Fonte Manual LF"/>
  </r>
  <r>
    <s v="INSTRUMENT"/>
    <s v="PBLC_GRNT_SCHM_C19_NM"/>
    <x v="1"/>
    <s v="9. Concluído"/>
    <s v="OK"/>
    <s v="Concluido, controlos OK"/>
    <m/>
    <x v="0"/>
    <d v="2024-06-07T00:00:00"/>
    <x v="0"/>
    <s v="OK"/>
    <m/>
    <m/>
    <m/>
    <s v="Campo concluido"/>
    <s v="Y"/>
    <s v="N"/>
    <s v="N"/>
    <s v="N"/>
    <s v="N"/>
    <s v="N"/>
    <x v="0"/>
    <n v="0"/>
  </r>
  <r>
    <s v="INSTRUMENT"/>
    <s v="PD_CRR_INCPTN"/>
    <x v="0"/>
    <s v="5.2 Em testes - Incidência"/>
    <s v="OK"/>
    <s v="Campo com incidência"/>
    <s v="Campo com incidência. Confirmar com Tecnologia que o campo está alterado com base no que foi identificado na OSI"/>
    <x v="2"/>
    <d v="2024-06-07T00:00:00"/>
    <x v="1"/>
    <s v="OK"/>
    <m/>
    <d v="2024-02-16T00:00:00"/>
    <d v="2024-05-27T00:00:00"/>
    <s v="Melhorias estruturais (garantir coerência entre campos)"/>
    <s v="Y"/>
    <s v="N"/>
    <s v="N"/>
    <s v="N"/>
    <s v="N"/>
    <s v="Y"/>
    <x v="1"/>
    <s v="3. Campos em testes ou c/ incidências"/>
  </r>
  <r>
    <s v="ENTITY"/>
    <s v="PD_CRR_RD"/>
    <x v="0"/>
    <s v="7. Analisar controlos e completude"/>
    <s v="NOK"/>
    <s v="Controlos NOK"/>
    <m/>
    <x v="2"/>
    <d v="2024-06-07T00:00:00"/>
    <x v="5"/>
    <s v="NOK"/>
    <m/>
    <m/>
    <m/>
    <s v="Analisar controlos NOK"/>
    <s v="Y"/>
    <s v="N"/>
    <s v="N"/>
    <s v="N"/>
    <s v="N"/>
    <s v="Y"/>
    <x v="1"/>
    <s v="4. Campos com NOK controlos Corporativos"/>
  </r>
  <r>
    <s v="INSTRUMENT"/>
    <s v="PD_CRR_RD"/>
    <x v="0"/>
    <s v="7. Analisar controlos e completude"/>
    <s v="NOK"/>
    <s v="Controlos NOK"/>
    <m/>
    <x v="2"/>
    <d v="2024-06-07T00:00:00"/>
    <x v="5"/>
    <s v="NOK"/>
    <m/>
    <m/>
    <m/>
    <s v="Analisar controlos NOK"/>
    <s v="Y"/>
    <s v="N"/>
    <s v="N"/>
    <s v="N"/>
    <s v="N"/>
    <s v="Y"/>
    <x v="1"/>
    <s v="4. Campos com NOK controlos Corporativos"/>
  </r>
  <r>
    <s v="ENTITY"/>
    <s v="PD_CRR_RD_T1"/>
    <x v="1"/>
    <s v="5.1 Em testes - Re-especificação"/>
    <s v="NOK"/>
    <s v="Em testes"/>
    <m/>
    <x v="1"/>
    <d v="2024-06-07T00:00:00"/>
    <x v="8"/>
    <s v="NOK"/>
    <m/>
    <d v="2022-07-08T00:00:00"/>
    <d v="2023-12-07T00:00:00"/>
    <s v="Necessidade de correção de erros"/>
    <s v="Y"/>
    <s v="N"/>
    <s v="N"/>
    <s v="N"/>
    <s v="N"/>
    <s v="N"/>
    <x v="0"/>
    <n v="0"/>
  </r>
  <r>
    <s v="INSTRUMENT"/>
    <s v="PD_CRR_RD_T1"/>
    <x v="1"/>
    <s v="5.1 Em testes - Re-especificação"/>
    <s v="NOK"/>
    <s v="Em testes"/>
    <m/>
    <x v="1"/>
    <d v="2024-06-07T00:00:00"/>
    <x v="8"/>
    <s v="NOK"/>
    <m/>
    <d v="2023-12-21T00:00:00"/>
    <d v="2024-02-08T00:00:00"/>
    <s v="Necessidade de correção de erros"/>
    <s v="Y"/>
    <s v="N"/>
    <s v="N"/>
    <s v="N"/>
    <s v="N"/>
    <s v="N"/>
    <x v="0"/>
    <n v="0"/>
  </r>
  <r>
    <s v="INSTRUMENT"/>
    <s v="PD_IFRS9_12M_INCPTN"/>
    <x v="0"/>
    <s v="9. Concluído"/>
    <s v="OK"/>
    <s v="Concluido, controlos OK"/>
    <m/>
    <x v="0"/>
    <d v="2024-06-07T00:00:00"/>
    <x v="0"/>
    <s v="OK"/>
    <s v="Campo Imparidade"/>
    <m/>
    <m/>
    <s v="Campo concluido"/>
    <s v="Y"/>
    <s v="N"/>
    <s v="N"/>
    <s v="N"/>
    <s v="N"/>
    <s v="Y"/>
    <x v="0"/>
    <s v="6.1. Fora âmbito | Campos concluídos - Sem necessidade de espec."/>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x v="2"/>
    <d v="2024-06-07T00:00:00"/>
    <x v="4"/>
    <s v="NOK"/>
    <s v="Campo Imparidade"/>
    <m/>
    <m/>
    <s v="Analisar controlos NOK"/>
    <s v="Y"/>
    <s v="N"/>
    <s v="N"/>
    <s v="N"/>
    <s v="N"/>
    <s v="Y"/>
    <x v="1"/>
    <s v="5. Campos com outras possíveis alterações - Dependente de decisões OSI "/>
  </r>
  <r>
    <s v="INSTRUMENT"/>
    <s v="PD_IFRS9_12M_RD"/>
    <x v="0"/>
    <s v="7. Analisar controlos e completude"/>
    <s v="NOK"/>
    <m/>
    <m/>
    <x v="1"/>
    <d v="2024-06-07T00:00:00"/>
    <x v="5"/>
    <s v="NOK"/>
    <s v="Campo Imparidade"/>
    <m/>
    <m/>
    <s v="Pendente de decisão"/>
    <s v="Y"/>
    <s v="N"/>
    <s v="N"/>
    <s v="N"/>
    <s v="N"/>
    <s v="Y"/>
    <x v="1"/>
    <s v="4. Campos com NOK controlos Corporativos"/>
  </r>
  <r>
    <s v="ENTITY"/>
    <s v="PD_IFRS9_12M_RD_T1"/>
    <x v="1"/>
    <s v="7. Analisar controlos e completude"/>
    <s v="NOK"/>
    <s v="Controlos NOK"/>
    <m/>
    <x v="2"/>
    <d v="2024-06-07T00:00:00"/>
    <x v="5"/>
    <s v="NOK"/>
    <s v="Campo Imparidade"/>
    <m/>
    <m/>
    <s v="Analisar controlos NOK"/>
    <s v="Y"/>
    <s v="N"/>
    <s v="N"/>
    <s v="N"/>
    <s v="N"/>
    <s v="N"/>
    <x v="0"/>
    <n v="0"/>
  </r>
  <r>
    <s v="INSTRUMENT"/>
    <s v="PD_IFRS9_12M_RD_T1"/>
    <x v="0"/>
    <s v="7. Analisar controlos e completude"/>
    <s v="NOK"/>
    <s v="Controlos NOK"/>
    <m/>
    <x v="2"/>
    <d v="2024-06-07T00:00:00"/>
    <x v="5"/>
    <s v="NOK"/>
    <s v="Campo Imparidade"/>
    <m/>
    <m/>
    <s v="Analisar controlos NOK"/>
    <s v="Y"/>
    <s v="N"/>
    <s v="N"/>
    <s v="N"/>
    <s v="N"/>
    <s v="N"/>
    <x v="0"/>
    <n v="0"/>
  </r>
  <r>
    <s v="INSTRUMENT"/>
    <s v="PD_IFRS9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RD"/>
    <x v="0"/>
    <s v="9. Concluído"/>
    <s v="OK"/>
    <s v="Concluido, controlos OK"/>
    <m/>
    <x v="0"/>
    <d v="2024-06-07T00:00:00"/>
    <x v="0"/>
    <s v="OK"/>
    <s v="Campo Imparidade"/>
    <m/>
    <m/>
    <s v="Campo concluido"/>
    <s v="Y"/>
    <s v="N"/>
    <s v="N"/>
    <s v="N"/>
    <s v="N"/>
    <s v="Y"/>
    <x v="0"/>
    <s v="6.1. Fora âmbito | Campos concluídos - Sem necessidade de espec."/>
  </r>
  <r>
    <s v="INSTRUMENT"/>
    <s v="PMNT_PBLC_GRNT_SCHM_C19"/>
    <x v="1"/>
    <s v="9. Concluído"/>
    <s v="OK"/>
    <s v="Concluido, controlos OK"/>
    <m/>
    <x v="0"/>
    <d v="2024-06-07T00:00:00"/>
    <x v="0"/>
    <s v="OK"/>
    <m/>
    <m/>
    <m/>
    <s v="Campo concluido"/>
    <s v="Y"/>
    <s v="N"/>
    <s v="N"/>
    <s v="N"/>
    <s v="N"/>
    <s v="N"/>
    <x v="0"/>
    <n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Y"/>
    <x v="1"/>
    <s v="2.2 Re-especificação de campos complexos - Resto"/>
  </r>
  <r>
    <s v="INSTRUMENT"/>
    <s v="PRCH_UNDR_RSL_AGR"/>
    <x v="1"/>
    <s v="9. Concluído"/>
    <s v="OK"/>
    <s v="Concluido, controlos OK"/>
    <m/>
    <x v="0"/>
    <d v="2024-06-07T00:00:00"/>
    <x v="0"/>
    <s v="OK"/>
    <m/>
    <m/>
    <m/>
    <s v="Campo concluido"/>
    <s v="Y"/>
    <s v="N"/>
    <s v="N"/>
    <s v="N"/>
    <s v="N"/>
    <s v="N"/>
    <x v="0"/>
    <n v="0"/>
  </r>
  <r>
    <s v="INSTRUMENT"/>
    <s v="PRDCT"/>
    <x v="0"/>
    <s v="9. Concluído"/>
    <s v="OK"/>
    <s v="Concluido, controlos OK"/>
    <m/>
    <x v="0"/>
    <d v="2024-06-07T00:00:00"/>
    <x v="0"/>
    <s v="OK"/>
    <m/>
    <m/>
    <m/>
    <s v="Campo concluido"/>
    <s v="Y"/>
    <s v="N"/>
    <s v="N"/>
    <s v="Y"/>
    <s v="N"/>
    <s v="N"/>
    <x v="0"/>
    <n v="0"/>
  </r>
  <r>
    <s v="INSTRUMENT"/>
    <s v="PRDNTL_PRTFL"/>
    <x v="1"/>
    <s v="9. Concluído"/>
    <s v="OK"/>
    <s v="Concluido, controlos OK"/>
    <m/>
    <x v="0"/>
    <d v="2024-06-07T00:00:00"/>
    <x v="0"/>
    <s v="OK"/>
    <m/>
    <m/>
    <m/>
    <s v="Campo concluido"/>
    <s v="Y"/>
    <s v="N"/>
    <s v="N"/>
    <s v="N"/>
    <s v="N"/>
    <s v="Y"/>
    <x v="0"/>
    <s v="6.1. Fora âmbito | Campos concluídos - Sem necessidade de espec."/>
  </r>
  <r>
    <s v="INSTRUMENT"/>
    <s v="PRFRMNG_STTS"/>
    <x v="0"/>
    <s v="3. Pendente de decisão"/>
    <s v="NOK"/>
    <s v="Verificar necessidade de alteração da fonte para fins de reconciliação. Rever Fonte"/>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ENTITY"/>
    <s v="PRFRMNG_STTS_LE"/>
    <x v="0"/>
    <s v="9. Concluído"/>
    <s v="OK"/>
    <s v="Concluido, controlos OK"/>
    <m/>
    <x v="0"/>
    <d v="2024-06-07T00:00:00"/>
    <x v="0"/>
    <s v="OK"/>
    <m/>
    <m/>
    <m/>
    <s v="Campo concluido"/>
    <s v="Y"/>
    <s v="N"/>
    <s v="N"/>
    <s v="N"/>
    <s v="N"/>
    <s v="Y"/>
    <x v="0"/>
    <s v="6.1. Fora âmbito | Campos concluídos - Sem necessidade de espec."/>
  </r>
  <r>
    <s v="INSTRUMENT"/>
    <s v="PRFRMNG_STTS_PRV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PRJCT_FNNC_LN"/>
    <x v="0"/>
    <s v="9. Concluído"/>
    <s v="OK"/>
    <s v="Concluido, controlos OK"/>
    <m/>
    <x v="0"/>
    <d v="2024-06-07T00:00:00"/>
    <x v="0"/>
    <s v="OK"/>
    <m/>
    <m/>
    <m/>
    <s v="Campo concluido"/>
    <s v="Y"/>
    <s v="N"/>
    <s v="Y"/>
    <s v="N"/>
    <s v="N"/>
    <s v="N"/>
    <x v="0"/>
    <n v="0"/>
  </r>
  <r>
    <s v="PROTECTION"/>
    <s v="PRM_LCTN"/>
    <x v="1"/>
    <s v="5.1 Em testes - Re-especificação"/>
    <s v="NOK"/>
    <s v="Em testes"/>
    <m/>
    <x v="0"/>
    <d v="2025-01-13T00:00:00"/>
    <x v="0"/>
    <s v="OK"/>
    <s v="100220 Casos que deviam ser N e estão a ser reportados MISS"/>
    <d v="2024-06-28T00:00:00"/>
    <d v="2024-12-20T00:00:00"/>
    <s v="Necessidade de correção de erros"/>
    <s v="Y"/>
    <s v="N"/>
    <s v="N"/>
    <s v="N"/>
    <s v="N"/>
    <s v="N"/>
    <x v="0"/>
    <n v="0"/>
  </r>
  <r>
    <s v="INSTRUMENT"/>
    <s v="PRMRY_ASST_CLSSF"/>
    <x v="1"/>
    <s v="9. Concluído"/>
    <s v="OK"/>
    <s v="Concluido, controlos OK"/>
    <m/>
    <x v="0"/>
    <d v="2024-06-07T00:00:00"/>
    <x v="0"/>
    <s v="OK"/>
    <m/>
    <m/>
    <m/>
    <s v="Campo concluido"/>
    <s v="Y"/>
    <s v="N"/>
    <s v="Y"/>
    <s v="N"/>
    <s v="N"/>
    <s v="N"/>
    <x v="0"/>
    <n v="0"/>
  </r>
  <r>
    <s v="INSTRUMENT"/>
    <s v="PRPS"/>
    <x v="0"/>
    <s v="9. Concluído"/>
    <s v="OK"/>
    <s v="Concluido, controlos OK"/>
    <m/>
    <x v="0"/>
    <d v="2024-06-07T00:00:00"/>
    <x v="0"/>
    <s v="OK"/>
    <m/>
    <m/>
    <m/>
    <s v="Campo concluido"/>
    <s v="Y"/>
    <s v="N"/>
    <s v="N"/>
    <s v="N"/>
    <s v="N"/>
    <s v="Y"/>
    <x v="0"/>
    <s v="6.1. Fora âmbito | Campos concluídos - Sem necessidade de espec."/>
  </r>
  <r>
    <s v="ENTITY"/>
    <s v="PRSN_TYP"/>
    <x v="1"/>
    <s v="4.1 Em implementação - Re-especificação"/>
    <s v="OK"/>
    <s v="Aguarda implementação de IT"/>
    <m/>
    <x v="2"/>
    <d v="2024-06-17T00:00:00"/>
    <x v="8"/>
    <s v="OK"/>
    <m/>
    <d v="2024-01-12T00:00:00"/>
    <d v="2024-03-21T00:00:00"/>
    <s v="Novo campo"/>
    <s v="Y"/>
    <s v="N"/>
    <s v="N"/>
    <s v="N"/>
    <s v="N"/>
    <s v="N"/>
    <x v="0"/>
    <n v="0"/>
  </r>
  <r>
    <s v="INSTRUMENT"/>
    <s v="PRT_LCR_BFFR"/>
    <x v="1"/>
    <s v="9. Concluído"/>
    <s v="OK"/>
    <s v="Concluido, controlos OK"/>
    <m/>
    <x v="0"/>
    <d v="2024-06-07T00:00:00"/>
    <x v="0"/>
    <s v="OK"/>
    <m/>
    <m/>
    <m/>
    <s v="Campo concluido"/>
    <s v="Y"/>
    <s v="N"/>
    <s v="N"/>
    <s v="N"/>
    <s v="N"/>
    <s v="N"/>
    <x v="0"/>
    <n v="0"/>
  </r>
  <r>
    <s v="INSTR_PROTECTION"/>
    <s v="PRTCTN_ALLCTD_VL"/>
    <x v="0"/>
    <s v="9. Concluído"/>
    <s v="OK"/>
    <s v="Concluido, controlos OK"/>
    <m/>
    <x v="0"/>
    <d v="2024-06-07T00:00:00"/>
    <x v="0"/>
    <s v="OK"/>
    <m/>
    <m/>
    <m/>
    <s v="Campo concluido"/>
    <s v="Y"/>
    <s v="N"/>
    <s v="Y"/>
    <s v="N"/>
    <s v="N"/>
    <s v="N"/>
    <x v="0"/>
    <n v="0"/>
  </r>
  <r>
    <s v="PROTECTION"/>
    <s v="PRTCTN_CLLD"/>
    <x v="0"/>
    <s v="7. Analisar controlos e completude"/>
    <s v="NOK"/>
    <s v="Controlos NOK"/>
    <m/>
    <x v="2"/>
    <d v="2024-06-07T00:00:00"/>
    <x v="5"/>
    <s v="NOK"/>
    <m/>
    <m/>
    <m/>
    <s v="Analisar controlos NOK"/>
    <s v="Y"/>
    <s v="N"/>
    <s v="N"/>
    <s v="N"/>
    <s v="N"/>
    <s v="N"/>
    <x v="0"/>
    <n v="0"/>
  </r>
  <r>
    <s v="PROTECTION"/>
    <s v="PRTCTN_FRCD_SL_VL"/>
    <x v="0"/>
    <s v="9. Concluído"/>
    <s v="OK"/>
    <s v="Concluido, controlos OK"/>
    <m/>
    <x v="0"/>
    <d v="2024-06-07T00:00:00"/>
    <x v="0"/>
    <s v="OK"/>
    <m/>
    <m/>
    <m/>
    <s v="Campo concluido"/>
    <s v="Y"/>
    <s v="N"/>
    <s v="N"/>
    <s v="N"/>
    <s v="N"/>
    <s v="N"/>
    <x v="0"/>
    <n v="0"/>
  </r>
  <r>
    <s v="INSTR_PROTECTION"/>
    <s v="PRTCTN_ID"/>
    <x v="0"/>
    <s v="7. Analisar controlos e completude"/>
    <s v="NOK"/>
    <s v="Controlos NOK"/>
    <m/>
    <x v="2"/>
    <d v="2024-06-07T00:00:00"/>
    <x v="5"/>
    <s v="NOK"/>
    <m/>
    <m/>
    <m/>
    <s v="Analisar controlos NOK"/>
    <s v="Y"/>
    <s v="Y"/>
    <s v="Y"/>
    <s v="N"/>
    <s v="N"/>
    <s v="N"/>
    <x v="0"/>
    <n v="0"/>
  </r>
  <r>
    <s v="PROTECTION"/>
    <s v="PRTCTN_ID"/>
    <x v="0"/>
    <s v="7. Analisar controlos e completude"/>
    <s v="NOK"/>
    <s v="Controlos NOK"/>
    <m/>
    <x v="2"/>
    <d v="2024-06-07T00:00:00"/>
    <x v="5"/>
    <s v="NOK"/>
    <m/>
    <m/>
    <m/>
    <s v="Analisar controlos NOK"/>
    <s v="Y"/>
    <s v="Y"/>
    <s v="Y"/>
    <s v="N"/>
    <s v="Y"/>
    <s v="N"/>
    <x v="0"/>
    <n v="0"/>
  </r>
  <r>
    <s v="PROTECTION"/>
    <s v="PRTCTN_PRVDR_ID"/>
    <x v="0"/>
    <s v="7. Analisar controlos e completude"/>
    <s v="NOK"/>
    <s v="Controlos NOK"/>
    <m/>
    <x v="2"/>
    <d v="2024-06-07T00:00:00"/>
    <x v="5"/>
    <s v="NOK"/>
    <m/>
    <m/>
    <m/>
    <s v="Analisar controlos NOK"/>
    <s v="Y"/>
    <s v="N"/>
    <s v="N"/>
    <s v="N"/>
    <s v="N"/>
    <s v="N"/>
    <x v="0"/>
    <n v="0"/>
  </r>
  <r>
    <s v="PROTECTION"/>
    <s v="PRTCTN_TYP_PBLC_GRNT_SCHM_C19"/>
    <x v="1"/>
    <s v="7. Analisar controlos e completude"/>
    <s v="NOK"/>
    <s v="Controlos NOK"/>
    <m/>
    <x v="2"/>
    <d v="2024-06-07T00:00:00"/>
    <x v="5"/>
    <s v="NOK"/>
    <m/>
    <m/>
    <m/>
    <s v="Analisar controlos NOK"/>
    <s v="Y"/>
    <s v="N"/>
    <s v="N"/>
    <s v="N"/>
    <s v="N"/>
    <s v="N"/>
    <x v="0"/>
    <n v="0"/>
  </r>
  <r>
    <s v="ENTITY"/>
    <s v="DT_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PROTECTION"/>
    <s v="ORGNL_PRTCTN_VL"/>
    <x v="0"/>
    <s v="5.2 Em testes - Incidência"/>
    <s v="OK"/>
    <s v="Campo com incidência"/>
    <s v="1) Campo com incidência, está a reportar apenas valores de MISS e N/A"/>
    <x v="1"/>
    <d v="2025-01-13T00:00:00"/>
    <x v="8"/>
    <s v="NOK"/>
    <s v="14 casos com valor original da proteção a zero"/>
    <d v="2024-09-20T00:00:00"/>
    <m/>
    <s v="Necessidade de correção de erros"/>
    <s v="Y"/>
    <s v="N"/>
    <s v="Y"/>
    <s v="N"/>
    <s v="N"/>
    <s v="N"/>
    <x v="0"/>
    <n v="0"/>
  </r>
  <r>
    <s v="PROTECTION"/>
    <s v="PRTCTN_VL_PRVS"/>
    <x v="0"/>
    <s v="9. Concluído"/>
    <s v="OK"/>
    <s v="Concluido, controlos OK"/>
    <m/>
    <x v="0"/>
    <d v="2024-06-07T00:00:00"/>
    <x v="0"/>
    <s v="OK"/>
    <m/>
    <m/>
    <m/>
    <s v="Campo concluido"/>
    <s v="Y"/>
    <s v="N"/>
    <s v="N"/>
    <s v="N"/>
    <s v="N"/>
    <s v="N"/>
    <x v="0"/>
    <n v="0"/>
  </r>
  <r>
    <s v="PROTECTION"/>
    <s v="PRTCTN_VLTN_APPRCH"/>
    <x v="0"/>
    <s v="7. Analisar controlos e completude"/>
    <s v="NOK"/>
    <s v="Controlos NOK"/>
    <m/>
    <x v="2"/>
    <d v="2024-06-07T00:00:00"/>
    <x v="5"/>
    <s v="NOK"/>
    <m/>
    <m/>
    <m/>
    <s v="Analisar controlos NOK"/>
    <s v="Y"/>
    <s v="N"/>
    <s v="N"/>
    <s v="N"/>
    <s v="N"/>
    <s v="N"/>
    <x v="0"/>
    <n v="0"/>
  </r>
  <r>
    <s v="INSTRUMENT"/>
    <s v="PRVSNS_OFF_BLNC_SHT"/>
    <x v="0"/>
    <s v="9. Concluído"/>
    <s v="OK"/>
    <s v="Concluido, controlos OK"/>
    <m/>
    <x v="0"/>
    <d v="2024-06-07T00:00:00"/>
    <x v="0"/>
    <s v="OK"/>
    <m/>
    <m/>
    <m/>
    <s v="Campo concluido"/>
    <s v="Y"/>
    <s v="Y"/>
    <s v="N"/>
    <s v="N"/>
    <s v="N"/>
    <s v="N"/>
    <x v="0"/>
    <n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x v="1"/>
    <d v="2024-06-07T00:00:00"/>
    <x v="1"/>
    <s v="OK"/>
    <m/>
    <m/>
    <m/>
    <s v="Pendente de decisão"/>
    <s v="Y"/>
    <s v="N"/>
    <s v="N"/>
    <s v="N"/>
    <s v="N"/>
    <s v="N"/>
    <x v="0"/>
    <n v="0"/>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RCRS"/>
    <x v="0"/>
    <s v="9. Concluído"/>
    <s v="OK"/>
    <s v="Concluido, controlos OK"/>
    <m/>
    <x v="0"/>
    <d v="2024-06-07T00:00:00"/>
    <x v="0"/>
    <s v="OK"/>
    <m/>
    <m/>
    <m/>
    <s v="Campo concluido"/>
    <s v="Y"/>
    <s v="N"/>
    <s v="N"/>
    <s v="N"/>
    <s v="N"/>
    <s v="N"/>
    <x v="0"/>
    <n v="0"/>
  </r>
  <r>
    <s v="INSTRUMENT"/>
    <s v="RCVD_AMRTSTN_12M"/>
    <x v="0"/>
    <s v="7. Analisar controlos e completude"/>
    <s v="NOK"/>
    <s v="Controlos NOK"/>
    <m/>
    <x v="2"/>
    <d v="2024-06-07T00:00:00"/>
    <x v="5"/>
    <s v="NOK"/>
    <m/>
    <m/>
    <m/>
    <s v="Analisar controlos NOK"/>
    <s v="Y"/>
    <s v="N"/>
    <s v="N"/>
    <s v="N"/>
    <s v="N"/>
    <s v="Y"/>
    <x v="1"/>
    <s v="4. Campos com NOK controlos Corporativos"/>
  </r>
  <r>
    <s v="INSTRUMENT"/>
    <s v="RCVD_AMRTSTN_24M"/>
    <x v="0"/>
    <s v="9. Concluído"/>
    <s v="OK"/>
    <s v="Concluido, controlos OK"/>
    <m/>
    <x v="0"/>
    <d v="2024-06-07T00:00:00"/>
    <x v="0"/>
    <s v="OK"/>
    <m/>
    <m/>
    <m/>
    <s v="Campo concluido"/>
    <s v="Y"/>
    <s v="N"/>
    <s v="N"/>
    <s v="N"/>
    <s v="N"/>
    <s v="Y"/>
    <x v="0"/>
    <s v="6.1. Fora âmbito | Campos concluídos - Sem necessidade de espec."/>
  </r>
  <r>
    <s v="PROTECTION"/>
    <s v="DT_CNSTRCTN_STTS"/>
    <x v="1"/>
    <s v="2. Alterar especificação"/>
    <s v="NOK"/>
    <s v="Campo dependente do MUG"/>
    <s v="Criação de uma tabela auxiliar de histórico dos estados de construção numa ótica diária"/>
    <x v="1"/>
    <d v="2024-10-03T00:00:00"/>
    <x v="2"/>
    <s v="NOK"/>
    <m/>
    <m/>
    <m/>
    <s v="Necessidade de correção de erros"/>
    <s v="Y"/>
    <s v="N"/>
    <s v="N"/>
    <s v="N"/>
    <s v="N"/>
    <s v="N"/>
    <x v="0"/>
    <n v="0"/>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x v="1"/>
    <d v="2024-06-07T00:00:00"/>
    <x v="2"/>
    <s v="NOK"/>
    <m/>
    <m/>
    <m/>
    <s v="Necessidade de correção de erros"/>
    <s v="Y"/>
    <s v="Y"/>
    <s v="Y"/>
    <s v="N"/>
    <s v="N"/>
    <s v="Y"/>
    <x v="1"/>
    <s v="2.2 Re-especificação de campos complexos - Resto"/>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x v="2"/>
    <d v="2024-06-07T00:00:00"/>
    <x v="2"/>
    <s v="OK"/>
    <m/>
    <m/>
    <m/>
    <s v="Melhorias estruturais (garantir coerência entre campos)"/>
    <s v="Y"/>
    <s v="N"/>
    <s v="N"/>
    <s v="N"/>
    <s v="N"/>
    <s v="N"/>
    <x v="0"/>
    <n v="0"/>
  </r>
  <r>
    <s v="INSTRUMENT"/>
    <s v="RFRNC_RT"/>
    <x v="1"/>
    <s v="9. Concluído"/>
    <s v="OK"/>
    <s v="Concluido, controlos OK"/>
    <m/>
    <x v="0"/>
    <d v="2024-06-07T00:00:00"/>
    <x v="0"/>
    <s v="OK"/>
    <m/>
    <m/>
    <m/>
    <s v="Campo concluido"/>
    <s v="Y"/>
    <s v="N"/>
    <s v="N"/>
    <s v="N"/>
    <s v="N"/>
    <s v="N"/>
    <x v="0"/>
    <n v="0"/>
  </r>
  <r>
    <s v="PROTECTION"/>
    <s v="RL_ESTT_ADDRSS"/>
    <x v="1"/>
    <s v="7. Analisar controlos e completude"/>
    <s v="NOK"/>
    <s v="Controlos NOK"/>
    <m/>
    <x v="2"/>
    <d v="2024-06-07T00:00:00"/>
    <x v="5"/>
    <s v="NOK"/>
    <m/>
    <m/>
    <m/>
    <s v="Analisar controlos NOK"/>
    <s v="Y"/>
    <s v="N"/>
    <s v="N"/>
    <s v="N"/>
    <s v="Y"/>
    <s v="N"/>
    <x v="0"/>
    <n v="0"/>
  </r>
  <r>
    <s v="INSTRUMENT"/>
    <s v="CMLTV_RCVRS_SNC_DFLT_INSTRMNT"/>
    <x v="0"/>
    <s v="2. Alterar especificação"/>
    <s v="OK"/>
    <s v="Campo especificado, mas sem dados. Campo marcado com MISS ou NA"/>
    <m/>
    <x v="2"/>
    <d v="2024-06-07T00:00:00"/>
    <x v="2"/>
    <s v="OK"/>
    <m/>
    <m/>
    <m/>
    <s v="Campo concluído, mas sem ou pouca informação na fonte"/>
    <s v="Y"/>
    <s v="N"/>
    <s v="N"/>
    <s v="N"/>
    <s v="N"/>
    <s v="N"/>
    <x v="0"/>
    <n v="0"/>
  </r>
  <r>
    <s v="PROTECTION"/>
    <s v="RL_ESTT_CLLTRL_LCTN_INT"/>
    <x v="1"/>
    <s v="7. Analisar controlos e completude"/>
    <s v="NOK"/>
    <s v="Controlos NOK"/>
    <m/>
    <x v="2"/>
    <d v="2024-06-07T00:00:00"/>
    <x v="5"/>
    <s v="NOK"/>
    <m/>
    <m/>
    <m/>
    <s v="Analisar controlos NOK"/>
    <s v="Y"/>
    <s v="N"/>
    <s v="N"/>
    <s v="N"/>
    <s v="Y"/>
    <s v="N"/>
    <x v="0"/>
    <n v="0"/>
  </r>
  <r>
    <s v="PROTECTION"/>
    <s v="RL_ESTT_CTY"/>
    <x v="1"/>
    <s v="7. Analisar controlos e completude"/>
    <s v="NOK"/>
    <s v="Controlos NOK"/>
    <m/>
    <x v="2"/>
    <d v="2024-06-07T00:00:00"/>
    <x v="5"/>
    <s v="NOK"/>
    <m/>
    <m/>
    <m/>
    <s v="Analisar controlos NOK"/>
    <s v="Y"/>
    <s v="N"/>
    <s v="N"/>
    <s v="N"/>
    <s v="Y"/>
    <s v="N"/>
    <x v="0"/>
    <n v="0"/>
  </r>
  <r>
    <s v="PROTECTION"/>
    <s v="RL_ESTT_PST_CD"/>
    <x v="0"/>
    <s v="7. Analisar controlos e completude"/>
    <s v="NOK"/>
    <s v="Controlos NOK"/>
    <m/>
    <x v="2"/>
    <d v="2024-06-07T00:00:00"/>
    <x v="5"/>
    <s v="NOK"/>
    <m/>
    <m/>
    <m/>
    <s v="Analisar controlos NOK"/>
    <s v="Y"/>
    <s v="N"/>
    <s v="Y"/>
    <s v="N"/>
    <s v="Y"/>
    <s v="N"/>
    <x v="0"/>
    <n v="0"/>
  </r>
  <r>
    <s v="INSTRUMENT"/>
    <s v="RRE_FNRP18"/>
    <x v="1"/>
    <s v="9. Concluído"/>
    <s v="OK"/>
    <s v="Concluido, controlos OK"/>
    <m/>
    <x v="0"/>
    <d v="2024-06-07T00:00:00"/>
    <x v="0"/>
    <s v="OK"/>
    <m/>
    <m/>
    <m/>
    <s v="Campo concluido"/>
    <s v="Y"/>
    <s v="N"/>
    <s v="N"/>
    <s v="N"/>
    <s v="N"/>
    <s v="N"/>
    <x v="0"/>
    <n v="0"/>
  </r>
  <r>
    <s v="ENTITY"/>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INSTRUMENT"/>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ENTITY"/>
    <s v="RTNG_SCL"/>
    <x v="0"/>
    <s v="9. Concluído"/>
    <s v="OK"/>
    <s v="Concluido, controlos OK"/>
    <m/>
    <x v="0"/>
    <d v="2024-06-07T00:00:00"/>
    <x v="0"/>
    <s v="OK"/>
    <m/>
    <m/>
    <m/>
    <s v="Campo concluido"/>
    <s v="Y"/>
    <s v="N"/>
    <s v="N"/>
    <s v="N"/>
    <s v="N"/>
    <s v="Y"/>
    <x v="0"/>
    <s v="6.1. Fora âmbito | Campos concluídos - Sem necessidade de espec."/>
  </r>
  <r>
    <s v="INSTRUMENT"/>
    <s v="RTNG_SCL"/>
    <x v="0"/>
    <s v="9. Concluído"/>
    <s v="OK"/>
    <s v="Concluido, controlos OK"/>
    <m/>
    <x v="0"/>
    <d v="2024-06-07T00:00:00"/>
    <x v="0"/>
    <s v="OK"/>
    <m/>
    <m/>
    <m/>
    <s v="Campo concluido"/>
    <s v="Y"/>
    <s v="N"/>
    <s v="N"/>
    <s v="N"/>
    <s v="N"/>
    <s v="Y"/>
    <x v="0"/>
    <s v="6.1. Fora âmbito | Campos concluídos - Sem necessidade de espec."/>
  </r>
  <r>
    <s v="INSTRUMENT"/>
    <s v="RTNTN_SHR"/>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RWA"/>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s v="Necessidade de correção de erros"/>
    <s v="Y"/>
    <s v="Y"/>
    <s v="N"/>
    <s v="N"/>
    <s v="N"/>
    <s v="Y"/>
    <x v="1"/>
    <s v="3. Campos em testes ou c/ incidências"/>
  </r>
  <r>
    <s v="INSTRUMENT"/>
    <s v="DT_LGL_FNL_MTRTY"/>
    <x v="0"/>
    <s v="5.2 Em testes - Incidência"/>
    <s v="NOK"/>
    <s v="Controlos NOK e com Incidência nos formatos. "/>
    <s v="Alterarção formato de 99999999 para 1111-11-11."/>
    <x v="1"/>
    <d v="2024-06-07T00:00:00"/>
    <x v="1"/>
    <s v="NOK"/>
    <m/>
    <m/>
    <m/>
    <s v="Necessidade de correção de erros"/>
    <s v="Y"/>
    <s v="N"/>
    <s v="Y"/>
    <s v="N"/>
    <s v="N"/>
    <s v="Y"/>
    <x v="1"/>
    <s v="3. Campos em testes ou c/ incidências"/>
  </r>
  <r>
    <s v="INSTRUMENT"/>
    <s v="SBJCT_PBLC_GRNT_SCHM_C19"/>
    <x v="1"/>
    <s v="9. Concluído"/>
    <s v="OK"/>
    <s v="Concluido, controlos OK"/>
    <m/>
    <x v="0"/>
    <d v="2024-06-07T00:00:00"/>
    <x v="0"/>
    <s v="OK"/>
    <m/>
    <m/>
    <m/>
    <s v="Campo concluido"/>
    <s v="Y"/>
    <s v="N"/>
    <s v="N"/>
    <s v="N"/>
    <s v="N"/>
    <s v="N"/>
    <x v="0"/>
    <n v="0"/>
  </r>
  <r>
    <s v="INSTRUMENT"/>
    <s v="DT_NXT_INTRST_RT_RST"/>
    <x v="0"/>
    <s v="5.2 Em testes - Incidência"/>
    <s v="NOK"/>
    <s v="Controlos NOK e com Incidência nos formatos."/>
    <s v=" Alteração formato de 0001-01-01 para 0000-00-00."/>
    <x v="1"/>
    <d v="2024-06-07T00:00:00"/>
    <x v="1"/>
    <s v="NOK"/>
    <m/>
    <m/>
    <m/>
    <s v="Necessidade de correção de erros"/>
    <s v="Y"/>
    <s v="N"/>
    <s v="N"/>
    <s v="N"/>
    <s v="N"/>
    <s v="N"/>
    <x v="0"/>
    <n v="0"/>
  </r>
  <r>
    <s v="INSTRUMENT"/>
    <s v="SME_FNRP18"/>
    <x v="0"/>
    <s v="9. Concluído"/>
    <s v="OK"/>
    <s v="Concluido, controlos OK"/>
    <m/>
    <x v="0"/>
    <d v="2024-06-07T00:00:00"/>
    <x v="0"/>
    <s v="OK"/>
    <m/>
    <m/>
    <m/>
    <s v="Campo concluido"/>
    <s v="Y"/>
    <s v="N"/>
    <s v="N"/>
    <s v="N"/>
    <s v="N"/>
    <s v="N"/>
    <x v="0"/>
    <n v="0"/>
  </r>
  <r>
    <s v="ENTITY"/>
    <s v="SNGL_PRPS_VHCL"/>
    <x v="1"/>
    <s v="9. Concluído"/>
    <s v="OK"/>
    <s v="Concluido, controlos OK"/>
    <m/>
    <x v="0"/>
    <d v="2024-06-07T00:00:00"/>
    <x v="0"/>
    <s v="OK"/>
    <m/>
    <m/>
    <m/>
    <s v="Campo concluido"/>
    <s v="Y"/>
    <s v="N"/>
    <s v="N"/>
    <s v="N"/>
    <s v="N"/>
    <s v="N"/>
    <x v="0"/>
    <n v="0"/>
  </r>
  <r>
    <s v="INSTRUMENT"/>
    <s v="SPCLTV_LNDNG"/>
    <x v="1"/>
    <s v="7. Analisar controlos e completude"/>
    <s v="NOK"/>
    <s v="Controlos NOK"/>
    <m/>
    <x v="2"/>
    <d v="2024-06-07T00:00:00"/>
    <x v="5"/>
    <s v="NOK"/>
    <m/>
    <m/>
    <m/>
    <s v="Analisar controlos NOK"/>
    <s v="Y"/>
    <s v="N"/>
    <s v="N"/>
    <s v="N"/>
    <s v="N"/>
    <s v="N"/>
    <x v="0"/>
    <n v="0"/>
  </r>
  <r>
    <s v="INSTRUMENT"/>
    <s v="SPNSR_NM"/>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SPRD"/>
    <x v="1"/>
    <s v="9. Concluído"/>
    <s v="OK"/>
    <s v="Concluido, controlos OK"/>
    <m/>
    <x v="0"/>
    <d v="2024-06-07T00:00:00"/>
    <x v="0"/>
    <s v="OK"/>
    <m/>
    <m/>
    <m/>
    <s v="Campo concluido"/>
    <s v="Y"/>
    <s v="N"/>
    <s v="N"/>
    <s v="N"/>
    <s v="N"/>
    <s v="N"/>
    <x v="0"/>
    <n v="0"/>
  </r>
  <r>
    <s v="INSTRUMENT"/>
    <s v="SRCS_ENCMBRNC"/>
    <x v="1"/>
    <s v="9. Concluído"/>
    <s v="OK"/>
    <s v="Concluido, controlos OK"/>
    <m/>
    <x v="0"/>
    <d v="2024-06-07T00:00:00"/>
    <x v="0"/>
    <s v="OK"/>
    <m/>
    <m/>
    <m/>
    <s v="Campo concluido"/>
    <s v="Y"/>
    <s v="N"/>
    <s v="N"/>
    <s v="N"/>
    <s v="N"/>
    <s v="N"/>
    <x v="0"/>
    <n v="0"/>
  </r>
  <r>
    <s v="INSTRUMENT"/>
    <s v="STTS_UNDRWRTTN_TRNS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UBPORTFOLIO_ID"/>
    <x v="0"/>
    <s v="9. Concluído"/>
    <s v="OK"/>
    <s v="Concluido, controlos OK"/>
    <m/>
    <x v="0"/>
    <d v="2024-06-07T00:00:00"/>
    <x v="0"/>
    <s v="OK"/>
    <m/>
    <m/>
    <m/>
    <s v="Campo concluido"/>
    <s v="Y"/>
    <s v="Y"/>
    <s v="Y"/>
    <s v="N"/>
    <s v="Y"/>
    <s v="Y"/>
    <x v="0"/>
    <s v="6.1. Fora âmbito | Campos concluídos - Sem necessidade de espec."/>
  </r>
  <r>
    <s v="INSTRUMENT"/>
    <s v="SYNDCT_RL"/>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AGNT"/>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CNTRCT_ID"/>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LNDRS"/>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SHR"/>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N_TYP"/>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AX_ID"/>
    <x v="1"/>
    <s v="7. Analisar controlos e completude"/>
    <s v="NOK"/>
    <s v="Campo especificado, mas com problemas a montante"/>
    <m/>
    <x v="2"/>
    <d v="2024-06-07T00:00:00"/>
    <x v="5"/>
    <s v="NOK"/>
    <m/>
    <m/>
    <m/>
    <s v="Analisar controlos NOK"/>
    <s v="Y"/>
    <s v="N"/>
    <s v="N"/>
    <s v="N"/>
    <s v="N"/>
    <s v="N"/>
    <x v="0"/>
    <n v="0"/>
  </r>
  <r>
    <s v="PROTECTION"/>
    <s v="TAX_ID"/>
    <x v="1"/>
    <s v="7. Analisar controlos e completude"/>
    <s v="NOK"/>
    <s v="Concluido, controlos por parte de Riscos"/>
    <m/>
    <x v="2"/>
    <d v="2024-06-07T00:00:00"/>
    <x v="5"/>
    <s v="NOK"/>
    <m/>
    <m/>
    <m/>
    <s v="Analisar controlos NOK"/>
    <s v="Y"/>
    <s v="N"/>
    <s v="N"/>
    <s v="N"/>
    <s v="N"/>
    <s v="N"/>
    <x v="0"/>
    <n v="0"/>
  </r>
  <r>
    <s v="INSTR_PROTECTION"/>
    <s v="THRD_PRTY_PRRTY_CLMS"/>
    <x v="0"/>
    <s v="9. Concluído"/>
    <s v="OK"/>
    <s v="Concluido, controlos OK"/>
    <m/>
    <x v="0"/>
    <d v="2024-06-07T00:00:00"/>
    <x v="0"/>
    <s v="OK"/>
    <m/>
    <m/>
    <m/>
    <s v="Campo concluido"/>
    <s v="Y"/>
    <s v="N"/>
    <s v="N"/>
    <s v="N"/>
    <s v="N"/>
    <s v="N"/>
    <x v="0"/>
    <n v="0"/>
  </r>
  <r>
    <s v="INSTRUMENT"/>
    <s v="TRNCH"/>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TL_DB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TTL_DBT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ACCRD_INTRST_INSTRMNT"/>
    <x v="0"/>
    <s v="2. Alterar especificação"/>
    <s v="OK"/>
    <s v="Alterar especificação (Área enviou nova metodologia do campo)"/>
    <m/>
    <x v="2"/>
    <d v="2024-06-07T00:00:00"/>
    <x v="2"/>
    <s v="OK"/>
    <m/>
    <m/>
    <m/>
    <s v="Melhorias estruturais (garantir coerência entre campos)"/>
    <s v="Y"/>
    <s v="N"/>
    <s v="N"/>
    <s v="N"/>
    <s v="N"/>
    <s v="Y"/>
    <x v="1"/>
    <s v="2.2 Re-especificação de campos complexos - Resto"/>
  </r>
  <r>
    <s v="ENTITY"/>
    <s v="TTL_LVRG_RT"/>
    <x v="1"/>
    <s v="9. Concluído"/>
    <s v="OK"/>
    <s v="Concluido, controlos OK"/>
    <m/>
    <x v="0"/>
    <d v="2024-06-07T00:00:00"/>
    <x v="0"/>
    <s v="OK"/>
    <m/>
    <m/>
    <m/>
    <s v="Campo concluido"/>
    <s v="Y"/>
    <s v="N"/>
    <s v="N"/>
    <s v="N"/>
    <s v="N"/>
    <s v="Y"/>
    <x v="0"/>
    <s v="6.1. Fora âmbito | Campos concluídos - Sem necessidade de espec."/>
  </r>
  <r>
    <s v="ENTITY"/>
    <s v="TTL_LVRG_RT_PRVS"/>
    <x v="1"/>
    <s v="9. Concluído"/>
    <s v="OK"/>
    <s v="Concluido, controlos OK"/>
    <m/>
    <x v="0"/>
    <d v="2024-06-07T00:00:00"/>
    <x v="0"/>
    <s v="OK"/>
    <m/>
    <m/>
    <m/>
    <s v="Campo concluido"/>
    <s v="Y"/>
    <s v="N"/>
    <s v="N"/>
    <s v="N"/>
    <s v="N"/>
    <s v="Y"/>
    <x v="0"/>
    <s v="6.1. Fora âmbito | Campos concluídos - Sem necessidade de espec."/>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TYP_CMPLNT_MRTR_C19"/>
    <x v="1"/>
    <s v="9. Concluído"/>
    <s v="OK"/>
    <s v="Concluido, controlos OK"/>
    <m/>
    <x v="0"/>
    <d v="2024-06-07T00:00:00"/>
    <x v="0"/>
    <s v="OK"/>
    <m/>
    <m/>
    <m/>
    <s v="Campo concluido"/>
    <s v="Y"/>
    <s v="N"/>
    <s v="N"/>
    <s v="N"/>
    <s v="N"/>
    <s v="N"/>
    <x v="0"/>
    <n v="0"/>
  </r>
  <r>
    <s v="INSTRUMENT"/>
    <s v="TYP_CRE_OPRTN"/>
    <x v="1"/>
    <s v="7. Analisar controlos e completude"/>
    <s v="NOK"/>
    <s v="Controlos NOK"/>
    <m/>
    <x v="2"/>
    <d v="2024-06-07T00:00:00"/>
    <x v="5"/>
    <s v="NOK"/>
    <m/>
    <m/>
    <m/>
    <s v="Analisar controlos NOK"/>
    <s v="Y"/>
    <s v="N"/>
    <s v="N"/>
    <s v="N"/>
    <s v="N"/>
    <s v="N"/>
    <x v="0"/>
    <n v="0"/>
  </r>
  <r>
    <s v="INSTRUMENT"/>
    <s v="TYP_INSTRMNT"/>
    <x v="0"/>
    <s v="9. Concluído"/>
    <s v="OK"/>
    <s v="Concluido, controlos OK"/>
    <m/>
    <x v="0"/>
    <d v="2024-06-07T00:00:00"/>
    <x v="0"/>
    <s v="OK"/>
    <m/>
    <m/>
    <m/>
    <s v="Campo concluido"/>
    <s v="Y"/>
    <s v="Y"/>
    <s v="Y"/>
    <s v="N"/>
    <s v="N"/>
    <s v="Y"/>
    <x v="0"/>
    <s v="6.1. Fora âmbito | Campos concluídos - Sem necessidade de espec."/>
  </r>
  <r>
    <s v="INSTRUMENT"/>
    <s v="TYP_INTRST_RT"/>
    <x v="0"/>
    <s v="9. Concluído"/>
    <s v="OK"/>
    <s v="Concluido, controlos OK"/>
    <m/>
    <x v="0"/>
    <d v="2024-06-07T00:00:00"/>
    <x v="0"/>
    <s v="OK"/>
    <m/>
    <m/>
    <m/>
    <s v="Campo concluido"/>
    <s v="Y"/>
    <s v="N"/>
    <s v="N"/>
    <s v="N"/>
    <s v="N"/>
    <s v="N"/>
    <x v="0"/>
    <n v="0"/>
  </r>
  <r>
    <s v="PROTECTION"/>
    <s v="PRTCTN_VL"/>
    <x v="0"/>
    <s v="5.2 Em testes - Incidência"/>
    <s v="OK"/>
    <s v="Campo com incidência"/>
    <s v="Incidências: Casos em que valor é 0"/>
    <x v="1"/>
    <d v="2024-09-27T00:00:00"/>
    <x v="1"/>
    <s v="NOK"/>
    <s v="44 garantias com valor zero."/>
    <m/>
    <m/>
    <s v="Necessidade de correção de erros"/>
    <s v="Y"/>
    <s v="Y"/>
    <s v="Y"/>
    <s v="N"/>
    <s v="N"/>
    <s v="N"/>
    <x v="0"/>
    <n v="0"/>
  </r>
  <r>
    <s v="PROTECTION"/>
    <s v="PRTCTN_VL_NPE"/>
    <x v="0"/>
    <s v="5.1 Em testes - Re-especificação"/>
    <s v="OK"/>
    <s v="Campo depende do histórico do PRFRMNG_STTS. Não é necessário alterar a especificação do mesmo, apenas testar se a metodologia do campo PRFRMNG_STTS for alterada. "/>
    <m/>
    <x v="1"/>
    <d v="2024-10-03T00:00:00"/>
    <x v="8"/>
    <s v="OK"/>
    <m/>
    <m/>
    <m/>
    <s v="Pendente de decisão"/>
    <s v="Y"/>
    <s v="N"/>
    <s v="N"/>
    <s v="N"/>
    <s v="N"/>
    <s v="N"/>
    <x v="0"/>
    <n v="0"/>
  </r>
  <r>
    <s v="PROTECTION"/>
    <s v="TYP_PRTCTN_INTRNL"/>
    <x v="0"/>
    <s v="7. Analisar controlos e completude"/>
    <s v="NOK"/>
    <s v="Controlos NOK"/>
    <m/>
    <x v="2"/>
    <d v="2024-06-07T00:00:00"/>
    <x v="5"/>
    <s v="NOK"/>
    <m/>
    <m/>
    <m/>
    <s v="Analisar controlos NOK"/>
    <s v="Y"/>
    <s v="N"/>
    <s v="N"/>
    <s v="N"/>
    <s v="N"/>
    <s v="N"/>
    <x v="0"/>
    <n v="0"/>
  </r>
  <r>
    <s v="PROTECTION"/>
    <s v="TYP_PRTCTN_VL"/>
    <x v="0"/>
    <s v="7. Analisar controlos e completude"/>
    <s v="NOK"/>
    <s v="Controlos NOK"/>
    <m/>
    <x v="2"/>
    <d v="2024-06-07T00:00:00"/>
    <x v="5"/>
    <s v="NOK"/>
    <m/>
    <m/>
    <m/>
    <s v="Analisar controlos NOK"/>
    <s v="Y"/>
    <s v="N"/>
    <s v="N"/>
    <s v="N"/>
    <s v="N"/>
    <s v="N"/>
    <x v="0"/>
    <n v="0"/>
  </r>
  <r>
    <s v="INSTRUMENT"/>
    <s v="TYPE_OF_PLCMNT"/>
    <x v="1"/>
    <s v="9. Concluído"/>
    <s v="OK"/>
    <s v="Concluido, controlos OK"/>
    <m/>
    <x v="0"/>
    <d v="2024-06-07T00:00:00"/>
    <x v="0"/>
    <s v="OK"/>
    <m/>
    <m/>
    <m/>
    <s v="Campo concluido"/>
    <s v="Y"/>
    <s v="N"/>
    <s v="N"/>
    <s v="N"/>
    <s v="N"/>
    <s v="N"/>
    <x v="0"/>
    <n v="0"/>
  </r>
  <r>
    <s v="INSTRUMENT"/>
    <s v="VLTN_CRRNCY"/>
    <x v="1"/>
    <s v="9. Concluído"/>
    <s v="OK"/>
    <s v="Concluido, controlos OK"/>
    <m/>
    <x v="0"/>
    <d v="2024-06-07T00:00:00"/>
    <x v="0"/>
    <s v="OK"/>
    <m/>
    <m/>
    <m/>
    <s v="Campo concluido"/>
    <s v="Y"/>
    <s v="N"/>
    <s v="N"/>
    <s v="N"/>
    <s v="N"/>
    <s v="N"/>
    <x v="0"/>
    <n v="0"/>
  </r>
  <r>
    <s v="INSTRUMENT"/>
    <s v="VLTN_TYP"/>
    <x v="1"/>
    <s v="9. Concluído"/>
    <s v="OK"/>
    <s v="Concluido, controlos OK"/>
    <m/>
    <x v="0"/>
    <d v="2024-06-07T00:00:00"/>
    <x v="0"/>
    <s v="OK"/>
    <m/>
    <m/>
    <m/>
    <s v="Campo concluido"/>
    <s v="Y"/>
    <s v="N"/>
    <s v="N"/>
    <s v="N"/>
    <s v="N"/>
    <s v="N"/>
    <x v="0"/>
    <n v="0"/>
  </r>
  <r>
    <s v="ENTITY"/>
    <s v="WTCH_LST"/>
    <x v="0"/>
    <s v="9. Concluído"/>
    <s v="OK"/>
    <s v="Concluido, controlos OK"/>
    <m/>
    <x v="0"/>
    <d v="2024-06-07T00:00:00"/>
    <x v="0"/>
    <s v="OK"/>
    <m/>
    <m/>
    <m/>
    <s v="Campo concluido"/>
    <s v="Y"/>
    <s v="N"/>
    <s v="N"/>
    <s v="N"/>
    <s v="N"/>
    <s v="Y"/>
    <x v="0"/>
    <s v="6.1. Fora âmbito | Campos concluídos - Sem necessidade de espec."/>
  </r>
  <r>
    <s v="PROTECTION"/>
    <s v="YR_CNSTRCTN"/>
    <x v="1"/>
    <s v="1. Especificar"/>
    <s v="OK"/>
    <s v="Em especificação (Campos Novos)"/>
    <m/>
    <x v="2"/>
    <d v="2024-06-07T00:00:00"/>
    <x v="3"/>
    <s v="OK"/>
    <m/>
    <m/>
    <m/>
    <s v="Novo campo"/>
    <s v="Y"/>
    <s v="N"/>
    <s v="Y"/>
    <s v="N"/>
    <s v="Y"/>
    <s v="N"/>
    <x v="0"/>
    <n v="0"/>
  </r>
  <r>
    <s v="ENTITY"/>
    <s v="ADDRSS_CTY"/>
    <x v="1"/>
    <s v="1. Especificar"/>
    <m/>
    <m/>
    <m/>
    <x v="2"/>
    <d v="2025-01-10T00:00:00"/>
    <x v="3"/>
    <m/>
    <m/>
    <m/>
    <m/>
    <m/>
    <s v="Y"/>
    <s v="N"/>
    <s v="N"/>
    <s v="N"/>
    <s v="N"/>
    <s v="N"/>
    <x v="3"/>
    <n v="0"/>
  </r>
  <r>
    <s v="ENTITY"/>
    <s v="ADDRSS_STRT"/>
    <x v="1"/>
    <s v="1. Especificar"/>
    <m/>
    <m/>
    <m/>
    <x v="2"/>
    <d v="2025-01-10T00:00:00"/>
    <x v="3"/>
    <m/>
    <m/>
    <m/>
    <m/>
    <m/>
    <s v="Y"/>
    <s v="N"/>
    <s v="N"/>
    <s v="N"/>
    <s v="N"/>
    <s v="N"/>
    <x v="3"/>
    <n v="0"/>
  </r>
  <r>
    <s v="ENTITY"/>
    <s v="DT_ENTRPRS_SZ"/>
    <x v="1"/>
    <s v="1. Especificar"/>
    <m/>
    <m/>
    <m/>
    <x v="2"/>
    <d v="2025-01-10T00:00:00"/>
    <x v="3"/>
    <m/>
    <m/>
    <m/>
    <m/>
    <m/>
    <s v="Y"/>
    <s v="N"/>
    <s v="N"/>
    <s v="N"/>
    <s v="N"/>
    <s v="N"/>
    <x v="3"/>
    <n v="0"/>
  </r>
  <r>
    <s v="ENTITY"/>
    <s v="NMBR_EMPLYS"/>
    <x v="1"/>
    <s v="1. Especificar"/>
    <m/>
    <m/>
    <m/>
    <x v="2"/>
    <d v="2025-01-10T00:00:00"/>
    <x v="3"/>
    <m/>
    <m/>
    <m/>
    <m/>
    <m/>
    <s v="Y"/>
    <s v="N"/>
    <s v="N"/>
    <s v="N"/>
    <s v="N"/>
    <s v="N"/>
    <x v="3"/>
    <n v="0"/>
  </r>
  <r>
    <s v="ENTITY"/>
    <s v="LGL_FRM"/>
    <x v="1"/>
    <s v="1. Especificar"/>
    <m/>
    <m/>
    <m/>
    <x v="2"/>
    <d v="2025-01-10T00:00:00"/>
    <x v="3"/>
    <m/>
    <m/>
    <m/>
    <m/>
    <m/>
    <s v="Y"/>
    <s v="N"/>
    <s v="N"/>
    <s v="N"/>
    <s v="N"/>
    <s v="N"/>
    <x v="3"/>
    <n v="0"/>
  </r>
  <r>
    <s v="ENTITY"/>
    <s v="HD_OFFC_UNDRTKNG_ID"/>
    <x v="1"/>
    <s v="1. Especificar"/>
    <m/>
    <m/>
    <m/>
    <x v="2"/>
    <d v="2025-01-10T00:00:00"/>
    <x v="3"/>
    <m/>
    <m/>
    <m/>
    <m/>
    <m/>
    <s v="Y"/>
    <s v="N"/>
    <s v="N"/>
    <s v="N"/>
    <s v="N"/>
    <s v="N"/>
    <x v="3"/>
    <n v="0"/>
  </r>
  <r>
    <s v="ENTITY"/>
    <s v="IMMDT_PRNT_UNDRTKNG_ID"/>
    <x v="1"/>
    <s v="1. Especificar"/>
    <m/>
    <m/>
    <m/>
    <x v="2"/>
    <d v="2025-01-10T00:00:00"/>
    <x v="3"/>
    <m/>
    <m/>
    <m/>
    <m/>
    <m/>
    <s v="Y"/>
    <s v="N"/>
    <s v="N"/>
    <s v="N"/>
    <s v="N"/>
    <s v="N"/>
    <x v="3"/>
    <n v="0"/>
  </r>
  <r>
    <s v="ENTITY"/>
    <s v="ULTMT_PRNT_UNDRTKNG_ID"/>
    <x v="1"/>
    <s v="1. Especificar"/>
    <m/>
    <m/>
    <m/>
    <x v="2"/>
    <d v="2025-01-10T00:00:00"/>
    <x v="3"/>
    <m/>
    <m/>
    <m/>
    <m/>
    <m/>
    <s v="Y"/>
    <s v="N"/>
    <s v="N"/>
    <s v="N"/>
    <s v="N"/>
    <s v="N"/>
    <x v="3"/>
    <n v="0"/>
  </r>
  <r>
    <s v="ENTITY"/>
    <s v="TTL_ASSTS"/>
    <x v="1"/>
    <s v="1. Especificar"/>
    <m/>
    <m/>
    <m/>
    <x v="2"/>
    <d v="2025-01-10T00:00:00"/>
    <x v="3"/>
    <m/>
    <m/>
    <m/>
    <m/>
    <m/>
    <s v="Y"/>
    <s v="N"/>
    <s v="N"/>
    <s v="N"/>
    <s v="N"/>
    <s v="N"/>
    <x v="3"/>
    <n v="0"/>
  </r>
  <r>
    <s v="ENTITY"/>
    <s v="ENTTY_ID_BDR"/>
    <x v="1"/>
    <s v="1. Especificar"/>
    <m/>
    <m/>
    <m/>
    <x v="2"/>
    <d v="2025-01-10T00:00:00"/>
    <x v="3"/>
    <m/>
    <m/>
    <m/>
    <m/>
    <m/>
    <s v="Y"/>
    <s v="N"/>
    <s v="N"/>
    <s v="N"/>
    <s v="N"/>
    <s v="N"/>
    <x v="3"/>
    <n v="0"/>
  </r>
  <r>
    <s v="INSTRUMENT"/>
    <s v="CPN_RT_FLTNG"/>
    <x v="1"/>
    <s v="1. Especificar"/>
    <m/>
    <m/>
    <m/>
    <x v="2"/>
    <d v="2025-01-10T00:00:00"/>
    <x v="3"/>
    <m/>
    <m/>
    <m/>
    <m/>
    <m/>
    <s v="Y"/>
    <s v="N"/>
    <s v="N"/>
    <s v="N"/>
    <s v="N"/>
    <s v="N"/>
    <x v="3"/>
    <n v="0"/>
  </r>
  <r>
    <s v="INSTRUMENT"/>
    <s v="INTRST_RT_CP"/>
    <x v="1"/>
    <s v="1. Especificar"/>
    <m/>
    <m/>
    <m/>
    <x v="2"/>
    <d v="2025-01-10T00:00:00"/>
    <x v="3"/>
    <m/>
    <m/>
    <m/>
    <m/>
    <m/>
    <s v="Y"/>
    <s v="N"/>
    <s v="N"/>
    <s v="N"/>
    <s v="N"/>
    <s v="N"/>
    <x v="3"/>
    <n v="0"/>
  </r>
  <r>
    <s v="INSTRUMENT"/>
    <s v="INTRST_RT_FLR"/>
    <x v="1"/>
    <s v="1. Especificar"/>
    <m/>
    <m/>
    <m/>
    <x v="2"/>
    <d v="2025-01-10T00:00:00"/>
    <x v="3"/>
    <m/>
    <m/>
    <m/>
    <m/>
    <m/>
    <s v="Y"/>
    <s v="N"/>
    <s v="N"/>
    <s v="N"/>
    <s v="N"/>
    <s v="N"/>
    <x v="3"/>
    <n v="0"/>
  </r>
  <r>
    <s v="INSTRUMENT"/>
    <s v="NMNL_INTRST_RT_FEE"/>
    <x v="1"/>
    <s v="1. Especificar"/>
    <m/>
    <m/>
    <m/>
    <x v="2"/>
    <d v="2025-01-10T00:00:00"/>
    <x v="3"/>
    <m/>
    <m/>
    <m/>
    <m/>
    <m/>
    <s v="Y"/>
    <s v="N"/>
    <s v="N"/>
    <s v="N"/>
    <s v="N"/>
    <s v="N"/>
    <x v="3"/>
    <n v="0"/>
  </r>
  <r>
    <s v="INSTRUMENT"/>
    <s v="DT_STTLMNT"/>
    <x v="1"/>
    <s v="1. Especificar"/>
    <m/>
    <m/>
    <m/>
    <x v="2"/>
    <d v="2025-01-10T00:00:00"/>
    <x v="3"/>
    <m/>
    <m/>
    <m/>
    <m/>
    <m/>
    <s v="Y"/>
    <s v="N"/>
    <s v="N"/>
    <s v="N"/>
    <s v="N"/>
    <s v="N"/>
    <x v="3"/>
    <n v="0"/>
  </r>
  <r>
    <s v="INSTRUMENT"/>
    <s v="TRNSFRRD_AMNT"/>
    <x v="1"/>
    <s v="1. Especificar"/>
    <m/>
    <m/>
    <m/>
    <x v="2"/>
    <d v="2025-01-10T00:00:00"/>
    <x v="3"/>
    <m/>
    <m/>
    <m/>
    <m/>
    <m/>
    <s v="Y"/>
    <s v="N"/>
    <s v="N"/>
    <s v="N"/>
    <s v="N"/>
    <s v="N"/>
    <x v="3"/>
    <n v="0"/>
  </r>
  <r>
    <s v="INSTRUMENT"/>
    <s v="TYP_SCRTZTN"/>
    <x v="1"/>
    <s v="1. Especificar"/>
    <m/>
    <m/>
    <m/>
    <x v="2"/>
    <d v="2025-01-10T00:00:00"/>
    <x v="3"/>
    <m/>
    <m/>
    <m/>
    <m/>
    <m/>
    <s v="Y"/>
    <s v="N"/>
    <s v="N"/>
    <s v="N"/>
    <s v="N"/>
    <s v="N"/>
    <x v="3"/>
    <n v="0"/>
  </r>
  <r>
    <s v="INSTRUMENT"/>
    <s v="TYP_OFF_BLNC_PRDCT"/>
    <x v="1"/>
    <s v="1. Especificar"/>
    <m/>
    <m/>
    <m/>
    <x v="2"/>
    <d v="2025-01-10T00:00:00"/>
    <x v="3"/>
    <m/>
    <m/>
    <m/>
    <m/>
    <m/>
    <s v="Y"/>
    <s v="Y"/>
    <s v="Y"/>
    <s v="N"/>
    <s v="N"/>
    <s v="Y"/>
    <x v="1"/>
    <s v="1. Novos Campos"/>
  </r>
  <r>
    <s v="INSTRUMENT"/>
    <s v="BLNC_SHT_RCGNTN"/>
    <x v="1"/>
    <s v="1. Especificar"/>
    <m/>
    <m/>
    <m/>
    <x v="2"/>
    <d v="2025-01-10T00:00:00"/>
    <x v="3"/>
    <m/>
    <m/>
    <m/>
    <m/>
    <m/>
    <s v="Y"/>
    <s v="N"/>
    <s v="N"/>
    <s v="N"/>
    <s v="N"/>
    <s v="N"/>
    <x v="3"/>
    <n v="0"/>
  </r>
  <r>
    <s v="INSTRUMENT"/>
    <s v="FLG_DFLT"/>
    <x v="1"/>
    <s v="1. Especificar"/>
    <m/>
    <m/>
    <m/>
    <x v="2"/>
    <d v="2025-01-10T00:00:00"/>
    <x v="3"/>
    <m/>
    <m/>
    <m/>
    <m/>
    <m/>
    <s v="Y"/>
    <s v="N"/>
    <s v="N"/>
    <s v="N"/>
    <s v="N"/>
    <s v="N"/>
    <x v="3"/>
    <n v="0"/>
  </r>
  <r>
    <s v="INSTRUMENT"/>
    <s v="FLG_HGH_RSK"/>
    <x v="1"/>
    <s v="1. Especificar"/>
    <m/>
    <m/>
    <m/>
    <x v="2"/>
    <d v="2025-01-10T00:00:00"/>
    <x v="3"/>
    <m/>
    <m/>
    <m/>
    <m/>
    <m/>
    <s v="Y"/>
    <s v="N"/>
    <s v="N"/>
    <s v="N"/>
    <s v="N"/>
    <s v="N"/>
    <x v="3"/>
    <n v="0"/>
  </r>
  <r>
    <s v="INSTRUMENT"/>
    <s v="PRTNR"/>
    <x v="1"/>
    <s v="1. Especificar"/>
    <m/>
    <m/>
    <m/>
    <x v="2"/>
    <d v="2025-01-10T00:00:00"/>
    <x v="3"/>
    <m/>
    <m/>
    <m/>
    <m/>
    <m/>
    <s v="Y"/>
    <s v="N"/>
    <s v="N"/>
    <s v="Y"/>
    <s v="N"/>
    <s v="N"/>
    <x v="3"/>
    <n v="0"/>
  </r>
  <r>
    <s v="INSTRUMENT"/>
    <s v="INCNTVS"/>
    <x v="1"/>
    <s v="1. Especificar"/>
    <m/>
    <m/>
    <m/>
    <x v="2"/>
    <d v="2025-01-10T00:00:00"/>
    <x v="3"/>
    <m/>
    <m/>
    <m/>
    <m/>
    <m/>
    <s v="Y"/>
    <s v="N"/>
    <s v="N"/>
    <s v="Y"/>
    <s v="N"/>
    <s v="N"/>
    <x v="3"/>
    <n v="0"/>
  </r>
  <r>
    <s v="INSTRUMENT"/>
    <s v="OTHR_OPRTNG_INCM"/>
    <x v="1"/>
    <s v="1. Especificar"/>
    <m/>
    <m/>
    <m/>
    <x v="2"/>
    <d v="2025-01-10T00:00:00"/>
    <x v="3"/>
    <m/>
    <m/>
    <m/>
    <m/>
    <m/>
    <s v="Y"/>
    <s v="N"/>
    <s v="N"/>
    <s v="Y"/>
    <s v="N"/>
    <s v="N"/>
    <x v="3"/>
    <n v="0"/>
  </r>
  <r>
    <s v="INSTRUMENT"/>
    <s v="RFRRL_FS"/>
    <x v="1"/>
    <s v="1. Especificar"/>
    <m/>
    <m/>
    <m/>
    <x v="2"/>
    <d v="2025-01-10T00:00:00"/>
    <x v="3"/>
    <m/>
    <m/>
    <m/>
    <m/>
    <m/>
    <s v="Y"/>
    <s v="N"/>
    <s v="N"/>
    <s v="Y"/>
    <s v="N"/>
    <s v="N"/>
    <x v="3"/>
    <n v="0"/>
  </r>
  <r>
    <s v="INSTRUMENT"/>
    <s v="INSRNC_CMSSNS"/>
    <x v="1"/>
    <s v="1. Especificar"/>
    <m/>
    <m/>
    <m/>
    <x v="2"/>
    <d v="2025-01-10T00:00:00"/>
    <x v="3"/>
    <m/>
    <m/>
    <m/>
    <m/>
    <m/>
    <s v="Y"/>
    <s v="N"/>
    <s v="N"/>
    <s v="Y"/>
    <s v="N"/>
    <s v="N"/>
    <x v="3"/>
    <n v="0"/>
  </r>
  <r>
    <s v="INSTRUMENT"/>
    <s v="OTHR_INCM_AND_CHRGS"/>
    <x v="1"/>
    <s v="1. Especificar"/>
    <m/>
    <m/>
    <m/>
    <x v="2"/>
    <d v="2025-01-10T00:00:00"/>
    <x v="3"/>
    <m/>
    <m/>
    <m/>
    <m/>
    <m/>
    <s v="Y"/>
    <s v="N"/>
    <s v="N"/>
    <s v="Y"/>
    <s v="N"/>
    <s v="N"/>
    <x v="3"/>
    <n v="0"/>
  </r>
  <r>
    <s v="INSTRUMENT"/>
    <s v="TX_ON_PRFT"/>
    <x v="1"/>
    <s v="1. Especificar"/>
    <m/>
    <m/>
    <m/>
    <x v="2"/>
    <d v="2025-01-10T00:00:00"/>
    <x v="3"/>
    <m/>
    <m/>
    <m/>
    <m/>
    <m/>
    <s v="Y"/>
    <s v="N"/>
    <s v="N"/>
    <s v="Y"/>
    <s v="N"/>
    <s v="N"/>
    <x v="3"/>
    <n v="0"/>
  </r>
  <r>
    <s v="PROTECTION"/>
    <s v="LND_AR"/>
    <x v="1"/>
    <s v="1. Especificar"/>
    <m/>
    <m/>
    <m/>
    <x v="2"/>
    <d v="2025-01-10T00:00:00"/>
    <x v="3"/>
    <m/>
    <m/>
    <m/>
    <m/>
    <m/>
    <s v="Y"/>
    <s v="N"/>
    <s v="N"/>
    <s v="N"/>
    <s v="N"/>
    <s v="N"/>
    <x v="3"/>
    <n v="0"/>
  </r>
  <r>
    <s v="PROTECTION"/>
    <s v="LN_PSTN"/>
    <x v="1"/>
    <s v="1. Especificar"/>
    <m/>
    <m/>
    <m/>
    <x v="2"/>
    <d v="2025-01-10T00:00:00"/>
    <x v="3"/>
    <m/>
    <m/>
    <m/>
    <m/>
    <m/>
    <s v="Y"/>
    <s v="N"/>
    <s v="N"/>
    <s v="N"/>
    <s v="N"/>
    <s v="N"/>
    <x v="3"/>
    <n v="0"/>
  </r>
  <r>
    <s v="PROTECTION"/>
    <s v="RL_ESTT_LNGTD"/>
    <x v="1"/>
    <s v="1. Especificar"/>
    <m/>
    <m/>
    <m/>
    <x v="2"/>
    <d v="2025-01-10T00:00:00"/>
    <x v="3"/>
    <m/>
    <m/>
    <m/>
    <m/>
    <m/>
    <s v="Y"/>
    <s v="N"/>
    <s v="N"/>
    <s v="N"/>
    <s v="N"/>
    <s v="N"/>
    <x v="3"/>
    <n v="0"/>
  </r>
  <r>
    <s v="PROTECTION"/>
    <s v="RL_ESTT_LTTD"/>
    <x v="1"/>
    <s v="1. Especificar"/>
    <m/>
    <m/>
    <m/>
    <x v="2"/>
    <d v="2025-01-10T00:00:00"/>
    <x v="3"/>
    <m/>
    <m/>
    <m/>
    <m/>
    <m/>
    <s v="Y"/>
    <s v="N"/>
    <s v="N"/>
    <s v="N"/>
    <s v="N"/>
    <s v="N"/>
    <x v="3"/>
    <n v="0"/>
  </r>
  <r>
    <s v="INSTR_ACTIVITY"/>
    <s v="PRCNTG_ACTVTY"/>
    <x v="1"/>
    <s v="1. Especificar"/>
    <m/>
    <m/>
    <m/>
    <x v="2"/>
    <d v="2025-01-10T00:00:00"/>
    <x v="3"/>
    <m/>
    <m/>
    <m/>
    <m/>
    <m/>
    <s v="Y"/>
    <s v="Y"/>
    <s v="Y"/>
    <s v="N"/>
    <s v="N"/>
    <s v="N"/>
    <x v="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s v="INSTRUMENT"/>
    <s v="ACCMLTD_CHNGS_FV_CR_INSTRMNT"/>
    <x v="0"/>
    <s v="9. Concluído"/>
    <s v="OK"/>
    <s v="Concluido, controlos OK"/>
    <m/>
    <s v="Campo Fechado"/>
    <d v="2024-06-07T00:00:00"/>
    <x v="0"/>
    <s v="OK"/>
    <m/>
    <m/>
    <m/>
    <x v="0"/>
  </r>
  <r>
    <s v="INSTRUMENT"/>
    <s v="ACCMLTD_IMPRMNT_INSTRMNT"/>
    <x v="0"/>
    <s v="9. Concluído"/>
    <s v="OK"/>
    <s v="Concluido, controlos OK"/>
    <m/>
    <s v="Campo Fechado"/>
    <d v="2024-06-07T00:00:00"/>
    <x v="0"/>
    <s v="OK"/>
    <m/>
    <m/>
    <m/>
    <x v="0"/>
  </r>
  <r>
    <s v="INSTRUMENT"/>
    <s v="ACCMLTD_IMPRMNT_INSTRMNT_PRVS"/>
    <x v="0"/>
    <s v="5.2 Em testes - Incidência"/>
    <s v="OK"/>
    <s v="Campo com incidência. Verificar fonte LT"/>
    <m/>
    <s v="Sim"/>
    <d v="2024-06-07T00:00:00"/>
    <x v="1"/>
    <s v="OK"/>
    <m/>
    <m/>
    <m/>
    <x v="1"/>
  </r>
  <r>
    <s v="INSTRUMENT"/>
    <s v="ACCMLTD_WRTFFS_INSTRMNT"/>
    <x v="0"/>
    <s v="9. Concluído"/>
    <s v="OK"/>
    <s v="Concluido, controlos OK"/>
    <m/>
    <s v="Campo Fechado"/>
    <d v="2024-06-07T00:00:00"/>
    <x v="0"/>
    <s v="OK"/>
    <m/>
    <m/>
    <m/>
    <x v="0"/>
  </r>
  <r>
    <s v="INSTRUMENT"/>
    <s v="ACCNTNG_CLSSFCTN"/>
    <x v="0"/>
    <s v="9. Concluído"/>
    <s v="OK"/>
    <s v="Concluido, controlos OK"/>
    <m/>
    <s v="Campo Fechado"/>
    <d v="2024-06-07T00:00:00"/>
    <x v="0"/>
    <s v="OK"/>
    <m/>
    <m/>
    <m/>
    <x v="0"/>
  </r>
  <r>
    <s v="ENTITY"/>
    <s v="ACCNTNG_FRMWRK_SL"/>
    <x v="0"/>
    <s v="2. Alterar especificação"/>
    <s v="OK"/>
    <s v="Em especificação (Financial Statments CIB)"/>
    <s v="Campo implementação, mas com falta de informação para o segmento de clientes CIB"/>
    <s v="Não"/>
    <d v="2024-06-07T00:00:00"/>
    <x v="2"/>
    <s v="OK"/>
    <m/>
    <m/>
    <m/>
    <x v="2"/>
  </r>
  <r>
    <s v="INSTRUMENT"/>
    <s v="TYP_MRTGG"/>
    <x v="0"/>
    <s v="3. Pendente de decisão"/>
    <s v="NOK"/>
    <s v="Alteração da Code list por parte do BCE"/>
    <m/>
    <s v="Sim"/>
    <d v="2024-10-03T00:00:00"/>
    <x v="2"/>
    <s v="NOK"/>
    <s v="Alterar especificação de acordo com codelist atual. No MUG existem apenas garantias elegiveis para cálculo de capital? Se sim, TYP_MRTGG irá assumir os valores 1, 5 e N/A. Caso contrário assumirá os valores  1, 5, 6 e N/A."/>
    <m/>
    <m/>
    <x v="3"/>
  </r>
  <r>
    <s v="INSTRUMENT"/>
    <s v="AMNT_D_AT_MTRTY"/>
    <x v="0"/>
    <s v="1. Especificar"/>
    <s v="NOK"/>
    <s v="Em especificação"/>
    <m/>
    <s v="Não"/>
    <d v="2024-06-07T00:00:00"/>
    <x v="3"/>
    <s v="NOK"/>
    <m/>
    <m/>
    <m/>
    <x v="4"/>
  </r>
  <r>
    <s v="ENTITY"/>
    <s v="ANNL_TRNVR_LE"/>
    <x v="0"/>
    <s v="2. Alterar especificação"/>
    <s v="OK"/>
    <s v="Em especificação (Financial Statments CIB)"/>
    <s v="Campo implementação, mas com falta de informação para o segmento de clientes CIB"/>
    <s v="Não"/>
    <d v="2024-06-07T00:00:00"/>
    <x v="2"/>
    <s v="OK"/>
    <m/>
    <m/>
    <m/>
    <x v="2"/>
  </r>
  <r>
    <s v="ENTITY"/>
    <s v="ANNL_TRNVR_LE_BDR"/>
    <x v="1"/>
    <s v="9. Concluído"/>
    <s v="OK"/>
    <s v="Concluido, controlos OK"/>
    <m/>
    <s v="Campo Fechado"/>
    <d v="2024-06-07T00:00:00"/>
    <x v="0"/>
    <s v="OK"/>
    <m/>
    <m/>
    <m/>
    <x v="0"/>
  </r>
  <r>
    <s v="ENTITY"/>
    <s v="ANNL_TRNVR_PRVS"/>
    <x v="0"/>
    <s v="2. Alterar especificação"/>
    <s v="OK"/>
    <s v="Em especificação (Financial Statments CIB)"/>
    <s v="Campo implementação, mas com falta de informação para o segmento de clientes CIB"/>
    <s v="Não"/>
    <d v="2024-06-07T00:00:00"/>
    <x v="2"/>
    <s v="OK"/>
    <m/>
    <m/>
    <m/>
    <x v="2"/>
  </r>
  <r>
    <s v="ENTITY"/>
    <s v="ANNL_TRNVR_PRVS_BDR"/>
    <x v="1"/>
    <s v="9. Concluído"/>
    <s v="OK"/>
    <s v="Concluido, controlos OK"/>
    <m/>
    <s v="Campo Fechado"/>
    <d v="2024-06-07T00:00:00"/>
    <x v="0"/>
    <s v="OK"/>
    <m/>
    <m/>
    <m/>
    <x v="0"/>
  </r>
  <r>
    <s v="INSTRUMENT"/>
    <s v="ANNLSD_AGRD_RT"/>
    <x v="0"/>
    <s v="3. Pendente de decisão"/>
    <s v="OK"/>
    <s v="Verificar necessidade de alteração da fonte para fins de reconciliação. Rever Fonte"/>
    <s v="Rever se devemos utilizar a informação de IFRS9 ou manter a de alm"/>
    <s v="Sim"/>
    <d v="2024-06-07T00:00:00"/>
    <x v="4"/>
    <s v="OK"/>
    <m/>
    <m/>
    <m/>
    <x v="5"/>
  </r>
  <r>
    <s v="PROTECTION"/>
    <s v="APPRSL_CRRNCY"/>
    <x v="0"/>
    <s v="7. Analisar controlos e completude"/>
    <s v="NOK"/>
    <s v="Controlos NOK"/>
    <m/>
    <s v="Não"/>
    <d v="2024-06-07T00:00:00"/>
    <x v="5"/>
    <s v="NOK"/>
    <m/>
    <m/>
    <m/>
    <x v="6"/>
  </r>
  <r>
    <s v="PROTECTION"/>
    <s v="APPRSR"/>
    <x v="0"/>
    <s v="7. Analisar controlos e completude"/>
    <s v="NOK"/>
    <s v="Controlos NOK"/>
    <m/>
    <s v="Não"/>
    <d v="2024-06-07T00:00:00"/>
    <x v="5"/>
    <s v="NOK"/>
    <m/>
    <m/>
    <m/>
    <x v="6"/>
  </r>
  <r>
    <s v="INSTRUMENT"/>
    <s v="ARRRS_INSTRMNT"/>
    <x v="0"/>
    <s v="7. Analisar controlos e completude"/>
    <s v="NOK"/>
    <s v="Controlos NOK"/>
    <m/>
    <s v="Não"/>
    <d v="2024-06-07T00:00:00"/>
    <x v="5"/>
    <s v="NOK"/>
    <m/>
    <m/>
    <m/>
    <x v="6"/>
  </r>
  <r>
    <s v="INSTRUMENT"/>
    <s v="ARRRS_INSTRMNT_12M"/>
    <x v="0"/>
    <s v="7. Analisar controlos e completude"/>
    <s v="NOK"/>
    <s v="Controlos NOK"/>
    <m/>
    <s v="Não"/>
    <d v="2024-06-07T00:00:00"/>
    <x v="5"/>
    <s v="NOK"/>
    <m/>
    <m/>
    <m/>
    <x v="6"/>
  </r>
  <r>
    <s v="INSTRUMENT"/>
    <s v="ASST_SCRT_CLSS"/>
    <x v="1"/>
    <s v="9. Concluído"/>
    <s v="OK"/>
    <s v="Concluido, controlos OK"/>
    <m/>
    <s v="Campo Fechado"/>
    <d v="2024-06-07T00:00:00"/>
    <x v="0"/>
    <s v="OK"/>
    <m/>
    <m/>
    <m/>
    <x v="0"/>
  </r>
  <r>
    <s v="INSTRUMENT"/>
    <s v="BRCHD_CVNNTS"/>
    <x v="0"/>
    <s v="8. Concluído - sem dados"/>
    <s v="OK"/>
    <s v="Campo especificado, mas sem dados. Campo marcado com MISS ou NA"/>
    <m/>
    <s v="Campo Fechado"/>
    <d v="2024-06-07T00:00:00"/>
    <x v="6"/>
    <s v="OK"/>
    <m/>
    <m/>
    <m/>
    <x v="7"/>
  </r>
  <r>
    <s v="ENTITY"/>
    <s v="CAPEX"/>
    <x v="0"/>
    <s v="2. Alterar especificação"/>
    <s v="OK"/>
    <s v="Em especificação (Financial Statments CIB)"/>
    <s v="Campo implementação, mas com falta de informação para o segmento de clientes CIB"/>
    <s v="Não"/>
    <d v="2024-06-07T00:00:00"/>
    <x v="2"/>
    <s v="OK"/>
    <m/>
    <m/>
    <m/>
    <x v="2"/>
  </r>
  <r>
    <s v="ENTITY"/>
    <s v="CAPEX_PRVS"/>
    <x v="0"/>
    <s v="2. Alterar especificação"/>
    <s v="OK"/>
    <s v="Em especificação (Financial Statments CIB)"/>
    <s v="Campo implementação, mas com falta de informação para o segmento de clientes CIB"/>
    <s v="Não"/>
    <d v="2024-06-07T00:00:00"/>
    <x v="2"/>
    <s v="OK"/>
    <m/>
    <m/>
    <m/>
    <x v="2"/>
  </r>
  <r>
    <s v="INSTRUMENT"/>
    <s v="CCF"/>
    <x v="0"/>
    <s v="9. Concluído"/>
    <s v="OK"/>
    <s v="Concluido, controlos OK"/>
    <m/>
    <s v="Campo Fechado"/>
    <d v="2024-06-07T00:00:00"/>
    <x v="0"/>
    <s v="OK"/>
    <m/>
    <m/>
    <m/>
    <x v="0"/>
  </r>
  <r>
    <s v="INSTRUMENT"/>
    <s v="CHNNL_ORGNTN"/>
    <x v="1"/>
    <s v="4.1 Em implementação - Re-especificação"/>
    <s v="NOK"/>
    <s v="Aguarda implementação de IT"/>
    <m/>
    <s v="Não"/>
    <d v="2024-06-07T00:00:00"/>
    <x v="7"/>
    <s v="NOK"/>
    <m/>
    <d v="2024-01-05T00:00:00"/>
    <m/>
    <x v="2"/>
  </r>
  <r>
    <s v="ENTITY"/>
    <s v="CLLCTN_MD"/>
    <x v="1"/>
    <s v="9. Concluído"/>
    <s v="OK"/>
    <s v="Concluido, controlos OK"/>
    <m/>
    <s v="Campo Fechado"/>
    <d v="2024-06-07T00:00:00"/>
    <x v="0"/>
    <s v="OK"/>
    <m/>
    <m/>
    <m/>
    <x v="0"/>
  </r>
  <r>
    <s v="ENTITY"/>
    <s v="TTL_INTRST_PD"/>
    <x v="1"/>
    <s v="2. Alterar especificação"/>
    <s v="NOK"/>
    <s v="Em especificação (Amortizações Capital/ Juros)"/>
    <m/>
    <s v="Não"/>
    <d v="2024-06-07T00:00:00"/>
    <x v="2"/>
    <s v="NOK"/>
    <m/>
    <m/>
    <m/>
    <x v="2"/>
  </r>
  <r>
    <s v="INSTRUMENT"/>
    <s v="CMMTMNT_INCPTN_INSTRMNT"/>
    <x v="0"/>
    <s v="7. Analisar controlos e completude"/>
    <s v="NOK"/>
    <s v="Analisar controlos e completude"/>
    <m/>
    <s v="Não"/>
    <d v="2024-06-07T00:00:00"/>
    <x v="5"/>
    <s v="NOK"/>
    <m/>
    <m/>
    <m/>
    <x v="6"/>
  </r>
  <r>
    <s v="PROTECTION"/>
    <s v="RL_ESTT_CLLTRL_LCTN"/>
    <x v="0"/>
    <s v="2. Alterar especificação"/>
    <s v="NOK"/>
    <s v="Alterados 3 casos. Campo está a devolver PT para todas as proteções, no entanto estas não estão localizadas em PT e alterou-se a localização para os respetivos paises."/>
    <m/>
    <s v="Não"/>
    <d v="2024-06-07T00:00:00"/>
    <x v="2"/>
    <s v="NOK"/>
    <m/>
    <m/>
    <m/>
    <x v="2"/>
  </r>
  <r>
    <s v="INSTRUMENT"/>
    <s v="CMPLNT_MRTR_C19_NM"/>
    <x v="1"/>
    <s v="9. Concluído"/>
    <s v="OK"/>
    <s v="Concluido, controlos OK"/>
    <m/>
    <s v="Campo Fechado"/>
    <d v="2024-06-07T00:00:00"/>
    <x v="0"/>
    <s v="OK"/>
    <m/>
    <m/>
    <m/>
    <x v="0"/>
  </r>
  <r>
    <s v="INSTRUMENT"/>
    <s v="CNSMPTN_FNRP18"/>
    <x v="1"/>
    <s v="9. Concluído"/>
    <s v="OK"/>
    <s v="Concluido, controlos OK"/>
    <m/>
    <s v="Campo Fechado"/>
    <d v="2024-06-07T00:00:00"/>
    <x v="0"/>
    <s v="OK"/>
    <m/>
    <m/>
    <m/>
    <x v="0"/>
  </r>
  <r>
    <s v="PROTECTION"/>
    <s v="DT_APPRSL_PRVS"/>
    <x v="0"/>
    <s v="5.2 Em testes - Incidência"/>
    <s v="NOK"/>
    <s v="Campo com incidência e controlos NOK"/>
    <s v="1) Campo com incidência, data igual à data da protection_vl 2) Alteração de formatos MISS"/>
    <s v="Campo Fechado"/>
    <d v="2025-01-13T00:00:00"/>
    <x v="0"/>
    <s v="OK"/>
    <s v="Alteraração da definição do campo no Guia da Corporação. Campo passou a reportar a data da avaliação completa anterior à data da última avaliação  completa._x000a_"/>
    <d v="2024-07-12T00:00:00"/>
    <d v="2024-12-20T00:00:00"/>
    <x v="3"/>
  </r>
  <r>
    <s v="INSTRUMENT"/>
    <s v="CNTRCT_ID"/>
    <x v="0"/>
    <s v="9. Concluído"/>
    <s v="OK"/>
    <s v="Concluido, controlos OK"/>
    <m/>
    <s v="Campo Fechado"/>
    <d v="2024-06-07T00:00:00"/>
    <x v="0"/>
    <s v="OK"/>
    <m/>
    <m/>
    <m/>
    <x v="0"/>
  </r>
  <r>
    <s v="INSTRUMENT"/>
    <s v="CNTRCT_ID_BDR"/>
    <x v="1"/>
    <s v="9. Concluído"/>
    <s v="OK"/>
    <s v="Concluido, controlos OK"/>
    <m/>
    <s v="Campo Fechado"/>
    <d v="2024-06-07T00:00:00"/>
    <x v="0"/>
    <s v="OK"/>
    <m/>
    <m/>
    <m/>
    <x v="0"/>
  </r>
  <r>
    <s v="ENTITY"/>
    <s v="CNTRY"/>
    <x v="0"/>
    <s v="9. Concluído"/>
    <s v="OK"/>
    <s v="Concluido, controlos OK"/>
    <m/>
    <s v="Campo Fechado"/>
    <d v="2024-06-07T00:00:00"/>
    <x v="0"/>
    <s v="OK"/>
    <m/>
    <m/>
    <m/>
    <x v="0"/>
  </r>
  <r>
    <s v="ENTITY"/>
    <s v="COD_SOC"/>
    <x v="0"/>
    <s v="9. Concluído"/>
    <s v="OK"/>
    <s v="Concluido, controlos OK"/>
    <m/>
    <s v="Campo Fechado"/>
    <d v="2024-06-07T00:00:00"/>
    <x v="0"/>
    <s v="OK"/>
    <m/>
    <m/>
    <m/>
    <x v="0"/>
  </r>
  <r>
    <s v="INSTR_ENTITY"/>
    <s v="COD_SOC"/>
    <x v="0"/>
    <s v="9. Concluído"/>
    <s v="OK"/>
    <s v="Concluido, controlos OK"/>
    <m/>
    <s v="Campo Fechado"/>
    <d v="2024-06-07T00:00:00"/>
    <x v="0"/>
    <s v="OK"/>
    <m/>
    <m/>
    <m/>
    <x v="0"/>
  </r>
  <r>
    <s v="INSTR_PROTECTION"/>
    <s v="COD_SOC"/>
    <x v="0"/>
    <s v="9. Concluído"/>
    <s v="OK"/>
    <s v="Concluido, controlos OK"/>
    <m/>
    <s v="Campo Fechado"/>
    <d v="2024-06-07T00:00:00"/>
    <x v="0"/>
    <s v="OK"/>
    <m/>
    <m/>
    <m/>
    <x v="0"/>
  </r>
  <r>
    <s v="INSTRUMENT"/>
    <s v="COD_SOC"/>
    <x v="0"/>
    <s v="9. Concluído"/>
    <s v="OK"/>
    <s v="Concluido, controlos OK"/>
    <m/>
    <s v="Campo Fechado"/>
    <d v="2024-06-07T00:00:00"/>
    <x v="0"/>
    <s v="OK"/>
    <m/>
    <m/>
    <m/>
    <x v="0"/>
  </r>
  <r>
    <s v="PROTECTION"/>
    <s v="COD_SOC"/>
    <x v="0"/>
    <s v="9. Concluído"/>
    <s v="OK"/>
    <s v="Concluido, controlos OK"/>
    <m/>
    <s v="Campo Fechado"/>
    <d v="2024-06-07T00:00:00"/>
    <x v="0"/>
    <s v="OK"/>
    <m/>
    <m/>
    <m/>
    <x v="0"/>
  </r>
  <r>
    <s v="INSTRUMENT"/>
    <s v="COD_SOC_INTRGRP"/>
    <x v="0"/>
    <s v="4.1 Em implementação - Re-especificação"/>
    <s v="NOK"/>
    <s v="Aguarda implementação de IT"/>
    <m/>
    <s v="Não"/>
    <d v="2024-06-17T00:00:00"/>
    <x v="8"/>
    <s v="NOK"/>
    <m/>
    <d v="2024-01-12T00:00:00"/>
    <d v="2024-03-28T00:00:00"/>
    <x v="4"/>
  </r>
  <r>
    <s v="INSTRUMENT"/>
    <s v="CPN_CRRNCY"/>
    <x v="1"/>
    <s v="9. Concluído"/>
    <s v="OK"/>
    <s v="Concluido, controlos OK"/>
    <m/>
    <s v="Campo Fechado"/>
    <d v="2024-06-07T00:00:00"/>
    <x v="0"/>
    <s v="OK"/>
    <m/>
    <m/>
    <m/>
    <x v="0"/>
  </r>
  <r>
    <s v="INSTRUMENT"/>
    <s v="CPN_RT_FXD"/>
    <x v="1"/>
    <s v="9. Concluído"/>
    <s v="OK"/>
    <s v="Concluido, controlos OK"/>
    <m/>
    <s v="Campo Fechado"/>
    <d v="2024-06-07T00:00:00"/>
    <x v="0"/>
    <s v="OK"/>
    <m/>
    <m/>
    <m/>
    <x v="0"/>
  </r>
  <r>
    <s v="ENTITY"/>
    <s v="CR_FLG"/>
    <x v="1"/>
    <s v="7. Analisar controlos e completude"/>
    <s v="NOK"/>
    <s v="Controlos NOK"/>
    <m/>
    <s v="Não"/>
    <d v="2024-06-07T00:00:00"/>
    <x v="5"/>
    <s v="NOK"/>
    <m/>
    <m/>
    <m/>
    <x v="6"/>
  </r>
  <r>
    <s v="INSTRUMENT"/>
    <s v="CRE_FNRP18"/>
    <x v="0"/>
    <s v="9. Concluído"/>
    <s v="OK"/>
    <s v="Concluido, controlos OK"/>
    <m/>
    <s v="Campo Fechado"/>
    <d v="2024-06-07T00:00:00"/>
    <x v="0"/>
    <s v="OK"/>
    <m/>
    <m/>
    <m/>
    <x v="0"/>
  </r>
  <r>
    <s v="PROTECTION"/>
    <s v="CRE_INCM_CRRNCY"/>
    <x v="1"/>
    <s v="8. Concluído - sem dados"/>
    <s v="NOK"/>
    <s v="Campo sem mapeamento, para análise da área  de Riscos"/>
    <m/>
    <s v="Campo Fechado"/>
    <d v="2024-06-07T00:00:00"/>
    <x v="6"/>
    <s v="NOK"/>
    <m/>
    <m/>
    <m/>
    <x v="7"/>
  </r>
  <r>
    <s v="PROTECTION"/>
    <s v="CRE_YRLY_EXPNSS"/>
    <x v="1"/>
    <s v="8. Concluído - sem dados"/>
    <s v="OK"/>
    <s v="Campo sem mapeamento, para análise da área  de Riscos"/>
    <m/>
    <s v="Campo Fechado"/>
    <d v="2024-06-07T00:00:00"/>
    <x v="6"/>
    <s v="OK"/>
    <m/>
    <m/>
    <m/>
    <x v="7"/>
  </r>
  <r>
    <s v="PROTECTION"/>
    <s v="CRE_YRLY_INCM"/>
    <x v="1"/>
    <s v="8. Concluído - sem dados"/>
    <s v="OK"/>
    <s v="Campo sem mapeamento, para análise da área  de Riscos"/>
    <m/>
    <s v="Campo Fechado"/>
    <d v="2024-06-07T00:00:00"/>
    <x v="6"/>
    <s v="OK"/>
    <m/>
    <m/>
    <m/>
    <x v="7"/>
  </r>
  <r>
    <s v="INSTRUMENT"/>
    <s v="CRRLTN_CFFCNT"/>
    <x v="1"/>
    <s v="7. Analisar controlos e completude"/>
    <s v="NOK"/>
    <s v="Controlos NOK"/>
    <m/>
    <s v="Não"/>
    <d v="2024-06-07T00:00:00"/>
    <x v="5"/>
    <s v="NOK"/>
    <m/>
    <m/>
    <m/>
    <x v="6"/>
  </r>
  <r>
    <s v="INSTRUMENT"/>
    <s v="CRRNCY_DNMNTN"/>
    <x v="0"/>
    <s v="9. Concluído"/>
    <s v="OK"/>
    <s v="Concluido, controlos OK"/>
    <m/>
    <s v="Campo Fechado"/>
    <d v="2024-06-07T00:00:00"/>
    <x v="0"/>
    <s v="OK"/>
    <m/>
    <m/>
    <m/>
    <x v="0"/>
  </r>
  <r>
    <s v="INSTRUMENT"/>
    <s v="CRRYNG_AMNT_INSTRMNT"/>
    <x v="0"/>
    <s v="9. Concluído"/>
    <s v="OK"/>
    <s v="Concluido, controlos OK"/>
    <m/>
    <s v="Campo Fechado"/>
    <d v="2024-06-07T00:00:00"/>
    <x v="0"/>
    <s v="OK"/>
    <m/>
    <m/>
    <m/>
    <x v="0"/>
  </r>
  <r>
    <s v="ENTITY"/>
    <s v="CSH"/>
    <x v="0"/>
    <s v="2. Alterar especificação"/>
    <s v="OK"/>
    <s v="Em especificação (Financial Statments CIB)"/>
    <s v="Campo implementação, mas com falta de informação para o segmento de clientes CIB"/>
    <s v="Não"/>
    <d v="2024-06-07T00:00:00"/>
    <x v="2"/>
    <s v="OK"/>
    <m/>
    <m/>
    <m/>
    <x v="2"/>
  </r>
  <r>
    <s v="ENTITY"/>
    <s v="CSH_PRVS"/>
    <x v="0"/>
    <s v="2. Alterar especificação"/>
    <s v="OK"/>
    <s v="Em especificação (Financial Statments CIB)"/>
    <s v="Campo implementação, mas com falta de informação para o segmento de clientes CIB"/>
    <s v="Não"/>
    <d v="2024-06-07T00:00:00"/>
    <x v="2"/>
    <s v="OK"/>
    <m/>
    <m/>
    <m/>
    <x v="2"/>
  </r>
  <r>
    <s v="INSTRUMENT"/>
    <s v="CSH_SWP_TRP"/>
    <x v="0"/>
    <s v="9. Concluído"/>
    <s v="OK"/>
    <s v="Concluido, controlos OK"/>
    <m/>
    <s v="Campo Fechado"/>
    <d v="2024-06-07T00:00:00"/>
    <x v="0"/>
    <s v="OK"/>
    <m/>
    <m/>
    <m/>
    <x v="0"/>
  </r>
  <r>
    <s v="INSTRUMENT"/>
    <s v="CVNNT_STTS"/>
    <x v="1"/>
    <s v="8. Concluído - sem dados"/>
    <s v="OK"/>
    <s v="Campo especificado, mas sem dados. Campo marcado com MISS ou NA"/>
    <m/>
    <s v="Campo Fechado"/>
    <d v="2024-06-07T00:00:00"/>
    <x v="6"/>
    <s v="OK"/>
    <m/>
    <m/>
    <m/>
    <x v="7"/>
  </r>
  <r>
    <s v="INSTRUMENT"/>
    <s v="CVNNT_TYP"/>
    <x v="1"/>
    <s v="9. Concluído"/>
    <s v="OK"/>
    <s v="Concluido, controlos OK"/>
    <m/>
    <s v="Campo Fechado"/>
    <d v="2024-06-07T00:00:00"/>
    <x v="0"/>
    <s v="OK"/>
    <m/>
    <m/>
    <m/>
    <x v="0"/>
  </r>
  <r>
    <s v="ENTITY"/>
    <s v="DBT_RPYMNT_CPCTY_SNR_DBT"/>
    <x v="1"/>
    <s v="8. Concluído - sem dados"/>
    <s v="OK"/>
    <s v="Campo especificado, mas sem dados. Campo marcado com MISS ou NA"/>
    <m/>
    <s v="Campo Fechado"/>
    <d v="2024-06-07T00:00:00"/>
    <x v="6"/>
    <s v="OK"/>
    <m/>
    <m/>
    <m/>
    <x v="7"/>
  </r>
  <r>
    <s v="ENTITY"/>
    <s v="DBT_RPYMNT_CPCTY_TTL"/>
    <x v="1"/>
    <s v="9. Concluído"/>
    <s v="OK"/>
    <s v="Concluido, controlos OK"/>
    <m/>
    <s v="Campo Fechado"/>
    <d v="2024-06-07T00:00:00"/>
    <x v="0"/>
    <s v="OK"/>
    <m/>
    <m/>
    <m/>
    <x v="0"/>
  </r>
  <r>
    <s v="ENTITY"/>
    <s v="DBT_SRVC_RT"/>
    <x v="0"/>
    <s v="2. Alterar especificação"/>
    <s v="OK"/>
    <s v="Em especificação (Financial Statments CIB)"/>
    <s v="Campo implementação, mas com falta de informação para o segmento de clientes CIB"/>
    <s v="Não"/>
    <d v="2024-06-07T00:00:00"/>
    <x v="2"/>
    <s v="OK"/>
    <m/>
    <m/>
    <m/>
    <x v="2"/>
  </r>
  <r>
    <s v="ENTITY"/>
    <s v="DBT_SRVC_RT_12M"/>
    <x v="0"/>
    <s v="2. Alterar especificação"/>
    <s v="OK"/>
    <s v="Em especificação (Financial Statments CIB)"/>
    <s v="Campo implementação, mas com falta de informação para o segmento de clientes CIB"/>
    <s v="Não"/>
    <d v="2024-06-07T00:00:00"/>
    <x v="2"/>
    <s v="OK"/>
    <m/>
    <m/>
    <m/>
    <x v="2"/>
  </r>
  <r>
    <s v="INSTRUMENT"/>
    <s v="DBT_YLD"/>
    <x v="1"/>
    <s v="8. Concluído - sem dados"/>
    <s v="OK"/>
    <s v="Concluido, controlos OK"/>
    <m/>
    <s v="Campo Fechado"/>
    <d v="2024-06-07T00:00:00"/>
    <x v="6"/>
    <s v="OK"/>
    <m/>
    <m/>
    <m/>
    <x v="7"/>
  </r>
  <r>
    <s v="ENTITY"/>
    <s v="DCSD"/>
    <x v="1"/>
    <s v="9. Concluído"/>
    <s v="OK"/>
    <s v="Concluido, controlos OK"/>
    <m/>
    <s v="Campo Fechado"/>
    <d v="2024-06-07T00:00:00"/>
    <x v="0"/>
    <s v="OK"/>
    <m/>
    <m/>
    <m/>
    <x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s v="Sim"/>
    <d v="2024-06-07T00:00:00"/>
    <x v="4"/>
    <s v="NOK"/>
    <m/>
    <m/>
    <m/>
    <x v="5"/>
  </r>
  <r>
    <s v="INSTRUMENT"/>
    <s v="RFNNC_PRPS"/>
    <x v="0"/>
    <s v="2. Alterar especificação"/>
    <s v="OK"/>
    <s v="Alterar especificação. Campo depende do FRBRNC_STTS_INSTRMNT"/>
    <s v="Sempre que o campo FRBRNC_STTS_INSTRMNT =3 o campo RFNNC_PRPS deve estar marcado como Y. Reespecificar, implementar e testar."/>
    <s v="Não"/>
    <d v="2024-06-07T00:00:00"/>
    <x v="2"/>
    <s v="OK"/>
    <m/>
    <m/>
    <m/>
    <x v="2"/>
  </r>
  <r>
    <s v="INSTRUMENT"/>
    <s v="DPD"/>
    <x v="0"/>
    <s v="7. Analisar controlos e completude"/>
    <s v="NOK"/>
    <s v="Controlos NOK"/>
    <m/>
    <s v="Não"/>
    <d v="2024-06-07T00:00:00"/>
    <x v="5"/>
    <s v="NOK"/>
    <m/>
    <m/>
    <m/>
    <x v="6"/>
  </r>
  <r>
    <s v="INSTRUMENT"/>
    <s v="DPD_12M"/>
    <x v="0"/>
    <s v="7. Analisar controlos e completude"/>
    <s v="NOK"/>
    <s v="Controlos NOK"/>
    <m/>
    <s v="Não"/>
    <d v="2024-06-07T00:00:00"/>
    <x v="5"/>
    <s v="NOK"/>
    <m/>
    <m/>
    <m/>
    <x v="6"/>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s v="Não"/>
    <d v="2024-06-07T00:00:00"/>
    <x v="8"/>
    <s v="NOK"/>
    <m/>
    <d v="2022-04-28T00:00:00"/>
    <d v="2022-05-19T00:00:00"/>
    <x v="2"/>
  </r>
  <r>
    <s v="INSTRUMENT"/>
    <s v="DPD_12M_PRFRMNG_STTS"/>
    <x v="0"/>
    <s v="5.1 Em testes - Re-especificação"/>
    <s v="NOK"/>
    <s v="Campo depende do histórico do PRFRMNG_STTS. Não é necessário alterar a especificação do mesmo, apenas testar se a metodologia do campo PRFRMNG_STTS for alterada."/>
    <m/>
    <s v="Sim"/>
    <d v="2025-01-13T00:00:00"/>
    <x v="8"/>
    <s v="OK"/>
    <s v="Alteração da fonte das tabela de Imparidade Reporting para as 8_7 e alteração da data a partir da qual a fonte passa a ser as tabelas de Contabilidade ( 2019 para Dez 2022)"/>
    <d v="2024-09-27T00:00:00"/>
    <m/>
    <x v="5"/>
  </r>
  <r>
    <s v="INSTRUMENT"/>
    <s v="DPD_24M_FRBRNC_STTS"/>
    <x v="0"/>
    <s v="7. Analisar controlos e completude"/>
    <s v="NOK"/>
    <s v="Controlos NOK"/>
    <m/>
    <s v="Não"/>
    <d v="2024-06-07T00:00:00"/>
    <x v="5"/>
    <s v="NOK"/>
    <m/>
    <m/>
    <m/>
    <x v="6"/>
  </r>
  <r>
    <s v="INSTRUMENT"/>
    <s v="DPD_24M_PRFRMNG_STTS"/>
    <x v="0"/>
    <s v="5.1 Em testes - Re-especificação"/>
    <s v="N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PD_FRBRNC_STTS"/>
    <x v="0"/>
    <s v="7. Analisar controlos e completude"/>
    <s v="NOK"/>
    <s v="Controlos NOK"/>
    <m/>
    <s v="Não"/>
    <d v="2024-06-07T00:00:00"/>
    <x v="5"/>
    <s v="NOK"/>
    <m/>
    <m/>
    <m/>
    <x v="6"/>
  </r>
  <r>
    <s v="INSTRUMENT"/>
    <s v="DPD_PRFRMNG_STT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STI"/>
    <x v="1"/>
    <s v="1. Especificar"/>
    <s v="OK"/>
    <s v="Em especificação (Campos Novos)"/>
    <m/>
    <s v="Não"/>
    <d v="2024-06-07T00:00:00"/>
    <x v="3"/>
    <s v="OK"/>
    <m/>
    <m/>
    <m/>
    <x v="4"/>
  </r>
  <r>
    <s v="PROTECTION"/>
    <s v="TYP_PRTCTN"/>
    <x v="0"/>
    <s v="2. Alterar especificação"/>
    <s v="NOK"/>
    <s v="Alterar especificação (alteração da fonte para MUG)"/>
    <s v="Campo depende do campo 'cgarant' do MUG"/>
    <s v="Campo Fechado"/>
    <d v="2025-01-13T00:00:00"/>
    <x v="0"/>
    <s v="OK"/>
    <s v="Alteração de especificação com base no campo cgarant_bem e cgarant_rpt do MUG. Controlo NOK - A Corporação ajustou o controlo e estes casos passarão a estar OK_x000a_"/>
    <d v="2024-07-19T00:00:00"/>
    <d v="2024-12-20T00:00:00"/>
    <x v="1"/>
  </r>
  <r>
    <s v="ENTITY"/>
    <s v="DT_BRTH"/>
    <x v="1"/>
    <s v="7. Analisar controlos e completude"/>
    <s v="NOK"/>
    <s v="Controlos NOK"/>
    <m/>
    <s v="Não"/>
    <d v="2024-06-07T00:00:00"/>
    <x v="5"/>
    <s v="NOK"/>
    <m/>
    <m/>
    <m/>
    <x v="6"/>
  </r>
  <r>
    <s v="INSTRUMENT"/>
    <s v="DT_CMPLNT_MRTR_STTS_C19"/>
    <x v="1"/>
    <s v="9. Concluído"/>
    <s v="OK"/>
    <s v="Concluido, controlos OK"/>
    <m/>
    <s v="Campo Fechado"/>
    <d v="2024-06-07T00:00:00"/>
    <x v="0"/>
    <s v="OK"/>
    <m/>
    <m/>
    <m/>
    <x v="0"/>
  </r>
  <r>
    <s v="INSTRUMENT"/>
    <s v="DT_CMPLNT_MRTR_STTS_PRVS_C19"/>
    <x v="1"/>
    <s v="9. Concluído"/>
    <s v="OK"/>
    <s v="Concluido, controlos OK"/>
    <m/>
    <s v="Campo Fechado"/>
    <d v="2024-06-07T00:00:00"/>
    <x v="0"/>
    <s v="OK"/>
    <m/>
    <m/>
    <m/>
    <x v="0"/>
  </r>
  <r>
    <s v="PROTECTION"/>
    <s v="DT_PRTCTN_VL"/>
    <x v="0"/>
    <s v="5.2 Em testes - Incidência"/>
    <s v="NOK"/>
    <s v="Campo com incidência e controlos NOK. "/>
    <s v="Alteração formato de 0001-01-01 para 0000-00-00"/>
    <s v="Campo Fechado"/>
    <d v="2025-01-13T00:00:00"/>
    <x v="0"/>
    <s v="OK"/>
    <s v="Incidência corrigida. Especificação alterada para campo da GT018, de modo a estar coerente com a especificação do campo PRTCTN_VL_x000a_Controlo NOK (ver caderno de testes a 03/12/2023)"/>
    <d v="2024-07-19T00:00:00"/>
    <d v="2024-12-20T00:00:00"/>
    <x v="1"/>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s v="Não"/>
    <d v="2024-06-07T00:00:00"/>
    <x v="1"/>
    <s v="NOK"/>
    <m/>
    <m/>
    <m/>
    <x v="2"/>
  </r>
  <r>
    <s v="INSTRUMENT"/>
    <s v="DT_END_GP_PPAL"/>
    <x v="0"/>
    <s v="7. Analisar controlos e completude"/>
    <s v="NOK"/>
    <s v="Controlos NOK"/>
    <m/>
    <s v="Não"/>
    <d v="2024-06-07T00:00:00"/>
    <x v="5"/>
    <s v="NOK"/>
    <m/>
    <m/>
    <m/>
    <x v="6"/>
  </r>
  <r>
    <s v="INSTRUMENT"/>
    <s v="DT_END_GP_PPAL_C19"/>
    <x v="1"/>
    <s v="9. Concluído"/>
    <s v="OK"/>
    <s v="Concluido, controlos OK"/>
    <m/>
    <s v="Campo Fechado"/>
    <d v="2024-06-07T00:00:00"/>
    <x v="0"/>
    <s v="OK"/>
    <m/>
    <m/>
    <m/>
    <x v="0"/>
  </r>
  <r>
    <s v="INSTRUMENT"/>
    <s v="DT_END_INTRST_ONLY"/>
    <x v="0"/>
    <s v="7. Analisar controlos e completude"/>
    <s v="NOK"/>
    <s v="Controlos NOK"/>
    <m/>
    <s v="Não"/>
    <d v="2024-06-07T00:00:00"/>
    <x v="5"/>
    <s v="NOK"/>
    <m/>
    <m/>
    <m/>
    <x v="6"/>
  </r>
  <r>
    <s v="INSTRUMENT"/>
    <s v="DT_END_INTRST_ONLY_C19"/>
    <x v="1"/>
    <s v="9. Concluído"/>
    <s v="OK"/>
    <s v="Concluido, controlos OK"/>
    <m/>
    <s v="Campo Fechado"/>
    <d v="2024-06-07T00:00:00"/>
    <x v="0"/>
    <s v="OK"/>
    <m/>
    <m/>
    <m/>
    <x v="0"/>
  </r>
  <r>
    <s v="PROTECTION"/>
    <s v="CNSTRCTN_STTS"/>
    <x v="1"/>
    <s v="2. Alterar especificação"/>
    <s v="NOK"/>
    <s v="Campo dependente do MUG"/>
    <s v="Campo depende do campo 'cgarant' do MUG"/>
    <s v="Campo Fechado"/>
    <d v="2025-01-13T00:00:00"/>
    <x v="0"/>
    <s v="OK"/>
    <m/>
    <d v="2024-08-09T00:00:00"/>
    <d v="2024-12-20T00:00:00"/>
    <x v="1"/>
  </r>
  <r>
    <s v="ENTITY"/>
    <s v="DT_FNNCL_STTMTS"/>
    <x v="0"/>
    <s v="2. Alterar especificação"/>
    <s v="NOK"/>
    <s v="Em especificação (Financial Statments CIB)"/>
    <s v="Campo implementação, mas com falta de informação para o segmento de clientes CIB"/>
    <s v="Não"/>
    <d v="2024-06-07T00:00:00"/>
    <x v="2"/>
    <s v="NOK"/>
    <m/>
    <m/>
    <m/>
    <x v="2"/>
  </r>
  <r>
    <s v="ENTITY"/>
    <s v="DT_FNNCL_STTMTS_PRVS"/>
    <x v="0"/>
    <s v="2. Alterar especificação"/>
    <s v="NOK"/>
    <s v="Em especificação (Financial Statments CIB)"/>
    <s v="Campo implementação, mas com falta de informação para o segmento de clientes CIB"/>
    <s v="Não"/>
    <d v="2024-06-07T00:00:00"/>
    <x v="2"/>
    <s v="NOK"/>
    <m/>
    <m/>
    <m/>
    <x v="2"/>
  </r>
  <r>
    <s v="INSTRUMENT"/>
    <s v="RCVD_INTRST_24M"/>
    <x v="0"/>
    <s v="2. Alterar especificação"/>
    <s v="OK"/>
    <s v="Em especificação (Amortizações Capital/ Juros). Campo com dados mas pouca qualidade"/>
    <m/>
    <s v="Não"/>
    <d v="2024-06-07T00:00:00"/>
    <x v="2"/>
    <s v="OK"/>
    <m/>
    <m/>
    <m/>
    <x v="2"/>
  </r>
  <r>
    <s v="INSTRUMENT"/>
    <s v="DT_FRBRNC_STTS_C19"/>
    <x v="1"/>
    <s v="9. Concluído"/>
    <s v="OK"/>
    <s v="Concluido, controlos OK"/>
    <m/>
    <s v="Campo Fechado"/>
    <d v="2024-06-07T00:00:00"/>
    <x v="0"/>
    <s v="OK"/>
    <m/>
    <m/>
    <m/>
    <x v="0"/>
  </r>
  <r>
    <s v="INSTRUMENT"/>
    <s v="RCVD_INTRST_12M"/>
    <x v="0"/>
    <s v="2. Alterar especificação"/>
    <s v="NOK"/>
    <s v="Em especificação (Amortizações Capital/ Juros)"/>
    <m/>
    <s v="Não"/>
    <d v="2024-06-07T00:00:00"/>
    <x v="2"/>
    <s v="NOK"/>
    <m/>
    <m/>
    <m/>
    <x v="2"/>
  </r>
  <r>
    <s v="INSTRUMENT"/>
    <s v="DT_FRBRNC_STTS_PRVS_C19"/>
    <x v="1"/>
    <s v="9. Concluído"/>
    <s v="OK"/>
    <s v="Concluido, controlos OK"/>
    <m/>
    <s v="Campo Fechado"/>
    <d v="2024-06-07T00:00:00"/>
    <x v="0"/>
    <s v="OK"/>
    <m/>
    <m/>
    <m/>
    <x v="0"/>
  </r>
  <r>
    <s v="PROTECTION"/>
    <s v="DT_FRST_USG"/>
    <x v="1"/>
    <s v="7. Analisar controlos e completude"/>
    <s v="NOK"/>
    <s v="Controlos NOK por parte de Riscos"/>
    <m/>
    <s v="Não"/>
    <d v="2024-06-07T00:00:00"/>
    <x v="5"/>
    <s v="NOK"/>
    <m/>
    <m/>
    <m/>
    <x v="6"/>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NCPTN"/>
    <x v="0"/>
    <s v="7. Analisar controlos e completude"/>
    <s v="NOK"/>
    <s v="Controlos NOK"/>
    <m/>
    <s v="Não"/>
    <d v="2024-06-07T00:00:00"/>
    <x v="5"/>
    <s v="NOK"/>
    <m/>
    <m/>
    <m/>
    <x v="6"/>
  </r>
  <r>
    <s v="ENTITY"/>
    <s v="DT_INTRNL_RTNG"/>
    <x v="0"/>
    <s v="5.1 Em testes - Re-especificação"/>
    <s v="NOK"/>
    <s v="Em testes, campo entregue por IT durante a OSI. Incidência nos formatos. Testar e validar controlos NOK"/>
    <m/>
    <s v="Sim"/>
    <d v="2024-06-07T00:00:00"/>
    <x v="8"/>
    <s v="NOK"/>
    <s v="Campo entregue durante a OSI"/>
    <d v="2024-02-16T00:00:00"/>
    <d v="2024-05-24T00:00:00"/>
    <x v="1"/>
  </r>
  <r>
    <s v="INSTRUMENT"/>
    <s v="DT_INTRNL_RTNG"/>
    <x v="0"/>
    <s v="5.1 Em testes - Re-especificação"/>
    <s v="NOK"/>
    <s v="Em testes, campo entregue por IT durante a OSI. Testar e validar controlos"/>
    <m/>
    <s v="Sim"/>
    <d v="2024-06-07T00:00:00"/>
    <x v="8"/>
    <s v="NOK"/>
    <s v="Campo entregue durante a OSI"/>
    <d v="2024-02-16T00:00:00"/>
    <d v="2024-05-24T00:00:00"/>
    <x v="1"/>
  </r>
  <r>
    <s v="ENTITY"/>
    <s v="DT_INTTN_LGL_PRCDNGS_LE"/>
    <x v="0"/>
    <s v="9. Concluído"/>
    <s v="OK"/>
    <s v="Concluido, controlos OK"/>
    <m/>
    <s v="Campo Fechado"/>
    <d v="2024-06-07T00:00:00"/>
    <x v="0"/>
    <s v="OK"/>
    <m/>
    <m/>
    <m/>
    <x v="0"/>
  </r>
  <r>
    <s v="PROTECTION"/>
    <s v="DVLPMNT_STTS"/>
    <x v="0"/>
    <s v="2. Alterar especificação"/>
    <s v="NOK"/>
    <s v="Alterar especificação. Campo dependente do MUG"/>
    <s v="Campo depende do campo 'cgarant' do MUG"/>
    <s v="Campo Fechado"/>
    <d v="2025-01-13T00:00:00"/>
    <x v="0"/>
    <s v="OK"/>
    <s v="Mapeamento de acordo com o CNSTRCTN_STTS"/>
    <d v="2024-08-09T00:00:00"/>
    <d v="2024-12-20T00:00:00"/>
    <x v="1"/>
  </r>
  <r>
    <s v="PROTECTION"/>
    <s v="DT_LST_FLL_APPRSL"/>
    <x v="0"/>
    <s v="5.2 Em testes - Incidência"/>
    <s v="NOK"/>
    <s v="Campo com incidência e controlos NOK"/>
    <s v="1) Campo com incidência, data igual à data da protection_vl 2) Alteração de formatos MISS"/>
    <s v="Campo Fechado"/>
    <d v="2025-01-13T00:00:00"/>
    <x v="0"/>
    <s v="OK"/>
    <s v="Campo está a reportar a data da última avaliação e não a data da última avaliação in person. Implementação não está a aplicar a metodologia de cálculo de acordo com a especificação"/>
    <d v="2024-06-28T00:00:00"/>
    <d v="2024-12-20T00:00:00"/>
    <x v="1"/>
  </r>
  <r>
    <s v="PROTECTION"/>
    <s v="DT_MTRTY_PRTCTN"/>
    <x v="0"/>
    <s v="7. Analisar controlos e completude"/>
    <s v="NOK"/>
    <s v="Controlos NOK por parte de Riscos"/>
    <m/>
    <s v="Não"/>
    <d v="2024-06-07T00:00:00"/>
    <x v="5"/>
    <s v="NOK"/>
    <m/>
    <m/>
    <m/>
    <x v="6"/>
  </r>
  <r>
    <s v="INSTRUMENT"/>
    <s v="SICR_ASSSSMNT_MTHD"/>
    <x v="0"/>
    <s v="3. Pendente de decisão"/>
    <s v="OK"/>
    <s v="Rever com Corporação se a codelist do IMPRMNT_STTS alterou, caso não tenha alterado não é necessário alterar o campo."/>
    <m/>
    <s v="Campo Fechado"/>
    <d v="2024-06-28T00:00:00"/>
    <x v="0"/>
    <s v="OK"/>
    <s v="E-mail enviado para Corporação. Codelist IMPRMNT_STTS não alterou"/>
    <m/>
    <s v="-"/>
    <x v="0"/>
  </r>
  <r>
    <s v="INSTRUMENT"/>
    <s v="DT_ORGNL_MTRTY"/>
    <x v="0"/>
    <s v="7. Analisar controlos e completude"/>
    <s v="NOK"/>
    <s v="Controlos NOK"/>
    <m/>
    <s v="Não"/>
    <d v="2024-06-07T00:00:00"/>
    <x v="5"/>
    <s v="NOK"/>
    <m/>
    <m/>
    <m/>
    <x v="6"/>
  </r>
  <r>
    <s v="PROTECTION"/>
    <s v="NTNL_ID"/>
    <x v="0"/>
    <s v="5.2 Em testes - Incidência"/>
    <s v="NOK"/>
    <s v="Campo com incidência (Formatos). Remover aspas"/>
    <m/>
    <s v="Campo Fechado"/>
    <d v="2025-01-13T00:00:00"/>
    <x v="0"/>
    <s v="OK"/>
    <m/>
    <d v="2024-08-09T00:00:00"/>
    <d v="2024-12-20T00:00:00"/>
    <x v="1"/>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s v="Sim"/>
    <d v="2025-01-13T00:00:00"/>
    <x v="8"/>
    <s v="OK"/>
    <s v="Alteração de fonte e tabelas reporting para tabelas terminadas em 7_8_x000a_"/>
    <d v="2024-08-30T00:00:00"/>
    <m/>
    <x v="1"/>
  </r>
  <r>
    <s v="INSTRUMENT"/>
    <s v="DT_PST_D"/>
    <x v="0"/>
    <s v="7. Analisar controlos e completude"/>
    <s v="NOK"/>
    <s v="Controlos NOK"/>
    <m/>
    <s v="Não"/>
    <d v="2024-06-07T00:00:00"/>
    <x v="5"/>
    <s v="NOK"/>
    <m/>
    <m/>
    <m/>
    <x v="6"/>
  </r>
  <r>
    <s v="ENTITY"/>
    <s v="DT_RFRNC"/>
    <x v="0"/>
    <s v="9. Concluído"/>
    <s v="OK"/>
    <s v="Concluido, controlos OK"/>
    <m/>
    <s v="Campo Fechado"/>
    <d v="2024-06-07T00:00:00"/>
    <x v="0"/>
    <s v="OK"/>
    <m/>
    <m/>
    <m/>
    <x v="0"/>
  </r>
  <r>
    <s v="INSTR_ENTITY"/>
    <s v="DT_RFRNC"/>
    <x v="0"/>
    <s v="9. Concluído"/>
    <s v="OK"/>
    <s v="Concluido, controlos OK"/>
    <m/>
    <s v="Campo Fechado"/>
    <d v="2024-06-07T00:00:00"/>
    <x v="0"/>
    <s v="OK"/>
    <m/>
    <m/>
    <m/>
    <x v="0"/>
  </r>
  <r>
    <s v="INSTR_PROTECTION"/>
    <s v="DT_RFRNC"/>
    <x v="0"/>
    <s v="9. Concluído"/>
    <s v="OK"/>
    <s v="Concluido, controlos OK"/>
    <m/>
    <s v="Campo Fechado"/>
    <d v="2024-06-07T00:00:00"/>
    <x v="0"/>
    <s v="OK"/>
    <m/>
    <m/>
    <m/>
    <x v="0"/>
  </r>
  <r>
    <s v="INSTRUMENT"/>
    <s v="DT_RFRNC"/>
    <x v="0"/>
    <s v="9. Concluído"/>
    <s v="OK"/>
    <s v="Concluido, controlos OK"/>
    <m/>
    <s v="Campo Fechado"/>
    <d v="2024-06-07T00:00:00"/>
    <x v="0"/>
    <s v="OK"/>
    <m/>
    <m/>
    <m/>
    <x v="0"/>
  </r>
  <r>
    <s v="PROTECTION"/>
    <s v="DT_RFRNC"/>
    <x v="0"/>
    <s v="9. Concluído"/>
    <s v="OK"/>
    <s v="Concluido, controlos OK"/>
    <m/>
    <s v="Campo Fechado"/>
    <d v="2024-06-07T00:00:00"/>
    <x v="0"/>
    <s v="OK"/>
    <m/>
    <m/>
    <m/>
    <x v="0"/>
  </r>
  <r>
    <s v="INSTRUMENT"/>
    <s v="DT_STRT_GP_PPAL"/>
    <x v="0"/>
    <s v="7. Analisar controlos e completude"/>
    <s v="NOK"/>
    <s v="Controlos NOK"/>
    <m/>
    <s v="Não"/>
    <d v="2024-06-07T00:00:00"/>
    <x v="5"/>
    <s v="NOK"/>
    <m/>
    <m/>
    <m/>
    <x v="6"/>
  </r>
  <r>
    <s v="INSTRUMENT"/>
    <s v="DT_STRT_INTRST_ONLY"/>
    <x v="0"/>
    <s v="7. Analisar controlos e completude"/>
    <s v="NOK"/>
    <s v="Controlos NOK"/>
    <m/>
    <s v="Não"/>
    <d v="2024-06-07T00:00:00"/>
    <x v="5"/>
    <s v="NOK"/>
    <m/>
    <m/>
    <m/>
    <x v="6"/>
  </r>
  <r>
    <s v="INSTRUMENT"/>
    <s v="DT_VLTN"/>
    <x v="1"/>
    <s v="9. Concluído"/>
    <s v="OK"/>
    <s v="Concluido, controlos OK"/>
    <m/>
    <s v="Campo Fechado"/>
    <d v="2024-06-07T00:00:00"/>
    <x v="0"/>
    <s v="OK"/>
    <m/>
    <m/>
    <m/>
    <x v="0"/>
  </r>
  <r>
    <s v="INSTRUMENT"/>
    <s v="POCI"/>
    <x v="0"/>
    <s v="9. Concluído"/>
    <s v="OK"/>
    <s v="Concluido, controlos OK"/>
    <m/>
    <s v="Campo Fechado"/>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x v="0"/>
  </r>
  <r>
    <s v="INSTRUMENT"/>
    <s v="EAD"/>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x v="1"/>
  </r>
  <r>
    <s v="INSTRUMENT"/>
    <s v="EBA_CMPLNT_MRTR_ST_C19"/>
    <x v="1"/>
    <s v="9. Concluído"/>
    <s v="OK"/>
    <s v="Concluido, controlos OK"/>
    <m/>
    <s v="Campo Fechado"/>
    <d v="2024-06-07T00:00:00"/>
    <x v="0"/>
    <s v="OK"/>
    <m/>
    <m/>
    <m/>
    <x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s v="Sim"/>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x v="5"/>
  </r>
  <r>
    <s v="INSTRUMENT"/>
    <s v="INSTLMNT_PAY"/>
    <x v="1"/>
    <s v="2. Alterar especificação"/>
    <s v="OK"/>
    <s v="Campo especificado, mas com pouca qualidade de dados"/>
    <m/>
    <s v="Não"/>
    <d v="2024-06-07T00:00:00"/>
    <x v="2"/>
    <s v="OK"/>
    <m/>
    <m/>
    <m/>
    <x v="7"/>
  </r>
  <r>
    <s v="ENTITY"/>
    <s v="EC_GRP_ID"/>
    <x v="1"/>
    <s v="1. Especificar"/>
    <s v="OK"/>
    <s v="Em especificação (Campos Novos)"/>
    <m/>
    <s v="Não"/>
    <d v="2024-06-07T00:00:00"/>
    <x v="3"/>
    <s v="OK"/>
    <m/>
    <m/>
    <m/>
    <x v="4"/>
  </r>
  <r>
    <s v="ENTITY"/>
    <s v="EC_GRP_NM"/>
    <x v="1"/>
    <s v="1. Especificar"/>
    <s v="OK"/>
    <s v="Em especificação (Campos Novos)"/>
    <m/>
    <s v="Não"/>
    <d v="2024-06-07T00:00:00"/>
    <x v="3"/>
    <s v="OK"/>
    <m/>
    <m/>
    <m/>
    <x v="4"/>
  </r>
  <r>
    <s v="ENTITY"/>
    <s v="ECNMC_ACTVTY"/>
    <x v="0"/>
    <s v="9. Concluído"/>
    <s v="OK"/>
    <s v="Concluido, controlos OK"/>
    <m/>
    <s v="Campo Fechado"/>
    <d v="2024-06-07T00:00:00"/>
    <x v="0"/>
    <s v="OK"/>
    <m/>
    <m/>
    <m/>
    <x v="0"/>
  </r>
  <r>
    <s v="INSTRUMENT"/>
    <s v="EIR"/>
    <x v="0"/>
    <s v="7. Analisar controlos e completude"/>
    <s v="NOK"/>
    <s v="Controlos NOK"/>
    <m/>
    <s v="Não"/>
    <d v="2024-06-07T00:00:00"/>
    <x v="5"/>
    <s v="NOK"/>
    <m/>
    <m/>
    <m/>
    <x v="6"/>
  </r>
  <r>
    <s v="INSTRUMENT"/>
    <s v="EIR_INCPTN"/>
    <x v="0"/>
    <s v="7. Analisar controlos e completude"/>
    <s v="NOK"/>
    <s v="Controlos NOK"/>
    <m/>
    <s v="Não"/>
    <d v="2024-06-07T00:00:00"/>
    <x v="5"/>
    <s v="NOK"/>
    <m/>
    <m/>
    <m/>
    <x v="6"/>
  </r>
  <r>
    <s v="INSTRUMENT"/>
    <s v="ELGBLTY_ECB"/>
    <x v="1"/>
    <s v="9. Concluído"/>
    <s v="OK"/>
    <s v="Concluido, controlos OK"/>
    <m/>
    <s v="Campo Fechado"/>
    <d v="2024-06-07T00:00:00"/>
    <x v="0"/>
    <s v="OK"/>
    <m/>
    <m/>
    <m/>
    <x v="0"/>
  </r>
  <r>
    <s v="ENTITY"/>
    <s v="EMPLYMNT_STTS"/>
    <x v="1"/>
    <s v="9. Concluído"/>
    <s v="OK"/>
    <s v="Concluido, controlos OK"/>
    <m/>
    <s v="Campo Fechado"/>
    <d v="2024-06-07T00:00:00"/>
    <x v="0"/>
    <s v="OK"/>
    <m/>
    <m/>
    <m/>
    <x v="0"/>
  </r>
  <r>
    <s v="ENTITY"/>
    <s v="EMPLYMNT_STTS_INTRNL"/>
    <x v="1"/>
    <s v="9. Concluído"/>
    <s v="OK"/>
    <s v="Concluido, controlos OK"/>
    <m/>
    <s v="Campo Fechado"/>
    <d v="2024-06-07T00:00:00"/>
    <x v="0"/>
    <s v="OK"/>
    <m/>
    <m/>
    <m/>
    <x v="0"/>
  </r>
  <r>
    <s v="ENTITY"/>
    <s v="ENTRPRS_SZ_LE"/>
    <x v="0"/>
    <s v="7. Analisar controlos e completude"/>
    <s v="NOK"/>
    <s v="Controlos NOK"/>
    <m/>
    <s v="Não"/>
    <d v="2024-06-07T00:00:00"/>
    <x v="5"/>
    <s v="NOK"/>
    <m/>
    <m/>
    <m/>
    <x v="6"/>
  </r>
  <r>
    <s v="ENTITY"/>
    <s v="ENTTY_ID"/>
    <x v="0"/>
    <s v="7. Analisar controlos e completude"/>
    <s v="NOK"/>
    <s v="Controlos NOK"/>
    <m/>
    <s v="Não"/>
    <d v="2024-06-07T00:00:00"/>
    <x v="5"/>
    <s v="NOK"/>
    <m/>
    <m/>
    <m/>
    <x v="6"/>
  </r>
  <r>
    <s v="INSTR_ENTITY"/>
    <s v="ENTTY_ID"/>
    <x v="0"/>
    <s v="7. Analisar controlos e completude"/>
    <s v="NOK"/>
    <s v="Controlos NOK"/>
    <m/>
    <s v="Não"/>
    <d v="2024-06-07T00:00:00"/>
    <x v="5"/>
    <s v="NOK"/>
    <m/>
    <m/>
    <m/>
    <x v="6"/>
  </r>
  <r>
    <s v="ENTITY"/>
    <s v="ENTTY_NM"/>
    <x v="0"/>
    <s v="9. Concluído"/>
    <s v="OK"/>
    <s v="Concluido, controlos OK"/>
    <m/>
    <s v="Campo Fechado"/>
    <d v="2024-06-07T00:00:00"/>
    <x v="0"/>
    <s v="OK"/>
    <m/>
    <m/>
    <m/>
    <x v="0"/>
  </r>
  <r>
    <s v="ENTITY"/>
    <s v="EQTY"/>
    <x v="0"/>
    <s v="2. Alterar especificação"/>
    <s v="OK"/>
    <s v="Em especificação (Financial Statments CIB)"/>
    <s v="Campo implementação, mas com falta de informação para o segmento de clientes CIB"/>
    <s v="Não"/>
    <d v="2024-06-07T00:00:00"/>
    <x v="2"/>
    <s v="OK"/>
    <m/>
    <m/>
    <m/>
    <x v="2"/>
  </r>
  <r>
    <s v="ENTITY"/>
    <s v="EQTY_PRVS"/>
    <x v="0"/>
    <s v="2. Alterar especificação"/>
    <s v="OK"/>
    <s v="Em especificação (Financial Statments CIB)"/>
    <s v="Campo implementação, mas com falta de informação para o segmento de clientes CIB"/>
    <s v="Não"/>
    <d v="2024-06-07T00:00:00"/>
    <x v="2"/>
    <s v="OK"/>
    <m/>
    <m/>
    <m/>
    <x v="2"/>
  </r>
  <r>
    <s v="INSTRUMENT"/>
    <s v="EXPCTD_LSS_CRR"/>
    <x v="1"/>
    <s v="4.1 Em implementação - Re-especificação"/>
    <s v="OK"/>
    <s v="Aguarda implementação de IT"/>
    <m/>
    <s v="Não"/>
    <d v="2024-06-17T00:00:00"/>
    <x v="8"/>
    <s v="OK"/>
    <m/>
    <d v="2024-02-02T00:00:00"/>
    <d v="2024-03-28T00:00:00"/>
    <x v="4"/>
  </r>
  <r>
    <s v="INSTRUMENT"/>
    <s v="EXPSR_IN_SCP"/>
    <x v="0"/>
    <s v="9. Concluído"/>
    <s v="OK"/>
    <s v="Concluido, controlos OK"/>
    <m/>
    <s v="Campo Fechado"/>
    <d v="2024-06-07T00:00:00"/>
    <x v="0"/>
    <s v="OK"/>
    <m/>
    <m/>
    <m/>
    <x v="0"/>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OK"/>
    <m/>
    <m/>
    <m/>
    <x v="2"/>
  </r>
  <r>
    <s v="ENTITY"/>
    <s v="EXTRNL_RTNG_PRVS"/>
    <x v="0"/>
    <s v="2. Alterar especificação"/>
    <s v="OK"/>
    <s v="Alterar especificação para casos em informação na fonte."/>
    <s v="Quando não existe informação na fonte em vez de MISS substituir por NA"/>
    <s v="Sim"/>
    <d v="2024-06-07T00:00:00"/>
    <x v="2"/>
    <s v="OK"/>
    <m/>
    <m/>
    <m/>
    <x v="3"/>
  </r>
  <r>
    <s v="ENTITY"/>
    <s v="EXTRNL_RTNG_NM"/>
    <x v="0"/>
    <s v="2. Alterar especificação"/>
    <s v="NOK"/>
    <s v="Alterar especificação para casos em informação na fonte."/>
    <s v="Quando não existe informação na fonte em vez de MISS substituir por NA"/>
    <s v="Sim"/>
    <d v="2024-06-07T00:00:00"/>
    <x v="2"/>
    <s v="NOK"/>
    <m/>
    <m/>
    <m/>
    <x v="3"/>
  </r>
  <r>
    <s v="INSTRUMENT"/>
    <s v="FLD_SYNDCTN"/>
    <x v="1"/>
    <s v="6. Outros Desenvolvimentos"/>
    <s v="OK"/>
    <s v="Em implementação IT BST (Sindicados)"/>
    <s v="Aguarda desenvolvimentos nas plataformas Loan IQ e Mercurio"/>
    <s v="Não"/>
    <d v="2024-06-07T00:00:00"/>
    <x v="9"/>
    <s v="OK"/>
    <m/>
    <m/>
    <m/>
    <x v="2"/>
  </r>
  <r>
    <s v="ENTITY"/>
    <s v="FLG_BNKRPTCY_IN_GRP"/>
    <x v="0"/>
    <s v="9. Concluído"/>
    <s v="OK"/>
    <s v="Concluido, controlos OK"/>
    <m/>
    <s v="Campo Fechado"/>
    <d v="2024-06-07T00:00:00"/>
    <x v="0"/>
    <s v="OK"/>
    <m/>
    <m/>
    <m/>
    <x v="0"/>
  </r>
  <r>
    <s v="ENTITY"/>
    <s v="FLG_HGH_CDS"/>
    <x v="0"/>
    <s v="9. Concluído"/>
    <s v="OK"/>
    <s v="Concluido, controlos OK"/>
    <m/>
    <s v="Campo Fechado"/>
    <d v="2024-06-07T00:00:00"/>
    <x v="0"/>
    <s v="OK"/>
    <m/>
    <m/>
    <m/>
    <x v="0"/>
  </r>
  <r>
    <s v="ENTITY"/>
    <s v="FLG_ISDA_CRDT_EVNT"/>
    <x v="0"/>
    <s v="9. Concluído"/>
    <s v="OK"/>
    <s v="Concluido, controlos OK"/>
    <m/>
    <s v="Campo Fechado"/>
    <d v="2024-06-07T00:00:00"/>
    <x v="0"/>
    <s v="OK"/>
    <m/>
    <m/>
    <m/>
    <x v="0"/>
  </r>
  <r>
    <s v="INSTRUMENT"/>
    <s v="FLG_LBO"/>
    <x v="1"/>
    <s v="9. Concluído"/>
    <s v="OK"/>
    <s v="Concluido, controlos OK"/>
    <m/>
    <s v="Campo Fechado"/>
    <d v="2024-06-07T00:00:00"/>
    <x v="0"/>
    <s v="OK"/>
    <m/>
    <m/>
    <m/>
    <x v="0"/>
  </r>
  <r>
    <s v="ENTITY"/>
    <s v="FLG_NN_ACCRL"/>
    <x v="0"/>
    <s v="9. Concluído"/>
    <s v="OK"/>
    <s v="Concluido, controlos OK"/>
    <m/>
    <s v="Campo Fechado"/>
    <d v="2024-06-07T00:00:00"/>
    <x v="0"/>
    <s v="OK"/>
    <m/>
    <m/>
    <m/>
    <x v="0"/>
  </r>
  <r>
    <s v="ENTITY"/>
    <s v="FLG_RQST_BNKRPTCY"/>
    <x v="0"/>
    <s v="9. Concluído"/>
    <s v="OK"/>
    <s v="Concluido, controlos OK"/>
    <m/>
    <s v="Campo Fechado"/>
    <d v="2024-06-07T00:00:00"/>
    <x v="0"/>
    <s v="OK"/>
    <m/>
    <m/>
    <m/>
    <x v="0"/>
  </r>
  <r>
    <s v="ENTITY"/>
    <s v="FLG_RQST_DSTRSSD_RSTRCTRNG"/>
    <x v="0"/>
    <s v="1. Especificar"/>
    <s v="NOK"/>
    <s v="Em especificação, rever fonte"/>
    <m/>
    <s v="Não"/>
    <d v="2024-06-07T00:00:00"/>
    <x v="3"/>
    <s v="NOK"/>
    <m/>
    <m/>
    <m/>
    <x v="2"/>
  </r>
  <r>
    <s v="ENTITY"/>
    <s v="FLG_RQST_EMRGNCY_FNDNG"/>
    <x v="0"/>
    <s v="9. Concluído"/>
    <s v="OK"/>
    <s v="Concluido, controlos OK"/>
    <m/>
    <s v="Campo Fechado"/>
    <d v="2024-06-07T00:00:00"/>
    <x v="0"/>
    <s v="OK"/>
    <m/>
    <m/>
    <m/>
    <x v="0"/>
  </r>
  <r>
    <s v="ENTITY"/>
    <s v="FLG_SLL_WTH_LSS"/>
    <x v="0"/>
    <s v="9. Concluído"/>
    <s v="OK"/>
    <s v="Concluido, controlos OK"/>
    <m/>
    <s v="Campo Fechado"/>
    <d v="2024-06-07T00:00:00"/>
    <x v="0"/>
    <s v="OK"/>
    <m/>
    <m/>
    <m/>
    <x v="0"/>
  </r>
  <r>
    <s v="ENTITY"/>
    <s v="FR_CSH_FLW"/>
    <x v="0"/>
    <s v="1. Especificar"/>
    <s v="OK"/>
    <s v="Em especificação (Campos Novos)"/>
    <m/>
    <s v="Não"/>
    <d v="2024-06-07T00:00:00"/>
    <x v="3"/>
    <s v="OK"/>
    <m/>
    <m/>
    <m/>
    <x v="4"/>
  </r>
  <r>
    <s v="ENTITY"/>
    <s v="FR_CSH_FLW_T1"/>
    <x v="0"/>
    <s v="1. Especificar"/>
    <s v="OK"/>
    <s v="Em especificação (Campos Novos)"/>
    <m/>
    <s v="Não"/>
    <d v="2024-06-07T00:00:00"/>
    <x v="3"/>
    <s v="OK"/>
    <m/>
    <m/>
    <m/>
    <x v="4"/>
  </r>
  <r>
    <s v="ENTITY"/>
    <s v="FR_CSH_FLW_T2"/>
    <x v="0"/>
    <s v="1. Especificar"/>
    <s v="OK"/>
    <s v="Em especificação (Campos Novos)"/>
    <m/>
    <s v="Não"/>
    <d v="2024-06-07T00:00:00"/>
    <x v="3"/>
    <s v="OK"/>
    <m/>
    <m/>
    <m/>
    <x v="4"/>
  </r>
  <r>
    <s v="ENTITY"/>
    <s v="FR_CSH_FLW_T3"/>
    <x v="0"/>
    <s v="1. Especificar"/>
    <s v="OK"/>
    <s v="Em especificação (Campos Novos)"/>
    <m/>
    <s v="Não"/>
    <d v="2024-06-07T00:00:00"/>
    <x v="3"/>
    <s v="OK"/>
    <m/>
    <m/>
    <m/>
    <x v="4"/>
  </r>
  <r>
    <s v="INSTRUMENT"/>
    <s v="FRBRNC_STTS_C19"/>
    <x v="1"/>
    <s v="9. Concluído"/>
    <s v="OK"/>
    <s v="Concluido, controlos OK"/>
    <m/>
    <s v="Campo Fechado"/>
    <d v="2024-06-07T00:00:00"/>
    <x v="0"/>
    <s v="OK"/>
    <m/>
    <m/>
    <m/>
    <x v="0"/>
  </r>
  <r>
    <s v="ENTITY"/>
    <s v="EXTRNL_RTNG"/>
    <x v="0"/>
    <s v="2. Alterar especificação"/>
    <s v="OK"/>
    <s v="Alterar especificação para casos em informação na fonte."/>
    <s v="Quando não existe informação na fonte em vez de MISS substituir por NA"/>
    <s v="Sim"/>
    <d v="2024-06-07T00:00:00"/>
    <x v="2"/>
    <s v="OK"/>
    <m/>
    <m/>
    <m/>
    <x v="3"/>
  </r>
  <r>
    <s v="ENTITY"/>
    <s v="GCC_PRNT_ID"/>
    <x v="0"/>
    <s v="9. Concluído"/>
    <s v="OK"/>
    <s v="Concluido, controlos OK"/>
    <m/>
    <s v="Campo Fechado"/>
    <d v="2024-06-07T00:00:00"/>
    <x v="0"/>
    <s v="OK"/>
    <m/>
    <m/>
    <m/>
    <x v="0"/>
  </r>
  <r>
    <s v="ENTITY"/>
    <s v="GCC_PRNT_NM"/>
    <x v="0"/>
    <s v="9. Concluído"/>
    <s v="OK"/>
    <s v="Concluido, controlos OK"/>
    <m/>
    <s v="Campo Fechado"/>
    <d v="2024-06-07T00:00:00"/>
    <x v="0"/>
    <s v="OK"/>
    <m/>
    <m/>
    <m/>
    <x v="0"/>
  </r>
  <r>
    <s v="ENTITY"/>
    <s v="GDWILL"/>
    <x v="0"/>
    <s v="9. Concluído"/>
    <s v="OK"/>
    <s v="Concluido, controlos OK"/>
    <m/>
    <s v="Campo Fechado"/>
    <d v="2024-06-07T00:00:00"/>
    <x v="0"/>
    <s v="OK"/>
    <m/>
    <m/>
    <m/>
    <x v="0"/>
  </r>
  <r>
    <s v="ENTITY"/>
    <s v="GDWILL_PRVS"/>
    <x v="0"/>
    <s v="9. Concluído"/>
    <s v="OK"/>
    <s v="Concluido, controlos OK"/>
    <m/>
    <s v="Campo Fechado"/>
    <d v="2024-06-07T00:00:00"/>
    <x v="0"/>
    <s v="OK"/>
    <m/>
    <m/>
    <m/>
    <x v="0"/>
  </r>
  <r>
    <s v="INSTRUMENT"/>
    <s v="GRC_PRD_CPTL_INTRST_C19"/>
    <x v="1"/>
    <s v="9. Concluído"/>
    <s v="OK"/>
    <s v="Concluido, controlos OK"/>
    <m/>
    <s v="Campo Fechado"/>
    <d v="2024-06-07T00:00:00"/>
    <x v="0"/>
    <s v="OK"/>
    <m/>
    <m/>
    <m/>
    <x v="0"/>
  </r>
  <r>
    <s v="INSTRUMENT"/>
    <s v="GRNTR_ID"/>
    <x v="1"/>
    <s v="9. Concluído"/>
    <s v="OK"/>
    <s v="Concluido, controlos OK"/>
    <m/>
    <s v="Campo Fechado"/>
    <d v="2024-06-07T00:00:00"/>
    <x v="0"/>
    <s v="OK"/>
    <m/>
    <m/>
    <m/>
    <x v="0"/>
  </r>
  <r>
    <s v="INSTRUMENT"/>
    <s v="GRNTR_ID_TYP"/>
    <x v="1"/>
    <s v="9. Concluído"/>
    <s v="OK"/>
    <s v="Concluido, controlos OK"/>
    <m/>
    <s v="Campo Fechado"/>
    <d v="2024-06-07T00:00:00"/>
    <x v="0"/>
    <s v="OK"/>
    <m/>
    <m/>
    <m/>
    <x v="0"/>
  </r>
  <r>
    <s v="ENTITY"/>
    <s v="GRP_EBITDA"/>
    <x v="0"/>
    <s v="9. Concluído"/>
    <s v="OK"/>
    <s v="Concluido, controlos OK"/>
    <m/>
    <s v="Campo Fechado"/>
    <d v="2024-06-07T00:00:00"/>
    <x v="0"/>
    <s v="OK"/>
    <m/>
    <m/>
    <m/>
    <x v="0"/>
  </r>
  <r>
    <s v="ENTITY"/>
    <s v="GRP_EQTY"/>
    <x v="0"/>
    <s v="9. Concluído"/>
    <s v="OK"/>
    <s v="Concluido, controlos OK"/>
    <m/>
    <s v="Campo Fechado"/>
    <d v="2024-06-07T00:00:00"/>
    <x v="0"/>
    <s v="OK"/>
    <m/>
    <m/>
    <m/>
    <x v="0"/>
  </r>
  <r>
    <s v="ENTITY"/>
    <s v="GRP_NT_DBT"/>
    <x v="0"/>
    <s v="9. Concluído"/>
    <s v="OK"/>
    <s v="Concluido, controlos OK"/>
    <m/>
    <s v="Campo Fechado"/>
    <d v="2024-06-07T00:00:00"/>
    <x v="0"/>
    <s v="OK"/>
    <m/>
    <m/>
    <m/>
    <x v="0"/>
  </r>
  <r>
    <s v="ENTITY"/>
    <s v="GRP_TTL_DBT"/>
    <x v="1"/>
    <s v="2. Alterar especificação"/>
    <s v="OK"/>
    <s v="Em especificação (Financial Statments CIB)"/>
    <s v="Campo implementação, mas com falta de informação para o segmento de clientes CIB"/>
    <s v="Não"/>
    <d v="2024-06-07T00:00:00"/>
    <x v="2"/>
    <s v="OK"/>
    <m/>
    <m/>
    <m/>
    <x v="2"/>
  </r>
  <r>
    <s v="INSTRUMENT"/>
    <s v="GRSS_CRRYNG_AMNT_INSTRMNT"/>
    <x v="0"/>
    <s v="9. Concluído"/>
    <s v="OK"/>
    <s v="Concluido, controlos OK"/>
    <m/>
    <s v="Campo Fechado"/>
    <d v="2024-06-07T00:00:00"/>
    <x v="0"/>
    <s v="OK"/>
    <m/>
    <m/>
    <m/>
    <x v="0"/>
  </r>
  <r>
    <s v="INSTRUMENT"/>
    <s v="HEDGE_ID"/>
    <x v="1"/>
    <s v="9. Concluído"/>
    <s v="OK"/>
    <s v="Concluido, controlos OK"/>
    <m/>
    <s v="Campo Fechado"/>
    <d v="2024-06-07T00:00:00"/>
    <x v="0"/>
    <s v="OK"/>
    <m/>
    <m/>
    <m/>
    <x v="0"/>
  </r>
  <r>
    <s v="PROTECTION"/>
    <s v="HRCT_MV"/>
    <x v="0"/>
    <s v="9. Concluído"/>
    <s v="OK"/>
    <s v="Concluido, controlos OK"/>
    <m/>
    <s v="Campo Fechado"/>
    <d v="2024-06-07T00:00:00"/>
    <x v="0"/>
    <s v="OK"/>
    <m/>
    <m/>
    <m/>
    <x v="0"/>
  </r>
  <r>
    <s v="INSTRUMENT"/>
    <s v="IDCMB"/>
    <x v="1"/>
    <s v="5.1 Em testes - Re-especificação"/>
    <s v="NOK"/>
    <s v="Em testes pela equipa de CDO"/>
    <m/>
    <s v="Sim"/>
    <d v="2024-06-07T00:00:00"/>
    <x v="8"/>
    <s v="NOK"/>
    <m/>
    <d v="2024-02-06T00:00:00"/>
    <d v="2024-02-08T00:00:00"/>
    <x v="4"/>
  </r>
  <r>
    <s v="ENTITY"/>
    <s v="EBITDA_PRVS"/>
    <x v="0"/>
    <s v="2. Alterar especificação"/>
    <s v="OK"/>
    <s v="Alterar especificação (Luis Bastos enviou nova metodologia do campo)"/>
    <m/>
    <s v="Não"/>
    <d v="2024-06-07T00:00:00"/>
    <x v="2"/>
    <s v="OK"/>
    <m/>
    <m/>
    <m/>
    <x v="2"/>
  </r>
  <r>
    <s v="INSTRUMENT"/>
    <s v="IFRS9_CCF"/>
    <x v="0"/>
    <s v="9. Concluído"/>
    <s v="OK"/>
    <s v="Concluido, controlos OK"/>
    <m/>
    <s v="Campo Fechado"/>
    <d v="2024-06-07T00:00:00"/>
    <x v="0"/>
    <s v="OK"/>
    <s v="Campo Imparidade"/>
    <m/>
    <m/>
    <x v="0"/>
  </r>
  <r>
    <s v="INSTRUMENT"/>
    <s v="IFRS9_EAD"/>
    <x v="0"/>
    <s v="7. Analisar controlos e completude"/>
    <s v="NOK"/>
    <s v="Controlos NOK"/>
    <m/>
    <s v="Não"/>
    <d v="2024-06-07T00:00:00"/>
    <x v="5"/>
    <s v="NOK"/>
    <s v="Campo Imparidade"/>
    <m/>
    <m/>
    <x v="6"/>
  </r>
  <r>
    <s v="INSTRUMENT"/>
    <s v="IFRS9_LGD"/>
    <x v="0"/>
    <s v="9. Concluído"/>
    <s v="OK"/>
    <s v="Concluido, controlos OK"/>
    <m/>
    <s v="Campo Fechado"/>
    <d v="2024-06-07T00:00:00"/>
    <x v="0"/>
    <s v="OK"/>
    <s v="Campo Imparidade"/>
    <m/>
    <m/>
    <x v="0"/>
  </r>
  <r>
    <s v="INSTRUMENT"/>
    <s v="IMPRMNT_ASSSSMNT_MTHD"/>
    <x v="0"/>
    <s v="9. Concluído"/>
    <s v="OK"/>
    <s v="Concluido, controlos OK"/>
    <m/>
    <s v="Campo Fechado"/>
    <d v="2024-06-07T00:00:00"/>
    <x v="0"/>
    <s v="OK"/>
    <m/>
    <m/>
    <m/>
    <x v="0"/>
  </r>
  <r>
    <s v="INSTRUMENT"/>
    <s v="IMPRMNT_CLCLTN_MTHD"/>
    <x v="0"/>
    <s v="7. Analisar controlos e completude"/>
    <s v="NOK"/>
    <s v="Controlos NOK"/>
    <m/>
    <s v="Não"/>
    <d v="2024-06-07T00:00:00"/>
    <x v="5"/>
    <s v="NOK"/>
    <m/>
    <m/>
    <m/>
    <x v="6"/>
  </r>
  <r>
    <s v="INSTRUMENT"/>
    <s v="IMPRMNT_STTS"/>
    <x v="0"/>
    <s v="3. Pendente de decisão"/>
    <s v="NOK"/>
    <s v="Rever com a Corporação se a nova code list foi apenas para a OSI (relativamente ao tema dos POCI)."/>
    <m/>
    <s v="Sim"/>
    <d v="2025-01-13T00:00:00"/>
    <x v="8"/>
    <s v="NOK"/>
    <s v="Alteração da fonte das tabela de Imparidade Reporting para as 8_7 e alteração da data a partir da qual a fonte passa a ser as tabelas de Contabilidade"/>
    <d v="2024-09-27T00:00:00"/>
    <m/>
    <x v="5"/>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INCM_SC"/>
    <x v="1"/>
    <s v="1. Especificar"/>
    <s v="OK"/>
    <s v="Em especificação (Salários)"/>
    <m/>
    <s v="Não"/>
    <d v="2024-06-07T00:00:00"/>
    <x v="3"/>
    <s v="OK"/>
    <m/>
    <m/>
    <m/>
    <x v="2"/>
  </r>
  <r>
    <s v="ENTITY"/>
    <s v="EBITDA"/>
    <x v="0"/>
    <s v="2. Alterar especificação"/>
    <s v="OK"/>
    <s v="Alterar especificação (Luis Bastos enviou nova metodologia do campo)"/>
    <m/>
    <s v="Não"/>
    <d v="2024-06-07T00:00:00"/>
    <x v="2"/>
    <s v="OK"/>
    <m/>
    <m/>
    <m/>
    <x v="2"/>
  </r>
  <r>
    <s v="INSTRUMENT"/>
    <s v="INSTR_SNRTY_CLSS"/>
    <x v="1"/>
    <s v="9. Concluído"/>
    <s v="OK"/>
    <s v="Concluido, controlos OK"/>
    <m/>
    <s v="Campo Fechado"/>
    <d v="2024-06-07T00:00:00"/>
    <x v="0"/>
    <s v="OK"/>
    <m/>
    <m/>
    <m/>
    <x v="0"/>
  </r>
  <r>
    <s v="INSTRUMENT"/>
    <s v="INSTRMNT_CLSS"/>
    <x v="1"/>
    <s v="9. Concluído"/>
    <s v="OK"/>
    <s v="Concluido, controlos OK"/>
    <m/>
    <s v="Campo Fechado"/>
    <d v="2024-06-07T00:00:00"/>
    <x v="0"/>
    <s v="OK"/>
    <m/>
    <m/>
    <m/>
    <x v="0"/>
  </r>
  <r>
    <s v="INSTR_ENTITY"/>
    <s v="INSTRMNT_ID"/>
    <x v="0"/>
    <s v="9. Concluído"/>
    <s v="OK"/>
    <s v="Concluido, controlos OK"/>
    <m/>
    <s v="Campo Fechado"/>
    <d v="2024-06-07T00:00:00"/>
    <x v="0"/>
    <s v="OK"/>
    <m/>
    <m/>
    <m/>
    <x v="0"/>
  </r>
  <r>
    <s v="INSTR_PROTECTION"/>
    <s v="INSTRMNT_ID"/>
    <x v="0"/>
    <s v="9. Concluído"/>
    <s v="OK"/>
    <s v="Concluido, controlos OK"/>
    <m/>
    <s v="Campo Fechado"/>
    <d v="2024-06-07T00:00:00"/>
    <x v="0"/>
    <s v="OK"/>
    <m/>
    <m/>
    <m/>
    <x v="0"/>
  </r>
  <r>
    <s v="INSTRUMENT"/>
    <s v="INSTRMNT_ID"/>
    <x v="0"/>
    <s v="9. Concluído"/>
    <s v="OK"/>
    <s v="Concluido, controlos OK"/>
    <m/>
    <s v="Campo Fechado"/>
    <d v="2024-06-07T00:00:00"/>
    <x v="0"/>
    <s v="OK"/>
    <m/>
    <m/>
    <m/>
    <x v="0"/>
  </r>
  <r>
    <s v="ENTITY"/>
    <s v="INTRNL_RTNG"/>
    <x v="0"/>
    <s v="5.1 Em testes - Re-especificação"/>
    <s v="NOK"/>
    <s v="Em testes"/>
    <m/>
    <s v="Sim"/>
    <d v="2024-06-07T00:00:00"/>
    <x v="8"/>
    <s v="NOK"/>
    <s v="Campo entregue durante a OSI"/>
    <d v="2024-02-16T00:00:00"/>
    <d v="2024-05-24T00:00:00"/>
    <x v="1"/>
  </r>
  <r>
    <s v="INSTRUMENT"/>
    <s v="INTRNL_RTNG"/>
    <x v="0"/>
    <s v="5.1 Em testes - Re-especificação"/>
    <s v="NOK"/>
    <s v="Em testes"/>
    <m/>
    <s v="Sim"/>
    <d v="2024-06-07T00:00:00"/>
    <x v="8"/>
    <s v="NOK"/>
    <s v="Campo entregue durante a OSI"/>
    <d v="2024-02-16T00:00:00"/>
    <d v="2024-05-24T00:00:00"/>
    <x v="1"/>
  </r>
  <r>
    <s v="INSTRUMENT"/>
    <s v="INTRNL_RTNG_INCPTN"/>
    <x v="0"/>
    <s v="5.2 Em testes - Incidência"/>
    <s v="NOK"/>
    <s v="Alterar especificação, campo com incidência. Controlos NOK"/>
    <s v="Na LT apenas foi especifido os restantes internal ratings, estando em falta o internal rating à data de inception."/>
    <s v="Não"/>
    <d v="2024-06-07T00:00:00"/>
    <x v="1"/>
    <s v="NOK"/>
    <m/>
    <m/>
    <m/>
    <x v="2"/>
  </r>
  <r>
    <s v="ENTITY"/>
    <s v="INTRNL_RTNG_PRVS"/>
    <x v="0"/>
    <s v="5.1 Em testes - Re-especificação"/>
    <s v="OK"/>
    <s v="Em testes, campo entregue por IT durante a OSI. Testar e validar controlos"/>
    <m/>
    <s v="Sim"/>
    <d v="2024-06-07T00:00:00"/>
    <x v="8"/>
    <s v="OK"/>
    <s v="Campo entregue durante a OSI"/>
    <d v="2024-02-16T00:00:00"/>
    <d v="2024-05-24T00:00:00"/>
    <x v="1"/>
  </r>
  <r>
    <s v="ENTITY"/>
    <s v="INTRNL_SGMNT"/>
    <x v="0"/>
    <s v="9. Concluído"/>
    <s v="OK"/>
    <s v="Concluido, controlos OK"/>
    <m/>
    <s v="Campo Fechado"/>
    <d v="2024-06-07T00:00:00"/>
    <x v="0"/>
    <s v="OK"/>
    <m/>
    <m/>
    <m/>
    <x v="0"/>
  </r>
  <r>
    <s v="INSTRUMENT"/>
    <s v="INTRNL_SGMNT"/>
    <x v="0"/>
    <s v="9. Concluído"/>
    <s v="OK"/>
    <s v="Concluido, controlos OK"/>
    <m/>
    <s v="Campo Fechado"/>
    <d v="2024-06-07T00:00:00"/>
    <x v="0"/>
    <s v="OK"/>
    <m/>
    <m/>
    <m/>
    <x v="0"/>
  </r>
  <r>
    <s v="INSTRUMENT"/>
    <s v="INTRNL_SGMNT_CAT_MSTA"/>
    <x v="1"/>
    <s v="9. Concluído"/>
    <s v="OK"/>
    <s v="Concluido, controlos OK"/>
    <m/>
    <s v="Campo Fechado"/>
    <d v="2024-06-07T00:00:00"/>
    <x v="0"/>
    <s v="OK"/>
    <m/>
    <m/>
    <m/>
    <x v="0"/>
  </r>
  <r>
    <s v="INSTRUMENT"/>
    <s v="INTRNL_SGMNT_CATGSUB"/>
    <x v="1"/>
    <s v="9. Concluído"/>
    <s v="OK"/>
    <s v="Concluido, controlos OK"/>
    <m/>
    <s v="Campo Fechado"/>
    <d v="2024-06-07T00:00:00"/>
    <x v="0"/>
    <s v="OK"/>
    <m/>
    <m/>
    <m/>
    <x v="0"/>
  </r>
  <r>
    <s v="INSTRUMENT"/>
    <s v="INTRNL_SGMNT_IFRS9"/>
    <x v="1"/>
    <s v="9. Concluído"/>
    <s v="OK"/>
    <s v="Concluido, controlos OK"/>
    <m/>
    <s v="Campo Fechado"/>
    <d v="2024-06-07T00:00:00"/>
    <x v="0"/>
    <s v="OK"/>
    <s v="Campo Imparidade"/>
    <m/>
    <m/>
    <x v="0"/>
  </r>
  <r>
    <s v="ENTITY"/>
    <s v="INTRNL_UNT"/>
    <x v="0"/>
    <s v="9. Concluído"/>
    <s v="OK"/>
    <s v="Concluido, controlos OK"/>
    <m/>
    <s v="Campo Fechado"/>
    <d v="2024-06-07T00:00:00"/>
    <x v="0"/>
    <s v="OK"/>
    <m/>
    <m/>
    <m/>
    <x v="0"/>
  </r>
  <r>
    <s v="INSTRUMENT"/>
    <s v="INTRNL_UNT"/>
    <x v="0"/>
    <s v="9. Concluído"/>
    <s v="OK"/>
    <s v="Concluido, controlos OK"/>
    <m/>
    <s v="Campo Fechado"/>
    <d v="2024-06-07T00:00:00"/>
    <x v="0"/>
    <s v="OK"/>
    <m/>
    <m/>
    <m/>
    <x v="0"/>
  </r>
  <r>
    <s v="INSTRUMENT"/>
    <s v="INTRST_RT_RST_FRQNCY"/>
    <x v="0"/>
    <s v="9. Concluído"/>
    <s v="OK"/>
    <s v="Concluido, controlos OK"/>
    <m/>
    <s v="Campo Fechado"/>
    <d v="2024-06-07T00:00:00"/>
    <x v="0"/>
    <s v="OK"/>
    <m/>
    <m/>
    <m/>
    <x v="0"/>
  </r>
  <r>
    <s v="INSTRUMENT"/>
    <s v="ISIN"/>
    <x v="1"/>
    <s v="9. Concluído"/>
    <s v="OK"/>
    <s v="Concluido, controlos OK"/>
    <m/>
    <s v="Campo Fechado"/>
    <d v="2024-06-07T00:00:00"/>
    <x v="0"/>
    <s v="OK"/>
    <m/>
    <m/>
    <m/>
    <x v="0"/>
  </r>
  <r>
    <s v="INSTRUMENT"/>
    <s v="ISIN_SCRTSTN"/>
    <x v="1"/>
    <s v="9. Concluído"/>
    <s v="OK"/>
    <s v="Concluido, controlos OK"/>
    <m/>
    <s v="Campo Fechado"/>
    <d v="2024-06-07T00:00:00"/>
    <x v="0"/>
    <s v="OK"/>
    <m/>
    <m/>
    <m/>
    <x v="0"/>
  </r>
  <r>
    <s v="INSTRUMENT"/>
    <s v="ISSR_CNTRY"/>
    <x v="1"/>
    <s v="9. Concluído"/>
    <s v="OK"/>
    <s v="Concluido, controlos OK"/>
    <m/>
    <s v="Campo Fechado"/>
    <d v="2024-06-07T00:00:00"/>
    <x v="0"/>
    <s v="OK"/>
    <m/>
    <m/>
    <m/>
    <x v="0"/>
  </r>
  <r>
    <s v="INSTRUMENT"/>
    <s v="ISSR_ESA_2010"/>
    <x v="1"/>
    <s v="7. Analisar controlos e completude"/>
    <s v="NOK"/>
    <s v="Controlos NOK"/>
    <m/>
    <s v="Não"/>
    <d v="2024-06-07T00:00:00"/>
    <x v="5"/>
    <s v="NOK"/>
    <m/>
    <m/>
    <m/>
    <x v="6"/>
  </r>
  <r>
    <s v="INSTRUMENT"/>
    <s v="ISSR_ID"/>
    <x v="1"/>
    <s v="9. Concluído"/>
    <s v="OK"/>
    <s v="Concluido, controlos OK"/>
    <m/>
    <s v="Campo Fechado"/>
    <d v="2024-06-07T00:00:00"/>
    <x v="0"/>
    <s v="OK"/>
    <m/>
    <m/>
    <m/>
    <x v="0"/>
  </r>
  <r>
    <s v="INSTRUMENT"/>
    <s v="ISSR_ID_TYP"/>
    <x v="1"/>
    <s v="9. Concluído"/>
    <s v="OK"/>
    <s v="Concluido, controlos OK"/>
    <m/>
    <s v="Campo Fechado"/>
    <d v="2024-06-07T00:00:00"/>
    <x v="0"/>
    <s v="OK"/>
    <m/>
    <m/>
    <m/>
    <x v="0"/>
  </r>
  <r>
    <s v="INSTRUMENT"/>
    <s v="ISSR_NACE_SCTR"/>
    <x v="1"/>
    <s v="9. Concluído"/>
    <s v="OK"/>
    <s v="Concluido, controlos OK"/>
    <m/>
    <s v="Campo Fechado"/>
    <d v="2024-06-07T00:00:00"/>
    <x v="0"/>
    <s v="OK"/>
    <m/>
    <m/>
    <m/>
    <x v="0"/>
  </r>
  <r>
    <s v="INSTRUMENT"/>
    <s v="ISSR_RTNG"/>
    <x v="1"/>
    <s v="8. Concluído - sem dados"/>
    <s v="OK"/>
    <s v="Campo especificado, mas sem dados. Campo marcado com MISS ou NA"/>
    <m/>
    <s v="Campo Fechado"/>
    <d v="2024-06-07T00:00:00"/>
    <x v="6"/>
    <s v="OK"/>
    <m/>
    <m/>
    <m/>
    <x v="7"/>
  </r>
  <r>
    <s v="INSTRUMENT"/>
    <s v="ISSR_RTNG_SRC"/>
    <x v="1"/>
    <s v="8. Concluído - sem dados"/>
    <s v="OK"/>
    <s v="Campo especificado, mas sem dados. Campo marcado com MISS ou NA"/>
    <m/>
    <s v="Campo Fechado"/>
    <d v="2024-06-07T00:00:00"/>
    <x v="6"/>
    <s v="OK"/>
    <m/>
    <m/>
    <m/>
    <x v="7"/>
  </r>
  <r>
    <s v="INSTRUMENT"/>
    <s v="ISSR_TYP"/>
    <x v="1"/>
    <s v="9. Concluído"/>
    <s v="OK"/>
    <s v="Concluido, controlos OK"/>
    <m/>
    <s v="Campo Fechado"/>
    <d v="2024-06-07T00:00:00"/>
    <x v="0"/>
    <s v="OK"/>
    <m/>
    <m/>
    <m/>
    <x v="0"/>
  </r>
  <r>
    <s v="INSTR_ENTITY"/>
    <s v="JNT_LBLTY_AMNT"/>
    <x v="0"/>
    <s v="9. Concluído"/>
    <s v="OK"/>
    <s v="Concluido, controlos OK"/>
    <m/>
    <s v="Campo Fechado"/>
    <d v="2024-06-07T00:00:00"/>
    <x v="0"/>
    <s v="OK"/>
    <m/>
    <m/>
    <m/>
    <x v="0"/>
  </r>
  <r>
    <s v="INSTRUMENT"/>
    <s v="LCL_INSTMRNT_ID"/>
    <x v="1"/>
    <s v="7. Analisar controlos e completude"/>
    <s v="NOK"/>
    <s v="Controlos NOK"/>
    <m/>
    <s v="Não"/>
    <d v="2024-06-07T00:00:00"/>
    <x v="5"/>
    <s v="NOK"/>
    <m/>
    <m/>
    <m/>
    <x v="6"/>
  </r>
  <r>
    <s v="INSTRUMENT"/>
    <s v="LCR_BFFR_CTGRY"/>
    <x v="1"/>
    <s v="9. Concluído"/>
    <s v="OK"/>
    <s v="Concluido, controlos OK"/>
    <m/>
    <s v="Campo Fechado"/>
    <d v="2024-06-07T00:00:00"/>
    <x v="0"/>
    <s v="OK"/>
    <m/>
    <m/>
    <m/>
    <x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s v="Sim"/>
    <d v="2024-06-07T00:00:00"/>
    <x v="4"/>
    <s v="OK"/>
    <m/>
    <m/>
    <m/>
    <x v="5"/>
  </r>
  <r>
    <s v="ENTITY"/>
    <s v="LEI"/>
    <x v="0"/>
    <s v="9. Concluído"/>
    <s v="OK"/>
    <s v="Concluido, controlos OK"/>
    <m/>
    <s v="Campo Fechado"/>
    <d v="2024-06-07T00:00:00"/>
    <x v="0"/>
    <s v="OK"/>
    <m/>
    <m/>
    <m/>
    <x v="0"/>
  </r>
  <r>
    <s v="INSTRUMENT"/>
    <s v="LGD"/>
    <x v="0"/>
    <s v="9. Concluído"/>
    <s v="OK"/>
    <s v="Concluido, controlos OK"/>
    <m/>
    <s v="Campo Fechado"/>
    <d v="2024-06-07T00:00:00"/>
    <x v="0"/>
    <s v="OK"/>
    <m/>
    <m/>
    <m/>
    <x v="0"/>
  </r>
  <r>
    <s v="INSTRUMENT"/>
    <s v="LGL_PRCDNG_STTS"/>
    <x v="0"/>
    <s v="9. Concluído"/>
    <s v="OK"/>
    <s v="Concluido, controlos OK"/>
    <m/>
    <s v="Campo Fechado"/>
    <d v="2024-06-07T00:00:00"/>
    <x v="0"/>
    <s v="OK"/>
    <m/>
    <m/>
    <m/>
    <x v="0"/>
  </r>
  <r>
    <s v="ENTITY"/>
    <s v="LGL_PRCDNG_STTS_LE"/>
    <x v="0"/>
    <s v="7. Analisar controlos e completude"/>
    <s v="NOK"/>
    <s v="Controlos NOK"/>
    <m/>
    <s v="Não"/>
    <d v="2024-06-07T00:00:00"/>
    <x v="5"/>
    <s v="NOK"/>
    <m/>
    <m/>
    <m/>
    <x v="6"/>
  </r>
  <r>
    <s v="INSTRUMENT"/>
    <s v="LND_DRGTN"/>
    <x v="1"/>
    <s v="9. Concluído"/>
    <s v="OK"/>
    <s v="Concluido, controlos OK"/>
    <m/>
    <s v="Campo Fechado"/>
    <d v="2024-06-07T00:00:00"/>
    <x v="0"/>
    <s v="OK"/>
    <m/>
    <m/>
    <m/>
    <x v="0"/>
  </r>
  <r>
    <s v="INSTRUMENT"/>
    <s v="LSTI"/>
    <x v="1"/>
    <s v="1. Especificar"/>
    <s v="OK"/>
    <s v="Em especificação (Campos Novos)"/>
    <m/>
    <s v="Não"/>
    <d v="2024-06-07T00:00:00"/>
    <x v="3"/>
    <s v="OK"/>
    <m/>
    <m/>
    <m/>
    <x v="4"/>
  </r>
  <r>
    <s v="ENTITY"/>
    <s v="LTI"/>
    <x v="1"/>
    <s v="1. Especificar"/>
    <s v="NOK"/>
    <s v="Em especificação (Salários)"/>
    <m/>
    <s v="Não"/>
    <d v="2024-06-07T00:00:00"/>
    <x v="3"/>
    <s v="NOK"/>
    <m/>
    <m/>
    <m/>
    <x v="2"/>
  </r>
  <r>
    <s v="INSTRUMENT"/>
    <s v="LTI_INSTRMNT"/>
    <x v="1"/>
    <s v="1. Especificar"/>
    <s v="OK"/>
    <s v="Em especificação (Campos Novos)"/>
    <m/>
    <s v="Não"/>
    <d v="2024-06-07T00:00:00"/>
    <x v="3"/>
    <s v="OK"/>
    <m/>
    <m/>
    <m/>
    <x v="4"/>
  </r>
  <r>
    <s v="INSTRUMENT"/>
    <s v="LTV"/>
    <x v="0"/>
    <s v="7. Analisar controlos e completude"/>
    <s v="NOK"/>
    <s v="Controlos NOK"/>
    <m/>
    <s v="Não"/>
    <d v="2024-06-07T00:00:00"/>
    <x v="5"/>
    <s v="NOK"/>
    <m/>
    <m/>
    <m/>
    <x v="6"/>
  </r>
  <r>
    <s v="INSTRUMENT"/>
    <s v="LTV_INCPTN"/>
    <x v="0"/>
    <s v="9. Concluído"/>
    <s v="OK"/>
    <s v="Concluido, controlos OK"/>
    <m/>
    <s v="Campo Fechado"/>
    <d v="2024-06-07T00:00:00"/>
    <x v="0"/>
    <s v="OK"/>
    <m/>
    <m/>
    <m/>
    <x v="0"/>
  </r>
  <r>
    <s v="INSTRUMENT"/>
    <s v="LTV_NPE"/>
    <x v="0"/>
    <s v="5.1 Em testes - Re-especificação"/>
    <s v="OK"/>
    <s v="Em testes. Campo depende do campo PRFRMNG_STTS. Não é necessário alterar a especificação do mesmo, apenas testar  se o campo PRFRMNG_STTS for alterado."/>
    <m/>
    <s v="Sim"/>
    <d v="2024-06-07T00:00:00"/>
    <x v="8"/>
    <s v="OK"/>
    <m/>
    <d v="2022-05-16T00:00:00"/>
    <d v="2022-05-27T00:00:00"/>
    <x v="5"/>
  </r>
  <r>
    <s v="ENTITY"/>
    <s v="LVRG"/>
    <x v="0"/>
    <s v="9. Concluído"/>
    <s v="OK"/>
    <s v="Concluido, controlos OK"/>
    <m/>
    <s v="Campo Fechado"/>
    <d v="2024-06-07T00:00:00"/>
    <x v="0"/>
    <s v="OK"/>
    <m/>
    <m/>
    <m/>
    <x v="0"/>
  </r>
  <r>
    <s v="INSTRUMENT"/>
    <s v="LVRG_FNNC_FLG"/>
    <x v="1"/>
    <s v="9. Concluído"/>
    <s v="OK"/>
    <s v="Concluido, controlos OK"/>
    <m/>
    <s v="Campo Fechado"/>
    <d v="2024-06-07T00:00:00"/>
    <x v="0"/>
    <s v="OK"/>
    <m/>
    <m/>
    <m/>
    <x v="0"/>
  </r>
  <r>
    <s v="ENTITY"/>
    <s v="LVRG_PRVS"/>
    <x v="0"/>
    <s v="9. Concluído"/>
    <s v="OK"/>
    <s v="Concluido, controlos OK"/>
    <m/>
    <s v="Campo Fechado"/>
    <d v="2024-06-07T00:00:00"/>
    <x v="0"/>
    <s v="OK"/>
    <m/>
    <m/>
    <m/>
    <x v="0"/>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s v="Sim"/>
    <d v="2024-06-07T00:00:00"/>
    <x v="1"/>
    <s v="OK"/>
    <m/>
    <d v="2024-02-02T00:00:00"/>
    <d v="2024-03-21T00:00:00"/>
    <x v="5"/>
  </r>
  <r>
    <s v="PROTECTION"/>
    <s v="MN_PRPS"/>
    <x v="1"/>
    <s v="7. Analisar controlos e completude"/>
    <s v="NOK"/>
    <s v="Controlos NOK"/>
    <m/>
    <s v="Não"/>
    <d v="2024-06-07T00:00:00"/>
    <x v="5"/>
    <s v="NOK"/>
    <m/>
    <m/>
    <m/>
    <x v="6"/>
  </r>
  <r>
    <s v="ENTITY"/>
    <s v="MNTHL_INCM"/>
    <x v="1"/>
    <s v="1. Especificar"/>
    <s v="OK"/>
    <s v="Em especificação (Salários)"/>
    <m/>
    <s v="Não"/>
    <d v="2024-06-07T00:00:00"/>
    <x v="3"/>
    <s v="OK"/>
    <m/>
    <m/>
    <m/>
    <x v="2"/>
  </r>
  <r>
    <s v="ENTITY"/>
    <s v="MNTHL_INCM_SLR"/>
    <x v="1"/>
    <s v="1. Especificar"/>
    <s v="NOK"/>
    <s v="Em especificação (Salários)"/>
    <m/>
    <s v="Não"/>
    <d v="2024-06-07T00:00:00"/>
    <x v="3"/>
    <s v="NOK"/>
    <m/>
    <m/>
    <m/>
    <x v="2"/>
  </r>
  <r>
    <s v="ENTITY"/>
    <s v="MNTHL_TRNVR"/>
    <x v="1"/>
    <s v="1. Especificar"/>
    <s v="OK"/>
    <s v="Em especificação (Salários)"/>
    <m/>
    <s v="Não"/>
    <d v="2024-06-07T00:00:00"/>
    <x v="3"/>
    <s v="OK"/>
    <m/>
    <m/>
    <m/>
    <x v="2"/>
  </r>
  <r>
    <s v="INSTRUMENT"/>
    <s v="MTRTY_LTST_FRBRNC_MSR_C19"/>
    <x v="1"/>
    <s v="9. Concluído"/>
    <s v="OK"/>
    <s v="Concluido, controlos OK"/>
    <m/>
    <s v="Campo Fechado"/>
    <d v="2024-06-07T00:00:00"/>
    <x v="0"/>
    <s v="OK"/>
    <m/>
    <m/>
    <m/>
    <x v="0"/>
  </r>
  <r>
    <s v="INSTRUMENT"/>
    <s v="MTRTY_LTST_MRTR_C19"/>
    <x v="1"/>
    <s v="9. Concluído"/>
    <s v="OK"/>
    <s v="Concluido, controlos OK"/>
    <m/>
    <s v="Campo Fechado"/>
    <d v="2024-06-07T00:00:00"/>
    <x v="0"/>
    <s v="OK"/>
    <m/>
    <m/>
    <m/>
    <x v="0"/>
  </r>
  <r>
    <s v="INSTRUMENT"/>
    <s v="NMBR_FRBRNC_MSRS"/>
    <x v="0"/>
    <s v="9. Concluído"/>
    <s v="OK"/>
    <s v="Concluido, controlos OK"/>
    <m/>
    <s v="Campo Fechado"/>
    <d v="2024-06-07T00:00:00"/>
    <x v="0"/>
    <s v="OK"/>
    <m/>
    <m/>
    <m/>
    <x v="0"/>
  </r>
  <r>
    <s v="ENTITY"/>
    <s v="NT_INCM"/>
    <x v="0"/>
    <s v="2. Alterar especificação"/>
    <s v="OK"/>
    <s v="Em especificação (Financial Statments CIB)"/>
    <s v="Campo implementação, mas com falta de informação para o segmento de clientes CIB"/>
    <s v="Não"/>
    <d v="2024-06-07T00:00:00"/>
    <x v="2"/>
    <s v="OK"/>
    <m/>
    <m/>
    <m/>
    <x v="2"/>
  </r>
  <r>
    <s v="ENTITY"/>
    <s v="NT_INCM_PRVS"/>
    <x v="0"/>
    <s v="2. Alterar especificação"/>
    <s v="OK"/>
    <s v="Em especificação (Financial Statments CIB)"/>
    <s v="Campo implementação, mas com falta de informação para o segmento de clientes CIB"/>
    <s v="Não"/>
    <d v="2024-06-07T00:00:00"/>
    <x v="2"/>
    <s v="OK"/>
    <m/>
    <m/>
    <m/>
    <x v="2"/>
  </r>
  <r>
    <s v="INSTRUMENT"/>
    <s v="RWA_MTHD"/>
    <x v="0"/>
    <s v="5.1 Em testes - Re-especificação"/>
    <s v="OK"/>
    <s v="Em testes, campo entregue por IT durante a OSI. Testar e validar controlos"/>
    <s v="Alteração de formato de 11111111.00 para 11111111"/>
    <s v="Campo Fechado"/>
    <d v="2024-06-20T00:00:00"/>
    <x v="0"/>
    <s v="OK"/>
    <s v="Incidência relativamente ao formatos corrigida. Controlos testados e OK"/>
    <m/>
    <d v="2024-06-20T00:00:00"/>
    <x v="0"/>
  </r>
  <r>
    <s v="INSTRUMENT"/>
    <s v="OBSRVD_AGNT_ID"/>
    <x v="0"/>
    <s v="9. Concluído"/>
    <s v="OK"/>
    <s v="Concluido, controlos OK"/>
    <m/>
    <s v="Campo Fechado"/>
    <d v="2024-06-07T00:00:00"/>
    <x v="0"/>
    <s v="OK"/>
    <m/>
    <m/>
    <m/>
    <x v="0"/>
  </r>
  <r>
    <s v="INSTRUMENT"/>
    <s v="OBSRVD_AGNT_NM"/>
    <x v="0"/>
    <s v="9. Concluído"/>
    <s v="OK"/>
    <s v="Concluido, controlos OK"/>
    <m/>
    <s v="Campo Fechado"/>
    <d v="2024-06-07T00:00:00"/>
    <x v="0"/>
    <s v="OK"/>
    <m/>
    <m/>
    <m/>
    <x v="0"/>
  </r>
  <r>
    <s v="INSTRUMENT"/>
    <s v="OFF_BLNC_SHT_AMNT_INSTRMNT"/>
    <x v="0"/>
    <s v="7. Analisar controlos e completude"/>
    <s v="NOK"/>
    <s v="Controlos NOK"/>
    <m/>
    <s v="Não"/>
    <d v="2024-06-07T00:00:00"/>
    <x v="5"/>
    <s v="NOK"/>
    <m/>
    <m/>
    <m/>
    <x v="6"/>
  </r>
  <r>
    <s v="INSTRUMENT"/>
    <s v="OFF_BLNC_SHT_AMNT_INSTRMNT_PRVS"/>
    <x v="0"/>
    <s v="5.2 Em testes - Incidência"/>
    <s v="OK"/>
    <s v="Campo com incidência"/>
    <s v="MISS deviam estar a ser reportados como NA ou zero"/>
    <s v="Sim"/>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x v="1"/>
  </r>
  <r>
    <s v="PROTECTION"/>
    <s v="DT_ORGNL_PRTCTN_VL"/>
    <x v="0"/>
    <s v="5.2 Em testes - Incidência"/>
    <s v="NOK"/>
    <s v="Campo com incidência e controlos NOK"/>
    <s v="1) Campo com incidência, data igual à data da protection_vl 2) Alteração de formatos MISS"/>
    <s v="Campo Fechado"/>
    <d v="2025-01-13T00:00:00"/>
    <x v="0"/>
    <s v="OK"/>
    <m/>
    <d v="2024-09-20T00:00:00"/>
    <d v="2024-12-20T00:00:00"/>
    <x v="1"/>
  </r>
  <r>
    <s v="ENTITY"/>
    <s v="OSI_ID"/>
    <x v="0"/>
    <s v="9. Concluído"/>
    <s v="OK"/>
    <s v="Concluido, controlos OK"/>
    <m/>
    <s v="Campo Fechado"/>
    <d v="2024-06-07T00:00:00"/>
    <x v="0"/>
    <s v="OK"/>
    <m/>
    <m/>
    <m/>
    <x v="0"/>
  </r>
  <r>
    <s v="INSTRUMENT"/>
    <s v="OTSTNDNG_NMNL_AMNT_INSTRMNT"/>
    <x v="0"/>
    <s v="7. Analisar controlos e completude"/>
    <s v="NOK"/>
    <s v="Controlos NOK"/>
    <m/>
    <s v="Não"/>
    <d v="2024-06-07T00:00:00"/>
    <x v="5"/>
    <s v="NOK"/>
    <m/>
    <m/>
    <m/>
    <x v="6"/>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ENTITY"/>
    <s v="OWND_BY_SPNSR"/>
    <x v="1"/>
    <s v="9. Concluído"/>
    <s v="OK"/>
    <s v="Concluido, controlos OK"/>
    <m/>
    <s v="Campo Fechado"/>
    <d v="2024-06-07T00:00:00"/>
    <x v="0"/>
    <s v="OK"/>
    <m/>
    <m/>
    <m/>
    <x v="0"/>
  </r>
  <r>
    <s v="INSTRUMENT"/>
    <s v="PBLC_GRNT_SCHM_C19_NM"/>
    <x v="1"/>
    <s v="9. Concluído"/>
    <s v="OK"/>
    <s v="Concluido, controlos OK"/>
    <m/>
    <s v="Campo Fechado"/>
    <d v="2024-06-07T00:00:00"/>
    <x v="0"/>
    <s v="OK"/>
    <m/>
    <m/>
    <m/>
    <x v="0"/>
  </r>
  <r>
    <s v="INSTRUMENT"/>
    <s v="PD_CRR_INCPTN"/>
    <x v="0"/>
    <s v="5.2 Em testes - Incidência"/>
    <s v="OK"/>
    <s v="Campo com incidência"/>
    <s v="Campo com incidência. Confirmar com Tecnologia que o campo está alterado com base no que foi identificado na OSI"/>
    <s v="Não"/>
    <d v="2024-06-07T00:00:00"/>
    <x v="1"/>
    <s v="OK"/>
    <m/>
    <d v="2024-02-16T00:00:00"/>
    <d v="2024-05-27T00:00:00"/>
    <x v="2"/>
  </r>
  <r>
    <s v="ENTITY"/>
    <s v="PD_CRR_RD"/>
    <x v="0"/>
    <s v="7. Analisar controlos e completude"/>
    <s v="NOK"/>
    <s v="Controlos NOK"/>
    <m/>
    <s v="Não"/>
    <d v="2024-06-07T00:00:00"/>
    <x v="5"/>
    <s v="NOK"/>
    <m/>
    <m/>
    <m/>
    <x v="6"/>
  </r>
  <r>
    <s v="INSTRUMENT"/>
    <s v="PD_CRR_RD"/>
    <x v="0"/>
    <s v="7. Analisar controlos e completude"/>
    <s v="NOK"/>
    <s v="Controlos NOK"/>
    <m/>
    <s v="Não"/>
    <d v="2024-06-07T00:00:00"/>
    <x v="5"/>
    <s v="NOK"/>
    <m/>
    <m/>
    <m/>
    <x v="6"/>
  </r>
  <r>
    <s v="ENTITY"/>
    <s v="PD_CRR_RD_T1"/>
    <x v="1"/>
    <s v="5.1 Em testes - Re-especificação"/>
    <s v="NOK"/>
    <s v="Em testes"/>
    <m/>
    <s v="Sim"/>
    <d v="2024-06-07T00:00:00"/>
    <x v="8"/>
    <s v="NOK"/>
    <m/>
    <d v="2022-07-08T00:00:00"/>
    <d v="2023-12-07T00:00:00"/>
    <x v="1"/>
  </r>
  <r>
    <s v="INSTRUMENT"/>
    <s v="PD_CRR_RD_T1"/>
    <x v="1"/>
    <s v="5.1 Em testes - Re-especificação"/>
    <s v="NOK"/>
    <s v="Em testes"/>
    <m/>
    <s v="Sim"/>
    <d v="2024-06-07T00:00:00"/>
    <x v="8"/>
    <s v="NOK"/>
    <m/>
    <d v="2023-12-21T00:00:00"/>
    <d v="2024-02-08T00:00:00"/>
    <x v="1"/>
  </r>
  <r>
    <s v="INSTRUMENT"/>
    <s v="PD_IFRS9_12M_INCPTN"/>
    <x v="0"/>
    <s v="9. Concluído"/>
    <s v="OK"/>
    <s v="Concluido, controlos OK"/>
    <m/>
    <s v="Campo Fechado"/>
    <d v="2024-06-07T00:00:00"/>
    <x v="0"/>
    <s v="OK"/>
    <s v="Campo Imparidade"/>
    <m/>
    <m/>
    <x v="0"/>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s v="Não"/>
    <d v="2024-06-07T00:00:00"/>
    <x v="4"/>
    <s v="NOK"/>
    <s v="Campo Imparidade"/>
    <m/>
    <m/>
    <x v="6"/>
  </r>
  <r>
    <s v="INSTRUMENT"/>
    <s v="PD_IFRS9_12M_RD"/>
    <x v="0"/>
    <s v="7. Analisar controlos e completude"/>
    <s v="NOK"/>
    <m/>
    <m/>
    <s v="Sim"/>
    <d v="2024-06-07T00:00:00"/>
    <x v="5"/>
    <s v="NOK"/>
    <s v="Campo Imparidade"/>
    <m/>
    <m/>
    <x v="5"/>
  </r>
  <r>
    <s v="ENTITY"/>
    <s v="PD_IFRS9_12M_RD_T1"/>
    <x v="1"/>
    <s v="7. Analisar controlos e completude"/>
    <s v="NOK"/>
    <s v="Controlos NOK"/>
    <m/>
    <s v="Não"/>
    <d v="2024-06-07T00:00:00"/>
    <x v="5"/>
    <s v="NOK"/>
    <s v="Campo Imparidade"/>
    <m/>
    <m/>
    <x v="6"/>
  </r>
  <r>
    <s v="INSTRUMENT"/>
    <s v="PD_IFRS9_12M_RD_T1"/>
    <x v="0"/>
    <s v="7. Analisar controlos e completude"/>
    <s v="NOK"/>
    <s v="Controlos NOK"/>
    <m/>
    <s v="Não"/>
    <d v="2024-06-07T00:00:00"/>
    <x v="5"/>
    <s v="NOK"/>
    <s v="Campo Imparidade"/>
    <m/>
    <m/>
    <x v="6"/>
  </r>
  <r>
    <s v="INSTRUMENT"/>
    <s v="PD_IFRS9_LFTM_INCPTN"/>
    <x v="0"/>
    <s v="9. Concluído"/>
    <s v="OK"/>
    <s v="Concluido, controlos OK"/>
    <m/>
    <s v="Campo Fechado"/>
    <d v="2024-06-07T00:00:00"/>
    <x v="0"/>
    <s v="OK"/>
    <s v="Campo Imparidade"/>
    <m/>
    <m/>
    <x v="0"/>
  </r>
  <r>
    <s v="INSTRUMENT"/>
    <s v="PD_IFRS9_RMNNG_LFTM_INCPTN"/>
    <x v="0"/>
    <s v="9. Concluído"/>
    <s v="OK"/>
    <s v="Concluido, controlos OK"/>
    <m/>
    <s v="Campo Fechado"/>
    <d v="2024-06-07T00:00:00"/>
    <x v="0"/>
    <s v="OK"/>
    <s v="Campo Imparidade"/>
    <m/>
    <m/>
    <x v="0"/>
  </r>
  <r>
    <s v="INSTRUMENT"/>
    <s v="PD_IFRS9_RMNNG_LFTM_RD"/>
    <x v="0"/>
    <s v="9. Concluído"/>
    <s v="OK"/>
    <s v="Concluido, controlos OK"/>
    <m/>
    <s v="Campo Fechado"/>
    <d v="2024-06-07T00:00:00"/>
    <x v="0"/>
    <s v="OK"/>
    <s v="Campo Imparidade"/>
    <m/>
    <m/>
    <x v="0"/>
  </r>
  <r>
    <s v="INSTRUMENT"/>
    <s v="PMNT_PBLC_GRNT_SCHM_C19"/>
    <x v="1"/>
    <s v="9. Concluído"/>
    <s v="OK"/>
    <s v="Concluido, controlos OK"/>
    <m/>
    <s v="Campo Fechado"/>
    <d v="2024-06-07T00:00:00"/>
    <x v="0"/>
    <s v="OK"/>
    <m/>
    <m/>
    <m/>
    <x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INSTRUMENT"/>
    <s v="PRCH_UNDR_RSL_AGR"/>
    <x v="1"/>
    <s v="9. Concluído"/>
    <s v="OK"/>
    <s v="Concluido, controlos OK"/>
    <m/>
    <s v="Campo Fechado"/>
    <d v="2024-06-07T00:00:00"/>
    <x v="0"/>
    <s v="OK"/>
    <m/>
    <m/>
    <m/>
    <x v="0"/>
  </r>
  <r>
    <s v="INSTRUMENT"/>
    <s v="PRDCT"/>
    <x v="0"/>
    <s v="9. Concluído"/>
    <s v="OK"/>
    <s v="Concluido, controlos OK"/>
    <m/>
    <s v="Campo Fechado"/>
    <d v="2024-06-07T00:00:00"/>
    <x v="0"/>
    <s v="OK"/>
    <m/>
    <m/>
    <m/>
    <x v="0"/>
  </r>
  <r>
    <s v="INSTRUMENT"/>
    <s v="PRDNTL_PRTFL"/>
    <x v="1"/>
    <s v="9. Concluído"/>
    <s v="OK"/>
    <s v="Concluido, controlos OK"/>
    <m/>
    <s v="Campo Fechado"/>
    <d v="2024-06-07T00:00:00"/>
    <x v="0"/>
    <s v="OK"/>
    <m/>
    <m/>
    <m/>
    <x v="0"/>
  </r>
  <r>
    <s v="INSTRUMENT"/>
    <s v="PRFRMNG_STTS"/>
    <x v="0"/>
    <s v="3. Pendente de decisão"/>
    <s v="NOK"/>
    <s v="Verificar necessidade de alteração da fonte para fins de reconciliação. Rever Fonte"/>
    <m/>
    <s v="Sim"/>
    <d v="2025-01-13T00:00:00"/>
    <x v="8"/>
    <s v="NOK"/>
    <s v="Alteração da fonte das tabela de Imparidade Reporting para as 8_7 e alteração da data a partir da qual a fonte passa a ser as tabelas de Contabilidade"/>
    <d v="2024-09-27T00:00:00"/>
    <m/>
    <x v="5"/>
  </r>
  <r>
    <s v="ENTITY"/>
    <s v="PRFRMNG_STTS_LE"/>
    <x v="0"/>
    <s v="9. Concluído"/>
    <s v="OK"/>
    <s v="Concluido, controlos OK"/>
    <m/>
    <s v="Campo Fechado"/>
    <d v="2024-06-07T00:00:00"/>
    <x v="0"/>
    <s v="OK"/>
    <m/>
    <m/>
    <m/>
    <x v="0"/>
  </r>
  <r>
    <s v="INSTRUMENT"/>
    <s v="PRFRMNG_STTS_PRV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d v="2024-09-27T00:00:00"/>
    <m/>
    <x v="5"/>
  </r>
  <r>
    <s v="INSTRUMENT"/>
    <s v="PRJCT_FNNC_LN"/>
    <x v="0"/>
    <s v="9. Concluído"/>
    <s v="OK"/>
    <s v="Concluido, controlos OK"/>
    <m/>
    <s v="Campo Fechado"/>
    <d v="2024-06-07T00:00:00"/>
    <x v="0"/>
    <s v="OK"/>
    <m/>
    <m/>
    <m/>
    <x v="0"/>
  </r>
  <r>
    <s v="PROTECTION"/>
    <s v="PRM_LCTN"/>
    <x v="1"/>
    <s v="5.1 Em testes - Re-especificação"/>
    <s v="NOK"/>
    <s v="Em testes"/>
    <m/>
    <s v="Campo Fechado"/>
    <d v="2025-01-13T00:00:00"/>
    <x v="0"/>
    <s v="OK"/>
    <s v="100220 Casos que deviam ser N e estão a ser reportados MISS"/>
    <d v="2024-06-28T00:00:00"/>
    <d v="2024-12-20T00:00:00"/>
    <x v="1"/>
  </r>
  <r>
    <s v="INSTRUMENT"/>
    <s v="PRMRY_ASST_CLSSF"/>
    <x v="1"/>
    <s v="9. Concluído"/>
    <s v="OK"/>
    <s v="Concluido, controlos OK"/>
    <m/>
    <s v="Campo Fechado"/>
    <d v="2024-06-07T00:00:00"/>
    <x v="0"/>
    <s v="OK"/>
    <m/>
    <m/>
    <m/>
    <x v="0"/>
  </r>
  <r>
    <s v="INSTRUMENT"/>
    <s v="PRPS"/>
    <x v="0"/>
    <s v="9. Concluído"/>
    <s v="OK"/>
    <s v="Concluido, controlos OK"/>
    <m/>
    <s v="Campo Fechado"/>
    <d v="2024-06-07T00:00:00"/>
    <x v="0"/>
    <s v="OK"/>
    <m/>
    <m/>
    <m/>
    <x v="0"/>
  </r>
  <r>
    <s v="ENTITY"/>
    <s v="PRSN_TYP"/>
    <x v="1"/>
    <s v="4.1 Em implementação - Re-especificação"/>
    <s v="OK"/>
    <s v="Aguarda implementação de IT"/>
    <m/>
    <s v="Não"/>
    <d v="2024-06-17T00:00:00"/>
    <x v="8"/>
    <s v="OK"/>
    <m/>
    <d v="2024-01-12T00:00:00"/>
    <d v="2024-03-21T00:00:00"/>
    <x v="4"/>
  </r>
  <r>
    <s v="INSTRUMENT"/>
    <s v="PRT_LCR_BFFR"/>
    <x v="1"/>
    <s v="9. Concluído"/>
    <s v="OK"/>
    <s v="Concluido, controlos OK"/>
    <m/>
    <s v="Campo Fechado"/>
    <d v="2024-06-07T00:00:00"/>
    <x v="0"/>
    <s v="OK"/>
    <m/>
    <m/>
    <m/>
    <x v="0"/>
  </r>
  <r>
    <s v="INSTR_PROTECTION"/>
    <s v="PRTCTN_ALLCTD_VL"/>
    <x v="0"/>
    <s v="9. Concluído"/>
    <s v="OK"/>
    <s v="Concluido, controlos OK"/>
    <m/>
    <s v="Campo Fechado"/>
    <d v="2024-06-07T00:00:00"/>
    <x v="0"/>
    <s v="OK"/>
    <m/>
    <m/>
    <m/>
    <x v="0"/>
  </r>
  <r>
    <s v="PROTECTION"/>
    <s v="PRTCTN_CLLD"/>
    <x v="0"/>
    <s v="7. Analisar controlos e completude"/>
    <s v="NOK"/>
    <s v="Controlos NOK"/>
    <m/>
    <s v="Não"/>
    <d v="2024-06-07T00:00:00"/>
    <x v="5"/>
    <s v="NOK"/>
    <m/>
    <m/>
    <m/>
    <x v="6"/>
  </r>
  <r>
    <s v="PROTECTION"/>
    <s v="PRTCTN_FRCD_SL_VL"/>
    <x v="0"/>
    <s v="9. Concluído"/>
    <s v="OK"/>
    <s v="Concluido, controlos OK"/>
    <m/>
    <s v="Campo Fechado"/>
    <d v="2024-06-07T00:00:00"/>
    <x v="0"/>
    <s v="OK"/>
    <m/>
    <m/>
    <m/>
    <x v="0"/>
  </r>
  <r>
    <s v="INSTR_PROTECTION"/>
    <s v="PRTCTN_ID"/>
    <x v="0"/>
    <s v="7. Analisar controlos e completude"/>
    <s v="NOK"/>
    <s v="Controlos NOK"/>
    <m/>
    <s v="Não"/>
    <d v="2024-06-07T00:00:00"/>
    <x v="5"/>
    <s v="NOK"/>
    <m/>
    <m/>
    <m/>
    <x v="6"/>
  </r>
  <r>
    <s v="PROTECTION"/>
    <s v="PRTCTN_ID"/>
    <x v="0"/>
    <s v="7. Analisar controlos e completude"/>
    <s v="NOK"/>
    <s v="Controlos NOK"/>
    <m/>
    <s v="Não"/>
    <d v="2024-06-07T00:00:00"/>
    <x v="5"/>
    <s v="NOK"/>
    <m/>
    <m/>
    <m/>
    <x v="6"/>
  </r>
  <r>
    <s v="PROTECTION"/>
    <s v="PRTCTN_PRVDR_ID"/>
    <x v="0"/>
    <s v="7. Analisar controlos e completude"/>
    <s v="NOK"/>
    <s v="Controlos NOK"/>
    <m/>
    <s v="Não"/>
    <d v="2024-06-07T00:00:00"/>
    <x v="5"/>
    <s v="NOK"/>
    <m/>
    <m/>
    <m/>
    <x v="6"/>
  </r>
  <r>
    <s v="PROTECTION"/>
    <s v="PRTCTN_TYP_PBLC_GRNT_SCHM_C19"/>
    <x v="1"/>
    <s v="7. Analisar controlos e completude"/>
    <s v="NOK"/>
    <s v="Controlos NOK"/>
    <m/>
    <s v="Não"/>
    <d v="2024-06-07T00:00:00"/>
    <x v="5"/>
    <s v="NOK"/>
    <m/>
    <m/>
    <m/>
    <x v="6"/>
  </r>
  <r>
    <s v="ENTITY"/>
    <s v="DT_EXTRNL_RTNG"/>
    <x v="0"/>
    <s v="2. Alterar especificação"/>
    <s v="OK"/>
    <s v="Alterar especificação para casos em informação na fonte."/>
    <s v="Quando não existe informação na fonte em vez de MISS substituir por NA"/>
    <s v="Sim"/>
    <d v="2024-06-07T00:00:00"/>
    <x v="2"/>
    <s v="OK"/>
    <m/>
    <m/>
    <m/>
    <x v="3"/>
  </r>
  <r>
    <s v="PROTECTION"/>
    <s v="ORGNL_PRTCTN_VL"/>
    <x v="0"/>
    <s v="5.2 Em testes - Incidência"/>
    <s v="OK"/>
    <s v="Campo com incidência"/>
    <s v="1) Campo com incidência, está a reportar apenas valores de MISS e N/A"/>
    <s v="Sim"/>
    <d v="2025-01-13T00:00:00"/>
    <x v="8"/>
    <s v="NOK"/>
    <s v="14 casos com valor original da proteção a zero"/>
    <d v="2024-09-20T00:00:00"/>
    <m/>
    <x v="1"/>
  </r>
  <r>
    <s v="PROTECTION"/>
    <s v="PRTCTN_VL_PRVS"/>
    <x v="0"/>
    <s v="9. Concluído"/>
    <s v="OK"/>
    <s v="Concluido, controlos OK"/>
    <m/>
    <s v="Campo Fechado"/>
    <d v="2024-06-07T00:00:00"/>
    <x v="0"/>
    <s v="OK"/>
    <m/>
    <m/>
    <m/>
    <x v="0"/>
  </r>
  <r>
    <s v="PROTECTION"/>
    <s v="PRTCTN_VLTN_APPRCH"/>
    <x v="0"/>
    <s v="7. Analisar controlos e completude"/>
    <s v="NOK"/>
    <s v="Controlos NOK"/>
    <m/>
    <s v="Não"/>
    <d v="2024-06-07T00:00:00"/>
    <x v="5"/>
    <s v="NOK"/>
    <m/>
    <m/>
    <m/>
    <x v="6"/>
  </r>
  <r>
    <s v="INSTRUMENT"/>
    <s v="PRVSNS_OFF_BLNC_SHT"/>
    <x v="0"/>
    <s v="9. Concluído"/>
    <s v="OK"/>
    <s v="Concluido, controlos OK"/>
    <m/>
    <s v="Campo Fechado"/>
    <d v="2024-06-07T00:00:00"/>
    <x v="0"/>
    <s v="OK"/>
    <m/>
    <m/>
    <m/>
    <x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s v="Sim"/>
    <d v="2024-06-07T00:00:00"/>
    <x v="1"/>
    <s v="OK"/>
    <m/>
    <m/>
    <m/>
    <x v="5"/>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RCRS"/>
    <x v="0"/>
    <s v="9. Concluído"/>
    <s v="OK"/>
    <s v="Concluido, controlos OK"/>
    <m/>
    <s v="Campo Fechado"/>
    <d v="2024-06-07T00:00:00"/>
    <x v="0"/>
    <s v="OK"/>
    <m/>
    <m/>
    <m/>
    <x v="0"/>
  </r>
  <r>
    <s v="INSTRUMENT"/>
    <s v="RCVD_AMRTSTN_12M"/>
    <x v="0"/>
    <s v="7. Analisar controlos e completude"/>
    <s v="NOK"/>
    <s v="Controlos NOK"/>
    <m/>
    <s v="Não"/>
    <d v="2024-06-07T00:00:00"/>
    <x v="5"/>
    <s v="NOK"/>
    <m/>
    <m/>
    <m/>
    <x v="6"/>
  </r>
  <r>
    <s v="INSTRUMENT"/>
    <s v="RCVD_AMRTSTN_24M"/>
    <x v="0"/>
    <s v="9. Concluído"/>
    <s v="OK"/>
    <s v="Concluido, controlos OK"/>
    <m/>
    <s v="Campo Fechado"/>
    <d v="2024-06-07T00:00:00"/>
    <x v="0"/>
    <s v="OK"/>
    <m/>
    <m/>
    <m/>
    <x v="0"/>
  </r>
  <r>
    <s v="PROTECTION"/>
    <s v="DT_CNSTRCTN_STTS"/>
    <x v="1"/>
    <s v="2. Alterar especificação"/>
    <s v="NOK"/>
    <s v="Campo dependente do MUG"/>
    <s v="Criação de uma tabela auxiliar de histórico dos estados de construção numa ótica diária"/>
    <s v="Sim"/>
    <d v="2024-10-03T00:00:00"/>
    <x v="2"/>
    <s v="NOK"/>
    <m/>
    <m/>
    <m/>
    <x v="1"/>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s v="Sim"/>
    <d v="2024-06-07T00:00:00"/>
    <x v="2"/>
    <s v="NOK"/>
    <m/>
    <m/>
    <m/>
    <x v="1"/>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s v="Não"/>
    <d v="2024-06-07T00:00:00"/>
    <x v="2"/>
    <s v="OK"/>
    <m/>
    <m/>
    <m/>
    <x v="2"/>
  </r>
  <r>
    <s v="INSTRUMENT"/>
    <s v="RFRNC_RT"/>
    <x v="1"/>
    <s v="9. Concluído"/>
    <s v="OK"/>
    <s v="Concluido, controlos OK"/>
    <m/>
    <s v="Campo Fechado"/>
    <d v="2024-06-07T00:00:00"/>
    <x v="0"/>
    <s v="OK"/>
    <m/>
    <m/>
    <m/>
    <x v="0"/>
  </r>
  <r>
    <s v="PROTECTION"/>
    <s v="RL_ESTT_ADDRSS"/>
    <x v="1"/>
    <s v="7. Analisar controlos e completude"/>
    <s v="NOK"/>
    <s v="Controlos NOK"/>
    <m/>
    <s v="Não"/>
    <d v="2024-06-07T00:00:00"/>
    <x v="5"/>
    <s v="NOK"/>
    <m/>
    <m/>
    <m/>
    <x v="6"/>
  </r>
  <r>
    <s v="INSTRUMENT"/>
    <s v="CMLTV_RCVRS_SNC_DFLT_INSTRMNT"/>
    <x v="0"/>
    <s v="2. Alterar especificação"/>
    <s v="OK"/>
    <s v="Campo especificado, mas sem dados. Campo marcado com MISS ou NA"/>
    <m/>
    <s v="Não"/>
    <d v="2024-06-07T00:00:00"/>
    <x v="2"/>
    <s v="OK"/>
    <m/>
    <m/>
    <m/>
    <x v="7"/>
  </r>
  <r>
    <s v="PROTECTION"/>
    <s v="RL_ESTT_CLLTRL_LCTN_INT"/>
    <x v="1"/>
    <s v="7. Analisar controlos e completude"/>
    <s v="NOK"/>
    <s v="Controlos NOK"/>
    <m/>
    <s v="Não"/>
    <d v="2024-06-07T00:00:00"/>
    <x v="5"/>
    <s v="NOK"/>
    <m/>
    <m/>
    <m/>
    <x v="6"/>
  </r>
  <r>
    <s v="PROTECTION"/>
    <s v="RL_ESTT_CTY"/>
    <x v="1"/>
    <s v="7. Analisar controlos e completude"/>
    <s v="NOK"/>
    <s v="Controlos NOK"/>
    <m/>
    <s v="Não"/>
    <d v="2024-06-07T00:00:00"/>
    <x v="5"/>
    <s v="NOK"/>
    <m/>
    <m/>
    <m/>
    <x v="6"/>
  </r>
  <r>
    <s v="PROTECTION"/>
    <s v="RL_ESTT_PST_CD"/>
    <x v="0"/>
    <s v="7. Analisar controlos e completude"/>
    <s v="NOK"/>
    <s v="Controlos NOK"/>
    <m/>
    <s v="Não"/>
    <d v="2024-06-07T00:00:00"/>
    <x v="5"/>
    <s v="NOK"/>
    <m/>
    <m/>
    <m/>
    <x v="6"/>
  </r>
  <r>
    <s v="INSTRUMENT"/>
    <s v="RRE_FNRP18"/>
    <x v="1"/>
    <s v="9. Concluído"/>
    <s v="OK"/>
    <s v="Concluido, controlos OK"/>
    <m/>
    <s v="Campo Fechado"/>
    <d v="2024-06-07T00:00:00"/>
    <x v="0"/>
    <s v="OK"/>
    <m/>
    <m/>
    <m/>
    <x v="0"/>
  </r>
  <r>
    <s v="ENTITY"/>
    <s v="RTNG_MTHD"/>
    <x v="0"/>
    <s v="5.1 Em testes - Re-especificação"/>
    <s v="NOK"/>
    <s v="Em testes, campo entregue por IT durante a OSI. Testar e validar controlos"/>
    <m/>
    <s v="Sim"/>
    <d v="2024-06-07T00:00:00"/>
    <x v="8"/>
    <s v="NOK"/>
    <m/>
    <d v="2024-02-16T00:00:00"/>
    <d v="2024-03-21T00:00:00"/>
    <x v="3"/>
  </r>
  <r>
    <s v="INSTRUMENT"/>
    <s v="RTNG_MTHD"/>
    <x v="0"/>
    <s v="5.1 Em testes - Re-especificação"/>
    <s v="NOK"/>
    <s v="Em testes, campo entregue por IT durante a OSI. Testar e validar controlos"/>
    <m/>
    <s v="Sim"/>
    <d v="2024-06-07T00:00:00"/>
    <x v="8"/>
    <s v="NOK"/>
    <m/>
    <d v="2024-02-16T00:00:00"/>
    <d v="2024-03-21T00:00:00"/>
    <x v="3"/>
  </r>
  <r>
    <s v="ENTITY"/>
    <s v="RTNG_SCL"/>
    <x v="0"/>
    <s v="9. Concluído"/>
    <s v="OK"/>
    <s v="Concluido, controlos OK"/>
    <m/>
    <s v="Campo Fechado"/>
    <d v="2024-06-07T00:00:00"/>
    <x v="0"/>
    <s v="OK"/>
    <m/>
    <m/>
    <m/>
    <x v="0"/>
  </r>
  <r>
    <s v="INSTRUMENT"/>
    <s v="RTNG_SCL"/>
    <x v="0"/>
    <s v="9. Concluído"/>
    <s v="OK"/>
    <s v="Concluido, controlos OK"/>
    <m/>
    <s v="Campo Fechado"/>
    <d v="2024-06-07T00:00:00"/>
    <x v="0"/>
    <s v="OK"/>
    <m/>
    <m/>
    <m/>
    <x v="0"/>
  </r>
  <r>
    <s v="INSTRUMENT"/>
    <s v="RTNTN_SHR"/>
    <x v="1"/>
    <s v="6. Outros Desenvolvimentos"/>
    <s v="OK"/>
    <s v="Em implementação IT BST (Sindicados)"/>
    <s v="Aguarda desenvolvimentos nas plataformas Loan IQ e Mercurio"/>
    <s v="Não"/>
    <d v="2024-06-07T00:00:00"/>
    <x v="9"/>
    <s v="OK"/>
    <m/>
    <m/>
    <m/>
    <x v="2"/>
  </r>
  <r>
    <s v="INSTRUMENT"/>
    <s v="RWA"/>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x v="1"/>
  </r>
  <r>
    <s v="INSTRUMENT"/>
    <s v="DT_LGL_FNL_MTRTY"/>
    <x v="0"/>
    <s v="5.2 Em testes - Incidência"/>
    <s v="NOK"/>
    <s v="Controlos NOK e com Incidência nos formatos. "/>
    <s v="Alterarção formato de 99999999 para 1111-11-11."/>
    <s v="Sim"/>
    <d v="2024-06-07T00:00:00"/>
    <x v="1"/>
    <s v="NOK"/>
    <m/>
    <m/>
    <m/>
    <x v="1"/>
  </r>
  <r>
    <s v="INSTRUMENT"/>
    <s v="SBJCT_PBLC_GRNT_SCHM_C19"/>
    <x v="1"/>
    <s v="9. Concluído"/>
    <s v="OK"/>
    <s v="Concluido, controlos OK"/>
    <m/>
    <s v="Campo Fechado"/>
    <d v="2024-06-07T00:00:00"/>
    <x v="0"/>
    <s v="OK"/>
    <m/>
    <m/>
    <m/>
    <x v="0"/>
  </r>
  <r>
    <s v="INSTRUMENT"/>
    <s v="DT_NXT_INTRST_RT_RST"/>
    <x v="0"/>
    <s v="5.2 Em testes - Incidência"/>
    <s v="NOK"/>
    <s v="Controlos NOK e com Incidência nos formatos."/>
    <s v=" Alteração formato de 0001-01-01 para 0000-00-00."/>
    <s v="Sim"/>
    <d v="2024-06-07T00:00:00"/>
    <x v="1"/>
    <s v="NOK"/>
    <m/>
    <m/>
    <m/>
    <x v="1"/>
  </r>
  <r>
    <s v="INSTRUMENT"/>
    <s v="SME_FNRP18"/>
    <x v="0"/>
    <s v="9. Concluído"/>
    <s v="OK"/>
    <s v="Concluido, controlos OK"/>
    <m/>
    <s v="Campo Fechado"/>
    <d v="2024-06-07T00:00:00"/>
    <x v="0"/>
    <s v="OK"/>
    <m/>
    <m/>
    <m/>
    <x v="0"/>
  </r>
  <r>
    <s v="ENTITY"/>
    <s v="SNGL_PRPS_VHCL"/>
    <x v="1"/>
    <s v="9. Concluído"/>
    <s v="OK"/>
    <s v="Concluido, controlos OK"/>
    <m/>
    <s v="Campo Fechado"/>
    <d v="2024-06-07T00:00:00"/>
    <x v="0"/>
    <s v="OK"/>
    <m/>
    <m/>
    <m/>
    <x v="0"/>
  </r>
  <r>
    <s v="INSTRUMENT"/>
    <s v="SPCLTV_LNDNG"/>
    <x v="1"/>
    <s v="7. Analisar controlos e completude"/>
    <s v="NOK"/>
    <s v="Controlos NOK"/>
    <m/>
    <s v="Não"/>
    <d v="2024-06-07T00:00:00"/>
    <x v="5"/>
    <s v="NOK"/>
    <m/>
    <m/>
    <m/>
    <x v="6"/>
  </r>
  <r>
    <s v="INSTRUMENT"/>
    <s v="SPNSR_NM"/>
    <x v="1"/>
    <s v="8. Concluído - sem dados"/>
    <s v="OK"/>
    <s v="Campo especificado, mas sem dados. Campo marcado com MISS ou NA"/>
    <m/>
    <s v="Campo Fechado"/>
    <d v="2024-06-07T00:00:00"/>
    <x v="6"/>
    <s v="OK"/>
    <m/>
    <m/>
    <m/>
    <x v="7"/>
  </r>
  <r>
    <s v="INSTRUMENT"/>
    <s v="SPRD"/>
    <x v="1"/>
    <s v="9. Concluído"/>
    <s v="OK"/>
    <s v="Concluido, controlos OK"/>
    <m/>
    <s v="Campo Fechado"/>
    <d v="2024-06-07T00:00:00"/>
    <x v="0"/>
    <s v="OK"/>
    <m/>
    <m/>
    <m/>
    <x v="0"/>
  </r>
  <r>
    <s v="INSTRUMENT"/>
    <s v="SRCS_ENCMBRNC"/>
    <x v="1"/>
    <s v="9. Concluído"/>
    <s v="OK"/>
    <s v="Concluido, controlos OK"/>
    <m/>
    <s v="Campo Fechado"/>
    <d v="2024-06-07T00:00:00"/>
    <x v="0"/>
    <s v="OK"/>
    <m/>
    <m/>
    <m/>
    <x v="0"/>
  </r>
  <r>
    <s v="INSTRUMENT"/>
    <s v="STTS_UNDRWRTTN_TRNSCTN"/>
    <x v="1"/>
    <s v="6. Outros Desenvolvimentos"/>
    <s v="OK"/>
    <s v="Em implementação IT BST (Sindicados)"/>
    <s v="Aguarda desenvolvimentos nas plataformas Loan IQ e Mercurio"/>
    <s v="Não"/>
    <d v="2024-06-07T00:00:00"/>
    <x v="9"/>
    <s v="OK"/>
    <m/>
    <m/>
    <m/>
    <x v="2"/>
  </r>
  <r>
    <s v="INSTRUMENT"/>
    <s v="SUBPORTFOLIO_ID"/>
    <x v="0"/>
    <s v="9. Concluído"/>
    <s v="OK"/>
    <s v="Concluido, controlos OK"/>
    <m/>
    <s v="Campo Fechado"/>
    <d v="2024-06-07T00:00:00"/>
    <x v="0"/>
    <s v="OK"/>
    <m/>
    <m/>
    <m/>
    <x v="0"/>
  </r>
  <r>
    <s v="INSTRUMENT"/>
    <s v="SYNDCT_RL"/>
    <x v="1"/>
    <s v="6. Outros Desenvolvimentos"/>
    <s v="OK"/>
    <s v="Em implementação IT BST (Sindicados)"/>
    <s v="Aguarda desenvolvimentos nas plataformas Loan IQ e Mercurio"/>
    <s v="Não"/>
    <d v="2024-06-07T00:00:00"/>
    <x v="9"/>
    <s v="OK"/>
    <m/>
    <m/>
    <m/>
    <x v="2"/>
  </r>
  <r>
    <s v="INSTRUMENT"/>
    <s v="SYNDCTD_AGNT"/>
    <x v="0"/>
    <s v="6. Outros Desenvolvimentos"/>
    <s v="OK"/>
    <s v="Em implementação IT BST (Sindicados)"/>
    <s v="Aguarda desenvolvimentos nas plataformas Loan IQ e Mercurio"/>
    <s v="Não"/>
    <d v="2024-06-07T00:00:00"/>
    <x v="9"/>
    <s v="OK"/>
    <m/>
    <m/>
    <m/>
    <x v="2"/>
  </r>
  <r>
    <s v="INSTRUMENT"/>
    <s v="SYNDCTD_CNTRCT_ID"/>
    <x v="0"/>
    <s v="6. Outros Desenvolvimentos"/>
    <s v="OK"/>
    <s v="Em implementação IT BST (Sindicados)"/>
    <s v="Aguarda desenvolvimentos nas plataformas Loan IQ e Mercurio"/>
    <s v="Não"/>
    <d v="2024-06-07T00:00:00"/>
    <x v="9"/>
    <s v="OK"/>
    <m/>
    <m/>
    <m/>
    <x v="2"/>
  </r>
  <r>
    <s v="INSTRUMENT"/>
    <s v="SYNDCTD_LNDRS"/>
    <x v="0"/>
    <s v="6. Outros Desenvolvimentos"/>
    <s v="OK"/>
    <s v="Em implementação IT BST (Sindicados)"/>
    <s v="Aguarda desenvolvimentos nas plataformas Loan IQ e Mercurio"/>
    <s v="Não"/>
    <d v="2024-06-07T00:00:00"/>
    <x v="9"/>
    <s v="OK"/>
    <m/>
    <m/>
    <m/>
    <x v="2"/>
  </r>
  <r>
    <s v="INSTRUMENT"/>
    <s v="SYNDCTD_SHR"/>
    <x v="0"/>
    <s v="6. Outros Desenvolvimentos"/>
    <s v="OK"/>
    <s v="Em implementação IT BST (Sindicados)"/>
    <s v="Aguarda desenvolvimentos nas plataformas Loan IQ e Mercurio"/>
    <s v="Não"/>
    <d v="2024-06-07T00:00:00"/>
    <x v="9"/>
    <s v="OK"/>
    <m/>
    <m/>
    <m/>
    <x v="2"/>
  </r>
  <r>
    <s v="INSTRUMENT"/>
    <s v="SYNDCTN_TYP"/>
    <x v="1"/>
    <s v="6. Outros Desenvolvimentos"/>
    <s v="OK"/>
    <s v="Em implementação IT BST (Sindicados)"/>
    <s v="Aguarda desenvolvimentos nas plataformas Loan IQ e Mercurio"/>
    <s v="Não"/>
    <d v="2024-06-07T00:00:00"/>
    <x v="9"/>
    <s v="OK"/>
    <m/>
    <m/>
    <m/>
    <x v="2"/>
  </r>
  <r>
    <s v="ENTITY"/>
    <s v="TAX_ID"/>
    <x v="1"/>
    <s v="7. Analisar controlos e completude"/>
    <s v="NOK"/>
    <s v="Campo especificado, mas com problemas a montante"/>
    <m/>
    <s v="Não"/>
    <d v="2024-06-07T00:00:00"/>
    <x v="5"/>
    <s v="NOK"/>
    <m/>
    <m/>
    <m/>
    <x v="6"/>
  </r>
  <r>
    <s v="PROTECTION"/>
    <s v="TAX_ID"/>
    <x v="1"/>
    <s v="7. Analisar controlos e completude"/>
    <s v="NOK"/>
    <s v="Concluido, controlos por parte de Riscos"/>
    <m/>
    <s v="Não"/>
    <d v="2024-06-07T00:00:00"/>
    <x v="5"/>
    <s v="NOK"/>
    <m/>
    <m/>
    <m/>
    <x v="6"/>
  </r>
  <r>
    <s v="INSTR_PROTECTION"/>
    <s v="THRD_PRTY_PRRTY_CLMS"/>
    <x v="0"/>
    <s v="9. Concluído"/>
    <s v="OK"/>
    <s v="Concluido, controlos OK"/>
    <m/>
    <s v="Campo Fechado"/>
    <d v="2024-06-07T00:00:00"/>
    <x v="0"/>
    <s v="OK"/>
    <m/>
    <m/>
    <m/>
    <x v="0"/>
  </r>
  <r>
    <s v="INSTRUMENT"/>
    <s v="TRNCH"/>
    <x v="1"/>
    <s v="6. Outros Desenvolvimentos"/>
    <s v="OK"/>
    <s v="Em implementação IT BST (Sindicados)"/>
    <s v="Aguarda desenvolvimentos nas plataformas Loan IQ e Mercurio"/>
    <s v="Não"/>
    <d v="2024-06-07T00:00:00"/>
    <x v="9"/>
    <s v="OK"/>
    <m/>
    <m/>
    <m/>
    <x v="2"/>
  </r>
  <r>
    <s v="ENTITY"/>
    <s v="TTL_DBT"/>
    <x v="0"/>
    <s v="2. Alterar especificação"/>
    <s v="OK"/>
    <s v="Em especificação (Financial Statments CIB)"/>
    <s v="Campo implementação, mas com falta de informação para o segmento de clientes CIB"/>
    <s v="Não"/>
    <d v="2024-06-07T00:00:00"/>
    <x v="2"/>
    <s v="OK"/>
    <m/>
    <m/>
    <m/>
    <x v="2"/>
  </r>
  <r>
    <s v="ENTITY"/>
    <s v="TTL_DBT_PRVS"/>
    <x v="0"/>
    <s v="2. Alterar especificação"/>
    <s v="OK"/>
    <s v="Em especificação (Financial Statments CIB)"/>
    <s v="Campo implementação, mas com falta de informação para o segmento de clientes CIB"/>
    <s v="Não"/>
    <d v="2024-06-07T00:00:00"/>
    <x v="2"/>
    <s v="OK"/>
    <m/>
    <m/>
    <m/>
    <x v="2"/>
  </r>
  <r>
    <s v="INSTRUMENT"/>
    <s v="ACCRD_INTRST_INSTRMNT"/>
    <x v="0"/>
    <s v="2. Alterar especificação"/>
    <s v="OK"/>
    <s v="Alterar especificação (Área enviou nova metodologia do campo)"/>
    <m/>
    <s v="Não"/>
    <d v="2024-06-07T00:00:00"/>
    <x v="2"/>
    <s v="OK"/>
    <m/>
    <m/>
    <m/>
    <x v="2"/>
  </r>
  <r>
    <s v="ENTITY"/>
    <s v="TTL_LVRG_RT"/>
    <x v="1"/>
    <s v="9. Concluído"/>
    <s v="OK"/>
    <s v="Concluido, controlos OK"/>
    <m/>
    <s v="Campo Fechado"/>
    <d v="2024-06-07T00:00:00"/>
    <x v="0"/>
    <s v="OK"/>
    <m/>
    <m/>
    <m/>
    <x v="0"/>
  </r>
  <r>
    <s v="ENTITY"/>
    <s v="TTL_LVRG_RT_PRVS"/>
    <x v="1"/>
    <s v="9. Concluído"/>
    <s v="OK"/>
    <s v="Concluido, controlos OK"/>
    <m/>
    <s v="Campo Fechado"/>
    <d v="2024-06-07T00:00:00"/>
    <x v="0"/>
    <s v="OK"/>
    <m/>
    <m/>
    <m/>
    <x v="0"/>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TYP_CMPLNT_MRTR_C19"/>
    <x v="1"/>
    <s v="9. Concluído"/>
    <s v="OK"/>
    <s v="Concluido, controlos OK"/>
    <m/>
    <s v="Campo Fechado"/>
    <d v="2024-06-07T00:00:00"/>
    <x v="0"/>
    <s v="OK"/>
    <m/>
    <m/>
    <m/>
    <x v="0"/>
  </r>
  <r>
    <s v="INSTRUMENT"/>
    <s v="TYP_CRE_OPRTN"/>
    <x v="1"/>
    <s v="7. Analisar controlos e completude"/>
    <s v="NOK"/>
    <s v="Controlos NOK"/>
    <m/>
    <s v="Não"/>
    <d v="2024-06-07T00:00:00"/>
    <x v="5"/>
    <s v="NOK"/>
    <m/>
    <m/>
    <m/>
    <x v="6"/>
  </r>
  <r>
    <s v="INSTRUMENT"/>
    <s v="TYP_INSTRMNT"/>
    <x v="0"/>
    <s v="9. Concluído"/>
    <s v="OK"/>
    <s v="Concluido, controlos OK"/>
    <m/>
    <s v="Campo Fechado"/>
    <d v="2024-06-07T00:00:00"/>
    <x v="0"/>
    <s v="OK"/>
    <m/>
    <m/>
    <m/>
    <x v="0"/>
  </r>
  <r>
    <s v="INSTRUMENT"/>
    <s v="TYP_INTRST_RT"/>
    <x v="0"/>
    <s v="9. Concluído"/>
    <s v="OK"/>
    <s v="Concluido, controlos OK"/>
    <m/>
    <s v="Campo Fechado"/>
    <d v="2024-06-07T00:00:00"/>
    <x v="0"/>
    <s v="OK"/>
    <m/>
    <m/>
    <m/>
    <x v="0"/>
  </r>
  <r>
    <s v="PROTECTION"/>
    <s v="PRTCTN_VL"/>
    <x v="0"/>
    <s v="5.2 Em testes - Incidência"/>
    <s v="OK"/>
    <s v="Campo com incidência"/>
    <s v="Incidências: Casos em que valor é 0"/>
    <s v="Sim"/>
    <d v="2024-09-27T00:00:00"/>
    <x v="1"/>
    <s v="NOK"/>
    <s v="44 garantias com valor zero."/>
    <m/>
    <m/>
    <x v="1"/>
  </r>
  <r>
    <s v="PROTECTION"/>
    <s v="PRTCTN_VL_NPE"/>
    <x v="0"/>
    <s v="5.1 Em testes - Re-especificação"/>
    <s v="OK"/>
    <s v="Campo depende do histórico do PRFRMNG_STTS. Não é necessário alterar a especificação do mesmo, apenas testar se a metodologia do campo PRFRMNG_STTS for alterada. "/>
    <m/>
    <s v="Sim"/>
    <d v="2024-10-03T00:00:00"/>
    <x v="8"/>
    <s v="OK"/>
    <m/>
    <m/>
    <m/>
    <x v="5"/>
  </r>
  <r>
    <s v="PROTECTION"/>
    <s v="TYP_PRTCTN_INTRNL"/>
    <x v="0"/>
    <s v="7. Analisar controlos e completude"/>
    <s v="NOK"/>
    <s v="Controlos NOK"/>
    <m/>
    <s v="Não"/>
    <d v="2024-06-07T00:00:00"/>
    <x v="5"/>
    <s v="NOK"/>
    <m/>
    <m/>
    <m/>
    <x v="6"/>
  </r>
  <r>
    <s v="PROTECTION"/>
    <s v="TYP_PRTCTN_VL"/>
    <x v="0"/>
    <s v="7. Analisar controlos e completude"/>
    <s v="NOK"/>
    <s v="Controlos NOK"/>
    <m/>
    <s v="Não"/>
    <d v="2024-06-07T00:00:00"/>
    <x v="5"/>
    <s v="NOK"/>
    <m/>
    <m/>
    <m/>
    <x v="6"/>
  </r>
  <r>
    <s v="INSTRUMENT"/>
    <s v="TYPE_OF_PLCMNT"/>
    <x v="1"/>
    <s v="9. Concluído"/>
    <s v="OK"/>
    <s v="Concluido, controlos OK"/>
    <m/>
    <s v="Campo Fechado"/>
    <d v="2024-06-07T00:00:00"/>
    <x v="0"/>
    <s v="OK"/>
    <m/>
    <m/>
    <m/>
    <x v="0"/>
  </r>
  <r>
    <s v="INSTRUMENT"/>
    <s v="VLTN_CRRNCY"/>
    <x v="1"/>
    <s v="9. Concluído"/>
    <s v="OK"/>
    <s v="Concluido, controlos OK"/>
    <m/>
    <s v="Campo Fechado"/>
    <d v="2024-06-07T00:00:00"/>
    <x v="0"/>
    <s v="OK"/>
    <m/>
    <m/>
    <m/>
    <x v="0"/>
  </r>
  <r>
    <s v="INSTRUMENT"/>
    <s v="VLTN_TYP"/>
    <x v="1"/>
    <s v="9. Concluído"/>
    <s v="OK"/>
    <s v="Concluido, controlos OK"/>
    <m/>
    <s v="Campo Fechado"/>
    <d v="2024-06-07T00:00:00"/>
    <x v="0"/>
    <s v="OK"/>
    <m/>
    <m/>
    <m/>
    <x v="0"/>
  </r>
  <r>
    <s v="ENTITY"/>
    <s v="WTCH_LST"/>
    <x v="0"/>
    <s v="9. Concluído"/>
    <s v="OK"/>
    <s v="Concluido, controlos OK"/>
    <m/>
    <s v="Campo Fechado"/>
    <d v="2024-06-07T00:00:00"/>
    <x v="0"/>
    <s v="OK"/>
    <m/>
    <m/>
    <m/>
    <x v="0"/>
  </r>
  <r>
    <s v="PROTECTION"/>
    <s v="YR_CNSTRCTN"/>
    <x v="1"/>
    <s v="1. Especificar"/>
    <s v="OK"/>
    <s v="Em especificação (Campos Novos)"/>
    <m/>
    <s v="Não"/>
    <d v="2024-06-07T00:00:00"/>
    <x v="3"/>
    <s v="OK"/>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26" firstHeaderRow="1" firstDataRow="1" firstDataCol="1" rowPageCount="1" colPageCount="1"/>
  <pivotFields count="15">
    <pivotField showAll="0"/>
    <pivotField showAll="0"/>
    <pivotField axis="axisRow" showAll="0">
      <items count="3">
        <item x="1"/>
        <item x="0"/>
        <item t="default"/>
      </items>
    </pivotField>
    <pivotField showAll="0"/>
    <pivotField showAll="0"/>
    <pivotField showAll="0"/>
    <pivotField showAll="0"/>
    <pivotField showAll="0"/>
    <pivotField numFmtId="14" showAll="0"/>
    <pivotField axis="axisPage" multipleItemSelectionAllowed="1" showAll="0">
      <items count="16">
        <item x="3"/>
        <item m="1" x="14"/>
        <item x="2"/>
        <item x="4"/>
        <item m="1" x="12"/>
        <item m="1" x="13"/>
        <item m="1" x="11"/>
        <item x="5"/>
        <item x="6"/>
        <item x="0"/>
        <item x="1"/>
        <item x="7"/>
        <item x="8"/>
        <item m="1" x="10"/>
        <item x="9"/>
        <item t="default"/>
      </items>
    </pivotField>
    <pivotField showAll="0"/>
    <pivotField showAll="0"/>
    <pivotField showAll="0"/>
    <pivotField showAll="0"/>
    <pivotField axis="axisRow" dataField="1" showAll="0">
      <items count="21">
        <item m="1" x="8"/>
        <item m="1" x="17"/>
        <item m="1" x="11"/>
        <item m="1" x="16"/>
        <item m="1" x="12"/>
        <item x="3"/>
        <item x="6"/>
        <item m="1" x="15"/>
        <item m="1" x="14"/>
        <item m="1" x="10"/>
        <item m="1" x="9"/>
        <item m="1" x="19"/>
        <item m="1" x="13"/>
        <item x="2"/>
        <item m="1" x="18"/>
        <item x="4"/>
        <item x="1"/>
        <item x="5"/>
        <item x="7"/>
        <item x="0"/>
        <item t="default"/>
      </items>
    </pivotField>
  </pivotFields>
  <rowFields count="2">
    <field x="2"/>
    <field x="14"/>
  </rowFields>
  <rowItems count="17">
    <i>
      <x/>
    </i>
    <i r="1">
      <x v="6"/>
    </i>
    <i r="1">
      <x v="13"/>
    </i>
    <i r="1">
      <x v="15"/>
    </i>
    <i r="1">
      <x v="16"/>
    </i>
    <i r="1">
      <x v="18"/>
    </i>
    <i r="1">
      <x v="19"/>
    </i>
    <i>
      <x v="1"/>
    </i>
    <i r="1">
      <x v="5"/>
    </i>
    <i r="1">
      <x v="6"/>
    </i>
    <i r="1">
      <x v="13"/>
    </i>
    <i r="1">
      <x v="15"/>
    </i>
    <i r="1">
      <x v="16"/>
    </i>
    <i r="1">
      <x v="17"/>
    </i>
    <i r="1">
      <x v="18"/>
    </i>
    <i r="1">
      <x v="19"/>
    </i>
    <i t="grand">
      <x/>
    </i>
  </rowItems>
  <colItems count="1">
    <i/>
  </colItems>
  <pageFields count="1">
    <pageField fld="9" hier="-1"/>
  </pageFields>
  <dataFields count="1">
    <dataField name="Count of Categorização" fld="14" subtotal="count" baseField="0" baseItem="0"/>
  </dataFields>
  <formats count="13">
    <format dxfId="44">
      <pivotArea dataOnly="0" labelOnly="1" fieldPosition="0">
        <references count="2">
          <reference field="2" count="1" selected="0">
            <x v="1"/>
          </reference>
          <reference field="14" count="1">
            <x v="10"/>
          </reference>
        </references>
      </pivotArea>
    </format>
    <format dxfId="43">
      <pivotArea dataOnly="0" labelOnly="1" fieldPosition="0">
        <references count="2">
          <reference field="2" count="1" selected="0">
            <x v="0"/>
          </reference>
          <reference field="14" count="1">
            <x v="10"/>
          </reference>
        </references>
      </pivotArea>
    </format>
    <format dxfId="42">
      <pivotArea dataOnly="0" labelOnly="1" fieldPosition="0">
        <references count="1">
          <reference field="2" count="1">
            <x v="1"/>
          </reference>
        </references>
      </pivotArea>
    </format>
    <format dxfId="41">
      <pivotArea dataOnly="0" labelOnly="1" fieldPosition="0">
        <references count="2">
          <reference field="2" count="1" selected="0">
            <x v="0"/>
          </reference>
          <reference field="14" count="5">
            <x v="6"/>
            <x v="13"/>
            <x v="15"/>
            <x v="16"/>
            <x v="18"/>
          </reference>
        </references>
      </pivotArea>
    </format>
    <format dxfId="40">
      <pivotArea dataOnly="0" labelOnly="1" fieldPosition="0">
        <references count="2">
          <reference field="2" count="1" selected="0">
            <x v="1"/>
          </reference>
          <reference field="14" count="7">
            <x v="0"/>
            <x v="5"/>
            <x v="6"/>
            <x v="13"/>
            <x v="15"/>
            <x v="16"/>
            <x v="17"/>
          </reference>
        </references>
      </pivotArea>
    </format>
    <format dxfId="39">
      <pivotArea collapsedLevelsAreSubtotals="1" fieldPosition="0">
        <references count="2">
          <reference field="2" count="1" selected="0">
            <x v="0"/>
          </reference>
          <reference field="14" count="1">
            <x v="16"/>
          </reference>
        </references>
      </pivotArea>
    </format>
    <format dxfId="38">
      <pivotArea dataOnly="0" labelOnly="1" fieldPosition="0">
        <references count="2">
          <reference field="2" count="1" selected="0">
            <x v="0"/>
          </reference>
          <reference field="14" count="1">
            <x v="16"/>
          </reference>
        </references>
      </pivotArea>
    </format>
    <format dxfId="37">
      <pivotArea collapsedLevelsAreSubtotals="1" fieldPosition="0">
        <references count="2">
          <reference field="2" count="1" selected="0">
            <x v="1"/>
          </reference>
          <reference field="14" count="1">
            <x v="5"/>
          </reference>
        </references>
      </pivotArea>
    </format>
    <format dxfId="36">
      <pivotArea dataOnly="0" labelOnly="1" fieldPosition="0">
        <references count="2">
          <reference field="2" count="1" selected="0">
            <x v="1"/>
          </reference>
          <reference field="14" count="1">
            <x v="5"/>
          </reference>
        </references>
      </pivotArea>
    </format>
    <format dxfId="35">
      <pivotArea collapsedLevelsAreSubtotals="1" fieldPosition="0">
        <references count="2">
          <reference field="2" count="1" selected="0">
            <x v="1"/>
          </reference>
          <reference field="14" count="2">
            <x v="16"/>
            <x v="17"/>
          </reference>
        </references>
      </pivotArea>
    </format>
    <format dxfId="34">
      <pivotArea dataOnly="0" labelOnly="1" fieldPosition="0">
        <references count="2">
          <reference field="2" count="1" selected="0">
            <x v="1"/>
          </reference>
          <reference field="14" count="2">
            <x v="16"/>
            <x v="17"/>
          </reference>
        </references>
      </pivotArea>
    </format>
    <format dxfId="33">
      <pivotArea collapsedLevelsAreSubtotals="1" fieldPosition="0">
        <references count="2">
          <reference field="2" count="1" selected="0">
            <x v="1"/>
          </reference>
          <reference field="14" count="1">
            <x v="5"/>
          </reference>
        </references>
      </pivotArea>
    </format>
    <format dxfId="32">
      <pivotArea dataOnly="0" labelOnly="1" fieldPosition="0">
        <references count="2">
          <reference field="2" count="1" selected="0">
            <x v="1"/>
          </reference>
          <reference field="1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9ACFC-963B-4792-9D61-9481D3AA110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ick Win" colHeaderCaption="OSI VS FORA OSI">
  <location ref="I12:O18" firstHeaderRow="1" firstDataRow="3" firstDataCol="1" rowPageCount="1" colPageCount="1"/>
  <pivotFields count="23">
    <pivotField showAll="0"/>
    <pivotField dataField="1" showAll="0"/>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1"/>
        <item x="0"/>
        <item h="1" x="3"/>
        <item h="1" x="2"/>
        <item t="default"/>
      </items>
    </pivotField>
    <pivotField showAll="0"/>
  </pivotFields>
  <rowFields count="1">
    <field x="7"/>
  </rowFields>
  <rowItems count="4">
    <i>
      <x/>
    </i>
    <i>
      <x v="1"/>
    </i>
    <i>
      <x v="2"/>
    </i>
    <i t="grand">
      <x/>
    </i>
  </rowItems>
  <colFields count="2">
    <field x="2"/>
    <field x="-2"/>
  </colFields>
  <colItems count="6">
    <i>
      <x/>
      <x/>
    </i>
    <i r="1" i="1">
      <x v="1"/>
    </i>
    <i>
      <x v="1"/>
      <x/>
    </i>
    <i r="1" i="1">
      <x v="1"/>
    </i>
    <i t="grand">
      <x/>
    </i>
    <i t="grand" i="1">
      <x/>
    </i>
  </colItems>
  <pageFields count="1">
    <pageField fld="21" hier="-1"/>
  </pageFields>
  <dataFields count="2">
    <dataField name="#" fld="1" subtotal="count" baseField="5" baseItem="0"/>
    <dataField name="%" fld="1" subtotal="count" showDataAs="percentOfTotal" baseField="5" baseItem="0" numFmtId="10"/>
  </dataFields>
  <formats count="10">
    <format dxfId="54">
      <pivotArea outline="0" collapsedLevelsAreSubtotals="1" fieldPosition="0">
        <references count="2">
          <reference field="4294967294" count="1" selected="0">
            <x v="1"/>
          </reference>
          <reference field="2" count="1" selected="0">
            <x v="1"/>
          </reference>
        </references>
      </pivotArea>
    </format>
    <format dxfId="53">
      <pivotArea outline="0" collapsedLevelsAreSubtotals="1" fieldPosition="0">
        <references count="2">
          <reference field="4294967294" count="1" selected="0">
            <x v="1"/>
          </reference>
          <reference field="2" count="1" selected="0">
            <x v="0"/>
          </reference>
        </references>
      </pivotArea>
    </format>
    <format dxfId="52">
      <pivotArea field="2" grandCol="1" outline="0" collapsedLevelsAreSubtotals="1" axis="axisCol" fieldPosition="0">
        <references count="1">
          <reference field="4294967294" count="1" selected="0">
            <x v="1"/>
          </reference>
        </references>
      </pivotArea>
    </format>
    <format dxfId="51">
      <pivotArea type="all" dataOnly="0" outline="0" fieldPosition="0"/>
    </format>
    <format dxfId="50">
      <pivotArea outline="0" collapsedLevelsAreSubtotals="1" fieldPosition="0"/>
    </format>
    <format dxfId="49">
      <pivotArea dataOnly="0" labelOnly="1" outline="0" fieldPosition="0">
        <references count="2">
          <reference field="4294967294" count="2">
            <x v="0"/>
            <x v="1"/>
          </reference>
          <reference field="2" count="1" selected="0">
            <x v="0"/>
          </reference>
        </references>
      </pivotArea>
    </format>
    <format dxfId="48">
      <pivotArea dataOnly="0" labelOnly="1" outline="0" fieldPosition="0">
        <references count="2">
          <reference field="4294967294" count="2">
            <x v="0"/>
            <x v="1"/>
          </reference>
          <reference field="2" count="1" selected="0">
            <x v="1"/>
          </reference>
        </references>
      </pivotArea>
    </format>
    <format dxfId="47">
      <pivotArea dataOnly="0" labelOnly="1" fieldPosition="0">
        <references count="1">
          <reference field="2" count="0"/>
        </references>
      </pivotArea>
    </format>
    <format dxfId="46">
      <pivotArea field="2" dataOnly="0" labelOnly="1" grandCol="1" outline="0" axis="axisCol" fieldPosition="0">
        <references count="1">
          <reference field="4294967294" count="1" selected="0">
            <x v="0"/>
          </reference>
        </references>
      </pivotArea>
    </format>
    <format dxfId="45">
      <pivotArea field="2"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1F7AD5-90B1-4E17-A458-AEFE904E49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Atual" colHeaderCaption="">
  <location ref="C12:F23" firstHeaderRow="1" firstDataRow="2" firstDataCol="1" rowPageCount="1" colPageCount="1"/>
  <pivotFields count="23">
    <pivotField showAll="0"/>
    <pivotField showAll="0"/>
    <pivotField axis="axisCol" showAll="0">
      <items count="3">
        <item x="1"/>
        <item x="0"/>
        <item t="default"/>
      </items>
    </pivotField>
    <pivotField showAll="0"/>
    <pivotField showAll="0"/>
    <pivotField showAll="0"/>
    <pivotField showAll="0"/>
    <pivotField showAll="0"/>
    <pivotField numFmtId="14" showAll="0"/>
    <pivotField axis="axisRow" dataField="1" showAll="0">
      <items count="11">
        <item x="3"/>
        <item x="2"/>
        <item x="4"/>
        <item x="7"/>
        <item x="8"/>
        <item x="1"/>
        <item x="9"/>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5">
        <item x="1"/>
        <item x="0"/>
        <item x="3"/>
        <item x="2"/>
        <item t="default"/>
      </items>
    </pivotField>
    <pivotField showAll="0"/>
  </pivotFields>
  <rowFields count="1">
    <field x="9"/>
  </rowFields>
  <rowItems count="10">
    <i>
      <x/>
    </i>
    <i>
      <x v="1"/>
    </i>
    <i>
      <x v="2"/>
    </i>
    <i>
      <x v="3"/>
    </i>
    <i>
      <x v="4"/>
    </i>
    <i>
      <x v="5"/>
    </i>
    <i>
      <x v="7"/>
    </i>
    <i>
      <x v="8"/>
    </i>
    <i>
      <x v="9"/>
    </i>
    <i t="grand">
      <x/>
    </i>
  </rowItems>
  <colFields count="1">
    <field x="2"/>
  </colFields>
  <colItems count="3">
    <i>
      <x/>
    </i>
    <i>
      <x v="1"/>
    </i>
    <i t="grand">
      <x/>
    </i>
  </colItems>
  <pageFields count="1">
    <pageField fld="21" item="1" hier="-1"/>
  </pageFields>
  <dataFields count="1">
    <dataField name="Count of Status Atual" fld="9" subtotal="count" baseField="0" baseItem="0"/>
  </dataFields>
  <formats count="3">
    <format dxfId="57">
      <pivotArea field="21" type="button" dataOnly="0" labelOnly="1" outline="0" axis="axisPage" fieldPosition="0"/>
    </format>
    <format dxfId="56">
      <pivotArea type="all" dataOnly="0" outline="0" fieldPosition="0"/>
    </format>
    <format dxfId="55">
      <pivotArea dataOnly="0" labelOnly="1" outline="0" fieldPosition="0">
        <references count="1">
          <reference field="2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5" dT="2025-10-29T14:57:44.46" personId="{82BF7F14-77B9-4558-8297-8B12AA3D0639}" id="{2D26464F-DFFA-45D7-BA3B-52D11E46969B}">
    <text>Existem campos com controlos a NOK mas que estão justificados (ver ficheiro de justificações)</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showGridLines="0" topLeftCell="H2" zoomScaleNormal="100" workbookViewId="0">
      <selection activeCell="A18" sqref="A18"/>
    </sheetView>
  </sheetViews>
  <sheetFormatPr defaultRowHeight="14.25"/>
  <cols>
    <col min="1" max="1" width="3.375" customWidth="1"/>
    <col min="2" max="2" width="5.125" customWidth="1"/>
    <col min="3" max="3" width="35.5" bestFit="1" customWidth="1"/>
    <col min="4" max="4" width="8" bestFit="1" customWidth="1"/>
    <col min="5" max="5" width="4" bestFit="1" customWidth="1"/>
    <col min="6" max="6" width="10.5" bestFit="1" customWidth="1"/>
    <col min="7" max="7" width="10.625" customWidth="1"/>
    <col min="8" max="8" width="8.5" bestFit="1" customWidth="1"/>
    <col min="9" max="9" width="15.5" bestFit="1" customWidth="1"/>
    <col min="10" max="10" width="17.625" bestFit="1" customWidth="1"/>
    <col min="11" max="11" width="8.5" customWidth="1"/>
    <col min="12" max="12" width="10.375" customWidth="1"/>
    <col min="13" max="13" width="4.5" bestFit="1" customWidth="1"/>
    <col min="14" max="14" width="11.375" customWidth="1"/>
    <col min="15" max="15" width="7.375" bestFit="1" customWidth="1"/>
    <col min="16" max="16" width="6.625" bestFit="1" customWidth="1"/>
    <col min="17" max="17" width="8.5" bestFit="1" customWidth="1"/>
    <col min="18" max="18" width="0" style="12" hidden="1" customWidth="1"/>
    <col min="21" max="21" width="55.625" bestFit="1" customWidth="1"/>
    <col min="22" max="22" width="21.625" bestFit="1" customWidth="1"/>
    <col min="23" max="24" width="4.375" bestFit="1" customWidth="1"/>
    <col min="25" max="25" width="10.5" bestFit="1" customWidth="1"/>
  </cols>
  <sheetData>
    <row r="1" spans="1:35" ht="15" customHeight="1">
      <c r="A1" s="1"/>
      <c r="B1" s="1"/>
      <c r="C1" s="1"/>
      <c r="E1" s="1"/>
      <c r="F1" s="1"/>
      <c r="G1" s="1"/>
      <c r="H1" s="1"/>
      <c r="I1" s="1"/>
      <c r="J1" s="1"/>
      <c r="K1" s="1"/>
      <c r="L1" s="1"/>
      <c r="M1" s="1"/>
      <c r="N1" s="1"/>
      <c r="O1" s="1"/>
      <c r="P1" s="1"/>
      <c r="Q1" s="1"/>
      <c r="R1" s="13"/>
      <c r="S1" s="1"/>
      <c r="T1" s="1"/>
      <c r="U1" s="1"/>
      <c r="V1" s="1"/>
      <c r="W1" s="1"/>
      <c r="X1" s="1"/>
      <c r="Y1" s="1"/>
      <c r="Z1" s="1"/>
      <c r="AA1" s="1"/>
      <c r="AB1" s="1"/>
      <c r="AC1" s="1"/>
      <c r="AD1" s="1"/>
      <c r="AE1" s="1"/>
      <c r="AF1" s="1"/>
      <c r="AG1" s="1"/>
      <c r="AH1" s="1"/>
    </row>
    <row r="2" spans="1:35" ht="34.5" customHeight="1">
      <c r="A2" s="1"/>
      <c r="B2" s="1"/>
      <c r="C2" s="3"/>
      <c r="E2" s="1"/>
      <c r="F2" s="1"/>
      <c r="G2" s="1"/>
      <c r="H2" s="1"/>
      <c r="I2" s="1"/>
      <c r="J2" s="1"/>
      <c r="K2" s="1"/>
      <c r="L2" s="1"/>
      <c r="M2" s="1"/>
      <c r="N2" s="1"/>
      <c r="O2" s="1"/>
      <c r="P2" s="1"/>
      <c r="Q2" s="1"/>
      <c r="R2" s="13"/>
      <c r="S2" s="1"/>
      <c r="T2" s="1"/>
      <c r="U2" s="1"/>
      <c r="V2" s="1"/>
      <c r="W2" s="1"/>
      <c r="X2" s="1"/>
      <c r="Y2" s="1"/>
      <c r="Z2" s="1"/>
      <c r="AA2" s="1"/>
      <c r="AB2" s="1"/>
      <c r="AC2" s="1"/>
      <c r="AD2" s="1"/>
      <c r="AE2" s="4"/>
      <c r="AF2" s="1"/>
      <c r="AG2" s="1"/>
      <c r="AH2" s="1"/>
      <c r="AI2" s="1"/>
    </row>
    <row r="3" spans="1:35" ht="2.25" customHeight="1">
      <c r="A3" s="5"/>
      <c r="B3" s="5"/>
      <c r="C3" s="5"/>
      <c r="D3" s="5"/>
      <c r="E3" s="5"/>
      <c r="F3" s="5"/>
      <c r="G3" s="5"/>
      <c r="H3" s="5"/>
      <c r="I3" s="5"/>
      <c r="J3" s="5"/>
      <c r="K3" s="5"/>
      <c r="L3" s="5"/>
      <c r="M3" s="5"/>
      <c r="N3" s="5"/>
      <c r="O3" s="5"/>
      <c r="P3" s="5"/>
      <c r="Q3" s="5"/>
      <c r="R3" s="14"/>
      <c r="S3" s="5"/>
      <c r="T3" s="5"/>
      <c r="U3" s="5"/>
      <c r="V3" s="5"/>
      <c r="W3" s="5"/>
      <c r="X3" s="5"/>
      <c r="Y3" s="5"/>
      <c r="Z3" s="5"/>
      <c r="AA3" s="5"/>
      <c r="AB3" s="5"/>
      <c r="AC3" s="5"/>
      <c r="AD3" s="5"/>
      <c r="AE3" s="5"/>
      <c r="AF3" s="5"/>
      <c r="AG3" s="5"/>
      <c r="AH3" s="5"/>
      <c r="AI3" s="5"/>
    </row>
    <row r="4" spans="1:35" ht="15" customHeight="1">
      <c r="A4" s="1"/>
      <c r="B4" s="1"/>
      <c r="C4" s="1"/>
      <c r="E4" s="1"/>
      <c r="F4" s="1"/>
      <c r="G4" s="1"/>
      <c r="H4" s="1"/>
      <c r="I4" s="1"/>
      <c r="J4" s="1"/>
      <c r="K4" s="1"/>
      <c r="L4" s="1"/>
      <c r="M4" s="1"/>
      <c r="N4" s="1"/>
      <c r="O4" s="1"/>
      <c r="P4" s="1"/>
      <c r="Q4" s="1"/>
      <c r="R4" s="13"/>
      <c r="S4" s="1"/>
      <c r="T4" s="1"/>
      <c r="U4" s="1"/>
      <c r="V4" s="1"/>
      <c r="W4" s="1"/>
      <c r="X4" s="1"/>
      <c r="Y4" s="1"/>
      <c r="Z4" s="1"/>
      <c r="AA4" s="1"/>
      <c r="AB4" s="1"/>
      <c r="AC4" s="1"/>
      <c r="AD4" s="1"/>
      <c r="AE4" s="1"/>
      <c r="AF4" s="1"/>
      <c r="AG4" s="1"/>
      <c r="AH4" s="1"/>
      <c r="AI4" s="1"/>
    </row>
    <row r="7" spans="1:35">
      <c r="U7" s="22" t="s">
        <v>0</v>
      </c>
      <c r="V7" t="s">
        <v>1</v>
      </c>
    </row>
    <row r="9" spans="1:35">
      <c r="U9" s="22" t="s">
        <v>2</v>
      </c>
      <c r="V9" t="s">
        <v>3</v>
      </c>
    </row>
    <row r="10" spans="1:35" ht="15">
      <c r="C10" s="75" t="s">
        <v>4</v>
      </c>
      <c r="D10" s="77" t="s">
        <v>5</v>
      </c>
      <c r="I10" s="64" t="s">
        <v>4</v>
      </c>
      <c r="J10" s="65" t="s">
        <v>5</v>
      </c>
      <c r="U10" s="7" t="s">
        <v>6</v>
      </c>
      <c r="V10">
        <v>119</v>
      </c>
    </row>
    <row r="11" spans="1:35" ht="15">
      <c r="R11" s="12" t="s">
        <v>7</v>
      </c>
      <c r="U11" s="12" t="s">
        <v>8</v>
      </c>
      <c r="V11">
        <v>16</v>
      </c>
    </row>
    <row r="12" spans="1:35" ht="15">
      <c r="C12" s="76" t="s">
        <v>9</v>
      </c>
      <c r="D12" s="67" t="s">
        <v>10</v>
      </c>
      <c r="E12" s="68"/>
      <c r="F12" s="69"/>
      <c r="I12" s="66"/>
      <c r="J12" s="67" t="s">
        <v>11</v>
      </c>
      <c r="K12" s="68"/>
      <c r="L12" s="68"/>
      <c r="M12" s="68"/>
      <c r="N12" s="68"/>
      <c r="O12" s="69"/>
      <c r="R12" s="12" t="s">
        <v>12</v>
      </c>
      <c r="U12" s="12" t="s">
        <v>13</v>
      </c>
      <c r="V12">
        <v>14</v>
      </c>
    </row>
    <row r="13" spans="1:35">
      <c r="C13" s="72" t="s">
        <v>0</v>
      </c>
      <c r="D13" t="s">
        <v>6</v>
      </c>
      <c r="E13" t="s">
        <v>14</v>
      </c>
      <c r="F13" s="71" t="s">
        <v>15</v>
      </c>
      <c r="I13" s="70"/>
      <c r="J13" s="43" t="s">
        <v>6</v>
      </c>
      <c r="K13" s="43"/>
      <c r="L13" s="43" t="s">
        <v>14</v>
      </c>
      <c r="M13" s="43"/>
      <c r="N13" s="43" t="s">
        <v>16</v>
      </c>
      <c r="O13" s="83" t="s">
        <v>17</v>
      </c>
      <c r="R13" s="12" t="s">
        <v>18</v>
      </c>
      <c r="U13" s="12" t="s">
        <v>19</v>
      </c>
      <c r="V13">
        <v>9</v>
      </c>
    </row>
    <row r="14" spans="1:35">
      <c r="C14" s="73" t="s">
        <v>20</v>
      </c>
      <c r="D14">
        <v>9</v>
      </c>
      <c r="E14">
        <v>1</v>
      </c>
      <c r="F14" s="71">
        <v>10</v>
      </c>
      <c r="I14" s="72" t="s">
        <v>21</v>
      </c>
      <c r="J14" s="43" t="s">
        <v>22</v>
      </c>
      <c r="K14" s="43" t="s">
        <v>23</v>
      </c>
      <c r="L14" s="43" t="s">
        <v>22</v>
      </c>
      <c r="M14" s="43" t="s">
        <v>23</v>
      </c>
      <c r="N14" s="43"/>
      <c r="O14" s="83"/>
      <c r="U14" s="23" t="s">
        <v>24</v>
      </c>
      <c r="V14" s="11">
        <v>5</v>
      </c>
    </row>
    <row r="15" spans="1:35">
      <c r="C15" s="73" t="s">
        <v>25</v>
      </c>
      <c r="D15">
        <v>3</v>
      </c>
      <c r="E15">
        <v>14</v>
      </c>
      <c r="F15" s="71">
        <v>17</v>
      </c>
      <c r="I15" s="73" t="s">
        <v>26</v>
      </c>
      <c r="J15" s="43">
        <v>69</v>
      </c>
      <c r="K15" s="78">
        <v>0.26436781609195403</v>
      </c>
      <c r="L15" s="43">
        <v>96</v>
      </c>
      <c r="M15" s="78">
        <v>0.36781609195402298</v>
      </c>
      <c r="N15" s="43">
        <v>165</v>
      </c>
      <c r="O15" s="79">
        <v>0.63218390804597702</v>
      </c>
      <c r="U15" s="12" t="s">
        <v>27</v>
      </c>
      <c r="V15">
        <v>10</v>
      </c>
    </row>
    <row r="16" spans="1:35">
      <c r="C16" s="73" t="s">
        <v>28</v>
      </c>
      <c r="E16">
        <v>2</v>
      </c>
      <c r="F16" s="71">
        <v>2</v>
      </c>
      <c r="I16" s="73" t="s">
        <v>29</v>
      </c>
      <c r="J16" s="43">
        <v>30</v>
      </c>
      <c r="K16" s="78">
        <v>0.11494252873563218</v>
      </c>
      <c r="L16" s="43">
        <v>40</v>
      </c>
      <c r="M16" s="78">
        <v>0.1532567049808429</v>
      </c>
      <c r="N16" s="43">
        <v>70</v>
      </c>
      <c r="O16" s="79">
        <v>0.26819923371647508</v>
      </c>
      <c r="U16" s="12" t="s">
        <v>30</v>
      </c>
      <c r="V16">
        <v>65</v>
      </c>
    </row>
    <row r="17" spans="3:22">
      <c r="C17" s="73" t="s">
        <v>31</v>
      </c>
      <c r="D17">
        <v>1</v>
      </c>
      <c r="F17" s="71">
        <v>1</v>
      </c>
      <c r="I17" s="73" t="s">
        <v>32</v>
      </c>
      <c r="J17" s="43">
        <v>3</v>
      </c>
      <c r="K17" s="78">
        <v>1.1494252873563218E-2</v>
      </c>
      <c r="L17" s="43">
        <v>23</v>
      </c>
      <c r="M17" s="78">
        <v>8.8122605363984668E-2</v>
      </c>
      <c r="N17" s="43">
        <v>26</v>
      </c>
      <c r="O17" s="79">
        <v>9.9616858237547887E-2</v>
      </c>
      <c r="U17" s="7" t="s">
        <v>14</v>
      </c>
      <c r="V17">
        <v>227</v>
      </c>
    </row>
    <row r="18" spans="3:22">
      <c r="C18" s="73" t="s">
        <v>33</v>
      </c>
      <c r="D18">
        <v>4</v>
      </c>
      <c r="E18">
        <v>18</v>
      </c>
      <c r="F18" s="71">
        <v>22</v>
      </c>
      <c r="I18" s="74" t="s">
        <v>15</v>
      </c>
      <c r="J18" s="80">
        <v>102</v>
      </c>
      <c r="K18" s="81">
        <v>0.39080459770114945</v>
      </c>
      <c r="L18" s="80">
        <v>159</v>
      </c>
      <c r="M18" s="81">
        <v>0.60919540229885061</v>
      </c>
      <c r="N18" s="80">
        <v>261</v>
      </c>
      <c r="O18" s="82">
        <v>1</v>
      </c>
      <c r="U18" s="23" t="s">
        <v>34</v>
      </c>
      <c r="V18" s="11">
        <v>8</v>
      </c>
    </row>
    <row r="19" spans="3:22">
      <c r="C19" s="73" t="s">
        <v>35</v>
      </c>
      <c r="E19">
        <v>3</v>
      </c>
      <c r="F19" s="71">
        <v>3</v>
      </c>
      <c r="U19" s="12" t="s">
        <v>8</v>
      </c>
      <c r="V19">
        <v>41</v>
      </c>
    </row>
    <row r="20" spans="3:22">
      <c r="C20" s="73" t="s">
        <v>36</v>
      </c>
      <c r="D20">
        <v>16</v>
      </c>
      <c r="E20">
        <v>26</v>
      </c>
      <c r="F20" s="71">
        <v>42</v>
      </c>
      <c r="U20" s="12" t="s">
        <v>13</v>
      </c>
      <c r="V20">
        <v>37</v>
      </c>
    </row>
    <row r="21" spans="3:22">
      <c r="C21" s="73" t="s">
        <v>37</v>
      </c>
      <c r="D21">
        <v>6</v>
      </c>
      <c r="E21">
        <v>1</v>
      </c>
      <c r="F21" s="71">
        <v>7</v>
      </c>
      <c r="U21" s="12" t="s">
        <v>19</v>
      </c>
      <c r="V21">
        <v>6</v>
      </c>
    </row>
    <row r="22" spans="3:22">
      <c r="C22" s="73" t="s">
        <v>38</v>
      </c>
      <c r="D22">
        <v>63</v>
      </c>
      <c r="E22">
        <v>94</v>
      </c>
      <c r="F22" s="71">
        <v>157</v>
      </c>
      <c r="U22" s="23" t="s">
        <v>24</v>
      </c>
      <c r="V22" s="11">
        <v>21</v>
      </c>
    </row>
    <row r="23" spans="3:22">
      <c r="C23" s="74" t="s">
        <v>15</v>
      </c>
      <c r="D23" s="84">
        <v>102</v>
      </c>
      <c r="E23" s="84">
        <v>159</v>
      </c>
      <c r="F23" s="85">
        <v>261</v>
      </c>
      <c r="U23" s="23" t="s">
        <v>39</v>
      </c>
      <c r="V23" s="11">
        <v>24</v>
      </c>
    </row>
    <row r="24" spans="3:22">
      <c r="U24" s="12" t="s">
        <v>27</v>
      </c>
      <c r="V24">
        <v>2</v>
      </c>
    </row>
    <row r="25" spans="3:22">
      <c r="U25" s="12" t="s">
        <v>30</v>
      </c>
      <c r="V25">
        <v>88</v>
      </c>
    </row>
    <row r="26" spans="3:22">
      <c r="U26" s="7" t="s">
        <v>15</v>
      </c>
      <c r="V26">
        <v>346</v>
      </c>
    </row>
  </sheetData>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54"/>
  <sheetViews>
    <sheetView showGridLines="0" topLeftCell="E2" zoomScaleNormal="90" workbookViewId="0">
      <selection activeCell="C23" sqref="C23"/>
    </sheetView>
  </sheetViews>
  <sheetFormatPr defaultColWidth="0" defaultRowHeight="14.45" customHeight="1"/>
  <cols>
    <col min="1" max="1" width="3.375" customWidth="1"/>
    <col min="2" max="2" width="7.5" customWidth="1"/>
    <col min="3" max="3" width="22.625" customWidth="1"/>
    <col min="4" max="4" width="8.875" customWidth="1"/>
    <col min="5" max="5" width="24.125" customWidth="1"/>
    <col min="6" max="6" width="11.5" customWidth="1"/>
    <col min="7" max="7" width="5.625" customWidth="1"/>
    <col min="8" max="8" width="3.375" customWidth="1"/>
    <col min="9" max="9" width="20.125" bestFit="1" customWidth="1"/>
    <col min="10" max="20" width="19.875" customWidth="1"/>
    <col min="21" max="22" width="3.375" customWidth="1"/>
    <col min="23" max="23" width="13.5" hidden="1" customWidth="1"/>
    <col min="24" max="24" width="22.625" hidden="1" customWidth="1"/>
    <col min="25" max="25" width="18.125" hidden="1" customWidth="1"/>
    <col min="26" max="34" width="0" hidden="1" customWidth="1"/>
    <col min="35" max="16384" width="8.875" hidden="1"/>
  </cols>
  <sheetData>
    <row r="1" spans="1:32" ht="15" customHeight="1">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ht="14.25">
      <c r="B5" s="35"/>
      <c r="C5" s="35"/>
      <c r="D5" s="35"/>
      <c r="E5" s="35"/>
      <c r="F5" s="35"/>
      <c r="H5" s="35"/>
      <c r="I5" s="35"/>
      <c r="J5" s="35"/>
      <c r="K5" s="35"/>
      <c r="L5" s="35"/>
      <c r="M5" s="35"/>
      <c r="N5" s="35"/>
      <c r="O5" s="35"/>
      <c r="P5" s="35"/>
      <c r="Q5" s="35"/>
      <c r="R5" s="35"/>
      <c r="S5" s="35"/>
      <c r="T5" s="35"/>
      <c r="U5" s="35"/>
    </row>
    <row r="6" spans="1:32" ht="14.25">
      <c r="B6" s="35"/>
      <c r="C6" s="35"/>
      <c r="D6" s="35"/>
      <c r="E6" s="35"/>
      <c r="F6" s="35"/>
      <c r="H6" s="35"/>
      <c r="I6" s="35"/>
      <c r="J6" s="35"/>
      <c r="K6" s="35"/>
      <c r="L6" s="35"/>
      <c r="M6" s="35"/>
      <c r="N6" s="35"/>
      <c r="O6" s="35"/>
      <c r="P6" s="35"/>
      <c r="Q6" s="35"/>
      <c r="R6" s="35"/>
      <c r="S6" s="35"/>
      <c r="T6" s="35"/>
      <c r="U6" s="35"/>
    </row>
    <row r="7" spans="1:32" ht="14.25">
      <c r="B7" s="35"/>
      <c r="C7" s="35"/>
      <c r="D7" s="35"/>
      <c r="E7" s="35"/>
      <c r="F7" s="35"/>
      <c r="H7" s="35"/>
      <c r="I7" s="35"/>
      <c r="J7" s="35"/>
      <c r="K7" s="35"/>
      <c r="L7" s="35"/>
      <c r="M7" s="35"/>
      <c r="N7" s="35"/>
      <c r="O7" s="35"/>
      <c r="P7" s="35"/>
      <c r="Q7" s="35"/>
      <c r="R7" s="35"/>
      <c r="S7" s="35"/>
      <c r="T7" s="35"/>
      <c r="U7" s="35"/>
    </row>
    <row r="8" spans="1:32" ht="15">
      <c r="B8" s="41">
        <v>2</v>
      </c>
      <c r="C8" s="41" t="s">
        <v>40</v>
      </c>
      <c r="D8" s="41">
        <v>11</v>
      </c>
      <c r="E8" s="41" t="s">
        <v>40</v>
      </c>
      <c r="F8" s="41"/>
      <c r="H8" s="35"/>
      <c r="I8" s="35"/>
      <c r="J8" s="35"/>
      <c r="K8" s="35"/>
      <c r="L8" s="35"/>
      <c r="M8" s="35"/>
      <c r="N8" s="35"/>
      <c r="O8" s="35"/>
      <c r="P8" s="35"/>
      <c r="Q8" s="35"/>
      <c r="R8" s="35"/>
      <c r="S8" s="35"/>
      <c r="T8" s="35"/>
      <c r="U8" s="35"/>
    </row>
    <row r="9" spans="1:32" ht="15">
      <c r="B9" s="35"/>
      <c r="C9" s="42" t="s">
        <v>41</v>
      </c>
      <c r="D9" s="35"/>
      <c r="E9" s="41" t="s">
        <v>42</v>
      </c>
      <c r="F9" s="42"/>
      <c r="H9" s="35"/>
      <c r="I9" s="35"/>
      <c r="J9" s="35"/>
      <c r="K9" s="35"/>
      <c r="L9" s="35"/>
      <c r="M9" s="35"/>
      <c r="N9" s="35"/>
      <c r="O9" s="35"/>
      <c r="P9" s="35"/>
      <c r="Q9" s="35"/>
      <c r="R9" s="35"/>
      <c r="S9" s="35"/>
      <c r="T9" s="35"/>
      <c r="U9" s="35"/>
    </row>
    <row r="10" spans="1:32" ht="15">
      <c r="B10" s="41"/>
      <c r="C10" s="42" t="s">
        <v>43</v>
      </c>
      <c r="D10" s="35"/>
      <c r="E10" s="42" t="s">
        <v>44</v>
      </c>
      <c r="F10" s="42"/>
      <c r="H10" s="35"/>
      <c r="I10" s="35"/>
      <c r="J10" s="35"/>
      <c r="K10" s="35"/>
      <c r="L10" s="35"/>
      <c r="M10" s="35"/>
      <c r="N10" s="35"/>
      <c r="O10" s="35"/>
      <c r="P10" s="35"/>
      <c r="Q10" s="35"/>
      <c r="R10" s="35"/>
      <c r="S10" s="35"/>
      <c r="T10" s="35"/>
      <c r="U10" s="35"/>
    </row>
    <row r="11" spans="1:32" ht="14.25">
      <c r="B11" s="35"/>
      <c r="C11" s="42"/>
      <c r="D11" s="35"/>
      <c r="E11" s="42" t="s">
        <v>45</v>
      </c>
      <c r="F11" s="42"/>
      <c r="H11" s="35"/>
      <c r="I11" s="35"/>
      <c r="J11" s="35"/>
      <c r="K11" s="35"/>
      <c r="L11" s="35"/>
      <c r="M11" s="35"/>
      <c r="N11" s="35"/>
      <c r="O11" s="35"/>
      <c r="P11" s="35"/>
      <c r="Q11" s="35"/>
      <c r="R11" s="35"/>
      <c r="S11" s="35"/>
      <c r="T11" s="35"/>
      <c r="U11" s="35"/>
    </row>
    <row r="12" spans="1:32" ht="14.25">
      <c r="B12" s="35"/>
      <c r="C12" s="42"/>
      <c r="D12" s="35"/>
      <c r="E12" s="42" t="s">
        <v>46</v>
      </c>
      <c r="F12" s="35"/>
      <c r="H12" s="35"/>
      <c r="I12" s="35"/>
      <c r="J12" s="35"/>
      <c r="K12" s="35"/>
      <c r="L12" s="35"/>
      <c r="M12" s="35"/>
      <c r="N12" s="35"/>
      <c r="O12" s="35"/>
      <c r="P12" s="35"/>
      <c r="Q12" s="35"/>
      <c r="R12" s="35"/>
      <c r="S12" s="35"/>
      <c r="T12" s="35"/>
      <c r="U12" s="35"/>
    </row>
    <row r="13" spans="1:32" ht="14.25">
      <c r="B13" s="35"/>
      <c r="C13" s="35"/>
      <c r="D13" s="35"/>
      <c r="E13" s="42" t="s">
        <v>47</v>
      </c>
      <c r="F13" s="35"/>
      <c r="H13" s="35"/>
      <c r="I13" s="35"/>
      <c r="J13" s="35"/>
      <c r="K13" s="35"/>
      <c r="L13" s="35"/>
      <c r="M13" s="35"/>
      <c r="N13" s="35"/>
      <c r="O13" s="35"/>
      <c r="P13" s="35"/>
      <c r="Q13" s="35"/>
      <c r="R13" s="35"/>
      <c r="S13" s="35"/>
      <c r="T13" s="35"/>
      <c r="U13" s="35"/>
    </row>
    <row r="14" spans="1:32" ht="14.25">
      <c r="B14" s="35"/>
      <c r="C14" s="35"/>
      <c r="D14" s="35"/>
      <c r="E14" s="42" t="s">
        <v>48</v>
      </c>
      <c r="F14" s="35"/>
      <c r="H14" s="35"/>
      <c r="I14" s="35"/>
      <c r="J14" s="35"/>
      <c r="K14" s="35"/>
      <c r="L14" s="35"/>
      <c r="M14" s="35"/>
      <c r="N14" s="35"/>
      <c r="O14" s="35"/>
      <c r="P14" s="35"/>
      <c r="Q14" s="35"/>
      <c r="R14" s="35"/>
      <c r="S14" s="35"/>
      <c r="T14" s="35"/>
      <c r="U14" s="35"/>
    </row>
    <row r="15" spans="1:32" ht="15">
      <c r="B15" s="35"/>
      <c r="C15" s="41"/>
      <c r="D15" s="35"/>
      <c r="E15" s="42" t="s">
        <v>49</v>
      </c>
      <c r="F15" s="35"/>
      <c r="H15" s="35"/>
      <c r="I15" s="35"/>
      <c r="J15" s="35"/>
      <c r="K15" s="35"/>
      <c r="L15" s="35"/>
      <c r="M15" s="35"/>
      <c r="N15" s="35"/>
      <c r="O15" s="35"/>
      <c r="P15" s="35"/>
      <c r="Q15" s="35"/>
      <c r="R15" s="35"/>
      <c r="S15" s="35"/>
      <c r="T15" s="35"/>
      <c r="U15" s="35"/>
    </row>
    <row r="16" spans="1:32" ht="15">
      <c r="B16" s="35"/>
      <c r="C16" s="42"/>
      <c r="D16" s="35"/>
      <c r="E16" s="42" t="s">
        <v>50</v>
      </c>
      <c r="F16" s="41"/>
      <c r="H16" s="35"/>
      <c r="I16" s="35"/>
      <c r="J16" s="35"/>
      <c r="K16" s="35"/>
      <c r="L16" s="35"/>
      <c r="M16" s="35"/>
      <c r="N16" s="35"/>
      <c r="O16" s="35"/>
      <c r="P16" s="35"/>
      <c r="Q16" s="35"/>
      <c r="R16" s="35"/>
      <c r="S16" s="35"/>
      <c r="T16" s="35"/>
      <c r="U16" s="35"/>
    </row>
    <row r="17" spans="2:21" ht="14.25">
      <c r="B17" s="35"/>
      <c r="C17" s="42"/>
      <c r="D17" s="35"/>
      <c r="E17" s="42" t="s">
        <v>51</v>
      </c>
      <c r="F17" s="42"/>
      <c r="H17" s="35"/>
      <c r="I17" s="35"/>
      <c r="J17" s="35"/>
      <c r="K17" s="35"/>
      <c r="L17" s="35"/>
      <c r="M17" s="35"/>
      <c r="N17" s="35"/>
      <c r="O17" s="35"/>
      <c r="P17" s="35"/>
      <c r="Q17" s="35"/>
      <c r="R17" s="35"/>
      <c r="S17" s="35"/>
      <c r="T17" s="35"/>
      <c r="U17" s="35"/>
    </row>
    <row r="18" spans="2:21" ht="14.25">
      <c r="B18" s="35"/>
      <c r="C18" s="42"/>
      <c r="D18" s="35"/>
      <c r="E18" s="42" t="s">
        <v>52</v>
      </c>
      <c r="F18" s="42"/>
      <c r="H18" s="35"/>
      <c r="I18" s="35"/>
      <c r="J18" s="35"/>
      <c r="K18" s="35"/>
      <c r="L18" s="35"/>
      <c r="M18" s="35"/>
      <c r="N18" s="35"/>
      <c r="O18" s="35"/>
      <c r="P18" s="35"/>
      <c r="Q18" s="35"/>
      <c r="R18" s="35"/>
      <c r="S18" s="35"/>
      <c r="T18" s="35"/>
      <c r="U18" s="35"/>
    </row>
    <row r="19" spans="2:21" ht="14.25">
      <c r="B19" s="35"/>
      <c r="C19" s="42"/>
      <c r="D19" s="35"/>
      <c r="E19" s="42" t="s">
        <v>53</v>
      </c>
      <c r="F19" s="42"/>
      <c r="H19" s="35"/>
      <c r="I19" s="35"/>
      <c r="J19" s="35"/>
      <c r="K19" s="35"/>
      <c r="L19" s="35"/>
      <c r="M19" s="35"/>
      <c r="N19" s="35"/>
      <c r="O19" s="35"/>
      <c r="P19" s="35"/>
      <c r="Q19" s="35"/>
      <c r="R19" s="35"/>
      <c r="S19" s="35"/>
      <c r="T19" s="35"/>
      <c r="U19" s="35"/>
    </row>
    <row r="20" spans="2:21" ht="14.25">
      <c r="B20" s="35"/>
      <c r="C20" s="42"/>
      <c r="D20" s="35"/>
      <c r="E20" s="42" t="s">
        <v>54</v>
      </c>
      <c r="F20" s="42"/>
      <c r="H20" s="35"/>
      <c r="I20" s="35"/>
      <c r="J20" s="35"/>
      <c r="K20" s="35"/>
      <c r="L20" s="35"/>
      <c r="M20" s="35"/>
      <c r="N20" s="35"/>
      <c r="O20" s="35"/>
      <c r="P20" s="35"/>
      <c r="Q20" s="35"/>
      <c r="R20" s="35"/>
      <c r="S20" s="35"/>
      <c r="T20" s="35"/>
      <c r="U20" s="35"/>
    </row>
    <row r="21" spans="2:21" ht="14.25">
      <c r="B21" s="35"/>
      <c r="C21" s="35"/>
      <c r="D21" s="35"/>
      <c r="E21" s="35"/>
      <c r="F21" s="42"/>
      <c r="H21" s="35"/>
      <c r="I21" s="35"/>
      <c r="J21" s="35"/>
      <c r="K21" s="35"/>
      <c r="L21" s="35"/>
      <c r="M21" s="35"/>
      <c r="N21" s="35"/>
      <c r="O21" s="35"/>
      <c r="P21" s="35"/>
      <c r="Q21" s="35"/>
      <c r="R21" s="35"/>
      <c r="S21" s="35"/>
      <c r="T21" s="35"/>
      <c r="U21" s="35"/>
    </row>
    <row r="22" spans="2:21" ht="14.25">
      <c r="B22" s="35"/>
      <c r="C22" s="35"/>
      <c r="D22" s="35"/>
      <c r="E22" s="42"/>
      <c r="F22" s="42"/>
      <c r="H22" s="35"/>
      <c r="I22" s="35"/>
      <c r="J22" s="35"/>
      <c r="K22" s="35"/>
      <c r="L22" s="35"/>
      <c r="M22" s="35"/>
      <c r="N22" s="35"/>
      <c r="O22" s="35"/>
      <c r="P22" s="35"/>
      <c r="Q22" s="35"/>
      <c r="R22" s="35"/>
      <c r="S22" s="35"/>
      <c r="T22" s="35"/>
      <c r="U22" s="35"/>
    </row>
    <row r="23" spans="2:21" ht="14.25">
      <c r="B23" s="35"/>
      <c r="C23" s="35"/>
      <c r="D23" s="35"/>
      <c r="E23" s="35"/>
      <c r="F23" s="35"/>
      <c r="H23" s="35"/>
      <c r="I23" s="35"/>
      <c r="J23" s="35"/>
      <c r="K23" s="35"/>
      <c r="L23" s="35"/>
      <c r="M23" s="35"/>
      <c r="N23" s="35"/>
      <c r="O23" s="35"/>
      <c r="P23" s="35"/>
      <c r="Q23" s="35"/>
      <c r="R23" s="35"/>
      <c r="S23" s="35"/>
      <c r="T23" s="35"/>
      <c r="U23" s="35"/>
    </row>
    <row r="24" spans="2:21" ht="14.25">
      <c r="B24" s="35"/>
      <c r="C24" s="35"/>
      <c r="D24" s="35"/>
      <c r="E24" s="35"/>
      <c r="F24" s="35"/>
      <c r="H24" s="35"/>
      <c r="I24" s="35"/>
      <c r="J24" s="35"/>
      <c r="K24" s="35"/>
      <c r="L24" s="35"/>
      <c r="M24" s="35"/>
      <c r="N24" s="35"/>
      <c r="O24" s="35"/>
      <c r="P24" s="35"/>
      <c r="Q24" s="35"/>
      <c r="R24" s="35"/>
      <c r="S24" s="35"/>
      <c r="T24" s="35"/>
      <c r="U24" s="35"/>
    </row>
    <row r="25" spans="2:21" ht="14.25">
      <c r="B25" s="35"/>
      <c r="C25" s="35"/>
      <c r="D25" s="35"/>
      <c r="E25" s="35"/>
      <c r="F25" s="35"/>
      <c r="H25" s="35"/>
      <c r="I25" s="35"/>
      <c r="J25" s="35"/>
      <c r="K25" s="35"/>
      <c r="L25" s="35"/>
      <c r="M25" s="35"/>
      <c r="N25" s="35"/>
      <c r="O25" s="35"/>
      <c r="P25" s="35"/>
      <c r="Q25" s="35"/>
      <c r="R25" s="35"/>
      <c r="S25" s="35"/>
      <c r="T25" s="35"/>
      <c r="U25" s="35"/>
    </row>
    <row r="26" spans="2:21" ht="14.25">
      <c r="B26" s="35"/>
      <c r="C26" s="35"/>
      <c r="D26" s="35"/>
      <c r="E26" s="35"/>
      <c r="F26" s="35"/>
      <c r="H26" s="35"/>
      <c r="I26" s="35"/>
      <c r="J26" s="35"/>
      <c r="K26" s="35"/>
      <c r="L26" s="35"/>
      <c r="M26" s="35"/>
      <c r="N26" s="35"/>
      <c r="O26" s="35"/>
      <c r="P26" s="35"/>
      <c r="Q26" s="35"/>
      <c r="R26" s="35"/>
      <c r="S26" s="35"/>
      <c r="T26" s="35"/>
      <c r="U26" s="35"/>
    </row>
    <row r="27" spans="2:21" ht="45">
      <c r="B27" s="35"/>
      <c r="C27" s="35"/>
      <c r="D27" s="35"/>
      <c r="E27" s="35"/>
      <c r="F27" s="35"/>
      <c r="H27" s="35"/>
      <c r="I27" s="35"/>
      <c r="J27" s="44" t="s">
        <v>20</v>
      </c>
      <c r="K27" s="44" t="s">
        <v>25</v>
      </c>
      <c r="L27" s="44" t="s">
        <v>28</v>
      </c>
      <c r="M27" s="44" t="s">
        <v>31</v>
      </c>
      <c r="N27" s="44" t="s">
        <v>55</v>
      </c>
      <c r="O27" s="44" t="s">
        <v>33</v>
      </c>
      <c r="P27" s="44" t="s">
        <v>35</v>
      </c>
      <c r="Q27" s="44" t="s">
        <v>56</v>
      </c>
      <c r="R27" s="44" t="s">
        <v>36</v>
      </c>
      <c r="S27" s="44" t="s">
        <v>37</v>
      </c>
      <c r="T27" s="44" t="s">
        <v>38</v>
      </c>
      <c r="U27" s="45"/>
    </row>
    <row r="28" spans="2:21" ht="15">
      <c r="B28" s="35"/>
      <c r="C28" s="35"/>
      <c r="D28" s="35"/>
      <c r="E28" s="35"/>
      <c r="F28" s="35"/>
      <c r="H28" s="35"/>
      <c r="I28" s="40" t="s">
        <v>0</v>
      </c>
      <c r="J28" s="36">
        <f>COUNTIF(Detalhe!$L:$L,J27)</f>
        <v>41</v>
      </c>
      <c r="K28" s="36">
        <f>COUNTIF(Detalhe!$L:$L,K27)</f>
        <v>30</v>
      </c>
      <c r="L28" s="36">
        <f>COUNTIF(Detalhe!$L:$L,L27)</f>
        <v>2</v>
      </c>
      <c r="M28" s="36">
        <f>COUNTIF(Detalhe!$L:$L,M27)</f>
        <v>1</v>
      </c>
      <c r="N28" s="36">
        <f>COUNTIF(Detalhe!$L:$L,N27)</f>
        <v>15</v>
      </c>
      <c r="O28" s="36">
        <f>COUNTIF(Detalhe!$L:$L,O27)</f>
        <v>6</v>
      </c>
      <c r="P28" s="36">
        <f>COUNTIF(Detalhe!$L:$L,P27)</f>
        <v>5</v>
      </c>
      <c r="Q28" s="36">
        <f>COUNTIF(Detalhe!$L:$L,Q27)</f>
        <v>0</v>
      </c>
      <c r="R28" s="36">
        <f>COUNTIF(Detalhe!$L:$L,R27)</f>
        <v>45</v>
      </c>
      <c r="S28" s="36">
        <f>COUNTIF(Detalhe!$L:$L,S27)</f>
        <v>9</v>
      </c>
      <c r="T28" s="36">
        <f>COUNTIF(Detalhe!$L:$L,T27)</f>
        <v>249</v>
      </c>
      <c r="U28" s="46"/>
    </row>
    <row r="29" spans="2:21" ht="15">
      <c r="B29" s="35"/>
      <c r="C29" s="35"/>
      <c r="D29" s="35"/>
      <c r="E29" s="35"/>
      <c r="F29" s="35"/>
      <c r="H29" s="35"/>
      <c r="I29" s="40" t="s">
        <v>57</v>
      </c>
      <c r="J29" s="37">
        <f>COUNTIF(Detalhe!$F:$F,J27)</f>
        <v>74</v>
      </c>
      <c r="K29" s="37">
        <f>COUNTIF(Detalhe!$F:$F,K27)</f>
        <v>42</v>
      </c>
      <c r="L29" s="37">
        <f>COUNTIF(Detalhe!$F:$F,L27)</f>
        <v>17</v>
      </c>
      <c r="M29" s="37">
        <f>COUNTIF(Detalhe!$F:$F,M27)</f>
        <v>4</v>
      </c>
      <c r="N29" s="37">
        <f>COUNTIF(Detalhe!$F:$F,N27)</f>
        <v>0</v>
      </c>
      <c r="O29" s="37">
        <f>COUNTIF(Detalhe!$F:$F,O27)</f>
        <v>21</v>
      </c>
      <c r="P29" s="37">
        <f>COUNTIF(Detalhe!$F:$F,P27)</f>
        <v>17</v>
      </c>
      <c r="Q29" s="37">
        <f>COUNTIF(Detalhe!$F:$F,Q27)</f>
        <v>10</v>
      </c>
      <c r="R29" s="37">
        <f>COUNTIF(Detalhe!$F:$F,R27)</f>
        <v>57</v>
      </c>
      <c r="S29" s="37">
        <f>COUNTIF(Detalhe!$F:$F,S27)</f>
        <v>10</v>
      </c>
      <c r="T29" s="37">
        <f>COUNTIF(Detalhe!$F:$F,T27)</f>
        <v>151</v>
      </c>
      <c r="U29" s="47"/>
    </row>
    <row r="30" spans="2:21" ht="15">
      <c r="B30" s="35"/>
      <c r="C30" s="35"/>
      <c r="D30" s="35"/>
      <c r="E30" s="35"/>
      <c r="F30" s="35"/>
      <c r="H30" s="35"/>
      <c r="I30" s="40" t="s">
        <v>58</v>
      </c>
      <c r="J30" s="38" t="str" cm="1">
        <f t="array" ref="J30">_xlfn.IFS(J28&gt;J29, "↑",J28&lt;J29, "↓",J28=J29, "=")</f>
        <v>↓</v>
      </c>
      <c r="K30" s="39" t="str" cm="1">
        <f t="array" ref="K30">_xlfn.IFS(K28&gt;K29, "↑",K28&lt;K29, "↓",K28=K29, "=")</f>
        <v>↓</v>
      </c>
      <c r="L30" s="39" t="str" cm="1">
        <f t="array" ref="L30">_xlfn.IFS(L28&gt;L29, "↑",L28&lt;L29, "↓",L28=L29, "=")</f>
        <v>↓</v>
      </c>
      <c r="M30" s="39" t="str" cm="1">
        <f t="array" ref="M30">_xlfn.IFS(M28&gt;M29, "↑",M28&lt;M29, "↓",M28=M29, "=")</f>
        <v>↓</v>
      </c>
      <c r="N30" s="39" t="str" cm="1">
        <f t="array" ref="N30">_xlfn.IFS(N28&gt;N29, "↑",N28&lt;N29, "↓",N28=N29, "=")</f>
        <v>↑</v>
      </c>
      <c r="O30" s="39" t="str" cm="1">
        <f t="array" ref="O30">_xlfn.IFS(O28&gt;O29, "↑",O28&lt;O29, "↓",O28=O29, "=")</f>
        <v>↓</v>
      </c>
      <c r="P30" s="39" t="str" cm="1">
        <f t="array" ref="P30">_xlfn.IFS(P28&gt;P29, "↑",P28&lt;P29, "↓",P28=P29, "=")</f>
        <v>↓</v>
      </c>
      <c r="Q30" s="38" t="str" cm="1">
        <f t="array" ref="Q30">_xlfn.IFS(Q28&gt;Q29, "↑",Q28&lt;Q29, "↓",Q28=Q29, "=")</f>
        <v>↓</v>
      </c>
      <c r="R30" s="39" t="str" cm="1">
        <f t="array" ref="R30">_xlfn.IFS(R28&gt;R29, "↑",R28&lt;R29, "↓",R28=R29, "=")</f>
        <v>↓</v>
      </c>
      <c r="S30" s="38" t="str" cm="1">
        <f t="array" ref="S30">_xlfn.IFS(S28&gt;S29, "↑",S28&lt;S29, "↓",S28=S29, "=")</f>
        <v>↓</v>
      </c>
      <c r="T30" s="39" t="str" cm="1">
        <f t="array" ref="T30">_xlfn.IFS(T28&gt;T29, "↑",T28&lt;T29, "↓",T28=T29, "=")</f>
        <v>↑</v>
      </c>
      <c r="U30" s="47"/>
    </row>
    <row r="31" spans="2:21" ht="15">
      <c r="B31" s="35"/>
      <c r="C31" s="35"/>
      <c r="D31" s="35"/>
      <c r="E31" s="35"/>
      <c r="F31" s="35"/>
      <c r="H31" s="35"/>
      <c r="I31" s="40" t="s">
        <v>59</v>
      </c>
      <c r="J31" s="36">
        <f t="shared" ref="J31:T31" si="0">J28-J29</f>
        <v>-33</v>
      </c>
      <c r="K31" s="36">
        <f t="shared" si="0"/>
        <v>-12</v>
      </c>
      <c r="L31" s="36">
        <f t="shared" si="0"/>
        <v>-15</v>
      </c>
      <c r="M31" s="36">
        <f t="shared" si="0"/>
        <v>-3</v>
      </c>
      <c r="N31" s="36">
        <f>N28-N29</f>
        <v>15</v>
      </c>
      <c r="O31" s="36">
        <f t="shared" si="0"/>
        <v>-15</v>
      </c>
      <c r="P31" s="36">
        <f t="shared" si="0"/>
        <v>-12</v>
      </c>
      <c r="Q31" s="36">
        <f t="shared" ref="Q31" si="1">Q28-Q29</f>
        <v>-10</v>
      </c>
      <c r="R31" s="36">
        <f t="shared" si="0"/>
        <v>-12</v>
      </c>
      <c r="S31" s="36">
        <f t="shared" si="0"/>
        <v>-1</v>
      </c>
      <c r="T31" s="36">
        <f t="shared" si="0"/>
        <v>98</v>
      </c>
      <c r="U31" s="47"/>
    </row>
    <row r="32" spans="2:21" ht="14.25">
      <c r="B32" s="35"/>
      <c r="C32" s="35"/>
      <c r="D32" s="35"/>
      <c r="E32" s="35"/>
      <c r="F32" s="35"/>
      <c r="H32" s="35"/>
      <c r="I32" s="35"/>
      <c r="J32" s="35"/>
      <c r="K32" s="35"/>
      <c r="L32" s="35"/>
      <c r="M32" s="35"/>
      <c r="N32" s="35"/>
      <c r="O32" s="35"/>
      <c r="P32" s="35"/>
      <c r="Q32" s="35"/>
      <c r="R32" s="35"/>
      <c r="S32" s="35"/>
      <c r="T32" s="35"/>
      <c r="U32" s="35"/>
    </row>
    <row r="33" spans="1:13" ht="14.25"/>
    <row r="34" spans="1:13" ht="14.25">
      <c r="J34" t="s">
        <v>60</v>
      </c>
    </row>
    <row r="35" spans="1:13" ht="14.25" hidden="1">
      <c r="C35" s="15">
        <v>45555</v>
      </c>
    </row>
    <row r="36" spans="1:13" s="1" customFormat="1" ht="14.45" hidden="1" customHeight="1">
      <c r="A36"/>
      <c r="B36" s="20" t="s">
        <v>61</v>
      </c>
      <c r="C36" s="20"/>
      <c r="D36" s="20" t="s">
        <v>62</v>
      </c>
      <c r="E36" s="48"/>
      <c r="F36" s="48"/>
      <c r="G36" s="48"/>
      <c r="H36" s="48"/>
      <c r="I36" s="20" t="s">
        <v>63</v>
      </c>
      <c r="J36" s="48"/>
      <c r="K36" s="48"/>
      <c r="L36" s="48"/>
      <c r="M36" s="48"/>
    </row>
    <row r="37" spans="1:13" ht="14.45" hidden="1" customHeight="1">
      <c r="B37" s="167" t="s">
        <v>43</v>
      </c>
      <c r="C37" s="167"/>
      <c r="D37" s="49" t="s">
        <v>64</v>
      </c>
      <c r="E37" s="49"/>
      <c r="F37" s="49"/>
      <c r="G37" s="49"/>
      <c r="H37" s="49"/>
      <c r="I37" s="168" t="s">
        <v>65</v>
      </c>
      <c r="J37" s="168"/>
      <c r="K37" s="168"/>
      <c r="L37" s="168"/>
      <c r="M37" s="168"/>
    </row>
    <row r="38" spans="1:13" ht="14.45" hidden="1" customHeight="1">
      <c r="B38" s="167" t="s">
        <v>41</v>
      </c>
      <c r="C38" s="167"/>
      <c r="D38" t="s">
        <v>66</v>
      </c>
      <c r="I38" s="168" t="s">
        <v>65</v>
      </c>
      <c r="J38" s="168"/>
      <c r="K38" s="168"/>
      <c r="L38" s="168"/>
      <c r="M38" s="168"/>
    </row>
    <row r="39" spans="1:13" ht="14.45" hidden="1" customHeight="1">
      <c r="B39" s="167" t="s">
        <v>67</v>
      </c>
      <c r="C39" s="167"/>
      <c r="D39" t="s">
        <v>68</v>
      </c>
      <c r="E39" s="29"/>
      <c r="F39" s="29"/>
      <c r="G39" s="29"/>
      <c r="H39" s="29"/>
      <c r="I39" t="s">
        <v>69</v>
      </c>
    </row>
    <row r="40" spans="1:13" ht="14.45" hidden="1" customHeight="1">
      <c r="B40" s="167" t="s">
        <v>67</v>
      </c>
      <c r="C40" s="167"/>
      <c r="D40" t="s">
        <v>70</v>
      </c>
      <c r="I40" t="s">
        <v>71</v>
      </c>
    </row>
    <row r="41" spans="1:13" ht="14.45" hidden="1" customHeight="1">
      <c r="B41" s="167" t="s">
        <v>72</v>
      </c>
      <c r="C41" s="167"/>
      <c r="D41" t="s">
        <v>73</v>
      </c>
      <c r="I41" s="29" t="s">
        <v>74</v>
      </c>
    </row>
    <row r="42" spans="1:13" ht="14.45" hidden="1" customHeight="1">
      <c r="B42" s="167" t="s">
        <v>75</v>
      </c>
      <c r="C42" s="167"/>
      <c r="D42" t="s">
        <v>76</v>
      </c>
      <c r="I42" t="s">
        <v>77</v>
      </c>
    </row>
    <row r="43" spans="1:13" ht="14.45" hidden="1" customHeight="1">
      <c r="B43" s="167" t="s">
        <v>78</v>
      </c>
      <c r="C43" s="167"/>
      <c r="D43" t="s">
        <v>79</v>
      </c>
    </row>
    <row r="44" spans="1:13" ht="14.45" hidden="1" customHeight="1">
      <c r="B44" s="167" t="s">
        <v>78</v>
      </c>
      <c r="C44" s="167"/>
      <c r="D44" t="s">
        <v>80</v>
      </c>
    </row>
    <row r="45" spans="1:13" ht="14.45" hidden="1" customHeight="1">
      <c r="B45" s="167" t="s">
        <v>78</v>
      </c>
      <c r="C45" s="167"/>
      <c r="D45" t="s">
        <v>81</v>
      </c>
    </row>
    <row r="46" spans="1:13" ht="14.45" hidden="1" customHeight="1">
      <c r="B46" s="167" t="s">
        <v>78</v>
      </c>
      <c r="C46" s="167"/>
      <c r="D46" t="s">
        <v>82</v>
      </c>
    </row>
    <row r="47" spans="1:13" ht="14.45" hidden="1" customHeight="1">
      <c r="B47" s="167" t="s">
        <v>78</v>
      </c>
      <c r="C47" s="167"/>
      <c r="D47" t="s">
        <v>83</v>
      </c>
    </row>
    <row r="48" spans="1:13" ht="14.45" hidden="1" customHeight="1">
      <c r="B48" s="167"/>
      <c r="C48" s="167"/>
    </row>
    <row r="49" spans="2:10" ht="14.45" customHeight="1">
      <c r="B49" s="167"/>
      <c r="C49" s="167"/>
      <c r="J49" t="s">
        <v>84</v>
      </c>
    </row>
    <row r="50" spans="2:10" ht="14.45" customHeight="1">
      <c r="B50" s="167"/>
      <c r="C50" s="167"/>
      <c r="J50" t="s">
        <v>85</v>
      </c>
    </row>
    <row r="51" spans="2:10" ht="14.45" customHeight="1">
      <c r="B51" s="167"/>
      <c r="C51" s="167"/>
      <c r="J51" t="s">
        <v>86</v>
      </c>
    </row>
    <row r="52" spans="2:10" ht="14.45" customHeight="1">
      <c r="B52" s="167"/>
      <c r="C52" s="167"/>
      <c r="J52" t="s">
        <v>87</v>
      </c>
    </row>
    <row r="53" spans="2:10" ht="14.45" customHeight="1">
      <c r="B53" s="167"/>
      <c r="C53" s="167"/>
      <c r="J53" t="s">
        <v>88</v>
      </c>
    </row>
    <row r="54" spans="2:10" ht="14.45" customHeight="1">
      <c r="J54" t="s">
        <v>89</v>
      </c>
    </row>
  </sheetData>
  <mergeCells count="19">
    <mergeCell ref="B51:C51"/>
    <mergeCell ref="B52:C52"/>
    <mergeCell ref="B53:C53"/>
    <mergeCell ref="B44:C44"/>
    <mergeCell ref="B45:C45"/>
    <mergeCell ref="B46:C46"/>
    <mergeCell ref="B47:C47"/>
    <mergeCell ref="B48:C48"/>
    <mergeCell ref="B49:C49"/>
    <mergeCell ref="B43:C43"/>
    <mergeCell ref="B39:C39"/>
    <mergeCell ref="B40:C40"/>
    <mergeCell ref="B41:C41"/>
    <mergeCell ref="B50:C50"/>
    <mergeCell ref="B37:C37"/>
    <mergeCell ref="B38:C38"/>
    <mergeCell ref="I37:M37"/>
    <mergeCell ref="I38:M38"/>
    <mergeCell ref="B42:C4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26B2-CBFE-4450-8602-2EC5200FB855}">
  <dimension ref="B2:G14"/>
  <sheetViews>
    <sheetView workbookViewId="0">
      <selection activeCell="C2" sqref="C2"/>
    </sheetView>
  </sheetViews>
  <sheetFormatPr defaultRowHeight="14.25"/>
  <cols>
    <col min="2" max="2" width="29" bestFit="1" customWidth="1"/>
    <col min="3" max="3" width="11.125" bestFit="1" customWidth="1"/>
    <col min="5" max="5" width="10.5" bestFit="1" customWidth="1"/>
    <col min="6" max="6" width="13.625" customWidth="1"/>
    <col min="7" max="7" width="10.125" bestFit="1" customWidth="1"/>
    <col min="8" max="8" width="13.375" bestFit="1" customWidth="1"/>
  </cols>
  <sheetData>
    <row r="2" spans="2:7">
      <c r="B2" t="s">
        <v>90</v>
      </c>
      <c r="C2" t="s">
        <v>91</v>
      </c>
      <c r="E2" t="s">
        <v>0</v>
      </c>
      <c r="F2" t="s">
        <v>92</v>
      </c>
      <c r="G2" t="s">
        <v>59</v>
      </c>
    </row>
    <row r="3" spans="2:7">
      <c r="B3" t="s">
        <v>20</v>
      </c>
      <c r="C3">
        <f>COUNTIFS(Detalhe!F:F,B3,Detalhe!X:X,"PM")</f>
        <v>10</v>
      </c>
      <c r="D3" s="6">
        <f t="shared" ref="D3:D13" si="0">C3/$C$14</f>
        <v>3.8314176245210725E-2</v>
      </c>
      <c r="E3">
        <f>COUNTIFS(Detalhe!L:L,B3,Detalhe!X:X,"PM")</f>
        <v>8</v>
      </c>
      <c r="F3" s="6">
        <f t="shared" ref="F3:F13" si="1">E3/$E$14</f>
        <v>3.0651340996168581E-2</v>
      </c>
      <c r="G3">
        <f t="shared" ref="G3:G13" si="2">E3-C3</f>
        <v>-2</v>
      </c>
    </row>
    <row r="4" spans="2:7">
      <c r="B4" t="s">
        <v>25</v>
      </c>
      <c r="C4">
        <f>COUNTIFS(Detalhe!F:F,B4,Detalhe!X:X,"PM")</f>
        <v>18</v>
      </c>
      <c r="D4" s="6">
        <f t="shared" si="0"/>
        <v>6.8965517241379309E-2</v>
      </c>
      <c r="E4">
        <f>COUNTIFS(Detalhe!L:L,B4,Detalhe!X:X,"PM")</f>
        <v>17</v>
      </c>
      <c r="F4" s="6">
        <f t="shared" si="1"/>
        <v>6.5134099616858232E-2</v>
      </c>
      <c r="G4">
        <f t="shared" si="2"/>
        <v>-1</v>
      </c>
    </row>
    <row r="5" spans="2:7">
      <c r="B5" t="s">
        <v>28</v>
      </c>
      <c r="C5">
        <f>COUNTIFS(Detalhe!F:F,B5,Detalhe!X:X,"PM")</f>
        <v>11</v>
      </c>
      <c r="D5" s="6">
        <f t="shared" si="0"/>
        <v>4.2145593869731802E-2</v>
      </c>
      <c r="E5">
        <f>COUNTIFS(Detalhe!L:L,B5,Detalhe!X:X,"PM")</f>
        <v>2</v>
      </c>
      <c r="F5" s="6">
        <f t="shared" si="1"/>
        <v>7.6628352490421452E-3</v>
      </c>
      <c r="G5">
        <f t="shared" si="2"/>
        <v>-9</v>
      </c>
    </row>
    <row r="6" spans="2:7">
      <c r="B6" t="s">
        <v>31</v>
      </c>
      <c r="C6">
        <f>COUNTIFS(Detalhe!F:F,B6,Detalhe!X:X,"PM")</f>
        <v>4</v>
      </c>
      <c r="D6" s="6">
        <f t="shared" si="0"/>
        <v>1.532567049808429E-2</v>
      </c>
      <c r="E6">
        <f>COUNTIFS(Detalhe!L:L,B6,Detalhe!X:X,"PM")</f>
        <v>1</v>
      </c>
      <c r="F6" s="6">
        <f t="shared" si="1"/>
        <v>3.8314176245210726E-3</v>
      </c>
      <c r="G6">
        <f t="shared" si="2"/>
        <v>-3</v>
      </c>
    </row>
    <row r="7" spans="2:7">
      <c r="B7" t="s">
        <v>55</v>
      </c>
      <c r="C7">
        <f>COUNTIFS(Detalhe!F:F,B7,Detalhe!X:X,"PM")</f>
        <v>0</v>
      </c>
      <c r="D7" s="6">
        <f t="shared" si="0"/>
        <v>0</v>
      </c>
      <c r="E7">
        <f>COUNTIFS(Detalhe!L:L,B7,Detalhe!X:X,"PM")</f>
        <v>3</v>
      </c>
      <c r="F7" s="6">
        <f t="shared" si="1"/>
        <v>1.1494252873563218E-2</v>
      </c>
      <c r="G7">
        <f t="shared" si="2"/>
        <v>3</v>
      </c>
    </row>
    <row r="8" spans="2:7">
      <c r="B8" t="s">
        <v>33</v>
      </c>
      <c r="C8">
        <f>COUNTIFS(Detalhe!F:F,B8,Detalhe!X:X,"PM")</f>
        <v>11</v>
      </c>
      <c r="D8" s="6">
        <f t="shared" si="0"/>
        <v>4.2145593869731802E-2</v>
      </c>
      <c r="E8">
        <f>COUNTIFS(Detalhe!L:L,B8,Detalhe!X:X,"PM")</f>
        <v>6</v>
      </c>
      <c r="F8" s="6">
        <f t="shared" si="1"/>
        <v>2.2988505747126436E-2</v>
      </c>
      <c r="G8">
        <f t="shared" si="2"/>
        <v>-5</v>
      </c>
    </row>
    <row r="9" spans="2:7">
      <c r="B9" t="s">
        <v>35</v>
      </c>
      <c r="C9">
        <f>COUNTIFS(Detalhe!F:F,B9,Detalhe!X:X,"PM")</f>
        <v>11</v>
      </c>
      <c r="D9" s="6">
        <f t="shared" si="0"/>
        <v>4.2145593869731802E-2</v>
      </c>
      <c r="E9">
        <f>COUNTIFS(Detalhe!L:L,B9,Detalhe!X:X,"PM")</f>
        <v>3</v>
      </c>
      <c r="F9" s="6">
        <f t="shared" si="1"/>
        <v>1.1494252873563218E-2</v>
      </c>
      <c r="G9">
        <f t="shared" si="2"/>
        <v>-8</v>
      </c>
    </row>
    <row r="10" spans="2:7">
      <c r="B10" t="s">
        <v>56</v>
      </c>
      <c r="C10">
        <f>COUNTIFS(Detalhe!F:F,B10,Detalhe!X:X,"PM")</f>
        <v>0</v>
      </c>
      <c r="D10" s="6">
        <f t="shared" ref="D10" si="3">C10/$C$14</f>
        <v>0</v>
      </c>
      <c r="E10">
        <f>COUNTIFS(Detalhe!L:L,B10,Detalhe!X:X,"PM")</f>
        <v>0</v>
      </c>
      <c r="F10" s="6">
        <f t="shared" ref="F10" si="4">E10/$E$14</f>
        <v>0</v>
      </c>
      <c r="G10">
        <f t="shared" ref="G10" si="5">E10-C10</f>
        <v>0</v>
      </c>
    </row>
    <row r="11" spans="2:7">
      <c r="B11" t="s">
        <v>36</v>
      </c>
      <c r="C11">
        <f>COUNTIFS(Detalhe!F:F,B11,Detalhe!X:X,"PM")</f>
        <v>42</v>
      </c>
      <c r="D11" s="6">
        <f t="shared" si="0"/>
        <v>0.16091954022988506</v>
      </c>
      <c r="E11">
        <f>COUNTIFS(Detalhe!L:L,B11,Detalhe!X:X,"PM")</f>
        <v>43</v>
      </c>
      <c r="F11" s="6">
        <f t="shared" si="1"/>
        <v>0.16475095785440613</v>
      </c>
      <c r="G11">
        <f t="shared" si="2"/>
        <v>1</v>
      </c>
    </row>
    <row r="12" spans="2:7">
      <c r="B12" t="s">
        <v>37</v>
      </c>
      <c r="C12">
        <f>COUNTIFS(Detalhe!F:F,B12,Detalhe!X:X,"PM")</f>
        <v>7</v>
      </c>
      <c r="D12" s="6">
        <f t="shared" si="0"/>
        <v>2.681992337164751E-2</v>
      </c>
      <c r="E12">
        <f>COUNTIFS(Detalhe!L:L,B12,Detalhe!X:X,"PM")</f>
        <v>7</v>
      </c>
      <c r="F12" s="6">
        <f t="shared" si="1"/>
        <v>2.681992337164751E-2</v>
      </c>
      <c r="G12">
        <f t="shared" si="2"/>
        <v>0</v>
      </c>
    </row>
    <row r="13" spans="2:7">
      <c r="B13" t="s">
        <v>38</v>
      </c>
      <c r="C13">
        <f>COUNTIFS(Detalhe!F:F,B13,Detalhe!X:X,"PM")</f>
        <v>147</v>
      </c>
      <c r="D13" s="6">
        <f t="shared" si="0"/>
        <v>0.56321839080459768</v>
      </c>
      <c r="E13">
        <f>COUNTIFS(Detalhe!L:L,B13,Detalhe!X:X,"PM")</f>
        <v>171</v>
      </c>
      <c r="F13" s="6">
        <f t="shared" si="1"/>
        <v>0.65517241379310343</v>
      </c>
      <c r="G13">
        <f t="shared" si="2"/>
        <v>24</v>
      </c>
    </row>
    <row r="14" spans="2:7">
      <c r="C14">
        <f>SUM(C3:C13)</f>
        <v>261</v>
      </c>
      <c r="E14">
        <f>SUM(E3:E13)</f>
        <v>261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F3F0-FFBE-43CB-92FC-94D3DF7D83DD}">
  <dimension ref="A1:AH48"/>
  <sheetViews>
    <sheetView showGridLines="0" topLeftCell="D15" zoomScale="71" zoomScaleNormal="104" workbookViewId="0">
      <selection activeCell="T28" sqref="T28"/>
    </sheetView>
  </sheetViews>
  <sheetFormatPr defaultColWidth="0" defaultRowHeight="14.45" customHeight="1"/>
  <cols>
    <col min="1" max="1" width="3.375" customWidth="1"/>
    <col min="2" max="2" width="7.5" customWidth="1"/>
    <col min="3" max="3" width="22.625" customWidth="1"/>
    <col min="4" max="4" width="8.875" customWidth="1"/>
    <col min="5" max="5" width="24.125" customWidth="1"/>
    <col min="6" max="6" width="11.5" customWidth="1"/>
    <col min="7" max="7" width="5.625" customWidth="1"/>
    <col min="8" max="8" width="3.375" customWidth="1"/>
    <col min="9" max="9" width="36.625" bestFit="1" customWidth="1"/>
    <col min="10" max="20" width="19.875" customWidth="1"/>
    <col min="21" max="22" width="3.375" customWidth="1"/>
    <col min="23" max="23" width="13.5" hidden="1" customWidth="1"/>
    <col min="24" max="24" width="22.625" hidden="1" customWidth="1"/>
    <col min="25" max="25" width="18.125" hidden="1" customWidth="1"/>
    <col min="26" max="34" width="0" hidden="1" customWidth="1"/>
    <col min="35" max="16384" width="8.875" hidden="1"/>
  </cols>
  <sheetData>
    <row r="1" spans="1:32" ht="15" customHeight="1">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ht="14.25">
      <c r="B5" s="35"/>
      <c r="C5" s="35"/>
      <c r="D5" s="35"/>
      <c r="E5" s="35"/>
      <c r="F5" s="35"/>
      <c r="H5" s="35"/>
      <c r="I5" s="35"/>
      <c r="J5" s="35"/>
      <c r="K5" s="35"/>
      <c r="L5" s="35"/>
      <c r="M5" s="35"/>
      <c r="N5" s="35"/>
      <c r="O5" s="35"/>
      <c r="P5" s="35"/>
      <c r="Q5" s="35"/>
      <c r="R5" s="35"/>
      <c r="S5" s="35"/>
      <c r="T5" s="35"/>
      <c r="U5" s="35"/>
    </row>
    <row r="6" spans="1:32" ht="14.25">
      <c r="B6" s="35"/>
      <c r="C6" s="35"/>
      <c r="D6" s="35"/>
      <c r="E6" s="35"/>
      <c r="F6" s="35"/>
      <c r="H6" s="35"/>
      <c r="I6" s="35"/>
      <c r="J6" s="35"/>
      <c r="K6" s="35"/>
      <c r="L6" s="35"/>
      <c r="M6" s="35"/>
      <c r="N6" s="35"/>
      <c r="O6" s="35"/>
      <c r="P6" s="35"/>
      <c r="Q6" s="35"/>
      <c r="R6" s="35"/>
      <c r="S6" s="35"/>
      <c r="T6" s="35"/>
      <c r="U6" s="35"/>
    </row>
    <row r="7" spans="1:32" ht="14.25">
      <c r="B7" s="35"/>
      <c r="C7" s="35"/>
      <c r="D7" s="35"/>
      <c r="E7" s="35"/>
      <c r="F7" s="35"/>
      <c r="H7" s="35"/>
      <c r="I7" s="35"/>
      <c r="J7" s="35"/>
      <c r="K7" s="35"/>
      <c r="L7" s="35"/>
      <c r="M7" s="35"/>
      <c r="N7" s="35"/>
      <c r="O7" s="35"/>
      <c r="P7" s="35"/>
      <c r="Q7" s="35"/>
      <c r="R7" s="35"/>
      <c r="S7" s="35"/>
      <c r="T7" s="35"/>
      <c r="U7" s="35"/>
    </row>
    <row r="8" spans="1:32" ht="15">
      <c r="B8" s="41">
        <v>2</v>
      </c>
      <c r="C8" s="41" t="s">
        <v>40</v>
      </c>
      <c r="D8" s="41">
        <v>11</v>
      </c>
      <c r="E8" s="41" t="s">
        <v>40</v>
      </c>
      <c r="F8" s="41"/>
      <c r="H8" s="35"/>
      <c r="I8" s="35"/>
      <c r="J8" s="35"/>
      <c r="K8" s="35"/>
      <c r="L8" s="35"/>
      <c r="M8" s="35"/>
      <c r="N8" s="35"/>
      <c r="O8" s="35"/>
      <c r="P8" s="35"/>
      <c r="Q8" s="35"/>
      <c r="R8" s="35"/>
      <c r="S8" s="35"/>
      <c r="T8" s="35"/>
      <c r="U8" s="35"/>
    </row>
    <row r="9" spans="1:32" ht="15">
      <c r="B9" s="35"/>
      <c r="C9" s="42" t="s">
        <v>41</v>
      </c>
      <c r="D9" s="35"/>
      <c r="E9" s="41" t="s">
        <v>42</v>
      </c>
      <c r="F9" s="42"/>
      <c r="H9" s="35"/>
      <c r="I9" s="35"/>
      <c r="J9" s="35"/>
      <c r="K9" s="35"/>
      <c r="L9" s="35"/>
      <c r="M9" s="35"/>
      <c r="N9" s="35"/>
      <c r="O9" s="35"/>
      <c r="P9" s="35"/>
      <c r="Q9" s="35"/>
      <c r="R9" s="35"/>
      <c r="S9" s="35"/>
      <c r="T9" s="35"/>
      <c r="U9" s="35"/>
    </row>
    <row r="10" spans="1:32" ht="15">
      <c r="B10" s="41"/>
      <c r="C10" s="42" t="s">
        <v>43</v>
      </c>
      <c r="D10" s="35"/>
      <c r="E10" s="42" t="s">
        <v>44</v>
      </c>
      <c r="F10" s="42"/>
      <c r="H10" s="35"/>
      <c r="I10" s="35"/>
      <c r="J10" s="35"/>
      <c r="K10" s="35"/>
      <c r="L10" s="35"/>
      <c r="M10" s="35"/>
      <c r="N10" s="35"/>
      <c r="O10" s="35"/>
      <c r="P10" s="35"/>
      <c r="Q10" s="35"/>
      <c r="R10" s="35"/>
      <c r="S10" s="35"/>
      <c r="T10" s="35"/>
      <c r="U10" s="35"/>
    </row>
    <row r="11" spans="1:32" ht="14.25">
      <c r="B11" s="35"/>
      <c r="C11" s="42"/>
      <c r="D11" s="35"/>
      <c r="E11" s="42" t="s">
        <v>45</v>
      </c>
      <c r="F11" s="42"/>
      <c r="H11" s="35"/>
      <c r="I11" s="35"/>
      <c r="J11" s="35"/>
      <c r="K11" s="35"/>
      <c r="L11" s="35"/>
      <c r="M11" s="35"/>
      <c r="N11" s="35"/>
      <c r="O11" s="35"/>
      <c r="P11" s="35"/>
      <c r="Q11" s="35"/>
      <c r="R11" s="35"/>
      <c r="S11" s="35"/>
      <c r="T11" s="35"/>
      <c r="U11" s="35"/>
    </row>
    <row r="12" spans="1:32" ht="14.25">
      <c r="B12" s="35"/>
      <c r="C12" s="42"/>
      <c r="D12" s="35"/>
      <c r="E12" s="42" t="s">
        <v>46</v>
      </c>
      <c r="F12" s="35"/>
      <c r="H12" s="35"/>
      <c r="I12" s="35"/>
      <c r="J12" s="35"/>
      <c r="K12" s="35"/>
      <c r="L12" s="35"/>
      <c r="M12" s="35"/>
      <c r="N12" s="35"/>
      <c r="O12" s="35"/>
      <c r="P12" s="35"/>
      <c r="Q12" s="35"/>
      <c r="R12" s="35"/>
      <c r="S12" s="35"/>
      <c r="T12" s="35"/>
      <c r="U12" s="35"/>
    </row>
    <row r="13" spans="1:32" ht="14.25">
      <c r="B13" s="35"/>
      <c r="C13" s="35"/>
      <c r="D13" s="35"/>
      <c r="E13" s="42" t="s">
        <v>47</v>
      </c>
      <c r="F13" s="35"/>
      <c r="H13" s="35"/>
      <c r="I13" s="35"/>
      <c r="J13" s="35"/>
      <c r="K13" s="35"/>
      <c r="L13" s="35"/>
      <c r="M13" s="35"/>
      <c r="N13" s="35"/>
      <c r="O13" s="35"/>
      <c r="P13" s="35"/>
      <c r="Q13" s="35"/>
      <c r="R13" s="35"/>
      <c r="S13" s="35"/>
      <c r="T13" s="35"/>
      <c r="U13" s="35"/>
    </row>
    <row r="14" spans="1:32" ht="14.25">
      <c r="B14" s="35"/>
      <c r="C14" s="35"/>
      <c r="D14" s="35"/>
      <c r="E14" s="42" t="s">
        <v>48</v>
      </c>
      <c r="F14" s="35"/>
      <c r="H14" s="35"/>
      <c r="I14" s="35"/>
      <c r="J14" s="35"/>
      <c r="K14" s="35"/>
      <c r="L14" s="35"/>
      <c r="M14" s="35"/>
      <c r="N14" s="35"/>
      <c r="O14" s="35"/>
      <c r="P14" s="35"/>
      <c r="Q14" s="35"/>
      <c r="R14" s="35"/>
      <c r="S14" s="35"/>
      <c r="T14" s="35"/>
      <c r="U14" s="35"/>
    </row>
    <row r="15" spans="1:32" ht="15">
      <c r="B15" s="35"/>
      <c r="C15" s="41"/>
      <c r="D15" s="35"/>
      <c r="E15" s="42" t="s">
        <v>49</v>
      </c>
      <c r="F15" s="35"/>
      <c r="H15" s="35"/>
      <c r="I15" s="35"/>
      <c r="J15" s="35"/>
      <c r="K15" s="35"/>
      <c r="L15" s="35"/>
      <c r="M15" s="35"/>
      <c r="N15" s="35"/>
      <c r="O15" s="35"/>
      <c r="P15" s="35"/>
      <c r="Q15" s="35"/>
      <c r="R15" s="35"/>
      <c r="S15" s="35"/>
      <c r="T15" s="35"/>
      <c r="U15" s="35"/>
    </row>
    <row r="16" spans="1:32" ht="15">
      <c r="B16" s="35"/>
      <c r="C16" s="42"/>
      <c r="D16" s="35"/>
      <c r="E16" s="42" t="s">
        <v>50</v>
      </c>
      <c r="F16" s="41"/>
      <c r="H16" s="35"/>
      <c r="I16" s="35"/>
      <c r="J16" s="35"/>
      <c r="K16" s="35"/>
      <c r="L16" s="35"/>
      <c r="M16" s="35"/>
      <c r="N16" s="35"/>
      <c r="O16" s="35"/>
      <c r="P16" s="35"/>
      <c r="Q16" s="35"/>
      <c r="R16" s="35"/>
      <c r="S16" s="35"/>
      <c r="T16" s="35"/>
      <c r="U16" s="35"/>
    </row>
    <row r="17" spans="2:21" ht="14.25">
      <c r="B17" s="35"/>
      <c r="C17" s="42"/>
      <c r="D17" s="35"/>
      <c r="E17" s="42" t="s">
        <v>51</v>
      </c>
      <c r="F17" s="42"/>
      <c r="H17" s="35"/>
      <c r="I17" s="35"/>
      <c r="J17" s="35"/>
      <c r="K17" s="35"/>
      <c r="L17" s="35"/>
      <c r="M17" s="35"/>
      <c r="N17" s="35"/>
      <c r="O17" s="35"/>
      <c r="P17" s="35"/>
      <c r="Q17" s="35"/>
      <c r="R17" s="35"/>
      <c r="S17" s="35"/>
      <c r="T17" s="35"/>
      <c r="U17" s="35"/>
    </row>
    <row r="18" spans="2:21" ht="14.25">
      <c r="B18" s="35"/>
      <c r="C18" s="42"/>
      <c r="D18" s="35"/>
      <c r="E18" s="42" t="s">
        <v>52</v>
      </c>
      <c r="F18" s="42"/>
      <c r="H18" s="35"/>
      <c r="I18" s="35"/>
      <c r="J18" s="35"/>
      <c r="K18" s="35"/>
      <c r="L18" s="35"/>
      <c r="M18" s="35"/>
      <c r="N18" s="35"/>
      <c r="O18" s="35"/>
      <c r="P18" s="35"/>
      <c r="Q18" s="35"/>
      <c r="R18" s="35"/>
      <c r="S18" s="35"/>
      <c r="T18" s="35"/>
      <c r="U18" s="35"/>
    </row>
    <row r="19" spans="2:21" ht="14.25">
      <c r="B19" s="35"/>
      <c r="C19" s="42"/>
      <c r="D19" s="35"/>
      <c r="E19" s="42" t="s">
        <v>53</v>
      </c>
      <c r="F19" s="42"/>
      <c r="H19" s="35"/>
      <c r="I19" s="35"/>
      <c r="J19" s="35"/>
      <c r="K19" s="35"/>
      <c r="L19" s="35"/>
      <c r="M19" s="35"/>
      <c r="N19" s="35"/>
      <c r="O19" s="35"/>
      <c r="P19" s="35"/>
      <c r="Q19" s="35"/>
      <c r="R19" s="35"/>
      <c r="S19" s="35"/>
      <c r="T19" s="35"/>
      <c r="U19" s="35"/>
    </row>
    <row r="20" spans="2:21" ht="14.25">
      <c r="B20" s="35"/>
      <c r="C20" s="42"/>
      <c r="D20" s="35"/>
      <c r="E20" s="42" t="s">
        <v>54</v>
      </c>
      <c r="F20" s="42"/>
      <c r="H20" s="35"/>
      <c r="I20" s="35"/>
      <c r="J20" s="35"/>
      <c r="K20" s="35"/>
      <c r="L20" s="35"/>
      <c r="M20" s="35"/>
      <c r="N20" s="35"/>
      <c r="O20" s="35"/>
      <c r="P20" s="35"/>
      <c r="Q20" s="35"/>
      <c r="R20" s="35"/>
      <c r="S20" s="35"/>
      <c r="T20" s="35"/>
      <c r="U20" s="35"/>
    </row>
    <row r="21" spans="2:21" ht="14.25">
      <c r="B21" s="35"/>
      <c r="C21" s="35"/>
      <c r="D21" s="35"/>
      <c r="E21" s="35"/>
      <c r="F21" s="42"/>
      <c r="H21" s="35"/>
      <c r="I21" s="35"/>
      <c r="J21" s="35"/>
      <c r="K21" s="35"/>
      <c r="L21" s="35"/>
      <c r="M21" s="35"/>
      <c r="N21" s="35"/>
      <c r="O21" s="35"/>
      <c r="P21" s="35"/>
      <c r="Q21" s="35"/>
      <c r="R21" s="35"/>
      <c r="S21" s="35"/>
      <c r="T21" s="35"/>
      <c r="U21" s="35"/>
    </row>
    <row r="22" spans="2:21" ht="14.25">
      <c r="B22" s="35"/>
      <c r="C22" s="35"/>
      <c r="D22" s="35"/>
      <c r="E22" s="42"/>
      <c r="F22" s="42"/>
      <c r="H22" s="35"/>
      <c r="I22" s="35"/>
      <c r="J22" s="35"/>
      <c r="K22" s="35"/>
      <c r="L22" s="35"/>
      <c r="M22" s="35"/>
      <c r="N22" s="35"/>
      <c r="O22" s="35"/>
      <c r="P22" s="35"/>
      <c r="Q22" s="35"/>
      <c r="R22" s="35"/>
      <c r="S22" s="35"/>
      <c r="T22" s="35"/>
      <c r="U22" s="35"/>
    </row>
    <row r="23" spans="2:21" ht="14.25">
      <c r="B23" s="35"/>
      <c r="C23" s="35"/>
      <c r="D23" s="35"/>
      <c r="E23" s="35"/>
      <c r="F23" s="35"/>
      <c r="H23" s="35"/>
      <c r="I23" s="35"/>
      <c r="J23" s="35"/>
      <c r="K23" s="35"/>
      <c r="L23" s="35"/>
      <c r="M23" s="35"/>
      <c r="N23" s="35"/>
      <c r="O23" s="35"/>
      <c r="P23" s="35"/>
      <c r="Q23" s="35"/>
      <c r="R23" s="35"/>
      <c r="S23" s="35"/>
      <c r="T23" s="35"/>
      <c r="U23" s="35"/>
    </row>
    <row r="24" spans="2:21" ht="14.25">
      <c r="B24" s="35"/>
      <c r="C24" s="35"/>
      <c r="D24" s="35"/>
      <c r="E24" s="35"/>
      <c r="F24" s="35"/>
      <c r="H24" s="35"/>
      <c r="I24" s="35"/>
      <c r="J24" s="35"/>
      <c r="K24" s="35"/>
      <c r="L24" s="35"/>
      <c r="M24" s="35"/>
      <c r="N24" s="35"/>
      <c r="O24" s="35"/>
      <c r="P24" s="35"/>
      <c r="Q24" s="35"/>
      <c r="R24" s="35"/>
      <c r="S24" s="35"/>
      <c r="T24" s="35"/>
      <c r="U24" s="35"/>
    </row>
    <row r="25" spans="2:21" ht="14.25">
      <c r="B25" s="35"/>
      <c r="C25" s="35"/>
      <c r="D25" s="35"/>
      <c r="E25" s="35"/>
      <c r="F25" s="35"/>
      <c r="H25" s="35"/>
      <c r="I25" s="35"/>
      <c r="J25" s="35"/>
      <c r="K25" s="35"/>
      <c r="L25" s="35"/>
      <c r="M25" s="35"/>
      <c r="N25" s="35"/>
      <c r="O25" s="35"/>
      <c r="P25" s="35"/>
      <c r="Q25" s="35"/>
      <c r="R25" s="35"/>
      <c r="S25" s="35"/>
      <c r="T25" s="35"/>
      <c r="U25" s="35"/>
    </row>
    <row r="26" spans="2:21" ht="14.25">
      <c r="B26" s="35"/>
      <c r="C26" s="35"/>
      <c r="D26" s="35"/>
      <c r="E26" s="35"/>
      <c r="F26" s="35"/>
      <c r="H26" s="35"/>
      <c r="I26" s="35"/>
      <c r="J26" s="35"/>
      <c r="K26" s="35"/>
      <c r="L26" s="35"/>
      <c r="M26" s="35"/>
      <c r="N26" s="35"/>
      <c r="O26" s="35"/>
      <c r="P26" s="35"/>
      <c r="Q26" s="35"/>
      <c r="R26" s="35"/>
      <c r="S26" s="35"/>
      <c r="T26" s="35"/>
      <c r="U26" s="35"/>
    </row>
    <row r="27" spans="2:21" ht="45">
      <c r="B27" s="35"/>
      <c r="C27" s="35"/>
      <c r="D27" s="35"/>
      <c r="E27" s="35"/>
      <c r="F27" s="35"/>
      <c r="H27" s="35"/>
      <c r="I27" s="35"/>
      <c r="J27" s="44" t="s">
        <v>20</v>
      </c>
      <c r="K27" s="44" t="s">
        <v>25</v>
      </c>
      <c r="L27" s="44" t="s">
        <v>28</v>
      </c>
      <c r="M27" s="44" t="s">
        <v>31</v>
      </c>
      <c r="N27" s="44" t="s">
        <v>55</v>
      </c>
      <c r="O27" s="44" t="s">
        <v>33</v>
      </c>
      <c r="P27" s="44" t="s">
        <v>35</v>
      </c>
      <c r="Q27" s="44" t="s">
        <v>56</v>
      </c>
      <c r="R27" s="44" t="s">
        <v>36</v>
      </c>
      <c r="S27" s="44" t="s">
        <v>37</v>
      </c>
      <c r="T27" s="44" t="s">
        <v>38</v>
      </c>
      <c r="U27" s="45"/>
    </row>
    <row r="28" spans="2:21" ht="15">
      <c r="B28" s="35"/>
      <c r="C28" s="35"/>
      <c r="D28" s="35"/>
      <c r="E28" s="35"/>
      <c r="F28" s="35"/>
      <c r="H28" s="35"/>
      <c r="I28" s="40" t="s">
        <v>0</v>
      </c>
      <c r="J28" s="36">
        <f>COUNTIFS(Detalhe!$L:$L,J27,Detalhe!$X:$X,"PM")</f>
        <v>8</v>
      </c>
      <c r="K28" s="36">
        <f>COUNTIFS(Detalhe!$L:$L,K27,Detalhe!$X:$X,"PM")</f>
        <v>17</v>
      </c>
      <c r="L28" s="36">
        <f>COUNTIFS(Detalhe!$L:$L,L27,Detalhe!$X:$X,"PM")</f>
        <v>2</v>
      </c>
      <c r="M28" s="36">
        <f>COUNTIFS(Detalhe!$L:$L,M27,Detalhe!$X:$X,"PM")</f>
        <v>1</v>
      </c>
      <c r="N28" s="36">
        <f>COUNTIFS(Detalhe!$L:$L,N27,Detalhe!$X:$X,"PM")</f>
        <v>3</v>
      </c>
      <c r="O28" s="36">
        <f>COUNTIFS(Detalhe!$L:$L,O27,Detalhe!$X:$X,"PM")</f>
        <v>6</v>
      </c>
      <c r="P28" s="36">
        <f>COUNTIFS(Detalhe!$L:$L,P27,Detalhe!$X:$X,"PM")</f>
        <v>3</v>
      </c>
      <c r="Q28" s="36">
        <f>COUNTIFS(Detalhe!$L:$L,Q27,Detalhe!$X:$X,"PM")</f>
        <v>0</v>
      </c>
      <c r="R28" s="36">
        <f>COUNTIFS(Detalhe!$L:$L,R27,Detalhe!$X:$X,"PM")</f>
        <v>43</v>
      </c>
      <c r="S28" s="36">
        <f>COUNTIFS(Detalhe!$L:$L,S27,Detalhe!$X:$X,"PM")</f>
        <v>7</v>
      </c>
      <c r="T28" s="36">
        <f>COUNTIFS(Detalhe!$L:$L,T27,Detalhe!$X:$X,"PM")</f>
        <v>171</v>
      </c>
      <c r="U28" s="46"/>
    </row>
    <row r="29" spans="2:21" ht="15">
      <c r="B29" s="35"/>
      <c r="C29" s="35"/>
      <c r="D29" s="35"/>
      <c r="E29" s="35"/>
      <c r="F29" s="35"/>
      <c r="H29" s="35"/>
      <c r="I29" s="40" t="s">
        <v>57</v>
      </c>
      <c r="J29" s="37">
        <f>COUNTIFS(Detalhe!$F:$F,J27,Detalhe!$X:$X,"PM")</f>
        <v>10</v>
      </c>
      <c r="K29" s="37">
        <f>COUNTIFS(Detalhe!$F:$F,K27,Detalhe!$X:$X,"PM")</f>
        <v>18</v>
      </c>
      <c r="L29" s="37">
        <f>COUNTIFS(Detalhe!$F:$F,L27,Detalhe!$X:$X,"PM")</f>
        <v>11</v>
      </c>
      <c r="M29" s="37">
        <f>COUNTIFS(Detalhe!$F:$F,M27,Detalhe!$X:$X,"PM")</f>
        <v>4</v>
      </c>
      <c r="N29" s="37">
        <f>COUNTIFS(Detalhe!$F:$F,N27,Detalhe!$X:$X,"PM")</f>
        <v>0</v>
      </c>
      <c r="O29" s="37">
        <f>COUNTIFS(Detalhe!$F:$F,O27,Detalhe!$X:$X,"PM")</f>
        <v>11</v>
      </c>
      <c r="P29" s="37">
        <f>COUNTIFS(Detalhe!$F:$F,P27,Detalhe!$X:$X,"PM")</f>
        <v>11</v>
      </c>
      <c r="Q29" s="37">
        <f>COUNTIFS(Detalhe!$F:$F,Q27,Detalhe!$X:$X,"PM")</f>
        <v>0</v>
      </c>
      <c r="R29" s="37">
        <f>COUNTIFS(Detalhe!$F:$F,R27,Detalhe!$X:$X,"PM")</f>
        <v>42</v>
      </c>
      <c r="S29" s="37">
        <f>COUNTIFS(Detalhe!$F:$F,S27,Detalhe!$X:$X,"PM")</f>
        <v>7</v>
      </c>
      <c r="T29" s="37">
        <f>COUNTIFS(Detalhe!$F:$F,T27,Detalhe!$X:$X,"PM")</f>
        <v>147</v>
      </c>
      <c r="U29" s="47"/>
    </row>
    <row r="30" spans="2:21" ht="15">
      <c r="B30" s="35"/>
      <c r="C30" s="35"/>
      <c r="D30" s="35"/>
      <c r="E30" s="35"/>
      <c r="F30" s="35"/>
      <c r="H30" s="35"/>
      <c r="I30" s="40" t="s">
        <v>58</v>
      </c>
      <c r="J30" s="38" t="str" cm="1">
        <f t="array" ref="J30">_xlfn.IFS(J28&gt;J29, "↑",J28&lt;J29, "↓",J28=J29, "=")</f>
        <v>↓</v>
      </c>
      <c r="K30" s="39" t="str" cm="1">
        <f t="array" ref="K30">_xlfn.IFS(K28&gt;K29, "↑",K28&lt;K29, "↓",K28=K29, "=")</f>
        <v>↓</v>
      </c>
      <c r="L30" s="39" t="str" cm="1">
        <f t="array" ref="L30">_xlfn.IFS(L28&gt;L29, "↑",L28&lt;L29, "↓",L28=L29, "=")</f>
        <v>↓</v>
      </c>
      <c r="M30" s="39" t="str" cm="1">
        <f t="array" ref="M30">_xlfn.IFS(M28&gt;M29, "↑",M28&lt;M29, "↓",M28=M29, "=")</f>
        <v>↓</v>
      </c>
      <c r="N30" s="39" t="str" cm="1">
        <f t="array" ref="N30">_xlfn.IFS(N28&gt;N29, "↑",N28&lt;N29, "↓",N28=N29, "=")</f>
        <v>↑</v>
      </c>
      <c r="O30" s="39" t="str" cm="1">
        <f t="array" ref="O30">_xlfn.IFS(O28&gt;O29, "↑",O28&lt;O29, "↓",O28=O29, "=")</f>
        <v>↓</v>
      </c>
      <c r="P30" s="39" t="str" cm="1">
        <f t="array" ref="P30">_xlfn.IFS(P28&gt;P29, "↑",P28&lt;P29, "↓",P28=P29, "=")</f>
        <v>↓</v>
      </c>
      <c r="Q30" s="38" t="str" cm="1">
        <f t="array" ref="Q30">_xlfn.IFS(Q28&gt;Q29, "↑",Q28&lt;Q29, "↓",Q28=Q29, "=")</f>
        <v>=</v>
      </c>
      <c r="R30" s="39" t="str" cm="1">
        <f t="array" ref="R30">_xlfn.IFS(R28&gt;R29, "↑",R28&lt;R29, "↓",R28=R29, "=")</f>
        <v>↑</v>
      </c>
      <c r="S30" s="38" t="str" cm="1">
        <f t="array" ref="S30">_xlfn.IFS(S28&gt;S29, "↑",S28&lt;S29, "↓",S28=S29, "=")</f>
        <v>=</v>
      </c>
      <c r="T30" s="39" t="str" cm="1">
        <f t="array" ref="T30">_xlfn.IFS(T28&gt;T29, "↑",T28&lt;T29, "↓",T28=T29, "=")</f>
        <v>↑</v>
      </c>
      <c r="U30" s="47"/>
    </row>
    <row r="31" spans="2:21" ht="15">
      <c r="B31" s="35"/>
      <c r="C31" s="35"/>
      <c r="D31" s="35"/>
      <c r="E31" s="35"/>
      <c r="F31" s="35"/>
      <c r="H31" s="35"/>
      <c r="I31" s="40" t="s">
        <v>59</v>
      </c>
      <c r="J31" s="36">
        <f t="shared" ref="J31:T31" si="0">J28-J29</f>
        <v>-2</v>
      </c>
      <c r="K31" s="36">
        <f t="shared" si="0"/>
        <v>-1</v>
      </c>
      <c r="L31" s="36">
        <f t="shared" si="0"/>
        <v>-9</v>
      </c>
      <c r="M31" s="36">
        <f t="shared" si="0"/>
        <v>-3</v>
      </c>
      <c r="N31" s="36">
        <f>N28-N29</f>
        <v>3</v>
      </c>
      <c r="O31" s="36">
        <f t="shared" si="0"/>
        <v>-5</v>
      </c>
      <c r="P31" s="36">
        <f t="shared" si="0"/>
        <v>-8</v>
      </c>
      <c r="Q31" s="36">
        <f t="shared" si="0"/>
        <v>0</v>
      </c>
      <c r="R31" s="36">
        <f t="shared" si="0"/>
        <v>1</v>
      </c>
      <c r="S31" s="36">
        <f t="shared" si="0"/>
        <v>0</v>
      </c>
      <c r="T31" s="36">
        <f t="shared" si="0"/>
        <v>24</v>
      </c>
      <c r="U31" s="47"/>
    </row>
    <row r="32" spans="2:21" ht="14.25">
      <c r="B32" s="35"/>
      <c r="C32" s="35"/>
      <c r="D32" s="35"/>
      <c r="E32" s="35"/>
      <c r="F32" s="35"/>
      <c r="H32" s="35"/>
      <c r="I32" s="35"/>
      <c r="J32" s="35"/>
      <c r="K32" s="35"/>
      <c r="L32" s="35"/>
      <c r="M32" s="35"/>
      <c r="N32" s="35"/>
      <c r="O32" s="35"/>
      <c r="P32" s="35"/>
      <c r="Q32" s="35"/>
      <c r="R32" s="35"/>
      <c r="S32" s="35"/>
      <c r="T32" s="35"/>
      <c r="U32" s="35"/>
    </row>
    <row r="33" spans="2:21" ht="14.25"/>
    <row r="34" spans="2:21" ht="14.25">
      <c r="H34" s="35"/>
      <c r="I34" s="35"/>
      <c r="J34" s="35"/>
      <c r="K34" s="35"/>
      <c r="L34" s="35"/>
      <c r="M34" s="35"/>
      <c r="N34" s="35"/>
      <c r="O34" s="35"/>
      <c r="P34" s="35"/>
      <c r="Q34" s="35"/>
      <c r="R34" s="35"/>
      <c r="S34" s="35"/>
      <c r="T34" s="35"/>
      <c r="U34" s="35"/>
    </row>
    <row r="35" spans="2:21" ht="14.45" customHeight="1">
      <c r="H35" s="35"/>
      <c r="I35" s="51" t="s">
        <v>93</v>
      </c>
      <c r="J35" s="35"/>
      <c r="K35" s="35"/>
      <c r="L35" s="35"/>
      <c r="M35" s="35"/>
      <c r="N35" s="35"/>
      <c r="O35" s="35"/>
      <c r="P35" s="35"/>
      <c r="Q35" s="35"/>
      <c r="R35" s="35"/>
      <c r="S35" s="35"/>
      <c r="T35" s="35"/>
      <c r="U35" s="35"/>
    </row>
    <row r="36" spans="2:21" ht="14.45" customHeight="1">
      <c r="B36" s="167"/>
      <c r="C36" s="167"/>
      <c r="H36" s="35"/>
      <c r="I36" s="35"/>
      <c r="J36" s="35"/>
      <c r="K36" s="35"/>
      <c r="L36" s="35"/>
      <c r="M36" s="35"/>
      <c r="N36" s="35"/>
      <c r="O36" s="35"/>
      <c r="P36" s="35"/>
      <c r="Q36" s="35"/>
      <c r="R36" s="35"/>
      <c r="S36" s="35"/>
      <c r="T36" s="35"/>
      <c r="U36" s="35"/>
    </row>
    <row r="37" spans="2:21" ht="14.45" customHeight="1">
      <c r="B37" s="167"/>
      <c r="C37" s="167"/>
      <c r="H37" s="35"/>
      <c r="I37" s="52" t="s">
        <v>20</v>
      </c>
      <c r="J37" s="58" t="s">
        <v>94</v>
      </c>
      <c r="K37" s="59"/>
      <c r="L37" s="59"/>
      <c r="M37" s="59"/>
      <c r="N37" s="59"/>
      <c r="O37" s="59"/>
      <c r="P37" s="59"/>
      <c r="Q37" s="59"/>
      <c r="R37" s="59"/>
      <c r="S37" s="59"/>
      <c r="T37" s="55"/>
      <c r="U37" s="35"/>
    </row>
    <row r="38" spans="2:21" ht="14.45" customHeight="1">
      <c r="B38" s="167"/>
      <c r="C38" s="167"/>
      <c r="H38" s="35"/>
      <c r="I38" s="52" t="s">
        <v>25</v>
      </c>
      <c r="J38" s="54" t="s">
        <v>95</v>
      </c>
      <c r="K38" s="60"/>
      <c r="L38" s="60"/>
      <c r="M38" s="60"/>
      <c r="N38" s="60"/>
      <c r="O38" s="60"/>
      <c r="P38" s="60"/>
      <c r="Q38" s="60"/>
      <c r="R38" s="60"/>
      <c r="S38" s="60"/>
      <c r="T38" s="61"/>
      <c r="U38" s="35"/>
    </row>
    <row r="39" spans="2:21" ht="14.45" customHeight="1">
      <c r="B39" s="167"/>
      <c r="C39" s="167"/>
      <c r="H39" s="35"/>
      <c r="I39" s="52" t="s">
        <v>28</v>
      </c>
      <c r="J39" s="54" t="s">
        <v>96</v>
      </c>
      <c r="K39" s="60"/>
      <c r="L39" s="60"/>
      <c r="M39" s="60"/>
      <c r="N39" s="60"/>
      <c r="O39" s="60"/>
      <c r="P39" s="60"/>
      <c r="Q39" s="60"/>
      <c r="R39" s="60"/>
      <c r="S39" s="60"/>
      <c r="T39" s="61"/>
      <c r="U39" s="35"/>
    </row>
    <row r="40" spans="2:21" ht="14.45" customHeight="1">
      <c r="B40" s="167"/>
      <c r="C40" s="167"/>
      <c r="H40" s="35"/>
      <c r="I40" s="52" t="s">
        <v>31</v>
      </c>
      <c r="J40" s="54" t="s">
        <v>97</v>
      </c>
      <c r="K40" s="60"/>
      <c r="L40" s="60"/>
      <c r="M40" s="60"/>
      <c r="N40" s="60"/>
      <c r="O40" s="60"/>
      <c r="P40" s="60"/>
      <c r="Q40" s="60"/>
      <c r="R40" s="60"/>
      <c r="S40" s="60"/>
      <c r="T40" s="61"/>
      <c r="U40" s="35"/>
    </row>
    <row r="41" spans="2:21" ht="14.45" customHeight="1">
      <c r="H41" s="35"/>
      <c r="I41" s="52" t="s">
        <v>55</v>
      </c>
      <c r="J41" s="54" t="s">
        <v>98</v>
      </c>
      <c r="K41" s="60"/>
      <c r="L41" s="60"/>
      <c r="M41" s="60"/>
      <c r="N41" s="60"/>
      <c r="O41" s="60"/>
      <c r="P41" s="60"/>
      <c r="Q41" s="60"/>
      <c r="R41" s="60"/>
      <c r="S41" s="60"/>
      <c r="T41" s="61"/>
      <c r="U41" s="35"/>
    </row>
    <row r="42" spans="2:21" ht="14.45" customHeight="1">
      <c r="H42" s="35"/>
      <c r="I42" s="52" t="s">
        <v>33</v>
      </c>
      <c r="J42" s="63" t="s">
        <v>99</v>
      </c>
      <c r="K42" s="60"/>
      <c r="L42" s="60"/>
      <c r="M42" s="60"/>
      <c r="N42" s="60"/>
      <c r="O42" s="60"/>
      <c r="P42" s="60"/>
      <c r="Q42" s="60"/>
      <c r="R42" s="60"/>
      <c r="S42" s="60"/>
      <c r="T42" s="61"/>
      <c r="U42" s="35"/>
    </row>
    <row r="43" spans="2:21" ht="14.45" customHeight="1">
      <c r="H43" s="35"/>
      <c r="I43" s="52" t="s">
        <v>35</v>
      </c>
      <c r="J43" s="63" t="s">
        <v>100</v>
      </c>
      <c r="K43" s="60"/>
      <c r="L43" s="60"/>
      <c r="M43" s="60"/>
      <c r="N43" s="60"/>
      <c r="O43" s="60"/>
      <c r="P43" s="60"/>
      <c r="Q43" s="60"/>
      <c r="R43" s="60"/>
      <c r="S43" s="60"/>
      <c r="T43" s="61"/>
      <c r="U43" s="35"/>
    </row>
    <row r="44" spans="2:21" ht="14.45" customHeight="1">
      <c r="H44" s="35"/>
      <c r="I44" s="62" t="s">
        <v>56</v>
      </c>
      <c r="J44" s="54" t="s">
        <v>101</v>
      </c>
      <c r="K44" s="60"/>
      <c r="L44" s="60"/>
      <c r="M44" s="60"/>
      <c r="N44" s="60"/>
      <c r="O44" s="60"/>
      <c r="P44" s="60"/>
      <c r="Q44" s="60"/>
      <c r="R44" s="60"/>
      <c r="S44" s="60"/>
      <c r="T44" s="61"/>
      <c r="U44" s="35"/>
    </row>
    <row r="45" spans="2:21" ht="14.45" customHeight="1">
      <c r="H45" s="35"/>
      <c r="I45" s="52" t="s">
        <v>36</v>
      </c>
      <c r="J45" s="54" t="s">
        <v>102</v>
      </c>
      <c r="K45" s="60"/>
      <c r="L45" s="60"/>
      <c r="M45" s="60"/>
      <c r="N45" s="60"/>
      <c r="O45" s="60"/>
      <c r="P45" s="60"/>
      <c r="Q45" s="60"/>
      <c r="R45" s="60"/>
      <c r="S45" s="60"/>
      <c r="T45" s="61"/>
      <c r="U45" s="35"/>
    </row>
    <row r="46" spans="2:21" ht="14.45" customHeight="1">
      <c r="H46" s="35"/>
      <c r="I46" s="52" t="s">
        <v>37</v>
      </c>
      <c r="J46" s="54" t="s">
        <v>103</v>
      </c>
      <c r="K46" s="60"/>
      <c r="L46" s="60"/>
      <c r="M46" s="60"/>
      <c r="N46" s="60"/>
      <c r="O46" s="60"/>
      <c r="P46" s="60"/>
      <c r="Q46" s="60"/>
      <c r="R46" s="60"/>
      <c r="S46" s="60"/>
      <c r="T46" s="61"/>
      <c r="U46" s="35"/>
    </row>
    <row r="47" spans="2:21" ht="14.45" customHeight="1">
      <c r="H47" s="35"/>
      <c r="I47" s="52" t="s">
        <v>38</v>
      </c>
      <c r="J47" s="56" t="s">
        <v>104</v>
      </c>
      <c r="K47" s="53"/>
      <c r="L47" s="53"/>
      <c r="M47" s="53"/>
      <c r="N47" s="53"/>
      <c r="O47" s="53"/>
      <c r="P47" s="53"/>
      <c r="Q47" s="53"/>
      <c r="R47" s="53"/>
      <c r="S47" s="53"/>
      <c r="T47" s="57"/>
      <c r="U47" s="35"/>
    </row>
    <row r="48" spans="2:21" ht="14.45" customHeight="1">
      <c r="H48" s="35"/>
      <c r="I48" s="35"/>
      <c r="J48" s="35"/>
      <c r="K48" s="35"/>
      <c r="L48" s="35"/>
      <c r="M48" s="35"/>
      <c r="N48" s="35"/>
      <c r="O48" s="35"/>
      <c r="P48" s="35"/>
      <c r="Q48" s="35"/>
      <c r="R48" s="35"/>
      <c r="S48" s="35"/>
      <c r="T48" s="35"/>
      <c r="U48" s="35"/>
    </row>
  </sheetData>
  <mergeCells count="5">
    <mergeCell ref="B40:C40"/>
    <mergeCell ref="B36:C36"/>
    <mergeCell ref="B37:C37"/>
    <mergeCell ref="B38:C38"/>
    <mergeCell ref="B39:C3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Y408"/>
  <sheetViews>
    <sheetView showGridLines="0" tabSelected="1" zoomScale="90" zoomScaleNormal="90" workbookViewId="0">
      <pane xSplit="4" ySplit="5" topLeftCell="E6" activePane="bottomRight" state="frozen"/>
      <selection pane="topRight" activeCell="D1" sqref="D1"/>
      <selection pane="bottomLeft" activeCell="A6" sqref="A6"/>
      <selection pane="bottomRight" activeCell="D5" sqref="D5"/>
    </sheetView>
  </sheetViews>
  <sheetFormatPr defaultRowHeight="14.25" outlineLevelCol="1"/>
  <cols>
    <col min="1" max="2" width="2.625" customWidth="1"/>
    <col min="3" max="3" width="17.5" bestFit="1" customWidth="1"/>
    <col min="4" max="4" width="36.375" customWidth="1"/>
    <col min="5" max="5" width="10.625" customWidth="1"/>
    <col min="6" max="6" width="30.625" bestFit="1" customWidth="1"/>
    <col min="7" max="7" width="27.5" bestFit="1" customWidth="1"/>
    <col min="8" max="9" width="50.625" customWidth="1" outlineLevel="1"/>
    <col min="10" max="10" width="15" bestFit="1" customWidth="1"/>
    <col min="11" max="11" width="24.625" bestFit="1" customWidth="1"/>
    <col min="12" max="12" width="30.625" bestFit="1" customWidth="1"/>
    <col min="13" max="13" width="22.5" customWidth="1"/>
    <col min="14" max="14" width="12.375" bestFit="1" customWidth="1"/>
    <col min="15" max="15" width="12.375" customWidth="1"/>
    <col min="16" max="16" width="15.125" customWidth="1"/>
    <col min="17" max="17" width="13.5" hidden="1" customWidth="1"/>
    <col min="18" max="18" width="22.625" bestFit="1" customWidth="1"/>
    <col min="19" max="19" width="16.375" bestFit="1" customWidth="1"/>
    <col min="20" max="20" width="11.375" bestFit="1" customWidth="1"/>
    <col min="21" max="21" width="12.875" bestFit="1" customWidth="1"/>
    <col min="22" max="22" width="9.375" bestFit="1" customWidth="1"/>
    <col min="23" max="23" width="16.625" bestFit="1" customWidth="1"/>
    <col min="24" max="24" width="13.875" bestFit="1" customWidth="1"/>
    <col min="25" max="25" width="65" bestFit="1" customWidth="1"/>
  </cols>
  <sheetData>
    <row r="2" spans="1:25">
      <c r="D2" s="10" t="s">
        <v>105</v>
      </c>
    </row>
    <row r="3" spans="1:25">
      <c r="D3" s="11" t="s">
        <v>106</v>
      </c>
    </row>
    <row r="5" spans="1:25" s="2" customFormat="1" ht="30">
      <c r="C5" s="20" t="s">
        <v>107</v>
      </c>
      <c r="D5" s="20" t="s">
        <v>108</v>
      </c>
      <c r="E5" s="20" t="s">
        <v>109</v>
      </c>
      <c r="F5" s="8" t="s">
        <v>110</v>
      </c>
      <c r="G5" s="8" t="s">
        <v>111</v>
      </c>
      <c r="H5" s="8" t="s">
        <v>112</v>
      </c>
      <c r="I5" s="8" t="s">
        <v>113</v>
      </c>
      <c r="J5" s="16" t="s">
        <v>114</v>
      </c>
      <c r="K5" s="16" t="s">
        <v>115</v>
      </c>
      <c r="L5" s="16" t="s">
        <v>0</v>
      </c>
      <c r="M5" s="19" t="s">
        <v>116</v>
      </c>
      <c r="N5" s="16" t="s">
        <v>117</v>
      </c>
      <c r="O5" s="19" t="s">
        <v>118</v>
      </c>
      <c r="P5" s="19" t="s">
        <v>119</v>
      </c>
      <c r="Q5" s="21" t="s">
        <v>120</v>
      </c>
      <c r="R5" s="20" t="s">
        <v>121</v>
      </c>
      <c r="S5" s="20" t="s">
        <v>122</v>
      </c>
      <c r="T5" s="20" t="s">
        <v>123</v>
      </c>
      <c r="U5" s="20" t="s">
        <v>124</v>
      </c>
      <c r="V5" s="20" t="s">
        <v>125</v>
      </c>
      <c r="W5" s="20" t="s">
        <v>126</v>
      </c>
      <c r="X5" s="20" t="s">
        <v>4</v>
      </c>
      <c r="Y5" s="20" t="s">
        <v>5007</v>
      </c>
    </row>
    <row r="6" spans="1:25" ht="15">
      <c r="A6" s="50" t="str">
        <f>C6&amp;"_"&amp;D6</f>
        <v>INSTRUMENT_ACCMLTD_CHNGS_FV_CR_INSTRMNT</v>
      </c>
      <c r="B6" s="50"/>
      <c r="C6" t="s">
        <v>127</v>
      </c>
      <c r="D6" t="s">
        <v>128</v>
      </c>
      <c r="E6" t="s">
        <v>14</v>
      </c>
      <c r="F6" t="s">
        <v>38</v>
      </c>
      <c r="G6" t="s">
        <v>129</v>
      </c>
      <c r="H6" t="s">
        <v>130</v>
      </c>
      <c r="J6" t="s">
        <v>26</v>
      </c>
      <c r="K6" s="15">
        <v>45450</v>
      </c>
      <c r="L6" t="s">
        <v>38</v>
      </c>
      <c r="M6" t="str">
        <f>IF(COUNTIFS(PRO_LT_SCORECARD_FLEX_VALIDATIO!$K:$K, _xlfn.CONCAT(C6,D6), PRO_LT_SCORECARD_FLEX_VALIDATIO!$G:$G, "KO") &gt; 0, "NOK", "OK")</f>
        <v>OK</v>
      </c>
      <c r="Q6" t="s">
        <v>30</v>
      </c>
      <c r="R6" t="s">
        <v>131</v>
      </c>
      <c r="S6" t="s">
        <v>131</v>
      </c>
      <c r="T6" t="s">
        <v>131</v>
      </c>
      <c r="U6" t="s">
        <v>132</v>
      </c>
      <c r="V6" t="s">
        <v>132</v>
      </c>
      <c r="W6" t="s">
        <v>132</v>
      </c>
      <c r="X6" t="s">
        <v>5</v>
      </c>
      <c r="Y6">
        <f>_xlfn.IFNA(_xlfn.XLOOKUP(D6,[1]Especificação!$G:$G,[1]Especificação!$C:$C),0)</f>
        <v>0</v>
      </c>
    </row>
    <row r="7" spans="1:25" ht="15">
      <c r="A7" s="50" t="str">
        <f t="shared" ref="A7:A69" si="0">C7&amp;"_"&amp;D7</f>
        <v>INSTRUMENT_ACCMLTD_IMPRMNT_INSTRMNT</v>
      </c>
      <c r="B7" s="50"/>
      <c r="C7" t="s">
        <v>127</v>
      </c>
      <c r="D7" t="s">
        <v>133</v>
      </c>
      <c r="E7" t="s">
        <v>14</v>
      </c>
      <c r="F7" t="s">
        <v>38</v>
      </c>
      <c r="G7" t="s">
        <v>129</v>
      </c>
      <c r="H7" t="s">
        <v>130</v>
      </c>
      <c r="J7" t="s">
        <v>26</v>
      </c>
      <c r="K7" s="15">
        <v>45450</v>
      </c>
      <c r="L7" t="s">
        <v>38</v>
      </c>
      <c r="M7" t="str">
        <f>IF(COUNTIFS(PRO_LT_SCORECARD_FLEX_VALIDATIO!$K:$K, _xlfn.CONCAT(C7,D7), PRO_LT_SCORECARD_FLEX_VALIDATIO!$G:$G, "KO") &gt; 0, "NOK", "OK")</f>
        <v>NOK</v>
      </c>
      <c r="Q7" t="s">
        <v>30</v>
      </c>
      <c r="R7" t="s">
        <v>131</v>
      </c>
      <c r="S7" t="s">
        <v>131</v>
      </c>
      <c r="T7" t="s">
        <v>131</v>
      </c>
      <c r="U7" t="s">
        <v>132</v>
      </c>
      <c r="V7" t="s">
        <v>132</v>
      </c>
      <c r="W7" t="s">
        <v>131</v>
      </c>
      <c r="X7" t="s">
        <v>5</v>
      </c>
      <c r="Y7" t="str">
        <f>_xlfn.IFNA(_xlfn.XLOOKUP(D7,[1]Especificação!$G:$G,[1]Especificação!$C:$C),0)</f>
        <v>F1. Fora âmbito | Campos concluídos - Sem necessidade de espec.</v>
      </c>
    </row>
    <row r="8" spans="1:25" ht="15">
      <c r="A8" s="50" t="str">
        <f t="shared" si="0"/>
        <v>INSTRUMENT_ACCMLTD_IMPRMNT_INSTRMNT_PRVS</v>
      </c>
      <c r="B8" s="50"/>
      <c r="C8" t="s">
        <v>127</v>
      </c>
      <c r="D8" s="10" t="s">
        <v>134</v>
      </c>
      <c r="E8" t="s">
        <v>14</v>
      </c>
      <c r="F8" t="s">
        <v>35</v>
      </c>
      <c r="G8" t="s">
        <v>129</v>
      </c>
      <c r="H8" s="86" t="s">
        <v>135</v>
      </c>
      <c r="J8" t="s">
        <v>32</v>
      </c>
      <c r="K8" s="15">
        <v>45952</v>
      </c>
      <c r="L8" t="s">
        <v>36</v>
      </c>
      <c r="M8" t="str">
        <f>IF(COUNTIFS(PRO_LT_SCORECARD_FLEX_VALIDATIO!$K:$K, _xlfn.CONCAT(C8,D8), PRO_LT_SCORECARD_FLEX_VALIDATIO!$G:$G, "KO") &gt; 0, "NOK", "OK")</f>
        <v>NOK</v>
      </c>
      <c r="N8" t="s">
        <v>1258</v>
      </c>
      <c r="O8" s="15"/>
      <c r="P8" s="15">
        <v>45952</v>
      </c>
      <c r="Q8" t="s">
        <v>24</v>
      </c>
      <c r="R8" t="s">
        <v>131</v>
      </c>
      <c r="S8" t="s">
        <v>132</v>
      </c>
      <c r="T8" t="s">
        <v>132</v>
      </c>
      <c r="U8" t="s">
        <v>132</v>
      </c>
      <c r="V8" t="s">
        <v>132</v>
      </c>
      <c r="W8" t="s">
        <v>131</v>
      </c>
      <c r="X8" t="s">
        <v>136</v>
      </c>
      <c r="Y8" t="str">
        <f>_xlfn.IFNA(_xlfn.XLOOKUP(D8,[1]Especificação!$G:$G,[1]Especificação!$C:$C),0)</f>
        <v>C. Campos em testes ou c/ incidências</v>
      </c>
    </row>
    <row r="9" spans="1:25" ht="15">
      <c r="A9" s="50" t="str">
        <f t="shared" si="0"/>
        <v>INSTRUMENT_ACCMLTD_WRTFFS_INSTRMNT</v>
      </c>
      <c r="B9" s="50"/>
      <c r="C9" t="s">
        <v>127</v>
      </c>
      <c r="D9" t="s">
        <v>137</v>
      </c>
      <c r="E9" t="s">
        <v>14</v>
      </c>
      <c r="F9" t="s">
        <v>38</v>
      </c>
      <c r="G9" t="s">
        <v>129</v>
      </c>
      <c r="H9" t="s">
        <v>130</v>
      </c>
      <c r="J9" t="s">
        <v>26</v>
      </c>
      <c r="K9" s="15">
        <v>45450</v>
      </c>
      <c r="L9" t="s">
        <v>38</v>
      </c>
      <c r="M9" t="str">
        <f>IF(COUNTIFS(PRO_LT_SCORECARD_FLEX_VALIDATIO!$K:$K, _xlfn.CONCAT(C9,D9), PRO_LT_SCORECARD_FLEX_VALIDATIO!$G:$G, "KO") &gt; 0, "NOK", "OK")</f>
        <v>OK</v>
      </c>
      <c r="Q9" t="s">
        <v>30</v>
      </c>
      <c r="R9" t="s">
        <v>131</v>
      </c>
      <c r="S9" t="s">
        <v>132</v>
      </c>
      <c r="T9" t="s">
        <v>132</v>
      </c>
      <c r="U9" t="s">
        <v>132</v>
      </c>
      <c r="V9" t="s">
        <v>132</v>
      </c>
      <c r="W9" t="s">
        <v>131</v>
      </c>
      <c r="X9" t="s">
        <v>5</v>
      </c>
      <c r="Y9" t="str">
        <f>_xlfn.IFNA(_xlfn.XLOOKUP(D9,[1]Especificação!$G:$G,[1]Especificação!$C:$C),0)</f>
        <v>F1. Fora âmbito | Campos concluídos - Sem necessidade de espec.</v>
      </c>
    </row>
    <row r="10" spans="1:25" ht="15">
      <c r="A10" s="50" t="str">
        <f t="shared" si="0"/>
        <v>INSTRUMENT_ACCNTNG_CLSSFCTN</v>
      </c>
      <c r="B10" s="50"/>
      <c r="C10" t="s">
        <v>127</v>
      </c>
      <c r="D10" t="s">
        <v>138</v>
      </c>
      <c r="E10" t="s">
        <v>14</v>
      </c>
      <c r="F10" t="s">
        <v>38</v>
      </c>
      <c r="G10" t="s">
        <v>129</v>
      </c>
      <c r="H10" t="s">
        <v>130</v>
      </c>
      <c r="J10" t="s">
        <v>26</v>
      </c>
      <c r="K10" s="15">
        <v>45450</v>
      </c>
      <c r="L10" t="s">
        <v>38</v>
      </c>
      <c r="M10" t="str">
        <f>IF(COUNTIFS(PRO_LT_SCORECARD_FLEX_VALIDATIO!$K:$K, _xlfn.CONCAT(C10,D10), PRO_LT_SCORECARD_FLEX_VALIDATIO!$G:$G, "KO") &gt; 0, "NOK", "OK")</f>
        <v>NOK</v>
      </c>
      <c r="Q10" t="s">
        <v>30</v>
      </c>
      <c r="R10" t="s">
        <v>131</v>
      </c>
      <c r="S10" t="s">
        <v>131</v>
      </c>
      <c r="T10" t="s">
        <v>131</v>
      </c>
      <c r="U10" t="s">
        <v>132</v>
      </c>
      <c r="V10" t="s">
        <v>132</v>
      </c>
      <c r="W10" t="s">
        <v>131</v>
      </c>
      <c r="X10" t="s">
        <v>5</v>
      </c>
      <c r="Y10" t="str">
        <f>_xlfn.IFNA(_xlfn.XLOOKUP(D10,[1]Especificação!$G:$G,[1]Especificação!$C:$C),0)</f>
        <v>F1. Fora âmbito | Campos concluídos - Sem necessidade de espec.</v>
      </c>
    </row>
    <row r="11" spans="1:25" ht="15">
      <c r="A11" s="50" t="str">
        <f t="shared" si="0"/>
        <v>ENTITY_ACCNTNG_FRMWRK_SL</v>
      </c>
      <c r="B11" s="50"/>
      <c r="C11" t="s">
        <v>139</v>
      </c>
      <c r="D11" t="s">
        <v>140</v>
      </c>
      <c r="E11" t="s">
        <v>14</v>
      </c>
      <c r="F11" t="s">
        <v>25</v>
      </c>
      <c r="G11" t="s">
        <v>129</v>
      </c>
      <c r="H11" t="s">
        <v>141</v>
      </c>
      <c r="I11" t="s">
        <v>142</v>
      </c>
      <c r="J11" t="s">
        <v>29</v>
      </c>
      <c r="K11" s="15">
        <v>45450</v>
      </c>
      <c r="L11" t="s">
        <v>25</v>
      </c>
      <c r="M11" t="str">
        <f>IF(COUNTIFS(PRO_LT_SCORECARD_FLEX_VALIDATIO!$K:$K, _xlfn.CONCAT(C11,D11), PRO_LT_SCORECARD_FLEX_VALIDATIO!$G:$G, "KO") &gt; 0, "NOK", "OK")</f>
        <v>OK</v>
      </c>
      <c r="Q11" t="s">
        <v>13</v>
      </c>
      <c r="R11" t="s">
        <v>131</v>
      </c>
      <c r="S11" t="s">
        <v>132</v>
      </c>
      <c r="T11" t="s">
        <v>132</v>
      </c>
      <c r="U11" t="s">
        <v>132</v>
      </c>
      <c r="V11" t="s">
        <v>132</v>
      </c>
      <c r="W11" t="s">
        <v>131</v>
      </c>
      <c r="X11" t="s">
        <v>143</v>
      </c>
      <c r="Y11" t="str">
        <f>_xlfn.IFNA(_xlfn.XLOOKUP(D11,[1]Especificação!$G:$G,[1]Especificação!$C:$C),0)</f>
        <v>F4. Fora âmbito | Re-especificação de campos complexos - Dem. Fin. CIB</v>
      </c>
    </row>
    <row r="12" spans="1:25" ht="15">
      <c r="A12" s="50" t="str">
        <f t="shared" si="0"/>
        <v>INSTRUMENT_TYP_MRTGG</v>
      </c>
      <c r="B12" s="50"/>
      <c r="C12" t="s">
        <v>127</v>
      </c>
      <c r="D12" s="10" t="s">
        <v>144</v>
      </c>
      <c r="E12" t="s">
        <v>14</v>
      </c>
      <c r="F12" t="s">
        <v>28</v>
      </c>
      <c r="G12" t="s">
        <v>145</v>
      </c>
      <c r="H12" t="s">
        <v>146</v>
      </c>
      <c r="J12" t="s">
        <v>32</v>
      </c>
      <c r="K12" s="15">
        <v>45568</v>
      </c>
      <c r="L12" t="s">
        <v>25</v>
      </c>
      <c r="M12" t="str">
        <f>IF(COUNTIFS(PRO_LT_SCORECARD_FLEX_VALIDATIO!$K:$K, _xlfn.CONCAT(C12,D12), PRO_LT_SCORECARD_FLEX_VALIDATIO!$G:$G, "KO") &gt; 0, "NOK", "OK")</f>
        <v>NOK</v>
      </c>
      <c r="N12" t="s">
        <v>147</v>
      </c>
      <c r="Q12" t="s">
        <v>34</v>
      </c>
      <c r="R12" t="s">
        <v>131</v>
      </c>
      <c r="S12" t="s">
        <v>132</v>
      </c>
      <c r="T12" t="s">
        <v>132</v>
      </c>
      <c r="U12" t="s">
        <v>132</v>
      </c>
      <c r="V12" t="s">
        <v>132</v>
      </c>
      <c r="W12" t="s">
        <v>132</v>
      </c>
      <c r="X12" t="s">
        <v>5</v>
      </c>
      <c r="Y12">
        <f>_xlfn.IFNA(_xlfn.XLOOKUP(D12,[1]Especificação!$G:$G,[1]Especificação!$C:$C),0)</f>
        <v>0</v>
      </c>
    </row>
    <row r="13" spans="1:25" ht="15">
      <c r="A13" s="50" t="str">
        <f t="shared" si="0"/>
        <v>INSTRUMENT_AMNT_D_AT_MTRTY</v>
      </c>
      <c r="B13" s="50"/>
      <c r="C13" t="s">
        <v>127</v>
      </c>
      <c r="D13" t="s">
        <v>148</v>
      </c>
      <c r="E13" t="s">
        <v>14</v>
      </c>
      <c r="F13" t="s">
        <v>20</v>
      </c>
      <c r="G13" t="s">
        <v>145</v>
      </c>
      <c r="H13" t="s">
        <v>1107</v>
      </c>
      <c r="J13" t="s">
        <v>29</v>
      </c>
      <c r="K13" s="15">
        <v>45958</v>
      </c>
      <c r="L13" t="s">
        <v>38</v>
      </c>
      <c r="M13" t="str">
        <f>IF(COUNTIFS(PRO_LT_SCORECARD_FLEX_VALIDATIO!$K:$K, _xlfn.CONCAT(C13,D13), PRO_LT_SCORECARD_FLEX_VALIDATIO!$G:$G, "KO") &gt; 0, "NOK", "OK")</f>
        <v>NOK</v>
      </c>
      <c r="P13" s="15">
        <v>45958</v>
      </c>
      <c r="Q13" t="s">
        <v>19</v>
      </c>
      <c r="R13" t="s">
        <v>131</v>
      </c>
      <c r="S13" t="s">
        <v>132</v>
      </c>
      <c r="T13" t="s">
        <v>132</v>
      </c>
      <c r="U13" t="s">
        <v>132</v>
      </c>
      <c r="V13" t="s">
        <v>132</v>
      </c>
      <c r="W13" t="s">
        <v>131</v>
      </c>
      <c r="X13" t="s">
        <v>136</v>
      </c>
      <c r="Y13" t="str">
        <f>_xlfn.IFNA(_xlfn.XLOOKUP(D13,[1]Especificação!$G:$G,[1]Especificação!$C:$C),0)</f>
        <v>B2. Re-especificação de campos complexos - Resto</v>
      </c>
    </row>
    <row r="14" spans="1:25" ht="15">
      <c r="A14" s="50" t="str">
        <f t="shared" si="0"/>
        <v>ENTITY_ANNL_TRNVR_LE</v>
      </c>
      <c r="B14" s="50"/>
      <c r="C14" t="s">
        <v>139</v>
      </c>
      <c r="D14" t="s">
        <v>149</v>
      </c>
      <c r="E14" t="s">
        <v>14</v>
      </c>
      <c r="F14" t="s">
        <v>25</v>
      </c>
      <c r="G14" t="s">
        <v>129</v>
      </c>
      <c r="H14" t="s">
        <v>141</v>
      </c>
      <c r="I14" t="s">
        <v>142</v>
      </c>
      <c r="J14" t="s">
        <v>29</v>
      </c>
      <c r="K14" s="15">
        <v>45450</v>
      </c>
      <c r="L14" t="s">
        <v>25</v>
      </c>
      <c r="M14" t="str">
        <f>IF(COUNTIFS(PRO_LT_SCORECARD_FLEX_VALIDATIO!$K:$K, _xlfn.CONCAT(C14,D14), PRO_LT_SCORECARD_FLEX_VALIDATIO!$G:$G, "KO") &gt; 0, "NOK", "OK")</f>
        <v>NOK</v>
      </c>
      <c r="Q14" t="s">
        <v>13</v>
      </c>
      <c r="R14" t="s">
        <v>131</v>
      </c>
      <c r="S14" t="s">
        <v>132</v>
      </c>
      <c r="T14" t="s">
        <v>131</v>
      </c>
      <c r="U14" t="s">
        <v>132</v>
      </c>
      <c r="V14" t="s">
        <v>132</v>
      </c>
      <c r="W14" t="s">
        <v>131</v>
      </c>
      <c r="X14" t="s">
        <v>143</v>
      </c>
      <c r="Y14" t="str">
        <f>_xlfn.IFNA(_xlfn.XLOOKUP(D14,[1]Especificação!$G:$G,[1]Especificação!$C:$C),0)</f>
        <v>F4. Fora âmbito | Re-especificação de campos complexos - Dem. Fin. CIB</v>
      </c>
    </row>
    <row r="15" spans="1:25" ht="15">
      <c r="A15" s="50" t="str">
        <f t="shared" si="0"/>
        <v>ENTITY_ANNL_TRNVR_LE_BDR</v>
      </c>
      <c r="B15" s="50"/>
      <c r="C15" t="s">
        <v>139</v>
      </c>
      <c r="D15" t="s">
        <v>150</v>
      </c>
      <c r="E15" t="s">
        <v>6</v>
      </c>
      <c r="F15" t="s">
        <v>38</v>
      </c>
      <c r="G15" t="s">
        <v>129</v>
      </c>
      <c r="H15" t="s">
        <v>130</v>
      </c>
      <c r="J15" t="s">
        <v>26</v>
      </c>
      <c r="K15" s="15">
        <v>45450</v>
      </c>
      <c r="L15" t="s">
        <v>38</v>
      </c>
      <c r="M15" t="str">
        <f>IF(COUNTIFS(PRO_LT_SCORECARD_FLEX_VALIDATIO!$K:$K, _xlfn.CONCAT(C15,D15), PRO_LT_SCORECARD_FLEX_VALIDATIO!$G:$G, "KO") &gt; 0, "NOK", "OK")</f>
        <v>NOK</v>
      </c>
      <c r="Q15" t="s">
        <v>30</v>
      </c>
      <c r="R15" t="s">
        <v>131</v>
      </c>
      <c r="S15" t="s">
        <v>132</v>
      </c>
      <c r="T15" t="s">
        <v>132</v>
      </c>
      <c r="U15" t="s">
        <v>132</v>
      </c>
      <c r="V15" t="s">
        <v>132</v>
      </c>
      <c r="W15" t="s">
        <v>132</v>
      </c>
      <c r="X15" t="s">
        <v>5</v>
      </c>
      <c r="Y15">
        <f>_xlfn.IFNA(_xlfn.XLOOKUP(D15,[1]Especificação!$G:$G,[1]Especificação!$C:$C),0)</f>
        <v>0</v>
      </c>
    </row>
    <row r="16" spans="1:25" ht="15">
      <c r="A16" s="50" t="str">
        <f t="shared" si="0"/>
        <v>ENTITY_ANNL_TRNVR_PRVS</v>
      </c>
      <c r="B16" s="50"/>
      <c r="C16" t="s">
        <v>139</v>
      </c>
      <c r="D16" t="s">
        <v>151</v>
      </c>
      <c r="E16" t="s">
        <v>14</v>
      </c>
      <c r="F16" t="s">
        <v>25</v>
      </c>
      <c r="G16" t="s">
        <v>129</v>
      </c>
      <c r="H16" t="s">
        <v>141</v>
      </c>
      <c r="I16" t="s">
        <v>142</v>
      </c>
      <c r="J16" t="s">
        <v>29</v>
      </c>
      <c r="K16" s="15">
        <v>45450</v>
      </c>
      <c r="L16" t="s">
        <v>25</v>
      </c>
      <c r="M16" t="str">
        <f>IF(COUNTIFS(PRO_LT_SCORECARD_FLEX_VALIDATIO!$K:$K, _xlfn.CONCAT(C16,D16), PRO_LT_SCORECARD_FLEX_VALIDATIO!$G:$G, "KO") &gt; 0, "NOK", "OK")</f>
        <v>NOK</v>
      </c>
      <c r="Q16" t="s">
        <v>13</v>
      </c>
      <c r="R16" t="s">
        <v>131</v>
      </c>
      <c r="S16" t="s">
        <v>132</v>
      </c>
      <c r="T16" t="s">
        <v>132</v>
      </c>
      <c r="U16" t="s">
        <v>132</v>
      </c>
      <c r="V16" t="s">
        <v>132</v>
      </c>
      <c r="W16" t="s">
        <v>131</v>
      </c>
      <c r="X16" t="s">
        <v>143</v>
      </c>
      <c r="Y16" t="str">
        <f>_xlfn.IFNA(_xlfn.XLOOKUP(D16,[1]Especificação!$G:$G,[1]Especificação!$C:$C),0)</f>
        <v>F4. Fora âmbito | Re-especificação de campos complexos - Dem. Fin. CIB</v>
      </c>
    </row>
    <row r="17" spans="1:25" ht="15">
      <c r="A17" s="50" t="str">
        <f t="shared" si="0"/>
        <v>ENTITY_ANNL_TRNVR_PRVS_BDR</v>
      </c>
      <c r="B17" s="50"/>
      <c r="C17" t="s">
        <v>139</v>
      </c>
      <c r="D17" t="s">
        <v>152</v>
      </c>
      <c r="E17" t="s">
        <v>6</v>
      </c>
      <c r="F17" t="s">
        <v>38</v>
      </c>
      <c r="G17" t="s">
        <v>129</v>
      </c>
      <c r="H17" t="s">
        <v>130</v>
      </c>
      <c r="J17" t="s">
        <v>26</v>
      </c>
      <c r="K17" s="15">
        <v>45450</v>
      </c>
      <c r="L17" t="s">
        <v>38</v>
      </c>
      <c r="M17" t="str">
        <f>IF(COUNTIFS(PRO_LT_SCORECARD_FLEX_VALIDATIO!$K:$K, _xlfn.CONCAT(C17,D17), PRO_LT_SCORECARD_FLEX_VALIDATIO!$G:$G, "KO") &gt; 0, "NOK", "OK")</f>
        <v>OK</v>
      </c>
      <c r="Q17" t="s">
        <v>30</v>
      </c>
      <c r="R17" t="s">
        <v>131</v>
      </c>
      <c r="S17" t="s">
        <v>132</v>
      </c>
      <c r="T17" t="s">
        <v>132</v>
      </c>
      <c r="U17" t="s">
        <v>132</v>
      </c>
      <c r="V17" t="s">
        <v>132</v>
      </c>
      <c r="W17" t="s">
        <v>132</v>
      </c>
      <c r="X17" t="s">
        <v>5</v>
      </c>
      <c r="Y17">
        <f>_xlfn.IFNA(_xlfn.XLOOKUP(D17,[1]Especificação!$G:$G,[1]Especificação!$C:$C),0)</f>
        <v>0</v>
      </c>
    </row>
    <row r="18" spans="1:25" ht="15">
      <c r="A18" s="50" t="str">
        <f t="shared" si="0"/>
        <v>INSTRUMENT_ANNLSD_AGRD_RT</v>
      </c>
      <c r="B18" s="50"/>
      <c r="C18" t="s">
        <v>127</v>
      </c>
      <c r="D18" s="11" t="s">
        <v>153</v>
      </c>
      <c r="E18" t="s">
        <v>14</v>
      </c>
      <c r="F18" t="s">
        <v>28</v>
      </c>
      <c r="G18" t="s">
        <v>129</v>
      </c>
      <c r="H18" t="s">
        <v>154</v>
      </c>
      <c r="I18" t="s">
        <v>155</v>
      </c>
      <c r="J18" t="s">
        <v>32</v>
      </c>
      <c r="K18" s="15">
        <v>45450</v>
      </c>
      <c r="L18" t="s">
        <v>28</v>
      </c>
      <c r="M18" t="str">
        <f>IF(COUNTIFS(PRO_LT_SCORECARD_FLEX_VALIDATIO!$K:$K, _xlfn.CONCAT(C18,D18), PRO_LT_SCORECARD_FLEX_VALIDATIO!$G:$G, "KO") &gt; 0, "NOK", "OK")</f>
        <v>NOK</v>
      </c>
      <c r="Q18" t="s">
        <v>39</v>
      </c>
      <c r="R18" t="s">
        <v>131</v>
      </c>
      <c r="S18" t="s">
        <v>132</v>
      </c>
      <c r="T18" t="s">
        <v>131</v>
      </c>
      <c r="U18" t="s">
        <v>132</v>
      </c>
      <c r="V18" t="s">
        <v>132</v>
      </c>
      <c r="W18" t="s">
        <v>132</v>
      </c>
      <c r="X18" t="s">
        <v>5</v>
      </c>
      <c r="Y18">
        <f>_xlfn.IFNA(_xlfn.XLOOKUP(D18,[1]Especificação!$G:$G,[1]Especificação!$C:$C),0)</f>
        <v>0</v>
      </c>
    </row>
    <row r="19" spans="1:25" ht="15">
      <c r="A19" s="50" t="str">
        <f t="shared" si="0"/>
        <v>PROTECTION_APPRSL_CRRNCY</v>
      </c>
      <c r="B19" s="50"/>
      <c r="C19" t="s">
        <v>156</v>
      </c>
      <c r="D19" t="s">
        <v>157</v>
      </c>
      <c r="E19" t="s">
        <v>14</v>
      </c>
      <c r="F19" t="s">
        <v>36</v>
      </c>
      <c r="G19" t="s">
        <v>145</v>
      </c>
      <c r="H19" t="s">
        <v>158</v>
      </c>
      <c r="J19" t="s">
        <v>29</v>
      </c>
      <c r="K19" s="15">
        <v>45450</v>
      </c>
      <c r="L19" t="s">
        <v>36</v>
      </c>
      <c r="M19" t="str">
        <f>IF(COUNTIFS(PRO_LT_SCORECARD_FLEX_VALIDATIO!$K:$K, _xlfn.CONCAT(C19,D19), PRO_LT_SCORECARD_FLEX_VALIDATIO!$G:$G, "KO") &gt; 0, "NOK", "OK")</f>
        <v>OK</v>
      </c>
      <c r="Q19" t="s">
        <v>8</v>
      </c>
      <c r="R19" t="s">
        <v>131</v>
      </c>
      <c r="S19" t="s">
        <v>132</v>
      </c>
      <c r="T19" t="s">
        <v>132</v>
      </c>
      <c r="U19" t="s">
        <v>132</v>
      </c>
      <c r="V19" t="s">
        <v>132</v>
      </c>
      <c r="W19" t="s">
        <v>132</v>
      </c>
      <c r="X19" t="s">
        <v>5</v>
      </c>
      <c r="Y19">
        <f>_xlfn.IFNA(_xlfn.XLOOKUP(D19,[1]Especificação!$G:$G,[1]Especificação!$C:$C),0)</f>
        <v>0</v>
      </c>
    </row>
    <row r="20" spans="1:25" ht="15">
      <c r="A20" s="50" t="str">
        <f t="shared" si="0"/>
        <v>PROTECTION_APPRSR</v>
      </c>
      <c r="B20" s="50"/>
      <c r="C20" t="s">
        <v>156</v>
      </c>
      <c r="D20" t="s">
        <v>159</v>
      </c>
      <c r="E20" t="s">
        <v>14</v>
      </c>
      <c r="F20" t="s">
        <v>36</v>
      </c>
      <c r="G20" t="s">
        <v>145</v>
      </c>
      <c r="H20" t="s">
        <v>158</v>
      </c>
      <c r="J20" t="s">
        <v>29</v>
      </c>
      <c r="K20" s="15">
        <v>45450</v>
      </c>
      <c r="L20" t="s">
        <v>36</v>
      </c>
      <c r="M20" t="str">
        <f>IF(COUNTIFS(PRO_LT_SCORECARD_FLEX_VALIDATIO!$K:$K, _xlfn.CONCAT(C20,D20), PRO_LT_SCORECARD_FLEX_VALIDATIO!$G:$G, "KO") &gt; 0, "NOK", "OK")</f>
        <v>OK</v>
      </c>
      <c r="Q20" t="s">
        <v>8</v>
      </c>
      <c r="R20" t="s">
        <v>131</v>
      </c>
      <c r="S20" t="s">
        <v>132</v>
      </c>
      <c r="T20" t="s">
        <v>132</v>
      </c>
      <c r="U20" t="s">
        <v>132</v>
      </c>
      <c r="V20" t="s">
        <v>132</v>
      </c>
      <c r="W20" t="s">
        <v>132</v>
      </c>
      <c r="X20" t="s">
        <v>5</v>
      </c>
      <c r="Y20">
        <f>_xlfn.IFNA(_xlfn.XLOOKUP(D20,[1]Especificação!$G:$G,[1]Especificação!$C:$C),0)</f>
        <v>0</v>
      </c>
    </row>
    <row r="21" spans="1:25" ht="15">
      <c r="A21" s="50" t="str">
        <f t="shared" si="0"/>
        <v>INSTRUMENT_ARRRS_INSTRMNT</v>
      </c>
      <c r="B21" s="50"/>
      <c r="C21" t="s">
        <v>127</v>
      </c>
      <c r="D21" t="s">
        <v>160</v>
      </c>
      <c r="E21" t="s">
        <v>14</v>
      </c>
      <c r="F21" t="s">
        <v>36</v>
      </c>
      <c r="G21" t="s">
        <v>145</v>
      </c>
      <c r="H21" t="s">
        <v>158</v>
      </c>
      <c r="J21" t="s">
        <v>29</v>
      </c>
      <c r="K21" s="15">
        <v>45958</v>
      </c>
      <c r="L21" t="s">
        <v>38</v>
      </c>
      <c r="M21" t="str">
        <f>IF(COUNTIFS(PRO_LT_SCORECARD_FLEX_VALIDATIO!$K:$K, _xlfn.CONCAT(C21,D21), PRO_LT_SCORECARD_FLEX_VALIDATIO!$G:$G, "KO") &gt; 0, "NOK", "OK")</f>
        <v>NOK</v>
      </c>
      <c r="P21" s="15">
        <v>45958</v>
      </c>
      <c r="Q21" t="s">
        <v>8</v>
      </c>
      <c r="R21" t="s">
        <v>131</v>
      </c>
      <c r="S21" t="s">
        <v>132</v>
      </c>
      <c r="T21" t="s">
        <v>132</v>
      </c>
      <c r="U21" t="s">
        <v>132</v>
      </c>
      <c r="V21" t="s">
        <v>132</v>
      </c>
      <c r="W21" t="s">
        <v>131</v>
      </c>
      <c r="X21" t="s">
        <v>136</v>
      </c>
      <c r="Y21" t="str">
        <f>_xlfn.IFNA(_xlfn.XLOOKUP(D21,[1]Especificação!$G:$G,[1]Especificação!$C:$C),0)</f>
        <v>D. Campos com NOK controlos Corporativos</v>
      </c>
    </row>
    <row r="22" spans="1:25" ht="15">
      <c r="A22" s="50" t="str">
        <f t="shared" si="0"/>
        <v>INSTRUMENT_ARRRS_INSTRMNT_12M</v>
      </c>
      <c r="B22" s="50"/>
      <c r="C22" t="s">
        <v>127</v>
      </c>
      <c r="D22" t="s">
        <v>161</v>
      </c>
      <c r="E22" t="s">
        <v>14</v>
      </c>
      <c r="F22" t="s">
        <v>36</v>
      </c>
      <c r="G22" t="s">
        <v>145</v>
      </c>
      <c r="H22" t="s">
        <v>158</v>
      </c>
      <c r="J22" t="s">
        <v>29</v>
      </c>
      <c r="K22" s="15">
        <v>45450</v>
      </c>
      <c r="L22" t="s">
        <v>36</v>
      </c>
      <c r="M22" t="str">
        <f>IF(COUNTIFS(PRO_LT_SCORECARD_FLEX_VALIDATIO!$K:$K, _xlfn.CONCAT(C22,D22), PRO_LT_SCORECARD_FLEX_VALIDATIO!$G:$G, "KO") &gt; 0, "NOK", "OK")</f>
        <v>NOK</v>
      </c>
      <c r="Q22" t="s">
        <v>8</v>
      </c>
      <c r="R22" t="s">
        <v>131</v>
      </c>
      <c r="S22" t="s">
        <v>132</v>
      </c>
      <c r="T22" t="s">
        <v>132</v>
      </c>
      <c r="U22" t="s">
        <v>132</v>
      </c>
      <c r="V22" t="s">
        <v>132</v>
      </c>
      <c r="W22" t="s">
        <v>132</v>
      </c>
      <c r="X22" t="s">
        <v>5</v>
      </c>
      <c r="Y22">
        <f>_xlfn.IFNA(_xlfn.XLOOKUP(D22,[1]Especificação!$G:$G,[1]Especificação!$C:$C),0)</f>
        <v>0</v>
      </c>
    </row>
    <row r="23" spans="1:25" ht="15">
      <c r="A23" s="50" t="str">
        <f t="shared" si="0"/>
        <v>INSTRUMENT_ASST_SCRT_CLSS</v>
      </c>
      <c r="B23" s="50"/>
      <c r="C23" t="s">
        <v>127</v>
      </c>
      <c r="D23" t="s">
        <v>162</v>
      </c>
      <c r="E23" t="s">
        <v>6</v>
      </c>
      <c r="F23" t="s">
        <v>38</v>
      </c>
      <c r="G23" t="s">
        <v>129</v>
      </c>
      <c r="H23" t="s">
        <v>130</v>
      </c>
      <c r="J23" t="s">
        <v>26</v>
      </c>
      <c r="K23" s="15">
        <v>45450</v>
      </c>
      <c r="L23" t="s">
        <v>38</v>
      </c>
      <c r="M23" t="str">
        <f>IF(COUNTIFS(PRO_LT_SCORECARD_FLEX_VALIDATIO!$K:$K, _xlfn.CONCAT(C23,D23), PRO_LT_SCORECARD_FLEX_VALIDATIO!$G:$G, "KO") &gt; 0, "NOK", "OK")</f>
        <v>OK</v>
      </c>
      <c r="Q23" t="s">
        <v>30</v>
      </c>
      <c r="R23" t="s">
        <v>131</v>
      </c>
      <c r="S23" t="s">
        <v>132</v>
      </c>
      <c r="T23" t="s">
        <v>132</v>
      </c>
      <c r="U23" t="s">
        <v>132</v>
      </c>
      <c r="V23" t="s">
        <v>132</v>
      </c>
      <c r="W23" t="s">
        <v>132</v>
      </c>
      <c r="X23" t="s">
        <v>5</v>
      </c>
      <c r="Y23">
        <f>_xlfn.IFNA(_xlfn.XLOOKUP(D23,[1]Especificação!$G:$G,[1]Especificação!$C:$C),0)</f>
        <v>0</v>
      </c>
    </row>
    <row r="24" spans="1:25" ht="15">
      <c r="A24" s="50" t="str">
        <f t="shared" si="0"/>
        <v>INSTRUMENT_BRCHD_CVNNTS</v>
      </c>
      <c r="B24" s="50"/>
      <c r="C24" t="s">
        <v>127</v>
      </c>
      <c r="D24" t="s">
        <v>163</v>
      </c>
      <c r="E24" t="s">
        <v>14</v>
      </c>
      <c r="F24" t="s">
        <v>37</v>
      </c>
      <c r="G24" t="s">
        <v>129</v>
      </c>
      <c r="H24" t="s">
        <v>164</v>
      </c>
      <c r="J24" t="s">
        <v>26</v>
      </c>
      <c r="K24" s="15">
        <v>45450</v>
      </c>
      <c r="L24" t="s">
        <v>37</v>
      </c>
      <c r="M24" t="str">
        <f>IF(COUNTIFS(PRO_LT_SCORECARD_FLEX_VALIDATIO!$K:$K, _xlfn.CONCAT(C24,D24), PRO_LT_SCORECARD_FLEX_VALIDATIO!$G:$G, "KO") &gt; 0, "NOK", "OK")</f>
        <v>OK</v>
      </c>
      <c r="Q24" t="s">
        <v>27</v>
      </c>
      <c r="R24" t="s">
        <v>131</v>
      </c>
      <c r="S24" t="s">
        <v>132</v>
      </c>
      <c r="T24" t="s">
        <v>132</v>
      </c>
      <c r="U24" t="s">
        <v>132</v>
      </c>
      <c r="V24" t="s">
        <v>132</v>
      </c>
      <c r="W24" t="s">
        <v>131</v>
      </c>
      <c r="X24" t="s">
        <v>5</v>
      </c>
      <c r="Y24" t="str">
        <f>_xlfn.IFNA(_xlfn.XLOOKUP(D24,[1]Especificação!$G:$G,[1]Especificação!$C:$C),0)</f>
        <v>F1. Fora âmbito | Campos concluídos - Sem necessidade de espec.</v>
      </c>
    </row>
    <row r="25" spans="1:25" ht="15">
      <c r="A25" s="50" t="str">
        <f t="shared" si="0"/>
        <v>ENTITY_CAPEX</v>
      </c>
      <c r="B25" s="50"/>
      <c r="C25" t="s">
        <v>139</v>
      </c>
      <c r="D25" t="s">
        <v>165</v>
      </c>
      <c r="E25" t="s">
        <v>14</v>
      </c>
      <c r="F25" t="s">
        <v>25</v>
      </c>
      <c r="G25" t="s">
        <v>129</v>
      </c>
      <c r="H25" t="s">
        <v>141</v>
      </c>
      <c r="I25" t="s">
        <v>142</v>
      </c>
      <c r="J25" t="s">
        <v>29</v>
      </c>
      <c r="K25" s="15">
        <v>45450</v>
      </c>
      <c r="L25" t="s">
        <v>25</v>
      </c>
      <c r="M25" t="str">
        <f>IF(COUNTIFS(PRO_LT_SCORECARD_FLEX_VALIDATIO!$K:$K, _xlfn.CONCAT(C25,D25), PRO_LT_SCORECARD_FLEX_VALIDATIO!$G:$G, "KO") &gt; 0, "NOK", "OK")</f>
        <v>NOK</v>
      </c>
      <c r="Q25" t="s">
        <v>13</v>
      </c>
      <c r="R25" t="s">
        <v>131</v>
      </c>
      <c r="S25" t="s">
        <v>132</v>
      </c>
      <c r="T25" t="s">
        <v>132</v>
      </c>
      <c r="U25" t="s">
        <v>132</v>
      </c>
      <c r="V25" t="s">
        <v>132</v>
      </c>
      <c r="W25" t="s">
        <v>132</v>
      </c>
      <c r="X25" t="s">
        <v>5</v>
      </c>
      <c r="Y25">
        <f>_xlfn.IFNA(_xlfn.XLOOKUP(D25,[1]Especificação!$G:$G,[1]Especificação!$C:$C),0)</f>
        <v>0</v>
      </c>
    </row>
    <row r="26" spans="1:25" ht="15">
      <c r="A26" s="50" t="str">
        <f t="shared" si="0"/>
        <v>ENTITY_CAPEX_PRVS</v>
      </c>
      <c r="B26" s="50"/>
      <c r="C26" t="s">
        <v>139</v>
      </c>
      <c r="D26" t="s">
        <v>166</v>
      </c>
      <c r="E26" t="s">
        <v>14</v>
      </c>
      <c r="F26" t="s">
        <v>25</v>
      </c>
      <c r="G26" t="s">
        <v>129</v>
      </c>
      <c r="H26" t="s">
        <v>141</v>
      </c>
      <c r="I26" t="s">
        <v>142</v>
      </c>
      <c r="J26" t="s">
        <v>29</v>
      </c>
      <c r="K26" s="15">
        <v>45450</v>
      </c>
      <c r="L26" t="s">
        <v>25</v>
      </c>
      <c r="M26" t="str">
        <f>IF(COUNTIFS(PRO_LT_SCORECARD_FLEX_VALIDATIO!$K:$K, _xlfn.CONCAT(C26,D26), PRO_LT_SCORECARD_FLEX_VALIDATIO!$G:$G, "KO") &gt; 0, "NOK", "OK")</f>
        <v>NOK</v>
      </c>
      <c r="Q26" t="s">
        <v>13</v>
      </c>
      <c r="R26" t="s">
        <v>131</v>
      </c>
      <c r="S26" t="s">
        <v>132</v>
      </c>
      <c r="T26" t="s">
        <v>132</v>
      </c>
      <c r="U26" t="s">
        <v>132</v>
      </c>
      <c r="V26" t="s">
        <v>132</v>
      </c>
      <c r="W26" t="s">
        <v>132</v>
      </c>
      <c r="X26" t="s">
        <v>5</v>
      </c>
      <c r="Y26">
        <f>_xlfn.IFNA(_xlfn.XLOOKUP(D26,[1]Especificação!$G:$G,[1]Especificação!$C:$C),0)</f>
        <v>0</v>
      </c>
    </row>
    <row r="27" spans="1:25" ht="15">
      <c r="A27" s="50" t="str">
        <f t="shared" si="0"/>
        <v>INSTRUMENT_CCF</v>
      </c>
      <c r="B27" s="50"/>
      <c r="C27" t="s">
        <v>127</v>
      </c>
      <c r="D27" t="s">
        <v>167</v>
      </c>
      <c r="E27" t="s">
        <v>14</v>
      </c>
      <c r="F27" t="s">
        <v>38</v>
      </c>
      <c r="G27" t="s">
        <v>129</v>
      </c>
      <c r="H27" t="s">
        <v>130</v>
      </c>
      <c r="J27" t="s">
        <v>26</v>
      </c>
      <c r="K27" s="15">
        <v>45450</v>
      </c>
      <c r="L27" t="s">
        <v>38</v>
      </c>
      <c r="M27" t="str">
        <f>IF(COUNTIFS(PRO_LT_SCORECARD_FLEX_VALIDATIO!$K:$K, _xlfn.CONCAT(C27,D27), PRO_LT_SCORECARD_FLEX_VALIDATIO!$G:$G, "KO") &gt; 0, "NOK", "OK")</f>
        <v>NOK</v>
      </c>
      <c r="Q27" t="s">
        <v>30</v>
      </c>
      <c r="R27" t="s">
        <v>131</v>
      </c>
      <c r="S27" t="s">
        <v>131</v>
      </c>
      <c r="T27" t="s">
        <v>132</v>
      </c>
      <c r="U27" t="s">
        <v>132</v>
      </c>
      <c r="V27" t="s">
        <v>132</v>
      </c>
      <c r="W27" t="s">
        <v>131</v>
      </c>
      <c r="X27" t="s">
        <v>5</v>
      </c>
      <c r="Y27" t="str">
        <f>_xlfn.IFNA(_xlfn.XLOOKUP(D27,[1]Especificação!$G:$G,[1]Especificação!$C:$C),0)</f>
        <v>F1. Fora âmbito | Campos concluídos - Sem necessidade de espec.</v>
      </c>
    </row>
    <row r="28" spans="1:25" ht="15">
      <c r="A28" s="50" t="str">
        <f t="shared" si="0"/>
        <v>INSTRUMENT_CHNNL_ORGNTN</v>
      </c>
      <c r="B28" s="50"/>
      <c r="C28" t="s">
        <v>127</v>
      </c>
      <c r="D28" t="s">
        <v>168</v>
      </c>
      <c r="E28" t="s">
        <v>6</v>
      </c>
      <c r="F28" t="s">
        <v>31</v>
      </c>
      <c r="G28" t="s">
        <v>145</v>
      </c>
      <c r="H28" t="s">
        <v>169</v>
      </c>
      <c r="J28" t="s">
        <v>29</v>
      </c>
      <c r="K28" s="15">
        <v>45450</v>
      </c>
      <c r="L28" t="s">
        <v>31</v>
      </c>
      <c r="M28" t="str">
        <f>IF(COUNTIFS(PRO_LT_SCORECARD_FLEX_VALIDATIO!$K:$K, _xlfn.CONCAT(C28,D28), PRO_LT_SCORECARD_FLEX_VALIDATIO!$G:$G, "KO") &gt; 0, "NOK", "OK")</f>
        <v>OK</v>
      </c>
      <c r="O28" s="15">
        <v>45296</v>
      </c>
      <c r="Q28" t="s">
        <v>13</v>
      </c>
      <c r="R28" t="s">
        <v>131</v>
      </c>
      <c r="S28" t="s">
        <v>132</v>
      </c>
      <c r="T28" t="s">
        <v>132</v>
      </c>
      <c r="U28" t="s">
        <v>132</v>
      </c>
      <c r="V28" t="s">
        <v>132</v>
      </c>
      <c r="W28" t="s">
        <v>132</v>
      </c>
      <c r="X28" t="s">
        <v>5</v>
      </c>
      <c r="Y28">
        <f>_xlfn.IFNA(_xlfn.XLOOKUP(D28,[1]Especificação!$G:$G,[1]Especificação!$C:$C),0)</f>
        <v>0</v>
      </c>
    </row>
    <row r="29" spans="1:25" ht="15">
      <c r="A29" s="50" t="str">
        <f t="shared" si="0"/>
        <v>ENTITY_CLLCTN_MD</v>
      </c>
      <c r="B29" s="50"/>
      <c r="C29" t="s">
        <v>139</v>
      </c>
      <c r="D29" t="s">
        <v>170</v>
      </c>
      <c r="E29" t="s">
        <v>6</v>
      </c>
      <c r="F29" t="s">
        <v>38</v>
      </c>
      <c r="G29" t="s">
        <v>129</v>
      </c>
      <c r="H29" t="s">
        <v>130</v>
      </c>
      <c r="J29" t="s">
        <v>26</v>
      </c>
      <c r="K29" s="15">
        <v>45450</v>
      </c>
      <c r="L29" t="s">
        <v>38</v>
      </c>
      <c r="M29" t="str">
        <f>IF(COUNTIFS(PRO_LT_SCORECARD_FLEX_VALIDATIO!$K:$K, _xlfn.CONCAT(C29,D29), PRO_LT_SCORECARD_FLEX_VALIDATIO!$G:$G, "KO") &gt; 0, "NOK", "OK")</f>
        <v>NOK</v>
      </c>
      <c r="Q29" t="s">
        <v>30</v>
      </c>
      <c r="R29" t="s">
        <v>131</v>
      </c>
      <c r="S29" t="s">
        <v>132</v>
      </c>
      <c r="T29" t="s">
        <v>132</v>
      </c>
      <c r="U29" t="s">
        <v>132</v>
      </c>
      <c r="V29" t="s">
        <v>132</v>
      </c>
      <c r="W29" t="s">
        <v>132</v>
      </c>
      <c r="X29" t="s">
        <v>5</v>
      </c>
      <c r="Y29">
        <f>_xlfn.IFNA(_xlfn.XLOOKUP(D29,[1]Especificação!$G:$G,[1]Especificação!$C:$C),0)</f>
        <v>0</v>
      </c>
    </row>
    <row r="30" spans="1:25" ht="15">
      <c r="A30" s="50" t="str">
        <f t="shared" si="0"/>
        <v>ENTITY_TTL_INTRST_PD</v>
      </c>
      <c r="B30" s="50"/>
      <c r="C30" t="s">
        <v>139</v>
      </c>
      <c r="D30" t="s">
        <v>171</v>
      </c>
      <c r="E30" t="s">
        <v>6</v>
      </c>
      <c r="F30" t="s">
        <v>25</v>
      </c>
      <c r="G30" t="s">
        <v>145</v>
      </c>
      <c r="H30" t="s">
        <v>172</v>
      </c>
      <c r="J30" t="s">
        <v>29</v>
      </c>
      <c r="K30" s="15">
        <v>45958</v>
      </c>
      <c r="L30" t="s">
        <v>38</v>
      </c>
      <c r="M30" t="str">
        <f>IF(COUNTIFS(PRO_LT_SCORECARD_FLEX_VALIDATIO!$K:$K, _xlfn.CONCAT(C30,D30), PRO_LT_SCORECARD_FLEX_VALIDATIO!$G:$G, "KO") &gt; 0, "NOK", "OK")</f>
        <v>OK</v>
      </c>
      <c r="P30" s="15">
        <v>45958</v>
      </c>
      <c r="Q30" t="s">
        <v>13</v>
      </c>
      <c r="R30" t="s">
        <v>131</v>
      </c>
      <c r="S30" t="s">
        <v>132</v>
      </c>
      <c r="T30" t="s">
        <v>132</v>
      </c>
      <c r="U30" t="s">
        <v>132</v>
      </c>
      <c r="V30" t="s">
        <v>132</v>
      </c>
      <c r="W30" t="s">
        <v>131</v>
      </c>
      <c r="X30" t="s">
        <v>136</v>
      </c>
      <c r="Y30" t="str">
        <f>_xlfn.IFNA(_xlfn.XLOOKUP(D30,[1]Especificação!$G:$G,[1]Especificação!$C:$C),0)</f>
        <v>B2. Re-especificação de campos complexos - Resto</v>
      </c>
    </row>
    <row r="31" spans="1:25" ht="15">
      <c r="A31" s="50" t="str">
        <f t="shared" si="0"/>
        <v>INSTRUMENT_CMMTMNT_INCPTN_INSTRMNT</v>
      </c>
      <c r="B31" s="50"/>
      <c r="C31" t="s">
        <v>127</v>
      </c>
      <c r="D31" t="s">
        <v>173</v>
      </c>
      <c r="E31" t="s">
        <v>14</v>
      </c>
      <c r="F31" t="s">
        <v>36</v>
      </c>
      <c r="G31" t="s">
        <v>145</v>
      </c>
      <c r="H31" t="s">
        <v>174</v>
      </c>
      <c r="J31" t="s">
        <v>29</v>
      </c>
      <c r="K31" s="15">
        <v>45450</v>
      </c>
      <c r="L31" t="s">
        <v>36</v>
      </c>
      <c r="M31" t="str">
        <f>IF(COUNTIFS(PRO_LT_SCORECARD_FLEX_VALIDATIO!$K:$K, _xlfn.CONCAT(C31,D31), PRO_LT_SCORECARD_FLEX_VALIDATIO!$G:$G, "KO") &gt; 0, "NOK", "OK")</f>
        <v>OK</v>
      </c>
      <c r="Q31" t="s">
        <v>8</v>
      </c>
      <c r="R31" t="s">
        <v>131</v>
      </c>
      <c r="S31" t="s">
        <v>132</v>
      </c>
      <c r="T31" t="s">
        <v>132</v>
      </c>
      <c r="U31" t="s">
        <v>132</v>
      </c>
      <c r="V31" t="s">
        <v>132</v>
      </c>
      <c r="W31" t="s">
        <v>132</v>
      </c>
      <c r="X31" t="s">
        <v>5</v>
      </c>
      <c r="Y31">
        <f>_xlfn.IFNA(_xlfn.XLOOKUP(D31,[1]Especificação!$G:$G,[1]Especificação!$C:$C),0)</f>
        <v>0</v>
      </c>
    </row>
    <row r="32" spans="1:25" ht="15">
      <c r="A32" s="50" t="str">
        <f t="shared" si="0"/>
        <v>PROTECTION_RL_ESTT_CLLTRL_LCTN</v>
      </c>
      <c r="B32" s="50"/>
      <c r="C32" t="s">
        <v>156</v>
      </c>
      <c r="D32" t="s">
        <v>175</v>
      </c>
      <c r="E32" t="s">
        <v>14</v>
      </c>
      <c r="F32" t="s">
        <v>25</v>
      </c>
      <c r="G32" t="s">
        <v>145</v>
      </c>
      <c r="H32" t="s">
        <v>176</v>
      </c>
      <c r="J32" t="s">
        <v>29</v>
      </c>
      <c r="K32" s="15">
        <v>45450</v>
      </c>
      <c r="L32" t="s">
        <v>25</v>
      </c>
      <c r="M32" t="str">
        <f>IF(COUNTIFS(PRO_LT_SCORECARD_FLEX_VALIDATIO!$K:$K, _xlfn.CONCAT(C32,D32), PRO_LT_SCORECARD_FLEX_VALIDATIO!$G:$G, "KO") &gt; 0, "NOK", "OK")</f>
        <v>OK</v>
      </c>
      <c r="Q32" t="s">
        <v>13</v>
      </c>
      <c r="R32" t="s">
        <v>131</v>
      </c>
      <c r="S32" t="s">
        <v>132</v>
      </c>
      <c r="T32" t="s">
        <v>131</v>
      </c>
      <c r="U32" t="s">
        <v>132</v>
      </c>
      <c r="V32" t="s">
        <v>131</v>
      </c>
      <c r="W32" t="s">
        <v>132</v>
      </c>
      <c r="X32" t="s">
        <v>5</v>
      </c>
      <c r="Y32">
        <f>_xlfn.IFNA(_xlfn.XLOOKUP(D32,[1]Especificação!$G:$G,[1]Especificação!$C:$C),0)</f>
        <v>0</v>
      </c>
    </row>
    <row r="33" spans="1:25" s="9" customFormat="1" ht="15">
      <c r="A33" s="50" t="str">
        <f t="shared" si="0"/>
        <v>INSTRUMENT_CMPLNT_MRTR_C19_NM</v>
      </c>
      <c r="B33" s="50"/>
      <c r="C33" t="s">
        <v>127</v>
      </c>
      <c r="D33" t="s">
        <v>177</v>
      </c>
      <c r="E33" t="s">
        <v>6</v>
      </c>
      <c r="F33" t="s">
        <v>38</v>
      </c>
      <c r="G33" t="s">
        <v>129</v>
      </c>
      <c r="H33" t="s">
        <v>130</v>
      </c>
      <c r="I33"/>
      <c r="J33" t="s">
        <v>26</v>
      </c>
      <c r="K33" s="15">
        <v>45450</v>
      </c>
      <c r="L33" t="s">
        <v>38</v>
      </c>
      <c r="M33" t="str">
        <f>IF(COUNTIFS(PRO_LT_SCORECARD_FLEX_VALIDATIO!$K:$K, _xlfn.CONCAT(C33,D33), PRO_LT_SCORECARD_FLEX_VALIDATIO!$G:$G, "KO") &gt; 0, "NOK", "OK")</f>
        <v>OK</v>
      </c>
      <c r="Q33" t="s">
        <v>30</v>
      </c>
      <c r="R33" t="s">
        <v>131</v>
      </c>
      <c r="S33" t="s">
        <v>132</v>
      </c>
      <c r="T33" t="s">
        <v>132</v>
      </c>
      <c r="U33" t="s">
        <v>132</v>
      </c>
      <c r="V33" t="s">
        <v>132</v>
      </c>
      <c r="W33" t="s">
        <v>132</v>
      </c>
      <c r="X33" t="s">
        <v>5</v>
      </c>
      <c r="Y33">
        <f>_xlfn.IFNA(_xlfn.XLOOKUP(D33,[1]Especificação!$G:$G,[1]Especificação!$C:$C),0)</f>
        <v>0</v>
      </c>
    </row>
    <row r="34" spans="1:25" ht="15">
      <c r="A34" s="50" t="str">
        <f t="shared" si="0"/>
        <v>INSTRUMENT_CNSMPTN_FNRP18</v>
      </c>
      <c r="B34" s="50"/>
      <c r="C34" t="s">
        <v>127</v>
      </c>
      <c r="D34" t="s">
        <v>178</v>
      </c>
      <c r="E34" t="s">
        <v>6</v>
      </c>
      <c r="F34" t="s">
        <v>38</v>
      </c>
      <c r="G34" t="s">
        <v>129</v>
      </c>
      <c r="H34" t="s">
        <v>130</v>
      </c>
      <c r="J34" t="s">
        <v>26</v>
      </c>
      <c r="K34" s="15">
        <v>45450</v>
      </c>
      <c r="L34" t="s">
        <v>38</v>
      </c>
      <c r="M34" t="str">
        <f>IF(COUNTIFS(PRO_LT_SCORECARD_FLEX_VALIDATIO!$K:$K, _xlfn.CONCAT(C34,D34), PRO_LT_SCORECARD_FLEX_VALIDATIO!$G:$G, "KO") &gt; 0, "NOK", "OK")</f>
        <v>OK</v>
      </c>
      <c r="Q34" t="s">
        <v>30</v>
      </c>
      <c r="R34" t="s">
        <v>131</v>
      </c>
      <c r="S34" t="s">
        <v>132</v>
      </c>
      <c r="T34" t="s">
        <v>132</v>
      </c>
      <c r="U34" t="s">
        <v>132</v>
      </c>
      <c r="V34" t="s">
        <v>132</v>
      </c>
      <c r="W34" t="s">
        <v>132</v>
      </c>
      <c r="X34" t="s">
        <v>5</v>
      </c>
      <c r="Y34">
        <f>_xlfn.IFNA(_xlfn.XLOOKUP(D34,[1]Especificação!$G:$G,[1]Especificação!$C:$C),0)</f>
        <v>0</v>
      </c>
    </row>
    <row r="35" spans="1:25" ht="15">
      <c r="A35" s="50" t="str">
        <f t="shared" si="0"/>
        <v>PROTECTION_DT_APPRSL_PRVS</v>
      </c>
      <c r="B35" s="50"/>
      <c r="C35" t="s">
        <v>156</v>
      </c>
      <c r="D35" s="10" t="s">
        <v>179</v>
      </c>
      <c r="E35" t="s">
        <v>14</v>
      </c>
      <c r="F35" t="s">
        <v>35</v>
      </c>
      <c r="G35" t="s">
        <v>145</v>
      </c>
      <c r="H35" t="s">
        <v>180</v>
      </c>
      <c r="I35" t="s">
        <v>181</v>
      </c>
      <c r="J35" t="s">
        <v>26</v>
      </c>
      <c r="K35" s="15">
        <v>45670</v>
      </c>
      <c r="L35" t="s">
        <v>38</v>
      </c>
      <c r="M35" t="str">
        <f>IF(COUNTIFS(PRO_LT_SCORECARD_FLEX_VALIDATIO!$K:$K, _xlfn.CONCAT(C35,D35), PRO_LT_SCORECARD_FLEX_VALIDATIO!$G:$G, "KO") &gt; 0, "NOK", "OK")</f>
        <v>OK</v>
      </c>
      <c r="N35" t="s">
        <v>182</v>
      </c>
      <c r="O35" s="15">
        <v>45485</v>
      </c>
      <c r="P35" s="15">
        <v>45646</v>
      </c>
      <c r="Q35" t="s">
        <v>34</v>
      </c>
      <c r="R35" t="s">
        <v>131</v>
      </c>
      <c r="S35" t="s">
        <v>132</v>
      </c>
      <c r="T35" t="s">
        <v>132</v>
      </c>
      <c r="U35" t="s">
        <v>132</v>
      </c>
      <c r="V35" t="s">
        <v>132</v>
      </c>
      <c r="W35" t="s">
        <v>132</v>
      </c>
      <c r="X35" t="s">
        <v>5</v>
      </c>
      <c r="Y35">
        <f>_xlfn.IFNA(_xlfn.XLOOKUP(D35,[1]Especificação!$G:$G,[1]Especificação!$C:$C),0)</f>
        <v>0</v>
      </c>
    </row>
    <row r="36" spans="1:25" ht="15">
      <c r="A36" s="50" t="str">
        <f t="shared" si="0"/>
        <v>INSTRUMENT_CNTRCT_ID</v>
      </c>
      <c r="B36" s="50"/>
      <c r="C36" t="s">
        <v>127</v>
      </c>
      <c r="D36" t="s">
        <v>183</v>
      </c>
      <c r="E36" t="s">
        <v>14</v>
      </c>
      <c r="F36" t="s">
        <v>38</v>
      </c>
      <c r="G36" t="s">
        <v>129</v>
      </c>
      <c r="H36" t="s">
        <v>130</v>
      </c>
      <c r="J36" t="s">
        <v>26</v>
      </c>
      <c r="K36" s="15">
        <v>45450</v>
      </c>
      <c r="L36" t="s">
        <v>38</v>
      </c>
      <c r="M36" t="str">
        <f>IF(COUNTIFS(PRO_LT_SCORECARD_FLEX_VALIDATIO!$K:$K, _xlfn.CONCAT(C36,D36), PRO_LT_SCORECARD_FLEX_VALIDATIO!$G:$G, "KO") &gt; 0, "NOK", "OK")</f>
        <v>OK</v>
      </c>
      <c r="Q36" t="s">
        <v>30</v>
      </c>
      <c r="R36" t="s">
        <v>131</v>
      </c>
      <c r="S36" t="s">
        <v>132</v>
      </c>
      <c r="T36" t="s">
        <v>132</v>
      </c>
      <c r="U36" t="s">
        <v>132</v>
      </c>
      <c r="V36" t="s">
        <v>132</v>
      </c>
      <c r="W36" t="s">
        <v>132</v>
      </c>
      <c r="X36" t="s">
        <v>5</v>
      </c>
      <c r="Y36">
        <f>_xlfn.IFNA(_xlfn.XLOOKUP(D36,[1]Especificação!$G:$G,[1]Especificação!$C:$C),0)</f>
        <v>0</v>
      </c>
    </row>
    <row r="37" spans="1:25" ht="15">
      <c r="A37" s="50" t="str">
        <f t="shared" si="0"/>
        <v>INSTRUMENT_CNTRCT_ID_BDR</v>
      </c>
      <c r="B37" s="50"/>
      <c r="C37" t="s">
        <v>127</v>
      </c>
      <c r="D37" t="s">
        <v>184</v>
      </c>
      <c r="E37" t="s">
        <v>6</v>
      </c>
      <c r="F37" t="s">
        <v>38</v>
      </c>
      <c r="G37" t="s">
        <v>129</v>
      </c>
      <c r="H37" t="s">
        <v>130</v>
      </c>
      <c r="J37" t="s">
        <v>26</v>
      </c>
      <c r="K37" s="15">
        <v>45450</v>
      </c>
      <c r="L37" t="s">
        <v>38</v>
      </c>
      <c r="M37" t="str">
        <f>IF(COUNTIFS(PRO_LT_SCORECARD_FLEX_VALIDATIO!$K:$K, _xlfn.CONCAT(C37,D37), PRO_LT_SCORECARD_FLEX_VALIDATIO!$G:$G, "KO") &gt; 0, "NOK", "OK")</f>
        <v>OK</v>
      </c>
      <c r="Q37" t="s">
        <v>30</v>
      </c>
      <c r="R37" t="s">
        <v>131</v>
      </c>
      <c r="S37" t="s">
        <v>132</v>
      </c>
      <c r="T37" t="s">
        <v>132</v>
      </c>
      <c r="U37" t="s">
        <v>132</v>
      </c>
      <c r="V37" t="s">
        <v>132</v>
      </c>
      <c r="W37" t="s">
        <v>132</v>
      </c>
      <c r="X37" t="s">
        <v>5</v>
      </c>
      <c r="Y37">
        <f>_xlfn.IFNA(_xlfn.XLOOKUP(D37,[1]Especificação!$G:$G,[1]Especificação!$C:$C),0)</f>
        <v>0</v>
      </c>
    </row>
    <row r="38" spans="1:25" ht="15">
      <c r="A38" s="50" t="str">
        <f t="shared" si="0"/>
        <v>ENTITY_CNTRY</v>
      </c>
      <c r="B38" s="50"/>
      <c r="C38" t="s">
        <v>139</v>
      </c>
      <c r="D38" t="s">
        <v>185</v>
      </c>
      <c r="E38" t="s">
        <v>14</v>
      </c>
      <c r="F38" t="s">
        <v>38</v>
      </c>
      <c r="G38" t="s">
        <v>129</v>
      </c>
      <c r="H38" t="s">
        <v>130</v>
      </c>
      <c r="J38" t="s">
        <v>26</v>
      </c>
      <c r="K38" s="15">
        <v>45958</v>
      </c>
      <c r="L38" t="s">
        <v>38</v>
      </c>
      <c r="M38" t="str">
        <f>IF(COUNTIFS(PRO_LT_SCORECARD_FLEX_VALIDATIO!$K:$K, _xlfn.CONCAT(C38,D38), PRO_LT_SCORECARD_FLEX_VALIDATIO!$G:$G, "KO") &gt; 0, "NOK", "OK")</f>
        <v>OK</v>
      </c>
      <c r="P38" s="15">
        <v>45958</v>
      </c>
      <c r="Q38" t="s">
        <v>30</v>
      </c>
      <c r="R38" t="s">
        <v>131</v>
      </c>
      <c r="S38" t="s">
        <v>132</v>
      </c>
      <c r="T38" t="s">
        <v>131</v>
      </c>
      <c r="U38" t="s">
        <v>132</v>
      </c>
      <c r="V38" t="s">
        <v>131</v>
      </c>
      <c r="W38" t="s">
        <v>131</v>
      </c>
      <c r="X38" t="s">
        <v>5</v>
      </c>
      <c r="Y38" t="str">
        <f>_xlfn.IFNA(_xlfn.XLOOKUP(D38,[1]Especificação!$G:$G,[1]Especificação!$C:$C),0)</f>
        <v>B2. Re-especificação de campos complexos - Resto</v>
      </c>
    </row>
    <row r="39" spans="1:25" ht="15">
      <c r="A39" s="50" t="str">
        <f t="shared" si="0"/>
        <v>ENTITY_COD_SOC</v>
      </c>
      <c r="B39" s="50"/>
      <c r="C39" t="s">
        <v>139</v>
      </c>
      <c r="D39" t="s">
        <v>186</v>
      </c>
      <c r="E39" t="s">
        <v>14</v>
      </c>
      <c r="F39" t="s">
        <v>38</v>
      </c>
      <c r="G39" t="s">
        <v>129</v>
      </c>
      <c r="H39" t="s">
        <v>130</v>
      </c>
      <c r="J39" t="s">
        <v>26</v>
      </c>
      <c r="K39" s="15">
        <v>45450</v>
      </c>
      <c r="L39" t="s">
        <v>38</v>
      </c>
      <c r="M39" t="str">
        <f>IF(COUNTIFS(PRO_LT_SCORECARD_FLEX_VALIDATIO!$K:$K, _xlfn.CONCAT(C39,D39), PRO_LT_SCORECARD_FLEX_VALIDATIO!$G:$G, "KO") &gt; 0, "NOK", "OK")</f>
        <v>OK</v>
      </c>
      <c r="Q39" t="s">
        <v>30</v>
      </c>
      <c r="R39" t="s">
        <v>131</v>
      </c>
      <c r="S39" t="s">
        <v>132</v>
      </c>
      <c r="T39" t="s">
        <v>131</v>
      </c>
      <c r="U39" t="s">
        <v>132</v>
      </c>
      <c r="V39" t="s">
        <v>131</v>
      </c>
      <c r="W39" t="s">
        <v>131</v>
      </c>
      <c r="X39" t="s">
        <v>5</v>
      </c>
      <c r="Y39" t="str">
        <f>_xlfn.IFNA(_xlfn.XLOOKUP(D39,[1]Especificação!$G:$G,[1]Especificação!$C:$C),0)</f>
        <v>F1. Fora âmbito | Campos concluídos - Sem necessidade de espec.</v>
      </c>
    </row>
    <row r="40" spans="1:25" ht="15">
      <c r="A40" s="50" t="str">
        <f t="shared" si="0"/>
        <v>INSTR_ENTITY_COD_SOC</v>
      </c>
      <c r="B40" s="50"/>
      <c r="C40" t="s">
        <v>187</v>
      </c>
      <c r="D40" t="s">
        <v>186</v>
      </c>
      <c r="E40" t="s">
        <v>14</v>
      </c>
      <c r="F40" t="s">
        <v>38</v>
      </c>
      <c r="G40" t="s">
        <v>129</v>
      </c>
      <c r="H40" t="s">
        <v>130</v>
      </c>
      <c r="J40" t="s">
        <v>26</v>
      </c>
      <c r="K40" s="15">
        <v>45450</v>
      </c>
      <c r="L40" t="s">
        <v>38</v>
      </c>
      <c r="M40" t="str">
        <f>IF(COUNTIFS(PRO_LT_SCORECARD_FLEX_VALIDATIO!$K:$K, _xlfn.CONCAT(C40,D40), PRO_LT_SCORECARD_FLEX_VALIDATIO!$G:$G, "KO") &gt; 0, "NOK", "OK")</f>
        <v>OK</v>
      </c>
      <c r="Q40" t="s">
        <v>30</v>
      </c>
      <c r="R40" t="s">
        <v>131</v>
      </c>
      <c r="S40" t="s">
        <v>132</v>
      </c>
      <c r="T40" t="s">
        <v>131</v>
      </c>
      <c r="U40" t="s">
        <v>132</v>
      </c>
      <c r="V40" t="s">
        <v>132</v>
      </c>
      <c r="W40" t="s">
        <v>131</v>
      </c>
      <c r="X40" t="s">
        <v>5</v>
      </c>
      <c r="Y40" t="str">
        <f>_xlfn.IFNA(_xlfn.XLOOKUP(D40,[1]Especificação!$G:$G,[1]Especificação!$C:$C),0)</f>
        <v>F1. Fora âmbito | Campos concluídos - Sem necessidade de espec.</v>
      </c>
    </row>
    <row r="41" spans="1:25" ht="15">
      <c r="A41" s="50" t="str">
        <f t="shared" si="0"/>
        <v>INSTR_PROTECTION_COD_SOC</v>
      </c>
      <c r="B41" s="50"/>
      <c r="C41" t="s">
        <v>188</v>
      </c>
      <c r="D41" t="s">
        <v>186</v>
      </c>
      <c r="E41" t="s">
        <v>14</v>
      </c>
      <c r="F41" t="s">
        <v>38</v>
      </c>
      <c r="G41" t="s">
        <v>129</v>
      </c>
      <c r="H41" t="s">
        <v>130</v>
      </c>
      <c r="J41" t="s">
        <v>26</v>
      </c>
      <c r="K41" s="15">
        <v>45450</v>
      </c>
      <c r="L41" t="s">
        <v>38</v>
      </c>
      <c r="M41" t="str">
        <f>IF(COUNTIFS(PRO_LT_SCORECARD_FLEX_VALIDATIO!$K:$K, _xlfn.CONCAT(C41,D41), PRO_LT_SCORECARD_FLEX_VALIDATIO!$G:$G, "KO") &gt; 0, "NOK", "OK")</f>
        <v>OK</v>
      </c>
      <c r="Q41" t="s">
        <v>30</v>
      </c>
      <c r="R41" t="s">
        <v>131</v>
      </c>
      <c r="S41" t="s">
        <v>131</v>
      </c>
      <c r="T41" t="s">
        <v>131</v>
      </c>
      <c r="U41" t="s">
        <v>132</v>
      </c>
      <c r="V41" t="s">
        <v>132</v>
      </c>
      <c r="W41" t="s">
        <v>132</v>
      </c>
      <c r="X41" t="s">
        <v>5</v>
      </c>
      <c r="Y41" t="str">
        <f>_xlfn.IFNA(_xlfn.XLOOKUP(D41,[1]Especificação!$G:$G,[1]Especificação!$C:$C),0)</f>
        <v>F1. Fora âmbito | Campos concluídos - Sem necessidade de espec.</v>
      </c>
    </row>
    <row r="42" spans="1:25" ht="15">
      <c r="A42" s="50" t="str">
        <f t="shared" si="0"/>
        <v>INSTRUMENT_COD_SOC</v>
      </c>
      <c r="B42" s="50"/>
      <c r="C42" t="s">
        <v>127</v>
      </c>
      <c r="D42" t="s">
        <v>186</v>
      </c>
      <c r="E42" t="s">
        <v>14</v>
      </c>
      <c r="F42" t="s">
        <v>38</v>
      </c>
      <c r="G42" t="s">
        <v>129</v>
      </c>
      <c r="H42" t="s">
        <v>130</v>
      </c>
      <c r="J42" t="s">
        <v>26</v>
      </c>
      <c r="K42" s="15">
        <v>45450</v>
      </c>
      <c r="L42" t="s">
        <v>38</v>
      </c>
      <c r="M42" t="str">
        <f>IF(COUNTIFS(PRO_LT_SCORECARD_FLEX_VALIDATIO!$K:$K, _xlfn.CONCAT(C42,D42), PRO_LT_SCORECARD_FLEX_VALIDATIO!$G:$G, "KO") &gt; 0, "NOK", "OK")</f>
        <v>OK</v>
      </c>
      <c r="Q42" t="s">
        <v>30</v>
      </c>
      <c r="R42" t="s">
        <v>131</v>
      </c>
      <c r="S42" t="s">
        <v>131</v>
      </c>
      <c r="T42" t="s">
        <v>131</v>
      </c>
      <c r="U42" t="s">
        <v>132</v>
      </c>
      <c r="V42" t="s">
        <v>131</v>
      </c>
      <c r="W42" t="s">
        <v>131</v>
      </c>
      <c r="X42" t="s">
        <v>5</v>
      </c>
      <c r="Y42" t="str">
        <f>_xlfn.IFNA(_xlfn.XLOOKUP(D42,[1]Especificação!$G:$G,[1]Especificação!$C:$C),0)</f>
        <v>F1. Fora âmbito | Campos concluídos - Sem necessidade de espec.</v>
      </c>
    </row>
    <row r="43" spans="1:25" ht="15">
      <c r="A43" s="50" t="str">
        <f t="shared" si="0"/>
        <v>PROTECTION_COD_SOC</v>
      </c>
      <c r="B43" s="50"/>
      <c r="C43" t="s">
        <v>156</v>
      </c>
      <c r="D43" t="s">
        <v>186</v>
      </c>
      <c r="E43" t="s">
        <v>14</v>
      </c>
      <c r="F43" t="s">
        <v>38</v>
      </c>
      <c r="G43" t="s">
        <v>129</v>
      </c>
      <c r="H43" t="s">
        <v>130</v>
      </c>
      <c r="J43" t="s">
        <v>26</v>
      </c>
      <c r="K43" s="15">
        <v>45450</v>
      </c>
      <c r="L43" t="s">
        <v>38</v>
      </c>
      <c r="M43" t="str">
        <f>IF(COUNTIFS(PRO_LT_SCORECARD_FLEX_VALIDATIO!$K:$K, _xlfn.CONCAT(C43,D43), PRO_LT_SCORECARD_FLEX_VALIDATIO!$G:$G, "KO") &gt; 0, "NOK", "OK")</f>
        <v>OK</v>
      </c>
      <c r="Q43" t="s">
        <v>30</v>
      </c>
      <c r="R43" t="s">
        <v>131</v>
      </c>
      <c r="S43" t="s">
        <v>131</v>
      </c>
      <c r="T43" t="s">
        <v>131</v>
      </c>
      <c r="U43" t="s">
        <v>132</v>
      </c>
      <c r="V43" t="s">
        <v>131</v>
      </c>
      <c r="W43" t="s">
        <v>132</v>
      </c>
      <c r="X43" t="s">
        <v>5</v>
      </c>
      <c r="Y43" t="str">
        <f>_xlfn.IFNA(_xlfn.XLOOKUP(D43,[1]Especificação!$G:$G,[1]Especificação!$C:$C),0)</f>
        <v>F1. Fora âmbito | Campos concluídos - Sem necessidade de espec.</v>
      </c>
    </row>
    <row r="44" spans="1:25" ht="15">
      <c r="A44" s="50" t="str">
        <f t="shared" si="0"/>
        <v>INSTRUMENT_COD_SOC_INTRGRP</v>
      </c>
      <c r="B44" s="50"/>
      <c r="C44" t="s">
        <v>127</v>
      </c>
      <c r="D44" t="s">
        <v>189</v>
      </c>
      <c r="E44" t="s">
        <v>14</v>
      </c>
      <c r="F44" t="s">
        <v>31</v>
      </c>
      <c r="G44" t="s">
        <v>145</v>
      </c>
      <c r="H44" t="s">
        <v>169</v>
      </c>
      <c r="J44" t="s">
        <v>29</v>
      </c>
      <c r="K44" s="15">
        <v>45460</v>
      </c>
      <c r="L44" t="s">
        <v>33</v>
      </c>
      <c r="M44" t="str">
        <f>IF(COUNTIFS(PRO_LT_SCORECARD_FLEX_VALIDATIO!$K:$K, _xlfn.CONCAT(C44,D44), PRO_LT_SCORECARD_FLEX_VALIDATIO!$G:$G, "KO") &gt; 0, "NOK", "OK")</f>
        <v>OK</v>
      </c>
      <c r="O44" s="15">
        <v>45303</v>
      </c>
      <c r="P44" s="15">
        <v>45379</v>
      </c>
      <c r="Q44" t="s">
        <v>19</v>
      </c>
      <c r="R44" t="s">
        <v>131</v>
      </c>
      <c r="S44" t="s">
        <v>131</v>
      </c>
      <c r="T44" t="s">
        <v>132</v>
      </c>
      <c r="U44" t="s">
        <v>132</v>
      </c>
      <c r="V44" t="s">
        <v>132</v>
      </c>
      <c r="W44" t="s">
        <v>132</v>
      </c>
      <c r="X44" t="s">
        <v>5</v>
      </c>
      <c r="Y44">
        <f>_xlfn.IFNA(_xlfn.XLOOKUP(D44,[1]Especificação!$G:$G,[1]Especificação!$C:$C),0)</f>
        <v>0</v>
      </c>
    </row>
    <row r="45" spans="1:25" ht="15">
      <c r="A45" s="50" t="str">
        <f t="shared" si="0"/>
        <v>INSTRUMENT_CPN_CRRNCY</v>
      </c>
      <c r="B45" s="50"/>
      <c r="C45" t="s">
        <v>127</v>
      </c>
      <c r="D45" t="s">
        <v>190</v>
      </c>
      <c r="E45" t="s">
        <v>6</v>
      </c>
      <c r="F45" t="s">
        <v>38</v>
      </c>
      <c r="G45" t="s">
        <v>129</v>
      </c>
      <c r="H45" t="s">
        <v>130</v>
      </c>
      <c r="J45" t="s">
        <v>26</v>
      </c>
      <c r="K45" s="15">
        <v>45450</v>
      </c>
      <c r="L45" t="s">
        <v>38</v>
      </c>
      <c r="M45" t="str">
        <f>IF(COUNTIFS(PRO_LT_SCORECARD_FLEX_VALIDATIO!$K:$K, _xlfn.CONCAT(C45,D45), PRO_LT_SCORECARD_FLEX_VALIDATIO!$G:$G, "KO") &gt; 0, "NOK", "OK")</f>
        <v>OK</v>
      </c>
      <c r="Q45" t="s">
        <v>30</v>
      </c>
      <c r="R45" t="s">
        <v>131</v>
      </c>
      <c r="S45" t="s">
        <v>132</v>
      </c>
      <c r="T45" t="s">
        <v>132</v>
      </c>
      <c r="U45" t="s">
        <v>132</v>
      </c>
      <c r="V45" t="s">
        <v>132</v>
      </c>
      <c r="W45" t="s">
        <v>132</v>
      </c>
      <c r="X45" t="s">
        <v>5</v>
      </c>
      <c r="Y45">
        <f>_xlfn.IFNA(_xlfn.XLOOKUP(D45,[1]Especificação!$G:$G,[1]Especificação!$C:$C),0)</f>
        <v>0</v>
      </c>
    </row>
    <row r="46" spans="1:25" ht="15">
      <c r="A46" s="50" t="str">
        <f t="shared" si="0"/>
        <v>INSTRUMENT_CPN_RT_FXD</v>
      </c>
      <c r="B46" s="50"/>
      <c r="C46" t="s">
        <v>127</v>
      </c>
      <c r="D46" t="s">
        <v>191</v>
      </c>
      <c r="E46" t="s">
        <v>6</v>
      </c>
      <c r="F46" t="s">
        <v>38</v>
      </c>
      <c r="G46" t="s">
        <v>129</v>
      </c>
      <c r="H46" t="s">
        <v>130</v>
      </c>
      <c r="J46" t="s">
        <v>26</v>
      </c>
      <c r="K46" s="15">
        <v>45450</v>
      </c>
      <c r="L46" t="s">
        <v>38</v>
      </c>
      <c r="M46" t="str">
        <f>IF(COUNTIFS(PRO_LT_SCORECARD_FLEX_VALIDATIO!$K:$K, _xlfn.CONCAT(C46,D46), PRO_LT_SCORECARD_FLEX_VALIDATIO!$G:$G, "KO") &gt; 0, "NOK", "OK")</f>
        <v>OK</v>
      </c>
      <c r="Q46" t="s">
        <v>30</v>
      </c>
      <c r="R46" t="s">
        <v>131</v>
      </c>
      <c r="S46" t="s">
        <v>132</v>
      </c>
      <c r="T46" t="s">
        <v>132</v>
      </c>
      <c r="U46" t="s">
        <v>132</v>
      </c>
      <c r="V46" t="s">
        <v>132</v>
      </c>
      <c r="W46" t="s">
        <v>132</v>
      </c>
      <c r="X46" t="s">
        <v>5</v>
      </c>
      <c r="Y46">
        <f>_xlfn.IFNA(_xlfn.XLOOKUP(D46,[1]Especificação!$G:$G,[1]Especificação!$C:$C),0)</f>
        <v>0</v>
      </c>
    </row>
    <row r="47" spans="1:25" ht="15">
      <c r="A47" s="50" t="str">
        <f t="shared" si="0"/>
        <v>ENTITY_CR_FLG</v>
      </c>
      <c r="B47" s="50"/>
      <c r="C47" t="s">
        <v>139</v>
      </c>
      <c r="D47" t="s">
        <v>192</v>
      </c>
      <c r="E47" t="s">
        <v>6</v>
      </c>
      <c r="F47" t="s">
        <v>36</v>
      </c>
      <c r="G47" t="s">
        <v>145</v>
      </c>
      <c r="H47" t="s">
        <v>158</v>
      </c>
      <c r="J47" t="s">
        <v>29</v>
      </c>
      <c r="K47" s="15">
        <v>45952</v>
      </c>
      <c r="L47" t="s">
        <v>25</v>
      </c>
      <c r="M47" t="str">
        <f>IF(COUNTIFS(PRO_LT_SCORECARD_FLEX_VALIDATIO!$K:$K, _xlfn.CONCAT(C47,D47), PRO_LT_SCORECARD_FLEX_VALIDATIO!$G:$G, "KO") &gt; 0, "NOK", "OK")</f>
        <v>NOK</v>
      </c>
      <c r="N47" t="s">
        <v>1310</v>
      </c>
      <c r="O47" s="15"/>
      <c r="P47" s="15">
        <v>45952</v>
      </c>
      <c r="Q47" t="s">
        <v>8</v>
      </c>
      <c r="R47" t="s">
        <v>131</v>
      </c>
      <c r="S47" t="s">
        <v>132</v>
      </c>
      <c r="T47" t="s">
        <v>132</v>
      </c>
      <c r="U47" t="s">
        <v>132</v>
      </c>
      <c r="V47" t="s">
        <v>132</v>
      </c>
      <c r="W47" t="s">
        <v>132</v>
      </c>
      <c r="X47" t="s">
        <v>5</v>
      </c>
      <c r="Y47">
        <f>_xlfn.IFNA(_xlfn.XLOOKUP(D47,[1]Especificação!$G:$G,[1]Especificação!$C:$C),0)</f>
        <v>0</v>
      </c>
    </row>
    <row r="48" spans="1:25" ht="15">
      <c r="A48" s="50" t="str">
        <f t="shared" si="0"/>
        <v>INSTRUMENT_CRE_FNRP18</v>
      </c>
      <c r="B48" s="50"/>
      <c r="C48" t="s">
        <v>127</v>
      </c>
      <c r="D48" t="s">
        <v>193</v>
      </c>
      <c r="E48" t="s">
        <v>14</v>
      </c>
      <c r="F48" t="s">
        <v>38</v>
      </c>
      <c r="G48" t="s">
        <v>129</v>
      </c>
      <c r="H48" t="s">
        <v>130</v>
      </c>
      <c r="J48" t="s">
        <v>26</v>
      </c>
      <c r="K48" s="15">
        <v>45952</v>
      </c>
      <c r="L48" t="s">
        <v>38</v>
      </c>
      <c r="M48" t="str">
        <f>IF(COUNTIFS(PRO_LT_SCORECARD_FLEX_VALIDATIO!$K:$K, _xlfn.CONCAT(C48,D48), PRO_LT_SCORECARD_FLEX_VALIDATIO!$G:$G, "KO") &gt; 0, "NOK", "OK")</f>
        <v>OK</v>
      </c>
      <c r="P48" s="15">
        <v>45952</v>
      </c>
      <c r="Q48" t="s">
        <v>30</v>
      </c>
      <c r="R48" t="s">
        <v>131</v>
      </c>
      <c r="S48" t="s">
        <v>132</v>
      </c>
      <c r="T48" t="s">
        <v>132</v>
      </c>
      <c r="U48" t="s">
        <v>132</v>
      </c>
      <c r="V48" t="s">
        <v>132</v>
      </c>
      <c r="W48" t="s">
        <v>132</v>
      </c>
      <c r="X48" t="s">
        <v>5</v>
      </c>
      <c r="Y48">
        <f>_xlfn.IFNA(_xlfn.XLOOKUP(D48,[1]Especificação!$G:$G,[1]Especificação!$C:$C),0)</f>
        <v>0</v>
      </c>
    </row>
    <row r="49" spans="1:25" ht="15">
      <c r="A49" s="50" t="str">
        <f t="shared" si="0"/>
        <v>PROTECTION_CRE_INCM_CRRNCY</v>
      </c>
      <c r="B49" s="50"/>
      <c r="C49" t="s">
        <v>156</v>
      </c>
      <c r="D49" t="s">
        <v>194</v>
      </c>
      <c r="E49" t="s">
        <v>6</v>
      </c>
      <c r="F49" t="s">
        <v>37</v>
      </c>
      <c r="G49" t="s">
        <v>145</v>
      </c>
      <c r="H49" t="s">
        <v>195</v>
      </c>
      <c r="J49" t="s">
        <v>26</v>
      </c>
      <c r="K49" s="15">
        <v>45450</v>
      </c>
      <c r="L49" t="s">
        <v>37</v>
      </c>
      <c r="M49" t="str">
        <f>IF(COUNTIFS(PRO_LT_SCORECARD_FLEX_VALIDATIO!$K:$K, _xlfn.CONCAT(C49,D49), PRO_LT_SCORECARD_FLEX_VALIDATIO!$G:$G, "KO") &gt; 0, "NOK", "OK")</f>
        <v>OK</v>
      </c>
      <c r="Q49" t="s">
        <v>27</v>
      </c>
      <c r="R49" t="s">
        <v>131</v>
      </c>
      <c r="S49" t="s">
        <v>132</v>
      </c>
      <c r="T49" t="s">
        <v>132</v>
      </c>
      <c r="U49" t="s">
        <v>132</v>
      </c>
      <c r="V49" t="s">
        <v>132</v>
      </c>
      <c r="W49" t="s">
        <v>132</v>
      </c>
      <c r="X49" t="s">
        <v>5</v>
      </c>
      <c r="Y49">
        <f>_xlfn.IFNA(_xlfn.XLOOKUP(D49,[1]Especificação!$G:$G,[1]Especificação!$C:$C),0)</f>
        <v>0</v>
      </c>
    </row>
    <row r="50" spans="1:25" ht="15">
      <c r="A50" s="50" t="str">
        <f t="shared" si="0"/>
        <v>PROTECTION_CRE_YRLY_EXPNSS</v>
      </c>
      <c r="B50" s="50"/>
      <c r="C50" t="s">
        <v>156</v>
      </c>
      <c r="D50" t="s">
        <v>196</v>
      </c>
      <c r="E50" t="s">
        <v>6</v>
      </c>
      <c r="F50" t="s">
        <v>37</v>
      </c>
      <c r="G50" t="s">
        <v>129</v>
      </c>
      <c r="H50" t="s">
        <v>195</v>
      </c>
      <c r="J50" t="s">
        <v>26</v>
      </c>
      <c r="K50" s="15">
        <v>45450</v>
      </c>
      <c r="L50" t="s">
        <v>37</v>
      </c>
      <c r="M50" t="str">
        <f>IF(COUNTIFS(PRO_LT_SCORECARD_FLEX_VALIDATIO!$K:$K, _xlfn.CONCAT(C50,D50), PRO_LT_SCORECARD_FLEX_VALIDATIO!$G:$G, "KO") &gt; 0, "NOK", "OK")</f>
        <v>OK</v>
      </c>
      <c r="Q50" t="s">
        <v>27</v>
      </c>
      <c r="R50" t="s">
        <v>131</v>
      </c>
      <c r="S50" t="s">
        <v>132</v>
      </c>
      <c r="T50" t="s">
        <v>132</v>
      </c>
      <c r="U50" t="s">
        <v>132</v>
      </c>
      <c r="V50" t="s">
        <v>132</v>
      </c>
      <c r="W50" t="s">
        <v>132</v>
      </c>
      <c r="X50" t="s">
        <v>5</v>
      </c>
      <c r="Y50">
        <f>_xlfn.IFNA(_xlfn.XLOOKUP(D50,[1]Especificação!$G:$G,[1]Especificação!$C:$C),0)</f>
        <v>0</v>
      </c>
    </row>
    <row r="51" spans="1:25" ht="15">
      <c r="A51" s="50" t="str">
        <f t="shared" si="0"/>
        <v>PROTECTION_CRE_YRLY_INCM</v>
      </c>
      <c r="B51" s="50"/>
      <c r="C51" t="s">
        <v>156</v>
      </c>
      <c r="D51" t="s">
        <v>197</v>
      </c>
      <c r="E51" t="s">
        <v>6</v>
      </c>
      <c r="F51" t="s">
        <v>37</v>
      </c>
      <c r="G51" t="s">
        <v>129</v>
      </c>
      <c r="H51" t="s">
        <v>195</v>
      </c>
      <c r="J51" t="s">
        <v>26</v>
      </c>
      <c r="K51" s="15">
        <v>45450</v>
      </c>
      <c r="L51" t="s">
        <v>37</v>
      </c>
      <c r="M51" t="str">
        <f>IF(COUNTIFS(PRO_LT_SCORECARD_FLEX_VALIDATIO!$K:$K, _xlfn.CONCAT(C51,D51), PRO_LT_SCORECARD_FLEX_VALIDATIO!$G:$G, "KO") &gt; 0, "NOK", "OK")</f>
        <v>OK</v>
      </c>
      <c r="Q51" t="s">
        <v>27</v>
      </c>
      <c r="R51" t="s">
        <v>131</v>
      </c>
      <c r="S51" t="s">
        <v>132</v>
      </c>
      <c r="T51" t="s">
        <v>132</v>
      </c>
      <c r="U51" t="s">
        <v>132</v>
      </c>
      <c r="V51" t="s">
        <v>132</v>
      </c>
      <c r="W51" t="s">
        <v>132</v>
      </c>
      <c r="X51" t="s">
        <v>5</v>
      </c>
      <c r="Y51">
        <f>_xlfn.IFNA(_xlfn.XLOOKUP(D51,[1]Especificação!$G:$G,[1]Especificação!$C:$C),0)</f>
        <v>0</v>
      </c>
    </row>
    <row r="52" spans="1:25" ht="15">
      <c r="A52" s="50" t="str">
        <f t="shared" si="0"/>
        <v>INSTRUMENT_CRRLTN_CFFCNT</v>
      </c>
      <c r="B52" s="50"/>
      <c r="C52" t="s">
        <v>127</v>
      </c>
      <c r="D52" t="s">
        <v>198</v>
      </c>
      <c r="E52" t="s">
        <v>6</v>
      </c>
      <c r="F52" t="s">
        <v>36</v>
      </c>
      <c r="G52" t="s">
        <v>145</v>
      </c>
      <c r="H52" t="s">
        <v>158</v>
      </c>
      <c r="J52" t="s">
        <v>29</v>
      </c>
      <c r="K52" s="15">
        <v>45450</v>
      </c>
      <c r="L52" t="s">
        <v>36</v>
      </c>
      <c r="M52" t="str">
        <f>IF(COUNTIFS(PRO_LT_SCORECARD_FLEX_VALIDATIO!$K:$K, _xlfn.CONCAT(C52,D52), PRO_LT_SCORECARD_FLEX_VALIDATIO!$G:$G, "KO") &gt; 0, "NOK", "OK")</f>
        <v>NOK</v>
      </c>
      <c r="Q52" t="s">
        <v>8</v>
      </c>
      <c r="R52" t="s">
        <v>131</v>
      </c>
      <c r="S52" t="s">
        <v>132</v>
      </c>
      <c r="T52" t="s">
        <v>132</v>
      </c>
      <c r="U52" t="s">
        <v>132</v>
      </c>
      <c r="V52" t="s">
        <v>132</v>
      </c>
      <c r="W52" t="s">
        <v>132</v>
      </c>
      <c r="X52" t="s">
        <v>5</v>
      </c>
      <c r="Y52">
        <f>_xlfn.IFNA(_xlfn.XLOOKUP(D52,[1]Especificação!$G:$G,[1]Especificação!$C:$C),0)</f>
        <v>0</v>
      </c>
    </row>
    <row r="53" spans="1:25" ht="15">
      <c r="A53" s="50" t="str">
        <f t="shared" si="0"/>
        <v>INSTRUMENT_CRRNCY_DNMNTN</v>
      </c>
      <c r="B53" s="50"/>
      <c r="C53" t="s">
        <v>127</v>
      </c>
      <c r="D53" t="s">
        <v>199</v>
      </c>
      <c r="E53" t="s">
        <v>14</v>
      </c>
      <c r="F53" t="s">
        <v>38</v>
      </c>
      <c r="G53" t="s">
        <v>129</v>
      </c>
      <c r="H53" t="s">
        <v>130</v>
      </c>
      <c r="J53" t="s">
        <v>26</v>
      </c>
      <c r="K53" s="15">
        <v>45450</v>
      </c>
      <c r="L53" t="s">
        <v>38</v>
      </c>
      <c r="M53" t="str">
        <f>IF(COUNTIFS(PRO_LT_SCORECARD_FLEX_VALIDATIO!$K:$K, _xlfn.CONCAT(C53,D53), PRO_LT_SCORECARD_FLEX_VALIDATIO!$G:$G, "KO") &gt; 0, "NOK", "OK")</f>
        <v>OK</v>
      </c>
      <c r="Q53" t="s">
        <v>30</v>
      </c>
      <c r="R53" t="s">
        <v>131</v>
      </c>
      <c r="S53" t="s">
        <v>132</v>
      </c>
      <c r="T53" t="s">
        <v>132</v>
      </c>
      <c r="U53" t="s">
        <v>132</v>
      </c>
      <c r="V53" t="s">
        <v>132</v>
      </c>
      <c r="W53" t="s">
        <v>131</v>
      </c>
      <c r="X53" t="s">
        <v>5</v>
      </c>
      <c r="Y53" t="str">
        <f>_xlfn.IFNA(_xlfn.XLOOKUP(D53,[1]Especificação!$G:$G,[1]Especificação!$C:$C),0)</f>
        <v>F1. Fora âmbito | Campos concluídos - Sem necessidade de espec.</v>
      </c>
    </row>
    <row r="54" spans="1:25" ht="15">
      <c r="A54" s="50" t="str">
        <f t="shared" si="0"/>
        <v>INSTRUMENT_CRRYNG_AMNT_INSTRMNT</v>
      </c>
      <c r="B54" s="50"/>
      <c r="C54" t="s">
        <v>127</v>
      </c>
      <c r="D54" t="s">
        <v>200</v>
      </c>
      <c r="E54" t="s">
        <v>14</v>
      </c>
      <c r="F54" t="s">
        <v>38</v>
      </c>
      <c r="G54" t="s">
        <v>129</v>
      </c>
      <c r="H54" t="s">
        <v>130</v>
      </c>
      <c r="J54" t="s">
        <v>26</v>
      </c>
      <c r="K54" s="15">
        <v>45450</v>
      </c>
      <c r="L54" t="s">
        <v>38</v>
      </c>
      <c r="M54" t="str">
        <f>IF(COUNTIFS(PRO_LT_SCORECARD_FLEX_VALIDATIO!$K:$K, _xlfn.CONCAT(C54,D54), PRO_LT_SCORECARD_FLEX_VALIDATIO!$G:$G, "KO") &gt; 0, "NOK", "OK")</f>
        <v>NOK</v>
      </c>
      <c r="Q54" t="s">
        <v>30</v>
      </c>
      <c r="R54" t="s">
        <v>131</v>
      </c>
      <c r="S54" t="s">
        <v>132</v>
      </c>
      <c r="T54" t="s">
        <v>132</v>
      </c>
      <c r="U54" t="s">
        <v>132</v>
      </c>
      <c r="V54" t="s">
        <v>132</v>
      </c>
      <c r="W54" t="s">
        <v>131</v>
      </c>
      <c r="X54" t="s">
        <v>5</v>
      </c>
      <c r="Y54" t="str">
        <f>_xlfn.IFNA(_xlfn.XLOOKUP(D54,[1]Especificação!$G:$G,[1]Especificação!$C:$C),0)</f>
        <v>F1. Fora âmbito | Campos concluídos - Sem necessidade de espec.</v>
      </c>
    </row>
    <row r="55" spans="1:25" ht="15">
      <c r="A55" s="50" t="str">
        <f t="shared" si="0"/>
        <v>ENTITY_CSH</v>
      </c>
      <c r="B55" s="50"/>
      <c r="C55" t="s">
        <v>139</v>
      </c>
      <c r="D55" t="s">
        <v>201</v>
      </c>
      <c r="E55" t="s">
        <v>14</v>
      </c>
      <c r="F55" t="s">
        <v>25</v>
      </c>
      <c r="G55" t="s">
        <v>129</v>
      </c>
      <c r="H55" t="s">
        <v>141</v>
      </c>
      <c r="I55" t="s">
        <v>142</v>
      </c>
      <c r="J55" t="s">
        <v>29</v>
      </c>
      <c r="K55" s="15">
        <v>45450</v>
      </c>
      <c r="L55" t="s">
        <v>25</v>
      </c>
      <c r="M55" t="str">
        <f>IF(COUNTIFS(PRO_LT_SCORECARD_FLEX_VALIDATIO!$K:$K, _xlfn.CONCAT(C55,D55), PRO_LT_SCORECARD_FLEX_VALIDATIO!$G:$G, "KO") &gt; 0, "NOK", "OK")</f>
        <v>NOK</v>
      </c>
      <c r="Q55" t="s">
        <v>13</v>
      </c>
      <c r="R55" t="s">
        <v>131</v>
      </c>
      <c r="S55" t="s">
        <v>132</v>
      </c>
      <c r="T55" t="s">
        <v>132</v>
      </c>
      <c r="U55" t="s">
        <v>132</v>
      </c>
      <c r="V55" t="s">
        <v>132</v>
      </c>
      <c r="W55" t="s">
        <v>132</v>
      </c>
      <c r="X55" t="s">
        <v>5</v>
      </c>
      <c r="Y55">
        <f>_xlfn.IFNA(_xlfn.XLOOKUP(D55,[1]Especificação!$G:$G,[1]Especificação!$C:$C),0)</f>
        <v>0</v>
      </c>
    </row>
    <row r="56" spans="1:25" ht="15">
      <c r="A56" s="50" t="str">
        <f t="shared" si="0"/>
        <v>ENTITY_CSH_PRVS</v>
      </c>
      <c r="B56" s="50"/>
      <c r="C56" t="s">
        <v>139</v>
      </c>
      <c r="D56" t="s">
        <v>202</v>
      </c>
      <c r="E56" t="s">
        <v>14</v>
      </c>
      <c r="F56" t="s">
        <v>25</v>
      </c>
      <c r="G56" t="s">
        <v>129</v>
      </c>
      <c r="H56" t="s">
        <v>141</v>
      </c>
      <c r="I56" t="s">
        <v>142</v>
      </c>
      <c r="J56" t="s">
        <v>29</v>
      </c>
      <c r="K56" s="15">
        <v>45450</v>
      </c>
      <c r="L56" t="s">
        <v>25</v>
      </c>
      <c r="M56" t="str">
        <f>IF(COUNTIFS(PRO_LT_SCORECARD_FLEX_VALIDATIO!$K:$K, _xlfn.CONCAT(C56,D56), PRO_LT_SCORECARD_FLEX_VALIDATIO!$G:$G, "KO") &gt; 0, "NOK", "OK")</f>
        <v>NOK</v>
      </c>
      <c r="Q56" t="s">
        <v>13</v>
      </c>
      <c r="R56" t="s">
        <v>131</v>
      </c>
      <c r="S56" t="s">
        <v>132</v>
      </c>
      <c r="T56" t="s">
        <v>132</v>
      </c>
      <c r="U56" t="s">
        <v>132</v>
      </c>
      <c r="V56" t="s">
        <v>132</v>
      </c>
      <c r="W56" t="s">
        <v>132</v>
      </c>
      <c r="X56" t="s">
        <v>5</v>
      </c>
      <c r="Y56">
        <f>_xlfn.IFNA(_xlfn.XLOOKUP(D56,[1]Especificação!$G:$G,[1]Especificação!$C:$C),0)</f>
        <v>0</v>
      </c>
    </row>
    <row r="57" spans="1:25" ht="15">
      <c r="A57" s="50" t="str">
        <f t="shared" si="0"/>
        <v>INSTRUMENT_CSH_SWP_TRP</v>
      </c>
      <c r="B57" s="50"/>
      <c r="C57" t="s">
        <v>127</v>
      </c>
      <c r="D57" t="s">
        <v>203</v>
      </c>
      <c r="E57" t="s">
        <v>14</v>
      </c>
      <c r="F57" t="s">
        <v>38</v>
      </c>
      <c r="G57" t="s">
        <v>129</v>
      </c>
      <c r="H57" t="s">
        <v>130</v>
      </c>
      <c r="J57" t="s">
        <v>26</v>
      </c>
      <c r="K57" s="15">
        <v>45450</v>
      </c>
      <c r="L57" t="s">
        <v>38</v>
      </c>
      <c r="M57" t="str">
        <f>IF(COUNTIFS(PRO_LT_SCORECARD_FLEX_VALIDATIO!$K:$K, _xlfn.CONCAT(C57,D57), PRO_LT_SCORECARD_FLEX_VALIDATIO!$G:$G, "KO") &gt; 0, "NOK", "OK")</f>
        <v>OK</v>
      </c>
      <c r="Q57" t="s">
        <v>30</v>
      </c>
      <c r="R57" t="s">
        <v>131</v>
      </c>
      <c r="S57" t="s">
        <v>132</v>
      </c>
      <c r="T57" t="s">
        <v>132</v>
      </c>
      <c r="U57" t="s">
        <v>132</v>
      </c>
      <c r="V57" t="s">
        <v>132</v>
      </c>
      <c r="W57" t="s">
        <v>131</v>
      </c>
      <c r="X57" t="s">
        <v>5</v>
      </c>
      <c r="Y57" t="str">
        <f>_xlfn.IFNA(_xlfn.XLOOKUP(D57,[1]Especificação!$G:$G,[1]Especificação!$C:$C),0)</f>
        <v>F1. Fora âmbito | Campos concluídos - Sem necessidade de espec.</v>
      </c>
    </row>
    <row r="58" spans="1:25" ht="15">
      <c r="A58" s="50" t="str">
        <f t="shared" si="0"/>
        <v>INSTRUMENT_CVNNT_STTS</v>
      </c>
      <c r="B58" s="50"/>
      <c r="C58" t="s">
        <v>127</v>
      </c>
      <c r="D58" t="s">
        <v>204</v>
      </c>
      <c r="E58" t="s">
        <v>6</v>
      </c>
      <c r="F58" t="s">
        <v>37</v>
      </c>
      <c r="G58" t="s">
        <v>129</v>
      </c>
      <c r="H58" t="s">
        <v>164</v>
      </c>
      <c r="J58" t="s">
        <v>26</v>
      </c>
      <c r="K58" s="15">
        <v>45450</v>
      </c>
      <c r="L58" t="s">
        <v>37</v>
      </c>
      <c r="M58" t="str">
        <f>IF(COUNTIFS(PRO_LT_SCORECARD_FLEX_VALIDATIO!$K:$K, _xlfn.CONCAT(C58,D58), PRO_LT_SCORECARD_FLEX_VALIDATIO!$G:$G, "KO") &gt; 0, "NOK", "OK")</f>
        <v>NOK</v>
      </c>
      <c r="Q58" t="s">
        <v>27</v>
      </c>
      <c r="R58" t="s">
        <v>131</v>
      </c>
      <c r="S58" t="s">
        <v>132</v>
      </c>
      <c r="T58" t="s">
        <v>132</v>
      </c>
      <c r="U58" t="s">
        <v>132</v>
      </c>
      <c r="V58" t="s">
        <v>132</v>
      </c>
      <c r="W58" t="s">
        <v>131</v>
      </c>
      <c r="X58" t="s">
        <v>143</v>
      </c>
      <c r="Y58" t="str">
        <f>_xlfn.IFNA(_xlfn.XLOOKUP(D58,[1]Especificação!$G:$G,[1]Especificação!$C:$C),0)</f>
        <v>F3. Fora âmbito | Fonte Manual LF</v>
      </c>
    </row>
    <row r="59" spans="1:25" ht="15">
      <c r="A59" s="50" t="str">
        <f t="shared" si="0"/>
        <v>INSTRUMENT_CVNNT_TYP</v>
      </c>
      <c r="B59" s="50"/>
      <c r="C59" t="s">
        <v>127</v>
      </c>
      <c r="D59" t="s">
        <v>205</v>
      </c>
      <c r="E59" t="s">
        <v>6</v>
      </c>
      <c r="F59" t="s">
        <v>38</v>
      </c>
      <c r="G59" t="s">
        <v>129</v>
      </c>
      <c r="H59" t="s">
        <v>130</v>
      </c>
      <c r="J59" t="s">
        <v>26</v>
      </c>
      <c r="K59" s="15">
        <v>45450</v>
      </c>
      <c r="L59" t="s">
        <v>38</v>
      </c>
      <c r="M59" t="str">
        <f>IF(COUNTIFS(PRO_LT_SCORECARD_FLEX_VALIDATIO!$K:$K, _xlfn.CONCAT(C59,D59), PRO_LT_SCORECARD_FLEX_VALIDATIO!$G:$G, "KO") &gt; 0, "NOK", "OK")</f>
        <v>OK</v>
      </c>
      <c r="Q59" t="s">
        <v>30</v>
      </c>
      <c r="R59" t="s">
        <v>131</v>
      </c>
      <c r="S59" t="s">
        <v>132</v>
      </c>
      <c r="T59" t="s">
        <v>132</v>
      </c>
      <c r="U59" t="s">
        <v>132</v>
      </c>
      <c r="V59" t="s">
        <v>132</v>
      </c>
      <c r="W59" t="s">
        <v>131</v>
      </c>
      <c r="X59" t="s">
        <v>143</v>
      </c>
      <c r="Y59" t="str">
        <f>_xlfn.IFNA(_xlfn.XLOOKUP(D59,[1]Especificação!$G:$G,[1]Especificação!$C:$C),0)</f>
        <v>F3. Fora âmbito | Fonte Manual LF</v>
      </c>
    </row>
    <row r="60" spans="1:25" ht="15">
      <c r="A60" s="50" t="str">
        <f t="shared" si="0"/>
        <v>ENTITY_DBT_RPYMNT_CPCTY_SNR_DBT</v>
      </c>
      <c r="B60" s="50"/>
      <c r="C60" t="s">
        <v>139</v>
      </c>
      <c r="D60" t="s">
        <v>206</v>
      </c>
      <c r="E60" t="s">
        <v>6</v>
      </c>
      <c r="F60" t="s">
        <v>37</v>
      </c>
      <c r="G60" t="s">
        <v>129</v>
      </c>
      <c r="H60" t="s">
        <v>164</v>
      </c>
      <c r="J60" t="s">
        <v>26</v>
      </c>
      <c r="K60" s="15">
        <v>45958</v>
      </c>
      <c r="L60" t="s">
        <v>38</v>
      </c>
      <c r="M60" t="str">
        <f>IF(COUNTIFS(PRO_LT_SCORECARD_FLEX_VALIDATIO!$K:$K, _xlfn.CONCAT(C60,D60), PRO_LT_SCORECARD_FLEX_VALIDATIO!$G:$G, "KO") &gt; 0, "NOK", "OK")</f>
        <v>NOK</v>
      </c>
      <c r="P60" s="15">
        <v>45958</v>
      </c>
      <c r="Q60" t="s">
        <v>27</v>
      </c>
      <c r="R60" t="s">
        <v>131</v>
      </c>
      <c r="S60" t="s">
        <v>132</v>
      </c>
      <c r="T60" t="s">
        <v>132</v>
      </c>
      <c r="U60" t="s">
        <v>132</v>
      </c>
      <c r="V60" t="s">
        <v>132</v>
      </c>
      <c r="W60" t="s">
        <v>131</v>
      </c>
      <c r="X60" t="s">
        <v>143</v>
      </c>
      <c r="Y60" t="str">
        <f>_xlfn.IFNA(_xlfn.XLOOKUP(D60,[1]Especificação!$G:$G,[1]Especificação!$C:$C),0)</f>
        <v>B2. Re-especificação de campos complexos - Resto</v>
      </c>
    </row>
    <row r="61" spans="1:25" ht="15">
      <c r="A61" s="50" t="str">
        <f t="shared" si="0"/>
        <v>ENTITY_DBT_RPYMNT_CPCTY_TTL</v>
      </c>
      <c r="B61" s="50"/>
      <c r="C61" t="s">
        <v>139</v>
      </c>
      <c r="D61" t="s">
        <v>207</v>
      </c>
      <c r="E61" t="s">
        <v>6</v>
      </c>
      <c r="F61" t="s">
        <v>38</v>
      </c>
      <c r="G61" t="s">
        <v>129</v>
      </c>
      <c r="H61" t="s">
        <v>130</v>
      </c>
      <c r="J61" t="s">
        <v>26</v>
      </c>
      <c r="K61" s="15">
        <v>45958</v>
      </c>
      <c r="L61" t="s">
        <v>38</v>
      </c>
      <c r="M61" t="str">
        <f>IF(COUNTIFS(PRO_LT_SCORECARD_FLEX_VALIDATIO!$K:$K, _xlfn.CONCAT(C61,D61), PRO_LT_SCORECARD_FLEX_VALIDATIO!$G:$G, "KO") &gt; 0, "NOK", "OK")</f>
        <v>NOK</v>
      </c>
      <c r="P61" s="15">
        <v>45958</v>
      </c>
      <c r="Q61" t="s">
        <v>30</v>
      </c>
      <c r="R61" t="s">
        <v>131</v>
      </c>
      <c r="S61" t="s">
        <v>132</v>
      </c>
      <c r="T61" t="s">
        <v>132</v>
      </c>
      <c r="U61" t="s">
        <v>132</v>
      </c>
      <c r="V61" t="s">
        <v>132</v>
      </c>
      <c r="W61" t="s">
        <v>131</v>
      </c>
      <c r="X61" t="s">
        <v>5</v>
      </c>
      <c r="Y61" t="str">
        <f>_xlfn.IFNA(_xlfn.XLOOKUP(D61,[1]Especificação!$G:$G,[1]Especificação!$C:$C),0)</f>
        <v>B2. Re-especificação de campos complexos - Resto</v>
      </c>
    </row>
    <row r="62" spans="1:25" ht="15">
      <c r="A62" s="50" t="str">
        <f t="shared" si="0"/>
        <v>ENTITY_DBT_SRVC_RT</v>
      </c>
      <c r="B62" s="50"/>
      <c r="C62" t="s">
        <v>139</v>
      </c>
      <c r="D62" t="s">
        <v>208</v>
      </c>
      <c r="E62" t="s">
        <v>14</v>
      </c>
      <c r="F62" t="s">
        <v>25</v>
      </c>
      <c r="G62" t="s">
        <v>129</v>
      </c>
      <c r="H62" t="s">
        <v>141</v>
      </c>
      <c r="I62" t="s">
        <v>142</v>
      </c>
      <c r="J62" t="s">
        <v>29</v>
      </c>
      <c r="K62" s="15">
        <v>45450</v>
      </c>
      <c r="L62" t="s">
        <v>25</v>
      </c>
      <c r="M62" t="str">
        <f>IF(COUNTIFS(PRO_LT_SCORECARD_FLEX_VALIDATIO!$K:$K, _xlfn.CONCAT(C62,D62), PRO_LT_SCORECARD_FLEX_VALIDATIO!$G:$G, "KO") &gt; 0, "NOK", "OK")</f>
        <v>NOK</v>
      </c>
      <c r="Q62" t="s">
        <v>13</v>
      </c>
      <c r="R62" t="s">
        <v>131</v>
      </c>
      <c r="S62" t="s">
        <v>132</v>
      </c>
      <c r="T62" t="s">
        <v>132</v>
      </c>
      <c r="U62" t="s">
        <v>132</v>
      </c>
      <c r="V62" t="s">
        <v>132</v>
      </c>
      <c r="W62" t="s">
        <v>132</v>
      </c>
      <c r="X62" t="s">
        <v>5</v>
      </c>
      <c r="Y62">
        <f>_xlfn.IFNA(_xlfn.XLOOKUP(D62,[1]Especificação!$G:$G,[1]Especificação!$C:$C),0)</f>
        <v>0</v>
      </c>
    </row>
    <row r="63" spans="1:25" ht="15">
      <c r="A63" s="50" t="str">
        <f t="shared" si="0"/>
        <v>ENTITY_DBT_SRVC_RT_12M</v>
      </c>
      <c r="B63" s="50"/>
      <c r="C63" t="s">
        <v>139</v>
      </c>
      <c r="D63" t="s">
        <v>209</v>
      </c>
      <c r="E63" t="s">
        <v>14</v>
      </c>
      <c r="F63" t="s">
        <v>25</v>
      </c>
      <c r="G63" t="s">
        <v>129</v>
      </c>
      <c r="H63" t="s">
        <v>141</v>
      </c>
      <c r="I63" t="s">
        <v>142</v>
      </c>
      <c r="J63" t="s">
        <v>29</v>
      </c>
      <c r="K63" s="15">
        <v>45450</v>
      </c>
      <c r="L63" t="s">
        <v>25</v>
      </c>
      <c r="M63" t="str">
        <f>IF(COUNTIFS(PRO_LT_SCORECARD_FLEX_VALIDATIO!$K:$K, _xlfn.CONCAT(C63,D63), PRO_LT_SCORECARD_FLEX_VALIDATIO!$G:$G, "KO") &gt; 0, "NOK", "OK")</f>
        <v>NOK</v>
      </c>
      <c r="Q63" t="s">
        <v>13</v>
      </c>
      <c r="R63" t="s">
        <v>131</v>
      </c>
      <c r="S63" t="s">
        <v>132</v>
      </c>
      <c r="T63" t="s">
        <v>132</v>
      </c>
      <c r="U63" t="s">
        <v>132</v>
      </c>
      <c r="V63" t="s">
        <v>132</v>
      </c>
      <c r="W63" t="s">
        <v>132</v>
      </c>
      <c r="X63" t="s">
        <v>5</v>
      </c>
      <c r="Y63">
        <f>_xlfn.IFNA(_xlfn.XLOOKUP(D63,[1]Especificação!$G:$G,[1]Especificação!$C:$C),0)</f>
        <v>0</v>
      </c>
    </row>
    <row r="64" spans="1:25" ht="15">
      <c r="A64" s="50" t="str">
        <f t="shared" si="0"/>
        <v>INSTRUMENT_DBT_YLD</v>
      </c>
      <c r="B64" s="50"/>
      <c r="C64" t="s">
        <v>127</v>
      </c>
      <c r="D64" t="s">
        <v>210</v>
      </c>
      <c r="E64" t="s">
        <v>6</v>
      </c>
      <c r="F64" t="s">
        <v>37</v>
      </c>
      <c r="G64" t="s">
        <v>129</v>
      </c>
      <c r="H64" t="s">
        <v>130</v>
      </c>
      <c r="J64" t="s">
        <v>26</v>
      </c>
      <c r="K64" s="15">
        <v>45450</v>
      </c>
      <c r="L64" t="s">
        <v>37</v>
      </c>
      <c r="M64" t="str">
        <f>IF(COUNTIFS(PRO_LT_SCORECARD_FLEX_VALIDATIO!$K:$K, _xlfn.CONCAT(C64,D64), PRO_LT_SCORECARD_FLEX_VALIDATIO!$G:$G, "KO") &gt; 0, "NOK", "OK")</f>
        <v>NOK</v>
      </c>
      <c r="Q64" t="s">
        <v>27</v>
      </c>
      <c r="R64" t="s">
        <v>131</v>
      </c>
      <c r="S64" t="s">
        <v>132</v>
      </c>
      <c r="T64" t="s">
        <v>132</v>
      </c>
      <c r="U64" t="s">
        <v>132</v>
      </c>
      <c r="V64" t="s">
        <v>132</v>
      </c>
      <c r="W64" t="s">
        <v>132</v>
      </c>
      <c r="X64" t="s">
        <v>5</v>
      </c>
      <c r="Y64">
        <f>_xlfn.IFNA(_xlfn.XLOOKUP(D64,[1]Especificação!$G:$G,[1]Especificação!$C:$C),0)</f>
        <v>0</v>
      </c>
    </row>
    <row r="65" spans="1:25" ht="15">
      <c r="A65" s="50" t="str">
        <f t="shared" si="0"/>
        <v>ENTITY_DCSD</v>
      </c>
      <c r="B65" s="50"/>
      <c r="C65" t="s">
        <v>139</v>
      </c>
      <c r="D65" t="s">
        <v>211</v>
      </c>
      <c r="E65" t="s">
        <v>6</v>
      </c>
      <c r="F65" t="s">
        <v>38</v>
      </c>
      <c r="G65" t="s">
        <v>129</v>
      </c>
      <c r="H65" t="s">
        <v>130</v>
      </c>
      <c r="J65" t="s">
        <v>26</v>
      </c>
      <c r="K65" s="15">
        <v>45450</v>
      </c>
      <c r="L65" t="s">
        <v>38</v>
      </c>
      <c r="M65" t="str">
        <f>IF(COUNTIFS(PRO_LT_SCORECARD_FLEX_VALIDATIO!$K:$K, _xlfn.CONCAT(C65,D65), PRO_LT_SCORECARD_FLEX_VALIDATIO!$G:$G, "KO") &gt; 0, "NOK", "OK")</f>
        <v>OK</v>
      </c>
      <c r="Q65" t="s">
        <v>30</v>
      </c>
      <c r="R65" t="s">
        <v>131</v>
      </c>
      <c r="S65" t="s">
        <v>132</v>
      </c>
      <c r="T65" t="s">
        <v>132</v>
      </c>
      <c r="U65" t="s">
        <v>132</v>
      </c>
      <c r="V65" t="s">
        <v>132</v>
      </c>
      <c r="W65" t="s">
        <v>132</v>
      </c>
      <c r="X65" t="s">
        <v>5</v>
      </c>
      <c r="Y65">
        <f>_xlfn.IFNA(_xlfn.XLOOKUP(D65,[1]Especificação!$G:$G,[1]Especificação!$C:$C),0)</f>
        <v>0</v>
      </c>
    </row>
    <row r="66" spans="1:25" ht="15">
      <c r="A66" s="50" t="str">
        <f t="shared" si="0"/>
        <v>ENTITY_DFLT_STTS</v>
      </c>
      <c r="B66" s="50"/>
      <c r="C66" t="s">
        <v>139</v>
      </c>
      <c r="D66" s="10" t="s">
        <v>212</v>
      </c>
      <c r="E66" t="s">
        <v>14</v>
      </c>
      <c r="F66" t="s">
        <v>28</v>
      </c>
      <c r="G66" t="s">
        <v>145</v>
      </c>
      <c r="H66" t="s">
        <v>213</v>
      </c>
      <c r="I66" t="s">
        <v>214</v>
      </c>
      <c r="J66" t="s">
        <v>32</v>
      </c>
      <c r="K66" s="15">
        <v>45957</v>
      </c>
      <c r="L66" t="s">
        <v>55</v>
      </c>
      <c r="M66" t="str">
        <f>IF(COUNTIFS(PRO_LT_SCORECARD_FLEX_VALIDATIO!$K:$K, _xlfn.CONCAT(C66,D66), PRO_LT_SCORECARD_FLEX_VALIDATIO!$G:$G, "KO") &gt; 0, "NOK", "OK")</f>
        <v>OK</v>
      </c>
      <c r="N66" t="s">
        <v>1331</v>
      </c>
      <c r="O66" s="15">
        <v>45957</v>
      </c>
      <c r="Q66" t="s">
        <v>39</v>
      </c>
      <c r="R66" t="s">
        <v>131</v>
      </c>
      <c r="S66" t="s">
        <v>132</v>
      </c>
      <c r="T66" t="s">
        <v>132</v>
      </c>
      <c r="U66" t="s">
        <v>132</v>
      </c>
      <c r="V66" t="s">
        <v>132</v>
      </c>
      <c r="W66" t="s">
        <v>131</v>
      </c>
      <c r="X66" t="s">
        <v>136</v>
      </c>
      <c r="Y66" t="str">
        <f>_xlfn.IFNA(_xlfn.XLOOKUP(D66,[1]Especificação!$G:$G,[1]Especificação!$C:$C),0)</f>
        <v xml:space="preserve">E. Campos com outras possíveis alterações - Dependente de decisões OSI </v>
      </c>
    </row>
    <row r="67" spans="1:25" ht="15">
      <c r="A67" s="50" t="str">
        <f t="shared" si="0"/>
        <v>INSTRUMENT_RFNNC_PRPS</v>
      </c>
      <c r="B67" s="50"/>
      <c r="C67" t="s">
        <v>127</v>
      </c>
      <c r="D67" t="s">
        <v>215</v>
      </c>
      <c r="E67" t="s">
        <v>14</v>
      </c>
      <c r="F67" t="s">
        <v>25</v>
      </c>
      <c r="G67" t="s">
        <v>129</v>
      </c>
      <c r="H67" t="s">
        <v>216</v>
      </c>
      <c r="I67" t="s">
        <v>217</v>
      </c>
      <c r="J67" t="s">
        <v>29</v>
      </c>
      <c r="K67" s="15">
        <v>45450</v>
      </c>
      <c r="L67" t="s">
        <v>25</v>
      </c>
      <c r="M67" t="str">
        <f>IF(COUNTIFS(PRO_LT_SCORECARD_FLEX_VALIDATIO!$K:$K, _xlfn.CONCAT(C67,D67), PRO_LT_SCORECARD_FLEX_VALIDATIO!$G:$G, "KO") &gt; 0, "NOK", "OK")</f>
        <v>OK</v>
      </c>
      <c r="Q67" t="s">
        <v>13</v>
      </c>
      <c r="R67" t="s">
        <v>131</v>
      </c>
      <c r="S67" t="s">
        <v>132</v>
      </c>
      <c r="T67" t="s">
        <v>132</v>
      </c>
      <c r="U67" t="s">
        <v>132</v>
      </c>
      <c r="V67" t="s">
        <v>132</v>
      </c>
      <c r="W67" t="s">
        <v>132</v>
      </c>
      <c r="X67" t="s">
        <v>5</v>
      </c>
      <c r="Y67">
        <f>_xlfn.IFNA(_xlfn.XLOOKUP(D67,[1]Especificação!$G:$G,[1]Especificação!$C:$C),0)</f>
        <v>0</v>
      </c>
    </row>
    <row r="68" spans="1:25" ht="15">
      <c r="A68" s="50" t="str">
        <f t="shared" si="0"/>
        <v>INSTRUMENT_DPD</v>
      </c>
      <c r="B68" s="50"/>
      <c r="C68" t="s">
        <v>127</v>
      </c>
      <c r="D68" t="s">
        <v>218</v>
      </c>
      <c r="E68" t="s">
        <v>14</v>
      </c>
      <c r="F68" t="s">
        <v>36</v>
      </c>
      <c r="G68" t="s">
        <v>145</v>
      </c>
      <c r="H68" t="s">
        <v>158</v>
      </c>
      <c r="J68" t="s">
        <v>29</v>
      </c>
      <c r="K68" s="15">
        <v>45958</v>
      </c>
      <c r="L68" t="s">
        <v>38</v>
      </c>
      <c r="M68" t="str">
        <f>IF(COUNTIFS(PRO_LT_SCORECARD_FLEX_VALIDATIO!$K:$K, _xlfn.CONCAT(C68,D68), PRO_LT_SCORECARD_FLEX_VALIDATIO!$G:$G, "KO") &gt; 0, "NOK", "OK")</f>
        <v>NOK</v>
      </c>
      <c r="P68" s="15">
        <v>45958</v>
      </c>
      <c r="Q68" t="s">
        <v>8</v>
      </c>
      <c r="R68" t="s">
        <v>131</v>
      </c>
      <c r="S68" t="s">
        <v>132</v>
      </c>
      <c r="T68" t="s">
        <v>132</v>
      </c>
      <c r="U68" t="s">
        <v>132</v>
      </c>
      <c r="V68" t="s">
        <v>132</v>
      </c>
      <c r="W68" t="s">
        <v>131</v>
      </c>
      <c r="X68" t="s">
        <v>136</v>
      </c>
      <c r="Y68" t="str">
        <f>_xlfn.IFNA(_xlfn.XLOOKUP(D68,[1]Especificação!$G:$G,[1]Especificação!$C:$C),0)</f>
        <v>D. Campos com NOK controlos Corporativos</v>
      </c>
    </row>
    <row r="69" spans="1:25" ht="15">
      <c r="A69" s="50" t="str">
        <f t="shared" si="0"/>
        <v>INSTRUMENT_DPD_12M</v>
      </c>
      <c r="B69" s="50"/>
      <c r="C69" t="s">
        <v>127</v>
      </c>
      <c r="D69" t="s">
        <v>219</v>
      </c>
      <c r="E69" t="s">
        <v>14</v>
      </c>
      <c r="F69" t="s">
        <v>36</v>
      </c>
      <c r="G69" t="s">
        <v>145</v>
      </c>
      <c r="H69" t="s">
        <v>158</v>
      </c>
      <c r="J69" t="s">
        <v>29</v>
      </c>
      <c r="K69" s="15">
        <v>45450</v>
      </c>
      <c r="L69" t="s">
        <v>36</v>
      </c>
      <c r="M69" t="str">
        <f>IF(COUNTIFS(PRO_LT_SCORECARD_FLEX_VALIDATIO!$K:$K, _xlfn.CONCAT(C69,D69), PRO_LT_SCORECARD_FLEX_VALIDATIO!$G:$G, "KO") &gt; 0, "NOK", "OK")</f>
        <v>NOK</v>
      </c>
      <c r="Q69" t="s">
        <v>8</v>
      </c>
      <c r="R69" t="s">
        <v>131</v>
      </c>
      <c r="S69" t="s">
        <v>132</v>
      </c>
      <c r="T69" t="s">
        <v>132</v>
      </c>
      <c r="U69" t="s">
        <v>132</v>
      </c>
      <c r="V69" t="s">
        <v>132</v>
      </c>
      <c r="W69" t="s">
        <v>132</v>
      </c>
      <c r="X69" t="s">
        <v>5</v>
      </c>
      <c r="Y69">
        <f>_xlfn.IFNA(_xlfn.XLOOKUP(D69,[1]Especificação!$G:$G,[1]Especificação!$C:$C),0)</f>
        <v>0</v>
      </c>
    </row>
    <row r="70" spans="1:25" ht="15">
      <c r="A70" s="50" t="str">
        <f t="shared" ref="A70:A133" si="1">C70&amp;"_"&amp;D70</f>
        <v>INSTRUMENT_DPD_12M_FRBRNC_STTS</v>
      </c>
      <c r="B70" s="50"/>
      <c r="C70" t="s">
        <v>127</v>
      </c>
      <c r="D70" t="s">
        <v>220</v>
      </c>
      <c r="E70" t="s">
        <v>14</v>
      </c>
      <c r="F70" t="s">
        <v>33</v>
      </c>
      <c r="G70" t="s">
        <v>145</v>
      </c>
      <c r="H70" t="s">
        <v>221</v>
      </c>
      <c r="J70" t="s">
        <v>29</v>
      </c>
      <c r="K70" s="15">
        <v>45450</v>
      </c>
      <c r="L70" t="s">
        <v>33</v>
      </c>
      <c r="M70" t="str">
        <f>IF(COUNTIFS(PRO_LT_SCORECARD_FLEX_VALIDATIO!$K:$K, _xlfn.CONCAT(C70,D70), PRO_LT_SCORECARD_FLEX_VALIDATIO!$G:$G, "KO") &gt; 0, "NOK", "OK")</f>
        <v>NOK</v>
      </c>
      <c r="O70" s="15">
        <v>44679</v>
      </c>
      <c r="P70" s="15">
        <v>44700</v>
      </c>
      <c r="Q70" t="s">
        <v>13</v>
      </c>
      <c r="R70" t="s">
        <v>131</v>
      </c>
      <c r="S70" t="s">
        <v>132</v>
      </c>
      <c r="T70" t="s">
        <v>132</v>
      </c>
      <c r="U70" t="s">
        <v>132</v>
      </c>
      <c r="V70" t="s">
        <v>132</v>
      </c>
      <c r="W70" t="s">
        <v>132</v>
      </c>
      <c r="X70" t="s">
        <v>5</v>
      </c>
      <c r="Y70">
        <f>_xlfn.IFNA(_xlfn.XLOOKUP(D70,[1]Especificação!$G:$G,[1]Especificação!$C:$C),0)</f>
        <v>0</v>
      </c>
    </row>
    <row r="71" spans="1:25" ht="15">
      <c r="A71" s="50" t="str">
        <f t="shared" si="1"/>
        <v>INSTRUMENT_DPD_12M_PRFRMNG_STTS</v>
      </c>
      <c r="B71" s="50"/>
      <c r="C71" t="s">
        <v>127</v>
      </c>
      <c r="D71" s="11" t="s">
        <v>48</v>
      </c>
      <c r="E71" t="s">
        <v>14</v>
      </c>
      <c r="F71" t="s">
        <v>33</v>
      </c>
      <c r="G71" t="s">
        <v>145</v>
      </c>
      <c r="H71" t="s">
        <v>222</v>
      </c>
      <c r="J71" t="s">
        <v>32</v>
      </c>
      <c r="K71" s="15">
        <v>45952</v>
      </c>
      <c r="L71" t="s">
        <v>38</v>
      </c>
      <c r="M71" t="str">
        <f>IF(COUNTIFS(PRO_LT_SCORECARD_FLEX_VALIDATIO!$K:$K, _xlfn.CONCAT(C71,D71), PRO_LT_SCORECARD_FLEX_VALIDATIO!$G:$G, "KO") &gt; 0, "NOK", "OK")</f>
        <v>OK</v>
      </c>
      <c r="O71" s="15">
        <v>45562</v>
      </c>
      <c r="P71" s="15">
        <v>45952</v>
      </c>
      <c r="Q71" t="s">
        <v>39</v>
      </c>
      <c r="R71" t="s">
        <v>131</v>
      </c>
      <c r="S71" t="s">
        <v>132</v>
      </c>
      <c r="T71" t="s">
        <v>132</v>
      </c>
      <c r="U71" t="s">
        <v>132</v>
      </c>
      <c r="V71" t="s">
        <v>132</v>
      </c>
      <c r="W71" t="s">
        <v>132</v>
      </c>
      <c r="X71" t="s">
        <v>5</v>
      </c>
      <c r="Y71">
        <f>_xlfn.IFNA(_xlfn.XLOOKUP(D71,[1]Especificação!$G:$G,[1]Especificação!$C:$C),0)</f>
        <v>0</v>
      </c>
    </row>
    <row r="72" spans="1:25" ht="15">
      <c r="A72" s="50" t="str">
        <f t="shared" si="1"/>
        <v>INSTRUMENT_DPD_24M_FRBRNC_STTS</v>
      </c>
      <c r="B72" s="50"/>
      <c r="C72" t="s">
        <v>127</v>
      </c>
      <c r="D72" t="s">
        <v>223</v>
      </c>
      <c r="E72" t="s">
        <v>14</v>
      </c>
      <c r="F72" t="s">
        <v>36</v>
      </c>
      <c r="G72" t="s">
        <v>145</v>
      </c>
      <c r="H72" t="s">
        <v>158</v>
      </c>
      <c r="J72" t="s">
        <v>29</v>
      </c>
      <c r="K72" s="15">
        <v>45450</v>
      </c>
      <c r="L72" t="s">
        <v>36</v>
      </c>
      <c r="M72" t="str">
        <f>IF(COUNTIFS(PRO_LT_SCORECARD_FLEX_VALIDATIO!$K:$K, _xlfn.CONCAT(C72,D72), PRO_LT_SCORECARD_FLEX_VALIDATIO!$G:$G, "KO") &gt; 0, "NOK", "OK")</f>
        <v>NOK</v>
      </c>
      <c r="O72" s="15"/>
      <c r="P72" s="15"/>
      <c r="Q72" t="s">
        <v>8</v>
      </c>
      <c r="R72" t="s">
        <v>131</v>
      </c>
      <c r="S72" t="s">
        <v>132</v>
      </c>
      <c r="T72" t="s">
        <v>132</v>
      </c>
      <c r="U72" t="s">
        <v>132</v>
      </c>
      <c r="V72" t="s">
        <v>132</v>
      </c>
      <c r="W72" t="s">
        <v>132</v>
      </c>
      <c r="X72" t="s">
        <v>5</v>
      </c>
      <c r="Y72">
        <f>_xlfn.IFNA(_xlfn.XLOOKUP(D72,[1]Especificação!$G:$G,[1]Especificação!$C:$C),0)</f>
        <v>0</v>
      </c>
    </row>
    <row r="73" spans="1:25" ht="15">
      <c r="A73" s="50" t="str">
        <f t="shared" si="1"/>
        <v>INSTRUMENT_DPD_24M_PRFRMNG_STTS</v>
      </c>
      <c r="B73" s="50"/>
      <c r="C73" t="s">
        <v>127</v>
      </c>
      <c r="D73" s="11" t="s">
        <v>49</v>
      </c>
      <c r="E73" t="s">
        <v>14</v>
      </c>
      <c r="F73" t="s">
        <v>33</v>
      </c>
      <c r="G73" t="s">
        <v>145</v>
      </c>
      <c r="H73" t="s">
        <v>224</v>
      </c>
      <c r="J73" t="s">
        <v>32</v>
      </c>
      <c r="K73" s="15">
        <v>45952</v>
      </c>
      <c r="L73" t="s">
        <v>38</v>
      </c>
      <c r="M73" t="str">
        <f>IF(COUNTIFS(PRO_LT_SCORECARD_FLEX_VALIDATIO!$K:$K, _xlfn.CONCAT(C73,D73), PRO_LT_SCORECARD_FLEX_VALIDATIO!$G:$G, "KO") &gt; 0, "NOK", "OK")</f>
        <v>OK</v>
      </c>
      <c r="O73" s="15">
        <v>45562</v>
      </c>
      <c r="P73" s="15">
        <v>45952</v>
      </c>
      <c r="Q73" t="s">
        <v>39</v>
      </c>
      <c r="R73" t="s">
        <v>131</v>
      </c>
      <c r="S73" t="s">
        <v>132</v>
      </c>
      <c r="T73" t="s">
        <v>132</v>
      </c>
      <c r="U73" t="s">
        <v>132</v>
      </c>
      <c r="V73" t="s">
        <v>132</v>
      </c>
      <c r="W73" t="s">
        <v>132</v>
      </c>
      <c r="X73" t="s">
        <v>5</v>
      </c>
      <c r="Y73">
        <f>_xlfn.IFNA(_xlfn.XLOOKUP(D73,[1]Especificação!$G:$G,[1]Especificação!$C:$C),0)</f>
        <v>0</v>
      </c>
    </row>
    <row r="74" spans="1:25" ht="15">
      <c r="A74" s="50" t="str">
        <f t="shared" si="1"/>
        <v>INSTRUMENT_DPD_FRBRNC_STTS</v>
      </c>
      <c r="B74" s="50"/>
      <c r="C74" t="s">
        <v>127</v>
      </c>
      <c r="D74" t="s">
        <v>225</v>
      </c>
      <c r="E74" t="s">
        <v>14</v>
      </c>
      <c r="F74" t="s">
        <v>36</v>
      </c>
      <c r="G74" t="s">
        <v>145</v>
      </c>
      <c r="H74" t="s">
        <v>158</v>
      </c>
      <c r="J74" t="s">
        <v>29</v>
      </c>
      <c r="K74" s="15">
        <v>45450</v>
      </c>
      <c r="L74" t="s">
        <v>36</v>
      </c>
      <c r="M74" t="str">
        <f>IF(COUNTIFS(PRO_LT_SCORECARD_FLEX_VALIDATIO!$K:$K, _xlfn.CONCAT(C74,D74), PRO_LT_SCORECARD_FLEX_VALIDATIO!$G:$G, "KO") &gt; 0, "NOK", "OK")</f>
        <v>NOK</v>
      </c>
      <c r="O74" s="15"/>
      <c r="P74" s="15"/>
      <c r="Q74" t="s">
        <v>8</v>
      </c>
      <c r="R74" t="s">
        <v>131</v>
      </c>
      <c r="S74" t="s">
        <v>132</v>
      </c>
      <c r="T74" t="s">
        <v>132</v>
      </c>
      <c r="U74" t="s">
        <v>132</v>
      </c>
      <c r="V74" t="s">
        <v>132</v>
      </c>
      <c r="W74" t="s">
        <v>132</v>
      </c>
      <c r="X74" t="s">
        <v>5</v>
      </c>
      <c r="Y74">
        <f>_xlfn.IFNA(_xlfn.XLOOKUP(D74,[1]Especificação!$G:$G,[1]Especificação!$C:$C),0)</f>
        <v>0</v>
      </c>
    </row>
    <row r="75" spans="1:25" ht="15">
      <c r="A75" s="50" t="str">
        <f t="shared" si="1"/>
        <v>INSTRUMENT_DPD_PRFRMNG_STTS</v>
      </c>
      <c r="B75" s="50"/>
      <c r="C75" t="s">
        <v>127</v>
      </c>
      <c r="D75" s="11" t="s">
        <v>50</v>
      </c>
      <c r="E75" t="s">
        <v>14</v>
      </c>
      <c r="F75" t="s">
        <v>33</v>
      </c>
      <c r="G75" t="s">
        <v>129</v>
      </c>
      <c r="H75" t="s">
        <v>224</v>
      </c>
      <c r="J75" t="s">
        <v>32</v>
      </c>
      <c r="K75" s="15">
        <v>45952</v>
      </c>
      <c r="L75" t="s">
        <v>38</v>
      </c>
      <c r="M75" t="str">
        <f>IF(COUNTIFS(PRO_LT_SCORECARD_FLEX_VALIDATIO!$K:$K, _xlfn.CONCAT(C75,D75), PRO_LT_SCORECARD_FLEX_VALIDATIO!$G:$G, "KO") &gt; 0, "NOK", "OK")</f>
        <v>OK</v>
      </c>
      <c r="O75" s="15">
        <v>45562</v>
      </c>
      <c r="P75" s="15">
        <v>45952</v>
      </c>
      <c r="Q75" t="s">
        <v>39</v>
      </c>
      <c r="R75" t="s">
        <v>131</v>
      </c>
      <c r="S75" t="s">
        <v>132</v>
      </c>
      <c r="T75" t="s">
        <v>132</v>
      </c>
      <c r="U75" t="s">
        <v>132</v>
      </c>
      <c r="V75" t="s">
        <v>132</v>
      </c>
      <c r="W75" t="s">
        <v>132</v>
      </c>
      <c r="X75" t="s">
        <v>5</v>
      </c>
      <c r="Y75">
        <f>_xlfn.IFNA(_xlfn.XLOOKUP(D75,[1]Especificação!$G:$G,[1]Especificação!$C:$C),0)</f>
        <v>0</v>
      </c>
    </row>
    <row r="76" spans="1:25" ht="15">
      <c r="A76" s="50" t="str">
        <f t="shared" si="1"/>
        <v>INSTRUMENT_DSTI</v>
      </c>
      <c r="B76" s="50"/>
      <c r="C76" t="s">
        <v>127</v>
      </c>
      <c r="D76" t="s">
        <v>226</v>
      </c>
      <c r="E76" t="s">
        <v>6</v>
      </c>
      <c r="F76" t="s">
        <v>20</v>
      </c>
      <c r="G76" t="s">
        <v>129</v>
      </c>
      <c r="H76" t="s">
        <v>227</v>
      </c>
      <c r="J76" t="s">
        <v>29</v>
      </c>
      <c r="K76" s="15">
        <v>45450</v>
      </c>
      <c r="L76" t="s">
        <v>20</v>
      </c>
      <c r="M76" t="str">
        <f>IF(COUNTIFS(PRO_LT_SCORECARD_FLEX_VALIDATIO!$K:$K, _xlfn.CONCAT(C76,D76), PRO_LT_SCORECARD_FLEX_VALIDATIO!$G:$G, "KO") &gt; 0, "NOK", "OK")</f>
        <v>NOK</v>
      </c>
      <c r="Q76" t="s">
        <v>19</v>
      </c>
      <c r="R76" t="s">
        <v>131</v>
      </c>
      <c r="S76" t="s">
        <v>132</v>
      </c>
      <c r="T76" t="s">
        <v>132</v>
      </c>
      <c r="U76" t="s">
        <v>132</v>
      </c>
      <c r="V76" t="s">
        <v>132</v>
      </c>
      <c r="W76" t="s">
        <v>132</v>
      </c>
      <c r="X76" t="s">
        <v>5</v>
      </c>
      <c r="Y76">
        <f>_xlfn.IFNA(_xlfn.XLOOKUP(D76,[1]Especificação!$G:$G,[1]Especificação!$C:$C),0)</f>
        <v>0</v>
      </c>
    </row>
    <row r="77" spans="1:25" ht="15">
      <c r="A77" s="50" t="str">
        <f t="shared" si="1"/>
        <v>PROTECTION_TYP_PRTCTN</v>
      </c>
      <c r="B77" s="50"/>
      <c r="C77" t="s">
        <v>156</v>
      </c>
      <c r="D77" s="10" t="s">
        <v>228</v>
      </c>
      <c r="E77" t="s">
        <v>14</v>
      </c>
      <c r="F77" t="s">
        <v>25</v>
      </c>
      <c r="G77" t="s">
        <v>145</v>
      </c>
      <c r="H77" t="s">
        <v>229</v>
      </c>
      <c r="I77" t="s">
        <v>230</v>
      </c>
      <c r="J77" t="s">
        <v>26</v>
      </c>
      <c r="K77" s="15">
        <v>45670</v>
      </c>
      <c r="L77" t="s">
        <v>38</v>
      </c>
      <c r="M77" t="str">
        <f>IF(COUNTIFS(PRO_LT_SCORECARD_FLEX_VALIDATIO!$K:$K, _xlfn.CONCAT(C77,D77), PRO_LT_SCORECARD_FLEX_VALIDATIO!$G:$G, "KO") &gt; 0, "NOK", "OK")</f>
        <v>NOK</v>
      </c>
      <c r="N77" t="s">
        <v>231</v>
      </c>
      <c r="O77" s="15">
        <v>45492</v>
      </c>
      <c r="P77" s="15">
        <v>45646</v>
      </c>
      <c r="Q77" t="s">
        <v>24</v>
      </c>
      <c r="R77" t="s">
        <v>131</v>
      </c>
      <c r="S77" t="s">
        <v>131</v>
      </c>
      <c r="T77" t="s">
        <v>131</v>
      </c>
      <c r="U77" t="s">
        <v>132</v>
      </c>
      <c r="V77" t="s">
        <v>131</v>
      </c>
      <c r="W77" t="s">
        <v>132</v>
      </c>
      <c r="X77" t="s">
        <v>5</v>
      </c>
      <c r="Y77">
        <f>_xlfn.IFNA(_xlfn.XLOOKUP(D77,[1]Especificação!$G:$G,[1]Especificação!$C:$C),0)</f>
        <v>0</v>
      </c>
    </row>
    <row r="78" spans="1:25" ht="15">
      <c r="A78" s="50" t="str">
        <f t="shared" si="1"/>
        <v>ENTITY_DT_BRTH</v>
      </c>
      <c r="B78" s="50"/>
      <c r="C78" t="s">
        <v>139</v>
      </c>
      <c r="D78" t="s">
        <v>232</v>
      </c>
      <c r="E78" t="s">
        <v>6</v>
      </c>
      <c r="F78" t="s">
        <v>36</v>
      </c>
      <c r="G78" t="s">
        <v>145</v>
      </c>
      <c r="H78" t="s">
        <v>158</v>
      </c>
      <c r="J78" t="s">
        <v>29</v>
      </c>
      <c r="K78" s="15">
        <v>45450</v>
      </c>
      <c r="L78" t="s">
        <v>36</v>
      </c>
      <c r="M78" t="str">
        <f>IF(COUNTIFS(PRO_LT_SCORECARD_FLEX_VALIDATIO!$K:$K, _xlfn.CONCAT(C78,D78), PRO_LT_SCORECARD_FLEX_VALIDATIO!$G:$G, "KO") &gt; 0, "NOK", "OK")</f>
        <v>NOK</v>
      </c>
      <c r="Q78" t="s">
        <v>8</v>
      </c>
      <c r="R78" t="s">
        <v>131</v>
      </c>
      <c r="S78" t="s">
        <v>132</v>
      </c>
      <c r="T78" t="s">
        <v>132</v>
      </c>
      <c r="U78" t="s">
        <v>132</v>
      </c>
      <c r="V78" t="s">
        <v>132</v>
      </c>
      <c r="W78" t="s">
        <v>132</v>
      </c>
      <c r="X78" t="s">
        <v>5</v>
      </c>
      <c r="Y78">
        <f>_xlfn.IFNA(_xlfn.XLOOKUP(D78,[1]Especificação!$G:$G,[1]Especificação!$C:$C),0)</f>
        <v>0</v>
      </c>
    </row>
    <row r="79" spans="1:25" ht="15">
      <c r="A79" s="50" t="str">
        <f t="shared" si="1"/>
        <v>INSTRUMENT_DT_CMPLNT_MRTR_STTS_C19</v>
      </c>
      <c r="B79" s="50"/>
      <c r="C79" t="s">
        <v>127</v>
      </c>
      <c r="D79" t="s">
        <v>233</v>
      </c>
      <c r="E79" t="s">
        <v>6</v>
      </c>
      <c r="F79" t="s">
        <v>38</v>
      </c>
      <c r="G79" t="s">
        <v>129</v>
      </c>
      <c r="H79" t="s">
        <v>130</v>
      </c>
      <c r="J79" t="s">
        <v>26</v>
      </c>
      <c r="K79" s="15">
        <v>45450</v>
      </c>
      <c r="L79" t="s">
        <v>38</v>
      </c>
      <c r="M79" t="str">
        <f>IF(COUNTIFS(PRO_LT_SCORECARD_FLEX_VALIDATIO!$K:$K, _xlfn.CONCAT(C79,D79), PRO_LT_SCORECARD_FLEX_VALIDATIO!$G:$G, "KO") &gt; 0, "NOK", "OK")</f>
        <v>OK</v>
      </c>
      <c r="Q79" t="s">
        <v>30</v>
      </c>
      <c r="R79" t="s">
        <v>131</v>
      </c>
      <c r="S79" t="s">
        <v>132</v>
      </c>
      <c r="T79" t="s">
        <v>132</v>
      </c>
      <c r="U79" t="s">
        <v>132</v>
      </c>
      <c r="V79" t="s">
        <v>132</v>
      </c>
      <c r="W79" t="s">
        <v>132</v>
      </c>
      <c r="X79" t="s">
        <v>5</v>
      </c>
      <c r="Y79">
        <f>_xlfn.IFNA(_xlfn.XLOOKUP(D79,[1]Especificação!$G:$G,[1]Especificação!$C:$C),0)</f>
        <v>0</v>
      </c>
    </row>
    <row r="80" spans="1:25" ht="15">
      <c r="A80" s="50" t="str">
        <f t="shared" si="1"/>
        <v>INSTRUMENT_DT_CMPLNT_MRTR_STTS_PRVS_C19</v>
      </c>
      <c r="B80" s="50"/>
      <c r="C80" t="s">
        <v>127</v>
      </c>
      <c r="D80" t="s">
        <v>234</v>
      </c>
      <c r="E80" t="s">
        <v>6</v>
      </c>
      <c r="F80" t="s">
        <v>38</v>
      </c>
      <c r="G80" t="s">
        <v>129</v>
      </c>
      <c r="H80" t="s">
        <v>130</v>
      </c>
      <c r="J80" t="s">
        <v>26</v>
      </c>
      <c r="K80" s="15">
        <v>45450</v>
      </c>
      <c r="L80" t="s">
        <v>38</v>
      </c>
      <c r="M80" t="str">
        <f>IF(COUNTIFS(PRO_LT_SCORECARD_FLEX_VALIDATIO!$K:$K, _xlfn.CONCAT(C80,D80), PRO_LT_SCORECARD_FLEX_VALIDATIO!$G:$G, "KO") &gt; 0, "NOK", "OK")</f>
        <v>OK</v>
      </c>
      <c r="Q80" t="s">
        <v>30</v>
      </c>
      <c r="R80" t="s">
        <v>131</v>
      </c>
      <c r="S80" t="s">
        <v>132</v>
      </c>
      <c r="T80" t="s">
        <v>132</v>
      </c>
      <c r="U80" t="s">
        <v>132</v>
      </c>
      <c r="V80" t="s">
        <v>132</v>
      </c>
      <c r="W80" t="s">
        <v>132</v>
      </c>
      <c r="X80" t="s">
        <v>5</v>
      </c>
      <c r="Y80">
        <f>_xlfn.IFNA(_xlfn.XLOOKUP(D80,[1]Especificação!$G:$G,[1]Especificação!$C:$C),0)</f>
        <v>0</v>
      </c>
    </row>
    <row r="81" spans="1:25" ht="15">
      <c r="A81" s="50" t="str">
        <f t="shared" si="1"/>
        <v>PROTECTION_DT_PRTCTN_VL</v>
      </c>
      <c r="B81" s="50"/>
      <c r="C81" t="s">
        <v>156</v>
      </c>
      <c r="D81" s="10" t="s">
        <v>235</v>
      </c>
      <c r="E81" t="s">
        <v>14</v>
      </c>
      <c r="F81" t="s">
        <v>35</v>
      </c>
      <c r="G81" t="s">
        <v>145</v>
      </c>
      <c r="H81" t="s">
        <v>236</v>
      </c>
      <c r="I81" t="s">
        <v>237</v>
      </c>
      <c r="J81" t="s">
        <v>26</v>
      </c>
      <c r="K81" s="15">
        <v>45670</v>
      </c>
      <c r="L81" t="s">
        <v>38</v>
      </c>
      <c r="M81" t="str">
        <f>IF(COUNTIFS(PRO_LT_SCORECARD_FLEX_VALIDATIO!$K:$K, _xlfn.CONCAT(C81,D81), PRO_LT_SCORECARD_FLEX_VALIDATIO!$G:$G, "KO") &gt; 0, "NOK", "OK")</f>
        <v>NOK</v>
      </c>
      <c r="N81" t="s">
        <v>238</v>
      </c>
      <c r="O81" s="15">
        <v>45492</v>
      </c>
      <c r="P81" s="15">
        <v>45646</v>
      </c>
      <c r="Q81" t="s">
        <v>24</v>
      </c>
      <c r="R81" t="s">
        <v>131</v>
      </c>
      <c r="S81" t="s">
        <v>132</v>
      </c>
      <c r="T81" t="s">
        <v>132</v>
      </c>
      <c r="U81" t="s">
        <v>132</v>
      </c>
      <c r="V81" t="s">
        <v>132</v>
      </c>
      <c r="W81" t="s">
        <v>132</v>
      </c>
      <c r="X81" t="s">
        <v>5</v>
      </c>
      <c r="Y81">
        <f>_xlfn.IFNA(_xlfn.XLOOKUP(D81,[1]Especificação!$G:$G,[1]Especificação!$C:$C),0)</f>
        <v>0</v>
      </c>
    </row>
    <row r="82" spans="1:25" ht="15">
      <c r="A82" s="50" t="str">
        <f t="shared" si="1"/>
        <v>ENTITY_DT_DFLT_STTS</v>
      </c>
      <c r="B82" s="50"/>
      <c r="C82" t="s">
        <v>139</v>
      </c>
      <c r="D82" s="10" t="s">
        <v>239</v>
      </c>
      <c r="E82" t="s">
        <v>14</v>
      </c>
      <c r="F82" t="s">
        <v>28</v>
      </c>
      <c r="G82" t="s">
        <v>145</v>
      </c>
      <c r="H82" t="s">
        <v>213</v>
      </c>
      <c r="I82" t="s">
        <v>240</v>
      </c>
      <c r="J82" t="s">
        <v>32</v>
      </c>
      <c r="K82" s="15">
        <v>45957</v>
      </c>
      <c r="L82" t="s">
        <v>55</v>
      </c>
      <c r="M82" t="str">
        <f>IF(COUNTIFS(PRO_LT_SCORECARD_FLEX_VALIDATIO!$K:$K, _xlfn.CONCAT(C82,D82), PRO_LT_SCORECARD_FLEX_VALIDATIO!$G:$G, "KO") &gt; 0, "NOK", "OK")</f>
        <v>NOK</v>
      </c>
      <c r="N82" t="s">
        <v>1331</v>
      </c>
      <c r="O82" s="15">
        <v>45957</v>
      </c>
      <c r="Q82" t="s">
        <v>39</v>
      </c>
      <c r="R82" t="s">
        <v>131</v>
      </c>
      <c r="S82" t="s">
        <v>132</v>
      </c>
      <c r="T82" t="s">
        <v>132</v>
      </c>
      <c r="U82" t="s">
        <v>132</v>
      </c>
      <c r="V82" t="s">
        <v>132</v>
      </c>
      <c r="W82" t="s">
        <v>131</v>
      </c>
      <c r="X82" t="s">
        <v>136</v>
      </c>
      <c r="Y82" t="str">
        <f>_xlfn.IFNA(_xlfn.XLOOKUP(D82,[1]Especificação!$G:$G,[1]Especificação!$C:$C),0)</f>
        <v xml:space="preserve">E. Campos com outras possíveis alterações - Dependente de decisões OSI </v>
      </c>
    </row>
    <row r="83" spans="1:25" ht="15">
      <c r="A83" s="50" t="str">
        <f t="shared" si="1"/>
        <v>INSTRUMENT_DT_DFLT_STTS_INSTRMNT</v>
      </c>
      <c r="B83" s="50"/>
      <c r="C83" t="s">
        <v>127</v>
      </c>
      <c r="D83" t="s">
        <v>241</v>
      </c>
      <c r="E83" t="s">
        <v>14</v>
      </c>
      <c r="F83" t="s">
        <v>35</v>
      </c>
      <c r="G83" t="s">
        <v>145</v>
      </c>
      <c r="H83" t="s">
        <v>242</v>
      </c>
      <c r="I83" t="s">
        <v>240</v>
      </c>
      <c r="J83" t="s">
        <v>29</v>
      </c>
      <c r="K83" s="15">
        <v>45957</v>
      </c>
      <c r="L83" t="s">
        <v>55</v>
      </c>
      <c r="M83" t="str">
        <f>IF(COUNTIFS(PRO_LT_SCORECARD_FLEX_VALIDATIO!$K:$K, _xlfn.CONCAT(C83,D83), PRO_LT_SCORECARD_FLEX_VALIDATIO!$G:$G, "KO") &gt; 0, "NOK", "OK")</f>
        <v>NOK</v>
      </c>
      <c r="N83" t="s">
        <v>1331</v>
      </c>
      <c r="O83" s="15">
        <v>45957</v>
      </c>
      <c r="P83" s="15">
        <v>45958</v>
      </c>
      <c r="Q83" t="s">
        <v>13</v>
      </c>
      <c r="R83" t="s">
        <v>131</v>
      </c>
      <c r="S83" t="s">
        <v>132</v>
      </c>
      <c r="T83" t="s">
        <v>132</v>
      </c>
      <c r="U83" t="s">
        <v>132</v>
      </c>
      <c r="V83" t="s">
        <v>132</v>
      </c>
      <c r="W83" t="s">
        <v>131</v>
      </c>
      <c r="X83" t="s">
        <v>136</v>
      </c>
      <c r="Y83" t="str">
        <f>_xlfn.IFNA(_xlfn.XLOOKUP(D83,[1]Especificação!$G:$G,[1]Especificação!$C:$C),0)</f>
        <v>C. Campos em testes ou c/ incidências</v>
      </c>
    </row>
    <row r="84" spans="1:25" ht="15">
      <c r="A84" s="50" t="str">
        <f t="shared" si="1"/>
        <v>INSTRUMENT_DT_END_GP_PPAL</v>
      </c>
      <c r="B84" s="50"/>
      <c r="C84" t="s">
        <v>127</v>
      </c>
      <c r="D84" t="s">
        <v>243</v>
      </c>
      <c r="E84" t="s">
        <v>14</v>
      </c>
      <c r="F84" t="s">
        <v>36</v>
      </c>
      <c r="G84" t="s">
        <v>145</v>
      </c>
      <c r="H84" t="s">
        <v>158</v>
      </c>
      <c r="J84" t="s">
        <v>29</v>
      </c>
      <c r="K84" s="15">
        <v>45450</v>
      </c>
      <c r="L84" t="s">
        <v>36</v>
      </c>
      <c r="M84" t="str">
        <f>IF(COUNTIFS(PRO_LT_SCORECARD_FLEX_VALIDATIO!$K:$K, _xlfn.CONCAT(C84,D84), PRO_LT_SCORECARD_FLEX_VALIDATIO!$G:$G, "KO") &gt; 0, "NOK", "OK")</f>
        <v>NOK</v>
      </c>
      <c r="Q84" t="s">
        <v>8</v>
      </c>
      <c r="R84" t="s">
        <v>131</v>
      </c>
      <c r="S84" t="s">
        <v>132</v>
      </c>
      <c r="T84" t="s">
        <v>132</v>
      </c>
      <c r="U84" t="s">
        <v>132</v>
      </c>
      <c r="V84" t="s">
        <v>132</v>
      </c>
      <c r="W84" t="s">
        <v>132</v>
      </c>
      <c r="X84" t="s">
        <v>5</v>
      </c>
      <c r="Y84">
        <f>_xlfn.IFNA(_xlfn.XLOOKUP(D84,[1]Especificação!$G:$G,[1]Especificação!$C:$C),0)</f>
        <v>0</v>
      </c>
    </row>
    <row r="85" spans="1:25" ht="15">
      <c r="A85" s="50" t="str">
        <f t="shared" si="1"/>
        <v>INSTRUMENT_DT_END_GP_PPAL_C19</v>
      </c>
      <c r="B85" s="50"/>
      <c r="C85" t="s">
        <v>127</v>
      </c>
      <c r="D85" t="s">
        <v>244</v>
      </c>
      <c r="E85" t="s">
        <v>6</v>
      </c>
      <c r="F85" t="s">
        <v>38</v>
      </c>
      <c r="G85" t="s">
        <v>129</v>
      </c>
      <c r="H85" t="s">
        <v>130</v>
      </c>
      <c r="J85" t="s">
        <v>26</v>
      </c>
      <c r="K85" s="15">
        <v>45450</v>
      </c>
      <c r="L85" t="s">
        <v>38</v>
      </c>
      <c r="M85" t="str">
        <f>IF(COUNTIFS(PRO_LT_SCORECARD_FLEX_VALIDATIO!$K:$K, _xlfn.CONCAT(C85,D85), PRO_LT_SCORECARD_FLEX_VALIDATIO!$G:$G, "KO") &gt; 0, "NOK", "OK")</f>
        <v>OK</v>
      </c>
      <c r="Q85" t="s">
        <v>30</v>
      </c>
      <c r="R85" t="s">
        <v>131</v>
      </c>
      <c r="S85" t="s">
        <v>132</v>
      </c>
      <c r="T85" t="s">
        <v>132</v>
      </c>
      <c r="U85" t="s">
        <v>132</v>
      </c>
      <c r="V85" t="s">
        <v>132</v>
      </c>
      <c r="W85" t="s">
        <v>132</v>
      </c>
      <c r="X85" t="s">
        <v>5</v>
      </c>
      <c r="Y85">
        <f>_xlfn.IFNA(_xlfn.XLOOKUP(D85,[1]Especificação!$G:$G,[1]Especificação!$C:$C),0)</f>
        <v>0</v>
      </c>
    </row>
    <row r="86" spans="1:25" ht="15">
      <c r="A86" s="50" t="str">
        <f t="shared" si="1"/>
        <v>INSTRUMENT_DT_END_INTRST_ONLY</v>
      </c>
      <c r="B86" s="50"/>
      <c r="C86" t="s">
        <v>127</v>
      </c>
      <c r="D86" t="s">
        <v>245</v>
      </c>
      <c r="E86" t="s">
        <v>14</v>
      </c>
      <c r="F86" t="s">
        <v>36</v>
      </c>
      <c r="G86" t="s">
        <v>145</v>
      </c>
      <c r="H86" t="s">
        <v>158</v>
      </c>
      <c r="J86" t="s">
        <v>29</v>
      </c>
      <c r="K86" s="15">
        <v>45450</v>
      </c>
      <c r="L86" t="s">
        <v>36</v>
      </c>
      <c r="M86" t="str">
        <f>IF(COUNTIFS(PRO_LT_SCORECARD_FLEX_VALIDATIO!$K:$K, _xlfn.CONCAT(C86,D86), PRO_LT_SCORECARD_FLEX_VALIDATIO!$G:$G, "KO") &gt; 0, "NOK", "OK")</f>
        <v>NOK</v>
      </c>
      <c r="Q86" t="s">
        <v>8</v>
      </c>
      <c r="R86" t="s">
        <v>131</v>
      </c>
      <c r="S86" t="s">
        <v>132</v>
      </c>
      <c r="T86" t="s">
        <v>132</v>
      </c>
      <c r="U86" t="s">
        <v>132</v>
      </c>
      <c r="V86" t="s">
        <v>132</v>
      </c>
      <c r="W86" t="s">
        <v>132</v>
      </c>
      <c r="X86" t="s">
        <v>5</v>
      </c>
      <c r="Y86">
        <f>_xlfn.IFNA(_xlfn.XLOOKUP(D86,[1]Especificação!$G:$G,[1]Especificação!$C:$C),0)</f>
        <v>0</v>
      </c>
    </row>
    <row r="87" spans="1:25" ht="15">
      <c r="A87" s="50" t="str">
        <f t="shared" si="1"/>
        <v>INSTRUMENT_DT_END_INTRST_ONLY_C19</v>
      </c>
      <c r="B87" s="50"/>
      <c r="C87" t="s">
        <v>127</v>
      </c>
      <c r="D87" t="s">
        <v>246</v>
      </c>
      <c r="E87" t="s">
        <v>6</v>
      </c>
      <c r="F87" t="s">
        <v>38</v>
      </c>
      <c r="G87" t="s">
        <v>129</v>
      </c>
      <c r="H87" t="s">
        <v>130</v>
      </c>
      <c r="J87" t="s">
        <v>26</v>
      </c>
      <c r="K87" s="15">
        <v>45450</v>
      </c>
      <c r="L87" t="s">
        <v>38</v>
      </c>
      <c r="M87" t="str">
        <f>IF(COUNTIFS(PRO_LT_SCORECARD_FLEX_VALIDATIO!$K:$K, _xlfn.CONCAT(C87,D87), PRO_LT_SCORECARD_FLEX_VALIDATIO!$G:$G, "KO") &gt; 0, "NOK", "OK")</f>
        <v>OK</v>
      </c>
      <c r="Q87" t="s">
        <v>30</v>
      </c>
      <c r="R87" t="s">
        <v>131</v>
      </c>
      <c r="S87" t="s">
        <v>132</v>
      </c>
      <c r="T87" t="s">
        <v>132</v>
      </c>
      <c r="U87" t="s">
        <v>132</v>
      </c>
      <c r="V87" t="s">
        <v>132</v>
      </c>
      <c r="W87" t="s">
        <v>132</v>
      </c>
      <c r="X87" t="s">
        <v>5</v>
      </c>
      <c r="Y87">
        <f>_xlfn.IFNA(_xlfn.XLOOKUP(D87,[1]Especificação!$G:$G,[1]Especificação!$C:$C),0)</f>
        <v>0</v>
      </c>
    </row>
    <row r="88" spans="1:25" ht="15">
      <c r="A88" s="50" t="str">
        <f t="shared" si="1"/>
        <v>PROTECTION_CNSTRCTN_STTS</v>
      </c>
      <c r="B88" s="50"/>
      <c r="C88" t="s">
        <v>156</v>
      </c>
      <c r="D88" s="11" t="s">
        <v>247</v>
      </c>
      <c r="E88" t="s">
        <v>6</v>
      </c>
      <c r="F88" t="s">
        <v>25</v>
      </c>
      <c r="G88" t="s">
        <v>145</v>
      </c>
      <c r="H88" t="s">
        <v>248</v>
      </c>
      <c r="I88" t="s">
        <v>230</v>
      </c>
      <c r="J88" t="s">
        <v>26</v>
      </c>
      <c r="K88" s="15">
        <v>45670</v>
      </c>
      <c r="L88" t="s">
        <v>38</v>
      </c>
      <c r="M88" t="str">
        <f>IF(COUNTIFS(PRO_LT_SCORECARD_FLEX_VALIDATIO!$K:$K, _xlfn.CONCAT(C88,D88), PRO_LT_SCORECARD_FLEX_VALIDATIO!$G:$G, "KO") &gt; 0, "NOK", "OK")</f>
        <v>OK</v>
      </c>
      <c r="O88" s="15">
        <v>45513</v>
      </c>
      <c r="P88" s="15">
        <v>45646</v>
      </c>
      <c r="Q88" t="s">
        <v>24</v>
      </c>
      <c r="R88" t="s">
        <v>131</v>
      </c>
      <c r="S88" t="s">
        <v>132</v>
      </c>
      <c r="T88" t="s">
        <v>132</v>
      </c>
      <c r="U88" t="s">
        <v>132</v>
      </c>
      <c r="V88" t="s">
        <v>132</v>
      </c>
      <c r="W88" t="s">
        <v>132</v>
      </c>
      <c r="X88" t="s">
        <v>5</v>
      </c>
      <c r="Y88">
        <f>_xlfn.IFNA(_xlfn.XLOOKUP(D88,[1]Especificação!$G:$G,[1]Especificação!$C:$C),0)</f>
        <v>0</v>
      </c>
    </row>
    <row r="89" spans="1:25" ht="15">
      <c r="A89" s="50" t="str">
        <f t="shared" si="1"/>
        <v>ENTITY_DT_FNNCL_STTMTS</v>
      </c>
      <c r="B89" s="50"/>
      <c r="C89" t="s">
        <v>139</v>
      </c>
      <c r="D89" t="s">
        <v>249</v>
      </c>
      <c r="E89" t="s">
        <v>14</v>
      </c>
      <c r="F89" t="s">
        <v>25</v>
      </c>
      <c r="G89" t="s">
        <v>145</v>
      </c>
      <c r="H89" t="s">
        <v>141</v>
      </c>
      <c r="I89" t="s">
        <v>142</v>
      </c>
      <c r="J89" t="s">
        <v>29</v>
      </c>
      <c r="K89" s="15">
        <v>45450</v>
      </c>
      <c r="L89" t="s">
        <v>25</v>
      </c>
      <c r="M89" t="str">
        <f>IF(COUNTIFS(PRO_LT_SCORECARD_FLEX_VALIDATIO!$K:$K, _xlfn.CONCAT(C89,D89), PRO_LT_SCORECARD_FLEX_VALIDATIO!$G:$G, "KO") &gt; 0, "NOK", "OK")</f>
        <v>NOK</v>
      </c>
      <c r="Q89" t="s">
        <v>13</v>
      </c>
      <c r="R89" t="s">
        <v>131</v>
      </c>
      <c r="S89" t="s">
        <v>132</v>
      </c>
      <c r="T89" t="s">
        <v>132</v>
      </c>
      <c r="U89" t="s">
        <v>132</v>
      </c>
      <c r="V89" t="s">
        <v>132</v>
      </c>
      <c r="W89" t="s">
        <v>131</v>
      </c>
      <c r="X89" t="s">
        <v>143</v>
      </c>
      <c r="Y89" t="str">
        <f>_xlfn.IFNA(_xlfn.XLOOKUP(D89,[1]Especificação!$G:$G,[1]Especificação!$C:$C),0)</f>
        <v>F4. Fora âmbito | Re-especificação de campos complexos - Dem. Fin. CIB</v>
      </c>
    </row>
    <row r="90" spans="1:25" ht="15">
      <c r="A90" s="50" t="str">
        <f t="shared" si="1"/>
        <v>ENTITY_DT_FNNCL_STTMTS_PRVS</v>
      </c>
      <c r="B90" s="50"/>
      <c r="C90" t="s">
        <v>139</v>
      </c>
      <c r="D90" t="s">
        <v>250</v>
      </c>
      <c r="E90" t="s">
        <v>14</v>
      </c>
      <c r="F90" t="s">
        <v>25</v>
      </c>
      <c r="G90" t="s">
        <v>145</v>
      </c>
      <c r="H90" t="s">
        <v>141</v>
      </c>
      <c r="I90" t="s">
        <v>142</v>
      </c>
      <c r="J90" t="s">
        <v>29</v>
      </c>
      <c r="K90" s="15">
        <v>45450</v>
      </c>
      <c r="L90" t="s">
        <v>25</v>
      </c>
      <c r="M90" t="str">
        <f>IF(COUNTIFS(PRO_LT_SCORECARD_FLEX_VALIDATIO!$K:$K, _xlfn.CONCAT(C90,D90), PRO_LT_SCORECARD_FLEX_VALIDATIO!$G:$G, "KO") &gt; 0, "NOK", "OK")</f>
        <v>NOK</v>
      </c>
      <c r="Q90" t="s">
        <v>13</v>
      </c>
      <c r="R90" t="s">
        <v>131</v>
      </c>
      <c r="S90" t="s">
        <v>132</v>
      </c>
      <c r="T90" t="s">
        <v>132</v>
      </c>
      <c r="U90" t="s">
        <v>132</v>
      </c>
      <c r="V90" t="s">
        <v>132</v>
      </c>
      <c r="W90" t="s">
        <v>131</v>
      </c>
      <c r="X90" t="s">
        <v>143</v>
      </c>
      <c r="Y90" t="str">
        <f>_xlfn.IFNA(_xlfn.XLOOKUP(D90,[1]Especificação!$G:$G,[1]Especificação!$C:$C),0)</f>
        <v>F4. Fora âmbito | Re-especificação de campos complexos - Dem. Fin. CIB</v>
      </c>
    </row>
    <row r="91" spans="1:25" ht="15">
      <c r="A91" s="50" t="str">
        <f t="shared" si="1"/>
        <v>INSTRUMENT_RCVD_INTRST_24M</v>
      </c>
      <c r="B91" s="50"/>
      <c r="C91" t="s">
        <v>127</v>
      </c>
      <c r="D91" t="s">
        <v>251</v>
      </c>
      <c r="E91" t="s">
        <v>14</v>
      </c>
      <c r="F91" t="s">
        <v>25</v>
      </c>
      <c r="G91" t="s">
        <v>129</v>
      </c>
      <c r="H91" t="s">
        <v>252</v>
      </c>
      <c r="J91" t="s">
        <v>29</v>
      </c>
      <c r="K91" s="15">
        <v>45958</v>
      </c>
      <c r="L91" t="s">
        <v>38</v>
      </c>
      <c r="M91" t="str">
        <f>IF(COUNTIFS(PRO_LT_SCORECARD_FLEX_VALIDATIO!$K:$K, _xlfn.CONCAT(C91,D91), PRO_LT_SCORECARD_FLEX_VALIDATIO!$G:$G, "KO") &gt; 0, "NOK", "OK")</f>
        <v>OK</v>
      </c>
      <c r="P91" s="15">
        <v>45958</v>
      </c>
      <c r="Q91" t="s">
        <v>13</v>
      </c>
      <c r="R91" t="s">
        <v>131</v>
      </c>
      <c r="S91" t="s">
        <v>132</v>
      </c>
      <c r="T91" t="s">
        <v>132</v>
      </c>
      <c r="U91" t="s">
        <v>132</v>
      </c>
      <c r="V91" t="s">
        <v>132</v>
      </c>
      <c r="W91" t="s">
        <v>131</v>
      </c>
      <c r="X91" t="s">
        <v>136</v>
      </c>
      <c r="Y91" t="str">
        <f>_xlfn.IFNA(_xlfn.XLOOKUP(D91,[1]Especificação!$G:$G,[1]Especificação!$C:$C),0)</f>
        <v>B2. Re-especificação de campos complexos - Resto</v>
      </c>
    </row>
    <row r="92" spans="1:25" ht="15">
      <c r="A92" s="50" t="str">
        <f t="shared" si="1"/>
        <v>INSTRUMENT_DT_FRBRNC_STTS_C19</v>
      </c>
      <c r="B92" s="50"/>
      <c r="C92" t="s">
        <v>127</v>
      </c>
      <c r="D92" t="s">
        <v>253</v>
      </c>
      <c r="E92" t="s">
        <v>6</v>
      </c>
      <c r="F92" t="s">
        <v>38</v>
      </c>
      <c r="G92" t="s">
        <v>129</v>
      </c>
      <c r="H92" t="s">
        <v>130</v>
      </c>
      <c r="J92" t="s">
        <v>26</v>
      </c>
      <c r="K92" s="15">
        <v>45450</v>
      </c>
      <c r="L92" t="s">
        <v>38</v>
      </c>
      <c r="M92" t="str">
        <f>IF(COUNTIFS(PRO_LT_SCORECARD_FLEX_VALIDATIO!$K:$K, _xlfn.CONCAT(C92,D92), PRO_LT_SCORECARD_FLEX_VALIDATIO!$G:$G, "KO") &gt; 0, "NOK", "OK")</f>
        <v>OK</v>
      </c>
      <c r="Q92" t="s">
        <v>30</v>
      </c>
      <c r="R92" t="s">
        <v>131</v>
      </c>
      <c r="S92" t="s">
        <v>132</v>
      </c>
      <c r="T92" t="s">
        <v>132</v>
      </c>
      <c r="U92" t="s">
        <v>132</v>
      </c>
      <c r="V92" t="s">
        <v>132</v>
      </c>
      <c r="W92" t="s">
        <v>132</v>
      </c>
      <c r="X92" t="s">
        <v>5</v>
      </c>
      <c r="Y92">
        <f>_xlfn.IFNA(_xlfn.XLOOKUP(D92,[1]Especificação!$G:$G,[1]Especificação!$C:$C),0)</f>
        <v>0</v>
      </c>
    </row>
    <row r="93" spans="1:25" ht="15">
      <c r="A93" s="50" t="str">
        <f t="shared" si="1"/>
        <v>INSTRUMENT_RCVD_INTRST_12M</v>
      </c>
      <c r="B93" s="50"/>
      <c r="C93" t="s">
        <v>127</v>
      </c>
      <c r="D93" t="s">
        <v>254</v>
      </c>
      <c r="E93" t="s">
        <v>14</v>
      </c>
      <c r="F93" t="s">
        <v>25</v>
      </c>
      <c r="G93" t="s">
        <v>145</v>
      </c>
      <c r="H93" t="s">
        <v>172</v>
      </c>
      <c r="J93" t="s">
        <v>29</v>
      </c>
      <c r="K93" s="15">
        <v>45958</v>
      </c>
      <c r="L93" t="s">
        <v>38</v>
      </c>
      <c r="M93" t="str">
        <f>IF(COUNTIFS(PRO_LT_SCORECARD_FLEX_VALIDATIO!$K:$K, _xlfn.CONCAT(C93,D93), PRO_LT_SCORECARD_FLEX_VALIDATIO!$G:$G, "KO") &gt; 0, "NOK", "OK")</f>
        <v>OK</v>
      </c>
      <c r="P93" s="15">
        <v>45958</v>
      </c>
      <c r="Q93" t="s">
        <v>13</v>
      </c>
      <c r="R93" t="s">
        <v>131</v>
      </c>
      <c r="S93" t="s">
        <v>132</v>
      </c>
      <c r="T93" t="s">
        <v>132</v>
      </c>
      <c r="U93" t="s">
        <v>132</v>
      </c>
      <c r="V93" t="s">
        <v>132</v>
      </c>
      <c r="W93" t="s">
        <v>131</v>
      </c>
      <c r="X93" t="s">
        <v>136</v>
      </c>
      <c r="Y93" t="str">
        <f>_xlfn.IFNA(_xlfn.XLOOKUP(D93,[1]Especificação!$G:$G,[1]Especificação!$C:$C),0)</f>
        <v>B2. Re-especificação de campos complexos - Resto</v>
      </c>
    </row>
    <row r="94" spans="1:25" ht="15">
      <c r="A94" s="50" t="str">
        <f t="shared" si="1"/>
        <v>INSTRUMENT_DT_FRBRNC_STTS_PRVS_C19</v>
      </c>
      <c r="B94" s="50"/>
      <c r="C94" t="s">
        <v>127</v>
      </c>
      <c r="D94" t="s">
        <v>255</v>
      </c>
      <c r="E94" t="s">
        <v>6</v>
      </c>
      <c r="F94" t="s">
        <v>38</v>
      </c>
      <c r="G94" t="s">
        <v>129</v>
      </c>
      <c r="H94" t="s">
        <v>130</v>
      </c>
      <c r="J94" t="s">
        <v>26</v>
      </c>
      <c r="K94" s="15">
        <v>45450</v>
      </c>
      <c r="L94" t="s">
        <v>38</v>
      </c>
      <c r="M94" t="str">
        <f>IF(COUNTIFS(PRO_LT_SCORECARD_FLEX_VALIDATIO!$K:$K, _xlfn.CONCAT(C94,D94), PRO_LT_SCORECARD_FLEX_VALIDATIO!$G:$G, "KO") &gt; 0, "NOK", "OK")</f>
        <v>OK</v>
      </c>
      <c r="Q94" t="s">
        <v>30</v>
      </c>
      <c r="R94" t="s">
        <v>131</v>
      </c>
      <c r="S94" t="s">
        <v>132</v>
      </c>
      <c r="T94" t="s">
        <v>132</v>
      </c>
      <c r="U94" t="s">
        <v>132</v>
      </c>
      <c r="V94" t="s">
        <v>132</v>
      </c>
      <c r="W94" t="s">
        <v>132</v>
      </c>
      <c r="X94" t="s">
        <v>5</v>
      </c>
      <c r="Y94">
        <f>_xlfn.IFNA(_xlfn.XLOOKUP(D94,[1]Especificação!$G:$G,[1]Especificação!$C:$C),0)</f>
        <v>0</v>
      </c>
    </row>
    <row r="95" spans="1:25" ht="15">
      <c r="A95" s="50" t="str">
        <f t="shared" si="1"/>
        <v>PROTECTION_DT_FRST_USG</v>
      </c>
      <c r="B95" s="50"/>
      <c r="C95" t="s">
        <v>156</v>
      </c>
      <c r="D95" t="s">
        <v>256</v>
      </c>
      <c r="E95" t="s">
        <v>6</v>
      </c>
      <c r="F95" t="s">
        <v>36</v>
      </c>
      <c r="G95" t="s">
        <v>145</v>
      </c>
      <c r="H95" t="s">
        <v>257</v>
      </c>
      <c r="J95" t="s">
        <v>29</v>
      </c>
      <c r="K95" s="15">
        <v>45450</v>
      </c>
      <c r="L95" t="s">
        <v>36</v>
      </c>
      <c r="M95" t="str">
        <f>IF(COUNTIFS(PRO_LT_SCORECARD_FLEX_VALIDATIO!$K:$K, _xlfn.CONCAT(C95,D95), PRO_LT_SCORECARD_FLEX_VALIDATIO!$G:$G, "KO") &gt; 0, "NOK", "OK")</f>
        <v>OK</v>
      </c>
      <c r="Q95" t="s">
        <v>8</v>
      </c>
      <c r="R95" t="s">
        <v>131</v>
      </c>
      <c r="S95" t="s">
        <v>132</v>
      </c>
      <c r="T95" t="s">
        <v>132</v>
      </c>
      <c r="U95" t="s">
        <v>132</v>
      </c>
      <c r="V95" t="s">
        <v>132</v>
      </c>
      <c r="W95" t="s">
        <v>132</v>
      </c>
      <c r="X95" t="s">
        <v>5</v>
      </c>
      <c r="Y95">
        <f>_xlfn.IFNA(_xlfn.XLOOKUP(D95,[1]Especificação!$G:$G,[1]Especificação!$C:$C),0)</f>
        <v>0</v>
      </c>
    </row>
    <row r="96" spans="1:25" ht="15">
      <c r="A96" s="50" t="str">
        <f t="shared" si="1"/>
        <v>INSTRUMENT_DT_IMPRMNT_STTS</v>
      </c>
      <c r="B96" s="50"/>
      <c r="C96" t="s">
        <v>127</v>
      </c>
      <c r="D96" s="11" t="s">
        <v>51</v>
      </c>
      <c r="E96" t="s">
        <v>14</v>
      </c>
      <c r="F96" t="s">
        <v>28</v>
      </c>
      <c r="G96" t="s">
        <v>145</v>
      </c>
      <c r="H96" t="s">
        <v>154</v>
      </c>
      <c r="I96" t="s">
        <v>258</v>
      </c>
      <c r="J96" t="s">
        <v>32</v>
      </c>
      <c r="K96" s="15">
        <v>45952</v>
      </c>
      <c r="L96" t="s">
        <v>38</v>
      </c>
      <c r="M96" t="str">
        <f>IF(COUNTIFS(PRO_LT_SCORECARD_FLEX_VALIDATIO!$K:$K, _xlfn.CONCAT(C96,D96), PRO_LT_SCORECARD_FLEX_VALIDATIO!$G:$G, "KO") &gt; 0, "NOK", "OK")</f>
        <v>NOK</v>
      </c>
      <c r="O96" s="15">
        <v>45562</v>
      </c>
      <c r="P96" s="15">
        <v>45952</v>
      </c>
      <c r="Q96" t="s">
        <v>39</v>
      </c>
      <c r="R96" t="s">
        <v>131</v>
      </c>
      <c r="S96" t="s">
        <v>132</v>
      </c>
      <c r="T96" t="s">
        <v>132</v>
      </c>
      <c r="U96" t="s">
        <v>132</v>
      </c>
      <c r="V96" t="s">
        <v>132</v>
      </c>
      <c r="W96" t="s">
        <v>131</v>
      </c>
      <c r="X96" t="s">
        <v>5</v>
      </c>
      <c r="Y96" t="str">
        <f>_xlfn.IFNA(_xlfn.XLOOKUP(D96,[1]Especificação!$G:$G,[1]Especificação!$C:$C),0)</f>
        <v>F2. Fora âmbito | Campos em testes ou c/ incidências (LT - PM)</v>
      </c>
    </row>
    <row r="97" spans="1:25" ht="15">
      <c r="A97" s="50" t="str">
        <f t="shared" si="1"/>
        <v>INSTRUMENT_DT_IMPRMNT_STTS_PRVS</v>
      </c>
      <c r="B97" s="50"/>
      <c r="C97" t="s">
        <v>127</v>
      </c>
      <c r="D97" s="11" t="s">
        <v>52</v>
      </c>
      <c r="E97" t="s">
        <v>14</v>
      </c>
      <c r="F97" t="s">
        <v>28</v>
      </c>
      <c r="G97" t="s">
        <v>145</v>
      </c>
      <c r="H97" t="s">
        <v>154</v>
      </c>
      <c r="I97" t="s">
        <v>258</v>
      </c>
      <c r="J97" t="s">
        <v>32</v>
      </c>
      <c r="K97" s="15">
        <v>45952</v>
      </c>
      <c r="L97" t="s">
        <v>38</v>
      </c>
      <c r="M97" t="str">
        <f>IF(COUNTIFS(PRO_LT_SCORECARD_FLEX_VALIDATIO!$K:$K, _xlfn.CONCAT(C97,D97), PRO_LT_SCORECARD_FLEX_VALIDATIO!$G:$G, "KO") &gt; 0, "NOK", "OK")</f>
        <v>NOK</v>
      </c>
      <c r="O97" s="15">
        <v>45562</v>
      </c>
      <c r="P97" s="15">
        <v>45952</v>
      </c>
      <c r="Q97" t="s">
        <v>39</v>
      </c>
      <c r="R97" t="s">
        <v>131</v>
      </c>
      <c r="S97" t="s">
        <v>132</v>
      </c>
      <c r="T97" t="s">
        <v>132</v>
      </c>
      <c r="U97" t="s">
        <v>132</v>
      </c>
      <c r="V97" t="s">
        <v>132</v>
      </c>
      <c r="W97" t="s">
        <v>132</v>
      </c>
      <c r="X97" t="s">
        <v>5</v>
      </c>
      <c r="Y97">
        <f>_xlfn.IFNA(_xlfn.XLOOKUP(D97,[1]Especificação!$G:$G,[1]Especificação!$C:$C),0)</f>
        <v>0</v>
      </c>
    </row>
    <row r="98" spans="1:25" ht="15">
      <c r="A98" s="50" t="str">
        <f t="shared" si="1"/>
        <v>INSTRUMENT_DT_INCPTN</v>
      </c>
      <c r="B98" s="50"/>
      <c r="C98" t="s">
        <v>127</v>
      </c>
      <c r="D98" t="s">
        <v>259</v>
      </c>
      <c r="E98" t="s">
        <v>14</v>
      </c>
      <c r="F98" t="s">
        <v>36</v>
      </c>
      <c r="G98" t="s">
        <v>145</v>
      </c>
      <c r="H98" t="s">
        <v>158</v>
      </c>
      <c r="J98" t="s">
        <v>29</v>
      </c>
      <c r="K98" s="15">
        <v>45958</v>
      </c>
      <c r="L98" t="s">
        <v>38</v>
      </c>
      <c r="M98" t="str">
        <f>IF(COUNTIFS(PRO_LT_SCORECARD_FLEX_VALIDATIO!$K:$K, _xlfn.CONCAT(C98,D98), PRO_LT_SCORECARD_FLEX_VALIDATIO!$G:$G, "KO") &gt; 0, "NOK", "OK")</f>
        <v>NOK</v>
      </c>
      <c r="P98" s="15">
        <v>45958</v>
      </c>
      <c r="Q98" t="s">
        <v>8</v>
      </c>
      <c r="R98" t="s">
        <v>131</v>
      </c>
      <c r="S98" t="s">
        <v>132</v>
      </c>
      <c r="T98" t="s">
        <v>131</v>
      </c>
      <c r="U98" t="s">
        <v>132</v>
      </c>
      <c r="V98" t="s">
        <v>132</v>
      </c>
      <c r="W98" t="s">
        <v>131</v>
      </c>
      <c r="X98" t="s">
        <v>136</v>
      </c>
      <c r="Y98" t="str">
        <f>_xlfn.IFNA(_xlfn.XLOOKUP(D98,[1]Especificação!$G:$G,[1]Especificação!$C:$C),0)</f>
        <v>D. Campos com NOK controlos Corporativos</v>
      </c>
    </row>
    <row r="99" spans="1:25" ht="15">
      <c r="A99" s="50" t="str">
        <f t="shared" si="1"/>
        <v>ENTITY_DT_INTRNL_RTNG</v>
      </c>
      <c r="B99" s="50"/>
      <c r="C99" t="s">
        <v>139</v>
      </c>
      <c r="D99" s="10" t="s">
        <v>260</v>
      </c>
      <c r="E99" t="s">
        <v>14</v>
      </c>
      <c r="F99" t="s">
        <v>33</v>
      </c>
      <c r="G99" t="s">
        <v>145</v>
      </c>
      <c r="H99" t="s">
        <v>261</v>
      </c>
      <c r="J99" t="s">
        <v>32</v>
      </c>
      <c r="K99" s="15">
        <v>45958</v>
      </c>
      <c r="L99" t="s">
        <v>55</v>
      </c>
      <c r="M99" t="str">
        <f>IF(COUNTIFS(PRO_LT_SCORECARD_FLEX_VALIDATIO!$K:$K, _xlfn.CONCAT(C99,D99), PRO_LT_SCORECARD_FLEX_VALIDATIO!$G:$G, "KO") &gt; 0, "NOK", "OK")</f>
        <v>NOK</v>
      </c>
      <c r="O99" s="15"/>
      <c r="P99" s="15">
        <v>45958</v>
      </c>
      <c r="Q99" t="s">
        <v>24</v>
      </c>
      <c r="R99" t="s">
        <v>131</v>
      </c>
      <c r="S99" t="s">
        <v>132</v>
      </c>
      <c r="T99" t="s">
        <v>132</v>
      </c>
      <c r="U99" t="s">
        <v>132</v>
      </c>
      <c r="V99" t="s">
        <v>132</v>
      </c>
      <c r="W99" t="s">
        <v>131</v>
      </c>
      <c r="X99" t="s">
        <v>136</v>
      </c>
      <c r="Y99" t="str">
        <f>_xlfn.IFNA(_xlfn.XLOOKUP(D99,[1]Especificação!$G:$G,[1]Especificação!$C:$C),0)</f>
        <v>C. Campos em testes ou c/ incidências</v>
      </c>
    </row>
    <row r="100" spans="1:25" ht="15">
      <c r="A100" s="50" t="str">
        <f t="shared" si="1"/>
        <v>INSTRUMENT_DT_INTRNL_RTNG</v>
      </c>
      <c r="B100" s="50"/>
      <c r="C100" t="s">
        <v>127</v>
      </c>
      <c r="D100" s="10" t="s">
        <v>260</v>
      </c>
      <c r="E100" t="s">
        <v>14</v>
      </c>
      <c r="F100" t="s">
        <v>33</v>
      </c>
      <c r="G100" t="s">
        <v>145</v>
      </c>
      <c r="H100" t="s">
        <v>262</v>
      </c>
      <c r="J100" t="s">
        <v>32</v>
      </c>
      <c r="K100" s="15">
        <v>45958</v>
      </c>
      <c r="L100" t="s">
        <v>55</v>
      </c>
      <c r="M100" t="str">
        <f>IF(COUNTIFS(PRO_LT_SCORECARD_FLEX_VALIDATIO!$K:$K, _xlfn.CONCAT(C100,D100), PRO_LT_SCORECARD_FLEX_VALIDATIO!$G:$G, "KO") &gt; 0, "NOK", "OK")</f>
        <v>NOK</v>
      </c>
      <c r="O100" s="15"/>
      <c r="P100" s="15">
        <v>45958</v>
      </c>
      <c r="Q100" t="s">
        <v>24</v>
      </c>
      <c r="R100" t="s">
        <v>131</v>
      </c>
      <c r="S100" t="s">
        <v>132</v>
      </c>
      <c r="T100" t="s">
        <v>132</v>
      </c>
      <c r="U100" t="s">
        <v>132</v>
      </c>
      <c r="V100" t="s">
        <v>132</v>
      </c>
      <c r="W100" t="s">
        <v>131</v>
      </c>
      <c r="X100" t="s">
        <v>136</v>
      </c>
      <c r="Y100" t="str">
        <f>_xlfn.IFNA(_xlfn.XLOOKUP(D100,[1]Especificação!$G:$G,[1]Especificação!$C:$C),0)</f>
        <v>C. Campos em testes ou c/ incidências</v>
      </c>
    </row>
    <row r="101" spans="1:25" ht="15">
      <c r="A101" s="50" t="str">
        <f t="shared" si="1"/>
        <v>ENTITY_DT_INTTN_LGL_PRCDNGS_LE</v>
      </c>
      <c r="B101" s="50"/>
      <c r="C101" t="s">
        <v>139</v>
      </c>
      <c r="D101" t="s">
        <v>263</v>
      </c>
      <c r="E101" t="s">
        <v>14</v>
      </c>
      <c r="F101" t="s">
        <v>38</v>
      </c>
      <c r="G101" t="s">
        <v>129</v>
      </c>
      <c r="H101" t="s">
        <v>130</v>
      </c>
      <c r="J101" t="s">
        <v>26</v>
      </c>
      <c r="K101" s="15">
        <v>45450</v>
      </c>
      <c r="L101" t="s">
        <v>38</v>
      </c>
      <c r="M101" t="str">
        <f>IF(COUNTIFS(PRO_LT_SCORECARD_FLEX_VALIDATIO!$K:$K, _xlfn.CONCAT(C101,D101), PRO_LT_SCORECARD_FLEX_VALIDATIO!$G:$G, "KO") &gt; 0, "NOK", "OK")</f>
        <v>NOK</v>
      </c>
      <c r="Q101" t="s">
        <v>30</v>
      </c>
      <c r="R101" t="s">
        <v>131</v>
      </c>
      <c r="S101" t="s">
        <v>132</v>
      </c>
      <c r="T101" t="s">
        <v>132</v>
      </c>
      <c r="U101" t="s">
        <v>132</v>
      </c>
      <c r="V101" t="s">
        <v>132</v>
      </c>
      <c r="W101" t="s">
        <v>131</v>
      </c>
      <c r="X101" t="s">
        <v>5</v>
      </c>
      <c r="Y101" t="str">
        <f>_xlfn.IFNA(_xlfn.XLOOKUP(D101,[1]Especificação!$G:$G,[1]Especificação!$C:$C),0)</f>
        <v>F1. Fora âmbito | Campos concluídos - Sem necessidade de espec.</v>
      </c>
    </row>
    <row r="102" spans="1:25" ht="15">
      <c r="A102" s="50" t="str">
        <f t="shared" si="1"/>
        <v>PROTECTION_DVLPMNT_STTS</v>
      </c>
      <c r="B102" s="50"/>
      <c r="C102" t="s">
        <v>156</v>
      </c>
      <c r="D102" s="10" t="s">
        <v>264</v>
      </c>
      <c r="E102" t="s">
        <v>14</v>
      </c>
      <c r="F102" t="s">
        <v>25</v>
      </c>
      <c r="G102" t="s">
        <v>145</v>
      </c>
      <c r="H102" t="s">
        <v>265</v>
      </c>
      <c r="I102" t="s">
        <v>230</v>
      </c>
      <c r="J102" t="s">
        <v>26</v>
      </c>
      <c r="K102" s="15">
        <v>45670</v>
      </c>
      <c r="L102" t="s">
        <v>38</v>
      </c>
      <c r="M102" t="str">
        <f>IF(COUNTIFS(PRO_LT_SCORECARD_FLEX_VALIDATIO!$K:$K, _xlfn.CONCAT(C102,D102), PRO_LT_SCORECARD_FLEX_VALIDATIO!$G:$G, "KO") &gt; 0, "NOK", "OK")</f>
        <v>OK</v>
      </c>
      <c r="N102" t="s">
        <v>266</v>
      </c>
      <c r="O102" s="15">
        <v>45513</v>
      </c>
      <c r="P102" s="15">
        <v>45646</v>
      </c>
      <c r="Q102" t="s">
        <v>24</v>
      </c>
      <c r="R102" t="s">
        <v>131</v>
      </c>
      <c r="S102" t="s">
        <v>132</v>
      </c>
      <c r="T102" t="s">
        <v>132</v>
      </c>
      <c r="U102" t="s">
        <v>132</v>
      </c>
      <c r="V102" t="s">
        <v>132</v>
      </c>
      <c r="W102" t="s">
        <v>132</v>
      </c>
      <c r="X102" t="s">
        <v>5</v>
      </c>
      <c r="Y102">
        <f>_xlfn.IFNA(_xlfn.XLOOKUP(D102,[1]Especificação!$G:$G,[1]Especificação!$C:$C),0)</f>
        <v>0</v>
      </c>
    </row>
    <row r="103" spans="1:25" ht="15">
      <c r="A103" s="50" t="str">
        <f t="shared" si="1"/>
        <v>PROTECTION_DT_LST_FLL_APPRSL</v>
      </c>
      <c r="B103" s="50"/>
      <c r="C103" t="s">
        <v>156</v>
      </c>
      <c r="D103" s="10" t="s">
        <v>267</v>
      </c>
      <c r="E103" t="s">
        <v>14</v>
      </c>
      <c r="F103" t="s">
        <v>35</v>
      </c>
      <c r="G103" t="s">
        <v>145</v>
      </c>
      <c r="H103" t="s">
        <v>180</v>
      </c>
      <c r="I103" t="s">
        <v>181</v>
      </c>
      <c r="J103" t="s">
        <v>26</v>
      </c>
      <c r="K103" s="15">
        <v>45670</v>
      </c>
      <c r="L103" t="s">
        <v>38</v>
      </c>
      <c r="M103" t="str">
        <f>IF(COUNTIFS(PRO_LT_SCORECARD_FLEX_VALIDATIO!$K:$K, _xlfn.CONCAT(C103,D103), PRO_LT_SCORECARD_FLEX_VALIDATIO!$G:$G, "KO") &gt; 0, "NOK", "OK")</f>
        <v>OK</v>
      </c>
      <c r="N103" t="s">
        <v>268</v>
      </c>
      <c r="O103" s="15">
        <v>45471</v>
      </c>
      <c r="P103" s="15">
        <v>45646</v>
      </c>
      <c r="Q103" t="s">
        <v>24</v>
      </c>
      <c r="R103" t="s">
        <v>131</v>
      </c>
      <c r="S103" t="s">
        <v>132</v>
      </c>
      <c r="T103" t="s">
        <v>132</v>
      </c>
      <c r="U103" t="s">
        <v>132</v>
      </c>
      <c r="V103" t="s">
        <v>132</v>
      </c>
      <c r="W103" t="s">
        <v>132</v>
      </c>
      <c r="X103" t="s">
        <v>5</v>
      </c>
      <c r="Y103">
        <f>_xlfn.IFNA(_xlfn.XLOOKUP(D103,[1]Especificação!$G:$G,[1]Especificação!$C:$C),0)</f>
        <v>0</v>
      </c>
    </row>
    <row r="104" spans="1:25" ht="15">
      <c r="A104" s="50" t="str">
        <f t="shared" si="1"/>
        <v>PROTECTION_DT_MTRTY_PRTCTN</v>
      </c>
      <c r="B104" s="50"/>
      <c r="C104" t="s">
        <v>156</v>
      </c>
      <c r="D104" t="s">
        <v>269</v>
      </c>
      <c r="E104" t="s">
        <v>14</v>
      </c>
      <c r="F104" t="s">
        <v>36</v>
      </c>
      <c r="G104" t="s">
        <v>145</v>
      </c>
      <c r="H104" t="s">
        <v>257</v>
      </c>
      <c r="J104" t="s">
        <v>29</v>
      </c>
      <c r="K104" s="15">
        <v>45450</v>
      </c>
      <c r="L104" t="s">
        <v>36</v>
      </c>
      <c r="M104" t="str">
        <f>IF(COUNTIFS(PRO_LT_SCORECARD_FLEX_VALIDATIO!$K:$K, _xlfn.CONCAT(C104,D104), PRO_LT_SCORECARD_FLEX_VALIDATIO!$G:$G, "KO") &gt; 0, "NOK", "OK")</f>
        <v>OK</v>
      </c>
      <c r="Q104" t="s">
        <v>8</v>
      </c>
      <c r="R104" t="s">
        <v>131</v>
      </c>
      <c r="S104" t="s">
        <v>132</v>
      </c>
      <c r="T104" t="s">
        <v>132</v>
      </c>
      <c r="U104" t="s">
        <v>132</v>
      </c>
      <c r="V104" t="s">
        <v>132</v>
      </c>
      <c r="W104" t="s">
        <v>132</v>
      </c>
      <c r="X104" t="s">
        <v>5</v>
      </c>
      <c r="Y104">
        <f>_xlfn.IFNA(_xlfn.XLOOKUP(D104,[1]Especificação!$G:$G,[1]Especificação!$C:$C),0)</f>
        <v>0</v>
      </c>
    </row>
    <row r="105" spans="1:25" ht="15">
      <c r="A105" s="50" t="str">
        <f t="shared" si="1"/>
        <v>INSTRUMENT_SICR_ASSSSMNT_MTHD</v>
      </c>
      <c r="B105" s="50"/>
      <c r="C105" t="s">
        <v>127</v>
      </c>
      <c r="D105" s="10" t="s">
        <v>270</v>
      </c>
      <c r="E105" t="s">
        <v>14</v>
      </c>
      <c r="F105" t="s">
        <v>28</v>
      </c>
      <c r="G105" t="s">
        <v>129</v>
      </c>
      <c r="H105" t="s">
        <v>271</v>
      </c>
      <c r="J105" t="s">
        <v>26</v>
      </c>
      <c r="K105" s="15">
        <v>45471</v>
      </c>
      <c r="L105" t="s">
        <v>38</v>
      </c>
      <c r="M105" t="str">
        <f>IF(COUNTIFS(PRO_LT_SCORECARD_FLEX_VALIDATIO!$K:$K, _xlfn.CONCAT(C105,D105), PRO_LT_SCORECARD_FLEX_VALIDATIO!$G:$G, "KO") &gt; 0, "NOK", "OK")</f>
        <v>OK</v>
      </c>
      <c r="N105" t="s">
        <v>272</v>
      </c>
      <c r="P105" s="43" t="s">
        <v>273</v>
      </c>
      <c r="Q105" t="s">
        <v>30</v>
      </c>
      <c r="R105" t="s">
        <v>131</v>
      </c>
      <c r="S105" t="s">
        <v>132</v>
      </c>
      <c r="T105" t="s">
        <v>132</v>
      </c>
      <c r="U105" t="s">
        <v>132</v>
      </c>
      <c r="V105" t="s">
        <v>132</v>
      </c>
      <c r="W105" t="s">
        <v>131</v>
      </c>
      <c r="X105" t="s">
        <v>5</v>
      </c>
      <c r="Y105" t="str">
        <f>_xlfn.IFNA(_xlfn.XLOOKUP(D105,[1]Especificação!$G:$G,[1]Especificação!$C:$C),0)</f>
        <v>F1. Fora âmbito | Campos concluídos - Sem necessidade de espec.</v>
      </c>
    </row>
    <row r="106" spans="1:25" ht="15">
      <c r="A106" s="50" t="str">
        <f t="shared" si="1"/>
        <v>INSTRUMENT_DT_ORGNL_MTRTY</v>
      </c>
      <c r="B106" s="50"/>
      <c r="C106" t="s">
        <v>127</v>
      </c>
      <c r="D106" t="s">
        <v>274</v>
      </c>
      <c r="E106" t="s">
        <v>14</v>
      </c>
      <c r="F106" t="s">
        <v>36</v>
      </c>
      <c r="G106" t="s">
        <v>145</v>
      </c>
      <c r="H106" t="s">
        <v>158</v>
      </c>
      <c r="J106" t="s">
        <v>29</v>
      </c>
      <c r="K106" s="15">
        <v>45958</v>
      </c>
      <c r="L106" t="s">
        <v>38</v>
      </c>
      <c r="M106" t="str">
        <f>IF(COUNTIFS(PRO_LT_SCORECARD_FLEX_VALIDATIO!$K:$K, _xlfn.CONCAT(C106,D106), PRO_LT_SCORECARD_FLEX_VALIDATIO!$G:$G, "KO") &gt; 0, "NOK", "OK")</f>
        <v>NOK</v>
      </c>
      <c r="P106" s="15">
        <v>45958</v>
      </c>
      <c r="Q106" t="s">
        <v>8</v>
      </c>
      <c r="R106" t="s">
        <v>131</v>
      </c>
      <c r="S106" t="s">
        <v>132</v>
      </c>
      <c r="T106" t="s">
        <v>132</v>
      </c>
      <c r="U106" t="s">
        <v>132</v>
      </c>
      <c r="V106" t="s">
        <v>132</v>
      </c>
      <c r="W106" t="s">
        <v>131</v>
      </c>
      <c r="X106" t="s">
        <v>136</v>
      </c>
      <c r="Y106" t="str">
        <f>_xlfn.IFNA(_xlfn.XLOOKUP(D106,[1]Especificação!$G:$G,[1]Especificação!$C:$C),0)</f>
        <v>D. Campos com NOK controlos Corporativos</v>
      </c>
    </row>
    <row r="107" spans="1:25" ht="15">
      <c r="A107" s="50" t="str">
        <f t="shared" si="1"/>
        <v>PROTECTION_NTNL_ID</v>
      </c>
      <c r="B107" s="50"/>
      <c r="C107" t="s">
        <v>156</v>
      </c>
      <c r="D107" s="10" t="s">
        <v>275</v>
      </c>
      <c r="E107" t="s">
        <v>14</v>
      </c>
      <c r="F107" t="s">
        <v>35</v>
      </c>
      <c r="G107" t="s">
        <v>145</v>
      </c>
      <c r="H107" t="s">
        <v>276</v>
      </c>
      <c r="J107" t="s">
        <v>26</v>
      </c>
      <c r="K107" s="15">
        <v>45670</v>
      </c>
      <c r="L107" t="s">
        <v>38</v>
      </c>
      <c r="M107" t="str">
        <f>IF(COUNTIFS(PRO_LT_SCORECARD_FLEX_VALIDATIO!$K:$K, _xlfn.CONCAT(C107,D107), PRO_LT_SCORECARD_FLEX_VALIDATIO!$G:$G, "KO") &gt; 0, "NOK", "OK")</f>
        <v>NOK</v>
      </c>
      <c r="O107" s="15">
        <v>45513</v>
      </c>
      <c r="P107" s="15">
        <v>45646</v>
      </c>
      <c r="Q107" t="s">
        <v>24</v>
      </c>
      <c r="R107" t="s">
        <v>131</v>
      </c>
      <c r="S107" t="s">
        <v>132</v>
      </c>
      <c r="T107" t="s">
        <v>132</v>
      </c>
      <c r="U107" t="s">
        <v>132</v>
      </c>
      <c r="V107" t="s">
        <v>132</v>
      </c>
      <c r="W107" t="s">
        <v>132</v>
      </c>
      <c r="X107" t="s">
        <v>5</v>
      </c>
      <c r="Y107">
        <f>_xlfn.IFNA(_xlfn.XLOOKUP(D107,[1]Especificação!$G:$G,[1]Especificação!$C:$C),0)</f>
        <v>0</v>
      </c>
    </row>
    <row r="108" spans="1:25" ht="15">
      <c r="A108" s="50" t="str">
        <f t="shared" si="1"/>
        <v>INSTRUMENT_DT_PRFRMNG_STTS</v>
      </c>
      <c r="B108" s="50"/>
      <c r="C108" t="s">
        <v>127</v>
      </c>
      <c r="D108" s="11" t="s">
        <v>53</v>
      </c>
      <c r="E108" t="s">
        <v>14</v>
      </c>
      <c r="F108" t="s">
        <v>28</v>
      </c>
      <c r="G108" t="s">
        <v>129</v>
      </c>
      <c r="H108" t="s">
        <v>154</v>
      </c>
      <c r="I108" t="s">
        <v>258</v>
      </c>
      <c r="J108" t="s">
        <v>32</v>
      </c>
      <c r="K108" s="15">
        <v>45952</v>
      </c>
      <c r="L108" t="s">
        <v>38</v>
      </c>
      <c r="M108" t="str">
        <f>IF(COUNTIFS(PRO_LT_SCORECARD_FLEX_VALIDATIO!$K:$K, _xlfn.CONCAT(C108,D108), PRO_LT_SCORECARD_FLEX_VALIDATIO!$G:$G, "KO") &gt; 0, "NOK", "OK")</f>
        <v>NOK</v>
      </c>
      <c r="O108" s="15">
        <v>45562</v>
      </c>
      <c r="P108" s="15">
        <v>45952</v>
      </c>
      <c r="Q108" t="s">
        <v>39</v>
      </c>
      <c r="R108" t="s">
        <v>131</v>
      </c>
      <c r="S108" t="s">
        <v>132</v>
      </c>
      <c r="T108" t="s">
        <v>132</v>
      </c>
      <c r="U108" t="s">
        <v>132</v>
      </c>
      <c r="V108" t="s">
        <v>132</v>
      </c>
      <c r="W108" t="s">
        <v>131</v>
      </c>
      <c r="X108" t="s">
        <v>5</v>
      </c>
      <c r="Y108" t="str">
        <f>_xlfn.IFNA(_xlfn.XLOOKUP(D108,[1]Especificação!$G:$G,[1]Especificação!$C:$C),0)</f>
        <v>F2. Fora âmbito | Campos em testes ou c/ incidências (LT - PM)</v>
      </c>
    </row>
    <row r="109" spans="1:25" ht="15">
      <c r="A109" s="50" t="str">
        <f t="shared" si="1"/>
        <v>ENTITY_DT_PRFRMNG_STTS_LE</v>
      </c>
      <c r="B109" s="50"/>
      <c r="C109" t="s">
        <v>139</v>
      </c>
      <c r="D109" s="11" t="s">
        <v>277</v>
      </c>
      <c r="E109" t="s">
        <v>14</v>
      </c>
      <c r="F109" t="s">
        <v>28</v>
      </c>
      <c r="G109" t="s">
        <v>145</v>
      </c>
      <c r="H109" t="s">
        <v>213</v>
      </c>
      <c r="I109" t="s">
        <v>240</v>
      </c>
      <c r="J109" t="s">
        <v>32</v>
      </c>
      <c r="K109" s="15">
        <v>45958</v>
      </c>
      <c r="L109" t="s">
        <v>38</v>
      </c>
      <c r="M109" t="str">
        <f>IF(COUNTIFS(PRO_LT_SCORECARD_FLEX_VALIDATIO!$K:$K, _xlfn.CONCAT(C109,D109), PRO_LT_SCORECARD_FLEX_VALIDATIO!$G:$G, "KO") &gt; 0, "NOK", "OK")</f>
        <v>NOK</v>
      </c>
      <c r="O109" s="15">
        <v>45958</v>
      </c>
      <c r="Q109" t="s">
        <v>39</v>
      </c>
      <c r="R109" t="s">
        <v>131</v>
      </c>
      <c r="S109" t="s">
        <v>132</v>
      </c>
      <c r="T109" t="s">
        <v>132</v>
      </c>
      <c r="U109" t="s">
        <v>132</v>
      </c>
      <c r="V109" t="s">
        <v>132</v>
      </c>
      <c r="W109" t="s">
        <v>131</v>
      </c>
      <c r="X109" t="s">
        <v>136</v>
      </c>
      <c r="Y109" t="str">
        <f>_xlfn.IFNA(_xlfn.XLOOKUP(D109,[1]Especificação!$G:$G,[1]Especificação!$C:$C),0)</f>
        <v xml:space="preserve">E. Campos com outras possíveis alterações - Dependente de decisões OSI </v>
      </c>
    </row>
    <row r="110" spans="1:25" ht="15">
      <c r="A110" s="50" t="str">
        <f t="shared" si="1"/>
        <v>INSTRUMENT_DT_PRFRMNG_STTS_PRVS</v>
      </c>
      <c r="B110" s="50"/>
      <c r="C110" t="s">
        <v>127</v>
      </c>
      <c r="D110" s="11" t="s">
        <v>54</v>
      </c>
      <c r="E110" t="s">
        <v>14</v>
      </c>
      <c r="F110" t="s">
        <v>28</v>
      </c>
      <c r="G110" t="s">
        <v>129</v>
      </c>
      <c r="H110" t="s">
        <v>154</v>
      </c>
      <c r="I110" t="s">
        <v>258</v>
      </c>
      <c r="J110" t="s">
        <v>32</v>
      </c>
      <c r="K110" s="15">
        <v>45952</v>
      </c>
      <c r="L110" t="s">
        <v>38</v>
      </c>
      <c r="M110" t="str">
        <f>IF(COUNTIFS(PRO_LT_SCORECARD_FLEX_VALIDATIO!$K:$K, _xlfn.CONCAT(C110,D110), PRO_LT_SCORECARD_FLEX_VALIDATIO!$G:$G, "KO") &gt; 0, "NOK", "OK")</f>
        <v>NOK</v>
      </c>
      <c r="O110" s="15">
        <v>45562</v>
      </c>
      <c r="P110" s="15">
        <v>45952</v>
      </c>
      <c r="Q110" t="s">
        <v>39</v>
      </c>
      <c r="R110" t="s">
        <v>131</v>
      </c>
      <c r="S110" t="s">
        <v>132</v>
      </c>
      <c r="T110" t="s">
        <v>132</v>
      </c>
      <c r="U110" t="s">
        <v>132</v>
      </c>
      <c r="V110" t="s">
        <v>132</v>
      </c>
      <c r="W110" t="s">
        <v>131</v>
      </c>
      <c r="X110" t="s">
        <v>5</v>
      </c>
      <c r="Y110" t="str">
        <f>_xlfn.IFNA(_xlfn.XLOOKUP(D110,[1]Especificação!$G:$G,[1]Especificação!$C:$C),0)</f>
        <v>F2. Fora âmbito | Campos em testes ou c/ incidências (LT - PM)</v>
      </c>
    </row>
    <row r="111" spans="1:25" ht="15">
      <c r="A111" s="50" t="str">
        <f t="shared" si="1"/>
        <v>INSTRUMENT_IFRS9_BHVRL_MTRTY</v>
      </c>
      <c r="B111" s="50"/>
      <c r="C111" t="s">
        <v>127</v>
      </c>
      <c r="D111" s="10" t="s">
        <v>278</v>
      </c>
      <c r="E111" t="s">
        <v>14</v>
      </c>
      <c r="F111" t="s">
        <v>25</v>
      </c>
      <c r="G111" t="s">
        <v>129</v>
      </c>
      <c r="H111" t="s">
        <v>279</v>
      </c>
      <c r="I111" t="s">
        <v>280</v>
      </c>
      <c r="J111" t="s">
        <v>32</v>
      </c>
      <c r="K111" s="15">
        <v>45869</v>
      </c>
      <c r="L111" t="s">
        <v>38</v>
      </c>
      <c r="M111" t="str">
        <f>IF(COUNTIFS(PRO_LT_SCORECARD_FLEX_VALIDATIO!$K:$K, _xlfn.CONCAT(C111,D111), PRO_LT_SCORECARD_FLEX_VALIDATIO!$G:$G, "KO") &gt; 0, "NOK", "OK")</f>
        <v>OK</v>
      </c>
      <c r="N111" t="s">
        <v>281</v>
      </c>
      <c r="O111" s="15">
        <v>45534</v>
      </c>
      <c r="P111" s="15">
        <v>45747</v>
      </c>
      <c r="Q111" t="s">
        <v>24</v>
      </c>
      <c r="R111" t="s">
        <v>131</v>
      </c>
      <c r="S111" t="s">
        <v>132</v>
      </c>
      <c r="T111" t="s">
        <v>131</v>
      </c>
      <c r="U111" t="s">
        <v>132</v>
      </c>
      <c r="V111" t="s">
        <v>132</v>
      </c>
      <c r="W111" t="s">
        <v>131</v>
      </c>
      <c r="X111" t="s">
        <v>5</v>
      </c>
      <c r="Y111" t="str">
        <f>_xlfn.IFNA(_xlfn.XLOOKUP(D111,[1]Especificação!$G:$G,[1]Especificação!$C:$C),0)</f>
        <v>F2. Fora âmbito | Campos em testes ou c/ incidências (LT - PM)</v>
      </c>
    </row>
    <row r="112" spans="1:25" ht="15">
      <c r="A112" s="50" t="str">
        <f t="shared" si="1"/>
        <v>INSTRUMENT_DT_PST_D</v>
      </c>
      <c r="B112" s="50"/>
      <c r="C112" t="s">
        <v>127</v>
      </c>
      <c r="D112" t="s">
        <v>282</v>
      </c>
      <c r="E112" t="s">
        <v>14</v>
      </c>
      <c r="F112" t="s">
        <v>36</v>
      </c>
      <c r="G112" t="s">
        <v>145</v>
      </c>
      <c r="H112" t="s">
        <v>158</v>
      </c>
      <c r="J112" t="s">
        <v>29</v>
      </c>
      <c r="K112" s="15">
        <v>45958</v>
      </c>
      <c r="L112" t="s">
        <v>38</v>
      </c>
      <c r="M112" t="str">
        <f>IF(COUNTIFS(PRO_LT_SCORECARD_FLEX_VALIDATIO!$K:$K, _xlfn.CONCAT(C112,D112), PRO_LT_SCORECARD_FLEX_VALIDATIO!$G:$G, "KO") &gt; 0, "NOK", "OK")</f>
        <v>NOK</v>
      </c>
      <c r="P112" s="15">
        <v>45958</v>
      </c>
      <c r="Q112" t="s">
        <v>8</v>
      </c>
      <c r="R112" t="s">
        <v>131</v>
      </c>
      <c r="S112" t="s">
        <v>132</v>
      </c>
      <c r="T112" t="s">
        <v>132</v>
      </c>
      <c r="U112" t="s">
        <v>132</v>
      </c>
      <c r="V112" t="s">
        <v>132</v>
      </c>
      <c r="W112" t="s">
        <v>131</v>
      </c>
      <c r="X112" t="s">
        <v>136</v>
      </c>
      <c r="Y112" t="str">
        <f>_xlfn.IFNA(_xlfn.XLOOKUP(D112,[1]Especificação!$G:$G,[1]Especificação!$C:$C),0)</f>
        <v>D. Campos com NOK controlos Corporativos</v>
      </c>
    </row>
    <row r="113" spans="1:25" ht="15">
      <c r="A113" s="50" t="str">
        <f t="shared" si="1"/>
        <v>ENTITY_DT_RFRNC</v>
      </c>
      <c r="B113" s="50"/>
      <c r="C113" t="s">
        <v>139</v>
      </c>
      <c r="D113" t="s">
        <v>283</v>
      </c>
      <c r="E113" t="s">
        <v>14</v>
      </c>
      <c r="F113" t="s">
        <v>38</v>
      </c>
      <c r="G113" t="s">
        <v>129</v>
      </c>
      <c r="H113" t="s">
        <v>130</v>
      </c>
      <c r="J113" t="s">
        <v>26</v>
      </c>
      <c r="K113" s="15">
        <v>45450</v>
      </c>
      <c r="L113" t="s">
        <v>38</v>
      </c>
      <c r="M113" t="str">
        <f>IF(COUNTIFS(PRO_LT_SCORECARD_FLEX_VALIDATIO!$K:$K, _xlfn.CONCAT(C113,D113), PRO_LT_SCORECARD_FLEX_VALIDATIO!$G:$G, "KO") &gt; 0, "NOK", "OK")</f>
        <v>OK</v>
      </c>
      <c r="Q113" t="s">
        <v>30</v>
      </c>
      <c r="R113" t="s">
        <v>131</v>
      </c>
      <c r="S113" t="s">
        <v>132</v>
      </c>
      <c r="T113" t="s">
        <v>131</v>
      </c>
      <c r="U113" t="s">
        <v>132</v>
      </c>
      <c r="V113" t="s">
        <v>132</v>
      </c>
      <c r="W113" t="s">
        <v>131</v>
      </c>
      <c r="X113" t="s">
        <v>5</v>
      </c>
      <c r="Y113" t="str">
        <f>_xlfn.IFNA(_xlfn.XLOOKUP(D113,[1]Especificação!$G:$G,[1]Especificação!$C:$C),0)</f>
        <v>F1. Fora âmbito | Campos concluídos - Sem necessidade de espec.</v>
      </c>
    </row>
    <row r="114" spans="1:25" ht="15">
      <c r="A114" s="50" t="str">
        <f t="shared" si="1"/>
        <v>INSTR_ENTITY_DT_RFRNC</v>
      </c>
      <c r="B114" s="50"/>
      <c r="C114" t="s">
        <v>187</v>
      </c>
      <c r="D114" t="s">
        <v>283</v>
      </c>
      <c r="E114" t="s">
        <v>14</v>
      </c>
      <c r="F114" t="s">
        <v>38</v>
      </c>
      <c r="G114" t="s">
        <v>129</v>
      </c>
      <c r="H114" t="s">
        <v>130</v>
      </c>
      <c r="J114" t="s">
        <v>26</v>
      </c>
      <c r="K114" s="15">
        <v>45450</v>
      </c>
      <c r="L114" t="s">
        <v>38</v>
      </c>
      <c r="M114" t="str">
        <f>IF(COUNTIFS(PRO_LT_SCORECARD_FLEX_VALIDATIO!$K:$K, _xlfn.CONCAT(C114,D114), PRO_LT_SCORECARD_FLEX_VALIDATIO!$G:$G, "KO") &gt; 0, "NOK", "OK")</f>
        <v>OK</v>
      </c>
      <c r="Q114" t="s">
        <v>30</v>
      </c>
      <c r="R114" t="s">
        <v>131</v>
      </c>
      <c r="S114" t="s">
        <v>132</v>
      </c>
      <c r="T114" t="s">
        <v>131</v>
      </c>
      <c r="U114" t="s">
        <v>132</v>
      </c>
      <c r="V114" t="s">
        <v>132</v>
      </c>
      <c r="W114" t="s">
        <v>131</v>
      </c>
      <c r="X114" t="s">
        <v>5</v>
      </c>
      <c r="Y114" t="str">
        <f>_xlfn.IFNA(_xlfn.XLOOKUP(D114,[1]Especificação!$G:$G,[1]Especificação!$C:$C),0)</f>
        <v>F1. Fora âmbito | Campos concluídos - Sem necessidade de espec.</v>
      </c>
    </row>
    <row r="115" spans="1:25" ht="15">
      <c r="A115" s="50" t="str">
        <f t="shared" si="1"/>
        <v>INSTR_PROTECTION_DT_RFRNC</v>
      </c>
      <c r="B115" s="50"/>
      <c r="C115" t="s">
        <v>188</v>
      </c>
      <c r="D115" t="s">
        <v>283</v>
      </c>
      <c r="E115" t="s">
        <v>14</v>
      </c>
      <c r="F115" t="s">
        <v>38</v>
      </c>
      <c r="G115" t="s">
        <v>129</v>
      </c>
      <c r="H115" t="s">
        <v>130</v>
      </c>
      <c r="J115" t="s">
        <v>26</v>
      </c>
      <c r="K115" s="15">
        <v>45450</v>
      </c>
      <c r="L115" t="s">
        <v>38</v>
      </c>
      <c r="M115" t="str">
        <f>IF(COUNTIFS(PRO_LT_SCORECARD_FLEX_VALIDATIO!$K:$K, _xlfn.CONCAT(C115,D115), PRO_LT_SCORECARD_FLEX_VALIDATIO!$G:$G, "KO") &gt; 0, "NOK", "OK")</f>
        <v>OK</v>
      </c>
      <c r="Q115" t="s">
        <v>30</v>
      </c>
      <c r="R115" t="s">
        <v>131</v>
      </c>
      <c r="S115" t="s">
        <v>131</v>
      </c>
      <c r="T115" t="s">
        <v>131</v>
      </c>
      <c r="U115" t="s">
        <v>132</v>
      </c>
      <c r="V115" t="s">
        <v>132</v>
      </c>
      <c r="W115" t="s">
        <v>132</v>
      </c>
      <c r="X115" t="s">
        <v>5</v>
      </c>
      <c r="Y115" t="str">
        <f>_xlfn.IFNA(_xlfn.XLOOKUP(D115,[1]Especificação!$G:$G,[1]Especificação!$C:$C),0)</f>
        <v>F1. Fora âmbito | Campos concluídos - Sem necessidade de espec.</v>
      </c>
    </row>
    <row r="116" spans="1:25" ht="15">
      <c r="A116" s="50" t="str">
        <f t="shared" si="1"/>
        <v>INSTRUMENT_DT_RFRNC</v>
      </c>
      <c r="B116" s="50"/>
      <c r="C116" t="s">
        <v>127</v>
      </c>
      <c r="D116" t="s">
        <v>283</v>
      </c>
      <c r="E116" t="s">
        <v>14</v>
      </c>
      <c r="F116" t="s">
        <v>38</v>
      </c>
      <c r="G116" t="s">
        <v>129</v>
      </c>
      <c r="H116" t="s">
        <v>130</v>
      </c>
      <c r="J116" t="s">
        <v>26</v>
      </c>
      <c r="K116" s="15">
        <v>45450</v>
      </c>
      <c r="L116" t="s">
        <v>38</v>
      </c>
      <c r="M116" t="str">
        <f>IF(COUNTIFS(PRO_LT_SCORECARD_FLEX_VALIDATIO!$K:$K, _xlfn.CONCAT(C116,D116), PRO_LT_SCORECARD_FLEX_VALIDATIO!$G:$G, "KO") &gt; 0, "NOK", "OK")</f>
        <v>OK</v>
      </c>
      <c r="Q116" t="s">
        <v>30</v>
      </c>
      <c r="R116" t="s">
        <v>131</v>
      </c>
      <c r="S116" t="s">
        <v>131</v>
      </c>
      <c r="T116" t="s">
        <v>131</v>
      </c>
      <c r="U116" t="s">
        <v>132</v>
      </c>
      <c r="V116" t="s">
        <v>131</v>
      </c>
      <c r="W116" t="s">
        <v>131</v>
      </c>
      <c r="X116" t="s">
        <v>5</v>
      </c>
      <c r="Y116" t="str">
        <f>_xlfn.IFNA(_xlfn.XLOOKUP(D116,[1]Especificação!$G:$G,[1]Especificação!$C:$C),0)</f>
        <v>F1. Fora âmbito | Campos concluídos - Sem necessidade de espec.</v>
      </c>
    </row>
    <row r="117" spans="1:25" ht="15">
      <c r="A117" s="50" t="str">
        <f t="shared" si="1"/>
        <v>PROTECTION_DT_RFRNC</v>
      </c>
      <c r="B117" s="50"/>
      <c r="C117" t="s">
        <v>156</v>
      </c>
      <c r="D117" t="s">
        <v>283</v>
      </c>
      <c r="E117" t="s">
        <v>14</v>
      </c>
      <c r="F117" t="s">
        <v>38</v>
      </c>
      <c r="G117" t="s">
        <v>129</v>
      </c>
      <c r="H117" t="s">
        <v>130</v>
      </c>
      <c r="J117" t="s">
        <v>26</v>
      </c>
      <c r="K117" s="15">
        <v>45450</v>
      </c>
      <c r="L117" t="s">
        <v>38</v>
      </c>
      <c r="M117" t="str">
        <f>IF(COUNTIFS(PRO_LT_SCORECARD_FLEX_VALIDATIO!$K:$K, _xlfn.CONCAT(C117,D117), PRO_LT_SCORECARD_FLEX_VALIDATIO!$G:$G, "KO") &gt; 0, "NOK", "OK")</f>
        <v>OK</v>
      </c>
      <c r="Q117" t="s">
        <v>30</v>
      </c>
      <c r="R117" t="s">
        <v>131</v>
      </c>
      <c r="S117" t="s">
        <v>131</v>
      </c>
      <c r="T117" t="s">
        <v>131</v>
      </c>
      <c r="U117" t="s">
        <v>132</v>
      </c>
      <c r="V117" t="s">
        <v>131</v>
      </c>
      <c r="W117" t="s">
        <v>132</v>
      </c>
      <c r="X117" t="s">
        <v>5</v>
      </c>
      <c r="Y117" t="str">
        <f>_xlfn.IFNA(_xlfn.XLOOKUP(D117,[1]Especificação!$G:$G,[1]Especificação!$C:$C),0)</f>
        <v>F1. Fora âmbito | Campos concluídos - Sem necessidade de espec.</v>
      </c>
    </row>
    <row r="118" spans="1:25" ht="15">
      <c r="A118" s="50" t="str">
        <f t="shared" si="1"/>
        <v>INSTRUMENT_DT_STRT_GP_PPAL</v>
      </c>
      <c r="B118" s="50"/>
      <c r="C118" t="s">
        <v>127</v>
      </c>
      <c r="D118" t="s">
        <v>284</v>
      </c>
      <c r="E118" t="s">
        <v>14</v>
      </c>
      <c r="F118" t="s">
        <v>36</v>
      </c>
      <c r="G118" t="s">
        <v>145</v>
      </c>
      <c r="H118" t="s">
        <v>158</v>
      </c>
      <c r="J118" t="s">
        <v>29</v>
      </c>
      <c r="K118" s="15">
        <v>45450</v>
      </c>
      <c r="L118" t="s">
        <v>36</v>
      </c>
      <c r="M118" t="str">
        <f>IF(COUNTIFS(PRO_LT_SCORECARD_FLEX_VALIDATIO!$K:$K, _xlfn.CONCAT(C118,D118), PRO_LT_SCORECARD_FLEX_VALIDATIO!$G:$G, "KO") &gt; 0, "NOK", "OK")</f>
        <v>NOK</v>
      </c>
      <c r="Q118" t="s">
        <v>8</v>
      </c>
      <c r="R118" t="s">
        <v>131</v>
      </c>
      <c r="S118" t="s">
        <v>132</v>
      </c>
      <c r="T118" t="s">
        <v>132</v>
      </c>
      <c r="U118" t="s">
        <v>132</v>
      </c>
      <c r="V118" t="s">
        <v>132</v>
      </c>
      <c r="W118" t="s">
        <v>132</v>
      </c>
      <c r="X118" t="s">
        <v>5</v>
      </c>
      <c r="Y118">
        <f>_xlfn.IFNA(_xlfn.XLOOKUP(D118,[1]Especificação!$G:$G,[1]Especificação!$C:$C),0)</f>
        <v>0</v>
      </c>
    </row>
    <row r="119" spans="1:25" ht="15">
      <c r="A119" s="50" t="str">
        <f t="shared" si="1"/>
        <v>INSTRUMENT_DT_STRT_INTRST_ONLY</v>
      </c>
      <c r="B119" s="50"/>
      <c r="C119" t="s">
        <v>127</v>
      </c>
      <c r="D119" t="s">
        <v>285</v>
      </c>
      <c r="E119" t="s">
        <v>14</v>
      </c>
      <c r="F119" t="s">
        <v>36</v>
      </c>
      <c r="G119" t="s">
        <v>145</v>
      </c>
      <c r="H119" t="s">
        <v>158</v>
      </c>
      <c r="J119" t="s">
        <v>29</v>
      </c>
      <c r="K119" s="15">
        <v>45450</v>
      </c>
      <c r="L119" t="s">
        <v>36</v>
      </c>
      <c r="M119" t="str">
        <f>IF(COUNTIFS(PRO_LT_SCORECARD_FLEX_VALIDATIO!$K:$K, _xlfn.CONCAT(C119,D119), PRO_LT_SCORECARD_FLEX_VALIDATIO!$G:$G, "KO") &gt; 0, "NOK", "OK")</f>
        <v>NOK</v>
      </c>
      <c r="Q119" t="s">
        <v>8</v>
      </c>
      <c r="R119" t="s">
        <v>131</v>
      </c>
      <c r="S119" t="s">
        <v>132</v>
      </c>
      <c r="T119" t="s">
        <v>132</v>
      </c>
      <c r="U119" t="s">
        <v>132</v>
      </c>
      <c r="V119" t="s">
        <v>132</v>
      </c>
      <c r="W119" t="s">
        <v>132</v>
      </c>
      <c r="X119" t="s">
        <v>5</v>
      </c>
      <c r="Y119">
        <f>_xlfn.IFNA(_xlfn.XLOOKUP(D119,[1]Especificação!$G:$G,[1]Especificação!$C:$C),0)</f>
        <v>0</v>
      </c>
    </row>
    <row r="120" spans="1:25" ht="15">
      <c r="A120" s="50" t="str">
        <f t="shared" si="1"/>
        <v>INSTRUMENT_DT_VLTN</v>
      </c>
      <c r="B120" s="50"/>
      <c r="C120" t="s">
        <v>127</v>
      </c>
      <c r="D120" t="s">
        <v>286</v>
      </c>
      <c r="E120" t="s">
        <v>6</v>
      </c>
      <c r="F120" t="s">
        <v>38</v>
      </c>
      <c r="G120" t="s">
        <v>129</v>
      </c>
      <c r="H120" t="s">
        <v>130</v>
      </c>
      <c r="J120" t="s">
        <v>26</v>
      </c>
      <c r="K120" s="15">
        <v>45450</v>
      </c>
      <c r="L120" t="s">
        <v>38</v>
      </c>
      <c r="M120" t="str">
        <f>IF(COUNTIFS(PRO_LT_SCORECARD_FLEX_VALIDATIO!$K:$K, _xlfn.CONCAT(C120,D120), PRO_LT_SCORECARD_FLEX_VALIDATIO!$G:$G, "KO") &gt; 0, "NOK", "OK")</f>
        <v>OK</v>
      </c>
      <c r="Q120" t="s">
        <v>30</v>
      </c>
      <c r="R120" t="s">
        <v>131</v>
      </c>
      <c r="S120" t="s">
        <v>132</v>
      </c>
      <c r="T120" t="s">
        <v>132</v>
      </c>
      <c r="U120" t="s">
        <v>132</v>
      </c>
      <c r="V120" t="s">
        <v>132</v>
      </c>
      <c r="W120" t="s">
        <v>132</v>
      </c>
      <c r="X120" t="s">
        <v>5</v>
      </c>
      <c r="Y120">
        <f>_xlfn.IFNA(_xlfn.XLOOKUP(D120,[1]Especificação!$G:$G,[1]Especificação!$C:$C),0)</f>
        <v>0</v>
      </c>
    </row>
    <row r="121" spans="1:25" ht="15">
      <c r="A121" s="50" t="str">
        <f t="shared" si="1"/>
        <v>INSTRUMENT_POCI</v>
      </c>
      <c r="B121" s="50"/>
      <c r="C121" t="s">
        <v>127</v>
      </c>
      <c r="D121" s="10" t="s">
        <v>287</v>
      </c>
      <c r="E121" t="s">
        <v>14</v>
      </c>
      <c r="F121" t="s">
        <v>38</v>
      </c>
      <c r="G121" t="s">
        <v>129</v>
      </c>
      <c r="H121" t="s">
        <v>130</v>
      </c>
      <c r="J121" t="s">
        <v>26</v>
      </c>
      <c r="K121" s="15">
        <v>45520</v>
      </c>
      <c r="L121" t="s">
        <v>25</v>
      </c>
      <c r="M121" t="str">
        <f>IF(COUNTIFS(PRO_LT_SCORECARD_FLEX_VALIDATIO!$K:$K, _xlfn.CONCAT(C121,D121), PRO_LT_SCORECARD_FLEX_VALIDATIO!$G:$G, "KO") &gt; 0, "NOK", "OK")</f>
        <v>NOK</v>
      </c>
      <c r="N121" t="s">
        <v>288</v>
      </c>
      <c r="O121" s="15"/>
      <c r="P121" s="15"/>
      <c r="Q121" t="s">
        <v>30</v>
      </c>
      <c r="R121" t="s">
        <v>131</v>
      </c>
      <c r="S121" t="s">
        <v>132</v>
      </c>
      <c r="T121" t="s">
        <v>132</v>
      </c>
      <c r="U121" t="s">
        <v>132</v>
      </c>
      <c r="V121" t="s">
        <v>132</v>
      </c>
      <c r="W121" t="s">
        <v>132</v>
      </c>
      <c r="X121" t="s">
        <v>5</v>
      </c>
      <c r="Y121">
        <f>_xlfn.IFNA(_xlfn.XLOOKUP(D121,[1]Especificação!$G:$G,[1]Especificação!$C:$C),0)</f>
        <v>0</v>
      </c>
    </row>
    <row r="122" spans="1:25" ht="15">
      <c r="A122" s="50" t="str">
        <f t="shared" si="1"/>
        <v>INSTRUMENT_EAD</v>
      </c>
      <c r="B122" s="50"/>
      <c r="C122" t="s">
        <v>127</v>
      </c>
      <c r="D122" s="10" t="s">
        <v>289</v>
      </c>
      <c r="E122" t="s">
        <v>14</v>
      </c>
      <c r="F122" t="s">
        <v>33</v>
      </c>
      <c r="G122" t="s">
        <v>129</v>
      </c>
      <c r="H122" t="s">
        <v>290</v>
      </c>
      <c r="J122" t="s">
        <v>32</v>
      </c>
      <c r="K122" s="15">
        <v>45958</v>
      </c>
      <c r="L122" t="s">
        <v>38</v>
      </c>
      <c r="M122" t="str">
        <f>IF(COUNTIFS(PRO_LT_SCORECARD_FLEX_VALIDATIO!$K:$K, _xlfn.CONCAT(C122,D122), PRO_LT_SCORECARD_FLEX_VALIDATIO!$G:$G, "KO") &gt; 0, "NOK", "OK")</f>
        <v>OK</v>
      </c>
      <c r="O122" s="15"/>
      <c r="P122" s="15">
        <v>45958</v>
      </c>
      <c r="Q122" t="s">
        <v>24</v>
      </c>
      <c r="R122" t="s">
        <v>131</v>
      </c>
      <c r="S122" t="s">
        <v>131</v>
      </c>
      <c r="T122" t="s">
        <v>132</v>
      </c>
      <c r="U122" t="s">
        <v>132</v>
      </c>
      <c r="V122" t="s">
        <v>131</v>
      </c>
      <c r="W122" t="s">
        <v>131</v>
      </c>
      <c r="X122" t="s">
        <v>136</v>
      </c>
      <c r="Y122" t="str">
        <f>_xlfn.IFNA(_xlfn.XLOOKUP(D122,[1]Especificação!$G:$G,[1]Especificação!$C:$C),0)</f>
        <v>C. Campos em testes ou c/ incidências</v>
      </c>
    </row>
    <row r="123" spans="1:25" ht="15">
      <c r="A123" s="50" t="str">
        <f t="shared" si="1"/>
        <v>INSTRUMENT_EBA_CMPLNT_MRTR_ST_C19</v>
      </c>
      <c r="B123" s="50"/>
      <c r="C123" t="s">
        <v>127</v>
      </c>
      <c r="D123" t="s">
        <v>291</v>
      </c>
      <c r="E123" t="s">
        <v>6</v>
      </c>
      <c r="F123" t="s">
        <v>38</v>
      </c>
      <c r="G123" t="s">
        <v>129</v>
      </c>
      <c r="H123" t="s">
        <v>130</v>
      </c>
      <c r="J123" t="s">
        <v>26</v>
      </c>
      <c r="K123" s="15">
        <v>45450</v>
      </c>
      <c r="L123" t="s">
        <v>38</v>
      </c>
      <c r="M123" t="str">
        <f>IF(COUNTIFS(PRO_LT_SCORECARD_FLEX_VALIDATIO!$K:$K, _xlfn.CONCAT(C123,D123), PRO_LT_SCORECARD_FLEX_VALIDATIO!$G:$G, "KO") &gt; 0, "NOK", "OK")</f>
        <v>OK</v>
      </c>
      <c r="Q123" t="s">
        <v>30</v>
      </c>
      <c r="R123" t="s">
        <v>131</v>
      </c>
      <c r="S123" t="s">
        <v>132</v>
      </c>
      <c r="T123" t="s">
        <v>132</v>
      </c>
      <c r="U123" t="s">
        <v>132</v>
      </c>
      <c r="V123" t="s">
        <v>132</v>
      </c>
      <c r="W123" t="s">
        <v>132</v>
      </c>
      <c r="X123" t="s">
        <v>5</v>
      </c>
      <c r="Y123">
        <f>_xlfn.IFNA(_xlfn.XLOOKUP(D123,[1]Especificação!$G:$G,[1]Especificação!$C:$C),0)</f>
        <v>0</v>
      </c>
    </row>
    <row r="124" spans="1:25" ht="15">
      <c r="A124" s="50" t="str">
        <f t="shared" si="1"/>
        <v>INSTRUMENT_OTSTNDNG_NMNL_AMNT_INSTRMNT_PRVS</v>
      </c>
      <c r="B124" s="50"/>
      <c r="C124" t="s">
        <v>127</v>
      </c>
      <c r="D124" s="11" t="s">
        <v>292</v>
      </c>
      <c r="E124" t="s">
        <v>14</v>
      </c>
      <c r="F124" t="s">
        <v>35</v>
      </c>
      <c r="G124" t="s">
        <v>129</v>
      </c>
      <c r="H124" t="s">
        <v>293</v>
      </c>
      <c r="I124" t="s">
        <v>294</v>
      </c>
      <c r="J124" t="s">
        <v>32</v>
      </c>
      <c r="K124" s="15">
        <v>45952</v>
      </c>
      <c r="L124" t="s">
        <v>38</v>
      </c>
      <c r="M124" t="str">
        <f>IF(COUNTIFS(PRO_LT_SCORECARD_FLEX_VALIDATIO!$K:$K, _xlfn.CONCAT(C124,D124), PRO_LT_SCORECARD_FLEX_VALIDATIO!$G:$G, "KO") &gt; 0, "NOK", "OK")</f>
        <v>NOK</v>
      </c>
      <c r="O124" s="15"/>
      <c r="P124" s="15">
        <v>45952</v>
      </c>
      <c r="Q124" t="s">
        <v>39</v>
      </c>
      <c r="R124" t="s">
        <v>131</v>
      </c>
      <c r="S124" t="s">
        <v>132</v>
      </c>
      <c r="T124" t="s">
        <v>132</v>
      </c>
      <c r="U124" t="s">
        <v>132</v>
      </c>
      <c r="V124" t="s">
        <v>132</v>
      </c>
      <c r="W124" t="s">
        <v>132</v>
      </c>
      <c r="X124" t="s">
        <v>5</v>
      </c>
      <c r="Y124">
        <f>_xlfn.IFNA(_xlfn.XLOOKUP(D124,[1]Especificação!$G:$G,[1]Especificação!$C:$C),0)</f>
        <v>0</v>
      </c>
    </row>
    <row r="125" spans="1:25" ht="15">
      <c r="A125" s="50" t="str">
        <f t="shared" si="1"/>
        <v>INSTRUMENT_INSTLMNT_PAY</v>
      </c>
      <c r="B125" s="50"/>
      <c r="C125" t="s">
        <v>127</v>
      </c>
      <c r="D125" t="s">
        <v>295</v>
      </c>
      <c r="E125" t="s">
        <v>6</v>
      </c>
      <c r="F125" t="s">
        <v>25</v>
      </c>
      <c r="G125" t="s">
        <v>129</v>
      </c>
      <c r="H125" t="s">
        <v>296</v>
      </c>
      <c r="J125" t="s">
        <v>29</v>
      </c>
      <c r="K125" s="15">
        <v>45450</v>
      </c>
      <c r="L125" t="s">
        <v>25</v>
      </c>
      <c r="M125" t="str">
        <f>IF(COUNTIFS(PRO_LT_SCORECARD_FLEX_VALIDATIO!$K:$K, _xlfn.CONCAT(C125,D125), PRO_LT_SCORECARD_FLEX_VALIDATIO!$G:$G, "KO") &gt; 0, "NOK", "OK")</f>
        <v>OK</v>
      </c>
      <c r="Q125" t="s">
        <v>27</v>
      </c>
      <c r="R125" t="s">
        <v>131</v>
      </c>
      <c r="S125" t="s">
        <v>132</v>
      </c>
      <c r="T125" t="s">
        <v>132</v>
      </c>
      <c r="U125" t="s">
        <v>132</v>
      </c>
      <c r="V125" t="s">
        <v>132</v>
      </c>
      <c r="W125" t="s">
        <v>132</v>
      </c>
      <c r="X125" t="s">
        <v>5</v>
      </c>
      <c r="Y125">
        <f>_xlfn.IFNA(_xlfn.XLOOKUP(D125,[1]Especificação!$G:$G,[1]Especificação!$C:$C),0)</f>
        <v>0</v>
      </c>
    </row>
    <row r="126" spans="1:25" ht="15">
      <c r="A126" s="50" t="str">
        <f t="shared" si="1"/>
        <v>ENTITY_EC_GRP_ID</v>
      </c>
      <c r="B126" s="50"/>
      <c r="C126" t="s">
        <v>139</v>
      </c>
      <c r="D126" t="s">
        <v>297</v>
      </c>
      <c r="E126" t="s">
        <v>6</v>
      </c>
      <c r="F126" t="s">
        <v>20</v>
      </c>
      <c r="G126" t="s">
        <v>129</v>
      </c>
      <c r="H126" t="s">
        <v>227</v>
      </c>
      <c r="J126" t="s">
        <v>29</v>
      </c>
      <c r="K126" s="15">
        <v>45958</v>
      </c>
      <c r="L126" t="s">
        <v>38</v>
      </c>
      <c r="M126" t="str">
        <f>IF(COUNTIFS(PRO_LT_SCORECARD_FLEX_VALIDATIO!$K:$K, _xlfn.CONCAT(C126,D126), PRO_LT_SCORECARD_FLEX_VALIDATIO!$G:$G, "KO") &gt; 0, "NOK", "OK")</f>
        <v>NOK</v>
      </c>
      <c r="P126" s="15">
        <v>45958</v>
      </c>
      <c r="Q126" t="s">
        <v>19</v>
      </c>
      <c r="R126" t="s">
        <v>131</v>
      </c>
      <c r="S126" t="s">
        <v>132</v>
      </c>
      <c r="T126" t="s">
        <v>132</v>
      </c>
      <c r="U126" t="s">
        <v>132</v>
      </c>
      <c r="V126" t="s">
        <v>132</v>
      </c>
      <c r="W126" t="s">
        <v>131</v>
      </c>
      <c r="X126" t="s">
        <v>136</v>
      </c>
      <c r="Y126" t="str">
        <f>_xlfn.IFNA(_xlfn.XLOOKUP(D126,[1]Especificação!$G:$G,[1]Especificação!$C:$C),0)</f>
        <v>B2. Re-especificação de campos complexos - Resto</v>
      </c>
    </row>
    <row r="127" spans="1:25" ht="15">
      <c r="A127" s="50" t="str">
        <f t="shared" si="1"/>
        <v>ENTITY_EC_GRP_NM</v>
      </c>
      <c r="B127" s="50"/>
      <c r="C127" t="s">
        <v>139</v>
      </c>
      <c r="D127" t="s">
        <v>298</v>
      </c>
      <c r="E127" t="s">
        <v>6</v>
      </c>
      <c r="F127" t="s">
        <v>20</v>
      </c>
      <c r="G127" t="s">
        <v>129</v>
      </c>
      <c r="H127" t="s">
        <v>227</v>
      </c>
      <c r="J127" t="s">
        <v>29</v>
      </c>
      <c r="K127" s="15">
        <v>45958</v>
      </c>
      <c r="L127" t="s">
        <v>38</v>
      </c>
      <c r="M127" t="str">
        <f>IF(COUNTIFS(PRO_LT_SCORECARD_FLEX_VALIDATIO!$K:$K, _xlfn.CONCAT(C127,D127), PRO_LT_SCORECARD_FLEX_VALIDATIO!$G:$G, "KO") &gt; 0, "NOK", "OK")</f>
        <v>NOK</v>
      </c>
      <c r="P127" s="15">
        <v>45958</v>
      </c>
      <c r="Q127" t="s">
        <v>19</v>
      </c>
      <c r="R127" t="s">
        <v>131</v>
      </c>
      <c r="S127" t="s">
        <v>132</v>
      </c>
      <c r="T127" t="s">
        <v>131</v>
      </c>
      <c r="U127" t="s">
        <v>132</v>
      </c>
      <c r="V127" t="s">
        <v>132</v>
      </c>
      <c r="W127" t="s">
        <v>131</v>
      </c>
      <c r="X127" t="s">
        <v>136</v>
      </c>
      <c r="Y127" t="str">
        <f>_xlfn.IFNA(_xlfn.XLOOKUP(D127,[1]Especificação!$G:$G,[1]Especificação!$C:$C),0)</f>
        <v>B2. Re-especificação de campos complexos - Resto</v>
      </c>
    </row>
    <row r="128" spans="1:25" ht="15">
      <c r="A128" s="50" t="str">
        <f t="shared" si="1"/>
        <v>ENTITY_ECNMC_ACTVTY</v>
      </c>
      <c r="B128" s="50"/>
      <c r="C128" t="s">
        <v>139</v>
      </c>
      <c r="D128" t="s">
        <v>299</v>
      </c>
      <c r="E128" t="s">
        <v>14</v>
      </c>
      <c r="F128" t="s">
        <v>38</v>
      </c>
      <c r="G128" t="s">
        <v>129</v>
      </c>
      <c r="H128" t="s">
        <v>130</v>
      </c>
      <c r="J128" t="s">
        <v>26</v>
      </c>
      <c r="K128" s="15">
        <v>45958</v>
      </c>
      <c r="L128" t="s">
        <v>38</v>
      </c>
      <c r="M128" t="str">
        <f>IF(COUNTIFS(PRO_LT_SCORECARD_FLEX_VALIDATIO!$K:$K, _xlfn.CONCAT(C128,D128), PRO_LT_SCORECARD_FLEX_VALIDATIO!$G:$G, "KO") &gt; 0, "NOK", "OK")</f>
        <v>OK</v>
      </c>
      <c r="P128" s="15">
        <v>45958</v>
      </c>
      <c r="Q128" t="s">
        <v>30</v>
      </c>
      <c r="R128" t="s">
        <v>131</v>
      </c>
      <c r="S128" t="s">
        <v>132</v>
      </c>
      <c r="T128" t="s">
        <v>131</v>
      </c>
      <c r="U128" t="s">
        <v>132</v>
      </c>
      <c r="V128" t="s">
        <v>131</v>
      </c>
      <c r="W128" t="s">
        <v>131</v>
      </c>
      <c r="X128" t="s">
        <v>5</v>
      </c>
      <c r="Y128" t="str">
        <f>_xlfn.IFNA(_xlfn.XLOOKUP(D128,[1]Especificação!$G:$G,[1]Especificação!$C:$C),0)</f>
        <v>B2. Re-especificação de campos complexos - Resto</v>
      </c>
    </row>
    <row r="129" spans="1:25" ht="15">
      <c r="A129" s="50" t="str">
        <f t="shared" si="1"/>
        <v>INSTRUMENT_EIR</v>
      </c>
      <c r="B129" s="50"/>
      <c r="C129" t="s">
        <v>127</v>
      </c>
      <c r="D129" t="s">
        <v>300</v>
      </c>
      <c r="E129" t="s">
        <v>14</v>
      </c>
      <c r="F129" t="s">
        <v>36</v>
      </c>
      <c r="G129" t="s">
        <v>145</v>
      </c>
      <c r="H129" t="s">
        <v>158</v>
      </c>
      <c r="J129" t="s">
        <v>29</v>
      </c>
      <c r="K129" s="15">
        <v>45958</v>
      </c>
      <c r="L129" t="s">
        <v>38</v>
      </c>
      <c r="M129" t="str">
        <f>IF(COUNTIFS(PRO_LT_SCORECARD_FLEX_VALIDATIO!$K:$K, _xlfn.CONCAT(C129,D129), PRO_LT_SCORECARD_FLEX_VALIDATIO!$G:$G, "KO") &gt; 0, "NOK", "OK")</f>
        <v>NOK</v>
      </c>
      <c r="P129" s="15">
        <v>45958</v>
      </c>
      <c r="Q129" t="s">
        <v>8</v>
      </c>
      <c r="R129" t="s">
        <v>131</v>
      </c>
      <c r="S129" t="s">
        <v>132</v>
      </c>
      <c r="T129" t="s">
        <v>132</v>
      </c>
      <c r="U129" t="s">
        <v>132</v>
      </c>
      <c r="V129" t="s">
        <v>132</v>
      </c>
      <c r="W129" t="s">
        <v>131</v>
      </c>
      <c r="X129" t="s">
        <v>136</v>
      </c>
      <c r="Y129" t="str">
        <f>_xlfn.IFNA(_xlfn.XLOOKUP(D129,[1]Especificação!$G:$G,[1]Especificação!$C:$C),0)</f>
        <v>D. Campos com NOK controlos Corporativos</v>
      </c>
    </row>
    <row r="130" spans="1:25" ht="15">
      <c r="A130" s="50" t="str">
        <f t="shared" si="1"/>
        <v>INSTRUMENT_EIR_INCPTN</v>
      </c>
      <c r="B130" s="50"/>
      <c r="C130" t="s">
        <v>127</v>
      </c>
      <c r="D130" t="s">
        <v>301</v>
      </c>
      <c r="E130" t="s">
        <v>14</v>
      </c>
      <c r="F130" t="s">
        <v>36</v>
      </c>
      <c r="G130" t="s">
        <v>145</v>
      </c>
      <c r="H130" t="s">
        <v>158</v>
      </c>
      <c r="J130" t="s">
        <v>29</v>
      </c>
      <c r="K130" s="15">
        <v>45450</v>
      </c>
      <c r="L130" t="s">
        <v>36</v>
      </c>
      <c r="M130" t="str">
        <f>IF(COUNTIFS(PRO_LT_SCORECARD_FLEX_VALIDATIO!$K:$K, _xlfn.CONCAT(C130,D130), PRO_LT_SCORECARD_FLEX_VALIDATIO!$G:$G, "KO") &gt; 0, "NOK", "OK")</f>
        <v>NOK</v>
      </c>
      <c r="Q130" t="s">
        <v>8</v>
      </c>
      <c r="R130" t="s">
        <v>131</v>
      </c>
      <c r="S130" t="s">
        <v>132</v>
      </c>
      <c r="T130" t="s">
        <v>131</v>
      </c>
      <c r="U130" t="s">
        <v>132</v>
      </c>
      <c r="V130" t="s">
        <v>132</v>
      </c>
      <c r="W130" t="s">
        <v>132</v>
      </c>
      <c r="X130" t="s">
        <v>5</v>
      </c>
      <c r="Y130">
        <f>_xlfn.IFNA(_xlfn.XLOOKUP(D130,[1]Especificação!$G:$G,[1]Especificação!$C:$C),0)</f>
        <v>0</v>
      </c>
    </row>
    <row r="131" spans="1:25" ht="15">
      <c r="A131" s="50" t="str">
        <f t="shared" si="1"/>
        <v>INSTRUMENT_ELGBLTY_ECB</v>
      </c>
      <c r="B131" s="50"/>
      <c r="C131" t="s">
        <v>127</v>
      </c>
      <c r="D131" t="s">
        <v>302</v>
      </c>
      <c r="E131" t="s">
        <v>6</v>
      </c>
      <c r="F131" t="s">
        <v>38</v>
      </c>
      <c r="G131" t="s">
        <v>129</v>
      </c>
      <c r="H131" t="s">
        <v>130</v>
      </c>
      <c r="J131" t="s">
        <v>26</v>
      </c>
      <c r="K131" s="15">
        <v>45450</v>
      </c>
      <c r="L131" t="s">
        <v>38</v>
      </c>
      <c r="M131" t="str">
        <f>IF(COUNTIFS(PRO_LT_SCORECARD_FLEX_VALIDATIO!$K:$K, _xlfn.CONCAT(C131,D131), PRO_LT_SCORECARD_FLEX_VALIDATIO!$G:$G, "KO") &gt; 0, "NOK", "OK")</f>
        <v>OK</v>
      </c>
      <c r="Q131" t="s">
        <v>30</v>
      </c>
      <c r="R131" t="s">
        <v>131</v>
      </c>
      <c r="S131" t="s">
        <v>132</v>
      </c>
      <c r="T131" t="s">
        <v>132</v>
      </c>
      <c r="U131" t="s">
        <v>132</v>
      </c>
      <c r="V131" t="s">
        <v>132</v>
      </c>
      <c r="W131" t="s">
        <v>132</v>
      </c>
      <c r="X131" t="s">
        <v>5</v>
      </c>
      <c r="Y131">
        <f>_xlfn.IFNA(_xlfn.XLOOKUP(D131,[1]Especificação!$G:$G,[1]Especificação!$C:$C),0)</f>
        <v>0</v>
      </c>
    </row>
    <row r="132" spans="1:25" ht="15">
      <c r="A132" s="50" t="str">
        <f t="shared" si="1"/>
        <v>ENTITY_EMPLYMNT_STTS</v>
      </c>
      <c r="B132" s="50"/>
      <c r="C132" t="s">
        <v>139</v>
      </c>
      <c r="D132" t="s">
        <v>303</v>
      </c>
      <c r="E132" t="s">
        <v>6</v>
      </c>
      <c r="F132" t="s">
        <v>38</v>
      </c>
      <c r="G132" t="s">
        <v>129</v>
      </c>
      <c r="H132" t="s">
        <v>130</v>
      </c>
      <c r="J132" t="s">
        <v>26</v>
      </c>
      <c r="K132" s="15">
        <v>45450</v>
      </c>
      <c r="L132" t="s">
        <v>38</v>
      </c>
      <c r="M132" t="str">
        <f>IF(COUNTIFS(PRO_LT_SCORECARD_FLEX_VALIDATIO!$K:$K, _xlfn.CONCAT(C132,D132), PRO_LT_SCORECARD_FLEX_VALIDATIO!$G:$G, "KO") &gt; 0, "NOK", "OK")</f>
        <v>OK</v>
      </c>
      <c r="Q132" t="s">
        <v>30</v>
      </c>
      <c r="R132" t="s">
        <v>131</v>
      </c>
      <c r="S132" t="s">
        <v>132</v>
      </c>
      <c r="T132" t="s">
        <v>132</v>
      </c>
      <c r="U132" t="s">
        <v>132</v>
      </c>
      <c r="V132" t="s">
        <v>132</v>
      </c>
      <c r="W132" t="s">
        <v>132</v>
      </c>
      <c r="X132" t="s">
        <v>5</v>
      </c>
      <c r="Y132">
        <f>_xlfn.IFNA(_xlfn.XLOOKUP(D132,[1]Especificação!$G:$G,[1]Especificação!$C:$C),0)</f>
        <v>0</v>
      </c>
    </row>
    <row r="133" spans="1:25" ht="15">
      <c r="A133" s="50" t="str">
        <f t="shared" si="1"/>
        <v>ENTITY_EMPLYMNT_STTS_INTRNL</v>
      </c>
      <c r="B133" s="50"/>
      <c r="C133" t="s">
        <v>139</v>
      </c>
      <c r="D133" t="s">
        <v>304</v>
      </c>
      <c r="E133" t="s">
        <v>6</v>
      </c>
      <c r="F133" t="s">
        <v>38</v>
      </c>
      <c r="G133" t="s">
        <v>129</v>
      </c>
      <c r="H133" t="s">
        <v>130</v>
      </c>
      <c r="J133" t="s">
        <v>26</v>
      </c>
      <c r="K133" s="15">
        <v>45450</v>
      </c>
      <c r="L133" t="s">
        <v>38</v>
      </c>
      <c r="M133" t="str">
        <f>IF(COUNTIFS(PRO_LT_SCORECARD_FLEX_VALIDATIO!$K:$K, _xlfn.CONCAT(C133,D133), PRO_LT_SCORECARD_FLEX_VALIDATIO!$G:$G, "KO") &gt; 0, "NOK", "OK")</f>
        <v>OK</v>
      </c>
      <c r="Q133" t="s">
        <v>30</v>
      </c>
      <c r="R133" t="s">
        <v>131</v>
      </c>
      <c r="S133" t="s">
        <v>132</v>
      </c>
      <c r="T133" t="s">
        <v>132</v>
      </c>
      <c r="U133" t="s">
        <v>132</v>
      </c>
      <c r="V133" t="s">
        <v>132</v>
      </c>
      <c r="W133" t="s">
        <v>132</v>
      </c>
      <c r="X133" t="s">
        <v>5</v>
      </c>
      <c r="Y133">
        <f>_xlfn.IFNA(_xlfn.XLOOKUP(D133,[1]Especificação!$G:$G,[1]Especificação!$C:$C),0)</f>
        <v>0</v>
      </c>
    </row>
    <row r="134" spans="1:25" ht="15">
      <c r="A134" s="50" t="str">
        <f t="shared" ref="A134:A197" si="2">C134&amp;"_"&amp;D134</f>
        <v>ENTITY_ENTRPRS_SZ_LE</v>
      </c>
      <c r="B134" s="50"/>
      <c r="C134" t="s">
        <v>139</v>
      </c>
      <c r="D134" t="s">
        <v>305</v>
      </c>
      <c r="E134" t="s">
        <v>14</v>
      </c>
      <c r="F134" t="s">
        <v>36</v>
      </c>
      <c r="G134" t="s">
        <v>145</v>
      </c>
      <c r="H134" t="s">
        <v>158</v>
      </c>
      <c r="J134" t="s">
        <v>29</v>
      </c>
      <c r="K134" s="15">
        <v>45952</v>
      </c>
      <c r="L134" t="s">
        <v>38</v>
      </c>
      <c r="M134" t="str">
        <f>IF(COUNTIFS(PRO_LT_SCORECARD_FLEX_VALIDATIO!$K:$K, _xlfn.CONCAT(C134,D134), PRO_LT_SCORECARD_FLEX_VALIDATIO!$G:$G, "KO") &gt; 0, "NOK", "OK")</f>
        <v>NOK</v>
      </c>
      <c r="P134" s="15">
        <v>45952</v>
      </c>
      <c r="Q134" t="s">
        <v>8</v>
      </c>
      <c r="R134" t="s">
        <v>131</v>
      </c>
      <c r="S134" t="s">
        <v>132</v>
      </c>
      <c r="T134" t="s">
        <v>132</v>
      </c>
      <c r="U134" t="s">
        <v>132</v>
      </c>
      <c r="V134" t="s">
        <v>132</v>
      </c>
      <c r="W134" t="s">
        <v>132</v>
      </c>
      <c r="X134" t="s">
        <v>5</v>
      </c>
      <c r="Y134">
        <f>_xlfn.IFNA(_xlfn.XLOOKUP(D134,[1]Especificação!$G:$G,[1]Especificação!$C:$C),0)</f>
        <v>0</v>
      </c>
    </row>
    <row r="135" spans="1:25" ht="15">
      <c r="A135" s="50" t="str">
        <f t="shared" si="2"/>
        <v>ENTITY_ENTTY_ID</v>
      </c>
      <c r="B135" s="50"/>
      <c r="C135" t="s">
        <v>139</v>
      </c>
      <c r="D135" t="s">
        <v>306</v>
      </c>
      <c r="E135" t="s">
        <v>14</v>
      </c>
      <c r="F135" t="s">
        <v>36</v>
      </c>
      <c r="G135" t="s">
        <v>145</v>
      </c>
      <c r="H135" t="s">
        <v>158</v>
      </c>
      <c r="J135" t="s">
        <v>29</v>
      </c>
      <c r="K135" s="15">
        <v>45958</v>
      </c>
      <c r="L135" t="s">
        <v>38</v>
      </c>
      <c r="M135" t="str">
        <f>IF(COUNTIFS(PRO_LT_SCORECARD_FLEX_VALIDATIO!$K:$K, _xlfn.CONCAT(C135,D135), PRO_LT_SCORECARD_FLEX_VALIDATIO!$G:$G, "KO") &gt; 0, "NOK", "OK")</f>
        <v>OK</v>
      </c>
      <c r="P135" s="15">
        <v>45958</v>
      </c>
      <c r="Q135" t="s">
        <v>8</v>
      </c>
      <c r="R135" t="s">
        <v>131</v>
      </c>
      <c r="S135" t="s">
        <v>132</v>
      </c>
      <c r="T135" t="s">
        <v>131</v>
      </c>
      <c r="U135" t="s">
        <v>132</v>
      </c>
      <c r="V135" t="s">
        <v>131</v>
      </c>
      <c r="W135" t="s">
        <v>131</v>
      </c>
      <c r="X135" t="s">
        <v>136</v>
      </c>
      <c r="Y135" t="str">
        <f>_xlfn.IFNA(_xlfn.XLOOKUP(D135,[1]Especificação!$G:$G,[1]Especificação!$C:$C),0)</f>
        <v>D. Campos com NOK controlos Corporativos</v>
      </c>
    </row>
    <row r="136" spans="1:25" ht="15">
      <c r="A136" s="50" t="str">
        <f t="shared" si="2"/>
        <v>INSTR_ENTITY_ENTTY_ID</v>
      </c>
      <c r="B136" s="50"/>
      <c r="C136" t="s">
        <v>187</v>
      </c>
      <c r="D136" t="s">
        <v>306</v>
      </c>
      <c r="E136" t="s">
        <v>14</v>
      </c>
      <c r="F136" t="s">
        <v>36</v>
      </c>
      <c r="G136" t="s">
        <v>145</v>
      </c>
      <c r="H136" t="s">
        <v>158</v>
      </c>
      <c r="J136" t="s">
        <v>29</v>
      </c>
      <c r="K136" s="15">
        <v>45958</v>
      </c>
      <c r="L136" t="s">
        <v>38</v>
      </c>
      <c r="M136" t="str">
        <f>IF(COUNTIFS(PRO_LT_SCORECARD_FLEX_VALIDATIO!$K:$K, _xlfn.CONCAT(C136,D136), PRO_LT_SCORECARD_FLEX_VALIDATIO!$G:$G, "KO") &gt; 0, "NOK", "OK")</f>
        <v>NOK</v>
      </c>
      <c r="P136" s="15">
        <v>45958</v>
      </c>
      <c r="Q136" t="s">
        <v>8</v>
      </c>
      <c r="R136" t="s">
        <v>131</v>
      </c>
      <c r="S136" t="s">
        <v>132</v>
      </c>
      <c r="T136" t="s">
        <v>131</v>
      </c>
      <c r="U136" t="s">
        <v>132</v>
      </c>
      <c r="V136" t="s">
        <v>132</v>
      </c>
      <c r="W136" t="s">
        <v>131</v>
      </c>
      <c r="X136" t="s">
        <v>136</v>
      </c>
      <c r="Y136" t="str">
        <f>_xlfn.IFNA(_xlfn.XLOOKUP(D136,[1]Especificação!$G:$G,[1]Especificação!$C:$C),0)</f>
        <v>D. Campos com NOK controlos Corporativos</v>
      </c>
    </row>
    <row r="137" spans="1:25" ht="15">
      <c r="A137" s="50" t="str">
        <f t="shared" si="2"/>
        <v>ENTITY_ENTTY_NM</v>
      </c>
      <c r="B137" s="50"/>
      <c r="C137" t="s">
        <v>139</v>
      </c>
      <c r="D137" t="s">
        <v>307</v>
      </c>
      <c r="E137" t="s">
        <v>14</v>
      </c>
      <c r="F137" t="s">
        <v>38</v>
      </c>
      <c r="G137" t="s">
        <v>129</v>
      </c>
      <c r="H137" t="s">
        <v>130</v>
      </c>
      <c r="J137" t="s">
        <v>26</v>
      </c>
      <c r="K137" s="15">
        <v>45450</v>
      </c>
      <c r="L137" t="s">
        <v>38</v>
      </c>
      <c r="M137" t="str">
        <f>IF(COUNTIFS(PRO_LT_SCORECARD_FLEX_VALIDATIO!$K:$K, _xlfn.CONCAT(C137,D137), PRO_LT_SCORECARD_FLEX_VALIDATIO!$G:$G, "KO") &gt; 0, "NOK", "OK")</f>
        <v>OK</v>
      </c>
      <c r="Q137" t="s">
        <v>30</v>
      </c>
      <c r="R137" t="s">
        <v>131</v>
      </c>
      <c r="S137" t="s">
        <v>132</v>
      </c>
      <c r="T137" t="s">
        <v>131</v>
      </c>
      <c r="U137" t="s">
        <v>132</v>
      </c>
      <c r="V137" t="s">
        <v>132</v>
      </c>
      <c r="W137" t="s">
        <v>131</v>
      </c>
      <c r="X137" t="s">
        <v>5</v>
      </c>
      <c r="Y137" t="str">
        <f>_xlfn.IFNA(_xlfn.XLOOKUP(D137,[1]Especificação!$G:$G,[1]Especificação!$C:$C),0)</f>
        <v>F1. Fora âmbito | Campos concluídos - Sem necessidade de espec.</v>
      </c>
    </row>
    <row r="138" spans="1:25" ht="15">
      <c r="A138" s="50" t="str">
        <f t="shared" si="2"/>
        <v>ENTITY_EQTY</v>
      </c>
      <c r="B138" s="50"/>
      <c r="C138" t="s">
        <v>139</v>
      </c>
      <c r="D138" t="s">
        <v>308</v>
      </c>
      <c r="E138" t="s">
        <v>14</v>
      </c>
      <c r="F138" t="s">
        <v>25</v>
      </c>
      <c r="G138" t="s">
        <v>129</v>
      </c>
      <c r="H138" t="s">
        <v>141</v>
      </c>
      <c r="I138" t="s">
        <v>142</v>
      </c>
      <c r="J138" t="s">
        <v>29</v>
      </c>
      <c r="K138" s="15">
        <v>45450</v>
      </c>
      <c r="L138" t="s">
        <v>25</v>
      </c>
      <c r="M138" t="str">
        <f>IF(COUNTIFS(PRO_LT_SCORECARD_FLEX_VALIDATIO!$K:$K, _xlfn.CONCAT(C138,D138), PRO_LT_SCORECARD_FLEX_VALIDATIO!$G:$G, "KO") &gt; 0, "NOK", "OK")</f>
        <v>NOK</v>
      </c>
      <c r="Q138" t="s">
        <v>13</v>
      </c>
      <c r="R138" t="s">
        <v>131</v>
      </c>
      <c r="S138" t="s">
        <v>132</v>
      </c>
      <c r="T138" t="s">
        <v>131</v>
      </c>
      <c r="U138" t="s">
        <v>132</v>
      </c>
      <c r="V138" t="s">
        <v>132</v>
      </c>
      <c r="W138" t="s">
        <v>131</v>
      </c>
      <c r="X138" t="s">
        <v>143</v>
      </c>
      <c r="Y138" t="str">
        <f>_xlfn.IFNA(_xlfn.XLOOKUP(D138,[1]Especificação!$G:$G,[1]Especificação!$C:$C),0)</f>
        <v>F4. Fora âmbito | Re-especificação de campos complexos - Dem. Fin. CIB</v>
      </c>
    </row>
    <row r="139" spans="1:25" ht="15">
      <c r="A139" s="50" t="str">
        <f t="shared" si="2"/>
        <v>ENTITY_EQTY_PRVS</v>
      </c>
      <c r="B139" s="50"/>
      <c r="C139" t="s">
        <v>139</v>
      </c>
      <c r="D139" t="s">
        <v>309</v>
      </c>
      <c r="E139" t="s">
        <v>14</v>
      </c>
      <c r="F139" t="s">
        <v>25</v>
      </c>
      <c r="G139" t="s">
        <v>129</v>
      </c>
      <c r="H139" t="s">
        <v>141</v>
      </c>
      <c r="I139" t="s">
        <v>142</v>
      </c>
      <c r="J139" t="s">
        <v>29</v>
      </c>
      <c r="K139" s="15">
        <v>45450</v>
      </c>
      <c r="L139" t="s">
        <v>25</v>
      </c>
      <c r="M139" t="str">
        <f>IF(COUNTIFS(PRO_LT_SCORECARD_FLEX_VALIDATIO!$K:$K, _xlfn.CONCAT(C139,D139), PRO_LT_SCORECARD_FLEX_VALIDATIO!$G:$G, "KO") &gt; 0, "NOK", "OK")</f>
        <v>NOK</v>
      </c>
      <c r="Q139" t="s">
        <v>13</v>
      </c>
      <c r="R139" t="s">
        <v>131</v>
      </c>
      <c r="S139" t="s">
        <v>132</v>
      </c>
      <c r="T139" t="s">
        <v>132</v>
      </c>
      <c r="U139" t="s">
        <v>132</v>
      </c>
      <c r="V139" t="s">
        <v>132</v>
      </c>
      <c r="W139" t="s">
        <v>131</v>
      </c>
      <c r="X139" t="s">
        <v>143</v>
      </c>
      <c r="Y139" t="str">
        <f>_xlfn.IFNA(_xlfn.XLOOKUP(D139,[1]Especificação!$G:$G,[1]Especificação!$C:$C),0)</f>
        <v>F4. Fora âmbito | Re-especificação de campos complexos - Dem. Fin. CIB</v>
      </c>
    </row>
    <row r="140" spans="1:25" ht="15">
      <c r="A140" s="50" t="str">
        <f t="shared" si="2"/>
        <v>INSTRUMENT_EXPCTD_LSS_CRR</v>
      </c>
      <c r="B140" s="50"/>
      <c r="C140" t="s">
        <v>127</v>
      </c>
      <c r="D140" t="s">
        <v>310</v>
      </c>
      <c r="E140" t="s">
        <v>6</v>
      </c>
      <c r="F140" t="s">
        <v>31</v>
      </c>
      <c r="G140" t="s">
        <v>129</v>
      </c>
      <c r="H140" t="s">
        <v>169</v>
      </c>
      <c r="J140" t="s">
        <v>29</v>
      </c>
      <c r="K140" s="15">
        <v>45460</v>
      </c>
      <c r="L140" t="s">
        <v>33</v>
      </c>
      <c r="M140" t="str">
        <f>IF(COUNTIFS(PRO_LT_SCORECARD_FLEX_VALIDATIO!$K:$K, _xlfn.CONCAT(C140,D140), PRO_LT_SCORECARD_FLEX_VALIDATIO!$G:$G, "KO") &gt; 0, "NOK", "OK")</f>
        <v>OK</v>
      </c>
      <c r="O140" s="15">
        <v>45324</v>
      </c>
      <c r="P140" s="15">
        <v>45379</v>
      </c>
      <c r="Q140" t="s">
        <v>19</v>
      </c>
      <c r="R140" t="s">
        <v>131</v>
      </c>
      <c r="S140" t="s">
        <v>132</v>
      </c>
      <c r="T140" t="s">
        <v>132</v>
      </c>
      <c r="U140" t="s">
        <v>132</v>
      </c>
      <c r="V140" t="s">
        <v>132</v>
      </c>
      <c r="W140" t="s">
        <v>132</v>
      </c>
      <c r="X140" t="s">
        <v>5</v>
      </c>
      <c r="Y140">
        <f>_xlfn.IFNA(_xlfn.XLOOKUP(D140,[1]Especificação!$G:$G,[1]Especificação!$C:$C),0)</f>
        <v>0</v>
      </c>
    </row>
    <row r="141" spans="1:25" ht="15">
      <c r="A141" s="50" t="str">
        <f t="shared" si="2"/>
        <v>INSTRUMENT_EXPSR_IN_SCP</v>
      </c>
      <c r="B141" s="50"/>
      <c r="C141" t="s">
        <v>127</v>
      </c>
      <c r="D141" t="s">
        <v>311</v>
      </c>
      <c r="E141" t="s">
        <v>14</v>
      </c>
      <c r="F141" t="s">
        <v>38</v>
      </c>
      <c r="G141" t="s">
        <v>129</v>
      </c>
      <c r="H141" t="s">
        <v>130</v>
      </c>
      <c r="J141" t="s">
        <v>26</v>
      </c>
      <c r="K141" s="15">
        <v>45450</v>
      </c>
      <c r="L141" t="s">
        <v>38</v>
      </c>
      <c r="M141" t="str">
        <f>IF(COUNTIFS(PRO_LT_SCORECARD_FLEX_VALIDATIO!$K:$K, _xlfn.CONCAT(C141,D141), PRO_LT_SCORECARD_FLEX_VALIDATIO!$G:$G, "KO") &gt; 0, "NOK", "OK")</f>
        <v>OK</v>
      </c>
      <c r="Q141" t="s">
        <v>30</v>
      </c>
      <c r="R141" t="s">
        <v>131</v>
      </c>
      <c r="S141" t="s">
        <v>132</v>
      </c>
      <c r="T141" t="s">
        <v>132</v>
      </c>
      <c r="U141" t="s">
        <v>132</v>
      </c>
      <c r="V141" t="s">
        <v>132</v>
      </c>
      <c r="W141" t="s">
        <v>131</v>
      </c>
      <c r="X141" t="s">
        <v>5</v>
      </c>
      <c r="Y141" t="str">
        <f>_xlfn.IFNA(_xlfn.XLOOKUP(D141,[1]Especificação!$G:$G,[1]Especificação!$C:$C),0)</f>
        <v>F1. Fora âmbito | Campos concluídos - Sem necessidade de espec.</v>
      </c>
    </row>
    <row r="142" spans="1:25" ht="15">
      <c r="A142" s="50" t="str">
        <f t="shared" si="2"/>
        <v>INSTRUMENT_FRBRNC_STTS_INSTRMNT</v>
      </c>
      <c r="B142" s="50"/>
      <c r="C142" t="s">
        <v>127</v>
      </c>
      <c r="D142" t="s">
        <v>312</v>
      </c>
      <c r="E142" t="s">
        <v>14</v>
      </c>
      <c r="F142" t="s">
        <v>25</v>
      </c>
      <c r="G142" t="s">
        <v>129</v>
      </c>
      <c r="H142" t="s">
        <v>432</v>
      </c>
      <c r="I142" t="s">
        <v>313</v>
      </c>
      <c r="J142" t="s">
        <v>29</v>
      </c>
      <c r="K142" s="15">
        <v>45958</v>
      </c>
      <c r="L142" t="s">
        <v>38</v>
      </c>
      <c r="M142" t="str">
        <f>IF(COUNTIFS(PRO_LT_SCORECARD_FLEX_VALIDATIO!$K:$K, _xlfn.CONCAT(C142,D142), PRO_LT_SCORECARD_FLEX_VALIDATIO!$G:$G, "KO") &gt; 0, "NOK", "OK")</f>
        <v>OK</v>
      </c>
      <c r="P142" s="15">
        <v>45958</v>
      </c>
      <c r="Q142" t="s">
        <v>13</v>
      </c>
      <c r="R142" t="s">
        <v>131</v>
      </c>
      <c r="S142" t="s">
        <v>132</v>
      </c>
      <c r="T142" t="s">
        <v>131</v>
      </c>
      <c r="U142" t="s">
        <v>132</v>
      </c>
      <c r="V142" t="s">
        <v>132</v>
      </c>
      <c r="W142" t="s">
        <v>131</v>
      </c>
      <c r="X142" t="s">
        <v>136</v>
      </c>
      <c r="Y142" t="str">
        <f>_xlfn.IFNA(_xlfn.XLOOKUP(D142,[1]Especificação!$G:$G,[1]Especificação!$C:$C),0)</f>
        <v>B2. Re-especificação de campos complexos - Resto</v>
      </c>
    </row>
    <row r="143" spans="1:25" ht="15">
      <c r="A143" s="50" t="str">
        <f t="shared" si="2"/>
        <v>ENTITY_EXTRNL_RTNG_PRVS</v>
      </c>
      <c r="B143" s="50"/>
      <c r="C143" t="s">
        <v>139</v>
      </c>
      <c r="D143" s="10" t="s">
        <v>314</v>
      </c>
      <c r="E143" t="s">
        <v>14</v>
      </c>
      <c r="F143" t="s">
        <v>25</v>
      </c>
      <c r="G143" t="s">
        <v>129</v>
      </c>
      <c r="H143" t="s">
        <v>315</v>
      </c>
      <c r="I143" t="s">
        <v>316</v>
      </c>
      <c r="J143" t="s">
        <v>32</v>
      </c>
      <c r="K143" s="15">
        <v>45958</v>
      </c>
      <c r="L143" t="s">
        <v>38</v>
      </c>
      <c r="M143" t="str">
        <f>IF(COUNTIFS(PRO_LT_SCORECARD_FLEX_VALIDATIO!$K:$K, _xlfn.CONCAT(C143,D143), PRO_LT_SCORECARD_FLEX_VALIDATIO!$G:$G, "KO") &gt; 0, "NOK", "OK")</f>
        <v>OK</v>
      </c>
      <c r="P143" s="15">
        <v>45958</v>
      </c>
      <c r="Q143" t="s">
        <v>34</v>
      </c>
      <c r="R143" t="s">
        <v>131</v>
      </c>
      <c r="S143" t="s">
        <v>132</v>
      </c>
      <c r="T143" t="s">
        <v>132</v>
      </c>
      <c r="U143" t="s">
        <v>132</v>
      </c>
      <c r="V143" t="s">
        <v>132</v>
      </c>
      <c r="W143" t="s">
        <v>131</v>
      </c>
      <c r="X143" t="s">
        <v>136</v>
      </c>
      <c r="Y143" t="str">
        <f>_xlfn.IFNA(_xlfn.XLOOKUP(D143,[1]Especificação!$G:$G,[1]Especificação!$C:$C),0)</f>
        <v>B2. Re-especificação de campos complexos - Resto</v>
      </c>
    </row>
    <row r="144" spans="1:25" ht="15">
      <c r="A144" s="50" t="str">
        <f t="shared" si="2"/>
        <v>ENTITY_EXTRNL_RTNG_NM</v>
      </c>
      <c r="B144" s="50"/>
      <c r="C144" t="s">
        <v>139</v>
      </c>
      <c r="D144" s="10" t="s">
        <v>317</v>
      </c>
      <c r="E144" t="s">
        <v>14</v>
      </c>
      <c r="F144" t="s">
        <v>25</v>
      </c>
      <c r="G144" t="s">
        <v>145</v>
      </c>
      <c r="H144" t="s">
        <v>315</v>
      </c>
      <c r="I144" t="s">
        <v>316</v>
      </c>
      <c r="J144" t="s">
        <v>32</v>
      </c>
      <c r="K144" s="15">
        <v>45958</v>
      </c>
      <c r="L144" t="s">
        <v>38</v>
      </c>
      <c r="M144" t="str">
        <f>IF(COUNTIFS(PRO_LT_SCORECARD_FLEX_VALIDATIO!$K:$K, _xlfn.CONCAT(C144,D144), PRO_LT_SCORECARD_FLEX_VALIDATIO!$G:$G, "KO") &gt; 0, "NOK", "OK")</f>
        <v>OK</v>
      </c>
      <c r="P144" s="15">
        <v>45958</v>
      </c>
      <c r="Q144" t="s">
        <v>34</v>
      </c>
      <c r="R144" t="s">
        <v>131</v>
      </c>
      <c r="S144" t="s">
        <v>132</v>
      </c>
      <c r="T144" t="s">
        <v>132</v>
      </c>
      <c r="U144" t="s">
        <v>132</v>
      </c>
      <c r="V144" t="s">
        <v>132</v>
      </c>
      <c r="W144" t="s">
        <v>131</v>
      </c>
      <c r="X144" t="s">
        <v>136</v>
      </c>
      <c r="Y144" t="str">
        <f>_xlfn.IFNA(_xlfn.XLOOKUP(D144,[1]Especificação!$G:$G,[1]Especificação!$C:$C),0)</f>
        <v>B2. Re-especificação de campos complexos - Resto</v>
      </c>
    </row>
    <row r="145" spans="1:25" ht="15">
      <c r="A145" s="50" t="str">
        <f t="shared" si="2"/>
        <v>INSTRUMENT_FLD_SYNDCTN</v>
      </c>
      <c r="B145" s="50"/>
      <c r="C145" t="s">
        <v>127</v>
      </c>
      <c r="D145" t="s">
        <v>318</v>
      </c>
      <c r="E145" t="s">
        <v>6</v>
      </c>
      <c r="F145" t="s">
        <v>56</v>
      </c>
      <c r="G145" t="s">
        <v>129</v>
      </c>
      <c r="H145" t="s">
        <v>319</v>
      </c>
      <c r="I145" t="s">
        <v>320</v>
      </c>
      <c r="J145" t="s">
        <v>29</v>
      </c>
      <c r="K145" s="15">
        <v>45953</v>
      </c>
      <c r="L145" t="s">
        <v>38</v>
      </c>
      <c r="M145" t="str">
        <f>IF(COUNTIFS(PRO_LT_SCORECARD_FLEX_VALIDATIO!$K:$K, _xlfn.CONCAT(C145,D145), PRO_LT_SCORECARD_FLEX_VALIDATIO!$G:$G, "KO") &gt; 0, "NOK", "OK")</f>
        <v>OK</v>
      </c>
      <c r="P145" s="15">
        <v>45952</v>
      </c>
      <c r="Q145" t="s">
        <v>13</v>
      </c>
      <c r="R145" t="s">
        <v>131</v>
      </c>
      <c r="S145" t="s">
        <v>132</v>
      </c>
      <c r="T145" t="s">
        <v>132</v>
      </c>
      <c r="U145" t="s">
        <v>132</v>
      </c>
      <c r="V145" t="s">
        <v>132</v>
      </c>
      <c r="W145" t="s">
        <v>131</v>
      </c>
      <c r="X145" t="s">
        <v>136</v>
      </c>
      <c r="Y145" t="str">
        <f>_xlfn.IFNA(_xlfn.XLOOKUP(D145,[1]Especificação!$G:$G,[1]Especificação!$C:$C),0)</f>
        <v>B1. Re-especificação de campos complexos | Sindicados</v>
      </c>
    </row>
    <row r="146" spans="1:25" ht="15">
      <c r="A146" s="50" t="str">
        <f t="shared" si="2"/>
        <v>ENTITY_FLG_BNKRPTCY_IN_GRP</v>
      </c>
      <c r="B146" s="50"/>
      <c r="C146" t="s">
        <v>139</v>
      </c>
      <c r="D146" t="s">
        <v>321</v>
      </c>
      <c r="E146" t="s">
        <v>14</v>
      </c>
      <c r="F146" t="s">
        <v>38</v>
      </c>
      <c r="G146" t="s">
        <v>129</v>
      </c>
      <c r="H146" t="s">
        <v>130</v>
      </c>
      <c r="J146" t="s">
        <v>26</v>
      </c>
      <c r="K146" s="15">
        <v>45450</v>
      </c>
      <c r="L146" t="s">
        <v>38</v>
      </c>
      <c r="M146" t="str">
        <f>IF(COUNTIFS(PRO_LT_SCORECARD_FLEX_VALIDATIO!$K:$K, _xlfn.CONCAT(C146,D146), PRO_LT_SCORECARD_FLEX_VALIDATIO!$G:$G, "KO") &gt; 0, "NOK", "OK")</f>
        <v>NOK</v>
      </c>
      <c r="Q146" t="s">
        <v>30</v>
      </c>
      <c r="R146" t="s">
        <v>131</v>
      </c>
      <c r="S146" t="s">
        <v>132</v>
      </c>
      <c r="T146" t="s">
        <v>132</v>
      </c>
      <c r="U146" t="s">
        <v>132</v>
      </c>
      <c r="V146" t="s">
        <v>132</v>
      </c>
      <c r="W146" t="s">
        <v>132</v>
      </c>
      <c r="X146" t="s">
        <v>5</v>
      </c>
      <c r="Y146">
        <f>_xlfn.IFNA(_xlfn.XLOOKUP(D146,[1]Especificação!$G:$G,[1]Especificação!$C:$C),0)</f>
        <v>0</v>
      </c>
    </row>
    <row r="147" spans="1:25" ht="15">
      <c r="A147" s="50" t="str">
        <f t="shared" si="2"/>
        <v>ENTITY_FLG_HGH_CDS</v>
      </c>
      <c r="B147" s="50"/>
      <c r="C147" t="s">
        <v>139</v>
      </c>
      <c r="D147" t="s">
        <v>322</v>
      </c>
      <c r="E147" t="s">
        <v>14</v>
      </c>
      <c r="F147" t="s">
        <v>38</v>
      </c>
      <c r="G147" t="s">
        <v>129</v>
      </c>
      <c r="H147" t="s">
        <v>130</v>
      </c>
      <c r="J147" t="s">
        <v>26</v>
      </c>
      <c r="K147" s="15">
        <v>45450</v>
      </c>
      <c r="L147" t="s">
        <v>38</v>
      </c>
      <c r="M147" t="str">
        <f>IF(COUNTIFS(PRO_LT_SCORECARD_FLEX_VALIDATIO!$K:$K, _xlfn.CONCAT(C147,D147), PRO_LT_SCORECARD_FLEX_VALIDATIO!$G:$G, "KO") &gt; 0, "NOK", "OK")</f>
        <v>NOK</v>
      </c>
      <c r="Q147" t="s">
        <v>30</v>
      </c>
      <c r="R147" t="s">
        <v>131</v>
      </c>
      <c r="S147" t="s">
        <v>132</v>
      </c>
      <c r="T147" t="s">
        <v>132</v>
      </c>
      <c r="U147" t="s">
        <v>132</v>
      </c>
      <c r="V147" t="s">
        <v>132</v>
      </c>
      <c r="W147" t="s">
        <v>132</v>
      </c>
      <c r="X147" t="s">
        <v>5</v>
      </c>
      <c r="Y147">
        <f>_xlfn.IFNA(_xlfn.XLOOKUP(D147,[1]Especificação!$G:$G,[1]Especificação!$C:$C),0)</f>
        <v>0</v>
      </c>
    </row>
    <row r="148" spans="1:25" ht="15">
      <c r="A148" s="50" t="str">
        <f t="shared" si="2"/>
        <v>ENTITY_FLG_ISDA_CRDT_EVNT</v>
      </c>
      <c r="B148" s="50"/>
      <c r="C148" t="s">
        <v>139</v>
      </c>
      <c r="D148" t="s">
        <v>323</v>
      </c>
      <c r="E148" t="s">
        <v>14</v>
      </c>
      <c r="F148" t="s">
        <v>38</v>
      </c>
      <c r="G148" t="s">
        <v>129</v>
      </c>
      <c r="H148" t="s">
        <v>130</v>
      </c>
      <c r="J148" t="s">
        <v>26</v>
      </c>
      <c r="K148" s="15">
        <v>45450</v>
      </c>
      <c r="L148" t="s">
        <v>38</v>
      </c>
      <c r="M148" t="str">
        <f>IF(COUNTIFS(PRO_LT_SCORECARD_FLEX_VALIDATIO!$K:$K, _xlfn.CONCAT(C148,D148), PRO_LT_SCORECARD_FLEX_VALIDATIO!$G:$G, "KO") &gt; 0, "NOK", "OK")</f>
        <v>NOK</v>
      </c>
      <c r="Q148" t="s">
        <v>30</v>
      </c>
      <c r="R148" t="s">
        <v>131</v>
      </c>
      <c r="S148" t="s">
        <v>132</v>
      </c>
      <c r="T148" t="s">
        <v>132</v>
      </c>
      <c r="U148" t="s">
        <v>132</v>
      </c>
      <c r="V148" t="s">
        <v>132</v>
      </c>
      <c r="W148" t="s">
        <v>132</v>
      </c>
      <c r="X148" t="s">
        <v>5</v>
      </c>
      <c r="Y148">
        <f>_xlfn.IFNA(_xlfn.XLOOKUP(D148,[1]Especificação!$G:$G,[1]Especificação!$C:$C),0)</f>
        <v>0</v>
      </c>
    </row>
    <row r="149" spans="1:25" ht="15">
      <c r="A149" s="50" t="str">
        <f t="shared" si="2"/>
        <v>INSTRUMENT_FLG_LBO</v>
      </c>
      <c r="B149" s="50"/>
      <c r="C149" t="s">
        <v>127</v>
      </c>
      <c r="D149" t="s">
        <v>324</v>
      </c>
      <c r="E149" t="s">
        <v>6</v>
      </c>
      <c r="F149" t="s">
        <v>38</v>
      </c>
      <c r="G149" t="s">
        <v>129</v>
      </c>
      <c r="H149" t="s">
        <v>130</v>
      </c>
      <c r="J149" t="s">
        <v>26</v>
      </c>
      <c r="K149" s="15">
        <v>45958</v>
      </c>
      <c r="L149" t="s">
        <v>38</v>
      </c>
      <c r="M149" t="str">
        <f>IF(COUNTIFS(PRO_LT_SCORECARD_FLEX_VALIDATIO!$K:$K, _xlfn.CONCAT(C149,D149), PRO_LT_SCORECARD_FLEX_VALIDATIO!$G:$G, "KO") &gt; 0, "NOK", "OK")</f>
        <v>OK</v>
      </c>
      <c r="P149" s="15">
        <v>45958</v>
      </c>
      <c r="Q149" t="s">
        <v>30</v>
      </c>
      <c r="R149" t="s">
        <v>131</v>
      </c>
      <c r="S149" t="s">
        <v>132</v>
      </c>
      <c r="T149" t="s">
        <v>132</v>
      </c>
      <c r="U149" t="s">
        <v>132</v>
      </c>
      <c r="V149" t="s">
        <v>132</v>
      </c>
      <c r="W149" t="s">
        <v>131</v>
      </c>
      <c r="X149" t="s">
        <v>143</v>
      </c>
      <c r="Y149" t="str">
        <f>_xlfn.IFNA(_xlfn.XLOOKUP(D149,[1]Especificação!$G:$G,[1]Especificação!$C:$C),0)</f>
        <v>B2. Re-especificação de campos complexos - Resto</v>
      </c>
    </row>
    <row r="150" spans="1:25" ht="15">
      <c r="A150" s="50" t="str">
        <f t="shared" si="2"/>
        <v>ENTITY_FLG_NN_ACCRL</v>
      </c>
      <c r="B150" s="50"/>
      <c r="C150" t="s">
        <v>139</v>
      </c>
      <c r="D150" t="s">
        <v>325</v>
      </c>
      <c r="E150" t="s">
        <v>14</v>
      </c>
      <c r="F150" t="s">
        <v>38</v>
      </c>
      <c r="G150" t="s">
        <v>129</v>
      </c>
      <c r="H150" t="s">
        <v>130</v>
      </c>
      <c r="J150" t="s">
        <v>26</v>
      </c>
      <c r="K150" s="15">
        <v>45450</v>
      </c>
      <c r="L150" t="s">
        <v>38</v>
      </c>
      <c r="M150" t="str">
        <f>IF(COUNTIFS(PRO_LT_SCORECARD_FLEX_VALIDATIO!$K:$K, _xlfn.CONCAT(C150,D150), PRO_LT_SCORECARD_FLEX_VALIDATIO!$G:$G, "KO") &gt; 0, "NOK", "OK")</f>
        <v>OK</v>
      </c>
      <c r="Q150" t="s">
        <v>30</v>
      </c>
      <c r="R150" t="s">
        <v>131</v>
      </c>
      <c r="S150" t="s">
        <v>132</v>
      </c>
      <c r="T150" t="s">
        <v>132</v>
      </c>
      <c r="U150" t="s">
        <v>132</v>
      </c>
      <c r="V150" t="s">
        <v>132</v>
      </c>
      <c r="W150" t="s">
        <v>132</v>
      </c>
      <c r="X150" t="s">
        <v>5</v>
      </c>
      <c r="Y150">
        <f>_xlfn.IFNA(_xlfn.XLOOKUP(D150,[1]Especificação!$G:$G,[1]Especificação!$C:$C),0)</f>
        <v>0</v>
      </c>
    </row>
    <row r="151" spans="1:25" ht="15">
      <c r="A151" s="50" t="str">
        <f t="shared" si="2"/>
        <v>ENTITY_FLG_RQST_BNKRPTCY</v>
      </c>
      <c r="B151" s="50"/>
      <c r="C151" t="s">
        <v>139</v>
      </c>
      <c r="D151" t="s">
        <v>326</v>
      </c>
      <c r="E151" t="s">
        <v>14</v>
      </c>
      <c r="F151" t="s">
        <v>38</v>
      </c>
      <c r="G151" t="s">
        <v>129</v>
      </c>
      <c r="H151" t="s">
        <v>130</v>
      </c>
      <c r="J151" t="s">
        <v>26</v>
      </c>
      <c r="K151" s="15">
        <v>45450</v>
      </c>
      <c r="L151" t="s">
        <v>38</v>
      </c>
      <c r="M151" t="str">
        <f>IF(COUNTIFS(PRO_LT_SCORECARD_FLEX_VALIDATIO!$K:$K, _xlfn.CONCAT(C151,D151), PRO_LT_SCORECARD_FLEX_VALIDATIO!$G:$G, "KO") &gt; 0, "NOK", "OK")</f>
        <v>NOK</v>
      </c>
      <c r="Q151" t="s">
        <v>30</v>
      </c>
      <c r="R151" t="s">
        <v>131</v>
      </c>
      <c r="S151" t="s">
        <v>132</v>
      </c>
      <c r="T151" t="s">
        <v>132</v>
      </c>
      <c r="U151" t="s">
        <v>132</v>
      </c>
      <c r="V151" t="s">
        <v>132</v>
      </c>
      <c r="W151" t="s">
        <v>132</v>
      </c>
      <c r="X151" t="s">
        <v>5</v>
      </c>
      <c r="Y151">
        <f>_xlfn.IFNA(_xlfn.XLOOKUP(D151,[1]Especificação!$G:$G,[1]Especificação!$C:$C),0)</f>
        <v>0</v>
      </c>
    </row>
    <row r="152" spans="1:25" ht="15">
      <c r="A152" s="50" t="str">
        <f t="shared" si="2"/>
        <v>ENTITY_FLG_RQST_DSTRSSD_RSTRCTRNG</v>
      </c>
      <c r="B152" s="50"/>
      <c r="C152" t="s">
        <v>139</v>
      </c>
      <c r="D152" t="s">
        <v>327</v>
      </c>
      <c r="E152" t="s">
        <v>14</v>
      </c>
      <c r="F152" t="s">
        <v>20</v>
      </c>
      <c r="G152" t="s">
        <v>145</v>
      </c>
      <c r="H152" t="s">
        <v>328</v>
      </c>
      <c r="J152" t="s">
        <v>29</v>
      </c>
      <c r="K152" s="15">
        <v>45450</v>
      </c>
      <c r="L152" t="s">
        <v>20</v>
      </c>
      <c r="M152" t="str">
        <f>IF(COUNTIFS(PRO_LT_SCORECARD_FLEX_VALIDATIO!$K:$K, _xlfn.CONCAT(C152,D152), PRO_LT_SCORECARD_FLEX_VALIDATIO!$G:$G, "KO") &gt; 0, "NOK", "OK")</f>
        <v>NOK</v>
      </c>
      <c r="Q152" t="s">
        <v>13</v>
      </c>
      <c r="R152" t="s">
        <v>131</v>
      </c>
      <c r="S152" t="s">
        <v>132</v>
      </c>
      <c r="T152" t="s">
        <v>132</v>
      </c>
      <c r="U152" t="s">
        <v>132</v>
      </c>
      <c r="V152" t="s">
        <v>132</v>
      </c>
      <c r="W152" t="s">
        <v>132</v>
      </c>
      <c r="X152" t="s">
        <v>5</v>
      </c>
      <c r="Y152">
        <f>_xlfn.IFNA(_xlfn.XLOOKUP(D152,[1]Especificação!$G:$G,[1]Especificação!$C:$C),0)</f>
        <v>0</v>
      </c>
    </row>
    <row r="153" spans="1:25" ht="15">
      <c r="A153" s="50" t="str">
        <f t="shared" si="2"/>
        <v>ENTITY_FLG_RQST_EMRGNCY_FNDNG</v>
      </c>
      <c r="B153" s="50"/>
      <c r="C153" t="s">
        <v>139</v>
      </c>
      <c r="D153" t="s">
        <v>329</v>
      </c>
      <c r="E153" t="s">
        <v>14</v>
      </c>
      <c r="F153" t="s">
        <v>38</v>
      </c>
      <c r="G153" t="s">
        <v>129</v>
      </c>
      <c r="H153" t="s">
        <v>130</v>
      </c>
      <c r="J153" t="s">
        <v>29</v>
      </c>
      <c r="K153" s="15">
        <v>45450</v>
      </c>
      <c r="L153" t="s">
        <v>38</v>
      </c>
      <c r="M153" t="str">
        <f>IF(COUNTIFS(PRO_LT_SCORECARD_FLEX_VALIDATIO!$K:$K, _xlfn.CONCAT(C153,D153), PRO_LT_SCORECARD_FLEX_VALIDATIO!$G:$G, "KO") &gt; 0, "NOK", "OK")</f>
        <v>NOK</v>
      </c>
      <c r="P153" s="15">
        <v>45952</v>
      </c>
      <c r="Q153" t="s">
        <v>30</v>
      </c>
      <c r="R153" t="s">
        <v>131</v>
      </c>
      <c r="S153" t="s">
        <v>132</v>
      </c>
      <c r="T153" t="s">
        <v>132</v>
      </c>
      <c r="U153" t="s">
        <v>132</v>
      </c>
      <c r="V153" t="s">
        <v>132</v>
      </c>
      <c r="W153" t="s">
        <v>131</v>
      </c>
      <c r="X153" t="s">
        <v>5</v>
      </c>
      <c r="Y153" t="str">
        <f>_xlfn.IFNA(_xlfn.XLOOKUP(D153,[1]Especificação!$G:$G,[1]Especificação!$C:$C),0)</f>
        <v>A. Novos Campos</v>
      </c>
    </row>
    <row r="154" spans="1:25" ht="15">
      <c r="A154" s="50" t="str">
        <f t="shared" si="2"/>
        <v>ENTITY_FLG_SLL_WTH_LSS</v>
      </c>
      <c r="B154" s="50"/>
      <c r="C154" t="s">
        <v>139</v>
      </c>
      <c r="D154" t="s">
        <v>330</v>
      </c>
      <c r="E154" t="s">
        <v>14</v>
      </c>
      <c r="F154" t="s">
        <v>38</v>
      </c>
      <c r="G154" t="s">
        <v>129</v>
      </c>
      <c r="H154" t="s">
        <v>130</v>
      </c>
      <c r="J154" t="s">
        <v>26</v>
      </c>
      <c r="K154" s="15">
        <v>45450</v>
      </c>
      <c r="L154" t="s">
        <v>38</v>
      </c>
      <c r="M154" t="str">
        <f>IF(COUNTIFS(PRO_LT_SCORECARD_FLEX_VALIDATIO!$K:$K, _xlfn.CONCAT(C154,D154), PRO_LT_SCORECARD_FLEX_VALIDATIO!$G:$G, "KO") &gt; 0, "NOK", "OK")</f>
        <v>OK</v>
      </c>
      <c r="Q154" t="s">
        <v>30</v>
      </c>
      <c r="R154" t="s">
        <v>131</v>
      </c>
      <c r="S154" t="s">
        <v>132</v>
      </c>
      <c r="T154" t="s">
        <v>132</v>
      </c>
      <c r="U154" t="s">
        <v>132</v>
      </c>
      <c r="V154" t="s">
        <v>132</v>
      </c>
      <c r="W154" t="s">
        <v>132</v>
      </c>
      <c r="X154" t="s">
        <v>5</v>
      </c>
      <c r="Y154">
        <f>_xlfn.IFNA(_xlfn.XLOOKUP(D154,[1]Especificação!$G:$G,[1]Especificação!$C:$C),0)</f>
        <v>0</v>
      </c>
    </row>
    <row r="155" spans="1:25" ht="15">
      <c r="A155" s="50" t="str">
        <f t="shared" si="2"/>
        <v>ENTITY_FR_CSH_FLW</v>
      </c>
      <c r="B155" s="50"/>
      <c r="C155" t="s">
        <v>139</v>
      </c>
      <c r="D155" t="s">
        <v>331</v>
      </c>
      <c r="E155" t="s">
        <v>14</v>
      </c>
      <c r="F155" t="s">
        <v>20</v>
      </c>
      <c r="G155" t="s">
        <v>129</v>
      </c>
      <c r="H155" t="s">
        <v>227</v>
      </c>
      <c r="J155" t="s">
        <v>29</v>
      </c>
      <c r="K155" s="15">
        <v>45958</v>
      </c>
      <c r="L155" t="s">
        <v>38</v>
      </c>
      <c r="M155" t="str">
        <f>IF(COUNTIFS(PRO_LT_SCORECARD_FLEX_VALIDATIO!$K:$K, _xlfn.CONCAT(C155,D155), PRO_LT_SCORECARD_FLEX_VALIDATIO!$G:$G, "KO") &gt; 0, "NOK", "OK")</f>
        <v>NOK</v>
      </c>
      <c r="P155" s="15">
        <v>45958</v>
      </c>
      <c r="Q155" t="s">
        <v>19</v>
      </c>
      <c r="R155" t="s">
        <v>131</v>
      </c>
      <c r="S155" t="s">
        <v>132</v>
      </c>
      <c r="T155" t="s">
        <v>132</v>
      </c>
      <c r="U155" t="s">
        <v>132</v>
      </c>
      <c r="V155" t="s">
        <v>132</v>
      </c>
      <c r="W155" t="s">
        <v>131</v>
      </c>
      <c r="X155" t="s">
        <v>136</v>
      </c>
      <c r="Y155" t="str">
        <f>_xlfn.IFNA(_xlfn.XLOOKUP(D155,[1]Especificação!$G:$G,[1]Especificação!$C:$C),0)</f>
        <v>B2. Re-especificação de campos complexos - Resto</v>
      </c>
    </row>
    <row r="156" spans="1:25" ht="15">
      <c r="A156" s="50" t="str">
        <f t="shared" si="2"/>
        <v>ENTITY_FR_CSH_FLW_T1</v>
      </c>
      <c r="B156" s="50"/>
      <c r="C156" t="s">
        <v>139</v>
      </c>
      <c r="D156" t="s">
        <v>332</v>
      </c>
      <c r="E156" t="s">
        <v>14</v>
      </c>
      <c r="F156" t="s">
        <v>20</v>
      </c>
      <c r="G156" t="s">
        <v>129</v>
      </c>
      <c r="H156" t="s">
        <v>227</v>
      </c>
      <c r="J156" t="s">
        <v>29</v>
      </c>
      <c r="K156" s="15">
        <v>45958</v>
      </c>
      <c r="L156" t="s">
        <v>38</v>
      </c>
      <c r="M156" t="str">
        <f>IF(COUNTIFS(PRO_LT_SCORECARD_FLEX_VALIDATIO!$K:$K, _xlfn.CONCAT(C156,D156), PRO_LT_SCORECARD_FLEX_VALIDATIO!$G:$G, "KO") &gt; 0, "NOK", "OK")</f>
        <v>NOK</v>
      </c>
      <c r="P156" s="15">
        <v>45958</v>
      </c>
      <c r="Q156" t="s">
        <v>19</v>
      </c>
      <c r="R156" t="s">
        <v>131</v>
      </c>
      <c r="S156" t="s">
        <v>132</v>
      </c>
      <c r="T156" t="s">
        <v>132</v>
      </c>
      <c r="U156" t="s">
        <v>132</v>
      </c>
      <c r="V156" t="s">
        <v>132</v>
      </c>
      <c r="W156" t="s">
        <v>131</v>
      </c>
      <c r="X156" t="s">
        <v>136</v>
      </c>
      <c r="Y156" t="str">
        <f>_xlfn.IFNA(_xlfn.XLOOKUP(D156,[1]Especificação!$G:$G,[1]Especificação!$C:$C),0)</f>
        <v>B2. Re-especificação de campos complexos - Resto</v>
      </c>
    </row>
    <row r="157" spans="1:25" ht="15">
      <c r="A157" s="50" t="str">
        <f t="shared" si="2"/>
        <v>ENTITY_FR_CSH_FLW_T2</v>
      </c>
      <c r="B157" s="50"/>
      <c r="C157" t="s">
        <v>139</v>
      </c>
      <c r="D157" t="s">
        <v>333</v>
      </c>
      <c r="E157" t="s">
        <v>14</v>
      </c>
      <c r="F157" t="s">
        <v>20</v>
      </c>
      <c r="G157" t="s">
        <v>129</v>
      </c>
      <c r="H157" t="s">
        <v>227</v>
      </c>
      <c r="J157" t="s">
        <v>29</v>
      </c>
      <c r="K157" s="15">
        <v>45958</v>
      </c>
      <c r="L157" t="s">
        <v>38</v>
      </c>
      <c r="M157" t="str">
        <f>IF(COUNTIFS(PRO_LT_SCORECARD_FLEX_VALIDATIO!$K:$K, _xlfn.CONCAT(C157,D157), PRO_LT_SCORECARD_FLEX_VALIDATIO!$G:$G, "KO") &gt; 0, "NOK", "OK")</f>
        <v>NOK</v>
      </c>
      <c r="P157" s="15">
        <v>45958</v>
      </c>
      <c r="Q157" t="s">
        <v>19</v>
      </c>
      <c r="R157" t="s">
        <v>131</v>
      </c>
      <c r="S157" t="s">
        <v>132</v>
      </c>
      <c r="T157" t="s">
        <v>132</v>
      </c>
      <c r="U157" t="s">
        <v>132</v>
      </c>
      <c r="V157" t="s">
        <v>132</v>
      </c>
      <c r="W157" t="s">
        <v>131</v>
      </c>
      <c r="X157" t="s">
        <v>136</v>
      </c>
      <c r="Y157" t="str">
        <f>_xlfn.IFNA(_xlfn.XLOOKUP(D157,[1]Especificação!$G:$G,[1]Especificação!$C:$C),0)</f>
        <v>B2. Re-especificação de campos complexos - Resto</v>
      </c>
    </row>
    <row r="158" spans="1:25" ht="15">
      <c r="A158" s="50" t="str">
        <f t="shared" si="2"/>
        <v>ENTITY_FR_CSH_FLW_T3</v>
      </c>
      <c r="B158" s="50"/>
      <c r="C158" t="s">
        <v>139</v>
      </c>
      <c r="D158" t="s">
        <v>334</v>
      </c>
      <c r="E158" t="s">
        <v>14</v>
      </c>
      <c r="F158" t="s">
        <v>20</v>
      </c>
      <c r="G158" t="s">
        <v>129</v>
      </c>
      <c r="H158" t="s">
        <v>227</v>
      </c>
      <c r="J158" t="s">
        <v>29</v>
      </c>
      <c r="K158" s="15">
        <v>45958</v>
      </c>
      <c r="L158" t="s">
        <v>38</v>
      </c>
      <c r="M158" t="str">
        <f>IF(COUNTIFS(PRO_LT_SCORECARD_FLEX_VALIDATIO!$K:$K, _xlfn.CONCAT(C158,D158), PRO_LT_SCORECARD_FLEX_VALIDATIO!$G:$G, "KO") &gt; 0, "NOK", "OK")</f>
        <v>NOK</v>
      </c>
      <c r="P158" s="15">
        <v>45958</v>
      </c>
      <c r="Q158" t="s">
        <v>19</v>
      </c>
      <c r="R158" t="s">
        <v>131</v>
      </c>
      <c r="S158" t="s">
        <v>132</v>
      </c>
      <c r="T158" t="s">
        <v>132</v>
      </c>
      <c r="U158" t="s">
        <v>132</v>
      </c>
      <c r="V158" t="s">
        <v>132</v>
      </c>
      <c r="W158" t="s">
        <v>131</v>
      </c>
      <c r="X158" t="s">
        <v>136</v>
      </c>
      <c r="Y158" t="str">
        <f>_xlfn.IFNA(_xlfn.XLOOKUP(D158,[1]Especificação!$G:$G,[1]Especificação!$C:$C),0)</f>
        <v>B2. Re-especificação de campos complexos - Resto</v>
      </c>
    </row>
    <row r="159" spans="1:25" ht="15">
      <c r="A159" s="50" t="str">
        <f t="shared" si="2"/>
        <v>INSTRUMENT_FRBRNC_STTS_C19</v>
      </c>
      <c r="B159" s="50"/>
      <c r="C159" t="s">
        <v>127</v>
      </c>
      <c r="D159" t="s">
        <v>335</v>
      </c>
      <c r="E159" t="s">
        <v>6</v>
      </c>
      <c r="F159" t="s">
        <v>38</v>
      </c>
      <c r="G159" t="s">
        <v>129</v>
      </c>
      <c r="H159" t="s">
        <v>130</v>
      </c>
      <c r="J159" t="s">
        <v>26</v>
      </c>
      <c r="K159" s="15">
        <v>45450</v>
      </c>
      <c r="L159" t="s">
        <v>38</v>
      </c>
      <c r="M159" t="str">
        <f>IF(COUNTIFS(PRO_LT_SCORECARD_FLEX_VALIDATIO!$K:$K, _xlfn.CONCAT(C159,D159), PRO_LT_SCORECARD_FLEX_VALIDATIO!$G:$G, "KO") &gt; 0, "NOK", "OK")</f>
        <v>OK</v>
      </c>
      <c r="Q159" t="s">
        <v>30</v>
      </c>
      <c r="R159" t="s">
        <v>131</v>
      </c>
      <c r="S159" t="s">
        <v>132</v>
      </c>
      <c r="T159" t="s">
        <v>132</v>
      </c>
      <c r="U159" t="s">
        <v>132</v>
      </c>
      <c r="V159" t="s">
        <v>132</v>
      </c>
      <c r="W159" t="s">
        <v>132</v>
      </c>
      <c r="X159" t="s">
        <v>5</v>
      </c>
      <c r="Y159">
        <f>_xlfn.IFNA(_xlfn.XLOOKUP(D159,[1]Especificação!$G:$G,[1]Especificação!$C:$C),0)</f>
        <v>0</v>
      </c>
    </row>
    <row r="160" spans="1:25" ht="15">
      <c r="A160" s="50" t="str">
        <f t="shared" si="2"/>
        <v>ENTITY_EXTRNL_RTNG</v>
      </c>
      <c r="B160" s="50"/>
      <c r="C160" t="s">
        <v>139</v>
      </c>
      <c r="D160" s="10" t="s">
        <v>336</v>
      </c>
      <c r="E160" t="s">
        <v>14</v>
      </c>
      <c r="F160" t="s">
        <v>25</v>
      </c>
      <c r="G160" t="s">
        <v>129</v>
      </c>
      <c r="H160" t="s">
        <v>315</v>
      </c>
      <c r="I160" t="s">
        <v>316</v>
      </c>
      <c r="J160" t="s">
        <v>32</v>
      </c>
      <c r="K160" s="15">
        <v>45958</v>
      </c>
      <c r="L160" t="s">
        <v>38</v>
      </c>
      <c r="M160" t="str">
        <f>IF(COUNTIFS(PRO_LT_SCORECARD_FLEX_VALIDATIO!$K:$K, _xlfn.CONCAT(C160,D160), PRO_LT_SCORECARD_FLEX_VALIDATIO!$G:$G, "KO") &gt; 0, "NOK", "OK")</f>
        <v>OK</v>
      </c>
      <c r="P160" s="15">
        <v>45958</v>
      </c>
      <c r="Q160" t="s">
        <v>34</v>
      </c>
      <c r="R160" t="s">
        <v>131</v>
      </c>
      <c r="S160" t="s">
        <v>132</v>
      </c>
      <c r="T160" t="s">
        <v>132</v>
      </c>
      <c r="U160" t="s">
        <v>132</v>
      </c>
      <c r="V160" t="s">
        <v>132</v>
      </c>
      <c r="W160" t="s">
        <v>131</v>
      </c>
      <c r="X160" t="s">
        <v>136</v>
      </c>
      <c r="Y160" t="str">
        <f>_xlfn.IFNA(_xlfn.XLOOKUP(D160,[1]Especificação!$G:$G,[1]Especificação!$C:$C),0)</f>
        <v>B2. Re-especificação de campos complexos - Resto</v>
      </c>
    </row>
    <row r="161" spans="1:25" ht="15">
      <c r="A161" s="50" t="str">
        <f t="shared" si="2"/>
        <v>ENTITY_GCC_PRNT_ID</v>
      </c>
      <c r="B161" s="50"/>
      <c r="C161" t="s">
        <v>139</v>
      </c>
      <c r="D161" t="s">
        <v>337</v>
      </c>
      <c r="E161" t="s">
        <v>14</v>
      </c>
      <c r="F161" t="s">
        <v>38</v>
      </c>
      <c r="G161" t="s">
        <v>129</v>
      </c>
      <c r="H161" t="s">
        <v>130</v>
      </c>
      <c r="J161" t="s">
        <v>26</v>
      </c>
      <c r="K161" s="15">
        <v>45450</v>
      </c>
      <c r="L161" t="s">
        <v>38</v>
      </c>
      <c r="M161" t="str">
        <f>IF(COUNTIFS(PRO_LT_SCORECARD_FLEX_VALIDATIO!$K:$K, _xlfn.CONCAT(C161,D161), PRO_LT_SCORECARD_FLEX_VALIDATIO!$G:$G, "KO") &gt; 0, "NOK", "OK")</f>
        <v>NOK</v>
      </c>
      <c r="Q161" t="s">
        <v>30</v>
      </c>
      <c r="R161" t="s">
        <v>131</v>
      </c>
      <c r="S161" t="s">
        <v>132</v>
      </c>
      <c r="T161" t="s">
        <v>132</v>
      </c>
      <c r="U161" t="s">
        <v>132</v>
      </c>
      <c r="V161" t="s">
        <v>132</v>
      </c>
      <c r="W161" t="s">
        <v>131</v>
      </c>
      <c r="X161" t="s">
        <v>5</v>
      </c>
      <c r="Y161" t="str">
        <f>_xlfn.IFNA(_xlfn.XLOOKUP(D161,[1]Especificação!$G:$G,[1]Especificação!$C:$C),0)</f>
        <v>F1. Fora âmbito | Campos concluídos - Sem necessidade de espec.</v>
      </c>
    </row>
    <row r="162" spans="1:25" ht="15">
      <c r="A162" s="50" t="str">
        <f t="shared" si="2"/>
        <v>ENTITY_GCC_PRNT_NM</v>
      </c>
      <c r="B162" s="50"/>
      <c r="C162" t="s">
        <v>139</v>
      </c>
      <c r="D162" t="s">
        <v>338</v>
      </c>
      <c r="E162" t="s">
        <v>14</v>
      </c>
      <c r="F162" t="s">
        <v>38</v>
      </c>
      <c r="G162" t="s">
        <v>129</v>
      </c>
      <c r="H162" t="s">
        <v>130</v>
      </c>
      <c r="J162" t="s">
        <v>26</v>
      </c>
      <c r="K162" s="15">
        <v>45450</v>
      </c>
      <c r="L162" t="s">
        <v>38</v>
      </c>
      <c r="M162" t="str">
        <f>IF(COUNTIFS(PRO_LT_SCORECARD_FLEX_VALIDATIO!$K:$K, _xlfn.CONCAT(C162,D162), PRO_LT_SCORECARD_FLEX_VALIDATIO!$G:$G, "KO") &gt; 0, "NOK", "OK")</f>
        <v>NOK</v>
      </c>
      <c r="Q162" t="s">
        <v>30</v>
      </c>
      <c r="R162" t="s">
        <v>131</v>
      </c>
      <c r="S162" t="s">
        <v>132</v>
      </c>
      <c r="T162" t="s">
        <v>132</v>
      </c>
      <c r="U162" t="s">
        <v>132</v>
      </c>
      <c r="V162" t="s">
        <v>132</v>
      </c>
      <c r="W162" t="s">
        <v>131</v>
      </c>
      <c r="X162" t="s">
        <v>5</v>
      </c>
      <c r="Y162" t="str">
        <f>_xlfn.IFNA(_xlfn.XLOOKUP(D162,[1]Especificação!$G:$G,[1]Especificação!$C:$C),0)</f>
        <v>F1. Fora âmbito | Campos concluídos - Sem necessidade de espec.</v>
      </c>
    </row>
    <row r="163" spans="1:25" ht="15">
      <c r="A163" s="50" t="str">
        <f t="shared" si="2"/>
        <v>ENTITY_GDWILL</v>
      </c>
      <c r="B163" s="50"/>
      <c r="C163" t="s">
        <v>139</v>
      </c>
      <c r="D163" t="s">
        <v>339</v>
      </c>
      <c r="E163" t="s">
        <v>14</v>
      </c>
      <c r="F163" t="s">
        <v>38</v>
      </c>
      <c r="G163" t="s">
        <v>129</v>
      </c>
      <c r="H163" t="s">
        <v>130</v>
      </c>
      <c r="J163" t="s">
        <v>26</v>
      </c>
      <c r="K163" s="15">
        <v>45450</v>
      </c>
      <c r="L163" t="s">
        <v>38</v>
      </c>
      <c r="M163" t="str">
        <f>IF(COUNTIFS(PRO_LT_SCORECARD_FLEX_VALIDATIO!$K:$K, _xlfn.CONCAT(C163,D163), PRO_LT_SCORECARD_FLEX_VALIDATIO!$G:$G, "KO") &gt; 0, "NOK", "OK")</f>
        <v>NOK</v>
      </c>
      <c r="Q163" t="s">
        <v>30</v>
      </c>
      <c r="R163" t="s">
        <v>131</v>
      </c>
      <c r="S163" t="s">
        <v>132</v>
      </c>
      <c r="T163" t="s">
        <v>132</v>
      </c>
      <c r="U163" t="s">
        <v>132</v>
      </c>
      <c r="V163" t="s">
        <v>132</v>
      </c>
      <c r="W163" t="s">
        <v>132</v>
      </c>
      <c r="X163" t="s">
        <v>5</v>
      </c>
      <c r="Y163">
        <f>_xlfn.IFNA(_xlfn.XLOOKUP(D163,[1]Especificação!$G:$G,[1]Especificação!$C:$C),0)</f>
        <v>0</v>
      </c>
    </row>
    <row r="164" spans="1:25" ht="15">
      <c r="A164" s="50" t="str">
        <f t="shared" si="2"/>
        <v>ENTITY_GDWILL_PRVS</v>
      </c>
      <c r="B164" s="50"/>
      <c r="C164" t="s">
        <v>139</v>
      </c>
      <c r="D164" t="s">
        <v>340</v>
      </c>
      <c r="E164" t="s">
        <v>14</v>
      </c>
      <c r="F164" t="s">
        <v>38</v>
      </c>
      <c r="G164" t="s">
        <v>129</v>
      </c>
      <c r="H164" t="s">
        <v>130</v>
      </c>
      <c r="J164" t="s">
        <v>26</v>
      </c>
      <c r="K164" s="15">
        <v>45450</v>
      </c>
      <c r="L164" t="s">
        <v>38</v>
      </c>
      <c r="M164" t="str">
        <f>IF(COUNTIFS(PRO_LT_SCORECARD_FLEX_VALIDATIO!$K:$K, _xlfn.CONCAT(C164,D164), PRO_LT_SCORECARD_FLEX_VALIDATIO!$G:$G, "KO") &gt; 0, "NOK", "OK")</f>
        <v>NOK</v>
      </c>
      <c r="Q164" t="s">
        <v>30</v>
      </c>
      <c r="R164" t="s">
        <v>131</v>
      </c>
      <c r="S164" t="s">
        <v>132</v>
      </c>
      <c r="T164" t="s">
        <v>132</v>
      </c>
      <c r="U164" t="s">
        <v>132</v>
      </c>
      <c r="V164" t="s">
        <v>132</v>
      </c>
      <c r="W164" t="s">
        <v>132</v>
      </c>
      <c r="X164" t="s">
        <v>5</v>
      </c>
      <c r="Y164">
        <f>_xlfn.IFNA(_xlfn.XLOOKUP(D164,[1]Especificação!$G:$G,[1]Especificação!$C:$C),0)</f>
        <v>0</v>
      </c>
    </row>
    <row r="165" spans="1:25" ht="15">
      <c r="A165" s="50" t="str">
        <f t="shared" si="2"/>
        <v>INSTRUMENT_GRC_PRD_CPTL_INTRST_C19</v>
      </c>
      <c r="B165" s="50"/>
      <c r="C165" t="s">
        <v>127</v>
      </c>
      <c r="D165" t="s">
        <v>341</v>
      </c>
      <c r="E165" t="s">
        <v>6</v>
      </c>
      <c r="F165" t="s">
        <v>38</v>
      </c>
      <c r="G165" t="s">
        <v>129</v>
      </c>
      <c r="H165" t="s">
        <v>130</v>
      </c>
      <c r="J165" t="s">
        <v>26</v>
      </c>
      <c r="K165" s="15">
        <v>45450</v>
      </c>
      <c r="L165" t="s">
        <v>38</v>
      </c>
      <c r="M165" t="str">
        <f>IF(COUNTIFS(PRO_LT_SCORECARD_FLEX_VALIDATIO!$K:$K, _xlfn.CONCAT(C165,D165), PRO_LT_SCORECARD_FLEX_VALIDATIO!$G:$G, "KO") &gt; 0, "NOK", "OK")</f>
        <v>OK</v>
      </c>
      <c r="Q165" t="s">
        <v>30</v>
      </c>
      <c r="R165" t="s">
        <v>131</v>
      </c>
      <c r="S165" t="s">
        <v>132</v>
      </c>
      <c r="T165" t="s">
        <v>132</v>
      </c>
      <c r="U165" t="s">
        <v>132</v>
      </c>
      <c r="V165" t="s">
        <v>132</v>
      </c>
      <c r="W165" t="s">
        <v>132</v>
      </c>
      <c r="X165" t="s">
        <v>5</v>
      </c>
      <c r="Y165">
        <f>_xlfn.IFNA(_xlfn.XLOOKUP(D165,[1]Especificação!$G:$G,[1]Especificação!$C:$C),0)</f>
        <v>0</v>
      </c>
    </row>
    <row r="166" spans="1:25" ht="15">
      <c r="A166" s="50" t="str">
        <f t="shared" si="2"/>
        <v>INSTRUMENT_GRNTR_ID</v>
      </c>
      <c r="B166" s="50"/>
      <c r="C166" t="s">
        <v>127</v>
      </c>
      <c r="D166" t="s">
        <v>342</v>
      </c>
      <c r="E166" t="s">
        <v>6</v>
      </c>
      <c r="F166" t="s">
        <v>38</v>
      </c>
      <c r="G166" t="s">
        <v>129</v>
      </c>
      <c r="H166" t="s">
        <v>130</v>
      </c>
      <c r="J166" t="s">
        <v>26</v>
      </c>
      <c r="K166" s="15">
        <v>45450</v>
      </c>
      <c r="L166" t="s">
        <v>38</v>
      </c>
      <c r="M166" t="str">
        <f>IF(COUNTIFS(PRO_LT_SCORECARD_FLEX_VALIDATIO!$K:$K, _xlfn.CONCAT(C166,D166), PRO_LT_SCORECARD_FLEX_VALIDATIO!$G:$G, "KO") &gt; 0, "NOK", "OK")</f>
        <v>OK</v>
      </c>
      <c r="Q166" t="s">
        <v>30</v>
      </c>
      <c r="R166" t="s">
        <v>131</v>
      </c>
      <c r="S166" t="s">
        <v>132</v>
      </c>
      <c r="T166" t="s">
        <v>132</v>
      </c>
      <c r="U166" t="s">
        <v>132</v>
      </c>
      <c r="V166" t="s">
        <v>132</v>
      </c>
      <c r="W166" t="s">
        <v>132</v>
      </c>
      <c r="X166" t="s">
        <v>5</v>
      </c>
      <c r="Y166">
        <f>_xlfn.IFNA(_xlfn.XLOOKUP(D166,[1]Especificação!$G:$G,[1]Especificação!$C:$C),0)</f>
        <v>0</v>
      </c>
    </row>
    <row r="167" spans="1:25" ht="15">
      <c r="A167" s="50" t="str">
        <f t="shared" si="2"/>
        <v>INSTRUMENT_GRNTR_ID_TYP</v>
      </c>
      <c r="B167" s="50"/>
      <c r="C167" t="s">
        <v>127</v>
      </c>
      <c r="D167" t="s">
        <v>343</v>
      </c>
      <c r="E167" t="s">
        <v>6</v>
      </c>
      <c r="F167" t="s">
        <v>38</v>
      </c>
      <c r="G167" t="s">
        <v>129</v>
      </c>
      <c r="H167" t="s">
        <v>130</v>
      </c>
      <c r="J167" t="s">
        <v>26</v>
      </c>
      <c r="K167" s="15">
        <v>45450</v>
      </c>
      <c r="L167" t="s">
        <v>38</v>
      </c>
      <c r="M167" t="str">
        <f>IF(COUNTIFS(PRO_LT_SCORECARD_FLEX_VALIDATIO!$K:$K, _xlfn.CONCAT(C167,D167), PRO_LT_SCORECARD_FLEX_VALIDATIO!$G:$G, "KO") &gt; 0, "NOK", "OK")</f>
        <v>OK</v>
      </c>
      <c r="Q167" t="s">
        <v>30</v>
      </c>
      <c r="R167" t="s">
        <v>131</v>
      </c>
      <c r="S167" t="s">
        <v>132</v>
      </c>
      <c r="T167" t="s">
        <v>132</v>
      </c>
      <c r="U167" t="s">
        <v>132</v>
      </c>
      <c r="V167" t="s">
        <v>132</v>
      </c>
      <c r="W167" t="s">
        <v>132</v>
      </c>
      <c r="X167" t="s">
        <v>5</v>
      </c>
      <c r="Y167">
        <f>_xlfn.IFNA(_xlfn.XLOOKUP(D167,[1]Especificação!$G:$G,[1]Especificação!$C:$C),0)</f>
        <v>0</v>
      </c>
    </row>
    <row r="168" spans="1:25" ht="15">
      <c r="A168" s="50" t="str">
        <f t="shared" si="2"/>
        <v>ENTITY_GRP_EBITDA</v>
      </c>
      <c r="B168" s="50"/>
      <c r="C168" t="s">
        <v>139</v>
      </c>
      <c r="D168" t="s">
        <v>344</v>
      </c>
      <c r="E168" t="s">
        <v>14</v>
      </c>
      <c r="F168" t="s">
        <v>38</v>
      </c>
      <c r="G168" t="s">
        <v>129</v>
      </c>
      <c r="H168" t="s">
        <v>130</v>
      </c>
      <c r="J168" t="s">
        <v>26</v>
      </c>
      <c r="K168" s="15">
        <v>45450</v>
      </c>
      <c r="L168" t="s">
        <v>38</v>
      </c>
      <c r="M168" t="str">
        <f>IF(COUNTIFS(PRO_LT_SCORECARD_FLEX_VALIDATIO!$K:$K, _xlfn.CONCAT(C168,D168), PRO_LT_SCORECARD_FLEX_VALIDATIO!$G:$G, "KO") &gt; 0, "NOK", "OK")</f>
        <v>NOK</v>
      </c>
      <c r="Q168" t="s">
        <v>30</v>
      </c>
      <c r="R168" t="s">
        <v>131</v>
      </c>
      <c r="S168" t="s">
        <v>132</v>
      </c>
      <c r="T168" t="s">
        <v>132</v>
      </c>
      <c r="U168" t="s">
        <v>132</v>
      </c>
      <c r="V168" t="s">
        <v>132</v>
      </c>
      <c r="W168" t="s">
        <v>131</v>
      </c>
      <c r="X168" t="s">
        <v>5</v>
      </c>
      <c r="Y168" t="str">
        <f>_xlfn.IFNA(_xlfn.XLOOKUP(D168,[1]Especificação!$G:$G,[1]Especificação!$C:$C),0)</f>
        <v>F1. Fora âmbito | Campos concluídos - Sem necessidade de espec.</v>
      </c>
    </row>
    <row r="169" spans="1:25" ht="15">
      <c r="A169" s="50" t="str">
        <f t="shared" si="2"/>
        <v>ENTITY_GRP_EQTY</v>
      </c>
      <c r="B169" s="50"/>
      <c r="C169" t="s">
        <v>139</v>
      </c>
      <c r="D169" t="s">
        <v>345</v>
      </c>
      <c r="E169" t="s">
        <v>14</v>
      </c>
      <c r="F169" t="s">
        <v>38</v>
      </c>
      <c r="G169" t="s">
        <v>129</v>
      </c>
      <c r="H169" t="s">
        <v>130</v>
      </c>
      <c r="J169" t="s">
        <v>26</v>
      </c>
      <c r="K169" s="15">
        <v>45450</v>
      </c>
      <c r="L169" t="s">
        <v>38</v>
      </c>
      <c r="M169" t="str">
        <f>IF(COUNTIFS(PRO_LT_SCORECARD_FLEX_VALIDATIO!$K:$K, _xlfn.CONCAT(C169,D169), PRO_LT_SCORECARD_FLEX_VALIDATIO!$G:$G, "KO") &gt; 0, "NOK", "OK")</f>
        <v>NOK</v>
      </c>
      <c r="Q169" t="s">
        <v>30</v>
      </c>
      <c r="R169" t="s">
        <v>131</v>
      </c>
      <c r="S169" t="s">
        <v>132</v>
      </c>
      <c r="T169" t="s">
        <v>131</v>
      </c>
      <c r="U169" t="s">
        <v>132</v>
      </c>
      <c r="V169" t="s">
        <v>132</v>
      </c>
      <c r="W169" t="s">
        <v>131</v>
      </c>
      <c r="X169" t="s">
        <v>5</v>
      </c>
      <c r="Y169" t="str">
        <f>_xlfn.IFNA(_xlfn.XLOOKUP(D169,[1]Especificação!$G:$G,[1]Especificação!$C:$C),0)</f>
        <v>F1. Fora âmbito | Campos concluídos - Sem necessidade de espec.</v>
      </c>
    </row>
    <row r="170" spans="1:25" ht="15">
      <c r="A170" s="50" t="str">
        <f t="shared" si="2"/>
        <v>ENTITY_GRP_NT_DBT</v>
      </c>
      <c r="B170" s="50"/>
      <c r="C170" t="s">
        <v>139</v>
      </c>
      <c r="D170" t="s">
        <v>346</v>
      </c>
      <c r="E170" t="s">
        <v>14</v>
      </c>
      <c r="F170" t="s">
        <v>38</v>
      </c>
      <c r="G170" t="s">
        <v>129</v>
      </c>
      <c r="H170" t="s">
        <v>130</v>
      </c>
      <c r="J170" t="s">
        <v>26</v>
      </c>
      <c r="K170" s="15">
        <v>45450</v>
      </c>
      <c r="L170" t="s">
        <v>38</v>
      </c>
      <c r="M170" t="str">
        <f>IF(COUNTIFS(PRO_LT_SCORECARD_FLEX_VALIDATIO!$K:$K, _xlfn.CONCAT(C170,D170), PRO_LT_SCORECARD_FLEX_VALIDATIO!$G:$G, "KO") &gt; 0, "NOK", "OK")</f>
        <v>NOK</v>
      </c>
      <c r="Q170" t="s">
        <v>30</v>
      </c>
      <c r="R170" t="s">
        <v>131</v>
      </c>
      <c r="S170" t="s">
        <v>132</v>
      </c>
      <c r="T170" t="s">
        <v>132</v>
      </c>
      <c r="U170" t="s">
        <v>132</v>
      </c>
      <c r="V170" t="s">
        <v>132</v>
      </c>
      <c r="W170" t="s">
        <v>131</v>
      </c>
      <c r="X170" t="s">
        <v>5</v>
      </c>
      <c r="Y170" t="str">
        <f>_xlfn.IFNA(_xlfn.XLOOKUP(D170,[1]Especificação!$G:$G,[1]Especificação!$C:$C),0)</f>
        <v>F1. Fora âmbito | Campos concluídos - Sem necessidade de espec.</v>
      </c>
    </row>
    <row r="171" spans="1:25" ht="15">
      <c r="A171" s="50" t="str">
        <f t="shared" si="2"/>
        <v>ENTITY_GRP_TTL_DBT</v>
      </c>
      <c r="B171" s="50"/>
      <c r="C171" t="s">
        <v>139</v>
      </c>
      <c r="D171" t="s">
        <v>347</v>
      </c>
      <c r="E171" t="s">
        <v>6</v>
      </c>
      <c r="F171" t="s">
        <v>25</v>
      </c>
      <c r="G171" t="s">
        <v>129</v>
      </c>
      <c r="H171" t="s">
        <v>141</v>
      </c>
      <c r="I171" t="s">
        <v>142</v>
      </c>
      <c r="J171" t="s">
        <v>29</v>
      </c>
      <c r="K171" s="15">
        <v>45450</v>
      </c>
      <c r="L171" t="s">
        <v>25</v>
      </c>
      <c r="M171" t="str">
        <f>IF(COUNTIFS(PRO_LT_SCORECARD_FLEX_VALIDATIO!$K:$K, _xlfn.CONCAT(C171,D171), PRO_LT_SCORECARD_FLEX_VALIDATIO!$G:$G, "KO") &gt; 0, "NOK", "OK")</f>
        <v>NOK</v>
      </c>
      <c r="Q171" t="s">
        <v>13</v>
      </c>
      <c r="R171" t="s">
        <v>131</v>
      </c>
      <c r="S171" t="s">
        <v>132</v>
      </c>
      <c r="T171" t="s">
        <v>131</v>
      </c>
      <c r="U171" t="s">
        <v>132</v>
      </c>
      <c r="V171" t="s">
        <v>132</v>
      </c>
      <c r="W171" t="s">
        <v>132</v>
      </c>
      <c r="X171" t="s">
        <v>5</v>
      </c>
      <c r="Y171">
        <f>_xlfn.IFNA(_xlfn.XLOOKUP(D171,[1]Especificação!$G:$G,[1]Especificação!$C:$C),0)</f>
        <v>0</v>
      </c>
    </row>
    <row r="172" spans="1:25" ht="15">
      <c r="A172" s="50" t="str">
        <f t="shared" si="2"/>
        <v>INSTRUMENT_GRSS_CRRYNG_AMNT_INSTRMNT</v>
      </c>
      <c r="B172" s="50"/>
      <c r="C172" t="s">
        <v>127</v>
      </c>
      <c r="D172" t="s">
        <v>348</v>
      </c>
      <c r="E172" t="s">
        <v>14</v>
      </c>
      <c r="F172" t="s">
        <v>38</v>
      </c>
      <c r="G172" t="s">
        <v>129</v>
      </c>
      <c r="H172" t="s">
        <v>130</v>
      </c>
      <c r="J172" t="s">
        <v>26</v>
      </c>
      <c r="K172" s="15">
        <v>45450</v>
      </c>
      <c r="L172" t="s">
        <v>38</v>
      </c>
      <c r="M172" t="str">
        <f>IF(COUNTIFS(PRO_LT_SCORECARD_FLEX_VALIDATIO!$K:$K, _xlfn.CONCAT(C172,D172), PRO_LT_SCORECARD_FLEX_VALIDATIO!$G:$G, "KO") &gt; 0, "NOK", "OK")</f>
        <v>NOK</v>
      </c>
      <c r="Q172" t="s">
        <v>30</v>
      </c>
      <c r="R172" t="s">
        <v>131</v>
      </c>
      <c r="S172" t="s">
        <v>131</v>
      </c>
      <c r="T172" t="s">
        <v>131</v>
      </c>
      <c r="U172" t="s">
        <v>132</v>
      </c>
      <c r="V172" t="s">
        <v>131</v>
      </c>
      <c r="W172" t="s">
        <v>131</v>
      </c>
      <c r="X172" t="s">
        <v>5</v>
      </c>
      <c r="Y172" t="str">
        <f>_xlfn.IFNA(_xlfn.XLOOKUP(D172,[1]Especificação!$G:$G,[1]Especificação!$C:$C),0)</f>
        <v>F1. Fora âmbito | Campos concluídos - Sem necessidade de espec.</v>
      </c>
    </row>
    <row r="173" spans="1:25" ht="15">
      <c r="A173" s="50" t="str">
        <f t="shared" si="2"/>
        <v>INSTRUMENT_HEDGE_ID</v>
      </c>
      <c r="B173" s="50"/>
      <c r="C173" t="s">
        <v>127</v>
      </c>
      <c r="D173" t="s">
        <v>349</v>
      </c>
      <c r="E173" t="s">
        <v>6</v>
      </c>
      <c r="F173" t="s">
        <v>38</v>
      </c>
      <c r="G173" t="s">
        <v>129</v>
      </c>
      <c r="H173" t="s">
        <v>130</v>
      </c>
      <c r="J173" t="s">
        <v>26</v>
      </c>
      <c r="K173" s="15">
        <v>45450</v>
      </c>
      <c r="L173" t="s">
        <v>38</v>
      </c>
      <c r="M173" t="str">
        <f>IF(COUNTIFS(PRO_LT_SCORECARD_FLEX_VALIDATIO!$K:$K, _xlfn.CONCAT(C173,D173), PRO_LT_SCORECARD_FLEX_VALIDATIO!$G:$G, "KO") &gt; 0, "NOK", "OK")</f>
        <v>OK</v>
      </c>
      <c r="Q173" t="s">
        <v>30</v>
      </c>
      <c r="R173" t="s">
        <v>131</v>
      </c>
      <c r="S173" t="s">
        <v>132</v>
      </c>
      <c r="T173" t="s">
        <v>132</v>
      </c>
      <c r="U173" t="s">
        <v>132</v>
      </c>
      <c r="V173" t="s">
        <v>132</v>
      </c>
      <c r="W173" t="s">
        <v>132</v>
      </c>
      <c r="X173" t="s">
        <v>5</v>
      </c>
      <c r="Y173">
        <f>_xlfn.IFNA(_xlfn.XLOOKUP(D173,[1]Especificação!$G:$G,[1]Especificação!$C:$C),0)</f>
        <v>0</v>
      </c>
    </row>
    <row r="174" spans="1:25" ht="15">
      <c r="A174" s="50" t="str">
        <f t="shared" si="2"/>
        <v>PROTECTION_HRCT_MV</v>
      </c>
      <c r="B174" s="50"/>
      <c r="C174" t="s">
        <v>156</v>
      </c>
      <c r="D174" t="s">
        <v>350</v>
      </c>
      <c r="E174" t="s">
        <v>14</v>
      </c>
      <c r="F174" t="s">
        <v>38</v>
      </c>
      <c r="G174" t="s">
        <v>129</v>
      </c>
      <c r="H174" t="s">
        <v>130</v>
      </c>
      <c r="J174" t="s">
        <v>26</v>
      </c>
      <c r="K174" s="15">
        <v>45450</v>
      </c>
      <c r="L174" t="s">
        <v>38</v>
      </c>
      <c r="M174" t="str">
        <f>IF(COUNTIFS(PRO_LT_SCORECARD_FLEX_VALIDATIO!$K:$K, _xlfn.CONCAT(C174,D174), PRO_LT_SCORECARD_FLEX_VALIDATIO!$G:$G, "KO") &gt; 0, "NOK", "OK")</f>
        <v>OK</v>
      </c>
      <c r="Q174" t="s">
        <v>30</v>
      </c>
      <c r="R174" t="s">
        <v>131</v>
      </c>
      <c r="S174" t="s">
        <v>132</v>
      </c>
      <c r="T174" t="s">
        <v>132</v>
      </c>
      <c r="U174" t="s">
        <v>132</v>
      </c>
      <c r="V174" t="s">
        <v>132</v>
      </c>
      <c r="W174" t="s">
        <v>132</v>
      </c>
      <c r="X174" t="s">
        <v>5</v>
      </c>
      <c r="Y174">
        <f>_xlfn.IFNA(_xlfn.XLOOKUP(D174,[1]Especificação!$G:$G,[1]Especificação!$C:$C),0)</f>
        <v>0</v>
      </c>
    </row>
    <row r="175" spans="1:25" ht="15">
      <c r="A175" s="50" t="str">
        <f t="shared" si="2"/>
        <v>INSTRUMENT_IDCMB</v>
      </c>
      <c r="B175" s="50"/>
      <c r="C175" t="s">
        <v>127</v>
      </c>
      <c r="D175" s="11" t="s">
        <v>351</v>
      </c>
      <c r="E175" t="s">
        <v>6</v>
      </c>
      <c r="F175" t="s">
        <v>33</v>
      </c>
      <c r="G175" t="s">
        <v>145</v>
      </c>
      <c r="H175" s="86" t="s">
        <v>352</v>
      </c>
      <c r="J175" t="s">
        <v>32</v>
      </c>
      <c r="K175" s="15">
        <v>45958</v>
      </c>
      <c r="L175" t="s">
        <v>38</v>
      </c>
      <c r="M175" t="str">
        <f>IF(COUNTIFS(PRO_LT_SCORECARD_FLEX_VALIDATIO!$K:$K, _xlfn.CONCAT(C175,D175), PRO_LT_SCORECARD_FLEX_VALIDATIO!$G:$G, "KO") &gt; 0, "NOK", "OK")</f>
        <v>NOK</v>
      </c>
      <c r="O175" s="15"/>
      <c r="P175" s="15">
        <v>45958</v>
      </c>
      <c r="Q175" t="s">
        <v>19</v>
      </c>
      <c r="R175" t="s">
        <v>131</v>
      </c>
      <c r="S175" t="s">
        <v>131</v>
      </c>
      <c r="T175" t="s">
        <v>131</v>
      </c>
      <c r="U175" t="s">
        <v>132</v>
      </c>
      <c r="V175" t="s">
        <v>131</v>
      </c>
      <c r="W175" t="s">
        <v>131</v>
      </c>
      <c r="X175" t="s">
        <v>136</v>
      </c>
      <c r="Y175" t="str">
        <f>_xlfn.IFNA(_xlfn.XLOOKUP(D175,[1]Especificação!$G:$G,[1]Especificação!$C:$C),0)</f>
        <v>C. Campos em testes ou c/ incidências</v>
      </c>
    </row>
    <row r="176" spans="1:25" ht="15">
      <c r="A176" s="50" t="str">
        <f t="shared" si="2"/>
        <v>ENTITY_EBITDA_PRVS</v>
      </c>
      <c r="B176" s="50"/>
      <c r="C176" t="s">
        <v>139</v>
      </c>
      <c r="D176" t="s">
        <v>353</v>
      </c>
      <c r="E176" t="s">
        <v>14</v>
      </c>
      <c r="F176" t="s">
        <v>25</v>
      </c>
      <c r="G176" t="s">
        <v>129</v>
      </c>
      <c r="H176" t="s">
        <v>354</v>
      </c>
      <c r="J176" t="s">
        <v>29</v>
      </c>
      <c r="K176" s="15">
        <v>45450</v>
      </c>
      <c r="L176" t="s">
        <v>25</v>
      </c>
      <c r="M176" t="str">
        <f>IF(COUNTIFS(PRO_LT_SCORECARD_FLEX_VALIDATIO!$K:$K, _xlfn.CONCAT(C176,D176), PRO_LT_SCORECARD_FLEX_VALIDATIO!$G:$G, "KO") &gt; 0, "NOK", "OK")</f>
        <v>NOK</v>
      </c>
      <c r="Q176" t="s">
        <v>13</v>
      </c>
      <c r="R176" t="s">
        <v>131</v>
      </c>
      <c r="S176" t="s">
        <v>132</v>
      </c>
      <c r="T176" t="s">
        <v>132</v>
      </c>
      <c r="U176" t="s">
        <v>132</v>
      </c>
      <c r="V176" t="s">
        <v>132</v>
      </c>
      <c r="W176" t="s">
        <v>131</v>
      </c>
      <c r="X176" t="s">
        <v>143</v>
      </c>
      <c r="Y176" t="str">
        <f>_xlfn.IFNA(_xlfn.XLOOKUP(D176,[1]Especificação!$G:$G,[1]Especificação!$C:$C),0)</f>
        <v>F4. Fora âmbito | Re-especificação de campos complexos - Dem. Fin. CIB</v>
      </c>
    </row>
    <row r="177" spans="1:25" ht="15">
      <c r="A177" s="50" t="str">
        <f t="shared" si="2"/>
        <v>INSTRUMENT_IFRS9_CCF</v>
      </c>
      <c r="B177" s="50"/>
      <c r="C177" t="s">
        <v>127</v>
      </c>
      <c r="D177" t="s">
        <v>355</v>
      </c>
      <c r="E177" t="s">
        <v>14</v>
      </c>
      <c r="F177" t="s">
        <v>38</v>
      </c>
      <c r="G177" t="s">
        <v>129</v>
      </c>
      <c r="H177" t="s">
        <v>130</v>
      </c>
      <c r="J177" t="s">
        <v>26</v>
      </c>
      <c r="K177" s="15">
        <v>45450</v>
      </c>
      <c r="L177" t="s">
        <v>38</v>
      </c>
      <c r="M177" t="str">
        <f>IF(COUNTIFS(PRO_LT_SCORECARD_FLEX_VALIDATIO!$K:$K, _xlfn.CONCAT(C177,D177), PRO_LT_SCORECARD_FLEX_VALIDATIO!$G:$G, "KO") &gt; 0, "NOK", "OK")</f>
        <v>NOK</v>
      </c>
      <c r="N177" t="s">
        <v>356</v>
      </c>
      <c r="Q177" t="s">
        <v>30</v>
      </c>
      <c r="R177" t="s">
        <v>131</v>
      </c>
      <c r="S177" t="s">
        <v>132</v>
      </c>
      <c r="T177" t="s">
        <v>132</v>
      </c>
      <c r="U177" t="s">
        <v>132</v>
      </c>
      <c r="V177" t="s">
        <v>132</v>
      </c>
      <c r="W177" t="s">
        <v>132</v>
      </c>
      <c r="X177" t="s">
        <v>5</v>
      </c>
      <c r="Y177">
        <f>_xlfn.IFNA(_xlfn.XLOOKUP(D177,[1]Especificação!$G:$G,[1]Especificação!$C:$C),0)</f>
        <v>0</v>
      </c>
    </row>
    <row r="178" spans="1:25" ht="15">
      <c r="A178" s="50" t="str">
        <f t="shared" si="2"/>
        <v>INSTRUMENT_IFRS9_EAD</v>
      </c>
      <c r="B178" s="50"/>
      <c r="C178" t="s">
        <v>127</v>
      </c>
      <c r="D178" t="s">
        <v>357</v>
      </c>
      <c r="E178" t="s">
        <v>14</v>
      </c>
      <c r="F178" t="s">
        <v>36</v>
      </c>
      <c r="G178" t="s">
        <v>145</v>
      </c>
      <c r="H178" t="s">
        <v>158</v>
      </c>
      <c r="J178" t="s">
        <v>29</v>
      </c>
      <c r="K178" s="15">
        <v>45450</v>
      </c>
      <c r="L178" t="s">
        <v>36</v>
      </c>
      <c r="M178" t="str">
        <f>IF(COUNTIFS(PRO_LT_SCORECARD_FLEX_VALIDATIO!$K:$K, _xlfn.CONCAT(C178,D178), PRO_LT_SCORECARD_FLEX_VALIDATIO!$G:$G, "KO") &gt; 0, "NOK", "OK")</f>
        <v>NOK</v>
      </c>
      <c r="N178" t="s">
        <v>356</v>
      </c>
      <c r="Q178" t="s">
        <v>8</v>
      </c>
      <c r="R178" t="s">
        <v>131</v>
      </c>
      <c r="S178" t="s">
        <v>132</v>
      </c>
      <c r="T178" t="s">
        <v>132</v>
      </c>
      <c r="U178" t="s">
        <v>132</v>
      </c>
      <c r="V178" t="s">
        <v>132</v>
      </c>
      <c r="W178" t="s">
        <v>132</v>
      </c>
      <c r="X178" t="s">
        <v>5</v>
      </c>
      <c r="Y178">
        <f>_xlfn.IFNA(_xlfn.XLOOKUP(D178,[1]Especificação!$G:$G,[1]Especificação!$C:$C),0)</f>
        <v>0</v>
      </c>
    </row>
    <row r="179" spans="1:25" ht="15">
      <c r="A179" s="50" t="str">
        <f t="shared" si="2"/>
        <v>INSTRUMENT_IFRS9_LGD</v>
      </c>
      <c r="B179" s="50"/>
      <c r="C179" t="s">
        <v>127</v>
      </c>
      <c r="D179" t="s">
        <v>358</v>
      </c>
      <c r="E179" t="s">
        <v>14</v>
      </c>
      <c r="F179" t="s">
        <v>38</v>
      </c>
      <c r="G179" t="s">
        <v>129</v>
      </c>
      <c r="H179" t="s">
        <v>130</v>
      </c>
      <c r="J179" t="s">
        <v>26</v>
      </c>
      <c r="K179" s="15">
        <v>45450</v>
      </c>
      <c r="L179" t="s">
        <v>38</v>
      </c>
      <c r="M179" t="str">
        <f>IF(COUNTIFS(PRO_LT_SCORECARD_FLEX_VALIDATIO!$K:$K, _xlfn.CONCAT(C179,D179), PRO_LT_SCORECARD_FLEX_VALIDATIO!$G:$G, "KO") &gt; 0, "NOK", "OK")</f>
        <v>OK</v>
      </c>
      <c r="N179" t="s">
        <v>356</v>
      </c>
      <c r="Q179" t="s">
        <v>30</v>
      </c>
      <c r="R179" t="s">
        <v>131</v>
      </c>
      <c r="S179" t="s">
        <v>132</v>
      </c>
      <c r="T179" t="s">
        <v>132</v>
      </c>
      <c r="U179" t="s">
        <v>132</v>
      </c>
      <c r="V179" t="s">
        <v>132</v>
      </c>
      <c r="W179" t="s">
        <v>132</v>
      </c>
      <c r="X179" t="s">
        <v>5</v>
      </c>
      <c r="Y179">
        <f>_xlfn.IFNA(_xlfn.XLOOKUP(D179,[1]Especificação!$G:$G,[1]Especificação!$C:$C),0)</f>
        <v>0</v>
      </c>
    </row>
    <row r="180" spans="1:25" ht="15">
      <c r="A180" s="50" t="str">
        <f t="shared" si="2"/>
        <v>INSTRUMENT_IMPRMNT_ASSSSMNT_MTHD</v>
      </c>
      <c r="B180" s="50"/>
      <c r="C180" t="s">
        <v>127</v>
      </c>
      <c r="D180" t="s">
        <v>359</v>
      </c>
      <c r="E180" t="s">
        <v>14</v>
      </c>
      <c r="F180" t="s">
        <v>38</v>
      </c>
      <c r="G180" t="s">
        <v>129</v>
      </c>
      <c r="H180" t="s">
        <v>130</v>
      </c>
      <c r="J180" t="s">
        <v>26</v>
      </c>
      <c r="K180" s="15">
        <v>45450</v>
      </c>
      <c r="L180" t="s">
        <v>38</v>
      </c>
      <c r="M180" t="str">
        <f>IF(COUNTIFS(PRO_LT_SCORECARD_FLEX_VALIDATIO!$K:$K, _xlfn.CONCAT(C180,D180), PRO_LT_SCORECARD_FLEX_VALIDATIO!$G:$G, "KO") &gt; 0, "NOK", "OK")</f>
        <v>OK</v>
      </c>
      <c r="Q180" t="s">
        <v>30</v>
      </c>
      <c r="R180" t="s">
        <v>131</v>
      </c>
      <c r="S180" t="s">
        <v>132</v>
      </c>
      <c r="T180" t="s">
        <v>132</v>
      </c>
      <c r="U180" t="s">
        <v>132</v>
      </c>
      <c r="V180" t="s">
        <v>132</v>
      </c>
      <c r="W180" t="s">
        <v>131</v>
      </c>
      <c r="X180" t="s">
        <v>5</v>
      </c>
      <c r="Y180" t="str">
        <f>_xlfn.IFNA(_xlfn.XLOOKUP(D180,[1]Especificação!$G:$G,[1]Especificação!$C:$C),0)</f>
        <v>F1. Fora âmbito | Campos concluídos - Sem necessidade de espec.</v>
      </c>
    </row>
    <row r="181" spans="1:25" ht="15">
      <c r="A181" s="50" t="str">
        <f t="shared" si="2"/>
        <v>INSTRUMENT_IMPRMNT_CLCLTN_MTHD</v>
      </c>
      <c r="B181" s="50"/>
      <c r="C181" t="s">
        <v>127</v>
      </c>
      <c r="D181" t="s">
        <v>360</v>
      </c>
      <c r="E181" t="s">
        <v>14</v>
      </c>
      <c r="F181" t="s">
        <v>36</v>
      </c>
      <c r="G181" t="s">
        <v>145</v>
      </c>
      <c r="H181" t="s">
        <v>158</v>
      </c>
      <c r="J181" t="s">
        <v>29</v>
      </c>
      <c r="K181" s="15">
        <v>45450</v>
      </c>
      <c r="L181" t="s">
        <v>36</v>
      </c>
      <c r="M181" t="str">
        <f>IF(COUNTIFS(PRO_LT_SCORECARD_FLEX_VALIDATIO!$K:$K, _xlfn.CONCAT(C181,D181), PRO_LT_SCORECARD_FLEX_VALIDATIO!$G:$G, "KO") &gt; 0, "NOK", "OK")</f>
        <v>NOK</v>
      </c>
      <c r="Q181" t="s">
        <v>8</v>
      </c>
      <c r="R181" t="s">
        <v>131</v>
      </c>
      <c r="S181" t="s">
        <v>132</v>
      </c>
      <c r="T181" t="s">
        <v>132</v>
      </c>
      <c r="U181" t="s">
        <v>132</v>
      </c>
      <c r="V181" t="s">
        <v>132</v>
      </c>
      <c r="W181" t="s">
        <v>132</v>
      </c>
      <c r="X181" t="s">
        <v>5</v>
      </c>
      <c r="Y181">
        <f>_xlfn.IFNA(_xlfn.XLOOKUP(D181,[1]Especificação!$G:$G,[1]Especificação!$C:$C),0)</f>
        <v>0</v>
      </c>
    </row>
    <row r="182" spans="1:25" ht="15">
      <c r="A182" s="50" t="str">
        <f t="shared" si="2"/>
        <v>INSTRUMENT_IMPRMNT_STTS</v>
      </c>
      <c r="B182" s="50"/>
      <c r="C182" t="s">
        <v>127</v>
      </c>
      <c r="D182" s="11" t="s">
        <v>44</v>
      </c>
      <c r="E182" t="s">
        <v>14</v>
      </c>
      <c r="F182" t="s">
        <v>28</v>
      </c>
      <c r="G182" t="s">
        <v>145</v>
      </c>
      <c r="H182" t="s">
        <v>361</v>
      </c>
      <c r="J182" t="s">
        <v>32</v>
      </c>
      <c r="K182" s="15">
        <v>45952</v>
      </c>
      <c r="L182" t="s">
        <v>36</v>
      </c>
      <c r="M182" t="str">
        <f>IF(COUNTIFS(PRO_LT_SCORECARD_FLEX_VALIDATIO!$K:$K, _xlfn.CONCAT(C182,D182), PRO_LT_SCORECARD_FLEX_VALIDATIO!$G:$G, "KO") &gt; 0, "NOK", "OK")</f>
        <v>NOK</v>
      </c>
      <c r="N182" t="s">
        <v>1259</v>
      </c>
      <c r="O182" s="15"/>
      <c r="P182" s="15">
        <v>45952</v>
      </c>
      <c r="Q182" t="s">
        <v>39</v>
      </c>
      <c r="R182" t="s">
        <v>131</v>
      </c>
      <c r="S182" t="s">
        <v>131</v>
      </c>
      <c r="T182" t="s">
        <v>131</v>
      </c>
      <c r="U182" t="s">
        <v>132</v>
      </c>
      <c r="V182" t="s">
        <v>132</v>
      </c>
      <c r="W182" t="s">
        <v>131</v>
      </c>
      <c r="X182" t="s">
        <v>5</v>
      </c>
      <c r="Y182" t="str">
        <f>_xlfn.IFNA(_xlfn.XLOOKUP(D182,[1]Especificação!$G:$G,[1]Especificação!$C:$C),0)</f>
        <v>F2. Fora âmbito | Campos em testes ou c/ incidências (LT - PM)</v>
      </c>
    </row>
    <row r="183" spans="1:25" ht="15">
      <c r="A183" s="50" t="str">
        <f t="shared" si="2"/>
        <v>INSTRUMENT_IMPRMNT_STTS_PRVS</v>
      </c>
      <c r="B183" s="50"/>
      <c r="C183" t="s">
        <v>127</v>
      </c>
      <c r="D183" s="11" t="s">
        <v>46</v>
      </c>
      <c r="E183" t="s">
        <v>14</v>
      </c>
      <c r="F183" t="s">
        <v>28</v>
      </c>
      <c r="G183" t="s">
        <v>129</v>
      </c>
      <c r="H183" t="s">
        <v>154</v>
      </c>
      <c r="I183" t="s">
        <v>258</v>
      </c>
      <c r="J183" t="s">
        <v>32</v>
      </c>
      <c r="K183" s="15">
        <v>45952</v>
      </c>
      <c r="L183" t="s">
        <v>36</v>
      </c>
      <c r="M183" t="str">
        <f>IF(COUNTIFS(PRO_LT_SCORECARD_FLEX_VALIDATIO!$K:$K, _xlfn.CONCAT(C183,D183), PRO_LT_SCORECARD_FLEX_VALIDATIO!$G:$G, "KO") &gt; 0, "NOK", "OK")</f>
        <v>NOK</v>
      </c>
      <c r="N183" t="s">
        <v>1258</v>
      </c>
      <c r="O183" s="15"/>
      <c r="P183" s="15">
        <v>45952</v>
      </c>
      <c r="Q183" t="s">
        <v>39</v>
      </c>
      <c r="R183" t="s">
        <v>131</v>
      </c>
      <c r="S183" t="s">
        <v>132</v>
      </c>
      <c r="T183" t="s">
        <v>132</v>
      </c>
      <c r="U183" t="s">
        <v>132</v>
      </c>
      <c r="V183" t="s">
        <v>132</v>
      </c>
      <c r="W183" t="s">
        <v>131</v>
      </c>
      <c r="X183" t="s">
        <v>5</v>
      </c>
      <c r="Y183" t="str">
        <f>_xlfn.IFNA(_xlfn.XLOOKUP(D183,[1]Especificação!$G:$G,[1]Especificação!$C:$C),0)</f>
        <v>F2. Fora âmbito | Campos em testes ou c/ incidências (LT - PM)</v>
      </c>
    </row>
    <row r="184" spans="1:25" ht="15">
      <c r="A184" s="50" t="str">
        <f t="shared" si="2"/>
        <v>ENTITY_INCM_SC</v>
      </c>
      <c r="B184" s="50"/>
      <c r="C184" t="s">
        <v>139</v>
      </c>
      <c r="D184" t="s">
        <v>362</v>
      </c>
      <c r="E184" t="s">
        <v>6</v>
      </c>
      <c r="F184" t="s">
        <v>20</v>
      </c>
      <c r="G184" t="s">
        <v>129</v>
      </c>
      <c r="H184" t="s">
        <v>363</v>
      </c>
      <c r="J184" t="s">
        <v>29</v>
      </c>
      <c r="K184" s="15">
        <v>45450</v>
      </c>
      <c r="L184" t="s">
        <v>20</v>
      </c>
      <c r="M184" t="str">
        <f>IF(COUNTIFS(PRO_LT_SCORECARD_FLEX_VALIDATIO!$K:$K, _xlfn.CONCAT(C184,D184), PRO_LT_SCORECARD_FLEX_VALIDATIO!$G:$G, "KO") &gt; 0, "NOK", "OK")</f>
        <v>NOK</v>
      </c>
      <c r="Q184" t="s">
        <v>13</v>
      </c>
      <c r="R184" t="s">
        <v>131</v>
      </c>
      <c r="S184" t="s">
        <v>132</v>
      </c>
      <c r="T184" t="s">
        <v>132</v>
      </c>
      <c r="U184" t="s">
        <v>132</v>
      </c>
      <c r="V184" t="s">
        <v>132</v>
      </c>
      <c r="W184" t="s">
        <v>132</v>
      </c>
      <c r="X184" t="s">
        <v>5</v>
      </c>
      <c r="Y184">
        <f>_xlfn.IFNA(_xlfn.XLOOKUP(D184,[1]Especificação!$G:$G,[1]Especificação!$C:$C),0)</f>
        <v>0</v>
      </c>
    </row>
    <row r="185" spans="1:25" ht="15">
      <c r="A185" s="50" t="str">
        <f t="shared" si="2"/>
        <v>ENTITY_EBITDA</v>
      </c>
      <c r="B185" s="50"/>
      <c r="C185" t="s">
        <v>139</v>
      </c>
      <c r="D185" t="s">
        <v>364</v>
      </c>
      <c r="E185" t="s">
        <v>14</v>
      </c>
      <c r="F185" t="s">
        <v>25</v>
      </c>
      <c r="G185" t="s">
        <v>129</v>
      </c>
      <c r="H185" t="s">
        <v>354</v>
      </c>
      <c r="J185" t="s">
        <v>29</v>
      </c>
      <c r="K185" s="15">
        <v>45450</v>
      </c>
      <c r="L185" t="s">
        <v>25</v>
      </c>
      <c r="M185" t="str">
        <f>IF(COUNTIFS(PRO_LT_SCORECARD_FLEX_VALIDATIO!$K:$K, _xlfn.CONCAT(C185,D185), PRO_LT_SCORECARD_FLEX_VALIDATIO!$G:$G, "KO") &gt; 0, "NOK", "OK")</f>
        <v>NOK</v>
      </c>
      <c r="Q185" t="s">
        <v>13</v>
      </c>
      <c r="R185" t="s">
        <v>131</v>
      </c>
      <c r="S185" t="s">
        <v>132</v>
      </c>
      <c r="T185" t="s">
        <v>132</v>
      </c>
      <c r="U185" t="s">
        <v>132</v>
      </c>
      <c r="V185" t="s">
        <v>132</v>
      </c>
      <c r="W185" t="s">
        <v>131</v>
      </c>
      <c r="X185" t="s">
        <v>143</v>
      </c>
      <c r="Y185" t="str">
        <f>_xlfn.IFNA(_xlfn.XLOOKUP(D185,[1]Especificação!$G:$G,[1]Especificação!$C:$C),0)</f>
        <v>F4. Fora âmbito | Re-especificação de campos complexos - Dem. Fin. CIB</v>
      </c>
    </row>
    <row r="186" spans="1:25" ht="15">
      <c r="A186" s="50" t="str">
        <f t="shared" si="2"/>
        <v>INSTRUMENT_INSTR_SNRTY_CLSS</v>
      </c>
      <c r="B186" s="50"/>
      <c r="C186" t="s">
        <v>127</v>
      </c>
      <c r="D186" t="s">
        <v>365</v>
      </c>
      <c r="E186" t="s">
        <v>6</v>
      </c>
      <c r="F186" t="s">
        <v>38</v>
      </c>
      <c r="G186" t="s">
        <v>129</v>
      </c>
      <c r="H186" t="s">
        <v>130</v>
      </c>
      <c r="J186" t="s">
        <v>26</v>
      </c>
      <c r="K186" s="15">
        <v>45450</v>
      </c>
      <c r="L186" t="s">
        <v>38</v>
      </c>
      <c r="M186" t="str">
        <f>IF(COUNTIFS(PRO_LT_SCORECARD_FLEX_VALIDATIO!$K:$K, _xlfn.CONCAT(C186,D186), PRO_LT_SCORECARD_FLEX_VALIDATIO!$G:$G, "KO") &gt; 0, "NOK", "OK")</f>
        <v>OK</v>
      </c>
      <c r="Q186" t="s">
        <v>30</v>
      </c>
      <c r="R186" t="s">
        <v>131</v>
      </c>
      <c r="S186" t="s">
        <v>132</v>
      </c>
      <c r="T186" t="s">
        <v>132</v>
      </c>
      <c r="U186" t="s">
        <v>132</v>
      </c>
      <c r="V186" t="s">
        <v>132</v>
      </c>
      <c r="W186" t="s">
        <v>131</v>
      </c>
      <c r="X186" t="s">
        <v>5</v>
      </c>
      <c r="Y186" t="str">
        <f>_xlfn.IFNA(_xlfn.XLOOKUP(D186,[1]Especificação!$G:$G,[1]Especificação!$C:$C),0)</f>
        <v>F1. Fora âmbito | Campos concluídos - Sem necessidade de espec.</v>
      </c>
    </row>
    <row r="187" spans="1:25" ht="15">
      <c r="A187" s="50" t="str">
        <f t="shared" si="2"/>
        <v>INSTRUMENT_INSTRMNT_CLSS</v>
      </c>
      <c r="B187" s="50"/>
      <c r="C187" t="s">
        <v>127</v>
      </c>
      <c r="D187" t="s">
        <v>366</v>
      </c>
      <c r="E187" t="s">
        <v>6</v>
      </c>
      <c r="F187" t="s">
        <v>38</v>
      </c>
      <c r="G187" t="s">
        <v>129</v>
      </c>
      <c r="H187" t="s">
        <v>130</v>
      </c>
      <c r="J187" t="s">
        <v>26</v>
      </c>
      <c r="K187" s="15">
        <v>45450</v>
      </c>
      <c r="L187" t="s">
        <v>38</v>
      </c>
      <c r="M187" t="str">
        <f>IF(COUNTIFS(PRO_LT_SCORECARD_FLEX_VALIDATIO!$K:$K, _xlfn.CONCAT(C187,D187), PRO_LT_SCORECARD_FLEX_VALIDATIO!$G:$G, "KO") &gt; 0, "NOK", "OK")</f>
        <v>OK</v>
      </c>
      <c r="Q187" t="s">
        <v>30</v>
      </c>
      <c r="R187" t="s">
        <v>131</v>
      </c>
      <c r="S187" t="s">
        <v>132</v>
      </c>
      <c r="T187" t="s">
        <v>132</v>
      </c>
      <c r="U187" t="s">
        <v>132</v>
      </c>
      <c r="V187" t="s">
        <v>132</v>
      </c>
      <c r="W187" t="s">
        <v>132</v>
      </c>
      <c r="X187" t="s">
        <v>5</v>
      </c>
      <c r="Y187">
        <f>_xlfn.IFNA(_xlfn.XLOOKUP(D187,[1]Especificação!$G:$G,[1]Especificação!$C:$C),0)</f>
        <v>0</v>
      </c>
    </row>
    <row r="188" spans="1:25" ht="15">
      <c r="A188" s="50" t="str">
        <f t="shared" si="2"/>
        <v>INSTR_ENTITY_INSTRMNT_ID</v>
      </c>
      <c r="B188" s="50"/>
      <c r="C188" t="s">
        <v>187</v>
      </c>
      <c r="D188" t="s">
        <v>367</v>
      </c>
      <c r="E188" t="s">
        <v>14</v>
      </c>
      <c r="F188" t="s">
        <v>38</v>
      </c>
      <c r="G188" t="s">
        <v>129</v>
      </c>
      <c r="H188" t="s">
        <v>130</v>
      </c>
      <c r="J188" t="s">
        <v>26</v>
      </c>
      <c r="K188" s="15">
        <v>45450</v>
      </c>
      <c r="L188" t="s">
        <v>38</v>
      </c>
      <c r="M188" t="str">
        <f>IF(COUNTIFS(PRO_LT_SCORECARD_FLEX_VALIDATIO!$K:$K, _xlfn.CONCAT(C188,D188), PRO_LT_SCORECARD_FLEX_VALIDATIO!$G:$G, "KO") &gt; 0, "NOK", "OK")</f>
        <v>OK</v>
      </c>
      <c r="Q188" t="s">
        <v>30</v>
      </c>
      <c r="R188" t="s">
        <v>131</v>
      </c>
      <c r="S188" t="s">
        <v>132</v>
      </c>
      <c r="T188" t="s">
        <v>131</v>
      </c>
      <c r="U188" t="s">
        <v>132</v>
      </c>
      <c r="V188" t="s">
        <v>132</v>
      </c>
      <c r="W188" t="s">
        <v>131</v>
      </c>
      <c r="X188" t="s">
        <v>5</v>
      </c>
      <c r="Y188" t="str">
        <f>_xlfn.IFNA(_xlfn.XLOOKUP(D188,[1]Especificação!$G:$G,[1]Especificação!$C:$C),0)</f>
        <v>F1. Fora âmbito | Campos concluídos - Sem necessidade de espec.</v>
      </c>
    </row>
    <row r="189" spans="1:25" ht="15">
      <c r="A189" s="50" t="str">
        <f t="shared" si="2"/>
        <v>INSTR_PROTECTION_INSTRMNT_ID</v>
      </c>
      <c r="B189" s="50"/>
      <c r="C189" t="s">
        <v>188</v>
      </c>
      <c r="D189" t="s">
        <v>367</v>
      </c>
      <c r="E189" t="s">
        <v>14</v>
      </c>
      <c r="F189" t="s">
        <v>38</v>
      </c>
      <c r="G189" t="s">
        <v>129</v>
      </c>
      <c r="H189" t="s">
        <v>130</v>
      </c>
      <c r="J189" t="s">
        <v>26</v>
      </c>
      <c r="K189" s="15">
        <v>45450</v>
      </c>
      <c r="L189" t="s">
        <v>38</v>
      </c>
      <c r="M189" t="str">
        <f>IF(COUNTIFS(PRO_LT_SCORECARD_FLEX_VALIDATIO!$K:$K, _xlfn.CONCAT(C189,D189), PRO_LT_SCORECARD_FLEX_VALIDATIO!$G:$G, "KO") &gt; 0, "NOK", "OK")</f>
        <v>OK</v>
      </c>
      <c r="Q189" t="s">
        <v>30</v>
      </c>
      <c r="R189" t="s">
        <v>131</v>
      </c>
      <c r="S189" t="s">
        <v>131</v>
      </c>
      <c r="T189" t="s">
        <v>131</v>
      </c>
      <c r="U189" t="s">
        <v>132</v>
      </c>
      <c r="V189" t="s">
        <v>132</v>
      </c>
      <c r="W189" t="s">
        <v>132</v>
      </c>
      <c r="X189" t="s">
        <v>5</v>
      </c>
      <c r="Y189" t="str">
        <f>_xlfn.IFNA(_xlfn.XLOOKUP(D189,[1]Especificação!$G:$G,[1]Especificação!$C:$C),0)</f>
        <v>F1. Fora âmbito | Campos concluídos - Sem necessidade de espec.</v>
      </c>
    </row>
    <row r="190" spans="1:25" ht="15">
      <c r="A190" s="50" t="str">
        <f t="shared" si="2"/>
        <v>INSTRUMENT_INSTRMNT_ID</v>
      </c>
      <c r="B190" s="50"/>
      <c r="C190" t="s">
        <v>127</v>
      </c>
      <c r="D190" t="s">
        <v>367</v>
      </c>
      <c r="E190" t="s">
        <v>14</v>
      </c>
      <c r="F190" t="s">
        <v>38</v>
      </c>
      <c r="G190" t="s">
        <v>129</v>
      </c>
      <c r="H190" t="s">
        <v>130</v>
      </c>
      <c r="J190" t="s">
        <v>26</v>
      </c>
      <c r="K190" s="15">
        <v>45450</v>
      </c>
      <c r="L190" t="s">
        <v>38</v>
      </c>
      <c r="M190" t="str">
        <f>IF(COUNTIFS(PRO_LT_SCORECARD_FLEX_VALIDATIO!$K:$K, _xlfn.CONCAT(C190,D190), PRO_LT_SCORECARD_FLEX_VALIDATIO!$G:$G, "KO") &gt; 0, "NOK", "OK")</f>
        <v>NOK</v>
      </c>
      <c r="Q190" t="s">
        <v>30</v>
      </c>
      <c r="R190" t="s">
        <v>131</v>
      </c>
      <c r="S190" t="s">
        <v>131</v>
      </c>
      <c r="T190" t="s">
        <v>131</v>
      </c>
      <c r="U190" t="s">
        <v>132</v>
      </c>
      <c r="V190" t="s">
        <v>131</v>
      </c>
      <c r="W190" t="s">
        <v>131</v>
      </c>
      <c r="X190" t="s">
        <v>5</v>
      </c>
      <c r="Y190" t="str">
        <f>_xlfn.IFNA(_xlfn.XLOOKUP(D190,[1]Especificação!$G:$G,[1]Especificação!$C:$C),0)</f>
        <v>F1. Fora âmbito | Campos concluídos - Sem necessidade de espec.</v>
      </c>
    </row>
    <row r="191" spans="1:25" ht="15">
      <c r="A191" s="50" t="str">
        <f t="shared" si="2"/>
        <v>ENTITY_INTRNL_RTNG</v>
      </c>
      <c r="B191" s="50"/>
      <c r="C191" t="s">
        <v>139</v>
      </c>
      <c r="D191" s="10" t="s">
        <v>368</v>
      </c>
      <c r="E191" t="s">
        <v>14</v>
      </c>
      <c r="F191" t="s">
        <v>33</v>
      </c>
      <c r="G191" t="s">
        <v>145</v>
      </c>
      <c r="H191" t="s">
        <v>369</v>
      </c>
      <c r="J191" t="s">
        <v>32</v>
      </c>
      <c r="K191" s="15">
        <v>45958</v>
      </c>
      <c r="L191" t="s">
        <v>55</v>
      </c>
      <c r="M191" t="str">
        <f>IF(COUNTIFS(PRO_LT_SCORECARD_FLEX_VALIDATIO!$K:$K, _xlfn.CONCAT(C191,D191), PRO_LT_SCORECARD_FLEX_VALIDATIO!$G:$G, "KO") &gt; 0, "NOK", "OK")</f>
        <v>NOK</v>
      </c>
      <c r="O191" s="15"/>
      <c r="P191" s="15">
        <v>45958</v>
      </c>
      <c r="Q191" t="s">
        <v>24</v>
      </c>
      <c r="R191" t="s">
        <v>131</v>
      </c>
      <c r="S191" t="s">
        <v>132</v>
      </c>
      <c r="T191" t="s">
        <v>132</v>
      </c>
      <c r="U191" t="s">
        <v>132</v>
      </c>
      <c r="V191" t="s">
        <v>132</v>
      </c>
      <c r="W191" t="s">
        <v>131</v>
      </c>
      <c r="X191" t="s">
        <v>136</v>
      </c>
      <c r="Y191" t="str">
        <f>_xlfn.IFNA(_xlfn.XLOOKUP(D191,[1]Especificação!$G:$G,[1]Especificação!$C:$C),0)</f>
        <v>C. Campos em testes ou c/ incidências</v>
      </c>
    </row>
    <row r="192" spans="1:25" ht="15">
      <c r="A192" s="50" t="str">
        <f t="shared" si="2"/>
        <v>INSTRUMENT_INTRNL_RTNG</v>
      </c>
      <c r="B192" s="50"/>
      <c r="C192" t="s">
        <v>127</v>
      </c>
      <c r="D192" s="10" t="s">
        <v>368</v>
      </c>
      <c r="E192" t="s">
        <v>14</v>
      </c>
      <c r="F192" t="s">
        <v>33</v>
      </c>
      <c r="G192" t="s">
        <v>145</v>
      </c>
      <c r="H192" t="s">
        <v>369</v>
      </c>
      <c r="J192" t="s">
        <v>32</v>
      </c>
      <c r="K192" s="15">
        <v>45958</v>
      </c>
      <c r="L192" t="s">
        <v>55</v>
      </c>
      <c r="M192" t="str">
        <f>IF(COUNTIFS(PRO_LT_SCORECARD_FLEX_VALIDATIO!$K:$K, _xlfn.CONCAT(C192,D192), PRO_LT_SCORECARD_FLEX_VALIDATIO!$G:$G, "KO") &gt; 0, "NOK", "OK")</f>
        <v>OK</v>
      </c>
      <c r="O192" s="15"/>
      <c r="P192" s="15">
        <v>45958</v>
      </c>
      <c r="Q192" t="s">
        <v>24</v>
      </c>
      <c r="R192" t="s">
        <v>131</v>
      </c>
      <c r="S192" t="s">
        <v>132</v>
      </c>
      <c r="T192" t="s">
        <v>132</v>
      </c>
      <c r="U192" t="s">
        <v>132</v>
      </c>
      <c r="V192" t="s">
        <v>132</v>
      </c>
      <c r="W192" t="s">
        <v>131</v>
      </c>
      <c r="X192" t="s">
        <v>136</v>
      </c>
      <c r="Y192" t="str">
        <f>_xlfn.IFNA(_xlfn.XLOOKUP(D192,[1]Especificação!$G:$G,[1]Especificação!$C:$C),0)</f>
        <v>C. Campos em testes ou c/ incidências</v>
      </c>
    </row>
    <row r="193" spans="1:25" ht="15">
      <c r="A193" s="50" t="str">
        <f t="shared" si="2"/>
        <v>INSTRUMENT_INTRNL_RTNG_INCPTN</v>
      </c>
      <c r="B193" s="50"/>
      <c r="C193" t="s">
        <v>127</v>
      </c>
      <c r="D193" t="s">
        <v>370</v>
      </c>
      <c r="E193" t="s">
        <v>14</v>
      </c>
      <c r="F193" t="s">
        <v>35</v>
      </c>
      <c r="G193" t="s">
        <v>145</v>
      </c>
      <c r="H193" t="s">
        <v>371</v>
      </c>
      <c r="I193" t="s">
        <v>372</v>
      </c>
      <c r="J193" t="s">
        <v>29</v>
      </c>
      <c r="K193" s="15">
        <v>45958</v>
      </c>
      <c r="L193" t="s">
        <v>38</v>
      </c>
      <c r="M193" t="str">
        <f>IF(COUNTIFS(PRO_LT_SCORECARD_FLEX_VALIDATIO!$K:$K, _xlfn.CONCAT(C193,D193), PRO_LT_SCORECARD_FLEX_VALIDATIO!$G:$G, "KO") &gt; 0, "NOK", "OK")</f>
        <v>OK</v>
      </c>
      <c r="P193" s="15">
        <v>45958</v>
      </c>
      <c r="Q193" t="s">
        <v>13</v>
      </c>
      <c r="R193" t="s">
        <v>131</v>
      </c>
      <c r="S193" t="s">
        <v>132</v>
      </c>
      <c r="T193" t="s">
        <v>132</v>
      </c>
      <c r="U193" t="s">
        <v>132</v>
      </c>
      <c r="V193" t="s">
        <v>132</v>
      </c>
      <c r="W193" t="s">
        <v>131</v>
      </c>
      <c r="X193" t="s">
        <v>136</v>
      </c>
      <c r="Y193" t="str">
        <f>_xlfn.IFNA(_xlfn.XLOOKUP(D193,[1]Especificação!$G:$G,[1]Especificação!$C:$C),0)</f>
        <v>C. Campos em testes ou c/ incidências</v>
      </c>
    </row>
    <row r="194" spans="1:25" ht="15">
      <c r="A194" s="50" t="str">
        <f t="shared" si="2"/>
        <v>ENTITY_INTRNL_RTNG_PRVS</v>
      </c>
      <c r="B194" s="50"/>
      <c r="C194" t="s">
        <v>139</v>
      </c>
      <c r="D194" s="10" t="s">
        <v>373</v>
      </c>
      <c r="E194" t="s">
        <v>14</v>
      </c>
      <c r="F194" t="s">
        <v>33</v>
      </c>
      <c r="G194" t="s">
        <v>129</v>
      </c>
      <c r="H194" s="86" t="s">
        <v>262</v>
      </c>
      <c r="J194" t="s">
        <v>32</v>
      </c>
      <c r="K194" s="15">
        <v>45958</v>
      </c>
      <c r="L194" t="s">
        <v>55</v>
      </c>
      <c r="M194" t="str">
        <f>IF(COUNTIFS(PRO_LT_SCORECARD_FLEX_VALIDATIO!$K:$K, _xlfn.CONCAT(C194,D194), PRO_LT_SCORECARD_FLEX_VALIDATIO!$G:$G, "KO") &gt; 0, "NOK", "OK")</f>
        <v>NOK</v>
      </c>
      <c r="O194" s="15"/>
      <c r="P194" s="15">
        <v>45958</v>
      </c>
      <c r="Q194" t="s">
        <v>24</v>
      </c>
      <c r="R194" t="s">
        <v>131</v>
      </c>
      <c r="S194" t="s">
        <v>132</v>
      </c>
      <c r="T194" t="s">
        <v>132</v>
      </c>
      <c r="U194" t="s">
        <v>132</v>
      </c>
      <c r="V194" t="s">
        <v>132</v>
      </c>
      <c r="W194" t="s">
        <v>131</v>
      </c>
      <c r="X194" t="s">
        <v>136</v>
      </c>
      <c r="Y194" t="str">
        <f>_xlfn.IFNA(_xlfn.XLOOKUP(D194,[1]Especificação!$G:$G,[1]Especificação!$C:$C),0)</f>
        <v>C. Campos em testes ou c/ incidências</v>
      </c>
    </row>
    <row r="195" spans="1:25" ht="15">
      <c r="A195" s="50" t="str">
        <f t="shared" si="2"/>
        <v>ENTITY_INTRNL_SGMNT</v>
      </c>
      <c r="B195" s="50"/>
      <c r="C195" t="s">
        <v>139</v>
      </c>
      <c r="D195" t="s">
        <v>374</v>
      </c>
      <c r="E195" t="s">
        <v>14</v>
      </c>
      <c r="F195" t="s">
        <v>38</v>
      </c>
      <c r="G195" t="s">
        <v>129</v>
      </c>
      <c r="H195" t="s">
        <v>130</v>
      </c>
      <c r="J195" t="s">
        <v>26</v>
      </c>
      <c r="K195" s="15">
        <v>45450</v>
      </c>
      <c r="L195" t="s">
        <v>38</v>
      </c>
      <c r="M195" t="str">
        <f>IF(COUNTIFS(PRO_LT_SCORECARD_FLEX_VALIDATIO!$K:$K, _xlfn.CONCAT(C195,D195), PRO_LT_SCORECARD_FLEX_VALIDATIO!$G:$G, "KO") &gt; 0, "NOK", "OK")</f>
        <v>OK</v>
      </c>
      <c r="Q195" t="s">
        <v>30</v>
      </c>
      <c r="R195" t="s">
        <v>131</v>
      </c>
      <c r="S195" t="s">
        <v>132</v>
      </c>
      <c r="T195" t="s">
        <v>132</v>
      </c>
      <c r="U195" t="s">
        <v>132</v>
      </c>
      <c r="V195" t="s">
        <v>132</v>
      </c>
      <c r="W195" t="s">
        <v>131</v>
      </c>
      <c r="X195" t="s">
        <v>5</v>
      </c>
      <c r="Y195" t="str">
        <f>_xlfn.IFNA(_xlfn.XLOOKUP(D195,[1]Especificação!$G:$G,[1]Especificação!$C:$C),0)</f>
        <v>F1. Fora âmbito | Campos concluídos - Sem necessidade de espec.</v>
      </c>
    </row>
    <row r="196" spans="1:25" ht="15">
      <c r="A196" s="50" t="str">
        <f t="shared" si="2"/>
        <v>INSTRUMENT_INTRNL_SGMNT</v>
      </c>
      <c r="B196" s="50"/>
      <c r="C196" t="s">
        <v>127</v>
      </c>
      <c r="D196" t="s">
        <v>374</v>
      </c>
      <c r="E196" t="s">
        <v>14</v>
      </c>
      <c r="F196" t="s">
        <v>38</v>
      </c>
      <c r="G196" t="s">
        <v>129</v>
      </c>
      <c r="H196" t="s">
        <v>130</v>
      </c>
      <c r="J196" t="s">
        <v>26</v>
      </c>
      <c r="K196" s="15">
        <v>45450</v>
      </c>
      <c r="L196" t="s">
        <v>38</v>
      </c>
      <c r="M196" t="str">
        <f>IF(COUNTIFS(PRO_LT_SCORECARD_FLEX_VALIDATIO!$K:$K, _xlfn.CONCAT(C196,D196), PRO_LT_SCORECARD_FLEX_VALIDATIO!$G:$G, "KO") &gt; 0, "NOK", "OK")</f>
        <v>OK</v>
      </c>
      <c r="Q196" t="s">
        <v>30</v>
      </c>
      <c r="R196" t="s">
        <v>131</v>
      </c>
      <c r="S196" t="s">
        <v>132</v>
      </c>
      <c r="T196" t="s">
        <v>132</v>
      </c>
      <c r="U196" t="s">
        <v>132</v>
      </c>
      <c r="V196" t="s">
        <v>131</v>
      </c>
      <c r="W196" t="s">
        <v>131</v>
      </c>
      <c r="X196" t="s">
        <v>5</v>
      </c>
      <c r="Y196" t="str">
        <f>_xlfn.IFNA(_xlfn.XLOOKUP(D196,[1]Especificação!$G:$G,[1]Especificação!$C:$C),0)</f>
        <v>F1. Fora âmbito | Campos concluídos - Sem necessidade de espec.</v>
      </c>
    </row>
    <row r="197" spans="1:25" ht="15">
      <c r="A197" s="50" t="str">
        <f t="shared" si="2"/>
        <v>INSTRUMENT_INTRNL_SGMNT_CAT_MSTA</v>
      </c>
      <c r="B197" s="50"/>
      <c r="C197" t="s">
        <v>127</v>
      </c>
      <c r="D197" t="s">
        <v>375</v>
      </c>
      <c r="E197" t="s">
        <v>6</v>
      </c>
      <c r="F197" t="s">
        <v>38</v>
      </c>
      <c r="G197" t="s">
        <v>129</v>
      </c>
      <c r="H197" t="s">
        <v>130</v>
      </c>
      <c r="J197" t="s">
        <v>26</v>
      </c>
      <c r="K197" s="15">
        <v>45450</v>
      </c>
      <c r="L197" t="s">
        <v>38</v>
      </c>
      <c r="M197" t="str">
        <f>IF(COUNTIFS(PRO_LT_SCORECARD_FLEX_VALIDATIO!$K:$K, _xlfn.CONCAT(C197,D197), PRO_LT_SCORECARD_FLEX_VALIDATIO!$G:$G, "KO") &gt; 0, "NOK", "OK")</f>
        <v>NOK</v>
      </c>
      <c r="Q197" t="s">
        <v>30</v>
      </c>
      <c r="R197" t="s">
        <v>131</v>
      </c>
      <c r="S197" t="s">
        <v>132</v>
      </c>
      <c r="T197" t="s">
        <v>132</v>
      </c>
      <c r="U197" t="s">
        <v>132</v>
      </c>
      <c r="V197" t="s">
        <v>131</v>
      </c>
      <c r="W197" t="s">
        <v>132</v>
      </c>
      <c r="X197" t="s">
        <v>5</v>
      </c>
      <c r="Y197">
        <f>_xlfn.IFNA(_xlfn.XLOOKUP(D197,[1]Especificação!$G:$G,[1]Especificação!$C:$C),0)</f>
        <v>0</v>
      </c>
    </row>
    <row r="198" spans="1:25" ht="15">
      <c r="A198" s="50" t="str">
        <f t="shared" ref="A198:A261" si="3">C198&amp;"_"&amp;D198</f>
        <v>INSTRUMENT_INTRNL_SGMNT_CATGSUB</v>
      </c>
      <c r="B198" s="50"/>
      <c r="C198" t="s">
        <v>127</v>
      </c>
      <c r="D198" t="s">
        <v>376</v>
      </c>
      <c r="E198" t="s">
        <v>6</v>
      </c>
      <c r="F198" t="s">
        <v>38</v>
      </c>
      <c r="G198" t="s">
        <v>129</v>
      </c>
      <c r="H198" t="s">
        <v>130</v>
      </c>
      <c r="J198" t="s">
        <v>26</v>
      </c>
      <c r="K198" s="15">
        <v>45450</v>
      </c>
      <c r="L198" t="s">
        <v>38</v>
      </c>
      <c r="M198" t="str">
        <f>IF(COUNTIFS(PRO_LT_SCORECARD_FLEX_VALIDATIO!$K:$K, _xlfn.CONCAT(C198,D198), PRO_LT_SCORECARD_FLEX_VALIDATIO!$G:$G, "KO") &gt; 0, "NOK", "OK")</f>
        <v>NOK</v>
      </c>
      <c r="Q198" t="s">
        <v>30</v>
      </c>
      <c r="R198" t="s">
        <v>131</v>
      </c>
      <c r="S198" t="s">
        <v>132</v>
      </c>
      <c r="T198" t="s">
        <v>132</v>
      </c>
      <c r="U198" t="s">
        <v>132</v>
      </c>
      <c r="V198" t="s">
        <v>131</v>
      </c>
      <c r="W198" t="s">
        <v>132</v>
      </c>
      <c r="X198" t="s">
        <v>5</v>
      </c>
      <c r="Y198">
        <f>_xlfn.IFNA(_xlfn.XLOOKUP(D198,[1]Especificação!$G:$G,[1]Especificação!$C:$C),0)</f>
        <v>0</v>
      </c>
    </row>
    <row r="199" spans="1:25" ht="15">
      <c r="A199" s="50" t="str">
        <f t="shared" si="3"/>
        <v>INSTRUMENT_INTRNL_SGMNT_IFRS9</v>
      </c>
      <c r="B199" s="50"/>
      <c r="C199" t="s">
        <v>127</v>
      </c>
      <c r="D199" t="s">
        <v>377</v>
      </c>
      <c r="E199" t="s">
        <v>6</v>
      </c>
      <c r="F199" t="s">
        <v>38</v>
      </c>
      <c r="G199" t="s">
        <v>129</v>
      </c>
      <c r="H199" t="s">
        <v>130</v>
      </c>
      <c r="J199" t="s">
        <v>26</v>
      </c>
      <c r="K199" s="15">
        <v>45450</v>
      </c>
      <c r="L199" t="s">
        <v>38</v>
      </c>
      <c r="M199" t="str">
        <f>IF(COUNTIFS(PRO_LT_SCORECARD_FLEX_VALIDATIO!$K:$K, _xlfn.CONCAT(C199,D199), PRO_LT_SCORECARD_FLEX_VALIDATIO!$G:$G, "KO") &gt; 0, "NOK", "OK")</f>
        <v>OK</v>
      </c>
      <c r="N199" t="s">
        <v>356</v>
      </c>
      <c r="Q199" t="s">
        <v>30</v>
      </c>
      <c r="R199" t="s">
        <v>131</v>
      </c>
      <c r="S199" t="s">
        <v>132</v>
      </c>
      <c r="T199" t="s">
        <v>132</v>
      </c>
      <c r="U199" t="s">
        <v>132</v>
      </c>
      <c r="V199" t="s">
        <v>132</v>
      </c>
      <c r="W199" t="s">
        <v>132</v>
      </c>
      <c r="X199" t="s">
        <v>5</v>
      </c>
      <c r="Y199">
        <f>_xlfn.IFNA(_xlfn.XLOOKUP(D199,[1]Especificação!$G:$G,[1]Especificação!$C:$C),0)</f>
        <v>0</v>
      </c>
    </row>
    <row r="200" spans="1:25" ht="15">
      <c r="A200" s="50" t="str">
        <f t="shared" si="3"/>
        <v>ENTITY_INTRNL_UNT</v>
      </c>
      <c r="B200" s="50"/>
      <c r="C200" t="s">
        <v>139</v>
      </c>
      <c r="D200" t="s">
        <v>378</v>
      </c>
      <c r="E200" t="s">
        <v>14</v>
      </c>
      <c r="F200" t="s">
        <v>38</v>
      </c>
      <c r="G200" t="s">
        <v>129</v>
      </c>
      <c r="H200" t="s">
        <v>130</v>
      </c>
      <c r="J200" t="s">
        <v>26</v>
      </c>
      <c r="K200" s="15">
        <v>45450</v>
      </c>
      <c r="L200" t="s">
        <v>38</v>
      </c>
      <c r="M200" t="str">
        <f>IF(COUNTIFS(PRO_LT_SCORECARD_FLEX_VALIDATIO!$K:$K, _xlfn.CONCAT(C200,D200), PRO_LT_SCORECARD_FLEX_VALIDATIO!$G:$G, "KO") &gt; 0, "NOK", "OK")</f>
        <v>OK</v>
      </c>
      <c r="Q200" t="s">
        <v>30</v>
      </c>
      <c r="R200" t="s">
        <v>131</v>
      </c>
      <c r="S200" t="s">
        <v>132</v>
      </c>
      <c r="T200" t="s">
        <v>132</v>
      </c>
      <c r="U200" t="s">
        <v>132</v>
      </c>
      <c r="V200" t="s">
        <v>132</v>
      </c>
      <c r="W200" t="s">
        <v>131</v>
      </c>
      <c r="X200" t="s">
        <v>5</v>
      </c>
      <c r="Y200" t="str">
        <f>_xlfn.IFNA(_xlfn.XLOOKUP(D200,[1]Especificação!$G:$G,[1]Especificação!$C:$C),0)</f>
        <v>F1. Fora âmbito | Campos concluídos - Sem necessidade de espec.</v>
      </c>
    </row>
    <row r="201" spans="1:25" ht="15">
      <c r="A201" s="50" t="str">
        <f t="shared" si="3"/>
        <v>INSTRUMENT_INTRNL_UNT</v>
      </c>
      <c r="B201" s="50"/>
      <c r="C201" t="s">
        <v>127</v>
      </c>
      <c r="D201" t="s">
        <v>378</v>
      </c>
      <c r="E201" t="s">
        <v>14</v>
      </c>
      <c r="F201" t="s">
        <v>38</v>
      </c>
      <c r="G201" t="s">
        <v>129</v>
      </c>
      <c r="H201" t="s">
        <v>130</v>
      </c>
      <c r="J201" t="s">
        <v>26</v>
      </c>
      <c r="K201" s="15">
        <v>45450</v>
      </c>
      <c r="L201" t="s">
        <v>38</v>
      </c>
      <c r="M201" t="str">
        <f>IF(COUNTIFS(PRO_LT_SCORECARD_FLEX_VALIDATIO!$K:$K, _xlfn.CONCAT(C201,D201), PRO_LT_SCORECARD_FLEX_VALIDATIO!$G:$G, "KO") &gt; 0, "NOK", "OK")</f>
        <v>OK</v>
      </c>
      <c r="Q201" t="s">
        <v>30</v>
      </c>
      <c r="R201" t="s">
        <v>131</v>
      </c>
      <c r="S201" t="s">
        <v>132</v>
      </c>
      <c r="T201" t="s">
        <v>132</v>
      </c>
      <c r="U201" t="s">
        <v>132</v>
      </c>
      <c r="V201" t="s">
        <v>132</v>
      </c>
      <c r="W201" t="s">
        <v>131</v>
      </c>
      <c r="X201" t="s">
        <v>5</v>
      </c>
      <c r="Y201" t="str">
        <f>_xlfn.IFNA(_xlfn.XLOOKUP(D201,[1]Especificação!$G:$G,[1]Especificação!$C:$C),0)</f>
        <v>F1. Fora âmbito | Campos concluídos - Sem necessidade de espec.</v>
      </c>
    </row>
    <row r="202" spans="1:25" ht="15">
      <c r="A202" s="50" t="str">
        <f t="shared" si="3"/>
        <v>INSTRUMENT_INTRST_RT_RST_FRQNCY</v>
      </c>
      <c r="B202" s="50"/>
      <c r="C202" t="s">
        <v>127</v>
      </c>
      <c r="D202" t="s">
        <v>379</v>
      </c>
      <c r="E202" t="s">
        <v>14</v>
      </c>
      <c r="F202" t="s">
        <v>38</v>
      </c>
      <c r="G202" t="s">
        <v>129</v>
      </c>
      <c r="H202" t="s">
        <v>130</v>
      </c>
      <c r="J202" t="s">
        <v>26</v>
      </c>
      <c r="K202" s="15">
        <v>45450</v>
      </c>
      <c r="L202" t="s">
        <v>38</v>
      </c>
      <c r="M202" t="str">
        <f>IF(COUNTIFS(PRO_LT_SCORECARD_FLEX_VALIDATIO!$K:$K, _xlfn.CONCAT(C202,D202), PRO_LT_SCORECARD_FLEX_VALIDATIO!$G:$G, "KO") &gt; 0, "NOK", "OK")</f>
        <v>NOK</v>
      </c>
      <c r="Q202" t="s">
        <v>30</v>
      </c>
      <c r="R202" t="s">
        <v>131</v>
      </c>
      <c r="S202" t="s">
        <v>132</v>
      </c>
      <c r="T202" t="s">
        <v>132</v>
      </c>
      <c r="U202" t="s">
        <v>132</v>
      </c>
      <c r="V202" t="s">
        <v>132</v>
      </c>
      <c r="W202" t="s">
        <v>132</v>
      </c>
      <c r="X202" t="s">
        <v>5</v>
      </c>
      <c r="Y202">
        <f>_xlfn.IFNA(_xlfn.XLOOKUP(D202,[1]Especificação!$G:$G,[1]Especificação!$C:$C),0)</f>
        <v>0</v>
      </c>
    </row>
    <row r="203" spans="1:25" ht="15">
      <c r="A203" s="50" t="str">
        <f t="shared" si="3"/>
        <v>INSTRUMENT_ISIN</v>
      </c>
      <c r="B203" s="50"/>
      <c r="C203" t="s">
        <v>127</v>
      </c>
      <c r="D203" t="s">
        <v>380</v>
      </c>
      <c r="E203" t="s">
        <v>6</v>
      </c>
      <c r="F203" t="s">
        <v>38</v>
      </c>
      <c r="G203" t="s">
        <v>129</v>
      </c>
      <c r="H203" t="s">
        <v>130</v>
      </c>
      <c r="J203" t="s">
        <v>26</v>
      </c>
      <c r="K203" s="15">
        <v>45450</v>
      </c>
      <c r="L203" t="s">
        <v>38</v>
      </c>
      <c r="M203" t="str">
        <f>IF(COUNTIFS(PRO_LT_SCORECARD_FLEX_VALIDATIO!$K:$K, _xlfn.CONCAT(C203,D203), PRO_LT_SCORECARD_FLEX_VALIDATIO!$G:$G, "KO") &gt; 0, "NOK", "OK")</f>
        <v>OK</v>
      </c>
      <c r="Q203" t="s">
        <v>30</v>
      </c>
      <c r="R203" t="s">
        <v>131</v>
      </c>
      <c r="S203" t="s">
        <v>132</v>
      </c>
      <c r="T203" t="s">
        <v>132</v>
      </c>
      <c r="U203" t="s">
        <v>132</v>
      </c>
      <c r="V203" t="s">
        <v>132</v>
      </c>
      <c r="W203" t="s">
        <v>132</v>
      </c>
      <c r="X203" t="s">
        <v>5</v>
      </c>
      <c r="Y203">
        <f>_xlfn.IFNA(_xlfn.XLOOKUP(D203,[1]Especificação!$G:$G,[1]Especificação!$C:$C),0)</f>
        <v>0</v>
      </c>
    </row>
    <row r="204" spans="1:25" ht="15">
      <c r="A204" s="50" t="str">
        <f t="shared" si="3"/>
        <v>INSTRUMENT_ISIN_SCRTSTN</v>
      </c>
      <c r="B204" s="50"/>
      <c r="C204" t="s">
        <v>127</v>
      </c>
      <c r="D204" t="s">
        <v>381</v>
      </c>
      <c r="E204" t="s">
        <v>6</v>
      </c>
      <c r="F204" t="s">
        <v>38</v>
      </c>
      <c r="G204" t="s">
        <v>129</v>
      </c>
      <c r="H204" t="s">
        <v>130</v>
      </c>
      <c r="J204" t="s">
        <v>26</v>
      </c>
      <c r="K204" s="15">
        <v>45450</v>
      </c>
      <c r="L204" t="s">
        <v>38</v>
      </c>
      <c r="M204" t="str">
        <f>IF(COUNTIFS(PRO_LT_SCORECARD_FLEX_VALIDATIO!$K:$K, _xlfn.CONCAT(C204,D204), PRO_LT_SCORECARD_FLEX_VALIDATIO!$G:$G, "KO") &gt; 0, "NOK", "OK")</f>
        <v>NOK</v>
      </c>
      <c r="Q204" t="s">
        <v>30</v>
      </c>
      <c r="R204" t="s">
        <v>131</v>
      </c>
      <c r="S204" t="s">
        <v>132</v>
      </c>
      <c r="T204" t="s">
        <v>132</v>
      </c>
      <c r="U204" t="s">
        <v>132</v>
      </c>
      <c r="V204" t="s">
        <v>132</v>
      </c>
      <c r="W204" t="s">
        <v>132</v>
      </c>
      <c r="X204" t="s">
        <v>5</v>
      </c>
      <c r="Y204">
        <f>_xlfn.IFNA(_xlfn.XLOOKUP(D204,[1]Especificação!$G:$G,[1]Especificação!$C:$C),0)</f>
        <v>0</v>
      </c>
    </row>
    <row r="205" spans="1:25" ht="15">
      <c r="A205" s="50" t="str">
        <f t="shared" si="3"/>
        <v>INSTRUMENT_ISSR_CNTRY</v>
      </c>
      <c r="B205" s="50"/>
      <c r="C205" t="s">
        <v>127</v>
      </c>
      <c r="D205" t="s">
        <v>382</v>
      </c>
      <c r="E205" t="s">
        <v>6</v>
      </c>
      <c r="F205" t="s">
        <v>38</v>
      </c>
      <c r="G205" t="s">
        <v>129</v>
      </c>
      <c r="H205" t="s">
        <v>130</v>
      </c>
      <c r="J205" t="s">
        <v>26</v>
      </c>
      <c r="K205" s="15">
        <v>45450</v>
      </c>
      <c r="L205" t="s">
        <v>38</v>
      </c>
      <c r="M205" t="str">
        <f>IF(COUNTIFS(PRO_LT_SCORECARD_FLEX_VALIDATIO!$K:$K, _xlfn.CONCAT(C205,D205), PRO_LT_SCORECARD_FLEX_VALIDATIO!$G:$G, "KO") &gt; 0, "NOK", "OK")</f>
        <v>OK</v>
      </c>
      <c r="Q205" t="s">
        <v>30</v>
      </c>
      <c r="R205" t="s">
        <v>131</v>
      </c>
      <c r="S205" t="s">
        <v>132</v>
      </c>
      <c r="T205" t="s">
        <v>131</v>
      </c>
      <c r="U205" t="s">
        <v>132</v>
      </c>
      <c r="V205" t="s">
        <v>132</v>
      </c>
      <c r="W205" t="s">
        <v>132</v>
      </c>
      <c r="X205" t="s">
        <v>5</v>
      </c>
      <c r="Y205">
        <f>_xlfn.IFNA(_xlfn.XLOOKUP(D205,[1]Especificação!$G:$G,[1]Especificação!$C:$C),0)</f>
        <v>0</v>
      </c>
    </row>
    <row r="206" spans="1:25" ht="15">
      <c r="A206" s="50" t="str">
        <f t="shared" si="3"/>
        <v>INSTRUMENT_ISSR_ESA_2010</v>
      </c>
      <c r="B206" s="50"/>
      <c r="C206" t="s">
        <v>127</v>
      </c>
      <c r="D206" t="s">
        <v>383</v>
      </c>
      <c r="E206" t="s">
        <v>6</v>
      </c>
      <c r="F206" t="s">
        <v>36</v>
      </c>
      <c r="G206" t="s">
        <v>145</v>
      </c>
      <c r="H206" t="s">
        <v>158</v>
      </c>
      <c r="J206" t="s">
        <v>29</v>
      </c>
      <c r="K206" s="15">
        <v>45450</v>
      </c>
      <c r="L206" t="s">
        <v>36</v>
      </c>
      <c r="M206" t="str">
        <f>IF(COUNTIFS(PRO_LT_SCORECARD_FLEX_VALIDATIO!$K:$K, _xlfn.CONCAT(C206,D206), PRO_LT_SCORECARD_FLEX_VALIDATIO!$G:$G, "KO") &gt; 0, "NOK", "OK")</f>
        <v>NOK</v>
      </c>
      <c r="Q206" t="s">
        <v>8</v>
      </c>
      <c r="R206" t="s">
        <v>131</v>
      </c>
      <c r="S206" t="s">
        <v>132</v>
      </c>
      <c r="T206" t="s">
        <v>132</v>
      </c>
      <c r="U206" t="s">
        <v>132</v>
      </c>
      <c r="V206" t="s">
        <v>132</v>
      </c>
      <c r="W206" t="s">
        <v>132</v>
      </c>
      <c r="X206" t="s">
        <v>5</v>
      </c>
      <c r="Y206">
        <f>_xlfn.IFNA(_xlfn.XLOOKUP(D206,[1]Especificação!$G:$G,[1]Especificação!$C:$C),0)</f>
        <v>0</v>
      </c>
    </row>
    <row r="207" spans="1:25" ht="15">
      <c r="A207" s="50" t="str">
        <f t="shared" si="3"/>
        <v>INSTRUMENT_ISSR_ID</v>
      </c>
      <c r="B207" s="50"/>
      <c r="C207" t="s">
        <v>127</v>
      </c>
      <c r="D207" t="s">
        <v>384</v>
      </c>
      <c r="E207" t="s">
        <v>6</v>
      </c>
      <c r="F207" t="s">
        <v>38</v>
      </c>
      <c r="G207" t="s">
        <v>129</v>
      </c>
      <c r="H207" t="s">
        <v>130</v>
      </c>
      <c r="J207" t="s">
        <v>26</v>
      </c>
      <c r="K207" s="15">
        <v>45450</v>
      </c>
      <c r="L207" t="s">
        <v>38</v>
      </c>
      <c r="M207" t="str">
        <f>IF(COUNTIFS(PRO_LT_SCORECARD_FLEX_VALIDATIO!$K:$K, _xlfn.CONCAT(C207,D207), PRO_LT_SCORECARD_FLEX_VALIDATIO!$G:$G, "KO") &gt; 0, "NOK", "OK")</f>
        <v>OK</v>
      </c>
      <c r="Q207" t="s">
        <v>30</v>
      </c>
      <c r="R207" t="s">
        <v>131</v>
      </c>
      <c r="S207" t="s">
        <v>132</v>
      </c>
      <c r="T207" t="s">
        <v>132</v>
      </c>
      <c r="U207" t="s">
        <v>132</v>
      </c>
      <c r="V207" t="s">
        <v>132</v>
      </c>
      <c r="W207" t="s">
        <v>132</v>
      </c>
      <c r="X207" t="s">
        <v>5</v>
      </c>
      <c r="Y207">
        <f>_xlfn.IFNA(_xlfn.XLOOKUP(D207,[1]Especificação!$G:$G,[1]Especificação!$C:$C),0)</f>
        <v>0</v>
      </c>
    </row>
    <row r="208" spans="1:25" ht="15">
      <c r="A208" s="50" t="str">
        <f t="shared" si="3"/>
        <v>INSTRUMENT_ISSR_ID_TYP</v>
      </c>
      <c r="B208" s="50"/>
      <c r="C208" t="s">
        <v>127</v>
      </c>
      <c r="D208" t="s">
        <v>385</v>
      </c>
      <c r="E208" t="s">
        <v>6</v>
      </c>
      <c r="F208" t="s">
        <v>38</v>
      </c>
      <c r="G208" t="s">
        <v>129</v>
      </c>
      <c r="H208" t="s">
        <v>130</v>
      </c>
      <c r="J208" t="s">
        <v>26</v>
      </c>
      <c r="K208" s="15">
        <v>45450</v>
      </c>
      <c r="L208" t="s">
        <v>38</v>
      </c>
      <c r="M208" t="str">
        <f>IF(COUNTIFS(PRO_LT_SCORECARD_FLEX_VALIDATIO!$K:$K, _xlfn.CONCAT(C208,D208), PRO_LT_SCORECARD_FLEX_VALIDATIO!$G:$G, "KO") &gt; 0, "NOK", "OK")</f>
        <v>OK</v>
      </c>
      <c r="Q208" t="s">
        <v>30</v>
      </c>
      <c r="R208" t="s">
        <v>131</v>
      </c>
      <c r="S208" t="s">
        <v>132</v>
      </c>
      <c r="T208" t="s">
        <v>132</v>
      </c>
      <c r="U208" t="s">
        <v>132</v>
      </c>
      <c r="V208" t="s">
        <v>132</v>
      </c>
      <c r="W208" t="s">
        <v>132</v>
      </c>
      <c r="X208" t="s">
        <v>5</v>
      </c>
      <c r="Y208">
        <f>_xlfn.IFNA(_xlfn.XLOOKUP(D208,[1]Especificação!$G:$G,[1]Especificação!$C:$C),0)</f>
        <v>0</v>
      </c>
    </row>
    <row r="209" spans="1:25" ht="15">
      <c r="A209" s="50" t="str">
        <f t="shared" si="3"/>
        <v>INSTRUMENT_ISSR_NACE_SCTR</v>
      </c>
      <c r="B209" s="50"/>
      <c r="C209" t="s">
        <v>127</v>
      </c>
      <c r="D209" t="s">
        <v>386</v>
      </c>
      <c r="E209" t="s">
        <v>6</v>
      </c>
      <c r="F209" t="s">
        <v>38</v>
      </c>
      <c r="G209" t="s">
        <v>129</v>
      </c>
      <c r="H209" t="s">
        <v>130</v>
      </c>
      <c r="J209" t="s">
        <v>26</v>
      </c>
      <c r="K209" s="15">
        <v>45450</v>
      </c>
      <c r="L209" t="s">
        <v>38</v>
      </c>
      <c r="M209" t="str">
        <f>IF(COUNTIFS(PRO_LT_SCORECARD_FLEX_VALIDATIO!$K:$K, _xlfn.CONCAT(C209,D209), PRO_LT_SCORECARD_FLEX_VALIDATIO!$G:$G, "KO") &gt; 0, "NOK", "OK")</f>
        <v>OK</v>
      </c>
      <c r="Q209" t="s">
        <v>30</v>
      </c>
      <c r="R209" t="s">
        <v>131</v>
      </c>
      <c r="S209" t="s">
        <v>132</v>
      </c>
      <c r="T209" t="s">
        <v>131</v>
      </c>
      <c r="U209" t="s">
        <v>132</v>
      </c>
      <c r="V209" t="s">
        <v>132</v>
      </c>
      <c r="W209" t="s">
        <v>132</v>
      </c>
      <c r="X209" t="s">
        <v>5</v>
      </c>
      <c r="Y209">
        <f>_xlfn.IFNA(_xlfn.XLOOKUP(D209,[1]Especificação!$G:$G,[1]Especificação!$C:$C),0)</f>
        <v>0</v>
      </c>
    </row>
    <row r="210" spans="1:25" ht="15">
      <c r="A210" s="50" t="str">
        <f t="shared" si="3"/>
        <v>INSTRUMENT_ISSR_RTNG</v>
      </c>
      <c r="B210" s="50"/>
      <c r="C210" t="s">
        <v>127</v>
      </c>
      <c r="D210" t="s">
        <v>387</v>
      </c>
      <c r="E210" t="s">
        <v>6</v>
      </c>
      <c r="F210" t="s">
        <v>37</v>
      </c>
      <c r="G210" t="s">
        <v>129</v>
      </c>
      <c r="H210" t="s">
        <v>164</v>
      </c>
      <c r="J210" t="s">
        <v>26</v>
      </c>
      <c r="K210" s="15">
        <v>45450</v>
      </c>
      <c r="L210" t="s">
        <v>37</v>
      </c>
      <c r="M210" t="str">
        <f>IF(COUNTIFS(PRO_LT_SCORECARD_FLEX_VALIDATIO!$K:$K, _xlfn.CONCAT(C210,D210), PRO_LT_SCORECARD_FLEX_VALIDATIO!$G:$G, "KO") &gt; 0, "NOK", "OK")</f>
        <v>OK</v>
      </c>
      <c r="Q210" t="s">
        <v>27</v>
      </c>
      <c r="R210" t="s">
        <v>131</v>
      </c>
      <c r="S210" t="s">
        <v>132</v>
      </c>
      <c r="T210" t="s">
        <v>132</v>
      </c>
      <c r="U210" t="s">
        <v>132</v>
      </c>
      <c r="V210" t="s">
        <v>132</v>
      </c>
      <c r="W210" t="s">
        <v>132</v>
      </c>
      <c r="X210" t="s">
        <v>5</v>
      </c>
      <c r="Y210">
        <f>_xlfn.IFNA(_xlfn.XLOOKUP(D210,[1]Especificação!$G:$G,[1]Especificação!$C:$C),0)</f>
        <v>0</v>
      </c>
    </row>
    <row r="211" spans="1:25" ht="15">
      <c r="A211" s="50" t="str">
        <f t="shared" si="3"/>
        <v>INSTRUMENT_ISSR_RTNG_SRC</v>
      </c>
      <c r="B211" s="50"/>
      <c r="C211" t="s">
        <v>127</v>
      </c>
      <c r="D211" t="s">
        <v>388</v>
      </c>
      <c r="E211" t="s">
        <v>6</v>
      </c>
      <c r="F211" t="s">
        <v>37</v>
      </c>
      <c r="G211" t="s">
        <v>129</v>
      </c>
      <c r="H211" t="s">
        <v>164</v>
      </c>
      <c r="J211" t="s">
        <v>26</v>
      </c>
      <c r="K211" s="15">
        <v>45450</v>
      </c>
      <c r="L211" t="s">
        <v>37</v>
      </c>
      <c r="M211" t="str">
        <f>IF(COUNTIFS(PRO_LT_SCORECARD_FLEX_VALIDATIO!$K:$K, _xlfn.CONCAT(C211,D211), PRO_LT_SCORECARD_FLEX_VALIDATIO!$G:$G, "KO") &gt; 0, "NOK", "OK")</f>
        <v>OK</v>
      </c>
      <c r="Q211" t="s">
        <v>27</v>
      </c>
      <c r="R211" t="s">
        <v>131</v>
      </c>
      <c r="S211" t="s">
        <v>132</v>
      </c>
      <c r="T211" t="s">
        <v>132</v>
      </c>
      <c r="U211" t="s">
        <v>132</v>
      </c>
      <c r="V211" t="s">
        <v>132</v>
      </c>
      <c r="W211" t="s">
        <v>132</v>
      </c>
      <c r="X211" t="s">
        <v>5</v>
      </c>
      <c r="Y211">
        <f>_xlfn.IFNA(_xlfn.XLOOKUP(D211,[1]Especificação!$G:$G,[1]Especificação!$C:$C),0)</f>
        <v>0</v>
      </c>
    </row>
    <row r="212" spans="1:25" ht="15">
      <c r="A212" s="50" t="str">
        <f t="shared" si="3"/>
        <v>INSTRUMENT_ISSR_TYP</v>
      </c>
      <c r="B212" s="50"/>
      <c r="C212" t="s">
        <v>127</v>
      </c>
      <c r="D212" t="s">
        <v>389</v>
      </c>
      <c r="E212" t="s">
        <v>6</v>
      </c>
      <c r="F212" t="s">
        <v>38</v>
      </c>
      <c r="G212" t="s">
        <v>129</v>
      </c>
      <c r="H212" t="s">
        <v>130</v>
      </c>
      <c r="J212" t="s">
        <v>26</v>
      </c>
      <c r="K212" s="15">
        <v>45450</v>
      </c>
      <c r="L212" t="s">
        <v>38</v>
      </c>
      <c r="M212" t="str">
        <f>IF(COUNTIFS(PRO_LT_SCORECARD_FLEX_VALIDATIO!$K:$K, _xlfn.CONCAT(C212,D212), PRO_LT_SCORECARD_FLEX_VALIDATIO!$G:$G, "KO") &gt; 0, "NOK", "OK")</f>
        <v>OK</v>
      </c>
      <c r="Q212" t="s">
        <v>30</v>
      </c>
      <c r="R212" t="s">
        <v>131</v>
      </c>
      <c r="S212" t="s">
        <v>132</v>
      </c>
      <c r="T212" t="s">
        <v>132</v>
      </c>
      <c r="U212" t="s">
        <v>132</v>
      </c>
      <c r="V212" t="s">
        <v>132</v>
      </c>
      <c r="W212" t="s">
        <v>132</v>
      </c>
      <c r="X212" t="s">
        <v>5</v>
      </c>
      <c r="Y212">
        <f>_xlfn.IFNA(_xlfn.XLOOKUP(D212,[1]Especificação!$G:$G,[1]Especificação!$C:$C),0)</f>
        <v>0</v>
      </c>
    </row>
    <row r="213" spans="1:25" ht="15">
      <c r="A213" s="50" t="str">
        <f t="shared" si="3"/>
        <v>INSTR_ENTITY_JNT_LBLTY_AMNT</v>
      </c>
      <c r="B213" s="50"/>
      <c r="C213" t="s">
        <v>187</v>
      </c>
      <c r="D213" t="s">
        <v>390</v>
      </c>
      <c r="E213" t="s">
        <v>14</v>
      </c>
      <c r="F213" t="s">
        <v>38</v>
      </c>
      <c r="G213" t="s">
        <v>129</v>
      </c>
      <c r="H213" t="s">
        <v>130</v>
      </c>
      <c r="J213" t="s">
        <v>26</v>
      </c>
      <c r="K213" s="15">
        <v>45450</v>
      </c>
      <c r="L213" t="s">
        <v>38</v>
      </c>
      <c r="M213" t="str">
        <f>IF(COUNTIFS(PRO_LT_SCORECARD_FLEX_VALIDATIO!$K:$K, _xlfn.CONCAT(C213,D213), PRO_LT_SCORECARD_FLEX_VALIDATIO!$G:$G, "KO") &gt; 0, "NOK", "OK")</f>
        <v>NOK</v>
      </c>
      <c r="Q213" t="s">
        <v>30</v>
      </c>
      <c r="R213" t="s">
        <v>131</v>
      </c>
      <c r="S213" t="s">
        <v>132</v>
      </c>
      <c r="T213" t="s">
        <v>132</v>
      </c>
      <c r="U213" t="s">
        <v>132</v>
      </c>
      <c r="V213" t="s">
        <v>132</v>
      </c>
      <c r="W213" t="s">
        <v>131</v>
      </c>
      <c r="X213" t="s">
        <v>5</v>
      </c>
      <c r="Y213" t="str">
        <f>_xlfn.IFNA(_xlfn.XLOOKUP(D213,[1]Especificação!$G:$G,[1]Especificação!$C:$C),0)</f>
        <v>F1. Fora âmbito | Campos concluídos - Sem necessidade de espec.</v>
      </c>
    </row>
    <row r="214" spans="1:25" ht="15">
      <c r="A214" s="50" t="str">
        <f t="shared" si="3"/>
        <v>INSTRUMENT_LCL_INSTMRNT_ID</v>
      </c>
      <c r="B214" s="50"/>
      <c r="C214" t="s">
        <v>127</v>
      </c>
      <c r="D214" t="s">
        <v>391</v>
      </c>
      <c r="E214" t="s">
        <v>6</v>
      </c>
      <c r="F214" t="s">
        <v>36</v>
      </c>
      <c r="G214" t="s">
        <v>145</v>
      </c>
      <c r="H214" t="s">
        <v>158</v>
      </c>
      <c r="J214" t="s">
        <v>29</v>
      </c>
      <c r="K214" s="15">
        <v>45450</v>
      </c>
      <c r="L214" t="s">
        <v>36</v>
      </c>
      <c r="M214" t="str">
        <f>IF(COUNTIFS(PRO_LT_SCORECARD_FLEX_VALIDATIO!$K:$K, _xlfn.CONCAT(C214,D214), PRO_LT_SCORECARD_FLEX_VALIDATIO!$G:$G, "KO") &gt; 0, "NOK", "OK")</f>
        <v>OK</v>
      </c>
      <c r="Q214" t="s">
        <v>8</v>
      </c>
      <c r="R214" t="s">
        <v>131</v>
      </c>
      <c r="S214" t="s">
        <v>131</v>
      </c>
      <c r="T214" t="s">
        <v>131</v>
      </c>
      <c r="U214" t="s">
        <v>132</v>
      </c>
      <c r="V214" t="s">
        <v>132</v>
      </c>
      <c r="W214" t="s">
        <v>132</v>
      </c>
      <c r="X214" t="s">
        <v>5</v>
      </c>
      <c r="Y214">
        <f>_xlfn.IFNA(_xlfn.XLOOKUP(D214,[1]Especificação!$G:$G,[1]Especificação!$C:$C),0)</f>
        <v>0</v>
      </c>
    </row>
    <row r="215" spans="1:25" ht="15">
      <c r="A215" s="50" t="str">
        <f t="shared" si="3"/>
        <v>INSTRUMENT_LCR_BFFR_CTGRY</v>
      </c>
      <c r="B215" s="50"/>
      <c r="C215" t="s">
        <v>127</v>
      </c>
      <c r="D215" t="s">
        <v>392</v>
      </c>
      <c r="E215" t="s">
        <v>6</v>
      </c>
      <c r="F215" t="s">
        <v>38</v>
      </c>
      <c r="G215" t="s">
        <v>129</v>
      </c>
      <c r="H215" t="s">
        <v>130</v>
      </c>
      <c r="J215" t="s">
        <v>26</v>
      </c>
      <c r="K215" s="15">
        <v>45450</v>
      </c>
      <c r="L215" t="s">
        <v>38</v>
      </c>
      <c r="M215" t="str">
        <f>IF(COUNTIFS(PRO_LT_SCORECARD_FLEX_VALIDATIO!$K:$K, _xlfn.CONCAT(C215,D215), PRO_LT_SCORECARD_FLEX_VALIDATIO!$G:$G, "KO") &gt; 0, "NOK", "OK")</f>
        <v>OK</v>
      </c>
      <c r="Q215" t="s">
        <v>30</v>
      </c>
      <c r="R215" t="s">
        <v>131</v>
      </c>
      <c r="S215" t="s">
        <v>132</v>
      </c>
      <c r="T215" t="s">
        <v>132</v>
      </c>
      <c r="U215" t="s">
        <v>132</v>
      </c>
      <c r="V215" t="s">
        <v>132</v>
      </c>
      <c r="W215" t="s">
        <v>132</v>
      </c>
      <c r="X215" t="s">
        <v>5</v>
      </c>
      <c r="Y215">
        <f>_xlfn.IFNA(_xlfn.XLOOKUP(D215,[1]Especificação!$G:$G,[1]Especificação!$C:$C),0)</f>
        <v>0</v>
      </c>
    </row>
    <row r="216" spans="1:25" ht="15">
      <c r="A216" s="50" t="str">
        <f t="shared" si="3"/>
        <v>INSTRUMENT_LCRE</v>
      </c>
      <c r="B216" s="50"/>
      <c r="C216" t="s">
        <v>127</v>
      </c>
      <c r="D216" s="11" t="s">
        <v>393</v>
      </c>
      <c r="E216" t="s">
        <v>14</v>
      </c>
      <c r="F216" t="s">
        <v>28</v>
      </c>
      <c r="G216" t="s">
        <v>129</v>
      </c>
      <c r="H216" t="s">
        <v>154</v>
      </c>
      <c r="I216" t="s">
        <v>394</v>
      </c>
      <c r="J216" t="s">
        <v>32</v>
      </c>
      <c r="K216" s="15">
        <v>45450</v>
      </c>
      <c r="L216" t="s">
        <v>28</v>
      </c>
      <c r="M216" t="str">
        <f>IF(COUNTIFS(PRO_LT_SCORECARD_FLEX_VALIDATIO!$K:$K, _xlfn.CONCAT(C216,D216), PRO_LT_SCORECARD_FLEX_VALIDATIO!$G:$G, "KO") &gt; 0, "NOK", "OK")</f>
        <v>NOK</v>
      </c>
      <c r="Q216" t="s">
        <v>39</v>
      </c>
      <c r="R216" t="s">
        <v>131</v>
      </c>
      <c r="S216" t="s">
        <v>132</v>
      </c>
      <c r="T216" t="s">
        <v>132</v>
      </c>
      <c r="U216" t="s">
        <v>132</v>
      </c>
      <c r="V216" t="s">
        <v>132</v>
      </c>
      <c r="W216" t="s">
        <v>132</v>
      </c>
      <c r="X216" t="s">
        <v>5</v>
      </c>
      <c r="Y216">
        <f>_xlfn.IFNA(_xlfn.XLOOKUP(D216,[1]Especificação!$G:$G,[1]Especificação!$C:$C),0)</f>
        <v>0</v>
      </c>
    </row>
    <row r="217" spans="1:25" ht="15">
      <c r="A217" s="50" t="str">
        <f t="shared" si="3"/>
        <v>ENTITY_LEI</v>
      </c>
      <c r="B217" s="50"/>
      <c r="C217" t="s">
        <v>139</v>
      </c>
      <c r="D217" t="s">
        <v>395</v>
      </c>
      <c r="E217" t="s">
        <v>14</v>
      </c>
      <c r="F217" t="s">
        <v>38</v>
      </c>
      <c r="G217" t="s">
        <v>129</v>
      </c>
      <c r="H217" t="s">
        <v>130</v>
      </c>
      <c r="J217" t="s">
        <v>26</v>
      </c>
      <c r="K217" s="15">
        <v>45450</v>
      </c>
      <c r="L217" t="s">
        <v>38</v>
      </c>
      <c r="M217" t="str">
        <f>IF(COUNTIFS(PRO_LT_SCORECARD_FLEX_VALIDATIO!$K:$K, _xlfn.CONCAT(C217,D217), PRO_LT_SCORECARD_FLEX_VALIDATIO!$G:$G, "KO") &gt; 0, "NOK", "OK")</f>
        <v>OK</v>
      </c>
      <c r="Q217" t="s">
        <v>30</v>
      </c>
      <c r="R217" t="s">
        <v>131</v>
      </c>
      <c r="S217" t="s">
        <v>132</v>
      </c>
      <c r="T217" t="s">
        <v>131</v>
      </c>
      <c r="U217" t="s">
        <v>132</v>
      </c>
      <c r="V217" t="s">
        <v>132</v>
      </c>
      <c r="W217" t="s">
        <v>131</v>
      </c>
      <c r="X217" t="s">
        <v>5</v>
      </c>
      <c r="Y217" t="str">
        <f>_xlfn.IFNA(_xlfn.XLOOKUP(D217,[1]Especificação!$G:$G,[1]Especificação!$C:$C),0)</f>
        <v>F1. Fora âmbito | Campos concluídos - Sem necessidade de espec.</v>
      </c>
    </row>
    <row r="218" spans="1:25" ht="15">
      <c r="A218" s="50" t="str">
        <f t="shared" si="3"/>
        <v>INSTRUMENT_LGD</v>
      </c>
      <c r="B218" s="50"/>
      <c r="C218" t="s">
        <v>127</v>
      </c>
      <c r="D218" t="s">
        <v>396</v>
      </c>
      <c r="E218" t="s">
        <v>14</v>
      </c>
      <c r="F218" t="s">
        <v>38</v>
      </c>
      <c r="G218" t="s">
        <v>129</v>
      </c>
      <c r="H218" t="s">
        <v>130</v>
      </c>
      <c r="J218" t="s">
        <v>26</v>
      </c>
      <c r="K218" s="15">
        <v>45450</v>
      </c>
      <c r="L218" t="s">
        <v>38</v>
      </c>
      <c r="M218" t="str">
        <f>IF(COUNTIFS(PRO_LT_SCORECARD_FLEX_VALIDATIO!$K:$K, _xlfn.CONCAT(C218,D218), PRO_LT_SCORECARD_FLEX_VALIDATIO!$G:$G, "KO") &gt; 0, "NOK", "OK")</f>
        <v>OK</v>
      </c>
      <c r="Q218" t="s">
        <v>30</v>
      </c>
      <c r="R218" t="s">
        <v>131</v>
      </c>
      <c r="S218" t="s">
        <v>132</v>
      </c>
      <c r="T218" t="s">
        <v>132</v>
      </c>
      <c r="U218" t="s">
        <v>132</v>
      </c>
      <c r="V218" t="s">
        <v>132</v>
      </c>
      <c r="W218" t="s">
        <v>131</v>
      </c>
      <c r="X218" t="s">
        <v>5</v>
      </c>
      <c r="Y218" t="str">
        <f>_xlfn.IFNA(_xlfn.XLOOKUP(D218,[1]Especificação!$G:$G,[1]Especificação!$C:$C),0)</f>
        <v>F1. Fora âmbito | Campos concluídos - Sem necessidade de espec.</v>
      </c>
    </row>
    <row r="219" spans="1:25" ht="15">
      <c r="A219" s="50" t="str">
        <f t="shared" si="3"/>
        <v>INSTRUMENT_LGL_PRCDNG_STTS</v>
      </c>
      <c r="B219" s="50"/>
      <c r="C219" t="s">
        <v>127</v>
      </c>
      <c r="D219" t="s">
        <v>397</v>
      </c>
      <c r="E219" t="s">
        <v>14</v>
      </c>
      <c r="F219" t="s">
        <v>38</v>
      </c>
      <c r="G219" t="s">
        <v>129</v>
      </c>
      <c r="H219" t="s">
        <v>130</v>
      </c>
      <c r="J219" t="s">
        <v>26</v>
      </c>
      <c r="K219" s="15">
        <v>45450</v>
      </c>
      <c r="L219" t="s">
        <v>38</v>
      </c>
      <c r="M219" t="str">
        <f>IF(COUNTIFS(PRO_LT_SCORECARD_FLEX_VALIDATIO!$K:$K, _xlfn.CONCAT(C219,D219), PRO_LT_SCORECARD_FLEX_VALIDATIO!$G:$G, "KO") &gt; 0, "NOK", "OK")</f>
        <v>OK</v>
      </c>
      <c r="Q219" t="s">
        <v>30</v>
      </c>
      <c r="R219" t="s">
        <v>131</v>
      </c>
      <c r="S219" t="s">
        <v>132</v>
      </c>
      <c r="T219" t="s">
        <v>132</v>
      </c>
      <c r="U219" t="s">
        <v>132</v>
      </c>
      <c r="V219" t="s">
        <v>132</v>
      </c>
      <c r="W219" t="s">
        <v>132</v>
      </c>
      <c r="X219" t="s">
        <v>5</v>
      </c>
      <c r="Y219">
        <f>_xlfn.IFNA(_xlfn.XLOOKUP(D219,[1]Especificação!$G:$G,[1]Especificação!$C:$C),0)</f>
        <v>0</v>
      </c>
    </row>
    <row r="220" spans="1:25" ht="15">
      <c r="A220" s="50" t="str">
        <f t="shared" si="3"/>
        <v>ENTITY_LGL_PRCDNG_STTS_LE</v>
      </c>
      <c r="B220" s="50"/>
      <c r="C220" t="s">
        <v>139</v>
      </c>
      <c r="D220" t="s">
        <v>398</v>
      </c>
      <c r="E220" t="s">
        <v>14</v>
      </c>
      <c r="F220" t="s">
        <v>36</v>
      </c>
      <c r="G220" t="s">
        <v>145</v>
      </c>
      <c r="H220" t="s">
        <v>158</v>
      </c>
      <c r="J220" t="s">
        <v>29</v>
      </c>
      <c r="K220" s="15">
        <v>45958</v>
      </c>
      <c r="L220" t="s">
        <v>38</v>
      </c>
      <c r="M220" t="str">
        <f>IF(COUNTIFS(PRO_LT_SCORECARD_FLEX_VALIDATIO!$K:$K, _xlfn.CONCAT(C220,D220), PRO_LT_SCORECARD_FLEX_VALIDATIO!$G:$G, "KO") &gt; 0, "NOK", "OK")</f>
        <v>NOK</v>
      </c>
      <c r="P220" s="15">
        <v>45958</v>
      </c>
      <c r="Q220" t="s">
        <v>8</v>
      </c>
      <c r="R220" t="s">
        <v>131</v>
      </c>
      <c r="S220" t="s">
        <v>132</v>
      </c>
      <c r="T220" t="s">
        <v>132</v>
      </c>
      <c r="U220" t="s">
        <v>132</v>
      </c>
      <c r="V220" t="s">
        <v>132</v>
      </c>
      <c r="W220" t="s">
        <v>131</v>
      </c>
      <c r="X220" t="s">
        <v>136</v>
      </c>
      <c r="Y220" t="str">
        <f>_xlfn.IFNA(_xlfn.XLOOKUP(D220,[1]Especificação!$G:$G,[1]Especificação!$C:$C),0)</f>
        <v>D. Campos com NOK controlos Corporativos</v>
      </c>
    </row>
    <row r="221" spans="1:25" ht="15">
      <c r="A221" s="50" t="str">
        <f t="shared" si="3"/>
        <v>INSTRUMENT_LND_DRGTN</v>
      </c>
      <c r="B221" s="50"/>
      <c r="C221" t="s">
        <v>127</v>
      </c>
      <c r="D221" t="s">
        <v>399</v>
      </c>
      <c r="E221" t="s">
        <v>6</v>
      </c>
      <c r="F221" t="s">
        <v>38</v>
      </c>
      <c r="G221" t="s">
        <v>129</v>
      </c>
      <c r="H221" t="s">
        <v>130</v>
      </c>
      <c r="J221" t="s">
        <v>26</v>
      </c>
      <c r="K221" s="15">
        <v>45450</v>
      </c>
      <c r="L221" t="s">
        <v>38</v>
      </c>
      <c r="M221" t="str">
        <f>IF(COUNTIFS(PRO_LT_SCORECARD_FLEX_VALIDATIO!$K:$K, _xlfn.CONCAT(C221,D221), PRO_LT_SCORECARD_FLEX_VALIDATIO!$G:$G, "KO") &gt; 0, "NOK", "OK")</f>
        <v>OK</v>
      </c>
      <c r="Q221" t="s">
        <v>30</v>
      </c>
      <c r="R221" t="s">
        <v>131</v>
      </c>
      <c r="S221" t="s">
        <v>132</v>
      </c>
      <c r="T221" t="s">
        <v>132</v>
      </c>
      <c r="U221" t="s">
        <v>132</v>
      </c>
      <c r="V221" t="s">
        <v>132</v>
      </c>
      <c r="W221" t="s">
        <v>132</v>
      </c>
      <c r="X221" t="s">
        <v>5</v>
      </c>
      <c r="Y221">
        <f>_xlfn.IFNA(_xlfn.XLOOKUP(D221,[1]Especificação!$G:$G,[1]Especificação!$C:$C),0)</f>
        <v>0</v>
      </c>
    </row>
    <row r="222" spans="1:25" ht="15">
      <c r="A222" s="50" t="str">
        <f t="shared" si="3"/>
        <v>INSTRUMENT_LSTI</v>
      </c>
      <c r="B222" s="50"/>
      <c r="C222" t="s">
        <v>127</v>
      </c>
      <c r="D222" t="s">
        <v>400</v>
      </c>
      <c r="E222" t="s">
        <v>6</v>
      </c>
      <c r="F222" t="s">
        <v>20</v>
      </c>
      <c r="G222" t="s">
        <v>129</v>
      </c>
      <c r="H222" t="s">
        <v>227</v>
      </c>
      <c r="J222" t="s">
        <v>29</v>
      </c>
      <c r="K222" s="15">
        <v>45450</v>
      </c>
      <c r="L222" t="s">
        <v>20</v>
      </c>
      <c r="M222" t="str">
        <f>IF(COUNTIFS(PRO_LT_SCORECARD_FLEX_VALIDATIO!$K:$K, _xlfn.CONCAT(C222,D222), PRO_LT_SCORECARD_FLEX_VALIDATIO!$G:$G, "KO") &gt; 0, "NOK", "OK")</f>
        <v>NOK</v>
      </c>
      <c r="Q222" t="s">
        <v>19</v>
      </c>
      <c r="R222" t="s">
        <v>131</v>
      </c>
      <c r="S222" t="s">
        <v>132</v>
      </c>
      <c r="T222" t="s">
        <v>132</v>
      </c>
      <c r="U222" t="s">
        <v>132</v>
      </c>
      <c r="V222" t="s">
        <v>132</v>
      </c>
      <c r="W222" t="s">
        <v>132</v>
      </c>
      <c r="X222" t="s">
        <v>5</v>
      </c>
      <c r="Y222">
        <f>_xlfn.IFNA(_xlfn.XLOOKUP(D222,[1]Especificação!$G:$G,[1]Especificação!$C:$C),0)</f>
        <v>0</v>
      </c>
    </row>
    <row r="223" spans="1:25" ht="15">
      <c r="A223" s="50" t="str">
        <f t="shared" si="3"/>
        <v>ENTITY_LTI</v>
      </c>
      <c r="B223" s="50"/>
      <c r="C223" t="s">
        <v>139</v>
      </c>
      <c r="D223" t="s">
        <v>401</v>
      </c>
      <c r="E223" t="s">
        <v>6</v>
      </c>
      <c r="F223" t="s">
        <v>20</v>
      </c>
      <c r="G223" t="s">
        <v>145</v>
      </c>
      <c r="H223" t="s">
        <v>363</v>
      </c>
      <c r="J223" t="s">
        <v>29</v>
      </c>
      <c r="K223" s="15">
        <v>45952</v>
      </c>
      <c r="L223" t="s">
        <v>38</v>
      </c>
      <c r="M223" t="str">
        <f>IF(COUNTIFS(PRO_LT_SCORECARD_FLEX_VALIDATIO!$K:$K, _xlfn.CONCAT(C223,D223), PRO_LT_SCORECARD_FLEX_VALIDATIO!$G:$G, "KO") &gt; 0, "NOK", "OK")</f>
        <v>NOK</v>
      </c>
      <c r="P223" s="15">
        <v>45952</v>
      </c>
      <c r="Q223" t="s">
        <v>13</v>
      </c>
      <c r="R223" t="s">
        <v>131</v>
      </c>
      <c r="S223" t="s">
        <v>132</v>
      </c>
      <c r="T223" t="s">
        <v>132</v>
      </c>
      <c r="U223" t="s">
        <v>132</v>
      </c>
      <c r="V223" t="s">
        <v>132</v>
      </c>
      <c r="W223" t="s">
        <v>132</v>
      </c>
      <c r="X223" t="s">
        <v>5</v>
      </c>
      <c r="Y223">
        <f>_xlfn.IFNA(_xlfn.XLOOKUP(D223,[1]Especificação!$G:$G,[1]Especificação!$C:$C),0)</f>
        <v>0</v>
      </c>
    </row>
    <row r="224" spans="1:25" ht="15">
      <c r="A224" s="50" t="str">
        <f t="shared" si="3"/>
        <v>INSTRUMENT_LTI_INSTRMNT</v>
      </c>
      <c r="B224" s="50"/>
      <c r="C224" t="s">
        <v>127</v>
      </c>
      <c r="D224" t="s">
        <v>402</v>
      </c>
      <c r="E224" t="s">
        <v>6</v>
      </c>
      <c r="F224" t="s">
        <v>20</v>
      </c>
      <c r="G224" t="s">
        <v>129</v>
      </c>
      <c r="H224" t="s">
        <v>227</v>
      </c>
      <c r="J224" t="s">
        <v>29</v>
      </c>
      <c r="K224" s="15">
        <v>45450</v>
      </c>
      <c r="L224" t="s">
        <v>20</v>
      </c>
      <c r="M224" t="str">
        <f>IF(COUNTIFS(PRO_LT_SCORECARD_FLEX_VALIDATIO!$K:$K, _xlfn.CONCAT(C224,D224), PRO_LT_SCORECARD_FLEX_VALIDATIO!$G:$G, "KO") &gt; 0, "NOK", "OK")</f>
        <v>NOK</v>
      </c>
      <c r="Q224" t="s">
        <v>19</v>
      </c>
      <c r="R224" t="s">
        <v>131</v>
      </c>
      <c r="S224" t="s">
        <v>132</v>
      </c>
      <c r="T224" t="s">
        <v>132</v>
      </c>
      <c r="U224" t="s">
        <v>132</v>
      </c>
      <c r="V224" t="s">
        <v>132</v>
      </c>
      <c r="W224" t="s">
        <v>132</v>
      </c>
      <c r="X224" t="s">
        <v>5</v>
      </c>
      <c r="Y224">
        <f>_xlfn.IFNA(_xlfn.XLOOKUP(D224,[1]Especificação!$G:$G,[1]Especificação!$C:$C),0)</f>
        <v>0</v>
      </c>
    </row>
    <row r="225" spans="1:25" ht="15">
      <c r="A225" s="50" t="str">
        <f t="shared" si="3"/>
        <v>INSTRUMENT_LTV</v>
      </c>
      <c r="B225" s="50"/>
      <c r="C225" t="s">
        <v>127</v>
      </c>
      <c r="D225" t="s">
        <v>403</v>
      </c>
      <c r="E225" t="s">
        <v>14</v>
      </c>
      <c r="F225" t="s">
        <v>36</v>
      </c>
      <c r="G225" t="s">
        <v>145</v>
      </c>
      <c r="H225" t="s">
        <v>158</v>
      </c>
      <c r="J225" t="s">
        <v>29</v>
      </c>
      <c r="K225" s="15">
        <v>45450</v>
      </c>
      <c r="L225" t="s">
        <v>36</v>
      </c>
      <c r="M225" t="str">
        <f>IF(COUNTIFS(PRO_LT_SCORECARD_FLEX_VALIDATIO!$K:$K, _xlfn.CONCAT(C225,D225), PRO_LT_SCORECARD_FLEX_VALIDATIO!$G:$G, "KO") &gt; 0, "NOK", "OK")</f>
        <v>NOK</v>
      </c>
      <c r="Q225" t="s">
        <v>8</v>
      </c>
      <c r="R225" t="s">
        <v>131</v>
      </c>
      <c r="S225" t="s">
        <v>132</v>
      </c>
      <c r="T225" t="s">
        <v>131</v>
      </c>
      <c r="U225" t="s">
        <v>132</v>
      </c>
      <c r="V225" t="s">
        <v>132</v>
      </c>
      <c r="W225" t="s">
        <v>132</v>
      </c>
      <c r="X225" t="s">
        <v>5</v>
      </c>
      <c r="Y225">
        <f>_xlfn.IFNA(_xlfn.XLOOKUP(D225,[1]Especificação!$G:$G,[1]Especificação!$C:$C),0)</f>
        <v>0</v>
      </c>
    </row>
    <row r="226" spans="1:25" ht="15">
      <c r="A226" s="50" t="str">
        <f t="shared" si="3"/>
        <v>INSTRUMENT_LTV_INCPTN</v>
      </c>
      <c r="B226" s="50"/>
      <c r="C226" t="s">
        <v>127</v>
      </c>
      <c r="D226" t="s">
        <v>404</v>
      </c>
      <c r="E226" t="s">
        <v>14</v>
      </c>
      <c r="F226" t="s">
        <v>38</v>
      </c>
      <c r="G226" t="s">
        <v>129</v>
      </c>
      <c r="H226" t="s">
        <v>130</v>
      </c>
      <c r="J226" t="s">
        <v>26</v>
      </c>
      <c r="K226" s="15">
        <v>45450</v>
      </c>
      <c r="L226" t="s">
        <v>38</v>
      </c>
      <c r="M226" t="str">
        <f>IF(COUNTIFS(PRO_LT_SCORECARD_FLEX_VALIDATIO!$K:$K, _xlfn.CONCAT(C226,D226), PRO_LT_SCORECARD_FLEX_VALIDATIO!$G:$G, "KO") &gt; 0, "NOK", "OK")</f>
        <v>NOK</v>
      </c>
      <c r="Q226" t="s">
        <v>30</v>
      </c>
      <c r="R226" t="s">
        <v>131</v>
      </c>
      <c r="S226" t="s">
        <v>132</v>
      </c>
      <c r="T226" t="s">
        <v>131</v>
      </c>
      <c r="U226" t="s">
        <v>132</v>
      </c>
      <c r="V226" t="s">
        <v>132</v>
      </c>
      <c r="W226" t="s">
        <v>132</v>
      </c>
      <c r="X226" t="s">
        <v>5</v>
      </c>
      <c r="Y226">
        <f>_xlfn.IFNA(_xlfn.XLOOKUP(D226,[1]Especificação!$G:$G,[1]Especificação!$C:$C),0)</f>
        <v>0</v>
      </c>
    </row>
    <row r="227" spans="1:25" ht="15">
      <c r="A227" s="50" t="str">
        <f t="shared" si="3"/>
        <v>INSTRUMENT_LTV_NPE</v>
      </c>
      <c r="B227" s="50"/>
      <c r="C227" t="s">
        <v>127</v>
      </c>
      <c r="D227" s="11" t="s">
        <v>405</v>
      </c>
      <c r="E227" t="s">
        <v>14</v>
      </c>
      <c r="F227" t="s">
        <v>33</v>
      </c>
      <c r="G227" t="s">
        <v>129</v>
      </c>
      <c r="H227" t="s">
        <v>224</v>
      </c>
      <c r="J227" t="s">
        <v>32</v>
      </c>
      <c r="K227" s="15">
        <v>45450</v>
      </c>
      <c r="L227" t="s">
        <v>33</v>
      </c>
      <c r="M227" t="str">
        <f>IF(COUNTIFS(PRO_LT_SCORECARD_FLEX_VALIDATIO!$K:$K, _xlfn.CONCAT(C227,D227), PRO_LT_SCORECARD_FLEX_VALIDATIO!$G:$G, "KO") &gt; 0, "NOK", "OK")</f>
        <v>NOK</v>
      </c>
      <c r="O227" s="15">
        <v>44697</v>
      </c>
      <c r="P227" s="15">
        <v>44708</v>
      </c>
      <c r="Q227" t="s">
        <v>39</v>
      </c>
      <c r="R227" t="s">
        <v>131</v>
      </c>
      <c r="S227" t="s">
        <v>132</v>
      </c>
      <c r="T227" t="s">
        <v>132</v>
      </c>
      <c r="U227" t="s">
        <v>132</v>
      </c>
      <c r="V227" t="s">
        <v>132</v>
      </c>
      <c r="W227" t="s">
        <v>132</v>
      </c>
      <c r="X227" t="s">
        <v>5</v>
      </c>
      <c r="Y227">
        <f>_xlfn.IFNA(_xlfn.XLOOKUP(D227,[1]Especificação!$G:$G,[1]Especificação!$C:$C),0)</f>
        <v>0</v>
      </c>
    </row>
    <row r="228" spans="1:25" ht="15">
      <c r="A228" s="50" t="str">
        <f t="shared" si="3"/>
        <v>ENTITY_LVRG</v>
      </c>
      <c r="B228" s="50"/>
      <c r="C228" t="s">
        <v>139</v>
      </c>
      <c r="D228" t="s">
        <v>406</v>
      </c>
      <c r="E228" t="s">
        <v>14</v>
      </c>
      <c r="F228" t="s">
        <v>38</v>
      </c>
      <c r="G228" t="s">
        <v>129</v>
      </c>
      <c r="H228" t="s">
        <v>130</v>
      </c>
      <c r="J228" t="s">
        <v>26</v>
      </c>
      <c r="K228" s="15">
        <v>45450</v>
      </c>
      <c r="L228" t="s">
        <v>38</v>
      </c>
      <c r="M228" t="str">
        <f>IF(COUNTIFS(PRO_LT_SCORECARD_FLEX_VALIDATIO!$K:$K, _xlfn.CONCAT(C228,D228), PRO_LT_SCORECARD_FLEX_VALIDATIO!$G:$G, "KO") &gt; 0, "NOK", "OK")</f>
        <v>NOK</v>
      </c>
      <c r="O228" s="15"/>
      <c r="P228" s="15"/>
      <c r="Q228" t="s">
        <v>30</v>
      </c>
      <c r="R228" t="s">
        <v>131</v>
      </c>
      <c r="S228" t="s">
        <v>132</v>
      </c>
      <c r="T228" t="s">
        <v>132</v>
      </c>
      <c r="U228" t="s">
        <v>132</v>
      </c>
      <c r="V228" t="s">
        <v>132</v>
      </c>
      <c r="W228" t="s">
        <v>131</v>
      </c>
      <c r="X228" t="s">
        <v>5</v>
      </c>
      <c r="Y228" t="str">
        <f>_xlfn.IFNA(_xlfn.XLOOKUP(D228,[1]Especificação!$G:$G,[1]Especificação!$C:$C),0)</f>
        <v>F1. Fora âmbito | Campos concluídos - Sem necessidade de espec.</v>
      </c>
    </row>
    <row r="229" spans="1:25" ht="15">
      <c r="A229" s="50" t="str">
        <f t="shared" si="3"/>
        <v>INSTRUMENT_LVRG_FNNC_FLG</v>
      </c>
      <c r="B229" s="50"/>
      <c r="C229" t="s">
        <v>127</v>
      </c>
      <c r="D229" t="s">
        <v>407</v>
      </c>
      <c r="E229" t="s">
        <v>6</v>
      </c>
      <c r="F229" t="s">
        <v>38</v>
      </c>
      <c r="G229" t="s">
        <v>129</v>
      </c>
      <c r="H229" t="s">
        <v>130</v>
      </c>
      <c r="J229" t="s">
        <v>26</v>
      </c>
      <c r="K229" s="15">
        <v>45958</v>
      </c>
      <c r="L229" t="s">
        <v>38</v>
      </c>
      <c r="M229" t="str">
        <f>IF(COUNTIFS(PRO_LT_SCORECARD_FLEX_VALIDATIO!$K:$K, _xlfn.CONCAT(C229,D229), PRO_LT_SCORECARD_FLEX_VALIDATIO!$G:$G, "KO") &gt; 0, "NOK", "OK")</f>
        <v>NOK</v>
      </c>
      <c r="O229" s="15"/>
      <c r="P229" s="15">
        <v>45958</v>
      </c>
      <c r="Q229" t="s">
        <v>30</v>
      </c>
      <c r="R229" t="s">
        <v>131</v>
      </c>
      <c r="S229" t="s">
        <v>132</v>
      </c>
      <c r="T229" t="s">
        <v>132</v>
      </c>
      <c r="U229" t="s">
        <v>132</v>
      </c>
      <c r="V229" t="s">
        <v>132</v>
      </c>
      <c r="W229" t="s">
        <v>131</v>
      </c>
      <c r="X229" t="s">
        <v>143</v>
      </c>
      <c r="Y229" t="str">
        <f>_xlfn.IFNA(_xlfn.XLOOKUP(D229,[1]Especificação!$G:$G,[1]Especificação!$C:$C),0)</f>
        <v>B2. Re-especificação de campos complexos - Resto</v>
      </c>
    </row>
    <row r="230" spans="1:25" ht="15">
      <c r="A230" s="50" t="str">
        <f t="shared" si="3"/>
        <v>ENTITY_LVRG_PRVS</v>
      </c>
      <c r="B230" s="50"/>
      <c r="C230" t="s">
        <v>139</v>
      </c>
      <c r="D230" t="s">
        <v>408</v>
      </c>
      <c r="E230" t="s">
        <v>14</v>
      </c>
      <c r="F230" t="s">
        <v>38</v>
      </c>
      <c r="G230" t="s">
        <v>129</v>
      </c>
      <c r="H230" t="s">
        <v>130</v>
      </c>
      <c r="J230" t="s">
        <v>26</v>
      </c>
      <c r="K230" s="15">
        <v>45450</v>
      </c>
      <c r="L230" t="s">
        <v>38</v>
      </c>
      <c r="M230" t="str">
        <f>IF(COUNTIFS(PRO_LT_SCORECARD_FLEX_VALIDATIO!$K:$K, _xlfn.CONCAT(C230,D230), PRO_LT_SCORECARD_FLEX_VALIDATIO!$G:$G, "KO") &gt; 0, "NOK", "OK")</f>
        <v>NOK</v>
      </c>
      <c r="O230" s="15"/>
      <c r="P230" s="15"/>
      <c r="Q230" t="s">
        <v>30</v>
      </c>
      <c r="R230" t="s">
        <v>131</v>
      </c>
      <c r="S230" t="s">
        <v>132</v>
      </c>
      <c r="T230" t="s">
        <v>132</v>
      </c>
      <c r="U230" t="s">
        <v>132</v>
      </c>
      <c r="V230" t="s">
        <v>132</v>
      </c>
      <c r="W230" t="s">
        <v>131</v>
      </c>
      <c r="X230" t="s">
        <v>5</v>
      </c>
      <c r="Y230" t="str">
        <f>_xlfn.IFNA(_xlfn.XLOOKUP(D230,[1]Especificação!$G:$G,[1]Especificação!$C:$C),0)</f>
        <v>F1. Fora âmbito | Campos concluídos - Sem necessidade de espec.</v>
      </c>
    </row>
    <row r="231" spans="1:25" ht="15">
      <c r="A231" s="50" t="str">
        <f t="shared" si="3"/>
        <v>INSTR_ENTITY_MN_ENTTY_ID</v>
      </c>
      <c r="B231" s="50"/>
      <c r="C231" t="s">
        <v>187</v>
      </c>
      <c r="D231" s="11" t="s">
        <v>409</v>
      </c>
      <c r="E231" t="s">
        <v>14</v>
      </c>
      <c r="F231" t="s">
        <v>35</v>
      </c>
      <c r="G231" t="s">
        <v>129</v>
      </c>
      <c r="H231" s="86" t="s">
        <v>410</v>
      </c>
      <c r="I231" t="s">
        <v>411</v>
      </c>
      <c r="J231" t="s">
        <v>32</v>
      </c>
      <c r="K231" s="15">
        <v>45958</v>
      </c>
      <c r="L231" t="s">
        <v>35</v>
      </c>
      <c r="M231" t="str">
        <f>IF(COUNTIFS(PRO_LT_SCORECARD_FLEX_VALIDATIO!$K:$K, _xlfn.CONCAT(C231,D231), PRO_LT_SCORECARD_FLEX_VALIDATIO!$G:$G, "KO") &gt; 0, "NOK", "OK")</f>
        <v>OK</v>
      </c>
      <c r="O231" s="15"/>
      <c r="P231" s="15">
        <v>45958</v>
      </c>
      <c r="Q231" t="s">
        <v>39</v>
      </c>
      <c r="R231" t="s">
        <v>131</v>
      </c>
      <c r="S231" t="s">
        <v>132</v>
      </c>
      <c r="T231" t="s">
        <v>131</v>
      </c>
      <c r="U231" t="s">
        <v>132</v>
      </c>
      <c r="V231" t="s">
        <v>132</v>
      </c>
      <c r="W231" t="s">
        <v>131</v>
      </c>
      <c r="X231" t="s">
        <v>136</v>
      </c>
      <c r="Y231" t="str">
        <f>_xlfn.IFNA(_xlfn.XLOOKUP(D231,[1]Especificação!$G:$G,[1]Especificação!$C:$C),0)</f>
        <v>C. Campos em testes ou c/ incidências</v>
      </c>
    </row>
    <row r="232" spans="1:25" ht="15">
      <c r="A232" s="50" t="str">
        <f t="shared" si="3"/>
        <v>PROTECTION_MN_PRPS</v>
      </c>
      <c r="B232" s="50"/>
      <c r="C232" t="s">
        <v>156</v>
      </c>
      <c r="D232" t="s">
        <v>412</v>
      </c>
      <c r="E232" t="s">
        <v>6</v>
      </c>
      <c r="F232" t="s">
        <v>36</v>
      </c>
      <c r="G232" t="s">
        <v>145</v>
      </c>
      <c r="H232" t="s">
        <v>158</v>
      </c>
      <c r="J232" t="s">
        <v>29</v>
      </c>
      <c r="K232" s="15">
        <v>45450</v>
      </c>
      <c r="L232" t="s">
        <v>36</v>
      </c>
      <c r="M232" t="str">
        <f>IF(COUNTIFS(PRO_LT_SCORECARD_FLEX_VALIDATIO!$K:$K, _xlfn.CONCAT(C232,D232), PRO_LT_SCORECARD_FLEX_VALIDATIO!$G:$G, "KO") &gt; 0, "NOK", "OK")</f>
        <v>NOK</v>
      </c>
      <c r="O232" s="15"/>
      <c r="P232" s="15"/>
      <c r="Q232" t="s">
        <v>8</v>
      </c>
      <c r="R232" t="s">
        <v>131</v>
      </c>
      <c r="S232" t="s">
        <v>132</v>
      </c>
      <c r="T232" t="s">
        <v>132</v>
      </c>
      <c r="U232" t="s">
        <v>132</v>
      </c>
      <c r="V232" t="s">
        <v>132</v>
      </c>
      <c r="W232" t="s">
        <v>132</v>
      </c>
      <c r="X232" t="s">
        <v>5</v>
      </c>
      <c r="Y232">
        <f>_xlfn.IFNA(_xlfn.XLOOKUP(D232,[1]Especificação!$G:$G,[1]Especificação!$C:$C),0)</f>
        <v>0</v>
      </c>
    </row>
    <row r="233" spans="1:25" ht="15">
      <c r="A233" s="50" t="str">
        <f t="shared" si="3"/>
        <v>ENTITY_MNTHL_INCM</v>
      </c>
      <c r="B233" s="50"/>
      <c r="C233" t="s">
        <v>139</v>
      </c>
      <c r="D233" t="s">
        <v>413</v>
      </c>
      <c r="E233" t="s">
        <v>6</v>
      </c>
      <c r="F233" t="s">
        <v>20</v>
      </c>
      <c r="G233" t="s">
        <v>129</v>
      </c>
      <c r="H233" t="s">
        <v>363</v>
      </c>
      <c r="J233" t="s">
        <v>29</v>
      </c>
      <c r="K233" s="15">
        <v>45450</v>
      </c>
      <c r="L233" t="s">
        <v>20</v>
      </c>
      <c r="M233" t="str">
        <f>IF(COUNTIFS(PRO_LT_SCORECARD_FLEX_VALIDATIO!$K:$K, _xlfn.CONCAT(C233,D233), PRO_LT_SCORECARD_FLEX_VALIDATIO!$G:$G, "KO") &gt; 0, "NOK", "OK")</f>
        <v>OK</v>
      </c>
      <c r="O233" s="15"/>
      <c r="P233" s="15"/>
      <c r="Q233" t="s">
        <v>13</v>
      </c>
      <c r="R233" t="s">
        <v>131</v>
      </c>
      <c r="S233" t="s">
        <v>132</v>
      </c>
      <c r="T233" t="s">
        <v>132</v>
      </c>
      <c r="U233" t="s">
        <v>132</v>
      </c>
      <c r="V233" t="s">
        <v>132</v>
      </c>
      <c r="W233" t="s">
        <v>132</v>
      </c>
      <c r="X233" t="s">
        <v>5</v>
      </c>
      <c r="Y233">
        <f>_xlfn.IFNA(_xlfn.XLOOKUP(D233,[1]Especificação!$G:$G,[1]Especificação!$C:$C),0)</f>
        <v>0</v>
      </c>
    </row>
    <row r="234" spans="1:25" ht="15">
      <c r="A234" s="50" t="str">
        <f t="shared" si="3"/>
        <v>ENTITY_MNTHL_INCM_SLR</v>
      </c>
      <c r="B234" s="50"/>
      <c r="C234" t="s">
        <v>139</v>
      </c>
      <c r="D234" t="s">
        <v>414</v>
      </c>
      <c r="E234" t="s">
        <v>6</v>
      </c>
      <c r="F234" t="s">
        <v>20</v>
      </c>
      <c r="G234" t="s">
        <v>145</v>
      </c>
      <c r="H234" t="s">
        <v>363</v>
      </c>
      <c r="J234" t="s">
        <v>29</v>
      </c>
      <c r="K234" s="15">
        <v>45450</v>
      </c>
      <c r="L234" t="s">
        <v>20</v>
      </c>
      <c r="M234" t="str">
        <f>IF(COUNTIFS(PRO_LT_SCORECARD_FLEX_VALIDATIO!$K:$K, _xlfn.CONCAT(C234,D234), PRO_LT_SCORECARD_FLEX_VALIDATIO!$G:$G, "KO") &gt; 0, "NOK", "OK")</f>
        <v>NOK</v>
      </c>
      <c r="O234" s="15"/>
      <c r="P234" s="15"/>
      <c r="Q234" t="s">
        <v>13</v>
      </c>
      <c r="R234" t="s">
        <v>131</v>
      </c>
      <c r="S234" t="s">
        <v>132</v>
      </c>
      <c r="T234" t="s">
        <v>132</v>
      </c>
      <c r="U234" t="s">
        <v>132</v>
      </c>
      <c r="V234" t="s">
        <v>132</v>
      </c>
      <c r="W234" t="s">
        <v>132</v>
      </c>
      <c r="X234" t="s">
        <v>5</v>
      </c>
      <c r="Y234">
        <f>_xlfn.IFNA(_xlfn.XLOOKUP(D234,[1]Especificação!$G:$G,[1]Especificação!$C:$C),0)</f>
        <v>0</v>
      </c>
    </row>
    <row r="235" spans="1:25" ht="15">
      <c r="A235" s="50" t="str">
        <f t="shared" si="3"/>
        <v>ENTITY_MNTHL_TRNVR</v>
      </c>
      <c r="B235" s="50"/>
      <c r="C235" t="s">
        <v>139</v>
      </c>
      <c r="D235" t="s">
        <v>415</v>
      </c>
      <c r="E235" t="s">
        <v>6</v>
      </c>
      <c r="F235" t="s">
        <v>20</v>
      </c>
      <c r="G235" t="s">
        <v>129</v>
      </c>
      <c r="H235" t="s">
        <v>363</v>
      </c>
      <c r="J235" t="s">
        <v>29</v>
      </c>
      <c r="K235" s="15">
        <v>45952</v>
      </c>
      <c r="L235" t="s">
        <v>36</v>
      </c>
      <c r="M235" t="str">
        <f>IF(COUNTIFS(PRO_LT_SCORECARD_FLEX_VALIDATIO!$K:$K, _xlfn.CONCAT(C235,D235), PRO_LT_SCORECARD_FLEX_VALIDATIO!$G:$G, "KO") &gt; 0, "NOK", "OK")</f>
        <v>NOK</v>
      </c>
      <c r="N235" t="s">
        <v>1309</v>
      </c>
      <c r="O235" s="15"/>
      <c r="P235" s="15">
        <v>45952</v>
      </c>
      <c r="Q235" t="s">
        <v>13</v>
      </c>
      <c r="R235" t="s">
        <v>131</v>
      </c>
      <c r="S235" t="s">
        <v>132</v>
      </c>
      <c r="T235" t="s">
        <v>132</v>
      </c>
      <c r="U235" t="s">
        <v>132</v>
      </c>
      <c r="V235" t="s">
        <v>132</v>
      </c>
      <c r="W235" t="s">
        <v>132</v>
      </c>
      <c r="X235" t="s">
        <v>5</v>
      </c>
      <c r="Y235">
        <f>_xlfn.IFNA(_xlfn.XLOOKUP(D235,[1]Especificação!$G:$G,[1]Especificação!$C:$C),0)</f>
        <v>0</v>
      </c>
    </row>
    <row r="236" spans="1:25" ht="15">
      <c r="A236" s="50" t="str">
        <f t="shared" si="3"/>
        <v>INSTRUMENT_MTRTY_LTST_FRBRNC_MSR_C19</v>
      </c>
      <c r="B236" s="50"/>
      <c r="C236" t="s">
        <v>127</v>
      </c>
      <c r="D236" t="s">
        <v>416</v>
      </c>
      <c r="E236" t="s">
        <v>6</v>
      </c>
      <c r="F236" t="s">
        <v>38</v>
      </c>
      <c r="G236" t="s">
        <v>129</v>
      </c>
      <c r="H236" t="s">
        <v>130</v>
      </c>
      <c r="J236" t="s">
        <v>26</v>
      </c>
      <c r="K236" s="15">
        <v>45450</v>
      </c>
      <c r="L236" t="s">
        <v>38</v>
      </c>
      <c r="M236" t="str">
        <f>IF(COUNTIFS(PRO_LT_SCORECARD_FLEX_VALIDATIO!$K:$K, _xlfn.CONCAT(C236,D236), PRO_LT_SCORECARD_FLEX_VALIDATIO!$G:$G, "KO") &gt; 0, "NOK", "OK")</f>
        <v>OK</v>
      </c>
      <c r="O236" s="15"/>
      <c r="P236" s="15"/>
      <c r="Q236" t="s">
        <v>30</v>
      </c>
      <c r="R236" t="s">
        <v>131</v>
      </c>
      <c r="S236" t="s">
        <v>132</v>
      </c>
      <c r="T236" t="s">
        <v>132</v>
      </c>
      <c r="U236" t="s">
        <v>132</v>
      </c>
      <c r="V236" t="s">
        <v>132</v>
      </c>
      <c r="W236" t="s">
        <v>132</v>
      </c>
      <c r="X236" t="s">
        <v>5</v>
      </c>
      <c r="Y236">
        <f>_xlfn.IFNA(_xlfn.XLOOKUP(D236,[1]Especificação!$G:$G,[1]Especificação!$C:$C),0)</f>
        <v>0</v>
      </c>
    </row>
    <row r="237" spans="1:25" ht="15">
      <c r="A237" s="50" t="str">
        <f t="shared" si="3"/>
        <v>INSTRUMENT_MTRTY_LTST_MRTR_C19</v>
      </c>
      <c r="B237" s="50"/>
      <c r="C237" t="s">
        <v>127</v>
      </c>
      <c r="D237" t="s">
        <v>417</v>
      </c>
      <c r="E237" t="s">
        <v>6</v>
      </c>
      <c r="F237" t="s">
        <v>38</v>
      </c>
      <c r="G237" t="s">
        <v>129</v>
      </c>
      <c r="H237" t="s">
        <v>130</v>
      </c>
      <c r="J237" t="s">
        <v>26</v>
      </c>
      <c r="K237" s="15">
        <v>45450</v>
      </c>
      <c r="L237" t="s">
        <v>38</v>
      </c>
      <c r="M237" t="str">
        <f>IF(COUNTIFS(PRO_LT_SCORECARD_FLEX_VALIDATIO!$K:$K, _xlfn.CONCAT(C237,D237), PRO_LT_SCORECARD_FLEX_VALIDATIO!$G:$G, "KO") &gt; 0, "NOK", "OK")</f>
        <v>OK</v>
      </c>
      <c r="O237" s="15"/>
      <c r="P237" s="15"/>
      <c r="Q237" t="s">
        <v>30</v>
      </c>
      <c r="R237" t="s">
        <v>131</v>
      </c>
      <c r="S237" t="s">
        <v>132</v>
      </c>
      <c r="T237" t="s">
        <v>132</v>
      </c>
      <c r="U237" t="s">
        <v>132</v>
      </c>
      <c r="V237" t="s">
        <v>132</v>
      </c>
      <c r="W237" t="s">
        <v>132</v>
      </c>
      <c r="X237" t="s">
        <v>5</v>
      </c>
      <c r="Y237">
        <f>_xlfn.IFNA(_xlfn.XLOOKUP(D237,[1]Especificação!$G:$G,[1]Especificação!$C:$C),0)</f>
        <v>0</v>
      </c>
    </row>
    <row r="238" spans="1:25" ht="15">
      <c r="A238" s="50" t="str">
        <f t="shared" si="3"/>
        <v>INSTRUMENT_NMBR_FRBRNC_MSRS</v>
      </c>
      <c r="B238" s="50"/>
      <c r="C238" t="s">
        <v>127</v>
      </c>
      <c r="D238" t="s">
        <v>418</v>
      </c>
      <c r="E238" t="s">
        <v>14</v>
      </c>
      <c r="F238" t="s">
        <v>38</v>
      </c>
      <c r="G238" t="s">
        <v>129</v>
      </c>
      <c r="H238" t="s">
        <v>130</v>
      </c>
      <c r="J238" t="s">
        <v>26</v>
      </c>
      <c r="K238" s="15">
        <v>45450</v>
      </c>
      <c r="L238" t="s">
        <v>38</v>
      </c>
      <c r="M238" t="str">
        <f>IF(COUNTIFS(PRO_LT_SCORECARD_FLEX_VALIDATIO!$K:$K, _xlfn.CONCAT(C238,D238), PRO_LT_SCORECARD_FLEX_VALIDATIO!$G:$G, "KO") &gt; 0, "NOK", "OK")</f>
        <v>NOK</v>
      </c>
      <c r="O238" s="15"/>
      <c r="P238" s="15"/>
      <c r="Q238" t="s">
        <v>30</v>
      </c>
      <c r="R238" t="s">
        <v>131</v>
      </c>
      <c r="S238" t="s">
        <v>132</v>
      </c>
      <c r="T238" t="s">
        <v>132</v>
      </c>
      <c r="U238" t="s">
        <v>132</v>
      </c>
      <c r="V238" t="s">
        <v>132</v>
      </c>
      <c r="W238" t="s">
        <v>131</v>
      </c>
      <c r="X238" t="s">
        <v>5</v>
      </c>
      <c r="Y238" t="str">
        <f>_xlfn.IFNA(_xlfn.XLOOKUP(D238,[1]Especificação!$G:$G,[1]Especificação!$C:$C),0)</f>
        <v>F1. Fora âmbito | Campos concluídos - Sem necessidade de espec.</v>
      </c>
    </row>
    <row r="239" spans="1:25" ht="15">
      <c r="A239" s="50" t="str">
        <f t="shared" si="3"/>
        <v>ENTITY_NT_INCM</v>
      </c>
      <c r="B239" s="50"/>
      <c r="C239" t="s">
        <v>139</v>
      </c>
      <c r="D239" t="s">
        <v>419</v>
      </c>
      <c r="E239" t="s">
        <v>14</v>
      </c>
      <c r="F239" t="s">
        <v>25</v>
      </c>
      <c r="G239" t="s">
        <v>129</v>
      </c>
      <c r="H239" t="s">
        <v>141</v>
      </c>
      <c r="I239" t="s">
        <v>142</v>
      </c>
      <c r="J239" t="s">
        <v>29</v>
      </c>
      <c r="K239" s="15">
        <v>45450</v>
      </c>
      <c r="L239" t="s">
        <v>25</v>
      </c>
      <c r="M239" t="str">
        <f>IF(COUNTIFS(PRO_LT_SCORECARD_FLEX_VALIDATIO!$K:$K, _xlfn.CONCAT(C239,D239), PRO_LT_SCORECARD_FLEX_VALIDATIO!$G:$G, "KO") &gt; 0, "NOK", "OK")</f>
        <v>NOK</v>
      </c>
      <c r="O239" s="15"/>
      <c r="P239" s="15"/>
      <c r="Q239" t="s">
        <v>13</v>
      </c>
      <c r="R239" t="s">
        <v>131</v>
      </c>
      <c r="S239" t="s">
        <v>132</v>
      </c>
      <c r="T239" t="s">
        <v>132</v>
      </c>
      <c r="U239" t="s">
        <v>132</v>
      </c>
      <c r="V239" t="s">
        <v>132</v>
      </c>
      <c r="W239" t="s">
        <v>131</v>
      </c>
      <c r="X239" t="s">
        <v>143</v>
      </c>
      <c r="Y239" t="str">
        <f>_xlfn.IFNA(_xlfn.XLOOKUP(D239,[1]Especificação!$G:$G,[1]Especificação!$C:$C),0)</f>
        <v>F4. Fora âmbito | Re-especificação de campos complexos - Dem. Fin. CIB</v>
      </c>
    </row>
    <row r="240" spans="1:25" ht="15">
      <c r="A240" s="50" t="str">
        <f t="shared" si="3"/>
        <v>ENTITY_NT_INCM_PRVS</v>
      </c>
      <c r="B240" s="50"/>
      <c r="C240" t="s">
        <v>139</v>
      </c>
      <c r="D240" t="s">
        <v>420</v>
      </c>
      <c r="E240" t="s">
        <v>14</v>
      </c>
      <c r="F240" t="s">
        <v>25</v>
      </c>
      <c r="G240" t="s">
        <v>129</v>
      </c>
      <c r="H240" t="s">
        <v>141</v>
      </c>
      <c r="I240" t="s">
        <v>142</v>
      </c>
      <c r="J240" t="s">
        <v>29</v>
      </c>
      <c r="K240" s="15">
        <v>45450</v>
      </c>
      <c r="L240" t="s">
        <v>25</v>
      </c>
      <c r="M240" t="str">
        <f>IF(COUNTIFS(PRO_LT_SCORECARD_FLEX_VALIDATIO!$K:$K, _xlfn.CONCAT(C240,D240), PRO_LT_SCORECARD_FLEX_VALIDATIO!$G:$G, "KO") &gt; 0, "NOK", "OK")</f>
        <v>NOK</v>
      </c>
      <c r="O240" s="15"/>
      <c r="P240" s="15"/>
      <c r="Q240" t="s">
        <v>13</v>
      </c>
      <c r="R240" t="s">
        <v>131</v>
      </c>
      <c r="S240" t="s">
        <v>132</v>
      </c>
      <c r="T240" t="s">
        <v>132</v>
      </c>
      <c r="U240" t="s">
        <v>132</v>
      </c>
      <c r="V240" t="s">
        <v>132</v>
      </c>
      <c r="W240" t="s">
        <v>131</v>
      </c>
      <c r="X240" t="s">
        <v>143</v>
      </c>
      <c r="Y240" t="str">
        <f>_xlfn.IFNA(_xlfn.XLOOKUP(D240,[1]Especificação!$G:$G,[1]Especificação!$C:$C),0)</f>
        <v>F4. Fora âmbito | Re-especificação de campos complexos - Dem. Fin. CIB</v>
      </c>
    </row>
    <row r="241" spans="1:25" ht="15">
      <c r="A241" s="50" t="str">
        <f t="shared" si="3"/>
        <v>INSTRUMENT_RWA_MTHD</v>
      </c>
      <c r="B241" s="50"/>
      <c r="C241" t="s">
        <v>127</v>
      </c>
      <c r="D241" s="10" t="s">
        <v>421</v>
      </c>
      <c r="E241" t="s">
        <v>14</v>
      </c>
      <c r="F241" t="s">
        <v>33</v>
      </c>
      <c r="G241" t="s">
        <v>129</v>
      </c>
      <c r="H241" t="s">
        <v>262</v>
      </c>
      <c r="I241" t="s">
        <v>422</v>
      </c>
      <c r="J241" t="s">
        <v>26</v>
      </c>
      <c r="K241" s="15">
        <v>45463</v>
      </c>
      <c r="L241" t="s">
        <v>38</v>
      </c>
      <c r="M241" t="str">
        <f>IF(COUNTIFS(PRO_LT_SCORECARD_FLEX_VALIDATIO!$K:$K, _xlfn.CONCAT(C241,D241), PRO_LT_SCORECARD_FLEX_VALIDATIO!$G:$G, "KO") &gt; 0, "NOK", "OK")</f>
        <v>NOK</v>
      </c>
      <c r="N241" t="s">
        <v>423</v>
      </c>
      <c r="O241" s="15"/>
      <c r="P241" s="15">
        <v>45463</v>
      </c>
      <c r="Q241" t="s">
        <v>30</v>
      </c>
      <c r="R241" t="s">
        <v>131</v>
      </c>
      <c r="S241" t="s">
        <v>132</v>
      </c>
      <c r="T241" t="s">
        <v>132</v>
      </c>
      <c r="U241" t="s">
        <v>132</v>
      </c>
      <c r="V241" t="s">
        <v>132</v>
      </c>
      <c r="W241" t="s">
        <v>131</v>
      </c>
      <c r="X241" t="s">
        <v>5</v>
      </c>
      <c r="Y241" t="str">
        <f>_xlfn.IFNA(_xlfn.XLOOKUP(D241,[1]Especificação!$G:$G,[1]Especificação!$C:$C),0)</f>
        <v>F1. Fora âmbito | Campos concluídos - Sem necessidade de espec.</v>
      </c>
    </row>
    <row r="242" spans="1:25" ht="15">
      <c r="A242" s="50" t="str">
        <f t="shared" si="3"/>
        <v>INSTRUMENT_OBSRVD_AGNT_ID</v>
      </c>
      <c r="B242" s="50"/>
      <c r="C242" t="s">
        <v>127</v>
      </c>
      <c r="D242" t="s">
        <v>424</v>
      </c>
      <c r="E242" t="s">
        <v>14</v>
      </c>
      <c r="F242" t="s">
        <v>38</v>
      </c>
      <c r="G242" t="s">
        <v>129</v>
      </c>
      <c r="H242" t="s">
        <v>130</v>
      </c>
      <c r="J242" t="s">
        <v>26</v>
      </c>
      <c r="K242" s="15">
        <v>45450</v>
      </c>
      <c r="L242" t="s">
        <v>38</v>
      </c>
      <c r="M242" t="str">
        <f>IF(COUNTIFS(PRO_LT_SCORECARD_FLEX_VALIDATIO!$K:$K, _xlfn.CONCAT(C242,D242), PRO_LT_SCORECARD_FLEX_VALIDATIO!$G:$G, "KO") &gt; 0, "NOK", "OK")</f>
        <v>OK</v>
      </c>
      <c r="O242" s="15"/>
      <c r="P242" s="15"/>
      <c r="Q242" t="s">
        <v>30</v>
      </c>
      <c r="R242" t="s">
        <v>131</v>
      </c>
      <c r="S242" t="s">
        <v>132</v>
      </c>
      <c r="T242" t="s">
        <v>132</v>
      </c>
      <c r="U242" t="s">
        <v>132</v>
      </c>
      <c r="V242" t="s">
        <v>132</v>
      </c>
      <c r="W242" t="s">
        <v>131</v>
      </c>
      <c r="X242" t="s">
        <v>5</v>
      </c>
      <c r="Y242" t="str">
        <f>_xlfn.IFNA(_xlfn.XLOOKUP(D242,[1]Especificação!$G:$G,[1]Especificação!$C:$C),0)</f>
        <v>F1. Fora âmbito | Campos concluídos - Sem necessidade de espec.</v>
      </c>
    </row>
    <row r="243" spans="1:25" ht="15">
      <c r="A243" s="50" t="str">
        <f t="shared" si="3"/>
        <v>INSTRUMENT_OBSRVD_AGNT_NM</v>
      </c>
      <c r="B243" s="50"/>
      <c r="C243" t="s">
        <v>127</v>
      </c>
      <c r="D243" t="s">
        <v>425</v>
      </c>
      <c r="E243" t="s">
        <v>14</v>
      </c>
      <c r="F243" t="s">
        <v>38</v>
      </c>
      <c r="G243" t="s">
        <v>129</v>
      </c>
      <c r="H243" t="s">
        <v>130</v>
      </c>
      <c r="J243" t="s">
        <v>26</v>
      </c>
      <c r="K243" s="15">
        <v>45450</v>
      </c>
      <c r="L243" t="s">
        <v>38</v>
      </c>
      <c r="M243" t="str">
        <f>IF(COUNTIFS(PRO_LT_SCORECARD_FLEX_VALIDATIO!$K:$K, _xlfn.CONCAT(C243,D243), PRO_LT_SCORECARD_FLEX_VALIDATIO!$G:$G, "KO") &gt; 0, "NOK", "OK")</f>
        <v>OK</v>
      </c>
      <c r="O243" s="15"/>
      <c r="P243" s="15"/>
      <c r="Q243" t="s">
        <v>30</v>
      </c>
      <c r="R243" t="s">
        <v>131</v>
      </c>
      <c r="S243" t="s">
        <v>132</v>
      </c>
      <c r="T243" t="s">
        <v>132</v>
      </c>
      <c r="U243" t="s">
        <v>132</v>
      </c>
      <c r="V243" t="s">
        <v>132</v>
      </c>
      <c r="W243" t="s">
        <v>131</v>
      </c>
      <c r="X243" t="s">
        <v>5</v>
      </c>
      <c r="Y243" t="str">
        <f>_xlfn.IFNA(_xlfn.XLOOKUP(D243,[1]Especificação!$G:$G,[1]Especificação!$C:$C),0)</f>
        <v>F1. Fora âmbito | Campos concluídos - Sem necessidade de espec.</v>
      </c>
    </row>
    <row r="244" spans="1:25" ht="15">
      <c r="A244" s="50" t="str">
        <f t="shared" si="3"/>
        <v>INSTRUMENT_OFF_BLNC_SHT_AMNT_INSTRMNT</v>
      </c>
      <c r="B244" s="50"/>
      <c r="C244" t="s">
        <v>127</v>
      </c>
      <c r="D244" t="s">
        <v>426</v>
      </c>
      <c r="E244" t="s">
        <v>14</v>
      </c>
      <c r="F244" t="s">
        <v>36</v>
      </c>
      <c r="G244" t="s">
        <v>145</v>
      </c>
      <c r="H244" t="s">
        <v>158</v>
      </c>
      <c r="J244" t="s">
        <v>29</v>
      </c>
      <c r="K244" s="15">
        <v>45958</v>
      </c>
      <c r="L244" t="s">
        <v>38</v>
      </c>
      <c r="M244" t="str">
        <f>IF(COUNTIFS(PRO_LT_SCORECARD_FLEX_VALIDATIO!$K:$K, _xlfn.CONCAT(C244,D244), PRO_LT_SCORECARD_FLEX_VALIDATIO!$G:$G, "KO") &gt; 0, "NOK", "OK")</f>
        <v>NOK</v>
      </c>
      <c r="O244" s="15"/>
      <c r="P244" s="15">
        <v>45958</v>
      </c>
      <c r="Q244" t="s">
        <v>8</v>
      </c>
      <c r="R244" t="s">
        <v>131</v>
      </c>
      <c r="S244" t="s">
        <v>131</v>
      </c>
      <c r="T244" t="s">
        <v>132</v>
      </c>
      <c r="U244" t="s">
        <v>132</v>
      </c>
      <c r="V244" t="s">
        <v>131</v>
      </c>
      <c r="W244" t="s">
        <v>131</v>
      </c>
      <c r="X244" t="s">
        <v>136</v>
      </c>
      <c r="Y244" t="str">
        <f>_xlfn.IFNA(_xlfn.XLOOKUP(D244,[1]Especificação!$G:$G,[1]Especificação!$C:$C),0)</f>
        <v>D. Campos com NOK controlos Corporativos</v>
      </c>
    </row>
    <row r="245" spans="1:25" ht="15">
      <c r="A245" s="50" t="str">
        <f t="shared" si="3"/>
        <v>INSTRUMENT_OFF_BLNC_SHT_AMNT_INSTRMNT_PRVS</v>
      </c>
      <c r="B245" s="50"/>
      <c r="C245" t="s">
        <v>127</v>
      </c>
      <c r="D245" s="10" t="s">
        <v>427</v>
      </c>
      <c r="E245" t="s">
        <v>14</v>
      </c>
      <c r="F245" t="s">
        <v>35</v>
      </c>
      <c r="G245" t="s">
        <v>129</v>
      </c>
      <c r="H245" t="s">
        <v>293</v>
      </c>
      <c r="I245" t="s">
        <v>428</v>
      </c>
      <c r="J245" t="s">
        <v>32</v>
      </c>
      <c r="K245" s="15">
        <v>45952</v>
      </c>
      <c r="L245" t="s">
        <v>38</v>
      </c>
      <c r="M245" t="str">
        <f>IF(COUNTIFS(PRO_LT_SCORECARD_FLEX_VALIDATIO!$K:$K, _xlfn.CONCAT(C245,D245), PRO_LT_SCORECARD_FLEX_VALIDATIO!$G:$G, "KO") &gt; 0, "NOK", "OK")</f>
        <v>OK</v>
      </c>
      <c r="O245" s="15">
        <v>45471</v>
      </c>
      <c r="P245" s="15">
        <v>45952</v>
      </c>
      <c r="Q245" t="s">
        <v>24</v>
      </c>
      <c r="R245" t="s">
        <v>131</v>
      </c>
      <c r="S245" t="s">
        <v>132</v>
      </c>
      <c r="T245" t="s">
        <v>132</v>
      </c>
      <c r="U245" t="s">
        <v>132</v>
      </c>
      <c r="V245" t="s">
        <v>132</v>
      </c>
      <c r="W245" t="s">
        <v>132</v>
      </c>
      <c r="X245" t="s">
        <v>5</v>
      </c>
      <c r="Y245">
        <f>_xlfn.IFNA(_xlfn.XLOOKUP(D245,[1]Especificação!$G:$G,[1]Especificação!$C:$C),0)</f>
        <v>0</v>
      </c>
    </row>
    <row r="246" spans="1:25" ht="15">
      <c r="A246" s="50" t="str">
        <f t="shared" si="3"/>
        <v>PROTECTION_DT_ORGNL_PRTCTN_VL</v>
      </c>
      <c r="B246" s="50"/>
      <c r="C246" t="s">
        <v>156</v>
      </c>
      <c r="D246" s="10" t="s">
        <v>43</v>
      </c>
      <c r="E246" t="s">
        <v>14</v>
      </c>
      <c r="F246" t="s">
        <v>35</v>
      </c>
      <c r="G246" t="s">
        <v>145</v>
      </c>
      <c r="H246" t="s">
        <v>180</v>
      </c>
      <c r="I246" t="s">
        <v>181</v>
      </c>
      <c r="J246" t="s">
        <v>26</v>
      </c>
      <c r="K246" s="15">
        <v>45670</v>
      </c>
      <c r="L246" t="s">
        <v>38</v>
      </c>
      <c r="M246" t="str">
        <f>IF(COUNTIFS(PRO_LT_SCORECARD_FLEX_VALIDATIO!$K:$K, _xlfn.CONCAT(C246,D246), PRO_LT_SCORECARD_FLEX_VALIDATIO!$G:$G, "KO") &gt; 0, "NOK", "OK")</f>
        <v>NOK</v>
      </c>
      <c r="O246" s="15">
        <v>45555</v>
      </c>
      <c r="P246" s="15">
        <v>45646</v>
      </c>
      <c r="Q246" t="s">
        <v>24</v>
      </c>
      <c r="R246" t="s">
        <v>131</v>
      </c>
      <c r="S246" t="s">
        <v>132</v>
      </c>
      <c r="T246" t="s">
        <v>132</v>
      </c>
      <c r="U246" t="s">
        <v>132</v>
      </c>
      <c r="V246" t="s">
        <v>132</v>
      </c>
      <c r="W246" t="s">
        <v>132</v>
      </c>
      <c r="X246" t="s">
        <v>5</v>
      </c>
      <c r="Y246">
        <f>_xlfn.IFNA(_xlfn.XLOOKUP(D246,[1]Especificação!$G:$G,[1]Especificação!$C:$C),0)</f>
        <v>0</v>
      </c>
    </row>
    <row r="247" spans="1:25" ht="15">
      <c r="A247" s="50" t="str">
        <f t="shared" si="3"/>
        <v>ENTITY_OSI_ID</v>
      </c>
      <c r="B247" s="50"/>
      <c r="C247" t="s">
        <v>139</v>
      </c>
      <c r="D247" t="s">
        <v>429</v>
      </c>
      <c r="E247" t="s">
        <v>14</v>
      </c>
      <c r="F247" t="s">
        <v>38</v>
      </c>
      <c r="G247" t="s">
        <v>129</v>
      </c>
      <c r="H247" t="s">
        <v>130</v>
      </c>
      <c r="J247" t="s">
        <v>26</v>
      </c>
      <c r="K247" s="15">
        <v>45450</v>
      </c>
      <c r="L247" t="s">
        <v>38</v>
      </c>
      <c r="M247" t="str">
        <f>IF(COUNTIFS(PRO_LT_SCORECARD_FLEX_VALIDATIO!$K:$K, _xlfn.CONCAT(C247,D247), PRO_LT_SCORECARD_FLEX_VALIDATIO!$G:$G, "KO") &gt; 0, "NOK", "OK")</f>
        <v>OK</v>
      </c>
      <c r="O247" s="15"/>
      <c r="P247" s="15"/>
      <c r="Q247" t="s">
        <v>30</v>
      </c>
      <c r="R247" t="s">
        <v>131</v>
      </c>
      <c r="S247" t="s">
        <v>132</v>
      </c>
      <c r="T247" t="s">
        <v>132</v>
      </c>
      <c r="U247" t="s">
        <v>132</v>
      </c>
      <c r="V247" t="s">
        <v>132</v>
      </c>
      <c r="W247" t="s">
        <v>131</v>
      </c>
      <c r="X247" t="s">
        <v>5</v>
      </c>
      <c r="Y247" t="str">
        <f>_xlfn.IFNA(_xlfn.XLOOKUP(D247,[1]Especificação!$G:$G,[1]Especificação!$C:$C),0)</f>
        <v>F1. Fora âmbito | Campos concluídos - Sem necessidade de espec.</v>
      </c>
    </row>
    <row r="248" spans="1:25" ht="15">
      <c r="A248" s="50" t="str">
        <f t="shared" si="3"/>
        <v>INSTRUMENT_OTSTNDNG_NMNL_AMNT_INSTRMNT</v>
      </c>
      <c r="B248" s="50"/>
      <c r="C248" t="s">
        <v>127</v>
      </c>
      <c r="D248" t="s">
        <v>430</v>
      </c>
      <c r="E248" t="s">
        <v>14</v>
      </c>
      <c r="F248" t="s">
        <v>36</v>
      </c>
      <c r="G248" t="s">
        <v>145</v>
      </c>
      <c r="H248" t="s">
        <v>158</v>
      </c>
      <c r="J248" t="s">
        <v>29</v>
      </c>
      <c r="K248" s="15">
        <v>45952</v>
      </c>
      <c r="L248" t="s">
        <v>38</v>
      </c>
      <c r="M248" t="str">
        <f>IF(COUNTIFS(PRO_LT_SCORECARD_FLEX_VALIDATIO!$K:$K, _xlfn.CONCAT(C248,D248), PRO_LT_SCORECARD_FLEX_VALIDATIO!$G:$G, "KO") &gt; 0, "NOK", "OK")</f>
        <v>NOK</v>
      </c>
      <c r="O248" s="15"/>
      <c r="P248" s="15">
        <v>45952</v>
      </c>
      <c r="Q248" t="s">
        <v>8</v>
      </c>
      <c r="R248" t="s">
        <v>131</v>
      </c>
      <c r="S248" t="s">
        <v>132</v>
      </c>
      <c r="T248" t="s">
        <v>132</v>
      </c>
      <c r="U248" t="s">
        <v>132</v>
      </c>
      <c r="V248" t="s">
        <v>132</v>
      </c>
      <c r="W248" t="s">
        <v>131</v>
      </c>
      <c r="X248" t="s">
        <v>136</v>
      </c>
      <c r="Y248" t="str">
        <f>_xlfn.IFNA(_xlfn.XLOOKUP(D248,[1]Especificação!$G:$G,[1]Especificação!$C:$C),0)</f>
        <v>D. Campos com NOK controlos Corporativos</v>
      </c>
    </row>
    <row r="249" spans="1:25" ht="15">
      <c r="A249" s="50" t="str">
        <f t="shared" si="3"/>
        <v>INSTRUMENT_DT_FRBRNC_STTS_PRVS</v>
      </c>
      <c r="B249" s="50"/>
      <c r="C249" t="s">
        <v>127</v>
      </c>
      <c r="D249" t="s">
        <v>431</v>
      </c>
      <c r="E249" t="s">
        <v>14</v>
      </c>
      <c r="F249" t="s">
        <v>25</v>
      </c>
      <c r="G249" t="s">
        <v>145</v>
      </c>
      <c r="H249" t="s">
        <v>432</v>
      </c>
      <c r="I249" t="s">
        <v>313</v>
      </c>
      <c r="J249" t="s">
        <v>29</v>
      </c>
      <c r="K249" s="15">
        <v>45450</v>
      </c>
      <c r="L249" t="s">
        <v>25</v>
      </c>
      <c r="M249" t="str">
        <f>IF(COUNTIFS(PRO_LT_SCORECARD_FLEX_VALIDATIO!$K:$K, _xlfn.CONCAT(C249,D249), PRO_LT_SCORECARD_FLEX_VALIDATIO!$G:$G, "KO") &gt; 0, "NOK", "OK")</f>
        <v>NOK</v>
      </c>
      <c r="Q249" t="s">
        <v>13</v>
      </c>
      <c r="R249" t="s">
        <v>131</v>
      </c>
      <c r="S249" t="s">
        <v>132</v>
      </c>
      <c r="T249" t="s">
        <v>132</v>
      </c>
      <c r="U249" t="s">
        <v>132</v>
      </c>
      <c r="V249" t="s">
        <v>132</v>
      </c>
      <c r="W249" t="s">
        <v>132</v>
      </c>
      <c r="X249" t="s">
        <v>5</v>
      </c>
      <c r="Y249">
        <f>_xlfn.IFNA(_xlfn.XLOOKUP(D249,[1]Especificação!$G:$G,[1]Especificação!$C:$C),0)</f>
        <v>0</v>
      </c>
    </row>
    <row r="250" spans="1:25" ht="15">
      <c r="A250" s="50" t="str">
        <f t="shared" si="3"/>
        <v>ENTITY_OWND_BY_SPNSR</v>
      </c>
      <c r="B250" s="50"/>
      <c r="C250" t="s">
        <v>139</v>
      </c>
      <c r="D250" t="s">
        <v>433</v>
      </c>
      <c r="E250" t="s">
        <v>6</v>
      </c>
      <c r="F250" t="s">
        <v>38</v>
      </c>
      <c r="G250" t="s">
        <v>129</v>
      </c>
      <c r="H250" t="s">
        <v>130</v>
      </c>
      <c r="J250" t="s">
        <v>26</v>
      </c>
      <c r="K250" s="15">
        <v>45450</v>
      </c>
      <c r="L250" t="s">
        <v>38</v>
      </c>
      <c r="M250" t="str">
        <f>IF(COUNTIFS(PRO_LT_SCORECARD_FLEX_VALIDATIO!$K:$K, _xlfn.CONCAT(C250,D250), PRO_LT_SCORECARD_FLEX_VALIDATIO!$G:$G, "KO") &gt; 0, "NOK", "OK")</f>
        <v>OK</v>
      </c>
      <c r="O250" s="15"/>
      <c r="P250" s="15"/>
      <c r="Q250" t="s">
        <v>30</v>
      </c>
      <c r="R250" t="s">
        <v>131</v>
      </c>
      <c r="S250" t="s">
        <v>132</v>
      </c>
      <c r="T250" t="s">
        <v>132</v>
      </c>
      <c r="U250" t="s">
        <v>132</v>
      </c>
      <c r="V250" t="s">
        <v>132</v>
      </c>
      <c r="W250" t="s">
        <v>131</v>
      </c>
      <c r="X250" t="s">
        <v>143</v>
      </c>
      <c r="Y250" t="str">
        <f>_xlfn.IFNA(_xlfn.XLOOKUP(D250,[1]Especificação!$G:$G,[1]Especificação!$C:$C),0)</f>
        <v>F3. Fora âmbito | Fonte Manual LF</v>
      </c>
    </row>
    <row r="251" spans="1:25" ht="15">
      <c r="A251" s="50" t="str">
        <f t="shared" si="3"/>
        <v>INSTRUMENT_PBLC_GRNT_SCHM_C19_NM</v>
      </c>
      <c r="B251" s="50"/>
      <c r="C251" t="s">
        <v>127</v>
      </c>
      <c r="D251" t="s">
        <v>434</v>
      </c>
      <c r="E251" t="s">
        <v>6</v>
      </c>
      <c r="F251" t="s">
        <v>38</v>
      </c>
      <c r="G251" t="s">
        <v>129</v>
      </c>
      <c r="H251" t="s">
        <v>130</v>
      </c>
      <c r="J251" t="s">
        <v>26</v>
      </c>
      <c r="K251" s="15">
        <v>45450</v>
      </c>
      <c r="L251" t="s">
        <v>38</v>
      </c>
      <c r="M251" t="str">
        <f>IF(COUNTIFS(PRO_LT_SCORECARD_FLEX_VALIDATIO!$K:$K, _xlfn.CONCAT(C251,D251), PRO_LT_SCORECARD_FLEX_VALIDATIO!$G:$G, "KO") &gt; 0, "NOK", "OK")</f>
        <v>OK</v>
      </c>
      <c r="O251" s="15"/>
      <c r="P251" s="15"/>
      <c r="Q251" t="s">
        <v>30</v>
      </c>
      <c r="R251" t="s">
        <v>131</v>
      </c>
      <c r="S251" t="s">
        <v>132</v>
      </c>
      <c r="T251" t="s">
        <v>132</v>
      </c>
      <c r="U251" t="s">
        <v>132</v>
      </c>
      <c r="V251" t="s">
        <v>132</v>
      </c>
      <c r="W251" t="s">
        <v>132</v>
      </c>
      <c r="X251" t="s">
        <v>5</v>
      </c>
      <c r="Y251">
        <f>_xlfn.IFNA(_xlfn.XLOOKUP(D251,[1]Especificação!$G:$G,[1]Especificação!$C:$C),0)</f>
        <v>0</v>
      </c>
    </row>
    <row r="252" spans="1:25" ht="15">
      <c r="A252" s="50" t="str">
        <f t="shared" si="3"/>
        <v>INSTRUMENT_PD_CRR_INCPTN</v>
      </c>
      <c r="B252" s="50"/>
      <c r="C252" t="s">
        <v>127</v>
      </c>
      <c r="D252" t="s">
        <v>435</v>
      </c>
      <c r="E252" t="s">
        <v>14</v>
      </c>
      <c r="F252" t="s">
        <v>35</v>
      </c>
      <c r="G252" t="s">
        <v>129</v>
      </c>
      <c r="H252" s="86" t="s">
        <v>293</v>
      </c>
      <c r="I252" t="s">
        <v>436</v>
      </c>
      <c r="J252" t="s">
        <v>29</v>
      </c>
      <c r="K252" s="15">
        <v>45958</v>
      </c>
      <c r="L252" t="s">
        <v>35</v>
      </c>
      <c r="M252" t="str">
        <f>IF(COUNTIFS(PRO_LT_SCORECARD_FLEX_VALIDATIO!$K:$K, _xlfn.CONCAT(C252,D252), PRO_LT_SCORECARD_FLEX_VALIDATIO!$G:$G, "KO") &gt; 0, "NOK", "OK")</f>
        <v>NOK</v>
      </c>
      <c r="O252" s="15"/>
      <c r="P252" s="15">
        <v>45958</v>
      </c>
      <c r="Q252" t="s">
        <v>13</v>
      </c>
      <c r="R252" t="s">
        <v>131</v>
      </c>
      <c r="S252" t="s">
        <v>132</v>
      </c>
      <c r="T252" t="s">
        <v>132</v>
      </c>
      <c r="U252" t="s">
        <v>132</v>
      </c>
      <c r="V252" t="s">
        <v>132</v>
      </c>
      <c r="W252" t="s">
        <v>131</v>
      </c>
      <c r="X252" t="s">
        <v>136</v>
      </c>
      <c r="Y252" t="str">
        <f>_xlfn.IFNA(_xlfn.XLOOKUP(D252,[1]Especificação!$G:$G,[1]Especificação!$C:$C),0)</f>
        <v>C. Campos em testes ou c/ incidências</v>
      </c>
    </row>
    <row r="253" spans="1:25" ht="15">
      <c r="A253" s="50" t="str">
        <f t="shared" si="3"/>
        <v>ENTITY_PD_CRR_RD</v>
      </c>
      <c r="B253" s="50"/>
      <c r="C253" t="s">
        <v>139</v>
      </c>
      <c r="D253" t="s">
        <v>437</v>
      </c>
      <c r="E253" t="s">
        <v>14</v>
      </c>
      <c r="F253" t="s">
        <v>36</v>
      </c>
      <c r="G253" t="s">
        <v>145</v>
      </c>
      <c r="H253" t="s">
        <v>158</v>
      </c>
      <c r="J253" t="s">
        <v>29</v>
      </c>
      <c r="K253" s="15">
        <v>45958</v>
      </c>
      <c r="L253" t="s">
        <v>38</v>
      </c>
      <c r="M253" t="str">
        <f>IF(COUNTIFS(PRO_LT_SCORECARD_FLEX_VALIDATIO!$K:$K, _xlfn.CONCAT(C253,D253), PRO_LT_SCORECARD_FLEX_VALIDATIO!$G:$G, "KO") &gt; 0, "NOK", "OK")</f>
        <v>OK</v>
      </c>
      <c r="O253" s="15"/>
      <c r="P253" s="15">
        <v>45958</v>
      </c>
      <c r="Q253" t="s">
        <v>8</v>
      </c>
      <c r="R253" t="s">
        <v>131</v>
      </c>
      <c r="S253" t="s">
        <v>132</v>
      </c>
      <c r="T253" t="s">
        <v>132</v>
      </c>
      <c r="U253" t="s">
        <v>132</v>
      </c>
      <c r="V253" t="s">
        <v>132</v>
      </c>
      <c r="W253" t="s">
        <v>131</v>
      </c>
      <c r="X253" t="s">
        <v>136</v>
      </c>
      <c r="Y253" t="str">
        <f>_xlfn.IFNA(_xlfn.XLOOKUP(D253,[1]Especificação!$G:$G,[1]Especificação!$C:$C),0)</f>
        <v>D. Campos com NOK controlos Corporativos</v>
      </c>
    </row>
    <row r="254" spans="1:25" ht="15">
      <c r="A254" s="50" t="str">
        <f t="shared" si="3"/>
        <v>INSTRUMENT_PD_CRR_RD</v>
      </c>
      <c r="B254" s="50"/>
      <c r="C254" t="s">
        <v>127</v>
      </c>
      <c r="D254" t="s">
        <v>437</v>
      </c>
      <c r="E254" t="s">
        <v>14</v>
      </c>
      <c r="F254" t="s">
        <v>36</v>
      </c>
      <c r="G254" t="s">
        <v>145</v>
      </c>
      <c r="H254" t="s">
        <v>158</v>
      </c>
      <c r="J254" t="s">
        <v>29</v>
      </c>
      <c r="K254" s="15">
        <v>45958</v>
      </c>
      <c r="L254" t="s">
        <v>38</v>
      </c>
      <c r="M254" t="str">
        <f>IF(COUNTIFS(PRO_LT_SCORECARD_FLEX_VALIDATIO!$K:$K, _xlfn.CONCAT(C254,D254), PRO_LT_SCORECARD_FLEX_VALIDATIO!$G:$G, "KO") &gt; 0, "NOK", "OK")</f>
        <v>NOK</v>
      </c>
      <c r="O254" s="15"/>
      <c r="P254" s="15">
        <v>45958</v>
      </c>
      <c r="Q254" t="s">
        <v>8</v>
      </c>
      <c r="R254" t="s">
        <v>131</v>
      </c>
      <c r="S254" t="s">
        <v>132</v>
      </c>
      <c r="T254" t="s">
        <v>132</v>
      </c>
      <c r="U254" t="s">
        <v>132</v>
      </c>
      <c r="V254" t="s">
        <v>132</v>
      </c>
      <c r="W254" t="s">
        <v>131</v>
      </c>
      <c r="X254" t="s">
        <v>136</v>
      </c>
      <c r="Y254" t="str">
        <f>_xlfn.IFNA(_xlfn.XLOOKUP(D254,[1]Especificação!$G:$G,[1]Especificação!$C:$C),0)</f>
        <v>D. Campos com NOK controlos Corporativos</v>
      </c>
    </row>
    <row r="255" spans="1:25" ht="15">
      <c r="A255" s="50" t="str">
        <f t="shared" si="3"/>
        <v>ENTITY_PD_CRR_RD_T1</v>
      </c>
      <c r="B255" s="50"/>
      <c r="C255" t="s">
        <v>139</v>
      </c>
      <c r="D255" s="11" t="s">
        <v>438</v>
      </c>
      <c r="E255" t="s">
        <v>6</v>
      </c>
      <c r="F255" t="s">
        <v>33</v>
      </c>
      <c r="G255" t="s">
        <v>145</v>
      </c>
      <c r="H255" t="s">
        <v>369</v>
      </c>
      <c r="J255" t="s">
        <v>32</v>
      </c>
      <c r="K255" s="15">
        <v>45958</v>
      </c>
      <c r="L255" t="s">
        <v>55</v>
      </c>
      <c r="M255" t="str">
        <f>IF(COUNTIFS(PRO_LT_SCORECARD_FLEX_VALIDATIO!$K:$K, _xlfn.CONCAT(C255,D255), PRO_LT_SCORECARD_FLEX_VALIDATIO!$G:$G, "KO") &gt; 0, "NOK", "OK")</f>
        <v>NOK</v>
      </c>
      <c r="N255" t="s">
        <v>1332</v>
      </c>
      <c r="O255" s="15">
        <v>44750</v>
      </c>
      <c r="P255" s="15">
        <v>45267</v>
      </c>
      <c r="Q255" t="s">
        <v>24</v>
      </c>
      <c r="R255" t="s">
        <v>131</v>
      </c>
      <c r="S255" t="s">
        <v>132</v>
      </c>
      <c r="T255" t="s">
        <v>132</v>
      </c>
      <c r="U255" t="s">
        <v>132</v>
      </c>
      <c r="V255" t="s">
        <v>132</v>
      </c>
      <c r="W255" t="s">
        <v>132</v>
      </c>
      <c r="X255" t="s">
        <v>5</v>
      </c>
      <c r="Y255">
        <f>_xlfn.IFNA(_xlfn.XLOOKUP(D255,[1]Especificação!$G:$G,[1]Especificação!$C:$C),0)</f>
        <v>0</v>
      </c>
    </row>
    <row r="256" spans="1:25" ht="15">
      <c r="A256" s="50" t="str">
        <f t="shared" si="3"/>
        <v>INSTRUMENT_PD_CRR_RD_T1</v>
      </c>
      <c r="B256" s="50"/>
      <c r="C256" t="s">
        <v>127</v>
      </c>
      <c r="D256" s="11" t="s">
        <v>438</v>
      </c>
      <c r="E256" t="s">
        <v>6</v>
      </c>
      <c r="F256" t="s">
        <v>33</v>
      </c>
      <c r="G256" t="s">
        <v>145</v>
      </c>
      <c r="H256" t="s">
        <v>369</v>
      </c>
      <c r="J256" t="s">
        <v>32</v>
      </c>
      <c r="K256" s="15">
        <v>45958</v>
      </c>
      <c r="L256" t="s">
        <v>55</v>
      </c>
      <c r="M256" t="str">
        <f>IF(COUNTIFS(PRO_LT_SCORECARD_FLEX_VALIDATIO!$K:$K, _xlfn.CONCAT(C256,D256), PRO_LT_SCORECARD_FLEX_VALIDATIO!$G:$G, "KO") &gt; 0, "NOK", "OK")</f>
        <v>OK</v>
      </c>
      <c r="N256" t="s">
        <v>1332</v>
      </c>
      <c r="O256" s="15">
        <v>45281</v>
      </c>
      <c r="P256" s="15">
        <v>45330</v>
      </c>
      <c r="Q256" t="s">
        <v>24</v>
      </c>
      <c r="R256" t="s">
        <v>131</v>
      </c>
      <c r="S256" t="s">
        <v>132</v>
      </c>
      <c r="T256" t="s">
        <v>132</v>
      </c>
      <c r="U256" t="s">
        <v>132</v>
      </c>
      <c r="V256" t="s">
        <v>132</v>
      </c>
      <c r="W256" t="s">
        <v>132</v>
      </c>
      <c r="X256" t="s">
        <v>5</v>
      </c>
      <c r="Y256">
        <f>_xlfn.IFNA(_xlfn.XLOOKUP(D256,[1]Especificação!$G:$G,[1]Especificação!$C:$C),0)</f>
        <v>0</v>
      </c>
    </row>
    <row r="257" spans="1:25" ht="15">
      <c r="A257" s="50" t="str">
        <f t="shared" si="3"/>
        <v>INSTRUMENT_PD_IFRS9_12M_INCPTN</v>
      </c>
      <c r="B257" s="50"/>
      <c r="C257" t="s">
        <v>127</v>
      </c>
      <c r="D257" t="s">
        <v>439</v>
      </c>
      <c r="E257" t="s">
        <v>14</v>
      </c>
      <c r="F257" t="s">
        <v>38</v>
      </c>
      <c r="G257" t="s">
        <v>129</v>
      </c>
      <c r="H257" t="s">
        <v>130</v>
      </c>
      <c r="J257" t="s">
        <v>26</v>
      </c>
      <c r="K257" s="15">
        <v>45450</v>
      </c>
      <c r="L257" t="s">
        <v>38</v>
      </c>
      <c r="M257" t="str">
        <f>IF(COUNTIFS(PRO_LT_SCORECARD_FLEX_VALIDATIO!$K:$K, _xlfn.CONCAT(C257,D257), PRO_LT_SCORECARD_FLEX_VALIDATIO!$G:$G, "KO") &gt; 0, "NOK", "OK")</f>
        <v>OK</v>
      </c>
      <c r="N257" t="s">
        <v>356</v>
      </c>
      <c r="O257" s="15"/>
      <c r="P257" s="15"/>
      <c r="Q257" t="s">
        <v>30</v>
      </c>
      <c r="R257" t="s">
        <v>131</v>
      </c>
      <c r="S257" t="s">
        <v>132</v>
      </c>
      <c r="T257" t="s">
        <v>132</v>
      </c>
      <c r="U257" t="s">
        <v>132</v>
      </c>
      <c r="V257" t="s">
        <v>132</v>
      </c>
      <c r="W257" t="s">
        <v>131</v>
      </c>
      <c r="X257" t="s">
        <v>5</v>
      </c>
      <c r="Y257" t="str">
        <f>_xlfn.IFNA(_xlfn.XLOOKUP(D257,[1]Especificação!$G:$G,[1]Especificação!$C:$C),0)</f>
        <v>F1. Fora âmbito | Campos concluídos - Sem necessidade de espec.</v>
      </c>
    </row>
    <row r="258" spans="1:25" ht="15">
      <c r="A258" s="50" t="str">
        <f t="shared" si="3"/>
        <v>ENTITY_PD_IFRS9_12M_RD</v>
      </c>
      <c r="B258" s="50"/>
      <c r="C258" t="s">
        <v>139</v>
      </c>
      <c r="D258" t="s">
        <v>440</v>
      </c>
      <c r="E258" t="s">
        <v>14</v>
      </c>
      <c r="F258" t="s">
        <v>28</v>
      </c>
      <c r="G258" t="s">
        <v>145</v>
      </c>
      <c r="H258" t="s">
        <v>441</v>
      </c>
      <c r="J258" t="s">
        <v>29</v>
      </c>
      <c r="K258" s="15">
        <v>45958</v>
      </c>
      <c r="L258" t="s">
        <v>38</v>
      </c>
      <c r="M258" t="str">
        <f>IF(COUNTIFS(PRO_LT_SCORECARD_FLEX_VALIDATIO!$K:$K, _xlfn.CONCAT(C258,D258), PRO_LT_SCORECARD_FLEX_VALIDATIO!$G:$G, "KO") &gt; 0, "NOK", "OK")</f>
        <v>NOK</v>
      </c>
      <c r="N258" t="s">
        <v>356</v>
      </c>
      <c r="O258" s="15"/>
      <c r="P258" s="15">
        <v>45958</v>
      </c>
      <c r="Q258" t="s">
        <v>8</v>
      </c>
      <c r="R258" t="s">
        <v>131</v>
      </c>
      <c r="S258" t="s">
        <v>132</v>
      </c>
      <c r="T258" t="s">
        <v>132</v>
      </c>
      <c r="U258" t="s">
        <v>132</v>
      </c>
      <c r="V258" t="s">
        <v>132</v>
      </c>
      <c r="W258" t="s">
        <v>131</v>
      </c>
      <c r="X258" t="s">
        <v>136</v>
      </c>
      <c r="Y258" t="str">
        <f>_xlfn.IFNA(_xlfn.XLOOKUP(D258,[1]Especificação!$G:$G,[1]Especificação!$C:$C),0)</f>
        <v>D. Campos com NOK controlos Corporativos</v>
      </c>
    </row>
    <row r="259" spans="1:25" ht="15">
      <c r="A259" s="50" t="str">
        <f t="shared" si="3"/>
        <v>INSTRUMENT_PD_IFRS9_12M_RD</v>
      </c>
      <c r="B259" s="50"/>
      <c r="C259" t="s">
        <v>127</v>
      </c>
      <c r="D259" s="11" t="s">
        <v>440</v>
      </c>
      <c r="E259" t="s">
        <v>14</v>
      </c>
      <c r="F259" t="s">
        <v>36</v>
      </c>
      <c r="G259" t="s">
        <v>145</v>
      </c>
      <c r="J259" t="s">
        <v>32</v>
      </c>
      <c r="K259" s="15">
        <v>45958</v>
      </c>
      <c r="L259" t="s">
        <v>38</v>
      </c>
      <c r="M259" t="str">
        <f>IF(COUNTIFS(PRO_LT_SCORECARD_FLEX_VALIDATIO!$K:$K, _xlfn.CONCAT(C259,D259), PRO_LT_SCORECARD_FLEX_VALIDATIO!$G:$G, "KO") &gt; 0, "NOK", "OK")</f>
        <v>NOK</v>
      </c>
      <c r="N259" t="s">
        <v>356</v>
      </c>
      <c r="O259" s="15"/>
      <c r="P259" s="15">
        <v>45958</v>
      </c>
      <c r="Q259" t="s">
        <v>39</v>
      </c>
      <c r="R259" t="s">
        <v>131</v>
      </c>
      <c r="S259" t="s">
        <v>132</v>
      </c>
      <c r="T259" t="s">
        <v>132</v>
      </c>
      <c r="U259" t="s">
        <v>132</v>
      </c>
      <c r="V259" t="s">
        <v>132</v>
      </c>
      <c r="W259" t="s">
        <v>131</v>
      </c>
      <c r="X259" t="s">
        <v>136</v>
      </c>
      <c r="Y259" t="str">
        <f>_xlfn.IFNA(_xlfn.XLOOKUP(D259,[1]Especificação!$G:$G,[1]Especificação!$C:$C),0)</f>
        <v>D. Campos com NOK controlos Corporativos</v>
      </c>
    </row>
    <row r="260" spans="1:25" ht="15">
      <c r="A260" s="50" t="str">
        <f t="shared" si="3"/>
        <v>ENTITY_PD_IFRS9_12M_RD_T1</v>
      </c>
      <c r="B260" s="50"/>
      <c r="C260" t="s">
        <v>139</v>
      </c>
      <c r="D260" t="s">
        <v>442</v>
      </c>
      <c r="E260" t="s">
        <v>6</v>
      </c>
      <c r="F260" t="s">
        <v>36</v>
      </c>
      <c r="G260" t="s">
        <v>145</v>
      </c>
      <c r="H260" t="s">
        <v>158</v>
      </c>
      <c r="J260" t="s">
        <v>29</v>
      </c>
      <c r="K260" s="15">
        <v>45958</v>
      </c>
      <c r="L260" t="s">
        <v>55</v>
      </c>
      <c r="M260" t="str">
        <f>IF(COUNTIFS(PRO_LT_SCORECARD_FLEX_VALIDATIO!$K:$K, _xlfn.CONCAT(C260,D260), PRO_LT_SCORECARD_FLEX_VALIDATIO!$G:$G, "KO") &gt; 0, "NOK", "OK")</f>
        <v>NOK</v>
      </c>
      <c r="N260" t="s">
        <v>1333</v>
      </c>
      <c r="O260" s="15"/>
      <c r="P260" s="15"/>
      <c r="Q260" t="s">
        <v>8</v>
      </c>
      <c r="R260" t="s">
        <v>131</v>
      </c>
      <c r="S260" t="s">
        <v>132</v>
      </c>
      <c r="T260" t="s">
        <v>132</v>
      </c>
      <c r="U260" t="s">
        <v>132</v>
      </c>
      <c r="V260" t="s">
        <v>132</v>
      </c>
      <c r="W260" t="s">
        <v>132</v>
      </c>
      <c r="X260" t="s">
        <v>5</v>
      </c>
      <c r="Y260">
        <f>_xlfn.IFNA(_xlfn.XLOOKUP(D260,[1]Especificação!$G:$G,[1]Especificação!$C:$C),0)</f>
        <v>0</v>
      </c>
    </row>
    <row r="261" spans="1:25" ht="15">
      <c r="A261" s="50" t="str">
        <f t="shared" si="3"/>
        <v>INSTRUMENT_PD_IFRS9_12M_RD_T1</v>
      </c>
      <c r="B261" s="50"/>
      <c r="C261" t="s">
        <v>127</v>
      </c>
      <c r="D261" t="s">
        <v>442</v>
      </c>
      <c r="E261" t="s">
        <v>14</v>
      </c>
      <c r="F261" t="s">
        <v>36</v>
      </c>
      <c r="G261" t="s">
        <v>145</v>
      </c>
      <c r="H261" t="s">
        <v>158</v>
      </c>
      <c r="J261" t="s">
        <v>29</v>
      </c>
      <c r="K261" s="15">
        <v>45958</v>
      </c>
      <c r="L261" t="s">
        <v>38</v>
      </c>
      <c r="M261" t="str">
        <f>IF(COUNTIFS(PRO_LT_SCORECARD_FLEX_VALIDATIO!$K:$K, _xlfn.CONCAT(C261,D261), PRO_LT_SCORECARD_FLEX_VALIDATIO!$G:$G, "KO") &gt; 0, "NOK", "OK")</f>
        <v>NOK</v>
      </c>
      <c r="O261" s="15"/>
      <c r="P261" s="15">
        <v>45958</v>
      </c>
      <c r="Q261" t="s">
        <v>8</v>
      </c>
      <c r="R261" t="s">
        <v>131</v>
      </c>
      <c r="S261" t="s">
        <v>132</v>
      </c>
      <c r="T261" t="s">
        <v>132</v>
      </c>
      <c r="U261" t="s">
        <v>132</v>
      </c>
      <c r="V261" t="s">
        <v>132</v>
      </c>
      <c r="W261" t="s">
        <v>132</v>
      </c>
      <c r="X261" t="s">
        <v>5</v>
      </c>
      <c r="Y261">
        <f>_xlfn.IFNA(_xlfn.XLOOKUP(D261,[1]Especificação!$G:$G,[1]Especificação!$C:$C),0)</f>
        <v>0</v>
      </c>
    </row>
    <row r="262" spans="1:25" ht="15">
      <c r="A262" s="50" t="str">
        <f t="shared" ref="A262:A324" si="4">C262&amp;"_"&amp;D262</f>
        <v>INSTRUMENT_PD_IFRS9_LFTM_INCPTN</v>
      </c>
      <c r="B262" s="50"/>
      <c r="C262" t="s">
        <v>127</v>
      </c>
      <c r="D262" t="s">
        <v>443</v>
      </c>
      <c r="E262" t="s">
        <v>14</v>
      </c>
      <c r="F262" t="s">
        <v>38</v>
      </c>
      <c r="G262" t="s">
        <v>129</v>
      </c>
      <c r="H262" t="s">
        <v>130</v>
      </c>
      <c r="J262" t="s">
        <v>26</v>
      </c>
      <c r="K262" s="15">
        <v>45450</v>
      </c>
      <c r="L262" t="s">
        <v>38</v>
      </c>
      <c r="M262" t="str">
        <f>IF(COUNTIFS(PRO_LT_SCORECARD_FLEX_VALIDATIO!$K:$K, _xlfn.CONCAT(C262,D262), PRO_LT_SCORECARD_FLEX_VALIDATIO!$G:$G, "KO") &gt; 0, "NOK", "OK")</f>
        <v>OK</v>
      </c>
      <c r="N262" t="s">
        <v>356</v>
      </c>
      <c r="O262" s="15"/>
      <c r="P262" s="15"/>
      <c r="Q262" t="s">
        <v>30</v>
      </c>
      <c r="R262" t="s">
        <v>131</v>
      </c>
      <c r="S262" t="s">
        <v>132</v>
      </c>
      <c r="T262" t="s">
        <v>132</v>
      </c>
      <c r="U262" t="s">
        <v>132</v>
      </c>
      <c r="V262" t="s">
        <v>132</v>
      </c>
      <c r="W262" t="s">
        <v>131</v>
      </c>
      <c r="X262" t="s">
        <v>5</v>
      </c>
      <c r="Y262" t="str">
        <f>_xlfn.IFNA(_xlfn.XLOOKUP(D262,[1]Especificação!$G:$G,[1]Especificação!$C:$C),0)</f>
        <v>F1. Fora âmbito | Campos concluídos - Sem necessidade de espec.</v>
      </c>
    </row>
    <row r="263" spans="1:25" ht="15">
      <c r="A263" s="50" t="str">
        <f t="shared" si="4"/>
        <v>INSTRUMENT_PD_IFRS9_RMNNG_LFTM_INCPTN</v>
      </c>
      <c r="B263" s="50"/>
      <c r="C263" t="s">
        <v>127</v>
      </c>
      <c r="D263" t="s">
        <v>444</v>
      </c>
      <c r="E263" t="s">
        <v>14</v>
      </c>
      <c r="F263" t="s">
        <v>38</v>
      </c>
      <c r="G263" t="s">
        <v>129</v>
      </c>
      <c r="H263" t="s">
        <v>130</v>
      </c>
      <c r="J263" t="s">
        <v>26</v>
      </c>
      <c r="K263" s="15">
        <v>45450</v>
      </c>
      <c r="L263" t="s">
        <v>38</v>
      </c>
      <c r="M263" t="str">
        <f>IF(COUNTIFS(PRO_LT_SCORECARD_FLEX_VALIDATIO!$K:$K, _xlfn.CONCAT(C263,D263), PRO_LT_SCORECARD_FLEX_VALIDATIO!$G:$G, "KO") &gt; 0, "NOK", "OK")</f>
        <v>OK</v>
      </c>
      <c r="N263" t="s">
        <v>356</v>
      </c>
      <c r="O263" s="15"/>
      <c r="P263" s="15"/>
      <c r="Q263" t="s">
        <v>30</v>
      </c>
      <c r="R263" t="s">
        <v>131</v>
      </c>
      <c r="S263" t="s">
        <v>132</v>
      </c>
      <c r="T263" t="s">
        <v>132</v>
      </c>
      <c r="U263" t="s">
        <v>132</v>
      </c>
      <c r="V263" t="s">
        <v>132</v>
      </c>
      <c r="W263" t="s">
        <v>131</v>
      </c>
      <c r="X263" t="s">
        <v>5</v>
      </c>
      <c r="Y263" t="str">
        <f>_xlfn.IFNA(_xlfn.XLOOKUP(D263,[1]Especificação!$G:$G,[1]Especificação!$C:$C),0)</f>
        <v>F1. Fora âmbito | Campos concluídos - Sem necessidade de espec.</v>
      </c>
    </row>
    <row r="264" spans="1:25" ht="15">
      <c r="A264" s="50" t="str">
        <f t="shared" si="4"/>
        <v>INSTRUMENT_PD_IFRS9_RMNNG_LFTM_RD</v>
      </c>
      <c r="B264" s="50"/>
      <c r="C264" t="s">
        <v>127</v>
      </c>
      <c r="D264" t="s">
        <v>445</v>
      </c>
      <c r="E264" t="s">
        <v>14</v>
      </c>
      <c r="F264" t="s">
        <v>38</v>
      </c>
      <c r="G264" t="s">
        <v>129</v>
      </c>
      <c r="H264" t="s">
        <v>130</v>
      </c>
      <c r="J264" t="s">
        <v>26</v>
      </c>
      <c r="K264" s="15">
        <v>45450</v>
      </c>
      <c r="L264" t="s">
        <v>38</v>
      </c>
      <c r="M264" t="str">
        <f>IF(COUNTIFS(PRO_LT_SCORECARD_FLEX_VALIDATIO!$K:$K, _xlfn.CONCAT(C264,D264), PRO_LT_SCORECARD_FLEX_VALIDATIO!$G:$G, "KO") &gt; 0, "NOK", "OK")</f>
        <v>OK</v>
      </c>
      <c r="N264" t="s">
        <v>356</v>
      </c>
      <c r="O264" s="15"/>
      <c r="P264" s="15"/>
      <c r="Q264" t="s">
        <v>30</v>
      </c>
      <c r="R264" t="s">
        <v>131</v>
      </c>
      <c r="S264" t="s">
        <v>132</v>
      </c>
      <c r="T264" t="s">
        <v>132</v>
      </c>
      <c r="U264" t="s">
        <v>132</v>
      </c>
      <c r="V264" t="s">
        <v>132</v>
      </c>
      <c r="W264" t="s">
        <v>131</v>
      </c>
      <c r="X264" t="s">
        <v>5</v>
      </c>
      <c r="Y264" t="str">
        <f>_xlfn.IFNA(_xlfn.XLOOKUP(D264,[1]Especificação!$G:$G,[1]Especificação!$C:$C),0)</f>
        <v>F1. Fora âmbito | Campos concluídos - Sem necessidade de espec.</v>
      </c>
    </row>
    <row r="265" spans="1:25" ht="15">
      <c r="A265" s="50" t="str">
        <f t="shared" si="4"/>
        <v>INSTRUMENT_PMNT_PBLC_GRNT_SCHM_C19</v>
      </c>
      <c r="B265" s="50"/>
      <c r="C265" t="s">
        <v>127</v>
      </c>
      <c r="D265" t="s">
        <v>446</v>
      </c>
      <c r="E265" t="s">
        <v>6</v>
      </c>
      <c r="F265" t="s">
        <v>38</v>
      </c>
      <c r="G265" t="s">
        <v>129</v>
      </c>
      <c r="H265" t="s">
        <v>130</v>
      </c>
      <c r="J265" t="s">
        <v>26</v>
      </c>
      <c r="K265" s="15">
        <v>45450</v>
      </c>
      <c r="L265" t="s">
        <v>38</v>
      </c>
      <c r="M265" t="str">
        <f>IF(COUNTIFS(PRO_LT_SCORECARD_FLEX_VALIDATIO!$K:$K, _xlfn.CONCAT(C265,D265), PRO_LT_SCORECARD_FLEX_VALIDATIO!$G:$G, "KO") &gt; 0, "NOK", "OK")</f>
        <v>OK</v>
      </c>
      <c r="O265" s="15"/>
      <c r="P265" s="15"/>
      <c r="Q265" t="s">
        <v>30</v>
      </c>
      <c r="R265" t="s">
        <v>131</v>
      </c>
      <c r="S265" t="s">
        <v>132</v>
      </c>
      <c r="T265" t="s">
        <v>132</v>
      </c>
      <c r="U265" t="s">
        <v>132</v>
      </c>
      <c r="V265" t="s">
        <v>132</v>
      </c>
      <c r="W265" t="s">
        <v>132</v>
      </c>
      <c r="X265" t="s">
        <v>5</v>
      </c>
      <c r="Y265">
        <f>_xlfn.IFNA(_xlfn.XLOOKUP(D265,[1]Especificação!$G:$G,[1]Especificação!$C:$C),0)</f>
        <v>0</v>
      </c>
    </row>
    <row r="266" spans="1:25" ht="15">
      <c r="A266" s="50" t="str">
        <f t="shared" si="4"/>
        <v>INSTRUMENT_DT_FRBRNC_STTS</v>
      </c>
      <c r="B266" s="50"/>
      <c r="C266" t="s">
        <v>127</v>
      </c>
      <c r="D266" t="s">
        <v>447</v>
      </c>
      <c r="E266" t="s">
        <v>14</v>
      </c>
      <c r="F266" t="s">
        <v>25</v>
      </c>
      <c r="G266" t="s">
        <v>145</v>
      </c>
      <c r="H266" t="s">
        <v>432</v>
      </c>
      <c r="I266" t="s">
        <v>313</v>
      </c>
      <c r="J266" t="s">
        <v>29</v>
      </c>
      <c r="K266" s="15">
        <v>45958</v>
      </c>
      <c r="L266" t="s">
        <v>38</v>
      </c>
      <c r="M266" t="str">
        <f>IF(COUNTIFS(PRO_LT_SCORECARD_FLEX_VALIDATIO!$K:$K, _xlfn.CONCAT(C266,D266), PRO_LT_SCORECARD_FLEX_VALIDATIO!$G:$G, "KO") &gt; 0, "NOK", "OK")</f>
        <v>NOK</v>
      </c>
      <c r="P266" s="15">
        <v>45958</v>
      </c>
      <c r="Q266" t="s">
        <v>13</v>
      </c>
      <c r="R266" t="s">
        <v>131</v>
      </c>
      <c r="S266" t="s">
        <v>132</v>
      </c>
      <c r="T266" t="s">
        <v>132</v>
      </c>
      <c r="U266" t="s">
        <v>132</v>
      </c>
      <c r="V266" t="s">
        <v>132</v>
      </c>
      <c r="W266" t="s">
        <v>131</v>
      </c>
      <c r="X266" t="s">
        <v>136</v>
      </c>
      <c r="Y266" t="str">
        <f>_xlfn.IFNA(_xlfn.XLOOKUP(D266,[1]Especificação!$G:$G,[1]Especificação!$C:$C),0)</f>
        <v>B2. Re-especificação de campos complexos - Resto</v>
      </c>
    </row>
    <row r="267" spans="1:25" ht="15">
      <c r="A267" s="50" t="str">
        <f t="shared" si="4"/>
        <v>INSTRUMENT_PRCH_UNDR_RSL_AGR</v>
      </c>
      <c r="B267" s="50"/>
      <c r="C267" t="s">
        <v>127</v>
      </c>
      <c r="D267" t="s">
        <v>448</v>
      </c>
      <c r="E267" t="s">
        <v>6</v>
      </c>
      <c r="F267" t="s">
        <v>38</v>
      </c>
      <c r="G267" t="s">
        <v>129</v>
      </c>
      <c r="H267" t="s">
        <v>130</v>
      </c>
      <c r="J267" t="s">
        <v>26</v>
      </c>
      <c r="K267" s="15">
        <v>45450</v>
      </c>
      <c r="L267" t="s">
        <v>38</v>
      </c>
      <c r="M267" t="str">
        <f>IF(COUNTIFS(PRO_LT_SCORECARD_FLEX_VALIDATIO!$K:$K, _xlfn.CONCAT(C267,D267), PRO_LT_SCORECARD_FLEX_VALIDATIO!$G:$G, "KO") &gt; 0, "NOK", "OK")</f>
        <v>OK</v>
      </c>
      <c r="O267" s="15"/>
      <c r="P267" s="15"/>
      <c r="Q267" t="s">
        <v>30</v>
      </c>
      <c r="R267" t="s">
        <v>131</v>
      </c>
      <c r="S267" t="s">
        <v>132</v>
      </c>
      <c r="T267" t="s">
        <v>132</v>
      </c>
      <c r="U267" t="s">
        <v>132</v>
      </c>
      <c r="V267" t="s">
        <v>132</v>
      </c>
      <c r="W267" t="s">
        <v>132</v>
      </c>
      <c r="X267" t="s">
        <v>5</v>
      </c>
      <c r="Y267">
        <f>_xlfn.IFNA(_xlfn.XLOOKUP(D267,[1]Especificação!$G:$G,[1]Especificação!$C:$C),0)</f>
        <v>0</v>
      </c>
    </row>
    <row r="268" spans="1:25" ht="15">
      <c r="A268" s="50" t="str">
        <f t="shared" si="4"/>
        <v>INSTRUMENT_PRDCT</v>
      </c>
      <c r="B268" s="50"/>
      <c r="C268" t="s">
        <v>127</v>
      </c>
      <c r="D268" t="s">
        <v>449</v>
      </c>
      <c r="E268" t="s">
        <v>14</v>
      </c>
      <c r="F268" t="s">
        <v>38</v>
      </c>
      <c r="G268" t="s">
        <v>129</v>
      </c>
      <c r="H268" t="s">
        <v>130</v>
      </c>
      <c r="J268" t="s">
        <v>26</v>
      </c>
      <c r="K268" s="15">
        <v>45450</v>
      </c>
      <c r="L268" t="s">
        <v>38</v>
      </c>
      <c r="M268" t="str">
        <f>IF(COUNTIFS(PRO_LT_SCORECARD_FLEX_VALIDATIO!$K:$K, _xlfn.CONCAT(C268,D268), PRO_LT_SCORECARD_FLEX_VALIDATIO!$G:$G, "KO") &gt; 0, "NOK", "OK")</f>
        <v>OK</v>
      </c>
      <c r="O268" s="15"/>
      <c r="P268" s="15"/>
      <c r="Q268" t="s">
        <v>30</v>
      </c>
      <c r="R268" t="s">
        <v>131</v>
      </c>
      <c r="S268" t="s">
        <v>132</v>
      </c>
      <c r="T268" t="s">
        <v>132</v>
      </c>
      <c r="U268" t="s">
        <v>131</v>
      </c>
      <c r="V268" t="s">
        <v>132</v>
      </c>
      <c r="W268" t="s">
        <v>132</v>
      </c>
      <c r="X268" t="s">
        <v>5</v>
      </c>
      <c r="Y268">
        <f>_xlfn.IFNA(_xlfn.XLOOKUP(D268,[1]Especificação!$G:$G,[1]Especificação!$C:$C),0)</f>
        <v>0</v>
      </c>
    </row>
    <row r="269" spans="1:25" ht="15">
      <c r="A269" s="50" t="str">
        <f t="shared" si="4"/>
        <v>INSTRUMENT_PRDNTL_PRTFL</v>
      </c>
      <c r="B269" s="50"/>
      <c r="C269" t="s">
        <v>127</v>
      </c>
      <c r="D269" t="s">
        <v>450</v>
      </c>
      <c r="E269" t="s">
        <v>6</v>
      </c>
      <c r="F269" t="s">
        <v>38</v>
      </c>
      <c r="G269" t="s">
        <v>129</v>
      </c>
      <c r="H269" t="s">
        <v>130</v>
      </c>
      <c r="J269" t="s">
        <v>26</v>
      </c>
      <c r="K269" s="15">
        <v>45450</v>
      </c>
      <c r="L269" t="s">
        <v>38</v>
      </c>
      <c r="M269" t="str">
        <f>IF(COUNTIFS(PRO_LT_SCORECARD_FLEX_VALIDATIO!$K:$K, _xlfn.CONCAT(C269,D269), PRO_LT_SCORECARD_FLEX_VALIDATIO!$G:$G, "KO") &gt; 0, "NOK", "OK")</f>
        <v>OK</v>
      </c>
      <c r="O269" s="15"/>
      <c r="P269" s="15"/>
      <c r="Q269" t="s">
        <v>30</v>
      </c>
      <c r="R269" t="s">
        <v>131</v>
      </c>
      <c r="S269" t="s">
        <v>132</v>
      </c>
      <c r="T269" t="s">
        <v>132</v>
      </c>
      <c r="U269" t="s">
        <v>132</v>
      </c>
      <c r="V269" t="s">
        <v>132</v>
      </c>
      <c r="W269" t="s">
        <v>131</v>
      </c>
      <c r="X269" t="s">
        <v>5</v>
      </c>
      <c r="Y269" t="str">
        <f>_xlfn.IFNA(_xlfn.XLOOKUP(D269,[1]Especificação!$G:$G,[1]Especificação!$C:$C),0)</f>
        <v>F1. Fora âmbito | Campos concluídos - Sem necessidade de espec.</v>
      </c>
    </row>
    <row r="270" spans="1:25" ht="15">
      <c r="A270" s="50" t="str">
        <f t="shared" si="4"/>
        <v>INSTRUMENT_PRFRMNG_STTS</v>
      </c>
      <c r="B270" s="50"/>
      <c r="C270" t="s">
        <v>127</v>
      </c>
      <c r="D270" s="11" t="s">
        <v>45</v>
      </c>
      <c r="E270" t="s">
        <v>14</v>
      </c>
      <c r="F270" t="s">
        <v>28</v>
      </c>
      <c r="G270" t="s">
        <v>145</v>
      </c>
      <c r="H270" t="s">
        <v>154</v>
      </c>
      <c r="J270" t="s">
        <v>32</v>
      </c>
      <c r="K270" s="15">
        <v>45952</v>
      </c>
      <c r="L270" t="s">
        <v>36</v>
      </c>
      <c r="M270" t="str">
        <f>IF(COUNTIFS(PRO_LT_SCORECARD_FLEX_VALIDATIO!$K:$K, _xlfn.CONCAT(C270,D270), PRO_LT_SCORECARD_FLEX_VALIDATIO!$G:$G, "KO") &gt; 0, "NOK", "OK")</f>
        <v>NOK</v>
      </c>
      <c r="N270" t="s">
        <v>1166</v>
      </c>
      <c r="O270" s="15"/>
      <c r="P270" s="15">
        <v>45952</v>
      </c>
      <c r="Q270" t="s">
        <v>39</v>
      </c>
      <c r="R270" t="s">
        <v>131</v>
      </c>
      <c r="S270" t="s">
        <v>131</v>
      </c>
      <c r="T270" t="s">
        <v>131</v>
      </c>
      <c r="U270" t="s">
        <v>132</v>
      </c>
      <c r="V270" t="s">
        <v>132</v>
      </c>
      <c r="W270" t="s">
        <v>131</v>
      </c>
      <c r="X270" t="s">
        <v>5</v>
      </c>
      <c r="Y270" t="str">
        <f>_xlfn.IFNA(_xlfn.XLOOKUP(D270,[1]Especificação!$G:$G,[1]Especificação!$C:$C),0)</f>
        <v>F2. Fora âmbito | Campos em testes ou c/ incidências (LT - PM)</v>
      </c>
    </row>
    <row r="271" spans="1:25" ht="15">
      <c r="A271" s="50" t="str">
        <f t="shared" si="4"/>
        <v>ENTITY_PRFRMNG_STTS_LE</v>
      </c>
      <c r="B271" s="50"/>
      <c r="C271" t="s">
        <v>139</v>
      </c>
      <c r="D271" t="s">
        <v>451</v>
      </c>
      <c r="E271" t="s">
        <v>14</v>
      </c>
      <c r="F271" t="s">
        <v>38</v>
      </c>
      <c r="G271" t="s">
        <v>129</v>
      </c>
      <c r="H271" t="s">
        <v>130</v>
      </c>
      <c r="J271" t="s">
        <v>26</v>
      </c>
      <c r="K271" s="15">
        <v>45952</v>
      </c>
      <c r="L271" t="s">
        <v>38</v>
      </c>
      <c r="M271" t="str">
        <f>IF(COUNTIFS(PRO_LT_SCORECARD_FLEX_VALIDATIO!$K:$K, _xlfn.CONCAT(C271,D271), PRO_LT_SCORECARD_FLEX_VALIDATIO!$G:$G, "KO") &gt; 0, "NOK", "OK")</f>
        <v>OK</v>
      </c>
      <c r="O271" s="15"/>
      <c r="P271" s="15">
        <v>45952</v>
      </c>
      <c r="Q271" t="s">
        <v>30</v>
      </c>
      <c r="R271" t="s">
        <v>131</v>
      </c>
      <c r="S271" t="s">
        <v>132</v>
      </c>
      <c r="T271" t="s">
        <v>132</v>
      </c>
      <c r="U271" t="s">
        <v>132</v>
      </c>
      <c r="V271" t="s">
        <v>132</v>
      </c>
      <c r="W271" t="s">
        <v>131</v>
      </c>
      <c r="X271" t="s">
        <v>5</v>
      </c>
      <c r="Y271" t="str">
        <f>_xlfn.IFNA(_xlfn.XLOOKUP(D271,[1]Especificação!$G:$G,[1]Especificação!$C:$C),0)</f>
        <v>F1. Fora âmbito | Campos concluídos - Sem necessidade de espec.</v>
      </c>
    </row>
    <row r="272" spans="1:25" ht="15">
      <c r="A272" s="50" t="str">
        <f t="shared" si="4"/>
        <v>INSTRUMENT_PRFRMNG_STTS_PRVS</v>
      </c>
      <c r="B272" s="50"/>
      <c r="C272" t="s">
        <v>127</v>
      </c>
      <c r="D272" s="11" t="s">
        <v>47</v>
      </c>
      <c r="E272" t="s">
        <v>14</v>
      </c>
      <c r="F272" t="s">
        <v>33</v>
      </c>
      <c r="G272" t="s">
        <v>129</v>
      </c>
      <c r="H272" t="s">
        <v>224</v>
      </c>
      <c r="J272" t="s">
        <v>32</v>
      </c>
      <c r="K272" s="15">
        <v>45958</v>
      </c>
      <c r="L272" t="s">
        <v>38</v>
      </c>
      <c r="M272" t="str">
        <f>IF(COUNTIFS(PRO_LT_SCORECARD_FLEX_VALIDATIO!$K:$K, _xlfn.CONCAT(C272,D272), PRO_LT_SCORECARD_FLEX_VALIDATIO!$G:$G, "KO") &gt; 0, "NOK", "OK")</f>
        <v>OK</v>
      </c>
      <c r="O272" s="15"/>
      <c r="P272" s="15">
        <v>45958</v>
      </c>
      <c r="Q272" t="s">
        <v>39</v>
      </c>
      <c r="R272" t="s">
        <v>131</v>
      </c>
      <c r="S272" t="s">
        <v>132</v>
      </c>
      <c r="T272" t="s">
        <v>132</v>
      </c>
      <c r="U272" t="s">
        <v>132</v>
      </c>
      <c r="V272" t="s">
        <v>132</v>
      </c>
      <c r="W272" t="s">
        <v>131</v>
      </c>
      <c r="X272" t="s">
        <v>5</v>
      </c>
      <c r="Y272" t="str">
        <f>_xlfn.IFNA(_xlfn.XLOOKUP(D272,[1]Especificação!$G:$G,[1]Especificação!$C:$C),0)</f>
        <v>B2. Re-especificação de campos complexos - Resto</v>
      </c>
    </row>
    <row r="273" spans="1:25" ht="15">
      <c r="A273" s="50" t="str">
        <f t="shared" si="4"/>
        <v>INSTRUMENT_PRJCT_FNNC_LN</v>
      </c>
      <c r="B273" s="50"/>
      <c r="C273" t="s">
        <v>127</v>
      </c>
      <c r="D273" t="s">
        <v>452</v>
      </c>
      <c r="E273" t="s">
        <v>14</v>
      </c>
      <c r="F273" t="s">
        <v>38</v>
      </c>
      <c r="G273" t="s">
        <v>129</v>
      </c>
      <c r="H273" t="s">
        <v>130</v>
      </c>
      <c r="J273" t="s">
        <v>26</v>
      </c>
      <c r="K273" s="15">
        <v>45450</v>
      </c>
      <c r="L273" t="s">
        <v>38</v>
      </c>
      <c r="M273" t="str">
        <f>IF(COUNTIFS(PRO_LT_SCORECARD_FLEX_VALIDATIO!$K:$K, _xlfn.CONCAT(C273,D273), PRO_LT_SCORECARD_FLEX_VALIDATIO!$G:$G, "KO") &gt; 0, "NOK", "OK")</f>
        <v>OK</v>
      </c>
      <c r="Q273" t="s">
        <v>30</v>
      </c>
      <c r="R273" t="s">
        <v>131</v>
      </c>
      <c r="S273" t="s">
        <v>132</v>
      </c>
      <c r="T273" t="s">
        <v>131</v>
      </c>
      <c r="U273" t="s">
        <v>132</v>
      </c>
      <c r="V273" t="s">
        <v>132</v>
      </c>
      <c r="W273" t="s">
        <v>132</v>
      </c>
      <c r="X273" t="s">
        <v>5</v>
      </c>
      <c r="Y273">
        <f>_xlfn.IFNA(_xlfn.XLOOKUP(D273,[1]Especificação!$G:$G,[1]Especificação!$C:$C),0)</f>
        <v>0</v>
      </c>
    </row>
    <row r="274" spans="1:25" ht="15">
      <c r="A274" s="50" t="str">
        <f>C274&amp;"_"&amp;D274</f>
        <v>PROTECTION_PRM_LCTN</v>
      </c>
      <c r="B274" s="50"/>
      <c r="C274" t="s">
        <v>156</v>
      </c>
      <c r="D274" s="10" t="s">
        <v>453</v>
      </c>
      <c r="E274" t="s">
        <v>6</v>
      </c>
      <c r="F274" t="s">
        <v>33</v>
      </c>
      <c r="G274" t="s">
        <v>145</v>
      </c>
      <c r="H274" t="s">
        <v>369</v>
      </c>
      <c r="J274" t="s">
        <v>26</v>
      </c>
      <c r="K274" s="15">
        <v>45670</v>
      </c>
      <c r="L274" t="s">
        <v>38</v>
      </c>
      <c r="M274" t="str">
        <f>IF(COUNTIFS(PRO_LT_SCORECARD_FLEX_VALIDATIO!$K:$K, _xlfn.CONCAT(C274,D274), PRO_LT_SCORECARD_FLEX_VALIDATIO!$G:$G, "KO") &gt; 0, "NOK", "OK")</f>
        <v>NOK</v>
      </c>
      <c r="N274" t="s">
        <v>454</v>
      </c>
      <c r="O274" s="15">
        <v>45471</v>
      </c>
      <c r="P274" s="15">
        <v>45646</v>
      </c>
      <c r="Q274" t="s">
        <v>24</v>
      </c>
      <c r="R274" t="s">
        <v>131</v>
      </c>
      <c r="S274" t="s">
        <v>132</v>
      </c>
      <c r="T274" t="s">
        <v>132</v>
      </c>
      <c r="U274" t="s">
        <v>132</v>
      </c>
      <c r="V274" t="s">
        <v>132</v>
      </c>
      <c r="W274" t="s">
        <v>132</v>
      </c>
      <c r="X274" t="s">
        <v>5</v>
      </c>
      <c r="Y274">
        <f>_xlfn.IFNA(_xlfn.XLOOKUP(D274,[1]Especificação!$G:$G,[1]Especificação!$C:$C),0)</f>
        <v>0</v>
      </c>
    </row>
    <row r="275" spans="1:25" ht="15">
      <c r="A275" s="50" t="str">
        <f t="shared" si="4"/>
        <v>INSTRUMENT_PRMRY_ASST_CLSSF</v>
      </c>
      <c r="B275" s="50"/>
      <c r="C275" t="s">
        <v>127</v>
      </c>
      <c r="D275" t="s">
        <v>455</v>
      </c>
      <c r="E275" t="s">
        <v>6</v>
      </c>
      <c r="F275" t="s">
        <v>38</v>
      </c>
      <c r="G275" t="s">
        <v>129</v>
      </c>
      <c r="H275" t="s">
        <v>130</v>
      </c>
      <c r="J275" t="s">
        <v>26</v>
      </c>
      <c r="K275" s="15">
        <v>45450</v>
      </c>
      <c r="L275" t="s">
        <v>38</v>
      </c>
      <c r="M275" t="str">
        <f>IF(COUNTIFS(PRO_LT_SCORECARD_FLEX_VALIDATIO!$K:$K, _xlfn.CONCAT(C275,D275), PRO_LT_SCORECARD_FLEX_VALIDATIO!$G:$G, "KO") &gt; 0, "NOK", "OK")</f>
        <v>OK</v>
      </c>
      <c r="Q275" t="s">
        <v>30</v>
      </c>
      <c r="R275" t="s">
        <v>131</v>
      </c>
      <c r="S275" t="s">
        <v>132</v>
      </c>
      <c r="T275" t="s">
        <v>131</v>
      </c>
      <c r="U275" t="s">
        <v>132</v>
      </c>
      <c r="V275" t="s">
        <v>132</v>
      </c>
      <c r="W275" t="s">
        <v>132</v>
      </c>
      <c r="X275" t="s">
        <v>5</v>
      </c>
      <c r="Y275">
        <f>_xlfn.IFNA(_xlfn.XLOOKUP(D275,[1]Especificação!$G:$G,[1]Especificação!$C:$C),0)</f>
        <v>0</v>
      </c>
    </row>
    <row r="276" spans="1:25" ht="15">
      <c r="A276" s="50" t="str">
        <f t="shared" si="4"/>
        <v>INSTRUMENT_PRPS</v>
      </c>
      <c r="B276" s="50"/>
      <c r="C276" t="s">
        <v>127</v>
      </c>
      <c r="D276" t="s">
        <v>456</v>
      </c>
      <c r="E276" t="s">
        <v>14</v>
      </c>
      <c r="F276" t="s">
        <v>38</v>
      </c>
      <c r="G276" t="s">
        <v>129</v>
      </c>
      <c r="H276" t="s">
        <v>130</v>
      </c>
      <c r="J276" t="s">
        <v>26</v>
      </c>
      <c r="K276" s="15">
        <v>45450</v>
      </c>
      <c r="L276" t="s">
        <v>38</v>
      </c>
      <c r="M276" t="str">
        <f>IF(COUNTIFS(PRO_LT_SCORECARD_FLEX_VALIDATIO!$K:$K, _xlfn.CONCAT(C276,D276), PRO_LT_SCORECARD_FLEX_VALIDATIO!$G:$G, "KO") &gt; 0, "NOK", "OK")</f>
        <v>OK</v>
      </c>
      <c r="Q276" t="s">
        <v>30</v>
      </c>
      <c r="R276" t="s">
        <v>131</v>
      </c>
      <c r="S276" t="s">
        <v>132</v>
      </c>
      <c r="T276" t="s">
        <v>132</v>
      </c>
      <c r="U276" t="s">
        <v>132</v>
      </c>
      <c r="V276" t="s">
        <v>132</v>
      </c>
      <c r="W276" t="s">
        <v>131</v>
      </c>
      <c r="X276" t="s">
        <v>5</v>
      </c>
      <c r="Y276" t="str">
        <f>_xlfn.IFNA(_xlfn.XLOOKUP(D276,[1]Especificação!$G:$G,[1]Especificação!$C:$C),0)</f>
        <v>F1. Fora âmbito | Campos concluídos - Sem necessidade de espec.</v>
      </c>
    </row>
    <row r="277" spans="1:25" ht="15">
      <c r="A277" s="50" t="str">
        <f t="shared" si="4"/>
        <v>ENTITY_PRSN_TYP</v>
      </c>
      <c r="B277" s="50"/>
      <c r="C277" t="s">
        <v>139</v>
      </c>
      <c r="D277" t="s">
        <v>457</v>
      </c>
      <c r="E277" t="s">
        <v>6</v>
      </c>
      <c r="F277" t="s">
        <v>31</v>
      </c>
      <c r="G277" t="s">
        <v>129</v>
      </c>
      <c r="H277" t="s">
        <v>169</v>
      </c>
      <c r="J277" t="s">
        <v>29</v>
      </c>
      <c r="K277" s="15">
        <v>45460</v>
      </c>
      <c r="L277" t="s">
        <v>33</v>
      </c>
      <c r="M277" t="str">
        <f>IF(COUNTIFS(PRO_LT_SCORECARD_FLEX_VALIDATIO!$K:$K, _xlfn.CONCAT(C277,D277), PRO_LT_SCORECARD_FLEX_VALIDATIO!$G:$G, "KO") &gt; 0, "NOK", "OK")</f>
        <v>OK</v>
      </c>
      <c r="O277" s="15">
        <v>45303</v>
      </c>
      <c r="P277" s="15">
        <v>45372</v>
      </c>
      <c r="Q277" t="s">
        <v>19</v>
      </c>
      <c r="R277" t="s">
        <v>131</v>
      </c>
      <c r="S277" t="s">
        <v>132</v>
      </c>
      <c r="T277" t="s">
        <v>132</v>
      </c>
      <c r="U277" t="s">
        <v>132</v>
      </c>
      <c r="V277" t="s">
        <v>132</v>
      </c>
      <c r="W277" t="s">
        <v>132</v>
      </c>
      <c r="X277" t="s">
        <v>5</v>
      </c>
      <c r="Y277">
        <f>_xlfn.IFNA(_xlfn.XLOOKUP(D277,[1]Especificação!$G:$G,[1]Especificação!$C:$C),0)</f>
        <v>0</v>
      </c>
    </row>
    <row r="278" spans="1:25" ht="15">
      <c r="A278" s="50" t="str">
        <f t="shared" si="4"/>
        <v>INSTRUMENT_PRT_LCR_BFFR</v>
      </c>
      <c r="B278" s="50"/>
      <c r="C278" t="s">
        <v>127</v>
      </c>
      <c r="D278" t="s">
        <v>458</v>
      </c>
      <c r="E278" t="s">
        <v>6</v>
      </c>
      <c r="F278" t="s">
        <v>38</v>
      </c>
      <c r="G278" t="s">
        <v>129</v>
      </c>
      <c r="H278" t="s">
        <v>130</v>
      </c>
      <c r="J278" t="s">
        <v>26</v>
      </c>
      <c r="K278" s="15">
        <v>45450</v>
      </c>
      <c r="L278" t="s">
        <v>38</v>
      </c>
      <c r="M278" t="str">
        <f>IF(COUNTIFS(PRO_LT_SCORECARD_FLEX_VALIDATIO!$K:$K, _xlfn.CONCAT(C278,D278), PRO_LT_SCORECARD_FLEX_VALIDATIO!$G:$G, "KO") &gt; 0, "NOK", "OK")</f>
        <v>OK</v>
      </c>
      <c r="Q278" t="s">
        <v>30</v>
      </c>
      <c r="R278" t="s">
        <v>131</v>
      </c>
      <c r="S278" t="s">
        <v>132</v>
      </c>
      <c r="T278" t="s">
        <v>132</v>
      </c>
      <c r="U278" t="s">
        <v>132</v>
      </c>
      <c r="V278" t="s">
        <v>132</v>
      </c>
      <c r="W278" t="s">
        <v>132</v>
      </c>
      <c r="X278" t="s">
        <v>5</v>
      </c>
      <c r="Y278">
        <f>_xlfn.IFNA(_xlfn.XLOOKUP(D278,[1]Especificação!$G:$G,[1]Especificação!$C:$C),0)</f>
        <v>0</v>
      </c>
    </row>
    <row r="279" spans="1:25" ht="15">
      <c r="A279" s="50" t="str">
        <f t="shared" si="4"/>
        <v>INSTR_PROTECTION_PRTCTN_ALLCTD_VL</v>
      </c>
      <c r="B279" s="50"/>
      <c r="C279" t="s">
        <v>188</v>
      </c>
      <c r="D279" t="s">
        <v>459</v>
      </c>
      <c r="E279" t="s">
        <v>14</v>
      </c>
      <c r="F279" t="s">
        <v>38</v>
      </c>
      <c r="G279" t="s">
        <v>129</v>
      </c>
      <c r="H279" t="s">
        <v>130</v>
      </c>
      <c r="J279" t="s">
        <v>26</v>
      </c>
      <c r="K279" s="15">
        <v>45450</v>
      </c>
      <c r="L279" t="s">
        <v>38</v>
      </c>
      <c r="M279" t="str">
        <f>IF(COUNTIFS(PRO_LT_SCORECARD_FLEX_VALIDATIO!$K:$K, _xlfn.CONCAT(C279,D279), PRO_LT_SCORECARD_FLEX_VALIDATIO!$G:$G, "KO") &gt; 0, "NOK", "OK")</f>
        <v>OK</v>
      </c>
      <c r="Q279" t="s">
        <v>30</v>
      </c>
      <c r="R279" t="s">
        <v>131</v>
      </c>
      <c r="S279" t="s">
        <v>132</v>
      </c>
      <c r="T279" t="s">
        <v>131</v>
      </c>
      <c r="U279" t="s">
        <v>132</v>
      </c>
      <c r="V279" t="s">
        <v>132</v>
      </c>
      <c r="W279" t="s">
        <v>132</v>
      </c>
      <c r="X279" t="s">
        <v>5</v>
      </c>
      <c r="Y279">
        <f>_xlfn.IFNA(_xlfn.XLOOKUP(D279,[1]Especificação!$G:$G,[1]Especificação!$C:$C),0)</f>
        <v>0</v>
      </c>
    </row>
    <row r="280" spans="1:25" ht="15">
      <c r="A280" s="50" t="str">
        <f t="shared" si="4"/>
        <v>PROTECTION_PRTCTN_CLLD</v>
      </c>
      <c r="B280" s="50"/>
      <c r="C280" t="s">
        <v>156</v>
      </c>
      <c r="D280" t="s">
        <v>460</v>
      </c>
      <c r="E280" t="s">
        <v>14</v>
      </c>
      <c r="F280" t="s">
        <v>36</v>
      </c>
      <c r="G280" t="s">
        <v>145</v>
      </c>
      <c r="H280" t="s">
        <v>158</v>
      </c>
      <c r="J280" t="s">
        <v>29</v>
      </c>
      <c r="K280" s="15">
        <v>45450</v>
      </c>
      <c r="L280" t="s">
        <v>36</v>
      </c>
      <c r="M280" t="str">
        <f>IF(COUNTIFS(PRO_LT_SCORECARD_FLEX_VALIDATIO!$K:$K, _xlfn.CONCAT(C280,D280), PRO_LT_SCORECARD_FLEX_VALIDATIO!$G:$G, "KO") &gt; 0, "NOK", "OK")</f>
        <v>OK</v>
      </c>
      <c r="Q280" t="s">
        <v>8</v>
      </c>
      <c r="R280" t="s">
        <v>131</v>
      </c>
      <c r="S280" t="s">
        <v>132</v>
      </c>
      <c r="T280" t="s">
        <v>132</v>
      </c>
      <c r="U280" t="s">
        <v>132</v>
      </c>
      <c r="V280" t="s">
        <v>132</v>
      </c>
      <c r="W280" t="s">
        <v>132</v>
      </c>
      <c r="X280" t="s">
        <v>5</v>
      </c>
      <c r="Y280">
        <f>_xlfn.IFNA(_xlfn.XLOOKUP(D280,[1]Especificação!$G:$G,[1]Especificação!$C:$C),0)</f>
        <v>0</v>
      </c>
    </row>
    <row r="281" spans="1:25" ht="15">
      <c r="A281" s="50" t="str">
        <f t="shared" si="4"/>
        <v>PROTECTION_PRTCTN_FRCD_SL_VL</v>
      </c>
      <c r="B281" s="50"/>
      <c r="C281" t="s">
        <v>156</v>
      </c>
      <c r="D281" t="s">
        <v>461</v>
      </c>
      <c r="E281" t="s">
        <v>14</v>
      </c>
      <c r="F281" t="s">
        <v>38</v>
      </c>
      <c r="G281" t="s">
        <v>129</v>
      </c>
      <c r="H281" t="s">
        <v>130</v>
      </c>
      <c r="J281" t="s">
        <v>26</v>
      </c>
      <c r="K281" s="15">
        <v>45450</v>
      </c>
      <c r="L281" t="s">
        <v>38</v>
      </c>
      <c r="M281" t="str">
        <f>IF(COUNTIFS(PRO_LT_SCORECARD_FLEX_VALIDATIO!$K:$K, _xlfn.CONCAT(C281,D281), PRO_LT_SCORECARD_FLEX_VALIDATIO!$G:$G, "KO") &gt; 0, "NOK", "OK")</f>
        <v>OK</v>
      </c>
      <c r="Q281" t="s">
        <v>30</v>
      </c>
      <c r="R281" t="s">
        <v>131</v>
      </c>
      <c r="S281" t="s">
        <v>132</v>
      </c>
      <c r="T281" t="s">
        <v>132</v>
      </c>
      <c r="U281" t="s">
        <v>132</v>
      </c>
      <c r="V281" t="s">
        <v>132</v>
      </c>
      <c r="W281" t="s">
        <v>132</v>
      </c>
      <c r="X281" t="s">
        <v>5</v>
      </c>
      <c r="Y281">
        <f>_xlfn.IFNA(_xlfn.XLOOKUP(D281,[1]Especificação!$G:$G,[1]Especificação!$C:$C),0)</f>
        <v>0</v>
      </c>
    </row>
    <row r="282" spans="1:25" ht="15">
      <c r="A282" s="50" t="str">
        <f t="shared" si="4"/>
        <v>INSTR_PROTECTION_PRTCTN_ID</v>
      </c>
      <c r="B282" s="50"/>
      <c r="C282" t="s">
        <v>188</v>
      </c>
      <c r="D282" t="s">
        <v>462</v>
      </c>
      <c r="E282" t="s">
        <v>14</v>
      </c>
      <c r="F282" t="s">
        <v>36</v>
      </c>
      <c r="G282" t="s">
        <v>145</v>
      </c>
      <c r="H282" t="s">
        <v>158</v>
      </c>
      <c r="J282" t="s">
        <v>29</v>
      </c>
      <c r="K282" s="15">
        <v>45450</v>
      </c>
      <c r="L282" t="s">
        <v>36</v>
      </c>
      <c r="M282" t="str">
        <f>IF(COUNTIFS(PRO_LT_SCORECARD_FLEX_VALIDATIO!$K:$K, _xlfn.CONCAT(C282,D282), PRO_LT_SCORECARD_FLEX_VALIDATIO!$G:$G, "KO") &gt; 0, "NOK", "OK")</f>
        <v>NOK</v>
      </c>
      <c r="Q282" t="s">
        <v>8</v>
      </c>
      <c r="R282" t="s">
        <v>131</v>
      </c>
      <c r="S282" t="s">
        <v>131</v>
      </c>
      <c r="T282" t="s">
        <v>131</v>
      </c>
      <c r="U282" t="s">
        <v>132</v>
      </c>
      <c r="V282" t="s">
        <v>132</v>
      </c>
      <c r="W282" t="s">
        <v>132</v>
      </c>
      <c r="X282" t="s">
        <v>5</v>
      </c>
      <c r="Y282">
        <f>_xlfn.IFNA(_xlfn.XLOOKUP(D282,[1]Especificação!$G:$G,[1]Especificação!$C:$C),0)</f>
        <v>0</v>
      </c>
    </row>
    <row r="283" spans="1:25" ht="15">
      <c r="A283" s="50" t="str">
        <f t="shared" si="4"/>
        <v>PROTECTION_PRTCTN_ID</v>
      </c>
      <c r="B283" s="50"/>
      <c r="C283" t="s">
        <v>156</v>
      </c>
      <c r="D283" t="s">
        <v>462</v>
      </c>
      <c r="E283" t="s">
        <v>14</v>
      </c>
      <c r="F283" t="s">
        <v>36</v>
      </c>
      <c r="G283" t="s">
        <v>145</v>
      </c>
      <c r="H283" t="s">
        <v>158</v>
      </c>
      <c r="J283" t="s">
        <v>29</v>
      </c>
      <c r="K283" s="15">
        <v>45450</v>
      </c>
      <c r="L283" t="s">
        <v>36</v>
      </c>
      <c r="M283" t="str">
        <f>IF(COUNTIFS(PRO_LT_SCORECARD_FLEX_VALIDATIO!$K:$K, _xlfn.CONCAT(C283,D283), PRO_LT_SCORECARD_FLEX_VALIDATIO!$G:$G, "KO") &gt; 0, "NOK", "OK")</f>
        <v>OK</v>
      </c>
      <c r="Q283" t="s">
        <v>8</v>
      </c>
      <c r="R283" t="s">
        <v>131</v>
      </c>
      <c r="S283" t="s">
        <v>131</v>
      </c>
      <c r="T283" t="s">
        <v>131</v>
      </c>
      <c r="U283" t="s">
        <v>132</v>
      </c>
      <c r="V283" t="s">
        <v>131</v>
      </c>
      <c r="W283" t="s">
        <v>132</v>
      </c>
      <c r="X283" t="s">
        <v>5</v>
      </c>
      <c r="Y283">
        <f>_xlfn.IFNA(_xlfn.XLOOKUP(D283,[1]Especificação!$G:$G,[1]Especificação!$C:$C),0)</f>
        <v>0</v>
      </c>
    </row>
    <row r="284" spans="1:25" ht="15">
      <c r="A284" s="50" t="str">
        <f t="shared" si="4"/>
        <v>PROTECTION_PRTCTN_PRVDR_ID</v>
      </c>
      <c r="B284" s="50"/>
      <c r="C284" t="s">
        <v>156</v>
      </c>
      <c r="D284" t="s">
        <v>463</v>
      </c>
      <c r="E284" t="s">
        <v>14</v>
      </c>
      <c r="F284" t="s">
        <v>36</v>
      </c>
      <c r="G284" t="s">
        <v>145</v>
      </c>
      <c r="H284" t="s">
        <v>158</v>
      </c>
      <c r="J284" t="s">
        <v>29</v>
      </c>
      <c r="K284" s="15">
        <v>45450</v>
      </c>
      <c r="L284" t="s">
        <v>36</v>
      </c>
      <c r="M284" t="str">
        <f>IF(COUNTIFS(PRO_LT_SCORECARD_FLEX_VALIDATIO!$K:$K, _xlfn.CONCAT(C284,D284), PRO_LT_SCORECARD_FLEX_VALIDATIO!$G:$G, "KO") &gt; 0, "NOK", "OK")</f>
        <v>OK</v>
      </c>
      <c r="Q284" t="s">
        <v>8</v>
      </c>
      <c r="R284" t="s">
        <v>131</v>
      </c>
      <c r="S284" t="s">
        <v>132</v>
      </c>
      <c r="T284" t="s">
        <v>132</v>
      </c>
      <c r="U284" t="s">
        <v>132</v>
      </c>
      <c r="V284" t="s">
        <v>132</v>
      </c>
      <c r="W284" t="s">
        <v>132</v>
      </c>
      <c r="X284" t="s">
        <v>5</v>
      </c>
      <c r="Y284">
        <f>_xlfn.IFNA(_xlfn.XLOOKUP(D284,[1]Especificação!$G:$G,[1]Especificação!$C:$C),0)</f>
        <v>0</v>
      </c>
    </row>
    <row r="285" spans="1:25" ht="15">
      <c r="A285" s="50" t="str">
        <f t="shared" si="4"/>
        <v>PROTECTION_PRTCTN_TYP_PBLC_GRNT_SCHM_C19</v>
      </c>
      <c r="B285" s="50"/>
      <c r="C285" t="s">
        <v>156</v>
      </c>
      <c r="D285" t="s">
        <v>464</v>
      </c>
      <c r="E285" t="s">
        <v>6</v>
      </c>
      <c r="F285" t="s">
        <v>36</v>
      </c>
      <c r="G285" t="s">
        <v>145</v>
      </c>
      <c r="H285" t="s">
        <v>158</v>
      </c>
      <c r="J285" t="s">
        <v>29</v>
      </c>
      <c r="K285" s="15">
        <v>45450</v>
      </c>
      <c r="L285" t="s">
        <v>36</v>
      </c>
      <c r="M285" t="str">
        <f>IF(COUNTIFS(PRO_LT_SCORECARD_FLEX_VALIDATIO!$K:$K, _xlfn.CONCAT(C285,D285), PRO_LT_SCORECARD_FLEX_VALIDATIO!$G:$G, "KO") &gt; 0, "NOK", "OK")</f>
        <v>OK</v>
      </c>
      <c r="Q285" t="s">
        <v>8</v>
      </c>
      <c r="R285" t="s">
        <v>131</v>
      </c>
      <c r="S285" t="s">
        <v>132</v>
      </c>
      <c r="T285" t="s">
        <v>132</v>
      </c>
      <c r="U285" t="s">
        <v>132</v>
      </c>
      <c r="V285" t="s">
        <v>132</v>
      </c>
      <c r="W285" t="s">
        <v>132</v>
      </c>
      <c r="X285" t="s">
        <v>5</v>
      </c>
      <c r="Y285">
        <f>_xlfn.IFNA(_xlfn.XLOOKUP(D285,[1]Especificação!$G:$G,[1]Especificação!$C:$C),0)</f>
        <v>0</v>
      </c>
    </row>
    <row r="286" spans="1:25" ht="15">
      <c r="A286" s="50" t="str">
        <f t="shared" si="4"/>
        <v>ENTITY_DT_EXTRNL_RTNG</v>
      </c>
      <c r="B286" s="50"/>
      <c r="C286" t="s">
        <v>139</v>
      </c>
      <c r="D286" s="10" t="s">
        <v>465</v>
      </c>
      <c r="E286" t="s">
        <v>14</v>
      </c>
      <c r="F286" t="s">
        <v>25</v>
      </c>
      <c r="G286" t="s">
        <v>129</v>
      </c>
      <c r="H286" t="s">
        <v>315</v>
      </c>
      <c r="I286" t="s">
        <v>316</v>
      </c>
      <c r="J286" t="s">
        <v>32</v>
      </c>
      <c r="K286" s="15">
        <v>45958</v>
      </c>
      <c r="L286" t="s">
        <v>38</v>
      </c>
      <c r="M286" t="str">
        <f>IF(COUNTIFS(PRO_LT_SCORECARD_FLEX_VALIDATIO!$K:$K, _xlfn.CONCAT(C286,D286), PRO_LT_SCORECARD_FLEX_VALIDATIO!$G:$G, "KO") &gt; 0, "NOK", "OK")</f>
        <v>OK</v>
      </c>
      <c r="P286" s="15">
        <v>45958</v>
      </c>
      <c r="Q286" t="s">
        <v>34</v>
      </c>
      <c r="R286" t="s">
        <v>131</v>
      </c>
      <c r="S286" t="s">
        <v>132</v>
      </c>
      <c r="T286" t="s">
        <v>132</v>
      </c>
      <c r="U286" t="s">
        <v>132</v>
      </c>
      <c r="V286" t="s">
        <v>132</v>
      </c>
      <c r="W286" t="s">
        <v>131</v>
      </c>
      <c r="X286" t="s">
        <v>136</v>
      </c>
      <c r="Y286" t="str">
        <f>_xlfn.IFNA(_xlfn.XLOOKUP(D286,[1]Especificação!$G:$G,[1]Especificação!$C:$C),0)</f>
        <v>B2. Re-especificação de campos complexos - Resto</v>
      </c>
    </row>
    <row r="287" spans="1:25" ht="15">
      <c r="A287" s="50" t="str">
        <f t="shared" si="4"/>
        <v>PROTECTION_ORGNL_PRTCTN_VL</v>
      </c>
      <c r="B287" s="50"/>
      <c r="C287" t="s">
        <v>156</v>
      </c>
      <c r="D287" s="10" t="s">
        <v>41</v>
      </c>
      <c r="E287" t="s">
        <v>14</v>
      </c>
      <c r="F287" t="s">
        <v>35</v>
      </c>
      <c r="G287" t="s">
        <v>129</v>
      </c>
      <c r="H287" t="s">
        <v>293</v>
      </c>
      <c r="I287" t="s">
        <v>466</v>
      </c>
      <c r="J287" t="s">
        <v>32</v>
      </c>
      <c r="K287" s="15">
        <v>45952</v>
      </c>
      <c r="L287" t="s">
        <v>36</v>
      </c>
      <c r="M287" t="str">
        <f>IF(COUNTIFS(PRO_LT_SCORECARD_FLEX_VALIDATIO!$K:$K, _xlfn.CONCAT(C287,D287), PRO_LT_SCORECARD_FLEX_VALIDATIO!$G:$G, "KO") &gt; 0, "NOK", "OK")</f>
        <v>NOK</v>
      </c>
      <c r="N287" t="s">
        <v>1308</v>
      </c>
      <c r="O287" s="15"/>
      <c r="P287" s="15">
        <v>45952</v>
      </c>
      <c r="Q287" t="s">
        <v>24</v>
      </c>
      <c r="R287" t="s">
        <v>131</v>
      </c>
      <c r="S287" t="s">
        <v>132</v>
      </c>
      <c r="T287" t="s">
        <v>131</v>
      </c>
      <c r="U287" t="s">
        <v>132</v>
      </c>
      <c r="V287" t="s">
        <v>132</v>
      </c>
      <c r="W287" t="s">
        <v>132</v>
      </c>
      <c r="X287" t="s">
        <v>5</v>
      </c>
      <c r="Y287">
        <f>_xlfn.IFNA(_xlfn.XLOOKUP(D287,[1]Especificação!$G:$G,[1]Especificação!$C:$C),0)</f>
        <v>0</v>
      </c>
    </row>
    <row r="288" spans="1:25" ht="15">
      <c r="A288" s="50" t="str">
        <f t="shared" si="4"/>
        <v>PROTECTION_PRTCTN_VL_PRVS</v>
      </c>
      <c r="B288" s="50"/>
      <c r="C288" t="s">
        <v>156</v>
      </c>
      <c r="D288" t="s">
        <v>468</v>
      </c>
      <c r="E288" t="s">
        <v>14</v>
      </c>
      <c r="F288" t="s">
        <v>38</v>
      </c>
      <c r="G288" t="s">
        <v>129</v>
      </c>
      <c r="H288" t="s">
        <v>130</v>
      </c>
      <c r="J288" t="s">
        <v>26</v>
      </c>
      <c r="K288" s="15">
        <v>45450</v>
      </c>
      <c r="L288" t="s">
        <v>38</v>
      </c>
      <c r="M288" t="str">
        <f>IF(COUNTIFS(PRO_LT_SCORECARD_FLEX_VALIDATIO!$K:$K, _xlfn.CONCAT(C288,D288), PRO_LT_SCORECARD_FLEX_VALIDATIO!$G:$G, "KO") &gt; 0, "NOK", "OK")</f>
        <v>OK</v>
      </c>
      <c r="Q288" t="s">
        <v>30</v>
      </c>
      <c r="R288" t="s">
        <v>131</v>
      </c>
      <c r="S288" t="s">
        <v>132</v>
      </c>
      <c r="T288" t="s">
        <v>132</v>
      </c>
      <c r="U288" t="s">
        <v>132</v>
      </c>
      <c r="V288" t="s">
        <v>132</v>
      </c>
      <c r="W288" t="s">
        <v>132</v>
      </c>
      <c r="X288" t="s">
        <v>5</v>
      </c>
      <c r="Y288">
        <f>_xlfn.IFNA(_xlfn.XLOOKUP(D288,[1]Especificação!$G:$G,[1]Especificação!$C:$C),0)</f>
        <v>0</v>
      </c>
    </row>
    <row r="289" spans="1:25" ht="15">
      <c r="A289" s="50" t="str">
        <f t="shared" si="4"/>
        <v>PROTECTION_PRTCTN_VLTN_APPRCH</v>
      </c>
      <c r="B289" s="50"/>
      <c r="C289" t="s">
        <v>156</v>
      </c>
      <c r="D289" t="s">
        <v>469</v>
      </c>
      <c r="E289" t="s">
        <v>14</v>
      </c>
      <c r="F289" t="s">
        <v>36</v>
      </c>
      <c r="G289" t="s">
        <v>145</v>
      </c>
      <c r="H289" t="s">
        <v>158</v>
      </c>
      <c r="J289" t="s">
        <v>29</v>
      </c>
      <c r="K289" s="15">
        <v>45450</v>
      </c>
      <c r="L289" t="s">
        <v>36</v>
      </c>
      <c r="M289" t="str">
        <f>IF(COUNTIFS(PRO_LT_SCORECARD_FLEX_VALIDATIO!$K:$K, _xlfn.CONCAT(C289,D289), PRO_LT_SCORECARD_FLEX_VALIDATIO!$G:$G, "KO") &gt; 0, "NOK", "OK")</f>
        <v>NOK</v>
      </c>
      <c r="Q289" t="s">
        <v>8</v>
      </c>
      <c r="R289" t="s">
        <v>131</v>
      </c>
      <c r="S289" t="s">
        <v>132</v>
      </c>
      <c r="T289" t="s">
        <v>132</v>
      </c>
      <c r="U289" t="s">
        <v>132</v>
      </c>
      <c r="V289" t="s">
        <v>132</v>
      </c>
      <c r="W289" t="s">
        <v>132</v>
      </c>
      <c r="X289" t="s">
        <v>5</v>
      </c>
      <c r="Y289">
        <f>_xlfn.IFNA(_xlfn.XLOOKUP(D289,[1]Especificação!$G:$G,[1]Especificação!$C:$C),0)</f>
        <v>0</v>
      </c>
    </row>
    <row r="290" spans="1:25" ht="15">
      <c r="A290" s="50" t="str">
        <f t="shared" si="4"/>
        <v>INSTRUMENT_PRVSNS_OFF_BLNC_SHT</v>
      </c>
      <c r="B290" s="50"/>
      <c r="C290" t="s">
        <v>127</v>
      </c>
      <c r="D290" t="s">
        <v>470</v>
      </c>
      <c r="E290" t="s">
        <v>14</v>
      </c>
      <c r="F290" t="s">
        <v>38</v>
      </c>
      <c r="G290" t="s">
        <v>129</v>
      </c>
      <c r="H290" t="s">
        <v>130</v>
      </c>
      <c r="J290" t="s">
        <v>26</v>
      </c>
      <c r="K290" s="15">
        <v>45450</v>
      </c>
      <c r="L290" t="s">
        <v>38</v>
      </c>
      <c r="M290" t="str">
        <f>IF(COUNTIFS(PRO_LT_SCORECARD_FLEX_VALIDATIO!$K:$K, _xlfn.CONCAT(C290,D290), PRO_LT_SCORECARD_FLEX_VALIDATIO!$G:$G, "KO") &gt; 0, "NOK", "OK")</f>
        <v>OK</v>
      </c>
      <c r="Q290" t="s">
        <v>30</v>
      </c>
      <c r="R290" t="s">
        <v>131</v>
      </c>
      <c r="S290" t="s">
        <v>131</v>
      </c>
      <c r="T290" t="s">
        <v>132</v>
      </c>
      <c r="U290" t="s">
        <v>132</v>
      </c>
      <c r="V290" t="s">
        <v>132</v>
      </c>
      <c r="W290" t="s">
        <v>132</v>
      </c>
      <c r="X290" t="s">
        <v>5</v>
      </c>
      <c r="Y290">
        <f>_xlfn.IFNA(_xlfn.XLOOKUP(D290,[1]Especificação!$G:$G,[1]Especificação!$C:$C),0)</f>
        <v>0</v>
      </c>
    </row>
    <row r="291" spans="1:25" ht="15">
      <c r="A291" s="50" t="str">
        <f t="shared" si="4"/>
        <v>INSTRUMENT_PYMNT_FRQNCY</v>
      </c>
      <c r="B291" s="50"/>
      <c r="C291" t="s">
        <v>127</v>
      </c>
      <c r="D291" s="11" t="s">
        <v>471</v>
      </c>
      <c r="E291" t="s">
        <v>14</v>
      </c>
      <c r="F291" t="s">
        <v>35</v>
      </c>
      <c r="G291" t="s">
        <v>129</v>
      </c>
      <c r="H291" t="s">
        <v>472</v>
      </c>
      <c r="I291" t="s">
        <v>473</v>
      </c>
      <c r="J291" t="s">
        <v>32</v>
      </c>
      <c r="K291" s="15">
        <v>45450</v>
      </c>
      <c r="L291" t="s">
        <v>35</v>
      </c>
      <c r="M291" t="str">
        <f>IF(COUNTIFS(PRO_LT_SCORECARD_FLEX_VALIDATIO!$K:$K, _xlfn.CONCAT(C291,D291), PRO_LT_SCORECARD_FLEX_VALIDATIO!$G:$G, "KO") &gt; 0, "NOK", "OK")</f>
        <v>OK</v>
      </c>
      <c r="Q291" t="s">
        <v>39</v>
      </c>
      <c r="R291" t="s">
        <v>131</v>
      </c>
      <c r="S291" t="s">
        <v>132</v>
      </c>
      <c r="T291" t="s">
        <v>132</v>
      </c>
      <c r="U291" t="s">
        <v>132</v>
      </c>
      <c r="V291" t="s">
        <v>132</v>
      </c>
      <c r="W291" t="s">
        <v>132</v>
      </c>
      <c r="X291" t="s">
        <v>5</v>
      </c>
      <c r="Y291">
        <f>_xlfn.IFNA(_xlfn.XLOOKUP(D291,[1]Especificação!$G:$G,[1]Especificação!$C:$C),0)</f>
        <v>0</v>
      </c>
    </row>
    <row r="292" spans="1:25" ht="15">
      <c r="A292" s="50" t="str">
        <f t="shared" si="4"/>
        <v>INSTRUMENT_PYMNT_INTRST_ONLY</v>
      </c>
      <c r="B292" s="50"/>
      <c r="C292" t="s">
        <v>127</v>
      </c>
      <c r="D292" s="11" t="s">
        <v>474</v>
      </c>
      <c r="E292" t="s">
        <v>14</v>
      </c>
      <c r="F292" t="s">
        <v>28</v>
      </c>
      <c r="G292" t="s">
        <v>145</v>
      </c>
      <c r="H292" t="s">
        <v>154</v>
      </c>
      <c r="I292" t="s">
        <v>475</v>
      </c>
      <c r="J292" t="s">
        <v>32</v>
      </c>
      <c r="K292" s="15">
        <v>45958</v>
      </c>
      <c r="L292" t="s">
        <v>38</v>
      </c>
      <c r="M292" t="str">
        <f>IF(COUNTIFS(PRO_LT_SCORECARD_FLEX_VALIDATIO!$K:$K, _xlfn.CONCAT(C292,D292), PRO_LT_SCORECARD_FLEX_VALIDATIO!$G:$G, "KO") &gt; 0, "NOK", "OK")</f>
        <v>NOK</v>
      </c>
      <c r="O292" s="15">
        <v>45958</v>
      </c>
      <c r="Q292" t="s">
        <v>39</v>
      </c>
      <c r="R292" t="s">
        <v>131</v>
      </c>
      <c r="S292" t="s">
        <v>132</v>
      </c>
      <c r="T292" t="s">
        <v>132</v>
      </c>
      <c r="U292" t="s">
        <v>132</v>
      </c>
      <c r="V292" t="s">
        <v>132</v>
      </c>
      <c r="W292" t="s">
        <v>131</v>
      </c>
      <c r="X292" t="s">
        <v>136</v>
      </c>
      <c r="Y292" t="str">
        <f>_xlfn.IFNA(_xlfn.XLOOKUP(D292,[1]Especificação!$G:$G,[1]Especificação!$C:$C),0)</f>
        <v xml:space="preserve">E. Campos com outras possíveis alterações - Dependente de decisões OSI </v>
      </c>
    </row>
    <row r="293" spans="1:25" ht="15">
      <c r="A293" s="50" t="str">
        <f t="shared" si="4"/>
        <v>INSTRUMENT_RCRS</v>
      </c>
      <c r="B293" s="50"/>
      <c r="C293" t="s">
        <v>127</v>
      </c>
      <c r="D293" t="s">
        <v>476</v>
      </c>
      <c r="E293" t="s">
        <v>14</v>
      </c>
      <c r="F293" t="s">
        <v>38</v>
      </c>
      <c r="G293" t="s">
        <v>129</v>
      </c>
      <c r="H293" t="s">
        <v>130</v>
      </c>
      <c r="J293" t="s">
        <v>26</v>
      </c>
      <c r="K293" s="15">
        <v>45450</v>
      </c>
      <c r="L293" t="s">
        <v>38</v>
      </c>
      <c r="M293" t="str">
        <f>IF(COUNTIFS(PRO_LT_SCORECARD_FLEX_VALIDATIO!$K:$K, _xlfn.CONCAT(C293,D293), PRO_LT_SCORECARD_FLEX_VALIDATIO!$G:$G, "KO") &gt; 0, "NOK", "OK")</f>
        <v>OK</v>
      </c>
      <c r="Q293" t="s">
        <v>30</v>
      </c>
      <c r="R293" t="s">
        <v>131</v>
      </c>
      <c r="S293" t="s">
        <v>132</v>
      </c>
      <c r="T293" t="s">
        <v>132</v>
      </c>
      <c r="U293" t="s">
        <v>132</v>
      </c>
      <c r="V293" t="s">
        <v>132</v>
      </c>
      <c r="W293" t="s">
        <v>132</v>
      </c>
      <c r="X293" t="s">
        <v>5</v>
      </c>
      <c r="Y293">
        <f>_xlfn.IFNA(_xlfn.XLOOKUP(D293,[1]Especificação!$G:$G,[1]Especificação!$C:$C),0)</f>
        <v>0</v>
      </c>
    </row>
    <row r="294" spans="1:25" ht="15">
      <c r="A294" s="50" t="str">
        <f t="shared" si="4"/>
        <v>INSTRUMENT_RCVD_AMRTSTN_12M</v>
      </c>
      <c r="B294" s="50"/>
      <c r="C294" t="s">
        <v>127</v>
      </c>
      <c r="D294" t="s">
        <v>477</v>
      </c>
      <c r="E294" t="s">
        <v>14</v>
      </c>
      <c r="F294" t="s">
        <v>36</v>
      </c>
      <c r="G294" t="s">
        <v>145</v>
      </c>
      <c r="H294" t="s">
        <v>158</v>
      </c>
      <c r="J294" t="s">
        <v>29</v>
      </c>
      <c r="K294" s="15">
        <v>45958</v>
      </c>
      <c r="L294" t="s">
        <v>38</v>
      </c>
      <c r="M294" t="str">
        <f>IF(COUNTIFS(PRO_LT_SCORECARD_FLEX_VALIDATIO!$K:$K, _xlfn.CONCAT(C294,D294), PRO_LT_SCORECARD_FLEX_VALIDATIO!$G:$G, "KO") &gt; 0, "NOK", "OK")</f>
        <v>NOK</v>
      </c>
      <c r="P294" s="15">
        <v>45958</v>
      </c>
      <c r="Q294" t="s">
        <v>8</v>
      </c>
      <c r="R294" t="s">
        <v>131</v>
      </c>
      <c r="S294" t="s">
        <v>132</v>
      </c>
      <c r="T294" t="s">
        <v>132</v>
      </c>
      <c r="U294" t="s">
        <v>132</v>
      </c>
      <c r="V294" t="s">
        <v>132</v>
      </c>
      <c r="W294" t="s">
        <v>131</v>
      </c>
      <c r="X294" t="s">
        <v>136</v>
      </c>
      <c r="Y294" t="str">
        <f>_xlfn.IFNA(_xlfn.XLOOKUP(D294,[1]Especificação!$G:$G,[1]Especificação!$C:$C),0)</f>
        <v>D. Campos com NOK controlos Corporativos</v>
      </c>
    </row>
    <row r="295" spans="1:25" ht="15">
      <c r="A295" s="50" t="str">
        <f t="shared" si="4"/>
        <v>INSTRUMENT_RCVD_AMRTSTN_24M</v>
      </c>
      <c r="B295" s="50"/>
      <c r="C295" t="s">
        <v>127</v>
      </c>
      <c r="D295" t="s">
        <v>478</v>
      </c>
      <c r="E295" t="s">
        <v>14</v>
      </c>
      <c r="F295" t="s">
        <v>38</v>
      </c>
      <c r="G295" t="s">
        <v>129</v>
      </c>
      <c r="H295" t="s">
        <v>130</v>
      </c>
      <c r="J295" t="s">
        <v>26</v>
      </c>
      <c r="K295" s="15">
        <v>45450</v>
      </c>
      <c r="L295" t="s">
        <v>38</v>
      </c>
      <c r="M295" t="str">
        <f>IF(COUNTIFS(PRO_LT_SCORECARD_FLEX_VALIDATIO!$K:$K, _xlfn.CONCAT(C295,D295), PRO_LT_SCORECARD_FLEX_VALIDATIO!$G:$G, "KO") &gt; 0, "NOK", "OK")</f>
        <v>NOK</v>
      </c>
      <c r="Q295" t="s">
        <v>30</v>
      </c>
      <c r="R295" t="s">
        <v>131</v>
      </c>
      <c r="S295" t="s">
        <v>132</v>
      </c>
      <c r="T295" t="s">
        <v>132</v>
      </c>
      <c r="U295" t="s">
        <v>132</v>
      </c>
      <c r="V295" t="s">
        <v>132</v>
      </c>
      <c r="W295" t="s">
        <v>131</v>
      </c>
      <c r="X295" t="s">
        <v>5</v>
      </c>
      <c r="Y295" t="str">
        <f>_xlfn.IFNA(_xlfn.XLOOKUP(D295,[1]Especificação!$G:$G,[1]Especificação!$C:$C),0)</f>
        <v>F1. Fora âmbito | Campos concluídos - Sem necessidade de espec.</v>
      </c>
    </row>
    <row r="296" spans="1:25" ht="15">
      <c r="A296" s="50" t="str">
        <f t="shared" si="4"/>
        <v>PROTECTION_DT_CNSTRCTN_STTS</v>
      </c>
      <c r="B296" s="50"/>
      <c r="C296" t="s">
        <v>156</v>
      </c>
      <c r="D296" s="11" t="s">
        <v>67</v>
      </c>
      <c r="E296" t="s">
        <v>6</v>
      </c>
      <c r="F296" t="s">
        <v>25</v>
      </c>
      <c r="G296" t="s">
        <v>145</v>
      </c>
      <c r="H296" t="s">
        <v>248</v>
      </c>
      <c r="I296" t="s">
        <v>479</v>
      </c>
      <c r="J296" t="s">
        <v>32</v>
      </c>
      <c r="K296" s="15">
        <v>45568</v>
      </c>
      <c r="L296" t="s">
        <v>25</v>
      </c>
      <c r="M296" t="str">
        <f>IF(COUNTIFS(PRO_LT_SCORECARD_FLEX_VALIDATIO!$K:$K, _xlfn.CONCAT(C296,D296), PRO_LT_SCORECARD_FLEX_VALIDATIO!$G:$G, "KO") &gt; 0, "NOK", "OK")</f>
        <v>NOK</v>
      </c>
      <c r="Q296" t="s">
        <v>24</v>
      </c>
      <c r="R296" t="s">
        <v>131</v>
      </c>
      <c r="S296" t="s">
        <v>132</v>
      </c>
      <c r="T296" t="s">
        <v>132</v>
      </c>
      <c r="U296" t="s">
        <v>132</v>
      </c>
      <c r="V296" t="s">
        <v>132</v>
      </c>
      <c r="W296" t="s">
        <v>132</v>
      </c>
      <c r="X296" t="s">
        <v>5</v>
      </c>
      <c r="Y296">
        <f>_xlfn.IFNA(_xlfn.XLOOKUP(D296,[1]Especificação!$G:$G,[1]Especificação!$C:$C),0)</f>
        <v>0</v>
      </c>
    </row>
    <row r="297" spans="1:25" ht="15">
      <c r="A297" s="50" t="str">
        <f t="shared" si="4"/>
        <v>INSTRUMENT_DFLT_STTS_INSTRMNT</v>
      </c>
      <c r="B297" s="50"/>
      <c r="C297" t="s">
        <v>127</v>
      </c>
      <c r="D297" s="11" t="s">
        <v>480</v>
      </c>
      <c r="E297" t="s">
        <v>14</v>
      </c>
      <c r="F297" t="s">
        <v>25</v>
      </c>
      <c r="G297" t="s">
        <v>145</v>
      </c>
      <c r="H297" t="s">
        <v>481</v>
      </c>
      <c r="J297" t="s">
        <v>32</v>
      </c>
      <c r="K297" s="15">
        <v>45957</v>
      </c>
      <c r="L297" t="s">
        <v>55</v>
      </c>
      <c r="M297" t="str">
        <f>IF(COUNTIFS(PRO_LT_SCORECARD_FLEX_VALIDATIO!$K:$K, _xlfn.CONCAT(C297,D297), PRO_LT_SCORECARD_FLEX_VALIDATIO!$G:$G, "KO") &gt; 0, "NOK", "OK")</f>
        <v>NOK</v>
      </c>
      <c r="O297" s="15">
        <v>45957</v>
      </c>
      <c r="P297" s="15"/>
      <c r="Q297" t="s">
        <v>24</v>
      </c>
      <c r="R297" t="s">
        <v>131</v>
      </c>
      <c r="S297" t="s">
        <v>131</v>
      </c>
      <c r="T297" t="s">
        <v>131</v>
      </c>
      <c r="U297" t="s">
        <v>132</v>
      </c>
      <c r="V297" t="s">
        <v>132</v>
      </c>
      <c r="W297" t="s">
        <v>131</v>
      </c>
      <c r="X297" t="s">
        <v>136</v>
      </c>
      <c r="Y297" t="str">
        <f>_xlfn.IFNA(_xlfn.XLOOKUP(D297,[1]Especificação!$G:$G,[1]Especificação!$C:$C),0)</f>
        <v>B2. Re-especificação de campos complexos - Resto</v>
      </c>
    </row>
    <row r="298" spans="1:25" ht="15">
      <c r="A298" s="50" t="str">
        <f t="shared" si="4"/>
        <v>INSTRUMENT_CMMTMNT_INSTRMNT</v>
      </c>
      <c r="B298" s="50"/>
      <c r="C298" t="s">
        <v>127</v>
      </c>
      <c r="D298" t="s">
        <v>482</v>
      </c>
      <c r="E298" t="s">
        <v>14</v>
      </c>
      <c r="F298" t="s">
        <v>25</v>
      </c>
      <c r="G298" t="s">
        <v>129</v>
      </c>
      <c r="H298" t="s">
        <v>483</v>
      </c>
      <c r="I298" t="s">
        <v>484</v>
      </c>
      <c r="J298" t="s">
        <v>29</v>
      </c>
      <c r="K298" s="15">
        <v>45450</v>
      </c>
      <c r="L298" t="s">
        <v>25</v>
      </c>
      <c r="M298" t="str">
        <f>IF(COUNTIFS(PRO_LT_SCORECARD_FLEX_VALIDATIO!$K:$K, _xlfn.CONCAT(C298,D298), PRO_LT_SCORECARD_FLEX_VALIDATIO!$G:$G, "KO") &gt; 0, "NOK", "OK")</f>
        <v>OK</v>
      </c>
      <c r="Q298" t="s">
        <v>13</v>
      </c>
      <c r="R298" t="s">
        <v>131</v>
      </c>
      <c r="S298" t="s">
        <v>132</v>
      </c>
      <c r="T298" t="s">
        <v>132</v>
      </c>
      <c r="U298" t="s">
        <v>132</v>
      </c>
      <c r="V298" t="s">
        <v>132</v>
      </c>
      <c r="W298" t="s">
        <v>132</v>
      </c>
      <c r="X298" t="s">
        <v>5</v>
      </c>
      <c r="Y298">
        <f>_xlfn.IFNA(_xlfn.XLOOKUP(D298,[1]Especificação!$G:$G,[1]Especificação!$C:$C),0)</f>
        <v>0</v>
      </c>
    </row>
    <row r="299" spans="1:25" ht="15">
      <c r="A299" s="50" t="str">
        <f t="shared" si="4"/>
        <v>INSTRUMENT_RFRNC_RT</v>
      </c>
      <c r="B299" s="50"/>
      <c r="C299" t="s">
        <v>127</v>
      </c>
      <c r="D299" t="s">
        <v>485</v>
      </c>
      <c r="E299" t="s">
        <v>6</v>
      </c>
      <c r="F299" t="s">
        <v>38</v>
      </c>
      <c r="G299" t="s">
        <v>129</v>
      </c>
      <c r="H299" t="s">
        <v>130</v>
      </c>
      <c r="J299" t="s">
        <v>26</v>
      </c>
      <c r="K299" s="15">
        <v>45450</v>
      </c>
      <c r="L299" t="s">
        <v>38</v>
      </c>
      <c r="M299" t="str">
        <f>IF(COUNTIFS(PRO_LT_SCORECARD_FLEX_VALIDATIO!$K:$K, _xlfn.CONCAT(C299,D299), PRO_LT_SCORECARD_FLEX_VALIDATIO!$G:$G, "KO") &gt; 0, "NOK", "OK")</f>
        <v>NOK</v>
      </c>
      <c r="Q299" t="s">
        <v>30</v>
      </c>
      <c r="R299" t="s">
        <v>131</v>
      </c>
      <c r="S299" t="s">
        <v>132</v>
      </c>
      <c r="T299" t="s">
        <v>132</v>
      </c>
      <c r="U299" t="s">
        <v>132</v>
      </c>
      <c r="V299" t="s">
        <v>132</v>
      </c>
      <c r="W299" t="s">
        <v>132</v>
      </c>
      <c r="X299" t="s">
        <v>5</v>
      </c>
      <c r="Y299">
        <f>_xlfn.IFNA(_xlfn.XLOOKUP(D299,[1]Especificação!$G:$G,[1]Especificação!$C:$C),0)</f>
        <v>0</v>
      </c>
    </row>
    <row r="300" spans="1:25" ht="15">
      <c r="A300" s="50" t="str">
        <f t="shared" si="4"/>
        <v>PROTECTION_RL_ESTT_ADDRSS</v>
      </c>
      <c r="B300" s="50"/>
      <c r="C300" t="s">
        <v>156</v>
      </c>
      <c r="D300" t="s">
        <v>486</v>
      </c>
      <c r="E300" t="s">
        <v>6</v>
      </c>
      <c r="F300" t="s">
        <v>36</v>
      </c>
      <c r="G300" t="s">
        <v>145</v>
      </c>
      <c r="H300" t="s">
        <v>158</v>
      </c>
      <c r="J300" t="s">
        <v>29</v>
      </c>
      <c r="K300" s="15">
        <v>45450</v>
      </c>
      <c r="L300" t="s">
        <v>36</v>
      </c>
      <c r="M300" t="str">
        <f>IF(COUNTIFS(PRO_LT_SCORECARD_FLEX_VALIDATIO!$K:$K, _xlfn.CONCAT(C300,D300), PRO_LT_SCORECARD_FLEX_VALIDATIO!$G:$G, "KO") &gt; 0, "NOK", "OK")</f>
        <v>OK</v>
      </c>
      <c r="Q300" t="s">
        <v>8</v>
      </c>
      <c r="R300" t="s">
        <v>131</v>
      </c>
      <c r="S300" t="s">
        <v>132</v>
      </c>
      <c r="T300" t="s">
        <v>132</v>
      </c>
      <c r="U300" t="s">
        <v>132</v>
      </c>
      <c r="V300" t="s">
        <v>131</v>
      </c>
      <c r="W300" t="s">
        <v>132</v>
      </c>
      <c r="X300" t="s">
        <v>5</v>
      </c>
      <c r="Y300">
        <f>_xlfn.IFNA(_xlfn.XLOOKUP(D300,[1]Especificação!$G:$G,[1]Especificação!$C:$C),0)</f>
        <v>0</v>
      </c>
    </row>
    <row r="301" spans="1:25" ht="15">
      <c r="A301" s="50" t="str">
        <f t="shared" si="4"/>
        <v>INSTRUMENT_CMLTV_RCVRS_SNC_DFLT_INSTRMNT</v>
      </c>
      <c r="B301" s="50"/>
      <c r="C301" t="s">
        <v>127</v>
      </c>
      <c r="D301" t="s">
        <v>487</v>
      </c>
      <c r="E301" t="s">
        <v>14</v>
      </c>
      <c r="F301" t="s">
        <v>25</v>
      </c>
      <c r="G301" t="s">
        <v>129</v>
      </c>
      <c r="H301" t="s">
        <v>164</v>
      </c>
      <c r="J301" t="s">
        <v>29</v>
      </c>
      <c r="K301" s="15">
        <v>45450</v>
      </c>
      <c r="L301" t="s">
        <v>25</v>
      </c>
      <c r="M301" t="str">
        <f>IF(COUNTIFS(PRO_LT_SCORECARD_FLEX_VALIDATIO!$K:$K, _xlfn.CONCAT(C301,D301), PRO_LT_SCORECARD_FLEX_VALIDATIO!$G:$G, "KO") &gt; 0, "NOK", "OK")</f>
        <v>OK</v>
      </c>
      <c r="Q301" t="s">
        <v>27</v>
      </c>
      <c r="R301" t="s">
        <v>131</v>
      </c>
      <c r="S301" t="s">
        <v>132</v>
      </c>
      <c r="T301" t="s">
        <v>132</v>
      </c>
      <c r="U301" t="s">
        <v>132</v>
      </c>
      <c r="V301" t="s">
        <v>132</v>
      </c>
      <c r="W301" t="s">
        <v>132</v>
      </c>
      <c r="X301" t="s">
        <v>5</v>
      </c>
      <c r="Y301">
        <f>_xlfn.IFNA(_xlfn.XLOOKUP(D301,[1]Especificação!$G:$G,[1]Especificação!$C:$C),0)</f>
        <v>0</v>
      </c>
    </row>
    <row r="302" spans="1:25" ht="15">
      <c r="A302" s="50" t="str">
        <f t="shared" si="4"/>
        <v>PROTECTION_RL_ESTT_CLLTRL_LCTN_INT</v>
      </c>
      <c r="B302" s="50"/>
      <c r="C302" t="s">
        <v>156</v>
      </c>
      <c r="D302" t="s">
        <v>488</v>
      </c>
      <c r="E302" t="s">
        <v>6</v>
      </c>
      <c r="F302" t="s">
        <v>36</v>
      </c>
      <c r="G302" t="s">
        <v>145</v>
      </c>
      <c r="H302" t="s">
        <v>158</v>
      </c>
      <c r="J302" t="s">
        <v>29</v>
      </c>
      <c r="K302" s="15">
        <v>45450</v>
      </c>
      <c r="L302" t="s">
        <v>36</v>
      </c>
      <c r="M302" t="str">
        <f>IF(COUNTIFS(PRO_LT_SCORECARD_FLEX_VALIDATIO!$K:$K, _xlfn.CONCAT(C302,D302), PRO_LT_SCORECARD_FLEX_VALIDATIO!$G:$G, "KO") &gt; 0, "NOK", "OK")</f>
        <v>OK</v>
      </c>
      <c r="Q302" t="s">
        <v>8</v>
      </c>
      <c r="R302" t="s">
        <v>131</v>
      </c>
      <c r="S302" t="s">
        <v>132</v>
      </c>
      <c r="T302" t="s">
        <v>132</v>
      </c>
      <c r="U302" t="s">
        <v>132</v>
      </c>
      <c r="V302" t="s">
        <v>131</v>
      </c>
      <c r="W302" t="s">
        <v>132</v>
      </c>
      <c r="X302" t="s">
        <v>5</v>
      </c>
      <c r="Y302">
        <f>_xlfn.IFNA(_xlfn.XLOOKUP(D302,[1]Especificação!$G:$G,[1]Especificação!$C:$C),0)</f>
        <v>0</v>
      </c>
    </row>
    <row r="303" spans="1:25" ht="15">
      <c r="A303" s="50" t="str">
        <f t="shared" si="4"/>
        <v>PROTECTION_RL_ESTT_CTY</v>
      </c>
      <c r="B303" s="50"/>
      <c r="C303" t="s">
        <v>156</v>
      </c>
      <c r="D303" t="s">
        <v>489</v>
      </c>
      <c r="E303" t="s">
        <v>6</v>
      </c>
      <c r="F303" t="s">
        <v>36</v>
      </c>
      <c r="G303" t="s">
        <v>145</v>
      </c>
      <c r="H303" t="s">
        <v>158</v>
      </c>
      <c r="J303" t="s">
        <v>29</v>
      </c>
      <c r="K303" s="15">
        <v>45450</v>
      </c>
      <c r="L303" t="s">
        <v>36</v>
      </c>
      <c r="M303" t="str">
        <f>IF(COUNTIFS(PRO_LT_SCORECARD_FLEX_VALIDATIO!$K:$K, _xlfn.CONCAT(C303,D303), PRO_LT_SCORECARD_FLEX_VALIDATIO!$G:$G, "KO") &gt; 0, "NOK", "OK")</f>
        <v>OK</v>
      </c>
      <c r="Q303" t="s">
        <v>8</v>
      </c>
      <c r="R303" t="s">
        <v>131</v>
      </c>
      <c r="S303" t="s">
        <v>132</v>
      </c>
      <c r="T303" t="s">
        <v>132</v>
      </c>
      <c r="U303" t="s">
        <v>132</v>
      </c>
      <c r="V303" t="s">
        <v>131</v>
      </c>
      <c r="W303" t="s">
        <v>132</v>
      </c>
      <c r="X303" t="s">
        <v>5</v>
      </c>
      <c r="Y303">
        <f>_xlfn.IFNA(_xlfn.XLOOKUP(D303,[1]Especificação!$G:$G,[1]Especificação!$C:$C),0)</f>
        <v>0</v>
      </c>
    </row>
    <row r="304" spans="1:25" ht="15">
      <c r="A304" s="50" t="str">
        <f t="shared" si="4"/>
        <v>PROTECTION_RL_ESTT_PST_CD</v>
      </c>
      <c r="B304" s="50"/>
      <c r="C304" t="s">
        <v>156</v>
      </c>
      <c r="D304" t="s">
        <v>490</v>
      </c>
      <c r="E304" t="s">
        <v>14</v>
      </c>
      <c r="F304" t="s">
        <v>36</v>
      </c>
      <c r="G304" t="s">
        <v>145</v>
      </c>
      <c r="H304" t="s">
        <v>158</v>
      </c>
      <c r="J304" t="s">
        <v>29</v>
      </c>
      <c r="K304" s="15">
        <v>45450</v>
      </c>
      <c r="L304" t="s">
        <v>36</v>
      </c>
      <c r="M304" t="str">
        <f>IF(COUNTIFS(PRO_LT_SCORECARD_FLEX_VALIDATIO!$K:$K, _xlfn.CONCAT(C304,D304), PRO_LT_SCORECARD_FLEX_VALIDATIO!$G:$G, "KO") &gt; 0, "NOK", "OK")</f>
        <v>OK</v>
      </c>
      <c r="Q304" t="s">
        <v>8</v>
      </c>
      <c r="R304" t="s">
        <v>131</v>
      </c>
      <c r="S304" t="s">
        <v>132</v>
      </c>
      <c r="T304" t="s">
        <v>131</v>
      </c>
      <c r="U304" t="s">
        <v>132</v>
      </c>
      <c r="V304" t="s">
        <v>131</v>
      </c>
      <c r="W304" t="s">
        <v>132</v>
      </c>
      <c r="X304" t="s">
        <v>5</v>
      </c>
      <c r="Y304">
        <f>_xlfn.IFNA(_xlfn.XLOOKUP(D304,[1]Especificação!$G:$G,[1]Especificação!$C:$C),0)</f>
        <v>0</v>
      </c>
    </row>
    <row r="305" spans="1:25" ht="15">
      <c r="A305" s="50" t="str">
        <f t="shared" si="4"/>
        <v>INSTRUMENT_RRE_FNRP18</v>
      </c>
      <c r="B305" s="50"/>
      <c r="C305" t="s">
        <v>127</v>
      </c>
      <c r="D305" t="s">
        <v>491</v>
      </c>
      <c r="E305" t="s">
        <v>6</v>
      </c>
      <c r="F305" t="s">
        <v>38</v>
      </c>
      <c r="G305" t="s">
        <v>129</v>
      </c>
      <c r="H305" t="s">
        <v>130</v>
      </c>
      <c r="J305" t="s">
        <v>26</v>
      </c>
      <c r="K305" s="15">
        <v>45952</v>
      </c>
      <c r="L305" t="s">
        <v>38</v>
      </c>
      <c r="M305" t="str">
        <f>IF(COUNTIFS(PRO_LT_SCORECARD_FLEX_VALIDATIO!$K:$K, _xlfn.CONCAT(C305,D305), PRO_LT_SCORECARD_FLEX_VALIDATIO!$G:$G, "KO") &gt; 0, "NOK", "OK")</f>
        <v>OK</v>
      </c>
      <c r="P305" s="15">
        <v>45952</v>
      </c>
      <c r="Q305" t="s">
        <v>30</v>
      </c>
      <c r="R305" t="s">
        <v>131</v>
      </c>
      <c r="S305" t="s">
        <v>132</v>
      </c>
      <c r="T305" t="s">
        <v>132</v>
      </c>
      <c r="U305" t="s">
        <v>132</v>
      </c>
      <c r="V305" t="s">
        <v>132</v>
      </c>
      <c r="W305" t="s">
        <v>132</v>
      </c>
      <c r="X305" t="s">
        <v>5</v>
      </c>
      <c r="Y305">
        <f>_xlfn.IFNA(_xlfn.XLOOKUP(D305,[1]Especificação!$G:$G,[1]Especificação!$C:$C),0)</f>
        <v>0</v>
      </c>
    </row>
    <row r="306" spans="1:25" ht="15">
      <c r="A306" s="50" t="str">
        <f t="shared" si="4"/>
        <v>ENTITY_RTNG_MTHD</v>
      </c>
      <c r="B306" s="50"/>
      <c r="C306" t="s">
        <v>139</v>
      </c>
      <c r="D306" s="10" t="s">
        <v>492</v>
      </c>
      <c r="E306" t="s">
        <v>14</v>
      </c>
      <c r="F306" t="s">
        <v>33</v>
      </c>
      <c r="G306" t="s">
        <v>145</v>
      </c>
      <c r="H306" t="s">
        <v>262</v>
      </c>
      <c r="J306" t="s">
        <v>32</v>
      </c>
      <c r="K306" s="15">
        <v>45958</v>
      </c>
      <c r="L306" t="s">
        <v>38</v>
      </c>
      <c r="M306" t="str">
        <f>IF(COUNTIFS(PRO_LT_SCORECARD_FLEX_VALIDATIO!$K:$K, _xlfn.CONCAT(C306,D306), PRO_LT_SCORECARD_FLEX_VALIDATIO!$G:$G, "KO") &gt; 0, "NOK", "OK")</f>
        <v>NOK</v>
      </c>
      <c r="O306" s="15"/>
      <c r="P306" s="15">
        <v>45958</v>
      </c>
      <c r="Q306" t="s">
        <v>34</v>
      </c>
      <c r="R306" t="s">
        <v>131</v>
      </c>
      <c r="S306" t="s">
        <v>132</v>
      </c>
      <c r="T306" t="s">
        <v>132</v>
      </c>
      <c r="U306" t="s">
        <v>132</v>
      </c>
      <c r="V306" t="s">
        <v>132</v>
      </c>
      <c r="W306" t="s">
        <v>131</v>
      </c>
      <c r="X306" t="s">
        <v>136</v>
      </c>
      <c r="Y306" t="str">
        <f>_xlfn.IFNA(_xlfn.XLOOKUP(D306,[1]Especificação!$G:$G,[1]Especificação!$C:$C),0)</f>
        <v>C. Campos em testes ou c/ incidências</v>
      </c>
    </row>
    <row r="307" spans="1:25" ht="15">
      <c r="A307" s="50" t="str">
        <f t="shared" si="4"/>
        <v>INSTRUMENT_RTNG_MTHD</v>
      </c>
      <c r="B307" s="50"/>
      <c r="C307" t="s">
        <v>127</v>
      </c>
      <c r="D307" s="10" t="s">
        <v>492</v>
      </c>
      <c r="E307" t="s">
        <v>14</v>
      </c>
      <c r="F307" t="s">
        <v>33</v>
      </c>
      <c r="G307" t="s">
        <v>145</v>
      </c>
      <c r="H307" t="s">
        <v>262</v>
      </c>
      <c r="J307" t="s">
        <v>32</v>
      </c>
      <c r="K307" s="15">
        <v>45958</v>
      </c>
      <c r="L307" t="s">
        <v>38</v>
      </c>
      <c r="M307" t="str">
        <f>IF(COUNTIFS(PRO_LT_SCORECARD_FLEX_VALIDATIO!$K:$K, _xlfn.CONCAT(C307,D307), PRO_LT_SCORECARD_FLEX_VALIDATIO!$G:$G, "KO") &gt; 0, "NOK", "OK")</f>
        <v>NOK</v>
      </c>
      <c r="O307" s="15"/>
      <c r="P307" s="15">
        <v>45958</v>
      </c>
      <c r="Q307" t="s">
        <v>34</v>
      </c>
      <c r="R307" t="s">
        <v>131</v>
      </c>
      <c r="S307" t="s">
        <v>132</v>
      </c>
      <c r="T307" t="s">
        <v>132</v>
      </c>
      <c r="U307" t="s">
        <v>132</v>
      </c>
      <c r="V307" t="s">
        <v>132</v>
      </c>
      <c r="W307" t="s">
        <v>131</v>
      </c>
      <c r="X307" t="s">
        <v>136</v>
      </c>
      <c r="Y307" t="str">
        <f>_xlfn.IFNA(_xlfn.XLOOKUP(D307,[1]Especificação!$G:$G,[1]Especificação!$C:$C),0)</f>
        <v>C. Campos em testes ou c/ incidências</v>
      </c>
    </row>
    <row r="308" spans="1:25" ht="15">
      <c r="A308" s="50" t="str">
        <f t="shared" si="4"/>
        <v>ENTITY_RTNG_SCL</v>
      </c>
      <c r="B308" s="50"/>
      <c r="C308" t="s">
        <v>139</v>
      </c>
      <c r="D308" t="s">
        <v>493</v>
      </c>
      <c r="E308" t="s">
        <v>14</v>
      </c>
      <c r="F308" t="s">
        <v>38</v>
      </c>
      <c r="G308" t="s">
        <v>129</v>
      </c>
      <c r="H308" t="s">
        <v>130</v>
      </c>
      <c r="J308" t="s">
        <v>26</v>
      </c>
      <c r="K308" s="15">
        <v>45958</v>
      </c>
      <c r="L308" t="s">
        <v>38</v>
      </c>
      <c r="M308" t="str">
        <f>IF(COUNTIFS(PRO_LT_SCORECARD_FLEX_VALIDATIO!$K:$K, _xlfn.CONCAT(C308,D308), PRO_LT_SCORECARD_FLEX_VALIDATIO!$G:$G, "KO") &gt; 0, "NOK", "OK")</f>
        <v>OK</v>
      </c>
      <c r="P308" s="15">
        <v>45958</v>
      </c>
      <c r="Q308" t="s">
        <v>30</v>
      </c>
      <c r="R308" t="s">
        <v>131</v>
      </c>
      <c r="S308" t="s">
        <v>132</v>
      </c>
      <c r="T308" t="s">
        <v>132</v>
      </c>
      <c r="U308" t="s">
        <v>132</v>
      </c>
      <c r="V308" t="s">
        <v>132</v>
      </c>
      <c r="W308" t="s">
        <v>131</v>
      </c>
      <c r="X308" t="s">
        <v>5</v>
      </c>
      <c r="Y308" t="str">
        <f>_xlfn.IFNA(_xlfn.XLOOKUP(D308,[1]Especificação!$G:$G,[1]Especificação!$C:$C),0)</f>
        <v>B2. Re-especificação de campos complexos - Resto</v>
      </c>
    </row>
    <row r="309" spans="1:25" ht="15">
      <c r="A309" s="50" t="str">
        <f t="shared" si="4"/>
        <v>INSTRUMENT_RTNG_SCL</v>
      </c>
      <c r="B309" s="50"/>
      <c r="C309" t="s">
        <v>127</v>
      </c>
      <c r="D309" t="s">
        <v>493</v>
      </c>
      <c r="E309" t="s">
        <v>14</v>
      </c>
      <c r="F309" t="s">
        <v>38</v>
      </c>
      <c r="G309" t="s">
        <v>129</v>
      </c>
      <c r="H309" t="s">
        <v>130</v>
      </c>
      <c r="J309" t="s">
        <v>26</v>
      </c>
      <c r="K309" s="15">
        <v>45958</v>
      </c>
      <c r="L309" t="s">
        <v>38</v>
      </c>
      <c r="M309" t="str">
        <f>IF(COUNTIFS(PRO_LT_SCORECARD_FLEX_VALIDATIO!$K:$K, _xlfn.CONCAT(C309,D309), PRO_LT_SCORECARD_FLEX_VALIDATIO!$G:$G, "KO") &gt; 0, "NOK", "OK")</f>
        <v>OK</v>
      </c>
      <c r="P309" s="15">
        <v>45958</v>
      </c>
      <c r="Q309" t="s">
        <v>30</v>
      </c>
      <c r="R309" t="s">
        <v>131</v>
      </c>
      <c r="S309" t="s">
        <v>132</v>
      </c>
      <c r="T309" t="s">
        <v>132</v>
      </c>
      <c r="U309" t="s">
        <v>132</v>
      </c>
      <c r="V309" t="s">
        <v>132</v>
      </c>
      <c r="W309" t="s">
        <v>131</v>
      </c>
      <c r="X309" t="s">
        <v>5</v>
      </c>
      <c r="Y309" t="str">
        <f>_xlfn.IFNA(_xlfn.XLOOKUP(D309,[1]Especificação!$G:$G,[1]Especificação!$C:$C),0)</f>
        <v>B2. Re-especificação de campos complexos - Resto</v>
      </c>
    </row>
    <row r="310" spans="1:25" ht="15">
      <c r="A310" s="50" t="str">
        <f t="shared" si="4"/>
        <v>INSTRUMENT_RTNTN_SHR</v>
      </c>
      <c r="B310" s="50"/>
      <c r="C310" t="s">
        <v>127</v>
      </c>
      <c r="D310" t="s">
        <v>494</v>
      </c>
      <c r="E310" t="s">
        <v>6</v>
      </c>
      <c r="F310" t="s">
        <v>56</v>
      </c>
      <c r="G310" t="s">
        <v>129</v>
      </c>
      <c r="H310" t="s">
        <v>319</v>
      </c>
      <c r="I310" t="s">
        <v>320</v>
      </c>
      <c r="J310" t="s">
        <v>29</v>
      </c>
      <c r="K310" s="15">
        <v>45953</v>
      </c>
      <c r="L310" t="s">
        <v>38</v>
      </c>
      <c r="M310" t="str">
        <f>IF(COUNTIFS(PRO_LT_SCORECARD_FLEX_VALIDATIO!$K:$K, _xlfn.CONCAT(C310,D310), PRO_LT_SCORECARD_FLEX_VALIDATIO!$G:$G, "KO") &gt; 0, "NOK", "OK")</f>
        <v>OK</v>
      </c>
      <c r="P310" s="15">
        <v>45952</v>
      </c>
      <c r="Q310" t="s">
        <v>13</v>
      </c>
      <c r="R310" t="s">
        <v>131</v>
      </c>
      <c r="S310" t="s">
        <v>132</v>
      </c>
      <c r="T310" t="s">
        <v>132</v>
      </c>
      <c r="U310" t="s">
        <v>132</v>
      </c>
      <c r="V310" t="s">
        <v>132</v>
      </c>
      <c r="W310" t="s">
        <v>131</v>
      </c>
      <c r="X310" t="s">
        <v>136</v>
      </c>
      <c r="Y310" t="str">
        <f>_xlfn.IFNA(_xlfn.XLOOKUP(D310,[1]Especificação!$G:$G,[1]Especificação!$C:$C),0)</f>
        <v>B1. Re-especificação de campos complexos | Sindicados</v>
      </c>
    </row>
    <row r="311" spans="1:25" ht="15">
      <c r="A311" s="50" t="str">
        <f t="shared" si="4"/>
        <v>INSTRUMENT_RWA</v>
      </c>
      <c r="B311" s="50"/>
      <c r="C311" t="s">
        <v>127</v>
      </c>
      <c r="D311" s="10" t="s">
        <v>495</v>
      </c>
      <c r="E311" t="s">
        <v>14</v>
      </c>
      <c r="F311" t="s">
        <v>33</v>
      </c>
      <c r="G311" t="s">
        <v>129</v>
      </c>
      <c r="H311" t="s">
        <v>290</v>
      </c>
      <c r="J311" t="s">
        <v>32</v>
      </c>
      <c r="K311" s="15">
        <v>45958</v>
      </c>
      <c r="L311" t="s">
        <v>38</v>
      </c>
      <c r="M311" t="str">
        <f>IF(COUNTIFS(PRO_LT_SCORECARD_FLEX_VALIDATIO!$K:$K, _xlfn.CONCAT(C311,D311), PRO_LT_SCORECARD_FLEX_VALIDATIO!$G:$G, "KO") &gt; 0, "NOK", "OK")</f>
        <v>OK</v>
      </c>
      <c r="O311" s="15"/>
      <c r="P311" s="15">
        <v>45958</v>
      </c>
      <c r="Q311" t="s">
        <v>24</v>
      </c>
      <c r="R311" t="s">
        <v>131</v>
      </c>
      <c r="S311" t="s">
        <v>131</v>
      </c>
      <c r="T311" t="s">
        <v>132</v>
      </c>
      <c r="U311" t="s">
        <v>132</v>
      </c>
      <c r="V311" t="s">
        <v>132</v>
      </c>
      <c r="W311" t="s">
        <v>131</v>
      </c>
      <c r="X311" t="s">
        <v>136</v>
      </c>
      <c r="Y311" t="str">
        <f>_xlfn.IFNA(_xlfn.XLOOKUP(D311,[1]Especificação!$G:$G,[1]Especificação!$C:$C),0)</f>
        <v>C. Campos em testes ou c/ incidências</v>
      </c>
    </row>
    <row r="312" spans="1:25" ht="15">
      <c r="A312" s="50" t="str">
        <f t="shared" si="4"/>
        <v>INSTRUMENT_DT_LGL_FNL_MTRTY</v>
      </c>
      <c r="B312" s="50"/>
      <c r="C312" t="s">
        <v>127</v>
      </c>
      <c r="D312" s="10" t="s">
        <v>496</v>
      </c>
      <c r="E312" t="s">
        <v>14</v>
      </c>
      <c r="F312" t="s">
        <v>35</v>
      </c>
      <c r="G312" t="s">
        <v>145</v>
      </c>
      <c r="H312" s="86" t="s">
        <v>497</v>
      </c>
      <c r="I312" t="s">
        <v>498</v>
      </c>
      <c r="J312" t="s">
        <v>32</v>
      </c>
      <c r="K312" s="15">
        <v>45958</v>
      </c>
      <c r="L312" t="s">
        <v>38</v>
      </c>
      <c r="M312" t="str">
        <f>IF(COUNTIFS(PRO_LT_SCORECARD_FLEX_VALIDATIO!$K:$K, _xlfn.CONCAT(C312,D312), PRO_LT_SCORECARD_FLEX_VALIDATIO!$G:$G, "KO") &gt; 0, "NOK", "OK")</f>
        <v>NOK</v>
      </c>
      <c r="O312" s="15"/>
      <c r="P312" s="15">
        <v>45958</v>
      </c>
      <c r="Q312" t="s">
        <v>24</v>
      </c>
      <c r="R312" t="s">
        <v>131</v>
      </c>
      <c r="S312" t="s">
        <v>132</v>
      </c>
      <c r="T312" t="s">
        <v>131</v>
      </c>
      <c r="U312" t="s">
        <v>132</v>
      </c>
      <c r="V312" t="s">
        <v>132</v>
      </c>
      <c r="W312" t="s">
        <v>131</v>
      </c>
      <c r="X312" t="s">
        <v>136</v>
      </c>
      <c r="Y312" t="str">
        <f>_xlfn.IFNA(_xlfn.XLOOKUP(D312,[1]Especificação!$G:$G,[1]Especificação!$C:$C),0)</f>
        <v>C. Campos em testes ou c/ incidências</v>
      </c>
    </row>
    <row r="313" spans="1:25" ht="15">
      <c r="A313" s="50" t="str">
        <f t="shared" si="4"/>
        <v>INSTRUMENT_SBJCT_PBLC_GRNT_SCHM_C19</v>
      </c>
      <c r="B313" s="50"/>
      <c r="C313" t="s">
        <v>127</v>
      </c>
      <c r="D313" t="s">
        <v>499</v>
      </c>
      <c r="E313" t="s">
        <v>6</v>
      </c>
      <c r="F313" t="s">
        <v>38</v>
      </c>
      <c r="G313" t="s">
        <v>129</v>
      </c>
      <c r="H313" t="s">
        <v>130</v>
      </c>
      <c r="J313" t="s">
        <v>26</v>
      </c>
      <c r="K313" s="15">
        <v>45450</v>
      </c>
      <c r="L313" t="s">
        <v>38</v>
      </c>
      <c r="M313" t="str">
        <f>IF(COUNTIFS(PRO_LT_SCORECARD_FLEX_VALIDATIO!$K:$K, _xlfn.CONCAT(C313,D313), PRO_LT_SCORECARD_FLEX_VALIDATIO!$G:$G, "KO") &gt; 0, "NOK", "OK")</f>
        <v>OK</v>
      </c>
      <c r="Q313" t="s">
        <v>30</v>
      </c>
      <c r="R313" t="s">
        <v>131</v>
      </c>
      <c r="S313" t="s">
        <v>132</v>
      </c>
      <c r="T313" t="s">
        <v>132</v>
      </c>
      <c r="U313" t="s">
        <v>132</v>
      </c>
      <c r="V313" t="s">
        <v>132</v>
      </c>
      <c r="W313" t="s">
        <v>132</v>
      </c>
      <c r="X313" t="s">
        <v>5</v>
      </c>
      <c r="Y313">
        <f>_xlfn.IFNA(_xlfn.XLOOKUP(D313,[1]Especificação!$G:$G,[1]Especificação!$C:$C),0)</f>
        <v>0</v>
      </c>
    </row>
    <row r="314" spans="1:25" ht="15">
      <c r="A314" s="50" t="str">
        <f t="shared" si="4"/>
        <v>INSTRUMENT_DT_NXT_INTRST_RT_RST</v>
      </c>
      <c r="B314" s="50"/>
      <c r="C314" t="s">
        <v>127</v>
      </c>
      <c r="D314" s="10" t="s">
        <v>500</v>
      </c>
      <c r="E314" t="s">
        <v>14</v>
      </c>
      <c r="F314" t="s">
        <v>35</v>
      </c>
      <c r="G314" t="s">
        <v>145</v>
      </c>
      <c r="H314" t="s">
        <v>501</v>
      </c>
      <c r="I314" t="s">
        <v>502</v>
      </c>
      <c r="J314" t="s">
        <v>32</v>
      </c>
      <c r="K314" s="15">
        <v>45450</v>
      </c>
      <c r="L314" t="s">
        <v>35</v>
      </c>
      <c r="M314" t="str">
        <f>IF(COUNTIFS(PRO_LT_SCORECARD_FLEX_VALIDATIO!$K:$K, _xlfn.CONCAT(C314,D314), PRO_LT_SCORECARD_FLEX_VALIDATIO!$G:$G, "KO") &gt; 0, "NOK", "OK")</f>
        <v>NOK</v>
      </c>
      <c r="Q314" t="s">
        <v>24</v>
      </c>
      <c r="R314" t="s">
        <v>131</v>
      </c>
      <c r="S314" t="s">
        <v>132</v>
      </c>
      <c r="T314" t="s">
        <v>132</v>
      </c>
      <c r="U314" t="s">
        <v>132</v>
      </c>
      <c r="V314" t="s">
        <v>132</v>
      </c>
      <c r="W314" t="s">
        <v>132</v>
      </c>
      <c r="X314" t="s">
        <v>5</v>
      </c>
      <c r="Y314">
        <f>_xlfn.IFNA(_xlfn.XLOOKUP(D314,[1]Especificação!$G:$G,[1]Especificação!$C:$C),0)</f>
        <v>0</v>
      </c>
    </row>
    <row r="315" spans="1:25" ht="15">
      <c r="A315" s="50" t="str">
        <f t="shared" si="4"/>
        <v>INSTRUMENT_SME_FNRP18</v>
      </c>
      <c r="B315" s="50"/>
      <c r="C315" t="s">
        <v>127</v>
      </c>
      <c r="D315" t="s">
        <v>503</v>
      </c>
      <c r="E315" t="s">
        <v>14</v>
      </c>
      <c r="F315" t="s">
        <v>38</v>
      </c>
      <c r="G315" t="s">
        <v>129</v>
      </c>
      <c r="H315" t="s">
        <v>130</v>
      </c>
      <c r="J315" t="s">
        <v>26</v>
      </c>
      <c r="K315" s="15">
        <v>45952</v>
      </c>
      <c r="L315" t="s">
        <v>38</v>
      </c>
      <c r="M315" t="str">
        <f>IF(COUNTIFS(PRO_LT_SCORECARD_FLEX_VALIDATIO!$K:$K, _xlfn.CONCAT(C315,D315), PRO_LT_SCORECARD_FLEX_VALIDATIO!$G:$G, "KO") &gt; 0, "NOK", "OK")</f>
        <v>OK</v>
      </c>
      <c r="P315" s="15">
        <v>45952</v>
      </c>
      <c r="Q315" t="s">
        <v>30</v>
      </c>
      <c r="R315" t="s">
        <v>131</v>
      </c>
      <c r="S315" t="s">
        <v>132</v>
      </c>
      <c r="T315" t="s">
        <v>132</v>
      </c>
      <c r="U315" t="s">
        <v>132</v>
      </c>
      <c r="V315" t="s">
        <v>132</v>
      </c>
      <c r="W315" t="s">
        <v>132</v>
      </c>
      <c r="X315" t="s">
        <v>5</v>
      </c>
      <c r="Y315">
        <f>_xlfn.IFNA(_xlfn.XLOOKUP(D315,[1]Especificação!$G:$G,[1]Especificação!$C:$C),0)</f>
        <v>0</v>
      </c>
    </row>
    <row r="316" spans="1:25" ht="15">
      <c r="A316" s="50" t="str">
        <f t="shared" si="4"/>
        <v>ENTITY_SNGL_PRPS_VHCL</v>
      </c>
      <c r="B316" s="50"/>
      <c r="C316" t="s">
        <v>139</v>
      </c>
      <c r="D316" t="s">
        <v>504</v>
      </c>
      <c r="E316" t="s">
        <v>6</v>
      </c>
      <c r="F316" t="s">
        <v>38</v>
      </c>
      <c r="G316" t="s">
        <v>129</v>
      </c>
      <c r="H316" t="s">
        <v>130</v>
      </c>
      <c r="J316" t="s">
        <v>26</v>
      </c>
      <c r="K316" s="15">
        <v>45450</v>
      </c>
      <c r="L316" t="s">
        <v>38</v>
      </c>
      <c r="M316" t="str">
        <f>IF(COUNTIFS(PRO_LT_SCORECARD_FLEX_VALIDATIO!$K:$K, _xlfn.CONCAT(C316,D316), PRO_LT_SCORECARD_FLEX_VALIDATIO!$G:$G, "KO") &gt; 0, "NOK", "OK")</f>
        <v>NOK</v>
      </c>
      <c r="Q316" t="s">
        <v>30</v>
      </c>
      <c r="R316" t="s">
        <v>131</v>
      </c>
      <c r="S316" t="s">
        <v>132</v>
      </c>
      <c r="T316" t="s">
        <v>132</v>
      </c>
      <c r="U316" t="s">
        <v>132</v>
      </c>
      <c r="V316" t="s">
        <v>132</v>
      </c>
      <c r="W316" t="s">
        <v>132</v>
      </c>
      <c r="X316" t="s">
        <v>5</v>
      </c>
      <c r="Y316">
        <f>_xlfn.IFNA(_xlfn.XLOOKUP(D316,[1]Especificação!$G:$G,[1]Especificação!$C:$C),0)</f>
        <v>0</v>
      </c>
    </row>
    <row r="317" spans="1:25" ht="15">
      <c r="A317" s="50" t="str">
        <f t="shared" si="4"/>
        <v>INSTRUMENT_SPCLTV_LNDNG</v>
      </c>
      <c r="B317" s="50"/>
      <c r="C317" t="s">
        <v>127</v>
      </c>
      <c r="D317" t="s">
        <v>505</v>
      </c>
      <c r="E317" t="s">
        <v>6</v>
      </c>
      <c r="F317" t="s">
        <v>36</v>
      </c>
      <c r="G317" t="s">
        <v>145</v>
      </c>
      <c r="H317" t="s">
        <v>158</v>
      </c>
      <c r="J317" t="s">
        <v>29</v>
      </c>
      <c r="K317" s="15">
        <v>45450</v>
      </c>
      <c r="L317" t="s">
        <v>36</v>
      </c>
      <c r="M317" t="str">
        <f>IF(COUNTIFS(PRO_LT_SCORECARD_FLEX_VALIDATIO!$K:$K, _xlfn.CONCAT(C317,D317), PRO_LT_SCORECARD_FLEX_VALIDATIO!$G:$G, "KO") &gt; 0, "NOK", "OK")</f>
        <v>NOK</v>
      </c>
      <c r="Q317" t="s">
        <v>8</v>
      </c>
      <c r="R317" t="s">
        <v>131</v>
      </c>
      <c r="S317" t="s">
        <v>132</v>
      </c>
      <c r="T317" t="s">
        <v>132</v>
      </c>
      <c r="U317" t="s">
        <v>132</v>
      </c>
      <c r="V317" t="s">
        <v>132</v>
      </c>
      <c r="W317" t="s">
        <v>132</v>
      </c>
      <c r="X317" t="s">
        <v>5</v>
      </c>
      <c r="Y317">
        <f>_xlfn.IFNA(_xlfn.XLOOKUP(D317,[1]Especificação!$G:$G,[1]Especificação!$C:$C),0)</f>
        <v>0</v>
      </c>
    </row>
    <row r="318" spans="1:25" ht="15">
      <c r="A318" s="50" t="str">
        <f t="shared" si="4"/>
        <v>INSTRUMENT_SPNSR_NM</v>
      </c>
      <c r="B318" s="50"/>
      <c r="C318" t="s">
        <v>127</v>
      </c>
      <c r="D318" t="s">
        <v>506</v>
      </c>
      <c r="E318" t="s">
        <v>6</v>
      </c>
      <c r="F318" t="s">
        <v>37</v>
      </c>
      <c r="G318" t="s">
        <v>129</v>
      </c>
      <c r="H318" t="s">
        <v>164</v>
      </c>
      <c r="J318" t="s">
        <v>26</v>
      </c>
      <c r="K318" s="15">
        <v>45450</v>
      </c>
      <c r="L318" t="s">
        <v>37</v>
      </c>
      <c r="M318" t="str">
        <f>IF(COUNTIFS(PRO_LT_SCORECARD_FLEX_VALIDATIO!$K:$K, _xlfn.CONCAT(C318,D318), PRO_LT_SCORECARD_FLEX_VALIDATIO!$G:$G, "KO") &gt; 0, "NOK", "OK")</f>
        <v>OK</v>
      </c>
      <c r="Q318" t="s">
        <v>27</v>
      </c>
      <c r="R318" t="s">
        <v>131</v>
      </c>
      <c r="S318" t="s">
        <v>132</v>
      </c>
      <c r="T318" t="s">
        <v>132</v>
      </c>
      <c r="U318" t="s">
        <v>132</v>
      </c>
      <c r="V318" t="s">
        <v>132</v>
      </c>
      <c r="W318" t="s">
        <v>131</v>
      </c>
      <c r="X318" t="s">
        <v>143</v>
      </c>
      <c r="Y318" t="str">
        <f>_xlfn.IFNA(_xlfn.XLOOKUP(D318,[1]Especificação!$G:$G,[1]Especificação!$C:$C),0)</f>
        <v>F3. Fora âmbito | Fonte Manual LF</v>
      </c>
    </row>
    <row r="319" spans="1:25" ht="15">
      <c r="A319" s="50" t="str">
        <f t="shared" si="4"/>
        <v>INSTRUMENT_SPRD</v>
      </c>
      <c r="B319" s="50"/>
      <c r="C319" t="s">
        <v>127</v>
      </c>
      <c r="D319" t="s">
        <v>507</v>
      </c>
      <c r="E319" t="s">
        <v>6</v>
      </c>
      <c r="F319" t="s">
        <v>38</v>
      </c>
      <c r="G319" t="s">
        <v>129</v>
      </c>
      <c r="H319" t="s">
        <v>130</v>
      </c>
      <c r="J319" t="s">
        <v>26</v>
      </c>
      <c r="K319" s="15">
        <v>45450</v>
      </c>
      <c r="L319" t="s">
        <v>38</v>
      </c>
      <c r="M319" t="str">
        <f>IF(COUNTIFS(PRO_LT_SCORECARD_FLEX_VALIDATIO!$K:$K, _xlfn.CONCAT(C319,D319), PRO_LT_SCORECARD_FLEX_VALIDATIO!$G:$G, "KO") &gt; 0, "NOK", "OK")</f>
        <v>NOK</v>
      </c>
      <c r="Q319" t="s">
        <v>30</v>
      </c>
      <c r="R319" t="s">
        <v>131</v>
      </c>
      <c r="S319" t="s">
        <v>132</v>
      </c>
      <c r="T319" t="s">
        <v>132</v>
      </c>
      <c r="U319" t="s">
        <v>132</v>
      </c>
      <c r="V319" t="s">
        <v>132</v>
      </c>
      <c r="W319" t="s">
        <v>132</v>
      </c>
      <c r="X319" t="s">
        <v>5</v>
      </c>
      <c r="Y319">
        <f>_xlfn.IFNA(_xlfn.XLOOKUP(D319,[1]Especificação!$G:$G,[1]Especificação!$C:$C),0)</f>
        <v>0</v>
      </c>
    </row>
    <row r="320" spans="1:25" ht="15">
      <c r="A320" s="50" t="str">
        <f t="shared" si="4"/>
        <v>INSTRUMENT_SRCS_ENCMBRNC</v>
      </c>
      <c r="B320" s="50"/>
      <c r="C320" t="s">
        <v>127</v>
      </c>
      <c r="D320" t="s">
        <v>508</v>
      </c>
      <c r="E320" t="s">
        <v>6</v>
      </c>
      <c r="F320" t="s">
        <v>38</v>
      </c>
      <c r="G320" t="s">
        <v>129</v>
      </c>
      <c r="H320" t="s">
        <v>130</v>
      </c>
      <c r="J320" t="s">
        <v>26</v>
      </c>
      <c r="K320" s="15">
        <v>45450</v>
      </c>
      <c r="L320" t="s">
        <v>38</v>
      </c>
      <c r="M320" t="str">
        <f>IF(COUNTIFS(PRO_LT_SCORECARD_FLEX_VALIDATIO!$K:$K, _xlfn.CONCAT(C320,D320), PRO_LT_SCORECARD_FLEX_VALIDATIO!$G:$G, "KO") &gt; 0, "NOK", "OK")</f>
        <v>OK</v>
      </c>
      <c r="Q320" t="s">
        <v>30</v>
      </c>
      <c r="R320" t="s">
        <v>131</v>
      </c>
      <c r="S320" t="s">
        <v>132</v>
      </c>
      <c r="T320" t="s">
        <v>132</v>
      </c>
      <c r="U320" t="s">
        <v>132</v>
      </c>
      <c r="V320" t="s">
        <v>132</v>
      </c>
      <c r="W320" t="s">
        <v>132</v>
      </c>
      <c r="X320" t="s">
        <v>5</v>
      </c>
      <c r="Y320">
        <f>_xlfn.IFNA(_xlfn.XLOOKUP(D320,[1]Especificação!$G:$G,[1]Especificação!$C:$C),0)</f>
        <v>0</v>
      </c>
    </row>
    <row r="321" spans="1:25" ht="15">
      <c r="A321" s="50" t="str">
        <f t="shared" si="4"/>
        <v>INSTRUMENT_STTS_UNDRWRTTN_TRNSCTN</v>
      </c>
      <c r="B321" s="50"/>
      <c r="C321" t="s">
        <v>127</v>
      </c>
      <c r="D321" t="s">
        <v>509</v>
      </c>
      <c r="E321" t="s">
        <v>6</v>
      </c>
      <c r="F321" t="s">
        <v>56</v>
      </c>
      <c r="G321" t="s">
        <v>129</v>
      </c>
      <c r="H321" t="s">
        <v>319</v>
      </c>
      <c r="I321" t="s">
        <v>320</v>
      </c>
      <c r="J321" t="s">
        <v>29</v>
      </c>
      <c r="K321" s="15">
        <v>45953</v>
      </c>
      <c r="L321" t="s">
        <v>38</v>
      </c>
      <c r="M321" t="str">
        <f>IF(COUNTIFS(PRO_LT_SCORECARD_FLEX_VALIDATIO!$K:$K, _xlfn.CONCAT(C321,D321), PRO_LT_SCORECARD_FLEX_VALIDATIO!$G:$G, "KO") &gt; 0, "NOK", "OK")</f>
        <v>NOK</v>
      </c>
      <c r="P321" s="15">
        <v>45952</v>
      </c>
      <c r="Q321" t="s">
        <v>13</v>
      </c>
      <c r="R321" t="s">
        <v>131</v>
      </c>
      <c r="S321" t="s">
        <v>132</v>
      </c>
      <c r="T321" t="s">
        <v>132</v>
      </c>
      <c r="U321" t="s">
        <v>132</v>
      </c>
      <c r="V321" t="s">
        <v>132</v>
      </c>
      <c r="W321" t="s">
        <v>131</v>
      </c>
      <c r="X321" t="s">
        <v>136</v>
      </c>
      <c r="Y321" t="str">
        <f>_xlfn.IFNA(_xlfn.XLOOKUP(D321,[1]Especificação!$G:$G,[1]Especificação!$C:$C),0)</f>
        <v>B1. Re-especificação de campos complexos | Sindicados</v>
      </c>
    </row>
    <row r="322" spans="1:25" ht="15">
      <c r="A322" s="50" t="str">
        <f t="shared" si="4"/>
        <v>INSTRUMENT_SUBPORTFOLIO_ID</v>
      </c>
      <c r="B322" s="50"/>
      <c r="C322" t="s">
        <v>127</v>
      </c>
      <c r="D322" t="s">
        <v>510</v>
      </c>
      <c r="E322" t="s">
        <v>14</v>
      </c>
      <c r="F322" t="s">
        <v>38</v>
      </c>
      <c r="G322" t="s">
        <v>129</v>
      </c>
      <c r="H322" t="s">
        <v>130</v>
      </c>
      <c r="J322" t="s">
        <v>26</v>
      </c>
      <c r="K322" s="15">
        <v>45450</v>
      </c>
      <c r="L322" t="s">
        <v>38</v>
      </c>
      <c r="M322" t="str">
        <f>IF(COUNTIFS(PRO_LT_SCORECARD_FLEX_VALIDATIO!$K:$K, _xlfn.CONCAT(C322,D322), PRO_LT_SCORECARD_FLEX_VALIDATIO!$G:$G, "KO") &gt; 0, "NOK", "OK")</f>
        <v>NOK</v>
      </c>
      <c r="Q322" t="s">
        <v>30</v>
      </c>
      <c r="R322" t="s">
        <v>131</v>
      </c>
      <c r="S322" t="s">
        <v>131</v>
      </c>
      <c r="T322" t="s">
        <v>131</v>
      </c>
      <c r="U322" t="s">
        <v>132</v>
      </c>
      <c r="V322" t="s">
        <v>131</v>
      </c>
      <c r="W322" t="s">
        <v>131</v>
      </c>
      <c r="X322" t="s">
        <v>5</v>
      </c>
      <c r="Y322" t="str">
        <f>_xlfn.IFNA(_xlfn.XLOOKUP(D322,[1]Especificação!$G:$G,[1]Especificação!$C:$C),0)</f>
        <v>F1. Fora âmbito | Campos concluídos - Sem necessidade de espec.</v>
      </c>
    </row>
    <row r="323" spans="1:25" ht="15">
      <c r="A323" s="50" t="str">
        <f t="shared" si="4"/>
        <v>INSTRUMENT_SYNDCT_RL</v>
      </c>
      <c r="B323" s="50"/>
      <c r="C323" t="s">
        <v>127</v>
      </c>
      <c r="D323" t="s">
        <v>511</v>
      </c>
      <c r="E323" t="s">
        <v>6</v>
      </c>
      <c r="F323" t="s">
        <v>56</v>
      </c>
      <c r="G323" t="s">
        <v>129</v>
      </c>
      <c r="H323" t="s">
        <v>319</v>
      </c>
      <c r="I323" t="s">
        <v>320</v>
      </c>
      <c r="J323" t="s">
        <v>29</v>
      </c>
      <c r="K323" s="15">
        <v>45953</v>
      </c>
      <c r="L323" t="s">
        <v>38</v>
      </c>
      <c r="M323" t="str">
        <f>IF(COUNTIFS(PRO_LT_SCORECARD_FLEX_VALIDATIO!$K:$K, _xlfn.CONCAT(C323,D323), PRO_LT_SCORECARD_FLEX_VALIDATIO!$G:$G, "KO") &gt; 0, "NOK", "OK")</f>
        <v>OK</v>
      </c>
      <c r="P323" s="15">
        <v>45952</v>
      </c>
      <c r="Q323" t="s">
        <v>13</v>
      </c>
      <c r="R323" t="s">
        <v>131</v>
      </c>
      <c r="S323" t="s">
        <v>132</v>
      </c>
      <c r="T323" t="s">
        <v>132</v>
      </c>
      <c r="U323" t="s">
        <v>132</v>
      </c>
      <c r="V323" t="s">
        <v>132</v>
      </c>
      <c r="W323" t="s">
        <v>131</v>
      </c>
      <c r="X323" t="s">
        <v>136</v>
      </c>
      <c r="Y323" t="str">
        <f>_xlfn.IFNA(_xlfn.XLOOKUP(D323,[1]Especificação!$G:$G,[1]Especificação!$C:$C),0)</f>
        <v>B1. Re-especificação de campos complexos | Sindicados</v>
      </c>
    </row>
    <row r="324" spans="1:25" ht="15">
      <c r="A324" s="50" t="str">
        <f t="shared" si="4"/>
        <v>INSTRUMENT_SYNDCTD_AGNT</v>
      </c>
      <c r="B324" s="50"/>
      <c r="C324" t="s">
        <v>127</v>
      </c>
      <c r="D324" t="s">
        <v>512</v>
      </c>
      <c r="E324" t="s">
        <v>14</v>
      </c>
      <c r="F324" t="s">
        <v>56</v>
      </c>
      <c r="G324" t="s">
        <v>129</v>
      </c>
      <c r="H324" t="s">
        <v>319</v>
      </c>
      <c r="I324" t="s">
        <v>320</v>
      </c>
      <c r="J324" t="s">
        <v>29</v>
      </c>
      <c r="K324" s="15">
        <v>45953</v>
      </c>
      <c r="L324" t="s">
        <v>38</v>
      </c>
      <c r="M324" t="str">
        <f>IF(COUNTIFS(PRO_LT_SCORECARD_FLEX_VALIDATIO!$K:$K, _xlfn.CONCAT(C324,D324), PRO_LT_SCORECARD_FLEX_VALIDATIO!$G:$G, "KO") &gt; 0, "NOK", "OK")</f>
        <v>OK</v>
      </c>
      <c r="P324" s="15">
        <v>45952</v>
      </c>
      <c r="Q324" t="s">
        <v>13</v>
      </c>
      <c r="R324" t="s">
        <v>131</v>
      </c>
      <c r="S324" t="s">
        <v>132</v>
      </c>
      <c r="T324" t="s">
        <v>132</v>
      </c>
      <c r="U324" t="s">
        <v>132</v>
      </c>
      <c r="V324" t="s">
        <v>132</v>
      </c>
      <c r="W324" t="s">
        <v>131</v>
      </c>
      <c r="X324" t="s">
        <v>136</v>
      </c>
      <c r="Y324" t="str">
        <f>_xlfn.IFNA(_xlfn.XLOOKUP(D324,[1]Especificação!$G:$G,[1]Especificação!$C:$C),0)</f>
        <v>B1. Re-especificação de campos complexos | Sindicados</v>
      </c>
    </row>
    <row r="325" spans="1:25" ht="15">
      <c r="A325" s="50" t="str">
        <f t="shared" ref="A325:A385" si="5">C325&amp;"_"&amp;D325</f>
        <v>INSTRUMENT_SYNDCTD_CNTRCT_ID</v>
      </c>
      <c r="B325" s="50"/>
      <c r="C325" t="s">
        <v>127</v>
      </c>
      <c r="D325" t="s">
        <v>513</v>
      </c>
      <c r="E325" t="s">
        <v>14</v>
      </c>
      <c r="F325" t="s">
        <v>56</v>
      </c>
      <c r="G325" t="s">
        <v>129</v>
      </c>
      <c r="H325" t="s">
        <v>319</v>
      </c>
      <c r="I325" t="s">
        <v>320</v>
      </c>
      <c r="J325" t="s">
        <v>29</v>
      </c>
      <c r="K325" s="15">
        <v>45953</v>
      </c>
      <c r="L325" t="s">
        <v>38</v>
      </c>
      <c r="M325" t="str">
        <f>IF(COUNTIFS(PRO_LT_SCORECARD_FLEX_VALIDATIO!$K:$K, _xlfn.CONCAT(C325,D325), PRO_LT_SCORECARD_FLEX_VALIDATIO!$G:$G, "KO") &gt; 0, "NOK", "OK")</f>
        <v>OK</v>
      </c>
      <c r="P325" s="15">
        <v>45952</v>
      </c>
      <c r="Q325" t="s">
        <v>13</v>
      </c>
      <c r="R325" t="s">
        <v>131</v>
      </c>
      <c r="S325" t="s">
        <v>132</v>
      </c>
      <c r="T325" t="s">
        <v>132</v>
      </c>
      <c r="U325" t="s">
        <v>132</v>
      </c>
      <c r="V325" t="s">
        <v>132</v>
      </c>
      <c r="W325" t="s">
        <v>131</v>
      </c>
      <c r="X325" t="s">
        <v>136</v>
      </c>
      <c r="Y325" t="str">
        <f>_xlfn.IFNA(_xlfn.XLOOKUP(D325,[1]Especificação!$G:$G,[1]Especificação!$C:$C),0)</f>
        <v>B1. Re-especificação de campos complexos | Sindicados</v>
      </c>
    </row>
    <row r="326" spans="1:25" ht="15">
      <c r="A326" s="50" t="str">
        <f t="shared" si="5"/>
        <v>INSTRUMENT_SYNDCTD_LNDRS</v>
      </c>
      <c r="B326" s="50"/>
      <c r="C326" t="s">
        <v>127</v>
      </c>
      <c r="D326" t="s">
        <v>514</v>
      </c>
      <c r="E326" t="s">
        <v>14</v>
      </c>
      <c r="F326" t="s">
        <v>56</v>
      </c>
      <c r="G326" t="s">
        <v>129</v>
      </c>
      <c r="H326" t="s">
        <v>319</v>
      </c>
      <c r="I326" t="s">
        <v>320</v>
      </c>
      <c r="J326" t="s">
        <v>29</v>
      </c>
      <c r="K326" s="15">
        <v>45953</v>
      </c>
      <c r="L326" t="s">
        <v>38</v>
      </c>
      <c r="M326" t="str">
        <f>IF(COUNTIFS(PRO_LT_SCORECARD_FLEX_VALIDATIO!$K:$K, _xlfn.CONCAT(C326,D326), PRO_LT_SCORECARD_FLEX_VALIDATIO!$G:$G, "KO") &gt; 0, "NOK", "OK")</f>
        <v>OK</v>
      </c>
      <c r="P326" s="15">
        <v>45952</v>
      </c>
      <c r="Q326" t="s">
        <v>13</v>
      </c>
      <c r="R326" t="s">
        <v>131</v>
      </c>
      <c r="S326" t="s">
        <v>132</v>
      </c>
      <c r="T326" t="s">
        <v>132</v>
      </c>
      <c r="U326" t="s">
        <v>132</v>
      </c>
      <c r="V326" t="s">
        <v>132</v>
      </c>
      <c r="W326" t="s">
        <v>131</v>
      </c>
      <c r="X326" t="s">
        <v>136</v>
      </c>
      <c r="Y326" t="str">
        <f>_xlfn.IFNA(_xlfn.XLOOKUP(D326,[1]Especificação!$G:$G,[1]Especificação!$C:$C),0)</f>
        <v>B1. Re-especificação de campos complexos | Sindicados</v>
      </c>
    </row>
    <row r="327" spans="1:25" ht="15">
      <c r="A327" s="50" t="str">
        <f t="shared" si="5"/>
        <v>INSTRUMENT_SYNDCTD_SHR</v>
      </c>
      <c r="B327" s="50"/>
      <c r="C327" t="s">
        <v>127</v>
      </c>
      <c r="D327" t="s">
        <v>515</v>
      </c>
      <c r="E327" t="s">
        <v>14</v>
      </c>
      <c r="F327" t="s">
        <v>56</v>
      </c>
      <c r="G327" t="s">
        <v>129</v>
      </c>
      <c r="H327" t="s">
        <v>319</v>
      </c>
      <c r="I327" t="s">
        <v>320</v>
      </c>
      <c r="J327" t="s">
        <v>29</v>
      </c>
      <c r="K327" s="15">
        <v>45953</v>
      </c>
      <c r="L327" t="s">
        <v>38</v>
      </c>
      <c r="M327" t="str">
        <f>IF(COUNTIFS(PRO_LT_SCORECARD_FLEX_VALIDATIO!$K:$K, _xlfn.CONCAT(C327,D327), PRO_LT_SCORECARD_FLEX_VALIDATIO!$G:$G, "KO") &gt; 0, "NOK", "OK")</f>
        <v>OK</v>
      </c>
      <c r="P327" s="15">
        <v>45952</v>
      </c>
      <c r="Q327" t="s">
        <v>13</v>
      </c>
      <c r="R327" t="s">
        <v>131</v>
      </c>
      <c r="S327" t="s">
        <v>132</v>
      </c>
      <c r="T327" t="s">
        <v>132</v>
      </c>
      <c r="U327" t="s">
        <v>132</v>
      </c>
      <c r="V327" t="s">
        <v>132</v>
      </c>
      <c r="W327" t="s">
        <v>131</v>
      </c>
      <c r="X327" t="s">
        <v>136</v>
      </c>
      <c r="Y327" t="str">
        <f>_xlfn.IFNA(_xlfn.XLOOKUP(D327,[1]Especificação!$G:$G,[1]Especificação!$C:$C),0)</f>
        <v>B1. Re-especificação de campos complexos | Sindicados</v>
      </c>
    </row>
    <row r="328" spans="1:25" ht="15">
      <c r="A328" s="50" t="str">
        <f t="shared" si="5"/>
        <v>INSTRUMENT_SYNDCTN_TYP</v>
      </c>
      <c r="B328" s="50"/>
      <c r="C328" t="s">
        <v>127</v>
      </c>
      <c r="D328" t="s">
        <v>516</v>
      </c>
      <c r="E328" t="s">
        <v>6</v>
      </c>
      <c r="F328" t="s">
        <v>56</v>
      </c>
      <c r="G328" t="s">
        <v>129</v>
      </c>
      <c r="H328" t="s">
        <v>319</v>
      </c>
      <c r="I328" t="s">
        <v>320</v>
      </c>
      <c r="J328" t="s">
        <v>29</v>
      </c>
      <c r="K328" s="15">
        <v>45953</v>
      </c>
      <c r="L328" t="s">
        <v>38</v>
      </c>
      <c r="M328" t="str">
        <f>IF(COUNTIFS(PRO_LT_SCORECARD_FLEX_VALIDATIO!$K:$K, _xlfn.CONCAT(C328,D328), PRO_LT_SCORECARD_FLEX_VALIDATIO!$G:$G, "KO") &gt; 0, "NOK", "OK")</f>
        <v>OK</v>
      </c>
      <c r="P328" s="15">
        <v>45952</v>
      </c>
      <c r="Q328" t="s">
        <v>13</v>
      </c>
      <c r="R328" t="s">
        <v>131</v>
      </c>
      <c r="S328" t="s">
        <v>132</v>
      </c>
      <c r="T328" t="s">
        <v>132</v>
      </c>
      <c r="U328" t="s">
        <v>132</v>
      </c>
      <c r="V328" t="s">
        <v>132</v>
      </c>
      <c r="W328" t="s">
        <v>131</v>
      </c>
      <c r="X328" t="s">
        <v>136</v>
      </c>
      <c r="Y328" t="str">
        <f>_xlfn.IFNA(_xlfn.XLOOKUP(D328,[1]Especificação!$G:$G,[1]Especificação!$C:$C),0)</f>
        <v>B1. Re-especificação de campos complexos | Sindicados</v>
      </c>
    </row>
    <row r="329" spans="1:25" ht="15">
      <c r="A329" s="50" t="str">
        <f t="shared" si="5"/>
        <v>ENTITY_TAX_ID</v>
      </c>
      <c r="B329" s="50"/>
      <c r="C329" t="s">
        <v>139</v>
      </c>
      <c r="D329" t="s">
        <v>517</v>
      </c>
      <c r="E329" t="s">
        <v>6</v>
      </c>
      <c r="F329" t="s">
        <v>36</v>
      </c>
      <c r="G329" t="s">
        <v>145</v>
      </c>
      <c r="H329" t="s">
        <v>518</v>
      </c>
      <c r="J329" t="s">
        <v>29</v>
      </c>
      <c r="K329" s="15">
        <v>45450</v>
      </c>
      <c r="L329" t="s">
        <v>36</v>
      </c>
      <c r="M329" t="str">
        <f>IF(COUNTIFS(PRO_LT_SCORECARD_FLEX_VALIDATIO!$K:$K, _xlfn.CONCAT(C329,D329), PRO_LT_SCORECARD_FLEX_VALIDATIO!$G:$G, "KO") &gt; 0, "NOK", "OK")</f>
        <v>NOK</v>
      </c>
      <c r="Q329" t="s">
        <v>8</v>
      </c>
      <c r="R329" t="s">
        <v>131</v>
      </c>
      <c r="S329" t="s">
        <v>132</v>
      </c>
      <c r="T329" t="s">
        <v>132</v>
      </c>
      <c r="U329" t="s">
        <v>132</v>
      </c>
      <c r="V329" t="s">
        <v>132</v>
      </c>
      <c r="W329" t="s">
        <v>132</v>
      </c>
      <c r="X329" t="s">
        <v>5</v>
      </c>
      <c r="Y329">
        <f>_xlfn.IFNA(_xlfn.XLOOKUP(D329,[1]Especificação!$G:$G,[1]Especificação!$C:$C),0)</f>
        <v>0</v>
      </c>
    </row>
    <row r="330" spans="1:25" ht="15">
      <c r="A330" s="50" t="str">
        <f t="shared" si="5"/>
        <v>PROTECTION_TAX_ID</v>
      </c>
      <c r="B330" s="50"/>
      <c r="C330" t="s">
        <v>156</v>
      </c>
      <c r="D330" t="s">
        <v>517</v>
      </c>
      <c r="E330" t="s">
        <v>6</v>
      </c>
      <c r="F330" t="s">
        <v>36</v>
      </c>
      <c r="G330" t="s">
        <v>145</v>
      </c>
      <c r="H330" t="s">
        <v>519</v>
      </c>
      <c r="J330" t="s">
        <v>29</v>
      </c>
      <c r="K330" s="15">
        <v>45450</v>
      </c>
      <c r="L330" t="s">
        <v>36</v>
      </c>
      <c r="M330" t="str">
        <f>IF(COUNTIFS(PRO_LT_SCORECARD_FLEX_VALIDATIO!$K:$K, _xlfn.CONCAT(C330,D330), PRO_LT_SCORECARD_FLEX_VALIDATIO!$G:$G, "KO") &gt; 0, "NOK", "OK")</f>
        <v>NOK</v>
      </c>
      <c r="Q330" t="s">
        <v>8</v>
      </c>
      <c r="R330" t="s">
        <v>131</v>
      </c>
      <c r="S330" t="s">
        <v>132</v>
      </c>
      <c r="T330" t="s">
        <v>132</v>
      </c>
      <c r="U330" t="s">
        <v>132</v>
      </c>
      <c r="V330" t="s">
        <v>132</v>
      </c>
      <c r="W330" t="s">
        <v>132</v>
      </c>
      <c r="X330" t="s">
        <v>5</v>
      </c>
      <c r="Y330">
        <f>_xlfn.IFNA(_xlfn.XLOOKUP(D330,[1]Especificação!$G:$G,[1]Especificação!$C:$C),0)</f>
        <v>0</v>
      </c>
    </row>
    <row r="331" spans="1:25" ht="15">
      <c r="A331" s="50" t="str">
        <f t="shared" si="5"/>
        <v>INSTR_PROTECTION_THRD_PRTY_PRRTY_CLMS</v>
      </c>
      <c r="B331" s="50"/>
      <c r="C331" t="s">
        <v>188</v>
      </c>
      <c r="D331" t="s">
        <v>520</v>
      </c>
      <c r="E331" t="s">
        <v>14</v>
      </c>
      <c r="F331" t="s">
        <v>38</v>
      </c>
      <c r="G331" t="s">
        <v>129</v>
      </c>
      <c r="H331" t="s">
        <v>130</v>
      </c>
      <c r="J331" t="s">
        <v>26</v>
      </c>
      <c r="K331" s="15">
        <v>45450</v>
      </c>
      <c r="L331" t="s">
        <v>38</v>
      </c>
      <c r="M331" t="str">
        <f>IF(COUNTIFS(PRO_LT_SCORECARD_FLEX_VALIDATIO!$K:$K, _xlfn.CONCAT(C331,D331), PRO_LT_SCORECARD_FLEX_VALIDATIO!$G:$G, "KO") &gt; 0, "NOK", "OK")</f>
        <v>OK</v>
      </c>
      <c r="Q331" t="s">
        <v>30</v>
      </c>
      <c r="R331" t="s">
        <v>131</v>
      </c>
      <c r="S331" t="s">
        <v>132</v>
      </c>
      <c r="T331" t="s">
        <v>132</v>
      </c>
      <c r="U331" t="s">
        <v>132</v>
      </c>
      <c r="V331" t="s">
        <v>132</v>
      </c>
      <c r="W331" t="s">
        <v>132</v>
      </c>
      <c r="X331" t="s">
        <v>5</v>
      </c>
      <c r="Y331">
        <f>_xlfn.IFNA(_xlfn.XLOOKUP(D331,[1]Especificação!$G:$G,[1]Especificação!$C:$C),0)</f>
        <v>0</v>
      </c>
    </row>
    <row r="332" spans="1:25" ht="15">
      <c r="A332" s="50" t="str">
        <f t="shared" si="5"/>
        <v>INSTRUMENT_TRNCH</v>
      </c>
      <c r="B332" s="50"/>
      <c r="C332" t="s">
        <v>127</v>
      </c>
      <c r="D332" t="s">
        <v>521</v>
      </c>
      <c r="E332" t="s">
        <v>6</v>
      </c>
      <c r="F332" t="s">
        <v>56</v>
      </c>
      <c r="G332" t="s">
        <v>129</v>
      </c>
      <c r="H332" t="s">
        <v>319</v>
      </c>
      <c r="I332" t="s">
        <v>320</v>
      </c>
      <c r="J332" t="s">
        <v>29</v>
      </c>
      <c r="K332" s="15">
        <v>45953</v>
      </c>
      <c r="L332" t="s">
        <v>38</v>
      </c>
      <c r="M332" t="str">
        <f>IF(COUNTIFS(PRO_LT_SCORECARD_FLEX_VALIDATIO!$K:$K, _xlfn.CONCAT(C332,D332), PRO_LT_SCORECARD_FLEX_VALIDATIO!$G:$G, "KO") &gt; 0, "NOK", "OK")</f>
        <v>OK</v>
      </c>
      <c r="P332" s="15">
        <v>45952</v>
      </c>
      <c r="Q332" t="s">
        <v>13</v>
      </c>
      <c r="R332" t="s">
        <v>131</v>
      </c>
      <c r="S332" t="s">
        <v>132</v>
      </c>
      <c r="T332" t="s">
        <v>132</v>
      </c>
      <c r="U332" t="s">
        <v>132</v>
      </c>
      <c r="V332" t="s">
        <v>132</v>
      </c>
      <c r="W332" t="s">
        <v>131</v>
      </c>
      <c r="X332" t="s">
        <v>136</v>
      </c>
      <c r="Y332" t="str">
        <f>_xlfn.IFNA(_xlfn.XLOOKUP(D332,[1]Especificação!$G:$G,[1]Especificação!$C:$C),0)</f>
        <v>B1. Re-especificação de campos complexos | Sindicados</v>
      </c>
    </row>
    <row r="333" spans="1:25" ht="15">
      <c r="A333" s="50" t="str">
        <f t="shared" si="5"/>
        <v>ENTITY_TTL_DBT</v>
      </c>
      <c r="B333" s="50"/>
      <c r="C333" t="s">
        <v>139</v>
      </c>
      <c r="D333" t="s">
        <v>522</v>
      </c>
      <c r="E333" t="s">
        <v>14</v>
      </c>
      <c r="F333" t="s">
        <v>25</v>
      </c>
      <c r="G333" t="s">
        <v>129</v>
      </c>
      <c r="H333" t="s">
        <v>141</v>
      </c>
      <c r="I333" t="s">
        <v>142</v>
      </c>
      <c r="J333" t="s">
        <v>29</v>
      </c>
      <c r="K333" s="15">
        <v>45450</v>
      </c>
      <c r="L333" t="s">
        <v>25</v>
      </c>
      <c r="M333" t="str">
        <f>IF(COUNTIFS(PRO_LT_SCORECARD_FLEX_VALIDATIO!$K:$K, _xlfn.CONCAT(C333,D333), PRO_LT_SCORECARD_FLEX_VALIDATIO!$G:$G, "KO") &gt; 0, "NOK", "OK")</f>
        <v>NOK</v>
      </c>
      <c r="Q333" t="s">
        <v>13</v>
      </c>
      <c r="R333" t="s">
        <v>131</v>
      </c>
      <c r="S333" t="s">
        <v>132</v>
      </c>
      <c r="T333" t="s">
        <v>131</v>
      </c>
      <c r="U333" t="s">
        <v>132</v>
      </c>
      <c r="V333" t="s">
        <v>132</v>
      </c>
      <c r="W333" t="s">
        <v>131</v>
      </c>
      <c r="X333" t="s">
        <v>143</v>
      </c>
      <c r="Y333" t="str">
        <f>_xlfn.IFNA(_xlfn.XLOOKUP(D333,[1]Especificação!$G:$G,[1]Especificação!$C:$C),0)</f>
        <v>F4. Fora âmbito | Re-especificação de campos complexos - Dem. Fin. CIB</v>
      </c>
    </row>
    <row r="334" spans="1:25" ht="15">
      <c r="A334" s="50" t="str">
        <f t="shared" si="5"/>
        <v>ENTITY_TTL_DBT_PRVS</v>
      </c>
      <c r="B334" s="50"/>
      <c r="C334" t="s">
        <v>139</v>
      </c>
      <c r="D334" t="s">
        <v>523</v>
      </c>
      <c r="E334" t="s">
        <v>14</v>
      </c>
      <c r="F334" t="s">
        <v>25</v>
      </c>
      <c r="G334" t="s">
        <v>129</v>
      </c>
      <c r="H334" t="s">
        <v>141</v>
      </c>
      <c r="I334" t="s">
        <v>142</v>
      </c>
      <c r="J334" t="s">
        <v>29</v>
      </c>
      <c r="K334" s="15">
        <v>45450</v>
      </c>
      <c r="L334" t="s">
        <v>25</v>
      </c>
      <c r="M334" t="str">
        <f>IF(COUNTIFS(PRO_LT_SCORECARD_FLEX_VALIDATIO!$K:$K, _xlfn.CONCAT(C334,D334), PRO_LT_SCORECARD_FLEX_VALIDATIO!$G:$G, "KO") &gt; 0, "NOK", "OK")</f>
        <v>NOK</v>
      </c>
      <c r="Q334" t="s">
        <v>13</v>
      </c>
      <c r="R334" t="s">
        <v>131</v>
      </c>
      <c r="S334" t="s">
        <v>132</v>
      </c>
      <c r="T334" t="s">
        <v>132</v>
      </c>
      <c r="U334" t="s">
        <v>132</v>
      </c>
      <c r="V334" t="s">
        <v>132</v>
      </c>
      <c r="W334" t="s">
        <v>131</v>
      </c>
      <c r="X334" t="s">
        <v>143</v>
      </c>
      <c r="Y334" t="str">
        <f>_xlfn.IFNA(_xlfn.XLOOKUP(D334,[1]Especificação!$G:$G,[1]Especificação!$C:$C),0)</f>
        <v>F4. Fora âmbito | Re-especificação de campos complexos - Dem. Fin. CIB</v>
      </c>
    </row>
    <row r="335" spans="1:25" ht="15">
      <c r="A335" s="50" t="str">
        <f t="shared" si="5"/>
        <v>INSTRUMENT_ACCRD_INTRST_INSTRMNT</v>
      </c>
      <c r="B335" s="50"/>
      <c r="C335" t="s">
        <v>127</v>
      </c>
      <c r="D335" t="s">
        <v>524</v>
      </c>
      <c r="E335" t="s">
        <v>14</v>
      </c>
      <c r="F335" t="s">
        <v>25</v>
      </c>
      <c r="G335" t="s">
        <v>129</v>
      </c>
      <c r="H335" t="s">
        <v>483</v>
      </c>
      <c r="J335" t="s">
        <v>29</v>
      </c>
      <c r="K335" s="15">
        <v>45958</v>
      </c>
      <c r="L335" t="s">
        <v>38</v>
      </c>
      <c r="M335" t="str">
        <f>IF(COUNTIFS(PRO_LT_SCORECARD_FLEX_VALIDATIO!$K:$K, _xlfn.CONCAT(C335,D335), PRO_LT_SCORECARD_FLEX_VALIDATIO!$G:$G, "KO") &gt; 0, "NOK", "OK")</f>
        <v>NOK</v>
      </c>
      <c r="P335" s="15">
        <v>45958</v>
      </c>
      <c r="Q335" t="s">
        <v>13</v>
      </c>
      <c r="R335" t="s">
        <v>131</v>
      </c>
      <c r="S335" t="s">
        <v>132</v>
      </c>
      <c r="T335" t="s">
        <v>132</v>
      </c>
      <c r="U335" t="s">
        <v>132</v>
      </c>
      <c r="V335" t="s">
        <v>132</v>
      </c>
      <c r="W335" t="s">
        <v>131</v>
      </c>
      <c r="X335" t="s">
        <v>136</v>
      </c>
      <c r="Y335" t="str">
        <f>_xlfn.IFNA(_xlfn.XLOOKUP(D335,[1]Especificação!$G:$G,[1]Especificação!$C:$C),0)</f>
        <v>B2. Re-especificação de campos complexos - Resto</v>
      </c>
    </row>
    <row r="336" spans="1:25" ht="15">
      <c r="A336" s="50" t="str">
        <f t="shared" si="5"/>
        <v>ENTITY_TTL_LVRG_RT</v>
      </c>
      <c r="B336" s="50"/>
      <c r="C336" t="s">
        <v>139</v>
      </c>
      <c r="D336" t="s">
        <v>525</v>
      </c>
      <c r="E336" t="s">
        <v>6</v>
      </c>
      <c r="F336" t="s">
        <v>38</v>
      </c>
      <c r="G336" t="s">
        <v>129</v>
      </c>
      <c r="H336" t="s">
        <v>130</v>
      </c>
      <c r="J336" t="s">
        <v>26</v>
      </c>
      <c r="K336" s="15">
        <v>45450</v>
      </c>
      <c r="L336" t="s">
        <v>38</v>
      </c>
      <c r="M336" t="str">
        <f>IF(COUNTIFS(PRO_LT_SCORECARD_FLEX_VALIDATIO!$K:$K, _xlfn.CONCAT(C336,D336), PRO_LT_SCORECARD_FLEX_VALIDATIO!$G:$G, "KO") &gt; 0, "NOK", "OK")</f>
        <v>NOK</v>
      </c>
      <c r="Q336" t="s">
        <v>30</v>
      </c>
      <c r="R336" t="s">
        <v>131</v>
      </c>
      <c r="S336" t="s">
        <v>132</v>
      </c>
      <c r="T336" t="s">
        <v>132</v>
      </c>
      <c r="U336" t="s">
        <v>132</v>
      </c>
      <c r="V336" t="s">
        <v>132</v>
      </c>
      <c r="W336" t="s">
        <v>131</v>
      </c>
      <c r="X336" t="s">
        <v>5</v>
      </c>
      <c r="Y336" t="str">
        <f>_xlfn.IFNA(_xlfn.XLOOKUP(D336,[1]Especificação!$G:$G,[1]Especificação!$C:$C),0)</f>
        <v>F1. Fora âmbito | Campos concluídos - Sem necessidade de espec.</v>
      </c>
    </row>
    <row r="337" spans="1:25" ht="15">
      <c r="A337" s="50" t="str">
        <f t="shared" si="5"/>
        <v>ENTITY_TTL_LVRG_RT_PRVS</v>
      </c>
      <c r="B337" s="50"/>
      <c r="C337" t="s">
        <v>139</v>
      </c>
      <c r="D337" t="s">
        <v>526</v>
      </c>
      <c r="E337" t="s">
        <v>6</v>
      </c>
      <c r="F337" t="s">
        <v>38</v>
      </c>
      <c r="G337" t="s">
        <v>129</v>
      </c>
      <c r="H337" t="s">
        <v>130</v>
      </c>
      <c r="J337" t="s">
        <v>26</v>
      </c>
      <c r="K337" s="15">
        <v>45450</v>
      </c>
      <c r="L337" t="s">
        <v>38</v>
      </c>
      <c r="M337" t="str">
        <f>IF(COUNTIFS(PRO_LT_SCORECARD_FLEX_VALIDATIO!$K:$K, _xlfn.CONCAT(C337,D337), PRO_LT_SCORECARD_FLEX_VALIDATIO!$G:$G, "KO") &gt; 0, "NOK", "OK")</f>
        <v>NOK</v>
      </c>
      <c r="Q337" t="s">
        <v>30</v>
      </c>
      <c r="R337" t="s">
        <v>131</v>
      </c>
      <c r="S337" t="s">
        <v>132</v>
      </c>
      <c r="T337" t="s">
        <v>132</v>
      </c>
      <c r="U337" t="s">
        <v>132</v>
      </c>
      <c r="V337" t="s">
        <v>132</v>
      </c>
      <c r="W337" t="s">
        <v>131</v>
      </c>
      <c r="X337" t="s">
        <v>5</v>
      </c>
      <c r="Y337" t="str">
        <f>_xlfn.IFNA(_xlfn.XLOOKUP(D337,[1]Especificação!$G:$G,[1]Especificação!$C:$C),0)</f>
        <v>F1. Fora âmbito | Campos concluídos - Sem necessidade de espec.</v>
      </c>
    </row>
    <row r="338" spans="1:25" ht="15">
      <c r="A338" s="50" t="str">
        <f t="shared" si="5"/>
        <v>INSTRUMENT_TYP_AMRTSTN</v>
      </c>
      <c r="B338" s="50"/>
      <c r="C338" t="s">
        <v>127</v>
      </c>
      <c r="D338" s="11" t="s">
        <v>527</v>
      </c>
      <c r="E338" t="s">
        <v>14</v>
      </c>
      <c r="F338" t="s">
        <v>28</v>
      </c>
      <c r="G338" t="s">
        <v>145</v>
      </c>
      <c r="H338" t="s">
        <v>154</v>
      </c>
      <c r="I338" t="s">
        <v>475</v>
      </c>
      <c r="J338" t="s">
        <v>32</v>
      </c>
      <c r="K338" s="15">
        <v>45958</v>
      </c>
      <c r="L338" t="s">
        <v>38</v>
      </c>
      <c r="M338" t="str">
        <f>IF(COUNTIFS(PRO_LT_SCORECARD_FLEX_VALIDATIO!$K:$K, _xlfn.CONCAT(C338,D338), PRO_LT_SCORECARD_FLEX_VALIDATIO!$G:$G, "KO") &gt; 0, "NOK", "OK")</f>
        <v>NOK</v>
      </c>
      <c r="O338" s="15">
        <v>45958</v>
      </c>
      <c r="Q338" t="s">
        <v>39</v>
      </c>
      <c r="R338" t="s">
        <v>131</v>
      </c>
      <c r="S338" t="s">
        <v>132</v>
      </c>
      <c r="T338" t="s">
        <v>132</v>
      </c>
      <c r="U338" t="s">
        <v>132</v>
      </c>
      <c r="V338" t="s">
        <v>132</v>
      </c>
      <c r="W338" t="s">
        <v>131</v>
      </c>
      <c r="X338" t="s">
        <v>136</v>
      </c>
      <c r="Y338" t="str">
        <f>_xlfn.IFNA(_xlfn.XLOOKUP(D338,[1]Especificação!$G:$G,[1]Especificação!$C:$C),0)</f>
        <v xml:space="preserve">E. Campos com outras possíveis alterações - Dependente de decisões OSI </v>
      </c>
    </row>
    <row r="339" spans="1:25" ht="15">
      <c r="A339" s="50" t="str">
        <f t="shared" si="5"/>
        <v>INSTRUMENT_TYP_CMPLNT_MRTR_C19</v>
      </c>
      <c r="B339" s="50"/>
      <c r="C339" t="s">
        <v>127</v>
      </c>
      <c r="D339" t="s">
        <v>528</v>
      </c>
      <c r="E339" t="s">
        <v>6</v>
      </c>
      <c r="F339" t="s">
        <v>38</v>
      </c>
      <c r="G339" t="s">
        <v>129</v>
      </c>
      <c r="H339" t="s">
        <v>130</v>
      </c>
      <c r="J339" t="s">
        <v>26</v>
      </c>
      <c r="K339" s="15">
        <v>45450</v>
      </c>
      <c r="L339" t="s">
        <v>38</v>
      </c>
      <c r="M339" t="str">
        <f>IF(COUNTIFS(PRO_LT_SCORECARD_FLEX_VALIDATIO!$K:$K, _xlfn.CONCAT(C339,D339), PRO_LT_SCORECARD_FLEX_VALIDATIO!$G:$G, "KO") &gt; 0, "NOK", "OK")</f>
        <v>OK</v>
      </c>
      <c r="Q339" t="s">
        <v>30</v>
      </c>
      <c r="R339" t="s">
        <v>131</v>
      </c>
      <c r="S339" t="s">
        <v>132</v>
      </c>
      <c r="T339" t="s">
        <v>132</v>
      </c>
      <c r="U339" t="s">
        <v>132</v>
      </c>
      <c r="V339" t="s">
        <v>132</v>
      </c>
      <c r="W339" t="s">
        <v>132</v>
      </c>
      <c r="X339" t="s">
        <v>5</v>
      </c>
      <c r="Y339">
        <f>_xlfn.IFNA(_xlfn.XLOOKUP(D339,[1]Especificação!$G:$G,[1]Especificação!$C:$C),0)</f>
        <v>0</v>
      </c>
    </row>
    <row r="340" spans="1:25" ht="15">
      <c r="A340" s="50" t="str">
        <f t="shared" si="5"/>
        <v>INSTRUMENT_TYP_CRE_OPRTN</v>
      </c>
      <c r="B340" s="50"/>
      <c r="C340" t="s">
        <v>127</v>
      </c>
      <c r="D340" t="s">
        <v>529</v>
      </c>
      <c r="E340" t="s">
        <v>6</v>
      </c>
      <c r="F340" t="s">
        <v>36</v>
      </c>
      <c r="G340" t="s">
        <v>145</v>
      </c>
      <c r="H340" t="s">
        <v>158</v>
      </c>
      <c r="J340" t="s">
        <v>29</v>
      </c>
      <c r="K340" s="15">
        <v>45450</v>
      </c>
      <c r="L340" t="s">
        <v>36</v>
      </c>
      <c r="M340" t="str">
        <f>IF(COUNTIFS(PRO_LT_SCORECARD_FLEX_VALIDATIO!$K:$K, _xlfn.CONCAT(C340,D340), PRO_LT_SCORECARD_FLEX_VALIDATIO!$G:$G, "KO") &gt; 0, "NOK", "OK")</f>
        <v>NOK</v>
      </c>
      <c r="Q340" t="s">
        <v>8</v>
      </c>
      <c r="R340" t="s">
        <v>131</v>
      </c>
      <c r="S340" t="s">
        <v>132</v>
      </c>
      <c r="T340" t="s">
        <v>132</v>
      </c>
      <c r="U340" t="s">
        <v>132</v>
      </c>
      <c r="V340" t="s">
        <v>132</v>
      </c>
      <c r="W340" t="s">
        <v>132</v>
      </c>
      <c r="X340" t="s">
        <v>5</v>
      </c>
      <c r="Y340">
        <f>_xlfn.IFNA(_xlfn.XLOOKUP(D340,[1]Especificação!$G:$G,[1]Especificação!$C:$C),0)</f>
        <v>0</v>
      </c>
    </row>
    <row r="341" spans="1:25" ht="15">
      <c r="A341" s="50" t="str">
        <f t="shared" si="5"/>
        <v>INSTRUMENT_TYP_INSTRMNT</v>
      </c>
      <c r="B341" s="50"/>
      <c r="C341" t="s">
        <v>127</v>
      </c>
      <c r="D341" t="s">
        <v>530</v>
      </c>
      <c r="E341" t="s">
        <v>14</v>
      </c>
      <c r="F341" t="s">
        <v>38</v>
      </c>
      <c r="G341" t="s">
        <v>129</v>
      </c>
      <c r="H341" t="s">
        <v>130</v>
      </c>
      <c r="J341" t="s">
        <v>26</v>
      </c>
      <c r="K341" s="15">
        <v>45958</v>
      </c>
      <c r="L341" t="s">
        <v>38</v>
      </c>
      <c r="M341" t="str">
        <f>IF(COUNTIFS(PRO_LT_SCORECARD_FLEX_VALIDATIO!$K:$K, _xlfn.CONCAT(C341,D341), PRO_LT_SCORECARD_FLEX_VALIDATIO!$G:$G, "KO") &gt; 0, "NOK", "OK")</f>
        <v>NOK</v>
      </c>
      <c r="P341" s="15">
        <v>45958</v>
      </c>
      <c r="Q341" t="s">
        <v>30</v>
      </c>
      <c r="R341" t="s">
        <v>131</v>
      </c>
      <c r="S341" t="s">
        <v>131</v>
      </c>
      <c r="T341" t="s">
        <v>131</v>
      </c>
      <c r="U341" t="s">
        <v>132</v>
      </c>
      <c r="V341" t="s">
        <v>132</v>
      </c>
      <c r="W341" t="s">
        <v>131</v>
      </c>
      <c r="X341" t="s">
        <v>5</v>
      </c>
      <c r="Y341" t="str">
        <f>_xlfn.IFNA(_xlfn.XLOOKUP(D341,[1]Especificação!$G:$G,[1]Especificação!$C:$C),0)</f>
        <v>B2. Re-especificação de campos complexos - Resto</v>
      </c>
    </row>
    <row r="342" spans="1:25" ht="15">
      <c r="A342" s="50" t="str">
        <f t="shared" si="5"/>
        <v>INSTRUMENT_TYP_INTRST_RT</v>
      </c>
      <c r="B342" s="50"/>
      <c r="C342" t="s">
        <v>127</v>
      </c>
      <c r="D342" t="s">
        <v>531</v>
      </c>
      <c r="E342" t="s">
        <v>14</v>
      </c>
      <c r="F342" t="s">
        <v>38</v>
      </c>
      <c r="G342" t="s">
        <v>129</v>
      </c>
      <c r="H342" t="s">
        <v>130</v>
      </c>
      <c r="J342" t="s">
        <v>26</v>
      </c>
      <c r="K342" s="15">
        <v>45450</v>
      </c>
      <c r="L342" t="s">
        <v>38</v>
      </c>
      <c r="M342" t="str">
        <f>IF(COUNTIFS(PRO_LT_SCORECARD_FLEX_VALIDATIO!$K:$K, _xlfn.CONCAT(C342,D342), PRO_LT_SCORECARD_FLEX_VALIDATIO!$G:$G, "KO") &gt; 0, "NOK", "OK")</f>
        <v>OK</v>
      </c>
      <c r="Q342" t="s">
        <v>30</v>
      </c>
      <c r="R342" t="s">
        <v>131</v>
      </c>
      <c r="S342" t="s">
        <v>132</v>
      </c>
      <c r="T342" t="s">
        <v>132</v>
      </c>
      <c r="U342" t="s">
        <v>132</v>
      </c>
      <c r="V342" t="s">
        <v>132</v>
      </c>
      <c r="W342" t="s">
        <v>132</v>
      </c>
      <c r="X342" t="s">
        <v>5</v>
      </c>
      <c r="Y342">
        <f>_xlfn.IFNA(_xlfn.XLOOKUP(D342,[1]Especificação!$G:$G,[1]Especificação!$C:$C),0)</f>
        <v>0</v>
      </c>
    </row>
    <row r="343" spans="1:25" ht="15">
      <c r="A343" s="50" t="str">
        <f t="shared" si="5"/>
        <v>PROTECTION_PRTCTN_VL</v>
      </c>
      <c r="B343" s="50"/>
      <c r="C343" t="s">
        <v>156</v>
      </c>
      <c r="D343" s="10" t="s">
        <v>78</v>
      </c>
      <c r="E343" t="s">
        <v>14</v>
      </c>
      <c r="F343" t="s">
        <v>35</v>
      </c>
      <c r="G343" t="s">
        <v>129</v>
      </c>
      <c r="H343" t="s">
        <v>293</v>
      </c>
      <c r="I343" t="s">
        <v>532</v>
      </c>
      <c r="J343" t="s">
        <v>32</v>
      </c>
      <c r="K343" s="15">
        <v>45562</v>
      </c>
      <c r="L343" t="s">
        <v>35</v>
      </c>
      <c r="M343" t="str">
        <f>IF(COUNTIFS(PRO_LT_SCORECARD_FLEX_VALIDATIO!$K:$K, _xlfn.CONCAT(C343,D343), PRO_LT_SCORECARD_FLEX_VALIDATIO!$G:$G, "KO") &gt; 0, "NOK", "OK")</f>
        <v>NOK</v>
      </c>
      <c r="N343" t="s">
        <v>533</v>
      </c>
      <c r="Q343" t="s">
        <v>24</v>
      </c>
      <c r="R343" t="s">
        <v>131</v>
      </c>
      <c r="S343" t="s">
        <v>131</v>
      </c>
      <c r="T343" t="s">
        <v>131</v>
      </c>
      <c r="U343" t="s">
        <v>132</v>
      </c>
      <c r="V343" t="s">
        <v>132</v>
      </c>
      <c r="W343" t="s">
        <v>132</v>
      </c>
      <c r="X343" t="s">
        <v>5</v>
      </c>
      <c r="Y343">
        <f>_xlfn.IFNA(_xlfn.XLOOKUP(D343,[1]Especificação!$G:$G,[1]Especificação!$C:$C),0)</f>
        <v>0</v>
      </c>
    </row>
    <row r="344" spans="1:25" ht="15">
      <c r="A344" s="50" t="str">
        <f t="shared" si="5"/>
        <v>PROTECTION_PRTCTN_VL_NPE</v>
      </c>
      <c r="B344" s="50"/>
      <c r="C344" t="s">
        <v>156</v>
      </c>
      <c r="D344" s="11" t="s">
        <v>534</v>
      </c>
      <c r="E344" t="s">
        <v>14</v>
      </c>
      <c r="F344" t="s">
        <v>33</v>
      </c>
      <c r="G344" t="s">
        <v>129</v>
      </c>
      <c r="H344" t="s">
        <v>535</v>
      </c>
      <c r="J344" t="s">
        <v>32</v>
      </c>
      <c r="K344" s="15">
        <v>45568</v>
      </c>
      <c r="L344" t="s">
        <v>33</v>
      </c>
      <c r="M344" t="str">
        <f>IF(COUNTIFS(PRO_LT_SCORECARD_FLEX_VALIDATIO!$K:$K, _xlfn.CONCAT(C344,D344), PRO_LT_SCORECARD_FLEX_VALIDATIO!$G:$G, "KO") &gt; 0, "NOK", "OK")</f>
        <v>OK</v>
      </c>
      <c r="Q344" t="s">
        <v>39</v>
      </c>
      <c r="R344" t="s">
        <v>131</v>
      </c>
      <c r="S344" t="s">
        <v>132</v>
      </c>
      <c r="T344" t="s">
        <v>132</v>
      </c>
      <c r="U344" t="s">
        <v>132</v>
      </c>
      <c r="V344" t="s">
        <v>132</v>
      </c>
      <c r="W344" t="s">
        <v>132</v>
      </c>
      <c r="X344" t="s">
        <v>5</v>
      </c>
      <c r="Y344">
        <f>_xlfn.IFNA(_xlfn.XLOOKUP(D344,[1]Especificação!$G:$G,[1]Especificação!$C:$C),0)</f>
        <v>0</v>
      </c>
    </row>
    <row r="345" spans="1:25" ht="15">
      <c r="A345" s="50" t="str">
        <f t="shared" si="5"/>
        <v>PROTECTION_TYP_PRTCTN_INTRNL</v>
      </c>
      <c r="B345" s="50"/>
      <c r="C345" t="s">
        <v>156</v>
      </c>
      <c r="D345" t="s">
        <v>536</v>
      </c>
      <c r="E345" t="s">
        <v>14</v>
      </c>
      <c r="F345" t="s">
        <v>36</v>
      </c>
      <c r="G345" t="s">
        <v>145</v>
      </c>
      <c r="H345" t="s">
        <v>158</v>
      </c>
      <c r="J345" t="s">
        <v>29</v>
      </c>
      <c r="K345" s="15">
        <v>45450</v>
      </c>
      <c r="L345" t="s">
        <v>36</v>
      </c>
      <c r="M345" t="str">
        <f>IF(COUNTIFS(PRO_LT_SCORECARD_FLEX_VALIDATIO!$K:$K, _xlfn.CONCAT(C345,D345), PRO_LT_SCORECARD_FLEX_VALIDATIO!$G:$G, "KO") &gt; 0, "NOK", "OK")</f>
        <v>OK</v>
      </c>
      <c r="Q345" t="s">
        <v>8</v>
      </c>
      <c r="R345" t="s">
        <v>131</v>
      </c>
      <c r="S345" t="s">
        <v>132</v>
      </c>
      <c r="T345" t="s">
        <v>132</v>
      </c>
      <c r="U345" t="s">
        <v>132</v>
      </c>
      <c r="V345" t="s">
        <v>132</v>
      </c>
      <c r="W345" t="s">
        <v>132</v>
      </c>
      <c r="X345" t="s">
        <v>5</v>
      </c>
      <c r="Y345">
        <f>_xlfn.IFNA(_xlfn.XLOOKUP(D345,[1]Especificação!$G:$G,[1]Especificação!$C:$C),0)</f>
        <v>0</v>
      </c>
    </row>
    <row r="346" spans="1:25" ht="15">
      <c r="A346" s="50" t="str">
        <f t="shared" si="5"/>
        <v>PROTECTION_TYP_PRTCTN_VL</v>
      </c>
      <c r="B346" s="50"/>
      <c r="C346" t="s">
        <v>156</v>
      </c>
      <c r="D346" t="s">
        <v>537</v>
      </c>
      <c r="E346" t="s">
        <v>14</v>
      </c>
      <c r="F346" t="s">
        <v>36</v>
      </c>
      <c r="G346" t="s">
        <v>145</v>
      </c>
      <c r="H346" t="s">
        <v>158</v>
      </c>
      <c r="J346" t="s">
        <v>29</v>
      </c>
      <c r="K346" s="15">
        <v>45450</v>
      </c>
      <c r="L346" t="s">
        <v>36</v>
      </c>
      <c r="M346" t="str">
        <f>IF(COUNTIFS(PRO_LT_SCORECARD_FLEX_VALIDATIO!$K:$K, _xlfn.CONCAT(C346,D346), PRO_LT_SCORECARD_FLEX_VALIDATIO!$G:$G, "KO") &gt; 0, "NOK", "OK")</f>
        <v>OK</v>
      </c>
      <c r="Q346" t="s">
        <v>8</v>
      </c>
      <c r="R346" t="s">
        <v>131</v>
      </c>
      <c r="S346" t="s">
        <v>132</v>
      </c>
      <c r="T346" t="s">
        <v>132</v>
      </c>
      <c r="U346" t="s">
        <v>132</v>
      </c>
      <c r="V346" t="s">
        <v>132</v>
      </c>
      <c r="W346" t="s">
        <v>132</v>
      </c>
      <c r="X346" t="s">
        <v>5</v>
      </c>
      <c r="Y346">
        <f>_xlfn.IFNA(_xlfn.XLOOKUP(D346,[1]Especificação!$G:$G,[1]Especificação!$C:$C),0)</f>
        <v>0</v>
      </c>
    </row>
    <row r="347" spans="1:25" ht="15">
      <c r="A347" s="50" t="str">
        <f t="shared" si="5"/>
        <v>INSTRUMENT_TYPE_OF_PLCMNT</v>
      </c>
      <c r="B347" s="50"/>
      <c r="C347" t="s">
        <v>127</v>
      </c>
      <c r="D347" t="s">
        <v>538</v>
      </c>
      <c r="E347" t="s">
        <v>6</v>
      </c>
      <c r="F347" t="s">
        <v>38</v>
      </c>
      <c r="G347" t="s">
        <v>129</v>
      </c>
      <c r="H347" t="s">
        <v>130</v>
      </c>
      <c r="J347" t="s">
        <v>26</v>
      </c>
      <c r="K347" s="15">
        <v>45450</v>
      </c>
      <c r="L347" t="s">
        <v>38</v>
      </c>
      <c r="M347" t="str">
        <f>IF(COUNTIFS(PRO_LT_SCORECARD_FLEX_VALIDATIO!$K:$K, _xlfn.CONCAT(C347,D347), PRO_LT_SCORECARD_FLEX_VALIDATIO!$G:$G, "KO") &gt; 0, "NOK", "OK")</f>
        <v>OK</v>
      </c>
      <c r="Q347" t="s">
        <v>30</v>
      </c>
      <c r="R347" t="s">
        <v>131</v>
      </c>
      <c r="S347" t="s">
        <v>132</v>
      </c>
      <c r="T347" t="s">
        <v>132</v>
      </c>
      <c r="U347" t="s">
        <v>132</v>
      </c>
      <c r="V347" t="s">
        <v>132</v>
      </c>
      <c r="W347" t="s">
        <v>132</v>
      </c>
      <c r="X347" t="s">
        <v>5</v>
      </c>
      <c r="Y347">
        <f>_xlfn.IFNA(_xlfn.XLOOKUP(D347,[1]Especificação!$G:$G,[1]Especificação!$C:$C),0)</f>
        <v>0</v>
      </c>
    </row>
    <row r="348" spans="1:25" ht="15">
      <c r="A348" s="50" t="str">
        <f t="shared" si="5"/>
        <v>INSTRUMENT_VLTN_CRRNCY</v>
      </c>
      <c r="B348" s="50"/>
      <c r="C348" t="s">
        <v>127</v>
      </c>
      <c r="D348" t="s">
        <v>539</v>
      </c>
      <c r="E348" t="s">
        <v>6</v>
      </c>
      <c r="F348" t="s">
        <v>38</v>
      </c>
      <c r="G348" t="s">
        <v>129</v>
      </c>
      <c r="H348" t="s">
        <v>130</v>
      </c>
      <c r="J348" t="s">
        <v>26</v>
      </c>
      <c r="K348" s="15">
        <v>45450</v>
      </c>
      <c r="L348" t="s">
        <v>38</v>
      </c>
      <c r="M348" t="str">
        <f>IF(COUNTIFS(PRO_LT_SCORECARD_FLEX_VALIDATIO!$K:$K, _xlfn.CONCAT(C348,D348), PRO_LT_SCORECARD_FLEX_VALIDATIO!$G:$G, "KO") &gt; 0, "NOK", "OK")</f>
        <v>OK</v>
      </c>
      <c r="Q348" t="s">
        <v>30</v>
      </c>
      <c r="R348" t="s">
        <v>131</v>
      </c>
      <c r="S348" t="s">
        <v>132</v>
      </c>
      <c r="T348" t="s">
        <v>132</v>
      </c>
      <c r="U348" t="s">
        <v>132</v>
      </c>
      <c r="V348" t="s">
        <v>132</v>
      </c>
      <c r="W348" t="s">
        <v>132</v>
      </c>
      <c r="X348" t="s">
        <v>5</v>
      </c>
      <c r="Y348">
        <f>_xlfn.IFNA(_xlfn.XLOOKUP(D348,[1]Especificação!$G:$G,[1]Especificação!$C:$C),0)</f>
        <v>0</v>
      </c>
    </row>
    <row r="349" spans="1:25" ht="15">
      <c r="A349" s="50" t="str">
        <f t="shared" si="5"/>
        <v>INSTRUMENT_VLTN_TYP</v>
      </c>
      <c r="B349" s="50"/>
      <c r="C349" t="s">
        <v>127</v>
      </c>
      <c r="D349" t="s">
        <v>540</v>
      </c>
      <c r="E349" t="s">
        <v>6</v>
      </c>
      <c r="F349" t="s">
        <v>38</v>
      </c>
      <c r="G349" t="s">
        <v>129</v>
      </c>
      <c r="H349" t="s">
        <v>130</v>
      </c>
      <c r="J349" t="s">
        <v>26</v>
      </c>
      <c r="K349" s="15">
        <v>45450</v>
      </c>
      <c r="L349" t="s">
        <v>38</v>
      </c>
      <c r="M349" t="str">
        <f>IF(COUNTIFS(PRO_LT_SCORECARD_FLEX_VALIDATIO!$K:$K, _xlfn.CONCAT(C349,D349), PRO_LT_SCORECARD_FLEX_VALIDATIO!$G:$G, "KO") &gt; 0, "NOK", "OK")</f>
        <v>OK</v>
      </c>
      <c r="Q349" t="s">
        <v>30</v>
      </c>
      <c r="R349" t="s">
        <v>131</v>
      </c>
      <c r="S349" t="s">
        <v>132</v>
      </c>
      <c r="T349" t="s">
        <v>132</v>
      </c>
      <c r="U349" t="s">
        <v>132</v>
      </c>
      <c r="V349" t="s">
        <v>132</v>
      </c>
      <c r="W349" t="s">
        <v>132</v>
      </c>
      <c r="X349" t="s">
        <v>5</v>
      </c>
      <c r="Y349">
        <f>_xlfn.IFNA(_xlfn.XLOOKUP(D349,[1]Especificação!$G:$G,[1]Especificação!$C:$C),0)</f>
        <v>0</v>
      </c>
    </row>
    <row r="350" spans="1:25" ht="15">
      <c r="A350" s="50" t="str">
        <f t="shared" si="5"/>
        <v>ENTITY_WTCH_LST</v>
      </c>
      <c r="B350" s="50"/>
      <c r="C350" t="s">
        <v>139</v>
      </c>
      <c r="D350" t="s">
        <v>541</v>
      </c>
      <c r="E350" t="s">
        <v>14</v>
      </c>
      <c r="F350" t="s">
        <v>38</v>
      </c>
      <c r="G350" t="s">
        <v>129</v>
      </c>
      <c r="H350" t="s">
        <v>130</v>
      </c>
      <c r="J350" t="s">
        <v>26</v>
      </c>
      <c r="K350" s="15">
        <v>45450</v>
      </c>
      <c r="L350" t="s">
        <v>38</v>
      </c>
      <c r="M350" t="str">
        <f>IF(COUNTIFS(PRO_LT_SCORECARD_FLEX_VALIDATIO!$K:$K, _xlfn.CONCAT(C350,D350), PRO_LT_SCORECARD_FLEX_VALIDATIO!$G:$G, "KO") &gt; 0, "NOK", "OK")</f>
        <v>OK</v>
      </c>
      <c r="Q350" t="s">
        <v>30</v>
      </c>
      <c r="R350" t="s">
        <v>131</v>
      </c>
      <c r="S350" t="s">
        <v>132</v>
      </c>
      <c r="T350" t="s">
        <v>132</v>
      </c>
      <c r="U350" t="s">
        <v>132</v>
      </c>
      <c r="V350" t="s">
        <v>132</v>
      </c>
      <c r="W350" t="s">
        <v>131</v>
      </c>
      <c r="X350" t="s">
        <v>5</v>
      </c>
      <c r="Y350" t="str">
        <f>_xlfn.IFNA(_xlfn.XLOOKUP(D350,[1]Especificação!$G:$G,[1]Especificação!$C:$C),0)</f>
        <v>F1. Fora âmbito | Campos concluídos - Sem necessidade de espec.</v>
      </c>
    </row>
    <row r="351" spans="1:25" ht="15">
      <c r="A351" s="50" t="str">
        <f t="shared" si="5"/>
        <v>PROTECTION_YR_CNSTRCTN</v>
      </c>
      <c r="B351" s="50"/>
      <c r="C351" t="s">
        <v>156</v>
      </c>
      <c r="D351" t="s">
        <v>542</v>
      </c>
      <c r="E351" t="s">
        <v>6</v>
      </c>
      <c r="F351" t="s">
        <v>20</v>
      </c>
      <c r="G351" t="s">
        <v>129</v>
      </c>
      <c r="H351" t="s">
        <v>227</v>
      </c>
      <c r="J351" t="s">
        <v>29</v>
      </c>
      <c r="K351" s="15">
        <v>45450</v>
      </c>
      <c r="L351" t="s">
        <v>20</v>
      </c>
      <c r="M351" t="str">
        <f>IF(COUNTIFS(PRO_LT_SCORECARD_FLEX_VALIDATIO!$K:$K, _xlfn.CONCAT(C351,D351), PRO_LT_SCORECARD_FLEX_VALIDATIO!$G:$G, "KO") &gt; 0, "NOK", "OK")</f>
        <v>NOK</v>
      </c>
      <c r="Q351" t="s">
        <v>19</v>
      </c>
      <c r="R351" t="s">
        <v>131</v>
      </c>
      <c r="S351" t="s">
        <v>132</v>
      </c>
      <c r="T351" t="s">
        <v>131</v>
      </c>
      <c r="U351" t="s">
        <v>132</v>
      </c>
      <c r="V351" t="s">
        <v>131</v>
      </c>
      <c r="W351" t="s">
        <v>132</v>
      </c>
      <c r="X351" t="s">
        <v>5</v>
      </c>
      <c r="Y351">
        <f>_xlfn.IFNA(_xlfn.XLOOKUP(D351,[1]Especificação!$G:$G,[1]Especificação!$C:$C),0)</f>
        <v>0</v>
      </c>
    </row>
    <row r="352" spans="1:25" ht="15">
      <c r="A352" s="50" t="str">
        <f t="shared" si="5"/>
        <v>ENTITY_ADDRSS_CTY</v>
      </c>
      <c r="B352" s="50"/>
      <c r="C352" t="s">
        <v>139</v>
      </c>
      <c r="D352" t="s">
        <v>543</v>
      </c>
      <c r="E352" t="s">
        <v>6</v>
      </c>
      <c r="F352" t="s">
        <v>20</v>
      </c>
      <c r="J352" t="s">
        <v>29</v>
      </c>
      <c r="K352" s="15">
        <v>45667</v>
      </c>
      <c r="L352" t="s">
        <v>20</v>
      </c>
      <c r="M352" t="str">
        <f>IF(COUNTIFS(PRO_LT_SCORECARD_FLEX_VALIDATIO!$K:$K, _xlfn.CONCAT(C352,D352), PRO_LT_SCORECARD_FLEX_VALIDATIO!$G:$G, "KO") &gt; 0, "NOK", "OK")</f>
        <v>NOK</v>
      </c>
      <c r="R352" t="s">
        <v>131</v>
      </c>
      <c r="S352" t="s">
        <v>132</v>
      </c>
      <c r="T352" t="s">
        <v>132</v>
      </c>
      <c r="U352" t="s">
        <v>132</v>
      </c>
      <c r="V352" t="s">
        <v>132</v>
      </c>
      <c r="W352" t="s">
        <v>132</v>
      </c>
      <c r="X352" t="s">
        <v>544</v>
      </c>
      <c r="Y352">
        <f>_xlfn.IFNA(_xlfn.XLOOKUP(D352,[1]Especificação!$G:$G,[1]Especificação!$C:$C),0)</f>
        <v>0</v>
      </c>
    </row>
    <row r="353" spans="1:25" ht="15">
      <c r="A353" s="50" t="str">
        <f t="shared" si="5"/>
        <v>ENTITY_ADDRSS_STRT</v>
      </c>
      <c r="B353" s="50"/>
      <c r="C353" t="s">
        <v>139</v>
      </c>
      <c r="D353" t="s">
        <v>545</v>
      </c>
      <c r="E353" t="s">
        <v>6</v>
      </c>
      <c r="F353" t="s">
        <v>20</v>
      </c>
      <c r="J353" t="s">
        <v>29</v>
      </c>
      <c r="K353" s="15">
        <v>45667</v>
      </c>
      <c r="L353" t="s">
        <v>20</v>
      </c>
      <c r="M353" t="str">
        <f>IF(COUNTIFS(PRO_LT_SCORECARD_FLEX_VALIDATIO!$K:$K, _xlfn.CONCAT(C353,D353), PRO_LT_SCORECARD_FLEX_VALIDATIO!$G:$G, "KO") &gt; 0, "NOK", "OK")</f>
        <v>NOK</v>
      </c>
      <c r="R353" t="s">
        <v>131</v>
      </c>
      <c r="S353" t="s">
        <v>132</v>
      </c>
      <c r="T353" t="s">
        <v>132</v>
      </c>
      <c r="U353" t="s">
        <v>132</v>
      </c>
      <c r="V353" t="s">
        <v>132</v>
      </c>
      <c r="W353" t="s">
        <v>132</v>
      </c>
      <c r="X353" t="s">
        <v>544</v>
      </c>
      <c r="Y353">
        <f>_xlfn.IFNA(_xlfn.XLOOKUP(D353,[1]Especificação!$G:$G,[1]Especificação!$C:$C),0)</f>
        <v>0</v>
      </c>
    </row>
    <row r="354" spans="1:25" ht="15">
      <c r="A354" s="50" t="str">
        <f t="shared" si="5"/>
        <v>ENTITY_DT_ENTRPRS_SZ</v>
      </c>
      <c r="B354" s="50"/>
      <c r="C354" t="s">
        <v>139</v>
      </c>
      <c r="D354" t="s">
        <v>546</v>
      </c>
      <c r="E354" t="s">
        <v>6</v>
      </c>
      <c r="F354" t="s">
        <v>20</v>
      </c>
      <c r="J354" t="s">
        <v>29</v>
      </c>
      <c r="K354" s="15">
        <v>45667</v>
      </c>
      <c r="L354" t="s">
        <v>20</v>
      </c>
      <c r="M354" t="str">
        <f>IF(COUNTIFS(PRO_LT_SCORECARD_FLEX_VALIDATIO!$K:$K, _xlfn.CONCAT(C354,D354), PRO_LT_SCORECARD_FLEX_VALIDATIO!$G:$G, "KO") &gt; 0, "NOK", "OK")</f>
        <v>NOK</v>
      </c>
      <c r="R354" t="s">
        <v>131</v>
      </c>
      <c r="S354" t="s">
        <v>132</v>
      </c>
      <c r="T354" t="s">
        <v>132</v>
      </c>
      <c r="U354" t="s">
        <v>132</v>
      </c>
      <c r="V354" t="s">
        <v>132</v>
      </c>
      <c r="W354" t="s">
        <v>132</v>
      </c>
      <c r="X354" t="s">
        <v>544</v>
      </c>
      <c r="Y354">
        <f>_xlfn.IFNA(_xlfn.XLOOKUP(D354,[1]Especificação!$G:$G,[1]Especificação!$C:$C),0)</f>
        <v>0</v>
      </c>
    </row>
    <row r="355" spans="1:25" ht="15">
      <c r="A355" s="50" t="str">
        <f t="shared" si="5"/>
        <v>ENTITY_NMBR_EMPLYS</v>
      </c>
      <c r="B355" s="50"/>
      <c r="C355" t="s">
        <v>139</v>
      </c>
      <c r="D355" t="s">
        <v>547</v>
      </c>
      <c r="E355" t="s">
        <v>6</v>
      </c>
      <c r="F355" t="s">
        <v>20</v>
      </c>
      <c r="J355" t="s">
        <v>29</v>
      </c>
      <c r="K355" s="15">
        <v>45667</v>
      </c>
      <c r="L355" t="s">
        <v>20</v>
      </c>
      <c r="M355" t="str">
        <f>IF(COUNTIFS(PRO_LT_SCORECARD_FLEX_VALIDATIO!$K:$K, _xlfn.CONCAT(C355,D355), PRO_LT_SCORECARD_FLEX_VALIDATIO!$G:$G, "KO") &gt; 0, "NOK", "OK")</f>
        <v>NOK</v>
      </c>
      <c r="R355" t="s">
        <v>131</v>
      </c>
      <c r="S355" t="s">
        <v>132</v>
      </c>
      <c r="T355" t="s">
        <v>132</v>
      </c>
      <c r="U355" t="s">
        <v>132</v>
      </c>
      <c r="V355" t="s">
        <v>132</v>
      </c>
      <c r="W355" t="s">
        <v>132</v>
      </c>
      <c r="X355" t="s">
        <v>544</v>
      </c>
      <c r="Y355">
        <f>_xlfn.IFNA(_xlfn.XLOOKUP(D355,[1]Especificação!$G:$G,[1]Especificação!$C:$C),0)</f>
        <v>0</v>
      </c>
    </row>
    <row r="356" spans="1:25" ht="15">
      <c r="A356" s="50" t="str">
        <f t="shared" si="5"/>
        <v>ENTITY_LGL_FRM</v>
      </c>
      <c r="B356" s="50"/>
      <c r="C356" t="s">
        <v>139</v>
      </c>
      <c r="D356" t="s">
        <v>548</v>
      </c>
      <c r="E356" t="s">
        <v>6</v>
      </c>
      <c r="F356" t="s">
        <v>20</v>
      </c>
      <c r="J356" t="s">
        <v>29</v>
      </c>
      <c r="K356" s="15">
        <v>45667</v>
      </c>
      <c r="L356" t="s">
        <v>20</v>
      </c>
      <c r="M356" t="str">
        <f>IF(COUNTIFS(PRO_LT_SCORECARD_FLEX_VALIDATIO!$K:$K, _xlfn.CONCAT(C356,D356), PRO_LT_SCORECARD_FLEX_VALIDATIO!$G:$G, "KO") &gt; 0, "NOK", "OK")</f>
        <v>NOK</v>
      </c>
      <c r="R356" t="s">
        <v>131</v>
      </c>
      <c r="S356" t="s">
        <v>132</v>
      </c>
      <c r="T356" t="s">
        <v>132</v>
      </c>
      <c r="U356" t="s">
        <v>132</v>
      </c>
      <c r="V356" t="s">
        <v>132</v>
      </c>
      <c r="W356" t="s">
        <v>132</v>
      </c>
      <c r="X356" t="s">
        <v>544</v>
      </c>
      <c r="Y356">
        <f>_xlfn.IFNA(_xlfn.XLOOKUP(D356,[1]Especificação!$G:$G,[1]Especificação!$C:$C),0)</f>
        <v>0</v>
      </c>
    </row>
    <row r="357" spans="1:25" ht="15">
      <c r="A357" s="50" t="str">
        <f t="shared" si="5"/>
        <v>ENTITY_HD_OFFC_UNDRTKNG_ID</v>
      </c>
      <c r="B357" s="50"/>
      <c r="C357" t="s">
        <v>139</v>
      </c>
      <c r="D357" t="s">
        <v>549</v>
      </c>
      <c r="E357" t="s">
        <v>6</v>
      </c>
      <c r="F357" t="s">
        <v>20</v>
      </c>
      <c r="J357" t="s">
        <v>29</v>
      </c>
      <c r="K357" s="15">
        <v>45667</v>
      </c>
      <c r="L357" t="s">
        <v>20</v>
      </c>
      <c r="M357" t="str">
        <f>IF(COUNTIFS(PRO_LT_SCORECARD_FLEX_VALIDATIO!$K:$K, _xlfn.CONCAT(C357,D357), PRO_LT_SCORECARD_FLEX_VALIDATIO!$G:$G, "KO") &gt; 0, "NOK", "OK")</f>
        <v>NOK</v>
      </c>
      <c r="R357" t="s">
        <v>131</v>
      </c>
      <c r="S357" t="s">
        <v>132</v>
      </c>
      <c r="T357" t="s">
        <v>132</v>
      </c>
      <c r="U357" t="s">
        <v>132</v>
      </c>
      <c r="V357" t="s">
        <v>132</v>
      </c>
      <c r="W357" t="s">
        <v>132</v>
      </c>
      <c r="X357" t="s">
        <v>544</v>
      </c>
      <c r="Y357">
        <f>_xlfn.IFNA(_xlfn.XLOOKUP(D357,[1]Especificação!$G:$G,[1]Especificação!$C:$C),0)</f>
        <v>0</v>
      </c>
    </row>
    <row r="358" spans="1:25" ht="15">
      <c r="A358" s="50" t="str">
        <f t="shared" si="5"/>
        <v>ENTITY_IMMDT_PRNT_UNDRTKNG_ID</v>
      </c>
      <c r="B358" s="50"/>
      <c r="C358" t="s">
        <v>139</v>
      </c>
      <c r="D358" t="s">
        <v>550</v>
      </c>
      <c r="E358" t="s">
        <v>6</v>
      </c>
      <c r="F358" t="s">
        <v>20</v>
      </c>
      <c r="J358" t="s">
        <v>29</v>
      </c>
      <c r="K358" s="15">
        <v>45667</v>
      </c>
      <c r="L358" t="s">
        <v>20</v>
      </c>
      <c r="M358" t="str">
        <f>IF(COUNTIFS(PRO_LT_SCORECARD_FLEX_VALIDATIO!$K:$K, _xlfn.CONCAT(C358,D358), PRO_LT_SCORECARD_FLEX_VALIDATIO!$G:$G, "KO") &gt; 0, "NOK", "OK")</f>
        <v>NOK</v>
      </c>
      <c r="R358" t="s">
        <v>131</v>
      </c>
      <c r="S358" t="s">
        <v>132</v>
      </c>
      <c r="T358" t="s">
        <v>132</v>
      </c>
      <c r="U358" t="s">
        <v>132</v>
      </c>
      <c r="V358" t="s">
        <v>132</v>
      </c>
      <c r="W358" t="s">
        <v>132</v>
      </c>
      <c r="X358" t="s">
        <v>544</v>
      </c>
      <c r="Y358">
        <f>_xlfn.IFNA(_xlfn.XLOOKUP(D358,[1]Especificação!$G:$G,[1]Especificação!$C:$C),0)</f>
        <v>0</v>
      </c>
    </row>
    <row r="359" spans="1:25" ht="15">
      <c r="A359" s="50" t="str">
        <f t="shared" si="5"/>
        <v>ENTITY_ULTMT_PRNT_UNDRTKNG_ID</v>
      </c>
      <c r="B359" s="50"/>
      <c r="C359" t="s">
        <v>139</v>
      </c>
      <c r="D359" t="s">
        <v>551</v>
      </c>
      <c r="E359" t="s">
        <v>6</v>
      </c>
      <c r="F359" t="s">
        <v>20</v>
      </c>
      <c r="J359" t="s">
        <v>29</v>
      </c>
      <c r="K359" s="15">
        <v>45667</v>
      </c>
      <c r="L359" t="s">
        <v>20</v>
      </c>
      <c r="M359" t="str">
        <f>IF(COUNTIFS(PRO_LT_SCORECARD_FLEX_VALIDATIO!$K:$K, _xlfn.CONCAT(C359,D359), PRO_LT_SCORECARD_FLEX_VALIDATIO!$G:$G, "KO") &gt; 0, "NOK", "OK")</f>
        <v>NOK</v>
      </c>
      <c r="R359" t="s">
        <v>131</v>
      </c>
      <c r="S359" t="s">
        <v>132</v>
      </c>
      <c r="T359" t="s">
        <v>132</v>
      </c>
      <c r="U359" t="s">
        <v>132</v>
      </c>
      <c r="V359" t="s">
        <v>132</v>
      </c>
      <c r="W359" t="s">
        <v>132</v>
      </c>
      <c r="X359" t="s">
        <v>544</v>
      </c>
      <c r="Y359">
        <f>_xlfn.IFNA(_xlfn.XLOOKUP(D359,[1]Especificação!$G:$G,[1]Especificação!$C:$C),0)</f>
        <v>0</v>
      </c>
    </row>
    <row r="360" spans="1:25" ht="15">
      <c r="A360" s="50" t="str">
        <f t="shared" si="5"/>
        <v>ENTITY_TTL_ASSTS</v>
      </c>
      <c r="B360" s="50"/>
      <c r="C360" t="s">
        <v>139</v>
      </c>
      <c r="D360" t="s">
        <v>552</v>
      </c>
      <c r="E360" t="s">
        <v>6</v>
      </c>
      <c r="F360" t="s">
        <v>20</v>
      </c>
      <c r="J360" t="s">
        <v>29</v>
      </c>
      <c r="K360" s="15">
        <v>45667</v>
      </c>
      <c r="L360" t="s">
        <v>20</v>
      </c>
      <c r="M360" t="str">
        <f>IF(COUNTIFS(PRO_LT_SCORECARD_FLEX_VALIDATIO!$K:$K, _xlfn.CONCAT(C360,D360), PRO_LT_SCORECARD_FLEX_VALIDATIO!$G:$G, "KO") &gt; 0, "NOK", "OK")</f>
        <v>NOK</v>
      </c>
      <c r="R360" t="s">
        <v>131</v>
      </c>
      <c r="S360" t="s">
        <v>132</v>
      </c>
      <c r="T360" t="s">
        <v>132</v>
      </c>
      <c r="U360" t="s">
        <v>132</v>
      </c>
      <c r="V360" t="s">
        <v>132</v>
      </c>
      <c r="W360" t="s">
        <v>132</v>
      </c>
      <c r="X360" t="s">
        <v>544</v>
      </c>
      <c r="Y360">
        <f>_xlfn.IFNA(_xlfn.XLOOKUP(D360,[1]Especificação!$G:$G,[1]Especificação!$C:$C),0)</f>
        <v>0</v>
      </c>
    </row>
    <row r="361" spans="1:25" ht="15">
      <c r="A361" s="50" t="str">
        <f t="shared" si="5"/>
        <v>ENTITY_ENTTY_ID_BDR</v>
      </c>
      <c r="B361" s="50"/>
      <c r="C361" t="s">
        <v>139</v>
      </c>
      <c r="D361" t="s">
        <v>553</v>
      </c>
      <c r="E361" t="s">
        <v>6</v>
      </c>
      <c r="F361" t="s">
        <v>20</v>
      </c>
      <c r="J361" t="s">
        <v>29</v>
      </c>
      <c r="K361" s="15">
        <v>45667</v>
      </c>
      <c r="L361" t="s">
        <v>20</v>
      </c>
      <c r="M361" t="str">
        <f>IF(COUNTIFS(PRO_LT_SCORECARD_FLEX_VALIDATIO!$K:$K, _xlfn.CONCAT(C361,D361), PRO_LT_SCORECARD_FLEX_VALIDATIO!$G:$G, "KO") &gt; 0, "NOK", "OK")</f>
        <v>NOK</v>
      </c>
      <c r="R361" t="s">
        <v>131</v>
      </c>
      <c r="S361" t="s">
        <v>132</v>
      </c>
      <c r="T361" t="s">
        <v>132</v>
      </c>
      <c r="U361" t="s">
        <v>132</v>
      </c>
      <c r="V361" t="s">
        <v>132</v>
      </c>
      <c r="W361" t="s">
        <v>132</v>
      </c>
      <c r="X361" t="s">
        <v>544</v>
      </c>
      <c r="Y361">
        <f>_xlfn.IFNA(_xlfn.XLOOKUP(D361,[1]Especificação!$G:$G,[1]Especificação!$C:$C),0)</f>
        <v>0</v>
      </c>
    </row>
    <row r="362" spans="1:25" ht="15">
      <c r="A362" s="50" t="str">
        <f t="shared" si="5"/>
        <v>INSTRUMENT_CPN_RT_FLTNG</v>
      </c>
      <c r="B362" s="50"/>
      <c r="C362" t="s">
        <v>127</v>
      </c>
      <c r="D362" t="s">
        <v>554</v>
      </c>
      <c r="E362" t="s">
        <v>6</v>
      </c>
      <c r="F362" t="s">
        <v>20</v>
      </c>
      <c r="J362" t="s">
        <v>29</v>
      </c>
      <c r="K362" s="15">
        <v>45667</v>
      </c>
      <c r="L362" t="s">
        <v>20</v>
      </c>
      <c r="M362" t="str">
        <f>IF(COUNTIFS(PRO_LT_SCORECARD_FLEX_VALIDATIO!$K:$K, _xlfn.CONCAT(C362,D362), PRO_LT_SCORECARD_FLEX_VALIDATIO!$G:$G, "KO") &gt; 0, "NOK", "OK")</f>
        <v>NOK</v>
      </c>
      <c r="R362" t="s">
        <v>131</v>
      </c>
      <c r="S362" t="s">
        <v>132</v>
      </c>
      <c r="T362" t="s">
        <v>132</v>
      </c>
      <c r="U362" t="s">
        <v>132</v>
      </c>
      <c r="V362" t="s">
        <v>132</v>
      </c>
      <c r="W362" t="s">
        <v>132</v>
      </c>
      <c r="X362" t="s">
        <v>544</v>
      </c>
      <c r="Y362">
        <f>_xlfn.IFNA(_xlfn.XLOOKUP(D362,[1]Especificação!$G:$G,[1]Especificação!$C:$C),0)</f>
        <v>0</v>
      </c>
    </row>
    <row r="363" spans="1:25" ht="15">
      <c r="A363" s="50" t="str">
        <f t="shared" si="5"/>
        <v>INSTRUMENT_INTRST_RT_CP</v>
      </c>
      <c r="B363" s="50"/>
      <c r="C363" t="s">
        <v>127</v>
      </c>
      <c r="D363" t="s">
        <v>555</v>
      </c>
      <c r="E363" t="s">
        <v>6</v>
      </c>
      <c r="F363" t="s">
        <v>20</v>
      </c>
      <c r="J363" t="s">
        <v>29</v>
      </c>
      <c r="K363" s="15">
        <v>45667</v>
      </c>
      <c r="L363" t="s">
        <v>20</v>
      </c>
      <c r="M363" t="str">
        <f>IF(COUNTIFS(PRO_LT_SCORECARD_FLEX_VALIDATIO!$K:$K, _xlfn.CONCAT(C363,D363), PRO_LT_SCORECARD_FLEX_VALIDATIO!$G:$G, "KO") &gt; 0, "NOK", "OK")</f>
        <v>NOK</v>
      </c>
      <c r="R363" t="s">
        <v>131</v>
      </c>
      <c r="S363" t="s">
        <v>132</v>
      </c>
      <c r="T363" t="s">
        <v>132</v>
      </c>
      <c r="U363" t="s">
        <v>132</v>
      </c>
      <c r="V363" t="s">
        <v>132</v>
      </c>
      <c r="W363" t="s">
        <v>132</v>
      </c>
      <c r="X363" t="s">
        <v>544</v>
      </c>
      <c r="Y363">
        <f>_xlfn.IFNA(_xlfn.XLOOKUP(D363,[1]Especificação!$G:$G,[1]Especificação!$C:$C),0)</f>
        <v>0</v>
      </c>
    </row>
    <row r="364" spans="1:25" ht="15">
      <c r="A364" s="50" t="str">
        <f t="shared" si="5"/>
        <v>INSTRUMENT_INTRST_RT_FLR</v>
      </c>
      <c r="B364" s="50"/>
      <c r="C364" t="s">
        <v>127</v>
      </c>
      <c r="D364" t="s">
        <v>556</v>
      </c>
      <c r="E364" t="s">
        <v>6</v>
      </c>
      <c r="F364" t="s">
        <v>20</v>
      </c>
      <c r="J364" t="s">
        <v>29</v>
      </c>
      <c r="K364" s="15">
        <v>45667</v>
      </c>
      <c r="L364" t="s">
        <v>20</v>
      </c>
      <c r="M364" t="str">
        <f>IF(COUNTIFS(PRO_LT_SCORECARD_FLEX_VALIDATIO!$K:$K, _xlfn.CONCAT(C364,D364), PRO_LT_SCORECARD_FLEX_VALIDATIO!$G:$G, "KO") &gt; 0, "NOK", "OK")</f>
        <v>NOK</v>
      </c>
      <c r="R364" t="s">
        <v>131</v>
      </c>
      <c r="S364" t="s">
        <v>132</v>
      </c>
      <c r="T364" t="s">
        <v>132</v>
      </c>
      <c r="U364" t="s">
        <v>132</v>
      </c>
      <c r="V364" t="s">
        <v>132</v>
      </c>
      <c r="W364" t="s">
        <v>132</v>
      </c>
      <c r="X364" t="s">
        <v>544</v>
      </c>
      <c r="Y364">
        <f>_xlfn.IFNA(_xlfn.XLOOKUP(D364,[1]Especificação!$G:$G,[1]Especificação!$C:$C),0)</f>
        <v>0</v>
      </c>
    </row>
    <row r="365" spans="1:25" ht="15">
      <c r="A365" s="50" t="str">
        <f t="shared" si="5"/>
        <v>INSTRUMENT_NMNL_INTRST_RT_FEE</v>
      </c>
      <c r="B365" s="50"/>
      <c r="C365" t="s">
        <v>127</v>
      </c>
      <c r="D365" t="s">
        <v>557</v>
      </c>
      <c r="E365" t="s">
        <v>6</v>
      </c>
      <c r="F365" t="s">
        <v>20</v>
      </c>
      <c r="J365" t="s">
        <v>29</v>
      </c>
      <c r="K365" s="15">
        <v>45667</v>
      </c>
      <c r="L365" t="s">
        <v>20</v>
      </c>
      <c r="M365" t="str">
        <f>IF(COUNTIFS(PRO_LT_SCORECARD_FLEX_VALIDATIO!$K:$K, _xlfn.CONCAT(C365,D365), PRO_LT_SCORECARD_FLEX_VALIDATIO!$G:$G, "KO") &gt; 0, "NOK", "OK")</f>
        <v>NOK</v>
      </c>
      <c r="R365" t="s">
        <v>131</v>
      </c>
      <c r="S365" t="s">
        <v>132</v>
      </c>
      <c r="T365" t="s">
        <v>132</v>
      </c>
      <c r="U365" t="s">
        <v>132</v>
      </c>
      <c r="V365" t="s">
        <v>132</v>
      </c>
      <c r="W365" t="s">
        <v>132</v>
      </c>
      <c r="X365" t="s">
        <v>544</v>
      </c>
      <c r="Y365">
        <f>_xlfn.IFNA(_xlfn.XLOOKUP(D365,[1]Especificação!$G:$G,[1]Especificação!$C:$C),0)</f>
        <v>0</v>
      </c>
    </row>
    <row r="366" spans="1:25" ht="15">
      <c r="A366" s="50" t="str">
        <f t="shared" si="5"/>
        <v>INSTRUMENT_DT_STTLMNT</v>
      </c>
      <c r="B366" s="50"/>
      <c r="C366" t="s">
        <v>127</v>
      </c>
      <c r="D366" t="s">
        <v>558</v>
      </c>
      <c r="E366" t="s">
        <v>6</v>
      </c>
      <c r="F366" t="s">
        <v>20</v>
      </c>
      <c r="J366" t="s">
        <v>29</v>
      </c>
      <c r="K366" s="15">
        <v>45667</v>
      </c>
      <c r="L366" t="s">
        <v>20</v>
      </c>
      <c r="M366" t="str">
        <f>IF(COUNTIFS(PRO_LT_SCORECARD_FLEX_VALIDATIO!$K:$K, _xlfn.CONCAT(C366,D366), PRO_LT_SCORECARD_FLEX_VALIDATIO!$G:$G, "KO") &gt; 0, "NOK", "OK")</f>
        <v>NOK</v>
      </c>
      <c r="R366" t="s">
        <v>131</v>
      </c>
      <c r="S366" t="s">
        <v>132</v>
      </c>
      <c r="T366" t="s">
        <v>132</v>
      </c>
      <c r="U366" t="s">
        <v>132</v>
      </c>
      <c r="V366" t="s">
        <v>132</v>
      </c>
      <c r="W366" t="s">
        <v>132</v>
      </c>
      <c r="X366" t="s">
        <v>544</v>
      </c>
      <c r="Y366">
        <f>_xlfn.IFNA(_xlfn.XLOOKUP(D366,[1]Especificação!$G:$G,[1]Especificação!$C:$C),0)</f>
        <v>0</v>
      </c>
    </row>
    <row r="367" spans="1:25" ht="15">
      <c r="A367" s="50" t="str">
        <f t="shared" si="5"/>
        <v>INSTRUMENT_TRNSFRRD_AMNT</v>
      </c>
      <c r="B367" s="50"/>
      <c r="C367" t="s">
        <v>127</v>
      </c>
      <c r="D367" t="s">
        <v>559</v>
      </c>
      <c r="E367" t="s">
        <v>6</v>
      </c>
      <c r="F367" t="s">
        <v>20</v>
      </c>
      <c r="J367" t="s">
        <v>29</v>
      </c>
      <c r="K367" s="15">
        <v>45667</v>
      </c>
      <c r="L367" t="s">
        <v>20</v>
      </c>
      <c r="M367" t="str">
        <f>IF(COUNTIFS(PRO_LT_SCORECARD_FLEX_VALIDATIO!$K:$K, _xlfn.CONCAT(C367,D367), PRO_LT_SCORECARD_FLEX_VALIDATIO!$G:$G, "KO") &gt; 0, "NOK", "OK")</f>
        <v>NOK</v>
      </c>
      <c r="R367" t="s">
        <v>131</v>
      </c>
      <c r="S367" t="s">
        <v>132</v>
      </c>
      <c r="T367" t="s">
        <v>132</v>
      </c>
      <c r="U367" t="s">
        <v>132</v>
      </c>
      <c r="V367" t="s">
        <v>132</v>
      </c>
      <c r="W367" t="s">
        <v>132</v>
      </c>
      <c r="X367" t="s">
        <v>544</v>
      </c>
      <c r="Y367">
        <f>_xlfn.IFNA(_xlfn.XLOOKUP(D367,[1]Especificação!$G:$G,[1]Especificação!$C:$C),0)</f>
        <v>0</v>
      </c>
    </row>
    <row r="368" spans="1:25" ht="15">
      <c r="A368" s="50" t="str">
        <f t="shared" si="5"/>
        <v>INSTRUMENT_TYP_SCRTZTN</v>
      </c>
      <c r="B368" s="50"/>
      <c r="C368" t="s">
        <v>127</v>
      </c>
      <c r="D368" t="s">
        <v>560</v>
      </c>
      <c r="E368" t="s">
        <v>6</v>
      </c>
      <c r="F368" t="s">
        <v>20</v>
      </c>
      <c r="J368" t="s">
        <v>29</v>
      </c>
      <c r="K368" s="15">
        <v>45667</v>
      </c>
      <c r="L368" t="s">
        <v>20</v>
      </c>
      <c r="M368" t="str">
        <f>IF(COUNTIFS(PRO_LT_SCORECARD_FLEX_VALIDATIO!$K:$K, _xlfn.CONCAT(C368,D368), PRO_LT_SCORECARD_FLEX_VALIDATIO!$G:$G, "KO") &gt; 0, "NOK", "OK")</f>
        <v>NOK</v>
      </c>
      <c r="R368" t="s">
        <v>131</v>
      </c>
      <c r="S368" t="s">
        <v>132</v>
      </c>
      <c r="T368" t="s">
        <v>132</v>
      </c>
      <c r="U368" t="s">
        <v>132</v>
      </c>
      <c r="V368" t="s">
        <v>132</v>
      </c>
      <c r="W368" t="s">
        <v>132</v>
      </c>
      <c r="X368" t="s">
        <v>544</v>
      </c>
      <c r="Y368">
        <f>_xlfn.IFNA(_xlfn.XLOOKUP(D368,[1]Especificação!$G:$G,[1]Especificação!$C:$C),0)</f>
        <v>0</v>
      </c>
    </row>
    <row r="369" spans="1:25" ht="15">
      <c r="A369" s="50" t="str">
        <f t="shared" si="5"/>
        <v>INSTRUMENT_TYP_OFF_BLNC_PRDCT</v>
      </c>
      <c r="B369" s="50"/>
      <c r="C369" t="s">
        <v>127</v>
      </c>
      <c r="D369" t="s">
        <v>561</v>
      </c>
      <c r="E369" t="s">
        <v>6</v>
      </c>
      <c r="F369" t="s">
        <v>20</v>
      </c>
      <c r="J369" t="s">
        <v>29</v>
      </c>
      <c r="K369" s="15">
        <v>45667</v>
      </c>
      <c r="L369" t="s">
        <v>20</v>
      </c>
      <c r="M369" t="str">
        <f>IF(COUNTIFS(PRO_LT_SCORECARD_FLEX_VALIDATIO!$K:$K, _xlfn.CONCAT(C369,D369), PRO_LT_SCORECARD_FLEX_VALIDATIO!$G:$G, "KO") &gt; 0, "NOK", "OK")</f>
        <v>NOK</v>
      </c>
      <c r="R369" t="s">
        <v>131</v>
      </c>
      <c r="S369" t="s">
        <v>131</v>
      </c>
      <c r="T369" t="s">
        <v>131</v>
      </c>
      <c r="U369" t="s">
        <v>132</v>
      </c>
      <c r="V369" t="s">
        <v>132</v>
      </c>
      <c r="W369" t="s">
        <v>131</v>
      </c>
      <c r="X369" t="s">
        <v>136</v>
      </c>
      <c r="Y369" t="str">
        <f>_xlfn.IFNA(_xlfn.XLOOKUP(D369,[1]Especificação!$G:$G,[1]Especificação!$C:$C),0)</f>
        <v>A. Novos Campos</v>
      </c>
    </row>
    <row r="370" spans="1:25" ht="15">
      <c r="A370" s="50" t="str">
        <f t="shared" si="5"/>
        <v>INSTRUMENT_BLNC_SHT_RCGNTN</v>
      </c>
      <c r="B370" s="50"/>
      <c r="C370" t="s">
        <v>127</v>
      </c>
      <c r="D370" t="s">
        <v>562</v>
      </c>
      <c r="E370" t="s">
        <v>6</v>
      </c>
      <c r="F370" t="s">
        <v>20</v>
      </c>
      <c r="J370" t="s">
        <v>29</v>
      </c>
      <c r="K370" s="15">
        <v>45667</v>
      </c>
      <c r="L370" t="s">
        <v>20</v>
      </c>
      <c r="M370" t="str">
        <f>IF(COUNTIFS(PRO_LT_SCORECARD_FLEX_VALIDATIO!$K:$K, _xlfn.CONCAT(C370,D370), PRO_LT_SCORECARD_FLEX_VALIDATIO!$G:$G, "KO") &gt; 0, "NOK", "OK")</f>
        <v>NOK</v>
      </c>
      <c r="R370" t="s">
        <v>131</v>
      </c>
      <c r="S370" t="s">
        <v>132</v>
      </c>
      <c r="T370" t="s">
        <v>132</v>
      </c>
      <c r="U370" t="s">
        <v>132</v>
      </c>
      <c r="V370" t="s">
        <v>132</v>
      </c>
      <c r="W370" t="s">
        <v>132</v>
      </c>
      <c r="X370" t="s">
        <v>544</v>
      </c>
      <c r="Y370">
        <f>_xlfn.IFNA(_xlfn.XLOOKUP(D370,[1]Especificação!$G:$G,[1]Especificação!$C:$C),0)</f>
        <v>0</v>
      </c>
    </row>
    <row r="371" spans="1:25" ht="15">
      <c r="A371" s="50" t="str">
        <f t="shared" si="5"/>
        <v>INSTRUMENT_FLG_DFLT</v>
      </c>
      <c r="B371" s="50"/>
      <c r="C371" t="s">
        <v>127</v>
      </c>
      <c r="D371" t="s">
        <v>563</v>
      </c>
      <c r="E371" t="s">
        <v>6</v>
      </c>
      <c r="F371" t="s">
        <v>20</v>
      </c>
      <c r="J371" t="s">
        <v>29</v>
      </c>
      <c r="K371" s="15">
        <v>45667</v>
      </c>
      <c r="L371" t="s">
        <v>20</v>
      </c>
      <c r="M371" t="str">
        <f>IF(COUNTIFS(PRO_LT_SCORECARD_FLEX_VALIDATIO!$K:$K, _xlfn.CONCAT(C371,D371), PRO_LT_SCORECARD_FLEX_VALIDATIO!$G:$G, "KO") &gt; 0, "NOK", "OK")</f>
        <v>NOK</v>
      </c>
      <c r="R371" t="s">
        <v>131</v>
      </c>
      <c r="S371" t="s">
        <v>132</v>
      </c>
      <c r="T371" t="s">
        <v>132</v>
      </c>
      <c r="U371" t="s">
        <v>132</v>
      </c>
      <c r="V371" t="s">
        <v>132</v>
      </c>
      <c r="W371" t="s">
        <v>132</v>
      </c>
      <c r="X371" t="s">
        <v>544</v>
      </c>
      <c r="Y371">
        <f>_xlfn.IFNA(_xlfn.XLOOKUP(D371,[1]Especificação!$G:$G,[1]Especificação!$C:$C),0)</f>
        <v>0</v>
      </c>
    </row>
    <row r="372" spans="1:25" ht="15">
      <c r="A372" s="50" t="str">
        <f t="shared" si="5"/>
        <v>INSTRUMENT_FLG_HGH_RSK</v>
      </c>
      <c r="B372" s="50"/>
      <c r="C372" t="s">
        <v>127</v>
      </c>
      <c r="D372" t="s">
        <v>564</v>
      </c>
      <c r="E372" t="s">
        <v>6</v>
      </c>
      <c r="F372" t="s">
        <v>20</v>
      </c>
      <c r="J372" t="s">
        <v>29</v>
      </c>
      <c r="K372" s="15">
        <v>45667</v>
      </c>
      <c r="L372" t="s">
        <v>20</v>
      </c>
      <c r="M372" t="str">
        <f>IF(COUNTIFS(PRO_LT_SCORECARD_FLEX_VALIDATIO!$K:$K, _xlfn.CONCAT(C372,D372), PRO_LT_SCORECARD_FLEX_VALIDATIO!$G:$G, "KO") &gt; 0, "NOK", "OK")</f>
        <v>NOK</v>
      </c>
      <c r="R372" t="s">
        <v>131</v>
      </c>
      <c r="S372" t="s">
        <v>132</v>
      </c>
      <c r="T372" t="s">
        <v>132</v>
      </c>
      <c r="U372" t="s">
        <v>132</v>
      </c>
      <c r="V372" t="s">
        <v>132</v>
      </c>
      <c r="W372" t="s">
        <v>132</v>
      </c>
      <c r="X372" t="s">
        <v>544</v>
      </c>
      <c r="Y372">
        <f>_xlfn.IFNA(_xlfn.XLOOKUP(D372,[1]Especificação!$G:$G,[1]Especificação!$C:$C),0)</f>
        <v>0</v>
      </c>
    </row>
    <row r="373" spans="1:25" ht="15">
      <c r="A373" s="50" t="str">
        <f t="shared" si="5"/>
        <v>INSTRUMENT_PRTNR</v>
      </c>
      <c r="B373" s="50"/>
      <c r="C373" t="s">
        <v>127</v>
      </c>
      <c r="D373" t="s">
        <v>565</v>
      </c>
      <c r="E373" t="s">
        <v>6</v>
      </c>
      <c r="F373" t="s">
        <v>20</v>
      </c>
      <c r="J373" t="s">
        <v>29</v>
      </c>
      <c r="K373" s="15">
        <v>45667</v>
      </c>
      <c r="L373" t="s">
        <v>20</v>
      </c>
      <c r="M373" t="str">
        <f>IF(COUNTIFS(PRO_LT_SCORECARD_FLEX_VALIDATIO!$K:$K, _xlfn.CONCAT(C373,D373), PRO_LT_SCORECARD_FLEX_VALIDATIO!$G:$G, "KO") &gt; 0, "NOK", "OK")</f>
        <v>NOK</v>
      </c>
      <c r="R373" t="s">
        <v>131</v>
      </c>
      <c r="S373" t="s">
        <v>132</v>
      </c>
      <c r="T373" t="s">
        <v>132</v>
      </c>
      <c r="U373" t="s">
        <v>131</v>
      </c>
      <c r="V373" t="s">
        <v>132</v>
      </c>
      <c r="W373" t="s">
        <v>132</v>
      </c>
      <c r="X373" t="s">
        <v>544</v>
      </c>
      <c r="Y373">
        <f>_xlfn.IFNA(_xlfn.XLOOKUP(D373,[1]Especificação!$G:$G,[1]Especificação!$C:$C),0)</f>
        <v>0</v>
      </c>
    </row>
    <row r="374" spans="1:25" ht="15">
      <c r="A374" s="50" t="str">
        <f t="shared" si="5"/>
        <v>INSTRUMENT_INCNTVS</v>
      </c>
      <c r="B374" s="50"/>
      <c r="C374" t="s">
        <v>127</v>
      </c>
      <c r="D374" t="s">
        <v>566</v>
      </c>
      <c r="E374" t="s">
        <v>6</v>
      </c>
      <c r="F374" t="s">
        <v>20</v>
      </c>
      <c r="J374" t="s">
        <v>29</v>
      </c>
      <c r="K374" s="15">
        <v>45667</v>
      </c>
      <c r="L374" t="s">
        <v>20</v>
      </c>
      <c r="M374" t="str">
        <f>IF(COUNTIFS(PRO_LT_SCORECARD_FLEX_VALIDATIO!$K:$K, _xlfn.CONCAT(C374,D374), PRO_LT_SCORECARD_FLEX_VALIDATIO!$G:$G, "KO") &gt; 0, "NOK", "OK")</f>
        <v>NOK</v>
      </c>
      <c r="R374" t="s">
        <v>131</v>
      </c>
      <c r="S374" t="s">
        <v>132</v>
      </c>
      <c r="T374" t="s">
        <v>132</v>
      </c>
      <c r="U374" t="s">
        <v>131</v>
      </c>
      <c r="V374" t="s">
        <v>132</v>
      </c>
      <c r="W374" t="s">
        <v>132</v>
      </c>
      <c r="X374" t="s">
        <v>544</v>
      </c>
      <c r="Y374">
        <f>_xlfn.IFNA(_xlfn.XLOOKUP(D374,[1]Especificação!$G:$G,[1]Especificação!$C:$C),0)</f>
        <v>0</v>
      </c>
    </row>
    <row r="375" spans="1:25" ht="15">
      <c r="A375" s="50" t="str">
        <f t="shared" si="5"/>
        <v>INSTRUMENT_OTHR_OPRTNG_INCM</v>
      </c>
      <c r="B375" s="50"/>
      <c r="C375" t="s">
        <v>127</v>
      </c>
      <c r="D375" t="s">
        <v>567</v>
      </c>
      <c r="E375" t="s">
        <v>6</v>
      </c>
      <c r="F375" t="s">
        <v>20</v>
      </c>
      <c r="J375" t="s">
        <v>29</v>
      </c>
      <c r="K375" s="15">
        <v>45667</v>
      </c>
      <c r="L375" t="s">
        <v>20</v>
      </c>
      <c r="M375" t="str">
        <f>IF(COUNTIFS(PRO_LT_SCORECARD_FLEX_VALIDATIO!$K:$K, _xlfn.CONCAT(C375,D375), PRO_LT_SCORECARD_FLEX_VALIDATIO!$G:$G, "KO") &gt; 0, "NOK", "OK")</f>
        <v>NOK</v>
      </c>
      <c r="R375" t="s">
        <v>131</v>
      </c>
      <c r="S375" t="s">
        <v>132</v>
      </c>
      <c r="T375" t="s">
        <v>132</v>
      </c>
      <c r="U375" t="s">
        <v>131</v>
      </c>
      <c r="V375" t="s">
        <v>132</v>
      </c>
      <c r="W375" t="s">
        <v>132</v>
      </c>
      <c r="X375" t="s">
        <v>544</v>
      </c>
      <c r="Y375">
        <f>_xlfn.IFNA(_xlfn.XLOOKUP(D375,[1]Especificação!$G:$G,[1]Especificação!$C:$C),0)</f>
        <v>0</v>
      </c>
    </row>
    <row r="376" spans="1:25" ht="15">
      <c r="A376" s="50" t="str">
        <f t="shared" si="5"/>
        <v>INSTRUMENT_RFRRL_FS</v>
      </c>
      <c r="B376" s="50"/>
      <c r="C376" t="s">
        <v>127</v>
      </c>
      <c r="D376" t="s">
        <v>568</v>
      </c>
      <c r="E376" t="s">
        <v>6</v>
      </c>
      <c r="F376" t="s">
        <v>20</v>
      </c>
      <c r="J376" t="s">
        <v>29</v>
      </c>
      <c r="K376" s="15">
        <v>45667</v>
      </c>
      <c r="L376" t="s">
        <v>20</v>
      </c>
      <c r="M376" t="str">
        <f>IF(COUNTIFS(PRO_LT_SCORECARD_FLEX_VALIDATIO!$K:$K, _xlfn.CONCAT(C376,D376), PRO_LT_SCORECARD_FLEX_VALIDATIO!$G:$G, "KO") &gt; 0, "NOK", "OK")</f>
        <v>NOK</v>
      </c>
      <c r="R376" t="s">
        <v>131</v>
      </c>
      <c r="S376" t="s">
        <v>132</v>
      </c>
      <c r="T376" t="s">
        <v>132</v>
      </c>
      <c r="U376" t="s">
        <v>131</v>
      </c>
      <c r="V376" t="s">
        <v>132</v>
      </c>
      <c r="W376" t="s">
        <v>132</v>
      </c>
      <c r="X376" t="s">
        <v>544</v>
      </c>
      <c r="Y376">
        <f>_xlfn.IFNA(_xlfn.XLOOKUP(D376,[1]Especificação!$G:$G,[1]Especificação!$C:$C),0)</f>
        <v>0</v>
      </c>
    </row>
    <row r="377" spans="1:25" ht="15">
      <c r="A377" s="50" t="str">
        <f t="shared" si="5"/>
        <v>INSTRUMENT_INSRNC_CMSSNS</v>
      </c>
      <c r="B377" s="50"/>
      <c r="C377" t="s">
        <v>127</v>
      </c>
      <c r="D377" t="s">
        <v>569</v>
      </c>
      <c r="E377" t="s">
        <v>6</v>
      </c>
      <c r="F377" t="s">
        <v>20</v>
      </c>
      <c r="J377" t="s">
        <v>29</v>
      </c>
      <c r="K377" s="15">
        <v>45667</v>
      </c>
      <c r="L377" t="s">
        <v>20</v>
      </c>
      <c r="M377" t="str">
        <f>IF(COUNTIFS(PRO_LT_SCORECARD_FLEX_VALIDATIO!$K:$K, _xlfn.CONCAT(C377,D377), PRO_LT_SCORECARD_FLEX_VALIDATIO!$G:$G, "KO") &gt; 0, "NOK", "OK")</f>
        <v>NOK</v>
      </c>
      <c r="R377" t="s">
        <v>131</v>
      </c>
      <c r="S377" t="s">
        <v>132</v>
      </c>
      <c r="T377" t="s">
        <v>132</v>
      </c>
      <c r="U377" t="s">
        <v>131</v>
      </c>
      <c r="V377" t="s">
        <v>132</v>
      </c>
      <c r="W377" t="s">
        <v>132</v>
      </c>
      <c r="X377" t="s">
        <v>544</v>
      </c>
      <c r="Y377">
        <f>_xlfn.IFNA(_xlfn.XLOOKUP(D377,[1]Especificação!$G:$G,[1]Especificação!$C:$C),0)</f>
        <v>0</v>
      </c>
    </row>
    <row r="378" spans="1:25" ht="15">
      <c r="A378" s="50" t="str">
        <f t="shared" si="5"/>
        <v>INSTRUMENT_OTHR_INCM_AND_CHRGS</v>
      </c>
      <c r="B378" s="50"/>
      <c r="C378" t="s">
        <v>127</v>
      </c>
      <c r="D378" t="s">
        <v>570</v>
      </c>
      <c r="E378" t="s">
        <v>6</v>
      </c>
      <c r="F378" t="s">
        <v>20</v>
      </c>
      <c r="J378" t="s">
        <v>29</v>
      </c>
      <c r="K378" s="15">
        <v>45667</v>
      </c>
      <c r="L378" t="s">
        <v>20</v>
      </c>
      <c r="M378" t="str">
        <f>IF(COUNTIFS(PRO_LT_SCORECARD_FLEX_VALIDATIO!$K:$K, _xlfn.CONCAT(C378,D378), PRO_LT_SCORECARD_FLEX_VALIDATIO!$G:$G, "KO") &gt; 0, "NOK", "OK")</f>
        <v>NOK</v>
      </c>
      <c r="R378" t="s">
        <v>131</v>
      </c>
      <c r="S378" t="s">
        <v>132</v>
      </c>
      <c r="T378" t="s">
        <v>132</v>
      </c>
      <c r="U378" t="s">
        <v>131</v>
      </c>
      <c r="V378" t="s">
        <v>132</v>
      </c>
      <c r="W378" t="s">
        <v>132</v>
      </c>
      <c r="X378" t="s">
        <v>544</v>
      </c>
      <c r="Y378">
        <f>_xlfn.IFNA(_xlfn.XLOOKUP(D378,[1]Especificação!$G:$G,[1]Especificação!$C:$C),0)</f>
        <v>0</v>
      </c>
    </row>
    <row r="379" spans="1:25" ht="15">
      <c r="A379" s="50" t="str">
        <f t="shared" si="5"/>
        <v>INSTRUMENT_TX_ON_PRFT</v>
      </c>
      <c r="B379" s="50"/>
      <c r="C379" t="s">
        <v>127</v>
      </c>
      <c r="D379" t="s">
        <v>571</v>
      </c>
      <c r="E379" t="s">
        <v>6</v>
      </c>
      <c r="F379" t="s">
        <v>20</v>
      </c>
      <c r="J379" t="s">
        <v>29</v>
      </c>
      <c r="K379" s="15">
        <v>45667</v>
      </c>
      <c r="L379" t="s">
        <v>20</v>
      </c>
      <c r="M379" t="str">
        <f>IF(COUNTIFS(PRO_LT_SCORECARD_FLEX_VALIDATIO!$K:$K, _xlfn.CONCAT(C379,D379), PRO_LT_SCORECARD_FLEX_VALIDATIO!$G:$G, "KO") &gt; 0, "NOK", "OK")</f>
        <v>NOK</v>
      </c>
      <c r="R379" t="s">
        <v>131</v>
      </c>
      <c r="S379" t="s">
        <v>132</v>
      </c>
      <c r="T379" t="s">
        <v>132</v>
      </c>
      <c r="U379" t="s">
        <v>131</v>
      </c>
      <c r="V379" t="s">
        <v>132</v>
      </c>
      <c r="W379" t="s">
        <v>132</v>
      </c>
      <c r="X379" t="s">
        <v>544</v>
      </c>
      <c r="Y379">
        <f>_xlfn.IFNA(_xlfn.XLOOKUP(D379,[1]Especificação!$G:$G,[1]Especificação!$C:$C),0)</f>
        <v>0</v>
      </c>
    </row>
    <row r="380" spans="1:25" ht="15">
      <c r="A380" s="50" t="str">
        <f t="shared" si="5"/>
        <v>PROTECTION_LND_AR</v>
      </c>
      <c r="B380" s="50"/>
      <c r="C380" t="s">
        <v>156</v>
      </c>
      <c r="D380" t="s">
        <v>572</v>
      </c>
      <c r="E380" t="s">
        <v>6</v>
      </c>
      <c r="F380" t="s">
        <v>20</v>
      </c>
      <c r="J380" t="s">
        <v>29</v>
      </c>
      <c r="K380" s="15">
        <v>45667</v>
      </c>
      <c r="L380" t="s">
        <v>20</v>
      </c>
      <c r="M380" t="str">
        <f>IF(COUNTIFS(PRO_LT_SCORECARD_FLEX_VALIDATIO!$K:$K, _xlfn.CONCAT(C380,D380), PRO_LT_SCORECARD_FLEX_VALIDATIO!$G:$G, "KO") &gt; 0, "NOK", "OK")</f>
        <v>NOK</v>
      </c>
      <c r="R380" t="s">
        <v>131</v>
      </c>
      <c r="S380" t="s">
        <v>132</v>
      </c>
      <c r="T380" t="s">
        <v>132</v>
      </c>
      <c r="U380" t="s">
        <v>132</v>
      </c>
      <c r="V380" t="s">
        <v>132</v>
      </c>
      <c r="W380" t="s">
        <v>132</v>
      </c>
      <c r="X380" t="s">
        <v>544</v>
      </c>
      <c r="Y380">
        <f>_xlfn.IFNA(_xlfn.XLOOKUP(D380,[1]Especificação!$G:$G,[1]Especificação!$C:$C),0)</f>
        <v>0</v>
      </c>
    </row>
    <row r="381" spans="1:25" ht="15">
      <c r="A381" s="50" t="str">
        <f t="shared" si="5"/>
        <v>PROTECTION_LN_PSTN</v>
      </c>
      <c r="B381" s="50"/>
      <c r="C381" t="s">
        <v>156</v>
      </c>
      <c r="D381" t="s">
        <v>573</v>
      </c>
      <c r="E381" t="s">
        <v>6</v>
      </c>
      <c r="F381" t="s">
        <v>20</v>
      </c>
      <c r="J381" t="s">
        <v>29</v>
      </c>
      <c r="K381" s="15">
        <v>45667</v>
      </c>
      <c r="L381" t="s">
        <v>20</v>
      </c>
      <c r="M381" t="str">
        <f>IF(COUNTIFS(PRO_LT_SCORECARD_FLEX_VALIDATIO!$K:$K, _xlfn.CONCAT(C381,D381), PRO_LT_SCORECARD_FLEX_VALIDATIO!$G:$G, "KO") &gt; 0, "NOK", "OK")</f>
        <v>NOK</v>
      </c>
      <c r="R381" t="s">
        <v>131</v>
      </c>
      <c r="S381" t="s">
        <v>132</v>
      </c>
      <c r="T381" t="s">
        <v>132</v>
      </c>
      <c r="U381" t="s">
        <v>132</v>
      </c>
      <c r="V381" t="s">
        <v>132</v>
      </c>
      <c r="W381" t="s">
        <v>132</v>
      </c>
      <c r="X381" t="s">
        <v>544</v>
      </c>
      <c r="Y381">
        <f>_xlfn.IFNA(_xlfn.XLOOKUP(D381,[1]Especificação!$G:$G,[1]Especificação!$C:$C),0)</f>
        <v>0</v>
      </c>
    </row>
    <row r="382" spans="1:25" ht="15">
      <c r="A382" s="50" t="str">
        <f t="shared" si="5"/>
        <v>PROTECTION_RL_ESTT_LNGTD</v>
      </c>
      <c r="B382" s="50"/>
      <c r="C382" t="s">
        <v>156</v>
      </c>
      <c r="D382" t="s">
        <v>574</v>
      </c>
      <c r="E382" t="s">
        <v>6</v>
      </c>
      <c r="F382" t="s">
        <v>20</v>
      </c>
      <c r="J382" t="s">
        <v>29</v>
      </c>
      <c r="K382" s="15">
        <v>45667</v>
      </c>
      <c r="L382" t="s">
        <v>20</v>
      </c>
      <c r="M382" t="str">
        <f>IF(COUNTIFS(PRO_LT_SCORECARD_FLEX_VALIDATIO!$K:$K, _xlfn.CONCAT(C382,D382), PRO_LT_SCORECARD_FLEX_VALIDATIO!$G:$G, "KO") &gt; 0, "NOK", "OK")</f>
        <v>NOK</v>
      </c>
      <c r="R382" t="s">
        <v>131</v>
      </c>
      <c r="S382" t="s">
        <v>132</v>
      </c>
      <c r="T382" t="s">
        <v>132</v>
      </c>
      <c r="U382" t="s">
        <v>132</v>
      </c>
      <c r="V382" t="s">
        <v>132</v>
      </c>
      <c r="W382" t="s">
        <v>132</v>
      </c>
      <c r="X382" t="s">
        <v>544</v>
      </c>
      <c r="Y382">
        <f>_xlfn.IFNA(_xlfn.XLOOKUP(D382,[1]Especificação!$G:$G,[1]Especificação!$C:$C),0)</f>
        <v>0</v>
      </c>
    </row>
    <row r="383" spans="1:25" ht="15">
      <c r="A383" s="50" t="str">
        <f t="shared" si="5"/>
        <v>PROTECTION_RL_ESTT_LTTD</v>
      </c>
      <c r="B383" s="50"/>
      <c r="C383" t="s">
        <v>156</v>
      </c>
      <c r="D383" t="s">
        <v>575</v>
      </c>
      <c r="E383" t="s">
        <v>6</v>
      </c>
      <c r="F383" t="s">
        <v>20</v>
      </c>
      <c r="J383" t="s">
        <v>29</v>
      </c>
      <c r="K383" s="15">
        <v>45667</v>
      </c>
      <c r="L383" t="s">
        <v>20</v>
      </c>
      <c r="M383" t="str">
        <f>IF(COUNTIFS(PRO_LT_SCORECARD_FLEX_VALIDATIO!$K:$K, _xlfn.CONCAT(C383,D383), PRO_LT_SCORECARD_FLEX_VALIDATIO!$G:$G, "KO") &gt; 0, "NOK", "OK")</f>
        <v>NOK</v>
      </c>
      <c r="R383" t="s">
        <v>131</v>
      </c>
      <c r="S383" t="s">
        <v>132</v>
      </c>
      <c r="T383" t="s">
        <v>132</v>
      </c>
      <c r="U383" t="s">
        <v>132</v>
      </c>
      <c r="V383" t="s">
        <v>132</v>
      </c>
      <c r="W383" t="s">
        <v>132</v>
      </c>
      <c r="X383" t="s">
        <v>544</v>
      </c>
      <c r="Y383">
        <f>_xlfn.IFNA(_xlfn.XLOOKUP(D383,[1]Especificação!$G:$G,[1]Especificação!$C:$C),0)</f>
        <v>0</v>
      </c>
    </row>
    <row r="384" spans="1:25" ht="15">
      <c r="A384" s="50" t="str">
        <f t="shared" si="5"/>
        <v>INSTR_ACTIVITY_PRCNTG_ACTVTY</v>
      </c>
      <c r="B384" s="50"/>
      <c r="C384" t="s">
        <v>576</v>
      </c>
      <c r="D384" t="s">
        <v>577</v>
      </c>
      <c r="E384" t="s">
        <v>6</v>
      </c>
      <c r="F384" t="s">
        <v>20</v>
      </c>
      <c r="J384" t="s">
        <v>29</v>
      </c>
      <c r="K384" s="15">
        <v>45667</v>
      </c>
      <c r="L384" t="s">
        <v>20</v>
      </c>
      <c r="M384" t="str">
        <f>IF(COUNTIFS(PRO_LT_SCORECARD_FLEX_VALIDATIO!$K:$K, _xlfn.CONCAT(C384,D384), PRO_LT_SCORECARD_FLEX_VALIDATIO!$G:$G, "KO") &gt; 0, "NOK", "OK")</f>
        <v>NOK</v>
      </c>
      <c r="R384" t="s">
        <v>131</v>
      </c>
      <c r="S384" t="s">
        <v>131</v>
      </c>
      <c r="T384" t="s">
        <v>131</v>
      </c>
      <c r="U384" t="s">
        <v>132</v>
      </c>
      <c r="V384" t="s">
        <v>132</v>
      </c>
      <c r="W384" t="s">
        <v>132</v>
      </c>
      <c r="X384" t="s">
        <v>544</v>
      </c>
      <c r="Y384">
        <f>_xlfn.IFNA(_xlfn.XLOOKUP(D384,[1]Especificação!$G:$G,[1]Especificação!$C:$C),0)</f>
        <v>0</v>
      </c>
    </row>
    <row r="385" spans="1:25" ht="15">
      <c r="A385" s="50" t="str">
        <f t="shared" si="5"/>
        <v>INSTRUMENT_PD_EC_INCPTN</v>
      </c>
      <c r="B385" s="50"/>
      <c r="C385" t="s">
        <v>127</v>
      </c>
      <c r="D385" t="s">
        <v>1268</v>
      </c>
      <c r="E385" t="s">
        <v>6</v>
      </c>
      <c r="F385" t="s">
        <v>20</v>
      </c>
      <c r="J385" t="s">
        <v>29</v>
      </c>
      <c r="K385" s="15">
        <v>45952</v>
      </c>
      <c r="L385" t="s">
        <v>38</v>
      </c>
      <c r="M385" t="str">
        <f>IF(COUNTIFS(PRO_LT_SCORECARD_FLEX_VALIDATIO!$K:$K, _xlfn.CONCAT(C385,D385), PRO_LT_SCORECARD_FLEX_VALIDATIO!$G:$G, "KO") &gt; 0, "NOK", "OK")</f>
        <v>OK</v>
      </c>
      <c r="P385" s="15">
        <v>45952</v>
      </c>
      <c r="R385" t="s">
        <v>132</v>
      </c>
      <c r="S385" t="s">
        <v>132</v>
      </c>
      <c r="T385" t="s">
        <v>132</v>
      </c>
      <c r="U385" t="s">
        <v>132</v>
      </c>
      <c r="V385" t="s">
        <v>132</v>
      </c>
      <c r="W385" t="s">
        <v>131</v>
      </c>
      <c r="X385" t="s">
        <v>136</v>
      </c>
      <c r="Y385" t="str">
        <f>_xlfn.IFNA(_xlfn.XLOOKUP(D385,[1]Especificação!$G:$G,[1]Especificação!$C:$C),0)</f>
        <v>A. Novos Campos</v>
      </c>
    </row>
    <row r="386" spans="1:25" ht="15">
      <c r="A386" s="50" t="str">
        <f t="shared" ref="A386:A408" si="6">C386&amp;"_"&amp;D386</f>
        <v>INSTRUMENT_PD_EC_RD</v>
      </c>
      <c r="B386" s="50"/>
      <c r="C386" t="s">
        <v>127</v>
      </c>
      <c r="D386" t="s">
        <v>1267</v>
      </c>
      <c r="E386" t="s">
        <v>6</v>
      </c>
      <c r="F386" t="s">
        <v>20</v>
      </c>
      <c r="J386" t="s">
        <v>29</v>
      </c>
      <c r="K386" s="15">
        <v>45952</v>
      </c>
      <c r="L386" t="s">
        <v>36</v>
      </c>
      <c r="M386" t="str">
        <f>IF(COUNTIFS(PRO_LT_SCORECARD_FLEX_VALIDATIO!$K:$K, _xlfn.CONCAT(C386,D386), PRO_LT_SCORECARD_FLEX_VALIDATIO!$G:$G, "KO") &gt; 0, "NOK", "OK")</f>
        <v>NOK</v>
      </c>
      <c r="N386" t="s">
        <v>1280</v>
      </c>
      <c r="O386" s="15"/>
      <c r="P386" s="15">
        <v>45952</v>
      </c>
      <c r="R386" t="s">
        <v>131</v>
      </c>
      <c r="S386" t="s">
        <v>132</v>
      </c>
      <c r="T386" t="s">
        <v>132</v>
      </c>
      <c r="U386" t="s">
        <v>132</v>
      </c>
      <c r="V386" t="s">
        <v>132</v>
      </c>
      <c r="W386" t="s">
        <v>131</v>
      </c>
      <c r="X386" t="s">
        <v>136</v>
      </c>
      <c r="Y386" t="str">
        <f>_xlfn.IFNA(_xlfn.XLOOKUP(D386,[1]Especificação!$G:$G,[1]Especificação!$C:$C),0)</f>
        <v>A. Novos Campos</v>
      </c>
    </row>
    <row r="387" spans="1:25" ht="15">
      <c r="A387" s="50" t="str">
        <f t="shared" si="6"/>
        <v>INSTRUMENT_US_PRCDS</v>
      </c>
      <c r="B387" s="50"/>
      <c r="C387" t="s">
        <v>127</v>
      </c>
      <c r="D387" t="s">
        <v>1311</v>
      </c>
      <c r="E387" t="s">
        <v>6</v>
      </c>
      <c r="F387" t="s">
        <v>20</v>
      </c>
      <c r="J387" t="s">
        <v>29</v>
      </c>
      <c r="K387" s="15">
        <v>45952</v>
      </c>
      <c r="L387" t="s">
        <v>38</v>
      </c>
      <c r="M387" t="str">
        <f>IF(COUNTIFS(PRO_LT_SCORECARD_FLEX_VALIDATIO!$K:$K, _xlfn.CONCAT(C387,D387), PRO_LT_SCORECARD_FLEX_VALIDATIO!$G:$G, "KO") &gt; 0, "NOK", "OK")</f>
        <v>OK</v>
      </c>
      <c r="P387" s="15">
        <v>45952</v>
      </c>
      <c r="R387" t="str">
        <f>_xlfn.XLOOKUP(D387,[2]Overview!$E:$E,[2]Overview!$Z:$Z)</f>
        <v>N</v>
      </c>
      <c r="S387" t="str">
        <f>_xlfn.XLOOKUP(D387,[2]Overview!$E:$E,[2]Overview!$AA:$AA)</f>
        <v>N</v>
      </c>
      <c r="T387" t="str">
        <f>_xlfn.XLOOKUP(D387,[2]Overview!$E:$E,[2]Overview!$AB:$AB)</f>
        <v>N</v>
      </c>
      <c r="U387" t="str">
        <f>_xlfn.XLOOKUP(D387,[2]Overview!$E:$E,[2]Overview!$AC:$AC)</f>
        <v>N</v>
      </c>
      <c r="V387" t="str">
        <f>_xlfn.XLOOKUP(D387,[2]Overview!$E:$E,[2]Overview!$AD:$AD)</f>
        <v>N</v>
      </c>
      <c r="W387" t="str">
        <f>_xlfn.XLOOKUP(D387,[2]Overview!$E:$E,[2]Overview!$AE:$AE)</f>
        <v>Y</v>
      </c>
      <c r="X387" t="s">
        <v>136</v>
      </c>
      <c r="Y387" t="str">
        <f>_xlfn.IFNA(_xlfn.XLOOKUP(D387,[1]Especificação!$G:$G,[1]Especificação!$C:$C),0)</f>
        <v>A. Novos Campos</v>
      </c>
    </row>
    <row r="388" spans="1:25" ht="15">
      <c r="A388" s="50" t="str">
        <f t="shared" si="6"/>
        <v>INSTRUMENT_TYP_FCLTY</v>
      </c>
      <c r="B388" s="50"/>
      <c r="C388" t="s">
        <v>127</v>
      </c>
      <c r="D388" t="s">
        <v>1312</v>
      </c>
      <c r="E388" t="s">
        <v>6</v>
      </c>
      <c r="F388" t="s">
        <v>20</v>
      </c>
      <c r="J388" t="s">
        <v>29</v>
      </c>
      <c r="K388" s="15">
        <v>45952</v>
      </c>
      <c r="L388" t="s">
        <v>38</v>
      </c>
      <c r="M388" t="str">
        <f>IF(COUNTIFS(PRO_LT_SCORECARD_FLEX_VALIDATIO!$K:$K, _xlfn.CONCAT(C388,D388), PRO_LT_SCORECARD_FLEX_VALIDATIO!$G:$G, "KO") &gt; 0, "NOK", "OK")</f>
        <v>OK</v>
      </c>
      <c r="P388" s="15">
        <v>45952</v>
      </c>
      <c r="R388" t="str">
        <f>_xlfn.XLOOKUP(D388,[2]Overview!$E:$E,[2]Overview!$Z:$Z)</f>
        <v>N</v>
      </c>
      <c r="S388" t="str">
        <f>_xlfn.XLOOKUP(D388,[2]Overview!$E:$E,[2]Overview!$AA:$AA)</f>
        <v>N</v>
      </c>
      <c r="T388" t="str">
        <f>_xlfn.XLOOKUP(D388,[2]Overview!$E:$E,[2]Overview!$AB:$AB)</f>
        <v>N</v>
      </c>
      <c r="U388" t="str">
        <f>_xlfn.XLOOKUP(D388,[2]Overview!$E:$E,[2]Overview!$AC:$AC)</f>
        <v>N</v>
      </c>
      <c r="V388" t="str">
        <f>_xlfn.XLOOKUP(D388,[2]Overview!$E:$E,[2]Overview!$AD:$AD)</f>
        <v>N</v>
      </c>
      <c r="W388" t="str">
        <f>_xlfn.XLOOKUP(D388,[2]Overview!$E:$E,[2]Overview!$AE:$AE)</f>
        <v>Y</v>
      </c>
      <c r="X388" t="s">
        <v>136</v>
      </c>
      <c r="Y388" t="str">
        <f>_xlfn.IFNA(_xlfn.XLOOKUP(D388,[1]Especificação!$G:$G,[1]Especificação!$C:$C),0)</f>
        <v>A. Novos Campos</v>
      </c>
    </row>
    <row r="389" spans="1:25" ht="15">
      <c r="A389" s="50" t="str">
        <f t="shared" si="6"/>
        <v>INSTRUMENT_TYP_DL</v>
      </c>
      <c r="B389" s="50"/>
      <c r="C389" t="s">
        <v>127</v>
      </c>
      <c r="D389" t="s">
        <v>1313</v>
      </c>
      <c r="E389" t="s">
        <v>6</v>
      </c>
      <c r="F389" t="s">
        <v>20</v>
      </c>
      <c r="J389" t="s">
        <v>29</v>
      </c>
      <c r="K389" s="15">
        <v>45952</v>
      </c>
      <c r="L389" t="s">
        <v>38</v>
      </c>
      <c r="M389" t="str">
        <f>IF(COUNTIFS(PRO_LT_SCORECARD_FLEX_VALIDATIO!$K:$K, _xlfn.CONCAT(C389,D389), PRO_LT_SCORECARD_FLEX_VALIDATIO!$G:$G, "KO") &gt; 0, "NOK", "OK")</f>
        <v>NOK</v>
      </c>
      <c r="P389" s="15">
        <v>45952</v>
      </c>
      <c r="R389" t="str">
        <f>_xlfn.XLOOKUP(D389,[2]Overview!$E:$E,[2]Overview!$Z:$Z)</f>
        <v>N</v>
      </c>
      <c r="S389" t="str">
        <f>_xlfn.XLOOKUP(D389,[2]Overview!$E:$E,[2]Overview!$AA:$AA)</f>
        <v>N</v>
      </c>
      <c r="T389" t="str">
        <f>_xlfn.XLOOKUP(D389,[2]Overview!$E:$E,[2]Overview!$AB:$AB)</f>
        <v>N</v>
      </c>
      <c r="U389" t="str">
        <f>_xlfn.XLOOKUP(D389,[2]Overview!$E:$E,[2]Overview!$AC:$AC)</f>
        <v>N</v>
      </c>
      <c r="V389" t="str">
        <f>_xlfn.XLOOKUP(D389,[2]Overview!$E:$E,[2]Overview!$AD:$AD)</f>
        <v>N</v>
      </c>
      <c r="W389" t="str">
        <f>_xlfn.XLOOKUP(D389,[2]Overview!$E:$E,[2]Overview!$AE:$AE)</f>
        <v>Y</v>
      </c>
      <c r="X389" t="s">
        <v>136</v>
      </c>
      <c r="Y389" t="str">
        <f>_xlfn.IFNA(_xlfn.XLOOKUP(D389,[1]Especificação!$G:$G,[1]Especificação!$C:$C),0)</f>
        <v>A. Novos Campos</v>
      </c>
    </row>
    <row r="390" spans="1:25" ht="15">
      <c r="A390" s="50" t="str">
        <f t="shared" si="6"/>
        <v>INSTRUMENT_TYP_CL</v>
      </c>
      <c r="B390" s="50"/>
      <c r="C390" t="s">
        <v>127</v>
      </c>
      <c r="D390" t="s">
        <v>1314</v>
      </c>
      <c r="E390" t="s">
        <v>6</v>
      </c>
      <c r="F390" t="s">
        <v>20</v>
      </c>
      <c r="J390" t="s">
        <v>29</v>
      </c>
      <c r="K390" s="15">
        <v>45952</v>
      </c>
      <c r="L390" t="s">
        <v>38</v>
      </c>
      <c r="M390" t="str">
        <f>IF(COUNTIFS(PRO_LT_SCORECARD_FLEX_VALIDATIO!$K:$K, _xlfn.CONCAT(C390,D390), PRO_LT_SCORECARD_FLEX_VALIDATIO!$G:$G, "KO") &gt; 0, "NOK", "OK")</f>
        <v>OK</v>
      </c>
      <c r="P390" s="15">
        <v>45952</v>
      </c>
      <c r="R390" t="str">
        <f>_xlfn.XLOOKUP(D390,[2]Overview!$E:$E,[2]Overview!$Z:$Z)</f>
        <v>N</v>
      </c>
      <c r="S390" t="str">
        <f>_xlfn.XLOOKUP(D390,[2]Overview!$E:$E,[2]Overview!$AA:$AA)</f>
        <v>N</v>
      </c>
      <c r="T390" t="str">
        <f>_xlfn.XLOOKUP(D390,[2]Overview!$E:$E,[2]Overview!$AB:$AB)</f>
        <v>N</v>
      </c>
      <c r="U390" t="str">
        <f>_xlfn.XLOOKUP(D390,[2]Overview!$E:$E,[2]Overview!$AC:$AC)</f>
        <v>N</v>
      </c>
      <c r="V390" t="str">
        <f>_xlfn.XLOOKUP(D390,[2]Overview!$E:$E,[2]Overview!$AD:$AD)</f>
        <v>N</v>
      </c>
      <c r="W390" t="str">
        <f>_xlfn.XLOOKUP(D390,[2]Overview!$E:$E,[2]Overview!$AE:$AE)</f>
        <v>Y</v>
      </c>
      <c r="X390" t="s">
        <v>136</v>
      </c>
      <c r="Y390" t="str">
        <f>_xlfn.IFNA(_xlfn.XLOOKUP(D390,[1]Especificação!$G:$G,[1]Especificação!$C:$C),0)</f>
        <v>A. Novos Campos</v>
      </c>
    </row>
    <row r="391" spans="1:25" ht="15">
      <c r="A391" s="50" t="str">
        <f t="shared" si="6"/>
        <v>ENTITY_TTL_PRMSSBL_DBT_BLNC</v>
      </c>
      <c r="B391" s="50"/>
      <c r="C391" t="s">
        <v>139</v>
      </c>
      <c r="D391" t="s">
        <v>1315</v>
      </c>
      <c r="E391" t="s">
        <v>6</v>
      </c>
      <c r="F391" t="s">
        <v>20</v>
      </c>
      <c r="J391" t="s">
        <v>29</v>
      </c>
      <c r="K391" s="15">
        <v>45952</v>
      </c>
      <c r="L391" t="s">
        <v>38</v>
      </c>
      <c r="M391" t="str">
        <f>IF(COUNTIFS(PRO_LT_SCORECARD_FLEX_VALIDATIO!$K:$K, _xlfn.CONCAT(C391,D391), PRO_LT_SCORECARD_FLEX_VALIDATIO!$G:$G, "KO") &gt; 0, "NOK", "OK")</f>
        <v>NOK</v>
      </c>
      <c r="P391" s="15">
        <v>45952</v>
      </c>
      <c r="R391" t="str">
        <f>_xlfn.XLOOKUP(D391,[2]Overview!$E:$E,[2]Overview!$Z:$Z)</f>
        <v>N</v>
      </c>
      <c r="S391" t="str">
        <f>_xlfn.XLOOKUP(D391,[2]Overview!$E:$E,[2]Overview!$AA:$AA)</f>
        <v>N</v>
      </c>
      <c r="T391" t="str">
        <f>_xlfn.XLOOKUP(D391,[2]Overview!$E:$E,[2]Overview!$AB:$AB)</f>
        <v>N</v>
      </c>
      <c r="U391" t="str">
        <f>_xlfn.XLOOKUP(D391,[2]Overview!$E:$E,[2]Overview!$AC:$AC)</f>
        <v>N</v>
      </c>
      <c r="V391" t="str">
        <f>_xlfn.XLOOKUP(D391,[2]Overview!$E:$E,[2]Overview!$AD:$AD)</f>
        <v>N</v>
      </c>
      <c r="W391" t="str">
        <f>_xlfn.XLOOKUP(D391,[2]Overview!$E:$E,[2]Overview!$AE:$AE)</f>
        <v>Y</v>
      </c>
      <c r="X391" t="s">
        <v>136</v>
      </c>
      <c r="Y391" t="str">
        <f>_xlfn.IFNA(_xlfn.XLOOKUP(D391,[1]Especificação!$G:$G,[1]Especificação!$C:$C),0)</f>
        <v>A. Novos Campos</v>
      </c>
    </row>
    <row r="392" spans="1:25" ht="15">
      <c r="A392" s="50" t="str">
        <f t="shared" si="6"/>
        <v>INSTRUMENT_TTL_LVRG_RT_INCPTN_HLT</v>
      </c>
      <c r="B392" s="50"/>
      <c r="C392" t="s">
        <v>127</v>
      </c>
      <c r="D392" t="s">
        <v>1316</v>
      </c>
      <c r="E392" t="s">
        <v>6</v>
      </c>
      <c r="F392" t="s">
        <v>20</v>
      </c>
      <c r="J392" t="s">
        <v>29</v>
      </c>
      <c r="K392" s="15">
        <v>45952</v>
      </c>
      <c r="L392" t="s">
        <v>38</v>
      </c>
      <c r="M392" t="str">
        <f>IF(COUNTIFS(PRO_LT_SCORECARD_FLEX_VALIDATIO!$K:$K, _xlfn.CONCAT(C392,D392), PRO_LT_SCORECARD_FLEX_VALIDATIO!$G:$G, "KO") &gt; 0, "NOK", "OK")</f>
        <v>NOK</v>
      </c>
      <c r="P392" s="15">
        <v>45952</v>
      </c>
      <c r="R392" t="str">
        <f>_xlfn.XLOOKUP(D392,[2]Overview!$E:$E,[2]Overview!$Z:$Z)</f>
        <v>N</v>
      </c>
      <c r="S392" t="str">
        <f>_xlfn.XLOOKUP(D392,[2]Overview!$E:$E,[2]Overview!$AA:$AA)</f>
        <v>N</v>
      </c>
      <c r="T392" t="str">
        <f>_xlfn.XLOOKUP(D392,[2]Overview!$E:$E,[2]Overview!$AB:$AB)</f>
        <v>N</v>
      </c>
      <c r="U392" t="str">
        <f>_xlfn.XLOOKUP(D392,[2]Overview!$E:$E,[2]Overview!$AC:$AC)</f>
        <v>N</v>
      </c>
      <c r="V392" t="str">
        <f>_xlfn.XLOOKUP(D392,[2]Overview!$E:$E,[2]Overview!$AD:$AD)</f>
        <v>N</v>
      </c>
      <c r="W392" t="str">
        <f>_xlfn.XLOOKUP(D392,[2]Overview!$E:$E,[2]Overview!$AE:$AE)</f>
        <v>Y</v>
      </c>
      <c r="X392" t="s">
        <v>136</v>
      </c>
      <c r="Y392" t="str">
        <f>_xlfn.IFNA(_xlfn.XLOOKUP(D392,[1]Especificação!$G:$G,[1]Especificação!$C:$C),0)</f>
        <v>A. Novos Campos</v>
      </c>
    </row>
    <row r="393" spans="1:25" ht="15">
      <c r="A393" s="50" t="str">
        <f t="shared" si="6"/>
        <v>INSTRUMENT_TTL_LVRG_RT_INCPTN</v>
      </c>
      <c r="B393" s="50"/>
      <c r="C393" t="s">
        <v>127</v>
      </c>
      <c r="D393" t="s">
        <v>1317</v>
      </c>
      <c r="E393" t="s">
        <v>6</v>
      </c>
      <c r="F393" t="s">
        <v>20</v>
      </c>
      <c r="J393" t="s">
        <v>29</v>
      </c>
      <c r="K393" s="15">
        <v>45952</v>
      </c>
      <c r="L393" t="s">
        <v>38</v>
      </c>
      <c r="M393" t="str">
        <f>IF(COUNTIFS(PRO_LT_SCORECARD_FLEX_VALIDATIO!$K:$K, _xlfn.CONCAT(C393,D393), PRO_LT_SCORECARD_FLEX_VALIDATIO!$G:$G, "KO") &gt; 0, "NOK", "OK")</f>
        <v>NOK</v>
      </c>
      <c r="P393" s="15">
        <v>45952</v>
      </c>
      <c r="R393" t="str">
        <f>_xlfn.XLOOKUP(D393,[2]Overview!$E:$E,[2]Overview!$Z:$Z)</f>
        <v>N</v>
      </c>
      <c r="S393" t="str">
        <f>_xlfn.XLOOKUP(D393,[2]Overview!$E:$E,[2]Overview!$AA:$AA)</f>
        <v>N</v>
      </c>
      <c r="T393" t="str">
        <f>_xlfn.XLOOKUP(D393,[2]Overview!$E:$E,[2]Overview!$AB:$AB)</f>
        <v>N</v>
      </c>
      <c r="U393" t="str">
        <f>_xlfn.XLOOKUP(D393,[2]Overview!$E:$E,[2]Overview!$AC:$AC)</f>
        <v>N</v>
      </c>
      <c r="V393" t="str">
        <f>_xlfn.XLOOKUP(D393,[2]Overview!$E:$E,[2]Overview!$AD:$AD)</f>
        <v>N</v>
      </c>
      <c r="W393" t="str">
        <f>_xlfn.XLOOKUP(D393,[2]Overview!$E:$E,[2]Overview!$AE:$AE)</f>
        <v>Y</v>
      </c>
      <c r="X393" t="s">
        <v>136</v>
      </c>
      <c r="Y393" t="str">
        <f>_xlfn.IFNA(_xlfn.XLOOKUP(D393,[1]Especificação!$G:$G,[1]Especificação!$C:$C),0)</f>
        <v>A. Novos Campos</v>
      </c>
    </row>
    <row r="394" spans="1:25" ht="15">
      <c r="A394" s="50" t="str">
        <f t="shared" si="6"/>
        <v>ENTITY_SCAN</v>
      </c>
      <c r="B394" s="50"/>
      <c r="C394" t="s">
        <v>139</v>
      </c>
      <c r="D394" t="s">
        <v>1318</v>
      </c>
      <c r="E394" t="s">
        <v>6</v>
      </c>
      <c r="F394" t="s">
        <v>20</v>
      </c>
      <c r="J394" t="s">
        <v>29</v>
      </c>
      <c r="K394" s="15">
        <v>45952</v>
      </c>
      <c r="L394" t="s">
        <v>38</v>
      </c>
      <c r="M394" t="str">
        <f>IF(COUNTIFS(PRO_LT_SCORECARD_FLEX_VALIDATIO!$K:$K, _xlfn.CONCAT(C394,D394), PRO_LT_SCORECARD_FLEX_VALIDATIO!$G:$G, "KO") &gt; 0, "NOK", "OK")</f>
        <v>OK</v>
      </c>
      <c r="P394" s="15">
        <v>45952</v>
      </c>
      <c r="R394" t="str">
        <f>_xlfn.XLOOKUP(D394,[2]Overview!$E:$E,[2]Overview!$Z:$Z)</f>
        <v>N</v>
      </c>
      <c r="S394" t="str">
        <f>_xlfn.XLOOKUP(D394,[2]Overview!$E:$E,[2]Overview!$AA:$AA)</f>
        <v>N</v>
      </c>
      <c r="T394" t="str">
        <f>_xlfn.XLOOKUP(D394,[2]Overview!$E:$E,[2]Overview!$AB:$AB)</f>
        <v>N</v>
      </c>
      <c r="U394" t="str">
        <f>_xlfn.XLOOKUP(D394,[2]Overview!$E:$E,[2]Overview!$AC:$AC)</f>
        <v>N</v>
      </c>
      <c r="V394" t="str">
        <f>_xlfn.XLOOKUP(D394,[2]Overview!$E:$E,[2]Overview!$AD:$AD)</f>
        <v>N</v>
      </c>
      <c r="W394" t="str">
        <f>_xlfn.XLOOKUP(D394,[2]Overview!$E:$E,[2]Overview!$AE:$AE)</f>
        <v>Y</v>
      </c>
      <c r="X394" t="s">
        <v>136</v>
      </c>
      <c r="Y394" t="str">
        <f>_xlfn.IFNA(_xlfn.XLOOKUP(D394,[1]Especificação!$G:$G,[1]Especificação!$C:$C),0)</f>
        <v>A. Novos Campos</v>
      </c>
    </row>
    <row r="395" spans="1:25" ht="15">
      <c r="A395" s="50" t="str">
        <f t="shared" si="6"/>
        <v>INSTRUMENT_RWA_PRMTGTN</v>
      </c>
      <c r="B395" s="50"/>
      <c r="C395" t="s">
        <v>127</v>
      </c>
      <c r="D395" t="s">
        <v>1319</v>
      </c>
      <c r="E395" t="s">
        <v>6</v>
      </c>
      <c r="F395" t="s">
        <v>20</v>
      </c>
      <c r="J395" t="s">
        <v>29</v>
      </c>
      <c r="K395" s="15">
        <v>45952</v>
      </c>
      <c r="L395" t="s">
        <v>38</v>
      </c>
      <c r="M395" t="str">
        <f>IF(COUNTIFS(PRO_LT_SCORECARD_FLEX_VALIDATIO!$K:$K, _xlfn.CONCAT(C395,D395), PRO_LT_SCORECARD_FLEX_VALIDATIO!$G:$G, "KO") &gt; 0, "NOK", "OK")</f>
        <v>NOK</v>
      </c>
      <c r="P395" s="15">
        <v>45952</v>
      </c>
      <c r="R395" t="str">
        <f>_xlfn.XLOOKUP(D395,[2]Overview!$E:$E,[2]Overview!$Z:$Z)</f>
        <v>N</v>
      </c>
      <c r="S395" t="str">
        <f>_xlfn.XLOOKUP(D395,[2]Overview!$E:$E,[2]Overview!$AA:$AA)</f>
        <v>N</v>
      </c>
      <c r="T395" t="str">
        <f>_xlfn.XLOOKUP(D395,[2]Overview!$E:$E,[2]Overview!$AB:$AB)</f>
        <v>N</v>
      </c>
      <c r="U395" t="str">
        <f>_xlfn.XLOOKUP(D395,[2]Overview!$E:$E,[2]Overview!$AC:$AC)</f>
        <v>N</v>
      </c>
      <c r="V395" t="str">
        <f>_xlfn.XLOOKUP(D395,[2]Overview!$E:$E,[2]Overview!$AD:$AD)</f>
        <v>N</v>
      </c>
      <c r="W395" t="str">
        <f>_xlfn.XLOOKUP(D395,[2]Overview!$E:$E,[2]Overview!$AE:$AE)</f>
        <v>Y</v>
      </c>
      <c r="X395" t="s">
        <v>136</v>
      </c>
      <c r="Y395" t="str">
        <f>_xlfn.IFNA(_xlfn.XLOOKUP(D395,[1]Especificação!$G:$G,[1]Especificação!$C:$C),0)</f>
        <v>A. Novos Campos</v>
      </c>
    </row>
    <row r="396" spans="1:25" ht="15">
      <c r="A396" s="50" t="str">
        <f t="shared" si="6"/>
        <v>INSTRUMENT_RWA_MTGTN</v>
      </c>
      <c r="B396" s="50"/>
      <c r="C396" t="s">
        <v>127</v>
      </c>
      <c r="D396" t="s">
        <v>1320</v>
      </c>
      <c r="E396" t="s">
        <v>6</v>
      </c>
      <c r="F396" t="s">
        <v>20</v>
      </c>
      <c r="J396" t="s">
        <v>29</v>
      </c>
      <c r="K396" s="15">
        <v>45952</v>
      </c>
      <c r="L396" t="s">
        <v>38</v>
      </c>
      <c r="M396" t="str">
        <f>IF(COUNTIFS(PRO_LT_SCORECARD_FLEX_VALIDATIO!$K:$K, _xlfn.CONCAT(C396,D396), PRO_LT_SCORECARD_FLEX_VALIDATIO!$G:$G, "KO") &gt; 0, "NOK", "OK")</f>
        <v>OK</v>
      </c>
      <c r="P396" s="15">
        <v>45952</v>
      </c>
      <c r="R396" t="str">
        <f>_xlfn.XLOOKUP(D396,[2]Overview!$E:$E,[2]Overview!$Z:$Z)</f>
        <v>N</v>
      </c>
      <c r="S396" t="str">
        <f>_xlfn.XLOOKUP(D396,[2]Overview!$E:$E,[2]Overview!$AA:$AA)</f>
        <v>N</v>
      </c>
      <c r="T396" t="str">
        <f>_xlfn.XLOOKUP(D396,[2]Overview!$E:$E,[2]Overview!$AB:$AB)</f>
        <v>N</v>
      </c>
      <c r="U396" t="str">
        <f>_xlfn.XLOOKUP(D396,[2]Overview!$E:$E,[2]Overview!$AC:$AC)</f>
        <v>N</v>
      </c>
      <c r="V396" t="str">
        <f>_xlfn.XLOOKUP(D396,[2]Overview!$E:$E,[2]Overview!$AD:$AD)</f>
        <v>N</v>
      </c>
      <c r="W396" t="str">
        <f>_xlfn.XLOOKUP(D396,[2]Overview!$E:$E,[2]Overview!$AE:$AE)</f>
        <v>Y</v>
      </c>
      <c r="X396" t="s">
        <v>136</v>
      </c>
      <c r="Y396" t="str">
        <f>_xlfn.IFNA(_xlfn.XLOOKUP(D396,[1]Especificação!$G:$G,[1]Especificação!$C:$C),0)</f>
        <v>A. Novos Campos</v>
      </c>
    </row>
    <row r="397" spans="1:25" ht="15">
      <c r="A397" s="50" t="str">
        <f t="shared" si="6"/>
        <v>ENTITY_RORWA</v>
      </c>
      <c r="B397" s="50"/>
      <c r="C397" t="s">
        <v>139</v>
      </c>
      <c r="D397" t="s">
        <v>1321</v>
      </c>
      <c r="E397" t="s">
        <v>6</v>
      </c>
      <c r="F397" t="s">
        <v>20</v>
      </c>
      <c r="J397" t="s">
        <v>29</v>
      </c>
      <c r="K397" s="15">
        <v>45952</v>
      </c>
      <c r="L397" t="s">
        <v>38</v>
      </c>
      <c r="M397" t="str">
        <f>IF(COUNTIFS(PRO_LT_SCORECARD_FLEX_VALIDATIO!$K:$K, _xlfn.CONCAT(C397,D397), PRO_LT_SCORECARD_FLEX_VALIDATIO!$G:$G, "KO") &gt; 0, "NOK", "OK")</f>
        <v>NOK</v>
      </c>
      <c r="P397" s="15">
        <v>45952</v>
      </c>
      <c r="R397" t="str">
        <f>_xlfn.XLOOKUP(D397,[2]Overview!$E:$E,[2]Overview!$Z:$Z)</f>
        <v>N</v>
      </c>
      <c r="S397" t="str">
        <f>_xlfn.XLOOKUP(D397,[2]Overview!$E:$E,[2]Overview!$AA:$AA)</f>
        <v>N</v>
      </c>
      <c r="T397" t="str">
        <f>_xlfn.XLOOKUP(D397,[2]Overview!$E:$E,[2]Overview!$AB:$AB)</f>
        <v>N</v>
      </c>
      <c r="U397" t="str">
        <f>_xlfn.XLOOKUP(D397,[2]Overview!$E:$E,[2]Overview!$AC:$AC)</f>
        <v>N</v>
      </c>
      <c r="V397" t="str">
        <f>_xlfn.XLOOKUP(D397,[2]Overview!$E:$E,[2]Overview!$AD:$AD)</f>
        <v>N</v>
      </c>
      <c r="W397" t="str">
        <f>_xlfn.XLOOKUP(D397,[2]Overview!$E:$E,[2]Overview!$AE:$AE)</f>
        <v>Y</v>
      </c>
      <c r="X397" t="s">
        <v>136</v>
      </c>
      <c r="Y397" t="str">
        <f>_xlfn.IFNA(_xlfn.XLOOKUP(D397,[1]Especificação!$G:$G,[1]Especificação!$C:$C),0)</f>
        <v>A. Novos Campos</v>
      </c>
    </row>
    <row r="398" spans="1:25" ht="15">
      <c r="A398" s="50" t="str">
        <f t="shared" si="6"/>
        <v>INSTRUMENT_RORWA</v>
      </c>
      <c r="B398" s="50"/>
      <c r="C398" t="s">
        <v>127</v>
      </c>
      <c r="D398" t="s">
        <v>1321</v>
      </c>
      <c r="E398" t="s">
        <v>6</v>
      </c>
      <c r="F398" t="s">
        <v>20</v>
      </c>
      <c r="J398" t="s">
        <v>29</v>
      </c>
      <c r="K398" s="15">
        <v>45952</v>
      </c>
      <c r="L398" t="s">
        <v>38</v>
      </c>
      <c r="M398" t="str">
        <f>IF(COUNTIFS(PRO_LT_SCORECARD_FLEX_VALIDATIO!$K:$K, _xlfn.CONCAT(C398,D398), PRO_LT_SCORECARD_FLEX_VALIDATIO!$G:$G, "KO") &gt; 0, "NOK", "OK")</f>
        <v>NOK</v>
      </c>
      <c r="P398" s="15">
        <v>45952</v>
      </c>
      <c r="R398" t="str">
        <f>_xlfn.XLOOKUP(D398,[2]Overview!$E:$E,[2]Overview!$Z:$Z)</f>
        <v>N</v>
      </c>
      <c r="S398" t="str">
        <f>_xlfn.XLOOKUP(D398,[2]Overview!$E:$E,[2]Overview!$AA:$AA)</f>
        <v>N</v>
      </c>
      <c r="T398" t="str">
        <f>_xlfn.XLOOKUP(D398,[2]Overview!$E:$E,[2]Overview!$AB:$AB)</f>
        <v>N</v>
      </c>
      <c r="U398" t="str">
        <f>_xlfn.XLOOKUP(D398,[2]Overview!$E:$E,[2]Overview!$AC:$AC)</f>
        <v>N</v>
      </c>
      <c r="V398" t="str">
        <f>_xlfn.XLOOKUP(D398,[2]Overview!$E:$E,[2]Overview!$AD:$AD)</f>
        <v>N</v>
      </c>
      <c r="W398" t="str">
        <f>_xlfn.XLOOKUP(D398,[2]Overview!$E:$E,[2]Overview!$AE:$AE)</f>
        <v>Y</v>
      </c>
      <c r="X398" t="s">
        <v>136</v>
      </c>
      <c r="Y398" t="str">
        <f>_xlfn.IFNA(_xlfn.XLOOKUP(D398,[1]Especificação!$G:$G,[1]Especificação!$C:$C),0)</f>
        <v>A. Novos Campos</v>
      </c>
    </row>
    <row r="399" spans="1:25" ht="15">
      <c r="A399" s="50" t="str">
        <f t="shared" si="6"/>
        <v>ENTITY_RORAC</v>
      </c>
      <c r="B399" s="50"/>
      <c r="C399" t="s">
        <v>139</v>
      </c>
      <c r="D399" t="s">
        <v>1322</v>
      </c>
      <c r="E399" t="s">
        <v>6</v>
      </c>
      <c r="F399" t="s">
        <v>20</v>
      </c>
      <c r="J399" t="s">
        <v>29</v>
      </c>
      <c r="K399" s="15">
        <v>45952</v>
      </c>
      <c r="L399" t="s">
        <v>55</v>
      </c>
      <c r="M399" t="str">
        <f>IF(COUNTIFS(PRO_LT_SCORECARD_FLEX_VALIDATIO!$K:$K, _xlfn.CONCAT(C399,D399), PRO_LT_SCORECARD_FLEX_VALIDATIO!$G:$G, "KO") &gt; 0, "NOK", "OK")</f>
        <v>NOK</v>
      </c>
      <c r="P399" s="15">
        <v>45952</v>
      </c>
      <c r="R399" t="str">
        <f>_xlfn.XLOOKUP(D399,[2]Overview!$E:$E,[2]Overview!$Z:$Z)</f>
        <v>N</v>
      </c>
      <c r="S399" t="str">
        <f>_xlfn.XLOOKUP(D399,[2]Overview!$E:$E,[2]Overview!$AA:$AA)</f>
        <v>N</v>
      </c>
      <c r="T399" t="str">
        <f>_xlfn.XLOOKUP(D399,[2]Overview!$E:$E,[2]Overview!$AB:$AB)</f>
        <v>N</v>
      </c>
      <c r="U399" t="str">
        <f>_xlfn.XLOOKUP(D399,[2]Overview!$E:$E,[2]Overview!$AC:$AC)</f>
        <v>N</v>
      </c>
      <c r="V399" t="str">
        <f>_xlfn.XLOOKUP(D399,[2]Overview!$E:$E,[2]Overview!$AD:$AD)</f>
        <v>N</v>
      </c>
      <c r="W399" t="str">
        <f>_xlfn.XLOOKUP(D399,[2]Overview!$E:$E,[2]Overview!$AE:$AE)</f>
        <v>Y</v>
      </c>
      <c r="X399" t="s">
        <v>136</v>
      </c>
      <c r="Y399" t="str">
        <f>_xlfn.IFNA(_xlfn.XLOOKUP(D399,[1]Especificação!$G:$G,[1]Especificação!$C:$C),0)</f>
        <v>A. Novos Campos</v>
      </c>
    </row>
    <row r="400" spans="1:25" ht="15">
      <c r="A400" s="50" t="str">
        <f t="shared" si="6"/>
        <v>INSTRUMENT_RORAC</v>
      </c>
      <c r="B400" s="50"/>
      <c r="C400" t="s">
        <v>127</v>
      </c>
      <c r="D400" t="s">
        <v>1322</v>
      </c>
      <c r="E400" t="s">
        <v>6</v>
      </c>
      <c r="F400" t="s">
        <v>20</v>
      </c>
      <c r="J400" t="s">
        <v>29</v>
      </c>
      <c r="K400" s="15">
        <v>45952</v>
      </c>
      <c r="L400" t="s">
        <v>38</v>
      </c>
      <c r="M400" t="str">
        <f>IF(COUNTIFS(PRO_LT_SCORECARD_FLEX_VALIDATIO!$K:$K, _xlfn.CONCAT(C400,D400), PRO_LT_SCORECARD_FLEX_VALIDATIO!$G:$G, "KO") &gt; 0, "NOK", "OK")</f>
        <v>NOK</v>
      </c>
      <c r="P400" s="15">
        <v>45952</v>
      </c>
      <c r="R400" t="str">
        <f>_xlfn.XLOOKUP(D400,[2]Overview!$E:$E,[2]Overview!$Z:$Z)</f>
        <v>N</v>
      </c>
      <c r="S400" t="str">
        <f>_xlfn.XLOOKUP(D400,[2]Overview!$E:$E,[2]Overview!$AA:$AA)</f>
        <v>N</v>
      </c>
      <c r="T400" t="str">
        <f>_xlfn.XLOOKUP(D400,[2]Overview!$E:$E,[2]Overview!$AB:$AB)</f>
        <v>N</v>
      </c>
      <c r="U400" t="str">
        <f>_xlfn.XLOOKUP(D400,[2]Overview!$E:$E,[2]Overview!$AC:$AC)</f>
        <v>N</v>
      </c>
      <c r="V400" t="str">
        <f>_xlfn.XLOOKUP(D400,[2]Overview!$E:$E,[2]Overview!$AD:$AD)</f>
        <v>N</v>
      </c>
      <c r="W400" t="str">
        <f>_xlfn.XLOOKUP(D400,[2]Overview!$E:$E,[2]Overview!$AE:$AE)</f>
        <v>Y</v>
      </c>
      <c r="X400" t="s">
        <v>136</v>
      </c>
      <c r="Y400" t="str">
        <f>_xlfn.IFNA(_xlfn.XLOOKUP(D400,[1]Especificação!$G:$G,[1]Especificação!$C:$C),0)</f>
        <v>A. Novos Campos</v>
      </c>
    </row>
    <row r="401" spans="1:25" ht="15">
      <c r="A401" s="50" t="str">
        <f t="shared" si="6"/>
        <v>INSTR_PROT_GRP_SPPRT</v>
      </c>
      <c r="B401" s="50"/>
      <c r="C401" t="s">
        <v>1330</v>
      </c>
      <c r="D401" t="s">
        <v>1323</v>
      </c>
      <c r="E401" t="s">
        <v>6</v>
      </c>
      <c r="F401" t="s">
        <v>20</v>
      </c>
      <c r="J401" t="s">
        <v>29</v>
      </c>
      <c r="K401" s="15">
        <v>45952</v>
      </c>
      <c r="L401" t="s">
        <v>38</v>
      </c>
      <c r="M401" t="str">
        <f>IF(COUNTIFS(PRO_LT_SCORECARD_FLEX_VALIDATIO!$K:$K, _xlfn.CONCAT(C401,D401), PRO_LT_SCORECARD_FLEX_VALIDATIO!$G:$G, "KO") &gt; 0, "NOK", "OK")</f>
        <v>OK</v>
      </c>
      <c r="P401" s="15">
        <v>45952</v>
      </c>
      <c r="R401" t="str">
        <f>_xlfn.XLOOKUP(D401,[2]Overview!$E:$E,[2]Overview!$Z:$Z)</f>
        <v>Y</v>
      </c>
      <c r="S401" t="str">
        <f>_xlfn.XLOOKUP(D401,[2]Overview!$E:$E,[2]Overview!$AA:$AA)</f>
        <v>N</v>
      </c>
      <c r="T401" t="str">
        <f>_xlfn.XLOOKUP(D401,[2]Overview!$E:$E,[2]Overview!$AB:$AB)</f>
        <v>N</v>
      </c>
      <c r="U401" t="str">
        <f>_xlfn.XLOOKUP(D401,[2]Overview!$E:$E,[2]Overview!$AC:$AC)</f>
        <v>N</v>
      </c>
      <c r="V401" t="str">
        <f>_xlfn.XLOOKUP(D401,[2]Overview!$E:$E,[2]Overview!$AD:$AD)</f>
        <v>N</v>
      </c>
      <c r="W401" t="str">
        <f>_xlfn.XLOOKUP(D401,[2]Overview!$E:$E,[2]Overview!$AE:$AE)</f>
        <v>Y</v>
      </c>
      <c r="X401" t="s">
        <v>136</v>
      </c>
      <c r="Y401" t="str">
        <f>_xlfn.IFNA(_xlfn.XLOOKUP(D401,[1]Especificação!$G:$G,[1]Especificação!$C:$C),0)</f>
        <v>A. Novos Campos</v>
      </c>
    </row>
    <row r="402" spans="1:25" ht="15">
      <c r="A402" s="50" t="str">
        <f t="shared" si="6"/>
        <v>ENTITY_GRP_RORWA</v>
      </c>
      <c r="B402" s="50"/>
      <c r="C402" t="s">
        <v>139</v>
      </c>
      <c r="D402" t="s">
        <v>1324</v>
      </c>
      <c r="E402" t="s">
        <v>6</v>
      </c>
      <c r="F402" t="s">
        <v>20</v>
      </c>
      <c r="J402" t="s">
        <v>29</v>
      </c>
      <c r="K402" s="15">
        <v>45952</v>
      </c>
      <c r="L402" t="s">
        <v>38</v>
      </c>
      <c r="M402" t="str">
        <f>IF(COUNTIFS(PRO_LT_SCORECARD_FLEX_VALIDATIO!$K:$K, _xlfn.CONCAT(C402,D402), PRO_LT_SCORECARD_FLEX_VALIDATIO!$G:$G, "KO") &gt; 0, "NOK", "OK")</f>
        <v>NOK</v>
      </c>
      <c r="P402" s="15">
        <v>45952</v>
      </c>
      <c r="R402" t="str">
        <f>_xlfn.XLOOKUP(D402,[2]Overview!$E:$E,[2]Overview!$Z:$Z)</f>
        <v>N</v>
      </c>
      <c r="S402" t="str">
        <f>_xlfn.XLOOKUP(D402,[2]Overview!$E:$E,[2]Overview!$AA:$AA)</f>
        <v>N</v>
      </c>
      <c r="T402" t="str">
        <f>_xlfn.XLOOKUP(D402,[2]Overview!$E:$E,[2]Overview!$AB:$AB)</f>
        <v>N</v>
      </c>
      <c r="U402" t="str">
        <f>_xlfn.XLOOKUP(D402,[2]Overview!$E:$E,[2]Overview!$AC:$AC)</f>
        <v>N</v>
      </c>
      <c r="V402" t="str">
        <f>_xlfn.XLOOKUP(D402,[2]Overview!$E:$E,[2]Overview!$AD:$AD)</f>
        <v>N</v>
      </c>
      <c r="W402" t="str">
        <f>_xlfn.XLOOKUP(D402,[2]Overview!$E:$E,[2]Overview!$AE:$AE)</f>
        <v>Y</v>
      </c>
      <c r="X402" t="s">
        <v>136</v>
      </c>
      <c r="Y402" t="str">
        <f>_xlfn.IFNA(_xlfn.XLOOKUP(D402,[1]Especificação!$G:$G,[1]Especificação!$C:$C),0)</f>
        <v>A. Novos Campos</v>
      </c>
    </row>
    <row r="403" spans="1:25" ht="15">
      <c r="A403" s="50" t="str">
        <f t="shared" si="6"/>
        <v>ENTITY_GRP_RORAC</v>
      </c>
      <c r="B403" s="50"/>
      <c r="C403" t="s">
        <v>139</v>
      </c>
      <c r="D403" t="s">
        <v>1325</v>
      </c>
      <c r="E403" t="s">
        <v>6</v>
      </c>
      <c r="F403" t="s">
        <v>20</v>
      </c>
      <c r="J403" t="s">
        <v>29</v>
      </c>
      <c r="K403" s="15">
        <v>45952</v>
      </c>
      <c r="L403" t="s">
        <v>55</v>
      </c>
      <c r="M403" t="str">
        <f>IF(COUNTIFS(PRO_LT_SCORECARD_FLEX_VALIDATIO!$K:$K, _xlfn.CONCAT(C403,D403), PRO_LT_SCORECARD_FLEX_VALIDATIO!$G:$G, "KO") &gt; 0, "NOK", "OK")</f>
        <v>NOK</v>
      </c>
      <c r="P403" s="15">
        <v>45952</v>
      </c>
      <c r="R403" t="str">
        <f>_xlfn.XLOOKUP(D403,[2]Overview!$E:$E,[2]Overview!$Z:$Z)</f>
        <v>N</v>
      </c>
      <c r="S403" t="str">
        <f>_xlfn.XLOOKUP(D403,[2]Overview!$E:$E,[2]Overview!$AA:$AA)</f>
        <v>N</v>
      </c>
      <c r="T403" t="str">
        <f>_xlfn.XLOOKUP(D403,[2]Overview!$E:$E,[2]Overview!$AB:$AB)</f>
        <v>N</v>
      </c>
      <c r="U403" t="str">
        <f>_xlfn.XLOOKUP(D403,[2]Overview!$E:$E,[2]Overview!$AC:$AC)</f>
        <v>N</v>
      </c>
      <c r="V403" t="str">
        <f>_xlfn.XLOOKUP(D403,[2]Overview!$E:$E,[2]Overview!$AD:$AD)</f>
        <v>N</v>
      </c>
      <c r="W403" t="str">
        <f>_xlfn.XLOOKUP(D403,[2]Overview!$E:$E,[2]Overview!$AE:$AE)</f>
        <v>Y</v>
      </c>
      <c r="X403" t="s">
        <v>136</v>
      </c>
      <c r="Y403" t="str">
        <f>_xlfn.IFNA(_xlfn.XLOOKUP(D403,[1]Especificação!$G:$G,[1]Especificação!$C:$C),0)</f>
        <v>A. Novos Campos</v>
      </c>
    </row>
    <row r="404" spans="1:25" ht="15">
      <c r="A404" s="50" t="str">
        <f t="shared" si="6"/>
        <v>ENTITY_FLLN_ANGL_NRRW_DFNTN</v>
      </c>
      <c r="B404" s="50"/>
      <c r="C404" t="s">
        <v>139</v>
      </c>
      <c r="D404" t="s">
        <v>1326</v>
      </c>
      <c r="E404" t="s">
        <v>6</v>
      </c>
      <c r="F404" t="s">
        <v>20</v>
      </c>
      <c r="J404" t="s">
        <v>29</v>
      </c>
      <c r="K404" s="15">
        <v>45952</v>
      </c>
      <c r="L404" t="s">
        <v>38</v>
      </c>
      <c r="M404" t="str">
        <f>IF(COUNTIFS(PRO_LT_SCORECARD_FLEX_VALIDATIO!$K:$K, _xlfn.CONCAT(C404,D404), PRO_LT_SCORECARD_FLEX_VALIDATIO!$G:$G, "KO") &gt; 0, "NOK", "OK")</f>
        <v>NOK</v>
      </c>
      <c r="P404" s="15">
        <v>45952</v>
      </c>
      <c r="R404" t="str">
        <f>_xlfn.XLOOKUP(D404,[2]Overview!$E:$E,[2]Overview!$Z:$Z)</f>
        <v>N</v>
      </c>
      <c r="S404" t="str">
        <f>_xlfn.XLOOKUP(D404,[2]Overview!$E:$E,[2]Overview!$AA:$AA)</f>
        <v>N</v>
      </c>
      <c r="T404" t="str">
        <f>_xlfn.XLOOKUP(D404,[2]Overview!$E:$E,[2]Overview!$AB:$AB)</f>
        <v>N</v>
      </c>
      <c r="U404" t="str">
        <f>_xlfn.XLOOKUP(D404,[2]Overview!$E:$E,[2]Overview!$AC:$AC)</f>
        <v>N</v>
      </c>
      <c r="V404" t="str">
        <f>_xlfn.XLOOKUP(D404,[2]Overview!$E:$E,[2]Overview!$AD:$AD)</f>
        <v>N</v>
      </c>
      <c r="W404" t="str">
        <f>_xlfn.XLOOKUP(D404,[2]Overview!$E:$E,[2]Overview!$AE:$AE)</f>
        <v>Y</v>
      </c>
      <c r="X404" t="s">
        <v>136</v>
      </c>
      <c r="Y404" t="str">
        <f>_xlfn.IFNA(_xlfn.XLOOKUP(D404,[1]Especificação!$G:$G,[1]Especificação!$C:$C),0)</f>
        <v>A. Novos Campos</v>
      </c>
    </row>
    <row r="405" spans="1:25" ht="15">
      <c r="A405" s="50" t="str">
        <f t="shared" si="6"/>
        <v>ENTITY_FLLN_ANGL_EXTNDD_DFNTN</v>
      </c>
      <c r="B405" s="50"/>
      <c r="C405" t="s">
        <v>139</v>
      </c>
      <c r="D405" t="s">
        <v>1327</v>
      </c>
      <c r="E405" t="s">
        <v>6</v>
      </c>
      <c r="F405" t="s">
        <v>20</v>
      </c>
      <c r="J405" t="s">
        <v>29</v>
      </c>
      <c r="K405" s="15">
        <v>45952</v>
      </c>
      <c r="L405" t="s">
        <v>38</v>
      </c>
      <c r="M405" t="str">
        <f>IF(COUNTIFS(PRO_LT_SCORECARD_FLEX_VALIDATIO!$K:$K, _xlfn.CONCAT(C405,D405), PRO_LT_SCORECARD_FLEX_VALIDATIO!$G:$G, "KO") &gt; 0, "NOK", "OK")</f>
        <v>NOK</v>
      </c>
      <c r="P405" s="15">
        <v>45952</v>
      </c>
      <c r="R405" t="str">
        <f>_xlfn.XLOOKUP(D405,[2]Overview!$E:$E,[2]Overview!$Z:$Z)</f>
        <v>N</v>
      </c>
      <c r="S405" t="str">
        <f>_xlfn.XLOOKUP(D405,[2]Overview!$E:$E,[2]Overview!$AA:$AA)</f>
        <v>N</v>
      </c>
      <c r="T405" t="str">
        <f>_xlfn.XLOOKUP(D405,[2]Overview!$E:$E,[2]Overview!$AB:$AB)</f>
        <v>N</v>
      </c>
      <c r="U405" t="str">
        <f>_xlfn.XLOOKUP(D405,[2]Overview!$E:$E,[2]Overview!$AC:$AC)</f>
        <v>N</v>
      </c>
      <c r="V405" t="str">
        <f>_xlfn.XLOOKUP(D405,[2]Overview!$E:$E,[2]Overview!$AD:$AD)</f>
        <v>N</v>
      </c>
      <c r="W405" t="str">
        <f>_xlfn.XLOOKUP(D405,[2]Overview!$E:$E,[2]Overview!$AE:$AE)</f>
        <v>Y</v>
      </c>
      <c r="X405" t="s">
        <v>136</v>
      </c>
      <c r="Y405" t="str">
        <f>_xlfn.IFNA(_xlfn.XLOOKUP(D405,[1]Especificação!$G:$G,[1]Especificação!$C:$C),0)</f>
        <v>A. Novos Campos</v>
      </c>
    </row>
    <row r="406" spans="1:25" ht="15">
      <c r="A406" s="50" t="str">
        <f t="shared" si="6"/>
        <v>INSTRUMENT_EXCLDD_LF</v>
      </c>
      <c r="B406" s="50"/>
      <c r="C406" t="s">
        <v>127</v>
      </c>
      <c r="D406" t="s">
        <v>1266</v>
      </c>
      <c r="E406" t="s">
        <v>6</v>
      </c>
      <c r="F406" t="s">
        <v>20</v>
      </c>
      <c r="J406" t="s">
        <v>29</v>
      </c>
      <c r="K406" s="15">
        <v>45952</v>
      </c>
      <c r="L406" t="s">
        <v>55</v>
      </c>
      <c r="M406" t="str">
        <f>IF(COUNTIFS(PRO_LT_SCORECARD_FLEX_VALIDATIO!$K:$K, _xlfn.CONCAT(C406,D406), PRO_LT_SCORECARD_FLEX_VALIDATIO!$G:$G, "KO") &gt; 0, "NOK", "OK")</f>
        <v>NOK</v>
      </c>
      <c r="R406" t="str">
        <f>_xlfn.XLOOKUP(D406,[2]Overview!$E:$E,[2]Overview!$Z:$Z)</f>
        <v>N</v>
      </c>
      <c r="S406" t="str">
        <f>_xlfn.XLOOKUP(D406,[2]Overview!$E:$E,[2]Overview!$AA:$AA)</f>
        <v>N</v>
      </c>
      <c r="T406" t="str">
        <f>_xlfn.XLOOKUP(D406,[2]Overview!$E:$E,[2]Overview!$AB:$AB)</f>
        <v>N</v>
      </c>
      <c r="U406" t="str">
        <f>_xlfn.XLOOKUP(D406,[2]Overview!$E:$E,[2]Overview!$AC:$AC)</f>
        <v>N</v>
      </c>
      <c r="V406" t="str">
        <f>_xlfn.XLOOKUP(D406,[2]Overview!$E:$E,[2]Overview!$AD:$AD)</f>
        <v>N</v>
      </c>
      <c r="W406" t="str">
        <f>_xlfn.XLOOKUP(D406,[2]Overview!$E:$E,[2]Overview!$AE:$AE)</f>
        <v>Y</v>
      </c>
      <c r="X406" t="s">
        <v>136</v>
      </c>
      <c r="Y406" t="str">
        <f>_xlfn.IFNA(_xlfn.XLOOKUP(D406,[1]Especificação!$G:$G,[1]Especificação!$C:$C),0)</f>
        <v>A. Novos Campos</v>
      </c>
    </row>
    <row r="407" spans="1:25" ht="15">
      <c r="A407" s="50" t="str">
        <f t="shared" si="6"/>
        <v>INSTRUMENT_DT_MDFCTN</v>
      </c>
      <c r="B407" s="50"/>
      <c r="C407" t="s">
        <v>127</v>
      </c>
      <c r="D407" t="s">
        <v>1328</v>
      </c>
      <c r="E407" t="s">
        <v>6</v>
      </c>
      <c r="F407" t="s">
        <v>20</v>
      </c>
      <c r="J407" t="s">
        <v>29</v>
      </c>
      <c r="K407" s="15">
        <v>45952</v>
      </c>
      <c r="L407" t="s">
        <v>38</v>
      </c>
      <c r="M407" t="str">
        <f>IF(COUNTIFS(PRO_LT_SCORECARD_FLEX_VALIDATIO!$K:$K, _xlfn.CONCAT(C407,D407), PRO_LT_SCORECARD_FLEX_VALIDATIO!$G:$G, "KO") &gt; 0, "NOK", "OK")</f>
        <v>NOK</v>
      </c>
      <c r="P407" s="15">
        <v>45952</v>
      </c>
      <c r="R407" t="str">
        <f>_xlfn.XLOOKUP(D407,[2]Overview!$E:$E,[2]Overview!$Z:$Z)</f>
        <v>Y</v>
      </c>
      <c r="S407" t="str">
        <f>_xlfn.XLOOKUP(D407,[2]Overview!$E:$E,[2]Overview!$AA:$AA)</f>
        <v>N</v>
      </c>
      <c r="T407" t="str">
        <f>_xlfn.XLOOKUP(D407,[2]Overview!$E:$E,[2]Overview!$AB:$AB)</f>
        <v>N</v>
      </c>
      <c r="U407" t="str">
        <f>_xlfn.XLOOKUP(D407,[2]Overview!$E:$E,[2]Overview!$AC:$AC)</f>
        <v>N</v>
      </c>
      <c r="V407" t="str">
        <f>_xlfn.XLOOKUP(D407,[2]Overview!$E:$E,[2]Overview!$AD:$AD)</f>
        <v>N</v>
      </c>
      <c r="W407" t="str">
        <f>_xlfn.XLOOKUP(D407,[2]Overview!$E:$E,[2]Overview!$AE:$AE)</f>
        <v>Y</v>
      </c>
      <c r="X407" t="s">
        <v>136</v>
      </c>
      <c r="Y407" t="str">
        <f>_xlfn.IFNA(_xlfn.XLOOKUP(D407,[1]Especificação!$G:$G,[1]Especificação!$C:$C),0)</f>
        <v>A. Novos Campos</v>
      </c>
    </row>
    <row r="408" spans="1:25" ht="15">
      <c r="A408" s="50" t="str">
        <f t="shared" si="6"/>
        <v>INSTRUMENT_DSTNTN_FNDS</v>
      </c>
      <c r="B408" s="50"/>
      <c r="C408" t="s">
        <v>127</v>
      </c>
      <c r="D408" t="s">
        <v>1329</v>
      </c>
      <c r="E408" t="s">
        <v>6</v>
      </c>
      <c r="F408" t="s">
        <v>20</v>
      </c>
      <c r="J408" t="s">
        <v>29</v>
      </c>
      <c r="K408" s="15">
        <v>45952</v>
      </c>
      <c r="L408" t="s">
        <v>38</v>
      </c>
      <c r="M408" t="str">
        <f>IF(COUNTIFS(PRO_LT_SCORECARD_FLEX_VALIDATIO!$K:$K, _xlfn.CONCAT(C408,D408), PRO_LT_SCORECARD_FLEX_VALIDATIO!$G:$G, "KO") &gt; 0, "NOK", "OK")</f>
        <v>OK</v>
      </c>
      <c r="P408" s="15">
        <v>45952</v>
      </c>
      <c r="R408" t="str">
        <f>_xlfn.XLOOKUP(D408,[2]Overview!$E:$E,[2]Overview!$Z:$Z)</f>
        <v>N</v>
      </c>
      <c r="S408" t="str">
        <f>_xlfn.XLOOKUP(D408,[2]Overview!$E:$E,[2]Overview!$AA:$AA)</f>
        <v>N</v>
      </c>
      <c r="T408" t="str">
        <f>_xlfn.XLOOKUP(D408,[2]Overview!$E:$E,[2]Overview!$AB:$AB)</f>
        <v>N</v>
      </c>
      <c r="U408" t="str">
        <f>_xlfn.XLOOKUP(D408,[2]Overview!$E:$E,[2]Overview!$AC:$AC)</f>
        <v>N</v>
      </c>
      <c r="V408" t="str">
        <f>_xlfn.XLOOKUP(D408,[2]Overview!$E:$E,[2]Overview!$AD:$AD)</f>
        <v>N</v>
      </c>
      <c r="W408" t="str">
        <f>_xlfn.XLOOKUP(D408,[2]Overview!$E:$E,[2]Overview!$AE:$AE)</f>
        <v>Y</v>
      </c>
      <c r="X408" t="s">
        <v>136</v>
      </c>
      <c r="Y408" t="str">
        <f>_xlfn.IFNA(_xlfn.XLOOKUP(D408,[1]Especificação!$G:$G,[1]Especificação!$C:$C),0)</f>
        <v>A. Novos Campos</v>
      </c>
    </row>
  </sheetData>
  <autoFilter ref="C5:Y408" xr:uid="{00000000-0001-0000-0200-000000000000}"/>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78"/>
  <sheetViews>
    <sheetView zoomScale="70" zoomScaleNormal="70" workbookViewId="0">
      <pane ySplit="1" topLeftCell="A266" activePane="bottomLeft" state="frozen"/>
      <selection activeCell="C1" sqref="C1"/>
      <selection pane="bottomLeft" activeCell="I270" sqref="I270"/>
    </sheetView>
  </sheetViews>
  <sheetFormatPr defaultRowHeight="14.25"/>
  <cols>
    <col min="1" max="1" width="12.5" customWidth="1"/>
    <col min="2" max="2" width="45" bestFit="1" customWidth="1"/>
    <col min="3" max="3" width="15.625" bestFit="1" customWidth="1"/>
    <col min="4" max="4" width="119.375" customWidth="1"/>
    <col min="5" max="5" width="15.375" bestFit="1" customWidth="1"/>
    <col min="6" max="6" width="15.375" customWidth="1"/>
    <col min="8" max="8" width="45.5" customWidth="1"/>
  </cols>
  <sheetData>
    <row r="1" spans="1:9" ht="15">
      <c r="A1" s="2" t="s">
        <v>578</v>
      </c>
      <c r="B1" s="2" t="s">
        <v>579</v>
      </c>
      <c r="C1" s="2" t="s">
        <v>580</v>
      </c>
      <c r="D1" s="2" t="s">
        <v>581</v>
      </c>
      <c r="E1" s="2" t="s">
        <v>582</v>
      </c>
      <c r="F1" s="2" t="s">
        <v>583</v>
      </c>
      <c r="G1" s="2" t="s">
        <v>110</v>
      </c>
      <c r="H1" s="2" t="s">
        <v>584</v>
      </c>
      <c r="I1" s="2" t="s">
        <v>585</v>
      </c>
    </row>
    <row r="2" spans="1:9">
      <c r="A2" t="s">
        <v>586</v>
      </c>
      <c r="B2" t="s">
        <v>421</v>
      </c>
      <c r="C2" t="s">
        <v>587</v>
      </c>
      <c r="D2" t="s">
        <v>588</v>
      </c>
      <c r="E2" s="15">
        <v>45460</v>
      </c>
      <c r="F2" s="15">
        <v>45443</v>
      </c>
      <c r="G2" t="s">
        <v>129</v>
      </c>
      <c r="I2" t="s">
        <v>589</v>
      </c>
    </row>
    <row r="3" spans="1:9">
      <c r="A3" t="s">
        <v>586</v>
      </c>
      <c r="B3" t="s">
        <v>421</v>
      </c>
      <c r="C3" t="s">
        <v>590</v>
      </c>
      <c r="D3" t="s">
        <v>591</v>
      </c>
      <c r="E3" s="15">
        <v>45460</v>
      </c>
      <c r="F3" s="15">
        <v>45443</v>
      </c>
      <c r="G3" t="s">
        <v>129</v>
      </c>
      <c r="I3" t="s">
        <v>592</v>
      </c>
    </row>
    <row r="4" spans="1:9">
      <c r="A4" t="s">
        <v>586</v>
      </c>
      <c r="B4" t="s">
        <v>421</v>
      </c>
      <c r="C4" t="s">
        <v>590</v>
      </c>
      <c r="D4" t="s">
        <v>593</v>
      </c>
      <c r="E4" s="15">
        <v>45460</v>
      </c>
      <c r="F4" s="15">
        <v>45443</v>
      </c>
      <c r="G4" t="s">
        <v>129</v>
      </c>
      <c r="I4" t="s">
        <v>594</v>
      </c>
    </row>
    <row r="5" spans="1:9">
      <c r="A5" t="s">
        <v>586</v>
      </c>
      <c r="B5" t="s">
        <v>421</v>
      </c>
      <c r="C5" t="s">
        <v>595</v>
      </c>
      <c r="D5" t="s">
        <v>596</v>
      </c>
      <c r="E5" s="15">
        <v>45460</v>
      </c>
      <c r="F5" s="15">
        <v>45443</v>
      </c>
      <c r="G5" t="s">
        <v>129</v>
      </c>
      <c r="I5" t="s">
        <v>597</v>
      </c>
    </row>
    <row r="6" spans="1:9">
      <c r="A6" t="s">
        <v>586</v>
      </c>
      <c r="B6" t="s">
        <v>421</v>
      </c>
      <c r="C6" t="s">
        <v>595</v>
      </c>
      <c r="D6" t="s">
        <v>598</v>
      </c>
      <c r="E6" s="15">
        <v>45460</v>
      </c>
      <c r="F6" s="15">
        <v>45443</v>
      </c>
      <c r="G6" t="s">
        <v>129</v>
      </c>
      <c r="I6" t="s">
        <v>599</v>
      </c>
    </row>
    <row r="7" spans="1:9">
      <c r="A7" t="s">
        <v>586</v>
      </c>
      <c r="B7" t="s">
        <v>421</v>
      </c>
      <c r="C7" t="s">
        <v>595</v>
      </c>
      <c r="D7" t="s">
        <v>600</v>
      </c>
      <c r="E7" s="15">
        <v>45460</v>
      </c>
      <c r="F7" s="15">
        <v>45443</v>
      </c>
      <c r="G7" t="s">
        <v>129</v>
      </c>
      <c r="I7" t="s">
        <v>592</v>
      </c>
    </row>
    <row r="8" spans="1:9">
      <c r="A8" t="s">
        <v>586</v>
      </c>
      <c r="B8" t="s">
        <v>495</v>
      </c>
      <c r="C8" t="s">
        <v>587</v>
      </c>
      <c r="D8" t="s">
        <v>588</v>
      </c>
      <c r="E8" s="15">
        <v>45460</v>
      </c>
      <c r="F8" s="15">
        <v>45443</v>
      </c>
      <c r="G8" t="s">
        <v>129</v>
      </c>
      <c r="I8" t="s">
        <v>601</v>
      </c>
    </row>
    <row r="9" spans="1:9">
      <c r="A9" t="s">
        <v>586</v>
      </c>
      <c r="B9" t="s">
        <v>495</v>
      </c>
      <c r="C9" t="s">
        <v>590</v>
      </c>
      <c r="D9" t="s">
        <v>593</v>
      </c>
      <c r="E9" s="15">
        <v>45460</v>
      </c>
      <c r="F9" s="15">
        <v>45443</v>
      </c>
      <c r="G9" t="s">
        <v>129</v>
      </c>
      <c r="I9" t="s">
        <v>594</v>
      </c>
    </row>
    <row r="10" spans="1:9">
      <c r="A10" t="s">
        <v>586</v>
      </c>
      <c r="B10" t="s">
        <v>495</v>
      </c>
      <c r="C10" t="s">
        <v>595</v>
      </c>
      <c r="D10" t="s">
        <v>602</v>
      </c>
      <c r="E10" s="15">
        <v>45460</v>
      </c>
      <c r="F10" s="15">
        <v>45443</v>
      </c>
      <c r="G10" t="s">
        <v>129</v>
      </c>
      <c r="I10" t="s">
        <v>603</v>
      </c>
    </row>
    <row r="11" spans="1:9">
      <c r="A11" t="s">
        <v>586</v>
      </c>
      <c r="B11" t="s">
        <v>495</v>
      </c>
      <c r="C11" t="s">
        <v>595</v>
      </c>
      <c r="D11" t="s">
        <v>604</v>
      </c>
      <c r="E11" s="15">
        <v>45460</v>
      </c>
      <c r="F11" s="15">
        <v>45443</v>
      </c>
      <c r="G11" t="s">
        <v>145</v>
      </c>
      <c r="H11" t="s">
        <v>605</v>
      </c>
      <c r="I11" t="s">
        <v>606</v>
      </c>
    </row>
    <row r="12" spans="1:9">
      <c r="A12" t="s">
        <v>586</v>
      </c>
      <c r="B12" t="s">
        <v>495</v>
      </c>
      <c r="C12" t="s">
        <v>595</v>
      </c>
      <c r="D12" s="17" t="s">
        <v>607</v>
      </c>
      <c r="E12" s="15">
        <v>45462</v>
      </c>
      <c r="F12" s="15">
        <v>45443</v>
      </c>
      <c r="G12" t="s">
        <v>129</v>
      </c>
      <c r="H12" t="s">
        <v>608</v>
      </c>
      <c r="I12" t="s">
        <v>609</v>
      </c>
    </row>
    <row r="13" spans="1:9">
      <c r="A13" t="s">
        <v>586</v>
      </c>
      <c r="B13" t="s">
        <v>495</v>
      </c>
      <c r="C13" t="s">
        <v>595</v>
      </c>
      <c r="D13" s="17" t="s">
        <v>610</v>
      </c>
      <c r="E13" s="15">
        <v>45462</v>
      </c>
      <c r="F13" s="15">
        <v>45443</v>
      </c>
      <c r="G13" t="s">
        <v>129</v>
      </c>
      <c r="I13" t="s">
        <v>611</v>
      </c>
    </row>
    <row r="14" spans="1:9">
      <c r="A14" t="s">
        <v>586</v>
      </c>
      <c r="B14" t="s">
        <v>289</v>
      </c>
      <c r="C14" t="s">
        <v>587</v>
      </c>
      <c r="D14" t="s">
        <v>588</v>
      </c>
      <c r="E14" s="15">
        <v>45460</v>
      </c>
      <c r="F14" s="15">
        <v>45443</v>
      </c>
      <c r="G14" t="s">
        <v>129</v>
      </c>
      <c r="I14" t="s">
        <v>612</v>
      </c>
    </row>
    <row r="15" spans="1:9">
      <c r="A15" t="s">
        <v>586</v>
      </c>
      <c r="B15" t="s">
        <v>289</v>
      </c>
      <c r="C15" t="s">
        <v>590</v>
      </c>
      <c r="D15" t="s">
        <v>593</v>
      </c>
      <c r="E15" s="15">
        <v>45460</v>
      </c>
      <c r="F15" s="15">
        <v>45443</v>
      </c>
      <c r="G15" t="s">
        <v>129</v>
      </c>
      <c r="I15" t="s">
        <v>594</v>
      </c>
    </row>
    <row r="16" spans="1:9">
      <c r="A16" t="s">
        <v>586</v>
      </c>
      <c r="B16" t="s">
        <v>289</v>
      </c>
      <c r="C16" t="s">
        <v>595</v>
      </c>
      <c r="D16" t="s">
        <v>602</v>
      </c>
      <c r="E16" s="15">
        <v>45460</v>
      </c>
      <c r="F16" s="15">
        <v>45443</v>
      </c>
      <c r="G16" t="s">
        <v>129</v>
      </c>
      <c r="I16" t="s">
        <v>603</v>
      </c>
    </row>
    <row r="17" spans="1:9">
      <c r="A17" t="s">
        <v>586</v>
      </c>
      <c r="B17" t="s">
        <v>289</v>
      </c>
      <c r="C17" t="s">
        <v>595</v>
      </c>
      <c r="D17" t="s">
        <v>604</v>
      </c>
      <c r="E17" s="15">
        <v>45460</v>
      </c>
      <c r="F17" s="15">
        <v>45443</v>
      </c>
      <c r="G17" t="s">
        <v>145</v>
      </c>
      <c r="H17" t="s">
        <v>605</v>
      </c>
      <c r="I17" t="s">
        <v>613</v>
      </c>
    </row>
    <row r="18" spans="1:9">
      <c r="A18" t="s">
        <v>586</v>
      </c>
      <c r="B18" t="s">
        <v>289</v>
      </c>
      <c r="C18" t="s">
        <v>595</v>
      </c>
      <c r="D18" s="17" t="s">
        <v>607</v>
      </c>
      <c r="E18" s="15">
        <v>45462</v>
      </c>
      <c r="F18" s="15">
        <v>45443</v>
      </c>
      <c r="G18" t="s">
        <v>129</v>
      </c>
      <c r="H18" t="s">
        <v>608</v>
      </c>
      <c r="I18" t="s">
        <v>609</v>
      </c>
    </row>
    <row r="19" spans="1:9">
      <c r="A19" t="s">
        <v>586</v>
      </c>
      <c r="B19" t="s">
        <v>289</v>
      </c>
      <c r="C19" t="s">
        <v>595</v>
      </c>
      <c r="D19" s="17" t="s">
        <v>610</v>
      </c>
      <c r="E19" s="15">
        <v>45462</v>
      </c>
      <c r="F19" s="15">
        <v>45443</v>
      </c>
      <c r="G19" t="s">
        <v>129</v>
      </c>
      <c r="I19" t="s">
        <v>611</v>
      </c>
    </row>
    <row r="20" spans="1:9">
      <c r="A20" t="s">
        <v>614</v>
      </c>
      <c r="B20" t="s">
        <v>453</v>
      </c>
      <c r="C20" t="s">
        <v>615</v>
      </c>
      <c r="D20" t="s">
        <v>616</v>
      </c>
      <c r="E20" s="15">
        <v>45464</v>
      </c>
      <c r="F20" s="15">
        <v>45443</v>
      </c>
      <c r="G20" t="s">
        <v>145</v>
      </c>
      <c r="H20" t="s">
        <v>454</v>
      </c>
      <c r="I20" t="s">
        <v>617</v>
      </c>
    </row>
    <row r="21" spans="1:9">
      <c r="A21" t="s">
        <v>614</v>
      </c>
      <c r="B21" t="s">
        <v>453</v>
      </c>
      <c r="C21" t="s">
        <v>590</v>
      </c>
      <c r="D21" t="s">
        <v>618</v>
      </c>
      <c r="E21" s="15">
        <v>45464</v>
      </c>
      <c r="F21" s="15">
        <v>45443</v>
      </c>
      <c r="G21" t="s">
        <v>145</v>
      </c>
      <c r="H21" t="s">
        <v>454</v>
      </c>
      <c r="I21" t="s">
        <v>619</v>
      </c>
    </row>
    <row r="22" spans="1:9">
      <c r="A22" t="s">
        <v>614</v>
      </c>
      <c r="B22" t="s">
        <v>453</v>
      </c>
      <c r="C22" t="s">
        <v>595</v>
      </c>
      <c r="D22" t="s">
        <v>620</v>
      </c>
      <c r="E22" s="15">
        <v>45464</v>
      </c>
      <c r="F22" s="15">
        <v>45443</v>
      </c>
      <c r="G22" t="s">
        <v>129</v>
      </c>
      <c r="I22" t="s">
        <v>621</v>
      </c>
    </row>
    <row r="23" spans="1:9">
      <c r="A23" t="s">
        <v>614</v>
      </c>
      <c r="B23" t="s">
        <v>453</v>
      </c>
      <c r="C23" t="s">
        <v>595</v>
      </c>
      <c r="D23" t="s">
        <v>622</v>
      </c>
      <c r="E23" s="15">
        <v>45468</v>
      </c>
      <c r="F23" s="15">
        <v>45443</v>
      </c>
      <c r="G23" t="s">
        <v>129</v>
      </c>
      <c r="H23" t="s">
        <v>623</v>
      </c>
      <c r="I23" t="s">
        <v>624</v>
      </c>
    </row>
    <row r="24" spans="1:9">
      <c r="A24" t="s">
        <v>614</v>
      </c>
      <c r="B24" t="s">
        <v>453</v>
      </c>
      <c r="C24" t="s">
        <v>595</v>
      </c>
      <c r="D24" t="s">
        <v>625</v>
      </c>
      <c r="E24" s="15">
        <v>45468</v>
      </c>
      <c r="F24" s="15">
        <v>45443</v>
      </c>
      <c r="G24" t="s">
        <v>129</v>
      </c>
      <c r="I24" t="s">
        <v>626</v>
      </c>
    </row>
    <row r="25" spans="1:9">
      <c r="A25" t="s">
        <v>586</v>
      </c>
      <c r="B25" t="s">
        <v>427</v>
      </c>
      <c r="C25" t="s">
        <v>590</v>
      </c>
      <c r="D25" t="s">
        <v>618</v>
      </c>
      <c r="E25" s="15">
        <v>45463</v>
      </c>
      <c r="F25" s="15">
        <v>45443</v>
      </c>
      <c r="G25" t="s">
        <v>145</v>
      </c>
      <c r="H25" t="s">
        <v>627</v>
      </c>
      <c r="I25" t="s">
        <v>628</v>
      </c>
    </row>
    <row r="26" spans="1:9">
      <c r="A26" t="s">
        <v>586</v>
      </c>
      <c r="B26" t="s">
        <v>292</v>
      </c>
      <c r="C26" t="s">
        <v>590</v>
      </c>
      <c r="D26" t="s">
        <v>618</v>
      </c>
      <c r="E26" s="15">
        <v>45463</v>
      </c>
      <c r="F26" s="15">
        <v>45443</v>
      </c>
      <c r="G26" t="s">
        <v>145</v>
      </c>
      <c r="I26" s="18"/>
    </row>
    <row r="27" spans="1:9">
      <c r="A27" t="s">
        <v>614</v>
      </c>
      <c r="B27" t="s">
        <v>267</v>
      </c>
      <c r="C27" t="s">
        <v>590</v>
      </c>
      <c r="D27" t="s">
        <v>618</v>
      </c>
      <c r="E27" s="15">
        <v>45468</v>
      </c>
      <c r="F27" s="15">
        <v>45443</v>
      </c>
      <c r="G27" t="s">
        <v>145</v>
      </c>
      <c r="H27" t="s">
        <v>268</v>
      </c>
      <c r="I27" t="s">
        <v>629</v>
      </c>
    </row>
    <row r="28" spans="1:9">
      <c r="A28" t="s">
        <v>614</v>
      </c>
      <c r="B28" t="s">
        <v>267</v>
      </c>
      <c r="C28" t="s">
        <v>615</v>
      </c>
      <c r="D28" s="29" t="s">
        <v>616</v>
      </c>
      <c r="E28" s="15">
        <v>45467</v>
      </c>
      <c r="F28" s="15">
        <v>45443</v>
      </c>
      <c r="G28" t="s">
        <v>129</v>
      </c>
      <c r="I28" t="s">
        <v>630</v>
      </c>
    </row>
    <row r="29" spans="1:9">
      <c r="A29" t="s">
        <v>614</v>
      </c>
      <c r="B29" t="s">
        <v>267</v>
      </c>
      <c r="C29" t="s">
        <v>595</v>
      </c>
      <c r="D29" t="s">
        <v>631</v>
      </c>
      <c r="E29" s="15">
        <v>45467</v>
      </c>
      <c r="F29" s="15">
        <v>45443</v>
      </c>
      <c r="G29" t="s">
        <v>129</v>
      </c>
      <c r="I29" t="s">
        <v>632</v>
      </c>
    </row>
    <row r="30" spans="1:9">
      <c r="A30" t="s">
        <v>614</v>
      </c>
      <c r="B30" t="s">
        <v>267</v>
      </c>
      <c r="C30" t="s">
        <v>595</v>
      </c>
      <c r="D30" t="s">
        <v>633</v>
      </c>
      <c r="E30" s="15">
        <v>45467</v>
      </c>
      <c r="F30" s="15">
        <v>45443</v>
      </c>
      <c r="G30" t="s">
        <v>129</v>
      </c>
      <c r="I30" t="s">
        <v>634</v>
      </c>
    </row>
    <row r="31" spans="1:9">
      <c r="A31" t="s">
        <v>614</v>
      </c>
      <c r="B31" t="s">
        <v>267</v>
      </c>
      <c r="C31" t="s">
        <v>595</v>
      </c>
      <c r="D31" t="s">
        <v>635</v>
      </c>
      <c r="E31" s="15">
        <v>45467</v>
      </c>
      <c r="F31" s="15">
        <v>45443</v>
      </c>
      <c r="G31" t="s">
        <v>129</v>
      </c>
      <c r="I31" t="s">
        <v>636</v>
      </c>
    </row>
    <row r="32" spans="1:9">
      <c r="A32" t="s">
        <v>614</v>
      </c>
      <c r="B32" t="s">
        <v>267</v>
      </c>
      <c r="C32" t="s">
        <v>595</v>
      </c>
      <c r="D32" t="s">
        <v>637</v>
      </c>
      <c r="E32" s="15">
        <v>45471</v>
      </c>
      <c r="F32" s="15">
        <v>45443</v>
      </c>
    </row>
    <row r="33" spans="1:9">
      <c r="A33" t="s">
        <v>586</v>
      </c>
      <c r="B33" t="s">
        <v>144</v>
      </c>
      <c r="C33" t="s">
        <v>590</v>
      </c>
      <c r="D33" t="s">
        <v>638</v>
      </c>
      <c r="E33" s="15">
        <v>45468</v>
      </c>
      <c r="F33" s="15">
        <v>45443</v>
      </c>
      <c r="G33" t="s">
        <v>145</v>
      </c>
      <c r="I33" t="s">
        <v>639</v>
      </c>
    </row>
    <row r="34" spans="1:9">
      <c r="A34" t="s">
        <v>586</v>
      </c>
      <c r="B34" t="s">
        <v>144</v>
      </c>
      <c r="C34" t="s">
        <v>595</v>
      </c>
      <c r="D34" t="s">
        <v>640</v>
      </c>
      <c r="E34" s="15">
        <v>45468</v>
      </c>
      <c r="F34" s="15">
        <v>45443</v>
      </c>
      <c r="G34" t="s">
        <v>145</v>
      </c>
      <c r="H34" t="s">
        <v>641</v>
      </c>
      <c r="I34" t="s">
        <v>642</v>
      </c>
    </row>
    <row r="35" spans="1:9">
      <c r="A35" t="s">
        <v>586</v>
      </c>
      <c r="B35" t="s">
        <v>144</v>
      </c>
      <c r="C35" t="s">
        <v>595</v>
      </c>
      <c r="D35" t="s">
        <v>643</v>
      </c>
      <c r="E35" s="15">
        <v>45468</v>
      </c>
      <c r="F35" s="15">
        <v>45443</v>
      </c>
      <c r="G35" t="s">
        <v>145</v>
      </c>
      <c r="H35" t="s">
        <v>644</v>
      </c>
      <c r="I35" t="s">
        <v>645</v>
      </c>
    </row>
    <row r="36" spans="1:9">
      <c r="A36" t="s">
        <v>586</v>
      </c>
      <c r="B36" t="s">
        <v>144</v>
      </c>
      <c r="C36" t="s">
        <v>595</v>
      </c>
      <c r="D36" t="s">
        <v>646</v>
      </c>
      <c r="E36" s="15">
        <v>45468</v>
      </c>
      <c r="F36" s="15">
        <v>45443</v>
      </c>
      <c r="G36" t="s">
        <v>145</v>
      </c>
      <c r="H36" t="s">
        <v>644</v>
      </c>
      <c r="I36" t="s">
        <v>647</v>
      </c>
    </row>
    <row r="37" spans="1:9">
      <c r="A37" t="s">
        <v>586</v>
      </c>
      <c r="B37" t="s">
        <v>144</v>
      </c>
      <c r="C37" t="s">
        <v>595</v>
      </c>
      <c r="D37" t="s">
        <v>646</v>
      </c>
      <c r="E37" s="15">
        <v>45469</v>
      </c>
      <c r="F37" s="15">
        <v>45443</v>
      </c>
      <c r="G37" t="s">
        <v>145</v>
      </c>
      <c r="H37" t="s">
        <v>641</v>
      </c>
      <c r="I37" t="s">
        <v>648</v>
      </c>
    </row>
    <row r="38" spans="1:9">
      <c r="A38" t="s">
        <v>586</v>
      </c>
      <c r="B38" t="s">
        <v>270</v>
      </c>
      <c r="C38" t="s">
        <v>595</v>
      </c>
      <c r="D38" t="s">
        <v>649</v>
      </c>
      <c r="E38" s="15">
        <v>45468</v>
      </c>
      <c r="F38" s="15">
        <v>45443</v>
      </c>
      <c r="G38" t="s">
        <v>129</v>
      </c>
      <c r="I38" t="s">
        <v>650</v>
      </c>
    </row>
    <row r="39" spans="1:9">
      <c r="A39" t="s">
        <v>586</v>
      </c>
      <c r="B39" t="s">
        <v>270</v>
      </c>
      <c r="C39" t="s">
        <v>595</v>
      </c>
      <c r="D39" t="s">
        <v>651</v>
      </c>
      <c r="E39" s="15">
        <v>45468</v>
      </c>
      <c r="F39" s="15">
        <v>45443</v>
      </c>
      <c r="G39" t="s">
        <v>129</v>
      </c>
      <c r="I39" t="s">
        <v>650</v>
      </c>
    </row>
    <row r="40" spans="1:9">
      <c r="A40" t="s">
        <v>586</v>
      </c>
      <c r="B40" t="s">
        <v>270</v>
      </c>
      <c r="C40" t="s">
        <v>595</v>
      </c>
      <c r="D40" t="s">
        <v>652</v>
      </c>
      <c r="E40" s="15">
        <v>45468</v>
      </c>
      <c r="F40" s="15">
        <v>45443</v>
      </c>
      <c r="G40" t="s">
        <v>129</v>
      </c>
      <c r="I40" t="s">
        <v>650</v>
      </c>
    </row>
    <row r="41" spans="1:9">
      <c r="A41" t="s">
        <v>614</v>
      </c>
      <c r="B41" t="s">
        <v>228</v>
      </c>
      <c r="C41" t="s">
        <v>590</v>
      </c>
      <c r="D41" t="s">
        <v>638</v>
      </c>
      <c r="E41" s="15">
        <v>45461</v>
      </c>
      <c r="F41" s="15">
        <v>45443</v>
      </c>
      <c r="G41" t="s">
        <v>129</v>
      </c>
      <c r="I41" t="s">
        <v>653</v>
      </c>
    </row>
    <row r="42" spans="1:9">
      <c r="A42" t="s">
        <v>614</v>
      </c>
      <c r="B42" t="s">
        <v>228</v>
      </c>
      <c r="C42" t="s">
        <v>595</v>
      </c>
      <c r="D42" t="s">
        <v>654</v>
      </c>
      <c r="E42" s="15">
        <v>45470</v>
      </c>
      <c r="F42" s="15">
        <v>45443</v>
      </c>
      <c r="G42" t="s">
        <v>129</v>
      </c>
      <c r="I42" t="s">
        <v>655</v>
      </c>
    </row>
    <row r="43" spans="1:9">
      <c r="A43" t="s">
        <v>614</v>
      </c>
      <c r="B43" t="s">
        <v>228</v>
      </c>
      <c r="C43" t="s">
        <v>595</v>
      </c>
      <c r="D43" t="s">
        <v>656</v>
      </c>
      <c r="E43" s="15">
        <v>45470</v>
      </c>
      <c r="F43" s="15">
        <v>45443</v>
      </c>
      <c r="G43" t="s">
        <v>129</v>
      </c>
      <c r="I43" t="s">
        <v>657</v>
      </c>
    </row>
    <row r="44" spans="1:9">
      <c r="A44" t="s">
        <v>614</v>
      </c>
      <c r="B44" t="s">
        <v>228</v>
      </c>
      <c r="C44" t="s">
        <v>595</v>
      </c>
      <c r="D44" t="s">
        <v>658</v>
      </c>
      <c r="E44" s="15">
        <v>45470</v>
      </c>
      <c r="F44" s="15">
        <v>45443</v>
      </c>
      <c r="G44" t="s">
        <v>129</v>
      </c>
      <c r="H44" t="s">
        <v>659</v>
      </c>
      <c r="I44" t="s">
        <v>660</v>
      </c>
    </row>
    <row r="45" spans="1:9">
      <c r="A45" t="s">
        <v>614</v>
      </c>
      <c r="B45" t="s">
        <v>228</v>
      </c>
      <c r="C45" t="s">
        <v>595</v>
      </c>
      <c r="D45" t="s">
        <v>661</v>
      </c>
      <c r="E45" s="15">
        <v>45470</v>
      </c>
      <c r="F45" s="15">
        <v>45443</v>
      </c>
      <c r="G45" t="s">
        <v>145</v>
      </c>
      <c r="H45" t="s">
        <v>662</v>
      </c>
      <c r="I45" t="s">
        <v>663</v>
      </c>
    </row>
    <row r="46" spans="1:9">
      <c r="A46" t="s">
        <v>614</v>
      </c>
      <c r="B46" t="s">
        <v>228</v>
      </c>
      <c r="C46" t="s">
        <v>595</v>
      </c>
      <c r="D46" t="s">
        <v>664</v>
      </c>
      <c r="E46" s="15">
        <v>45470</v>
      </c>
      <c r="F46" s="15">
        <v>45443</v>
      </c>
      <c r="G46" t="s">
        <v>129</v>
      </c>
      <c r="H46" t="s">
        <v>665</v>
      </c>
      <c r="I46" t="s">
        <v>666</v>
      </c>
    </row>
    <row r="47" spans="1:9">
      <c r="A47" t="s">
        <v>586</v>
      </c>
      <c r="B47" t="s">
        <v>270</v>
      </c>
      <c r="C47" t="s">
        <v>595</v>
      </c>
      <c r="D47" t="s">
        <v>618</v>
      </c>
      <c r="E47" s="15">
        <v>45468</v>
      </c>
      <c r="F47" s="15">
        <v>45443</v>
      </c>
      <c r="G47" t="s">
        <v>129</v>
      </c>
      <c r="I47" t="s">
        <v>650</v>
      </c>
    </row>
    <row r="48" spans="1:9">
      <c r="A48" t="s">
        <v>614</v>
      </c>
      <c r="B48" t="s">
        <v>228</v>
      </c>
      <c r="C48" t="s">
        <v>595</v>
      </c>
      <c r="D48" t="s">
        <v>667</v>
      </c>
      <c r="E48" s="15">
        <v>45477</v>
      </c>
      <c r="F48" s="15">
        <v>45443</v>
      </c>
      <c r="G48" t="s">
        <v>129</v>
      </c>
      <c r="I48" t="s">
        <v>668</v>
      </c>
    </row>
    <row r="49" spans="1:9">
      <c r="A49" t="s">
        <v>614</v>
      </c>
      <c r="B49" t="s">
        <v>179</v>
      </c>
      <c r="C49" t="s">
        <v>595</v>
      </c>
      <c r="D49" t="s">
        <v>669</v>
      </c>
      <c r="E49" s="15">
        <v>45478</v>
      </c>
      <c r="F49" s="15">
        <v>45443</v>
      </c>
      <c r="G49" t="s">
        <v>129</v>
      </c>
      <c r="I49" t="s">
        <v>670</v>
      </c>
    </row>
    <row r="50" spans="1:9">
      <c r="A50" t="s">
        <v>614</v>
      </c>
      <c r="B50" t="s">
        <v>179</v>
      </c>
      <c r="C50" t="s">
        <v>595</v>
      </c>
      <c r="D50" t="s">
        <v>671</v>
      </c>
      <c r="E50" s="15">
        <v>45478</v>
      </c>
      <c r="F50" s="15">
        <v>45443</v>
      </c>
      <c r="G50" t="s">
        <v>145</v>
      </c>
      <c r="H50" t="s">
        <v>672</v>
      </c>
      <c r="I50" t="s">
        <v>673</v>
      </c>
    </row>
    <row r="51" spans="1:9">
      <c r="A51" t="s">
        <v>614</v>
      </c>
      <c r="B51" t="s">
        <v>179</v>
      </c>
      <c r="C51" t="s">
        <v>595</v>
      </c>
      <c r="D51" t="s">
        <v>674</v>
      </c>
      <c r="E51" s="15">
        <v>45478</v>
      </c>
      <c r="F51" s="15">
        <v>45443</v>
      </c>
      <c r="G51" t="s">
        <v>129</v>
      </c>
      <c r="I51" t="s">
        <v>675</v>
      </c>
    </row>
    <row r="52" spans="1:9">
      <c r="A52" t="s">
        <v>614</v>
      </c>
      <c r="B52" t="s">
        <v>179</v>
      </c>
      <c r="C52" t="s">
        <v>595</v>
      </c>
      <c r="D52" t="s">
        <v>676</v>
      </c>
      <c r="E52" s="15">
        <v>45478</v>
      </c>
      <c r="F52" s="15">
        <v>45443</v>
      </c>
      <c r="G52" t="s">
        <v>145</v>
      </c>
      <c r="H52" t="s">
        <v>677</v>
      </c>
      <c r="I52" t="s">
        <v>678</v>
      </c>
    </row>
    <row r="53" spans="1:9">
      <c r="A53" t="s">
        <v>614</v>
      </c>
      <c r="B53" t="s">
        <v>179</v>
      </c>
      <c r="C53" t="s">
        <v>595</v>
      </c>
      <c r="D53" t="s">
        <v>679</v>
      </c>
      <c r="E53" s="15">
        <v>45478</v>
      </c>
      <c r="F53" s="15">
        <v>45443</v>
      </c>
      <c r="G53" t="s">
        <v>129</v>
      </c>
      <c r="I53" t="s">
        <v>680</v>
      </c>
    </row>
    <row r="54" spans="1:9">
      <c r="A54" t="s">
        <v>614</v>
      </c>
      <c r="B54" t="s">
        <v>179</v>
      </c>
      <c r="C54" t="s">
        <v>595</v>
      </c>
      <c r="D54" t="s">
        <v>681</v>
      </c>
      <c r="E54" s="15">
        <v>45478</v>
      </c>
      <c r="F54" s="15">
        <v>45443</v>
      </c>
      <c r="G54" t="s">
        <v>129</v>
      </c>
      <c r="I54" t="s">
        <v>682</v>
      </c>
    </row>
    <row r="55" spans="1:9">
      <c r="A55" t="s">
        <v>586</v>
      </c>
      <c r="B55" t="s">
        <v>44</v>
      </c>
      <c r="C55" t="s">
        <v>595</v>
      </c>
      <c r="D55" t="s">
        <v>683</v>
      </c>
      <c r="E55" s="15">
        <v>45481</v>
      </c>
      <c r="F55" s="15">
        <v>45443</v>
      </c>
      <c r="G55" t="s">
        <v>129</v>
      </c>
      <c r="I55" t="s">
        <v>684</v>
      </c>
    </row>
    <row r="56" spans="1:9">
      <c r="A56" t="s">
        <v>586</v>
      </c>
      <c r="B56" t="s">
        <v>44</v>
      </c>
      <c r="C56" t="s">
        <v>595</v>
      </c>
      <c r="D56" t="s">
        <v>685</v>
      </c>
      <c r="E56" s="15">
        <v>45481</v>
      </c>
      <c r="F56" s="15">
        <v>45443</v>
      </c>
      <c r="G56" t="s">
        <v>129</v>
      </c>
      <c r="I56" t="s">
        <v>684</v>
      </c>
    </row>
    <row r="57" spans="1:9">
      <c r="A57" t="s">
        <v>586</v>
      </c>
      <c r="B57" t="s">
        <v>44</v>
      </c>
      <c r="C57" t="s">
        <v>595</v>
      </c>
      <c r="D57" t="s">
        <v>686</v>
      </c>
      <c r="E57" s="15">
        <v>45481</v>
      </c>
      <c r="F57" s="15">
        <v>45443</v>
      </c>
      <c r="G57" t="s">
        <v>145</v>
      </c>
      <c r="H57" t="s">
        <v>687</v>
      </c>
      <c r="I57" t="s">
        <v>688</v>
      </c>
    </row>
    <row r="58" spans="1:9">
      <c r="A58" t="s">
        <v>586</v>
      </c>
      <c r="B58" t="s">
        <v>44</v>
      </c>
      <c r="C58" t="s">
        <v>595</v>
      </c>
      <c r="D58" t="s">
        <v>689</v>
      </c>
      <c r="E58" s="15">
        <v>45481</v>
      </c>
      <c r="F58" s="15">
        <v>45443</v>
      </c>
      <c r="G58" t="s">
        <v>145</v>
      </c>
      <c r="H58" t="s">
        <v>690</v>
      </c>
      <c r="I58" t="s">
        <v>691</v>
      </c>
    </row>
    <row r="59" spans="1:9">
      <c r="A59" t="s">
        <v>586</v>
      </c>
      <c r="B59" t="s">
        <v>44</v>
      </c>
      <c r="C59" t="s">
        <v>595</v>
      </c>
      <c r="D59" t="s">
        <v>692</v>
      </c>
      <c r="E59" s="15">
        <v>45481</v>
      </c>
      <c r="F59" s="15">
        <v>45443</v>
      </c>
      <c r="G59" t="s">
        <v>145</v>
      </c>
      <c r="H59" t="s">
        <v>693</v>
      </c>
      <c r="I59" t="s">
        <v>694</v>
      </c>
    </row>
    <row r="60" spans="1:9">
      <c r="A60" t="s">
        <v>586</v>
      </c>
      <c r="B60" t="s">
        <v>44</v>
      </c>
      <c r="C60" t="s">
        <v>595</v>
      </c>
      <c r="D60" t="s">
        <v>695</v>
      </c>
      <c r="E60" s="15">
        <v>45481</v>
      </c>
      <c r="F60" s="15">
        <v>45443</v>
      </c>
      <c r="G60" t="s">
        <v>129</v>
      </c>
      <c r="I60" t="s">
        <v>696</v>
      </c>
    </row>
    <row r="61" spans="1:9">
      <c r="A61" t="s">
        <v>614</v>
      </c>
      <c r="B61" t="s">
        <v>228</v>
      </c>
      <c r="C61" t="s">
        <v>595</v>
      </c>
      <c r="D61" t="s">
        <v>697</v>
      </c>
      <c r="E61" s="15">
        <v>45482</v>
      </c>
      <c r="F61" s="15">
        <v>45443</v>
      </c>
      <c r="G61" t="s">
        <v>129</v>
      </c>
      <c r="I61" t="s">
        <v>698</v>
      </c>
    </row>
    <row r="62" spans="1:9">
      <c r="A62" t="s">
        <v>614</v>
      </c>
      <c r="B62" t="s">
        <v>228</v>
      </c>
      <c r="C62" t="s">
        <v>595</v>
      </c>
      <c r="D62" t="s">
        <v>699</v>
      </c>
      <c r="E62" s="15">
        <v>45482</v>
      </c>
      <c r="F62" s="15">
        <v>45443</v>
      </c>
      <c r="G62" t="s">
        <v>129</v>
      </c>
      <c r="H62" t="s">
        <v>700</v>
      </c>
      <c r="I62" t="s">
        <v>701</v>
      </c>
    </row>
    <row r="63" spans="1:9">
      <c r="A63" t="s">
        <v>614</v>
      </c>
      <c r="B63" t="s">
        <v>228</v>
      </c>
      <c r="C63" t="s">
        <v>595</v>
      </c>
      <c r="D63" t="s">
        <v>702</v>
      </c>
      <c r="E63" s="15">
        <v>45482</v>
      </c>
      <c r="F63" s="15">
        <v>45443</v>
      </c>
      <c r="G63" t="s">
        <v>129</v>
      </c>
      <c r="I63" t="s">
        <v>703</v>
      </c>
    </row>
    <row r="64" spans="1:9">
      <c r="A64" t="s">
        <v>614</v>
      </c>
      <c r="B64" t="s">
        <v>228</v>
      </c>
      <c r="C64" t="s">
        <v>595</v>
      </c>
      <c r="D64" t="s">
        <v>704</v>
      </c>
      <c r="E64" s="15">
        <v>45482</v>
      </c>
      <c r="F64" s="15">
        <v>45443</v>
      </c>
      <c r="G64" t="s">
        <v>129</v>
      </c>
      <c r="I64" t="s">
        <v>705</v>
      </c>
    </row>
    <row r="65" spans="1:9">
      <c r="A65" t="s">
        <v>614</v>
      </c>
      <c r="B65" t="s">
        <v>228</v>
      </c>
      <c r="C65" t="s">
        <v>595</v>
      </c>
      <c r="D65" t="s">
        <v>706</v>
      </c>
      <c r="E65" s="15">
        <v>45482</v>
      </c>
      <c r="F65" s="15">
        <v>45443</v>
      </c>
      <c r="G65" t="s">
        <v>129</v>
      </c>
      <c r="I65" t="s">
        <v>707</v>
      </c>
    </row>
    <row r="66" spans="1:9">
      <c r="A66" t="s">
        <v>614</v>
      </c>
      <c r="B66" t="s">
        <v>228</v>
      </c>
      <c r="C66" t="s">
        <v>595</v>
      </c>
      <c r="D66" t="s">
        <v>708</v>
      </c>
      <c r="E66" s="15">
        <v>45482</v>
      </c>
      <c r="F66" s="15">
        <v>45443</v>
      </c>
      <c r="G66" t="s">
        <v>129</v>
      </c>
      <c r="I66" t="s">
        <v>709</v>
      </c>
    </row>
    <row r="67" spans="1:9">
      <c r="A67" t="s">
        <v>614</v>
      </c>
      <c r="B67" t="s">
        <v>228</v>
      </c>
      <c r="C67" t="s">
        <v>595</v>
      </c>
      <c r="D67" t="s">
        <v>710</v>
      </c>
      <c r="E67" s="15">
        <v>45482</v>
      </c>
      <c r="F67" s="15">
        <v>45443</v>
      </c>
      <c r="G67" t="s">
        <v>129</v>
      </c>
      <c r="I67" t="s">
        <v>711</v>
      </c>
    </row>
    <row r="68" spans="1:9">
      <c r="A68" t="s">
        <v>614</v>
      </c>
      <c r="B68" t="s">
        <v>228</v>
      </c>
      <c r="C68" t="s">
        <v>595</v>
      </c>
      <c r="D68" t="s">
        <v>712</v>
      </c>
      <c r="E68" s="15">
        <v>45482</v>
      </c>
      <c r="F68" s="15">
        <v>45443</v>
      </c>
      <c r="H68" t="s">
        <v>713</v>
      </c>
    </row>
    <row r="69" spans="1:9">
      <c r="A69" t="s">
        <v>614</v>
      </c>
      <c r="B69" t="s">
        <v>228</v>
      </c>
      <c r="C69" t="s">
        <v>595</v>
      </c>
      <c r="D69" t="s">
        <v>714</v>
      </c>
      <c r="E69" s="15">
        <v>45482</v>
      </c>
      <c r="F69" s="15">
        <v>45443</v>
      </c>
      <c r="H69" t="s">
        <v>715</v>
      </c>
    </row>
    <row r="70" spans="1:9">
      <c r="A70" t="s">
        <v>614</v>
      </c>
      <c r="B70" t="s">
        <v>228</v>
      </c>
      <c r="C70" t="s">
        <v>595</v>
      </c>
      <c r="D70" t="s">
        <v>716</v>
      </c>
      <c r="E70" s="15">
        <v>45482</v>
      </c>
      <c r="F70" s="15">
        <v>45443</v>
      </c>
      <c r="H70" t="s">
        <v>717</v>
      </c>
    </row>
    <row r="71" spans="1:9">
      <c r="A71" t="s">
        <v>614</v>
      </c>
      <c r="B71" t="s">
        <v>228</v>
      </c>
      <c r="C71" t="s">
        <v>595</v>
      </c>
      <c r="D71" t="s">
        <v>718</v>
      </c>
      <c r="E71" s="15">
        <v>45482</v>
      </c>
      <c r="F71" s="15">
        <v>45443</v>
      </c>
      <c r="H71" t="s">
        <v>719</v>
      </c>
    </row>
    <row r="72" spans="1:9">
      <c r="A72" t="s">
        <v>614</v>
      </c>
      <c r="B72" t="s">
        <v>228</v>
      </c>
      <c r="C72" t="s">
        <v>595</v>
      </c>
      <c r="D72" t="s">
        <v>720</v>
      </c>
      <c r="E72" s="15">
        <v>45482</v>
      </c>
      <c r="F72" s="15">
        <v>45443</v>
      </c>
      <c r="H72" t="s">
        <v>719</v>
      </c>
    </row>
    <row r="73" spans="1:9">
      <c r="A73" t="s">
        <v>614</v>
      </c>
      <c r="B73" t="s">
        <v>228</v>
      </c>
      <c r="C73" t="s">
        <v>595</v>
      </c>
      <c r="D73" t="s">
        <v>721</v>
      </c>
      <c r="E73" s="15">
        <v>45482</v>
      </c>
      <c r="F73" s="15">
        <v>45443</v>
      </c>
      <c r="H73" t="s">
        <v>719</v>
      </c>
    </row>
    <row r="74" spans="1:9">
      <c r="A74" t="s">
        <v>614</v>
      </c>
      <c r="B74" t="s">
        <v>235</v>
      </c>
      <c r="C74" t="s">
        <v>590</v>
      </c>
      <c r="D74" t="s">
        <v>722</v>
      </c>
      <c r="E74" s="15">
        <v>45482</v>
      </c>
      <c r="F74" s="15">
        <v>45443</v>
      </c>
      <c r="G74" t="s">
        <v>129</v>
      </c>
      <c r="I74" t="s">
        <v>723</v>
      </c>
    </row>
    <row r="75" spans="1:9">
      <c r="A75" t="s">
        <v>614</v>
      </c>
      <c r="B75" t="s">
        <v>235</v>
      </c>
      <c r="C75" t="s">
        <v>595</v>
      </c>
      <c r="D75" t="s">
        <v>724</v>
      </c>
      <c r="E75" s="15">
        <v>45482</v>
      </c>
      <c r="F75" s="15">
        <v>45443</v>
      </c>
      <c r="G75" t="s">
        <v>129</v>
      </c>
      <c r="I75" t="s">
        <v>725</v>
      </c>
    </row>
    <row r="76" spans="1:9">
      <c r="A76" t="s">
        <v>614</v>
      </c>
      <c r="B76" t="s">
        <v>235</v>
      </c>
      <c r="C76" t="s">
        <v>595</v>
      </c>
      <c r="D76" t="s">
        <v>726</v>
      </c>
      <c r="E76" s="15">
        <v>45482</v>
      </c>
      <c r="F76" s="15">
        <v>45443</v>
      </c>
      <c r="G76" t="s">
        <v>129</v>
      </c>
      <c r="I76" t="s">
        <v>727</v>
      </c>
    </row>
    <row r="77" spans="1:9">
      <c r="A77" t="s">
        <v>614</v>
      </c>
      <c r="B77" t="s">
        <v>235</v>
      </c>
      <c r="C77" t="s">
        <v>595</v>
      </c>
      <c r="D77" t="s">
        <v>728</v>
      </c>
      <c r="E77" s="15">
        <v>45482</v>
      </c>
      <c r="F77" s="15">
        <v>45443</v>
      </c>
      <c r="G77" t="s">
        <v>129</v>
      </c>
      <c r="H77" t="s">
        <v>729</v>
      </c>
      <c r="I77" t="s">
        <v>730</v>
      </c>
    </row>
    <row r="78" spans="1:9">
      <c r="A78" t="s">
        <v>614</v>
      </c>
      <c r="B78" t="s">
        <v>235</v>
      </c>
      <c r="C78" t="s">
        <v>595</v>
      </c>
      <c r="D78" t="s">
        <v>731</v>
      </c>
      <c r="E78" s="15">
        <v>45482</v>
      </c>
      <c r="F78" s="15">
        <v>45443</v>
      </c>
      <c r="G78" t="s">
        <v>129</v>
      </c>
      <c r="I78" t="s">
        <v>732</v>
      </c>
    </row>
    <row r="79" spans="1:9">
      <c r="A79" t="s">
        <v>614</v>
      </c>
      <c r="B79" t="s">
        <v>235</v>
      </c>
      <c r="C79" t="s">
        <v>595</v>
      </c>
      <c r="D79" t="s">
        <v>733</v>
      </c>
      <c r="E79" s="15">
        <v>45482</v>
      </c>
      <c r="F79" s="15">
        <v>45443</v>
      </c>
      <c r="G79" t="s">
        <v>129</v>
      </c>
      <c r="I79" t="s">
        <v>734</v>
      </c>
    </row>
    <row r="80" spans="1:9">
      <c r="A80" t="s">
        <v>614</v>
      </c>
      <c r="B80" t="s">
        <v>235</v>
      </c>
      <c r="C80" t="s">
        <v>595</v>
      </c>
      <c r="D80" t="s">
        <v>735</v>
      </c>
      <c r="E80" s="15">
        <v>45482</v>
      </c>
      <c r="F80" s="15">
        <v>45443</v>
      </c>
      <c r="G80" t="s">
        <v>129</v>
      </c>
      <c r="I80" t="s">
        <v>736</v>
      </c>
    </row>
    <row r="81" spans="1:9">
      <c r="A81" t="s">
        <v>614</v>
      </c>
      <c r="B81" t="s">
        <v>78</v>
      </c>
      <c r="C81" t="s">
        <v>590</v>
      </c>
      <c r="D81" t="s">
        <v>618</v>
      </c>
      <c r="E81" s="15">
        <v>45482</v>
      </c>
      <c r="F81" s="15">
        <v>45443</v>
      </c>
      <c r="G81" t="s">
        <v>129</v>
      </c>
      <c r="I81" t="s">
        <v>737</v>
      </c>
    </row>
    <row r="82" spans="1:9">
      <c r="A82" t="s">
        <v>614</v>
      </c>
      <c r="B82" t="s">
        <v>78</v>
      </c>
      <c r="C82" t="s">
        <v>595</v>
      </c>
      <c r="D82" t="s">
        <v>738</v>
      </c>
      <c r="E82" s="15">
        <v>45483</v>
      </c>
      <c r="F82" s="15">
        <v>45443</v>
      </c>
      <c r="G82" t="s">
        <v>129</v>
      </c>
      <c r="I82" t="s">
        <v>739</v>
      </c>
    </row>
    <row r="83" spans="1:9">
      <c r="A83" t="s">
        <v>614</v>
      </c>
      <c r="B83" t="s">
        <v>78</v>
      </c>
      <c r="C83" t="s">
        <v>595</v>
      </c>
      <c r="D83" t="s">
        <v>740</v>
      </c>
      <c r="E83" s="15">
        <v>45483</v>
      </c>
      <c r="F83" s="15">
        <v>45443</v>
      </c>
      <c r="G83" t="s">
        <v>129</v>
      </c>
      <c r="I83" t="s">
        <v>741</v>
      </c>
    </row>
    <row r="84" spans="1:9">
      <c r="A84" t="s">
        <v>614</v>
      </c>
      <c r="B84" t="s">
        <v>78</v>
      </c>
      <c r="C84" t="s">
        <v>595</v>
      </c>
      <c r="D84" t="s">
        <v>742</v>
      </c>
      <c r="E84" s="15">
        <v>45483</v>
      </c>
      <c r="F84" s="15">
        <v>45443</v>
      </c>
      <c r="G84" t="s">
        <v>129</v>
      </c>
      <c r="I84" t="s">
        <v>743</v>
      </c>
    </row>
    <row r="85" spans="1:9">
      <c r="A85" t="s">
        <v>614</v>
      </c>
      <c r="B85" t="s">
        <v>78</v>
      </c>
      <c r="C85" t="s">
        <v>595</v>
      </c>
      <c r="D85" t="s">
        <v>744</v>
      </c>
      <c r="E85" s="15">
        <v>45483</v>
      </c>
      <c r="F85" s="15">
        <v>45443</v>
      </c>
      <c r="G85" s="29" t="s">
        <v>145</v>
      </c>
      <c r="H85" t="s">
        <v>745</v>
      </c>
      <c r="I85" t="s">
        <v>746</v>
      </c>
    </row>
    <row r="86" spans="1:9">
      <c r="A86" t="s">
        <v>614</v>
      </c>
      <c r="B86" t="s">
        <v>78</v>
      </c>
      <c r="C86" t="s">
        <v>595</v>
      </c>
      <c r="D86" t="s">
        <v>747</v>
      </c>
      <c r="E86" s="15">
        <v>45489</v>
      </c>
      <c r="F86" s="15">
        <v>45443</v>
      </c>
      <c r="G86" t="s">
        <v>129</v>
      </c>
      <c r="I86" t="s">
        <v>748</v>
      </c>
    </row>
    <row r="87" spans="1:9">
      <c r="A87" t="s">
        <v>614</v>
      </c>
      <c r="B87" t="s">
        <v>78</v>
      </c>
      <c r="C87" t="s">
        <v>595</v>
      </c>
      <c r="D87" t="s">
        <v>749</v>
      </c>
      <c r="E87" s="15">
        <v>45483</v>
      </c>
      <c r="F87" s="15">
        <v>45443</v>
      </c>
      <c r="G87" t="s">
        <v>129</v>
      </c>
      <c r="I87" t="s">
        <v>750</v>
      </c>
    </row>
    <row r="88" spans="1:9">
      <c r="A88" t="s">
        <v>614</v>
      </c>
      <c r="B88" t="s">
        <v>275</v>
      </c>
      <c r="C88" t="s">
        <v>590</v>
      </c>
      <c r="D88" t="s">
        <v>751</v>
      </c>
      <c r="E88" s="15">
        <v>45484</v>
      </c>
      <c r="F88" s="15">
        <v>45443</v>
      </c>
      <c r="G88" t="s">
        <v>145</v>
      </c>
      <c r="H88" t="s">
        <v>752</v>
      </c>
      <c r="I88" t="s">
        <v>753</v>
      </c>
    </row>
    <row r="89" spans="1:9">
      <c r="A89" t="s">
        <v>586</v>
      </c>
      <c r="B89" t="s">
        <v>278</v>
      </c>
      <c r="C89" t="s">
        <v>595</v>
      </c>
      <c r="D89" t="s">
        <v>754</v>
      </c>
      <c r="E89" s="15">
        <v>45495</v>
      </c>
      <c r="F89" s="15">
        <v>45443</v>
      </c>
      <c r="G89" t="s">
        <v>129</v>
      </c>
      <c r="I89" t="s">
        <v>755</v>
      </c>
    </row>
    <row r="90" spans="1:9">
      <c r="A90" t="s">
        <v>586</v>
      </c>
      <c r="B90" t="s">
        <v>278</v>
      </c>
      <c r="C90" t="s">
        <v>595</v>
      </c>
      <c r="D90" t="s">
        <v>756</v>
      </c>
      <c r="E90" s="15">
        <v>45495</v>
      </c>
      <c r="F90" s="15">
        <v>45443</v>
      </c>
      <c r="G90" t="s">
        <v>129</v>
      </c>
      <c r="H90" t="s">
        <v>757</v>
      </c>
      <c r="I90" t="s">
        <v>758</v>
      </c>
    </row>
    <row r="91" spans="1:9">
      <c r="A91" t="s">
        <v>614</v>
      </c>
      <c r="B91" t="s">
        <v>275</v>
      </c>
      <c r="C91" t="s">
        <v>595</v>
      </c>
      <c r="D91" t="s">
        <v>759</v>
      </c>
      <c r="E91" s="15">
        <v>45502</v>
      </c>
      <c r="F91" s="15">
        <v>45443</v>
      </c>
      <c r="G91" t="s">
        <v>129</v>
      </c>
      <c r="H91" t="s">
        <v>760</v>
      </c>
      <c r="I91" t="s">
        <v>761</v>
      </c>
    </row>
    <row r="92" spans="1:9">
      <c r="A92" t="s">
        <v>614</v>
      </c>
      <c r="B92" t="s">
        <v>275</v>
      </c>
      <c r="C92" t="s">
        <v>595</v>
      </c>
      <c r="D92" t="s">
        <v>762</v>
      </c>
      <c r="E92" s="15">
        <v>45502</v>
      </c>
      <c r="F92" s="15">
        <v>45443</v>
      </c>
      <c r="G92" t="s">
        <v>145</v>
      </c>
      <c r="H92" t="s">
        <v>763</v>
      </c>
      <c r="I92" t="s">
        <v>764</v>
      </c>
    </row>
    <row r="93" spans="1:9">
      <c r="A93" t="s">
        <v>614</v>
      </c>
      <c r="B93" t="s">
        <v>275</v>
      </c>
      <c r="C93" t="s">
        <v>595</v>
      </c>
      <c r="D93" t="s">
        <v>765</v>
      </c>
      <c r="E93" s="15">
        <v>45502</v>
      </c>
      <c r="F93" s="15">
        <v>45443</v>
      </c>
      <c r="G93" t="s">
        <v>129</v>
      </c>
      <c r="H93" t="s">
        <v>760</v>
      </c>
      <c r="I93" t="s">
        <v>766</v>
      </c>
    </row>
    <row r="94" spans="1:9">
      <c r="A94" t="s">
        <v>614</v>
      </c>
      <c r="B94" t="s">
        <v>275</v>
      </c>
      <c r="C94" t="s">
        <v>595</v>
      </c>
      <c r="D94" t="s">
        <v>767</v>
      </c>
      <c r="E94" s="15">
        <v>45502</v>
      </c>
      <c r="F94" s="15">
        <v>45443</v>
      </c>
      <c r="G94" t="s">
        <v>129</v>
      </c>
      <c r="H94" t="s">
        <v>760</v>
      </c>
      <c r="I94" t="s">
        <v>768</v>
      </c>
    </row>
    <row r="95" spans="1:9">
      <c r="A95" t="s">
        <v>614</v>
      </c>
      <c r="B95" t="s">
        <v>275</v>
      </c>
      <c r="C95" t="s">
        <v>595</v>
      </c>
      <c r="D95" t="s">
        <v>769</v>
      </c>
      <c r="E95" s="15">
        <v>45502</v>
      </c>
      <c r="F95" s="15">
        <v>45443</v>
      </c>
      <c r="G95" t="s">
        <v>129</v>
      </c>
      <c r="H95" t="s">
        <v>760</v>
      </c>
      <c r="I95" t="s">
        <v>770</v>
      </c>
    </row>
    <row r="96" spans="1:9">
      <c r="A96" t="s">
        <v>614</v>
      </c>
      <c r="B96" t="s">
        <v>247</v>
      </c>
      <c r="C96" t="s">
        <v>595</v>
      </c>
      <c r="D96" t="s">
        <v>771</v>
      </c>
      <c r="E96" s="15">
        <v>45509</v>
      </c>
      <c r="F96" s="15">
        <v>45443</v>
      </c>
      <c r="G96" t="s">
        <v>129</v>
      </c>
      <c r="I96" t="s">
        <v>772</v>
      </c>
    </row>
    <row r="97" spans="1:9">
      <c r="A97" t="s">
        <v>614</v>
      </c>
      <c r="B97" t="s">
        <v>247</v>
      </c>
      <c r="C97" t="s">
        <v>595</v>
      </c>
      <c r="D97" t="s">
        <v>773</v>
      </c>
      <c r="E97" s="15">
        <v>45509</v>
      </c>
      <c r="F97" s="15">
        <v>45443</v>
      </c>
      <c r="G97" t="s">
        <v>129</v>
      </c>
      <c r="I97" t="s">
        <v>774</v>
      </c>
    </row>
    <row r="98" spans="1:9">
      <c r="A98" t="s">
        <v>614</v>
      </c>
      <c r="B98" t="s">
        <v>247</v>
      </c>
      <c r="C98" t="s">
        <v>595</v>
      </c>
      <c r="D98" t="s">
        <v>775</v>
      </c>
      <c r="E98" s="15">
        <v>45509</v>
      </c>
      <c r="F98" s="15">
        <v>45443</v>
      </c>
      <c r="G98" t="s">
        <v>129</v>
      </c>
      <c r="I98" t="s">
        <v>776</v>
      </c>
    </row>
    <row r="99" spans="1:9">
      <c r="A99" t="s">
        <v>614</v>
      </c>
      <c r="B99" t="s">
        <v>247</v>
      </c>
      <c r="C99" t="s">
        <v>595</v>
      </c>
      <c r="D99" t="s">
        <v>777</v>
      </c>
      <c r="E99" s="15">
        <v>45509</v>
      </c>
      <c r="F99" s="15">
        <v>45443</v>
      </c>
      <c r="G99" t="s">
        <v>129</v>
      </c>
      <c r="I99" t="s">
        <v>778</v>
      </c>
    </row>
    <row r="100" spans="1:9">
      <c r="A100" t="s">
        <v>614</v>
      </c>
      <c r="B100" t="s">
        <v>247</v>
      </c>
      <c r="C100" t="s">
        <v>595</v>
      </c>
      <c r="D100" t="s">
        <v>779</v>
      </c>
      <c r="E100" s="15">
        <v>45509</v>
      </c>
      <c r="F100" s="15">
        <v>45443</v>
      </c>
      <c r="G100" t="s">
        <v>129</v>
      </c>
      <c r="I100" t="s">
        <v>780</v>
      </c>
    </row>
    <row r="101" spans="1:9">
      <c r="A101" t="s">
        <v>614</v>
      </c>
      <c r="B101" t="s">
        <v>247</v>
      </c>
      <c r="C101" t="s">
        <v>595</v>
      </c>
      <c r="D101" t="s">
        <v>781</v>
      </c>
      <c r="E101" s="15">
        <v>45509</v>
      </c>
      <c r="F101" s="15">
        <v>45443</v>
      </c>
      <c r="G101" t="s">
        <v>129</v>
      </c>
      <c r="I101" t="s">
        <v>782</v>
      </c>
    </row>
    <row r="102" spans="1:9">
      <c r="A102" t="s">
        <v>614</v>
      </c>
      <c r="B102" t="s">
        <v>247</v>
      </c>
      <c r="C102" t="s">
        <v>595</v>
      </c>
      <c r="D102" t="s">
        <v>783</v>
      </c>
      <c r="E102" s="15">
        <v>45509</v>
      </c>
      <c r="F102" s="15">
        <v>45443</v>
      </c>
      <c r="G102" t="s">
        <v>129</v>
      </c>
      <c r="H102" t="s">
        <v>784</v>
      </c>
      <c r="I102" t="s">
        <v>785</v>
      </c>
    </row>
    <row r="103" spans="1:9">
      <c r="A103" t="s">
        <v>614</v>
      </c>
      <c r="B103" t="s">
        <v>247</v>
      </c>
      <c r="C103" t="s">
        <v>595</v>
      </c>
      <c r="D103" t="s">
        <v>786</v>
      </c>
      <c r="E103" s="15">
        <v>45509</v>
      </c>
      <c r="F103" s="15">
        <v>45443</v>
      </c>
      <c r="G103" t="s">
        <v>129</v>
      </c>
      <c r="I103" t="s">
        <v>787</v>
      </c>
    </row>
    <row r="104" spans="1:9">
      <c r="A104" t="s">
        <v>614</v>
      </c>
      <c r="B104" t="s">
        <v>247</v>
      </c>
      <c r="C104" t="s">
        <v>595</v>
      </c>
      <c r="D104" t="s">
        <v>788</v>
      </c>
      <c r="H104" t="s">
        <v>789</v>
      </c>
    </row>
    <row r="105" spans="1:9">
      <c r="A105" t="s">
        <v>614</v>
      </c>
      <c r="B105" t="s">
        <v>264</v>
      </c>
      <c r="C105" t="s">
        <v>595</v>
      </c>
      <c r="D105" t="s">
        <v>790</v>
      </c>
      <c r="E105" s="15">
        <v>45509</v>
      </c>
      <c r="F105" s="15">
        <v>45443</v>
      </c>
      <c r="G105" t="s">
        <v>129</v>
      </c>
      <c r="I105" t="s">
        <v>791</v>
      </c>
    </row>
    <row r="106" spans="1:9">
      <c r="A106" t="s">
        <v>614</v>
      </c>
      <c r="B106" t="s">
        <v>264</v>
      </c>
      <c r="C106" t="s">
        <v>595</v>
      </c>
      <c r="D106" t="s">
        <v>792</v>
      </c>
      <c r="E106" s="15">
        <v>45509</v>
      </c>
      <c r="F106" s="15">
        <v>45443</v>
      </c>
      <c r="G106" t="s">
        <v>129</v>
      </c>
      <c r="I106" t="s">
        <v>793</v>
      </c>
    </row>
    <row r="107" spans="1:9">
      <c r="A107" t="s">
        <v>614</v>
      </c>
      <c r="B107" t="s">
        <v>264</v>
      </c>
      <c r="C107" t="s">
        <v>595</v>
      </c>
      <c r="D107" t="s">
        <v>794</v>
      </c>
      <c r="E107" s="15">
        <v>45509</v>
      </c>
      <c r="F107" s="15">
        <v>45443</v>
      </c>
      <c r="G107" t="s">
        <v>129</v>
      </c>
      <c r="I107" t="s">
        <v>795</v>
      </c>
    </row>
    <row r="108" spans="1:9">
      <c r="A108" t="s">
        <v>614</v>
      </c>
      <c r="B108" t="s">
        <v>43</v>
      </c>
      <c r="C108" t="s">
        <v>595</v>
      </c>
      <c r="D108" t="s">
        <v>796</v>
      </c>
      <c r="E108" s="15">
        <v>45541</v>
      </c>
      <c r="F108" s="15">
        <v>45443</v>
      </c>
      <c r="G108" t="s">
        <v>129</v>
      </c>
      <c r="I108" t="s">
        <v>797</v>
      </c>
    </row>
    <row r="109" spans="1:9">
      <c r="A109" t="s">
        <v>614</v>
      </c>
      <c r="B109" t="s">
        <v>43</v>
      </c>
      <c r="C109" t="s">
        <v>595</v>
      </c>
      <c r="D109" t="s">
        <v>798</v>
      </c>
      <c r="E109" s="15">
        <v>45541</v>
      </c>
      <c r="F109" s="15">
        <v>45443</v>
      </c>
      <c r="G109" t="s">
        <v>129</v>
      </c>
      <c r="I109" t="s">
        <v>799</v>
      </c>
    </row>
    <row r="110" spans="1:9">
      <c r="A110" t="s">
        <v>614</v>
      </c>
      <c r="B110" t="s">
        <v>43</v>
      </c>
      <c r="C110" t="s">
        <v>595</v>
      </c>
      <c r="D110" t="s">
        <v>800</v>
      </c>
      <c r="E110" s="15">
        <v>45541</v>
      </c>
      <c r="F110" s="15">
        <v>45443</v>
      </c>
      <c r="G110" t="s">
        <v>129</v>
      </c>
      <c r="H110" t="s">
        <v>801</v>
      </c>
      <c r="I110" t="s">
        <v>802</v>
      </c>
    </row>
    <row r="111" spans="1:9">
      <c r="A111" t="s">
        <v>614</v>
      </c>
      <c r="B111" t="s">
        <v>43</v>
      </c>
      <c r="C111" t="s">
        <v>595</v>
      </c>
      <c r="D111" t="s">
        <v>803</v>
      </c>
      <c r="E111" s="15">
        <v>45541</v>
      </c>
      <c r="F111" s="15">
        <v>45443</v>
      </c>
      <c r="G111" t="s">
        <v>129</v>
      </c>
      <c r="I111" t="s">
        <v>804</v>
      </c>
    </row>
    <row r="112" spans="1:9">
      <c r="A112" t="s">
        <v>614</v>
      </c>
      <c r="B112" t="s">
        <v>43</v>
      </c>
      <c r="C112" t="s">
        <v>595</v>
      </c>
      <c r="D112" t="s">
        <v>805</v>
      </c>
      <c r="E112" s="15">
        <v>45541</v>
      </c>
      <c r="F112" s="15">
        <v>45443</v>
      </c>
      <c r="G112" t="s">
        <v>129</v>
      </c>
      <c r="I112" t="s">
        <v>806</v>
      </c>
    </row>
    <row r="113" spans="1:12">
      <c r="A113" t="s">
        <v>614</v>
      </c>
      <c r="B113" t="s">
        <v>43</v>
      </c>
      <c r="C113" t="s">
        <v>595</v>
      </c>
      <c r="D113" t="s">
        <v>807</v>
      </c>
      <c r="E113" s="15">
        <v>45541</v>
      </c>
      <c r="F113" s="15">
        <v>45443</v>
      </c>
      <c r="G113" t="s">
        <v>129</v>
      </c>
      <c r="H113" t="s">
        <v>801</v>
      </c>
      <c r="I113" t="s">
        <v>808</v>
      </c>
    </row>
    <row r="114" spans="1:12">
      <c r="A114" t="s">
        <v>614</v>
      </c>
      <c r="B114" t="s">
        <v>41</v>
      </c>
      <c r="C114" t="s">
        <v>595</v>
      </c>
      <c r="D114" t="s">
        <v>809</v>
      </c>
      <c r="E114" s="15">
        <v>45544</v>
      </c>
      <c r="F114" s="15">
        <v>45443</v>
      </c>
      <c r="G114" t="s">
        <v>129</v>
      </c>
      <c r="I114" t="s">
        <v>810</v>
      </c>
    </row>
    <row r="115" spans="1:12">
      <c r="A115" t="s">
        <v>614</v>
      </c>
      <c r="B115" t="s">
        <v>41</v>
      </c>
      <c r="C115" t="s">
        <v>595</v>
      </c>
      <c r="D115" t="s">
        <v>811</v>
      </c>
      <c r="E115" s="15">
        <v>45544</v>
      </c>
      <c r="F115" s="15">
        <v>45443</v>
      </c>
      <c r="G115" t="s">
        <v>129</v>
      </c>
      <c r="I115" t="s">
        <v>812</v>
      </c>
    </row>
    <row r="116" spans="1:12">
      <c r="A116" t="s">
        <v>614</v>
      </c>
      <c r="B116" t="s">
        <v>41</v>
      </c>
      <c r="C116" t="s">
        <v>595</v>
      </c>
      <c r="D116" t="s">
        <v>813</v>
      </c>
      <c r="E116" s="15">
        <v>45544</v>
      </c>
      <c r="F116" s="15">
        <v>45443</v>
      </c>
      <c r="G116" t="s">
        <v>145</v>
      </c>
      <c r="H116" t="s">
        <v>467</v>
      </c>
      <c r="I116" t="s">
        <v>814</v>
      </c>
      <c r="L116" s="29"/>
    </row>
    <row r="117" spans="1:12">
      <c r="A117" t="s">
        <v>614</v>
      </c>
      <c r="B117" t="s">
        <v>41</v>
      </c>
      <c r="C117" t="s">
        <v>595</v>
      </c>
      <c r="D117" t="s">
        <v>815</v>
      </c>
      <c r="E117" s="15">
        <v>45544</v>
      </c>
      <c r="F117" s="15">
        <v>45443</v>
      </c>
      <c r="G117" t="s">
        <v>129</v>
      </c>
      <c r="I117" t="s">
        <v>816</v>
      </c>
    </row>
    <row r="118" spans="1:12">
      <c r="A118" t="s">
        <v>614</v>
      </c>
      <c r="B118" t="s">
        <v>41</v>
      </c>
      <c r="C118" t="s">
        <v>595</v>
      </c>
      <c r="D118" t="s">
        <v>817</v>
      </c>
      <c r="E118" s="15">
        <v>45544</v>
      </c>
      <c r="F118" s="15">
        <v>45443</v>
      </c>
      <c r="G118" t="s">
        <v>129</v>
      </c>
      <c r="I118" t="s">
        <v>818</v>
      </c>
    </row>
    <row r="119" spans="1:12">
      <c r="A119" t="s">
        <v>614</v>
      </c>
      <c r="B119" t="s">
        <v>228</v>
      </c>
      <c r="C119" t="s">
        <v>590</v>
      </c>
      <c r="D119" t="s">
        <v>819</v>
      </c>
      <c r="E119" s="15">
        <v>45629</v>
      </c>
      <c r="F119" s="15">
        <v>45565</v>
      </c>
      <c r="G119" t="s">
        <v>129</v>
      </c>
      <c r="I119" t="s">
        <v>820</v>
      </c>
    </row>
    <row r="120" spans="1:12">
      <c r="A120" t="s">
        <v>614</v>
      </c>
      <c r="B120" t="s">
        <v>228</v>
      </c>
      <c r="C120" t="s">
        <v>595</v>
      </c>
      <c r="D120" t="s">
        <v>654</v>
      </c>
      <c r="E120" s="15">
        <v>45629</v>
      </c>
      <c r="F120" s="15">
        <v>45565</v>
      </c>
      <c r="G120" t="s">
        <v>129</v>
      </c>
      <c r="I120" t="s">
        <v>821</v>
      </c>
    </row>
    <row r="121" spans="1:12">
      <c r="A121" t="s">
        <v>614</v>
      </c>
      <c r="B121" t="s">
        <v>228</v>
      </c>
      <c r="C121" t="s">
        <v>595</v>
      </c>
      <c r="D121" t="s">
        <v>656</v>
      </c>
      <c r="E121" s="15">
        <v>45629</v>
      </c>
      <c r="F121" s="15">
        <v>45565</v>
      </c>
      <c r="G121" t="s">
        <v>129</v>
      </c>
      <c r="I121" t="s">
        <v>822</v>
      </c>
    </row>
    <row r="122" spans="1:12">
      <c r="A122" t="s">
        <v>614</v>
      </c>
      <c r="B122" t="s">
        <v>228</v>
      </c>
      <c r="C122" t="s">
        <v>595</v>
      </c>
      <c r="D122" t="s">
        <v>658</v>
      </c>
      <c r="E122" s="15">
        <v>45629</v>
      </c>
      <c r="F122" s="15">
        <v>45565</v>
      </c>
      <c r="G122" t="s">
        <v>129</v>
      </c>
      <c r="I122" t="s">
        <v>823</v>
      </c>
    </row>
    <row r="123" spans="1:12">
      <c r="A123" t="s">
        <v>614</v>
      </c>
      <c r="B123" t="s">
        <v>228</v>
      </c>
      <c r="C123" t="s">
        <v>595</v>
      </c>
      <c r="D123" t="s">
        <v>661</v>
      </c>
      <c r="E123" s="15">
        <v>45629</v>
      </c>
      <c r="F123" s="15">
        <v>45565</v>
      </c>
      <c r="G123" t="s">
        <v>145</v>
      </c>
      <c r="H123" t="s">
        <v>824</v>
      </c>
      <c r="I123" t="s">
        <v>825</v>
      </c>
    </row>
    <row r="124" spans="1:12">
      <c r="A124" t="s">
        <v>614</v>
      </c>
      <c r="B124" t="s">
        <v>228</v>
      </c>
      <c r="C124" t="s">
        <v>595</v>
      </c>
      <c r="D124" t="s">
        <v>667</v>
      </c>
      <c r="E124" s="15">
        <v>45629</v>
      </c>
      <c r="F124" s="15">
        <v>45565</v>
      </c>
      <c r="G124" t="s">
        <v>129</v>
      </c>
      <c r="I124" t="s">
        <v>826</v>
      </c>
    </row>
    <row r="125" spans="1:12">
      <c r="A125" t="s">
        <v>614</v>
      </c>
      <c r="B125" t="s">
        <v>228</v>
      </c>
      <c r="C125" t="s">
        <v>595</v>
      </c>
      <c r="D125" t="s">
        <v>697</v>
      </c>
      <c r="E125" s="15">
        <v>45629</v>
      </c>
      <c r="F125" s="15">
        <v>45565</v>
      </c>
      <c r="G125" t="s">
        <v>129</v>
      </c>
      <c r="I125" t="s">
        <v>827</v>
      </c>
    </row>
    <row r="126" spans="1:12">
      <c r="A126" t="s">
        <v>614</v>
      </c>
      <c r="B126" t="s">
        <v>228</v>
      </c>
      <c r="C126" t="s">
        <v>595</v>
      </c>
      <c r="D126" t="s">
        <v>699</v>
      </c>
      <c r="E126" s="15">
        <v>45629</v>
      </c>
      <c r="F126" s="15">
        <v>45565</v>
      </c>
      <c r="G126" t="s">
        <v>129</v>
      </c>
      <c r="H126" t="s">
        <v>700</v>
      </c>
      <c r="I126" t="s">
        <v>828</v>
      </c>
    </row>
    <row r="127" spans="1:12">
      <c r="A127" t="s">
        <v>614</v>
      </c>
      <c r="B127" t="s">
        <v>228</v>
      </c>
      <c r="C127" t="s">
        <v>595</v>
      </c>
      <c r="D127" t="s">
        <v>702</v>
      </c>
      <c r="E127" s="15">
        <v>45629</v>
      </c>
      <c r="F127" s="15">
        <v>45565</v>
      </c>
      <c r="G127" t="s">
        <v>129</v>
      </c>
      <c r="I127" t="s">
        <v>829</v>
      </c>
    </row>
    <row r="128" spans="1:12">
      <c r="A128" t="s">
        <v>614</v>
      </c>
      <c r="B128" t="s">
        <v>228</v>
      </c>
      <c r="C128" t="s">
        <v>595</v>
      </c>
      <c r="D128" t="s">
        <v>704</v>
      </c>
      <c r="E128" s="15">
        <v>45629</v>
      </c>
      <c r="F128" s="15">
        <v>45565</v>
      </c>
      <c r="G128" t="s">
        <v>129</v>
      </c>
      <c r="I128" t="s">
        <v>830</v>
      </c>
    </row>
    <row r="129" spans="1:9">
      <c r="A129" t="s">
        <v>614</v>
      </c>
      <c r="B129" t="s">
        <v>228</v>
      </c>
      <c r="C129" t="s">
        <v>595</v>
      </c>
      <c r="D129" t="s">
        <v>706</v>
      </c>
      <c r="E129" s="15">
        <v>45629</v>
      </c>
      <c r="F129" s="15">
        <v>45565</v>
      </c>
      <c r="G129" t="s">
        <v>129</v>
      </c>
      <c r="I129" t="s">
        <v>831</v>
      </c>
    </row>
    <row r="130" spans="1:9">
      <c r="A130" t="s">
        <v>614</v>
      </c>
      <c r="B130" t="s">
        <v>228</v>
      </c>
      <c r="C130" t="s">
        <v>595</v>
      </c>
      <c r="D130" t="s">
        <v>708</v>
      </c>
      <c r="E130" s="15">
        <v>45629</v>
      </c>
      <c r="F130" s="15">
        <v>45565</v>
      </c>
      <c r="G130" t="s">
        <v>145</v>
      </c>
      <c r="H130" t="s">
        <v>832</v>
      </c>
      <c r="I130" t="s">
        <v>833</v>
      </c>
    </row>
    <row r="131" spans="1:9">
      <c r="A131" t="s">
        <v>614</v>
      </c>
      <c r="B131" t="s">
        <v>228</v>
      </c>
      <c r="C131" t="s">
        <v>595</v>
      </c>
      <c r="D131" t="s">
        <v>710</v>
      </c>
      <c r="E131" s="15">
        <v>45629</v>
      </c>
      <c r="F131" s="15">
        <v>45565</v>
      </c>
      <c r="G131" t="s">
        <v>145</v>
      </c>
      <c r="H131" t="s">
        <v>834</v>
      </c>
      <c r="I131" t="s">
        <v>835</v>
      </c>
    </row>
    <row r="132" spans="1:9">
      <c r="A132" t="s">
        <v>614</v>
      </c>
      <c r="B132" t="s">
        <v>228</v>
      </c>
      <c r="C132" t="s">
        <v>595</v>
      </c>
      <c r="D132" t="s">
        <v>836</v>
      </c>
      <c r="E132" s="15">
        <v>45629</v>
      </c>
      <c r="F132" s="15">
        <v>45565</v>
      </c>
      <c r="G132" t="s">
        <v>145</v>
      </c>
      <c r="H132" t="s">
        <v>837</v>
      </c>
      <c r="I132" t="s">
        <v>838</v>
      </c>
    </row>
    <row r="133" spans="1:9">
      <c r="A133" t="s">
        <v>614</v>
      </c>
      <c r="B133" t="s">
        <v>228</v>
      </c>
      <c r="C133" t="s">
        <v>595</v>
      </c>
      <c r="D133" t="s">
        <v>712</v>
      </c>
      <c r="E133" s="15">
        <v>45629</v>
      </c>
      <c r="F133" s="15">
        <v>45565</v>
      </c>
      <c r="H133" t="s">
        <v>713</v>
      </c>
    </row>
    <row r="134" spans="1:9">
      <c r="A134" t="s">
        <v>614</v>
      </c>
      <c r="B134" t="s">
        <v>228</v>
      </c>
      <c r="C134" t="s">
        <v>595</v>
      </c>
      <c r="D134" t="s">
        <v>714</v>
      </c>
      <c r="E134" s="15">
        <v>45629</v>
      </c>
      <c r="F134" s="15">
        <v>45565</v>
      </c>
      <c r="H134" t="s">
        <v>715</v>
      </c>
    </row>
    <row r="135" spans="1:9">
      <c r="A135" t="s">
        <v>614</v>
      </c>
      <c r="B135" t="s">
        <v>228</v>
      </c>
      <c r="C135" t="s">
        <v>595</v>
      </c>
      <c r="D135" t="s">
        <v>716</v>
      </c>
      <c r="E135" s="15">
        <v>45629</v>
      </c>
      <c r="F135" s="15">
        <v>45565</v>
      </c>
      <c r="H135" t="s">
        <v>717</v>
      </c>
    </row>
    <row r="136" spans="1:9">
      <c r="A136" t="s">
        <v>614</v>
      </c>
      <c r="B136" t="s">
        <v>228</v>
      </c>
      <c r="C136" t="s">
        <v>595</v>
      </c>
      <c r="D136" t="s">
        <v>716</v>
      </c>
      <c r="E136" s="15">
        <v>45629</v>
      </c>
      <c r="F136" s="15">
        <v>45565</v>
      </c>
      <c r="H136" t="s">
        <v>717</v>
      </c>
    </row>
    <row r="137" spans="1:9">
      <c r="A137" t="s">
        <v>614</v>
      </c>
      <c r="B137" t="s">
        <v>228</v>
      </c>
      <c r="C137" t="s">
        <v>595</v>
      </c>
      <c r="D137" t="s">
        <v>718</v>
      </c>
      <c r="E137" s="15">
        <v>45629</v>
      </c>
      <c r="F137" s="15">
        <v>45565</v>
      </c>
      <c r="H137" t="s">
        <v>839</v>
      </c>
    </row>
    <row r="138" spans="1:9">
      <c r="A138" t="s">
        <v>614</v>
      </c>
      <c r="B138" t="s">
        <v>228</v>
      </c>
      <c r="C138" t="s">
        <v>595</v>
      </c>
      <c r="D138" t="s">
        <v>720</v>
      </c>
      <c r="E138" s="15">
        <v>45629</v>
      </c>
      <c r="F138" s="15">
        <v>45565</v>
      </c>
      <c r="H138" t="s">
        <v>839</v>
      </c>
    </row>
    <row r="139" spans="1:9">
      <c r="A139" t="s">
        <v>614</v>
      </c>
      <c r="B139" t="s">
        <v>228</v>
      </c>
      <c r="C139" t="s">
        <v>595</v>
      </c>
      <c r="D139" t="s">
        <v>721</v>
      </c>
      <c r="E139" s="15">
        <v>45629</v>
      </c>
      <c r="F139" s="15">
        <v>45565</v>
      </c>
      <c r="H139" t="s">
        <v>839</v>
      </c>
    </row>
    <row r="140" spans="1:9">
      <c r="A140" t="s">
        <v>614</v>
      </c>
      <c r="B140" t="s">
        <v>275</v>
      </c>
      <c r="C140" t="s">
        <v>590</v>
      </c>
      <c r="D140" t="s">
        <v>819</v>
      </c>
      <c r="E140" s="15">
        <v>45629</v>
      </c>
      <c r="F140" s="15">
        <v>45565</v>
      </c>
      <c r="G140" t="s">
        <v>129</v>
      </c>
      <c r="H140" t="s">
        <v>760</v>
      </c>
      <c r="I140" t="s">
        <v>840</v>
      </c>
    </row>
    <row r="141" spans="1:9">
      <c r="A141" t="s">
        <v>614</v>
      </c>
      <c r="B141" t="s">
        <v>275</v>
      </c>
      <c r="C141" t="s">
        <v>590</v>
      </c>
      <c r="D141" t="s">
        <v>751</v>
      </c>
      <c r="E141" s="15">
        <v>45629</v>
      </c>
      <c r="F141" s="15">
        <v>45565</v>
      </c>
      <c r="G141" t="s">
        <v>129</v>
      </c>
      <c r="H141" t="s">
        <v>841</v>
      </c>
      <c r="I141" t="s">
        <v>842</v>
      </c>
    </row>
    <row r="142" spans="1:9">
      <c r="A142" t="s">
        <v>614</v>
      </c>
      <c r="B142" t="s">
        <v>275</v>
      </c>
      <c r="C142" t="s">
        <v>595</v>
      </c>
      <c r="D142" t="s">
        <v>759</v>
      </c>
      <c r="E142" s="15">
        <v>45629</v>
      </c>
      <c r="F142" s="15">
        <v>45565</v>
      </c>
      <c r="G142" t="s">
        <v>129</v>
      </c>
      <c r="H142" t="s">
        <v>760</v>
      </c>
      <c r="I142" t="s">
        <v>843</v>
      </c>
    </row>
    <row r="143" spans="1:9">
      <c r="A143" t="s">
        <v>614</v>
      </c>
      <c r="B143" t="s">
        <v>275</v>
      </c>
      <c r="C143" t="s">
        <v>595</v>
      </c>
      <c r="D143" t="s">
        <v>762</v>
      </c>
      <c r="E143" s="15">
        <v>45629</v>
      </c>
      <c r="F143" s="15">
        <v>45565</v>
      </c>
      <c r="G143" t="s">
        <v>129</v>
      </c>
      <c r="H143" t="s">
        <v>844</v>
      </c>
      <c r="I143" t="s">
        <v>845</v>
      </c>
    </row>
    <row r="144" spans="1:9">
      <c r="A144" t="s">
        <v>614</v>
      </c>
      <c r="B144" t="s">
        <v>275</v>
      </c>
      <c r="C144" t="s">
        <v>595</v>
      </c>
      <c r="D144" t="s">
        <v>765</v>
      </c>
      <c r="E144" s="15">
        <v>45629</v>
      </c>
      <c r="F144" s="15">
        <v>45565</v>
      </c>
      <c r="G144" t="s">
        <v>129</v>
      </c>
      <c r="H144" t="s">
        <v>760</v>
      </c>
      <c r="I144" t="s">
        <v>846</v>
      </c>
    </row>
    <row r="145" spans="1:9">
      <c r="A145" t="s">
        <v>614</v>
      </c>
      <c r="B145" t="s">
        <v>275</v>
      </c>
      <c r="C145" t="s">
        <v>595</v>
      </c>
      <c r="D145" t="s">
        <v>767</v>
      </c>
      <c r="E145" s="15">
        <v>45629</v>
      </c>
      <c r="F145" s="15">
        <v>45565</v>
      </c>
      <c r="G145" t="s">
        <v>129</v>
      </c>
      <c r="H145" t="s">
        <v>760</v>
      </c>
      <c r="I145" t="s">
        <v>847</v>
      </c>
    </row>
    <row r="146" spans="1:9">
      <c r="A146" t="s">
        <v>614</v>
      </c>
      <c r="B146" t="s">
        <v>275</v>
      </c>
      <c r="C146" t="s">
        <v>595</v>
      </c>
      <c r="D146" t="s">
        <v>769</v>
      </c>
      <c r="E146" s="15">
        <v>45629</v>
      </c>
      <c r="F146" s="15">
        <v>45565</v>
      </c>
      <c r="G146" t="s">
        <v>145</v>
      </c>
      <c r="H146" t="s">
        <v>848</v>
      </c>
      <c r="I146" t="s">
        <v>849</v>
      </c>
    </row>
    <row r="147" spans="1:9">
      <c r="A147" t="s">
        <v>614</v>
      </c>
      <c r="B147" t="s">
        <v>43</v>
      </c>
      <c r="C147" t="s">
        <v>590</v>
      </c>
      <c r="D147" t="s">
        <v>618</v>
      </c>
      <c r="E147" s="15">
        <v>45629</v>
      </c>
      <c r="F147" s="15">
        <v>45565</v>
      </c>
      <c r="G147" t="s">
        <v>129</v>
      </c>
      <c r="I147" t="s">
        <v>850</v>
      </c>
    </row>
    <row r="148" spans="1:9">
      <c r="A148" t="s">
        <v>614</v>
      </c>
      <c r="B148" t="s">
        <v>43</v>
      </c>
      <c r="C148" t="s">
        <v>595</v>
      </c>
      <c r="D148" t="s">
        <v>796</v>
      </c>
      <c r="E148" s="15">
        <v>45629</v>
      </c>
      <c r="F148" s="15">
        <v>45565</v>
      </c>
      <c r="G148" t="s">
        <v>129</v>
      </c>
      <c r="I148" t="s">
        <v>851</v>
      </c>
    </row>
    <row r="149" spans="1:9">
      <c r="A149" t="s">
        <v>614</v>
      </c>
      <c r="B149" t="s">
        <v>43</v>
      </c>
      <c r="C149" t="s">
        <v>595</v>
      </c>
      <c r="D149" t="s">
        <v>798</v>
      </c>
      <c r="E149" s="15">
        <v>45629</v>
      </c>
      <c r="F149" s="15">
        <v>45565</v>
      </c>
      <c r="G149" t="s">
        <v>145</v>
      </c>
      <c r="H149" t="s">
        <v>852</v>
      </c>
      <c r="I149" t="s">
        <v>853</v>
      </c>
    </row>
    <row r="150" spans="1:9">
      <c r="A150" t="s">
        <v>614</v>
      </c>
      <c r="B150" t="s">
        <v>43</v>
      </c>
      <c r="C150" t="s">
        <v>595</v>
      </c>
      <c r="D150" t="s">
        <v>800</v>
      </c>
      <c r="E150" s="15">
        <v>45629</v>
      </c>
      <c r="F150" s="15">
        <v>45565</v>
      </c>
      <c r="G150" t="s">
        <v>145</v>
      </c>
      <c r="H150" t="s">
        <v>854</v>
      </c>
      <c r="I150" t="s">
        <v>855</v>
      </c>
    </row>
    <row r="151" spans="1:9">
      <c r="A151" t="s">
        <v>614</v>
      </c>
      <c r="B151" t="s">
        <v>43</v>
      </c>
      <c r="C151" t="s">
        <v>595</v>
      </c>
      <c r="D151" t="s">
        <v>803</v>
      </c>
      <c r="E151" s="15">
        <v>45629</v>
      </c>
      <c r="F151" s="15">
        <v>45565</v>
      </c>
      <c r="G151" t="s">
        <v>129</v>
      </c>
      <c r="I151" t="s">
        <v>856</v>
      </c>
    </row>
    <row r="152" spans="1:9">
      <c r="A152" t="s">
        <v>614</v>
      </c>
      <c r="B152" t="s">
        <v>43</v>
      </c>
      <c r="C152" t="s">
        <v>595</v>
      </c>
      <c r="D152" t="s">
        <v>805</v>
      </c>
      <c r="E152" s="15">
        <v>45629</v>
      </c>
      <c r="F152" s="15">
        <v>45565</v>
      </c>
      <c r="G152" t="s">
        <v>129</v>
      </c>
      <c r="I152" t="s">
        <v>857</v>
      </c>
    </row>
    <row r="153" spans="1:9">
      <c r="A153" t="s">
        <v>614</v>
      </c>
      <c r="B153" t="s">
        <v>43</v>
      </c>
      <c r="C153" t="s">
        <v>595</v>
      </c>
      <c r="D153" t="s">
        <v>807</v>
      </c>
      <c r="E153" s="15">
        <v>45629</v>
      </c>
      <c r="F153" s="15">
        <v>45565</v>
      </c>
      <c r="G153" t="s">
        <v>129</v>
      </c>
      <c r="I153" t="s">
        <v>858</v>
      </c>
    </row>
    <row r="154" spans="1:9">
      <c r="A154" t="s">
        <v>614</v>
      </c>
      <c r="B154" t="s">
        <v>235</v>
      </c>
      <c r="C154" t="s">
        <v>590</v>
      </c>
      <c r="D154" t="s">
        <v>618</v>
      </c>
      <c r="E154" s="15">
        <v>45630</v>
      </c>
      <c r="F154" s="15">
        <v>45565</v>
      </c>
      <c r="G154" t="s">
        <v>129</v>
      </c>
      <c r="I154" t="s">
        <v>859</v>
      </c>
    </row>
    <row r="155" spans="1:9">
      <c r="A155" t="s">
        <v>614</v>
      </c>
      <c r="B155" t="s">
        <v>235</v>
      </c>
      <c r="C155" t="s">
        <v>595</v>
      </c>
      <c r="D155" t="s">
        <v>724</v>
      </c>
      <c r="E155" s="15">
        <v>45630</v>
      </c>
      <c r="F155" s="15">
        <v>45565</v>
      </c>
      <c r="G155" t="s">
        <v>129</v>
      </c>
      <c r="I155" t="s">
        <v>860</v>
      </c>
    </row>
    <row r="156" spans="1:9">
      <c r="A156" t="s">
        <v>614</v>
      </c>
      <c r="B156" t="s">
        <v>235</v>
      </c>
      <c r="C156" t="s">
        <v>595</v>
      </c>
      <c r="D156" t="s">
        <v>726</v>
      </c>
      <c r="E156" s="15">
        <v>45630</v>
      </c>
      <c r="F156" s="15">
        <v>45565</v>
      </c>
      <c r="G156" t="s">
        <v>145</v>
      </c>
      <c r="H156" t="s">
        <v>861</v>
      </c>
      <c r="I156" t="s">
        <v>862</v>
      </c>
    </row>
    <row r="157" spans="1:9">
      <c r="A157" t="s">
        <v>614</v>
      </c>
      <c r="B157" t="s">
        <v>235</v>
      </c>
      <c r="C157" t="s">
        <v>595</v>
      </c>
      <c r="D157" t="s">
        <v>728</v>
      </c>
      <c r="E157" s="15">
        <v>45630</v>
      </c>
      <c r="F157" s="15">
        <v>45565</v>
      </c>
      <c r="G157" t="s">
        <v>129</v>
      </c>
      <c r="I157" t="s">
        <v>863</v>
      </c>
    </row>
    <row r="158" spans="1:9">
      <c r="A158" t="s">
        <v>614</v>
      </c>
      <c r="B158" t="s">
        <v>235</v>
      </c>
      <c r="C158" t="s">
        <v>595</v>
      </c>
      <c r="D158" t="s">
        <v>731</v>
      </c>
      <c r="E158" s="15">
        <v>45630</v>
      </c>
      <c r="F158" s="15">
        <v>45565</v>
      </c>
      <c r="G158" t="s">
        <v>129</v>
      </c>
      <c r="I158" t="s">
        <v>864</v>
      </c>
    </row>
    <row r="159" spans="1:9">
      <c r="A159" t="s">
        <v>614</v>
      </c>
      <c r="B159" t="s">
        <v>235</v>
      </c>
      <c r="C159" t="s">
        <v>595</v>
      </c>
      <c r="D159" t="s">
        <v>733</v>
      </c>
      <c r="E159" s="15">
        <v>45630</v>
      </c>
      <c r="F159" s="15">
        <v>45565</v>
      </c>
      <c r="G159" t="s">
        <v>129</v>
      </c>
      <c r="I159" t="s">
        <v>865</v>
      </c>
    </row>
    <row r="160" spans="1:9">
      <c r="A160" t="s">
        <v>614</v>
      </c>
      <c r="B160" t="s">
        <v>235</v>
      </c>
      <c r="C160" t="s">
        <v>595</v>
      </c>
      <c r="D160" t="s">
        <v>735</v>
      </c>
      <c r="E160" s="15">
        <v>45630</v>
      </c>
      <c r="F160" s="15">
        <v>45565</v>
      </c>
      <c r="G160" t="s">
        <v>129</v>
      </c>
      <c r="I160" t="s">
        <v>866</v>
      </c>
    </row>
    <row r="161" spans="1:9">
      <c r="A161" t="s">
        <v>614</v>
      </c>
      <c r="B161" t="s">
        <v>247</v>
      </c>
      <c r="C161" t="s">
        <v>590</v>
      </c>
      <c r="D161" t="s">
        <v>618</v>
      </c>
      <c r="E161" s="15">
        <v>45630</v>
      </c>
      <c r="F161" s="15">
        <v>45473</v>
      </c>
      <c r="G161" t="s">
        <v>129</v>
      </c>
      <c r="I161" t="s">
        <v>867</v>
      </c>
    </row>
    <row r="162" spans="1:9">
      <c r="A162" t="s">
        <v>614</v>
      </c>
      <c r="B162" t="s">
        <v>247</v>
      </c>
      <c r="C162" t="s">
        <v>595</v>
      </c>
      <c r="D162" t="s">
        <v>771</v>
      </c>
      <c r="E162" s="15">
        <v>45630</v>
      </c>
      <c r="F162" s="15">
        <v>45473</v>
      </c>
      <c r="G162" t="s">
        <v>129</v>
      </c>
      <c r="I162" t="s">
        <v>868</v>
      </c>
    </row>
    <row r="163" spans="1:9">
      <c r="A163" t="s">
        <v>614</v>
      </c>
      <c r="B163" t="s">
        <v>247</v>
      </c>
      <c r="C163" t="s">
        <v>595</v>
      </c>
      <c r="D163" t="s">
        <v>773</v>
      </c>
      <c r="E163" s="15">
        <v>45630</v>
      </c>
      <c r="F163" s="15">
        <v>45473</v>
      </c>
      <c r="G163" t="s">
        <v>129</v>
      </c>
      <c r="I163" t="s">
        <v>869</v>
      </c>
    </row>
    <row r="164" spans="1:9">
      <c r="A164" t="s">
        <v>614</v>
      </c>
      <c r="B164" t="s">
        <v>247</v>
      </c>
      <c r="C164" t="s">
        <v>595</v>
      </c>
      <c r="D164" t="s">
        <v>775</v>
      </c>
      <c r="E164" s="15">
        <v>45630</v>
      </c>
      <c r="F164" s="15">
        <v>45473</v>
      </c>
      <c r="G164" t="s">
        <v>129</v>
      </c>
      <c r="I164" t="s">
        <v>869</v>
      </c>
    </row>
    <row r="165" spans="1:9">
      <c r="A165" t="s">
        <v>614</v>
      </c>
      <c r="B165" t="s">
        <v>247</v>
      </c>
      <c r="C165" t="s">
        <v>595</v>
      </c>
      <c r="D165" t="s">
        <v>777</v>
      </c>
      <c r="E165" s="15">
        <v>45630</v>
      </c>
      <c r="F165" s="15">
        <v>45473</v>
      </c>
      <c r="G165" t="s">
        <v>129</v>
      </c>
      <c r="I165" t="s">
        <v>870</v>
      </c>
    </row>
    <row r="166" spans="1:9">
      <c r="A166" t="s">
        <v>614</v>
      </c>
      <c r="B166" t="s">
        <v>247</v>
      </c>
      <c r="C166" t="s">
        <v>595</v>
      </c>
      <c r="D166" t="s">
        <v>779</v>
      </c>
      <c r="E166" s="15">
        <v>45630</v>
      </c>
      <c r="F166" s="15">
        <v>45473</v>
      </c>
      <c r="G166" t="s">
        <v>129</v>
      </c>
      <c r="I166" t="s">
        <v>871</v>
      </c>
    </row>
    <row r="167" spans="1:9">
      <c r="A167" t="s">
        <v>614</v>
      </c>
      <c r="B167" t="s">
        <v>247</v>
      </c>
      <c r="C167" t="s">
        <v>595</v>
      </c>
      <c r="D167" t="s">
        <v>781</v>
      </c>
      <c r="E167" s="15">
        <v>45630</v>
      </c>
      <c r="F167" s="15">
        <v>45473</v>
      </c>
      <c r="G167" t="s">
        <v>129</v>
      </c>
      <c r="I167" t="s">
        <v>872</v>
      </c>
    </row>
    <row r="168" spans="1:9">
      <c r="A168" t="s">
        <v>614</v>
      </c>
      <c r="B168" t="s">
        <v>247</v>
      </c>
      <c r="C168" t="s">
        <v>595</v>
      </c>
      <c r="D168" t="s">
        <v>783</v>
      </c>
      <c r="E168" s="15">
        <v>45630</v>
      </c>
      <c r="F168" s="15">
        <v>45473</v>
      </c>
      <c r="G168" t="s">
        <v>129</v>
      </c>
      <c r="I168" t="s">
        <v>873</v>
      </c>
    </row>
    <row r="169" spans="1:9">
      <c r="A169" t="s">
        <v>614</v>
      </c>
      <c r="B169" t="s">
        <v>247</v>
      </c>
      <c r="C169" t="s">
        <v>595</v>
      </c>
      <c r="D169" t="s">
        <v>786</v>
      </c>
      <c r="E169" s="15">
        <v>45630</v>
      </c>
      <c r="F169" s="15">
        <v>45473</v>
      </c>
      <c r="G169" t="s">
        <v>129</v>
      </c>
      <c r="I169" t="s">
        <v>874</v>
      </c>
    </row>
    <row r="170" spans="1:9">
      <c r="A170" t="s">
        <v>614</v>
      </c>
      <c r="B170" t="s">
        <v>247</v>
      </c>
      <c r="C170" t="s">
        <v>595</v>
      </c>
      <c r="D170" t="s">
        <v>788</v>
      </c>
      <c r="E170" s="15">
        <v>45630</v>
      </c>
      <c r="F170" s="15">
        <v>45473</v>
      </c>
      <c r="H170" t="s">
        <v>789</v>
      </c>
    </row>
    <row r="171" spans="1:9">
      <c r="A171" t="s">
        <v>614</v>
      </c>
      <c r="B171" t="s">
        <v>264</v>
      </c>
      <c r="C171" t="s">
        <v>590</v>
      </c>
      <c r="D171" t="s">
        <v>618</v>
      </c>
      <c r="E171" s="15">
        <v>45630</v>
      </c>
      <c r="F171" s="15">
        <v>45473</v>
      </c>
      <c r="G171" t="s">
        <v>129</v>
      </c>
      <c r="I171" t="s">
        <v>875</v>
      </c>
    </row>
    <row r="172" spans="1:9">
      <c r="A172" t="s">
        <v>614</v>
      </c>
      <c r="B172" t="s">
        <v>264</v>
      </c>
      <c r="C172" t="s">
        <v>595</v>
      </c>
      <c r="D172" t="s">
        <v>790</v>
      </c>
      <c r="E172" s="15">
        <v>45630</v>
      </c>
      <c r="F172" s="15">
        <v>45473</v>
      </c>
      <c r="G172" t="s">
        <v>129</v>
      </c>
      <c r="I172" t="s">
        <v>876</v>
      </c>
    </row>
    <row r="173" spans="1:9">
      <c r="A173" t="s">
        <v>614</v>
      </c>
      <c r="B173" t="s">
        <v>264</v>
      </c>
      <c r="C173" t="s">
        <v>595</v>
      </c>
      <c r="D173" t="s">
        <v>792</v>
      </c>
      <c r="E173" s="15">
        <v>45630</v>
      </c>
      <c r="F173" s="15">
        <v>45473</v>
      </c>
      <c r="G173" t="s">
        <v>129</v>
      </c>
      <c r="I173" t="s">
        <v>877</v>
      </c>
    </row>
    <row r="174" spans="1:9">
      <c r="A174" t="s">
        <v>614</v>
      </c>
      <c r="B174" t="s">
        <v>264</v>
      </c>
      <c r="C174" t="s">
        <v>595</v>
      </c>
      <c r="D174" t="s">
        <v>794</v>
      </c>
      <c r="E174" s="15">
        <v>45630</v>
      </c>
      <c r="F174" s="15">
        <v>45473</v>
      </c>
      <c r="G174" t="s">
        <v>129</v>
      </c>
      <c r="I174" t="s">
        <v>878</v>
      </c>
    </row>
    <row r="175" spans="1:9">
      <c r="A175" t="s">
        <v>614</v>
      </c>
      <c r="B175" t="s">
        <v>453</v>
      </c>
      <c r="C175" t="s">
        <v>590</v>
      </c>
      <c r="D175" t="s">
        <v>618</v>
      </c>
      <c r="E175" s="15">
        <v>45630</v>
      </c>
      <c r="F175" s="15">
        <v>45565</v>
      </c>
      <c r="G175" t="s">
        <v>129</v>
      </c>
      <c r="I175" t="s">
        <v>879</v>
      </c>
    </row>
    <row r="176" spans="1:9">
      <c r="A176" t="s">
        <v>614</v>
      </c>
      <c r="B176" t="s">
        <v>453</v>
      </c>
      <c r="C176" t="s">
        <v>615</v>
      </c>
      <c r="D176" t="s">
        <v>616</v>
      </c>
      <c r="E176" s="15">
        <v>45630</v>
      </c>
      <c r="F176" s="15">
        <v>45565</v>
      </c>
      <c r="G176" t="s">
        <v>129</v>
      </c>
      <c r="I176" t="s">
        <v>880</v>
      </c>
    </row>
    <row r="177" spans="1:9">
      <c r="A177" t="s">
        <v>614</v>
      </c>
      <c r="B177" t="s">
        <v>453</v>
      </c>
      <c r="C177" t="s">
        <v>595</v>
      </c>
      <c r="D177" t="s">
        <v>881</v>
      </c>
      <c r="E177" s="15">
        <v>45630</v>
      </c>
      <c r="F177" s="15">
        <v>45565</v>
      </c>
      <c r="G177" t="s">
        <v>129</v>
      </c>
      <c r="I177" t="s">
        <v>882</v>
      </c>
    </row>
    <row r="178" spans="1:9">
      <c r="A178" t="s">
        <v>614</v>
      </c>
      <c r="B178" t="s">
        <v>453</v>
      </c>
      <c r="C178" t="s">
        <v>595</v>
      </c>
      <c r="D178" t="s">
        <v>622</v>
      </c>
      <c r="E178" s="15">
        <v>45630</v>
      </c>
      <c r="F178" s="15">
        <v>45565</v>
      </c>
      <c r="G178" t="s">
        <v>145</v>
      </c>
      <c r="H178" t="s">
        <v>883</v>
      </c>
      <c r="I178" t="s">
        <v>884</v>
      </c>
    </row>
    <row r="179" spans="1:9">
      <c r="A179" t="s">
        <v>614</v>
      </c>
      <c r="B179" t="s">
        <v>453</v>
      </c>
      <c r="C179" t="s">
        <v>595</v>
      </c>
      <c r="D179" t="s">
        <v>625</v>
      </c>
      <c r="E179" s="15">
        <v>45630</v>
      </c>
      <c r="F179" s="15">
        <v>45565</v>
      </c>
      <c r="G179" t="s">
        <v>129</v>
      </c>
      <c r="I179" t="s">
        <v>885</v>
      </c>
    </row>
    <row r="180" spans="1:9">
      <c r="A180" t="s">
        <v>614</v>
      </c>
      <c r="B180" t="s">
        <v>267</v>
      </c>
      <c r="C180" t="s">
        <v>590</v>
      </c>
      <c r="D180" t="s">
        <v>618</v>
      </c>
      <c r="E180" s="15">
        <v>45630</v>
      </c>
      <c r="F180" s="15">
        <v>45565</v>
      </c>
      <c r="G180" t="s">
        <v>129</v>
      </c>
      <c r="I180" t="s">
        <v>886</v>
      </c>
    </row>
    <row r="181" spans="1:9">
      <c r="A181" t="s">
        <v>614</v>
      </c>
      <c r="B181" t="s">
        <v>267</v>
      </c>
      <c r="C181" t="s">
        <v>595</v>
      </c>
      <c r="D181" t="s">
        <v>887</v>
      </c>
      <c r="E181" s="15">
        <v>45630</v>
      </c>
      <c r="F181" s="15">
        <v>45565</v>
      </c>
      <c r="G181" t="s">
        <v>129</v>
      </c>
      <c r="I181" t="s">
        <v>888</v>
      </c>
    </row>
    <row r="182" spans="1:9">
      <c r="A182" t="s">
        <v>614</v>
      </c>
      <c r="B182" t="s">
        <v>267</v>
      </c>
      <c r="C182" t="s">
        <v>595</v>
      </c>
      <c r="D182" t="s">
        <v>889</v>
      </c>
      <c r="E182" s="15">
        <v>45630</v>
      </c>
      <c r="F182" s="15">
        <v>45565</v>
      </c>
      <c r="G182" t="s">
        <v>145</v>
      </c>
      <c r="H182" t="s">
        <v>890</v>
      </c>
      <c r="I182" t="s">
        <v>891</v>
      </c>
    </row>
    <row r="183" spans="1:9">
      <c r="A183" t="s">
        <v>614</v>
      </c>
      <c r="B183" t="s">
        <v>267</v>
      </c>
      <c r="C183" t="s">
        <v>595</v>
      </c>
      <c r="D183" t="s">
        <v>892</v>
      </c>
      <c r="E183" s="15">
        <v>45630</v>
      </c>
      <c r="F183" s="15">
        <v>45565</v>
      </c>
      <c r="G183" t="s">
        <v>145</v>
      </c>
      <c r="H183" t="s">
        <v>890</v>
      </c>
      <c r="I183" t="s">
        <v>893</v>
      </c>
    </row>
    <row r="184" spans="1:9">
      <c r="A184" t="s">
        <v>614</v>
      </c>
      <c r="B184" t="s">
        <v>267</v>
      </c>
      <c r="C184" t="s">
        <v>595</v>
      </c>
      <c r="D184" t="s">
        <v>635</v>
      </c>
      <c r="E184" s="15">
        <v>45630</v>
      </c>
      <c r="F184" s="15">
        <v>45565</v>
      </c>
      <c r="G184" t="s">
        <v>129</v>
      </c>
      <c r="I184" t="s">
        <v>894</v>
      </c>
    </row>
    <row r="185" spans="1:9">
      <c r="A185" s="29" t="s">
        <v>614</v>
      </c>
      <c r="B185" s="29" t="s">
        <v>179</v>
      </c>
      <c r="C185" t="s">
        <v>590</v>
      </c>
      <c r="D185" t="s">
        <v>618</v>
      </c>
      <c r="E185" s="15">
        <v>45630</v>
      </c>
      <c r="F185" s="15">
        <v>45565</v>
      </c>
      <c r="G185" t="s">
        <v>129</v>
      </c>
      <c r="I185" t="s">
        <v>895</v>
      </c>
    </row>
    <row r="186" spans="1:9">
      <c r="A186" s="29" t="s">
        <v>614</v>
      </c>
      <c r="B186" s="29" t="s">
        <v>179</v>
      </c>
      <c r="C186" t="s">
        <v>595</v>
      </c>
      <c r="D186" t="s">
        <v>669</v>
      </c>
      <c r="E186" s="15">
        <v>45630</v>
      </c>
      <c r="F186" s="15">
        <v>45565</v>
      </c>
      <c r="G186" t="s">
        <v>129</v>
      </c>
      <c r="I186" t="s">
        <v>896</v>
      </c>
    </row>
    <row r="187" spans="1:9">
      <c r="A187" s="29" t="s">
        <v>614</v>
      </c>
      <c r="B187" s="29" t="s">
        <v>179</v>
      </c>
      <c r="C187" t="s">
        <v>595</v>
      </c>
      <c r="D187" t="s">
        <v>671</v>
      </c>
      <c r="E187" s="15">
        <v>45630</v>
      </c>
      <c r="F187" s="15">
        <v>45565</v>
      </c>
      <c r="G187" t="s">
        <v>129</v>
      </c>
      <c r="I187" t="s">
        <v>897</v>
      </c>
    </row>
    <row r="188" spans="1:9">
      <c r="A188" s="29" t="s">
        <v>614</v>
      </c>
      <c r="B188" s="29" t="s">
        <v>179</v>
      </c>
      <c r="C188" t="s">
        <v>595</v>
      </c>
      <c r="D188" t="s">
        <v>674</v>
      </c>
      <c r="E188" s="15">
        <v>45630</v>
      </c>
      <c r="F188" s="15">
        <v>45565</v>
      </c>
      <c r="G188" t="s">
        <v>129</v>
      </c>
      <c r="I188" t="s">
        <v>898</v>
      </c>
    </row>
    <row r="189" spans="1:9">
      <c r="A189" s="29" t="s">
        <v>614</v>
      </c>
      <c r="B189" s="29" t="s">
        <v>179</v>
      </c>
      <c r="C189" t="s">
        <v>595</v>
      </c>
      <c r="D189" t="s">
        <v>676</v>
      </c>
      <c r="E189" s="15">
        <v>45630</v>
      </c>
      <c r="F189" s="15">
        <v>45565</v>
      </c>
      <c r="G189" t="s">
        <v>129</v>
      </c>
      <c r="I189" t="s">
        <v>899</v>
      </c>
    </row>
    <row r="190" spans="1:9">
      <c r="A190" s="29" t="s">
        <v>614</v>
      </c>
      <c r="B190" s="29" t="s">
        <v>179</v>
      </c>
      <c r="C190" t="s">
        <v>595</v>
      </c>
      <c r="D190" t="s">
        <v>679</v>
      </c>
      <c r="E190" s="15">
        <v>45630</v>
      </c>
      <c r="F190" s="15">
        <v>45565</v>
      </c>
      <c r="G190" t="s">
        <v>129</v>
      </c>
      <c r="I190" t="s">
        <v>900</v>
      </c>
    </row>
    <row r="191" spans="1:9">
      <c r="A191" s="29" t="s">
        <v>614</v>
      </c>
      <c r="B191" s="29" t="s">
        <v>179</v>
      </c>
      <c r="C191" t="s">
        <v>595</v>
      </c>
      <c r="D191" t="s">
        <v>681</v>
      </c>
      <c r="E191" s="15">
        <v>45630</v>
      </c>
      <c r="F191" s="15">
        <v>45565</v>
      </c>
      <c r="G191" t="s">
        <v>129</v>
      </c>
      <c r="I191" t="s">
        <v>901</v>
      </c>
    </row>
    <row r="192" spans="1:9">
      <c r="A192" t="s">
        <v>614</v>
      </c>
      <c r="B192" t="s">
        <v>41</v>
      </c>
      <c r="C192" t="s">
        <v>590</v>
      </c>
      <c r="D192" t="s">
        <v>618</v>
      </c>
      <c r="E192" s="15">
        <v>45643</v>
      </c>
      <c r="F192" s="15">
        <v>45565</v>
      </c>
      <c r="G192" t="s">
        <v>145</v>
      </c>
      <c r="I192" t="s">
        <v>902</v>
      </c>
    </row>
    <row r="193" spans="1:9">
      <c r="A193" t="s">
        <v>614</v>
      </c>
      <c r="B193" t="s">
        <v>41</v>
      </c>
      <c r="C193" t="s">
        <v>595</v>
      </c>
      <c r="D193" t="s">
        <v>809</v>
      </c>
      <c r="E193" s="15">
        <v>45643</v>
      </c>
      <c r="F193" s="15">
        <v>45565</v>
      </c>
      <c r="G193" t="s">
        <v>145</v>
      </c>
      <c r="I193" t="s">
        <v>903</v>
      </c>
    </row>
    <row r="194" spans="1:9">
      <c r="A194" t="s">
        <v>614</v>
      </c>
      <c r="B194" t="s">
        <v>41</v>
      </c>
      <c r="C194" t="s">
        <v>595</v>
      </c>
      <c r="D194" t="s">
        <v>811</v>
      </c>
      <c r="E194" s="15">
        <v>45643</v>
      </c>
      <c r="F194" s="15">
        <v>45565</v>
      </c>
      <c r="G194" t="s">
        <v>129</v>
      </c>
      <c r="I194" t="s">
        <v>904</v>
      </c>
    </row>
    <row r="195" spans="1:9">
      <c r="A195" t="s">
        <v>614</v>
      </c>
      <c r="B195" t="s">
        <v>41</v>
      </c>
      <c r="C195" t="s">
        <v>595</v>
      </c>
      <c r="D195" t="s">
        <v>813</v>
      </c>
      <c r="E195" s="15">
        <v>45643</v>
      </c>
      <c r="F195" s="15">
        <v>45565</v>
      </c>
      <c r="G195" t="s">
        <v>145</v>
      </c>
      <c r="H195" t="s">
        <v>905</v>
      </c>
      <c r="I195" t="s">
        <v>906</v>
      </c>
    </row>
    <row r="196" spans="1:9">
      <c r="A196" t="s">
        <v>614</v>
      </c>
      <c r="B196" t="s">
        <v>41</v>
      </c>
      <c r="C196" t="s">
        <v>595</v>
      </c>
      <c r="D196" t="s">
        <v>815</v>
      </c>
      <c r="E196" s="15">
        <v>45643</v>
      </c>
      <c r="F196" s="15">
        <v>45565</v>
      </c>
      <c r="G196" t="s">
        <v>129</v>
      </c>
      <c r="I196" t="s">
        <v>907</v>
      </c>
    </row>
    <row r="197" spans="1:9">
      <c r="A197" t="s">
        <v>614</v>
      </c>
      <c r="B197" t="s">
        <v>41</v>
      </c>
      <c r="C197" t="s">
        <v>595</v>
      </c>
      <c r="D197" t="s">
        <v>817</v>
      </c>
      <c r="E197" s="15">
        <v>45643</v>
      </c>
      <c r="F197" s="15">
        <v>45565</v>
      </c>
      <c r="G197" t="s">
        <v>129</v>
      </c>
      <c r="I197" t="s">
        <v>908</v>
      </c>
    </row>
    <row r="198" spans="1:9">
      <c r="A198" s="29" t="s">
        <v>586</v>
      </c>
      <c r="B198" t="s">
        <v>427</v>
      </c>
      <c r="C198" t="s">
        <v>590</v>
      </c>
      <c r="D198" t="s">
        <v>618</v>
      </c>
      <c r="E198" s="15">
        <v>45644</v>
      </c>
      <c r="F198" s="15">
        <v>45565</v>
      </c>
      <c r="G198" t="s">
        <v>129</v>
      </c>
      <c r="I198" t="s">
        <v>909</v>
      </c>
    </row>
    <row r="199" spans="1:9">
      <c r="A199" s="29" t="s">
        <v>586</v>
      </c>
      <c r="B199" t="s">
        <v>427</v>
      </c>
      <c r="C199" t="s">
        <v>595</v>
      </c>
      <c r="D199" t="s">
        <v>910</v>
      </c>
      <c r="E199" s="15">
        <v>45644</v>
      </c>
      <c r="F199" s="15">
        <v>45565</v>
      </c>
      <c r="G199" t="s">
        <v>129</v>
      </c>
      <c r="I199" t="s">
        <v>911</v>
      </c>
    </row>
    <row r="200" spans="1:9">
      <c r="A200" s="29" t="s">
        <v>586</v>
      </c>
      <c r="B200" t="s">
        <v>427</v>
      </c>
      <c r="C200" t="s">
        <v>595</v>
      </c>
      <c r="D200" t="s">
        <v>912</v>
      </c>
      <c r="E200" s="15">
        <v>45644</v>
      </c>
      <c r="F200" s="15">
        <v>45565</v>
      </c>
      <c r="G200" t="s">
        <v>129</v>
      </c>
      <c r="I200" t="s">
        <v>913</v>
      </c>
    </row>
    <row r="201" spans="1:9">
      <c r="A201" s="29" t="s">
        <v>586</v>
      </c>
      <c r="B201" t="s">
        <v>427</v>
      </c>
      <c r="C201" t="s">
        <v>595</v>
      </c>
      <c r="D201" t="s">
        <v>914</v>
      </c>
      <c r="E201" s="15">
        <v>45644</v>
      </c>
      <c r="F201" s="15">
        <v>45565</v>
      </c>
      <c r="G201" t="s">
        <v>129</v>
      </c>
      <c r="I201" t="s">
        <v>915</v>
      </c>
    </row>
    <row r="202" spans="1:9">
      <c r="A202" s="29" t="s">
        <v>586</v>
      </c>
      <c r="B202" t="s">
        <v>427</v>
      </c>
      <c r="C202" t="s">
        <v>595</v>
      </c>
      <c r="D202" t="s">
        <v>916</v>
      </c>
      <c r="E202" s="15">
        <v>45644</v>
      </c>
      <c r="F202" s="15">
        <v>45565</v>
      </c>
      <c r="G202" t="s">
        <v>145</v>
      </c>
      <c r="H202" t="s">
        <v>917</v>
      </c>
      <c r="I202" t="s">
        <v>918</v>
      </c>
    </row>
    <row r="203" spans="1:9">
      <c r="A203" s="29" t="s">
        <v>586</v>
      </c>
      <c r="B203" t="s">
        <v>278</v>
      </c>
      <c r="C203" t="s">
        <v>590</v>
      </c>
      <c r="D203" t="s">
        <v>618</v>
      </c>
      <c r="E203" s="15">
        <v>45644</v>
      </c>
      <c r="F203" s="15">
        <v>45565</v>
      </c>
      <c r="G203" t="s">
        <v>129</v>
      </c>
      <c r="I203" t="s">
        <v>919</v>
      </c>
    </row>
    <row r="204" spans="1:9">
      <c r="A204" s="29" t="s">
        <v>586</v>
      </c>
      <c r="B204" t="s">
        <v>278</v>
      </c>
      <c r="C204" t="s">
        <v>595</v>
      </c>
      <c r="D204" t="s">
        <v>754</v>
      </c>
      <c r="E204" s="15">
        <v>45644</v>
      </c>
      <c r="F204" s="15">
        <v>45565</v>
      </c>
      <c r="G204" t="s">
        <v>129</v>
      </c>
      <c r="I204" t="s">
        <v>920</v>
      </c>
    </row>
    <row r="205" spans="1:9">
      <c r="A205" s="29" t="s">
        <v>586</v>
      </c>
      <c r="B205" t="s">
        <v>278</v>
      </c>
      <c r="C205" t="s">
        <v>595</v>
      </c>
      <c r="D205" t="s">
        <v>756</v>
      </c>
      <c r="E205" s="15">
        <v>45644</v>
      </c>
      <c r="F205" s="15">
        <v>45565</v>
      </c>
      <c r="G205" t="s">
        <v>129</v>
      </c>
      <c r="I205" t="s">
        <v>921</v>
      </c>
    </row>
    <row r="206" spans="1:9">
      <c r="A206" t="s">
        <v>187</v>
      </c>
      <c r="B206" t="s">
        <v>409</v>
      </c>
      <c r="C206" t="s">
        <v>590</v>
      </c>
      <c r="D206" t="s">
        <v>618</v>
      </c>
      <c r="E206" s="15">
        <v>45361</v>
      </c>
      <c r="F206" s="15">
        <v>45657</v>
      </c>
      <c r="G206" t="s">
        <v>129</v>
      </c>
      <c r="I206" t="s">
        <v>922</v>
      </c>
    </row>
    <row r="207" spans="1:9">
      <c r="A207" s="29" t="s">
        <v>586</v>
      </c>
      <c r="B207" t="s">
        <v>427</v>
      </c>
      <c r="C207" t="s">
        <v>590</v>
      </c>
      <c r="D207" t="s">
        <v>618</v>
      </c>
      <c r="E207" s="15">
        <v>45361</v>
      </c>
      <c r="F207" s="15">
        <v>45657</v>
      </c>
      <c r="G207" t="s">
        <v>145</v>
      </c>
      <c r="H207" t="s">
        <v>923</v>
      </c>
      <c r="I207" t="s">
        <v>924</v>
      </c>
    </row>
    <row r="208" spans="1:9">
      <c r="A208" s="29" t="s">
        <v>586</v>
      </c>
      <c r="B208" t="s">
        <v>278</v>
      </c>
      <c r="C208" t="s">
        <v>590</v>
      </c>
      <c r="D208" t="s">
        <v>618</v>
      </c>
      <c r="E208" s="15">
        <v>45362</v>
      </c>
      <c r="F208" s="15">
        <v>45657</v>
      </c>
      <c r="G208" t="s">
        <v>129</v>
      </c>
      <c r="I208" t="s">
        <v>925</v>
      </c>
    </row>
    <row r="209" spans="1:9">
      <c r="A209" t="s">
        <v>614</v>
      </c>
      <c r="B209" t="s">
        <v>41</v>
      </c>
      <c r="C209" t="s">
        <v>590</v>
      </c>
      <c r="D209" t="s">
        <v>618</v>
      </c>
      <c r="E209" s="15">
        <v>45362</v>
      </c>
      <c r="F209" s="15">
        <v>45657</v>
      </c>
      <c r="G209" t="s">
        <v>129</v>
      </c>
      <c r="I209" t="s">
        <v>926</v>
      </c>
    </row>
    <row r="210" spans="1:9">
      <c r="A210" t="s">
        <v>187</v>
      </c>
      <c r="B210" t="s">
        <v>409</v>
      </c>
      <c r="C210" t="s">
        <v>590</v>
      </c>
      <c r="D210" t="s">
        <v>618</v>
      </c>
      <c r="E210" s="15">
        <v>45371</v>
      </c>
      <c r="F210" s="15">
        <v>45657</v>
      </c>
      <c r="G210" t="s">
        <v>129</v>
      </c>
      <c r="I210" t="s">
        <v>927</v>
      </c>
    </row>
    <row r="211" spans="1:9">
      <c r="A211" t="s">
        <v>187</v>
      </c>
      <c r="B211" t="s">
        <v>409</v>
      </c>
      <c r="C211" t="s">
        <v>595</v>
      </c>
      <c r="D211" t="s">
        <v>928</v>
      </c>
      <c r="E211" s="15">
        <v>45371</v>
      </c>
      <c r="F211" s="15">
        <v>45657</v>
      </c>
      <c r="G211" t="s">
        <v>129</v>
      </c>
      <c r="I211" t="s">
        <v>929</v>
      </c>
    </row>
    <row r="212" spans="1:9">
      <c r="A212" t="s">
        <v>187</v>
      </c>
      <c r="B212" t="s">
        <v>409</v>
      </c>
      <c r="C212" t="s">
        <v>595</v>
      </c>
      <c r="D212" t="s">
        <v>930</v>
      </c>
      <c r="E212" s="15">
        <v>45371</v>
      </c>
      <c r="F212" s="15">
        <v>45657</v>
      </c>
      <c r="G212" t="s">
        <v>129</v>
      </c>
      <c r="I212" t="s">
        <v>929</v>
      </c>
    </row>
    <row r="213" spans="1:9">
      <c r="A213" s="29" t="s">
        <v>586</v>
      </c>
      <c r="B213" t="s">
        <v>278</v>
      </c>
      <c r="C213" t="s">
        <v>590</v>
      </c>
      <c r="D213" t="s">
        <v>618</v>
      </c>
      <c r="E213" s="15">
        <v>45371</v>
      </c>
      <c r="F213" s="15">
        <v>45657</v>
      </c>
      <c r="G213" t="s">
        <v>129</v>
      </c>
      <c r="I213" t="s">
        <v>931</v>
      </c>
    </row>
    <row r="214" spans="1:9">
      <c r="A214" s="29" t="s">
        <v>586</v>
      </c>
      <c r="B214" t="s">
        <v>278</v>
      </c>
      <c r="C214" t="s">
        <v>595</v>
      </c>
      <c r="D214" t="s">
        <v>754</v>
      </c>
      <c r="E214" s="15">
        <v>45371</v>
      </c>
      <c r="F214" s="15">
        <v>45657</v>
      </c>
      <c r="G214" t="s">
        <v>129</v>
      </c>
      <c r="I214" t="s">
        <v>932</v>
      </c>
    </row>
    <row r="215" spans="1:9">
      <c r="A215" s="29" t="s">
        <v>586</v>
      </c>
      <c r="B215" t="s">
        <v>278</v>
      </c>
      <c r="C215" t="s">
        <v>595</v>
      </c>
      <c r="D215" t="s">
        <v>756</v>
      </c>
      <c r="E215" s="15">
        <v>45371</v>
      </c>
      <c r="F215" s="15">
        <v>45657</v>
      </c>
      <c r="G215" t="s">
        <v>129</v>
      </c>
      <c r="I215" t="s">
        <v>933</v>
      </c>
    </row>
    <row r="216" spans="1:9">
      <c r="A216" t="s">
        <v>614</v>
      </c>
      <c r="B216" t="s">
        <v>41</v>
      </c>
      <c r="C216" t="s">
        <v>590</v>
      </c>
      <c r="D216" t="s">
        <v>618</v>
      </c>
      <c r="E216" s="15">
        <v>45371</v>
      </c>
      <c r="F216" s="15">
        <v>45657</v>
      </c>
      <c r="G216" t="s">
        <v>129</v>
      </c>
      <c r="I216" t="s">
        <v>934</v>
      </c>
    </row>
    <row r="217" spans="1:9">
      <c r="A217" t="s">
        <v>614</v>
      </c>
      <c r="B217" t="s">
        <v>41</v>
      </c>
      <c r="C217" t="s">
        <v>595</v>
      </c>
      <c r="D217" t="s">
        <v>809</v>
      </c>
      <c r="E217" s="15">
        <v>45371</v>
      </c>
      <c r="F217" s="15">
        <v>45657</v>
      </c>
      <c r="G217" t="s">
        <v>145</v>
      </c>
      <c r="H217" t="s">
        <v>935</v>
      </c>
      <c r="I217" t="s">
        <v>936</v>
      </c>
    </row>
    <row r="218" spans="1:9">
      <c r="A218" t="s">
        <v>614</v>
      </c>
      <c r="B218" t="s">
        <v>41</v>
      </c>
      <c r="C218" t="s">
        <v>595</v>
      </c>
      <c r="D218" t="s">
        <v>811</v>
      </c>
      <c r="E218" s="15">
        <v>45371</v>
      </c>
      <c r="F218" s="15">
        <v>45657</v>
      </c>
      <c r="G218" t="s">
        <v>129</v>
      </c>
      <c r="I218" t="s">
        <v>937</v>
      </c>
    </row>
    <row r="219" spans="1:9">
      <c r="A219" t="s">
        <v>614</v>
      </c>
      <c r="B219" t="s">
        <v>41</v>
      </c>
      <c r="C219" t="s">
        <v>595</v>
      </c>
      <c r="D219" t="s">
        <v>813</v>
      </c>
      <c r="E219" s="15">
        <v>45371</v>
      </c>
      <c r="F219" s="15">
        <v>45657</v>
      </c>
      <c r="G219" t="s">
        <v>145</v>
      </c>
      <c r="H219" t="s">
        <v>938</v>
      </c>
      <c r="I219" t="s">
        <v>939</v>
      </c>
    </row>
    <row r="220" spans="1:9">
      <c r="A220" t="s">
        <v>614</v>
      </c>
      <c r="B220" t="s">
        <v>41</v>
      </c>
      <c r="C220" t="s">
        <v>595</v>
      </c>
      <c r="D220" t="s">
        <v>815</v>
      </c>
      <c r="E220" s="15">
        <v>45371</v>
      </c>
      <c r="F220" s="15">
        <v>45657</v>
      </c>
      <c r="G220" t="s">
        <v>129</v>
      </c>
      <c r="I220" t="s">
        <v>940</v>
      </c>
    </row>
    <row r="221" spans="1:9">
      <c r="A221" t="s">
        <v>614</v>
      </c>
      <c r="B221" t="s">
        <v>41</v>
      </c>
      <c r="C221" t="s">
        <v>595</v>
      </c>
      <c r="D221" t="s">
        <v>817</v>
      </c>
      <c r="E221" s="15">
        <v>45371</v>
      </c>
      <c r="F221" s="15">
        <v>45657</v>
      </c>
      <c r="G221" t="s">
        <v>129</v>
      </c>
      <c r="I221" t="s">
        <v>941</v>
      </c>
    </row>
    <row r="222" spans="1:9">
      <c r="A222" s="29" t="s">
        <v>586</v>
      </c>
      <c r="B222" t="s">
        <v>427</v>
      </c>
      <c r="C222" t="s">
        <v>590</v>
      </c>
      <c r="D222" t="s">
        <v>618</v>
      </c>
      <c r="E222" s="15">
        <v>45371</v>
      </c>
      <c r="F222" s="15">
        <v>45657</v>
      </c>
      <c r="G222" t="s">
        <v>129</v>
      </c>
      <c r="I222" t="s">
        <v>942</v>
      </c>
    </row>
    <row r="223" spans="1:9">
      <c r="A223" s="29" t="s">
        <v>586</v>
      </c>
      <c r="B223" t="s">
        <v>427</v>
      </c>
      <c r="C223" t="s">
        <v>595</v>
      </c>
      <c r="D223" t="s">
        <v>910</v>
      </c>
      <c r="E223" s="15">
        <v>45371</v>
      </c>
      <c r="F223" s="15">
        <v>45657</v>
      </c>
      <c r="G223" t="s">
        <v>129</v>
      </c>
      <c r="I223" t="s">
        <v>943</v>
      </c>
    </row>
    <row r="224" spans="1:9">
      <c r="A224" s="29" t="s">
        <v>586</v>
      </c>
      <c r="B224" t="s">
        <v>427</v>
      </c>
      <c r="C224" t="s">
        <v>595</v>
      </c>
      <c r="D224" t="s">
        <v>912</v>
      </c>
      <c r="E224" s="15">
        <v>45371</v>
      </c>
      <c r="F224" s="15">
        <v>45657</v>
      </c>
      <c r="G224" t="s">
        <v>129</v>
      </c>
      <c r="I224" t="s">
        <v>944</v>
      </c>
    </row>
    <row r="225" spans="1:9">
      <c r="A225" s="29" t="s">
        <v>586</v>
      </c>
      <c r="B225" t="s">
        <v>427</v>
      </c>
      <c r="C225" t="s">
        <v>595</v>
      </c>
      <c r="D225" t="s">
        <v>914</v>
      </c>
      <c r="E225" s="15">
        <v>45371</v>
      </c>
      <c r="F225" s="15">
        <v>45657</v>
      </c>
      <c r="G225" t="s">
        <v>129</v>
      </c>
      <c r="I225" t="s">
        <v>945</v>
      </c>
    </row>
    <row r="226" spans="1:9">
      <c r="A226" s="29" t="s">
        <v>586</v>
      </c>
      <c r="B226" t="s">
        <v>427</v>
      </c>
      <c r="C226" t="s">
        <v>595</v>
      </c>
      <c r="D226" t="s">
        <v>916</v>
      </c>
      <c r="E226" s="15">
        <v>45371</v>
      </c>
      <c r="F226" s="15">
        <v>45657</v>
      </c>
      <c r="G226" t="s">
        <v>129</v>
      </c>
      <c r="H226" t="s">
        <v>917</v>
      </c>
      <c r="I226" t="s">
        <v>946</v>
      </c>
    </row>
    <row r="227" spans="1:9">
      <c r="A227" s="29" t="s">
        <v>586</v>
      </c>
      <c r="B227" t="s">
        <v>384</v>
      </c>
      <c r="C227" t="s">
        <v>590</v>
      </c>
      <c r="D227" t="s">
        <v>618</v>
      </c>
      <c r="E227" s="15">
        <v>45383</v>
      </c>
      <c r="F227" s="15">
        <v>45657</v>
      </c>
      <c r="G227" t="s">
        <v>129</v>
      </c>
      <c r="I227" t="s">
        <v>1089</v>
      </c>
    </row>
    <row r="228" spans="1:9">
      <c r="A228" s="29" t="s">
        <v>586</v>
      </c>
      <c r="B228" t="s">
        <v>384</v>
      </c>
      <c r="C228" t="s">
        <v>595</v>
      </c>
      <c r="D228" t="s">
        <v>1091</v>
      </c>
      <c r="E228" s="15">
        <v>45383</v>
      </c>
      <c r="F228" s="15">
        <v>45657</v>
      </c>
      <c r="G228" t="s">
        <v>129</v>
      </c>
      <c r="I228" t="s">
        <v>1090</v>
      </c>
    </row>
    <row r="229" spans="1:9">
      <c r="A229" s="29" t="s">
        <v>586</v>
      </c>
      <c r="B229" t="s">
        <v>385</v>
      </c>
      <c r="C229" t="s">
        <v>590</v>
      </c>
      <c r="D229" t="s">
        <v>618</v>
      </c>
      <c r="E229" s="15">
        <v>45383</v>
      </c>
      <c r="F229" s="15">
        <v>45657</v>
      </c>
      <c r="G229" t="s">
        <v>129</v>
      </c>
      <c r="I229" t="s">
        <v>1092</v>
      </c>
    </row>
    <row r="230" spans="1:9">
      <c r="A230" s="29" t="s">
        <v>586</v>
      </c>
      <c r="B230" t="s">
        <v>385</v>
      </c>
      <c r="C230" t="s">
        <v>595</v>
      </c>
      <c r="D230" t="s">
        <v>1093</v>
      </c>
      <c r="E230" s="15">
        <v>45383</v>
      </c>
      <c r="F230" s="15">
        <v>45657</v>
      </c>
      <c r="G230" t="s">
        <v>129</v>
      </c>
      <c r="I230" t="s">
        <v>1094</v>
      </c>
    </row>
    <row r="231" spans="1:9">
      <c r="A231" s="29" t="s">
        <v>586</v>
      </c>
      <c r="B231" s="126" t="s">
        <v>128</v>
      </c>
      <c r="C231" t="s">
        <v>590</v>
      </c>
      <c r="D231" t="s">
        <v>618</v>
      </c>
      <c r="E231" s="15">
        <v>45383</v>
      </c>
      <c r="F231" s="15">
        <v>45657</v>
      </c>
      <c r="G231" t="s">
        <v>129</v>
      </c>
      <c r="I231" t="s">
        <v>1095</v>
      </c>
    </row>
    <row r="232" spans="1:9">
      <c r="A232" s="29" t="s">
        <v>586</v>
      </c>
      <c r="B232" s="126" t="s">
        <v>128</v>
      </c>
      <c r="C232" t="s">
        <v>595</v>
      </c>
      <c r="D232" t="s">
        <v>1096</v>
      </c>
      <c r="E232" s="15">
        <v>45383</v>
      </c>
      <c r="F232" s="15">
        <v>45657</v>
      </c>
      <c r="G232" t="s">
        <v>129</v>
      </c>
      <c r="I232" t="s">
        <v>1102</v>
      </c>
    </row>
    <row r="233" spans="1:9">
      <c r="A233" s="29" t="s">
        <v>586</v>
      </c>
      <c r="B233" s="126" t="s">
        <v>128</v>
      </c>
      <c r="C233" t="s">
        <v>595</v>
      </c>
      <c r="D233" t="s">
        <v>1097</v>
      </c>
      <c r="E233" s="15">
        <v>45383</v>
      </c>
      <c r="F233" s="15">
        <v>45657</v>
      </c>
      <c r="G233" t="s">
        <v>129</v>
      </c>
      <c r="I233" t="s">
        <v>1103</v>
      </c>
    </row>
    <row r="234" spans="1:9">
      <c r="A234" s="29" t="s">
        <v>586</v>
      </c>
      <c r="B234" s="126" t="s">
        <v>128</v>
      </c>
      <c r="C234" t="s">
        <v>595</v>
      </c>
      <c r="D234" t="s">
        <v>1098</v>
      </c>
      <c r="E234" s="15">
        <v>45383</v>
      </c>
      <c r="F234" s="15">
        <v>45657</v>
      </c>
      <c r="G234" t="s">
        <v>129</v>
      </c>
      <c r="I234" t="s">
        <v>1104</v>
      </c>
    </row>
    <row r="235" spans="1:9">
      <c r="A235" s="29" t="s">
        <v>586</v>
      </c>
      <c r="B235" s="126" t="s">
        <v>128</v>
      </c>
      <c r="C235" t="s">
        <v>595</v>
      </c>
      <c r="D235" t="s">
        <v>1099</v>
      </c>
      <c r="E235" s="15"/>
      <c r="F235" s="15"/>
    </row>
    <row r="236" spans="1:9">
      <c r="A236" s="29" t="s">
        <v>586</v>
      </c>
      <c r="B236" s="126" t="s">
        <v>128</v>
      </c>
      <c r="C236" t="s">
        <v>595</v>
      </c>
      <c r="D236" t="s">
        <v>1100</v>
      </c>
      <c r="E236" s="15"/>
      <c r="F236" s="15"/>
      <c r="H236" t="s">
        <v>1105</v>
      </c>
    </row>
    <row r="237" spans="1:9">
      <c r="A237" s="29" t="s">
        <v>586</v>
      </c>
      <c r="B237" s="126" t="s">
        <v>128</v>
      </c>
      <c r="C237" t="s">
        <v>595</v>
      </c>
      <c r="D237" t="s">
        <v>1101</v>
      </c>
      <c r="E237" s="15">
        <v>45383</v>
      </c>
      <c r="F237" s="15">
        <v>45657</v>
      </c>
      <c r="G237" t="s">
        <v>129</v>
      </c>
      <c r="I237" t="s">
        <v>1106</v>
      </c>
    </row>
    <row r="238" spans="1:9">
      <c r="A238" s="29" t="s">
        <v>586</v>
      </c>
      <c r="B238" t="s">
        <v>427</v>
      </c>
      <c r="C238" t="s">
        <v>590</v>
      </c>
      <c r="D238" t="s">
        <v>618</v>
      </c>
      <c r="E238" s="15">
        <v>45840</v>
      </c>
      <c r="F238" s="15">
        <v>45747</v>
      </c>
      <c r="G238" t="s">
        <v>129</v>
      </c>
      <c r="I238" t="s">
        <v>1173</v>
      </c>
    </row>
    <row r="239" spans="1:9">
      <c r="A239" s="29" t="s">
        <v>586</v>
      </c>
      <c r="B239" t="s">
        <v>427</v>
      </c>
      <c r="C239" t="s">
        <v>595</v>
      </c>
      <c r="D239" t="s">
        <v>910</v>
      </c>
      <c r="E239" s="15">
        <v>45840</v>
      </c>
      <c r="F239" s="15">
        <v>45747</v>
      </c>
      <c r="G239" t="s">
        <v>129</v>
      </c>
      <c r="I239" t="s">
        <v>1174</v>
      </c>
    </row>
    <row r="240" spans="1:9">
      <c r="A240" s="29" t="s">
        <v>586</v>
      </c>
      <c r="B240" t="s">
        <v>427</v>
      </c>
      <c r="C240" t="s">
        <v>595</v>
      </c>
      <c r="D240" t="s">
        <v>912</v>
      </c>
      <c r="E240" s="15">
        <v>45840</v>
      </c>
      <c r="F240" s="15">
        <v>45747</v>
      </c>
      <c r="G240" t="s">
        <v>129</v>
      </c>
      <c r="I240" t="s">
        <v>1175</v>
      </c>
    </row>
    <row r="241" spans="1:9">
      <c r="A241" s="29" t="s">
        <v>586</v>
      </c>
      <c r="B241" t="s">
        <v>427</v>
      </c>
      <c r="C241" t="s">
        <v>595</v>
      </c>
      <c r="D241" t="s">
        <v>914</v>
      </c>
      <c r="E241" s="15">
        <v>45840</v>
      </c>
      <c r="F241" s="15">
        <v>45747</v>
      </c>
      <c r="G241" t="s">
        <v>129</v>
      </c>
      <c r="I241" t="s">
        <v>1176</v>
      </c>
    </row>
    <row r="242" spans="1:9">
      <c r="A242" s="29" t="s">
        <v>586</v>
      </c>
      <c r="B242" t="s">
        <v>427</v>
      </c>
      <c r="C242" t="s">
        <v>595</v>
      </c>
      <c r="D242" t="s">
        <v>916</v>
      </c>
      <c r="E242" s="15">
        <v>45840</v>
      </c>
      <c r="F242" s="15">
        <v>45747</v>
      </c>
      <c r="G242" t="s">
        <v>129</v>
      </c>
      <c r="H242" t="s">
        <v>917</v>
      </c>
      <c r="I242" t="s">
        <v>1177</v>
      </c>
    </row>
    <row r="243" spans="1:9">
      <c r="A243" s="29" t="s">
        <v>1180</v>
      </c>
      <c r="B243" t="s">
        <v>1181</v>
      </c>
      <c r="C243" t="s">
        <v>590</v>
      </c>
      <c r="D243" t="s">
        <v>618</v>
      </c>
      <c r="E243" s="15">
        <v>45860</v>
      </c>
      <c r="F243" s="15">
        <v>45838</v>
      </c>
      <c r="G243" t="s">
        <v>129</v>
      </c>
      <c r="I243" t="s">
        <v>1184</v>
      </c>
    </row>
    <row r="244" spans="1:9">
      <c r="A244" s="29" t="s">
        <v>1180</v>
      </c>
      <c r="B244" t="s">
        <v>1182</v>
      </c>
      <c r="C244" t="s">
        <v>590</v>
      </c>
      <c r="D244" t="s">
        <v>618</v>
      </c>
      <c r="E244" s="15">
        <v>45860</v>
      </c>
      <c r="F244" s="15">
        <v>45838</v>
      </c>
      <c r="G244" t="s">
        <v>129</v>
      </c>
      <c r="I244" t="s">
        <v>1183</v>
      </c>
    </row>
    <row r="245" spans="1:9">
      <c r="A245" s="29" t="s">
        <v>586</v>
      </c>
      <c r="B245" t="s">
        <v>503</v>
      </c>
      <c r="C245" t="s">
        <v>590</v>
      </c>
      <c r="D245" t="s">
        <v>618</v>
      </c>
      <c r="E245" s="15">
        <v>45861</v>
      </c>
      <c r="F245" s="15">
        <v>45838</v>
      </c>
      <c r="G245" t="s">
        <v>129</v>
      </c>
      <c r="I245" t="s">
        <v>1234</v>
      </c>
    </row>
    <row r="246" spans="1:9">
      <c r="A246" s="29" t="s">
        <v>586</v>
      </c>
      <c r="B246" t="s">
        <v>193</v>
      </c>
      <c r="C246" t="s">
        <v>590</v>
      </c>
      <c r="D246" t="s">
        <v>618</v>
      </c>
      <c r="E246" s="15">
        <v>45861</v>
      </c>
      <c r="F246" s="15">
        <v>45838</v>
      </c>
      <c r="G246" t="s">
        <v>129</v>
      </c>
      <c r="I246" t="s">
        <v>1187</v>
      </c>
    </row>
    <row r="247" spans="1:9">
      <c r="A247" s="29" t="s">
        <v>586</v>
      </c>
      <c r="B247" t="s">
        <v>193</v>
      </c>
      <c r="C247" t="s">
        <v>595</v>
      </c>
      <c r="D247" t="s">
        <v>1189</v>
      </c>
      <c r="E247" s="15">
        <v>45862</v>
      </c>
      <c r="F247" s="15">
        <v>45838</v>
      </c>
      <c r="G247" t="s">
        <v>129</v>
      </c>
      <c r="I247" t="s">
        <v>1196</v>
      </c>
    </row>
    <row r="248" spans="1:9">
      <c r="A248" s="29" t="s">
        <v>586</v>
      </c>
      <c r="B248" t="s">
        <v>193</v>
      </c>
      <c r="C248" t="s">
        <v>595</v>
      </c>
      <c r="D248" t="s">
        <v>1190</v>
      </c>
      <c r="E248" s="15">
        <v>45862</v>
      </c>
      <c r="F248" s="15">
        <v>45838</v>
      </c>
      <c r="G248" t="s">
        <v>129</v>
      </c>
      <c r="I248" t="s">
        <v>1196</v>
      </c>
    </row>
    <row r="249" spans="1:9">
      <c r="A249" s="29" t="s">
        <v>586</v>
      </c>
      <c r="B249" t="s">
        <v>193</v>
      </c>
      <c r="C249" t="s">
        <v>595</v>
      </c>
      <c r="D249" t="s">
        <v>1191</v>
      </c>
      <c r="E249" s="15">
        <v>45862</v>
      </c>
      <c r="F249" s="15">
        <v>45838</v>
      </c>
      <c r="G249" t="s">
        <v>129</v>
      </c>
      <c r="I249" t="s">
        <v>1197</v>
      </c>
    </row>
    <row r="250" spans="1:9">
      <c r="A250" s="29" t="s">
        <v>586</v>
      </c>
      <c r="B250" t="s">
        <v>193</v>
      </c>
      <c r="C250" t="s">
        <v>595</v>
      </c>
      <c r="D250" t="s">
        <v>1192</v>
      </c>
      <c r="E250" s="15">
        <v>45862</v>
      </c>
      <c r="F250" s="15">
        <v>45838</v>
      </c>
      <c r="G250" t="s">
        <v>129</v>
      </c>
      <c r="H250" t="s">
        <v>1211</v>
      </c>
      <c r="I250" t="s">
        <v>1198</v>
      </c>
    </row>
    <row r="251" spans="1:9">
      <c r="A251" s="29" t="s">
        <v>586</v>
      </c>
      <c r="B251" t="s">
        <v>193</v>
      </c>
      <c r="C251" t="s">
        <v>595</v>
      </c>
      <c r="D251" t="s">
        <v>1193</v>
      </c>
      <c r="E251" s="15">
        <v>45862</v>
      </c>
      <c r="F251" s="15">
        <v>45838</v>
      </c>
      <c r="G251" t="s">
        <v>145</v>
      </c>
      <c r="H251" t="s">
        <v>1220</v>
      </c>
      <c r="I251" t="s">
        <v>1195</v>
      </c>
    </row>
    <row r="252" spans="1:9">
      <c r="A252" s="29" t="s">
        <v>586</v>
      </c>
      <c r="B252" t="s">
        <v>491</v>
      </c>
      <c r="C252" t="s">
        <v>590</v>
      </c>
      <c r="D252" t="s">
        <v>618</v>
      </c>
      <c r="E252" s="15">
        <v>45861</v>
      </c>
      <c r="F252" s="15">
        <v>45838</v>
      </c>
      <c r="G252" t="s">
        <v>129</v>
      </c>
      <c r="I252" t="s">
        <v>1188</v>
      </c>
    </row>
    <row r="253" spans="1:9">
      <c r="A253" s="29" t="s">
        <v>586</v>
      </c>
      <c r="B253" t="s">
        <v>491</v>
      </c>
      <c r="C253" t="s">
        <v>595</v>
      </c>
      <c r="D253" t="s">
        <v>1212</v>
      </c>
      <c r="E253" s="15">
        <v>45861</v>
      </c>
      <c r="F253" s="15">
        <v>45838</v>
      </c>
      <c r="G253" t="s">
        <v>129</v>
      </c>
      <c r="I253" t="s">
        <v>1216</v>
      </c>
    </row>
    <row r="254" spans="1:9">
      <c r="A254" s="29" t="s">
        <v>586</v>
      </c>
      <c r="B254" t="s">
        <v>491</v>
      </c>
      <c r="C254" t="s">
        <v>595</v>
      </c>
      <c r="D254" t="s">
        <v>1213</v>
      </c>
      <c r="E254" s="15">
        <v>45861</v>
      </c>
      <c r="F254" s="15">
        <v>45838</v>
      </c>
      <c r="G254" t="s">
        <v>129</v>
      </c>
      <c r="I254" t="s">
        <v>1216</v>
      </c>
    </row>
    <row r="255" spans="1:9">
      <c r="A255" s="29" t="s">
        <v>586</v>
      </c>
      <c r="B255" t="s">
        <v>491</v>
      </c>
      <c r="C255" t="s">
        <v>595</v>
      </c>
      <c r="D255" t="s">
        <v>1214</v>
      </c>
      <c r="E255" s="15">
        <v>45862</v>
      </c>
      <c r="F255" s="15">
        <v>45838</v>
      </c>
      <c r="G255" t="s">
        <v>129</v>
      </c>
      <c r="H255" t="s">
        <v>1211</v>
      </c>
      <c r="I255" t="s">
        <v>1198</v>
      </c>
    </row>
    <row r="256" spans="1:9">
      <c r="A256" s="29" t="s">
        <v>586</v>
      </c>
      <c r="B256" t="s">
        <v>491</v>
      </c>
      <c r="C256" t="s">
        <v>595</v>
      </c>
      <c r="D256" t="s">
        <v>1215</v>
      </c>
      <c r="E256" s="15">
        <v>45862</v>
      </c>
      <c r="F256" s="15">
        <v>45838</v>
      </c>
      <c r="G256" t="s">
        <v>129</v>
      </c>
      <c r="I256" t="s">
        <v>1217</v>
      </c>
    </row>
    <row r="257" spans="1:9">
      <c r="A257" s="29" t="s">
        <v>1000</v>
      </c>
      <c r="B257" t="s">
        <v>1185</v>
      </c>
      <c r="C257" t="s">
        <v>590</v>
      </c>
      <c r="D257" t="s">
        <v>618</v>
      </c>
      <c r="E257" s="15">
        <v>45861</v>
      </c>
      <c r="F257" s="15">
        <v>45838</v>
      </c>
      <c r="G257" t="s">
        <v>129</v>
      </c>
      <c r="H257" t="s">
        <v>1199</v>
      </c>
      <c r="I257" t="s">
        <v>1186</v>
      </c>
    </row>
    <row r="258" spans="1:9">
      <c r="A258" s="29" t="s">
        <v>1000</v>
      </c>
      <c r="B258" t="s">
        <v>1185</v>
      </c>
      <c r="C258" t="s">
        <v>595</v>
      </c>
      <c r="D258" t="s">
        <v>1200</v>
      </c>
      <c r="E258" s="15">
        <v>45861</v>
      </c>
      <c r="F258" s="15">
        <v>45838</v>
      </c>
      <c r="G258" t="s">
        <v>129</v>
      </c>
      <c r="I258" t="s">
        <v>1208</v>
      </c>
    </row>
    <row r="259" spans="1:9">
      <c r="A259" s="29" t="s">
        <v>1000</v>
      </c>
      <c r="B259" t="s">
        <v>1185</v>
      </c>
      <c r="C259" t="s">
        <v>595</v>
      </c>
      <c r="D259" t="s">
        <v>1201</v>
      </c>
      <c r="E259" s="15">
        <v>45861</v>
      </c>
      <c r="F259" s="15">
        <v>45838</v>
      </c>
      <c r="G259" t="s">
        <v>129</v>
      </c>
      <c r="I259" t="s">
        <v>1235</v>
      </c>
    </row>
    <row r="260" spans="1:9">
      <c r="A260" s="29" t="s">
        <v>1000</v>
      </c>
      <c r="B260" t="s">
        <v>1185</v>
      </c>
      <c r="C260" t="s">
        <v>595</v>
      </c>
      <c r="D260" t="s">
        <v>1202</v>
      </c>
      <c r="E260" s="15">
        <v>45861</v>
      </c>
      <c r="F260" s="15">
        <v>45838</v>
      </c>
      <c r="G260" t="s">
        <v>129</v>
      </c>
      <c r="I260" t="s">
        <v>1209</v>
      </c>
    </row>
    <row r="261" spans="1:9">
      <c r="A261" s="29" t="s">
        <v>1000</v>
      </c>
      <c r="B261" t="s">
        <v>1185</v>
      </c>
      <c r="C261" t="s">
        <v>595</v>
      </c>
      <c r="D261" t="s">
        <v>1203</v>
      </c>
      <c r="E261" s="15">
        <v>45861</v>
      </c>
      <c r="F261" s="15">
        <v>45838</v>
      </c>
      <c r="G261" s="133" t="s">
        <v>145</v>
      </c>
      <c r="H261" t="s">
        <v>1194</v>
      </c>
      <c r="I261" t="s">
        <v>1210</v>
      </c>
    </row>
    <row r="262" spans="1:9">
      <c r="A262" s="29" t="s">
        <v>1000</v>
      </c>
      <c r="B262" t="s">
        <v>1185</v>
      </c>
      <c r="C262" t="s">
        <v>595</v>
      </c>
      <c r="D262" t="s">
        <v>1204</v>
      </c>
      <c r="E262" s="15">
        <v>45861</v>
      </c>
      <c r="F262" s="15">
        <v>45838</v>
      </c>
      <c r="G262" t="s">
        <v>129</v>
      </c>
      <c r="H262" t="s">
        <v>1105</v>
      </c>
    </row>
    <row r="263" spans="1:9">
      <c r="A263" s="29" t="s">
        <v>586</v>
      </c>
      <c r="B263" t="s">
        <v>134</v>
      </c>
      <c r="C263" t="s">
        <v>590</v>
      </c>
      <c r="D263" t="s">
        <v>618</v>
      </c>
      <c r="E263" s="15">
        <v>45866</v>
      </c>
      <c r="F263" s="15">
        <v>45838</v>
      </c>
      <c r="G263" t="s">
        <v>129</v>
      </c>
      <c r="I263" t="s">
        <v>1273</v>
      </c>
    </row>
    <row r="264" spans="1:9">
      <c r="A264" s="29" t="s">
        <v>586</v>
      </c>
      <c r="B264" t="s">
        <v>430</v>
      </c>
      <c r="C264" t="s">
        <v>590</v>
      </c>
      <c r="D264" t="s">
        <v>618</v>
      </c>
      <c r="E264" s="15">
        <v>45866</v>
      </c>
      <c r="F264" s="15">
        <v>45838</v>
      </c>
      <c r="G264" t="s">
        <v>129</v>
      </c>
      <c r="I264" t="s">
        <v>1274</v>
      </c>
    </row>
    <row r="265" spans="1:9">
      <c r="A265" s="29" t="s">
        <v>586</v>
      </c>
      <c r="B265" t="s">
        <v>292</v>
      </c>
      <c r="C265" t="s">
        <v>590</v>
      </c>
      <c r="D265" t="s">
        <v>618</v>
      </c>
      <c r="E265" s="15">
        <v>45867</v>
      </c>
      <c r="F265" s="15">
        <v>45838</v>
      </c>
      <c r="G265" t="s">
        <v>129</v>
      </c>
      <c r="I265" t="s">
        <v>1275</v>
      </c>
    </row>
    <row r="266" spans="1:9">
      <c r="A266" s="29" t="s">
        <v>586</v>
      </c>
      <c r="B266" t="s">
        <v>1276</v>
      </c>
      <c r="C266" t="s">
        <v>590</v>
      </c>
      <c r="D266" t="s">
        <v>618</v>
      </c>
      <c r="E266" s="15">
        <v>45887</v>
      </c>
      <c r="F266" s="15">
        <v>45838</v>
      </c>
      <c r="G266" t="s">
        <v>129</v>
      </c>
      <c r="I266" t="s">
        <v>1277</v>
      </c>
    </row>
    <row r="267" spans="1:9">
      <c r="A267" s="29" t="s">
        <v>1000</v>
      </c>
      <c r="B267" t="s">
        <v>401</v>
      </c>
      <c r="C267" t="s">
        <v>590</v>
      </c>
      <c r="D267" t="s">
        <v>618</v>
      </c>
      <c r="E267" s="15">
        <v>45888</v>
      </c>
      <c r="F267" s="15">
        <v>45838</v>
      </c>
      <c r="G267" t="s">
        <v>129</v>
      </c>
      <c r="I267" t="s">
        <v>1278</v>
      </c>
    </row>
    <row r="268" spans="1:9">
      <c r="A268" s="29" t="s">
        <v>1000</v>
      </c>
      <c r="B268" t="s">
        <v>415</v>
      </c>
      <c r="C268" t="s">
        <v>590</v>
      </c>
      <c r="D268" t="s">
        <v>618</v>
      </c>
      <c r="E268" s="15">
        <v>45891</v>
      </c>
      <c r="F268" s="15">
        <v>45838</v>
      </c>
      <c r="G268" t="s">
        <v>129</v>
      </c>
      <c r="I268" t="s">
        <v>1279</v>
      </c>
    </row>
    <row r="269" spans="1:9">
      <c r="A269" s="29" t="s">
        <v>586</v>
      </c>
      <c r="B269" t="s">
        <v>134</v>
      </c>
      <c r="C269" t="s">
        <v>590</v>
      </c>
      <c r="D269" t="s">
        <v>618</v>
      </c>
      <c r="E269" s="15">
        <v>45911</v>
      </c>
      <c r="F269" s="15">
        <v>45838</v>
      </c>
      <c r="G269" t="s">
        <v>129</v>
      </c>
      <c r="I269" t="s">
        <v>1283</v>
      </c>
    </row>
    <row r="270" spans="1:9">
      <c r="A270" s="29" t="s">
        <v>586</v>
      </c>
      <c r="B270" t="s">
        <v>430</v>
      </c>
      <c r="C270" t="s">
        <v>590</v>
      </c>
      <c r="D270" t="s">
        <v>618</v>
      </c>
      <c r="E270" s="15">
        <v>45911</v>
      </c>
      <c r="F270" s="15">
        <v>45838</v>
      </c>
      <c r="G270" t="s">
        <v>129</v>
      </c>
      <c r="I270" t="s">
        <v>1274</v>
      </c>
    </row>
    <row r="271" spans="1:9">
      <c r="A271" s="29" t="s">
        <v>586</v>
      </c>
      <c r="B271" t="s">
        <v>292</v>
      </c>
      <c r="C271" t="s">
        <v>590</v>
      </c>
      <c r="D271" t="s">
        <v>618</v>
      </c>
      <c r="E271" s="15">
        <v>45911</v>
      </c>
      <c r="F271" s="15">
        <v>45838</v>
      </c>
      <c r="G271" t="s">
        <v>129</v>
      </c>
      <c r="I271" t="s">
        <v>1284</v>
      </c>
    </row>
    <row r="272" spans="1:9">
      <c r="A272" s="29" t="s">
        <v>586</v>
      </c>
      <c r="B272" t="s">
        <v>1266</v>
      </c>
      <c r="C272" t="s">
        <v>590</v>
      </c>
      <c r="D272" t="s">
        <v>618</v>
      </c>
      <c r="E272" s="15">
        <v>45915</v>
      </c>
      <c r="F272" s="15">
        <v>45838</v>
      </c>
      <c r="G272" t="s">
        <v>129</v>
      </c>
      <c r="I272" t="s">
        <v>1288</v>
      </c>
    </row>
    <row r="273" spans="1:9">
      <c r="A273" s="29" t="s">
        <v>586</v>
      </c>
      <c r="B273" t="s">
        <v>299</v>
      </c>
      <c r="C273" t="s">
        <v>590</v>
      </c>
      <c r="D273" t="s">
        <v>618</v>
      </c>
      <c r="E273" s="15">
        <v>45915</v>
      </c>
      <c r="F273" s="15">
        <v>45838</v>
      </c>
      <c r="G273" t="s">
        <v>129</v>
      </c>
      <c r="I273" t="s">
        <v>1289</v>
      </c>
    </row>
    <row r="274" spans="1:9">
      <c r="A274" s="29" t="s">
        <v>586</v>
      </c>
      <c r="B274" t="s">
        <v>1267</v>
      </c>
      <c r="C274" t="s">
        <v>590</v>
      </c>
      <c r="D274" t="s">
        <v>618</v>
      </c>
      <c r="E274" s="15">
        <v>45915</v>
      </c>
      <c r="F274" s="15">
        <v>45838</v>
      </c>
      <c r="G274" t="s">
        <v>129</v>
      </c>
      <c r="I274" t="s">
        <v>1290</v>
      </c>
    </row>
    <row r="275" spans="1:9">
      <c r="A275" s="29" t="s">
        <v>1000</v>
      </c>
      <c r="B275" t="s">
        <v>1269</v>
      </c>
      <c r="C275" t="s">
        <v>590</v>
      </c>
      <c r="D275" t="s">
        <v>618</v>
      </c>
      <c r="E275" s="15">
        <v>45915</v>
      </c>
      <c r="F275" s="15">
        <v>45838</v>
      </c>
      <c r="G275" t="s">
        <v>129</v>
      </c>
      <c r="I275" t="s">
        <v>1291</v>
      </c>
    </row>
    <row r="276" spans="1:9">
      <c r="A276" s="29" t="s">
        <v>586</v>
      </c>
      <c r="B276" t="s">
        <v>561</v>
      </c>
      <c r="C276" t="s">
        <v>590</v>
      </c>
      <c r="D276" t="s">
        <v>618</v>
      </c>
      <c r="E276" s="15">
        <v>45923</v>
      </c>
      <c r="F276" s="15">
        <v>45838</v>
      </c>
      <c r="G276" t="s">
        <v>129</v>
      </c>
      <c r="I276" t="s">
        <v>1298</v>
      </c>
    </row>
    <row r="277" spans="1:9">
      <c r="A277" s="29" t="s">
        <v>586</v>
      </c>
      <c r="B277" t="s">
        <v>1266</v>
      </c>
      <c r="C277" t="s">
        <v>590</v>
      </c>
      <c r="D277" t="s">
        <v>618</v>
      </c>
      <c r="E277" s="15">
        <v>45930</v>
      </c>
      <c r="F277" s="15">
        <v>45838</v>
      </c>
      <c r="G277" t="s">
        <v>129</v>
      </c>
      <c r="H277" t="s">
        <v>1300</v>
      </c>
      <c r="I277" t="s">
        <v>1299</v>
      </c>
    </row>
    <row r="278" spans="1:9">
      <c r="A278" s="29" t="s">
        <v>586</v>
      </c>
      <c r="B278" t="s">
        <v>357</v>
      </c>
      <c r="C278" t="s">
        <v>590</v>
      </c>
      <c r="D278" t="s">
        <v>618</v>
      </c>
      <c r="E278" s="15">
        <v>45947</v>
      </c>
      <c r="F278" s="15">
        <v>45838</v>
      </c>
      <c r="G278" t="s">
        <v>129</v>
      </c>
      <c r="H278" t="s">
        <v>1307</v>
      </c>
      <c r="I278" t="s">
        <v>1306</v>
      </c>
    </row>
  </sheetData>
  <autoFilter ref="A1:I276" xr:uid="{00000000-0009-0000-0000-000003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DDDB5-79F6-4132-9942-378764F443DD}">
  <dimension ref="A1:I69"/>
  <sheetViews>
    <sheetView showGridLines="0" topLeftCell="A15" zoomScale="87" zoomScaleNormal="80" workbookViewId="0">
      <selection activeCell="B25" sqref="B25"/>
    </sheetView>
  </sheetViews>
  <sheetFormatPr defaultColWidth="8.875" defaultRowHeight="16.5"/>
  <cols>
    <col min="1" max="1" width="9.5" style="32" bestFit="1" customWidth="1"/>
    <col min="2" max="3" width="31.5" style="24" customWidth="1"/>
    <col min="4" max="4" width="46.375" style="24" bestFit="1" customWidth="1"/>
    <col min="5" max="5" width="50.625" style="32" bestFit="1" customWidth="1"/>
    <col min="6" max="6" width="13.625" style="32" customWidth="1"/>
    <col min="7" max="7" width="15.125" style="32" customWidth="1"/>
    <col min="8" max="8" width="31.5" style="32" bestFit="1" customWidth="1"/>
    <col min="9" max="9" width="23.625" style="24" bestFit="1" customWidth="1"/>
    <col min="10" max="16384" width="8.875" style="24"/>
  </cols>
  <sheetData>
    <row r="1" spans="1:9">
      <c r="A1" s="30" t="s">
        <v>578</v>
      </c>
      <c r="B1" s="28" t="s">
        <v>579</v>
      </c>
      <c r="C1" s="28" t="s">
        <v>112</v>
      </c>
      <c r="D1" s="28" t="s">
        <v>947</v>
      </c>
      <c r="E1" s="30" t="s">
        <v>948</v>
      </c>
      <c r="F1" s="30" t="s">
        <v>949</v>
      </c>
      <c r="G1" s="30" t="s">
        <v>950</v>
      </c>
      <c r="H1" s="30" t="s">
        <v>951</v>
      </c>
      <c r="I1" s="30" t="s">
        <v>952</v>
      </c>
    </row>
    <row r="2" spans="1:9">
      <c r="A2" s="31" t="s">
        <v>586</v>
      </c>
      <c r="B2" s="25" t="s">
        <v>44</v>
      </c>
      <c r="C2" s="25" t="s">
        <v>953</v>
      </c>
      <c r="D2" s="25" t="s">
        <v>954</v>
      </c>
      <c r="E2" s="25" t="s">
        <v>955</v>
      </c>
      <c r="F2" s="31" t="s">
        <v>32</v>
      </c>
      <c r="G2" s="31" t="s">
        <v>32</v>
      </c>
      <c r="H2" s="31" t="s">
        <v>956</v>
      </c>
      <c r="I2" s="31" t="s">
        <v>957</v>
      </c>
    </row>
    <row r="3" spans="1:9">
      <c r="A3" s="31" t="s">
        <v>586</v>
      </c>
      <c r="B3" s="25" t="s">
        <v>45</v>
      </c>
      <c r="C3" s="25" t="s">
        <v>958</v>
      </c>
      <c r="D3" s="25" t="s">
        <v>954</v>
      </c>
      <c r="E3" s="25" t="s">
        <v>955</v>
      </c>
      <c r="F3" s="31" t="s">
        <v>32</v>
      </c>
      <c r="G3" s="31" t="s">
        <v>32</v>
      </c>
      <c r="H3" s="31" t="s">
        <v>956</v>
      </c>
      <c r="I3" s="31" t="s">
        <v>957</v>
      </c>
    </row>
    <row r="4" spans="1:9">
      <c r="A4" s="31" t="s">
        <v>586</v>
      </c>
      <c r="B4" s="25" t="s">
        <v>46</v>
      </c>
      <c r="C4" s="25" t="s">
        <v>959</v>
      </c>
      <c r="D4" s="25" t="s">
        <v>954</v>
      </c>
      <c r="E4" s="25" t="s">
        <v>955</v>
      </c>
      <c r="F4" s="31" t="s">
        <v>32</v>
      </c>
      <c r="G4" s="31" t="s">
        <v>32</v>
      </c>
      <c r="H4" s="31" t="s">
        <v>956</v>
      </c>
      <c r="I4" s="31" t="s">
        <v>957</v>
      </c>
    </row>
    <row r="5" spans="1:9" ht="33">
      <c r="A5" s="31" t="s">
        <v>586</v>
      </c>
      <c r="B5" s="25" t="s">
        <v>287</v>
      </c>
      <c r="C5" s="25" t="s">
        <v>960</v>
      </c>
      <c r="D5" s="25" t="s">
        <v>961</v>
      </c>
      <c r="E5" s="25" t="s">
        <v>962</v>
      </c>
      <c r="F5" s="31" t="s">
        <v>32</v>
      </c>
      <c r="G5" s="31" t="s">
        <v>32</v>
      </c>
      <c r="H5" s="31" t="s">
        <v>956</v>
      </c>
      <c r="I5" s="31" t="s">
        <v>957</v>
      </c>
    </row>
    <row r="6" spans="1:9">
      <c r="A6" s="31" t="s">
        <v>586</v>
      </c>
      <c r="B6" s="25" t="s">
        <v>47</v>
      </c>
      <c r="C6" s="25" t="s">
        <v>959</v>
      </c>
      <c r="D6" s="25" t="s">
        <v>954</v>
      </c>
      <c r="E6" s="25" t="s">
        <v>955</v>
      </c>
      <c r="F6" s="31" t="s">
        <v>32</v>
      </c>
      <c r="G6" s="31" t="s">
        <v>32</v>
      </c>
      <c r="H6" s="31" t="s">
        <v>956</v>
      </c>
      <c r="I6" s="31" t="s">
        <v>957</v>
      </c>
    </row>
    <row r="7" spans="1:9" ht="66">
      <c r="A7" s="31" t="s">
        <v>586</v>
      </c>
      <c r="B7" s="25" t="s">
        <v>48</v>
      </c>
      <c r="C7" s="25" t="s">
        <v>963</v>
      </c>
      <c r="D7" s="25" t="s">
        <v>964</v>
      </c>
      <c r="E7" s="25" t="s">
        <v>965</v>
      </c>
      <c r="F7" s="31" t="s">
        <v>32</v>
      </c>
      <c r="G7" s="31" t="s">
        <v>32</v>
      </c>
      <c r="H7" s="31" t="s">
        <v>956</v>
      </c>
      <c r="I7" s="31" t="s">
        <v>957</v>
      </c>
    </row>
    <row r="8" spans="1:9" ht="66">
      <c r="A8" s="31" t="s">
        <v>586</v>
      </c>
      <c r="B8" s="25" t="s">
        <v>49</v>
      </c>
      <c r="C8" s="25" t="s">
        <v>966</v>
      </c>
      <c r="D8" s="25" t="s">
        <v>964</v>
      </c>
      <c r="E8" s="25" t="s">
        <v>965</v>
      </c>
      <c r="F8" s="31" t="s">
        <v>32</v>
      </c>
      <c r="G8" s="31" t="s">
        <v>32</v>
      </c>
      <c r="H8" s="31" t="s">
        <v>956</v>
      </c>
      <c r="I8" s="31" t="s">
        <v>957</v>
      </c>
    </row>
    <row r="9" spans="1:9" ht="66">
      <c r="A9" s="31" t="s">
        <v>586</v>
      </c>
      <c r="B9" s="25" t="s">
        <v>50</v>
      </c>
      <c r="C9" s="25" t="s">
        <v>967</v>
      </c>
      <c r="D9" s="25" t="s">
        <v>964</v>
      </c>
      <c r="E9" s="25" t="s">
        <v>965</v>
      </c>
      <c r="F9" s="31" t="s">
        <v>32</v>
      </c>
      <c r="G9" s="31" t="s">
        <v>32</v>
      </c>
      <c r="H9" s="31" t="s">
        <v>956</v>
      </c>
      <c r="I9" s="31" t="s">
        <v>957</v>
      </c>
    </row>
    <row r="10" spans="1:9">
      <c r="A10" s="31" t="s">
        <v>586</v>
      </c>
      <c r="B10" s="25" t="s">
        <v>51</v>
      </c>
      <c r="C10" s="25" t="s">
        <v>968</v>
      </c>
      <c r="D10" s="25" t="s">
        <v>954</v>
      </c>
      <c r="E10" s="25" t="s">
        <v>955</v>
      </c>
      <c r="F10" s="31" t="s">
        <v>32</v>
      </c>
      <c r="G10" s="31" t="s">
        <v>32</v>
      </c>
      <c r="H10" s="31" t="s">
        <v>956</v>
      </c>
      <c r="I10" s="31" t="s">
        <v>957</v>
      </c>
    </row>
    <row r="11" spans="1:9">
      <c r="A11" s="31" t="s">
        <v>586</v>
      </c>
      <c r="B11" s="25" t="s">
        <v>52</v>
      </c>
      <c r="C11" s="25" t="s">
        <v>969</v>
      </c>
      <c r="D11" s="25" t="s">
        <v>954</v>
      </c>
      <c r="E11" s="25" t="s">
        <v>955</v>
      </c>
      <c r="F11" s="31" t="s">
        <v>32</v>
      </c>
      <c r="G11" s="31" t="s">
        <v>32</v>
      </c>
      <c r="H11" s="31" t="s">
        <v>956</v>
      </c>
      <c r="I11" s="31" t="s">
        <v>957</v>
      </c>
    </row>
    <row r="12" spans="1:9">
      <c r="A12" s="31" t="s">
        <v>586</v>
      </c>
      <c r="B12" s="25" t="s">
        <v>53</v>
      </c>
      <c r="C12" s="25" t="s">
        <v>970</v>
      </c>
      <c r="D12" s="25" t="s">
        <v>954</v>
      </c>
      <c r="E12" s="25" t="s">
        <v>955</v>
      </c>
      <c r="F12" s="31" t="s">
        <v>32</v>
      </c>
      <c r="G12" s="31" t="s">
        <v>32</v>
      </c>
      <c r="H12" s="31" t="s">
        <v>956</v>
      </c>
      <c r="I12" s="31" t="s">
        <v>957</v>
      </c>
    </row>
    <row r="13" spans="1:9">
      <c r="A13" s="31" t="s">
        <v>586</v>
      </c>
      <c r="B13" s="25" t="s">
        <v>54</v>
      </c>
      <c r="C13" s="25" t="s">
        <v>971</v>
      </c>
      <c r="D13" s="25" t="s">
        <v>954</v>
      </c>
      <c r="E13" s="25" t="s">
        <v>955</v>
      </c>
      <c r="F13" s="31" t="s">
        <v>32</v>
      </c>
      <c r="G13" s="31" t="s">
        <v>32</v>
      </c>
      <c r="H13" s="31" t="s">
        <v>956</v>
      </c>
      <c r="I13" s="31" t="s">
        <v>957</v>
      </c>
    </row>
    <row r="14" spans="1:9">
      <c r="A14" s="31" t="s">
        <v>586</v>
      </c>
      <c r="B14" s="25" t="s">
        <v>300</v>
      </c>
      <c r="C14" s="25"/>
      <c r="D14" s="25" t="s">
        <v>972</v>
      </c>
      <c r="E14" s="25" t="s">
        <v>973</v>
      </c>
      <c r="F14" s="31" t="s">
        <v>32</v>
      </c>
      <c r="G14" s="31" t="s">
        <v>29</v>
      </c>
      <c r="H14" s="31"/>
      <c r="I14" s="31"/>
    </row>
    <row r="15" spans="1:9" ht="49.5">
      <c r="A15" s="31" t="s">
        <v>586</v>
      </c>
      <c r="B15" s="25" t="s">
        <v>301</v>
      </c>
      <c r="C15" s="25"/>
      <c r="D15" s="25" t="s">
        <v>974</v>
      </c>
      <c r="E15" s="25" t="s">
        <v>975</v>
      </c>
      <c r="F15" s="31" t="s">
        <v>32</v>
      </c>
      <c r="G15" s="31" t="s">
        <v>29</v>
      </c>
      <c r="H15" s="31"/>
      <c r="I15" s="31"/>
    </row>
    <row r="16" spans="1:9">
      <c r="A16" s="31" t="s">
        <v>586</v>
      </c>
      <c r="B16" s="25" t="s">
        <v>355</v>
      </c>
      <c r="C16" s="25"/>
      <c r="D16" s="25" t="s">
        <v>972</v>
      </c>
      <c r="E16" s="25" t="s">
        <v>976</v>
      </c>
      <c r="F16" s="31" t="s">
        <v>32</v>
      </c>
      <c r="G16" s="31" t="s">
        <v>29</v>
      </c>
      <c r="H16" s="31"/>
      <c r="I16" s="31"/>
    </row>
    <row r="17" spans="1:9">
      <c r="A17" s="31" t="s">
        <v>586</v>
      </c>
      <c r="B17" s="25" t="s">
        <v>357</v>
      </c>
      <c r="C17" s="25"/>
      <c r="D17" s="25" t="s">
        <v>977</v>
      </c>
      <c r="E17" s="25" t="s">
        <v>978</v>
      </c>
      <c r="F17" s="31" t="s">
        <v>32</v>
      </c>
      <c r="G17" s="31" t="s">
        <v>29</v>
      </c>
      <c r="H17" s="31"/>
      <c r="I17" s="31"/>
    </row>
    <row r="18" spans="1:9">
      <c r="A18" s="31" t="s">
        <v>586</v>
      </c>
      <c r="B18" s="25" t="s">
        <v>358</v>
      </c>
      <c r="C18" s="25"/>
      <c r="D18" s="25" t="s">
        <v>972</v>
      </c>
      <c r="E18" s="25" t="s">
        <v>979</v>
      </c>
      <c r="F18" s="31" t="s">
        <v>32</v>
      </c>
      <c r="G18" s="31" t="s">
        <v>29</v>
      </c>
      <c r="H18" s="31"/>
      <c r="I18" s="31"/>
    </row>
    <row r="19" spans="1:9">
      <c r="A19" s="31" t="s">
        <v>586</v>
      </c>
      <c r="B19" s="25" t="s">
        <v>359</v>
      </c>
      <c r="C19" s="25"/>
      <c r="D19" s="25" t="s">
        <v>980</v>
      </c>
      <c r="E19" s="25" t="s">
        <v>981</v>
      </c>
      <c r="F19" s="31" t="s">
        <v>32</v>
      </c>
      <c r="G19" s="31" t="s">
        <v>29</v>
      </c>
      <c r="H19" s="31"/>
      <c r="I19" s="31"/>
    </row>
    <row r="20" spans="1:9" ht="66">
      <c r="A20" s="31" t="s">
        <v>586</v>
      </c>
      <c r="B20" s="25" t="s">
        <v>360</v>
      </c>
      <c r="C20" s="25"/>
      <c r="D20" s="25" t="s">
        <v>982</v>
      </c>
      <c r="E20" s="25" t="s">
        <v>983</v>
      </c>
      <c r="F20" s="31" t="s">
        <v>32</v>
      </c>
      <c r="G20" s="31" t="s">
        <v>29</v>
      </c>
      <c r="H20" s="31"/>
      <c r="I20" s="31"/>
    </row>
    <row r="21" spans="1:9" ht="33">
      <c r="A21" s="31" t="s">
        <v>586</v>
      </c>
      <c r="B21" s="26" t="s">
        <v>377</v>
      </c>
      <c r="C21" s="26"/>
      <c r="D21" s="26" t="s">
        <v>984</v>
      </c>
      <c r="E21" s="26" t="s">
        <v>985</v>
      </c>
      <c r="F21" s="31" t="s">
        <v>32</v>
      </c>
      <c r="G21" s="31" t="s">
        <v>29</v>
      </c>
      <c r="H21" s="31"/>
      <c r="I21" s="31"/>
    </row>
    <row r="22" spans="1:9" ht="33">
      <c r="A22" s="31" t="s">
        <v>586</v>
      </c>
      <c r="B22" s="25" t="s">
        <v>393</v>
      </c>
      <c r="C22" s="25" t="s">
        <v>986</v>
      </c>
      <c r="D22" s="25" t="s">
        <v>987</v>
      </c>
      <c r="E22" s="25" t="s">
        <v>988</v>
      </c>
      <c r="F22" s="31" t="s">
        <v>32</v>
      </c>
      <c r="G22" s="31" t="s">
        <v>32</v>
      </c>
      <c r="H22" s="31" t="s">
        <v>989</v>
      </c>
      <c r="I22" s="31"/>
    </row>
    <row r="23" spans="1:9">
      <c r="A23" s="31" t="s">
        <v>586</v>
      </c>
      <c r="B23" s="25" t="s">
        <v>439</v>
      </c>
      <c r="C23" s="25"/>
      <c r="D23" s="25" t="s">
        <v>972</v>
      </c>
      <c r="E23" s="25" t="s">
        <v>990</v>
      </c>
      <c r="F23" s="31" t="s">
        <v>32</v>
      </c>
      <c r="G23" s="31" t="s">
        <v>29</v>
      </c>
      <c r="H23" s="31"/>
      <c r="I23" s="31"/>
    </row>
    <row r="24" spans="1:9" ht="33">
      <c r="A24" s="31" t="s">
        <v>586</v>
      </c>
      <c r="B24" s="25" t="s">
        <v>440</v>
      </c>
      <c r="C24" s="25"/>
      <c r="D24" s="25" t="s">
        <v>991</v>
      </c>
      <c r="E24" s="25" t="s">
        <v>992</v>
      </c>
      <c r="F24" s="31" t="s">
        <v>32</v>
      </c>
      <c r="G24" s="31" t="s">
        <v>29</v>
      </c>
      <c r="H24" s="31"/>
      <c r="I24" s="31"/>
    </row>
    <row r="25" spans="1:9" ht="33">
      <c r="A25" s="31" t="s">
        <v>586</v>
      </c>
      <c r="B25" s="25" t="s">
        <v>442</v>
      </c>
      <c r="C25" s="25"/>
      <c r="D25" s="25" t="s">
        <v>993</v>
      </c>
      <c r="E25" s="25" t="s">
        <v>994</v>
      </c>
      <c r="F25" s="31" t="s">
        <v>32</v>
      </c>
      <c r="G25" s="31" t="s">
        <v>29</v>
      </c>
      <c r="H25" s="31"/>
      <c r="I25" s="31"/>
    </row>
    <row r="26" spans="1:9" ht="49.5">
      <c r="A26" s="31" t="s">
        <v>586</v>
      </c>
      <c r="B26" s="25" t="s">
        <v>443</v>
      </c>
      <c r="C26" s="25"/>
      <c r="D26" s="25" t="s">
        <v>995</v>
      </c>
      <c r="E26" s="25" t="s">
        <v>996</v>
      </c>
      <c r="F26" s="31" t="s">
        <v>32</v>
      </c>
      <c r="G26" s="31" t="s">
        <v>29</v>
      </c>
      <c r="H26" s="31"/>
      <c r="I26" s="31"/>
    </row>
    <row r="27" spans="1:9">
      <c r="A27" s="31" t="s">
        <v>586</v>
      </c>
      <c r="B27" s="25" t="s">
        <v>444</v>
      </c>
      <c r="C27" s="25"/>
      <c r="D27" s="25" t="s">
        <v>972</v>
      </c>
      <c r="E27" s="25" t="s">
        <v>997</v>
      </c>
      <c r="F27" s="31" t="s">
        <v>32</v>
      </c>
      <c r="G27" s="31" t="s">
        <v>29</v>
      </c>
      <c r="H27" s="31"/>
      <c r="I27" s="31"/>
    </row>
    <row r="28" spans="1:9" ht="33">
      <c r="A28" s="31" t="s">
        <v>586</v>
      </c>
      <c r="B28" s="25" t="s">
        <v>445</v>
      </c>
      <c r="C28" s="25"/>
      <c r="D28" s="25" t="s">
        <v>991</v>
      </c>
      <c r="E28" s="25" t="s">
        <v>998</v>
      </c>
      <c r="F28" s="31" t="s">
        <v>32</v>
      </c>
      <c r="G28" s="31" t="s">
        <v>29</v>
      </c>
      <c r="H28" s="31"/>
      <c r="I28" s="31"/>
    </row>
    <row r="29" spans="1:9">
      <c r="A29" s="31" t="s">
        <v>586</v>
      </c>
      <c r="B29" s="25" t="s">
        <v>270</v>
      </c>
      <c r="C29" s="25"/>
      <c r="D29" s="25" t="s">
        <v>987</v>
      </c>
      <c r="E29" s="25" t="s">
        <v>999</v>
      </c>
      <c r="F29" s="31" t="s">
        <v>32</v>
      </c>
      <c r="G29" s="31" t="s">
        <v>29</v>
      </c>
      <c r="H29" s="31"/>
      <c r="I29" s="31"/>
    </row>
    <row r="30" spans="1:9" ht="33">
      <c r="A30" s="31" t="s">
        <v>1000</v>
      </c>
      <c r="B30" s="27" t="s">
        <v>440</v>
      </c>
      <c r="C30" s="27"/>
      <c r="D30" s="27" t="s">
        <v>1001</v>
      </c>
      <c r="E30" s="27" t="s">
        <v>1002</v>
      </c>
      <c r="F30" s="31" t="s">
        <v>32</v>
      </c>
      <c r="G30" s="31" t="s">
        <v>29</v>
      </c>
      <c r="H30" s="31"/>
      <c r="I30" s="31"/>
    </row>
    <row r="31" spans="1:9" ht="33">
      <c r="A31" s="31" t="s">
        <v>1000</v>
      </c>
      <c r="B31" s="27" t="s">
        <v>442</v>
      </c>
      <c r="C31" s="27"/>
      <c r="D31" s="27" t="s">
        <v>1003</v>
      </c>
      <c r="E31" s="27" t="s">
        <v>1004</v>
      </c>
      <c r="F31" s="31" t="s">
        <v>32</v>
      </c>
      <c r="G31" s="31" t="s">
        <v>29</v>
      </c>
      <c r="H31" s="31"/>
      <c r="I31" s="31"/>
    </row>
    <row r="32" spans="1:9" ht="49.5">
      <c r="A32" s="31" t="s">
        <v>614</v>
      </c>
      <c r="B32" s="25" t="s">
        <v>350</v>
      </c>
      <c r="C32" s="25"/>
      <c r="D32" s="25" t="s">
        <v>1005</v>
      </c>
      <c r="E32" s="25" t="s">
        <v>1006</v>
      </c>
      <c r="F32" s="31" t="s">
        <v>32</v>
      </c>
      <c r="G32" s="31" t="s">
        <v>29</v>
      </c>
      <c r="H32" s="31"/>
      <c r="I32" s="31"/>
    </row>
    <row r="33" spans="1:9" ht="33">
      <c r="A33" s="31" t="s">
        <v>127</v>
      </c>
      <c r="B33" s="25" t="s">
        <v>128</v>
      </c>
      <c r="C33" s="111" t="s">
        <v>1007</v>
      </c>
      <c r="D33" s="25" t="s">
        <v>987</v>
      </c>
      <c r="E33" s="25" t="s">
        <v>1008</v>
      </c>
      <c r="F33" s="31" t="s">
        <v>29</v>
      </c>
      <c r="G33" s="31" t="s">
        <v>32</v>
      </c>
      <c r="H33" s="31" t="s">
        <v>1009</v>
      </c>
      <c r="I33" s="31" t="s">
        <v>950</v>
      </c>
    </row>
    <row r="34" spans="1:9" ht="33">
      <c r="A34" s="31" t="s">
        <v>127</v>
      </c>
      <c r="B34" s="25" t="s">
        <v>133</v>
      </c>
      <c r="C34" s="25" t="s">
        <v>1010</v>
      </c>
      <c r="D34" s="25" t="s">
        <v>1011</v>
      </c>
      <c r="E34" s="25" t="s">
        <v>1012</v>
      </c>
      <c r="F34" s="31" t="s">
        <v>29</v>
      </c>
      <c r="G34" s="31" t="s">
        <v>32</v>
      </c>
      <c r="H34" s="31" t="s">
        <v>1009</v>
      </c>
      <c r="I34" s="31" t="s">
        <v>950</v>
      </c>
    </row>
    <row r="35" spans="1:9" ht="33">
      <c r="A35" s="31" t="s">
        <v>127</v>
      </c>
      <c r="B35" s="25" t="s">
        <v>134</v>
      </c>
      <c r="C35" s="25" t="s">
        <v>1013</v>
      </c>
      <c r="D35" s="25" t="s">
        <v>1011</v>
      </c>
      <c r="E35" s="25" t="s">
        <v>1012</v>
      </c>
      <c r="F35" s="31" t="s">
        <v>29</v>
      </c>
      <c r="G35" s="31" t="s">
        <v>32</v>
      </c>
      <c r="H35" s="31" t="s">
        <v>1009</v>
      </c>
      <c r="I35" s="31" t="s">
        <v>950</v>
      </c>
    </row>
    <row r="36" spans="1:9" ht="33">
      <c r="A36" s="31" t="s">
        <v>127</v>
      </c>
      <c r="B36" s="25" t="s">
        <v>137</v>
      </c>
      <c r="C36" s="25" t="s">
        <v>1014</v>
      </c>
      <c r="D36" s="25" t="s">
        <v>1011</v>
      </c>
      <c r="E36" s="25" t="s">
        <v>1012</v>
      </c>
      <c r="F36" s="31" t="s">
        <v>29</v>
      </c>
      <c r="G36" s="31" t="s">
        <v>32</v>
      </c>
      <c r="H36" s="31" t="s">
        <v>1009</v>
      </c>
      <c r="I36" s="31" t="s">
        <v>950</v>
      </c>
    </row>
    <row r="37" spans="1:9" ht="33">
      <c r="A37" s="31" t="s">
        <v>127</v>
      </c>
      <c r="B37" s="25" t="s">
        <v>138</v>
      </c>
      <c r="C37" s="25" t="s">
        <v>1015</v>
      </c>
      <c r="D37" s="25" t="s">
        <v>1011</v>
      </c>
      <c r="E37" s="25" t="s">
        <v>1012</v>
      </c>
      <c r="F37" s="31" t="s">
        <v>29</v>
      </c>
      <c r="G37" s="31" t="s">
        <v>32</v>
      </c>
      <c r="H37" s="31" t="s">
        <v>1009</v>
      </c>
      <c r="I37" s="31" t="s">
        <v>950</v>
      </c>
    </row>
    <row r="38" spans="1:9" ht="33">
      <c r="A38" s="31" t="s">
        <v>127</v>
      </c>
      <c r="B38" s="25" t="s">
        <v>524</v>
      </c>
      <c r="C38" s="25" t="s">
        <v>1016</v>
      </c>
      <c r="D38" s="25" t="s">
        <v>1011</v>
      </c>
      <c r="E38" s="25" t="s">
        <v>1012</v>
      </c>
      <c r="F38" s="31" t="s">
        <v>29</v>
      </c>
      <c r="G38" s="31" t="s">
        <v>32</v>
      </c>
      <c r="H38" s="31" t="s">
        <v>1009</v>
      </c>
      <c r="I38" s="31" t="s">
        <v>950</v>
      </c>
    </row>
    <row r="39" spans="1:9" ht="49.5">
      <c r="A39" s="31" t="s">
        <v>127</v>
      </c>
      <c r="B39" s="25" t="s">
        <v>160</v>
      </c>
      <c r="C39" s="25" t="s">
        <v>1017</v>
      </c>
      <c r="D39" s="25" t="s">
        <v>1018</v>
      </c>
      <c r="E39" s="25" t="s">
        <v>1019</v>
      </c>
      <c r="F39" s="31" t="s">
        <v>29</v>
      </c>
      <c r="G39" s="31" t="s">
        <v>32</v>
      </c>
      <c r="H39" s="31" t="s">
        <v>1009</v>
      </c>
      <c r="I39" s="31" t="s">
        <v>950</v>
      </c>
    </row>
    <row r="40" spans="1:9" ht="49.5">
      <c r="A40" s="31" t="s">
        <v>127</v>
      </c>
      <c r="B40" s="25" t="s">
        <v>161</v>
      </c>
      <c r="C40" s="25" t="s">
        <v>1020</v>
      </c>
      <c r="D40" s="25" t="s">
        <v>1018</v>
      </c>
      <c r="E40" s="25" t="s">
        <v>1019</v>
      </c>
      <c r="F40" s="31" t="s">
        <v>29</v>
      </c>
      <c r="G40" s="31" t="s">
        <v>32</v>
      </c>
      <c r="H40" s="31" t="s">
        <v>1009</v>
      </c>
      <c r="I40" s="31" t="s">
        <v>950</v>
      </c>
    </row>
    <row r="42" spans="1:9">
      <c r="A42" s="31" t="s">
        <v>127</v>
      </c>
      <c r="B42" s="25" t="s">
        <v>199</v>
      </c>
      <c r="C42" s="25" t="s">
        <v>1021</v>
      </c>
      <c r="D42" s="25" t="s">
        <v>954</v>
      </c>
      <c r="E42" s="25" t="s">
        <v>1022</v>
      </c>
      <c r="F42" s="31" t="s">
        <v>29</v>
      </c>
      <c r="G42" s="31" t="s">
        <v>32</v>
      </c>
      <c r="H42" s="31" t="s">
        <v>1009</v>
      </c>
      <c r="I42" s="31" t="s">
        <v>950</v>
      </c>
    </row>
    <row r="43" spans="1:9" ht="33">
      <c r="A43" s="31" t="s">
        <v>127</v>
      </c>
      <c r="B43" s="25" t="s">
        <v>200</v>
      </c>
      <c r="C43" s="25" t="s">
        <v>1023</v>
      </c>
      <c r="D43" s="25" t="s">
        <v>1011</v>
      </c>
      <c r="E43" s="25" t="s">
        <v>1012</v>
      </c>
      <c r="F43" s="31" t="s">
        <v>29</v>
      </c>
      <c r="G43" s="31" t="s">
        <v>32</v>
      </c>
      <c r="H43" s="31" t="s">
        <v>1009</v>
      </c>
      <c r="I43" s="31" t="s">
        <v>950</v>
      </c>
    </row>
    <row r="44" spans="1:9" ht="49.5">
      <c r="A44" s="31" t="s">
        <v>127</v>
      </c>
      <c r="B44" s="25" t="s">
        <v>219</v>
      </c>
      <c r="C44" s="25" t="s">
        <v>1024</v>
      </c>
      <c r="D44" s="25" t="s">
        <v>1025</v>
      </c>
      <c r="E44" s="25" t="s">
        <v>1026</v>
      </c>
      <c r="F44" s="31" t="s">
        <v>29</v>
      </c>
      <c r="G44" s="31" t="s">
        <v>32</v>
      </c>
      <c r="H44" s="31" t="s">
        <v>1009</v>
      </c>
      <c r="I44" s="31" t="s">
        <v>950</v>
      </c>
    </row>
    <row r="45" spans="1:9" ht="66">
      <c r="A45" s="31" t="s">
        <v>127</v>
      </c>
      <c r="B45" s="25" t="s">
        <v>220</v>
      </c>
      <c r="C45" s="25" t="s">
        <v>1027</v>
      </c>
      <c r="D45" s="25" t="s">
        <v>1025</v>
      </c>
      <c r="E45" s="25" t="s">
        <v>1028</v>
      </c>
      <c r="F45" s="31" t="s">
        <v>29</v>
      </c>
      <c r="G45" s="31" t="s">
        <v>32</v>
      </c>
      <c r="H45" s="31" t="s">
        <v>1009</v>
      </c>
      <c r="I45" s="31" t="s">
        <v>950</v>
      </c>
    </row>
    <row r="46" spans="1:9" ht="66">
      <c r="A46" s="31" t="s">
        <v>127</v>
      </c>
      <c r="B46" s="25" t="s">
        <v>223</v>
      </c>
      <c r="C46" s="25" t="s">
        <v>1029</v>
      </c>
      <c r="D46" s="25" t="s">
        <v>1025</v>
      </c>
      <c r="E46" s="25" t="s">
        <v>1028</v>
      </c>
      <c r="F46" s="31" t="s">
        <v>29</v>
      </c>
      <c r="G46" s="31" t="s">
        <v>32</v>
      </c>
      <c r="H46" s="31" t="s">
        <v>1009</v>
      </c>
      <c r="I46" s="31" t="s">
        <v>950</v>
      </c>
    </row>
    <row r="47" spans="1:9" ht="66">
      <c r="A47" s="31" t="s">
        <v>127</v>
      </c>
      <c r="B47" s="25" t="s">
        <v>225</v>
      </c>
      <c r="C47" s="25" t="s">
        <v>1030</v>
      </c>
      <c r="D47" s="25" t="s">
        <v>1025</v>
      </c>
      <c r="E47" s="25" t="s">
        <v>1028</v>
      </c>
      <c r="F47" s="31" t="s">
        <v>29</v>
      </c>
      <c r="G47" s="31" t="s">
        <v>32</v>
      </c>
      <c r="H47" s="31" t="s">
        <v>1009</v>
      </c>
      <c r="I47" s="31" t="s">
        <v>950</v>
      </c>
    </row>
    <row r="48" spans="1:9" ht="49.5">
      <c r="A48" s="31" t="s">
        <v>127</v>
      </c>
      <c r="B48" s="25" t="s">
        <v>282</v>
      </c>
      <c r="C48" s="25" t="s">
        <v>1031</v>
      </c>
      <c r="D48" s="25" t="s">
        <v>1018</v>
      </c>
      <c r="E48" s="25" t="s">
        <v>1032</v>
      </c>
      <c r="F48" s="31" t="s">
        <v>29</v>
      </c>
      <c r="G48" s="31" t="s">
        <v>32</v>
      </c>
      <c r="H48" s="31" t="s">
        <v>1009</v>
      </c>
      <c r="I48" s="31" t="s">
        <v>950</v>
      </c>
    </row>
    <row r="49" spans="1:9" ht="33">
      <c r="A49" s="31" t="s">
        <v>127</v>
      </c>
      <c r="B49" s="25" t="s">
        <v>284</v>
      </c>
      <c r="C49" s="25" t="s">
        <v>1033</v>
      </c>
      <c r="D49" s="25" t="s">
        <v>1034</v>
      </c>
      <c r="E49" s="25" t="s">
        <v>1035</v>
      </c>
      <c r="F49" s="31" t="s">
        <v>29</v>
      </c>
      <c r="G49" s="31" t="s">
        <v>29</v>
      </c>
      <c r="H49" s="31"/>
      <c r="I49" s="31"/>
    </row>
    <row r="50" spans="1:9" ht="33">
      <c r="A50" s="31" t="s">
        <v>127</v>
      </c>
      <c r="B50" s="25" t="s">
        <v>285</v>
      </c>
      <c r="C50" s="111" t="s">
        <v>1036</v>
      </c>
      <c r="D50" s="25" t="s">
        <v>1034</v>
      </c>
      <c r="E50" s="25" t="s">
        <v>1035</v>
      </c>
      <c r="F50" s="31" t="s">
        <v>29</v>
      </c>
      <c r="G50" s="31" t="s">
        <v>29</v>
      </c>
      <c r="H50" s="31"/>
      <c r="I50" s="31"/>
    </row>
    <row r="51" spans="1:9">
      <c r="A51" s="31" t="s">
        <v>127</v>
      </c>
      <c r="B51" s="25" t="s">
        <v>348</v>
      </c>
      <c r="C51" s="25" t="s">
        <v>1037</v>
      </c>
      <c r="D51" s="25" t="s">
        <v>1038</v>
      </c>
      <c r="E51" s="25" t="s">
        <v>1039</v>
      </c>
      <c r="F51" s="31" t="s">
        <v>29</v>
      </c>
      <c r="G51" s="31" t="s">
        <v>32</v>
      </c>
      <c r="H51" s="31" t="s">
        <v>1009</v>
      </c>
      <c r="I51" s="31" t="s">
        <v>950</v>
      </c>
    </row>
    <row r="52" spans="1:9">
      <c r="A52" s="31" t="s">
        <v>127</v>
      </c>
      <c r="B52" s="25" t="s">
        <v>374</v>
      </c>
      <c r="C52" s="25" t="s">
        <v>1040</v>
      </c>
      <c r="D52" s="25" t="s">
        <v>954</v>
      </c>
      <c r="E52" s="25" t="s">
        <v>1041</v>
      </c>
      <c r="F52" s="31" t="s">
        <v>29</v>
      </c>
      <c r="G52" s="31" t="s">
        <v>32</v>
      </c>
      <c r="H52" s="31" t="s">
        <v>1009</v>
      </c>
      <c r="I52" s="31" t="s">
        <v>950</v>
      </c>
    </row>
    <row r="53" spans="1:9">
      <c r="A53" s="31" t="s">
        <v>127</v>
      </c>
      <c r="B53" s="25" t="s">
        <v>403</v>
      </c>
      <c r="C53" s="25" t="s">
        <v>1042</v>
      </c>
      <c r="D53" s="25" t="s">
        <v>1043</v>
      </c>
      <c r="E53" s="25" t="s">
        <v>1044</v>
      </c>
      <c r="F53" s="31" t="s">
        <v>29</v>
      </c>
      <c r="G53" s="31" t="s">
        <v>32</v>
      </c>
      <c r="H53" s="31" t="s">
        <v>1009</v>
      </c>
      <c r="I53" s="31" t="s">
        <v>950</v>
      </c>
    </row>
    <row r="54" spans="1:9">
      <c r="A54" s="31" t="s">
        <v>127</v>
      </c>
      <c r="B54" s="25" t="s">
        <v>404</v>
      </c>
      <c r="C54" s="33" t="s">
        <v>1045</v>
      </c>
      <c r="D54" s="25" t="s">
        <v>1043</v>
      </c>
      <c r="E54" s="25" t="s">
        <v>1046</v>
      </c>
      <c r="F54" s="31" t="s">
        <v>29</v>
      </c>
      <c r="G54" s="31" t="s">
        <v>32</v>
      </c>
      <c r="H54" s="31" t="s">
        <v>1009</v>
      </c>
      <c r="I54" s="31" t="s">
        <v>950</v>
      </c>
    </row>
    <row r="55" spans="1:9" ht="49.5">
      <c r="A55" s="31" t="s">
        <v>127</v>
      </c>
      <c r="B55" s="25" t="s">
        <v>405</v>
      </c>
      <c r="C55" s="111" t="s">
        <v>1047</v>
      </c>
      <c r="D55" s="25" t="s">
        <v>1048</v>
      </c>
      <c r="E55" s="25" t="s">
        <v>1049</v>
      </c>
      <c r="F55" s="31" t="s">
        <v>29</v>
      </c>
      <c r="G55" s="31" t="s">
        <v>32</v>
      </c>
      <c r="H55" s="31" t="s">
        <v>1009</v>
      </c>
      <c r="I55" s="31" t="s">
        <v>950</v>
      </c>
    </row>
    <row r="56" spans="1:9" ht="33">
      <c r="A56" s="31" t="s">
        <v>127</v>
      </c>
      <c r="B56" s="25" t="s">
        <v>426</v>
      </c>
      <c r="C56" s="25" t="s">
        <v>1050</v>
      </c>
      <c r="D56" s="25" t="s">
        <v>1011</v>
      </c>
      <c r="E56" s="25" t="s">
        <v>1012</v>
      </c>
      <c r="F56" s="31" t="s">
        <v>29</v>
      </c>
      <c r="G56" s="31" t="s">
        <v>32</v>
      </c>
      <c r="H56" s="31" t="s">
        <v>1009</v>
      </c>
      <c r="I56" s="31" t="s">
        <v>950</v>
      </c>
    </row>
    <row r="57" spans="1:9" ht="33">
      <c r="A57" s="31" t="s">
        <v>127</v>
      </c>
      <c r="B57" s="25" t="s">
        <v>427</v>
      </c>
      <c r="C57" s="25" t="s">
        <v>1050</v>
      </c>
      <c r="D57" s="25" t="s">
        <v>1011</v>
      </c>
      <c r="E57" s="25" t="s">
        <v>1012</v>
      </c>
      <c r="F57" s="31" t="s">
        <v>29</v>
      </c>
      <c r="G57" s="31" t="s">
        <v>32</v>
      </c>
      <c r="H57" s="31" t="s">
        <v>1009</v>
      </c>
      <c r="I57" s="31" t="s">
        <v>950</v>
      </c>
    </row>
    <row r="58" spans="1:9" ht="33">
      <c r="A58" s="31" t="s">
        <v>127</v>
      </c>
      <c r="B58" s="25" t="s">
        <v>430</v>
      </c>
      <c r="C58" s="25" t="s">
        <v>1051</v>
      </c>
      <c r="D58" s="25" t="s">
        <v>1011</v>
      </c>
      <c r="E58" s="25" t="s">
        <v>1012</v>
      </c>
      <c r="F58" s="31" t="s">
        <v>29</v>
      </c>
      <c r="G58" s="31" t="s">
        <v>32</v>
      </c>
      <c r="H58" s="31" t="s">
        <v>1009</v>
      </c>
      <c r="I58" s="31" t="s">
        <v>950</v>
      </c>
    </row>
    <row r="59" spans="1:9" ht="33">
      <c r="A59" s="31" t="s">
        <v>127</v>
      </c>
      <c r="B59" s="25" t="s">
        <v>292</v>
      </c>
      <c r="C59" s="25" t="s">
        <v>1052</v>
      </c>
      <c r="D59" s="25" t="s">
        <v>1011</v>
      </c>
      <c r="E59" s="25" t="s">
        <v>1012</v>
      </c>
      <c r="F59" s="31" t="s">
        <v>29</v>
      </c>
      <c r="G59" s="31" t="s">
        <v>32</v>
      </c>
      <c r="H59" s="31" t="s">
        <v>1009</v>
      </c>
      <c r="I59" s="31" t="s">
        <v>950</v>
      </c>
    </row>
    <row r="60" spans="1:9" ht="33">
      <c r="A60" s="31" t="s">
        <v>127</v>
      </c>
      <c r="B60" s="25" t="s">
        <v>470</v>
      </c>
      <c r="C60" s="25" t="s">
        <v>1053</v>
      </c>
      <c r="D60" s="25" t="s">
        <v>1011</v>
      </c>
      <c r="E60" s="25" t="s">
        <v>1012</v>
      </c>
      <c r="F60" s="31" t="s">
        <v>29</v>
      </c>
      <c r="G60" s="31" t="s">
        <v>32</v>
      </c>
      <c r="H60" s="31" t="s">
        <v>1009</v>
      </c>
      <c r="I60" s="31" t="s">
        <v>950</v>
      </c>
    </row>
    <row r="61" spans="1:9">
      <c r="A61" s="112" t="s">
        <v>127</v>
      </c>
      <c r="B61" s="34" t="s">
        <v>528</v>
      </c>
      <c r="C61" s="34" t="s">
        <v>1054</v>
      </c>
      <c r="D61" s="34" t="s">
        <v>1055</v>
      </c>
      <c r="E61" s="34" t="s">
        <v>1056</v>
      </c>
      <c r="F61" s="112" t="s">
        <v>29</v>
      </c>
      <c r="G61" s="112" t="s">
        <v>32</v>
      </c>
      <c r="H61" s="31" t="s">
        <v>1009</v>
      </c>
      <c r="I61" s="31" t="s">
        <v>950</v>
      </c>
    </row>
    <row r="62" spans="1:9" ht="33">
      <c r="A62" s="112" t="s">
        <v>127</v>
      </c>
      <c r="B62" s="34" t="s">
        <v>177</v>
      </c>
      <c r="C62" s="34" t="s">
        <v>1057</v>
      </c>
      <c r="D62" s="34" t="s">
        <v>987</v>
      </c>
      <c r="E62" s="34" t="s">
        <v>1058</v>
      </c>
      <c r="F62" s="112" t="s">
        <v>29</v>
      </c>
      <c r="G62" s="112" t="s">
        <v>32</v>
      </c>
      <c r="H62" s="31" t="s">
        <v>1009</v>
      </c>
      <c r="I62" s="31" t="s">
        <v>950</v>
      </c>
    </row>
    <row r="63" spans="1:9" ht="33">
      <c r="A63" s="112" t="s">
        <v>127</v>
      </c>
      <c r="B63" s="34" t="s">
        <v>233</v>
      </c>
      <c r="C63" s="34" t="s">
        <v>1059</v>
      </c>
      <c r="D63" s="34" t="s">
        <v>1055</v>
      </c>
      <c r="E63" s="34" t="s">
        <v>1060</v>
      </c>
      <c r="F63" s="112" t="s">
        <v>29</v>
      </c>
      <c r="G63" s="112" t="s">
        <v>32</v>
      </c>
      <c r="H63" s="31" t="s">
        <v>1009</v>
      </c>
      <c r="I63" s="31" t="s">
        <v>950</v>
      </c>
    </row>
    <row r="64" spans="1:9" ht="33">
      <c r="A64" s="112" t="s">
        <v>127</v>
      </c>
      <c r="B64" s="34" t="s">
        <v>234</v>
      </c>
      <c r="C64" s="34" t="s">
        <v>1061</v>
      </c>
      <c r="D64" s="34" t="s">
        <v>1055</v>
      </c>
      <c r="E64" s="34" t="s">
        <v>1060</v>
      </c>
      <c r="F64" s="112" t="s">
        <v>29</v>
      </c>
      <c r="G64" s="112" t="s">
        <v>32</v>
      </c>
      <c r="H64" s="31" t="s">
        <v>1009</v>
      </c>
      <c r="I64" s="31" t="s">
        <v>950</v>
      </c>
    </row>
    <row r="65" spans="1:9" ht="33">
      <c r="A65" s="112" t="s">
        <v>127</v>
      </c>
      <c r="B65" s="34" t="s">
        <v>244</v>
      </c>
      <c r="C65" s="34" t="s">
        <v>1062</v>
      </c>
      <c r="D65" s="34" t="s">
        <v>1055</v>
      </c>
      <c r="E65" s="34" t="s">
        <v>1063</v>
      </c>
      <c r="F65" s="112" t="s">
        <v>29</v>
      </c>
      <c r="G65" s="112" t="s">
        <v>32</v>
      </c>
      <c r="H65" s="31" t="s">
        <v>1009</v>
      </c>
      <c r="I65" s="31" t="s">
        <v>950</v>
      </c>
    </row>
    <row r="66" spans="1:9" ht="33">
      <c r="A66" s="112" t="s">
        <v>127</v>
      </c>
      <c r="B66" s="34" t="s">
        <v>246</v>
      </c>
      <c r="C66" s="34" t="s">
        <v>1064</v>
      </c>
      <c r="D66" s="34" t="s">
        <v>1055</v>
      </c>
      <c r="E66" s="34" t="s">
        <v>1063</v>
      </c>
      <c r="F66" s="112" t="s">
        <v>29</v>
      </c>
      <c r="G66" s="112" t="s">
        <v>32</v>
      </c>
      <c r="H66" s="31" t="s">
        <v>1009</v>
      </c>
      <c r="I66" s="31" t="s">
        <v>950</v>
      </c>
    </row>
    <row r="67" spans="1:9" ht="66">
      <c r="A67" s="112" t="s">
        <v>127</v>
      </c>
      <c r="B67" s="34" t="s">
        <v>291</v>
      </c>
      <c r="C67" s="34" t="s">
        <v>1065</v>
      </c>
      <c r="D67" s="34" t="s">
        <v>1066</v>
      </c>
      <c r="E67" s="34" t="s">
        <v>1067</v>
      </c>
      <c r="F67" s="112" t="s">
        <v>29</v>
      </c>
      <c r="G67" s="112" t="s">
        <v>32</v>
      </c>
      <c r="H67" s="31" t="s">
        <v>1009</v>
      </c>
      <c r="I67" s="31" t="s">
        <v>950</v>
      </c>
    </row>
    <row r="68" spans="1:9">
      <c r="A68" s="112" t="s">
        <v>127</v>
      </c>
      <c r="B68" s="34" t="s">
        <v>341</v>
      </c>
      <c r="C68" s="34" t="s">
        <v>1068</v>
      </c>
      <c r="D68" s="34" t="s">
        <v>1055</v>
      </c>
      <c r="E68" s="34" t="s">
        <v>1069</v>
      </c>
      <c r="F68" s="112" t="s">
        <v>29</v>
      </c>
      <c r="G68" s="112" t="s">
        <v>32</v>
      </c>
      <c r="H68" s="31" t="s">
        <v>1009</v>
      </c>
      <c r="I68" s="31" t="s">
        <v>950</v>
      </c>
    </row>
    <row r="69" spans="1:9" ht="33">
      <c r="A69" s="112" t="s">
        <v>127</v>
      </c>
      <c r="B69" s="34" t="s">
        <v>417</v>
      </c>
      <c r="C69" s="34" t="s">
        <v>1070</v>
      </c>
      <c r="D69" s="34" t="s">
        <v>1055</v>
      </c>
      <c r="E69" s="34" t="s">
        <v>1063</v>
      </c>
      <c r="F69" s="112" t="s">
        <v>29</v>
      </c>
      <c r="G69" s="112" t="s">
        <v>32</v>
      </c>
      <c r="H69" s="31" t="s">
        <v>1009</v>
      </c>
      <c r="I69" s="31" t="s">
        <v>950</v>
      </c>
    </row>
  </sheetData>
  <autoFilter ref="A1:J69" xr:uid="{206DDDB5-79F6-4132-9942-378764F443D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8745-4737-43FB-B538-64A34E96FDB5}">
  <dimension ref="A1:CB87"/>
  <sheetViews>
    <sheetView showGridLines="0" topLeftCell="A25" zoomScale="54" zoomScaleNormal="60" workbookViewId="0">
      <selection activeCell="I87" sqref="A65:I87"/>
    </sheetView>
  </sheetViews>
  <sheetFormatPr defaultColWidth="8.875" defaultRowHeight="15"/>
  <cols>
    <col min="1" max="1" width="3.625" style="103" customWidth="1"/>
    <col min="2" max="2" width="18.5" style="87" customWidth="1"/>
    <col min="3" max="3" width="38.375" style="87" bestFit="1" customWidth="1"/>
    <col min="4" max="4" width="18.625" style="87" customWidth="1"/>
    <col min="5" max="5" width="15.625" style="87" customWidth="1"/>
    <col min="6" max="6" width="28" style="87" customWidth="1"/>
    <col min="7" max="7" width="29.375" style="87" customWidth="1"/>
    <col min="8" max="8" width="42.625" style="87" customWidth="1"/>
    <col min="9" max="9" width="12.625" style="87" customWidth="1"/>
    <col min="10" max="11" width="21.625" style="87" customWidth="1"/>
    <col min="12" max="12" width="30.375" style="87" customWidth="1"/>
    <col min="13" max="13" width="33.5" style="87" customWidth="1"/>
    <col min="14" max="14" width="21.625" style="87" customWidth="1"/>
    <col min="15" max="15" width="12.625" style="87" customWidth="1"/>
    <col min="16" max="20" width="20.5" style="87" customWidth="1"/>
    <col min="21" max="21" width="8.875" style="87"/>
    <col min="22" max="26" width="25.125" style="87" customWidth="1"/>
    <col min="27" max="27" width="8.875" style="87"/>
    <col min="28" max="28" width="22.125" style="87" customWidth="1"/>
    <col min="29" max="30" width="8.875" style="87"/>
    <col min="31" max="31" width="37.625" style="87" customWidth="1"/>
    <col min="32" max="32" width="37.5" style="87" customWidth="1"/>
    <col min="33" max="33" width="8.875" style="87" customWidth="1"/>
    <col min="34" max="16384" width="8.875" style="87"/>
  </cols>
  <sheetData>
    <row r="1" spans="1:80" ht="51.6" customHeight="1" thickBot="1">
      <c r="A1" s="108"/>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row>
    <row r="2" spans="1:80" ht="15.75" thickTop="1"/>
    <row r="7" spans="1:80" ht="15.75">
      <c r="D7" s="98" t="s">
        <v>1071</v>
      </c>
      <c r="E7" s="97"/>
      <c r="G7" s="110" t="s">
        <v>1072</v>
      </c>
      <c r="H7" s="110" t="s">
        <v>1073</v>
      </c>
      <c r="J7" s="98" t="s">
        <v>1114</v>
      </c>
      <c r="K7" s="97"/>
      <c r="M7" s="110" t="s">
        <v>1072</v>
      </c>
      <c r="N7" s="110" t="s">
        <v>1073</v>
      </c>
      <c r="P7" s="98" t="s">
        <v>1171</v>
      </c>
      <c r="Q7" s="97"/>
      <c r="S7" s="110" t="s">
        <v>1072</v>
      </c>
      <c r="T7" s="110" t="s">
        <v>1073</v>
      </c>
      <c r="V7" s="98" t="s">
        <v>1296</v>
      </c>
      <c r="W7" s="97"/>
      <c r="Y7" s="110" t="s">
        <v>1072</v>
      </c>
      <c r="Z7" s="110" t="s">
        <v>1073</v>
      </c>
      <c r="AB7" s="98" t="s">
        <v>1297</v>
      </c>
      <c r="AC7" s="97"/>
      <c r="AE7" s="110" t="s">
        <v>1072</v>
      </c>
      <c r="AF7" s="110" t="s">
        <v>1073</v>
      </c>
    </row>
    <row r="8" spans="1:80" ht="15.75">
      <c r="B8" s="101"/>
      <c r="D8" s="102"/>
      <c r="E8" s="97"/>
      <c r="G8" s="100" t="s">
        <v>273</v>
      </c>
      <c r="H8" s="100">
        <v>45744</v>
      </c>
      <c r="J8" s="102"/>
      <c r="K8" s="97"/>
      <c r="M8" s="100">
        <v>45747</v>
      </c>
      <c r="N8" s="100">
        <v>45828</v>
      </c>
      <c r="P8" s="102"/>
      <c r="Q8" s="97"/>
      <c r="S8" s="100">
        <v>45832</v>
      </c>
      <c r="T8" s="100">
        <v>45915</v>
      </c>
      <c r="V8" s="102"/>
      <c r="W8" s="97"/>
      <c r="Y8" s="100" t="s">
        <v>273</v>
      </c>
      <c r="Z8" s="100" t="s">
        <v>273</v>
      </c>
      <c r="AB8" s="102"/>
      <c r="AC8" s="97"/>
      <c r="AE8" s="100" t="s">
        <v>273</v>
      </c>
      <c r="AF8" s="100" t="s">
        <v>273</v>
      </c>
    </row>
    <row r="9" spans="1:80" ht="15.75">
      <c r="B9" s="99" t="s">
        <v>1074</v>
      </c>
      <c r="D9" s="88"/>
      <c r="J9" s="88"/>
      <c r="P9" s="88"/>
      <c r="V9" s="88"/>
      <c r="AB9" s="88"/>
    </row>
    <row r="10" spans="1:80" ht="15.75">
      <c r="B10" s="175" t="s">
        <v>1075</v>
      </c>
      <c r="D10" s="113" t="s">
        <v>5</v>
      </c>
      <c r="E10" s="114"/>
      <c r="F10" s="114"/>
      <c r="G10" s="114"/>
      <c r="H10" s="115"/>
      <c r="J10" s="105" t="s">
        <v>5</v>
      </c>
      <c r="K10" s="89"/>
      <c r="L10" s="89"/>
      <c r="M10" s="89"/>
      <c r="N10" s="90"/>
      <c r="P10" s="105" t="s">
        <v>5</v>
      </c>
      <c r="Q10" s="89"/>
      <c r="R10" s="89"/>
      <c r="S10" s="89"/>
      <c r="T10" s="90"/>
      <c r="V10" s="105" t="s">
        <v>5</v>
      </c>
      <c r="W10" s="89"/>
      <c r="X10" s="89"/>
      <c r="Y10" s="89"/>
      <c r="Z10" s="90"/>
      <c r="AB10" s="105" t="s">
        <v>5</v>
      </c>
      <c r="AC10" s="89"/>
      <c r="AD10" s="89"/>
      <c r="AE10" s="89"/>
      <c r="AF10" s="90"/>
    </row>
    <row r="11" spans="1:80" ht="22.9" customHeight="1">
      <c r="B11" s="175"/>
      <c r="D11" s="179" t="s">
        <v>1088</v>
      </c>
      <c r="E11" s="180"/>
      <c r="F11" s="180"/>
      <c r="G11" s="180"/>
      <c r="H11" s="181"/>
      <c r="J11" s="169" t="s">
        <v>1167</v>
      </c>
      <c r="K11" s="170"/>
      <c r="L11" s="170"/>
      <c r="M11" s="170"/>
      <c r="N11" s="171"/>
      <c r="P11" s="172" t="s">
        <v>1292</v>
      </c>
      <c r="Q11" s="173"/>
      <c r="R11" s="173"/>
      <c r="S11" s="173"/>
      <c r="T11" s="174"/>
      <c r="V11" s="107"/>
      <c r="W11" s="92"/>
      <c r="X11" s="92"/>
      <c r="Y11" s="92"/>
      <c r="Z11" s="93"/>
      <c r="AB11" s="107"/>
      <c r="AC11" s="92"/>
      <c r="AD11" s="92"/>
      <c r="AE11" s="92"/>
      <c r="AF11" s="93"/>
    </row>
    <row r="12" spans="1:80" ht="38.450000000000003" customHeight="1">
      <c r="B12" s="175"/>
      <c r="D12" s="179"/>
      <c r="E12" s="180"/>
      <c r="F12" s="180"/>
      <c r="G12" s="180"/>
      <c r="H12" s="181"/>
      <c r="J12" s="169"/>
      <c r="K12" s="170"/>
      <c r="L12" s="170"/>
      <c r="M12" s="170"/>
      <c r="N12" s="171"/>
      <c r="P12" s="172"/>
      <c r="Q12" s="173"/>
      <c r="R12" s="173"/>
      <c r="S12" s="173"/>
      <c r="T12" s="174"/>
      <c r="V12" s="106"/>
      <c r="W12" s="92"/>
      <c r="X12" s="92"/>
      <c r="Y12" s="92"/>
      <c r="Z12" s="93"/>
      <c r="AB12" s="106"/>
      <c r="AC12" s="92"/>
      <c r="AD12" s="92"/>
      <c r="AE12" s="92"/>
      <c r="AF12" s="93"/>
    </row>
    <row r="13" spans="1:80" ht="97.9" customHeight="1">
      <c r="B13" s="175"/>
      <c r="D13" s="179"/>
      <c r="E13" s="180"/>
      <c r="F13" s="180"/>
      <c r="G13" s="180"/>
      <c r="H13" s="181"/>
      <c r="J13" s="169"/>
      <c r="K13" s="170"/>
      <c r="L13" s="170"/>
      <c r="M13" s="170"/>
      <c r="N13" s="171"/>
      <c r="P13" s="172"/>
      <c r="Q13" s="173"/>
      <c r="R13" s="173"/>
      <c r="S13" s="173"/>
      <c r="T13" s="174"/>
      <c r="V13" s="106"/>
      <c r="W13" s="92"/>
      <c r="X13" s="92"/>
      <c r="Y13" s="92"/>
      <c r="Z13" s="93"/>
      <c r="AB13" s="106"/>
      <c r="AC13" s="92"/>
      <c r="AD13" s="92"/>
      <c r="AE13" s="92"/>
      <c r="AF13" s="93"/>
    </row>
    <row r="14" spans="1:80" ht="13.9" customHeight="1">
      <c r="B14" s="175"/>
      <c r="D14" s="179"/>
      <c r="E14" s="180"/>
      <c r="F14" s="180"/>
      <c r="G14" s="180"/>
      <c r="H14" s="181"/>
      <c r="J14" s="169"/>
      <c r="K14" s="170"/>
      <c r="L14" s="170"/>
      <c r="M14" s="170"/>
      <c r="N14" s="171"/>
      <c r="P14" s="106"/>
      <c r="Q14" s="92"/>
      <c r="R14" s="92"/>
      <c r="S14" s="92"/>
      <c r="T14" s="93"/>
      <c r="V14" s="106"/>
      <c r="W14" s="92"/>
      <c r="X14" s="92"/>
      <c r="Y14" s="92"/>
      <c r="Z14" s="93"/>
      <c r="AB14" s="106"/>
      <c r="AC14" s="92"/>
      <c r="AD14" s="92"/>
      <c r="AE14" s="92"/>
      <c r="AF14" s="93"/>
    </row>
    <row r="15" spans="1:80" ht="15.75">
      <c r="B15" s="175"/>
      <c r="D15" s="116" t="s">
        <v>136</v>
      </c>
      <c r="E15" s="35"/>
      <c r="F15" s="35"/>
      <c r="G15" s="35"/>
      <c r="H15" s="117"/>
      <c r="J15" s="107" t="s">
        <v>136</v>
      </c>
      <c r="K15" s="92"/>
      <c r="L15" s="92"/>
      <c r="M15" s="92"/>
      <c r="N15" s="93"/>
      <c r="P15" s="107" t="s">
        <v>136</v>
      </c>
      <c r="Q15" s="92"/>
      <c r="R15" s="92"/>
      <c r="S15" s="92"/>
      <c r="T15" s="93"/>
      <c r="V15" s="107" t="s">
        <v>136</v>
      </c>
      <c r="W15" s="92"/>
      <c r="X15" s="92"/>
      <c r="Y15" s="92"/>
      <c r="Z15" s="93"/>
      <c r="AB15" s="107" t="s">
        <v>136</v>
      </c>
      <c r="AC15" s="92"/>
      <c r="AD15" s="92"/>
      <c r="AE15" s="92"/>
      <c r="AF15" s="93"/>
    </row>
    <row r="16" spans="1:80" ht="265.14999999999998" customHeight="1">
      <c r="B16" s="175"/>
      <c r="D16" s="182" t="s">
        <v>1085</v>
      </c>
      <c r="E16" s="183"/>
      <c r="F16" s="183"/>
      <c r="G16" s="183"/>
      <c r="H16" s="184"/>
      <c r="J16" s="172" t="s">
        <v>1169</v>
      </c>
      <c r="K16" s="173"/>
      <c r="L16" s="173"/>
      <c r="M16" s="173"/>
      <c r="N16" s="174"/>
      <c r="P16" s="172" t="s">
        <v>1293</v>
      </c>
      <c r="Q16" s="173"/>
      <c r="R16" s="173"/>
      <c r="S16" s="173"/>
      <c r="T16" s="174"/>
      <c r="V16" s="106"/>
      <c r="W16" s="92"/>
      <c r="X16" s="92"/>
      <c r="Y16" s="92"/>
      <c r="Z16" s="93"/>
      <c r="AB16" s="106"/>
      <c r="AC16" s="92"/>
      <c r="AD16" s="92"/>
      <c r="AE16" s="92"/>
      <c r="AF16" s="93"/>
    </row>
    <row r="17" spans="2:32" ht="15.75">
      <c r="B17" s="175"/>
      <c r="D17" s="182"/>
      <c r="E17" s="183"/>
      <c r="F17" s="183"/>
      <c r="G17" s="183"/>
      <c r="H17" s="184"/>
      <c r="J17" s="106"/>
      <c r="K17" s="92"/>
      <c r="L17" s="92"/>
      <c r="M17" s="92"/>
      <c r="N17" s="93"/>
      <c r="P17" s="106"/>
      <c r="Q17" s="92"/>
      <c r="R17" s="92"/>
      <c r="S17" s="92"/>
      <c r="T17" s="93"/>
      <c r="V17" s="106"/>
      <c r="W17" s="92"/>
      <c r="X17" s="92"/>
      <c r="Y17" s="92"/>
      <c r="Z17" s="93"/>
      <c r="AB17" s="106"/>
      <c r="AC17" s="92"/>
      <c r="AD17" s="92"/>
      <c r="AE17" s="92"/>
      <c r="AF17" s="93"/>
    </row>
    <row r="18" spans="2:32" ht="15.75">
      <c r="B18" s="175"/>
      <c r="D18" s="118"/>
      <c r="E18" s="35"/>
      <c r="F18" s="35"/>
      <c r="G18" s="35"/>
      <c r="H18" s="117"/>
      <c r="J18" s="106"/>
      <c r="K18" s="92"/>
      <c r="L18" s="92"/>
      <c r="M18" s="92"/>
      <c r="N18" s="93"/>
      <c r="P18" s="106"/>
      <c r="Q18" s="92"/>
      <c r="R18" s="92"/>
      <c r="S18" s="92"/>
      <c r="T18" s="93"/>
      <c r="V18" s="106"/>
      <c r="W18" s="92"/>
      <c r="X18" s="92"/>
      <c r="Y18" s="92"/>
      <c r="Z18" s="93"/>
      <c r="AB18" s="106"/>
      <c r="AC18" s="92"/>
      <c r="AD18" s="92"/>
      <c r="AE18" s="92"/>
      <c r="AF18" s="93"/>
    </row>
    <row r="19" spans="2:32" ht="15.75">
      <c r="B19" s="175"/>
      <c r="D19" s="116" t="s">
        <v>1076</v>
      </c>
      <c r="E19" s="35"/>
      <c r="F19" s="35"/>
      <c r="G19" s="35"/>
      <c r="H19" s="117"/>
      <c r="J19" s="107" t="s">
        <v>1076</v>
      </c>
      <c r="K19" s="92"/>
      <c r="L19" s="92"/>
      <c r="M19" s="92"/>
      <c r="N19" s="93"/>
      <c r="P19" s="107" t="s">
        <v>1076</v>
      </c>
      <c r="Q19" s="92"/>
      <c r="R19" s="92"/>
      <c r="S19" s="92"/>
      <c r="T19" s="93"/>
      <c r="V19" s="107" t="s">
        <v>1076</v>
      </c>
      <c r="W19" s="92"/>
      <c r="X19" s="92"/>
      <c r="Y19" s="92"/>
      <c r="Z19" s="93"/>
      <c r="AB19" s="107" t="s">
        <v>1076</v>
      </c>
      <c r="AC19" s="92"/>
      <c r="AD19" s="92"/>
      <c r="AE19" s="92"/>
      <c r="AF19" s="93"/>
    </row>
    <row r="20" spans="2:32" ht="55.9" customHeight="1">
      <c r="B20" s="175"/>
      <c r="D20" s="182" t="s">
        <v>1087</v>
      </c>
      <c r="E20" s="183"/>
      <c r="F20" s="183"/>
      <c r="G20" s="183"/>
      <c r="H20" s="184"/>
      <c r="J20" s="106"/>
      <c r="K20" s="92"/>
      <c r="L20" s="92"/>
      <c r="M20" s="92"/>
      <c r="N20" s="93"/>
      <c r="P20" s="106"/>
      <c r="Q20" s="92"/>
      <c r="R20" s="92"/>
      <c r="S20" s="92"/>
      <c r="T20" s="93"/>
      <c r="V20" s="106"/>
      <c r="W20" s="92"/>
      <c r="X20" s="92"/>
      <c r="Y20" s="92"/>
      <c r="Z20" s="93"/>
      <c r="AB20" s="106"/>
      <c r="AC20" s="92"/>
      <c r="AD20" s="92"/>
      <c r="AE20" s="92"/>
      <c r="AF20" s="93"/>
    </row>
    <row r="21" spans="2:32" ht="77.45" customHeight="1">
      <c r="B21" s="175"/>
      <c r="D21" s="182"/>
      <c r="E21" s="183"/>
      <c r="F21" s="183"/>
      <c r="G21" s="183"/>
      <c r="H21" s="184"/>
      <c r="J21" s="106"/>
      <c r="K21" s="92"/>
      <c r="L21" s="92"/>
      <c r="M21" s="92"/>
      <c r="N21" s="93"/>
      <c r="P21" s="106"/>
      <c r="Q21" s="92"/>
      <c r="R21" s="92"/>
      <c r="S21" s="92"/>
      <c r="T21" s="93"/>
      <c r="V21" s="106"/>
      <c r="W21" s="92"/>
      <c r="X21" s="92"/>
      <c r="Y21" s="92"/>
      <c r="Z21" s="93"/>
      <c r="AB21" s="106"/>
      <c r="AC21" s="92"/>
      <c r="AD21" s="92"/>
      <c r="AE21" s="92"/>
      <c r="AF21" s="93"/>
    </row>
    <row r="22" spans="2:32" ht="15.75">
      <c r="B22" s="175"/>
      <c r="D22" s="118"/>
      <c r="E22" s="35"/>
      <c r="F22" s="35"/>
      <c r="G22" s="35"/>
      <c r="H22" s="117"/>
      <c r="J22" s="106"/>
      <c r="K22" s="92"/>
      <c r="L22" s="92"/>
      <c r="M22" s="92"/>
      <c r="N22" s="93"/>
      <c r="P22" s="106"/>
      <c r="Q22" s="92"/>
      <c r="R22" s="92"/>
      <c r="S22" s="92"/>
      <c r="T22" s="93"/>
      <c r="V22" s="106"/>
      <c r="W22" s="92"/>
      <c r="X22" s="92"/>
      <c r="Y22" s="92"/>
      <c r="Z22" s="93"/>
      <c r="AB22" s="106"/>
      <c r="AC22" s="92"/>
      <c r="AD22" s="92"/>
      <c r="AE22" s="92"/>
      <c r="AF22" s="93"/>
    </row>
    <row r="23" spans="2:32" ht="15.75">
      <c r="B23" s="175"/>
      <c r="D23" s="116" t="s">
        <v>1077</v>
      </c>
      <c r="E23" s="35"/>
      <c r="F23" s="35"/>
      <c r="G23" s="35"/>
      <c r="H23" s="117"/>
      <c r="J23" s="107" t="s">
        <v>1077</v>
      </c>
      <c r="K23" s="92"/>
      <c r="L23" s="92"/>
      <c r="M23" s="92"/>
      <c r="N23" s="93"/>
      <c r="P23" s="107" t="s">
        <v>1077</v>
      </c>
      <c r="Q23" s="92"/>
      <c r="R23" s="92"/>
      <c r="S23" s="92"/>
      <c r="T23" s="93"/>
      <c r="V23" s="107" t="s">
        <v>1077</v>
      </c>
      <c r="W23" s="92"/>
      <c r="X23" s="92"/>
      <c r="Y23" s="92"/>
      <c r="Z23" s="93"/>
      <c r="AB23" s="107" t="s">
        <v>1077</v>
      </c>
      <c r="AC23" s="92"/>
      <c r="AD23" s="92"/>
      <c r="AE23" s="92"/>
      <c r="AF23" s="93"/>
    </row>
    <row r="24" spans="2:32" ht="17.45" customHeight="1">
      <c r="B24" s="175"/>
      <c r="D24" s="125" t="s">
        <v>1086</v>
      </c>
      <c r="E24" s="123"/>
      <c r="F24" s="123"/>
      <c r="G24" s="123"/>
      <c r="H24" s="124"/>
      <c r="J24" s="106"/>
      <c r="K24" s="92"/>
      <c r="L24" s="92"/>
      <c r="M24" s="92"/>
      <c r="N24" s="93"/>
      <c r="P24" s="172" t="s">
        <v>1294</v>
      </c>
      <c r="Q24" s="173"/>
      <c r="R24" s="173"/>
      <c r="S24" s="173"/>
      <c r="T24" s="174"/>
      <c r="V24" s="106"/>
      <c r="W24" s="92"/>
      <c r="X24" s="92"/>
      <c r="Y24" s="92"/>
      <c r="Z24" s="93"/>
      <c r="AB24" s="106"/>
      <c r="AC24" s="92"/>
      <c r="AD24" s="92"/>
      <c r="AE24" s="92"/>
      <c r="AF24" s="93"/>
    </row>
    <row r="25" spans="2:32" ht="106.15" customHeight="1">
      <c r="B25" s="175"/>
      <c r="D25" s="119"/>
      <c r="E25" s="35"/>
      <c r="F25" s="35"/>
      <c r="G25" s="35"/>
      <c r="H25" s="117"/>
      <c r="J25" s="106"/>
      <c r="K25" s="92"/>
      <c r="L25" s="92"/>
      <c r="M25" s="92"/>
      <c r="N25" s="93"/>
      <c r="P25" s="172"/>
      <c r="Q25" s="173"/>
      <c r="R25" s="173"/>
      <c r="S25" s="173"/>
      <c r="T25" s="174"/>
      <c r="V25" s="106"/>
      <c r="W25" s="92"/>
      <c r="X25" s="92"/>
      <c r="Y25" s="92"/>
      <c r="Z25" s="93"/>
      <c r="AB25" s="106"/>
      <c r="AC25" s="92"/>
      <c r="AD25" s="92"/>
      <c r="AE25" s="92"/>
      <c r="AF25" s="93"/>
    </row>
    <row r="26" spans="2:32" ht="15.75">
      <c r="B26" s="175"/>
      <c r="D26" s="116" t="s">
        <v>1078</v>
      </c>
      <c r="E26" s="35"/>
      <c r="F26" s="35"/>
      <c r="G26" s="35"/>
      <c r="H26" s="117"/>
      <c r="J26" s="107" t="s">
        <v>1078</v>
      </c>
      <c r="K26" s="92"/>
      <c r="L26" s="92"/>
      <c r="M26" s="92"/>
      <c r="N26" s="93"/>
      <c r="P26" s="107" t="s">
        <v>1078</v>
      </c>
      <c r="Q26" s="92"/>
      <c r="R26" s="92"/>
      <c r="S26" s="92"/>
      <c r="T26" s="93"/>
      <c r="V26" s="107" t="s">
        <v>1078</v>
      </c>
      <c r="W26" s="92"/>
      <c r="X26" s="92"/>
      <c r="Y26" s="92"/>
      <c r="Z26" s="93"/>
      <c r="AB26" s="107" t="s">
        <v>1078</v>
      </c>
      <c r="AC26" s="92"/>
      <c r="AD26" s="92"/>
      <c r="AE26" s="92"/>
      <c r="AF26" s="93"/>
    </row>
    <row r="27" spans="2:32" ht="202.9" customHeight="1">
      <c r="B27" s="175"/>
      <c r="D27" s="119" t="s">
        <v>273</v>
      </c>
      <c r="E27" s="35"/>
      <c r="F27" s="35"/>
      <c r="G27" s="35"/>
      <c r="H27" s="117"/>
      <c r="J27" s="172" t="s">
        <v>1170</v>
      </c>
      <c r="K27" s="173"/>
      <c r="L27" s="173"/>
      <c r="M27" s="173"/>
      <c r="N27" s="174"/>
      <c r="P27" s="172" t="s">
        <v>1295</v>
      </c>
      <c r="Q27" s="173"/>
      <c r="R27" s="173"/>
      <c r="S27" s="173"/>
      <c r="T27" s="174"/>
      <c r="V27" s="91"/>
      <c r="W27" s="92"/>
      <c r="X27" s="92"/>
      <c r="Y27" s="92"/>
      <c r="Z27" s="93"/>
      <c r="AB27" s="91"/>
      <c r="AC27" s="92"/>
      <c r="AD27" s="92"/>
      <c r="AE27" s="92"/>
      <c r="AF27" s="93"/>
    </row>
    <row r="28" spans="2:32">
      <c r="B28" s="175"/>
      <c r="D28" s="119"/>
      <c r="E28" s="35"/>
      <c r="F28" s="35"/>
      <c r="G28" s="35"/>
      <c r="H28" s="117"/>
      <c r="J28" s="91"/>
      <c r="K28" s="92"/>
      <c r="L28" s="92"/>
      <c r="M28" s="92"/>
      <c r="N28" s="93"/>
      <c r="P28" s="91"/>
      <c r="Q28" s="92"/>
      <c r="R28" s="92"/>
      <c r="S28" s="92"/>
      <c r="T28" s="93"/>
      <c r="V28" s="91"/>
      <c r="W28" s="92"/>
      <c r="X28" s="92"/>
      <c r="Y28" s="92"/>
      <c r="Z28" s="93"/>
      <c r="AB28" s="91"/>
      <c r="AC28" s="92"/>
      <c r="AD28" s="92"/>
      <c r="AE28" s="92"/>
      <c r="AF28" s="93"/>
    </row>
    <row r="29" spans="2:32">
      <c r="B29" s="175"/>
      <c r="D29" s="119"/>
      <c r="E29" s="35"/>
      <c r="F29" s="35"/>
      <c r="G29" s="35"/>
      <c r="H29" s="117"/>
      <c r="J29" s="91"/>
      <c r="K29" s="92"/>
      <c r="L29" s="92"/>
      <c r="M29" s="92"/>
      <c r="N29" s="93"/>
      <c r="P29" s="91"/>
      <c r="Q29" s="92"/>
      <c r="R29" s="92"/>
      <c r="S29" s="92"/>
      <c r="T29" s="93"/>
      <c r="V29" s="91"/>
      <c r="W29" s="92"/>
      <c r="X29" s="92"/>
      <c r="Y29" s="92"/>
      <c r="Z29" s="93"/>
      <c r="AB29" s="91"/>
      <c r="AC29" s="92"/>
      <c r="AD29" s="92"/>
      <c r="AE29" s="92"/>
      <c r="AF29" s="93"/>
    </row>
    <row r="30" spans="2:32">
      <c r="B30" s="175"/>
      <c r="D30" s="120"/>
      <c r="E30" s="121"/>
      <c r="F30" s="121"/>
      <c r="G30" s="121"/>
      <c r="H30" s="122"/>
      <c r="J30" s="94"/>
      <c r="K30" s="95"/>
      <c r="L30" s="95"/>
      <c r="M30" s="95"/>
      <c r="N30" s="96"/>
      <c r="P30" s="94"/>
      <c r="Q30" s="95"/>
      <c r="R30" s="95"/>
      <c r="S30" s="95"/>
      <c r="T30" s="96"/>
      <c r="V30" s="94"/>
      <c r="W30" s="95"/>
      <c r="X30" s="95"/>
      <c r="Y30" s="95"/>
      <c r="Z30" s="96"/>
      <c r="AB30" s="94"/>
      <c r="AC30" s="95"/>
      <c r="AD30" s="95"/>
      <c r="AE30" s="95"/>
      <c r="AF30" s="96"/>
    </row>
    <row r="34" spans="2:32" ht="15.75">
      <c r="D34" s="98" t="s">
        <v>1079</v>
      </c>
      <c r="E34" s="97"/>
      <c r="G34" s="110" t="s">
        <v>1072</v>
      </c>
      <c r="H34" s="110" t="s">
        <v>1073</v>
      </c>
      <c r="J34" s="98" t="s">
        <v>1071</v>
      </c>
      <c r="K34" s="97"/>
      <c r="M34" s="110" t="s">
        <v>1072</v>
      </c>
      <c r="N34" s="110" t="s">
        <v>1073</v>
      </c>
      <c r="O34" s="104"/>
      <c r="P34" s="98" t="s">
        <v>1114</v>
      </c>
      <c r="Q34" s="97"/>
      <c r="S34" s="110" t="s">
        <v>1072</v>
      </c>
      <c r="T34" s="110" t="s">
        <v>1073</v>
      </c>
      <c r="V34" s="98" t="s">
        <v>1171</v>
      </c>
      <c r="W34" s="97"/>
      <c r="Y34" s="110" t="s">
        <v>1072</v>
      </c>
      <c r="Z34" s="110" t="s">
        <v>1073</v>
      </c>
      <c r="AB34" s="98" t="s">
        <v>1296</v>
      </c>
      <c r="AC34" s="97"/>
      <c r="AE34" s="110" t="s">
        <v>1072</v>
      </c>
      <c r="AF34" s="110" t="s">
        <v>1073</v>
      </c>
    </row>
    <row r="35" spans="2:32" ht="15.75">
      <c r="D35" s="102"/>
      <c r="E35" s="97"/>
      <c r="G35" s="100">
        <v>45721</v>
      </c>
      <c r="H35" s="100">
        <v>45744</v>
      </c>
      <c r="J35" s="102"/>
      <c r="K35" s="97"/>
      <c r="M35" s="100">
        <v>45747</v>
      </c>
      <c r="N35" s="100">
        <v>45832</v>
      </c>
      <c r="P35" s="102"/>
      <c r="Q35" s="97"/>
      <c r="S35" s="100">
        <v>45832</v>
      </c>
      <c r="T35" s="100" t="s">
        <v>273</v>
      </c>
      <c r="V35" s="102"/>
      <c r="W35" s="97"/>
      <c r="Y35" s="100" t="s">
        <v>273</v>
      </c>
      <c r="Z35" s="100" t="s">
        <v>273</v>
      </c>
      <c r="AB35" s="102"/>
      <c r="AC35" s="97"/>
      <c r="AE35" s="100" t="s">
        <v>273</v>
      </c>
      <c r="AF35" s="100" t="s">
        <v>273</v>
      </c>
    </row>
    <row r="36" spans="2:32" ht="14.45" customHeight="1">
      <c r="B36" s="99" t="s">
        <v>1074</v>
      </c>
      <c r="D36" s="88"/>
      <c r="J36" s="88"/>
      <c r="P36" s="88"/>
      <c r="V36" s="88"/>
      <c r="AB36" s="88"/>
    </row>
    <row r="37" spans="2:32" ht="15.75">
      <c r="B37" s="176" t="s">
        <v>1080</v>
      </c>
      <c r="D37" s="105" t="s">
        <v>5</v>
      </c>
      <c r="E37" s="89"/>
      <c r="F37" s="89"/>
      <c r="G37" s="89"/>
      <c r="H37" s="90"/>
      <c r="J37" s="113" t="s">
        <v>5</v>
      </c>
      <c r="K37" s="114"/>
      <c r="L37" s="114"/>
      <c r="M37" s="114"/>
      <c r="N37" s="115"/>
      <c r="P37" s="105" t="s">
        <v>5</v>
      </c>
      <c r="Q37" s="89"/>
      <c r="R37" s="89"/>
      <c r="S37" s="89"/>
      <c r="T37" s="90"/>
      <c r="V37" s="105" t="s">
        <v>5</v>
      </c>
      <c r="W37" s="89"/>
      <c r="X37" s="89"/>
      <c r="Y37" s="89"/>
      <c r="Z37" s="90"/>
      <c r="AB37" s="105" t="s">
        <v>5</v>
      </c>
      <c r="AC37" s="89"/>
      <c r="AD37" s="89"/>
      <c r="AE37" s="89"/>
      <c r="AF37" s="90"/>
    </row>
    <row r="38" spans="2:32" ht="15.75">
      <c r="B38" s="177"/>
      <c r="D38" s="107"/>
      <c r="E38" s="92"/>
      <c r="F38" s="92"/>
      <c r="G38" s="92"/>
      <c r="H38" s="93"/>
      <c r="J38" s="179" t="s">
        <v>1088</v>
      </c>
      <c r="K38" s="180"/>
      <c r="L38" s="180"/>
      <c r="M38" s="180"/>
      <c r="N38" s="181"/>
      <c r="P38" s="169" t="s">
        <v>1167</v>
      </c>
      <c r="Q38" s="170"/>
      <c r="R38" s="170"/>
      <c r="S38" s="170"/>
      <c r="T38" s="171"/>
      <c r="V38" s="169"/>
      <c r="W38" s="170"/>
      <c r="X38" s="170"/>
      <c r="Y38" s="170"/>
      <c r="Z38" s="171"/>
      <c r="AB38" s="169"/>
      <c r="AC38" s="170"/>
      <c r="AD38" s="170"/>
      <c r="AE38" s="170"/>
      <c r="AF38" s="171"/>
    </row>
    <row r="39" spans="2:32" ht="15.75">
      <c r="B39" s="177"/>
      <c r="D39" s="106"/>
      <c r="E39" s="92"/>
      <c r="F39" s="92"/>
      <c r="G39" s="92"/>
      <c r="H39" s="93"/>
      <c r="J39" s="179"/>
      <c r="K39" s="180"/>
      <c r="L39" s="180"/>
      <c r="M39" s="180"/>
      <c r="N39" s="181"/>
      <c r="P39" s="169"/>
      <c r="Q39" s="170"/>
      <c r="R39" s="170"/>
      <c r="S39" s="170"/>
      <c r="T39" s="171"/>
      <c r="V39" s="169"/>
      <c r="W39" s="170"/>
      <c r="X39" s="170"/>
      <c r="Y39" s="170"/>
      <c r="Z39" s="171"/>
      <c r="AB39" s="169"/>
      <c r="AC39" s="170"/>
      <c r="AD39" s="170"/>
      <c r="AE39" s="170"/>
      <c r="AF39" s="171"/>
    </row>
    <row r="40" spans="2:32" ht="15.75">
      <c r="B40" s="177"/>
      <c r="D40" s="106"/>
      <c r="E40" s="92"/>
      <c r="F40" s="92"/>
      <c r="G40" s="92"/>
      <c r="H40" s="93"/>
      <c r="J40" s="179"/>
      <c r="K40" s="180"/>
      <c r="L40" s="180"/>
      <c r="M40" s="180"/>
      <c r="N40" s="181"/>
      <c r="P40" s="169"/>
      <c r="Q40" s="170"/>
      <c r="R40" s="170"/>
      <c r="S40" s="170"/>
      <c r="T40" s="171"/>
      <c r="V40" s="169"/>
      <c r="W40" s="170"/>
      <c r="X40" s="170"/>
      <c r="Y40" s="170"/>
      <c r="Z40" s="171"/>
      <c r="AB40" s="169"/>
      <c r="AC40" s="170"/>
      <c r="AD40" s="170"/>
      <c r="AE40" s="170"/>
      <c r="AF40" s="171"/>
    </row>
    <row r="41" spans="2:32" ht="15.75">
      <c r="B41" s="177"/>
      <c r="D41" s="106"/>
      <c r="E41" s="92"/>
      <c r="F41" s="92"/>
      <c r="G41" s="92"/>
      <c r="H41" s="93"/>
      <c r="J41" s="179"/>
      <c r="K41" s="180"/>
      <c r="L41" s="180"/>
      <c r="M41" s="180"/>
      <c r="N41" s="181"/>
      <c r="P41" s="169"/>
      <c r="Q41" s="170"/>
      <c r="R41" s="170"/>
      <c r="S41" s="170"/>
      <c r="T41" s="171"/>
      <c r="V41" s="169"/>
      <c r="W41" s="170"/>
      <c r="X41" s="170"/>
      <c r="Y41" s="170"/>
      <c r="Z41" s="171"/>
      <c r="AB41" s="169"/>
      <c r="AC41" s="170"/>
      <c r="AD41" s="170"/>
      <c r="AE41" s="170"/>
      <c r="AF41" s="171"/>
    </row>
    <row r="42" spans="2:32" ht="15.75">
      <c r="B42" s="177"/>
      <c r="D42" s="107" t="s">
        <v>136</v>
      </c>
      <c r="E42" s="92"/>
      <c r="F42" s="92"/>
      <c r="G42" s="92"/>
      <c r="H42" s="93"/>
      <c r="J42" s="116" t="s">
        <v>136</v>
      </c>
      <c r="K42" s="35"/>
      <c r="L42" s="35"/>
      <c r="M42" s="35"/>
      <c r="N42" s="117"/>
      <c r="P42" s="107" t="s">
        <v>136</v>
      </c>
      <c r="Q42" s="92"/>
      <c r="R42" s="92"/>
      <c r="S42" s="92"/>
      <c r="T42" s="93"/>
      <c r="V42" s="107" t="s">
        <v>136</v>
      </c>
      <c r="W42" s="92"/>
      <c r="X42" s="92"/>
      <c r="Y42" s="92"/>
      <c r="Z42" s="93"/>
      <c r="AB42" s="107" t="s">
        <v>136</v>
      </c>
      <c r="AC42" s="92"/>
      <c r="AD42" s="92"/>
      <c r="AE42" s="92"/>
      <c r="AF42" s="93"/>
    </row>
    <row r="43" spans="2:32" ht="15.75">
      <c r="B43" s="177"/>
      <c r="D43" s="106"/>
      <c r="E43" s="92"/>
      <c r="F43" s="92"/>
      <c r="G43" s="92"/>
      <c r="H43" s="93"/>
      <c r="J43" s="182" t="s">
        <v>1085</v>
      </c>
      <c r="K43" s="183"/>
      <c r="L43" s="183"/>
      <c r="M43" s="183"/>
      <c r="N43" s="184"/>
      <c r="P43" s="172" t="s">
        <v>1169</v>
      </c>
      <c r="Q43" s="173"/>
      <c r="R43" s="173"/>
      <c r="S43" s="173"/>
      <c r="T43" s="174"/>
      <c r="V43" s="172"/>
      <c r="W43" s="173"/>
      <c r="X43" s="173"/>
      <c r="Y43" s="173"/>
      <c r="Z43" s="174"/>
      <c r="AB43" s="172"/>
      <c r="AC43" s="173"/>
      <c r="AD43" s="173"/>
      <c r="AE43" s="173"/>
      <c r="AF43" s="174"/>
    </row>
    <row r="44" spans="2:32" ht="15.75">
      <c r="B44" s="177"/>
      <c r="D44" s="106"/>
      <c r="E44" s="92"/>
      <c r="F44" s="92"/>
      <c r="G44" s="92"/>
      <c r="H44" s="93"/>
      <c r="J44" s="182"/>
      <c r="K44" s="183"/>
      <c r="L44" s="183"/>
      <c r="M44" s="183"/>
      <c r="N44" s="184"/>
      <c r="P44" s="106"/>
      <c r="Q44" s="92"/>
      <c r="R44" s="92"/>
      <c r="S44" s="92"/>
      <c r="T44" s="93"/>
      <c r="V44" s="106"/>
      <c r="W44" s="92"/>
      <c r="X44" s="92"/>
      <c r="Y44" s="92"/>
      <c r="Z44" s="93"/>
      <c r="AB44" s="106"/>
      <c r="AC44" s="92"/>
      <c r="AD44" s="92"/>
      <c r="AE44" s="92"/>
      <c r="AF44" s="93"/>
    </row>
    <row r="45" spans="2:32" ht="15.75">
      <c r="B45" s="177"/>
      <c r="D45" s="106"/>
      <c r="E45" s="92"/>
      <c r="F45" s="92"/>
      <c r="G45" s="92"/>
      <c r="H45" s="93"/>
      <c r="J45" s="118"/>
      <c r="K45" s="35"/>
      <c r="L45" s="35"/>
      <c r="M45" s="35"/>
      <c r="N45" s="117"/>
      <c r="P45" s="106"/>
      <c r="Q45" s="92"/>
      <c r="R45" s="92"/>
      <c r="S45" s="92"/>
      <c r="T45" s="93"/>
      <c r="V45" s="106"/>
      <c r="W45" s="92"/>
      <c r="X45" s="92"/>
      <c r="Y45" s="92"/>
      <c r="Z45" s="93"/>
      <c r="AB45" s="106"/>
      <c r="AC45" s="92"/>
      <c r="AD45" s="92"/>
      <c r="AE45" s="92"/>
      <c r="AF45" s="93"/>
    </row>
    <row r="46" spans="2:32" ht="15.75">
      <c r="B46" s="177"/>
      <c r="D46" s="107" t="s">
        <v>1076</v>
      </c>
      <c r="E46" s="92"/>
      <c r="F46" s="92"/>
      <c r="G46" s="92"/>
      <c r="H46" s="93"/>
      <c r="J46" s="116" t="s">
        <v>1076</v>
      </c>
      <c r="K46" s="35"/>
      <c r="L46" s="35"/>
      <c r="M46" s="35"/>
      <c r="N46" s="117"/>
      <c r="P46" s="107" t="s">
        <v>1076</v>
      </c>
      <c r="Q46" s="92"/>
      <c r="R46" s="92"/>
      <c r="S46" s="92"/>
      <c r="T46" s="93"/>
      <c r="V46" s="107" t="s">
        <v>1076</v>
      </c>
      <c r="W46" s="92"/>
      <c r="X46" s="92"/>
      <c r="Y46" s="92"/>
      <c r="Z46" s="93"/>
      <c r="AB46" s="107" t="s">
        <v>1076</v>
      </c>
      <c r="AC46" s="92"/>
      <c r="AD46" s="92"/>
      <c r="AE46" s="92"/>
      <c r="AF46" s="93"/>
    </row>
    <row r="47" spans="2:32" ht="15.75">
      <c r="B47" s="177"/>
      <c r="D47" s="106"/>
      <c r="E47" s="92"/>
      <c r="F47" s="92"/>
      <c r="G47" s="92"/>
      <c r="H47" s="93"/>
      <c r="J47" s="182" t="s">
        <v>1087</v>
      </c>
      <c r="K47" s="183"/>
      <c r="L47" s="183"/>
      <c r="M47" s="183"/>
      <c r="N47" s="184"/>
      <c r="P47" s="106"/>
      <c r="Q47" s="92"/>
      <c r="R47" s="92"/>
      <c r="S47" s="92"/>
      <c r="T47" s="93"/>
      <c r="V47" s="106"/>
      <c r="W47" s="92"/>
      <c r="X47" s="92"/>
      <c r="Y47" s="92"/>
      <c r="Z47" s="93"/>
      <c r="AB47" s="106"/>
      <c r="AC47" s="92"/>
      <c r="AD47" s="92"/>
      <c r="AE47" s="92"/>
      <c r="AF47" s="93"/>
    </row>
    <row r="48" spans="2:32" ht="131.44999999999999" customHeight="1">
      <c r="B48" s="177"/>
      <c r="D48" s="106"/>
      <c r="E48" s="92"/>
      <c r="F48" s="92"/>
      <c r="G48" s="92"/>
      <c r="H48" s="93"/>
      <c r="J48" s="182"/>
      <c r="K48" s="183"/>
      <c r="L48" s="183"/>
      <c r="M48" s="183"/>
      <c r="N48" s="184"/>
      <c r="P48" s="106"/>
      <c r="Q48" s="92"/>
      <c r="R48" s="92"/>
      <c r="S48" s="92"/>
      <c r="T48" s="93"/>
      <c r="V48" s="106"/>
      <c r="W48" s="92"/>
      <c r="X48" s="92"/>
      <c r="Y48" s="92"/>
      <c r="Z48" s="93"/>
      <c r="AB48" s="106"/>
      <c r="AC48" s="92"/>
      <c r="AD48" s="92"/>
      <c r="AE48" s="92"/>
      <c r="AF48" s="93"/>
    </row>
    <row r="49" spans="2:32" ht="15.75">
      <c r="B49" s="177"/>
      <c r="D49" s="106"/>
      <c r="E49" s="92"/>
      <c r="F49" s="92"/>
      <c r="G49" s="92"/>
      <c r="H49" s="93"/>
      <c r="J49" s="118"/>
      <c r="K49" s="35"/>
      <c r="L49" s="35"/>
      <c r="M49" s="35"/>
      <c r="N49" s="117"/>
      <c r="P49" s="106"/>
      <c r="Q49" s="92"/>
      <c r="R49" s="92"/>
      <c r="S49" s="92"/>
      <c r="T49" s="93"/>
      <c r="V49" s="106"/>
      <c r="W49" s="92"/>
      <c r="X49" s="92"/>
      <c r="Y49" s="92"/>
      <c r="Z49" s="93"/>
      <c r="AB49" s="106"/>
      <c r="AC49" s="92"/>
      <c r="AD49" s="92"/>
      <c r="AE49" s="92"/>
      <c r="AF49" s="93"/>
    </row>
    <row r="50" spans="2:32" ht="15.75">
      <c r="B50" s="177"/>
      <c r="D50" s="107" t="s">
        <v>1077</v>
      </c>
      <c r="E50" s="92"/>
      <c r="F50" s="92"/>
      <c r="G50" s="92"/>
      <c r="H50" s="93"/>
      <c r="J50" s="116" t="s">
        <v>1077</v>
      </c>
      <c r="K50" s="35"/>
      <c r="L50" s="35"/>
      <c r="M50" s="35"/>
      <c r="N50" s="117"/>
      <c r="P50" s="107" t="s">
        <v>1077</v>
      </c>
      <c r="Q50" s="92"/>
      <c r="R50" s="92"/>
      <c r="S50" s="92"/>
      <c r="T50" s="93"/>
      <c r="V50" s="107" t="s">
        <v>1077</v>
      </c>
      <c r="W50" s="92"/>
      <c r="X50" s="92"/>
      <c r="Y50" s="92"/>
      <c r="Z50" s="93"/>
      <c r="AB50" s="107" t="s">
        <v>1077</v>
      </c>
      <c r="AC50" s="92"/>
      <c r="AD50" s="92"/>
      <c r="AE50" s="92"/>
      <c r="AF50" s="93"/>
    </row>
    <row r="51" spans="2:32" ht="23.45" customHeight="1">
      <c r="B51" s="177"/>
      <c r="D51" s="91"/>
      <c r="E51" s="92"/>
      <c r="F51" s="92"/>
      <c r="G51" s="92"/>
      <c r="H51" s="93"/>
      <c r="J51" s="125" t="s">
        <v>1086</v>
      </c>
      <c r="K51" s="123"/>
      <c r="L51" s="123"/>
      <c r="M51" s="123"/>
      <c r="N51" s="124"/>
      <c r="P51" s="106"/>
      <c r="Q51" s="92"/>
      <c r="R51" s="92"/>
      <c r="S51" s="92"/>
      <c r="T51" s="93"/>
      <c r="V51" s="106"/>
      <c r="W51" s="92"/>
      <c r="X51" s="92"/>
      <c r="Y51" s="92"/>
      <c r="Z51" s="93"/>
      <c r="AB51" s="106"/>
      <c r="AC51" s="92"/>
      <c r="AD51" s="92"/>
      <c r="AE51" s="92"/>
      <c r="AF51" s="93"/>
    </row>
    <row r="52" spans="2:32" ht="15.75">
      <c r="B52" s="177"/>
      <c r="D52" s="91"/>
      <c r="E52" s="92"/>
      <c r="F52" s="92"/>
      <c r="G52" s="92"/>
      <c r="H52" s="93"/>
      <c r="J52" s="119"/>
      <c r="K52" s="35"/>
      <c r="L52" s="35"/>
      <c r="M52" s="35"/>
      <c r="N52" s="117"/>
      <c r="P52" s="106"/>
      <c r="Q52" s="92"/>
      <c r="R52" s="92"/>
      <c r="S52" s="92"/>
      <c r="T52" s="93"/>
      <c r="V52" s="106"/>
      <c r="W52" s="92"/>
      <c r="X52" s="92"/>
      <c r="Y52" s="92"/>
      <c r="Z52" s="93"/>
      <c r="AB52" s="106"/>
      <c r="AC52" s="92"/>
      <c r="AD52" s="92"/>
      <c r="AE52" s="92"/>
      <c r="AF52" s="93"/>
    </row>
    <row r="53" spans="2:32" ht="15.75">
      <c r="B53" s="177"/>
      <c r="D53" s="91"/>
      <c r="E53" s="92"/>
      <c r="F53" s="92"/>
      <c r="G53" s="92"/>
      <c r="H53" s="93"/>
      <c r="J53" s="116" t="s">
        <v>1078</v>
      </c>
      <c r="K53" s="35"/>
      <c r="L53" s="35"/>
      <c r="M53" s="35"/>
      <c r="N53" s="117"/>
      <c r="P53" s="107" t="s">
        <v>1078</v>
      </c>
      <c r="Q53" s="92"/>
      <c r="R53" s="92"/>
      <c r="S53" s="92"/>
      <c r="T53" s="93"/>
      <c r="V53" s="107" t="s">
        <v>1078</v>
      </c>
      <c r="W53" s="92"/>
      <c r="X53" s="92"/>
      <c r="Y53" s="92"/>
      <c r="Z53" s="93"/>
      <c r="AB53" s="107" t="s">
        <v>1078</v>
      </c>
      <c r="AC53" s="92"/>
      <c r="AD53" s="92"/>
      <c r="AE53" s="92"/>
      <c r="AF53" s="93"/>
    </row>
    <row r="54" spans="2:32" ht="246" customHeight="1">
      <c r="B54" s="177"/>
      <c r="D54" s="107" t="s">
        <v>1078</v>
      </c>
      <c r="E54" s="92"/>
      <c r="F54" s="92"/>
      <c r="G54" s="92"/>
      <c r="H54" s="93"/>
      <c r="J54" s="119" t="s">
        <v>273</v>
      </c>
      <c r="K54" s="35"/>
      <c r="L54" s="35"/>
      <c r="M54" s="35"/>
      <c r="N54" s="117"/>
      <c r="P54" s="172" t="s">
        <v>1170</v>
      </c>
      <c r="Q54" s="173"/>
      <c r="R54" s="173"/>
      <c r="S54" s="173"/>
      <c r="T54" s="174"/>
      <c r="V54" s="172"/>
      <c r="W54" s="173"/>
      <c r="X54" s="173"/>
      <c r="Y54" s="173"/>
      <c r="Z54" s="174"/>
      <c r="AB54" s="172"/>
      <c r="AC54" s="173"/>
      <c r="AD54" s="173"/>
      <c r="AE54" s="173"/>
      <c r="AF54" s="174"/>
    </row>
    <row r="55" spans="2:32">
      <c r="B55" s="177"/>
      <c r="D55" s="91"/>
      <c r="E55" s="92"/>
      <c r="F55" s="92"/>
      <c r="G55" s="92"/>
      <c r="H55" s="93"/>
      <c r="J55" s="119"/>
      <c r="K55" s="35"/>
      <c r="L55" s="35"/>
      <c r="M55" s="35"/>
      <c r="N55" s="117"/>
      <c r="P55" s="91"/>
      <c r="Q55" s="92"/>
      <c r="R55" s="92"/>
      <c r="S55" s="92"/>
      <c r="T55" s="93"/>
      <c r="V55" s="91"/>
      <c r="W55" s="92"/>
      <c r="X55" s="92"/>
      <c r="Y55" s="92"/>
      <c r="Z55" s="93"/>
      <c r="AB55" s="91"/>
      <c r="AC55" s="92"/>
      <c r="AD55" s="92"/>
      <c r="AE55" s="92"/>
      <c r="AF55" s="93"/>
    </row>
    <row r="56" spans="2:32">
      <c r="B56" s="177"/>
      <c r="D56" s="91"/>
      <c r="E56" s="92"/>
      <c r="F56" s="92"/>
      <c r="G56" s="92"/>
      <c r="H56" s="93"/>
      <c r="J56" s="119"/>
      <c r="K56" s="35"/>
      <c r="L56" s="35"/>
      <c r="M56" s="35"/>
      <c r="N56" s="117"/>
      <c r="P56" s="91"/>
      <c r="Q56" s="92"/>
      <c r="R56" s="92"/>
      <c r="S56" s="92"/>
      <c r="T56" s="93"/>
      <c r="V56" s="91"/>
      <c r="W56" s="92"/>
      <c r="X56" s="92"/>
      <c r="Y56" s="92"/>
      <c r="Z56" s="93"/>
      <c r="AB56" s="91"/>
      <c r="AC56" s="92"/>
      <c r="AD56" s="92"/>
      <c r="AE56" s="92"/>
      <c r="AF56" s="93"/>
    </row>
    <row r="57" spans="2:32">
      <c r="B57" s="177"/>
      <c r="D57" s="91"/>
      <c r="E57" s="92"/>
      <c r="F57" s="92"/>
      <c r="G57" s="92"/>
      <c r="H57" s="93"/>
      <c r="J57" s="119"/>
      <c r="K57" s="35"/>
      <c r="L57" s="35"/>
      <c r="M57" s="35"/>
      <c r="N57" s="117"/>
      <c r="P57" s="91"/>
      <c r="Q57" s="92"/>
      <c r="R57" s="92"/>
      <c r="S57" s="92"/>
      <c r="T57" s="93"/>
      <c r="V57" s="91"/>
      <c r="W57" s="92"/>
      <c r="X57" s="92"/>
      <c r="Y57" s="92"/>
      <c r="Z57" s="93"/>
      <c r="AB57" s="91"/>
      <c r="AC57" s="92"/>
      <c r="AD57" s="92"/>
      <c r="AE57" s="92"/>
      <c r="AF57" s="93"/>
    </row>
    <row r="58" spans="2:32">
      <c r="B58" s="178"/>
      <c r="D58" s="94"/>
      <c r="E58" s="95"/>
      <c r="F58" s="95"/>
      <c r="G58" s="95"/>
      <c r="H58" s="96"/>
      <c r="J58" s="94"/>
      <c r="K58" s="95"/>
      <c r="L58" s="95"/>
      <c r="M58" s="95"/>
      <c r="N58" s="96"/>
      <c r="P58" s="94"/>
      <c r="Q58" s="95"/>
      <c r="R58" s="95"/>
      <c r="S58" s="95"/>
      <c r="T58" s="96"/>
      <c r="V58" s="94"/>
      <c r="W58" s="95"/>
      <c r="X58" s="95"/>
      <c r="Y58" s="95"/>
      <c r="Z58" s="96"/>
      <c r="AB58" s="94"/>
      <c r="AC58" s="95"/>
      <c r="AD58" s="95"/>
      <c r="AE58" s="95"/>
      <c r="AF58" s="96"/>
    </row>
    <row r="59" spans="2:32">
      <c r="Y59" s="1"/>
      <c r="AE59" s="1"/>
    </row>
    <row r="60" spans="2:32">
      <c r="Y60" s="1"/>
    </row>
    <row r="61" spans="2:32">
      <c r="Y61" s="1"/>
    </row>
    <row r="62" spans="2:32">
      <c r="Y62" s="1"/>
    </row>
    <row r="63" spans="2:32">
      <c r="Y63" s="1"/>
    </row>
    <row r="64" spans="2:32">
      <c r="Y64" s="1"/>
    </row>
    <row r="65" spans="1:16">
      <c r="A65" s="87"/>
      <c r="P65" s="1"/>
    </row>
    <row r="66" spans="1:16">
      <c r="A66" s="87"/>
      <c r="P66" s="1"/>
    </row>
    <row r="67" spans="1:16">
      <c r="A67" s="87"/>
      <c r="P67" s="1"/>
    </row>
    <row r="68" spans="1:16">
      <c r="A68" s="87"/>
      <c r="P68" s="1"/>
    </row>
    <row r="69" spans="1:16">
      <c r="A69" s="87"/>
      <c r="P69" s="1"/>
    </row>
    <row r="70" spans="1:16">
      <c r="A70" s="87"/>
      <c r="P70" s="1"/>
    </row>
    <row r="71" spans="1:16">
      <c r="A71" s="87"/>
    </row>
    <row r="72" spans="1:16">
      <c r="A72" s="87"/>
    </row>
    <row r="73" spans="1:16">
      <c r="A73" s="87"/>
    </row>
    <row r="74" spans="1:16">
      <c r="A74" s="87"/>
    </row>
    <row r="75" spans="1:16">
      <c r="A75" s="87"/>
    </row>
    <row r="76" spans="1:16">
      <c r="A76" s="87"/>
    </row>
    <row r="77" spans="1:16">
      <c r="A77" s="87"/>
    </row>
    <row r="78" spans="1:16">
      <c r="A78" s="87"/>
    </row>
    <row r="79" spans="1:16">
      <c r="A79" s="87"/>
    </row>
    <row r="80" spans="1:16">
      <c r="A80" s="87"/>
    </row>
    <row r="81" spans="1:1">
      <c r="A81" s="87"/>
    </row>
    <row r="82" spans="1:1">
      <c r="A82" s="87"/>
    </row>
    <row r="83" spans="1:1">
      <c r="A83" s="87"/>
    </row>
    <row r="84" spans="1:1">
      <c r="A84" s="87"/>
    </row>
    <row r="85" spans="1:1">
      <c r="A85" s="87"/>
    </row>
    <row r="86" spans="1:1">
      <c r="A86" s="87"/>
    </row>
    <row r="87" spans="1:1">
      <c r="A87" s="87"/>
    </row>
  </sheetData>
  <mergeCells count="24">
    <mergeCell ref="J38:N41"/>
    <mergeCell ref="J43:N44"/>
    <mergeCell ref="J47:N48"/>
    <mergeCell ref="J11:N14"/>
    <mergeCell ref="J16:N16"/>
    <mergeCell ref="J27:N27"/>
    <mergeCell ref="B10:B30"/>
    <mergeCell ref="B37:B58"/>
    <mergeCell ref="D11:H14"/>
    <mergeCell ref="D16:H17"/>
    <mergeCell ref="D20:H21"/>
    <mergeCell ref="AB38:AF41"/>
    <mergeCell ref="AB43:AF43"/>
    <mergeCell ref="AB54:AF54"/>
    <mergeCell ref="P11:T13"/>
    <mergeCell ref="P16:T16"/>
    <mergeCell ref="P24:T25"/>
    <mergeCell ref="P27:T27"/>
    <mergeCell ref="V38:Z41"/>
    <mergeCell ref="V43:Z43"/>
    <mergeCell ref="V54:Z54"/>
    <mergeCell ref="P38:T41"/>
    <mergeCell ref="P43:T43"/>
    <mergeCell ref="P54:T5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5452-0B58-48DE-975B-13BCDADD59FD}">
  <dimension ref="A1:AQ75"/>
  <sheetViews>
    <sheetView showGridLines="0" topLeftCell="A29" zoomScale="62" zoomScaleNormal="85" workbookViewId="0">
      <selection activeCell="C55" sqref="C55"/>
    </sheetView>
  </sheetViews>
  <sheetFormatPr defaultColWidth="8.875" defaultRowHeight="18.75"/>
  <cols>
    <col min="1" max="1" width="3.625" style="136" customWidth="1"/>
    <col min="2" max="2" width="15.5" style="136" customWidth="1"/>
    <col min="3" max="3" width="50.5" style="135" bestFit="1" customWidth="1"/>
    <col min="4" max="4" width="67.375" style="135" customWidth="1"/>
    <col min="5" max="5" width="24" style="135" customWidth="1"/>
    <col min="6" max="6" width="34.25" style="135" bestFit="1" customWidth="1"/>
    <col min="7" max="7" width="28.25" style="135" bestFit="1" customWidth="1"/>
    <col min="8" max="8" width="118.5" style="135" customWidth="1"/>
    <col min="9" max="9" width="43.875" style="135" customWidth="1"/>
    <col min="10" max="10" width="75.5" style="135" customWidth="1"/>
    <col min="11" max="11" width="121.625" style="135" customWidth="1"/>
    <col min="12" max="12" width="26.875" style="135" customWidth="1"/>
    <col min="13" max="13" width="19.125" style="135" customWidth="1"/>
    <col min="14" max="14" width="25.375" style="135" customWidth="1"/>
    <col min="15" max="15" width="22.625" style="135" customWidth="1"/>
    <col min="16" max="16" width="32.375" style="135" customWidth="1"/>
    <col min="17" max="16384" width="8.875" style="135"/>
  </cols>
  <sheetData>
    <row r="1" spans="1:43" ht="48" customHeight="1" thickBot="1">
      <c r="A1" s="134"/>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row>
    <row r="2" spans="1:43" ht="19.5" thickTop="1">
      <c r="A2" s="135"/>
      <c r="B2" s="135"/>
    </row>
    <row r="3" spans="1:43" s="136" customFormat="1" ht="19.5">
      <c r="C3" s="137" t="s">
        <v>1109</v>
      </c>
      <c r="D3" s="138">
        <f ca="1">TODAY()</f>
        <v>45973</v>
      </c>
      <c r="K3" s="135"/>
    </row>
    <row r="4" spans="1:43" s="136" customFormat="1">
      <c r="K4" s="135"/>
    </row>
    <row r="5" spans="1:43" s="136" customFormat="1" ht="19.5">
      <c r="C5" s="186" t="s">
        <v>1111</v>
      </c>
      <c r="D5" s="186"/>
      <c r="E5" s="186"/>
      <c r="F5" s="186"/>
      <c r="K5" s="135"/>
    </row>
    <row r="6" spans="1:43" s="136" customFormat="1" ht="19.5">
      <c r="C6" s="139" t="s">
        <v>1229</v>
      </c>
      <c r="D6" s="140" t="s">
        <v>22</v>
      </c>
      <c r="E6" s="140" t="s">
        <v>23</v>
      </c>
      <c r="F6" s="140" t="s">
        <v>1302</v>
      </c>
      <c r="K6" s="135"/>
    </row>
    <row r="7" spans="1:43" s="136" customFormat="1">
      <c r="B7" s="163">
        <v>23</v>
      </c>
      <c r="C7" s="162" t="s">
        <v>26</v>
      </c>
      <c r="D7" s="141">
        <f>COUNTIF($G$18:$G$1048576,C7)</f>
        <v>23</v>
      </c>
      <c r="E7" s="142">
        <f t="shared" ref="E7:E12" si="0">D7/$D$12</f>
        <v>0.65714285714285714</v>
      </c>
      <c r="F7" s="141">
        <f>D7-B7</f>
        <v>0</v>
      </c>
      <c r="K7" s="135"/>
    </row>
    <row r="8" spans="1:43" s="136" customFormat="1">
      <c r="B8" s="163">
        <v>0</v>
      </c>
      <c r="C8" s="162" t="s">
        <v>1172</v>
      </c>
      <c r="D8" s="141">
        <f>COUNTIF($G$18:$G$1048576,C8)</f>
        <v>0</v>
      </c>
      <c r="E8" s="142">
        <f t="shared" si="0"/>
        <v>0</v>
      </c>
      <c r="F8" s="141">
        <f>D8-B8</f>
        <v>0</v>
      </c>
      <c r="K8" s="135"/>
    </row>
    <row r="9" spans="1:43" s="136" customFormat="1">
      <c r="B9" s="163">
        <v>8</v>
      </c>
      <c r="C9" s="162" t="s">
        <v>1222</v>
      </c>
      <c r="D9" s="141">
        <f>COUNTIF($G$18:$G$1048576,C9)</f>
        <v>8</v>
      </c>
      <c r="E9" s="142">
        <f t="shared" si="0"/>
        <v>0.22857142857142856</v>
      </c>
      <c r="F9" s="141">
        <f>D9-B9</f>
        <v>0</v>
      </c>
      <c r="K9" s="135"/>
    </row>
    <row r="10" spans="1:43" s="136" customFormat="1">
      <c r="B10" s="163">
        <v>3</v>
      </c>
      <c r="C10" s="162" t="s">
        <v>1223</v>
      </c>
      <c r="D10" s="141">
        <f>COUNTIF($G$18:$G$1048576,C10)</f>
        <v>3</v>
      </c>
      <c r="E10" s="142">
        <f t="shared" si="0"/>
        <v>8.5714285714285715E-2</v>
      </c>
      <c r="F10" s="141">
        <f>D10-B10</f>
        <v>0</v>
      </c>
      <c r="K10" s="135"/>
    </row>
    <row r="11" spans="1:43" s="136" customFormat="1">
      <c r="B11" s="163">
        <v>1</v>
      </c>
      <c r="C11" s="162" t="s">
        <v>1168</v>
      </c>
      <c r="D11" s="141">
        <f>COUNTIF($G$18:$G$1048576,C11)</f>
        <v>1</v>
      </c>
      <c r="E11" s="142">
        <f t="shared" si="0"/>
        <v>2.8571428571428571E-2</v>
      </c>
      <c r="F11" s="141">
        <f>D11-B11</f>
        <v>0</v>
      </c>
      <c r="K11" s="135"/>
    </row>
    <row r="12" spans="1:43" ht="19.5">
      <c r="A12" s="135"/>
      <c r="B12" s="158"/>
      <c r="C12" s="139" t="s">
        <v>1110</v>
      </c>
      <c r="D12" s="143">
        <f>COUNTA(C19:C53)</f>
        <v>35</v>
      </c>
      <c r="E12" s="140">
        <f t="shared" si="0"/>
        <v>1</v>
      </c>
      <c r="F12" s="140"/>
    </row>
    <row r="13" spans="1:43">
      <c r="A13" s="135"/>
      <c r="B13" s="135"/>
      <c r="C13" s="144"/>
      <c r="D13" s="144"/>
      <c r="E13" s="144"/>
      <c r="F13" s="144"/>
    </row>
    <row r="14" spans="1:43" ht="19.5">
      <c r="C14" s="137" t="s">
        <v>1112</v>
      </c>
      <c r="D14" s="138">
        <v>45838</v>
      </c>
    </row>
    <row r="15" spans="1:43" ht="19.5">
      <c r="C15" s="137" t="s">
        <v>1232</v>
      </c>
      <c r="D15" s="138" t="s">
        <v>1231</v>
      </c>
    </row>
    <row r="16" spans="1:43">
      <c r="D16" s="145"/>
    </row>
    <row r="17" spans="2:9" ht="19.5">
      <c r="E17" s="185" t="s">
        <v>1304</v>
      </c>
      <c r="F17" s="185"/>
    </row>
    <row r="18" spans="2:9" ht="39">
      <c r="B18" s="157" t="s">
        <v>1225</v>
      </c>
      <c r="C18" s="157" t="s">
        <v>579</v>
      </c>
      <c r="D18" s="137" t="s">
        <v>1081</v>
      </c>
      <c r="E18" s="164" t="s">
        <v>1082</v>
      </c>
      <c r="F18" s="164" t="s">
        <v>1083</v>
      </c>
      <c r="G18" s="137" t="s">
        <v>1116</v>
      </c>
      <c r="H18" s="157" t="s">
        <v>1108</v>
      </c>
      <c r="I18" s="157" t="s">
        <v>1115</v>
      </c>
    </row>
    <row r="19" spans="2:9">
      <c r="B19" s="146">
        <v>1</v>
      </c>
      <c r="C19" s="147" t="s">
        <v>1205</v>
      </c>
      <c r="D19" s="150" t="s">
        <v>1178</v>
      </c>
      <c r="E19" s="149" t="s">
        <v>129</v>
      </c>
      <c r="F19" s="149" t="s">
        <v>1271</v>
      </c>
      <c r="G19" s="154" t="s">
        <v>26</v>
      </c>
      <c r="H19" s="152" t="s">
        <v>273</v>
      </c>
      <c r="I19" s="152" t="s">
        <v>273</v>
      </c>
    </row>
    <row r="20" spans="2:9">
      <c r="B20" s="146">
        <v>2</v>
      </c>
      <c r="C20" s="147" t="s">
        <v>1206</v>
      </c>
      <c r="D20" s="150" t="s">
        <v>1178</v>
      </c>
      <c r="E20" s="149" t="s">
        <v>129</v>
      </c>
      <c r="F20" s="149" t="s">
        <v>1271</v>
      </c>
      <c r="G20" s="154" t="s">
        <v>26</v>
      </c>
      <c r="H20" s="152" t="s">
        <v>273</v>
      </c>
      <c r="I20" s="152" t="s">
        <v>273</v>
      </c>
    </row>
    <row r="21" spans="2:9">
      <c r="B21" s="146">
        <v>3</v>
      </c>
      <c r="C21" s="147" t="s">
        <v>1269</v>
      </c>
      <c r="D21" s="148" t="s">
        <v>1270</v>
      </c>
      <c r="E21" s="149" t="s">
        <v>129</v>
      </c>
      <c r="F21" s="149" t="s">
        <v>1271</v>
      </c>
      <c r="G21" s="154" t="s">
        <v>26</v>
      </c>
      <c r="H21" s="152" t="s">
        <v>273</v>
      </c>
      <c r="I21" s="152"/>
    </row>
    <row r="22" spans="2:9">
      <c r="B22" s="146">
        <v>4</v>
      </c>
      <c r="C22" s="147" t="s">
        <v>427</v>
      </c>
      <c r="D22" s="148" t="s">
        <v>1218</v>
      </c>
      <c r="E22" s="149" t="s">
        <v>129</v>
      </c>
      <c r="F22" s="149" t="s">
        <v>129</v>
      </c>
      <c r="G22" s="154" t="s">
        <v>26</v>
      </c>
      <c r="H22" s="152" t="s">
        <v>273</v>
      </c>
      <c r="I22" s="152" t="s">
        <v>273</v>
      </c>
    </row>
    <row r="23" spans="2:9">
      <c r="B23" s="146">
        <v>4</v>
      </c>
      <c r="C23" s="147" t="s">
        <v>299</v>
      </c>
      <c r="D23" s="148" t="s">
        <v>1270</v>
      </c>
      <c r="E23" s="149" t="s">
        <v>129</v>
      </c>
      <c r="F23" s="149" t="s">
        <v>129</v>
      </c>
      <c r="G23" s="154" t="s">
        <v>26</v>
      </c>
      <c r="H23" s="152" t="s">
        <v>273</v>
      </c>
      <c r="I23" s="152"/>
    </row>
    <row r="24" spans="2:9">
      <c r="B24" s="146">
        <v>5</v>
      </c>
      <c r="C24" s="147" t="s">
        <v>1268</v>
      </c>
      <c r="D24" s="148" t="s">
        <v>1270</v>
      </c>
      <c r="E24" s="149" t="s">
        <v>129</v>
      </c>
      <c r="F24" s="149" t="s">
        <v>129</v>
      </c>
      <c r="G24" s="154" t="s">
        <v>26</v>
      </c>
      <c r="H24" s="152" t="s">
        <v>273</v>
      </c>
      <c r="I24" s="152" t="s">
        <v>273</v>
      </c>
    </row>
    <row r="25" spans="2:9" ht="37.5">
      <c r="B25" s="146">
        <v>6</v>
      </c>
      <c r="C25" s="147" t="s">
        <v>49</v>
      </c>
      <c r="D25" s="148" t="s">
        <v>1084</v>
      </c>
      <c r="E25" s="149" t="s">
        <v>129</v>
      </c>
      <c r="F25" s="149" t="s">
        <v>129</v>
      </c>
      <c r="G25" s="154" t="s">
        <v>26</v>
      </c>
      <c r="H25" s="153" t="s">
        <v>1165</v>
      </c>
      <c r="I25" s="153" t="s">
        <v>273</v>
      </c>
    </row>
    <row r="26" spans="2:9" ht="37.5">
      <c r="B26" s="146">
        <v>7</v>
      </c>
      <c r="C26" s="147" t="s">
        <v>50</v>
      </c>
      <c r="D26" s="148" t="s">
        <v>1084</v>
      </c>
      <c r="E26" s="149" t="s">
        <v>129</v>
      </c>
      <c r="F26" s="149" t="s">
        <v>129</v>
      </c>
      <c r="G26" s="154" t="s">
        <v>26</v>
      </c>
      <c r="H26" s="153" t="s">
        <v>1165</v>
      </c>
      <c r="I26" s="153" t="s">
        <v>273</v>
      </c>
    </row>
    <row r="27" spans="2:9">
      <c r="B27" s="146">
        <v>8</v>
      </c>
      <c r="C27" s="147" t="s">
        <v>47</v>
      </c>
      <c r="D27" s="148" t="s">
        <v>1084</v>
      </c>
      <c r="E27" s="149" t="s">
        <v>129</v>
      </c>
      <c r="F27" s="149" t="s">
        <v>129</v>
      </c>
      <c r="G27" s="154" t="s">
        <v>26</v>
      </c>
      <c r="H27" s="153" t="s">
        <v>1179</v>
      </c>
      <c r="I27" s="152" t="s">
        <v>273</v>
      </c>
    </row>
    <row r="28" spans="2:9" ht="75">
      <c r="B28" s="146">
        <v>9</v>
      </c>
      <c r="C28" s="147" t="s">
        <v>503</v>
      </c>
      <c r="D28" s="150" t="s">
        <v>1178</v>
      </c>
      <c r="E28" s="149" t="s">
        <v>129</v>
      </c>
      <c r="F28" s="151" t="s">
        <v>129</v>
      </c>
      <c r="G28" s="154" t="s">
        <v>26</v>
      </c>
      <c r="H28" s="153" t="s">
        <v>1226</v>
      </c>
      <c r="I28" s="152" t="s">
        <v>273</v>
      </c>
    </row>
    <row r="29" spans="2:9">
      <c r="B29" s="146">
        <v>10</v>
      </c>
      <c r="C29" s="147" t="s">
        <v>451</v>
      </c>
      <c r="D29" s="148" t="s">
        <v>1219</v>
      </c>
      <c r="E29" s="149" t="s">
        <v>129</v>
      </c>
      <c r="F29" s="149" t="s">
        <v>129</v>
      </c>
      <c r="G29" s="154" t="s">
        <v>26</v>
      </c>
      <c r="H29" s="152" t="s">
        <v>273</v>
      </c>
      <c r="I29" s="152" t="s">
        <v>273</v>
      </c>
    </row>
    <row r="30" spans="2:9">
      <c r="B30" s="146">
        <v>11</v>
      </c>
      <c r="C30" s="147" t="s">
        <v>48</v>
      </c>
      <c r="D30" s="148" t="s">
        <v>1084</v>
      </c>
      <c r="E30" s="149" t="s">
        <v>129</v>
      </c>
      <c r="F30" s="149" t="s">
        <v>129</v>
      </c>
      <c r="G30" s="154" t="s">
        <v>26</v>
      </c>
      <c r="H30" s="153" t="s">
        <v>1260</v>
      </c>
      <c r="I30" s="153" t="s">
        <v>273</v>
      </c>
    </row>
    <row r="31" spans="2:9" ht="56.25">
      <c r="B31" s="146">
        <v>12</v>
      </c>
      <c r="C31" s="147" t="s">
        <v>491</v>
      </c>
      <c r="D31" s="150" t="s">
        <v>1207</v>
      </c>
      <c r="E31" s="149" t="s">
        <v>129</v>
      </c>
      <c r="F31" s="149" t="s">
        <v>129</v>
      </c>
      <c r="G31" s="154" t="s">
        <v>26</v>
      </c>
      <c r="H31" s="153" t="s">
        <v>273</v>
      </c>
      <c r="I31" s="153"/>
    </row>
    <row r="32" spans="2:9">
      <c r="B32" s="146">
        <v>14</v>
      </c>
      <c r="C32" s="147" t="s">
        <v>292</v>
      </c>
      <c r="D32" s="148" t="s">
        <v>1218</v>
      </c>
      <c r="E32" s="149" t="s">
        <v>129</v>
      </c>
      <c r="F32" s="151" t="s">
        <v>1228</v>
      </c>
      <c r="G32" s="154" t="s">
        <v>26</v>
      </c>
      <c r="H32" s="153" t="s">
        <v>1301</v>
      </c>
      <c r="I32" s="152" t="s">
        <v>273</v>
      </c>
    </row>
    <row r="33" spans="2:9">
      <c r="B33" s="146">
        <v>15</v>
      </c>
      <c r="C33" s="147" t="s">
        <v>401</v>
      </c>
      <c r="D33" s="148" t="s">
        <v>1219</v>
      </c>
      <c r="E33" s="149" t="s">
        <v>129</v>
      </c>
      <c r="F33" s="151" t="s">
        <v>1228</v>
      </c>
      <c r="G33" s="154" t="s">
        <v>26</v>
      </c>
      <c r="H33" s="152" t="s">
        <v>1303</v>
      </c>
      <c r="I33" s="152" t="s">
        <v>273</v>
      </c>
    </row>
    <row r="34" spans="2:9">
      <c r="B34" s="146">
        <v>16</v>
      </c>
      <c r="C34" s="147" t="s">
        <v>52</v>
      </c>
      <c r="D34" s="148" t="s">
        <v>1084</v>
      </c>
      <c r="E34" s="149" t="s">
        <v>129</v>
      </c>
      <c r="F34" s="151" t="s">
        <v>1228</v>
      </c>
      <c r="G34" s="154" t="s">
        <v>26</v>
      </c>
      <c r="H34" s="153" t="s">
        <v>1236</v>
      </c>
      <c r="I34" s="153" t="s">
        <v>273</v>
      </c>
    </row>
    <row r="35" spans="2:9">
      <c r="B35" s="146">
        <v>17</v>
      </c>
      <c r="C35" s="147" t="s">
        <v>51</v>
      </c>
      <c r="D35" s="148" t="s">
        <v>1084</v>
      </c>
      <c r="E35" s="149" t="s">
        <v>129</v>
      </c>
      <c r="F35" s="151" t="s">
        <v>1228</v>
      </c>
      <c r="G35" s="154" t="s">
        <v>26</v>
      </c>
      <c r="H35" s="153" t="s">
        <v>1237</v>
      </c>
      <c r="I35" s="153" t="s">
        <v>273</v>
      </c>
    </row>
    <row r="36" spans="2:9">
      <c r="B36" s="146">
        <v>18</v>
      </c>
      <c r="C36" s="147" t="s">
        <v>54</v>
      </c>
      <c r="D36" s="148" t="s">
        <v>1084</v>
      </c>
      <c r="E36" s="149" t="s">
        <v>129</v>
      </c>
      <c r="F36" s="151" t="s">
        <v>1228</v>
      </c>
      <c r="G36" s="154" t="s">
        <v>26</v>
      </c>
      <c r="H36" s="153" t="s">
        <v>1238</v>
      </c>
      <c r="I36" s="153" t="s">
        <v>273</v>
      </c>
    </row>
    <row r="37" spans="2:9" ht="112.5">
      <c r="B37" s="146">
        <v>19</v>
      </c>
      <c r="C37" s="147" t="s">
        <v>193</v>
      </c>
      <c r="D37" s="153" t="s">
        <v>1207</v>
      </c>
      <c r="E37" s="149" t="s">
        <v>129</v>
      </c>
      <c r="F37" s="151" t="s">
        <v>1228</v>
      </c>
      <c r="G37" s="154" t="s">
        <v>26</v>
      </c>
      <c r="H37" s="153" t="s">
        <v>1221</v>
      </c>
      <c r="I37" s="152" t="s">
        <v>273</v>
      </c>
    </row>
    <row r="38" spans="2:9">
      <c r="B38" s="146">
        <v>20</v>
      </c>
      <c r="C38" s="147" t="s">
        <v>430</v>
      </c>
      <c r="D38" s="152" t="s">
        <v>1218</v>
      </c>
      <c r="E38" s="149" t="s">
        <v>129</v>
      </c>
      <c r="F38" s="151" t="s">
        <v>1228</v>
      </c>
      <c r="G38" s="154" t="s">
        <v>26</v>
      </c>
      <c r="H38" s="152" t="s">
        <v>1227</v>
      </c>
      <c r="I38" s="152" t="s">
        <v>273</v>
      </c>
    </row>
    <row r="39" spans="2:9" ht="37.5">
      <c r="B39" s="146">
        <v>21</v>
      </c>
      <c r="C39" s="147" t="s">
        <v>305</v>
      </c>
      <c r="D39" s="153" t="s">
        <v>1178</v>
      </c>
      <c r="E39" s="149" t="s">
        <v>129</v>
      </c>
      <c r="F39" s="151" t="s">
        <v>1228</v>
      </c>
      <c r="G39" s="154" t="s">
        <v>26</v>
      </c>
      <c r="H39" s="153" t="s">
        <v>1305</v>
      </c>
      <c r="I39" s="153" t="s">
        <v>1233</v>
      </c>
    </row>
    <row r="40" spans="2:9">
      <c r="B40" s="146">
        <v>22</v>
      </c>
      <c r="C40" s="147" t="s">
        <v>53</v>
      </c>
      <c r="D40" s="152" t="s">
        <v>1084</v>
      </c>
      <c r="E40" s="149" t="s">
        <v>129</v>
      </c>
      <c r="F40" s="151" t="s">
        <v>1228</v>
      </c>
      <c r="G40" s="154" t="s">
        <v>26</v>
      </c>
      <c r="H40" s="153" t="s">
        <v>1239</v>
      </c>
      <c r="I40" s="153" t="s">
        <v>273</v>
      </c>
    </row>
    <row r="41" spans="2:9" ht="37.5">
      <c r="B41" s="146">
        <v>23</v>
      </c>
      <c r="C41" s="147" t="s">
        <v>41</v>
      </c>
      <c r="D41" s="148" t="s">
        <v>1084</v>
      </c>
      <c r="E41" s="149" t="s">
        <v>129</v>
      </c>
      <c r="F41" s="149" t="s">
        <v>145</v>
      </c>
      <c r="G41" s="155" t="s">
        <v>1222</v>
      </c>
      <c r="H41" s="152" t="s">
        <v>1113</v>
      </c>
      <c r="I41" s="153" t="s">
        <v>1224</v>
      </c>
    </row>
    <row r="42" spans="2:9" ht="56.25">
      <c r="B42" s="146">
        <v>24</v>
      </c>
      <c r="C42" s="147" t="s">
        <v>44</v>
      </c>
      <c r="D42" s="148" t="s">
        <v>1084</v>
      </c>
      <c r="E42" s="149" t="s">
        <v>129</v>
      </c>
      <c r="F42" s="149" t="s">
        <v>145</v>
      </c>
      <c r="G42" s="155" t="s">
        <v>1222</v>
      </c>
      <c r="H42" s="153" t="s">
        <v>1259</v>
      </c>
      <c r="I42" s="153" t="s">
        <v>273</v>
      </c>
    </row>
    <row r="43" spans="2:9" ht="56.25">
      <c r="B43" s="146">
        <v>25</v>
      </c>
      <c r="C43" s="147" t="s">
        <v>45</v>
      </c>
      <c r="D43" s="148" t="s">
        <v>1084</v>
      </c>
      <c r="E43" s="149" t="s">
        <v>129</v>
      </c>
      <c r="F43" s="149" t="s">
        <v>145</v>
      </c>
      <c r="G43" s="155" t="s">
        <v>1222</v>
      </c>
      <c r="H43" s="153" t="s">
        <v>1166</v>
      </c>
      <c r="I43" s="153" t="s">
        <v>273</v>
      </c>
    </row>
    <row r="44" spans="2:9">
      <c r="B44" s="146">
        <v>26</v>
      </c>
      <c r="C44" s="147" t="s">
        <v>46</v>
      </c>
      <c r="D44" s="148" t="s">
        <v>1084</v>
      </c>
      <c r="E44" s="149" t="s">
        <v>129</v>
      </c>
      <c r="F44" s="149" t="s">
        <v>145</v>
      </c>
      <c r="G44" s="155" t="s">
        <v>1222</v>
      </c>
      <c r="H44" s="152" t="s">
        <v>1258</v>
      </c>
      <c r="I44" s="152" t="s">
        <v>273</v>
      </c>
    </row>
    <row r="45" spans="2:9">
      <c r="B45" s="146">
        <v>27</v>
      </c>
      <c r="C45" s="147" t="s">
        <v>134</v>
      </c>
      <c r="D45" s="148" t="s">
        <v>1218</v>
      </c>
      <c r="E45" s="149" t="s">
        <v>129</v>
      </c>
      <c r="F45" s="149" t="s">
        <v>145</v>
      </c>
      <c r="G45" s="155" t="s">
        <v>1222</v>
      </c>
      <c r="H45" s="152" t="s">
        <v>1258</v>
      </c>
      <c r="I45" s="152" t="s">
        <v>273</v>
      </c>
    </row>
    <row r="46" spans="2:9">
      <c r="B46" s="146">
        <v>28</v>
      </c>
      <c r="C46" s="147" t="s">
        <v>415</v>
      </c>
      <c r="D46" s="148" t="s">
        <v>1219</v>
      </c>
      <c r="E46" s="149" t="s">
        <v>129</v>
      </c>
      <c r="F46" s="149" t="s">
        <v>145</v>
      </c>
      <c r="G46" s="155" t="s">
        <v>1222</v>
      </c>
      <c r="H46" s="152" t="s">
        <v>1272</v>
      </c>
      <c r="I46" s="152" t="s">
        <v>273</v>
      </c>
    </row>
    <row r="47" spans="2:9">
      <c r="B47" s="146">
        <v>29</v>
      </c>
      <c r="C47" s="147" t="s">
        <v>192</v>
      </c>
      <c r="D47" s="148" t="s">
        <v>1219</v>
      </c>
      <c r="E47" s="149" t="s">
        <v>129</v>
      </c>
      <c r="F47" s="149" t="s">
        <v>145</v>
      </c>
      <c r="G47" s="155" t="s">
        <v>1222</v>
      </c>
      <c r="H47" s="152" t="s">
        <v>1281</v>
      </c>
      <c r="I47" s="152" t="s">
        <v>273</v>
      </c>
    </row>
    <row r="48" spans="2:9">
      <c r="B48" s="146">
        <v>30</v>
      </c>
      <c r="C48" s="147" t="s">
        <v>1267</v>
      </c>
      <c r="D48" s="148" t="s">
        <v>1270</v>
      </c>
      <c r="E48" s="149" t="s">
        <v>129</v>
      </c>
      <c r="F48" s="149" t="s">
        <v>145</v>
      </c>
      <c r="G48" s="155" t="s">
        <v>1222</v>
      </c>
      <c r="H48" s="152" t="s">
        <v>1280</v>
      </c>
      <c r="I48" s="152" t="s">
        <v>273</v>
      </c>
    </row>
    <row r="49" spans="1:9">
      <c r="B49" s="146">
        <v>31</v>
      </c>
      <c r="C49" s="165" t="s">
        <v>1266</v>
      </c>
      <c r="D49" s="148" t="s">
        <v>1270</v>
      </c>
      <c r="E49" s="149" t="s">
        <v>145</v>
      </c>
      <c r="F49" s="149" t="s">
        <v>145</v>
      </c>
      <c r="G49" s="155" t="s">
        <v>1223</v>
      </c>
      <c r="H49" s="152" t="s">
        <v>1285</v>
      </c>
      <c r="I49" s="152" t="s">
        <v>273</v>
      </c>
    </row>
    <row r="50" spans="1:9">
      <c r="B50" s="146">
        <v>32</v>
      </c>
      <c r="C50" s="165" t="s">
        <v>442</v>
      </c>
      <c r="D50" s="148" t="s">
        <v>1219</v>
      </c>
      <c r="E50" s="149" t="s">
        <v>145</v>
      </c>
      <c r="F50" s="149" t="s">
        <v>145</v>
      </c>
      <c r="G50" s="155" t="s">
        <v>1223</v>
      </c>
      <c r="H50" s="152" t="s">
        <v>1286</v>
      </c>
      <c r="I50" s="152" t="s">
        <v>1282</v>
      </c>
    </row>
    <row r="51" spans="1:9">
      <c r="B51" s="146">
        <v>33</v>
      </c>
      <c r="C51" s="165" t="s">
        <v>438</v>
      </c>
      <c r="D51" s="148" t="s">
        <v>1219</v>
      </c>
      <c r="E51" s="149" t="s">
        <v>145</v>
      </c>
      <c r="F51" s="149" t="s">
        <v>145</v>
      </c>
      <c r="G51" s="155" t="s">
        <v>1223</v>
      </c>
      <c r="H51" s="152" t="s">
        <v>1287</v>
      </c>
      <c r="I51" s="152" t="s">
        <v>273</v>
      </c>
    </row>
    <row r="52" spans="1:9">
      <c r="B52" s="146">
        <v>34</v>
      </c>
      <c r="C52" s="147" t="s">
        <v>295</v>
      </c>
      <c r="D52" s="148" t="s">
        <v>1084</v>
      </c>
      <c r="E52" s="149" t="s">
        <v>273</v>
      </c>
      <c r="F52" s="149" t="s">
        <v>273</v>
      </c>
      <c r="G52" s="155" t="s">
        <v>1168</v>
      </c>
      <c r="H52" s="152" t="s">
        <v>273</v>
      </c>
      <c r="I52" s="152" t="s">
        <v>1230</v>
      </c>
    </row>
    <row r="53" spans="1:9" s="127" customFormat="1">
      <c r="A53" s="128"/>
      <c r="B53" s="146">
        <v>35</v>
      </c>
      <c r="C53" s="147" t="s">
        <v>278</v>
      </c>
      <c r="D53" s="148" t="s">
        <v>1084</v>
      </c>
      <c r="E53" s="131" t="s">
        <v>129</v>
      </c>
      <c r="F53" s="131" t="s">
        <v>129</v>
      </c>
      <c r="G53" s="154" t="s">
        <v>26</v>
      </c>
      <c r="H53" s="129" t="s">
        <v>273</v>
      </c>
      <c r="I53" s="130" t="s">
        <v>273</v>
      </c>
    </row>
    <row r="54" spans="1:9" ht="72" customHeight="1"/>
    <row r="56" spans="1:9" ht="19.5">
      <c r="C56" s="156"/>
    </row>
    <row r="57" spans="1:9" ht="19.5">
      <c r="C57" s="156"/>
    </row>
    <row r="58" spans="1:9" ht="19.5">
      <c r="C58" s="156"/>
    </row>
    <row r="59" spans="1:9" ht="19.5">
      <c r="C59" s="156"/>
    </row>
    <row r="74" ht="14.45" customHeight="1"/>
    <row r="75" ht="15.6" customHeight="1"/>
  </sheetData>
  <autoFilter ref="B18:I53" xr:uid="{E2A05452-0B58-48DE-975B-13BCDADD59FD}">
    <sortState xmlns:xlrd2="http://schemas.microsoft.com/office/spreadsheetml/2017/richdata2" ref="B19:I53">
      <sortCondition ref="B18:B53"/>
    </sortState>
  </autoFilter>
  <mergeCells count="2">
    <mergeCell ref="E17:F17"/>
    <mergeCell ref="C5:F5"/>
  </mergeCells>
  <conditionalFormatting sqref="E17:E28 E30 E23:F23 G14:G15 E44:F53">
    <cfRule type="cellIs" dxfId="31" priority="108" operator="equal">
      <formula>"NOK"</formula>
    </cfRule>
  </conditionalFormatting>
  <conditionalFormatting sqref="E25:E26 E30">
    <cfRule type="cellIs" dxfId="30" priority="107" operator="equal">
      <formula>"NOK"</formula>
    </cfRule>
  </conditionalFormatting>
  <conditionalFormatting sqref="E32:E43 E42:F42">
    <cfRule type="cellIs" dxfId="29" priority="30" operator="equal">
      <formula>"NOK"</formula>
    </cfRule>
    <cfRule type="cellIs" dxfId="28" priority="31" operator="equal">
      <formula>"NOK"</formula>
    </cfRule>
  </conditionalFormatting>
  <conditionalFormatting sqref="E18:F53">
    <cfRule type="cellIs" dxfId="27" priority="1" operator="equal">
      <formula>"OK"</formula>
    </cfRule>
  </conditionalFormatting>
  <conditionalFormatting sqref="E23:F23 E31:F31 E44:F53">
    <cfRule type="cellIs" dxfId="26" priority="111" operator="equal">
      <formula>"NOK"</formula>
    </cfRule>
  </conditionalFormatting>
  <conditionalFormatting sqref="E25:F26 E29:E30 F20:F31 F18">
    <cfRule type="cellIs" dxfId="25" priority="110" operator="equal">
      <formula>"NOK"</formula>
    </cfRule>
  </conditionalFormatting>
  <conditionalFormatting sqref="E29:F29 G1 G65:G1048576">
    <cfRule type="cellIs" dxfId="24" priority="175" operator="equal">
      <formula>"NOK"</formula>
    </cfRule>
  </conditionalFormatting>
  <conditionalFormatting sqref="E29:F29">
    <cfRule type="cellIs" dxfId="23" priority="163" operator="equal">
      <formula>"NOK"</formula>
    </cfRule>
    <cfRule type="cellIs" dxfId="22" priority="164" operator="equal">
      <formula>"NOK"</formula>
    </cfRule>
  </conditionalFormatting>
  <conditionalFormatting sqref="F19">
    <cfRule type="cellIs" dxfId="21" priority="61" operator="equal">
      <formula>"NOK"</formula>
    </cfRule>
  </conditionalFormatting>
  <conditionalFormatting sqref="F21:F28">
    <cfRule type="cellIs" dxfId="20" priority="98" operator="equal">
      <formula>"NOK"</formula>
    </cfRule>
  </conditionalFormatting>
  <conditionalFormatting sqref="F23:F25">
    <cfRule type="cellIs" dxfId="19" priority="97" operator="equal">
      <formula>"NOK"</formula>
    </cfRule>
  </conditionalFormatting>
  <conditionalFormatting sqref="F28">
    <cfRule type="cellIs" dxfId="18" priority="114" operator="equal">
      <formula>"NOK"</formula>
    </cfRule>
  </conditionalFormatting>
  <conditionalFormatting sqref="F30">
    <cfRule type="cellIs" dxfId="17" priority="41" operator="equal">
      <formula>"NOK"</formula>
    </cfRule>
    <cfRule type="cellIs" dxfId="16" priority="43" operator="equal">
      <formula>"NOK"</formula>
    </cfRule>
  </conditionalFormatting>
  <conditionalFormatting sqref="F30:F31">
    <cfRule type="cellIs" dxfId="15" priority="42" operator="equal">
      <formula>"NOK"</formula>
    </cfRule>
  </conditionalFormatting>
  <conditionalFormatting sqref="F32">
    <cfRule type="cellIs" dxfId="14" priority="2" operator="equal">
      <formula>"NOK"</formula>
    </cfRule>
  </conditionalFormatting>
  <conditionalFormatting sqref="F32:F40">
    <cfRule type="cellIs" dxfId="13" priority="16" operator="equal">
      <formula>"NOK"</formula>
    </cfRule>
  </conditionalFormatting>
  <conditionalFormatting sqref="F34:F39">
    <cfRule type="cellIs" dxfId="12" priority="15" operator="equal">
      <formula>"NOK"</formula>
    </cfRule>
    <cfRule type="cellIs" dxfId="11" priority="17" operator="equal">
      <formula>"NOK"</formula>
    </cfRule>
  </conditionalFormatting>
  <conditionalFormatting sqref="F41:F43">
    <cfRule type="cellIs" dxfId="10" priority="4" operator="equal">
      <formula>"NOK"</formula>
    </cfRule>
    <cfRule type="cellIs" dxfId="9" priority="5" operator="equal">
      <formula>"NOK"</formula>
    </cfRule>
  </conditionalFormatting>
  <conditionalFormatting sqref="G17">
    <cfRule type="cellIs" dxfId="8" priority="66" operator="equal">
      <formula>"NOK"</formula>
    </cfRule>
    <cfRule type="cellIs" dxfId="7" priority="67" operator="equal">
      <formula>"OK"</formula>
    </cfRule>
  </conditionalFormatting>
  <conditionalFormatting sqref="G19:G53">
    <cfRule type="cellIs" dxfId="6" priority="20" operator="equal">
      <formula>"Reaberto"</formula>
    </cfRule>
  </conditionalFormatting>
  <conditionalFormatting sqref="G1:H1 G65:H1048576">
    <cfRule type="cellIs" dxfId="5" priority="168" operator="equal">
      <formula>"OK"</formula>
    </cfRule>
  </conditionalFormatting>
  <conditionalFormatting sqref="G14:H15 E17">
    <cfRule type="cellIs" dxfId="4" priority="121" operator="equal">
      <formula>"OK"</formula>
    </cfRule>
  </conditionalFormatting>
  <conditionalFormatting sqref="H1 H14:H17 H65:H1048576">
    <cfRule type="cellIs" dxfId="3" priority="169" operator="equal">
      <formula>"NOK"</formula>
    </cfRule>
  </conditionalFormatting>
  <conditionalFormatting sqref="H16:H17">
    <cfRule type="cellIs" dxfId="2" priority="96" operator="equal">
      <formula>"OK"</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8DCF-2B58-407B-B96D-87CEB4034006}">
  <sheetPr filterMode="1"/>
  <dimension ref="A1:K1839"/>
  <sheetViews>
    <sheetView zoomScale="70" workbookViewId="0">
      <selection activeCell="A1845" sqref="A1845"/>
    </sheetView>
  </sheetViews>
  <sheetFormatPr defaultColWidth="8.875" defaultRowHeight="15"/>
  <cols>
    <col min="1" max="1" width="22.125" style="166" bestFit="1" customWidth="1"/>
    <col min="2" max="2" width="42.125" style="166" customWidth="1"/>
    <col min="3" max="3" width="19.5" style="166" bestFit="1" customWidth="1"/>
    <col min="4" max="4" width="42.375" style="166" bestFit="1" customWidth="1"/>
    <col min="5" max="5" width="34.375" style="166" bestFit="1" customWidth="1"/>
    <col min="6" max="6" width="17.625" style="166" bestFit="1" customWidth="1"/>
    <col min="7" max="7" width="27.75" style="166" bestFit="1" customWidth="1"/>
    <col min="8" max="8" width="18.375" style="166" bestFit="1" customWidth="1"/>
    <col min="9" max="9" width="18.5" style="166" bestFit="1" customWidth="1"/>
    <col min="10" max="10" width="12.5" style="166" bestFit="1" customWidth="1"/>
    <col min="11" max="11" width="53.75" style="166" bestFit="1" customWidth="1"/>
    <col min="12" max="16384" width="8.875" style="166"/>
  </cols>
  <sheetData>
    <row r="1" spans="1:11">
      <c r="A1" s="166" t="s">
        <v>1117</v>
      </c>
      <c r="B1" s="166" t="s">
        <v>1118</v>
      </c>
      <c r="C1" s="166" t="s">
        <v>1119</v>
      </c>
      <c r="D1" s="166" t="s">
        <v>1120</v>
      </c>
      <c r="E1" s="166" t="s">
        <v>1121</v>
      </c>
      <c r="F1" s="166" t="s">
        <v>1122</v>
      </c>
      <c r="G1" s="166" t="s">
        <v>1123</v>
      </c>
      <c r="H1" s="166" t="s">
        <v>1124</v>
      </c>
      <c r="I1" s="166" t="s">
        <v>1125</v>
      </c>
      <c r="J1" s="166" t="s">
        <v>1126</v>
      </c>
      <c r="K1" s="166" t="s">
        <v>5006</v>
      </c>
    </row>
    <row r="2" spans="1:11" hidden="1">
      <c r="A2" s="166" t="s">
        <v>1334</v>
      </c>
      <c r="B2" s="166" t="s">
        <v>1335</v>
      </c>
      <c r="C2" s="166" t="s">
        <v>1336</v>
      </c>
      <c r="D2" s="166" t="s">
        <v>577</v>
      </c>
      <c r="E2" s="166" t="s">
        <v>1337</v>
      </c>
      <c r="F2" s="166" t="s">
        <v>1338</v>
      </c>
      <c r="G2" s="166" t="s">
        <v>129</v>
      </c>
      <c r="H2" s="166">
        <v>2138857</v>
      </c>
      <c r="I2" s="166">
        <v>0</v>
      </c>
      <c r="J2" s="166">
        <v>0</v>
      </c>
      <c r="K2" s="166" t="str">
        <f>_xlfn.CONCAT(_xlfn.IFS(ISNUMBER(SEARCH("EN",A2)),"ENTITY",ISNUMBER(SEARCH("IN",A2)),"INSTRUMENT",ISNUMBER(SEARCH("PR",A2)),"PROTECTION",ISNUMBER(SEARCH("IP",A2)),"INSTR_PROTECTION",ISNUMBER(SEARCH("IE",A2)),"INSTR_ENTITY",ISNUMBER(SEARCH("AC",A2)),"INSTR_ACTIVITY"),D2)</f>
        <v>INSTR_ACTIVITYPRCNTG_ACTVTY</v>
      </c>
    </row>
    <row r="3" spans="1:11" hidden="1">
      <c r="A3" s="166" t="s">
        <v>1339</v>
      </c>
      <c r="B3" s="166" t="s">
        <v>1340</v>
      </c>
      <c r="C3" s="166" t="s">
        <v>1336</v>
      </c>
      <c r="D3" s="166" t="s">
        <v>1341</v>
      </c>
      <c r="E3" s="166" t="s">
        <v>1337</v>
      </c>
      <c r="F3" s="166" t="s">
        <v>1338</v>
      </c>
      <c r="G3" s="166" t="s">
        <v>129</v>
      </c>
      <c r="H3" s="166">
        <v>2138857</v>
      </c>
      <c r="I3" s="166">
        <v>0</v>
      </c>
      <c r="J3" s="166">
        <v>0</v>
      </c>
      <c r="K3" s="166" t="str">
        <f t="shared" ref="K3:K66" si="0">_xlfn.CONCAT(_xlfn.IFS(ISNUMBER(SEARCH("EN",A3)),"ENTITY",ISNUMBER(SEARCH("IN",A3)),"INSTRUMENT",ISNUMBER(SEARCH("PR",A3)),"PROTECTION",ISNUMBER(SEARCH("IP",A3)),"INSTR_PROTECTION",ISNUMBER(SEARCH("IE",A3)),"INSTR_ENTITY",ISNUMBER(SEARCH("AC",A3)),"INSTR_ACTIVITY"),D3)</f>
        <v>INSTR_ACTIVITYENVRNMNTL_OBJCTV</v>
      </c>
    </row>
    <row r="4" spans="1:11" hidden="1">
      <c r="A4" s="166" t="s">
        <v>1342</v>
      </c>
      <c r="B4" s="166" t="s">
        <v>1343</v>
      </c>
      <c r="C4" s="166" t="s">
        <v>1336</v>
      </c>
      <c r="D4" s="166" t="s">
        <v>1344</v>
      </c>
      <c r="E4" s="166" t="s">
        <v>1345</v>
      </c>
      <c r="F4" s="166" t="s">
        <v>1338</v>
      </c>
      <c r="G4" s="166" t="s">
        <v>129</v>
      </c>
      <c r="H4" s="166">
        <v>2138857</v>
      </c>
      <c r="I4" s="166">
        <v>0</v>
      </c>
      <c r="J4" s="166">
        <v>0</v>
      </c>
      <c r="K4" s="166" t="str">
        <f t="shared" si="0"/>
        <v>INSTR_ACTIVITYSSTNBL_INDCTR</v>
      </c>
    </row>
    <row r="5" spans="1:11" hidden="1">
      <c r="A5" s="166" t="s">
        <v>1346</v>
      </c>
      <c r="B5" s="166" t="s">
        <v>1347</v>
      </c>
      <c r="C5" s="166" t="s">
        <v>1336</v>
      </c>
      <c r="D5" s="166" t="s">
        <v>1348</v>
      </c>
      <c r="E5" s="166" t="s">
        <v>1345</v>
      </c>
      <c r="F5" s="166" t="s">
        <v>1338</v>
      </c>
      <c r="G5" s="166" t="s">
        <v>129</v>
      </c>
      <c r="H5" s="166">
        <v>2138857</v>
      </c>
      <c r="I5" s="166">
        <v>0</v>
      </c>
      <c r="J5" s="166">
        <v>0</v>
      </c>
      <c r="K5" s="166" t="str">
        <f t="shared" si="0"/>
        <v>INSTR_ACTIVITYFLG_SBSTNTL_CNTRBTN</v>
      </c>
    </row>
    <row r="6" spans="1:11" hidden="1">
      <c r="A6" s="166" t="s">
        <v>1349</v>
      </c>
      <c r="B6" s="166" t="s">
        <v>1350</v>
      </c>
      <c r="C6" s="166" t="s">
        <v>1336</v>
      </c>
      <c r="D6" s="166" t="s">
        <v>1351</v>
      </c>
      <c r="E6" s="166" t="s">
        <v>1345</v>
      </c>
      <c r="F6" s="166" t="s">
        <v>1338</v>
      </c>
      <c r="G6" s="166" t="s">
        <v>129</v>
      </c>
      <c r="H6" s="166">
        <v>2138857</v>
      </c>
      <c r="I6" s="166">
        <v>0</v>
      </c>
      <c r="J6" s="166">
        <v>0</v>
      </c>
      <c r="K6" s="166" t="str">
        <f t="shared" si="0"/>
        <v>INSTR_ACTIVITYFLG_DNSH_CMPLNC</v>
      </c>
    </row>
    <row r="7" spans="1:11" hidden="1">
      <c r="A7" s="166" t="s">
        <v>1352</v>
      </c>
      <c r="B7" s="166" t="s">
        <v>1353</v>
      </c>
      <c r="C7" s="166" t="s">
        <v>1354</v>
      </c>
      <c r="D7" s="166" t="s">
        <v>185</v>
      </c>
      <c r="E7" s="166" t="s">
        <v>1345</v>
      </c>
      <c r="F7" s="166" t="s">
        <v>1355</v>
      </c>
      <c r="G7" s="166" t="s">
        <v>129</v>
      </c>
      <c r="H7" s="166">
        <v>1140750</v>
      </c>
      <c r="I7" s="166">
        <v>0</v>
      </c>
      <c r="J7" s="166">
        <v>0</v>
      </c>
      <c r="K7" s="166" t="str">
        <f t="shared" si="0"/>
        <v>ENTITYCNTRY</v>
      </c>
    </row>
    <row r="8" spans="1:11" hidden="1">
      <c r="A8" s="166" t="s">
        <v>1356</v>
      </c>
      <c r="B8" s="166" t="s">
        <v>1357</v>
      </c>
      <c r="C8" s="166" t="s">
        <v>139</v>
      </c>
      <c r="D8" s="166" t="s">
        <v>232</v>
      </c>
      <c r="E8" s="166" t="s">
        <v>1358</v>
      </c>
      <c r="F8" s="166" t="s">
        <v>1355</v>
      </c>
      <c r="G8" s="166" t="s">
        <v>1134</v>
      </c>
      <c r="H8" s="166">
        <v>1139421</v>
      </c>
      <c r="I8" s="166">
        <v>13</v>
      </c>
      <c r="J8" s="166">
        <v>1.1000000000000001E-3</v>
      </c>
      <c r="K8" s="166" t="str">
        <f t="shared" si="0"/>
        <v>ENTITYDT_BRTH</v>
      </c>
    </row>
    <row r="9" spans="1:11" hidden="1">
      <c r="A9" s="166" t="s">
        <v>1359</v>
      </c>
      <c r="B9" s="166" t="s">
        <v>1360</v>
      </c>
      <c r="C9" s="166" t="s">
        <v>1354</v>
      </c>
      <c r="D9" s="166" t="s">
        <v>306</v>
      </c>
      <c r="E9" s="166" t="s">
        <v>1361</v>
      </c>
      <c r="F9" s="166" t="s">
        <v>1355</v>
      </c>
      <c r="G9" s="166" t="s">
        <v>129</v>
      </c>
      <c r="H9" s="166">
        <v>1140750</v>
      </c>
      <c r="I9" s="166">
        <v>0</v>
      </c>
      <c r="J9" s="166">
        <v>0</v>
      </c>
      <c r="K9" s="166" t="str">
        <f t="shared" si="0"/>
        <v>ENTITYENTTY_ID</v>
      </c>
    </row>
    <row r="10" spans="1:11" hidden="1">
      <c r="A10" s="166" t="s">
        <v>1362</v>
      </c>
      <c r="B10" s="166" t="s">
        <v>1363</v>
      </c>
      <c r="C10" s="166" t="s">
        <v>1354</v>
      </c>
      <c r="D10" s="166" t="s">
        <v>307</v>
      </c>
      <c r="E10" s="166" t="s">
        <v>1345</v>
      </c>
      <c r="F10" s="166" t="s">
        <v>1355</v>
      </c>
      <c r="G10" s="166" t="s">
        <v>129</v>
      </c>
      <c r="H10" s="166">
        <v>1140750</v>
      </c>
      <c r="I10" s="166">
        <v>0</v>
      </c>
      <c r="J10" s="166">
        <v>0</v>
      </c>
      <c r="K10" s="166" t="str">
        <f t="shared" si="0"/>
        <v>ENTITYENTTY_NM</v>
      </c>
    </row>
    <row r="11" spans="1:11" hidden="1">
      <c r="A11" s="166" t="s">
        <v>1364</v>
      </c>
      <c r="B11" s="166" t="s">
        <v>1365</v>
      </c>
      <c r="C11" s="166" t="s">
        <v>1354</v>
      </c>
      <c r="D11" s="166" t="s">
        <v>329</v>
      </c>
      <c r="E11" s="166" t="s">
        <v>1345</v>
      </c>
      <c r="F11" s="166" t="s">
        <v>1355</v>
      </c>
      <c r="G11" s="166" t="s">
        <v>1134</v>
      </c>
      <c r="H11" s="166">
        <v>1140329</v>
      </c>
      <c r="I11" s="166">
        <v>1058027</v>
      </c>
      <c r="J11" s="166">
        <v>92.782600000000002</v>
      </c>
      <c r="K11" s="166" t="str">
        <f t="shared" si="0"/>
        <v>ENTITYFLG_RQST_EMRGNCY_FNDNG</v>
      </c>
    </row>
    <row r="12" spans="1:11" hidden="1">
      <c r="A12" s="166" t="s">
        <v>1366</v>
      </c>
      <c r="B12" s="166" t="s">
        <v>1367</v>
      </c>
      <c r="C12" s="166" t="s">
        <v>139</v>
      </c>
      <c r="D12" s="166" t="s">
        <v>1368</v>
      </c>
      <c r="E12" s="166" t="s">
        <v>1345</v>
      </c>
      <c r="F12" s="166" t="s">
        <v>1355</v>
      </c>
      <c r="G12" s="166" t="s">
        <v>129</v>
      </c>
      <c r="H12" s="166">
        <v>82443</v>
      </c>
      <c r="I12" s="166">
        <v>0</v>
      </c>
      <c r="J12" s="166">
        <v>0</v>
      </c>
      <c r="K12" s="166" t="str">
        <f t="shared" si="0"/>
        <v>ENTITYFLG_CSRD_APPLCBLTY</v>
      </c>
    </row>
    <row r="13" spans="1:11" hidden="1">
      <c r="A13" s="166" t="s">
        <v>1369</v>
      </c>
      <c r="B13" s="166" t="s">
        <v>1370</v>
      </c>
      <c r="C13" s="166" t="s">
        <v>139</v>
      </c>
      <c r="D13" s="166" t="s">
        <v>1371</v>
      </c>
      <c r="E13" s="166" t="s">
        <v>1345</v>
      </c>
      <c r="F13" s="166" t="s">
        <v>1355</v>
      </c>
      <c r="G13" s="166" t="s">
        <v>129</v>
      </c>
      <c r="H13" s="166">
        <v>82443</v>
      </c>
      <c r="I13" s="166">
        <v>0</v>
      </c>
      <c r="J13" s="166">
        <v>0</v>
      </c>
      <c r="K13" s="166" t="str">
        <f t="shared" si="0"/>
        <v>ENTITYFLG_GRP_CSRD_APPLCBLTY</v>
      </c>
    </row>
    <row r="14" spans="1:11" hidden="1">
      <c r="A14" s="166" t="s">
        <v>1372</v>
      </c>
      <c r="B14" s="166" t="s">
        <v>1373</v>
      </c>
      <c r="C14" s="166" t="s">
        <v>139</v>
      </c>
      <c r="D14" s="166" t="s">
        <v>1374</v>
      </c>
      <c r="E14" s="166" t="s">
        <v>1345</v>
      </c>
      <c r="F14" s="166" t="s">
        <v>1355</v>
      </c>
      <c r="G14" s="166" t="s">
        <v>129</v>
      </c>
      <c r="H14" s="166">
        <v>81421</v>
      </c>
      <c r="I14" s="166">
        <v>0</v>
      </c>
      <c r="J14" s="166">
        <v>0</v>
      </c>
      <c r="K14" s="166" t="str">
        <f t="shared" si="0"/>
        <v>ENTITYFLG_EXCLDD_EU_PRS_ALGND_BNCHMRK</v>
      </c>
    </row>
    <row r="15" spans="1:11" hidden="1">
      <c r="A15" s="166" t="s">
        <v>1375</v>
      </c>
      <c r="B15" s="166" t="s">
        <v>1376</v>
      </c>
      <c r="C15" s="166" t="s">
        <v>139</v>
      </c>
      <c r="D15" s="166" t="s">
        <v>1377</v>
      </c>
      <c r="E15" s="166" t="s">
        <v>1345</v>
      </c>
      <c r="F15" s="166" t="s">
        <v>1355</v>
      </c>
      <c r="G15" s="166" t="s">
        <v>129</v>
      </c>
      <c r="H15" s="166">
        <v>1140695</v>
      </c>
      <c r="I15" s="166">
        <v>0</v>
      </c>
      <c r="J15" s="166">
        <v>0</v>
      </c>
      <c r="K15" s="166" t="str">
        <f t="shared" si="0"/>
        <v>ENTITYFLG_ACT_PHYSCL_RSK</v>
      </c>
    </row>
    <row r="16" spans="1:11" hidden="1">
      <c r="A16" s="166" t="s">
        <v>1378</v>
      </c>
      <c r="B16" s="166" t="s">
        <v>1379</v>
      </c>
      <c r="C16" s="166" t="s">
        <v>139</v>
      </c>
      <c r="D16" s="166" t="s">
        <v>1380</v>
      </c>
      <c r="E16" s="166" t="s">
        <v>1345</v>
      </c>
      <c r="F16" s="166" t="s">
        <v>1355</v>
      </c>
      <c r="G16" s="166" t="s">
        <v>129</v>
      </c>
      <c r="H16" s="166">
        <v>1140695</v>
      </c>
      <c r="I16" s="166">
        <v>0</v>
      </c>
      <c r="J16" s="166">
        <v>0</v>
      </c>
      <c r="K16" s="166" t="str">
        <f t="shared" si="0"/>
        <v>ENTITYFLG_CHRNC_PHYSCL_RSK</v>
      </c>
    </row>
    <row r="17" spans="1:11" hidden="1">
      <c r="A17" s="166" t="s">
        <v>1381</v>
      </c>
      <c r="B17" s="166" t="s">
        <v>1382</v>
      </c>
      <c r="C17" s="166" t="s">
        <v>139</v>
      </c>
      <c r="D17" s="166" t="s">
        <v>1326</v>
      </c>
      <c r="E17" s="166" t="s">
        <v>1345</v>
      </c>
      <c r="F17" s="166" t="s">
        <v>1355</v>
      </c>
      <c r="G17" s="166" t="s">
        <v>1134</v>
      </c>
      <c r="H17" s="166">
        <v>82329</v>
      </c>
      <c r="I17" s="166">
        <v>38</v>
      </c>
      <c r="J17" s="166">
        <v>4.6199999999999998E-2</v>
      </c>
      <c r="K17" s="166" t="str">
        <f t="shared" si="0"/>
        <v>ENTITYFLLN_ANGL_NRRW_DFNTN</v>
      </c>
    </row>
    <row r="18" spans="1:11" hidden="1">
      <c r="A18" s="166" t="s">
        <v>1383</v>
      </c>
      <c r="B18" s="166" t="s">
        <v>1384</v>
      </c>
      <c r="C18" s="166" t="s">
        <v>139</v>
      </c>
      <c r="D18" s="166" t="s">
        <v>1327</v>
      </c>
      <c r="E18" s="166" t="s">
        <v>1345</v>
      </c>
      <c r="F18" s="166" t="s">
        <v>1355</v>
      </c>
      <c r="G18" s="166" t="s">
        <v>1134</v>
      </c>
      <c r="H18" s="166">
        <v>82329</v>
      </c>
      <c r="I18" s="166">
        <v>38</v>
      </c>
      <c r="J18" s="166">
        <v>4.6199999999999998E-2</v>
      </c>
      <c r="K18" s="166" t="str">
        <f t="shared" si="0"/>
        <v>ENTITYFLLN_ANGL_EXTNDD_DFNTN</v>
      </c>
    </row>
    <row r="19" spans="1:11" hidden="1">
      <c r="A19" s="166" t="s">
        <v>1385</v>
      </c>
      <c r="B19" s="166" t="s">
        <v>1360</v>
      </c>
      <c r="C19" s="166" t="s">
        <v>1386</v>
      </c>
      <c r="D19" s="166" t="s">
        <v>306</v>
      </c>
      <c r="E19" s="166" t="s">
        <v>1361</v>
      </c>
      <c r="F19" s="166" t="s">
        <v>1387</v>
      </c>
      <c r="G19" s="166" t="s">
        <v>129</v>
      </c>
      <c r="H19" s="166">
        <v>2655362</v>
      </c>
      <c r="I19" s="166">
        <v>0</v>
      </c>
      <c r="J19" s="166">
        <v>0</v>
      </c>
      <c r="K19" s="166" t="str">
        <f t="shared" si="0"/>
        <v>INSTR_ENTITYENTTY_ID</v>
      </c>
    </row>
    <row r="20" spans="1:11" hidden="1">
      <c r="A20" s="166" t="s">
        <v>1388</v>
      </c>
      <c r="B20" s="166" t="s">
        <v>1389</v>
      </c>
      <c r="C20" s="166" t="s">
        <v>1386</v>
      </c>
      <c r="D20" s="166" t="s">
        <v>367</v>
      </c>
      <c r="E20" s="166" t="s">
        <v>1361</v>
      </c>
      <c r="F20" s="166" t="s">
        <v>1387</v>
      </c>
      <c r="G20" s="166" t="s">
        <v>129</v>
      </c>
      <c r="H20" s="166">
        <v>2655362</v>
      </c>
      <c r="I20" s="166">
        <v>0</v>
      </c>
      <c r="J20" s="166">
        <v>0</v>
      </c>
      <c r="K20" s="166" t="str">
        <f t="shared" si="0"/>
        <v>INSTR_ENTITYINSTRMNT_ID</v>
      </c>
    </row>
    <row r="21" spans="1:11" hidden="1">
      <c r="A21" s="166" t="s">
        <v>1390</v>
      </c>
      <c r="B21" s="166" t="s">
        <v>928</v>
      </c>
      <c r="C21" s="166" t="s">
        <v>187</v>
      </c>
      <c r="D21" s="166" t="s">
        <v>409</v>
      </c>
      <c r="E21" s="166" t="s">
        <v>1345</v>
      </c>
      <c r="F21" s="166" t="s">
        <v>1387</v>
      </c>
      <c r="G21" s="166" t="s">
        <v>129</v>
      </c>
      <c r="H21" s="166">
        <v>2655362</v>
      </c>
      <c r="I21" s="166">
        <v>0</v>
      </c>
      <c r="J21" s="166">
        <v>0</v>
      </c>
      <c r="K21" s="166" t="str">
        <f t="shared" si="0"/>
        <v>INSTR_ENTITYMN_ENTTY_ID</v>
      </c>
    </row>
    <row r="22" spans="1:11" hidden="1">
      <c r="A22" s="166" t="s">
        <v>1391</v>
      </c>
      <c r="B22" s="166" t="s">
        <v>1189</v>
      </c>
      <c r="C22" s="166" t="s">
        <v>1392</v>
      </c>
      <c r="D22" s="166" t="s">
        <v>193</v>
      </c>
      <c r="E22" s="166" t="s">
        <v>1345</v>
      </c>
      <c r="F22" s="166" t="s">
        <v>1393</v>
      </c>
      <c r="G22" s="166" t="s">
        <v>129</v>
      </c>
      <c r="H22" s="166">
        <v>371002</v>
      </c>
      <c r="I22" s="166">
        <v>0</v>
      </c>
      <c r="J22" s="166">
        <v>0</v>
      </c>
      <c r="K22" s="166" t="str">
        <f t="shared" si="0"/>
        <v>INSTRUMENTCRE_FNRP18</v>
      </c>
    </row>
    <row r="23" spans="1:11" hidden="1">
      <c r="A23" s="166" t="s">
        <v>1394</v>
      </c>
      <c r="B23" s="166" t="s">
        <v>1395</v>
      </c>
      <c r="C23" s="166" t="s">
        <v>1392</v>
      </c>
      <c r="D23" s="166" t="s">
        <v>503</v>
      </c>
      <c r="E23" s="166" t="s">
        <v>1345</v>
      </c>
      <c r="F23" s="166" t="s">
        <v>1393</v>
      </c>
      <c r="G23" s="166" t="s">
        <v>129</v>
      </c>
      <c r="H23" s="166">
        <v>371002</v>
      </c>
      <c r="I23" s="166">
        <v>0</v>
      </c>
      <c r="J23" s="166">
        <v>0</v>
      </c>
      <c r="K23" s="166" t="str">
        <f t="shared" si="0"/>
        <v>INSTRUMENTSME_FNRP18</v>
      </c>
    </row>
    <row r="24" spans="1:11" hidden="1">
      <c r="A24" s="166" t="s">
        <v>1396</v>
      </c>
      <c r="B24" s="166" t="s">
        <v>1212</v>
      </c>
      <c r="C24" s="166" t="s">
        <v>1392</v>
      </c>
      <c r="D24" s="166" t="s">
        <v>491</v>
      </c>
      <c r="E24" s="166" t="s">
        <v>1345</v>
      </c>
      <c r="F24" s="166" t="s">
        <v>1393</v>
      </c>
      <c r="G24" s="166" t="s">
        <v>129</v>
      </c>
      <c r="H24" s="166">
        <v>1740608</v>
      </c>
      <c r="I24" s="166">
        <v>0</v>
      </c>
      <c r="J24" s="166">
        <v>0</v>
      </c>
      <c r="K24" s="166" t="str">
        <f t="shared" si="0"/>
        <v>INSTRUMENTRRE_FNRP18</v>
      </c>
    </row>
    <row r="25" spans="1:11" hidden="1">
      <c r="A25" s="166" t="s">
        <v>1397</v>
      </c>
      <c r="B25" s="166" t="s">
        <v>1398</v>
      </c>
      <c r="C25" s="166" t="s">
        <v>1392</v>
      </c>
      <c r="D25" s="166" t="s">
        <v>178</v>
      </c>
      <c r="E25" s="166" t="s">
        <v>1345</v>
      </c>
      <c r="F25" s="166" t="s">
        <v>1393</v>
      </c>
      <c r="G25" s="166" t="s">
        <v>129</v>
      </c>
      <c r="H25" s="166">
        <v>1740608</v>
      </c>
      <c r="I25" s="166">
        <v>0</v>
      </c>
      <c r="J25" s="166">
        <v>0</v>
      </c>
      <c r="K25" s="166" t="str">
        <f t="shared" si="0"/>
        <v>INSTRUMENTCNSMPTN_FNRP18</v>
      </c>
    </row>
    <row r="26" spans="1:11" hidden="1">
      <c r="A26" s="166" t="s">
        <v>1399</v>
      </c>
      <c r="B26" s="166" t="s">
        <v>1389</v>
      </c>
      <c r="C26" s="166" t="s">
        <v>1392</v>
      </c>
      <c r="D26" s="166" t="s">
        <v>367</v>
      </c>
      <c r="E26" s="166" t="s">
        <v>1361</v>
      </c>
      <c r="F26" s="166" t="s">
        <v>1393</v>
      </c>
      <c r="G26" s="166" t="s">
        <v>129</v>
      </c>
      <c r="H26" s="166">
        <v>2138963</v>
      </c>
      <c r="I26" s="166">
        <v>0</v>
      </c>
      <c r="J26" s="166">
        <v>0</v>
      </c>
      <c r="K26" s="166" t="str">
        <f t="shared" si="0"/>
        <v>INSTRUMENTINSTRMNT_ID</v>
      </c>
    </row>
    <row r="27" spans="1:11" hidden="1">
      <c r="A27" s="166" t="s">
        <v>1400</v>
      </c>
      <c r="B27" s="166" t="s">
        <v>1401</v>
      </c>
      <c r="C27" s="166" t="s">
        <v>1392</v>
      </c>
      <c r="D27" s="166" t="s">
        <v>183</v>
      </c>
      <c r="E27" s="166" t="s">
        <v>1361</v>
      </c>
      <c r="F27" s="166" t="s">
        <v>1393</v>
      </c>
      <c r="G27" s="166" t="s">
        <v>129</v>
      </c>
      <c r="H27" s="166">
        <v>2138963</v>
      </c>
      <c r="I27" s="166">
        <v>0</v>
      </c>
      <c r="J27" s="166">
        <v>0</v>
      </c>
      <c r="K27" s="166" t="str">
        <f t="shared" si="0"/>
        <v>INSTRUMENTCNTRCT_ID</v>
      </c>
    </row>
    <row r="28" spans="1:11" hidden="1">
      <c r="A28" s="166" t="s">
        <v>1402</v>
      </c>
      <c r="B28" s="166" t="s">
        <v>1403</v>
      </c>
      <c r="C28" s="166" t="s">
        <v>127</v>
      </c>
      <c r="D28" s="166" t="s">
        <v>199</v>
      </c>
      <c r="E28" s="166" t="s">
        <v>1345</v>
      </c>
      <c r="F28" s="166" t="s">
        <v>1393</v>
      </c>
      <c r="G28" s="166" t="s">
        <v>129</v>
      </c>
      <c r="H28" s="166">
        <v>2138963</v>
      </c>
      <c r="I28" s="166">
        <v>0</v>
      </c>
      <c r="J28" s="166">
        <v>0</v>
      </c>
      <c r="K28" s="166" t="str">
        <f t="shared" si="0"/>
        <v>INSTRUMENTCRRNCY_DNMNTN</v>
      </c>
    </row>
    <row r="29" spans="1:11" hidden="1">
      <c r="A29" s="166" t="s">
        <v>1404</v>
      </c>
      <c r="B29" s="166" t="s">
        <v>1405</v>
      </c>
      <c r="C29" s="166" t="s">
        <v>1392</v>
      </c>
      <c r="D29" s="166" t="s">
        <v>259</v>
      </c>
      <c r="E29" s="166" t="s">
        <v>1358</v>
      </c>
      <c r="F29" s="166" t="s">
        <v>1393</v>
      </c>
      <c r="G29" s="166" t="s">
        <v>129</v>
      </c>
      <c r="H29" s="166">
        <v>2138963</v>
      </c>
      <c r="I29" s="166">
        <v>0</v>
      </c>
      <c r="J29" s="166">
        <v>0</v>
      </c>
      <c r="K29" s="166" t="str">
        <f t="shared" si="0"/>
        <v>INSTRUMENTDT_INCPTN</v>
      </c>
    </row>
    <row r="30" spans="1:11" hidden="1">
      <c r="A30" s="166" t="s">
        <v>1406</v>
      </c>
      <c r="B30" s="166" t="s">
        <v>1407</v>
      </c>
      <c r="C30" s="166" t="s">
        <v>1392</v>
      </c>
      <c r="D30" s="166" t="s">
        <v>424</v>
      </c>
      <c r="E30" s="166" t="s">
        <v>1361</v>
      </c>
      <c r="F30" s="166" t="s">
        <v>1393</v>
      </c>
      <c r="G30" s="166" t="s">
        <v>129</v>
      </c>
      <c r="H30" s="166">
        <v>2138963</v>
      </c>
      <c r="I30" s="166">
        <v>0</v>
      </c>
      <c r="J30" s="166">
        <v>0</v>
      </c>
      <c r="K30" s="166" t="str">
        <f t="shared" si="0"/>
        <v>INSTRUMENTOBSRVD_AGNT_ID</v>
      </c>
    </row>
    <row r="31" spans="1:11" hidden="1">
      <c r="A31" s="166" t="s">
        <v>1408</v>
      </c>
      <c r="B31" s="166" t="s">
        <v>1409</v>
      </c>
      <c r="C31" s="166" t="s">
        <v>1392</v>
      </c>
      <c r="D31" s="166" t="s">
        <v>425</v>
      </c>
      <c r="E31" s="166" t="s">
        <v>1361</v>
      </c>
      <c r="F31" s="166" t="s">
        <v>1393</v>
      </c>
      <c r="G31" s="166" t="s">
        <v>129</v>
      </c>
      <c r="H31" s="166">
        <v>2138963</v>
      </c>
      <c r="I31" s="166">
        <v>0</v>
      </c>
      <c r="J31" s="166">
        <v>0</v>
      </c>
      <c r="K31" s="166" t="str">
        <f t="shared" si="0"/>
        <v>INSTRUMENTOBSRVD_AGNT_NM</v>
      </c>
    </row>
    <row r="32" spans="1:11" hidden="1">
      <c r="A32" s="166" t="s">
        <v>1410</v>
      </c>
      <c r="B32" s="166" t="s">
        <v>1411</v>
      </c>
      <c r="C32" s="166" t="s">
        <v>1392</v>
      </c>
      <c r="D32" s="166" t="s">
        <v>241</v>
      </c>
      <c r="E32" s="166" t="s">
        <v>1358</v>
      </c>
      <c r="F32" s="166" t="s">
        <v>1393</v>
      </c>
      <c r="G32" s="166" t="s">
        <v>129</v>
      </c>
      <c r="H32" s="166">
        <v>2138963</v>
      </c>
      <c r="I32" s="166">
        <v>0</v>
      </c>
      <c r="J32" s="166">
        <v>0</v>
      </c>
      <c r="K32" s="166" t="str">
        <f t="shared" si="0"/>
        <v>INSTRUMENTDT_DFLT_STTS_INSTRMNT</v>
      </c>
    </row>
    <row r="33" spans="1:11" hidden="1">
      <c r="A33" s="166" t="s">
        <v>1412</v>
      </c>
      <c r="B33" s="166" t="s">
        <v>1413</v>
      </c>
      <c r="C33" s="166" t="s">
        <v>1392</v>
      </c>
      <c r="D33" s="166" t="s">
        <v>447</v>
      </c>
      <c r="E33" s="166" t="s">
        <v>1358</v>
      </c>
      <c r="F33" s="166" t="s">
        <v>1393</v>
      </c>
      <c r="G33" s="166" t="s">
        <v>129</v>
      </c>
      <c r="H33" s="166">
        <v>2138963</v>
      </c>
      <c r="I33" s="166">
        <v>0</v>
      </c>
      <c r="J33" s="166">
        <v>0</v>
      </c>
      <c r="K33" s="166" t="str">
        <f t="shared" si="0"/>
        <v>INSTRUMENTDT_FRBRNC_STTS</v>
      </c>
    </row>
    <row r="34" spans="1:11" hidden="1">
      <c r="A34" s="166" t="s">
        <v>1414</v>
      </c>
      <c r="B34" s="166" t="s">
        <v>1415</v>
      </c>
      <c r="C34" s="166" t="s">
        <v>1392</v>
      </c>
      <c r="D34" s="166" t="s">
        <v>431</v>
      </c>
      <c r="E34" s="166" t="s">
        <v>1358</v>
      </c>
      <c r="F34" s="166" t="s">
        <v>1393</v>
      </c>
      <c r="G34" s="166" t="s">
        <v>129</v>
      </c>
      <c r="H34" s="166">
        <v>2138963</v>
      </c>
      <c r="I34" s="166">
        <v>0</v>
      </c>
      <c r="J34" s="166">
        <v>0</v>
      </c>
      <c r="K34" s="166" t="str">
        <f t="shared" si="0"/>
        <v>INSTRUMENTDT_FRBRNC_STTS_PRVS</v>
      </c>
    </row>
    <row r="35" spans="1:11" hidden="1">
      <c r="A35" s="166" t="s">
        <v>1416</v>
      </c>
      <c r="B35" s="166" t="s">
        <v>1417</v>
      </c>
      <c r="C35" s="166" t="s">
        <v>1392</v>
      </c>
      <c r="D35" s="166" t="s">
        <v>53</v>
      </c>
      <c r="E35" s="166" t="s">
        <v>1358</v>
      </c>
      <c r="F35" s="166" t="s">
        <v>1393</v>
      </c>
      <c r="G35" s="166" t="s">
        <v>129</v>
      </c>
      <c r="H35" s="166">
        <v>2138963</v>
      </c>
      <c r="I35" s="166">
        <v>0</v>
      </c>
      <c r="J35" s="166">
        <v>0</v>
      </c>
      <c r="K35" s="166" t="str">
        <f t="shared" si="0"/>
        <v>INSTRUMENTDT_PRFRMNG_STTS</v>
      </c>
    </row>
    <row r="36" spans="1:11" hidden="1">
      <c r="A36" s="166" t="s">
        <v>1418</v>
      </c>
      <c r="B36" s="166" t="s">
        <v>1419</v>
      </c>
      <c r="C36" s="166" t="s">
        <v>1392</v>
      </c>
      <c r="D36" s="166" t="s">
        <v>324</v>
      </c>
      <c r="E36" s="166" t="s">
        <v>1345</v>
      </c>
      <c r="F36" s="166" t="s">
        <v>1393</v>
      </c>
      <c r="G36" s="166" t="s">
        <v>129</v>
      </c>
      <c r="H36" s="166">
        <v>378839</v>
      </c>
      <c r="I36" s="166">
        <v>0</v>
      </c>
      <c r="J36" s="166">
        <v>0</v>
      </c>
      <c r="K36" s="166" t="str">
        <f t="shared" si="0"/>
        <v>INSTRUMENTFLG_LBO</v>
      </c>
    </row>
    <row r="37" spans="1:11" hidden="1">
      <c r="A37" s="166" t="s">
        <v>1420</v>
      </c>
      <c r="B37" s="166" t="s">
        <v>1421</v>
      </c>
      <c r="C37" s="166" t="s">
        <v>127</v>
      </c>
      <c r="D37" s="166" t="s">
        <v>45</v>
      </c>
      <c r="E37" s="166" t="s">
        <v>1337</v>
      </c>
      <c r="F37" s="166" t="s">
        <v>1393</v>
      </c>
      <c r="G37" s="166" t="s">
        <v>129</v>
      </c>
      <c r="H37" s="166">
        <v>2138963</v>
      </c>
      <c r="I37" s="166">
        <v>0</v>
      </c>
      <c r="J37" s="166">
        <v>0</v>
      </c>
      <c r="K37" s="166" t="str">
        <f t="shared" si="0"/>
        <v>INSTRUMENTPRFRMNG_STTS</v>
      </c>
    </row>
    <row r="38" spans="1:11">
      <c r="A38" s="166" t="s">
        <v>1422</v>
      </c>
      <c r="B38" s="166" t="s">
        <v>1423</v>
      </c>
      <c r="C38" s="166" t="s">
        <v>1392</v>
      </c>
      <c r="D38" s="166" t="s">
        <v>530</v>
      </c>
      <c r="E38" s="166" t="s">
        <v>1337</v>
      </c>
      <c r="F38" s="166" t="s">
        <v>1393</v>
      </c>
      <c r="G38" s="166" t="s">
        <v>129</v>
      </c>
      <c r="H38" s="166">
        <v>2138963</v>
      </c>
      <c r="I38" s="166">
        <v>0</v>
      </c>
      <c r="J38" s="166">
        <v>0</v>
      </c>
      <c r="K38" s="166" t="str">
        <f t="shared" si="0"/>
        <v>INSTRUMENTTYP_INSTRMNT</v>
      </c>
    </row>
    <row r="39" spans="1:11" hidden="1">
      <c r="A39" s="166" t="s">
        <v>1424</v>
      </c>
      <c r="B39" s="166" t="s">
        <v>1425</v>
      </c>
      <c r="C39" s="166" t="s">
        <v>1392</v>
      </c>
      <c r="D39" s="166" t="s">
        <v>531</v>
      </c>
      <c r="E39" s="166" t="s">
        <v>1337</v>
      </c>
      <c r="F39" s="166" t="s">
        <v>1393</v>
      </c>
      <c r="G39" s="166" t="s">
        <v>129</v>
      </c>
      <c r="H39" s="166">
        <v>2138832</v>
      </c>
      <c r="I39" s="166">
        <v>0</v>
      </c>
      <c r="J39" s="166">
        <v>0</v>
      </c>
      <c r="K39" s="166" t="str">
        <f t="shared" si="0"/>
        <v>INSTRUMENTTYP_INTRST_RT</v>
      </c>
    </row>
    <row r="40" spans="1:11" hidden="1">
      <c r="A40" s="166" t="s">
        <v>1426</v>
      </c>
      <c r="B40" s="166" t="s">
        <v>1427</v>
      </c>
      <c r="C40" s="166" t="s">
        <v>1392</v>
      </c>
      <c r="D40" s="166" t="s">
        <v>144</v>
      </c>
      <c r="E40" s="166" t="s">
        <v>1337</v>
      </c>
      <c r="F40" s="166" t="s">
        <v>1393</v>
      </c>
      <c r="G40" s="166" t="s">
        <v>1134</v>
      </c>
      <c r="H40" s="166">
        <v>2138832</v>
      </c>
      <c r="I40" s="166">
        <v>1779870</v>
      </c>
      <c r="J40" s="166">
        <v>83.216899999999995</v>
      </c>
      <c r="K40" s="166" t="str">
        <f t="shared" si="0"/>
        <v>INSTRUMENTTYP_MRTGG</v>
      </c>
    </row>
    <row r="41" spans="1:11" hidden="1">
      <c r="A41" s="166" t="s">
        <v>1428</v>
      </c>
      <c r="B41" s="166" t="s">
        <v>1429</v>
      </c>
      <c r="C41" s="166" t="s">
        <v>127</v>
      </c>
      <c r="D41" s="166" t="s">
        <v>495</v>
      </c>
      <c r="E41" s="166" t="s">
        <v>1337</v>
      </c>
      <c r="F41" s="166" t="s">
        <v>1393</v>
      </c>
      <c r="G41" s="166" t="s">
        <v>129</v>
      </c>
      <c r="H41" s="166">
        <v>2138963</v>
      </c>
      <c r="I41" s="166">
        <v>0</v>
      </c>
      <c r="J41" s="166">
        <v>0</v>
      </c>
      <c r="K41" s="166" t="str">
        <f t="shared" si="0"/>
        <v>INSTRUMENTRWA</v>
      </c>
    </row>
    <row r="42" spans="1:11" hidden="1">
      <c r="A42" s="166" t="s">
        <v>1430</v>
      </c>
      <c r="B42" s="166" t="s">
        <v>1431</v>
      </c>
      <c r="C42" s="166" t="s">
        <v>1392</v>
      </c>
      <c r="D42" s="166" t="s">
        <v>407</v>
      </c>
      <c r="E42" s="166" t="s">
        <v>1345</v>
      </c>
      <c r="F42" s="166" t="s">
        <v>1393</v>
      </c>
      <c r="G42" s="166" t="s">
        <v>1134</v>
      </c>
      <c r="H42" s="166">
        <v>398355</v>
      </c>
      <c r="I42" s="166">
        <v>19516</v>
      </c>
      <c r="J42" s="166">
        <v>4.8990999999999998</v>
      </c>
      <c r="K42" s="166" t="str">
        <f t="shared" si="0"/>
        <v>INSTRUMENTLVRG_FNNC_FLG</v>
      </c>
    </row>
    <row r="43" spans="1:11" hidden="1">
      <c r="A43" s="166" t="s">
        <v>1432</v>
      </c>
      <c r="B43" s="166" t="s">
        <v>1433</v>
      </c>
      <c r="C43" s="166" t="s">
        <v>1392</v>
      </c>
      <c r="D43" s="166" t="s">
        <v>391</v>
      </c>
      <c r="E43" s="166" t="s">
        <v>1361</v>
      </c>
      <c r="F43" s="166" t="s">
        <v>1393</v>
      </c>
      <c r="G43" s="166" t="s">
        <v>129</v>
      </c>
      <c r="H43" s="166">
        <v>2138963</v>
      </c>
      <c r="I43" s="166">
        <v>0</v>
      </c>
      <c r="J43" s="166">
        <v>0</v>
      </c>
      <c r="K43" s="166" t="str">
        <f t="shared" si="0"/>
        <v>INSTRUMENTLCL_INSTMRNT_ID</v>
      </c>
    </row>
    <row r="44" spans="1:11" hidden="1">
      <c r="A44" s="166" t="s">
        <v>1434</v>
      </c>
      <c r="B44" s="166" t="s">
        <v>1435</v>
      </c>
      <c r="C44" s="166" t="s">
        <v>127</v>
      </c>
      <c r="D44" s="166" t="s">
        <v>1436</v>
      </c>
      <c r="E44" s="166" t="s">
        <v>1345</v>
      </c>
      <c r="F44" s="166" t="s">
        <v>1393</v>
      </c>
      <c r="G44" s="166" t="s">
        <v>129</v>
      </c>
      <c r="H44" s="166">
        <v>2138963</v>
      </c>
      <c r="I44" s="166">
        <v>0</v>
      </c>
      <c r="J44" s="166">
        <v>0</v>
      </c>
      <c r="K44" s="166" t="str">
        <f t="shared" si="0"/>
        <v>INSTRUMENTNW_BSNSS</v>
      </c>
    </row>
    <row r="45" spans="1:11" hidden="1">
      <c r="A45" s="166" t="s">
        <v>1437</v>
      </c>
      <c r="B45" s="166" t="s">
        <v>1438</v>
      </c>
      <c r="C45" s="166" t="s">
        <v>127</v>
      </c>
      <c r="D45" s="166" t="s">
        <v>1439</v>
      </c>
      <c r="E45" s="166" t="s">
        <v>1345</v>
      </c>
      <c r="F45" s="166" t="s">
        <v>1393</v>
      </c>
      <c r="G45" s="166" t="s">
        <v>129</v>
      </c>
      <c r="H45" s="166">
        <v>2138963</v>
      </c>
      <c r="I45" s="166">
        <v>0</v>
      </c>
      <c r="J45" s="166">
        <v>0</v>
      </c>
      <c r="K45" s="166" t="str">
        <f t="shared" si="0"/>
        <v>INSTRUMENTBSNSS_AREA</v>
      </c>
    </row>
    <row r="46" spans="1:11" hidden="1">
      <c r="A46" s="166" t="s">
        <v>1440</v>
      </c>
      <c r="B46" s="166" t="s">
        <v>1441</v>
      </c>
      <c r="C46" s="166" t="s">
        <v>127</v>
      </c>
      <c r="D46" s="166" t="s">
        <v>1442</v>
      </c>
      <c r="E46" s="166" t="s">
        <v>1345</v>
      </c>
      <c r="F46" s="166" t="s">
        <v>1393</v>
      </c>
      <c r="G46" s="166" t="s">
        <v>129</v>
      </c>
      <c r="H46" s="166">
        <v>2138963</v>
      </c>
      <c r="I46" s="166">
        <v>0</v>
      </c>
      <c r="J46" s="166">
        <v>0</v>
      </c>
      <c r="K46" s="166" t="str">
        <f t="shared" si="0"/>
        <v>INSTRUMENTMNGMNT_PRDCT</v>
      </c>
    </row>
    <row r="47" spans="1:11" hidden="1">
      <c r="A47" s="166" t="s">
        <v>1443</v>
      </c>
      <c r="B47" s="166" t="s">
        <v>1444</v>
      </c>
      <c r="C47" s="166" t="s">
        <v>127</v>
      </c>
      <c r="D47" s="166" t="s">
        <v>1445</v>
      </c>
      <c r="E47" s="166" t="s">
        <v>1345</v>
      </c>
      <c r="F47" s="166" t="s">
        <v>1393</v>
      </c>
      <c r="G47" s="166" t="s">
        <v>129</v>
      </c>
      <c r="H47" s="166">
        <v>2138963</v>
      </c>
      <c r="I47" s="166">
        <v>0</v>
      </c>
      <c r="J47" s="166">
        <v>0</v>
      </c>
      <c r="K47" s="166" t="str">
        <f t="shared" si="0"/>
        <v>INSTRUMENTFLG_INTRBSNSS</v>
      </c>
    </row>
    <row r="48" spans="1:11" hidden="1">
      <c r="A48" s="166" t="s">
        <v>1446</v>
      </c>
      <c r="B48" s="166" t="s">
        <v>1447</v>
      </c>
      <c r="C48" s="166" t="s">
        <v>127</v>
      </c>
      <c r="D48" s="166" t="s">
        <v>1448</v>
      </c>
      <c r="E48" s="166" t="s">
        <v>1345</v>
      </c>
      <c r="F48" s="166" t="s">
        <v>1393</v>
      </c>
      <c r="G48" s="166" t="s">
        <v>129</v>
      </c>
      <c r="H48" s="166">
        <v>2138963</v>
      </c>
      <c r="I48" s="166">
        <v>0</v>
      </c>
      <c r="J48" s="166">
        <v>0</v>
      </c>
      <c r="K48" s="166" t="str">
        <f t="shared" si="0"/>
        <v>INSTRUMENTBSNSS_AREA_CCRR</v>
      </c>
    </row>
    <row r="49" spans="1:11" hidden="1">
      <c r="A49" s="166" t="s">
        <v>1449</v>
      </c>
      <c r="B49" s="166" t="s">
        <v>1450</v>
      </c>
      <c r="C49" s="166" t="s">
        <v>127</v>
      </c>
      <c r="D49" s="166" t="s">
        <v>1451</v>
      </c>
      <c r="E49" s="166" t="s">
        <v>1345</v>
      </c>
      <c r="F49" s="166" t="s">
        <v>1393</v>
      </c>
      <c r="G49" s="166" t="s">
        <v>129</v>
      </c>
      <c r="H49" s="166">
        <v>2138832</v>
      </c>
      <c r="I49" s="166">
        <v>0</v>
      </c>
      <c r="J49" s="166">
        <v>0</v>
      </c>
      <c r="K49" s="166" t="str">
        <f t="shared" si="0"/>
        <v>INSTRUMENTRSK_MTGTD_CCT</v>
      </c>
    </row>
    <row r="50" spans="1:11" hidden="1">
      <c r="A50" s="166" t="s">
        <v>1452</v>
      </c>
      <c r="B50" s="166" t="s">
        <v>1453</v>
      </c>
      <c r="C50" s="166" t="s">
        <v>127</v>
      </c>
      <c r="D50" s="166" t="s">
        <v>1454</v>
      </c>
      <c r="E50" s="166" t="s">
        <v>1345</v>
      </c>
      <c r="F50" s="166" t="s">
        <v>1393</v>
      </c>
      <c r="G50" s="166" t="s">
        <v>129</v>
      </c>
      <c r="H50" s="166">
        <v>2138832</v>
      </c>
      <c r="I50" s="166">
        <v>0</v>
      </c>
      <c r="J50" s="166">
        <v>0</v>
      </c>
      <c r="K50" s="166" t="str">
        <f t="shared" si="0"/>
        <v>INSTRUMENTRSK_MTGTD_CCP</v>
      </c>
    </row>
    <row r="51" spans="1:11" hidden="1">
      <c r="A51" s="166" t="s">
        <v>1455</v>
      </c>
      <c r="B51" s="166" t="s">
        <v>1456</v>
      </c>
      <c r="C51" s="166" t="s">
        <v>127</v>
      </c>
      <c r="D51" s="166" t="s">
        <v>559</v>
      </c>
      <c r="E51" s="166" t="s">
        <v>1337</v>
      </c>
      <c r="F51" s="166" t="s">
        <v>1393</v>
      </c>
      <c r="G51" s="166" t="s">
        <v>129</v>
      </c>
      <c r="H51" s="166">
        <v>2138963</v>
      </c>
      <c r="I51" s="166">
        <v>0</v>
      </c>
      <c r="J51" s="166">
        <v>0</v>
      </c>
      <c r="K51" s="166" t="str">
        <f t="shared" si="0"/>
        <v>INSTRUMENTTRNSFRRD_AMNT</v>
      </c>
    </row>
    <row r="52" spans="1:11" hidden="1">
      <c r="A52" s="166" t="s">
        <v>1457</v>
      </c>
      <c r="B52" s="166" t="s">
        <v>1458</v>
      </c>
      <c r="C52" s="166" t="s">
        <v>127</v>
      </c>
      <c r="D52" s="166" t="s">
        <v>560</v>
      </c>
      <c r="E52" s="166" t="s">
        <v>1345</v>
      </c>
      <c r="F52" s="166" t="s">
        <v>1393</v>
      </c>
      <c r="G52" s="166" t="s">
        <v>129</v>
      </c>
      <c r="H52" s="166">
        <v>2138832</v>
      </c>
      <c r="I52" s="166">
        <v>0</v>
      </c>
      <c r="J52" s="166">
        <v>0</v>
      </c>
      <c r="K52" s="166" t="str">
        <f t="shared" si="0"/>
        <v>INSTRUMENTTYP_SCRTZTN</v>
      </c>
    </row>
    <row r="53" spans="1:11" hidden="1">
      <c r="A53" s="166" t="s">
        <v>1459</v>
      </c>
      <c r="B53" s="166" t="s">
        <v>1460</v>
      </c>
      <c r="C53" s="166" t="s">
        <v>127</v>
      </c>
      <c r="D53" s="166" t="s">
        <v>563</v>
      </c>
      <c r="E53" s="166" t="s">
        <v>1345</v>
      </c>
      <c r="F53" s="166" t="s">
        <v>1393</v>
      </c>
      <c r="G53" s="166" t="s">
        <v>129</v>
      </c>
      <c r="H53" s="166">
        <v>2138963</v>
      </c>
      <c r="I53" s="166">
        <v>0</v>
      </c>
      <c r="J53" s="166">
        <v>0</v>
      </c>
      <c r="K53" s="166" t="str">
        <f t="shared" si="0"/>
        <v>INSTRUMENTFLG_DFLT</v>
      </c>
    </row>
    <row r="54" spans="1:11" hidden="1">
      <c r="A54" s="166" t="s">
        <v>1461</v>
      </c>
      <c r="B54" s="166" t="s">
        <v>1462</v>
      </c>
      <c r="C54" s="166" t="s">
        <v>127</v>
      </c>
      <c r="D54" s="166" t="s">
        <v>564</v>
      </c>
      <c r="E54" s="166" t="s">
        <v>1345</v>
      </c>
      <c r="F54" s="166" t="s">
        <v>1393</v>
      </c>
      <c r="G54" s="166" t="s">
        <v>129</v>
      </c>
      <c r="H54" s="166">
        <v>2138963</v>
      </c>
      <c r="I54" s="166">
        <v>0</v>
      </c>
      <c r="J54" s="166">
        <v>0</v>
      </c>
      <c r="K54" s="166" t="str">
        <f t="shared" si="0"/>
        <v>INSTRUMENTFLG_HGH_RSK</v>
      </c>
    </row>
    <row r="55" spans="1:11" hidden="1">
      <c r="A55" s="166" t="s">
        <v>1463</v>
      </c>
      <c r="B55" s="166" t="s">
        <v>1464</v>
      </c>
      <c r="C55" s="166" t="s">
        <v>127</v>
      </c>
      <c r="D55" s="166" t="s">
        <v>1320</v>
      </c>
      <c r="E55" s="166" t="s">
        <v>1337</v>
      </c>
      <c r="F55" s="166" t="s">
        <v>1393</v>
      </c>
      <c r="G55" s="166" t="s">
        <v>129</v>
      </c>
      <c r="H55" s="166">
        <v>378839</v>
      </c>
      <c r="I55" s="166">
        <v>0</v>
      </c>
      <c r="J55" s="166">
        <v>0</v>
      </c>
      <c r="K55" s="166" t="str">
        <f t="shared" si="0"/>
        <v>INSTRUMENTRWA_MTGTN</v>
      </c>
    </row>
    <row r="56" spans="1:11" hidden="1">
      <c r="A56" s="166" t="s">
        <v>1465</v>
      </c>
      <c r="B56" s="166" t="s">
        <v>1466</v>
      </c>
      <c r="C56" s="166" t="s">
        <v>127</v>
      </c>
      <c r="D56" s="166" t="s">
        <v>1319</v>
      </c>
      <c r="E56" s="166" t="s">
        <v>1337</v>
      </c>
      <c r="F56" s="166" t="s">
        <v>1393</v>
      </c>
      <c r="G56" s="166" t="s">
        <v>129</v>
      </c>
      <c r="H56" s="166">
        <v>378839</v>
      </c>
      <c r="I56" s="166">
        <v>0</v>
      </c>
      <c r="J56" s="166">
        <v>0</v>
      </c>
      <c r="K56" s="166" t="str">
        <f t="shared" si="0"/>
        <v>INSTRUMENTRWA_PRMTGTN</v>
      </c>
    </row>
    <row r="57" spans="1:11" hidden="1">
      <c r="A57" s="166" t="s">
        <v>1467</v>
      </c>
      <c r="B57" s="166" t="s">
        <v>1468</v>
      </c>
      <c r="C57" s="166" t="s">
        <v>1392</v>
      </c>
      <c r="D57" s="166" t="s">
        <v>1311</v>
      </c>
      <c r="E57" s="166" t="s">
        <v>1345</v>
      </c>
      <c r="F57" s="166" t="s">
        <v>1393</v>
      </c>
      <c r="G57" s="166" t="s">
        <v>129</v>
      </c>
      <c r="H57" s="166">
        <v>378839</v>
      </c>
      <c r="I57" s="166">
        <v>0</v>
      </c>
      <c r="J57" s="166">
        <v>0</v>
      </c>
      <c r="K57" s="166" t="str">
        <f t="shared" si="0"/>
        <v>INSTRUMENTUS_PRCDS</v>
      </c>
    </row>
    <row r="58" spans="1:11" hidden="1">
      <c r="A58" s="166" t="s">
        <v>1469</v>
      </c>
      <c r="B58" s="166" t="s">
        <v>1470</v>
      </c>
      <c r="C58" s="166" t="s">
        <v>1392</v>
      </c>
      <c r="D58" s="166" t="s">
        <v>1471</v>
      </c>
      <c r="E58" s="166" t="s">
        <v>1345</v>
      </c>
      <c r="F58" s="166" t="s">
        <v>1393</v>
      </c>
      <c r="G58" s="166" t="s">
        <v>129</v>
      </c>
      <c r="H58" s="166">
        <v>380406</v>
      </c>
      <c r="I58" s="166">
        <v>0</v>
      </c>
      <c r="J58" s="166">
        <v>0</v>
      </c>
      <c r="K58" s="166" t="str">
        <f t="shared" si="0"/>
        <v>INSTRUMENTFLG_MNMM_SFGRDS</v>
      </c>
    </row>
    <row r="59" spans="1:11" hidden="1">
      <c r="A59" s="166" t="s">
        <v>1472</v>
      </c>
      <c r="B59" s="166" t="s">
        <v>1389</v>
      </c>
      <c r="C59" s="166" t="s">
        <v>1473</v>
      </c>
      <c r="D59" s="166" t="s">
        <v>367</v>
      </c>
      <c r="E59" s="166" t="s">
        <v>1361</v>
      </c>
      <c r="F59" s="166" t="s">
        <v>1474</v>
      </c>
      <c r="G59" s="166" t="s">
        <v>129</v>
      </c>
      <c r="H59" s="166">
        <v>783914</v>
      </c>
      <c r="I59" s="166">
        <v>0</v>
      </c>
      <c r="J59" s="166">
        <v>0</v>
      </c>
      <c r="K59" s="166" t="str">
        <f t="shared" si="0"/>
        <v>INSTR_PROTECTIONINSTRMNT_ID</v>
      </c>
    </row>
    <row r="60" spans="1:11" hidden="1">
      <c r="A60" s="166" t="s">
        <v>1475</v>
      </c>
      <c r="B60" s="166" t="s">
        <v>1476</v>
      </c>
      <c r="C60" s="166" t="s">
        <v>1473</v>
      </c>
      <c r="D60" s="166" t="s">
        <v>462</v>
      </c>
      <c r="E60" s="166" t="s">
        <v>1361</v>
      </c>
      <c r="F60" s="166" t="s">
        <v>1474</v>
      </c>
      <c r="G60" s="166" t="s">
        <v>129</v>
      </c>
      <c r="H60" s="166">
        <v>783914</v>
      </c>
      <c r="I60" s="166">
        <v>0</v>
      </c>
      <c r="J60" s="166">
        <v>0</v>
      </c>
      <c r="K60" s="166" t="str">
        <f t="shared" si="0"/>
        <v>INSTR_PROTECTIONPRTCTN_ID</v>
      </c>
    </row>
    <row r="61" spans="1:11" hidden="1">
      <c r="A61" s="166" t="s">
        <v>1477</v>
      </c>
      <c r="B61" s="166" t="s">
        <v>1478</v>
      </c>
      <c r="C61" s="166" t="s">
        <v>1473</v>
      </c>
      <c r="D61" s="166" t="s">
        <v>459</v>
      </c>
      <c r="E61" s="166" t="s">
        <v>1337</v>
      </c>
      <c r="F61" s="166" t="s">
        <v>1474</v>
      </c>
      <c r="G61" s="166" t="s">
        <v>129</v>
      </c>
      <c r="H61" s="166">
        <v>783914</v>
      </c>
      <c r="I61" s="166">
        <v>0</v>
      </c>
      <c r="J61" s="166">
        <v>0</v>
      </c>
      <c r="K61" s="166" t="str">
        <f t="shared" si="0"/>
        <v>INSTR_PROTECTIONPRTCTN_ALLCTD_VL</v>
      </c>
    </row>
    <row r="62" spans="1:11" hidden="1">
      <c r="A62" s="166" t="s">
        <v>1479</v>
      </c>
      <c r="B62" s="166" t="s">
        <v>1480</v>
      </c>
      <c r="C62" s="166" t="s">
        <v>188</v>
      </c>
      <c r="D62" s="166" t="s">
        <v>1481</v>
      </c>
      <c r="E62" s="166" t="s">
        <v>1345</v>
      </c>
      <c r="F62" s="166" t="s">
        <v>1474</v>
      </c>
      <c r="G62" s="166" t="s">
        <v>129</v>
      </c>
      <c r="H62" s="166">
        <v>783914</v>
      </c>
      <c r="I62" s="166">
        <v>0</v>
      </c>
      <c r="J62" s="166">
        <v>0</v>
      </c>
      <c r="K62" s="166" t="str">
        <f t="shared" si="0"/>
        <v>INSTR_PROTECTIONTYP_RLTN</v>
      </c>
    </row>
    <row r="63" spans="1:11" hidden="1">
      <c r="A63" s="166" t="s">
        <v>1482</v>
      </c>
      <c r="B63" s="166" t="s">
        <v>1483</v>
      </c>
      <c r="C63" s="166" t="s">
        <v>1473</v>
      </c>
      <c r="D63" s="166" t="s">
        <v>1323</v>
      </c>
      <c r="E63" s="166" t="s">
        <v>1345</v>
      </c>
      <c r="F63" s="166" t="s">
        <v>1474</v>
      </c>
      <c r="G63" s="166" t="s">
        <v>129</v>
      </c>
      <c r="H63" s="166">
        <v>277859</v>
      </c>
      <c r="I63" s="166">
        <v>0</v>
      </c>
      <c r="J63" s="166">
        <v>0</v>
      </c>
      <c r="K63" s="166" t="str">
        <f t="shared" si="0"/>
        <v>INSTR_PROTECTIONGRP_SPPRT</v>
      </c>
    </row>
    <row r="64" spans="1:11" hidden="1">
      <c r="A64" s="166" t="s">
        <v>1484</v>
      </c>
      <c r="B64" s="166" t="s">
        <v>1476</v>
      </c>
      <c r="C64" s="166" t="s">
        <v>1485</v>
      </c>
      <c r="D64" s="166" t="s">
        <v>462</v>
      </c>
      <c r="E64" s="166" t="s">
        <v>1361</v>
      </c>
      <c r="F64" s="166" t="s">
        <v>1486</v>
      </c>
      <c r="G64" s="166" t="s">
        <v>129</v>
      </c>
      <c r="H64" s="166">
        <v>465126</v>
      </c>
      <c r="I64" s="166">
        <v>0</v>
      </c>
      <c r="J64" s="166">
        <v>0</v>
      </c>
      <c r="K64" s="166" t="str">
        <f t="shared" si="0"/>
        <v>PROTECTIONPRTCTN_ID</v>
      </c>
    </row>
    <row r="65" spans="1:11" hidden="1">
      <c r="A65" s="166" t="s">
        <v>1487</v>
      </c>
      <c r="B65" s="166" t="s">
        <v>1488</v>
      </c>
      <c r="C65" s="166" t="s">
        <v>1485</v>
      </c>
      <c r="D65" s="166" t="s">
        <v>228</v>
      </c>
      <c r="E65" s="166" t="s">
        <v>1337</v>
      </c>
      <c r="F65" s="166" t="s">
        <v>1486</v>
      </c>
      <c r="G65" s="166" t="s">
        <v>129</v>
      </c>
      <c r="H65" s="166">
        <v>465126</v>
      </c>
      <c r="I65" s="166">
        <v>0</v>
      </c>
      <c r="J65" s="166">
        <v>0</v>
      </c>
      <c r="K65" s="166" t="str">
        <f t="shared" si="0"/>
        <v>PROTECTIONTYP_PRTCTN</v>
      </c>
    </row>
    <row r="66" spans="1:11" hidden="1">
      <c r="A66" s="166" t="s">
        <v>1489</v>
      </c>
      <c r="B66" s="166" t="s">
        <v>1490</v>
      </c>
      <c r="C66" s="166" t="s">
        <v>156</v>
      </c>
      <c r="D66" s="166" t="s">
        <v>1377</v>
      </c>
      <c r="E66" s="166" t="s">
        <v>1345</v>
      </c>
      <c r="F66" s="166" t="s">
        <v>1486</v>
      </c>
      <c r="G66" s="166" t="s">
        <v>129</v>
      </c>
      <c r="H66" s="166">
        <v>465126</v>
      </c>
      <c r="I66" s="166">
        <v>0</v>
      </c>
      <c r="J66" s="166">
        <v>0</v>
      </c>
      <c r="K66" s="166" t="str">
        <f t="shared" si="0"/>
        <v>PROTECTIONFLG_ACT_PHYSCL_RSK</v>
      </c>
    </row>
    <row r="67" spans="1:11" hidden="1">
      <c r="A67" s="166" t="s">
        <v>1491</v>
      </c>
      <c r="B67" s="166" t="s">
        <v>1492</v>
      </c>
      <c r="C67" s="166" t="s">
        <v>156</v>
      </c>
      <c r="D67" s="166" t="s">
        <v>1380</v>
      </c>
      <c r="E67" s="166" t="s">
        <v>1345</v>
      </c>
      <c r="F67" s="166" t="s">
        <v>1486</v>
      </c>
      <c r="G67" s="166" t="s">
        <v>129</v>
      </c>
      <c r="H67" s="166">
        <v>465126</v>
      </c>
      <c r="I67" s="166">
        <v>0</v>
      </c>
      <c r="J67" s="166">
        <v>0</v>
      </c>
      <c r="K67" s="166" t="str">
        <f t="shared" ref="K67:K130" si="1">_xlfn.CONCAT(_xlfn.IFS(ISNUMBER(SEARCH("EN",A67)),"ENTITY",ISNUMBER(SEARCH("IN",A67)),"INSTRUMENT",ISNUMBER(SEARCH("PR",A67)),"PROTECTION",ISNUMBER(SEARCH("IP",A67)),"INSTR_PROTECTION",ISNUMBER(SEARCH("IE",A67)),"INSTR_ENTITY",ISNUMBER(SEARCH("AC",A67)),"INSTR_ACTIVITY"),D67)</f>
        <v>PROTECTIONFLG_CHRNC_PHYSCL_RSK</v>
      </c>
    </row>
    <row r="68" spans="1:11" hidden="1">
      <c r="A68" s="166" t="s">
        <v>1493</v>
      </c>
      <c r="B68" s="166" t="s">
        <v>1494</v>
      </c>
      <c r="C68" s="166" t="s">
        <v>156</v>
      </c>
      <c r="D68" s="166" t="s">
        <v>1495</v>
      </c>
      <c r="E68" s="166" t="s">
        <v>1345</v>
      </c>
      <c r="F68" s="166" t="s">
        <v>1486</v>
      </c>
      <c r="G68" s="166" t="s">
        <v>129</v>
      </c>
      <c r="H68" s="166">
        <v>368614</v>
      </c>
      <c r="I68" s="166">
        <v>0</v>
      </c>
      <c r="J68" s="166">
        <v>0</v>
      </c>
      <c r="K68" s="166" t="str">
        <f t="shared" si="1"/>
        <v>PROTECTIONFLG_FRST_HM</v>
      </c>
    </row>
    <row r="69" spans="1:11" hidden="1">
      <c r="A69" s="166" t="s">
        <v>1496</v>
      </c>
      <c r="B69" s="166" t="s">
        <v>1497</v>
      </c>
      <c r="C69" s="166" t="s">
        <v>1485</v>
      </c>
      <c r="D69" s="166" t="s">
        <v>1498</v>
      </c>
      <c r="E69" s="166" t="s">
        <v>1345</v>
      </c>
      <c r="F69" s="166" t="s">
        <v>1486</v>
      </c>
      <c r="G69" s="166" t="s">
        <v>129</v>
      </c>
      <c r="H69" s="166">
        <v>465126</v>
      </c>
      <c r="I69" s="166">
        <v>0</v>
      </c>
      <c r="J69" s="166">
        <v>0</v>
      </c>
      <c r="K69" s="166" t="str">
        <f t="shared" si="1"/>
        <v>PROTECTIONFLG_ELCTRC_VHCL</v>
      </c>
    </row>
    <row r="70" spans="1:11" hidden="1">
      <c r="A70" s="166" t="s">
        <v>1499</v>
      </c>
      <c r="B70" s="166" t="s">
        <v>1500</v>
      </c>
      <c r="C70" s="166" t="s">
        <v>576</v>
      </c>
      <c r="D70" s="166" t="s">
        <v>367</v>
      </c>
      <c r="E70" s="166" t="s">
        <v>1501</v>
      </c>
      <c r="F70" s="166" t="s">
        <v>1502</v>
      </c>
      <c r="G70" s="166" t="s">
        <v>129</v>
      </c>
      <c r="H70" s="166">
        <v>2138988</v>
      </c>
      <c r="I70" s="166">
        <v>0</v>
      </c>
      <c r="J70" s="166">
        <v>0</v>
      </c>
      <c r="K70" s="166" t="str">
        <f t="shared" si="1"/>
        <v>INSTR_ACTIVITYINSTRMNT_ID</v>
      </c>
    </row>
    <row r="71" spans="1:11" hidden="1">
      <c r="A71" s="166" t="s">
        <v>1503</v>
      </c>
      <c r="B71" s="166" t="s">
        <v>1504</v>
      </c>
      <c r="C71" s="166" t="s">
        <v>139</v>
      </c>
      <c r="D71" s="166" t="s">
        <v>306</v>
      </c>
      <c r="E71" s="166" t="s">
        <v>1505</v>
      </c>
      <c r="F71" s="166" t="s">
        <v>1502</v>
      </c>
      <c r="G71" s="166" t="s">
        <v>129</v>
      </c>
      <c r="H71" s="166">
        <v>1140751</v>
      </c>
      <c r="I71" s="166">
        <v>0</v>
      </c>
      <c r="J71" s="166">
        <v>0</v>
      </c>
      <c r="K71" s="166" t="str">
        <f t="shared" si="1"/>
        <v>ENTITYENTTY_ID</v>
      </c>
    </row>
    <row r="72" spans="1:11" hidden="1">
      <c r="A72" s="166" t="s">
        <v>1506</v>
      </c>
      <c r="B72" s="166" t="s">
        <v>1507</v>
      </c>
      <c r="C72" s="166" t="s">
        <v>139</v>
      </c>
      <c r="D72" s="166" t="s">
        <v>517</v>
      </c>
      <c r="E72" s="166" t="s">
        <v>1501</v>
      </c>
      <c r="F72" s="166" t="s">
        <v>1502</v>
      </c>
      <c r="G72" s="166" t="s">
        <v>1134</v>
      </c>
      <c r="H72" s="166">
        <v>1139133</v>
      </c>
      <c r="I72" s="166">
        <v>3007</v>
      </c>
      <c r="J72" s="166">
        <v>0.26400000000000001</v>
      </c>
      <c r="K72" s="166" t="str">
        <f t="shared" si="1"/>
        <v>ENTITYTAX_ID</v>
      </c>
    </row>
    <row r="73" spans="1:11" hidden="1">
      <c r="A73" s="166" t="s">
        <v>1508</v>
      </c>
      <c r="B73" s="166" t="s">
        <v>1509</v>
      </c>
      <c r="C73" s="166" t="s">
        <v>187</v>
      </c>
      <c r="D73" s="166" t="s">
        <v>306</v>
      </c>
      <c r="E73" s="166" t="s">
        <v>1505</v>
      </c>
      <c r="F73" s="166" t="s">
        <v>1502</v>
      </c>
      <c r="G73" s="166" t="s">
        <v>129</v>
      </c>
      <c r="H73" s="166">
        <v>2655392</v>
      </c>
      <c r="I73" s="166">
        <v>0</v>
      </c>
      <c r="J73" s="166">
        <v>0</v>
      </c>
      <c r="K73" s="166" t="str">
        <f t="shared" si="1"/>
        <v>INSTR_ENTITYENTTY_ID</v>
      </c>
    </row>
    <row r="74" spans="1:11" hidden="1">
      <c r="A74" s="166" t="s">
        <v>1510</v>
      </c>
      <c r="B74" s="166" t="s">
        <v>1511</v>
      </c>
      <c r="C74" s="166" t="s">
        <v>127</v>
      </c>
      <c r="D74" s="166" t="s">
        <v>367</v>
      </c>
      <c r="E74" s="166" t="s">
        <v>1505</v>
      </c>
      <c r="F74" s="166" t="s">
        <v>1502</v>
      </c>
      <c r="G74" s="166" t="s">
        <v>1134</v>
      </c>
      <c r="H74" s="166">
        <v>2266163</v>
      </c>
      <c r="I74" s="166">
        <v>6</v>
      </c>
      <c r="J74" s="166">
        <v>2.9999999999999997E-4</v>
      </c>
      <c r="K74" s="166" t="str">
        <f t="shared" si="1"/>
        <v>INSTRUMENTINSTRMNT_ID</v>
      </c>
    </row>
    <row r="75" spans="1:11" hidden="1">
      <c r="A75" s="166" t="s">
        <v>1512</v>
      </c>
      <c r="B75" s="166" t="s">
        <v>1513</v>
      </c>
      <c r="C75" s="166" t="s">
        <v>188</v>
      </c>
      <c r="D75" s="166" t="s">
        <v>367</v>
      </c>
      <c r="E75" s="166" t="s">
        <v>1505</v>
      </c>
      <c r="F75" s="166" t="s">
        <v>1502</v>
      </c>
      <c r="G75" s="166" t="s">
        <v>129</v>
      </c>
      <c r="H75" s="166">
        <v>783914</v>
      </c>
      <c r="I75" s="166">
        <v>0</v>
      </c>
      <c r="J75" s="166">
        <v>0</v>
      </c>
      <c r="K75" s="166" t="str">
        <f t="shared" si="1"/>
        <v>INSTR_PROTECTIONINSTRMNT_ID</v>
      </c>
    </row>
    <row r="76" spans="1:11" hidden="1">
      <c r="A76" s="166" t="s">
        <v>1514</v>
      </c>
      <c r="B76" s="166" t="s">
        <v>762</v>
      </c>
      <c r="C76" s="166" t="s">
        <v>156</v>
      </c>
      <c r="D76" s="166" t="s">
        <v>275</v>
      </c>
      <c r="E76" s="166" t="s">
        <v>1501</v>
      </c>
      <c r="F76" s="166" t="s">
        <v>1502</v>
      </c>
      <c r="G76" s="166" t="s">
        <v>1134</v>
      </c>
      <c r="H76" s="166">
        <v>272234</v>
      </c>
      <c r="I76" s="166">
        <v>1534</v>
      </c>
      <c r="J76" s="166">
        <v>0.5635</v>
      </c>
      <c r="K76" s="166" t="str">
        <f t="shared" si="1"/>
        <v>PROTECTIONNTNL_ID</v>
      </c>
    </row>
    <row r="77" spans="1:11" hidden="1">
      <c r="A77" s="166" t="s">
        <v>1515</v>
      </c>
      <c r="B77" s="166" t="s">
        <v>1516</v>
      </c>
      <c r="C77" s="166" t="s">
        <v>156</v>
      </c>
      <c r="D77" s="166" t="s">
        <v>462</v>
      </c>
      <c r="E77" s="166" t="s">
        <v>1505</v>
      </c>
      <c r="F77" s="166" t="s">
        <v>1502</v>
      </c>
      <c r="G77" s="166" t="s">
        <v>129</v>
      </c>
      <c r="H77" s="166">
        <v>465126</v>
      </c>
      <c r="I77" s="166">
        <v>0</v>
      </c>
      <c r="J77" s="166">
        <v>0</v>
      </c>
      <c r="K77" s="166" t="str">
        <f t="shared" si="1"/>
        <v>PROTECTIONPRTCTN_ID</v>
      </c>
    </row>
    <row r="78" spans="1:11" hidden="1">
      <c r="A78" s="166" t="s">
        <v>1517</v>
      </c>
      <c r="B78" s="166" t="s">
        <v>1518</v>
      </c>
      <c r="C78" s="166" t="s">
        <v>156</v>
      </c>
      <c r="D78" s="166" t="s">
        <v>517</v>
      </c>
      <c r="E78" s="166" t="s">
        <v>1501</v>
      </c>
      <c r="F78" s="166" t="s">
        <v>1502</v>
      </c>
      <c r="G78" s="166" t="s">
        <v>1134</v>
      </c>
      <c r="H78" s="166">
        <v>166960</v>
      </c>
      <c r="I78" s="166">
        <v>5961</v>
      </c>
      <c r="J78" s="166">
        <v>3.5703</v>
      </c>
      <c r="K78" s="166" t="str">
        <f t="shared" si="1"/>
        <v>PROTECTIONTAX_ID</v>
      </c>
    </row>
    <row r="79" spans="1:11" hidden="1">
      <c r="A79" s="166" t="s">
        <v>1519</v>
      </c>
      <c r="B79" s="166" t="s">
        <v>1520</v>
      </c>
      <c r="C79" s="166" t="s">
        <v>576</v>
      </c>
      <c r="D79" s="166" t="s">
        <v>186</v>
      </c>
      <c r="E79" s="166" t="s">
        <v>1132</v>
      </c>
      <c r="F79" s="166" t="s">
        <v>1521</v>
      </c>
      <c r="G79" s="166" t="s">
        <v>129</v>
      </c>
      <c r="H79" s="166">
        <v>2138988</v>
      </c>
      <c r="I79" s="166">
        <v>0</v>
      </c>
      <c r="J79" s="166">
        <v>0</v>
      </c>
      <c r="K79" s="166" t="str">
        <f t="shared" si="1"/>
        <v>INSTR_ACTIVITYCOD_SOC</v>
      </c>
    </row>
    <row r="80" spans="1:11" hidden="1">
      <c r="A80" s="166" t="s">
        <v>1522</v>
      </c>
      <c r="B80" s="166" t="s">
        <v>1523</v>
      </c>
      <c r="C80" s="166" t="s">
        <v>576</v>
      </c>
      <c r="D80" s="166" t="s">
        <v>283</v>
      </c>
      <c r="E80" s="166" t="s">
        <v>1524</v>
      </c>
      <c r="F80" s="166" t="s">
        <v>1521</v>
      </c>
      <c r="G80" s="166" t="s">
        <v>129</v>
      </c>
      <c r="H80" s="166">
        <v>2138988</v>
      </c>
      <c r="I80" s="166">
        <v>0</v>
      </c>
      <c r="J80" s="166">
        <v>0</v>
      </c>
      <c r="K80" s="166" t="str">
        <f t="shared" si="1"/>
        <v>INSTR_ACTIVITYDT_RFRNC</v>
      </c>
    </row>
    <row r="81" spans="1:11" hidden="1">
      <c r="A81" s="166" t="s">
        <v>1525</v>
      </c>
      <c r="B81" s="166" t="s">
        <v>1526</v>
      </c>
      <c r="C81" s="166" t="s">
        <v>576</v>
      </c>
      <c r="D81" s="166" t="s">
        <v>367</v>
      </c>
      <c r="E81" s="166" t="s">
        <v>1527</v>
      </c>
      <c r="F81" s="166" t="s">
        <v>1521</v>
      </c>
      <c r="G81" s="166" t="s">
        <v>129</v>
      </c>
      <c r="H81" s="166">
        <v>2138988</v>
      </c>
      <c r="I81" s="166">
        <v>0</v>
      </c>
      <c r="J81" s="166">
        <v>0</v>
      </c>
      <c r="K81" s="166" t="str">
        <f t="shared" si="1"/>
        <v>INSTR_ACTIVITYINSTRMNT_ID</v>
      </c>
    </row>
    <row r="82" spans="1:11" hidden="1">
      <c r="A82" s="166" t="s">
        <v>1528</v>
      </c>
      <c r="B82" s="166" t="s">
        <v>1529</v>
      </c>
      <c r="C82" s="166" t="s">
        <v>576</v>
      </c>
      <c r="D82" s="166" t="s">
        <v>1530</v>
      </c>
      <c r="E82" s="166" t="s">
        <v>1531</v>
      </c>
      <c r="F82" s="166" t="s">
        <v>1521</v>
      </c>
      <c r="G82" s="166" t="s">
        <v>129</v>
      </c>
      <c r="H82" s="166">
        <v>2138988</v>
      </c>
      <c r="I82" s="166">
        <v>0</v>
      </c>
      <c r="J82" s="166">
        <v>0</v>
      </c>
      <c r="K82" s="166" t="str">
        <f t="shared" si="1"/>
        <v>INSTR_ACTIVITYSSTNBL_CTGRY</v>
      </c>
    </row>
    <row r="83" spans="1:11" hidden="1">
      <c r="A83" s="166" t="s">
        <v>1532</v>
      </c>
      <c r="B83" s="166" t="s">
        <v>1533</v>
      </c>
      <c r="C83" s="166" t="s">
        <v>576</v>
      </c>
      <c r="D83" s="166" t="s">
        <v>577</v>
      </c>
      <c r="E83" s="166" t="s">
        <v>1534</v>
      </c>
      <c r="F83" s="166" t="s">
        <v>1521</v>
      </c>
      <c r="G83" s="166" t="s">
        <v>1134</v>
      </c>
      <c r="H83" s="166">
        <v>2138988</v>
      </c>
      <c r="I83" s="166">
        <v>46</v>
      </c>
      <c r="J83" s="166">
        <v>2.2000000000000001E-3</v>
      </c>
      <c r="K83" s="166" t="str">
        <f t="shared" si="1"/>
        <v>INSTR_ACTIVITYPRCNTG_ACTVTY</v>
      </c>
    </row>
    <row r="84" spans="1:11" hidden="1">
      <c r="A84" s="166" t="s">
        <v>1535</v>
      </c>
      <c r="B84" s="166" t="s">
        <v>1536</v>
      </c>
      <c r="C84" s="166" t="s">
        <v>576</v>
      </c>
      <c r="D84" s="166" t="s">
        <v>1341</v>
      </c>
      <c r="E84" s="166" t="s">
        <v>1531</v>
      </c>
      <c r="F84" s="166" t="s">
        <v>1521</v>
      </c>
      <c r="G84" s="166" t="s">
        <v>1134</v>
      </c>
      <c r="H84" s="166">
        <v>2138988</v>
      </c>
      <c r="I84" s="166">
        <v>2138988</v>
      </c>
      <c r="J84" s="166">
        <v>100</v>
      </c>
      <c r="K84" s="166" t="str">
        <f t="shared" si="1"/>
        <v>INSTR_ACTIVITYENVRNMNTL_OBJCTV</v>
      </c>
    </row>
    <row r="85" spans="1:11" hidden="1">
      <c r="A85" s="166" t="s">
        <v>1537</v>
      </c>
      <c r="B85" s="166" t="s">
        <v>1538</v>
      </c>
      <c r="C85" s="166" t="s">
        <v>576</v>
      </c>
      <c r="D85" s="166" t="s">
        <v>1539</v>
      </c>
      <c r="E85" s="166" t="s">
        <v>1531</v>
      </c>
      <c r="F85" s="166" t="s">
        <v>1521</v>
      </c>
      <c r="G85" s="166" t="s">
        <v>1134</v>
      </c>
      <c r="H85" s="166">
        <v>2138988</v>
      </c>
      <c r="I85" s="166">
        <v>2138988</v>
      </c>
      <c r="J85" s="166">
        <v>100</v>
      </c>
      <c r="K85" s="166" t="str">
        <f t="shared" si="1"/>
        <v>INSTR_ACTIVITYTYP_ACTVTY</v>
      </c>
    </row>
    <row r="86" spans="1:11" hidden="1">
      <c r="A86" s="166" t="s">
        <v>1540</v>
      </c>
      <c r="B86" s="166" t="s">
        <v>1541</v>
      </c>
      <c r="C86" s="166" t="s">
        <v>576</v>
      </c>
      <c r="D86" s="166" t="s">
        <v>1344</v>
      </c>
      <c r="E86" s="166" t="s">
        <v>1531</v>
      </c>
      <c r="F86" s="166" t="s">
        <v>1521</v>
      </c>
      <c r="G86" s="166" t="s">
        <v>129</v>
      </c>
      <c r="H86" s="166">
        <v>2138988</v>
      </c>
      <c r="I86" s="166">
        <v>0</v>
      </c>
      <c r="J86" s="166">
        <v>0</v>
      </c>
      <c r="K86" s="166" t="str">
        <f t="shared" si="1"/>
        <v>INSTR_ACTIVITYSSTNBL_INDCTR</v>
      </c>
    </row>
    <row r="87" spans="1:11" hidden="1">
      <c r="A87" s="166" t="s">
        <v>1542</v>
      </c>
      <c r="B87" s="166" t="s">
        <v>1543</v>
      </c>
      <c r="C87" s="166" t="s">
        <v>576</v>
      </c>
      <c r="D87" s="166" t="s">
        <v>1348</v>
      </c>
      <c r="E87" s="166" t="s">
        <v>1531</v>
      </c>
      <c r="F87" s="166" t="s">
        <v>1521</v>
      </c>
      <c r="G87" s="166" t="s">
        <v>1134</v>
      </c>
      <c r="H87" s="166">
        <v>2138988</v>
      </c>
      <c r="I87" s="166">
        <v>2138988</v>
      </c>
      <c r="J87" s="166">
        <v>100</v>
      </c>
      <c r="K87" s="166" t="str">
        <f t="shared" si="1"/>
        <v>INSTR_ACTIVITYFLG_SBSTNTL_CNTRBTN</v>
      </c>
    </row>
    <row r="88" spans="1:11" hidden="1">
      <c r="A88" s="166" t="s">
        <v>1544</v>
      </c>
      <c r="B88" s="166" t="s">
        <v>1545</v>
      </c>
      <c r="C88" s="166" t="s">
        <v>576</v>
      </c>
      <c r="D88" s="166" t="s">
        <v>1351</v>
      </c>
      <c r="E88" s="166" t="s">
        <v>1531</v>
      </c>
      <c r="F88" s="166" t="s">
        <v>1521</v>
      </c>
      <c r="G88" s="166" t="s">
        <v>1134</v>
      </c>
      <c r="H88" s="166">
        <v>2138988</v>
      </c>
      <c r="I88" s="166">
        <v>2138988</v>
      </c>
      <c r="J88" s="166">
        <v>100</v>
      </c>
      <c r="K88" s="166" t="str">
        <f t="shared" si="1"/>
        <v>INSTR_ACTIVITYFLG_DNSH_CMPLNC</v>
      </c>
    </row>
    <row r="89" spans="1:11" hidden="1">
      <c r="A89" s="166" t="s">
        <v>1546</v>
      </c>
      <c r="B89" s="166" t="s">
        <v>1547</v>
      </c>
      <c r="C89" s="166" t="s">
        <v>576</v>
      </c>
      <c r="D89" s="166" t="s">
        <v>1548</v>
      </c>
      <c r="E89" s="166" t="s">
        <v>1132</v>
      </c>
      <c r="F89" s="166" t="s">
        <v>1521</v>
      </c>
      <c r="G89" s="166" t="s">
        <v>1134</v>
      </c>
      <c r="H89" s="166">
        <v>2138988</v>
      </c>
      <c r="I89" s="166">
        <v>2138988</v>
      </c>
      <c r="J89" s="166">
        <v>100</v>
      </c>
      <c r="K89" s="166" t="str">
        <f t="shared" si="1"/>
        <v>INSTR_ACTIVITYDNSH_DTL</v>
      </c>
    </row>
    <row r="90" spans="1:11" hidden="1">
      <c r="A90" s="166" t="s">
        <v>1549</v>
      </c>
      <c r="B90" s="166" t="s">
        <v>1550</v>
      </c>
      <c r="C90" s="166" t="s">
        <v>139</v>
      </c>
      <c r="D90" s="166" t="s">
        <v>186</v>
      </c>
      <c r="E90" s="166" t="s">
        <v>1531</v>
      </c>
      <c r="F90" s="166" t="s">
        <v>1551</v>
      </c>
      <c r="G90" s="166" t="s">
        <v>129</v>
      </c>
      <c r="H90" s="166">
        <v>1140751</v>
      </c>
      <c r="I90" s="166">
        <v>0</v>
      </c>
      <c r="J90" s="166">
        <v>0</v>
      </c>
      <c r="K90" s="166" t="str">
        <f t="shared" si="1"/>
        <v>ENTITYCOD_SOC</v>
      </c>
    </row>
    <row r="91" spans="1:11" hidden="1">
      <c r="A91" s="166" t="s">
        <v>1552</v>
      </c>
      <c r="B91" s="166" t="s">
        <v>1553</v>
      </c>
      <c r="C91" s="166" t="s">
        <v>139</v>
      </c>
      <c r="D91" s="166" t="s">
        <v>185</v>
      </c>
      <c r="E91" s="166" t="s">
        <v>1531</v>
      </c>
      <c r="F91" s="166" t="s">
        <v>1551</v>
      </c>
      <c r="G91" s="166" t="s">
        <v>129</v>
      </c>
      <c r="H91" s="166">
        <v>1140751</v>
      </c>
      <c r="I91" s="166">
        <v>0</v>
      </c>
      <c r="J91" s="166">
        <v>0</v>
      </c>
      <c r="K91" s="166" t="str">
        <f t="shared" si="1"/>
        <v>ENTITYCNTRY</v>
      </c>
    </row>
    <row r="92" spans="1:11" hidden="1">
      <c r="A92" s="166" t="s">
        <v>1554</v>
      </c>
      <c r="B92" s="166" t="s">
        <v>1555</v>
      </c>
      <c r="C92" s="166" t="s">
        <v>139</v>
      </c>
      <c r="D92" s="166" t="s">
        <v>232</v>
      </c>
      <c r="E92" s="166" t="s">
        <v>1524</v>
      </c>
      <c r="F92" s="166" t="s">
        <v>1551</v>
      </c>
      <c r="G92" s="166" t="s">
        <v>129</v>
      </c>
      <c r="H92" s="166">
        <v>1140751</v>
      </c>
      <c r="I92" s="166">
        <v>0</v>
      </c>
      <c r="J92" s="166">
        <v>0</v>
      </c>
      <c r="K92" s="166" t="str">
        <f t="shared" si="1"/>
        <v>ENTITYDT_BRTH</v>
      </c>
    </row>
    <row r="93" spans="1:11" hidden="1">
      <c r="A93" s="166" t="s">
        <v>1556</v>
      </c>
      <c r="B93" s="166" t="s">
        <v>1557</v>
      </c>
      <c r="C93" s="166" t="s">
        <v>139</v>
      </c>
      <c r="D93" s="166" t="s">
        <v>239</v>
      </c>
      <c r="E93" s="166" t="s">
        <v>1524</v>
      </c>
      <c r="F93" s="166" t="s">
        <v>1551</v>
      </c>
      <c r="G93" s="166" t="s">
        <v>129</v>
      </c>
      <c r="H93" s="166">
        <v>1140751</v>
      </c>
      <c r="I93" s="166">
        <v>0</v>
      </c>
      <c r="J93" s="166">
        <v>0</v>
      </c>
      <c r="K93" s="166" t="str">
        <f t="shared" si="1"/>
        <v>ENTITYDT_DFLT_STTS</v>
      </c>
    </row>
    <row r="94" spans="1:11" hidden="1">
      <c r="A94" s="166" t="s">
        <v>1558</v>
      </c>
      <c r="B94" s="166" t="s">
        <v>1559</v>
      </c>
      <c r="C94" s="166" t="s">
        <v>139</v>
      </c>
      <c r="D94" s="166" t="s">
        <v>249</v>
      </c>
      <c r="E94" s="166" t="s">
        <v>1524</v>
      </c>
      <c r="F94" s="166" t="s">
        <v>1551</v>
      </c>
      <c r="G94" s="166" t="s">
        <v>129</v>
      </c>
      <c r="H94" s="166">
        <v>1140751</v>
      </c>
      <c r="I94" s="166">
        <v>0</v>
      </c>
      <c r="J94" s="166">
        <v>0</v>
      </c>
      <c r="K94" s="166" t="str">
        <f t="shared" si="1"/>
        <v>ENTITYDT_FNNCL_STTMTS</v>
      </c>
    </row>
    <row r="95" spans="1:11" hidden="1">
      <c r="A95" s="166" t="s">
        <v>1560</v>
      </c>
      <c r="B95" s="166" t="s">
        <v>1561</v>
      </c>
      <c r="C95" s="166" t="s">
        <v>139</v>
      </c>
      <c r="D95" s="166" t="s">
        <v>250</v>
      </c>
      <c r="E95" s="166" t="s">
        <v>1524</v>
      </c>
      <c r="F95" s="166" t="s">
        <v>1551</v>
      </c>
      <c r="G95" s="166" t="s">
        <v>129</v>
      </c>
      <c r="H95" s="166">
        <v>1140751</v>
      </c>
      <c r="I95" s="166">
        <v>0</v>
      </c>
      <c r="J95" s="166">
        <v>0</v>
      </c>
      <c r="K95" s="166" t="str">
        <f t="shared" si="1"/>
        <v>ENTITYDT_FNNCL_STTMTS_PRVS</v>
      </c>
    </row>
    <row r="96" spans="1:11" hidden="1">
      <c r="A96" s="166" t="s">
        <v>1562</v>
      </c>
      <c r="B96" s="166" t="s">
        <v>1563</v>
      </c>
      <c r="C96" s="166" t="s">
        <v>139</v>
      </c>
      <c r="D96" s="166" t="s">
        <v>263</v>
      </c>
      <c r="E96" s="166" t="s">
        <v>1524</v>
      </c>
      <c r="F96" s="166" t="s">
        <v>1551</v>
      </c>
      <c r="G96" s="166" t="s">
        <v>129</v>
      </c>
      <c r="H96" s="166">
        <v>1140751</v>
      </c>
      <c r="I96" s="166">
        <v>0</v>
      </c>
      <c r="J96" s="166">
        <v>0</v>
      </c>
      <c r="K96" s="166" t="str">
        <f t="shared" si="1"/>
        <v>ENTITYDT_INTTN_LGL_PRCDNGS_LE</v>
      </c>
    </row>
    <row r="97" spans="1:11" hidden="1">
      <c r="A97" s="166" t="s">
        <v>1564</v>
      </c>
      <c r="B97" s="166" t="s">
        <v>1565</v>
      </c>
      <c r="C97" s="166" t="s">
        <v>139</v>
      </c>
      <c r="D97" s="166" t="s">
        <v>277</v>
      </c>
      <c r="E97" s="166" t="s">
        <v>1524</v>
      </c>
      <c r="F97" s="166" t="s">
        <v>1551</v>
      </c>
      <c r="G97" s="166" t="s">
        <v>129</v>
      </c>
      <c r="H97" s="166">
        <v>1140751</v>
      </c>
      <c r="I97" s="166">
        <v>0</v>
      </c>
      <c r="J97" s="166">
        <v>0</v>
      </c>
      <c r="K97" s="166" t="str">
        <f t="shared" si="1"/>
        <v>ENTITYDT_PRFRMNG_STTS_LE</v>
      </c>
    </row>
    <row r="98" spans="1:11" hidden="1">
      <c r="A98" s="166" t="s">
        <v>1566</v>
      </c>
      <c r="B98" s="166" t="s">
        <v>1567</v>
      </c>
      <c r="C98" s="166" t="s">
        <v>139</v>
      </c>
      <c r="D98" s="166" t="s">
        <v>283</v>
      </c>
      <c r="E98" s="166" t="s">
        <v>1524</v>
      </c>
      <c r="F98" s="166" t="s">
        <v>1551</v>
      </c>
      <c r="G98" s="166" t="s">
        <v>129</v>
      </c>
      <c r="H98" s="166">
        <v>1140751</v>
      </c>
      <c r="I98" s="166">
        <v>0</v>
      </c>
      <c r="J98" s="166">
        <v>0</v>
      </c>
      <c r="K98" s="166" t="str">
        <f t="shared" si="1"/>
        <v>ENTITYDT_RFRNC</v>
      </c>
    </row>
    <row r="99" spans="1:11" hidden="1">
      <c r="A99" s="166" t="s">
        <v>1568</v>
      </c>
      <c r="B99" s="166" t="s">
        <v>1569</v>
      </c>
      <c r="C99" s="166" t="s">
        <v>139</v>
      </c>
      <c r="D99" s="166" t="s">
        <v>306</v>
      </c>
      <c r="E99" s="166" t="s">
        <v>1527</v>
      </c>
      <c r="F99" s="166" t="s">
        <v>1551</v>
      </c>
      <c r="G99" s="166" t="s">
        <v>129</v>
      </c>
      <c r="H99" s="166">
        <v>1140751</v>
      </c>
      <c r="I99" s="166">
        <v>0</v>
      </c>
      <c r="J99" s="166">
        <v>0</v>
      </c>
      <c r="K99" s="166" t="str">
        <f t="shared" si="1"/>
        <v>ENTITYENTTY_ID</v>
      </c>
    </row>
    <row r="100" spans="1:11" hidden="1">
      <c r="A100" s="166" t="s">
        <v>1570</v>
      </c>
      <c r="B100" s="166" t="s">
        <v>1571</v>
      </c>
      <c r="C100" s="166" t="s">
        <v>139</v>
      </c>
      <c r="D100" s="166" t="s">
        <v>337</v>
      </c>
      <c r="E100" s="166" t="s">
        <v>1527</v>
      </c>
      <c r="F100" s="166" t="s">
        <v>1551</v>
      </c>
      <c r="G100" s="166" t="s">
        <v>129</v>
      </c>
      <c r="H100" s="166">
        <v>1140751</v>
      </c>
      <c r="I100" s="166">
        <v>0</v>
      </c>
      <c r="J100" s="166">
        <v>0</v>
      </c>
      <c r="K100" s="166" t="str">
        <f t="shared" si="1"/>
        <v>ENTITYGCC_PRNT_ID</v>
      </c>
    </row>
    <row r="101" spans="1:11" hidden="1">
      <c r="A101" s="166" t="s">
        <v>1572</v>
      </c>
      <c r="B101" s="166" t="s">
        <v>1573</v>
      </c>
      <c r="C101" s="166" t="s">
        <v>139</v>
      </c>
      <c r="D101" s="166" t="s">
        <v>338</v>
      </c>
      <c r="E101" s="166" t="s">
        <v>1527</v>
      </c>
      <c r="F101" s="166" t="s">
        <v>1551</v>
      </c>
      <c r="G101" s="166" t="s">
        <v>129</v>
      </c>
      <c r="H101" s="166">
        <v>1140751</v>
      </c>
      <c r="I101" s="166">
        <v>0</v>
      </c>
      <c r="J101" s="166">
        <v>0</v>
      </c>
      <c r="K101" s="166" t="str">
        <f t="shared" si="1"/>
        <v>ENTITYGCC_PRNT_NM</v>
      </c>
    </row>
    <row r="102" spans="1:11" hidden="1">
      <c r="A102" s="166" t="s">
        <v>1574</v>
      </c>
      <c r="B102" s="166" t="s">
        <v>1575</v>
      </c>
      <c r="C102" s="166" t="s">
        <v>139</v>
      </c>
      <c r="D102" s="166" t="s">
        <v>374</v>
      </c>
      <c r="E102" s="166" t="s">
        <v>1527</v>
      </c>
      <c r="F102" s="166" t="s">
        <v>1551</v>
      </c>
      <c r="G102" s="166" t="s">
        <v>129</v>
      </c>
      <c r="H102" s="166">
        <v>1140751</v>
      </c>
      <c r="I102" s="166">
        <v>0</v>
      </c>
      <c r="J102" s="166">
        <v>0</v>
      </c>
      <c r="K102" s="166" t="str">
        <f t="shared" si="1"/>
        <v>ENTITYINTRNL_SGMNT</v>
      </c>
    </row>
    <row r="103" spans="1:11" hidden="1">
      <c r="A103" s="166" t="s">
        <v>1576</v>
      </c>
      <c r="B103" s="166" t="s">
        <v>1577</v>
      </c>
      <c r="C103" s="166" t="s">
        <v>139</v>
      </c>
      <c r="D103" s="166" t="s">
        <v>378</v>
      </c>
      <c r="E103" s="166" t="s">
        <v>1527</v>
      </c>
      <c r="F103" s="166" t="s">
        <v>1551</v>
      </c>
      <c r="G103" s="166" t="s">
        <v>129</v>
      </c>
      <c r="H103" s="166">
        <v>1140751</v>
      </c>
      <c r="I103" s="166">
        <v>0</v>
      </c>
      <c r="J103" s="166">
        <v>0</v>
      </c>
      <c r="K103" s="166" t="str">
        <f t="shared" si="1"/>
        <v>ENTITYINTRNL_UNT</v>
      </c>
    </row>
    <row r="104" spans="1:11" hidden="1">
      <c r="A104" s="166" t="s">
        <v>1578</v>
      </c>
      <c r="B104" s="166" t="s">
        <v>1579</v>
      </c>
      <c r="C104" s="166" t="s">
        <v>139</v>
      </c>
      <c r="D104" s="166" t="s">
        <v>395</v>
      </c>
      <c r="E104" s="166" t="s">
        <v>1527</v>
      </c>
      <c r="F104" s="166" t="s">
        <v>1551</v>
      </c>
      <c r="G104" s="166" t="s">
        <v>129</v>
      </c>
      <c r="H104" s="166">
        <v>1140751</v>
      </c>
      <c r="I104" s="166">
        <v>0</v>
      </c>
      <c r="J104" s="166">
        <v>0</v>
      </c>
      <c r="K104" s="166" t="str">
        <f t="shared" si="1"/>
        <v>ENTITYLEI</v>
      </c>
    </row>
    <row r="105" spans="1:11" hidden="1">
      <c r="A105" s="166" t="s">
        <v>1580</v>
      </c>
      <c r="B105" s="166" t="s">
        <v>1581</v>
      </c>
      <c r="C105" s="166" t="s">
        <v>139</v>
      </c>
      <c r="D105" s="166" t="s">
        <v>307</v>
      </c>
      <c r="E105" s="166" t="s">
        <v>1527</v>
      </c>
      <c r="F105" s="166" t="s">
        <v>1551</v>
      </c>
      <c r="G105" s="166" t="s">
        <v>129</v>
      </c>
      <c r="H105" s="166">
        <v>1140751</v>
      </c>
      <c r="I105" s="166">
        <v>0</v>
      </c>
      <c r="J105" s="166">
        <v>0</v>
      </c>
      <c r="K105" s="166" t="str">
        <f t="shared" si="1"/>
        <v>ENTITYENTTY_NM</v>
      </c>
    </row>
    <row r="106" spans="1:11" hidden="1">
      <c r="A106" s="166" t="s">
        <v>1582</v>
      </c>
      <c r="B106" s="166" t="s">
        <v>1583</v>
      </c>
      <c r="C106" s="166" t="s">
        <v>139</v>
      </c>
      <c r="D106" s="166" t="s">
        <v>317</v>
      </c>
      <c r="E106" s="166" t="s">
        <v>1527</v>
      </c>
      <c r="F106" s="166" t="s">
        <v>1551</v>
      </c>
      <c r="G106" s="166" t="s">
        <v>129</v>
      </c>
      <c r="H106" s="166">
        <v>1140751</v>
      </c>
      <c r="I106" s="166">
        <v>0</v>
      </c>
      <c r="J106" s="166">
        <v>0</v>
      </c>
      <c r="K106" s="166" t="str">
        <f t="shared" si="1"/>
        <v>ENTITYEXTRNL_RTNG_NM</v>
      </c>
    </row>
    <row r="107" spans="1:11" hidden="1">
      <c r="A107" s="166" t="s">
        <v>1584</v>
      </c>
      <c r="B107" s="166" t="s">
        <v>1585</v>
      </c>
      <c r="C107" s="166" t="s">
        <v>139</v>
      </c>
      <c r="D107" s="166" t="s">
        <v>140</v>
      </c>
      <c r="E107" s="166" t="s">
        <v>1531</v>
      </c>
      <c r="F107" s="166" t="s">
        <v>1551</v>
      </c>
      <c r="G107" s="166" t="s">
        <v>129</v>
      </c>
      <c r="H107" s="166">
        <v>1140751</v>
      </c>
      <c r="I107" s="166">
        <v>0</v>
      </c>
      <c r="J107" s="166">
        <v>0</v>
      </c>
      <c r="K107" s="166" t="str">
        <f t="shared" si="1"/>
        <v>ENTITYACCNTNG_FRMWRK_SL</v>
      </c>
    </row>
    <row r="108" spans="1:11" hidden="1">
      <c r="A108" s="166" t="s">
        <v>1586</v>
      </c>
      <c r="B108" s="166" t="s">
        <v>1587</v>
      </c>
      <c r="C108" s="166" t="s">
        <v>139</v>
      </c>
      <c r="D108" s="166" t="s">
        <v>192</v>
      </c>
      <c r="E108" s="166" t="s">
        <v>1531</v>
      </c>
      <c r="F108" s="166" t="s">
        <v>1551</v>
      </c>
      <c r="G108" s="166" t="s">
        <v>129</v>
      </c>
      <c r="H108" s="166">
        <v>1140751</v>
      </c>
      <c r="I108" s="166">
        <v>0</v>
      </c>
      <c r="J108" s="166">
        <v>0</v>
      </c>
      <c r="K108" s="166" t="str">
        <f t="shared" si="1"/>
        <v>ENTITYCR_FLG</v>
      </c>
    </row>
    <row r="109" spans="1:11" hidden="1">
      <c r="A109" s="166" t="s">
        <v>1588</v>
      </c>
      <c r="B109" s="166" t="s">
        <v>1589</v>
      </c>
      <c r="C109" s="166" t="s">
        <v>139</v>
      </c>
      <c r="D109" s="166" t="s">
        <v>211</v>
      </c>
      <c r="E109" s="166" t="s">
        <v>1531</v>
      </c>
      <c r="F109" s="166" t="s">
        <v>1551</v>
      </c>
      <c r="G109" s="166" t="s">
        <v>129</v>
      </c>
      <c r="H109" s="166">
        <v>1140751</v>
      </c>
      <c r="I109" s="166">
        <v>0</v>
      </c>
      <c r="J109" s="166">
        <v>0</v>
      </c>
      <c r="K109" s="166" t="str">
        <f t="shared" si="1"/>
        <v>ENTITYDCSD</v>
      </c>
    </row>
    <row r="110" spans="1:11" hidden="1">
      <c r="A110" s="166" t="s">
        <v>1590</v>
      </c>
      <c r="B110" s="166" t="s">
        <v>1591</v>
      </c>
      <c r="C110" s="166" t="s">
        <v>139</v>
      </c>
      <c r="D110" s="166" t="s">
        <v>212</v>
      </c>
      <c r="E110" s="166" t="s">
        <v>1531</v>
      </c>
      <c r="F110" s="166" t="s">
        <v>1551</v>
      </c>
      <c r="G110" s="166" t="s">
        <v>129</v>
      </c>
      <c r="H110" s="166">
        <v>1140751</v>
      </c>
      <c r="I110" s="166">
        <v>0</v>
      </c>
      <c r="J110" s="166">
        <v>0</v>
      </c>
      <c r="K110" s="166" t="str">
        <f t="shared" si="1"/>
        <v>ENTITYDFLT_STTS</v>
      </c>
    </row>
    <row r="111" spans="1:11" hidden="1">
      <c r="A111" s="166" t="s">
        <v>1592</v>
      </c>
      <c r="B111" s="166" t="s">
        <v>1593</v>
      </c>
      <c r="C111" s="166" t="s">
        <v>139</v>
      </c>
      <c r="D111" s="166" t="s">
        <v>465</v>
      </c>
      <c r="E111" s="166" t="s">
        <v>1524</v>
      </c>
      <c r="F111" s="166" t="s">
        <v>1551</v>
      </c>
      <c r="G111" s="166" t="s">
        <v>129</v>
      </c>
      <c r="H111" s="166">
        <v>1140751</v>
      </c>
      <c r="I111" s="166">
        <v>0</v>
      </c>
      <c r="J111" s="166">
        <v>0</v>
      </c>
      <c r="K111" s="166" t="str">
        <f t="shared" si="1"/>
        <v>ENTITYDT_EXTRNL_RTNG</v>
      </c>
    </row>
    <row r="112" spans="1:11" hidden="1">
      <c r="A112" s="166" t="s">
        <v>1594</v>
      </c>
      <c r="B112" s="166" t="s">
        <v>1595</v>
      </c>
      <c r="C112" s="166" t="s">
        <v>139</v>
      </c>
      <c r="D112" s="166" t="s">
        <v>260</v>
      </c>
      <c r="E112" s="166" t="s">
        <v>1524</v>
      </c>
      <c r="F112" s="166" t="s">
        <v>1551</v>
      </c>
      <c r="G112" s="166" t="s">
        <v>129</v>
      </c>
      <c r="H112" s="166">
        <v>1140751</v>
      </c>
      <c r="I112" s="166">
        <v>0</v>
      </c>
      <c r="J112" s="166">
        <v>0</v>
      </c>
      <c r="K112" s="166" t="str">
        <f t="shared" si="1"/>
        <v>ENTITYDT_INTRNL_RTNG</v>
      </c>
    </row>
    <row r="113" spans="1:11" hidden="1">
      <c r="A113" s="166" t="s">
        <v>1596</v>
      </c>
      <c r="B113" s="166" t="s">
        <v>1597</v>
      </c>
      <c r="C113" s="166" t="s">
        <v>139</v>
      </c>
      <c r="D113" s="166" t="s">
        <v>299</v>
      </c>
      <c r="E113" s="166" t="s">
        <v>1531</v>
      </c>
      <c r="F113" s="166" t="s">
        <v>1551</v>
      </c>
      <c r="G113" s="166" t="s">
        <v>129</v>
      </c>
      <c r="H113" s="166">
        <v>1140751</v>
      </c>
      <c r="I113" s="166">
        <v>0</v>
      </c>
      <c r="J113" s="166">
        <v>0</v>
      </c>
      <c r="K113" s="166" t="str">
        <f t="shared" si="1"/>
        <v>ENTITYECNMC_ACTVTY</v>
      </c>
    </row>
    <row r="114" spans="1:11" hidden="1">
      <c r="A114" s="166" t="s">
        <v>1598</v>
      </c>
      <c r="B114" s="166" t="s">
        <v>1599</v>
      </c>
      <c r="C114" s="166" t="s">
        <v>139</v>
      </c>
      <c r="D114" s="166" t="s">
        <v>304</v>
      </c>
      <c r="E114" s="166" t="s">
        <v>1527</v>
      </c>
      <c r="F114" s="166" t="s">
        <v>1551</v>
      </c>
      <c r="G114" s="166" t="s">
        <v>129</v>
      </c>
      <c r="H114" s="166">
        <v>1140751</v>
      </c>
      <c r="I114" s="166">
        <v>0</v>
      </c>
      <c r="J114" s="166">
        <v>0</v>
      </c>
      <c r="K114" s="166" t="str">
        <f t="shared" si="1"/>
        <v>ENTITYEMPLYMNT_STTS_INTRNL</v>
      </c>
    </row>
    <row r="115" spans="1:11" hidden="1">
      <c r="A115" s="166" t="s">
        <v>1600</v>
      </c>
      <c r="B115" s="166" t="s">
        <v>1601</v>
      </c>
      <c r="C115" s="166" t="s">
        <v>139</v>
      </c>
      <c r="D115" s="166" t="s">
        <v>303</v>
      </c>
      <c r="E115" s="166" t="s">
        <v>1531</v>
      </c>
      <c r="F115" s="166" t="s">
        <v>1551</v>
      </c>
      <c r="G115" s="166" t="s">
        <v>129</v>
      </c>
      <c r="H115" s="166">
        <v>1140751</v>
      </c>
      <c r="I115" s="166">
        <v>0</v>
      </c>
      <c r="J115" s="166">
        <v>0</v>
      </c>
      <c r="K115" s="166" t="str">
        <f t="shared" si="1"/>
        <v>ENTITYEMPLYMNT_STTS</v>
      </c>
    </row>
    <row r="116" spans="1:11" hidden="1">
      <c r="A116" s="166" t="s">
        <v>1602</v>
      </c>
      <c r="B116" s="166" t="s">
        <v>1200</v>
      </c>
      <c r="C116" s="166" t="s">
        <v>139</v>
      </c>
      <c r="D116" s="166" t="s">
        <v>305</v>
      </c>
      <c r="E116" s="166" t="s">
        <v>1531</v>
      </c>
      <c r="F116" s="166" t="s">
        <v>1551</v>
      </c>
      <c r="G116" s="166" t="s">
        <v>129</v>
      </c>
      <c r="H116" s="166">
        <v>1140751</v>
      </c>
      <c r="I116" s="166">
        <v>0</v>
      </c>
      <c r="J116" s="166">
        <v>0</v>
      </c>
      <c r="K116" s="166" t="str">
        <f t="shared" si="1"/>
        <v>ENTITYENTRPRS_SZ_LE</v>
      </c>
    </row>
    <row r="117" spans="1:11" hidden="1">
      <c r="A117" s="166" t="s">
        <v>1603</v>
      </c>
      <c r="B117" s="166" t="s">
        <v>1604</v>
      </c>
      <c r="C117" s="166" t="s">
        <v>139</v>
      </c>
      <c r="D117" s="166" t="s">
        <v>336</v>
      </c>
      <c r="E117" s="166" t="s">
        <v>1531</v>
      </c>
      <c r="F117" s="166" t="s">
        <v>1551</v>
      </c>
      <c r="G117" s="166" t="s">
        <v>129</v>
      </c>
      <c r="H117" s="166">
        <v>1140751</v>
      </c>
      <c r="I117" s="166">
        <v>0</v>
      </c>
      <c r="J117" s="166">
        <v>0</v>
      </c>
      <c r="K117" s="166" t="str">
        <f t="shared" si="1"/>
        <v>ENTITYEXTRNL_RTNG</v>
      </c>
    </row>
    <row r="118" spans="1:11" hidden="1">
      <c r="A118" s="166" t="s">
        <v>1605</v>
      </c>
      <c r="B118" s="166" t="s">
        <v>1606</v>
      </c>
      <c r="C118" s="166" t="s">
        <v>139</v>
      </c>
      <c r="D118" s="166" t="s">
        <v>314</v>
      </c>
      <c r="E118" s="166" t="s">
        <v>1531</v>
      </c>
      <c r="F118" s="166" t="s">
        <v>1551</v>
      </c>
      <c r="G118" s="166" t="s">
        <v>129</v>
      </c>
      <c r="H118" s="166">
        <v>1140751</v>
      </c>
      <c r="I118" s="166">
        <v>0</v>
      </c>
      <c r="J118" s="166">
        <v>0</v>
      </c>
      <c r="K118" s="166" t="str">
        <f t="shared" si="1"/>
        <v>ENTITYEXTRNL_RTNG_PRVS</v>
      </c>
    </row>
    <row r="119" spans="1:11" hidden="1">
      <c r="A119" s="166" t="s">
        <v>1607</v>
      </c>
      <c r="B119" s="166" t="s">
        <v>1608</v>
      </c>
      <c r="C119" s="166" t="s">
        <v>139</v>
      </c>
      <c r="D119" s="166" t="s">
        <v>321</v>
      </c>
      <c r="E119" s="166" t="s">
        <v>1531</v>
      </c>
      <c r="F119" s="166" t="s">
        <v>1551</v>
      </c>
      <c r="G119" s="166" t="s">
        <v>129</v>
      </c>
      <c r="H119" s="166">
        <v>1140751</v>
      </c>
      <c r="I119" s="166">
        <v>0</v>
      </c>
      <c r="J119" s="166">
        <v>0</v>
      </c>
      <c r="K119" s="166" t="str">
        <f t="shared" si="1"/>
        <v>ENTITYFLG_BNKRPTCY_IN_GRP</v>
      </c>
    </row>
    <row r="120" spans="1:11" hidden="1">
      <c r="A120" s="166" t="s">
        <v>1609</v>
      </c>
      <c r="B120" s="166" t="s">
        <v>1610</v>
      </c>
      <c r="C120" s="166" t="s">
        <v>139</v>
      </c>
      <c r="D120" s="166" t="s">
        <v>322</v>
      </c>
      <c r="E120" s="166" t="s">
        <v>1531</v>
      </c>
      <c r="F120" s="166" t="s">
        <v>1551</v>
      </c>
      <c r="G120" s="166" t="s">
        <v>129</v>
      </c>
      <c r="H120" s="166">
        <v>1140751</v>
      </c>
      <c r="I120" s="166">
        <v>0</v>
      </c>
      <c r="J120" s="166">
        <v>0</v>
      </c>
      <c r="K120" s="166" t="str">
        <f t="shared" si="1"/>
        <v>ENTITYFLG_HGH_CDS</v>
      </c>
    </row>
    <row r="121" spans="1:11" hidden="1">
      <c r="A121" s="166" t="s">
        <v>1611</v>
      </c>
      <c r="B121" s="166" t="s">
        <v>1612</v>
      </c>
      <c r="C121" s="166" t="s">
        <v>139</v>
      </c>
      <c r="D121" s="166" t="s">
        <v>323</v>
      </c>
      <c r="E121" s="166" t="s">
        <v>1531</v>
      </c>
      <c r="F121" s="166" t="s">
        <v>1551</v>
      </c>
      <c r="G121" s="166" t="s">
        <v>129</v>
      </c>
      <c r="H121" s="166">
        <v>1140751</v>
      </c>
      <c r="I121" s="166">
        <v>0</v>
      </c>
      <c r="J121" s="166">
        <v>0</v>
      </c>
      <c r="K121" s="166" t="str">
        <f t="shared" si="1"/>
        <v>ENTITYFLG_ISDA_CRDT_EVNT</v>
      </c>
    </row>
    <row r="122" spans="1:11" hidden="1">
      <c r="A122" s="166" t="s">
        <v>1613</v>
      </c>
      <c r="B122" s="166" t="s">
        <v>1614</v>
      </c>
      <c r="C122" s="166" t="s">
        <v>139</v>
      </c>
      <c r="D122" s="166" t="s">
        <v>325</v>
      </c>
      <c r="E122" s="166" t="s">
        <v>1531</v>
      </c>
      <c r="F122" s="166" t="s">
        <v>1551</v>
      </c>
      <c r="G122" s="166" t="s">
        <v>129</v>
      </c>
      <c r="H122" s="166">
        <v>1140751</v>
      </c>
      <c r="I122" s="166">
        <v>0</v>
      </c>
      <c r="J122" s="166">
        <v>0</v>
      </c>
      <c r="K122" s="166" t="str">
        <f t="shared" si="1"/>
        <v>ENTITYFLG_NN_ACCRL</v>
      </c>
    </row>
    <row r="123" spans="1:11" hidden="1">
      <c r="A123" s="166" t="s">
        <v>1615</v>
      </c>
      <c r="B123" s="166" t="s">
        <v>1616</v>
      </c>
      <c r="C123" s="166" t="s">
        <v>139</v>
      </c>
      <c r="D123" s="166" t="s">
        <v>326</v>
      </c>
      <c r="E123" s="166" t="s">
        <v>1531</v>
      </c>
      <c r="F123" s="166" t="s">
        <v>1551</v>
      </c>
      <c r="G123" s="166" t="s">
        <v>129</v>
      </c>
      <c r="H123" s="166">
        <v>1140751</v>
      </c>
      <c r="I123" s="166">
        <v>0</v>
      </c>
      <c r="J123" s="166">
        <v>0</v>
      </c>
      <c r="K123" s="166" t="str">
        <f t="shared" si="1"/>
        <v>ENTITYFLG_RQST_BNKRPTCY</v>
      </c>
    </row>
    <row r="124" spans="1:11" hidden="1">
      <c r="A124" s="166" t="s">
        <v>1617</v>
      </c>
      <c r="B124" s="166" t="s">
        <v>1618</v>
      </c>
      <c r="C124" s="166" t="s">
        <v>139</v>
      </c>
      <c r="D124" s="166" t="s">
        <v>327</v>
      </c>
      <c r="E124" s="166" t="s">
        <v>1531</v>
      </c>
      <c r="F124" s="166" t="s">
        <v>1551</v>
      </c>
      <c r="G124" s="166" t="s">
        <v>129</v>
      </c>
      <c r="H124" s="166">
        <v>1140751</v>
      </c>
      <c r="I124" s="166">
        <v>0</v>
      </c>
      <c r="J124" s="166">
        <v>0</v>
      </c>
      <c r="K124" s="166" t="str">
        <f t="shared" si="1"/>
        <v>ENTITYFLG_RQST_DSTRSSD_RSTRCTRNG</v>
      </c>
    </row>
    <row r="125" spans="1:11" hidden="1">
      <c r="A125" s="166" t="s">
        <v>1619</v>
      </c>
      <c r="B125" s="166" t="s">
        <v>1620</v>
      </c>
      <c r="C125" s="166" t="s">
        <v>139</v>
      </c>
      <c r="D125" s="166" t="s">
        <v>329</v>
      </c>
      <c r="E125" s="166" t="s">
        <v>1531</v>
      </c>
      <c r="F125" s="166" t="s">
        <v>1551</v>
      </c>
      <c r="G125" s="166" t="s">
        <v>129</v>
      </c>
      <c r="H125" s="166">
        <v>1140751</v>
      </c>
      <c r="I125" s="166">
        <v>0</v>
      </c>
      <c r="J125" s="166">
        <v>0</v>
      </c>
      <c r="K125" s="166" t="str">
        <f t="shared" si="1"/>
        <v>ENTITYFLG_RQST_EMRGNCY_FNDNG</v>
      </c>
    </row>
    <row r="126" spans="1:11" hidden="1">
      <c r="A126" s="166" t="s">
        <v>1621</v>
      </c>
      <c r="B126" s="166" t="s">
        <v>1622</v>
      </c>
      <c r="C126" s="166" t="s">
        <v>139</v>
      </c>
      <c r="D126" s="166" t="s">
        <v>330</v>
      </c>
      <c r="E126" s="166" t="s">
        <v>1531</v>
      </c>
      <c r="F126" s="166" t="s">
        <v>1551</v>
      </c>
      <c r="G126" s="166" t="s">
        <v>129</v>
      </c>
      <c r="H126" s="166">
        <v>1140751</v>
      </c>
      <c r="I126" s="166">
        <v>0</v>
      </c>
      <c r="J126" s="166">
        <v>0</v>
      </c>
      <c r="K126" s="166" t="str">
        <f t="shared" si="1"/>
        <v>ENTITYFLG_SLL_WTH_LSS</v>
      </c>
    </row>
    <row r="127" spans="1:11" hidden="1">
      <c r="A127" s="166" t="s">
        <v>1623</v>
      </c>
      <c r="B127" s="166" t="s">
        <v>1624</v>
      </c>
      <c r="C127" s="166" t="s">
        <v>139</v>
      </c>
      <c r="D127" s="166" t="s">
        <v>362</v>
      </c>
      <c r="E127" s="166" t="s">
        <v>1531</v>
      </c>
      <c r="F127" s="166" t="s">
        <v>1551</v>
      </c>
      <c r="G127" s="166" t="s">
        <v>129</v>
      </c>
      <c r="H127" s="166">
        <v>1140751</v>
      </c>
      <c r="I127" s="166">
        <v>0</v>
      </c>
      <c r="J127" s="166">
        <v>0</v>
      </c>
      <c r="K127" s="166" t="str">
        <f t="shared" si="1"/>
        <v>ENTITYINCM_SC</v>
      </c>
    </row>
    <row r="128" spans="1:11" hidden="1">
      <c r="A128" s="166" t="s">
        <v>1625</v>
      </c>
      <c r="B128" s="166" t="s">
        <v>1626</v>
      </c>
      <c r="C128" s="166" t="s">
        <v>139</v>
      </c>
      <c r="D128" s="166" t="s">
        <v>368</v>
      </c>
      <c r="E128" s="166" t="s">
        <v>1527</v>
      </c>
      <c r="F128" s="166" t="s">
        <v>1551</v>
      </c>
      <c r="G128" s="166" t="s">
        <v>129</v>
      </c>
      <c r="H128" s="166">
        <v>1140751</v>
      </c>
      <c r="I128" s="166">
        <v>0</v>
      </c>
      <c r="J128" s="166">
        <v>0</v>
      </c>
      <c r="K128" s="166" t="str">
        <f t="shared" si="1"/>
        <v>ENTITYINTRNL_RTNG</v>
      </c>
    </row>
    <row r="129" spans="1:11" hidden="1">
      <c r="A129" s="166" t="s">
        <v>1627</v>
      </c>
      <c r="B129" s="166" t="s">
        <v>1628</v>
      </c>
      <c r="C129" s="166" t="s">
        <v>139</v>
      </c>
      <c r="D129" s="166" t="s">
        <v>373</v>
      </c>
      <c r="E129" s="166" t="s">
        <v>1527</v>
      </c>
      <c r="F129" s="166" t="s">
        <v>1551</v>
      </c>
      <c r="G129" s="166" t="s">
        <v>129</v>
      </c>
      <c r="H129" s="166">
        <v>1140751</v>
      </c>
      <c r="I129" s="166">
        <v>0</v>
      </c>
      <c r="J129" s="166">
        <v>0</v>
      </c>
      <c r="K129" s="166" t="str">
        <f t="shared" si="1"/>
        <v>ENTITYINTRNL_RTNG_PRVS</v>
      </c>
    </row>
    <row r="130" spans="1:11" hidden="1">
      <c r="A130" s="166" t="s">
        <v>1629</v>
      </c>
      <c r="B130" s="166" t="s">
        <v>1630</v>
      </c>
      <c r="C130" s="166" t="s">
        <v>139</v>
      </c>
      <c r="D130" s="166" t="s">
        <v>398</v>
      </c>
      <c r="E130" s="166" t="s">
        <v>1531</v>
      </c>
      <c r="F130" s="166" t="s">
        <v>1551</v>
      </c>
      <c r="G130" s="166" t="s">
        <v>129</v>
      </c>
      <c r="H130" s="166">
        <v>1140751</v>
      </c>
      <c r="I130" s="166">
        <v>0</v>
      </c>
      <c r="J130" s="166">
        <v>0</v>
      </c>
      <c r="K130" s="166" t="str">
        <f t="shared" si="1"/>
        <v>ENTITYLGL_PRCDNG_STTS_LE</v>
      </c>
    </row>
    <row r="131" spans="1:11" hidden="1">
      <c r="A131" s="166" t="s">
        <v>1631</v>
      </c>
      <c r="B131" s="166" t="s">
        <v>1632</v>
      </c>
      <c r="C131" s="166" t="s">
        <v>139</v>
      </c>
      <c r="D131" s="166" t="s">
        <v>433</v>
      </c>
      <c r="E131" s="166" t="s">
        <v>1531</v>
      </c>
      <c r="F131" s="166" t="s">
        <v>1551</v>
      </c>
      <c r="G131" s="166" t="s">
        <v>129</v>
      </c>
      <c r="H131" s="166">
        <v>1140751</v>
      </c>
      <c r="I131" s="166">
        <v>0</v>
      </c>
      <c r="J131" s="166">
        <v>0</v>
      </c>
      <c r="K131" s="166" t="str">
        <f t="shared" ref="K131:K194" si="2">_xlfn.CONCAT(_xlfn.IFS(ISNUMBER(SEARCH("EN",A131)),"ENTITY",ISNUMBER(SEARCH("IN",A131)),"INSTRUMENT",ISNUMBER(SEARCH("PR",A131)),"PROTECTION",ISNUMBER(SEARCH("IP",A131)),"INSTR_PROTECTION",ISNUMBER(SEARCH("IE",A131)),"INSTR_ENTITY",ISNUMBER(SEARCH("AC",A131)),"INSTR_ACTIVITY"),D131)</f>
        <v>ENTITYOWND_BY_SPNSR</v>
      </c>
    </row>
    <row r="132" spans="1:11" hidden="1">
      <c r="A132" s="166" t="s">
        <v>1633</v>
      </c>
      <c r="B132" s="166" t="s">
        <v>1634</v>
      </c>
      <c r="C132" s="166" t="s">
        <v>139</v>
      </c>
      <c r="D132" s="166" t="s">
        <v>451</v>
      </c>
      <c r="E132" s="166" t="s">
        <v>1531</v>
      </c>
      <c r="F132" s="166" t="s">
        <v>1551</v>
      </c>
      <c r="G132" s="166" t="s">
        <v>129</v>
      </c>
      <c r="H132" s="166">
        <v>1140751</v>
      </c>
      <c r="I132" s="166">
        <v>0</v>
      </c>
      <c r="J132" s="166">
        <v>0</v>
      </c>
      <c r="K132" s="166" t="str">
        <f t="shared" si="2"/>
        <v>ENTITYPRFRMNG_STTS_LE</v>
      </c>
    </row>
    <row r="133" spans="1:11" hidden="1">
      <c r="A133" s="166" t="s">
        <v>1635</v>
      </c>
      <c r="B133" s="166" t="s">
        <v>1636</v>
      </c>
      <c r="C133" s="166" t="s">
        <v>139</v>
      </c>
      <c r="D133" s="166" t="s">
        <v>492</v>
      </c>
      <c r="E133" s="166" t="s">
        <v>1531</v>
      </c>
      <c r="F133" s="166" t="s">
        <v>1551</v>
      </c>
      <c r="G133" s="166" t="s">
        <v>1134</v>
      </c>
      <c r="H133" s="166">
        <v>1140751</v>
      </c>
      <c r="I133" s="166">
        <v>7</v>
      </c>
      <c r="J133" s="166">
        <v>5.9999999999999995E-4</v>
      </c>
      <c r="K133" s="166" t="str">
        <f t="shared" si="2"/>
        <v>ENTITYRTNG_MTHD</v>
      </c>
    </row>
    <row r="134" spans="1:11" hidden="1">
      <c r="A134" s="166" t="s">
        <v>1637</v>
      </c>
      <c r="B134" s="166" t="s">
        <v>1638</v>
      </c>
      <c r="C134" s="166" t="s">
        <v>139</v>
      </c>
      <c r="D134" s="166" t="s">
        <v>493</v>
      </c>
      <c r="E134" s="166" t="s">
        <v>1531</v>
      </c>
      <c r="F134" s="166" t="s">
        <v>1551</v>
      </c>
      <c r="G134" s="166" t="s">
        <v>129</v>
      </c>
      <c r="H134" s="166">
        <v>1140751</v>
      </c>
      <c r="I134" s="166">
        <v>0</v>
      </c>
      <c r="J134" s="166">
        <v>0</v>
      </c>
      <c r="K134" s="166" t="str">
        <f t="shared" si="2"/>
        <v>ENTITYRTNG_SCL</v>
      </c>
    </row>
    <row r="135" spans="1:11" hidden="1">
      <c r="A135" s="166" t="s">
        <v>1639</v>
      </c>
      <c r="B135" s="166" t="s">
        <v>1640</v>
      </c>
      <c r="C135" s="166" t="s">
        <v>139</v>
      </c>
      <c r="D135" s="166" t="s">
        <v>541</v>
      </c>
      <c r="E135" s="166" t="s">
        <v>1531</v>
      </c>
      <c r="F135" s="166" t="s">
        <v>1551</v>
      </c>
      <c r="G135" s="166" t="s">
        <v>129</v>
      </c>
      <c r="H135" s="166">
        <v>1140751</v>
      </c>
      <c r="I135" s="166">
        <v>0</v>
      </c>
      <c r="J135" s="166">
        <v>0</v>
      </c>
      <c r="K135" s="166" t="str">
        <f t="shared" si="2"/>
        <v>ENTITYWTCH_LST</v>
      </c>
    </row>
    <row r="136" spans="1:11" hidden="1">
      <c r="A136" s="166" t="s">
        <v>1641</v>
      </c>
      <c r="B136" s="166" t="s">
        <v>1642</v>
      </c>
      <c r="C136" s="166" t="s">
        <v>139</v>
      </c>
      <c r="D136" s="166" t="s">
        <v>504</v>
      </c>
      <c r="E136" s="166" t="s">
        <v>1531</v>
      </c>
      <c r="F136" s="166" t="s">
        <v>1551</v>
      </c>
      <c r="G136" s="166" t="s">
        <v>129</v>
      </c>
      <c r="H136" s="166">
        <v>1140751</v>
      </c>
      <c r="I136" s="166">
        <v>0</v>
      </c>
      <c r="J136" s="166">
        <v>0</v>
      </c>
      <c r="K136" s="166" t="str">
        <f t="shared" si="2"/>
        <v>ENTITYSNGL_PRPS_VHCL</v>
      </c>
    </row>
    <row r="137" spans="1:11" hidden="1">
      <c r="A137" s="166" t="s">
        <v>1643</v>
      </c>
      <c r="B137" s="166" t="s">
        <v>1644</v>
      </c>
      <c r="C137" s="166" t="s">
        <v>139</v>
      </c>
      <c r="D137" s="166" t="s">
        <v>344</v>
      </c>
      <c r="E137" s="166" t="s">
        <v>1534</v>
      </c>
      <c r="F137" s="166" t="s">
        <v>1551</v>
      </c>
      <c r="G137" s="166" t="s">
        <v>129</v>
      </c>
      <c r="H137" s="166">
        <v>1140751</v>
      </c>
      <c r="I137" s="166">
        <v>0</v>
      </c>
      <c r="J137" s="166">
        <v>0</v>
      </c>
      <c r="K137" s="166" t="str">
        <f t="shared" si="2"/>
        <v>ENTITYGRP_EBITDA</v>
      </c>
    </row>
    <row r="138" spans="1:11" hidden="1">
      <c r="A138" s="166" t="s">
        <v>1645</v>
      </c>
      <c r="B138" s="166" t="s">
        <v>1646</v>
      </c>
      <c r="C138" s="166" t="s">
        <v>139</v>
      </c>
      <c r="D138" s="166" t="s">
        <v>345</v>
      </c>
      <c r="E138" s="166" t="s">
        <v>1534</v>
      </c>
      <c r="F138" s="166" t="s">
        <v>1551</v>
      </c>
      <c r="G138" s="166" t="s">
        <v>129</v>
      </c>
      <c r="H138" s="166">
        <v>1140751</v>
      </c>
      <c r="I138" s="166">
        <v>0</v>
      </c>
      <c r="J138" s="166">
        <v>0</v>
      </c>
      <c r="K138" s="166" t="str">
        <f t="shared" si="2"/>
        <v>ENTITYGRP_EQTY</v>
      </c>
    </row>
    <row r="139" spans="1:11" hidden="1">
      <c r="A139" s="166" t="s">
        <v>1647</v>
      </c>
      <c r="B139" s="166" t="s">
        <v>1648</v>
      </c>
      <c r="C139" s="166" t="s">
        <v>139</v>
      </c>
      <c r="D139" s="166" t="s">
        <v>346</v>
      </c>
      <c r="E139" s="166" t="s">
        <v>1534</v>
      </c>
      <c r="F139" s="166" t="s">
        <v>1551</v>
      </c>
      <c r="G139" s="166" t="s">
        <v>129</v>
      </c>
      <c r="H139" s="166">
        <v>1140751</v>
      </c>
      <c r="I139" s="166">
        <v>0</v>
      </c>
      <c r="J139" s="166">
        <v>0</v>
      </c>
      <c r="K139" s="166" t="str">
        <f t="shared" si="2"/>
        <v>ENTITYGRP_NT_DBT</v>
      </c>
    </row>
    <row r="140" spans="1:11" hidden="1">
      <c r="A140" s="166" t="s">
        <v>1649</v>
      </c>
      <c r="B140" s="166" t="s">
        <v>1650</v>
      </c>
      <c r="C140" s="166" t="s">
        <v>139</v>
      </c>
      <c r="D140" s="166" t="s">
        <v>149</v>
      </c>
      <c r="E140" s="166" t="s">
        <v>1534</v>
      </c>
      <c r="F140" s="166" t="s">
        <v>1551</v>
      </c>
      <c r="G140" s="166" t="s">
        <v>129</v>
      </c>
      <c r="H140" s="166">
        <v>1140751</v>
      </c>
      <c r="I140" s="166">
        <v>0</v>
      </c>
      <c r="J140" s="166">
        <v>0</v>
      </c>
      <c r="K140" s="166" t="str">
        <f t="shared" si="2"/>
        <v>ENTITYANNL_TRNVR_LE</v>
      </c>
    </row>
    <row r="141" spans="1:11" hidden="1">
      <c r="A141" s="166" t="s">
        <v>1651</v>
      </c>
      <c r="B141" s="166" t="s">
        <v>1652</v>
      </c>
      <c r="C141" s="166" t="s">
        <v>139</v>
      </c>
      <c r="D141" s="166" t="s">
        <v>151</v>
      </c>
      <c r="E141" s="166" t="s">
        <v>1534</v>
      </c>
      <c r="F141" s="166" t="s">
        <v>1551</v>
      </c>
      <c r="G141" s="166" t="s">
        <v>129</v>
      </c>
      <c r="H141" s="166">
        <v>1140751</v>
      </c>
      <c r="I141" s="166">
        <v>0</v>
      </c>
      <c r="J141" s="166">
        <v>0</v>
      </c>
      <c r="K141" s="166" t="str">
        <f t="shared" si="2"/>
        <v>ENTITYANNL_TRNVR_PRVS</v>
      </c>
    </row>
    <row r="142" spans="1:11" hidden="1">
      <c r="A142" s="166" t="s">
        <v>1653</v>
      </c>
      <c r="B142" s="166" t="s">
        <v>1654</v>
      </c>
      <c r="C142" s="166" t="s">
        <v>139</v>
      </c>
      <c r="D142" s="166" t="s">
        <v>165</v>
      </c>
      <c r="E142" s="166" t="s">
        <v>1534</v>
      </c>
      <c r="F142" s="166" t="s">
        <v>1551</v>
      </c>
      <c r="G142" s="166" t="s">
        <v>129</v>
      </c>
      <c r="H142" s="166">
        <v>1140751</v>
      </c>
      <c r="I142" s="166">
        <v>0</v>
      </c>
      <c r="J142" s="166">
        <v>0</v>
      </c>
      <c r="K142" s="166" t="str">
        <f t="shared" si="2"/>
        <v>ENTITYCAPEX</v>
      </c>
    </row>
    <row r="143" spans="1:11" hidden="1">
      <c r="A143" s="166" t="s">
        <v>1655</v>
      </c>
      <c r="B143" s="166" t="s">
        <v>1656</v>
      </c>
      <c r="C143" s="166" t="s">
        <v>139</v>
      </c>
      <c r="D143" s="166" t="s">
        <v>166</v>
      </c>
      <c r="E143" s="166" t="s">
        <v>1534</v>
      </c>
      <c r="F143" s="166" t="s">
        <v>1551</v>
      </c>
      <c r="G143" s="166" t="s">
        <v>129</v>
      </c>
      <c r="H143" s="166">
        <v>1140751</v>
      </c>
      <c r="I143" s="166">
        <v>0</v>
      </c>
      <c r="J143" s="166">
        <v>0</v>
      </c>
      <c r="K143" s="166" t="str">
        <f t="shared" si="2"/>
        <v>ENTITYCAPEX_PRVS</v>
      </c>
    </row>
    <row r="144" spans="1:11" hidden="1">
      <c r="A144" s="166" t="s">
        <v>1657</v>
      </c>
      <c r="B144" s="166" t="s">
        <v>1658</v>
      </c>
      <c r="C144" s="166" t="s">
        <v>139</v>
      </c>
      <c r="D144" s="166" t="s">
        <v>170</v>
      </c>
      <c r="E144" s="166" t="s">
        <v>1531</v>
      </c>
      <c r="F144" s="166" t="s">
        <v>1551</v>
      </c>
      <c r="G144" s="166" t="s">
        <v>129</v>
      </c>
      <c r="H144" s="166">
        <v>1140751</v>
      </c>
      <c r="I144" s="166">
        <v>0</v>
      </c>
      <c r="J144" s="166">
        <v>0</v>
      </c>
      <c r="K144" s="166" t="str">
        <f t="shared" si="2"/>
        <v>ENTITYCLLCTN_MD</v>
      </c>
    </row>
    <row r="145" spans="1:11" hidden="1">
      <c r="A145" s="166" t="s">
        <v>1659</v>
      </c>
      <c r="B145" s="166" t="s">
        <v>1660</v>
      </c>
      <c r="C145" s="166" t="s">
        <v>139</v>
      </c>
      <c r="D145" s="166" t="s">
        <v>201</v>
      </c>
      <c r="E145" s="166" t="s">
        <v>1534</v>
      </c>
      <c r="F145" s="166" t="s">
        <v>1551</v>
      </c>
      <c r="G145" s="166" t="s">
        <v>129</v>
      </c>
      <c r="H145" s="166">
        <v>1140751</v>
      </c>
      <c r="I145" s="166">
        <v>0</v>
      </c>
      <c r="J145" s="166">
        <v>0</v>
      </c>
      <c r="K145" s="166" t="str">
        <f t="shared" si="2"/>
        <v>ENTITYCSH</v>
      </c>
    </row>
    <row r="146" spans="1:11" hidden="1">
      <c r="A146" s="166" t="s">
        <v>1661</v>
      </c>
      <c r="B146" s="166" t="s">
        <v>1662</v>
      </c>
      <c r="C146" s="166" t="s">
        <v>139</v>
      </c>
      <c r="D146" s="166" t="s">
        <v>202</v>
      </c>
      <c r="E146" s="166" t="s">
        <v>1534</v>
      </c>
      <c r="F146" s="166" t="s">
        <v>1551</v>
      </c>
      <c r="G146" s="166" t="s">
        <v>129</v>
      </c>
      <c r="H146" s="166">
        <v>1140751</v>
      </c>
      <c r="I146" s="166">
        <v>0</v>
      </c>
      <c r="J146" s="166">
        <v>0</v>
      </c>
      <c r="K146" s="166" t="str">
        <f t="shared" si="2"/>
        <v>ENTITYCSH_PRVS</v>
      </c>
    </row>
    <row r="147" spans="1:11" hidden="1">
      <c r="A147" s="166" t="s">
        <v>1663</v>
      </c>
      <c r="B147" s="166" t="s">
        <v>1664</v>
      </c>
      <c r="C147" s="166" t="s">
        <v>139</v>
      </c>
      <c r="D147" s="166" t="s">
        <v>364</v>
      </c>
      <c r="E147" s="166" t="s">
        <v>1534</v>
      </c>
      <c r="F147" s="166" t="s">
        <v>1551</v>
      </c>
      <c r="G147" s="166" t="s">
        <v>129</v>
      </c>
      <c r="H147" s="166">
        <v>1140751</v>
      </c>
      <c r="I147" s="166">
        <v>0</v>
      </c>
      <c r="J147" s="166">
        <v>0</v>
      </c>
      <c r="K147" s="166" t="str">
        <f t="shared" si="2"/>
        <v>ENTITYEBITDA</v>
      </c>
    </row>
    <row r="148" spans="1:11" hidden="1">
      <c r="A148" s="166" t="s">
        <v>1665</v>
      </c>
      <c r="B148" s="166" t="s">
        <v>1666</v>
      </c>
      <c r="C148" s="166" t="s">
        <v>139</v>
      </c>
      <c r="D148" s="166" t="s">
        <v>353</v>
      </c>
      <c r="E148" s="166" t="s">
        <v>1534</v>
      </c>
      <c r="F148" s="166" t="s">
        <v>1551</v>
      </c>
      <c r="G148" s="166" t="s">
        <v>129</v>
      </c>
      <c r="H148" s="166">
        <v>1140751</v>
      </c>
      <c r="I148" s="166">
        <v>0</v>
      </c>
      <c r="J148" s="166">
        <v>0</v>
      </c>
      <c r="K148" s="166" t="str">
        <f t="shared" si="2"/>
        <v>ENTITYEBITDA_PRVS</v>
      </c>
    </row>
    <row r="149" spans="1:11" hidden="1">
      <c r="A149" s="166" t="s">
        <v>1667</v>
      </c>
      <c r="B149" s="166" t="s">
        <v>1668</v>
      </c>
      <c r="C149" s="166" t="s">
        <v>139</v>
      </c>
      <c r="D149" s="166" t="s">
        <v>308</v>
      </c>
      <c r="E149" s="166" t="s">
        <v>1534</v>
      </c>
      <c r="F149" s="166" t="s">
        <v>1551</v>
      </c>
      <c r="G149" s="166" t="s">
        <v>129</v>
      </c>
      <c r="H149" s="166">
        <v>1140751</v>
      </c>
      <c r="I149" s="166">
        <v>0</v>
      </c>
      <c r="J149" s="166">
        <v>0</v>
      </c>
      <c r="K149" s="166" t="str">
        <f t="shared" si="2"/>
        <v>ENTITYEQTY</v>
      </c>
    </row>
    <row r="150" spans="1:11" hidden="1">
      <c r="A150" s="166" t="s">
        <v>1669</v>
      </c>
      <c r="B150" s="166" t="s">
        <v>1670</v>
      </c>
      <c r="C150" s="166" t="s">
        <v>139</v>
      </c>
      <c r="D150" s="166" t="s">
        <v>309</v>
      </c>
      <c r="E150" s="166" t="s">
        <v>1534</v>
      </c>
      <c r="F150" s="166" t="s">
        <v>1551</v>
      </c>
      <c r="G150" s="166" t="s">
        <v>129</v>
      </c>
      <c r="H150" s="166">
        <v>1140751</v>
      </c>
      <c r="I150" s="166">
        <v>0</v>
      </c>
      <c r="J150" s="166">
        <v>0</v>
      </c>
      <c r="K150" s="166" t="str">
        <f t="shared" si="2"/>
        <v>ENTITYEQTY_PRVS</v>
      </c>
    </row>
    <row r="151" spans="1:11" hidden="1">
      <c r="A151" s="166" t="s">
        <v>1671</v>
      </c>
      <c r="B151" s="166" t="s">
        <v>1672</v>
      </c>
      <c r="C151" s="166" t="s">
        <v>139</v>
      </c>
      <c r="D151" s="166" t="s">
        <v>347</v>
      </c>
      <c r="E151" s="166" t="s">
        <v>1534</v>
      </c>
      <c r="F151" s="166" t="s">
        <v>1551</v>
      </c>
      <c r="G151" s="166" t="s">
        <v>129</v>
      </c>
      <c r="H151" s="166">
        <v>1140751</v>
      </c>
      <c r="I151" s="166">
        <v>0</v>
      </c>
      <c r="J151" s="166">
        <v>0</v>
      </c>
      <c r="K151" s="166" t="str">
        <f t="shared" si="2"/>
        <v>ENTITYGRP_TTL_DBT</v>
      </c>
    </row>
    <row r="152" spans="1:11" hidden="1">
      <c r="A152" s="166" t="s">
        <v>1673</v>
      </c>
      <c r="B152" s="166" t="s">
        <v>1674</v>
      </c>
      <c r="C152" s="166" t="s">
        <v>139</v>
      </c>
      <c r="D152" s="166" t="s">
        <v>339</v>
      </c>
      <c r="E152" s="166" t="s">
        <v>1534</v>
      </c>
      <c r="F152" s="166" t="s">
        <v>1551</v>
      </c>
      <c r="G152" s="166" t="s">
        <v>129</v>
      </c>
      <c r="H152" s="166">
        <v>1140751</v>
      </c>
      <c r="I152" s="166">
        <v>0</v>
      </c>
      <c r="J152" s="166">
        <v>0</v>
      </c>
      <c r="K152" s="166" t="str">
        <f t="shared" si="2"/>
        <v>ENTITYGDWILL</v>
      </c>
    </row>
    <row r="153" spans="1:11" hidden="1">
      <c r="A153" s="166" t="s">
        <v>1675</v>
      </c>
      <c r="B153" s="166" t="s">
        <v>1676</v>
      </c>
      <c r="C153" s="166" t="s">
        <v>139</v>
      </c>
      <c r="D153" s="166" t="s">
        <v>340</v>
      </c>
      <c r="E153" s="166" t="s">
        <v>1534</v>
      </c>
      <c r="F153" s="166" t="s">
        <v>1551</v>
      </c>
      <c r="G153" s="166" t="s">
        <v>129</v>
      </c>
      <c r="H153" s="166">
        <v>1140751</v>
      </c>
      <c r="I153" s="166">
        <v>0</v>
      </c>
      <c r="J153" s="166">
        <v>0</v>
      </c>
      <c r="K153" s="166" t="str">
        <f t="shared" si="2"/>
        <v>ENTITYGDWILL_PRVS</v>
      </c>
    </row>
    <row r="154" spans="1:11" hidden="1">
      <c r="A154" s="166" t="s">
        <v>1677</v>
      </c>
      <c r="B154" s="166" t="s">
        <v>1678</v>
      </c>
      <c r="C154" s="166" t="s">
        <v>139</v>
      </c>
      <c r="D154" s="166" t="s">
        <v>401</v>
      </c>
      <c r="E154" s="166" t="s">
        <v>1534</v>
      </c>
      <c r="F154" s="166" t="s">
        <v>1551</v>
      </c>
      <c r="G154" s="166" t="s">
        <v>129</v>
      </c>
      <c r="H154" s="166">
        <v>1140751</v>
      </c>
      <c r="I154" s="166">
        <v>0</v>
      </c>
      <c r="J154" s="166">
        <v>0</v>
      </c>
      <c r="K154" s="166" t="str">
        <f t="shared" si="2"/>
        <v>ENTITYLTI</v>
      </c>
    </row>
    <row r="155" spans="1:11" hidden="1">
      <c r="A155" s="166" t="s">
        <v>1679</v>
      </c>
      <c r="B155" s="166" t="s">
        <v>1680</v>
      </c>
      <c r="C155" s="166" t="s">
        <v>139</v>
      </c>
      <c r="D155" s="166" t="s">
        <v>406</v>
      </c>
      <c r="E155" s="166" t="s">
        <v>1534</v>
      </c>
      <c r="F155" s="166" t="s">
        <v>1551</v>
      </c>
      <c r="G155" s="166" t="s">
        <v>129</v>
      </c>
      <c r="H155" s="166">
        <v>1140751</v>
      </c>
      <c r="I155" s="166">
        <v>0</v>
      </c>
      <c r="J155" s="166">
        <v>0</v>
      </c>
      <c r="K155" s="166" t="str">
        <f t="shared" si="2"/>
        <v>ENTITYLVRG</v>
      </c>
    </row>
    <row r="156" spans="1:11" hidden="1">
      <c r="A156" s="166" t="s">
        <v>1681</v>
      </c>
      <c r="B156" s="166" t="s">
        <v>1682</v>
      </c>
      <c r="C156" s="166" t="s">
        <v>139</v>
      </c>
      <c r="D156" s="166" t="s">
        <v>408</v>
      </c>
      <c r="E156" s="166" t="s">
        <v>1534</v>
      </c>
      <c r="F156" s="166" t="s">
        <v>1551</v>
      </c>
      <c r="G156" s="166" t="s">
        <v>129</v>
      </c>
      <c r="H156" s="166">
        <v>1140751</v>
      </c>
      <c r="I156" s="166">
        <v>0</v>
      </c>
      <c r="J156" s="166">
        <v>0</v>
      </c>
      <c r="K156" s="166" t="str">
        <f t="shared" si="2"/>
        <v>ENTITYLVRG_PRVS</v>
      </c>
    </row>
    <row r="157" spans="1:11" hidden="1">
      <c r="A157" s="166" t="s">
        <v>1683</v>
      </c>
      <c r="B157" s="166" t="s">
        <v>1684</v>
      </c>
      <c r="C157" s="166" t="s">
        <v>139</v>
      </c>
      <c r="D157" s="166" t="s">
        <v>413</v>
      </c>
      <c r="E157" s="166" t="s">
        <v>1534</v>
      </c>
      <c r="F157" s="166" t="s">
        <v>1551</v>
      </c>
      <c r="G157" s="166" t="s">
        <v>129</v>
      </c>
      <c r="H157" s="166">
        <v>1140751</v>
      </c>
      <c r="I157" s="166">
        <v>0</v>
      </c>
      <c r="J157" s="166">
        <v>0</v>
      </c>
      <c r="K157" s="166" t="str">
        <f t="shared" si="2"/>
        <v>ENTITYMNTHL_INCM</v>
      </c>
    </row>
    <row r="158" spans="1:11" hidden="1">
      <c r="A158" s="166" t="s">
        <v>1685</v>
      </c>
      <c r="B158" s="166" t="s">
        <v>1686</v>
      </c>
      <c r="C158" s="166" t="s">
        <v>139</v>
      </c>
      <c r="D158" s="166" t="s">
        <v>414</v>
      </c>
      <c r="E158" s="166" t="s">
        <v>1534</v>
      </c>
      <c r="F158" s="166" t="s">
        <v>1551</v>
      </c>
      <c r="G158" s="166" t="s">
        <v>129</v>
      </c>
      <c r="H158" s="166">
        <v>1140751</v>
      </c>
      <c r="I158" s="166">
        <v>0</v>
      </c>
      <c r="J158" s="166">
        <v>0</v>
      </c>
      <c r="K158" s="166" t="str">
        <f t="shared" si="2"/>
        <v>ENTITYMNTHL_INCM_SLR</v>
      </c>
    </row>
    <row r="159" spans="1:11" hidden="1">
      <c r="A159" s="166" t="s">
        <v>1687</v>
      </c>
      <c r="B159" s="166" t="s">
        <v>1688</v>
      </c>
      <c r="C159" s="166" t="s">
        <v>139</v>
      </c>
      <c r="D159" s="166" t="s">
        <v>415</v>
      </c>
      <c r="E159" s="166" t="s">
        <v>1534</v>
      </c>
      <c r="F159" s="166" t="s">
        <v>1551</v>
      </c>
      <c r="G159" s="166" t="s">
        <v>129</v>
      </c>
      <c r="H159" s="166">
        <v>1140751</v>
      </c>
      <c r="I159" s="166">
        <v>0</v>
      </c>
      <c r="J159" s="166">
        <v>0</v>
      </c>
      <c r="K159" s="166" t="str">
        <f t="shared" si="2"/>
        <v>ENTITYMNTHL_TRNVR</v>
      </c>
    </row>
    <row r="160" spans="1:11" hidden="1">
      <c r="A160" s="166" t="s">
        <v>1689</v>
      </c>
      <c r="B160" s="166" t="s">
        <v>1690</v>
      </c>
      <c r="C160" s="166" t="s">
        <v>139</v>
      </c>
      <c r="D160" s="166" t="s">
        <v>419</v>
      </c>
      <c r="E160" s="166" t="s">
        <v>1534</v>
      </c>
      <c r="F160" s="166" t="s">
        <v>1551</v>
      </c>
      <c r="G160" s="166" t="s">
        <v>129</v>
      </c>
      <c r="H160" s="166">
        <v>1140751</v>
      </c>
      <c r="I160" s="166">
        <v>0</v>
      </c>
      <c r="J160" s="166">
        <v>0</v>
      </c>
      <c r="K160" s="166" t="str">
        <f t="shared" si="2"/>
        <v>ENTITYNT_INCM</v>
      </c>
    </row>
    <row r="161" spans="1:11" hidden="1">
      <c r="A161" s="166" t="s">
        <v>1691</v>
      </c>
      <c r="B161" s="166" t="s">
        <v>1692</v>
      </c>
      <c r="C161" s="166" t="s">
        <v>139</v>
      </c>
      <c r="D161" s="166" t="s">
        <v>420</v>
      </c>
      <c r="E161" s="166" t="s">
        <v>1534</v>
      </c>
      <c r="F161" s="166" t="s">
        <v>1551</v>
      </c>
      <c r="G161" s="166" t="s">
        <v>129</v>
      </c>
      <c r="H161" s="166">
        <v>1140751</v>
      </c>
      <c r="I161" s="166">
        <v>0</v>
      </c>
      <c r="J161" s="166">
        <v>0</v>
      </c>
      <c r="K161" s="166" t="str">
        <f t="shared" si="2"/>
        <v>ENTITYNT_INCM_PRVS</v>
      </c>
    </row>
    <row r="162" spans="1:11" hidden="1">
      <c r="A162" s="166" t="s">
        <v>1693</v>
      </c>
      <c r="B162" s="166" t="s">
        <v>1694</v>
      </c>
      <c r="C162" s="166" t="s">
        <v>139</v>
      </c>
      <c r="D162" s="166" t="s">
        <v>522</v>
      </c>
      <c r="E162" s="166" t="s">
        <v>1534</v>
      </c>
      <c r="F162" s="166" t="s">
        <v>1551</v>
      </c>
      <c r="G162" s="166" t="s">
        <v>129</v>
      </c>
      <c r="H162" s="166">
        <v>1140751</v>
      </c>
      <c r="I162" s="166">
        <v>0</v>
      </c>
      <c r="J162" s="166">
        <v>0</v>
      </c>
      <c r="K162" s="166" t="str">
        <f t="shared" si="2"/>
        <v>ENTITYTTL_DBT</v>
      </c>
    </row>
    <row r="163" spans="1:11" hidden="1">
      <c r="A163" s="166" t="s">
        <v>1695</v>
      </c>
      <c r="B163" s="166" t="s">
        <v>1696</v>
      </c>
      <c r="C163" s="166" t="s">
        <v>139</v>
      </c>
      <c r="D163" s="166" t="s">
        <v>523</v>
      </c>
      <c r="E163" s="166" t="s">
        <v>1534</v>
      </c>
      <c r="F163" s="166" t="s">
        <v>1551</v>
      </c>
      <c r="G163" s="166" t="s">
        <v>129</v>
      </c>
      <c r="H163" s="166">
        <v>1140751</v>
      </c>
      <c r="I163" s="166">
        <v>0</v>
      </c>
      <c r="J163" s="166">
        <v>0</v>
      </c>
      <c r="K163" s="166" t="str">
        <f t="shared" si="2"/>
        <v>ENTITYTTL_DBT_PRVS</v>
      </c>
    </row>
    <row r="164" spans="1:11" hidden="1">
      <c r="A164" s="166" t="s">
        <v>1697</v>
      </c>
      <c r="B164" s="166" t="s">
        <v>1698</v>
      </c>
      <c r="C164" s="166" t="s">
        <v>139</v>
      </c>
      <c r="D164" s="166" t="s">
        <v>171</v>
      </c>
      <c r="E164" s="166" t="s">
        <v>1534</v>
      </c>
      <c r="F164" s="166" t="s">
        <v>1551</v>
      </c>
      <c r="G164" s="166" t="s">
        <v>129</v>
      </c>
      <c r="H164" s="166">
        <v>1140751</v>
      </c>
      <c r="I164" s="166">
        <v>0</v>
      </c>
      <c r="J164" s="166">
        <v>0</v>
      </c>
      <c r="K164" s="166" t="str">
        <f t="shared" si="2"/>
        <v>ENTITYTTL_INTRST_PD</v>
      </c>
    </row>
    <row r="165" spans="1:11" hidden="1">
      <c r="A165" s="166" t="s">
        <v>1699</v>
      </c>
      <c r="B165" s="166" t="s">
        <v>1700</v>
      </c>
      <c r="C165" s="166" t="s">
        <v>139</v>
      </c>
      <c r="D165" s="166" t="s">
        <v>525</v>
      </c>
      <c r="E165" s="166" t="s">
        <v>1534</v>
      </c>
      <c r="F165" s="166" t="s">
        <v>1551</v>
      </c>
      <c r="G165" s="166" t="s">
        <v>129</v>
      </c>
      <c r="H165" s="166">
        <v>1140751</v>
      </c>
      <c r="I165" s="166">
        <v>0</v>
      </c>
      <c r="J165" s="166">
        <v>0</v>
      </c>
      <c r="K165" s="166" t="str">
        <f t="shared" si="2"/>
        <v>ENTITYTTL_LVRG_RT</v>
      </c>
    </row>
    <row r="166" spans="1:11" hidden="1">
      <c r="A166" s="166" t="s">
        <v>1701</v>
      </c>
      <c r="B166" s="166" t="s">
        <v>1702</v>
      </c>
      <c r="C166" s="166" t="s">
        <v>139</v>
      </c>
      <c r="D166" s="166" t="s">
        <v>526</v>
      </c>
      <c r="E166" s="166" t="s">
        <v>1534</v>
      </c>
      <c r="F166" s="166" t="s">
        <v>1551</v>
      </c>
      <c r="G166" s="166" t="s">
        <v>129</v>
      </c>
      <c r="H166" s="166">
        <v>1140751</v>
      </c>
      <c r="I166" s="166">
        <v>0</v>
      </c>
      <c r="J166" s="166">
        <v>0</v>
      </c>
      <c r="K166" s="166" t="str">
        <f t="shared" si="2"/>
        <v>ENTITYTTL_LVRG_RT_PRVS</v>
      </c>
    </row>
    <row r="167" spans="1:11" hidden="1">
      <c r="A167" s="166" t="s">
        <v>1703</v>
      </c>
      <c r="B167" s="166" t="s">
        <v>1704</v>
      </c>
      <c r="C167" s="166" t="s">
        <v>139</v>
      </c>
      <c r="D167" s="166" t="s">
        <v>206</v>
      </c>
      <c r="E167" s="166" t="s">
        <v>1534</v>
      </c>
      <c r="F167" s="166" t="s">
        <v>1551</v>
      </c>
      <c r="G167" s="166" t="s">
        <v>129</v>
      </c>
      <c r="H167" s="166">
        <v>1140751</v>
      </c>
      <c r="I167" s="166">
        <v>0</v>
      </c>
      <c r="J167" s="166">
        <v>0</v>
      </c>
      <c r="K167" s="166" t="str">
        <f t="shared" si="2"/>
        <v>ENTITYDBT_RPYMNT_CPCTY_SNR_DBT</v>
      </c>
    </row>
    <row r="168" spans="1:11" hidden="1">
      <c r="A168" s="166" t="s">
        <v>1705</v>
      </c>
      <c r="B168" s="166" t="s">
        <v>1706</v>
      </c>
      <c r="C168" s="166" t="s">
        <v>139</v>
      </c>
      <c r="D168" s="166" t="s">
        <v>207</v>
      </c>
      <c r="E168" s="166" t="s">
        <v>1534</v>
      </c>
      <c r="F168" s="166" t="s">
        <v>1551</v>
      </c>
      <c r="G168" s="166" t="s">
        <v>129</v>
      </c>
      <c r="H168" s="166">
        <v>1140751</v>
      </c>
      <c r="I168" s="166">
        <v>0</v>
      </c>
      <c r="J168" s="166">
        <v>0</v>
      </c>
      <c r="K168" s="166" t="str">
        <f t="shared" si="2"/>
        <v>ENTITYDBT_RPYMNT_CPCTY_TTL</v>
      </c>
    </row>
    <row r="169" spans="1:11" hidden="1">
      <c r="A169" s="166" t="s">
        <v>1707</v>
      </c>
      <c r="B169" s="166" t="s">
        <v>1708</v>
      </c>
      <c r="C169" s="166" t="s">
        <v>139</v>
      </c>
      <c r="D169" s="166" t="s">
        <v>208</v>
      </c>
      <c r="E169" s="166" t="s">
        <v>1534</v>
      </c>
      <c r="F169" s="166" t="s">
        <v>1551</v>
      </c>
      <c r="G169" s="166" t="s">
        <v>129</v>
      </c>
      <c r="H169" s="166">
        <v>1140751</v>
      </c>
      <c r="I169" s="166">
        <v>0</v>
      </c>
      <c r="J169" s="166">
        <v>0</v>
      </c>
      <c r="K169" s="166" t="str">
        <f t="shared" si="2"/>
        <v>ENTITYDBT_SRVC_RT</v>
      </c>
    </row>
    <row r="170" spans="1:11" hidden="1">
      <c r="A170" s="166" t="s">
        <v>1709</v>
      </c>
      <c r="B170" s="166" t="s">
        <v>1710</v>
      </c>
      <c r="C170" s="166" t="s">
        <v>139</v>
      </c>
      <c r="D170" s="166" t="s">
        <v>209</v>
      </c>
      <c r="E170" s="166" t="s">
        <v>1534</v>
      </c>
      <c r="F170" s="166" t="s">
        <v>1551</v>
      </c>
      <c r="G170" s="166" t="s">
        <v>129</v>
      </c>
      <c r="H170" s="166">
        <v>1140751</v>
      </c>
      <c r="I170" s="166">
        <v>0</v>
      </c>
      <c r="J170" s="166">
        <v>0</v>
      </c>
      <c r="K170" s="166" t="str">
        <f t="shared" si="2"/>
        <v>ENTITYDBT_SRVC_RT_12M</v>
      </c>
    </row>
    <row r="171" spans="1:11" hidden="1">
      <c r="A171" s="166" t="s">
        <v>1711</v>
      </c>
      <c r="B171" s="166" t="s">
        <v>1712</v>
      </c>
      <c r="C171" s="166" t="s">
        <v>139</v>
      </c>
      <c r="D171" s="166" t="s">
        <v>437</v>
      </c>
      <c r="E171" s="166" t="s">
        <v>1534</v>
      </c>
      <c r="F171" s="166" t="s">
        <v>1551</v>
      </c>
      <c r="G171" s="166" t="s">
        <v>129</v>
      </c>
      <c r="H171" s="166">
        <v>1140751</v>
      </c>
      <c r="I171" s="166">
        <v>0</v>
      </c>
      <c r="J171" s="166">
        <v>0</v>
      </c>
      <c r="K171" s="166" t="str">
        <f t="shared" si="2"/>
        <v>ENTITYPD_CRR_RD</v>
      </c>
    </row>
    <row r="172" spans="1:11" hidden="1">
      <c r="A172" s="166" t="s">
        <v>1713</v>
      </c>
      <c r="B172" s="166" t="s">
        <v>1714</v>
      </c>
      <c r="C172" s="166" t="s">
        <v>139</v>
      </c>
      <c r="D172" s="166" t="s">
        <v>440</v>
      </c>
      <c r="E172" s="166" t="s">
        <v>1534</v>
      </c>
      <c r="F172" s="166" t="s">
        <v>1551</v>
      </c>
      <c r="G172" s="166" t="s">
        <v>129</v>
      </c>
      <c r="H172" s="166">
        <v>1140751</v>
      </c>
      <c r="I172" s="166">
        <v>0</v>
      </c>
      <c r="J172" s="166">
        <v>0</v>
      </c>
      <c r="K172" s="166" t="str">
        <f t="shared" si="2"/>
        <v>ENTITYPD_IFRS9_12M_RD</v>
      </c>
    </row>
    <row r="173" spans="1:11" hidden="1">
      <c r="A173" s="166" t="s">
        <v>1715</v>
      </c>
      <c r="B173" s="166" t="s">
        <v>1716</v>
      </c>
      <c r="C173" s="166" t="s">
        <v>139</v>
      </c>
      <c r="D173" s="166" t="s">
        <v>442</v>
      </c>
      <c r="E173" s="166" t="s">
        <v>1534</v>
      </c>
      <c r="F173" s="166" t="s">
        <v>1551</v>
      </c>
      <c r="G173" s="166" t="s">
        <v>129</v>
      </c>
      <c r="H173" s="166">
        <v>1140751</v>
      </c>
      <c r="I173" s="166">
        <v>0</v>
      </c>
      <c r="J173" s="166">
        <v>0</v>
      </c>
      <c r="K173" s="166" t="str">
        <f t="shared" si="2"/>
        <v>ENTITYPD_IFRS9_12M_RD_T1</v>
      </c>
    </row>
    <row r="174" spans="1:11" hidden="1">
      <c r="A174" s="166" t="s">
        <v>1717</v>
      </c>
      <c r="B174" s="166" t="s">
        <v>1718</v>
      </c>
      <c r="C174" s="166" t="s">
        <v>139</v>
      </c>
      <c r="D174" s="166" t="s">
        <v>517</v>
      </c>
      <c r="E174" s="166" t="s">
        <v>1527</v>
      </c>
      <c r="F174" s="166" t="s">
        <v>1551</v>
      </c>
      <c r="G174" s="166" t="s">
        <v>129</v>
      </c>
      <c r="H174" s="166">
        <v>1140751</v>
      </c>
      <c r="I174" s="166">
        <v>0</v>
      </c>
      <c r="J174" s="166">
        <v>0</v>
      </c>
      <c r="K174" s="166" t="str">
        <f t="shared" si="2"/>
        <v>ENTITYTAX_ID</v>
      </c>
    </row>
    <row r="175" spans="1:11" hidden="1">
      <c r="A175" s="166" t="s">
        <v>1719</v>
      </c>
      <c r="B175" s="166" t="s">
        <v>1720</v>
      </c>
      <c r="C175" s="166" t="s">
        <v>139</v>
      </c>
      <c r="D175" s="166" t="s">
        <v>150</v>
      </c>
      <c r="E175" s="166" t="s">
        <v>1534</v>
      </c>
      <c r="F175" s="166" t="s">
        <v>1551</v>
      </c>
      <c r="G175" s="166" t="s">
        <v>129</v>
      </c>
      <c r="H175" s="166">
        <v>1140751</v>
      </c>
      <c r="I175" s="166">
        <v>0</v>
      </c>
      <c r="J175" s="166">
        <v>0</v>
      </c>
      <c r="K175" s="166" t="str">
        <f t="shared" si="2"/>
        <v>ENTITYANNL_TRNVR_LE_BDR</v>
      </c>
    </row>
    <row r="176" spans="1:11" hidden="1">
      <c r="A176" s="166" t="s">
        <v>1721</v>
      </c>
      <c r="B176" s="166" t="s">
        <v>1722</v>
      </c>
      <c r="C176" s="166" t="s">
        <v>139</v>
      </c>
      <c r="D176" s="166" t="s">
        <v>152</v>
      </c>
      <c r="E176" s="166" t="s">
        <v>1534</v>
      </c>
      <c r="F176" s="166" t="s">
        <v>1551</v>
      </c>
      <c r="G176" s="166" t="s">
        <v>129</v>
      </c>
      <c r="H176" s="166">
        <v>1140751</v>
      </c>
      <c r="I176" s="166">
        <v>0</v>
      </c>
      <c r="J176" s="166">
        <v>0</v>
      </c>
      <c r="K176" s="166" t="str">
        <f t="shared" si="2"/>
        <v>ENTITYANNL_TRNVR_PRVS_BDR</v>
      </c>
    </row>
    <row r="177" spans="1:11" hidden="1">
      <c r="A177" s="166" t="s">
        <v>1723</v>
      </c>
      <c r="B177" s="166" t="s">
        <v>1724</v>
      </c>
      <c r="C177" s="166" t="s">
        <v>139</v>
      </c>
      <c r="D177" s="166" t="s">
        <v>429</v>
      </c>
      <c r="E177" s="166" t="s">
        <v>1527</v>
      </c>
      <c r="F177" s="166" t="s">
        <v>1551</v>
      </c>
      <c r="G177" s="166" t="s">
        <v>129</v>
      </c>
      <c r="H177" s="166">
        <v>1140751</v>
      </c>
      <c r="I177" s="166">
        <v>0</v>
      </c>
      <c r="J177" s="166">
        <v>0</v>
      </c>
      <c r="K177" s="166" t="str">
        <f t="shared" si="2"/>
        <v>ENTITYOSI_ID</v>
      </c>
    </row>
    <row r="178" spans="1:11" hidden="1">
      <c r="A178" s="166" t="s">
        <v>1725</v>
      </c>
      <c r="B178" s="166" t="s">
        <v>1726</v>
      </c>
      <c r="C178" s="166" t="s">
        <v>139</v>
      </c>
      <c r="D178" s="166" t="s">
        <v>438</v>
      </c>
      <c r="E178" s="166" t="s">
        <v>1534</v>
      </c>
      <c r="F178" s="166" t="s">
        <v>1551</v>
      </c>
      <c r="G178" s="166" t="s">
        <v>1134</v>
      </c>
      <c r="H178" s="166">
        <v>1140751</v>
      </c>
      <c r="I178" s="166">
        <v>233641</v>
      </c>
      <c r="J178" s="166">
        <v>20.481300000000001</v>
      </c>
      <c r="K178" s="166" t="str">
        <f t="shared" si="2"/>
        <v>ENTITYPD_CRR_RD_T1</v>
      </c>
    </row>
    <row r="179" spans="1:11" hidden="1">
      <c r="A179" s="166" t="s">
        <v>1727</v>
      </c>
      <c r="B179" s="166" t="s">
        <v>1728</v>
      </c>
      <c r="C179" s="166" t="s">
        <v>139</v>
      </c>
      <c r="D179" s="166" t="s">
        <v>297</v>
      </c>
      <c r="E179" s="166" t="s">
        <v>1527</v>
      </c>
      <c r="F179" s="166" t="s">
        <v>1551</v>
      </c>
      <c r="G179" s="166" t="s">
        <v>129</v>
      </c>
      <c r="H179" s="166">
        <v>1140751</v>
      </c>
      <c r="I179" s="166">
        <v>0</v>
      </c>
      <c r="J179" s="166">
        <v>0</v>
      </c>
      <c r="K179" s="166" t="str">
        <f t="shared" si="2"/>
        <v>ENTITYEC_GRP_ID</v>
      </c>
    </row>
    <row r="180" spans="1:11" hidden="1">
      <c r="A180" s="166" t="s">
        <v>1729</v>
      </c>
      <c r="B180" s="166" t="s">
        <v>1730</v>
      </c>
      <c r="C180" s="166" t="s">
        <v>139</v>
      </c>
      <c r="D180" s="166" t="s">
        <v>298</v>
      </c>
      <c r="E180" s="166" t="s">
        <v>1527</v>
      </c>
      <c r="F180" s="166" t="s">
        <v>1551</v>
      </c>
      <c r="G180" s="166" t="s">
        <v>129</v>
      </c>
      <c r="H180" s="166">
        <v>1140751</v>
      </c>
      <c r="I180" s="166">
        <v>0</v>
      </c>
      <c r="J180" s="166">
        <v>0</v>
      </c>
      <c r="K180" s="166" t="str">
        <f t="shared" si="2"/>
        <v>ENTITYEC_GRP_NM</v>
      </c>
    </row>
    <row r="181" spans="1:11" hidden="1">
      <c r="A181" s="166" t="s">
        <v>1731</v>
      </c>
      <c r="B181" s="166" t="s">
        <v>1732</v>
      </c>
      <c r="C181" s="166" t="s">
        <v>139</v>
      </c>
      <c r="D181" s="166" t="s">
        <v>1733</v>
      </c>
      <c r="E181" s="166" t="s">
        <v>1527</v>
      </c>
      <c r="F181" s="166" t="s">
        <v>1551</v>
      </c>
      <c r="G181" s="166" t="s">
        <v>1134</v>
      </c>
      <c r="H181" s="166">
        <v>1140751</v>
      </c>
      <c r="I181" s="166">
        <v>1140751</v>
      </c>
      <c r="J181" s="166">
        <v>100</v>
      </c>
      <c r="K181" s="166" t="str">
        <f t="shared" si="2"/>
        <v>ENTITYPST_CD</v>
      </c>
    </row>
    <row r="182" spans="1:11" hidden="1">
      <c r="A182" s="166" t="s">
        <v>1734</v>
      </c>
      <c r="B182" s="166" t="s">
        <v>1735</v>
      </c>
      <c r="C182" s="166" t="s">
        <v>139</v>
      </c>
      <c r="D182" s="166" t="s">
        <v>1736</v>
      </c>
      <c r="E182" s="166" t="s">
        <v>1531</v>
      </c>
      <c r="F182" s="166" t="s">
        <v>1551</v>
      </c>
      <c r="G182" s="166" t="s">
        <v>1134</v>
      </c>
      <c r="H182" s="166">
        <v>1140751</v>
      </c>
      <c r="I182" s="166">
        <v>1140751</v>
      </c>
      <c r="J182" s="166">
        <v>100</v>
      </c>
      <c r="K182" s="166" t="str">
        <f t="shared" si="2"/>
        <v>ENTITYESG_SBSCTR</v>
      </c>
    </row>
    <row r="183" spans="1:11" hidden="1">
      <c r="A183" s="166" t="s">
        <v>1737</v>
      </c>
      <c r="B183" s="166" t="s">
        <v>1738</v>
      </c>
      <c r="C183" s="166" t="s">
        <v>139</v>
      </c>
      <c r="D183" s="166" t="s">
        <v>1739</v>
      </c>
      <c r="E183" s="166" t="s">
        <v>1531</v>
      </c>
      <c r="F183" s="166" t="s">
        <v>1551</v>
      </c>
      <c r="G183" s="166" t="s">
        <v>1134</v>
      </c>
      <c r="H183" s="166">
        <v>1140751</v>
      </c>
      <c r="I183" s="166">
        <v>1140751</v>
      </c>
      <c r="J183" s="166">
        <v>100</v>
      </c>
      <c r="K183" s="166" t="str">
        <f t="shared" si="2"/>
        <v>ENTITYNACE_ESG</v>
      </c>
    </row>
    <row r="184" spans="1:11" hidden="1">
      <c r="A184" s="166" t="s">
        <v>1740</v>
      </c>
      <c r="B184" s="166" t="s">
        <v>1741</v>
      </c>
      <c r="C184" s="166" t="s">
        <v>139</v>
      </c>
      <c r="D184" s="166" t="s">
        <v>1742</v>
      </c>
      <c r="E184" s="166" t="s">
        <v>1534</v>
      </c>
      <c r="F184" s="166" t="s">
        <v>1551</v>
      </c>
      <c r="G184" s="166" t="s">
        <v>1134</v>
      </c>
      <c r="H184" s="166">
        <v>1140751</v>
      </c>
      <c r="I184" s="166">
        <v>1140751</v>
      </c>
      <c r="J184" s="166">
        <v>100</v>
      </c>
      <c r="K184" s="166" t="str">
        <f t="shared" si="2"/>
        <v>ENTITYTTL_LBLTY</v>
      </c>
    </row>
    <row r="185" spans="1:11" hidden="1">
      <c r="A185" s="166" t="s">
        <v>1743</v>
      </c>
      <c r="B185" s="166" t="s">
        <v>1744</v>
      </c>
      <c r="C185" s="166" t="s">
        <v>139</v>
      </c>
      <c r="D185" s="166" t="s">
        <v>1745</v>
      </c>
      <c r="E185" s="166" t="s">
        <v>1534</v>
      </c>
      <c r="F185" s="166" t="s">
        <v>1551</v>
      </c>
      <c r="G185" s="166" t="s">
        <v>1134</v>
      </c>
      <c r="H185" s="166">
        <v>1140751</v>
      </c>
      <c r="I185" s="166">
        <v>1140751</v>
      </c>
      <c r="J185" s="166">
        <v>100</v>
      </c>
      <c r="K185" s="166" t="str">
        <f t="shared" si="2"/>
        <v>ENTITYTXNMY_ELGBL_CAPEX_CCM</v>
      </c>
    </row>
    <row r="186" spans="1:11" hidden="1">
      <c r="A186" s="166" t="s">
        <v>1746</v>
      </c>
      <c r="B186" s="166" t="s">
        <v>1747</v>
      </c>
      <c r="C186" s="166" t="s">
        <v>139</v>
      </c>
      <c r="D186" s="166" t="s">
        <v>1748</v>
      </c>
      <c r="E186" s="166" t="s">
        <v>1534</v>
      </c>
      <c r="F186" s="166" t="s">
        <v>1551</v>
      </c>
      <c r="G186" s="166" t="s">
        <v>1134</v>
      </c>
      <c r="H186" s="166">
        <v>1140751</v>
      </c>
      <c r="I186" s="166">
        <v>1140751</v>
      </c>
      <c r="J186" s="166">
        <v>100</v>
      </c>
      <c r="K186" s="166" t="str">
        <f t="shared" si="2"/>
        <v>ENTITYTXNMY_ELGBL_TRNVR_CCM</v>
      </c>
    </row>
    <row r="187" spans="1:11" hidden="1">
      <c r="A187" s="166" t="s">
        <v>1749</v>
      </c>
      <c r="B187" s="166" t="s">
        <v>1750</v>
      </c>
      <c r="C187" s="166" t="s">
        <v>139</v>
      </c>
      <c r="D187" s="166" t="s">
        <v>1751</v>
      </c>
      <c r="E187" s="166" t="s">
        <v>1534</v>
      </c>
      <c r="F187" s="166" t="s">
        <v>1551</v>
      </c>
      <c r="G187" s="166" t="s">
        <v>1134</v>
      </c>
      <c r="H187" s="166">
        <v>1140751</v>
      </c>
      <c r="I187" s="166">
        <v>1140751</v>
      </c>
      <c r="J187" s="166">
        <v>100</v>
      </c>
      <c r="K187" s="166" t="str">
        <f t="shared" si="2"/>
        <v>ENTITYTXNMY_ELGBL_CAPEX_CCA</v>
      </c>
    </row>
    <row r="188" spans="1:11" hidden="1">
      <c r="A188" s="166" t="s">
        <v>1752</v>
      </c>
      <c r="B188" s="166" t="s">
        <v>1753</v>
      </c>
      <c r="C188" s="166" t="s">
        <v>139</v>
      </c>
      <c r="D188" s="166" t="s">
        <v>1754</v>
      </c>
      <c r="E188" s="166" t="s">
        <v>1534</v>
      </c>
      <c r="F188" s="166" t="s">
        <v>1551</v>
      </c>
      <c r="G188" s="166" t="s">
        <v>1134</v>
      </c>
      <c r="H188" s="166">
        <v>1140751</v>
      </c>
      <c r="I188" s="166">
        <v>1140751</v>
      </c>
      <c r="J188" s="166">
        <v>100</v>
      </c>
      <c r="K188" s="166" t="str">
        <f t="shared" si="2"/>
        <v>ENTITYTXNMY_ELGBL_TRNVR_CCA</v>
      </c>
    </row>
    <row r="189" spans="1:11" hidden="1">
      <c r="A189" s="166" t="s">
        <v>1755</v>
      </c>
      <c r="B189" s="166" t="s">
        <v>1756</v>
      </c>
      <c r="C189" s="166" t="s">
        <v>139</v>
      </c>
      <c r="D189" s="166" t="s">
        <v>1757</v>
      </c>
      <c r="E189" s="166" t="s">
        <v>1534</v>
      </c>
      <c r="F189" s="166" t="s">
        <v>1551</v>
      </c>
      <c r="G189" s="166" t="s">
        <v>1134</v>
      </c>
      <c r="H189" s="166">
        <v>1140751</v>
      </c>
      <c r="I189" s="166">
        <v>1140751</v>
      </c>
      <c r="J189" s="166">
        <v>100</v>
      </c>
      <c r="K189" s="166" t="str">
        <f t="shared" si="2"/>
        <v>ENTITYENBLNG_CAPEX_CCM</v>
      </c>
    </row>
    <row r="190" spans="1:11" hidden="1">
      <c r="A190" s="166" t="s">
        <v>1758</v>
      </c>
      <c r="B190" s="166" t="s">
        <v>1759</v>
      </c>
      <c r="C190" s="166" t="s">
        <v>139</v>
      </c>
      <c r="D190" s="166" t="s">
        <v>1760</v>
      </c>
      <c r="E190" s="166" t="s">
        <v>1534</v>
      </c>
      <c r="F190" s="166" t="s">
        <v>1551</v>
      </c>
      <c r="G190" s="166" t="s">
        <v>1134</v>
      </c>
      <c r="H190" s="166">
        <v>1140751</v>
      </c>
      <c r="I190" s="166">
        <v>1140751</v>
      </c>
      <c r="J190" s="166">
        <v>100</v>
      </c>
      <c r="K190" s="166" t="str">
        <f t="shared" si="2"/>
        <v>ENTITYENBLNG_CAPEX_CCA</v>
      </c>
    </row>
    <row r="191" spans="1:11" hidden="1">
      <c r="A191" s="166" t="s">
        <v>1761</v>
      </c>
      <c r="B191" s="166" t="s">
        <v>1762</v>
      </c>
      <c r="C191" s="166" t="s">
        <v>139</v>
      </c>
      <c r="D191" s="166" t="s">
        <v>1763</v>
      </c>
      <c r="E191" s="166" t="s">
        <v>1534</v>
      </c>
      <c r="F191" s="166" t="s">
        <v>1551</v>
      </c>
      <c r="G191" s="166" t="s">
        <v>1134</v>
      </c>
      <c r="H191" s="166">
        <v>1140751</v>
      </c>
      <c r="I191" s="166">
        <v>1140751</v>
      </c>
      <c r="J191" s="166">
        <v>100</v>
      </c>
      <c r="K191" s="166" t="str">
        <f t="shared" si="2"/>
        <v>ENTITYTRNSTNL_CAPEX</v>
      </c>
    </row>
    <row r="192" spans="1:11" hidden="1">
      <c r="A192" s="166" t="s">
        <v>1764</v>
      </c>
      <c r="B192" s="166" t="s">
        <v>1765</v>
      </c>
      <c r="C192" s="166" t="s">
        <v>139</v>
      </c>
      <c r="D192" s="166" t="s">
        <v>1766</v>
      </c>
      <c r="E192" s="166" t="s">
        <v>1534</v>
      </c>
      <c r="F192" s="166" t="s">
        <v>1551</v>
      </c>
      <c r="G192" s="166" t="s">
        <v>1134</v>
      </c>
      <c r="H192" s="166">
        <v>1140751</v>
      </c>
      <c r="I192" s="166">
        <v>1140751</v>
      </c>
      <c r="J192" s="166">
        <v>100</v>
      </c>
      <c r="K192" s="166" t="str">
        <f t="shared" si="2"/>
        <v>ENTITYPURE_CAPEX_CCM</v>
      </c>
    </row>
    <row r="193" spans="1:11" hidden="1">
      <c r="A193" s="166" t="s">
        <v>1767</v>
      </c>
      <c r="B193" s="166" t="s">
        <v>1768</v>
      </c>
      <c r="C193" s="166" t="s">
        <v>139</v>
      </c>
      <c r="D193" s="166" t="s">
        <v>1769</v>
      </c>
      <c r="E193" s="166" t="s">
        <v>1534</v>
      </c>
      <c r="F193" s="166" t="s">
        <v>1551</v>
      </c>
      <c r="G193" s="166" t="s">
        <v>1134</v>
      </c>
      <c r="H193" s="166">
        <v>1140751</v>
      </c>
      <c r="I193" s="166">
        <v>1140751</v>
      </c>
      <c r="J193" s="166">
        <v>100</v>
      </c>
      <c r="K193" s="166" t="str">
        <f t="shared" si="2"/>
        <v>ENTITYPURE_CAPEX_CCA</v>
      </c>
    </row>
    <row r="194" spans="1:11" hidden="1">
      <c r="A194" s="166" t="s">
        <v>1770</v>
      </c>
      <c r="B194" s="166" t="s">
        <v>1771</v>
      </c>
      <c r="C194" s="166" t="s">
        <v>139</v>
      </c>
      <c r="D194" s="166" t="s">
        <v>1772</v>
      </c>
      <c r="E194" s="166" t="s">
        <v>1534</v>
      </c>
      <c r="F194" s="166" t="s">
        <v>1551</v>
      </c>
      <c r="G194" s="166" t="s">
        <v>1134</v>
      </c>
      <c r="H194" s="166">
        <v>1140751</v>
      </c>
      <c r="I194" s="166">
        <v>1140751</v>
      </c>
      <c r="J194" s="166">
        <v>100</v>
      </c>
      <c r="K194" s="166" t="str">
        <f t="shared" si="2"/>
        <v>ENTITYENBLNG_TRNVR_CCM</v>
      </c>
    </row>
    <row r="195" spans="1:11" hidden="1">
      <c r="A195" s="166" t="s">
        <v>1773</v>
      </c>
      <c r="B195" s="166" t="s">
        <v>1774</v>
      </c>
      <c r="C195" s="166" t="s">
        <v>139</v>
      </c>
      <c r="D195" s="166" t="s">
        <v>1775</v>
      </c>
      <c r="E195" s="166" t="s">
        <v>1534</v>
      </c>
      <c r="F195" s="166" t="s">
        <v>1551</v>
      </c>
      <c r="G195" s="166" t="s">
        <v>1134</v>
      </c>
      <c r="H195" s="166">
        <v>1140751</v>
      </c>
      <c r="I195" s="166">
        <v>1140751</v>
      </c>
      <c r="J195" s="166">
        <v>100</v>
      </c>
      <c r="K195" s="166" t="str">
        <f t="shared" ref="K195:K258" si="3">_xlfn.CONCAT(_xlfn.IFS(ISNUMBER(SEARCH("EN",A195)),"ENTITY",ISNUMBER(SEARCH("IN",A195)),"INSTRUMENT",ISNUMBER(SEARCH("PR",A195)),"PROTECTION",ISNUMBER(SEARCH("IP",A195)),"INSTR_PROTECTION",ISNUMBER(SEARCH("IE",A195)),"INSTR_ENTITY",ISNUMBER(SEARCH("AC",A195)),"INSTR_ACTIVITY"),D195)</f>
        <v>ENTITYENBLNG_TRNVR_CCA</v>
      </c>
    </row>
    <row r="196" spans="1:11" hidden="1">
      <c r="A196" s="166" t="s">
        <v>1776</v>
      </c>
      <c r="B196" s="166" t="s">
        <v>1777</v>
      </c>
      <c r="C196" s="166" t="s">
        <v>139</v>
      </c>
      <c r="D196" s="166" t="s">
        <v>1778</v>
      </c>
      <c r="E196" s="166" t="s">
        <v>1534</v>
      </c>
      <c r="F196" s="166" t="s">
        <v>1551</v>
      </c>
      <c r="G196" s="166" t="s">
        <v>1134</v>
      </c>
      <c r="H196" s="166">
        <v>1140751</v>
      </c>
      <c r="I196" s="166">
        <v>1140751</v>
      </c>
      <c r="J196" s="166">
        <v>100</v>
      </c>
      <c r="K196" s="166" t="str">
        <f t="shared" si="3"/>
        <v>ENTITYTRNSTNL_TRNVR</v>
      </c>
    </row>
    <row r="197" spans="1:11" hidden="1">
      <c r="A197" s="166" t="s">
        <v>1779</v>
      </c>
      <c r="B197" s="166" t="s">
        <v>1780</v>
      </c>
      <c r="C197" s="166" t="s">
        <v>139</v>
      </c>
      <c r="D197" s="166" t="s">
        <v>1781</v>
      </c>
      <c r="E197" s="166" t="s">
        <v>1534</v>
      </c>
      <c r="F197" s="166" t="s">
        <v>1551</v>
      </c>
      <c r="G197" s="166" t="s">
        <v>1134</v>
      </c>
      <c r="H197" s="166">
        <v>1140751</v>
      </c>
      <c r="I197" s="166">
        <v>1140751</v>
      </c>
      <c r="J197" s="166">
        <v>100</v>
      </c>
      <c r="K197" s="166" t="str">
        <f t="shared" si="3"/>
        <v>ENTITYPURE_TRNVR_CCM</v>
      </c>
    </row>
    <row r="198" spans="1:11" hidden="1">
      <c r="A198" s="166" t="s">
        <v>1782</v>
      </c>
      <c r="B198" s="166" t="s">
        <v>1783</v>
      </c>
      <c r="C198" s="166" t="s">
        <v>139</v>
      </c>
      <c r="D198" s="166" t="s">
        <v>1784</v>
      </c>
      <c r="E198" s="166" t="s">
        <v>1534</v>
      </c>
      <c r="F198" s="166" t="s">
        <v>1551</v>
      </c>
      <c r="G198" s="166" t="s">
        <v>1134</v>
      </c>
      <c r="H198" s="166">
        <v>1140751</v>
      </c>
      <c r="I198" s="166">
        <v>1140751</v>
      </c>
      <c r="J198" s="166">
        <v>100</v>
      </c>
      <c r="K198" s="166" t="str">
        <f t="shared" si="3"/>
        <v>ENTITYPURE_TRNVR_CCA</v>
      </c>
    </row>
    <row r="199" spans="1:11" hidden="1">
      <c r="A199" s="166" t="s">
        <v>1785</v>
      </c>
      <c r="B199" s="166" t="s">
        <v>1786</v>
      </c>
      <c r="C199" s="166" t="s">
        <v>139</v>
      </c>
      <c r="D199" s="166" t="s">
        <v>1368</v>
      </c>
      <c r="E199" s="166" t="s">
        <v>1531</v>
      </c>
      <c r="F199" s="166" t="s">
        <v>1551</v>
      </c>
      <c r="G199" s="166" t="s">
        <v>1134</v>
      </c>
      <c r="H199" s="166">
        <v>1140751</v>
      </c>
      <c r="I199" s="166">
        <v>1140751</v>
      </c>
      <c r="J199" s="166">
        <v>100</v>
      </c>
      <c r="K199" s="166" t="str">
        <f t="shared" si="3"/>
        <v>ENTITYFLG_CSRD_APPLCBLTY</v>
      </c>
    </row>
    <row r="200" spans="1:11" hidden="1">
      <c r="A200" s="166" t="s">
        <v>1787</v>
      </c>
      <c r="B200" s="166" t="s">
        <v>1788</v>
      </c>
      <c r="C200" s="166" t="s">
        <v>139</v>
      </c>
      <c r="D200" s="166" t="s">
        <v>1371</v>
      </c>
      <c r="E200" s="166" t="s">
        <v>1531</v>
      </c>
      <c r="F200" s="166" t="s">
        <v>1551</v>
      </c>
      <c r="G200" s="166" t="s">
        <v>1134</v>
      </c>
      <c r="H200" s="166">
        <v>1140751</v>
      </c>
      <c r="I200" s="166">
        <v>1140751</v>
      </c>
      <c r="J200" s="166">
        <v>100</v>
      </c>
      <c r="K200" s="166" t="str">
        <f t="shared" si="3"/>
        <v>ENTITYFLG_GRP_CSRD_APPLCBLTY</v>
      </c>
    </row>
    <row r="201" spans="1:11" hidden="1">
      <c r="A201" s="166" t="s">
        <v>1789</v>
      </c>
      <c r="B201" s="166" t="s">
        <v>1790</v>
      </c>
      <c r="C201" s="166" t="s">
        <v>139</v>
      </c>
      <c r="D201" s="166" t="s">
        <v>380</v>
      </c>
      <c r="E201" s="166" t="s">
        <v>1527</v>
      </c>
      <c r="F201" s="166" t="s">
        <v>1551</v>
      </c>
      <c r="G201" s="166" t="s">
        <v>1134</v>
      </c>
      <c r="H201" s="166">
        <v>1140751</v>
      </c>
      <c r="I201" s="166">
        <v>1140751</v>
      </c>
      <c r="J201" s="166">
        <v>100</v>
      </c>
      <c r="K201" s="166" t="str">
        <f t="shared" si="3"/>
        <v>ENTITYISIN</v>
      </c>
    </row>
    <row r="202" spans="1:11" hidden="1">
      <c r="A202" s="166" t="s">
        <v>1791</v>
      </c>
      <c r="B202" s="166" t="s">
        <v>1792</v>
      </c>
      <c r="C202" s="166" t="s">
        <v>139</v>
      </c>
      <c r="D202" s="166" t="s">
        <v>1793</v>
      </c>
      <c r="E202" s="166" t="s">
        <v>1534</v>
      </c>
      <c r="F202" s="166" t="s">
        <v>1551</v>
      </c>
      <c r="G202" s="166" t="s">
        <v>1134</v>
      </c>
      <c r="H202" s="166">
        <v>1140751</v>
      </c>
      <c r="I202" s="166">
        <v>1140751</v>
      </c>
      <c r="J202" s="166">
        <v>100</v>
      </c>
      <c r="K202" s="166" t="str">
        <f t="shared" si="3"/>
        <v>ENTITYGRP_ANNL_TRNVR_LE</v>
      </c>
    </row>
    <row r="203" spans="1:11" hidden="1">
      <c r="A203" s="166" t="s">
        <v>1794</v>
      </c>
      <c r="B203" s="166" t="s">
        <v>1795</v>
      </c>
      <c r="C203" s="166" t="s">
        <v>139</v>
      </c>
      <c r="D203" s="166" t="s">
        <v>1796</v>
      </c>
      <c r="E203" s="166" t="s">
        <v>1534</v>
      </c>
      <c r="F203" s="166" t="s">
        <v>1551</v>
      </c>
      <c r="G203" s="166" t="s">
        <v>1134</v>
      </c>
      <c r="H203" s="166">
        <v>1140751</v>
      </c>
      <c r="I203" s="166">
        <v>1140751</v>
      </c>
      <c r="J203" s="166">
        <v>100</v>
      </c>
      <c r="K203" s="166" t="str">
        <f t="shared" si="3"/>
        <v>ENTITYGRP_TTL_LBLTY</v>
      </c>
    </row>
    <row r="204" spans="1:11" hidden="1">
      <c r="A204" s="166" t="s">
        <v>1797</v>
      </c>
      <c r="B204" s="166" t="s">
        <v>1798</v>
      </c>
      <c r="C204" s="166" t="s">
        <v>139</v>
      </c>
      <c r="D204" s="166" t="s">
        <v>1799</v>
      </c>
      <c r="E204" s="166" t="s">
        <v>1534</v>
      </c>
      <c r="F204" s="166" t="s">
        <v>1551</v>
      </c>
      <c r="G204" s="166" t="s">
        <v>1134</v>
      </c>
      <c r="H204" s="166">
        <v>1140751</v>
      </c>
      <c r="I204" s="166">
        <v>1140751</v>
      </c>
      <c r="J204" s="166">
        <v>100</v>
      </c>
      <c r="K204" s="166" t="str">
        <f t="shared" si="3"/>
        <v>ENTITYCNTRPRTY_EMSSNS_SCP1</v>
      </c>
    </row>
    <row r="205" spans="1:11" hidden="1">
      <c r="A205" s="166" t="s">
        <v>1800</v>
      </c>
      <c r="B205" s="166" t="s">
        <v>1801</v>
      </c>
      <c r="C205" s="166" t="s">
        <v>139</v>
      </c>
      <c r="D205" s="166" t="s">
        <v>1802</v>
      </c>
      <c r="E205" s="166" t="s">
        <v>1534</v>
      </c>
      <c r="F205" s="166" t="s">
        <v>1551</v>
      </c>
      <c r="G205" s="166" t="s">
        <v>1134</v>
      </c>
      <c r="H205" s="166">
        <v>1140751</v>
      </c>
      <c r="I205" s="166">
        <v>1140751</v>
      </c>
      <c r="J205" s="166">
        <v>100</v>
      </c>
      <c r="K205" s="166" t="str">
        <f t="shared" si="3"/>
        <v>ENTITYCNTRPRTY_EMSSNS_SCP2</v>
      </c>
    </row>
    <row r="206" spans="1:11" hidden="1">
      <c r="A206" s="166" t="s">
        <v>1803</v>
      </c>
      <c r="B206" s="166" t="s">
        <v>1804</v>
      </c>
      <c r="C206" s="166" t="s">
        <v>139</v>
      </c>
      <c r="D206" s="166" t="s">
        <v>1805</v>
      </c>
      <c r="E206" s="166" t="s">
        <v>1534</v>
      </c>
      <c r="F206" s="166" t="s">
        <v>1551</v>
      </c>
      <c r="G206" s="166" t="s">
        <v>1134</v>
      </c>
      <c r="H206" s="166">
        <v>1140751</v>
      </c>
      <c r="I206" s="166">
        <v>1140751</v>
      </c>
      <c r="J206" s="166">
        <v>100</v>
      </c>
      <c r="K206" s="166" t="str">
        <f t="shared" si="3"/>
        <v>ENTITYCNTRPRTY_EMSSNS_SCP3</v>
      </c>
    </row>
    <row r="207" spans="1:11" hidden="1">
      <c r="A207" s="166" t="s">
        <v>1806</v>
      </c>
      <c r="B207" s="166" t="s">
        <v>1807</v>
      </c>
      <c r="C207" s="166" t="s">
        <v>139</v>
      </c>
      <c r="D207" s="166" t="s">
        <v>1374</v>
      </c>
      <c r="E207" s="166" t="s">
        <v>1531</v>
      </c>
      <c r="F207" s="166" t="s">
        <v>1551</v>
      </c>
      <c r="G207" s="166" t="s">
        <v>1134</v>
      </c>
      <c r="H207" s="166">
        <v>1140751</v>
      </c>
      <c r="I207" s="166">
        <v>1140751</v>
      </c>
      <c r="J207" s="166">
        <v>100</v>
      </c>
      <c r="K207" s="166" t="str">
        <f t="shared" si="3"/>
        <v>ENTITYFLG_EXCLDD_EU_PRS_ALGND_BNCHMRK</v>
      </c>
    </row>
    <row r="208" spans="1:11" hidden="1">
      <c r="A208" s="166" t="s">
        <v>1808</v>
      </c>
      <c r="B208" s="166" t="s">
        <v>1809</v>
      </c>
      <c r="C208" s="166" t="s">
        <v>139</v>
      </c>
      <c r="D208" s="166" t="s">
        <v>1810</v>
      </c>
      <c r="E208" s="166" t="s">
        <v>1534</v>
      </c>
      <c r="F208" s="166" t="s">
        <v>1551</v>
      </c>
      <c r="G208" s="166" t="s">
        <v>1134</v>
      </c>
      <c r="H208" s="166">
        <v>1140751</v>
      </c>
      <c r="I208" s="166">
        <v>1140751</v>
      </c>
      <c r="J208" s="166">
        <v>100</v>
      </c>
      <c r="K208" s="166" t="str">
        <f t="shared" si="3"/>
        <v>ENTITYGRP_EMSSNS_SCP1</v>
      </c>
    </row>
    <row r="209" spans="1:11" hidden="1">
      <c r="A209" s="166" t="s">
        <v>1811</v>
      </c>
      <c r="B209" s="166" t="s">
        <v>1812</v>
      </c>
      <c r="C209" s="166" t="s">
        <v>139</v>
      </c>
      <c r="D209" s="166" t="s">
        <v>1813</v>
      </c>
      <c r="E209" s="166" t="s">
        <v>1534</v>
      </c>
      <c r="F209" s="166" t="s">
        <v>1551</v>
      </c>
      <c r="G209" s="166" t="s">
        <v>1134</v>
      </c>
      <c r="H209" s="166">
        <v>1140751</v>
      </c>
      <c r="I209" s="166">
        <v>1140751</v>
      </c>
      <c r="J209" s="166">
        <v>100</v>
      </c>
      <c r="K209" s="166" t="str">
        <f t="shared" si="3"/>
        <v>ENTITYGRP_EMSSNS_SCP2</v>
      </c>
    </row>
    <row r="210" spans="1:11" hidden="1">
      <c r="A210" s="166" t="s">
        <v>1814</v>
      </c>
      <c r="B210" s="166" t="s">
        <v>1815</v>
      </c>
      <c r="C210" s="166" t="s">
        <v>139</v>
      </c>
      <c r="D210" s="166" t="s">
        <v>1816</v>
      </c>
      <c r="E210" s="166" t="s">
        <v>1534</v>
      </c>
      <c r="F210" s="166" t="s">
        <v>1551</v>
      </c>
      <c r="G210" s="166" t="s">
        <v>1134</v>
      </c>
      <c r="H210" s="166">
        <v>1140751</v>
      </c>
      <c r="I210" s="166">
        <v>1140751</v>
      </c>
      <c r="J210" s="166">
        <v>100</v>
      </c>
      <c r="K210" s="166" t="str">
        <f t="shared" si="3"/>
        <v>ENTITYGRP_EMSSNS_SCP3</v>
      </c>
    </row>
    <row r="211" spans="1:11" hidden="1">
      <c r="A211" s="166" t="s">
        <v>1817</v>
      </c>
      <c r="B211" s="166" t="s">
        <v>1818</v>
      </c>
      <c r="C211" s="166" t="s">
        <v>139</v>
      </c>
      <c r="D211" s="166" t="s">
        <v>1377</v>
      </c>
      <c r="E211" s="166" t="s">
        <v>1531</v>
      </c>
      <c r="F211" s="166" t="s">
        <v>1551</v>
      </c>
      <c r="G211" s="166" t="s">
        <v>1134</v>
      </c>
      <c r="H211" s="166">
        <v>1140751</v>
      </c>
      <c r="I211" s="166">
        <v>1140751</v>
      </c>
      <c r="J211" s="166">
        <v>100</v>
      </c>
      <c r="K211" s="166" t="str">
        <f t="shared" si="3"/>
        <v>ENTITYFLG_ACT_PHYSCL_RSK</v>
      </c>
    </row>
    <row r="212" spans="1:11" hidden="1">
      <c r="A212" s="166" t="s">
        <v>1819</v>
      </c>
      <c r="B212" s="166" t="s">
        <v>1820</v>
      </c>
      <c r="C212" s="166" t="s">
        <v>139</v>
      </c>
      <c r="D212" s="166" t="s">
        <v>1380</v>
      </c>
      <c r="E212" s="166" t="s">
        <v>1531</v>
      </c>
      <c r="F212" s="166" t="s">
        <v>1551</v>
      </c>
      <c r="G212" s="166" t="s">
        <v>1134</v>
      </c>
      <c r="H212" s="166">
        <v>1140751</v>
      </c>
      <c r="I212" s="166">
        <v>1140751</v>
      </c>
      <c r="J212" s="166">
        <v>100</v>
      </c>
      <c r="K212" s="166" t="str">
        <f t="shared" si="3"/>
        <v>ENTITYFLG_CHRNC_PHYSCL_RSK</v>
      </c>
    </row>
    <row r="213" spans="1:11" hidden="1">
      <c r="A213" s="166" t="s">
        <v>1821</v>
      </c>
      <c r="B213" s="166" t="s">
        <v>1822</v>
      </c>
      <c r="C213" s="166" t="s">
        <v>139</v>
      </c>
      <c r="D213" s="166" t="s">
        <v>1823</v>
      </c>
      <c r="E213" s="166" t="s">
        <v>1531</v>
      </c>
      <c r="F213" s="166" t="s">
        <v>1551</v>
      </c>
      <c r="G213" s="166" t="s">
        <v>1134</v>
      </c>
      <c r="H213" s="166">
        <v>1140751</v>
      </c>
      <c r="I213" s="166">
        <v>1140751</v>
      </c>
      <c r="J213" s="166">
        <v>100</v>
      </c>
      <c r="K213" s="166" t="str">
        <f t="shared" si="3"/>
        <v>ENTITYGRP_ECNMC_ACTVTY</v>
      </c>
    </row>
    <row r="214" spans="1:11" hidden="1">
      <c r="A214" s="166" t="s">
        <v>1824</v>
      </c>
      <c r="B214" s="166" t="s">
        <v>1825</v>
      </c>
      <c r="C214" s="166" t="s">
        <v>139</v>
      </c>
      <c r="D214" s="166" t="s">
        <v>457</v>
      </c>
      <c r="E214" s="166" t="s">
        <v>1531</v>
      </c>
      <c r="F214" s="166" t="s">
        <v>1551</v>
      </c>
      <c r="G214" s="166" t="s">
        <v>129</v>
      </c>
      <c r="H214" s="166">
        <v>1140751</v>
      </c>
      <c r="I214" s="166">
        <v>0</v>
      </c>
      <c r="J214" s="166">
        <v>0</v>
      </c>
      <c r="K214" s="166" t="str">
        <f t="shared" si="3"/>
        <v>ENTITYPRSN_TYP</v>
      </c>
    </row>
    <row r="215" spans="1:11" hidden="1">
      <c r="A215" s="166" t="s">
        <v>1826</v>
      </c>
      <c r="B215" s="166" t="s">
        <v>1827</v>
      </c>
      <c r="C215" s="166" t="s">
        <v>139</v>
      </c>
      <c r="D215" s="166" t="s">
        <v>331</v>
      </c>
      <c r="E215" s="166" t="s">
        <v>1534</v>
      </c>
      <c r="F215" s="166" t="s">
        <v>1551</v>
      </c>
      <c r="G215" s="166" t="s">
        <v>129</v>
      </c>
      <c r="H215" s="166">
        <v>1140751</v>
      </c>
      <c r="I215" s="166">
        <v>0</v>
      </c>
      <c r="J215" s="166">
        <v>0</v>
      </c>
      <c r="K215" s="166" t="str">
        <f t="shared" si="3"/>
        <v>ENTITYFR_CSH_FLW</v>
      </c>
    </row>
    <row r="216" spans="1:11" hidden="1">
      <c r="A216" s="166" t="s">
        <v>1828</v>
      </c>
      <c r="B216" s="166" t="s">
        <v>1829</v>
      </c>
      <c r="C216" s="166" t="s">
        <v>139</v>
      </c>
      <c r="D216" s="166" t="s">
        <v>332</v>
      </c>
      <c r="E216" s="166" t="s">
        <v>1534</v>
      </c>
      <c r="F216" s="166" t="s">
        <v>1551</v>
      </c>
      <c r="G216" s="166" t="s">
        <v>129</v>
      </c>
      <c r="H216" s="166">
        <v>1140751</v>
      </c>
      <c r="I216" s="166">
        <v>0</v>
      </c>
      <c r="J216" s="166">
        <v>0</v>
      </c>
      <c r="K216" s="166" t="str">
        <f t="shared" si="3"/>
        <v>ENTITYFR_CSH_FLW_T1</v>
      </c>
    </row>
    <row r="217" spans="1:11" hidden="1">
      <c r="A217" s="166" t="s">
        <v>1830</v>
      </c>
      <c r="B217" s="166" t="s">
        <v>1831</v>
      </c>
      <c r="C217" s="166" t="s">
        <v>139</v>
      </c>
      <c r="D217" s="166" t="s">
        <v>333</v>
      </c>
      <c r="E217" s="166" t="s">
        <v>1534</v>
      </c>
      <c r="F217" s="166" t="s">
        <v>1551</v>
      </c>
      <c r="G217" s="166" t="s">
        <v>129</v>
      </c>
      <c r="H217" s="166">
        <v>1140751</v>
      </c>
      <c r="I217" s="166">
        <v>0</v>
      </c>
      <c r="J217" s="166">
        <v>0</v>
      </c>
      <c r="K217" s="166" t="str">
        <f t="shared" si="3"/>
        <v>ENTITYFR_CSH_FLW_T2</v>
      </c>
    </row>
    <row r="218" spans="1:11" hidden="1">
      <c r="A218" s="166" t="s">
        <v>1832</v>
      </c>
      <c r="B218" s="166" t="s">
        <v>1833</v>
      </c>
      <c r="C218" s="166" t="s">
        <v>139</v>
      </c>
      <c r="D218" s="166" t="s">
        <v>334</v>
      </c>
      <c r="E218" s="166" t="s">
        <v>1534</v>
      </c>
      <c r="F218" s="166" t="s">
        <v>1551</v>
      </c>
      <c r="G218" s="166" t="s">
        <v>129</v>
      </c>
      <c r="H218" s="166">
        <v>1140751</v>
      </c>
      <c r="I218" s="166">
        <v>0</v>
      </c>
      <c r="J218" s="166">
        <v>0</v>
      </c>
      <c r="K218" s="166" t="str">
        <f t="shared" si="3"/>
        <v>ENTITYFR_CSH_FLW_T3</v>
      </c>
    </row>
    <row r="219" spans="1:11" hidden="1">
      <c r="A219" s="166" t="s">
        <v>1834</v>
      </c>
      <c r="B219" s="166" t="s">
        <v>1835</v>
      </c>
      <c r="C219" s="166" t="s">
        <v>139</v>
      </c>
      <c r="D219" s="166" t="s">
        <v>543</v>
      </c>
      <c r="E219" s="166" t="s">
        <v>1527</v>
      </c>
      <c r="F219" s="166" t="s">
        <v>1551</v>
      </c>
      <c r="G219" s="166" t="s">
        <v>1134</v>
      </c>
      <c r="H219" s="166">
        <v>1140751</v>
      </c>
      <c r="I219" s="166">
        <v>1140751</v>
      </c>
      <c r="J219" s="166">
        <v>100</v>
      </c>
      <c r="K219" s="166" t="str">
        <f t="shared" si="3"/>
        <v>ENTITYADDRSS_CTY</v>
      </c>
    </row>
    <row r="220" spans="1:11" hidden="1">
      <c r="A220" s="166" t="s">
        <v>1836</v>
      </c>
      <c r="B220" s="166" t="s">
        <v>1837</v>
      </c>
      <c r="C220" s="166" t="s">
        <v>139</v>
      </c>
      <c r="D220" s="166" t="s">
        <v>545</v>
      </c>
      <c r="E220" s="166" t="s">
        <v>1527</v>
      </c>
      <c r="F220" s="166" t="s">
        <v>1551</v>
      </c>
      <c r="G220" s="166" t="s">
        <v>1134</v>
      </c>
      <c r="H220" s="166">
        <v>1140751</v>
      </c>
      <c r="I220" s="166">
        <v>1140751</v>
      </c>
      <c r="J220" s="166">
        <v>100</v>
      </c>
      <c r="K220" s="166" t="str">
        <f t="shared" si="3"/>
        <v>ENTITYADDRSS_STRT</v>
      </c>
    </row>
    <row r="221" spans="1:11" hidden="1">
      <c r="A221" s="166" t="s">
        <v>1838</v>
      </c>
      <c r="B221" s="166" t="s">
        <v>1839</v>
      </c>
      <c r="C221" s="166" t="s">
        <v>139</v>
      </c>
      <c r="D221" s="166" t="s">
        <v>546</v>
      </c>
      <c r="E221" s="166" t="s">
        <v>1524</v>
      </c>
      <c r="F221" s="166" t="s">
        <v>1551</v>
      </c>
      <c r="G221" s="166" t="s">
        <v>1134</v>
      </c>
      <c r="H221" s="166">
        <v>1140751</v>
      </c>
      <c r="I221" s="166">
        <v>1140751</v>
      </c>
      <c r="J221" s="166">
        <v>100</v>
      </c>
      <c r="K221" s="166" t="str">
        <f t="shared" si="3"/>
        <v>ENTITYDT_ENTRPRS_SZ</v>
      </c>
    </row>
    <row r="222" spans="1:11" hidden="1">
      <c r="A222" s="166" t="s">
        <v>1840</v>
      </c>
      <c r="B222" s="166" t="s">
        <v>1841</v>
      </c>
      <c r="C222" s="166" t="s">
        <v>139</v>
      </c>
      <c r="D222" s="166" t="s">
        <v>547</v>
      </c>
      <c r="E222" s="166" t="s">
        <v>1534</v>
      </c>
      <c r="F222" s="166" t="s">
        <v>1551</v>
      </c>
      <c r="G222" s="166" t="s">
        <v>1134</v>
      </c>
      <c r="H222" s="166">
        <v>1140751</v>
      </c>
      <c r="I222" s="166">
        <v>1140751</v>
      </c>
      <c r="J222" s="166">
        <v>100</v>
      </c>
      <c r="K222" s="166" t="str">
        <f t="shared" si="3"/>
        <v>ENTITYNMBR_EMPLYS</v>
      </c>
    </row>
    <row r="223" spans="1:11" hidden="1">
      <c r="A223" s="166" t="s">
        <v>1842</v>
      </c>
      <c r="B223" s="166" t="s">
        <v>1843</v>
      </c>
      <c r="C223" s="166" t="s">
        <v>139</v>
      </c>
      <c r="D223" s="166" t="s">
        <v>548</v>
      </c>
      <c r="E223" s="166" t="s">
        <v>1527</v>
      </c>
      <c r="F223" s="166" t="s">
        <v>1551</v>
      </c>
      <c r="G223" s="166" t="s">
        <v>1134</v>
      </c>
      <c r="H223" s="166">
        <v>1140751</v>
      </c>
      <c r="I223" s="166">
        <v>1140751</v>
      </c>
      <c r="J223" s="166">
        <v>100</v>
      </c>
      <c r="K223" s="166" t="str">
        <f t="shared" si="3"/>
        <v>ENTITYLGL_FRM</v>
      </c>
    </row>
    <row r="224" spans="1:11" hidden="1">
      <c r="A224" s="166" t="s">
        <v>1844</v>
      </c>
      <c r="B224" s="166" t="s">
        <v>1845</v>
      </c>
      <c r="C224" s="166" t="s">
        <v>139</v>
      </c>
      <c r="D224" s="166" t="s">
        <v>549</v>
      </c>
      <c r="E224" s="166" t="s">
        <v>1527</v>
      </c>
      <c r="F224" s="166" t="s">
        <v>1551</v>
      </c>
      <c r="G224" s="166" t="s">
        <v>1134</v>
      </c>
      <c r="H224" s="166">
        <v>1140751</v>
      </c>
      <c r="I224" s="166">
        <v>1140751</v>
      </c>
      <c r="J224" s="166">
        <v>100</v>
      </c>
      <c r="K224" s="166" t="str">
        <f t="shared" si="3"/>
        <v>ENTITYHD_OFFC_UNDRTKNG_ID</v>
      </c>
    </row>
    <row r="225" spans="1:11" hidden="1">
      <c r="A225" s="166" t="s">
        <v>1846</v>
      </c>
      <c r="B225" s="166" t="s">
        <v>1847</v>
      </c>
      <c r="C225" s="166" t="s">
        <v>139</v>
      </c>
      <c r="D225" s="166" t="s">
        <v>550</v>
      </c>
      <c r="E225" s="166" t="s">
        <v>1527</v>
      </c>
      <c r="F225" s="166" t="s">
        <v>1551</v>
      </c>
      <c r="G225" s="166" t="s">
        <v>1134</v>
      </c>
      <c r="H225" s="166">
        <v>1140751</v>
      </c>
      <c r="I225" s="166">
        <v>1140751</v>
      </c>
      <c r="J225" s="166">
        <v>100</v>
      </c>
      <c r="K225" s="166" t="str">
        <f t="shared" si="3"/>
        <v>ENTITYIMMDT_PRNT_UNDRTKNG_ID</v>
      </c>
    </row>
    <row r="226" spans="1:11" hidden="1">
      <c r="A226" s="166" t="s">
        <v>1848</v>
      </c>
      <c r="B226" s="166" t="s">
        <v>1849</v>
      </c>
      <c r="C226" s="166" t="s">
        <v>139</v>
      </c>
      <c r="D226" s="166" t="s">
        <v>551</v>
      </c>
      <c r="E226" s="166" t="s">
        <v>1527</v>
      </c>
      <c r="F226" s="166" t="s">
        <v>1551</v>
      </c>
      <c r="G226" s="166" t="s">
        <v>1134</v>
      </c>
      <c r="H226" s="166">
        <v>1140751</v>
      </c>
      <c r="I226" s="166">
        <v>1140751</v>
      </c>
      <c r="J226" s="166">
        <v>100</v>
      </c>
      <c r="K226" s="166" t="str">
        <f t="shared" si="3"/>
        <v>ENTITYULTMT_PRNT_UNDRTKNG_ID</v>
      </c>
    </row>
    <row r="227" spans="1:11" hidden="1">
      <c r="A227" s="166" t="s">
        <v>1850</v>
      </c>
      <c r="B227" s="166" t="s">
        <v>1851</v>
      </c>
      <c r="C227" s="166" t="s">
        <v>139</v>
      </c>
      <c r="D227" s="166" t="s">
        <v>552</v>
      </c>
      <c r="E227" s="166" t="s">
        <v>1534</v>
      </c>
      <c r="F227" s="166" t="s">
        <v>1551</v>
      </c>
      <c r="G227" s="166" t="s">
        <v>1134</v>
      </c>
      <c r="H227" s="166">
        <v>1140751</v>
      </c>
      <c r="I227" s="166">
        <v>1140751</v>
      </c>
      <c r="J227" s="166">
        <v>100</v>
      </c>
      <c r="K227" s="166" t="str">
        <f t="shared" si="3"/>
        <v>ENTITYTTL_ASSTS</v>
      </c>
    </row>
    <row r="228" spans="1:11" hidden="1">
      <c r="A228" s="166" t="s">
        <v>1852</v>
      </c>
      <c r="B228" s="166" t="s">
        <v>1853</v>
      </c>
      <c r="C228" s="166" t="s">
        <v>139</v>
      </c>
      <c r="D228" s="166" t="s">
        <v>1326</v>
      </c>
      <c r="E228" s="166" t="s">
        <v>1531</v>
      </c>
      <c r="F228" s="166" t="s">
        <v>1551</v>
      </c>
      <c r="G228" s="166" t="s">
        <v>129</v>
      </c>
      <c r="H228" s="166">
        <v>1140751</v>
      </c>
      <c r="I228" s="166">
        <v>0</v>
      </c>
      <c r="J228" s="166">
        <v>0</v>
      </c>
      <c r="K228" s="166" t="str">
        <f t="shared" si="3"/>
        <v>ENTITYFLLN_ANGL_NRRW_DFNTN</v>
      </c>
    </row>
    <row r="229" spans="1:11" hidden="1">
      <c r="A229" s="166" t="s">
        <v>1854</v>
      </c>
      <c r="B229" s="166" t="s">
        <v>1855</v>
      </c>
      <c r="C229" s="166" t="s">
        <v>139</v>
      </c>
      <c r="D229" s="166" t="s">
        <v>1327</v>
      </c>
      <c r="E229" s="166" t="s">
        <v>1531</v>
      </c>
      <c r="F229" s="166" t="s">
        <v>1551</v>
      </c>
      <c r="G229" s="166" t="s">
        <v>129</v>
      </c>
      <c r="H229" s="166">
        <v>1140751</v>
      </c>
      <c r="I229" s="166">
        <v>0</v>
      </c>
      <c r="J229" s="166">
        <v>0</v>
      </c>
      <c r="K229" s="166" t="str">
        <f t="shared" si="3"/>
        <v>ENTITYFLLN_ANGL_EXTNDD_DFNTN</v>
      </c>
    </row>
    <row r="230" spans="1:11" hidden="1">
      <c r="A230" s="166" t="s">
        <v>1856</v>
      </c>
      <c r="B230" s="166" t="s">
        <v>1857</v>
      </c>
      <c r="C230" s="166" t="s">
        <v>139</v>
      </c>
      <c r="D230" s="166" t="s">
        <v>553</v>
      </c>
      <c r="E230" s="166" t="s">
        <v>1527</v>
      </c>
      <c r="F230" s="166" t="s">
        <v>1551</v>
      </c>
      <c r="G230" s="166" t="s">
        <v>1134</v>
      </c>
      <c r="H230" s="166">
        <v>1140751</v>
      </c>
      <c r="I230" s="166">
        <v>1140751</v>
      </c>
      <c r="J230" s="166">
        <v>100</v>
      </c>
      <c r="K230" s="166" t="str">
        <f t="shared" si="3"/>
        <v>ENTITYENTTY_ID_BDR</v>
      </c>
    </row>
    <row r="231" spans="1:11" hidden="1">
      <c r="A231" s="166" t="s">
        <v>1858</v>
      </c>
      <c r="B231" s="166" t="s">
        <v>1859</v>
      </c>
      <c r="C231" s="166" t="s">
        <v>139</v>
      </c>
      <c r="D231" s="166" t="s">
        <v>1860</v>
      </c>
      <c r="E231" s="166" t="s">
        <v>1534</v>
      </c>
      <c r="F231" s="166" t="s">
        <v>1551</v>
      </c>
      <c r="G231" s="166" t="s">
        <v>1134</v>
      </c>
      <c r="H231" s="166">
        <v>1140751</v>
      </c>
      <c r="I231" s="166">
        <v>1140751</v>
      </c>
      <c r="J231" s="166">
        <v>100</v>
      </c>
      <c r="K231" s="166" t="str">
        <f t="shared" si="3"/>
        <v>ENTITYTXNMY_ELGBL_CAPEX_W</v>
      </c>
    </row>
    <row r="232" spans="1:11" hidden="1">
      <c r="A232" s="166" t="s">
        <v>1861</v>
      </c>
      <c r="B232" s="166" t="s">
        <v>1862</v>
      </c>
      <c r="C232" s="166" t="s">
        <v>139</v>
      </c>
      <c r="D232" s="166" t="s">
        <v>1863</v>
      </c>
      <c r="E232" s="166" t="s">
        <v>1534</v>
      </c>
      <c r="F232" s="166" t="s">
        <v>1551</v>
      </c>
      <c r="G232" s="166" t="s">
        <v>1134</v>
      </c>
      <c r="H232" s="166">
        <v>1140751</v>
      </c>
      <c r="I232" s="166">
        <v>1140751</v>
      </c>
      <c r="J232" s="166">
        <v>100</v>
      </c>
      <c r="K232" s="166" t="str">
        <f t="shared" si="3"/>
        <v>ENTITYTXNMY_ELGBL_TRNVR_W</v>
      </c>
    </row>
    <row r="233" spans="1:11" hidden="1">
      <c r="A233" s="166" t="s">
        <v>1864</v>
      </c>
      <c r="B233" s="166" t="s">
        <v>1865</v>
      </c>
      <c r="C233" s="166" t="s">
        <v>139</v>
      </c>
      <c r="D233" s="166" t="s">
        <v>1866</v>
      </c>
      <c r="E233" s="166" t="s">
        <v>1534</v>
      </c>
      <c r="F233" s="166" t="s">
        <v>1551</v>
      </c>
      <c r="G233" s="166" t="s">
        <v>1134</v>
      </c>
      <c r="H233" s="166">
        <v>1140751</v>
      </c>
      <c r="I233" s="166">
        <v>1140751</v>
      </c>
      <c r="J233" s="166">
        <v>100</v>
      </c>
      <c r="K233" s="166" t="str">
        <f t="shared" si="3"/>
        <v>ENTITYTXNMY_ELGBL_CAPEX_P</v>
      </c>
    </row>
    <row r="234" spans="1:11" hidden="1">
      <c r="A234" s="166" t="s">
        <v>1867</v>
      </c>
      <c r="B234" s="166" t="s">
        <v>1868</v>
      </c>
      <c r="C234" s="166" t="s">
        <v>139</v>
      </c>
      <c r="D234" s="166" t="s">
        <v>1869</v>
      </c>
      <c r="E234" s="166" t="s">
        <v>1534</v>
      </c>
      <c r="F234" s="166" t="s">
        <v>1551</v>
      </c>
      <c r="G234" s="166" t="s">
        <v>1134</v>
      </c>
      <c r="H234" s="166">
        <v>1140751</v>
      </c>
      <c r="I234" s="166">
        <v>1140751</v>
      </c>
      <c r="J234" s="166">
        <v>100</v>
      </c>
      <c r="K234" s="166" t="str">
        <f t="shared" si="3"/>
        <v>ENTITYTXNMY_ELGBL_TRNVR_P</v>
      </c>
    </row>
    <row r="235" spans="1:11" hidden="1">
      <c r="A235" s="166" t="s">
        <v>1870</v>
      </c>
      <c r="B235" s="166" t="s">
        <v>1871</v>
      </c>
      <c r="C235" s="166" t="s">
        <v>139</v>
      </c>
      <c r="D235" s="166" t="s">
        <v>1872</v>
      </c>
      <c r="E235" s="166" t="s">
        <v>1534</v>
      </c>
      <c r="F235" s="166" t="s">
        <v>1551</v>
      </c>
      <c r="G235" s="166" t="s">
        <v>1134</v>
      </c>
      <c r="H235" s="166">
        <v>1140751</v>
      </c>
      <c r="I235" s="166">
        <v>1140751</v>
      </c>
      <c r="J235" s="166">
        <v>100</v>
      </c>
      <c r="K235" s="166" t="str">
        <f t="shared" si="3"/>
        <v>ENTITYTXNMY_ELGBL_CAPEX_B</v>
      </c>
    </row>
    <row r="236" spans="1:11" hidden="1">
      <c r="A236" s="166" t="s">
        <v>1873</v>
      </c>
      <c r="B236" s="166" t="s">
        <v>1874</v>
      </c>
      <c r="C236" s="166" t="s">
        <v>139</v>
      </c>
      <c r="D236" s="166" t="s">
        <v>1875</v>
      </c>
      <c r="E236" s="166" t="s">
        <v>1534</v>
      </c>
      <c r="F236" s="166" t="s">
        <v>1551</v>
      </c>
      <c r="G236" s="166" t="s">
        <v>1134</v>
      </c>
      <c r="H236" s="166">
        <v>1140751</v>
      </c>
      <c r="I236" s="166">
        <v>1140751</v>
      </c>
      <c r="J236" s="166">
        <v>100</v>
      </c>
      <c r="K236" s="166" t="str">
        <f t="shared" si="3"/>
        <v>ENTITYTXNMY_ELGBL_TRNVR_B</v>
      </c>
    </row>
    <row r="237" spans="1:11" hidden="1">
      <c r="A237" s="166" t="s">
        <v>1876</v>
      </c>
      <c r="B237" s="166" t="s">
        <v>1877</v>
      </c>
      <c r="C237" s="166" t="s">
        <v>139</v>
      </c>
      <c r="D237" s="166" t="s">
        <v>1878</v>
      </c>
      <c r="E237" s="166" t="s">
        <v>1534</v>
      </c>
      <c r="F237" s="166" t="s">
        <v>1551</v>
      </c>
      <c r="G237" s="166" t="s">
        <v>1134</v>
      </c>
      <c r="H237" s="166">
        <v>1140751</v>
      </c>
      <c r="I237" s="166">
        <v>1140751</v>
      </c>
      <c r="J237" s="166">
        <v>100</v>
      </c>
      <c r="K237" s="166" t="str">
        <f t="shared" si="3"/>
        <v>ENTITYTXNMY_ELGBL_CAPEX_CE</v>
      </c>
    </row>
    <row r="238" spans="1:11" hidden="1">
      <c r="A238" s="166" t="s">
        <v>1879</v>
      </c>
      <c r="B238" s="166" t="s">
        <v>1880</v>
      </c>
      <c r="C238" s="166" t="s">
        <v>139</v>
      </c>
      <c r="D238" s="166" t="s">
        <v>1881</v>
      </c>
      <c r="E238" s="166" t="s">
        <v>1534</v>
      </c>
      <c r="F238" s="166" t="s">
        <v>1551</v>
      </c>
      <c r="G238" s="166" t="s">
        <v>1134</v>
      </c>
      <c r="H238" s="166">
        <v>1140751</v>
      </c>
      <c r="I238" s="166">
        <v>1140751</v>
      </c>
      <c r="J238" s="166">
        <v>100</v>
      </c>
      <c r="K238" s="166" t="str">
        <f t="shared" si="3"/>
        <v>ENTITYTXNMY_ELGBL_TRNVR_CE</v>
      </c>
    </row>
    <row r="239" spans="1:11" hidden="1">
      <c r="A239" s="166" t="s">
        <v>1882</v>
      </c>
      <c r="B239" s="166" t="s">
        <v>1883</v>
      </c>
      <c r="C239" s="166" t="s">
        <v>139</v>
      </c>
      <c r="D239" s="166" t="s">
        <v>1884</v>
      </c>
      <c r="E239" s="166" t="s">
        <v>1534</v>
      </c>
      <c r="F239" s="166" t="s">
        <v>1551</v>
      </c>
      <c r="G239" s="166" t="s">
        <v>1134</v>
      </c>
      <c r="H239" s="166">
        <v>1140751</v>
      </c>
      <c r="I239" s="166">
        <v>1140751</v>
      </c>
      <c r="J239" s="166">
        <v>100</v>
      </c>
      <c r="K239" s="166" t="str">
        <f t="shared" si="3"/>
        <v>ENTITYPURE_CAPEX_P</v>
      </c>
    </row>
    <row r="240" spans="1:11" hidden="1">
      <c r="A240" s="166" t="s">
        <v>1885</v>
      </c>
      <c r="B240" s="166" t="s">
        <v>1886</v>
      </c>
      <c r="C240" s="166" t="s">
        <v>139</v>
      </c>
      <c r="D240" s="166" t="s">
        <v>1887</v>
      </c>
      <c r="E240" s="166" t="s">
        <v>1534</v>
      </c>
      <c r="F240" s="166" t="s">
        <v>1551</v>
      </c>
      <c r="G240" s="166" t="s">
        <v>1134</v>
      </c>
      <c r="H240" s="166">
        <v>1140751</v>
      </c>
      <c r="I240" s="166">
        <v>1140751</v>
      </c>
      <c r="J240" s="166">
        <v>100</v>
      </c>
      <c r="K240" s="166" t="str">
        <f t="shared" si="3"/>
        <v>ENTITYPURE_TRNVR_P</v>
      </c>
    </row>
    <row r="241" spans="1:11" hidden="1">
      <c r="A241" s="166" t="s">
        <v>1888</v>
      </c>
      <c r="B241" s="166" t="s">
        <v>1889</v>
      </c>
      <c r="C241" s="166" t="s">
        <v>139</v>
      </c>
      <c r="D241" s="166" t="s">
        <v>1890</v>
      </c>
      <c r="E241" s="166" t="s">
        <v>1534</v>
      </c>
      <c r="F241" s="166" t="s">
        <v>1551</v>
      </c>
      <c r="G241" s="166" t="s">
        <v>1134</v>
      </c>
      <c r="H241" s="166">
        <v>1140751</v>
      </c>
      <c r="I241" s="166">
        <v>1140751</v>
      </c>
      <c r="J241" s="166">
        <v>100</v>
      </c>
      <c r="K241" s="166" t="str">
        <f t="shared" si="3"/>
        <v>ENTITYPURE_CAPEX_B</v>
      </c>
    </row>
    <row r="242" spans="1:11" hidden="1">
      <c r="A242" s="166" t="s">
        <v>1891</v>
      </c>
      <c r="B242" s="166" t="s">
        <v>1892</v>
      </c>
      <c r="C242" s="166" t="s">
        <v>139</v>
      </c>
      <c r="D242" s="166" t="s">
        <v>1893</v>
      </c>
      <c r="E242" s="166" t="s">
        <v>1534</v>
      </c>
      <c r="F242" s="166" t="s">
        <v>1551</v>
      </c>
      <c r="G242" s="166" t="s">
        <v>1134</v>
      </c>
      <c r="H242" s="166">
        <v>1140751</v>
      </c>
      <c r="I242" s="166">
        <v>1140751</v>
      </c>
      <c r="J242" s="166">
        <v>100</v>
      </c>
      <c r="K242" s="166" t="str">
        <f t="shared" si="3"/>
        <v>ENTITYPURE_TRNVR_B</v>
      </c>
    </row>
    <row r="243" spans="1:11" hidden="1">
      <c r="A243" s="166" t="s">
        <v>1894</v>
      </c>
      <c r="B243" s="166" t="s">
        <v>1895</v>
      </c>
      <c r="C243" s="166" t="s">
        <v>139</v>
      </c>
      <c r="D243" s="166" t="s">
        <v>1896</v>
      </c>
      <c r="E243" s="166" t="s">
        <v>1534</v>
      </c>
      <c r="F243" s="166" t="s">
        <v>1551</v>
      </c>
      <c r="G243" s="166" t="s">
        <v>1134</v>
      </c>
      <c r="H243" s="166">
        <v>1140751</v>
      </c>
      <c r="I243" s="166">
        <v>1140751</v>
      </c>
      <c r="J243" s="166">
        <v>100</v>
      </c>
      <c r="K243" s="166" t="str">
        <f t="shared" si="3"/>
        <v>ENTITYPURE_CAPEX_W</v>
      </c>
    </row>
    <row r="244" spans="1:11" hidden="1">
      <c r="A244" s="166" t="s">
        <v>1897</v>
      </c>
      <c r="B244" s="166" t="s">
        <v>1898</v>
      </c>
      <c r="C244" s="166" t="s">
        <v>139</v>
      </c>
      <c r="D244" s="166" t="s">
        <v>1899</v>
      </c>
      <c r="E244" s="166" t="s">
        <v>1534</v>
      </c>
      <c r="F244" s="166" t="s">
        <v>1551</v>
      </c>
      <c r="G244" s="166" t="s">
        <v>1134</v>
      </c>
      <c r="H244" s="166">
        <v>1140751</v>
      </c>
      <c r="I244" s="166">
        <v>1140751</v>
      </c>
      <c r="J244" s="166">
        <v>100</v>
      </c>
      <c r="K244" s="166" t="str">
        <f t="shared" si="3"/>
        <v>ENTITYPURE_TRNVR_W</v>
      </c>
    </row>
    <row r="245" spans="1:11" hidden="1">
      <c r="A245" s="166" t="s">
        <v>1900</v>
      </c>
      <c r="B245" s="166" t="s">
        <v>1901</v>
      </c>
      <c r="C245" s="166" t="s">
        <v>139</v>
      </c>
      <c r="D245" s="166" t="s">
        <v>1902</v>
      </c>
      <c r="E245" s="166" t="s">
        <v>1534</v>
      </c>
      <c r="F245" s="166" t="s">
        <v>1551</v>
      </c>
      <c r="G245" s="166" t="s">
        <v>1134</v>
      </c>
      <c r="H245" s="166">
        <v>1140751</v>
      </c>
      <c r="I245" s="166">
        <v>1140751</v>
      </c>
      <c r="J245" s="166">
        <v>100</v>
      </c>
      <c r="K245" s="166" t="str">
        <f t="shared" si="3"/>
        <v>ENTITYPURE_CAPEX_CE</v>
      </c>
    </row>
    <row r="246" spans="1:11" hidden="1">
      <c r="A246" s="166" t="s">
        <v>1903</v>
      </c>
      <c r="B246" s="166" t="s">
        <v>1904</v>
      </c>
      <c r="C246" s="166" t="s">
        <v>139</v>
      </c>
      <c r="D246" s="166" t="s">
        <v>1905</v>
      </c>
      <c r="E246" s="166" t="s">
        <v>1534</v>
      </c>
      <c r="F246" s="166" t="s">
        <v>1551</v>
      </c>
      <c r="G246" s="166" t="s">
        <v>1134</v>
      </c>
      <c r="H246" s="166">
        <v>1140751</v>
      </c>
      <c r="I246" s="166">
        <v>1140751</v>
      </c>
      <c r="J246" s="166">
        <v>100</v>
      </c>
      <c r="K246" s="166" t="str">
        <f t="shared" si="3"/>
        <v>ENTITYPURE_TRNVR_CE</v>
      </c>
    </row>
    <row r="247" spans="1:11" hidden="1">
      <c r="A247" s="166" t="s">
        <v>1906</v>
      </c>
      <c r="B247" s="166" t="s">
        <v>1907</v>
      </c>
      <c r="C247" s="166" t="s">
        <v>139</v>
      </c>
      <c r="D247" s="166" t="s">
        <v>1908</v>
      </c>
      <c r="E247" s="166" t="s">
        <v>1534</v>
      </c>
      <c r="F247" s="166" t="s">
        <v>1551</v>
      </c>
      <c r="G247" s="166" t="s">
        <v>1134</v>
      </c>
      <c r="H247" s="166">
        <v>1140751</v>
      </c>
      <c r="I247" s="166">
        <v>1140751</v>
      </c>
      <c r="J247" s="166">
        <v>100</v>
      </c>
      <c r="K247" s="166" t="str">
        <f t="shared" si="3"/>
        <v>ENTITYENBLNG_CAPEX_W</v>
      </c>
    </row>
    <row r="248" spans="1:11" hidden="1">
      <c r="A248" s="166" t="s">
        <v>1909</v>
      </c>
      <c r="B248" s="166" t="s">
        <v>1910</v>
      </c>
      <c r="C248" s="166" t="s">
        <v>139</v>
      </c>
      <c r="D248" s="166" t="s">
        <v>1911</v>
      </c>
      <c r="E248" s="166" t="s">
        <v>1534</v>
      </c>
      <c r="F248" s="166" t="s">
        <v>1551</v>
      </c>
      <c r="G248" s="166" t="s">
        <v>1134</v>
      </c>
      <c r="H248" s="166">
        <v>1140751</v>
      </c>
      <c r="I248" s="166">
        <v>1140751</v>
      </c>
      <c r="J248" s="166">
        <v>100</v>
      </c>
      <c r="K248" s="166" t="str">
        <f t="shared" si="3"/>
        <v>ENTITYENBLNG_TRNVR_W</v>
      </c>
    </row>
    <row r="249" spans="1:11" hidden="1">
      <c r="A249" s="166" t="s">
        <v>1912</v>
      </c>
      <c r="B249" s="166" t="s">
        <v>1913</v>
      </c>
      <c r="C249" s="166" t="s">
        <v>139</v>
      </c>
      <c r="D249" s="166" t="s">
        <v>1914</v>
      </c>
      <c r="E249" s="166" t="s">
        <v>1534</v>
      </c>
      <c r="F249" s="166" t="s">
        <v>1551</v>
      </c>
      <c r="G249" s="166" t="s">
        <v>1134</v>
      </c>
      <c r="H249" s="166">
        <v>1140751</v>
      </c>
      <c r="I249" s="166">
        <v>1140751</v>
      </c>
      <c r="J249" s="166">
        <v>100</v>
      </c>
      <c r="K249" s="166" t="str">
        <f t="shared" si="3"/>
        <v>ENTITYENBLNG_CAPEX_CE</v>
      </c>
    </row>
    <row r="250" spans="1:11" hidden="1">
      <c r="A250" s="166" t="s">
        <v>1915</v>
      </c>
      <c r="B250" s="166" t="s">
        <v>1916</v>
      </c>
      <c r="C250" s="166" t="s">
        <v>139</v>
      </c>
      <c r="D250" s="166" t="s">
        <v>1917</v>
      </c>
      <c r="E250" s="166" t="s">
        <v>1534</v>
      </c>
      <c r="F250" s="166" t="s">
        <v>1551</v>
      </c>
      <c r="G250" s="166" t="s">
        <v>1134</v>
      </c>
      <c r="H250" s="166">
        <v>1140751</v>
      </c>
      <c r="I250" s="166">
        <v>1140751</v>
      </c>
      <c r="J250" s="166">
        <v>100</v>
      </c>
      <c r="K250" s="166" t="str">
        <f t="shared" si="3"/>
        <v>ENTITYENBLNG_TRNVR_CE</v>
      </c>
    </row>
    <row r="251" spans="1:11" hidden="1">
      <c r="A251" s="166" t="s">
        <v>1918</v>
      </c>
      <c r="B251" s="166" t="s">
        <v>1919</v>
      </c>
      <c r="C251" s="166" t="s">
        <v>139</v>
      </c>
      <c r="D251" s="166" t="s">
        <v>1322</v>
      </c>
      <c r="E251" s="166" t="s">
        <v>1534</v>
      </c>
      <c r="F251" s="166" t="s">
        <v>1551</v>
      </c>
      <c r="G251" s="166" t="s">
        <v>129</v>
      </c>
      <c r="H251" s="166">
        <v>1140751</v>
      </c>
      <c r="I251" s="166">
        <v>0</v>
      </c>
      <c r="J251" s="166">
        <v>0</v>
      </c>
      <c r="K251" s="166" t="str">
        <f t="shared" si="3"/>
        <v>ENTITYRORAC</v>
      </c>
    </row>
    <row r="252" spans="1:11" hidden="1">
      <c r="A252" s="166" t="s">
        <v>1920</v>
      </c>
      <c r="B252" s="166" t="s">
        <v>1921</v>
      </c>
      <c r="C252" s="166" t="s">
        <v>139</v>
      </c>
      <c r="D252" s="166" t="s">
        <v>1325</v>
      </c>
      <c r="E252" s="166" t="s">
        <v>1534</v>
      </c>
      <c r="F252" s="166" t="s">
        <v>1551</v>
      </c>
      <c r="G252" s="166" t="s">
        <v>129</v>
      </c>
      <c r="H252" s="166">
        <v>1140751</v>
      </c>
      <c r="I252" s="166">
        <v>0</v>
      </c>
      <c r="J252" s="166">
        <v>0</v>
      </c>
      <c r="K252" s="166" t="str">
        <f t="shared" si="3"/>
        <v>ENTITYGRP_RORAC</v>
      </c>
    </row>
    <row r="253" spans="1:11" hidden="1">
      <c r="A253" s="166" t="s">
        <v>1922</v>
      </c>
      <c r="B253" s="166" t="s">
        <v>1923</v>
      </c>
      <c r="C253" s="166" t="s">
        <v>139</v>
      </c>
      <c r="D253" s="166" t="s">
        <v>1321</v>
      </c>
      <c r="E253" s="166" t="s">
        <v>1534</v>
      </c>
      <c r="F253" s="166" t="s">
        <v>1551</v>
      </c>
      <c r="G253" s="166" t="s">
        <v>129</v>
      </c>
      <c r="H253" s="166">
        <v>1140751</v>
      </c>
      <c r="I253" s="166">
        <v>0</v>
      </c>
      <c r="J253" s="166">
        <v>0</v>
      </c>
      <c r="K253" s="166" t="str">
        <f t="shared" si="3"/>
        <v>ENTITYRORWA</v>
      </c>
    </row>
    <row r="254" spans="1:11" hidden="1">
      <c r="A254" s="166" t="s">
        <v>1924</v>
      </c>
      <c r="B254" s="166" t="s">
        <v>1925</v>
      </c>
      <c r="C254" s="166" t="s">
        <v>139</v>
      </c>
      <c r="D254" s="166" t="s">
        <v>1324</v>
      </c>
      <c r="E254" s="166" t="s">
        <v>1534</v>
      </c>
      <c r="F254" s="166" t="s">
        <v>1551</v>
      </c>
      <c r="G254" s="166" t="s">
        <v>129</v>
      </c>
      <c r="H254" s="166">
        <v>1140751</v>
      </c>
      <c r="I254" s="166">
        <v>0</v>
      </c>
      <c r="J254" s="166">
        <v>0</v>
      </c>
      <c r="K254" s="166" t="str">
        <f t="shared" si="3"/>
        <v>ENTITYGRP_RORWA</v>
      </c>
    </row>
    <row r="255" spans="1:11" hidden="1">
      <c r="A255" s="166" t="s">
        <v>1926</v>
      </c>
      <c r="B255" s="166" t="s">
        <v>1927</v>
      </c>
      <c r="C255" s="166" t="s">
        <v>139</v>
      </c>
      <c r="D255" s="166" t="s">
        <v>1318</v>
      </c>
      <c r="E255" s="166" t="s">
        <v>1531</v>
      </c>
      <c r="F255" s="166" t="s">
        <v>1551</v>
      </c>
      <c r="G255" s="166" t="s">
        <v>129</v>
      </c>
      <c r="H255" s="166">
        <v>1140751</v>
      </c>
      <c r="I255" s="166">
        <v>0</v>
      </c>
      <c r="J255" s="166">
        <v>0</v>
      </c>
      <c r="K255" s="166" t="str">
        <f t="shared" si="3"/>
        <v>ENTITYSCAN</v>
      </c>
    </row>
    <row r="256" spans="1:11" hidden="1">
      <c r="A256" s="166" t="s">
        <v>1928</v>
      </c>
      <c r="B256" s="166" t="s">
        <v>1929</v>
      </c>
      <c r="C256" s="166" t="s">
        <v>139</v>
      </c>
      <c r="D256" s="166" t="s">
        <v>1315</v>
      </c>
      <c r="E256" s="166" t="s">
        <v>1534</v>
      </c>
      <c r="F256" s="166" t="s">
        <v>1551</v>
      </c>
      <c r="G256" s="166" t="s">
        <v>129</v>
      </c>
      <c r="H256" s="166">
        <v>1140751</v>
      </c>
      <c r="I256" s="166">
        <v>0</v>
      </c>
      <c r="J256" s="166">
        <v>0</v>
      </c>
      <c r="K256" s="166" t="str">
        <f t="shared" si="3"/>
        <v>ENTITYTTL_PRMSSBL_DBT_BLNC</v>
      </c>
    </row>
    <row r="257" spans="1:11" hidden="1">
      <c r="A257" s="166" t="s">
        <v>1930</v>
      </c>
      <c r="B257" s="166" t="s">
        <v>1550</v>
      </c>
      <c r="C257" s="166" t="s">
        <v>187</v>
      </c>
      <c r="D257" s="166" t="s">
        <v>186</v>
      </c>
      <c r="E257" s="166" t="s">
        <v>1531</v>
      </c>
      <c r="F257" s="166" t="s">
        <v>1931</v>
      </c>
      <c r="G257" s="166" t="s">
        <v>129</v>
      </c>
      <c r="H257" s="166">
        <v>2655392</v>
      </c>
      <c r="I257" s="166">
        <v>0</v>
      </c>
      <c r="J257" s="166">
        <v>0</v>
      </c>
      <c r="K257" s="166" t="str">
        <f t="shared" si="3"/>
        <v>INSTR_ENTITYCOD_SOC</v>
      </c>
    </row>
    <row r="258" spans="1:11" hidden="1">
      <c r="A258" s="166" t="s">
        <v>1932</v>
      </c>
      <c r="B258" s="166" t="s">
        <v>1523</v>
      </c>
      <c r="C258" s="166" t="s">
        <v>187</v>
      </c>
      <c r="D258" s="166" t="s">
        <v>283</v>
      </c>
      <c r="E258" s="166" t="s">
        <v>1524</v>
      </c>
      <c r="F258" s="166" t="s">
        <v>1931</v>
      </c>
      <c r="G258" s="166" t="s">
        <v>129</v>
      </c>
      <c r="H258" s="166">
        <v>2655392</v>
      </c>
      <c r="I258" s="166">
        <v>0</v>
      </c>
      <c r="J258" s="166">
        <v>0</v>
      </c>
      <c r="K258" s="166" t="str">
        <f t="shared" si="3"/>
        <v>INSTR_ENTITYDT_RFRNC</v>
      </c>
    </row>
    <row r="259" spans="1:11" hidden="1">
      <c r="A259" s="166" t="s">
        <v>1933</v>
      </c>
      <c r="B259" s="166" t="s">
        <v>1569</v>
      </c>
      <c r="C259" s="166" t="s">
        <v>187</v>
      </c>
      <c r="D259" s="166" t="s">
        <v>306</v>
      </c>
      <c r="E259" s="166" t="s">
        <v>1527</v>
      </c>
      <c r="F259" s="166" t="s">
        <v>1931</v>
      </c>
      <c r="G259" s="166" t="s">
        <v>129</v>
      </c>
      <c r="H259" s="166">
        <v>2655392</v>
      </c>
      <c r="I259" s="166">
        <v>0</v>
      </c>
      <c r="J259" s="166">
        <v>0</v>
      </c>
      <c r="K259" s="166" t="str">
        <f t="shared" ref="K259:K322" si="4">_xlfn.CONCAT(_xlfn.IFS(ISNUMBER(SEARCH("EN",A259)),"ENTITY",ISNUMBER(SEARCH("IN",A259)),"INSTRUMENT",ISNUMBER(SEARCH("PR",A259)),"PROTECTION",ISNUMBER(SEARCH("IP",A259)),"INSTR_PROTECTION",ISNUMBER(SEARCH("IE",A259)),"INSTR_ENTITY",ISNUMBER(SEARCH("AC",A259)),"INSTR_ACTIVITY"),D259)</f>
        <v>INSTR_ENTITYENTTY_ID</v>
      </c>
    </row>
    <row r="260" spans="1:11" hidden="1">
      <c r="A260" s="166" t="s">
        <v>1934</v>
      </c>
      <c r="B260" s="166" t="s">
        <v>1526</v>
      </c>
      <c r="C260" s="166" t="s">
        <v>187</v>
      </c>
      <c r="D260" s="166" t="s">
        <v>367</v>
      </c>
      <c r="E260" s="166" t="s">
        <v>1527</v>
      </c>
      <c r="F260" s="166" t="s">
        <v>1931</v>
      </c>
      <c r="G260" s="166" t="s">
        <v>129</v>
      </c>
      <c r="H260" s="166">
        <v>2655392</v>
      </c>
      <c r="I260" s="166">
        <v>0</v>
      </c>
      <c r="J260" s="166">
        <v>0</v>
      </c>
      <c r="K260" s="166" t="str">
        <f t="shared" si="4"/>
        <v>INSTR_ENTITYINSTRMNT_ID</v>
      </c>
    </row>
    <row r="261" spans="1:11" hidden="1">
      <c r="A261" s="166" t="s">
        <v>1935</v>
      </c>
      <c r="B261" s="166" t="s">
        <v>1936</v>
      </c>
      <c r="C261" s="166" t="s">
        <v>187</v>
      </c>
      <c r="D261" s="166" t="s">
        <v>390</v>
      </c>
      <c r="E261" s="166" t="s">
        <v>1534</v>
      </c>
      <c r="F261" s="166" t="s">
        <v>1931</v>
      </c>
      <c r="G261" s="166" t="s">
        <v>129</v>
      </c>
      <c r="H261" s="166">
        <v>2655392</v>
      </c>
      <c r="I261" s="166">
        <v>0</v>
      </c>
      <c r="J261" s="166">
        <v>0</v>
      </c>
      <c r="K261" s="166" t="str">
        <f t="shared" si="4"/>
        <v>INSTR_ENTITYJNT_LBLTY_AMNT</v>
      </c>
    </row>
    <row r="262" spans="1:11" hidden="1">
      <c r="A262" s="166" t="s">
        <v>1937</v>
      </c>
      <c r="B262" s="166" t="s">
        <v>930</v>
      </c>
      <c r="C262" s="166" t="s">
        <v>187</v>
      </c>
      <c r="D262" s="166" t="s">
        <v>409</v>
      </c>
      <c r="E262" s="166" t="s">
        <v>1531</v>
      </c>
      <c r="F262" s="166" t="s">
        <v>1931</v>
      </c>
      <c r="G262" s="166" t="s">
        <v>129</v>
      </c>
      <c r="H262" s="166">
        <v>2655392</v>
      </c>
      <c r="I262" s="166">
        <v>0</v>
      </c>
      <c r="J262" s="166">
        <v>0</v>
      </c>
      <c r="K262" s="166" t="str">
        <f t="shared" si="4"/>
        <v>INSTR_ENTITYMN_ENTTY_ID</v>
      </c>
    </row>
    <row r="263" spans="1:11" hidden="1">
      <c r="A263" s="166" t="s">
        <v>1938</v>
      </c>
      <c r="B263" s="166" t="s">
        <v>1550</v>
      </c>
      <c r="C263" s="166" t="s">
        <v>127</v>
      </c>
      <c r="D263" s="166" t="s">
        <v>186</v>
      </c>
      <c r="E263" s="166" t="s">
        <v>1531</v>
      </c>
      <c r="F263" s="166" t="s">
        <v>1939</v>
      </c>
      <c r="G263" s="166" t="s">
        <v>129</v>
      </c>
      <c r="H263" s="166">
        <v>2266163</v>
      </c>
      <c r="I263" s="166">
        <v>0</v>
      </c>
      <c r="J263" s="166">
        <v>0</v>
      </c>
      <c r="K263" s="166" t="str">
        <f t="shared" si="4"/>
        <v>INSTRUMENTCOD_SOC</v>
      </c>
    </row>
    <row r="264" spans="1:11" hidden="1">
      <c r="A264" s="166" t="s">
        <v>1940</v>
      </c>
      <c r="B264" s="166" t="s">
        <v>1941</v>
      </c>
      <c r="C264" s="166" t="s">
        <v>127</v>
      </c>
      <c r="D264" s="166" t="s">
        <v>510</v>
      </c>
      <c r="E264" s="166" t="s">
        <v>1531</v>
      </c>
      <c r="F264" s="166" t="s">
        <v>1939</v>
      </c>
      <c r="G264" s="166" t="s">
        <v>1134</v>
      </c>
      <c r="H264" s="166">
        <v>2266163</v>
      </c>
      <c r="I264" s="166">
        <v>37809</v>
      </c>
      <c r="J264" s="166">
        <v>1.6684000000000001</v>
      </c>
      <c r="K264" s="166" t="str">
        <f t="shared" si="4"/>
        <v>INSTRUMENTSUBPORTFOLIO_ID</v>
      </c>
    </row>
    <row r="265" spans="1:11" hidden="1">
      <c r="A265" s="166" t="s">
        <v>1942</v>
      </c>
      <c r="B265" s="166" t="s">
        <v>1190</v>
      </c>
      <c r="C265" s="166" t="s">
        <v>127</v>
      </c>
      <c r="D265" s="166" t="s">
        <v>193</v>
      </c>
      <c r="E265" s="166" t="s">
        <v>1531</v>
      </c>
      <c r="F265" s="166" t="s">
        <v>1939</v>
      </c>
      <c r="G265" s="166" t="s">
        <v>129</v>
      </c>
      <c r="H265" s="166">
        <v>2266163</v>
      </c>
      <c r="I265" s="166">
        <v>0</v>
      </c>
      <c r="J265" s="166">
        <v>0</v>
      </c>
      <c r="K265" s="166" t="str">
        <f t="shared" si="4"/>
        <v>INSTRUMENTCRE_FNRP18</v>
      </c>
    </row>
    <row r="266" spans="1:11" hidden="1">
      <c r="A266" s="166" t="s">
        <v>1943</v>
      </c>
      <c r="B266" s="166" t="s">
        <v>1944</v>
      </c>
      <c r="C266" s="166" t="s">
        <v>127</v>
      </c>
      <c r="D266" s="166" t="s">
        <v>503</v>
      </c>
      <c r="E266" s="166" t="s">
        <v>1531</v>
      </c>
      <c r="F266" s="166" t="s">
        <v>1939</v>
      </c>
      <c r="G266" s="166" t="s">
        <v>129</v>
      </c>
      <c r="H266" s="166">
        <v>2266163</v>
      </c>
      <c r="I266" s="166">
        <v>0</v>
      </c>
      <c r="J266" s="166">
        <v>0</v>
      </c>
      <c r="K266" s="166" t="str">
        <f t="shared" si="4"/>
        <v>INSTRUMENTSME_FNRP18</v>
      </c>
    </row>
    <row r="267" spans="1:11" hidden="1">
      <c r="A267" s="166" t="s">
        <v>1945</v>
      </c>
      <c r="B267" s="166" t="s">
        <v>1213</v>
      </c>
      <c r="C267" s="166" t="s">
        <v>127</v>
      </c>
      <c r="D267" s="166" t="s">
        <v>491</v>
      </c>
      <c r="E267" s="166" t="s">
        <v>1531</v>
      </c>
      <c r="F267" s="166" t="s">
        <v>1939</v>
      </c>
      <c r="G267" s="166" t="s">
        <v>129</v>
      </c>
      <c r="H267" s="166">
        <v>2266163</v>
      </c>
      <c r="I267" s="166">
        <v>0</v>
      </c>
      <c r="J267" s="166">
        <v>0</v>
      </c>
      <c r="K267" s="166" t="str">
        <f t="shared" si="4"/>
        <v>INSTRUMENTRRE_FNRP18</v>
      </c>
    </row>
    <row r="268" spans="1:11" hidden="1">
      <c r="A268" s="166" t="s">
        <v>1946</v>
      </c>
      <c r="B268" s="166" t="s">
        <v>1947</v>
      </c>
      <c r="C268" s="166" t="s">
        <v>127</v>
      </c>
      <c r="D268" s="166" t="s">
        <v>178</v>
      </c>
      <c r="E268" s="166" t="s">
        <v>1531</v>
      </c>
      <c r="F268" s="166" t="s">
        <v>1939</v>
      </c>
      <c r="G268" s="166" t="s">
        <v>129</v>
      </c>
      <c r="H268" s="166">
        <v>2266163</v>
      </c>
      <c r="I268" s="166">
        <v>0</v>
      </c>
      <c r="J268" s="166">
        <v>0</v>
      </c>
      <c r="K268" s="166" t="str">
        <f t="shared" si="4"/>
        <v>INSTRUMENTCNSMPTN_FNRP18</v>
      </c>
    </row>
    <row r="269" spans="1:11" hidden="1">
      <c r="A269" s="166" t="s">
        <v>1948</v>
      </c>
      <c r="B269" s="166" t="s">
        <v>1523</v>
      </c>
      <c r="C269" s="166" t="s">
        <v>127</v>
      </c>
      <c r="D269" s="166" t="s">
        <v>283</v>
      </c>
      <c r="E269" s="166" t="s">
        <v>1524</v>
      </c>
      <c r="F269" s="166" t="s">
        <v>1939</v>
      </c>
      <c r="G269" s="166" t="s">
        <v>129</v>
      </c>
      <c r="H269" s="166">
        <v>2266163</v>
      </c>
      <c r="I269" s="166">
        <v>0</v>
      </c>
      <c r="J269" s="166">
        <v>0</v>
      </c>
      <c r="K269" s="166" t="str">
        <f t="shared" si="4"/>
        <v>INSTRUMENTDT_RFRNC</v>
      </c>
    </row>
    <row r="270" spans="1:11" hidden="1">
      <c r="A270" s="166" t="s">
        <v>1949</v>
      </c>
      <c r="B270" s="166" t="s">
        <v>1526</v>
      </c>
      <c r="C270" s="166" t="s">
        <v>127</v>
      </c>
      <c r="D270" s="166" t="s">
        <v>367</v>
      </c>
      <c r="E270" s="166" t="s">
        <v>1527</v>
      </c>
      <c r="F270" s="166" t="s">
        <v>1939</v>
      </c>
      <c r="G270" s="166" t="s">
        <v>129</v>
      </c>
      <c r="H270" s="166">
        <v>2266163</v>
      </c>
      <c r="I270" s="166">
        <v>0</v>
      </c>
      <c r="J270" s="166">
        <v>0</v>
      </c>
      <c r="K270" s="166" t="str">
        <f t="shared" si="4"/>
        <v>INSTRUMENTINSTRMNT_ID</v>
      </c>
    </row>
    <row r="271" spans="1:11" hidden="1">
      <c r="A271" s="166" t="s">
        <v>1950</v>
      </c>
      <c r="B271" s="166" t="s">
        <v>1951</v>
      </c>
      <c r="C271" s="166" t="s">
        <v>127</v>
      </c>
      <c r="D271" s="166" t="s">
        <v>183</v>
      </c>
      <c r="E271" s="166" t="s">
        <v>1527</v>
      </c>
      <c r="F271" s="166" t="s">
        <v>1939</v>
      </c>
      <c r="G271" s="166" t="s">
        <v>129</v>
      </c>
      <c r="H271" s="166">
        <v>2266163</v>
      </c>
      <c r="I271" s="166">
        <v>0</v>
      </c>
      <c r="J271" s="166">
        <v>0</v>
      </c>
      <c r="K271" s="166" t="str">
        <f t="shared" si="4"/>
        <v>INSTRUMENTCNTRCT_ID</v>
      </c>
    </row>
    <row r="272" spans="1:11" hidden="1">
      <c r="A272" s="166" t="s">
        <v>1952</v>
      </c>
      <c r="B272" s="166" t="s">
        <v>1953</v>
      </c>
      <c r="C272" s="166" t="s">
        <v>127</v>
      </c>
      <c r="D272" s="166" t="s">
        <v>199</v>
      </c>
      <c r="E272" s="166" t="s">
        <v>1531</v>
      </c>
      <c r="F272" s="166" t="s">
        <v>1939</v>
      </c>
      <c r="G272" s="166" t="s">
        <v>129</v>
      </c>
      <c r="H272" s="166">
        <v>2266163</v>
      </c>
      <c r="I272" s="166">
        <v>0</v>
      </c>
      <c r="J272" s="166">
        <v>0</v>
      </c>
      <c r="K272" s="166" t="str">
        <f t="shared" si="4"/>
        <v>INSTRUMENTCRRNCY_DNMNTN</v>
      </c>
    </row>
    <row r="273" spans="1:11" hidden="1">
      <c r="A273" s="166" t="s">
        <v>1954</v>
      </c>
      <c r="B273" s="166" t="s">
        <v>1955</v>
      </c>
      <c r="C273" s="166" t="s">
        <v>127</v>
      </c>
      <c r="D273" s="166" t="s">
        <v>259</v>
      </c>
      <c r="E273" s="166" t="s">
        <v>1524</v>
      </c>
      <c r="F273" s="166" t="s">
        <v>1939</v>
      </c>
      <c r="G273" s="166" t="s">
        <v>129</v>
      </c>
      <c r="H273" s="166">
        <v>2266163</v>
      </c>
      <c r="I273" s="166">
        <v>0</v>
      </c>
      <c r="J273" s="166">
        <v>0</v>
      </c>
      <c r="K273" s="166" t="str">
        <f t="shared" si="4"/>
        <v>INSTRUMENTDT_INCPTN</v>
      </c>
    </row>
    <row r="274" spans="1:11" hidden="1">
      <c r="A274" s="166" t="s">
        <v>1956</v>
      </c>
      <c r="B274" s="166" t="s">
        <v>1957</v>
      </c>
      <c r="C274" s="166" t="s">
        <v>127</v>
      </c>
      <c r="D274" s="166" t="s">
        <v>424</v>
      </c>
      <c r="E274" s="166" t="s">
        <v>1527</v>
      </c>
      <c r="F274" s="166" t="s">
        <v>1939</v>
      </c>
      <c r="G274" s="166" t="s">
        <v>129</v>
      </c>
      <c r="H274" s="166">
        <v>2266163</v>
      </c>
      <c r="I274" s="166">
        <v>0</v>
      </c>
      <c r="J274" s="166">
        <v>0</v>
      </c>
      <c r="K274" s="166" t="str">
        <f t="shared" si="4"/>
        <v>INSTRUMENTOBSRVD_AGNT_ID</v>
      </c>
    </row>
    <row r="275" spans="1:11" hidden="1">
      <c r="A275" s="166" t="s">
        <v>1958</v>
      </c>
      <c r="B275" s="166" t="s">
        <v>1959</v>
      </c>
      <c r="C275" s="166" t="s">
        <v>127</v>
      </c>
      <c r="D275" s="166" t="s">
        <v>425</v>
      </c>
      <c r="E275" s="166" t="s">
        <v>1527</v>
      </c>
      <c r="F275" s="166" t="s">
        <v>1939</v>
      </c>
      <c r="G275" s="166" t="s">
        <v>129</v>
      </c>
      <c r="H275" s="166">
        <v>2266163</v>
      </c>
      <c r="I275" s="166">
        <v>0</v>
      </c>
      <c r="J275" s="166">
        <v>0</v>
      </c>
      <c r="K275" s="166" t="str">
        <f t="shared" si="4"/>
        <v>INSTRUMENTOBSRVD_AGNT_NM</v>
      </c>
    </row>
    <row r="276" spans="1:11" hidden="1">
      <c r="A276" s="166" t="s">
        <v>1960</v>
      </c>
      <c r="B276" s="166" t="s">
        <v>1961</v>
      </c>
      <c r="C276" s="166" t="s">
        <v>127</v>
      </c>
      <c r="D276" s="166" t="s">
        <v>449</v>
      </c>
      <c r="E276" s="166" t="s">
        <v>1527</v>
      </c>
      <c r="F276" s="166" t="s">
        <v>1939</v>
      </c>
      <c r="G276" s="166" t="s">
        <v>129</v>
      </c>
      <c r="H276" s="166">
        <v>2266163</v>
      </c>
      <c r="I276" s="166">
        <v>0</v>
      </c>
      <c r="J276" s="166">
        <v>0</v>
      </c>
      <c r="K276" s="166" t="str">
        <f t="shared" si="4"/>
        <v>INSTRUMENTPRDCT</v>
      </c>
    </row>
    <row r="277" spans="1:11" hidden="1">
      <c r="A277" s="166" t="s">
        <v>1962</v>
      </c>
      <c r="B277" s="166" t="s">
        <v>1963</v>
      </c>
      <c r="C277" s="166" t="s">
        <v>127</v>
      </c>
      <c r="D277" s="166" t="s">
        <v>163</v>
      </c>
      <c r="E277" s="166" t="s">
        <v>1527</v>
      </c>
      <c r="F277" s="166" t="s">
        <v>1939</v>
      </c>
      <c r="G277" s="166" t="s">
        <v>129</v>
      </c>
      <c r="H277" s="166">
        <v>2266163</v>
      </c>
      <c r="I277" s="166">
        <v>0</v>
      </c>
      <c r="J277" s="166">
        <v>0</v>
      </c>
      <c r="K277" s="166" t="str">
        <f t="shared" si="4"/>
        <v>INSTRUMENTBRCHD_CVNNTS</v>
      </c>
    </row>
    <row r="278" spans="1:11" hidden="1">
      <c r="A278" s="166" t="s">
        <v>1964</v>
      </c>
      <c r="B278" s="166" t="s">
        <v>1965</v>
      </c>
      <c r="C278" s="166" t="s">
        <v>127</v>
      </c>
      <c r="D278" s="166" t="s">
        <v>168</v>
      </c>
      <c r="E278" s="166" t="s">
        <v>1531</v>
      </c>
      <c r="F278" s="166" t="s">
        <v>1939</v>
      </c>
      <c r="G278" s="166" t="s">
        <v>129</v>
      </c>
      <c r="H278" s="166">
        <v>2266163</v>
      </c>
      <c r="I278" s="166">
        <v>0</v>
      </c>
      <c r="J278" s="166">
        <v>0</v>
      </c>
      <c r="K278" s="166" t="str">
        <f t="shared" si="4"/>
        <v>INSTRUMENTCHNNL_ORGNTN</v>
      </c>
    </row>
    <row r="279" spans="1:11" hidden="1">
      <c r="A279" s="166" t="s">
        <v>1966</v>
      </c>
      <c r="B279" s="166" t="s">
        <v>1967</v>
      </c>
      <c r="C279" s="166" t="s">
        <v>127</v>
      </c>
      <c r="D279" s="166" t="s">
        <v>203</v>
      </c>
      <c r="E279" s="166" t="s">
        <v>1531</v>
      </c>
      <c r="F279" s="166" t="s">
        <v>1939</v>
      </c>
      <c r="G279" s="166" t="s">
        <v>129</v>
      </c>
      <c r="H279" s="166">
        <v>2266163</v>
      </c>
      <c r="I279" s="166">
        <v>0</v>
      </c>
      <c r="J279" s="166">
        <v>0</v>
      </c>
      <c r="K279" s="166" t="str">
        <f t="shared" si="4"/>
        <v>INSTRUMENTCSH_SWP_TRP</v>
      </c>
    </row>
    <row r="280" spans="1:11" hidden="1">
      <c r="A280" s="166" t="s">
        <v>1968</v>
      </c>
      <c r="B280" s="166" t="s">
        <v>1969</v>
      </c>
      <c r="C280" s="166" t="s">
        <v>127</v>
      </c>
      <c r="D280" s="166" t="s">
        <v>204</v>
      </c>
      <c r="E280" s="166" t="s">
        <v>1531</v>
      </c>
      <c r="F280" s="166" t="s">
        <v>1939</v>
      </c>
      <c r="G280" s="166" t="s">
        <v>129</v>
      </c>
      <c r="H280" s="166">
        <v>2266163</v>
      </c>
      <c r="I280" s="166">
        <v>0</v>
      </c>
      <c r="J280" s="166">
        <v>0</v>
      </c>
      <c r="K280" s="166" t="str">
        <f t="shared" si="4"/>
        <v>INSTRUMENTCVNNT_STTS</v>
      </c>
    </row>
    <row r="281" spans="1:11" hidden="1">
      <c r="A281" s="166" t="s">
        <v>1970</v>
      </c>
      <c r="B281" s="166" t="s">
        <v>1971</v>
      </c>
      <c r="C281" s="166" t="s">
        <v>127</v>
      </c>
      <c r="D281" s="166" t="s">
        <v>205</v>
      </c>
      <c r="E281" s="166" t="s">
        <v>1531</v>
      </c>
      <c r="F281" s="166" t="s">
        <v>1939</v>
      </c>
      <c r="G281" s="166" t="s">
        <v>129</v>
      </c>
      <c r="H281" s="166">
        <v>2266163</v>
      </c>
      <c r="I281" s="166">
        <v>0</v>
      </c>
      <c r="J281" s="166">
        <v>0</v>
      </c>
      <c r="K281" s="166" t="str">
        <f t="shared" si="4"/>
        <v>INSTRUMENTCVNNT_TYP</v>
      </c>
    </row>
    <row r="282" spans="1:11" hidden="1">
      <c r="A282" s="166" t="s">
        <v>1972</v>
      </c>
      <c r="B282" s="166" t="s">
        <v>1973</v>
      </c>
      <c r="C282" s="166" t="s">
        <v>127</v>
      </c>
      <c r="D282" s="166" t="s">
        <v>480</v>
      </c>
      <c r="E282" s="166" t="s">
        <v>1531</v>
      </c>
      <c r="F282" s="166" t="s">
        <v>1939</v>
      </c>
      <c r="G282" s="166" t="s">
        <v>129</v>
      </c>
      <c r="H282" s="166">
        <v>2266163</v>
      </c>
      <c r="I282" s="166">
        <v>0</v>
      </c>
      <c r="J282" s="166">
        <v>0</v>
      </c>
      <c r="K282" s="166" t="str">
        <f t="shared" si="4"/>
        <v>INSTRUMENTDFLT_STTS_INSTRMNT</v>
      </c>
    </row>
    <row r="283" spans="1:11" hidden="1">
      <c r="A283" s="166" t="s">
        <v>1974</v>
      </c>
      <c r="B283" s="166" t="s">
        <v>1557</v>
      </c>
      <c r="C283" s="166" t="s">
        <v>127</v>
      </c>
      <c r="D283" s="166" t="s">
        <v>241</v>
      </c>
      <c r="E283" s="166" t="s">
        <v>1524</v>
      </c>
      <c r="F283" s="166" t="s">
        <v>1939</v>
      </c>
      <c r="G283" s="166" t="s">
        <v>129</v>
      </c>
      <c r="H283" s="166">
        <v>2266163</v>
      </c>
      <c r="I283" s="166">
        <v>0</v>
      </c>
      <c r="J283" s="166">
        <v>0</v>
      </c>
      <c r="K283" s="166" t="str">
        <f t="shared" si="4"/>
        <v>INSTRUMENTDT_DFLT_STTS_INSTRMNT</v>
      </c>
    </row>
    <row r="284" spans="1:11" hidden="1">
      <c r="A284" s="166" t="s">
        <v>1975</v>
      </c>
      <c r="B284" s="166" t="s">
        <v>1976</v>
      </c>
      <c r="C284" s="166" t="s">
        <v>127</v>
      </c>
      <c r="D284" s="166" t="s">
        <v>243</v>
      </c>
      <c r="E284" s="166" t="s">
        <v>1524</v>
      </c>
      <c r="F284" s="166" t="s">
        <v>1939</v>
      </c>
      <c r="G284" s="166" t="s">
        <v>129</v>
      </c>
      <c r="H284" s="166">
        <v>2266163</v>
      </c>
      <c r="I284" s="166">
        <v>0</v>
      </c>
      <c r="J284" s="166">
        <v>0</v>
      </c>
      <c r="K284" s="166" t="str">
        <f t="shared" si="4"/>
        <v>INSTRUMENTDT_END_GP_PPAL</v>
      </c>
    </row>
    <row r="285" spans="1:11" hidden="1">
      <c r="A285" s="166" t="s">
        <v>1977</v>
      </c>
      <c r="B285" s="166" t="s">
        <v>1978</v>
      </c>
      <c r="C285" s="166" t="s">
        <v>127</v>
      </c>
      <c r="D285" s="166" t="s">
        <v>245</v>
      </c>
      <c r="E285" s="166" t="s">
        <v>1524</v>
      </c>
      <c r="F285" s="166" t="s">
        <v>1939</v>
      </c>
      <c r="G285" s="166" t="s">
        <v>129</v>
      </c>
      <c r="H285" s="166">
        <v>2266163</v>
      </c>
      <c r="I285" s="166">
        <v>0</v>
      </c>
      <c r="J285" s="166">
        <v>0</v>
      </c>
      <c r="K285" s="166" t="str">
        <f t="shared" si="4"/>
        <v>INSTRUMENTDT_END_INTRST_ONLY</v>
      </c>
    </row>
    <row r="286" spans="1:11" hidden="1">
      <c r="A286" s="166" t="s">
        <v>1979</v>
      </c>
      <c r="B286" s="166" t="s">
        <v>1980</v>
      </c>
      <c r="C286" s="166" t="s">
        <v>127</v>
      </c>
      <c r="D286" s="166" t="s">
        <v>447</v>
      </c>
      <c r="E286" s="166" t="s">
        <v>1524</v>
      </c>
      <c r="F286" s="166" t="s">
        <v>1939</v>
      </c>
      <c r="G286" s="166" t="s">
        <v>129</v>
      </c>
      <c r="H286" s="166">
        <v>2266163</v>
      </c>
      <c r="I286" s="166">
        <v>0</v>
      </c>
      <c r="J286" s="166">
        <v>0</v>
      </c>
      <c r="K286" s="166" t="str">
        <f t="shared" si="4"/>
        <v>INSTRUMENTDT_FRBRNC_STTS</v>
      </c>
    </row>
    <row r="287" spans="1:11" hidden="1">
      <c r="A287" s="166" t="s">
        <v>1981</v>
      </c>
      <c r="B287" s="166" t="s">
        <v>1982</v>
      </c>
      <c r="C287" s="166" t="s">
        <v>127</v>
      </c>
      <c r="D287" s="166" t="s">
        <v>431</v>
      </c>
      <c r="E287" s="166" t="s">
        <v>1524</v>
      </c>
      <c r="F287" s="166" t="s">
        <v>1939</v>
      </c>
      <c r="G287" s="166" t="s">
        <v>1134</v>
      </c>
      <c r="H287" s="166">
        <v>2266163</v>
      </c>
      <c r="I287" s="166">
        <v>2235926</v>
      </c>
      <c r="J287" s="166">
        <v>98.665700000000001</v>
      </c>
      <c r="K287" s="166" t="str">
        <f t="shared" si="4"/>
        <v>INSTRUMENTDT_FRBRNC_STTS_PRVS</v>
      </c>
    </row>
    <row r="288" spans="1:11" hidden="1">
      <c r="A288" s="166" t="s">
        <v>1983</v>
      </c>
      <c r="B288" s="166" t="s">
        <v>1595</v>
      </c>
      <c r="C288" s="166" t="s">
        <v>127</v>
      </c>
      <c r="D288" s="166" t="s">
        <v>260</v>
      </c>
      <c r="E288" s="166" t="s">
        <v>1524</v>
      </c>
      <c r="F288" s="166" t="s">
        <v>1939</v>
      </c>
      <c r="G288" s="166" t="s">
        <v>129</v>
      </c>
      <c r="H288" s="166">
        <v>2266163</v>
      </c>
      <c r="I288" s="166">
        <v>0</v>
      </c>
      <c r="J288" s="166">
        <v>0</v>
      </c>
      <c r="K288" s="166" t="str">
        <f t="shared" si="4"/>
        <v>INSTRUMENTDT_INTRNL_RTNG</v>
      </c>
    </row>
    <row r="289" spans="1:11" hidden="1">
      <c r="A289" s="166" t="s">
        <v>1984</v>
      </c>
      <c r="B289" s="166" t="s">
        <v>1565</v>
      </c>
      <c r="C289" s="166" t="s">
        <v>127</v>
      </c>
      <c r="D289" s="166" t="s">
        <v>53</v>
      </c>
      <c r="E289" s="166" t="s">
        <v>1524</v>
      </c>
      <c r="F289" s="166" t="s">
        <v>1939</v>
      </c>
      <c r="G289" s="166" t="s">
        <v>129</v>
      </c>
      <c r="H289" s="166">
        <v>2266163</v>
      </c>
      <c r="I289" s="166">
        <v>0</v>
      </c>
      <c r="J289" s="166">
        <v>0</v>
      </c>
      <c r="K289" s="166" t="str">
        <f t="shared" si="4"/>
        <v>INSTRUMENTDT_PRFRMNG_STTS</v>
      </c>
    </row>
    <row r="290" spans="1:11" hidden="1">
      <c r="A290" s="166" t="s">
        <v>1985</v>
      </c>
      <c r="B290" s="166" t="s">
        <v>1986</v>
      </c>
      <c r="C290" s="166" t="s">
        <v>127</v>
      </c>
      <c r="D290" s="166" t="s">
        <v>54</v>
      </c>
      <c r="E290" s="166" t="s">
        <v>1524</v>
      </c>
      <c r="F290" s="166" t="s">
        <v>1939</v>
      </c>
      <c r="G290" s="166" t="s">
        <v>129</v>
      </c>
      <c r="H290" s="166">
        <v>2266163</v>
      </c>
      <c r="I290" s="166">
        <v>0</v>
      </c>
      <c r="J290" s="166">
        <v>0</v>
      </c>
      <c r="K290" s="166" t="str">
        <f t="shared" si="4"/>
        <v>INSTRUMENTDT_PRFRMNG_STTS_PRVS</v>
      </c>
    </row>
    <row r="291" spans="1:11" hidden="1">
      <c r="A291" s="166" t="s">
        <v>1987</v>
      </c>
      <c r="B291" s="166" t="s">
        <v>1988</v>
      </c>
      <c r="C291" s="166" t="s">
        <v>127</v>
      </c>
      <c r="D291" s="166" t="s">
        <v>285</v>
      </c>
      <c r="E291" s="166" t="s">
        <v>1524</v>
      </c>
      <c r="F291" s="166" t="s">
        <v>1939</v>
      </c>
      <c r="G291" s="166" t="s">
        <v>129</v>
      </c>
      <c r="H291" s="166">
        <v>2266163</v>
      </c>
      <c r="I291" s="166">
        <v>0</v>
      </c>
      <c r="J291" s="166">
        <v>0</v>
      </c>
      <c r="K291" s="166" t="str">
        <f t="shared" si="4"/>
        <v>INSTRUMENTDT_STRT_INTRST_ONLY</v>
      </c>
    </row>
    <row r="292" spans="1:11" hidden="1">
      <c r="A292" s="166" t="s">
        <v>1989</v>
      </c>
      <c r="B292" s="166" t="s">
        <v>1990</v>
      </c>
      <c r="C292" s="166" t="s">
        <v>127</v>
      </c>
      <c r="D292" s="166" t="s">
        <v>311</v>
      </c>
      <c r="E292" s="166" t="s">
        <v>1531</v>
      </c>
      <c r="F292" s="166" t="s">
        <v>1939</v>
      </c>
      <c r="G292" s="166" t="s">
        <v>129</v>
      </c>
      <c r="H292" s="166">
        <v>2266163</v>
      </c>
      <c r="I292" s="166">
        <v>0</v>
      </c>
      <c r="J292" s="166">
        <v>0</v>
      </c>
      <c r="K292" s="166" t="str">
        <f t="shared" si="4"/>
        <v>INSTRUMENTEXPSR_IN_SCP</v>
      </c>
    </row>
    <row r="293" spans="1:11" hidden="1">
      <c r="A293" s="166" t="s">
        <v>1991</v>
      </c>
      <c r="B293" s="166" t="s">
        <v>1992</v>
      </c>
      <c r="C293" s="166" t="s">
        <v>127</v>
      </c>
      <c r="D293" s="166" t="s">
        <v>318</v>
      </c>
      <c r="E293" s="166" t="s">
        <v>1531</v>
      </c>
      <c r="F293" s="166" t="s">
        <v>1939</v>
      </c>
      <c r="G293" s="166" t="s">
        <v>129</v>
      </c>
      <c r="H293" s="166">
        <v>2266163</v>
      </c>
      <c r="I293" s="166">
        <v>0</v>
      </c>
      <c r="J293" s="166">
        <v>0</v>
      </c>
      <c r="K293" s="166" t="str">
        <f t="shared" si="4"/>
        <v>INSTRUMENTFLD_SYNDCTN</v>
      </c>
    </row>
    <row r="294" spans="1:11" hidden="1">
      <c r="A294" s="166" t="s">
        <v>1993</v>
      </c>
      <c r="B294" s="166" t="s">
        <v>1994</v>
      </c>
      <c r="C294" s="166" t="s">
        <v>127</v>
      </c>
      <c r="D294" s="166" t="s">
        <v>324</v>
      </c>
      <c r="E294" s="166" t="s">
        <v>1531</v>
      </c>
      <c r="F294" s="166" t="s">
        <v>1939</v>
      </c>
      <c r="G294" s="166" t="s">
        <v>129</v>
      </c>
      <c r="H294" s="166">
        <v>2266163</v>
      </c>
      <c r="I294" s="166">
        <v>0</v>
      </c>
      <c r="J294" s="166">
        <v>0</v>
      </c>
      <c r="K294" s="166" t="str">
        <f t="shared" si="4"/>
        <v>INSTRUMENTFLG_LBO</v>
      </c>
    </row>
    <row r="295" spans="1:11" hidden="1">
      <c r="A295" s="166" t="s">
        <v>1995</v>
      </c>
      <c r="B295" s="166" t="s">
        <v>1996</v>
      </c>
      <c r="C295" s="166" t="s">
        <v>127</v>
      </c>
      <c r="D295" s="166" t="s">
        <v>312</v>
      </c>
      <c r="E295" s="166" t="s">
        <v>1531</v>
      </c>
      <c r="F295" s="166" t="s">
        <v>1939</v>
      </c>
      <c r="G295" s="166" t="s">
        <v>129</v>
      </c>
      <c r="H295" s="166">
        <v>2266163</v>
      </c>
      <c r="I295" s="166">
        <v>0</v>
      </c>
      <c r="J295" s="166">
        <v>0</v>
      </c>
      <c r="K295" s="166" t="str">
        <f t="shared" si="4"/>
        <v>INSTRUMENTFRBRNC_STTS_INSTRMNT</v>
      </c>
    </row>
    <row r="296" spans="1:11" hidden="1">
      <c r="A296" s="166" t="s">
        <v>1997</v>
      </c>
      <c r="B296" s="166" t="s">
        <v>683</v>
      </c>
      <c r="C296" s="166" t="s">
        <v>127</v>
      </c>
      <c r="D296" s="166" t="s">
        <v>44</v>
      </c>
      <c r="E296" s="166" t="s">
        <v>1531</v>
      </c>
      <c r="F296" s="166" t="s">
        <v>1939</v>
      </c>
      <c r="G296" s="166" t="s">
        <v>129</v>
      </c>
      <c r="H296" s="166">
        <v>2266163</v>
      </c>
      <c r="I296" s="166">
        <v>0</v>
      </c>
      <c r="J296" s="166">
        <v>0</v>
      </c>
      <c r="K296" s="166" t="str">
        <f t="shared" si="4"/>
        <v>INSTRUMENTIMPRMNT_STTS</v>
      </c>
    </row>
    <row r="297" spans="1:11" hidden="1">
      <c r="A297" s="166" t="s">
        <v>1998</v>
      </c>
      <c r="B297" s="166" t="s">
        <v>1999</v>
      </c>
      <c r="C297" s="166" t="s">
        <v>127</v>
      </c>
      <c r="D297" s="166" t="s">
        <v>46</v>
      </c>
      <c r="E297" s="166" t="s">
        <v>1531</v>
      </c>
      <c r="F297" s="166" t="s">
        <v>1939</v>
      </c>
      <c r="G297" s="166" t="s">
        <v>129</v>
      </c>
      <c r="H297" s="166">
        <v>2266163</v>
      </c>
      <c r="I297" s="166">
        <v>0</v>
      </c>
      <c r="J297" s="166">
        <v>0</v>
      </c>
      <c r="K297" s="166" t="str">
        <f t="shared" si="4"/>
        <v>INSTRUMENTIMPRMNT_STTS_PRVS</v>
      </c>
    </row>
    <row r="298" spans="1:11" hidden="1">
      <c r="A298" s="166" t="s">
        <v>2000</v>
      </c>
      <c r="B298" s="166" t="s">
        <v>1626</v>
      </c>
      <c r="C298" s="166" t="s">
        <v>127</v>
      </c>
      <c r="D298" s="166" t="s">
        <v>2001</v>
      </c>
      <c r="E298" s="166" t="s">
        <v>1527</v>
      </c>
      <c r="F298" s="166" t="s">
        <v>1939</v>
      </c>
      <c r="G298" s="166" t="s">
        <v>129</v>
      </c>
      <c r="H298" s="166">
        <v>2266163</v>
      </c>
      <c r="I298" s="166">
        <v>0</v>
      </c>
      <c r="J298" s="166">
        <v>0</v>
      </c>
      <c r="K298" s="166" t="str">
        <f t="shared" si="4"/>
        <v>INSTRUMENTIN_INTRNL_RTNG</v>
      </c>
    </row>
    <row r="299" spans="1:11" hidden="1">
      <c r="A299" s="166" t="s">
        <v>2002</v>
      </c>
      <c r="B299" s="166" t="s">
        <v>2003</v>
      </c>
      <c r="C299" s="166" t="s">
        <v>127</v>
      </c>
      <c r="D299" s="166" t="s">
        <v>370</v>
      </c>
      <c r="E299" s="166" t="s">
        <v>1527</v>
      </c>
      <c r="F299" s="166" t="s">
        <v>1939</v>
      </c>
      <c r="G299" s="166" t="s">
        <v>129</v>
      </c>
      <c r="H299" s="166">
        <v>2266163</v>
      </c>
      <c r="I299" s="166">
        <v>0</v>
      </c>
      <c r="J299" s="166">
        <v>0</v>
      </c>
      <c r="K299" s="166" t="str">
        <f t="shared" si="4"/>
        <v>INSTRUMENTINTRNL_RTNG_INCPTN</v>
      </c>
    </row>
    <row r="300" spans="1:11" hidden="1">
      <c r="A300" s="166" t="s">
        <v>2004</v>
      </c>
      <c r="B300" s="166" t="s">
        <v>1575</v>
      </c>
      <c r="C300" s="166" t="s">
        <v>127</v>
      </c>
      <c r="D300" s="166" t="s">
        <v>374</v>
      </c>
      <c r="E300" s="166" t="s">
        <v>1527</v>
      </c>
      <c r="F300" s="166" t="s">
        <v>1939</v>
      </c>
      <c r="G300" s="166" t="s">
        <v>129</v>
      </c>
      <c r="H300" s="166">
        <v>2266163</v>
      </c>
      <c r="I300" s="166">
        <v>0</v>
      </c>
      <c r="J300" s="166">
        <v>0</v>
      </c>
      <c r="K300" s="166" t="str">
        <f t="shared" si="4"/>
        <v>INSTRUMENTINTRNL_SGMNT</v>
      </c>
    </row>
    <row r="301" spans="1:11" hidden="1">
      <c r="A301" s="166" t="s">
        <v>2005</v>
      </c>
      <c r="B301" s="166" t="s">
        <v>1577</v>
      </c>
      <c r="C301" s="166" t="s">
        <v>127</v>
      </c>
      <c r="D301" s="166" t="s">
        <v>378</v>
      </c>
      <c r="E301" s="166" t="s">
        <v>1527</v>
      </c>
      <c r="F301" s="166" t="s">
        <v>1939</v>
      </c>
      <c r="G301" s="166" t="s">
        <v>129</v>
      </c>
      <c r="H301" s="166">
        <v>2266163</v>
      </c>
      <c r="I301" s="166">
        <v>0</v>
      </c>
      <c r="J301" s="166">
        <v>0</v>
      </c>
      <c r="K301" s="166" t="str">
        <f t="shared" si="4"/>
        <v>INSTRUMENTINTRNL_UNT</v>
      </c>
    </row>
    <row r="302" spans="1:11" hidden="1">
      <c r="A302" s="166" t="s">
        <v>2006</v>
      </c>
      <c r="B302" s="166" t="s">
        <v>2007</v>
      </c>
      <c r="C302" s="166" t="s">
        <v>127</v>
      </c>
      <c r="D302" s="166" t="s">
        <v>393</v>
      </c>
      <c r="E302" s="166" t="s">
        <v>1531</v>
      </c>
      <c r="F302" s="166" t="s">
        <v>1939</v>
      </c>
      <c r="G302" s="166" t="s">
        <v>129</v>
      </c>
      <c r="H302" s="166">
        <v>2266163</v>
      </c>
      <c r="I302" s="166">
        <v>0</v>
      </c>
      <c r="J302" s="166">
        <v>0</v>
      </c>
      <c r="K302" s="166" t="str">
        <f t="shared" si="4"/>
        <v>INSTRUMENTLCRE</v>
      </c>
    </row>
    <row r="303" spans="1:11" hidden="1">
      <c r="A303" s="166" t="s">
        <v>2008</v>
      </c>
      <c r="B303" s="166" t="s">
        <v>2009</v>
      </c>
      <c r="C303" s="166" t="s">
        <v>127</v>
      </c>
      <c r="D303" s="166" t="s">
        <v>397</v>
      </c>
      <c r="E303" s="166" t="s">
        <v>1531</v>
      </c>
      <c r="F303" s="166" t="s">
        <v>1939</v>
      </c>
      <c r="G303" s="166" t="s">
        <v>129</v>
      </c>
      <c r="H303" s="166">
        <v>2266163</v>
      </c>
      <c r="I303" s="166">
        <v>0</v>
      </c>
      <c r="J303" s="166">
        <v>0</v>
      </c>
      <c r="K303" s="166" t="str">
        <f t="shared" si="4"/>
        <v>INSTRUMENTLGL_PRCDNG_STTS</v>
      </c>
    </row>
    <row r="304" spans="1:11" hidden="1">
      <c r="A304" s="166" t="s">
        <v>2010</v>
      </c>
      <c r="B304" s="166" t="s">
        <v>2011</v>
      </c>
      <c r="C304" s="166" t="s">
        <v>127</v>
      </c>
      <c r="D304" s="166" t="s">
        <v>399</v>
      </c>
      <c r="E304" s="166" t="s">
        <v>1531</v>
      </c>
      <c r="F304" s="166" t="s">
        <v>1939</v>
      </c>
      <c r="G304" s="166" t="s">
        <v>129</v>
      </c>
      <c r="H304" s="166">
        <v>2266163</v>
      </c>
      <c r="I304" s="166">
        <v>0</v>
      </c>
      <c r="J304" s="166">
        <v>0</v>
      </c>
      <c r="K304" s="166" t="str">
        <f t="shared" si="4"/>
        <v>INSTRUMENTLND_DRGTN</v>
      </c>
    </row>
    <row r="305" spans="1:11" hidden="1">
      <c r="A305" s="166" t="s">
        <v>2012</v>
      </c>
      <c r="B305" s="166" t="s">
        <v>2013</v>
      </c>
      <c r="C305" s="166" t="s">
        <v>127</v>
      </c>
      <c r="D305" s="166" t="s">
        <v>287</v>
      </c>
      <c r="E305" s="166" t="s">
        <v>1531</v>
      </c>
      <c r="F305" s="166" t="s">
        <v>1939</v>
      </c>
      <c r="G305" s="166" t="s">
        <v>129</v>
      </c>
      <c r="H305" s="166">
        <v>2266163</v>
      </c>
      <c r="I305" s="166">
        <v>0</v>
      </c>
      <c r="J305" s="166">
        <v>0</v>
      </c>
      <c r="K305" s="166" t="str">
        <f t="shared" si="4"/>
        <v>INSTRUMENTPOCI</v>
      </c>
    </row>
    <row r="306" spans="1:11" hidden="1">
      <c r="A306" s="166" t="s">
        <v>2014</v>
      </c>
      <c r="B306" s="166" t="s">
        <v>1634</v>
      </c>
      <c r="C306" s="166" t="s">
        <v>127</v>
      </c>
      <c r="D306" s="166" t="s">
        <v>45</v>
      </c>
      <c r="E306" s="166" t="s">
        <v>1531</v>
      </c>
      <c r="F306" s="166" t="s">
        <v>1939</v>
      </c>
      <c r="G306" s="166" t="s">
        <v>129</v>
      </c>
      <c r="H306" s="166">
        <v>2266163</v>
      </c>
      <c r="I306" s="166">
        <v>0</v>
      </c>
      <c r="J306" s="166">
        <v>0</v>
      </c>
      <c r="K306" s="166" t="str">
        <f t="shared" si="4"/>
        <v>INSTRUMENTPRFRMNG_STTS</v>
      </c>
    </row>
    <row r="307" spans="1:11" hidden="1">
      <c r="A307" s="166" t="s">
        <v>2015</v>
      </c>
      <c r="B307" s="166" t="s">
        <v>2016</v>
      </c>
      <c r="C307" s="166" t="s">
        <v>127</v>
      </c>
      <c r="D307" s="166" t="s">
        <v>47</v>
      </c>
      <c r="E307" s="166" t="s">
        <v>1531</v>
      </c>
      <c r="F307" s="166" t="s">
        <v>1939</v>
      </c>
      <c r="G307" s="166" t="s">
        <v>129</v>
      </c>
      <c r="H307" s="166">
        <v>2266163</v>
      </c>
      <c r="I307" s="166">
        <v>0</v>
      </c>
      <c r="J307" s="166">
        <v>0</v>
      </c>
      <c r="K307" s="166" t="str">
        <f t="shared" si="4"/>
        <v>INSTRUMENTPRFRMNG_STTS_PRVS</v>
      </c>
    </row>
    <row r="308" spans="1:11" hidden="1">
      <c r="A308" s="166" t="s">
        <v>2017</v>
      </c>
      <c r="B308" s="166" t="s">
        <v>2018</v>
      </c>
      <c r="C308" s="166" t="s">
        <v>127</v>
      </c>
      <c r="D308" s="166" t="s">
        <v>452</v>
      </c>
      <c r="E308" s="166" t="s">
        <v>1531</v>
      </c>
      <c r="F308" s="166" t="s">
        <v>1939</v>
      </c>
      <c r="G308" s="166" t="s">
        <v>129</v>
      </c>
      <c r="H308" s="166">
        <v>2266163</v>
      </c>
      <c r="I308" s="166">
        <v>0</v>
      </c>
      <c r="J308" s="166">
        <v>0</v>
      </c>
      <c r="K308" s="166" t="str">
        <f t="shared" si="4"/>
        <v>INSTRUMENTPRJCT_FNNC_LN</v>
      </c>
    </row>
    <row r="309" spans="1:11" hidden="1">
      <c r="A309" s="166" t="s">
        <v>2019</v>
      </c>
      <c r="B309" s="166" t="s">
        <v>2020</v>
      </c>
      <c r="C309" s="166" t="s">
        <v>127</v>
      </c>
      <c r="D309" s="166" t="s">
        <v>456</v>
      </c>
      <c r="E309" s="166" t="s">
        <v>1531</v>
      </c>
      <c r="F309" s="166" t="s">
        <v>1939</v>
      </c>
      <c r="G309" s="166" t="s">
        <v>129</v>
      </c>
      <c r="H309" s="166">
        <v>2266163</v>
      </c>
      <c r="I309" s="166">
        <v>0</v>
      </c>
      <c r="J309" s="166">
        <v>0</v>
      </c>
      <c r="K309" s="166" t="str">
        <f t="shared" si="4"/>
        <v>INSTRUMENTPRPS</v>
      </c>
    </row>
    <row r="310" spans="1:11" hidden="1">
      <c r="A310" s="166" t="s">
        <v>2021</v>
      </c>
      <c r="B310" s="166" t="s">
        <v>2022</v>
      </c>
      <c r="C310" s="166" t="s">
        <v>127</v>
      </c>
      <c r="D310" s="166" t="s">
        <v>474</v>
      </c>
      <c r="E310" s="166" t="s">
        <v>1531</v>
      </c>
      <c r="F310" s="166" t="s">
        <v>1939</v>
      </c>
      <c r="G310" s="166" t="s">
        <v>129</v>
      </c>
      <c r="H310" s="166">
        <v>2266163</v>
      </c>
      <c r="I310" s="166">
        <v>0</v>
      </c>
      <c r="J310" s="166">
        <v>0</v>
      </c>
      <c r="K310" s="166" t="str">
        <f t="shared" si="4"/>
        <v>INSTRUMENTPYMNT_INTRST_ONLY</v>
      </c>
    </row>
    <row r="311" spans="1:11" hidden="1">
      <c r="A311" s="166" t="s">
        <v>2023</v>
      </c>
      <c r="B311" s="166" t="s">
        <v>2024</v>
      </c>
      <c r="C311" s="166" t="s">
        <v>127</v>
      </c>
      <c r="D311" s="166" t="s">
        <v>476</v>
      </c>
      <c r="E311" s="166" t="s">
        <v>1531</v>
      </c>
      <c r="F311" s="166" t="s">
        <v>1939</v>
      </c>
      <c r="G311" s="166" t="s">
        <v>129</v>
      </c>
      <c r="H311" s="166">
        <v>2266163</v>
      </c>
      <c r="I311" s="166">
        <v>0</v>
      </c>
      <c r="J311" s="166">
        <v>0</v>
      </c>
      <c r="K311" s="166" t="str">
        <f t="shared" si="4"/>
        <v>INSTRUMENTRCRS</v>
      </c>
    </row>
    <row r="312" spans="1:11" hidden="1">
      <c r="A312" s="166" t="s">
        <v>2025</v>
      </c>
      <c r="B312" s="166" t="s">
        <v>2026</v>
      </c>
      <c r="C312" s="166" t="s">
        <v>127</v>
      </c>
      <c r="D312" s="166" t="s">
        <v>215</v>
      </c>
      <c r="E312" s="166" t="s">
        <v>1531</v>
      </c>
      <c r="F312" s="166" t="s">
        <v>1939</v>
      </c>
      <c r="G312" s="166" t="s">
        <v>129</v>
      </c>
      <c r="H312" s="166">
        <v>2266163</v>
      </c>
      <c r="I312" s="166">
        <v>0</v>
      </c>
      <c r="J312" s="166">
        <v>0</v>
      </c>
      <c r="K312" s="166" t="str">
        <f t="shared" si="4"/>
        <v>INSTRUMENTRFNNC_PRPS</v>
      </c>
    </row>
    <row r="313" spans="1:11" hidden="1">
      <c r="A313" s="166" t="s">
        <v>2027</v>
      </c>
      <c r="B313" s="166" t="s">
        <v>2028</v>
      </c>
      <c r="C313" s="166" t="s">
        <v>127</v>
      </c>
      <c r="D313" s="166" t="s">
        <v>505</v>
      </c>
      <c r="E313" s="166" t="s">
        <v>1531</v>
      </c>
      <c r="F313" s="166" t="s">
        <v>1939</v>
      </c>
      <c r="G313" s="166" t="s">
        <v>129</v>
      </c>
      <c r="H313" s="166">
        <v>2266163</v>
      </c>
      <c r="I313" s="166">
        <v>0</v>
      </c>
      <c r="J313" s="166">
        <v>0</v>
      </c>
      <c r="K313" s="166" t="str">
        <f t="shared" si="4"/>
        <v>INSTRUMENTSPCLTV_LNDNG</v>
      </c>
    </row>
    <row r="314" spans="1:11" hidden="1">
      <c r="A314" s="166" t="s">
        <v>2029</v>
      </c>
      <c r="B314" s="166" t="s">
        <v>2030</v>
      </c>
      <c r="C314" s="166" t="s">
        <v>127</v>
      </c>
      <c r="D314" s="166" t="s">
        <v>509</v>
      </c>
      <c r="E314" s="166" t="s">
        <v>1531</v>
      </c>
      <c r="F314" s="166" t="s">
        <v>1939</v>
      </c>
      <c r="G314" s="166" t="s">
        <v>129</v>
      </c>
      <c r="H314" s="166">
        <v>2266163</v>
      </c>
      <c r="I314" s="166">
        <v>0</v>
      </c>
      <c r="J314" s="166">
        <v>0</v>
      </c>
      <c r="K314" s="166" t="str">
        <f t="shared" si="4"/>
        <v>INSTRUMENTSTTS_UNDRWRTTN_TRNSCTN</v>
      </c>
    </row>
    <row r="315" spans="1:11" hidden="1">
      <c r="A315" s="166" t="s">
        <v>2031</v>
      </c>
      <c r="B315" s="166" t="s">
        <v>2032</v>
      </c>
      <c r="C315" s="166" t="s">
        <v>127</v>
      </c>
      <c r="D315" s="166" t="s">
        <v>521</v>
      </c>
      <c r="E315" s="166" t="s">
        <v>1531</v>
      </c>
      <c r="F315" s="166" t="s">
        <v>1939</v>
      </c>
      <c r="G315" s="166" t="s">
        <v>129</v>
      </c>
      <c r="H315" s="166">
        <v>2266163</v>
      </c>
      <c r="I315" s="166">
        <v>0</v>
      </c>
      <c r="J315" s="166">
        <v>0</v>
      </c>
      <c r="K315" s="166" t="str">
        <f t="shared" si="4"/>
        <v>INSTRUMENTTRNCH</v>
      </c>
    </row>
    <row r="316" spans="1:11" hidden="1">
      <c r="A316" s="166" t="s">
        <v>2033</v>
      </c>
      <c r="B316" s="166" t="s">
        <v>2034</v>
      </c>
      <c r="C316" s="166" t="s">
        <v>127</v>
      </c>
      <c r="D316" s="166" t="s">
        <v>527</v>
      </c>
      <c r="E316" s="166" t="s">
        <v>1531</v>
      </c>
      <c r="F316" s="166" t="s">
        <v>1939</v>
      </c>
      <c r="G316" s="166" t="s">
        <v>129</v>
      </c>
      <c r="H316" s="166">
        <v>2266163</v>
      </c>
      <c r="I316" s="166">
        <v>0</v>
      </c>
      <c r="J316" s="166">
        <v>0</v>
      </c>
      <c r="K316" s="166" t="str">
        <f t="shared" si="4"/>
        <v>INSTRUMENTTYP_AMRTSTN</v>
      </c>
    </row>
    <row r="317" spans="1:11">
      <c r="A317" s="166" t="s">
        <v>2035</v>
      </c>
      <c r="B317" s="166" t="s">
        <v>2036</v>
      </c>
      <c r="C317" s="166" t="s">
        <v>127</v>
      </c>
      <c r="D317" s="166" t="s">
        <v>530</v>
      </c>
      <c r="E317" s="166" t="s">
        <v>1531</v>
      </c>
      <c r="F317" s="166" t="s">
        <v>1939</v>
      </c>
      <c r="G317" s="166" t="s">
        <v>129</v>
      </c>
      <c r="H317" s="166">
        <v>2266163</v>
      </c>
      <c r="I317" s="166">
        <v>0</v>
      </c>
      <c r="J317" s="166">
        <v>0</v>
      </c>
      <c r="K317" s="166" t="str">
        <f t="shared" si="4"/>
        <v>INSTRUMENTTYP_INSTRMNT</v>
      </c>
    </row>
    <row r="318" spans="1:11" hidden="1">
      <c r="A318" s="166" t="s">
        <v>2037</v>
      </c>
      <c r="B318" s="166" t="s">
        <v>2038</v>
      </c>
      <c r="C318" s="166" t="s">
        <v>127</v>
      </c>
      <c r="D318" s="166" t="s">
        <v>531</v>
      </c>
      <c r="E318" s="166" t="s">
        <v>1531</v>
      </c>
      <c r="F318" s="166" t="s">
        <v>1939</v>
      </c>
      <c r="G318" s="166" t="s">
        <v>129</v>
      </c>
      <c r="H318" s="166">
        <v>2266163</v>
      </c>
      <c r="I318" s="166">
        <v>0</v>
      </c>
      <c r="J318" s="166">
        <v>0</v>
      </c>
      <c r="K318" s="166" t="str">
        <f t="shared" si="4"/>
        <v>INSTRUMENTTYP_INTRST_RT</v>
      </c>
    </row>
    <row r="319" spans="1:11" hidden="1">
      <c r="A319" s="166" t="s">
        <v>2039</v>
      </c>
      <c r="B319" s="166" t="s">
        <v>2040</v>
      </c>
      <c r="C319" s="166" t="s">
        <v>127</v>
      </c>
      <c r="D319" s="166" t="s">
        <v>144</v>
      </c>
      <c r="E319" s="166" t="s">
        <v>1531</v>
      </c>
      <c r="F319" s="166" t="s">
        <v>1939</v>
      </c>
      <c r="G319" s="166" t="s">
        <v>129</v>
      </c>
      <c r="H319" s="166">
        <v>2266163</v>
      </c>
      <c r="I319" s="166">
        <v>0</v>
      </c>
      <c r="J319" s="166">
        <v>0</v>
      </c>
      <c r="K319" s="166" t="str">
        <f t="shared" si="4"/>
        <v>INSTRUMENTTYP_MRTGG</v>
      </c>
    </row>
    <row r="320" spans="1:11" hidden="1">
      <c r="A320" s="166" t="s">
        <v>2041</v>
      </c>
      <c r="B320" s="166" t="s">
        <v>2042</v>
      </c>
      <c r="C320" s="166" t="s">
        <v>127</v>
      </c>
      <c r="D320" s="166" t="s">
        <v>529</v>
      </c>
      <c r="E320" s="166" t="s">
        <v>1531</v>
      </c>
      <c r="F320" s="166" t="s">
        <v>1939</v>
      </c>
      <c r="G320" s="166" t="s">
        <v>129</v>
      </c>
      <c r="H320" s="166">
        <v>2266163</v>
      </c>
      <c r="I320" s="166">
        <v>0</v>
      </c>
      <c r="J320" s="166">
        <v>0</v>
      </c>
      <c r="K320" s="166" t="str">
        <f t="shared" si="4"/>
        <v>INSTRUMENTTYP_CRE_OPRTN</v>
      </c>
    </row>
    <row r="321" spans="1:11" hidden="1">
      <c r="A321" s="166" t="s">
        <v>2043</v>
      </c>
      <c r="B321" s="166" t="s">
        <v>2044</v>
      </c>
      <c r="C321" s="166" t="s">
        <v>127</v>
      </c>
      <c r="D321" s="166" t="s">
        <v>284</v>
      </c>
      <c r="E321" s="166" t="s">
        <v>1524</v>
      </c>
      <c r="F321" s="166" t="s">
        <v>1939</v>
      </c>
      <c r="G321" s="166" t="s">
        <v>129</v>
      </c>
      <c r="H321" s="166">
        <v>2266163</v>
      </c>
      <c r="I321" s="166">
        <v>0</v>
      </c>
      <c r="J321" s="166">
        <v>0</v>
      </c>
      <c r="K321" s="166" t="str">
        <f t="shared" si="4"/>
        <v>INSTRUMENTDT_STRT_GP_PPAL</v>
      </c>
    </row>
    <row r="322" spans="1:11" hidden="1">
      <c r="A322" s="166" t="s">
        <v>2045</v>
      </c>
      <c r="B322" s="166" t="s">
        <v>2046</v>
      </c>
      <c r="C322" s="166" t="s">
        <v>127</v>
      </c>
      <c r="D322" s="166" t="s">
        <v>348</v>
      </c>
      <c r="E322" s="166" t="s">
        <v>1534</v>
      </c>
      <c r="F322" s="166" t="s">
        <v>1939</v>
      </c>
      <c r="G322" s="166" t="s">
        <v>129</v>
      </c>
      <c r="H322" s="166">
        <v>2266163</v>
      </c>
      <c r="I322" s="166">
        <v>0</v>
      </c>
      <c r="J322" s="166">
        <v>0</v>
      </c>
      <c r="K322" s="166" t="str">
        <f t="shared" si="4"/>
        <v>INSTRUMENTGRSS_CRRYNG_AMNT_INSTRMNT</v>
      </c>
    </row>
    <row r="323" spans="1:11" hidden="1">
      <c r="A323" s="166" t="s">
        <v>2047</v>
      </c>
      <c r="B323" s="166" t="s">
        <v>1096</v>
      </c>
      <c r="C323" s="166" t="s">
        <v>127</v>
      </c>
      <c r="D323" s="166" t="s">
        <v>128</v>
      </c>
      <c r="E323" s="166" t="s">
        <v>1534</v>
      </c>
      <c r="F323" s="166" t="s">
        <v>1939</v>
      </c>
      <c r="G323" s="166" t="s">
        <v>129</v>
      </c>
      <c r="H323" s="166">
        <v>2266163</v>
      </c>
      <c r="I323" s="166">
        <v>0</v>
      </c>
      <c r="J323" s="166">
        <v>0</v>
      </c>
      <c r="K323" s="166" t="str">
        <f t="shared" ref="K323:K386" si="5">_xlfn.CONCAT(_xlfn.IFS(ISNUMBER(SEARCH("EN",A323)),"ENTITY",ISNUMBER(SEARCH("IN",A323)),"INSTRUMENT",ISNUMBER(SEARCH("PR",A323)),"PROTECTION",ISNUMBER(SEARCH("IP",A323)),"INSTR_PROTECTION",ISNUMBER(SEARCH("IE",A323)),"INSTR_ENTITY",ISNUMBER(SEARCH("AC",A323)),"INSTR_ACTIVITY"),D323)</f>
        <v>INSTRUMENTACCMLTD_CHNGS_FV_CR_INSTRMNT</v>
      </c>
    </row>
    <row r="324" spans="1:11" hidden="1">
      <c r="A324" s="166" t="s">
        <v>2048</v>
      </c>
      <c r="B324" s="166" t="s">
        <v>2049</v>
      </c>
      <c r="C324" s="166" t="s">
        <v>127</v>
      </c>
      <c r="D324" s="166" t="s">
        <v>138</v>
      </c>
      <c r="E324" s="166" t="s">
        <v>1531</v>
      </c>
      <c r="F324" s="166" t="s">
        <v>1939</v>
      </c>
      <c r="G324" s="166" t="s">
        <v>129</v>
      </c>
      <c r="H324" s="166">
        <v>2266163</v>
      </c>
      <c r="I324" s="166">
        <v>0</v>
      </c>
      <c r="J324" s="166">
        <v>0</v>
      </c>
      <c r="K324" s="166" t="str">
        <f t="shared" si="5"/>
        <v>INSTRUMENTACCNTNG_CLSSFCTN</v>
      </c>
    </row>
    <row r="325" spans="1:11" hidden="1">
      <c r="A325" s="166" t="s">
        <v>2050</v>
      </c>
      <c r="B325" s="166" t="s">
        <v>2051</v>
      </c>
      <c r="C325" s="166" t="s">
        <v>127</v>
      </c>
      <c r="D325" s="166" t="s">
        <v>524</v>
      </c>
      <c r="E325" s="166" t="s">
        <v>1534</v>
      </c>
      <c r="F325" s="166" t="s">
        <v>1939</v>
      </c>
      <c r="G325" s="166" t="s">
        <v>129</v>
      </c>
      <c r="H325" s="166">
        <v>2266163</v>
      </c>
      <c r="I325" s="166">
        <v>0</v>
      </c>
      <c r="J325" s="166">
        <v>0</v>
      </c>
      <c r="K325" s="166" t="str">
        <f t="shared" si="5"/>
        <v>INSTRUMENTACCRD_INTRST_INSTRMNT</v>
      </c>
    </row>
    <row r="326" spans="1:11" hidden="1">
      <c r="A326" s="166" t="s">
        <v>2052</v>
      </c>
      <c r="B326" s="166" t="s">
        <v>2053</v>
      </c>
      <c r="C326" s="166" t="s">
        <v>127</v>
      </c>
      <c r="D326" s="166" t="s">
        <v>148</v>
      </c>
      <c r="E326" s="166" t="s">
        <v>1534</v>
      </c>
      <c r="F326" s="166" t="s">
        <v>1939</v>
      </c>
      <c r="G326" s="166" t="s">
        <v>129</v>
      </c>
      <c r="H326" s="166">
        <v>2266163</v>
      </c>
      <c r="I326" s="166">
        <v>0</v>
      </c>
      <c r="J326" s="166">
        <v>0</v>
      </c>
      <c r="K326" s="166" t="str">
        <f t="shared" si="5"/>
        <v>INSTRUMENTAMNT_D_AT_MTRTY</v>
      </c>
    </row>
    <row r="327" spans="1:11" hidden="1">
      <c r="A327" s="166" t="s">
        <v>2054</v>
      </c>
      <c r="B327" s="166" t="s">
        <v>2055</v>
      </c>
      <c r="C327" s="166" t="s">
        <v>127</v>
      </c>
      <c r="D327" s="166" t="s">
        <v>167</v>
      </c>
      <c r="E327" s="166" t="s">
        <v>1534</v>
      </c>
      <c r="F327" s="166" t="s">
        <v>1939</v>
      </c>
      <c r="G327" s="166" t="s">
        <v>129</v>
      </c>
      <c r="H327" s="166">
        <v>2266163</v>
      </c>
      <c r="I327" s="166">
        <v>0</v>
      </c>
      <c r="J327" s="166">
        <v>0</v>
      </c>
      <c r="K327" s="166" t="str">
        <f t="shared" si="5"/>
        <v>INSTRUMENTCCF</v>
      </c>
    </row>
    <row r="328" spans="1:11" hidden="1">
      <c r="A328" s="166" t="s">
        <v>2056</v>
      </c>
      <c r="B328" s="166" t="s">
        <v>2057</v>
      </c>
      <c r="C328" s="166" t="s">
        <v>127</v>
      </c>
      <c r="D328" s="166" t="s">
        <v>173</v>
      </c>
      <c r="E328" s="166" t="s">
        <v>1534</v>
      </c>
      <c r="F328" s="166" t="s">
        <v>1939</v>
      </c>
      <c r="G328" s="166" t="s">
        <v>129</v>
      </c>
      <c r="H328" s="166">
        <v>2266163</v>
      </c>
      <c r="I328" s="166">
        <v>0</v>
      </c>
      <c r="J328" s="166">
        <v>0</v>
      </c>
      <c r="K328" s="166" t="str">
        <f t="shared" si="5"/>
        <v>INSTRUMENTCMMTMNT_INCPTN_INSTRMNT</v>
      </c>
    </row>
    <row r="329" spans="1:11" hidden="1">
      <c r="A329" s="166" t="s">
        <v>2058</v>
      </c>
      <c r="B329" s="166" t="s">
        <v>2059</v>
      </c>
      <c r="C329" s="166" t="s">
        <v>127</v>
      </c>
      <c r="D329" s="166" t="s">
        <v>482</v>
      </c>
      <c r="E329" s="166" t="s">
        <v>1534</v>
      </c>
      <c r="F329" s="166" t="s">
        <v>1939</v>
      </c>
      <c r="G329" s="166" t="s">
        <v>129</v>
      </c>
      <c r="H329" s="166">
        <v>2266163</v>
      </c>
      <c r="I329" s="166">
        <v>0</v>
      </c>
      <c r="J329" s="166">
        <v>0</v>
      </c>
      <c r="K329" s="166" t="str">
        <f t="shared" si="5"/>
        <v>INSTRUMENTCMMTMNT_INSTRMNT</v>
      </c>
    </row>
    <row r="330" spans="1:11" hidden="1">
      <c r="A330" s="166" t="s">
        <v>2060</v>
      </c>
      <c r="B330" s="166" t="s">
        <v>2061</v>
      </c>
      <c r="C330" s="166" t="s">
        <v>127</v>
      </c>
      <c r="D330" s="166" t="s">
        <v>200</v>
      </c>
      <c r="E330" s="166" t="s">
        <v>1534</v>
      </c>
      <c r="F330" s="166" t="s">
        <v>1939</v>
      </c>
      <c r="G330" s="166" t="s">
        <v>129</v>
      </c>
      <c r="H330" s="166">
        <v>2266163</v>
      </c>
      <c r="I330" s="166">
        <v>0</v>
      </c>
      <c r="J330" s="166">
        <v>0</v>
      </c>
      <c r="K330" s="166" t="str">
        <f t="shared" si="5"/>
        <v>INSTRUMENTCRRYNG_AMNT_INSTRMNT</v>
      </c>
    </row>
    <row r="331" spans="1:11" hidden="1">
      <c r="A331" s="166" t="s">
        <v>2062</v>
      </c>
      <c r="B331" s="166" t="s">
        <v>2063</v>
      </c>
      <c r="C331" s="166" t="s">
        <v>127</v>
      </c>
      <c r="D331" s="166" t="s">
        <v>210</v>
      </c>
      <c r="E331" s="166" t="s">
        <v>1534</v>
      </c>
      <c r="F331" s="166" t="s">
        <v>1939</v>
      </c>
      <c r="G331" s="166" t="s">
        <v>129</v>
      </c>
      <c r="H331" s="166">
        <v>2266163</v>
      </c>
      <c r="I331" s="166">
        <v>0</v>
      </c>
      <c r="J331" s="166">
        <v>0</v>
      </c>
      <c r="K331" s="166" t="str">
        <f t="shared" si="5"/>
        <v>INSTRUMENTDBT_YLD</v>
      </c>
    </row>
    <row r="332" spans="1:11" hidden="1">
      <c r="A332" s="166" t="s">
        <v>2064</v>
      </c>
      <c r="B332" s="166" t="s">
        <v>2065</v>
      </c>
      <c r="C332" s="166" t="s">
        <v>127</v>
      </c>
      <c r="D332" s="166" t="s">
        <v>496</v>
      </c>
      <c r="E332" s="166" t="s">
        <v>1524</v>
      </c>
      <c r="F332" s="166" t="s">
        <v>1939</v>
      </c>
      <c r="G332" s="166" t="s">
        <v>129</v>
      </c>
      <c r="H332" s="166">
        <v>2266163</v>
      </c>
      <c r="I332" s="166">
        <v>0</v>
      </c>
      <c r="J332" s="166">
        <v>0</v>
      </c>
      <c r="K332" s="166" t="str">
        <f t="shared" si="5"/>
        <v>INSTRUMENTDT_LGL_FNL_MTRTY</v>
      </c>
    </row>
    <row r="333" spans="1:11" hidden="1">
      <c r="A333" s="166" t="s">
        <v>2066</v>
      </c>
      <c r="B333" s="166" t="s">
        <v>2067</v>
      </c>
      <c r="C333" s="166" t="s">
        <v>127</v>
      </c>
      <c r="D333" s="166" t="s">
        <v>500</v>
      </c>
      <c r="E333" s="166" t="s">
        <v>1524</v>
      </c>
      <c r="F333" s="166" t="s">
        <v>1939</v>
      </c>
      <c r="G333" s="166" t="s">
        <v>129</v>
      </c>
      <c r="H333" s="166">
        <v>2266163</v>
      </c>
      <c r="I333" s="166">
        <v>0</v>
      </c>
      <c r="J333" s="166">
        <v>0</v>
      </c>
      <c r="K333" s="166" t="str">
        <f t="shared" si="5"/>
        <v>INSTRUMENTDT_NXT_INTRST_RT_RST</v>
      </c>
    </row>
    <row r="334" spans="1:11" hidden="1">
      <c r="A334" s="166" t="s">
        <v>2068</v>
      </c>
      <c r="B334" s="166" t="s">
        <v>2069</v>
      </c>
      <c r="C334" s="166" t="s">
        <v>127</v>
      </c>
      <c r="D334" s="166" t="s">
        <v>274</v>
      </c>
      <c r="E334" s="166" t="s">
        <v>1524</v>
      </c>
      <c r="F334" s="166" t="s">
        <v>1939</v>
      </c>
      <c r="G334" s="166" t="s">
        <v>129</v>
      </c>
      <c r="H334" s="166">
        <v>2266163</v>
      </c>
      <c r="I334" s="166">
        <v>0</v>
      </c>
      <c r="J334" s="166">
        <v>0</v>
      </c>
      <c r="K334" s="166" t="str">
        <f t="shared" si="5"/>
        <v>INSTRUMENTDT_ORGNL_MTRTY</v>
      </c>
    </row>
    <row r="335" spans="1:11" hidden="1">
      <c r="A335" s="166" t="s">
        <v>2070</v>
      </c>
      <c r="B335" s="166" t="s">
        <v>754</v>
      </c>
      <c r="C335" s="166" t="s">
        <v>127</v>
      </c>
      <c r="D335" s="166" t="s">
        <v>278</v>
      </c>
      <c r="E335" s="166" t="s">
        <v>1534</v>
      </c>
      <c r="F335" s="166" t="s">
        <v>1939</v>
      </c>
      <c r="G335" s="166" t="s">
        <v>129</v>
      </c>
      <c r="H335" s="166">
        <v>2266163</v>
      </c>
      <c r="I335" s="166">
        <v>0</v>
      </c>
      <c r="J335" s="166">
        <v>0</v>
      </c>
      <c r="K335" s="166" t="str">
        <f t="shared" si="5"/>
        <v>INSTRUMENTIFRS9_BHVRL_MTRTY</v>
      </c>
    </row>
    <row r="336" spans="1:11" hidden="1">
      <c r="A336" s="166" t="s">
        <v>2071</v>
      </c>
      <c r="B336" s="166" t="s">
        <v>2072</v>
      </c>
      <c r="C336" s="166" t="s">
        <v>127</v>
      </c>
      <c r="D336" s="166" t="s">
        <v>289</v>
      </c>
      <c r="E336" s="166" t="s">
        <v>1534</v>
      </c>
      <c r="F336" s="166" t="s">
        <v>1939</v>
      </c>
      <c r="G336" s="166" t="s">
        <v>129</v>
      </c>
      <c r="H336" s="166">
        <v>2266163</v>
      </c>
      <c r="I336" s="166">
        <v>0</v>
      </c>
      <c r="J336" s="166">
        <v>0</v>
      </c>
      <c r="K336" s="166" t="str">
        <f t="shared" si="5"/>
        <v>INSTRUMENTEAD</v>
      </c>
    </row>
    <row r="337" spans="1:11" hidden="1">
      <c r="A337" s="166" t="s">
        <v>2073</v>
      </c>
      <c r="B337" s="166" t="s">
        <v>2074</v>
      </c>
      <c r="C337" s="166" t="s">
        <v>127</v>
      </c>
      <c r="D337" s="166" t="s">
        <v>355</v>
      </c>
      <c r="E337" s="166" t="s">
        <v>1534</v>
      </c>
      <c r="F337" s="166" t="s">
        <v>1939</v>
      </c>
      <c r="G337" s="166" t="s">
        <v>129</v>
      </c>
      <c r="H337" s="166">
        <v>2266163</v>
      </c>
      <c r="I337" s="166">
        <v>0</v>
      </c>
      <c r="J337" s="166">
        <v>0</v>
      </c>
      <c r="K337" s="166" t="str">
        <f t="shared" si="5"/>
        <v>INSTRUMENTIFRS9_CCF</v>
      </c>
    </row>
    <row r="338" spans="1:11" hidden="1">
      <c r="A338" s="166" t="s">
        <v>2075</v>
      </c>
      <c r="B338" s="166" t="s">
        <v>2076</v>
      </c>
      <c r="C338" s="166" t="s">
        <v>127</v>
      </c>
      <c r="D338" s="166" t="s">
        <v>357</v>
      </c>
      <c r="E338" s="166" t="s">
        <v>1534</v>
      </c>
      <c r="F338" s="166" t="s">
        <v>1939</v>
      </c>
      <c r="G338" s="166" t="s">
        <v>129</v>
      </c>
      <c r="H338" s="166">
        <v>2266163</v>
      </c>
      <c r="I338" s="166">
        <v>0</v>
      </c>
      <c r="J338" s="166">
        <v>0</v>
      </c>
      <c r="K338" s="166" t="str">
        <f t="shared" si="5"/>
        <v>INSTRUMENTIFRS9_EAD</v>
      </c>
    </row>
    <row r="339" spans="1:11" hidden="1">
      <c r="A339" s="166" t="s">
        <v>2077</v>
      </c>
      <c r="B339" s="166" t="s">
        <v>2078</v>
      </c>
      <c r="C339" s="166" t="s">
        <v>127</v>
      </c>
      <c r="D339" s="166" t="s">
        <v>295</v>
      </c>
      <c r="E339" s="166" t="s">
        <v>1534</v>
      </c>
      <c r="F339" s="166" t="s">
        <v>1939</v>
      </c>
      <c r="G339" s="166" t="s">
        <v>129</v>
      </c>
      <c r="H339" s="166">
        <v>2266163</v>
      </c>
      <c r="I339" s="166">
        <v>0</v>
      </c>
      <c r="J339" s="166">
        <v>0</v>
      </c>
      <c r="K339" s="166" t="str">
        <f t="shared" si="5"/>
        <v>INSTRUMENTINSTLMNT_PAY</v>
      </c>
    </row>
    <row r="340" spans="1:11" hidden="1">
      <c r="A340" s="166" t="s">
        <v>2079</v>
      </c>
      <c r="B340" s="166" t="s">
        <v>2080</v>
      </c>
      <c r="C340" s="166" t="s">
        <v>127</v>
      </c>
      <c r="D340" s="166" t="s">
        <v>426</v>
      </c>
      <c r="E340" s="166" t="s">
        <v>1534</v>
      </c>
      <c r="F340" s="166" t="s">
        <v>1939</v>
      </c>
      <c r="G340" s="166" t="s">
        <v>129</v>
      </c>
      <c r="H340" s="166">
        <v>2266163</v>
      </c>
      <c r="I340" s="166">
        <v>0</v>
      </c>
      <c r="J340" s="166">
        <v>0</v>
      </c>
      <c r="K340" s="166" t="str">
        <f t="shared" si="5"/>
        <v>INSTRUMENTOFF_BLNC_SHT_AMNT_INSTRMNT</v>
      </c>
    </row>
    <row r="341" spans="1:11" hidden="1">
      <c r="A341" s="166" t="s">
        <v>2081</v>
      </c>
      <c r="B341" s="166" t="s">
        <v>910</v>
      </c>
      <c r="C341" s="166" t="s">
        <v>127</v>
      </c>
      <c r="D341" s="166" t="s">
        <v>427</v>
      </c>
      <c r="E341" s="166" t="s">
        <v>1534</v>
      </c>
      <c r="F341" s="166" t="s">
        <v>1939</v>
      </c>
      <c r="G341" s="166" t="s">
        <v>129</v>
      </c>
      <c r="H341" s="166">
        <v>2266163</v>
      </c>
      <c r="I341" s="166">
        <v>0</v>
      </c>
      <c r="J341" s="166">
        <v>0</v>
      </c>
      <c r="K341" s="166" t="str">
        <f t="shared" si="5"/>
        <v>INSTRUMENTOFF_BLNC_SHT_AMNT_INSTRMNT_PRVS</v>
      </c>
    </row>
    <row r="342" spans="1:11" hidden="1">
      <c r="A342" s="166" t="s">
        <v>2082</v>
      </c>
      <c r="B342" s="166" t="s">
        <v>2083</v>
      </c>
      <c r="C342" s="166" t="s">
        <v>127</v>
      </c>
      <c r="D342" s="166" t="s">
        <v>292</v>
      </c>
      <c r="E342" s="166" t="s">
        <v>1534</v>
      </c>
      <c r="F342" s="166" t="s">
        <v>1939</v>
      </c>
      <c r="G342" s="166" t="s">
        <v>129</v>
      </c>
      <c r="H342" s="166">
        <v>2266163</v>
      </c>
      <c r="I342" s="166">
        <v>0</v>
      </c>
      <c r="J342" s="166">
        <v>0</v>
      </c>
      <c r="K342" s="166" t="str">
        <f t="shared" si="5"/>
        <v>INSTRUMENTOTSTNDNG_NMNL_AMNT_INSTRMNT_PRVS</v>
      </c>
    </row>
    <row r="343" spans="1:11" hidden="1">
      <c r="A343" s="166" t="s">
        <v>2084</v>
      </c>
      <c r="B343" s="166" t="s">
        <v>1247</v>
      </c>
      <c r="C343" s="166" t="s">
        <v>127</v>
      </c>
      <c r="D343" s="166" t="s">
        <v>292</v>
      </c>
      <c r="E343" s="166" t="s">
        <v>1127</v>
      </c>
      <c r="F343" s="166" t="s">
        <v>1128</v>
      </c>
      <c r="G343" s="166" t="s">
        <v>1134</v>
      </c>
      <c r="H343" s="166">
        <v>2138963</v>
      </c>
      <c r="I343" s="166">
        <v>9</v>
      </c>
      <c r="J343" s="166">
        <v>4.0000000000000002E-4</v>
      </c>
      <c r="K343" s="166" t="str">
        <f t="shared" si="5"/>
        <v>INSTRUMENTOTSTNDNG_NMNL_AMNT_INSTRMNT_PRVS</v>
      </c>
    </row>
    <row r="344" spans="1:11" hidden="1">
      <c r="A344" s="166" t="s">
        <v>2085</v>
      </c>
      <c r="B344" s="166" t="s">
        <v>2086</v>
      </c>
      <c r="C344" s="166" t="s">
        <v>127</v>
      </c>
      <c r="D344" s="166" t="s">
        <v>470</v>
      </c>
      <c r="E344" s="166" t="s">
        <v>1534</v>
      </c>
      <c r="F344" s="166" t="s">
        <v>1939</v>
      </c>
      <c r="G344" s="166" t="s">
        <v>129</v>
      </c>
      <c r="H344" s="166">
        <v>2266163</v>
      </c>
      <c r="I344" s="166">
        <v>0</v>
      </c>
      <c r="J344" s="166">
        <v>0</v>
      </c>
      <c r="K344" s="166" t="str">
        <f t="shared" si="5"/>
        <v>INSTRUMENTPRVSNS_OFF_BLNC_SHT</v>
      </c>
    </row>
    <row r="345" spans="1:11" hidden="1">
      <c r="A345" s="166" t="s">
        <v>2087</v>
      </c>
      <c r="B345" s="166" t="s">
        <v>2088</v>
      </c>
      <c r="C345" s="166" t="s">
        <v>127</v>
      </c>
      <c r="D345" s="166" t="s">
        <v>471</v>
      </c>
      <c r="E345" s="166" t="s">
        <v>1531</v>
      </c>
      <c r="F345" s="166" t="s">
        <v>1939</v>
      </c>
      <c r="G345" s="166" t="s">
        <v>129</v>
      </c>
      <c r="H345" s="166">
        <v>2266163</v>
      </c>
      <c r="I345" s="166">
        <v>0</v>
      </c>
      <c r="J345" s="166">
        <v>0</v>
      </c>
      <c r="K345" s="166" t="str">
        <f t="shared" si="5"/>
        <v>INSTRUMENTPYMNT_FRQNCY</v>
      </c>
    </row>
    <row r="346" spans="1:11" hidden="1">
      <c r="A346" s="166" t="s">
        <v>2089</v>
      </c>
      <c r="B346" s="166" t="s">
        <v>2090</v>
      </c>
      <c r="C346" s="166" t="s">
        <v>127</v>
      </c>
      <c r="D346" s="166" t="s">
        <v>494</v>
      </c>
      <c r="E346" s="166" t="s">
        <v>1534</v>
      </c>
      <c r="F346" s="166" t="s">
        <v>1939</v>
      </c>
      <c r="G346" s="166" t="s">
        <v>129</v>
      </c>
      <c r="H346" s="166">
        <v>2266163</v>
      </c>
      <c r="I346" s="166">
        <v>0</v>
      </c>
      <c r="J346" s="166">
        <v>0</v>
      </c>
      <c r="K346" s="166" t="str">
        <f t="shared" si="5"/>
        <v>INSTRUMENTRTNTN_SHR</v>
      </c>
    </row>
    <row r="347" spans="1:11" hidden="1">
      <c r="A347" s="166" t="s">
        <v>2091</v>
      </c>
      <c r="B347" s="166" t="s">
        <v>2092</v>
      </c>
      <c r="C347" s="166" t="s">
        <v>127</v>
      </c>
      <c r="D347" s="166" t="s">
        <v>495</v>
      </c>
      <c r="E347" s="166" t="s">
        <v>1534</v>
      </c>
      <c r="F347" s="166" t="s">
        <v>1939</v>
      </c>
      <c r="G347" s="166" t="s">
        <v>129</v>
      </c>
      <c r="H347" s="166">
        <v>2266163</v>
      </c>
      <c r="I347" s="166">
        <v>0</v>
      </c>
      <c r="J347" s="166">
        <v>0</v>
      </c>
      <c r="K347" s="166" t="str">
        <f t="shared" si="5"/>
        <v>INSTRUMENTRWA</v>
      </c>
    </row>
    <row r="348" spans="1:11" hidden="1">
      <c r="A348" s="166" t="s">
        <v>2093</v>
      </c>
      <c r="B348" s="166" t="s">
        <v>2094</v>
      </c>
      <c r="C348" s="166" t="s">
        <v>127</v>
      </c>
      <c r="D348" s="166" t="s">
        <v>421</v>
      </c>
      <c r="E348" s="166" t="s">
        <v>1531</v>
      </c>
      <c r="F348" s="166" t="s">
        <v>1939</v>
      </c>
      <c r="G348" s="166" t="s">
        <v>129</v>
      </c>
      <c r="H348" s="166">
        <v>2266163</v>
      </c>
      <c r="I348" s="166">
        <v>0</v>
      </c>
      <c r="J348" s="166">
        <v>0</v>
      </c>
      <c r="K348" s="166" t="str">
        <f t="shared" si="5"/>
        <v>INSTRUMENTRWA_MTHD</v>
      </c>
    </row>
    <row r="349" spans="1:11" hidden="1">
      <c r="A349" s="166" t="s">
        <v>2095</v>
      </c>
      <c r="B349" s="166" t="s">
        <v>2096</v>
      </c>
      <c r="C349" s="166" t="s">
        <v>127</v>
      </c>
      <c r="D349" s="166" t="s">
        <v>506</v>
      </c>
      <c r="E349" s="166" t="s">
        <v>1527</v>
      </c>
      <c r="F349" s="166" t="s">
        <v>1939</v>
      </c>
      <c r="G349" s="166" t="s">
        <v>129</v>
      </c>
      <c r="H349" s="166">
        <v>2266163</v>
      </c>
      <c r="I349" s="166">
        <v>0</v>
      </c>
      <c r="J349" s="166">
        <v>0</v>
      </c>
      <c r="K349" s="166" t="str">
        <f t="shared" si="5"/>
        <v>INSTRUMENTSPNSR_NM</v>
      </c>
    </row>
    <row r="350" spans="1:11" hidden="1">
      <c r="A350" s="166" t="s">
        <v>2097</v>
      </c>
      <c r="B350" s="166" t="s">
        <v>2098</v>
      </c>
      <c r="C350" s="166" t="s">
        <v>127</v>
      </c>
      <c r="D350" s="166" t="s">
        <v>133</v>
      </c>
      <c r="E350" s="166" t="s">
        <v>1534</v>
      </c>
      <c r="F350" s="166" t="s">
        <v>1939</v>
      </c>
      <c r="G350" s="166" t="s">
        <v>129</v>
      </c>
      <c r="H350" s="166">
        <v>2266163</v>
      </c>
      <c r="I350" s="166">
        <v>0</v>
      </c>
      <c r="J350" s="166">
        <v>0</v>
      </c>
      <c r="K350" s="166" t="str">
        <f t="shared" si="5"/>
        <v>INSTRUMENTACCMLTD_IMPRMNT_INSTRMNT</v>
      </c>
    </row>
    <row r="351" spans="1:11" hidden="1">
      <c r="A351" s="166" t="s">
        <v>2099</v>
      </c>
      <c r="B351" s="166" t="s">
        <v>2100</v>
      </c>
      <c r="C351" s="166" t="s">
        <v>127</v>
      </c>
      <c r="D351" s="166" t="s">
        <v>134</v>
      </c>
      <c r="E351" s="166" t="s">
        <v>1534</v>
      </c>
      <c r="F351" s="166" t="s">
        <v>1939</v>
      </c>
      <c r="G351" s="166" t="s">
        <v>129</v>
      </c>
      <c r="H351" s="166">
        <v>2266163</v>
      </c>
      <c r="I351" s="166">
        <v>0</v>
      </c>
      <c r="J351" s="166">
        <v>0</v>
      </c>
      <c r="K351" s="166" t="str">
        <f t="shared" si="5"/>
        <v>INSTRUMENTACCMLTD_IMPRMNT_INSTRMNT_PRVS</v>
      </c>
    </row>
    <row r="352" spans="1:11" hidden="1">
      <c r="A352" s="166" t="s">
        <v>2101</v>
      </c>
      <c r="B352" s="166" t="s">
        <v>2102</v>
      </c>
      <c r="C352" s="166" t="s">
        <v>127</v>
      </c>
      <c r="D352" s="166" t="s">
        <v>137</v>
      </c>
      <c r="E352" s="166" t="s">
        <v>1534</v>
      </c>
      <c r="F352" s="166" t="s">
        <v>1939</v>
      </c>
      <c r="G352" s="166" t="s">
        <v>129</v>
      </c>
      <c r="H352" s="166">
        <v>2266163</v>
      </c>
      <c r="I352" s="166">
        <v>0</v>
      </c>
      <c r="J352" s="166">
        <v>0</v>
      </c>
      <c r="K352" s="166" t="str">
        <f t="shared" si="5"/>
        <v>INSTRUMENTACCMLTD_WRTFFS_INSTRMNT</v>
      </c>
    </row>
    <row r="353" spans="1:11" hidden="1">
      <c r="A353" s="166" t="s">
        <v>2103</v>
      </c>
      <c r="B353" s="166" t="s">
        <v>2104</v>
      </c>
      <c r="C353" s="166" t="s">
        <v>127</v>
      </c>
      <c r="D353" s="166" t="s">
        <v>160</v>
      </c>
      <c r="E353" s="166" t="s">
        <v>1534</v>
      </c>
      <c r="F353" s="166" t="s">
        <v>1939</v>
      </c>
      <c r="G353" s="166" t="s">
        <v>129</v>
      </c>
      <c r="H353" s="166">
        <v>2266163</v>
      </c>
      <c r="I353" s="166">
        <v>0</v>
      </c>
      <c r="J353" s="166">
        <v>0</v>
      </c>
      <c r="K353" s="166" t="str">
        <f t="shared" si="5"/>
        <v>INSTRUMENTARRRS_INSTRMNT</v>
      </c>
    </row>
    <row r="354" spans="1:11" hidden="1">
      <c r="A354" s="166" t="s">
        <v>2105</v>
      </c>
      <c r="B354" s="166" t="s">
        <v>2106</v>
      </c>
      <c r="C354" s="166" t="s">
        <v>127</v>
      </c>
      <c r="D354" s="166" t="s">
        <v>161</v>
      </c>
      <c r="E354" s="166" t="s">
        <v>1534</v>
      </c>
      <c r="F354" s="166" t="s">
        <v>1939</v>
      </c>
      <c r="G354" s="166" t="s">
        <v>129</v>
      </c>
      <c r="H354" s="166">
        <v>2266163</v>
      </c>
      <c r="I354" s="166">
        <v>0</v>
      </c>
      <c r="J354" s="166">
        <v>0</v>
      </c>
      <c r="K354" s="166" t="str">
        <f t="shared" si="5"/>
        <v>INSTRUMENTARRRS_INSTRMNT_12M</v>
      </c>
    </row>
    <row r="355" spans="1:11" hidden="1">
      <c r="A355" s="166" t="s">
        <v>2107</v>
      </c>
      <c r="B355" s="166" t="s">
        <v>2108</v>
      </c>
      <c r="C355" s="166" t="s">
        <v>127</v>
      </c>
      <c r="D355" s="166" t="s">
        <v>487</v>
      </c>
      <c r="E355" s="166" t="s">
        <v>1534</v>
      </c>
      <c r="F355" s="166" t="s">
        <v>1939</v>
      </c>
      <c r="G355" s="166" t="s">
        <v>129</v>
      </c>
      <c r="H355" s="166">
        <v>2266163</v>
      </c>
      <c r="I355" s="166">
        <v>0</v>
      </c>
      <c r="J355" s="166">
        <v>0</v>
      </c>
      <c r="K355" s="166" t="str">
        <f t="shared" si="5"/>
        <v>INSTRUMENTCMLTV_RCVRS_SNC_DFLT_INSTRMNT</v>
      </c>
    </row>
    <row r="356" spans="1:11" hidden="1">
      <c r="A356" s="166" t="s">
        <v>2109</v>
      </c>
      <c r="B356" s="166" t="s">
        <v>2110</v>
      </c>
      <c r="C356" s="166" t="s">
        <v>127</v>
      </c>
      <c r="D356" s="166" t="s">
        <v>218</v>
      </c>
      <c r="E356" s="166" t="s">
        <v>1534</v>
      </c>
      <c r="F356" s="166" t="s">
        <v>1939</v>
      </c>
      <c r="G356" s="166" t="s">
        <v>129</v>
      </c>
      <c r="H356" s="166">
        <v>2266163</v>
      </c>
      <c r="I356" s="166">
        <v>0</v>
      </c>
      <c r="J356" s="166">
        <v>0</v>
      </c>
      <c r="K356" s="166" t="str">
        <f t="shared" si="5"/>
        <v>INSTRUMENTDPD</v>
      </c>
    </row>
    <row r="357" spans="1:11" hidden="1">
      <c r="A357" s="166" t="s">
        <v>2111</v>
      </c>
      <c r="B357" s="166" t="s">
        <v>2112</v>
      </c>
      <c r="C357" s="166" t="s">
        <v>127</v>
      </c>
      <c r="D357" s="166" t="s">
        <v>219</v>
      </c>
      <c r="E357" s="166" t="s">
        <v>1534</v>
      </c>
      <c r="F357" s="166" t="s">
        <v>1939</v>
      </c>
      <c r="G357" s="166" t="s">
        <v>129</v>
      </c>
      <c r="H357" s="166">
        <v>2266163</v>
      </c>
      <c r="I357" s="166">
        <v>0</v>
      </c>
      <c r="J357" s="166">
        <v>0</v>
      </c>
      <c r="K357" s="166" t="str">
        <f t="shared" si="5"/>
        <v>INSTRUMENTDPD_12M</v>
      </c>
    </row>
    <row r="358" spans="1:11" hidden="1">
      <c r="A358" s="166" t="s">
        <v>2113</v>
      </c>
      <c r="B358" s="166" t="s">
        <v>2114</v>
      </c>
      <c r="C358" s="166" t="s">
        <v>127</v>
      </c>
      <c r="D358" s="166" t="s">
        <v>220</v>
      </c>
      <c r="E358" s="166" t="s">
        <v>1534</v>
      </c>
      <c r="F358" s="166" t="s">
        <v>1939</v>
      </c>
      <c r="G358" s="166" t="s">
        <v>129</v>
      </c>
      <c r="H358" s="166">
        <v>2266163</v>
      </c>
      <c r="I358" s="166">
        <v>0</v>
      </c>
      <c r="J358" s="166">
        <v>0</v>
      </c>
      <c r="K358" s="166" t="str">
        <f t="shared" si="5"/>
        <v>INSTRUMENTDPD_12M_FRBRNC_STTS</v>
      </c>
    </row>
    <row r="359" spans="1:11" hidden="1">
      <c r="A359" s="166" t="s">
        <v>2115</v>
      </c>
      <c r="B359" s="166" t="s">
        <v>2116</v>
      </c>
      <c r="C359" s="166" t="s">
        <v>127</v>
      </c>
      <c r="D359" s="166" t="s">
        <v>48</v>
      </c>
      <c r="E359" s="166" t="s">
        <v>1534</v>
      </c>
      <c r="F359" s="166" t="s">
        <v>1939</v>
      </c>
      <c r="G359" s="166" t="s">
        <v>129</v>
      </c>
      <c r="H359" s="166">
        <v>2266163</v>
      </c>
      <c r="I359" s="166">
        <v>0</v>
      </c>
      <c r="J359" s="166">
        <v>0</v>
      </c>
      <c r="K359" s="166" t="str">
        <f t="shared" si="5"/>
        <v>INSTRUMENTDPD_12M_PRFRMNG_STTS</v>
      </c>
    </row>
    <row r="360" spans="1:11" hidden="1">
      <c r="A360" s="166" t="s">
        <v>2117</v>
      </c>
      <c r="B360" s="166" t="s">
        <v>2118</v>
      </c>
      <c r="C360" s="166" t="s">
        <v>127</v>
      </c>
      <c r="D360" s="166" t="s">
        <v>223</v>
      </c>
      <c r="E360" s="166" t="s">
        <v>1534</v>
      </c>
      <c r="F360" s="166" t="s">
        <v>1939</v>
      </c>
      <c r="G360" s="166" t="s">
        <v>129</v>
      </c>
      <c r="H360" s="166">
        <v>2266163</v>
      </c>
      <c r="I360" s="166">
        <v>0</v>
      </c>
      <c r="J360" s="166">
        <v>0</v>
      </c>
      <c r="K360" s="166" t="str">
        <f t="shared" si="5"/>
        <v>INSTRUMENTDPD_24M_FRBRNC_STTS</v>
      </c>
    </row>
    <row r="361" spans="1:11" hidden="1">
      <c r="A361" s="166" t="s">
        <v>2119</v>
      </c>
      <c r="B361" s="166" t="s">
        <v>2120</v>
      </c>
      <c r="C361" s="166" t="s">
        <v>127</v>
      </c>
      <c r="D361" s="166" t="s">
        <v>49</v>
      </c>
      <c r="E361" s="166" t="s">
        <v>1534</v>
      </c>
      <c r="F361" s="166" t="s">
        <v>1939</v>
      </c>
      <c r="G361" s="166" t="s">
        <v>129</v>
      </c>
      <c r="H361" s="166">
        <v>2266163</v>
      </c>
      <c r="I361" s="166">
        <v>0</v>
      </c>
      <c r="J361" s="166">
        <v>0</v>
      </c>
      <c r="K361" s="166" t="str">
        <f t="shared" si="5"/>
        <v>INSTRUMENTDPD_24M_PRFRMNG_STTS</v>
      </c>
    </row>
    <row r="362" spans="1:11" hidden="1">
      <c r="A362" s="166" t="s">
        <v>2121</v>
      </c>
      <c r="B362" s="166" t="s">
        <v>2122</v>
      </c>
      <c r="C362" s="166" t="s">
        <v>127</v>
      </c>
      <c r="D362" s="166" t="s">
        <v>225</v>
      </c>
      <c r="E362" s="166" t="s">
        <v>1534</v>
      </c>
      <c r="F362" s="166" t="s">
        <v>1939</v>
      </c>
      <c r="G362" s="166" t="s">
        <v>129</v>
      </c>
      <c r="H362" s="166">
        <v>2266163</v>
      </c>
      <c r="I362" s="166">
        <v>0</v>
      </c>
      <c r="J362" s="166">
        <v>0</v>
      </c>
      <c r="K362" s="166" t="str">
        <f t="shared" si="5"/>
        <v>INSTRUMENTDPD_FRBRNC_STTS</v>
      </c>
    </row>
    <row r="363" spans="1:11" hidden="1">
      <c r="A363" s="166" t="s">
        <v>2123</v>
      </c>
      <c r="B363" s="166" t="s">
        <v>2124</v>
      </c>
      <c r="C363" s="166" t="s">
        <v>127</v>
      </c>
      <c r="D363" s="166" t="s">
        <v>50</v>
      </c>
      <c r="E363" s="166" t="s">
        <v>1534</v>
      </c>
      <c r="F363" s="166" t="s">
        <v>1939</v>
      </c>
      <c r="G363" s="166" t="s">
        <v>129</v>
      </c>
      <c r="H363" s="166">
        <v>2266163</v>
      </c>
      <c r="I363" s="166">
        <v>0</v>
      </c>
      <c r="J363" s="166">
        <v>0</v>
      </c>
      <c r="K363" s="166" t="str">
        <f t="shared" si="5"/>
        <v>INSTRUMENTDPD_PRFRMNG_STTS</v>
      </c>
    </row>
    <row r="364" spans="1:11" hidden="1">
      <c r="A364" s="166" t="s">
        <v>2125</v>
      </c>
      <c r="B364" s="166" t="s">
        <v>2126</v>
      </c>
      <c r="C364" s="166" t="s">
        <v>127</v>
      </c>
      <c r="D364" s="166" t="s">
        <v>51</v>
      </c>
      <c r="E364" s="166" t="s">
        <v>1524</v>
      </c>
      <c r="F364" s="166" t="s">
        <v>1939</v>
      </c>
      <c r="G364" s="166" t="s">
        <v>129</v>
      </c>
      <c r="H364" s="166">
        <v>2266163</v>
      </c>
      <c r="I364" s="166">
        <v>0</v>
      </c>
      <c r="J364" s="166">
        <v>0</v>
      </c>
      <c r="K364" s="166" t="str">
        <f t="shared" si="5"/>
        <v>INSTRUMENTDT_IMPRMNT_STTS</v>
      </c>
    </row>
    <row r="365" spans="1:11" hidden="1">
      <c r="A365" s="166" t="s">
        <v>2127</v>
      </c>
      <c r="B365" s="166" t="s">
        <v>2128</v>
      </c>
      <c r="C365" s="166" t="s">
        <v>127</v>
      </c>
      <c r="D365" s="166" t="s">
        <v>52</v>
      </c>
      <c r="E365" s="166" t="s">
        <v>1524</v>
      </c>
      <c r="F365" s="166" t="s">
        <v>1939</v>
      </c>
      <c r="G365" s="166" t="s">
        <v>129</v>
      </c>
      <c r="H365" s="166">
        <v>2266163</v>
      </c>
      <c r="I365" s="166">
        <v>0</v>
      </c>
      <c r="J365" s="166">
        <v>0</v>
      </c>
      <c r="K365" s="166" t="str">
        <f t="shared" si="5"/>
        <v>INSTRUMENTDT_IMPRMNT_STTS_PRVS</v>
      </c>
    </row>
    <row r="366" spans="1:11" hidden="1">
      <c r="A366" s="166" t="s">
        <v>2129</v>
      </c>
      <c r="B366" s="166" t="s">
        <v>2130</v>
      </c>
      <c r="C366" s="166" t="s">
        <v>127</v>
      </c>
      <c r="D366" s="166" t="s">
        <v>282</v>
      </c>
      <c r="E366" s="166" t="s">
        <v>1524</v>
      </c>
      <c r="F366" s="166" t="s">
        <v>1939</v>
      </c>
      <c r="G366" s="166" t="s">
        <v>129</v>
      </c>
      <c r="H366" s="166">
        <v>2266163</v>
      </c>
      <c r="I366" s="166">
        <v>0</v>
      </c>
      <c r="J366" s="166">
        <v>0</v>
      </c>
      <c r="K366" s="166" t="str">
        <f t="shared" si="5"/>
        <v>INSTRUMENTDT_PST_D</v>
      </c>
    </row>
    <row r="367" spans="1:11" hidden="1">
      <c r="A367" s="166" t="s">
        <v>2131</v>
      </c>
      <c r="B367" s="166" t="s">
        <v>2132</v>
      </c>
      <c r="C367" s="166" t="s">
        <v>127</v>
      </c>
      <c r="D367" s="166" t="s">
        <v>359</v>
      </c>
      <c r="E367" s="166" t="s">
        <v>1531</v>
      </c>
      <c r="F367" s="166" t="s">
        <v>1939</v>
      </c>
      <c r="G367" s="166" t="s">
        <v>129</v>
      </c>
      <c r="H367" s="166">
        <v>2266163</v>
      </c>
      <c r="I367" s="166">
        <v>0</v>
      </c>
      <c r="J367" s="166">
        <v>0</v>
      </c>
      <c r="K367" s="166" t="str">
        <f t="shared" si="5"/>
        <v>INSTRUMENTIMPRMNT_ASSSSMNT_MTHD</v>
      </c>
    </row>
    <row r="368" spans="1:11" hidden="1">
      <c r="A368" s="166" t="s">
        <v>2133</v>
      </c>
      <c r="B368" s="166" t="s">
        <v>2134</v>
      </c>
      <c r="C368" s="166" t="s">
        <v>127</v>
      </c>
      <c r="D368" s="166" t="s">
        <v>360</v>
      </c>
      <c r="E368" s="166" t="s">
        <v>1531</v>
      </c>
      <c r="F368" s="166" t="s">
        <v>1939</v>
      </c>
      <c r="G368" s="166" t="s">
        <v>129</v>
      </c>
      <c r="H368" s="166">
        <v>2266163</v>
      </c>
      <c r="I368" s="166">
        <v>0</v>
      </c>
      <c r="J368" s="166">
        <v>0</v>
      </c>
      <c r="K368" s="166" t="str">
        <f t="shared" si="5"/>
        <v>INSTRUMENTIMPRMNT_CLCLTN_MTHD</v>
      </c>
    </row>
    <row r="369" spans="1:11" hidden="1">
      <c r="A369" s="166" t="s">
        <v>2135</v>
      </c>
      <c r="B369" s="166" t="s">
        <v>2136</v>
      </c>
      <c r="C369" s="166" t="s">
        <v>127</v>
      </c>
      <c r="D369" s="166" t="s">
        <v>418</v>
      </c>
      <c r="E369" s="166" t="s">
        <v>1534</v>
      </c>
      <c r="F369" s="166" t="s">
        <v>1939</v>
      </c>
      <c r="G369" s="166" t="s">
        <v>129</v>
      </c>
      <c r="H369" s="166">
        <v>2266163</v>
      </c>
      <c r="I369" s="166">
        <v>0</v>
      </c>
      <c r="J369" s="166">
        <v>0</v>
      </c>
      <c r="K369" s="166" t="str">
        <f t="shared" si="5"/>
        <v>INSTRUMENTNMBR_FRBRNC_MSRS</v>
      </c>
    </row>
    <row r="370" spans="1:11" hidden="1">
      <c r="A370" s="166" t="s">
        <v>2137</v>
      </c>
      <c r="B370" s="166" t="s">
        <v>2138</v>
      </c>
      <c r="C370" s="166" t="s">
        <v>127</v>
      </c>
      <c r="D370" s="166" t="s">
        <v>358</v>
      </c>
      <c r="E370" s="166" t="s">
        <v>1534</v>
      </c>
      <c r="F370" s="166" t="s">
        <v>1939</v>
      </c>
      <c r="G370" s="166" t="s">
        <v>129</v>
      </c>
      <c r="H370" s="166">
        <v>2266163</v>
      </c>
      <c r="I370" s="166">
        <v>0</v>
      </c>
      <c r="J370" s="166">
        <v>0</v>
      </c>
      <c r="K370" s="166" t="str">
        <f t="shared" si="5"/>
        <v>INSTRUMENTIFRS9_LGD</v>
      </c>
    </row>
    <row r="371" spans="1:11" hidden="1">
      <c r="A371" s="166" t="s">
        <v>2139</v>
      </c>
      <c r="B371" s="166" t="s">
        <v>2140</v>
      </c>
      <c r="C371" s="166" t="s">
        <v>127</v>
      </c>
      <c r="D371" s="166" t="s">
        <v>396</v>
      </c>
      <c r="E371" s="166" t="s">
        <v>1534</v>
      </c>
      <c r="F371" s="166" t="s">
        <v>1939</v>
      </c>
      <c r="G371" s="166" t="s">
        <v>129</v>
      </c>
      <c r="H371" s="166">
        <v>2266163</v>
      </c>
      <c r="I371" s="166">
        <v>0</v>
      </c>
      <c r="J371" s="166">
        <v>0</v>
      </c>
      <c r="K371" s="166" t="str">
        <f t="shared" si="5"/>
        <v>INSTRUMENTLGD</v>
      </c>
    </row>
    <row r="372" spans="1:11" hidden="1">
      <c r="A372" s="166" t="s">
        <v>2141</v>
      </c>
      <c r="B372" s="166" t="s">
        <v>2142</v>
      </c>
      <c r="C372" s="166" t="s">
        <v>127</v>
      </c>
      <c r="D372" s="166" t="s">
        <v>403</v>
      </c>
      <c r="E372" s="166" t="s">
        <v>1534</v>
      </c>
      <c r="F372" s="166" t="s">
        <v>1939</v>
      </c>
      <c r="G372" s="166" t="s">
        <v>129</v>
      </c>
      <c r="H372" s="166">
        <v>2266163</v>
      </c>
      <c r="I372" s="166">
        <v>0</v>
      </c>
      <c r="J372" s="166">
        <v>0</v>
      </c>
      <c r="K372" s="166" t="str">
        <f t="shared" si="5"/>
        <v>INSTRUMENTLTV</v>
      </c>
    </row>
    <row r="373" spans="1:11" hidden="1">
      <c r="A373" s="166" t="s">
        <v>2143</v>
      </c>
      <c r="B373" s="166" t="s">
        <v>2144</v>
      </c>
      <c r="C373" s="166" t="s">
        <v>127</v>
      </c>
      <c r="D373" s="166" t="s">
        <v>404</v>
      </c>
      <c r="E373" s="166" t="s">
        <v>1534</v>
      </c>
      <c r="F373" s="166" t="s">
        <v>1939</v>
      </c>
      <c r="G373" s="166" t="s">
        <v>129</v>
      </c>
      <c r="H373" s="166">
        <v>2266163</v>
      </c>
      <c r="I373" s="166">
        <v>0</v>
      </c>
      <c r="J373" s="166">
        <v>0</v>
      </c>
      <c r="K373" s="166" t="str">
        <f t="shared" si="5"/>
        <v>INSTRUMENTLTV_INCPTN</v>
      </c>
    </row>
    <row r="374" spans="1:11" hidden="1">
      <c r="A374" s="166" t="s">
        <v>2145</v>
      </c>
      <c r="B374" s="166" t="s">
        <v>2146</v>
      </c>
      <c r="C374" s="166" t="s">
        <v>127</v>
      </c>
      <c r="D374" s="166" t="s">
        <v>405</v>
      </c>
      <c r="E374" s="166" t="s">
        <v>1534</v>
      </c>
      <c r="F374" s="166" t="s">
        <v>1939</v>
      </c>
      <c r="G374" s="166" t="s">
        <v>129</v>
      </c>
      <c r="H374" s="166">
        <v>2266163</v>
      </c>
      <c r="I374" s="166">
        <v>0</v>
      </c>
      <c r="J374" s="166">
        <v>0</v>
      </c>
      <c r="K374" s="166" t="str">
        <f t="shared" si="5"/>
        <v>INSTRUMENTLTV_NPE</v>
      </c>
    </row>
    <row r="375" spans="1:11" hidden="1">
      <c r="A375" s="166" t="s">
        <v>2147</v>
      </c>
      <c r="B375" s="166" t="s">
        <v>2148</v>
      </c>
      <c r="C375" s="166" t="s">
        <v>127</v>
      </c>
      <c r="D375" s="166" t="s">
        <v>435</v>
      </c>
      <c r="E375" s="166" t="s">
        <v>1534</v>
      </c>
      <c r="F375" s="166" t="s">
        <v>1939</v>
      </c>
      <c r="G375" s="166" t="s">
        <v>129</v>
      </c>
      <c r="H375" s="166">
        <v>2266163</v>
      </c>
      <c r="I375" s="166">
        <v>0</v>
      </c>
      <c r="J375" s="166">
        <v>0</v>
      </c>
      <c r="K375" s="166" t="str">
        <f t="shared" si="5"/>
        <v>INSTRUMENTPD_CRR_INCPTN</v>
      </c>
    </row>
    <row r="376" spans="1:11" hidden="1">
      <c r="A376" s="166" t="s">
        <v>2149</v>
      </c>
      <c r="B376" s="166" t="s">
        <v>1712</v>
      </c>
      <c r="C376" s="166" t="s">
        <v>127</v>
      </c>
      <c r="D376" s="166" t="s">
        <v>437</v>
      </c>
      <c r="E376" s="166" t="s">
        <v>1534</v>
      </c>
      <c r="F376" s="166" t="s">
        <v>1939</v>
      </c>
      <c r="G376" s="166" t="s">
        <v>129</v>
      </c>
      <c r="H376" s="166">
        <v>2266163</v>
      </c>
      <c r="I376" s="166">
        <v>0</v>
      </c>
      <c r="J376" s="166">
        <v>0</v>
      </c>
      <c r="K376" s="166" t="str">
        <f t="shared" si="5"/>
        <v>INSTRUMENTPD_CRR_RD</v>
      </c>
    </row>
    <row r="377" spans="1:11" hidden="1">
      <c r="A377" s="166" t="s">
        <v>2150</v>
      </c>
      <c r="B377" s="166" t="s">
        <v>1726</v>
      </c>
      <c r="C377" s="166" t="s">
        <v>127</v>
      </c>
      <c r="D377" s="166" t="s">
        <v>438</v>
      </c>
      <c r="E377" s="166" t="s">
        <v>1534</v>
      </c>
      <c r="F377" s="166" t="s">
        <v>1939</v>
      </c>
      <c r="G377" s="166" t="s">
        <v>129</v>
      </c>
      <c r="H377" s="166">
        <v>2266163</v>
      </c>
      <c r="I377" s="166">
        <v>0</v>
      </c>
      <c r="J377" s="166">
        <v>0</v>
      </c>
      <c r="K377" s="166" t="str">
        <f t="shared" si="5"/>
        <v>INSTRUMENTPD_CRR_RD_T1</v>
      </c>
    </row>
    <row r="378" spans="1:11" hidden="1">
      <c r="A378" s="166" t="s">
        <v>2151</v>
      </c>
      <c r="B378" s="166" t="s">
        <v>2152</v>
      </c>
      <c r="C378" s="166" t="s">
        <v>127</v>
      </c>
      <c r="D378" s="166" t="s">
        <v>439</v>
      </c>
      <c r="E378" s="166" t="s">
        <v>1534</v>
      </c>
      <c r="F378" s="166" t="s">
        <v>1939</v>
      </c>
      <c r="G378" s="166" t="s">
        <v>129</v>
      </c>
      <c r="H378" s="166">
        <v>2266163</v>
      </c>
      <c r="I378" s="166">
        <v>0</v>
      </c>
      <c r="J378" s="166">
        <v>0</v>
      </c>
      <c r="K378" s="166" t="str">
        <f t="shared" si="5"/>
        <v>INSTRUMENTPD_IFRS9_12M_INCPTN</v>
      </c>
    </row>
    <row r="379" spans="1:11" hidden="1">
      <c r="A379" s="166" t="s">
        <v>2153</v>
      </c>
      <c r="B379" s="166" t="s">
        <v>1714</v>
      </c>
      <c r="C379" s="166" t="s">
        <v>127</v>
      </c>
      <c r="D379" s="166" t="s">
        <v>440</v>
      </c>
      <c r="E379" s="166" t="s">
        <v>1534</v>
      </c>
      <c r="F379" s="166" t="s">
        <v>1939</v>
      </c>
      <c r="G379" s="166" t="s">
        <v>129</v>
      </c>
      <c r="H379" s="166">
        <v>2266163</v>
      </c>
      <c r="I379" s="166">
        <v>0</v>
      </c>
      <c r="J379" s="166">
        <v>0</v>
      </c>
      <c r="K379" s="166" t="str">
        <f t="shared" si="5"/>
        <v>INSTRUMENTPD_IFRS9_12M_RD</v>
      </c>
    </row>
    <row r="380" spans="1:11" hidden="1">
      <c r="A380" s="166" t="s">
        <v>2154</v>
      </c>
      <c r="B380" s="166" t="s">
        <v>1716</v>
      </c>
      <c r="C380" s="166" t="s">
        <v>127</v>
      </c>
      <c r="D380" s="166" t="s">
        <v>442</v>
      </c>
      <c r="E380" s="166" t="s">
        <v>1534</v>
      </c>
      <c r="F380" s="166" t="s">
        <v>1939</v>
      </c>
      <c r="G380" s="166" t="s">
        <v>129</v>
      </c>
      <c r="H380" s="166">
        <v>2266163</v>
      </c>
      <c r="I380" s="166">
        <v>0</v>
      </c>
      <c r="J380" s="166">
        <v>0</v>
      </c>
      <c r="K380" s="166" t="str">
        <f t="shared" si="5"/>
        <v>INSTRUMENTPD_IFRS9_12M_RD_T1</v>
      </c>
    </row>
    <row r="381" spans="1:11" hidden="1">
      <c r="A381" s="166" t="s">
        <v>2155</v>
      </c>
      <c r="B381" s="166" t="s">
        <v>2156</v>
      </c>
      <c r="C381" s="166" t="s">
        <v>127</v>
      </c>
      <c r="D381" s="166" t="s">
        <v>443</v>
      </c>
      <c r="E381" s="166" t="s">
        <v>1534</v>
      </c>
      <c r="F381" s="166" t="s">
        <v>1939</v>
      </c>
      <c r="G381" s="166" t="s">
        <v>129</v>
      </c>
      <c r="H381" s="166">
        <v>2266163</v>
      </c>
      <c r="I381" s="166">
        <v>0</v>
      </c>
      <c r="J381" s="166">
        <v>0</v>
      </c>
      <c r="K381" s="166" t="str">
        <f t="shared" si="5"/>
        <v>INSTRUMENTPD_IFRS9_LFTM_INCPTN</v>
      </c>
    </row>
    <row r="382" spans="1:11" hidden="1">
      <c r="A382" s="166" t="s">
        <v>2157</v>
      </c>
      <c r="B382" s="166" t="s">
        <v>2158</v>
      </c>
      <c r="C382" s="166" t="s">
        <v>127</v>
      </c>
      <c r="D382" s="166" t="s">
        <v>444</v>
      </c>
      <c r="E382" s="166" t="s">
        <v>1534</v>
      </c>
      <c r="F382" s="166" t="s">
        <v>1939</v>
      </c>
      <c r="G382" s="166" t="s">
        <v>129</v>
      </c>
      <c r="H382" s="166">
        <v>2266163</v>
      </c>
      <c r="I382" s="166">
        <v>0</v>
      </c>
      <c r="J382" s="166">
        <v>0</v>
      </c>
      <c r="K382" s="166" t="str">
        <f t="shared" si="5"/>
        <v>INSTRUMENTPD_IFRS9_RMNNG_LFTM_INCPTN</v>
      </c>
    </row>
    <row r="383" spans="1:11" hidden="1">
      <c r="A383" s="166" t="s">
        <v>2159</v>
      </c>
      <c r="B383" s="166" t="s">
        <v>2160</v>
      </c>
      <c r="C383" s="166" t="s">
        <v>127</v>
      </c>
      <c r="D383" s="166" t="s">
        <v>445</v>
      </c>
      <c r="E383" s="166" t="s">
        <v>1534</v>
      </c>
      <c r="F383" s="166" t="s">
        <v>1939</v>
      </c>
      <c r="G383" s="166" t="s">
        <v>129</v>
      </c>
      <c r="H383" s="166">
        <v>2266163</v>
      </c>
      <c r="I383" s="166">
        <v>0</v>
      </c>
      <c r="J383" s="166">
        <v>0</v>
      </c>
      <c r="K383" s="166" t="str">
        <f t="shared" si="5"/>
        <v>INSTRUMENTPD_IFRS9_RMNNG_LFTM_RD</v>
      </c>
    </row>
    <row r="384" spans="1:11" hidden="1">
      <c r="A384" s="166" t="s">
        <v>2161</v>
      </c>
      <c r="B384" s="166" t="s">
        <v>1636</v>
      </c>
      <c r="C384" s="166" t="s">
        <v>127</v>
      </c>
      <c r="D384" s="166" t="s">
        <v>492</v>
      </c>
      <c r="E384" s="166" t="s">
        <v>1531</v>
      </c>
      <c r="F384" s="166" t="s">
        <v>1939</v>
      </c>
      <c r="G384" s="166" t="s">
        <v>1134</v>
      </c>
      <c r="H384" s="166">
        <v>2266163</v>
      </c>
      <c r="I384" s="166">
        <v>8</v>
      </c>
      <c r="J384" s="166">
        <v>4.0000000000000002E-4</v>
      </c>
      <c r="K384" s="166" t="str">
        <f t="shared" si="5"/>
        <v>INSTRUMENTRTNG_MTHD</v>
      </c>
    </row>
    <row r="385" spans="1:11" hidden="1">
      <c r="A385" s="166" t="s">
        <v>2162</v>
      </c>
      <c r="B385" s="166" t="s">
        <v>1638</v>
      </c>
      <c r="C385" s="166" t="s">
        <v>127</v>
      </c>
      <c r="D385" s="166" t="s">
        <v>493</v>
      </c>
      <c r="E385" s="166" t="s">
        <v>1531</v>
      </c>
      <c r="F385" s="166" t="s">
        <v>1939</v>
      </c>
      <c r="G385" s="166" t="s">
        <v>129</v>
      </c>
      <c r="H385" s="166">
        <v>2266163</v>
      </c>
      <c r="I385" s="166">
        <v>0</v>
      </c>
      <c r="J385" s="166">
        <v>0</v>
      </c>
      <c r="K385" s="166" t="str">
        <f t="shared" si="5"/>
        <v>INSTRUMENTRTNG_SCL</v>
      </c>
    </row>
    <row r="386" spans="1:11" hidden="1">
      <c r="A386" s="166" t="s">
        <v>2163</v>
      </c>
      <c r="B386" s="166" t="s">
        <v>649</v>
      </c>
      <c r="C386" s="166" t="s">
        <v>127</v>
      </c>
      <c r="D386" s="166" t="s">
        <v>270</v>
      </c>
      <c r="E386" s="166" t="s">
        <v>1531</v>
      </c>
      <c r="F386" s="166" t="s">
        <v>1939</v>
      </c>
      <c r="G386" s="166" t="s">
        <v>129</v>
      </c>
      <c r="H386" s="166">
        <v>2266163</v>
      </c>
      <c r="I386" s="166">
        <v>0</v>
      </c>
      <c r="J386" s="166">
        <v>0</v>
      </c>
      <c r="K386" s="166" t="str">
        <f t="shared" si="5"/>
        <v>INSTRUMENTSICR_ASSSSMNT_MTHD</v>
      </c>
    </row>
    <row r="387" spans="1:11" hidden="1">
      <c r="A387" s="166" t="s">
        <v>2164</v>
      </c>
      <c r="B387" s="166" t="s">
        <v>2165</v>
      </c>
      <c r="C387" s="166" t="s">
        <v>127</v>
      </c>
      <c r="D387" s="166" t="s">
        <v>153</v>
      </c>
      <c r="E387" s="166" t="s">
        <v>1534</v>
      </c>
      <c r="F387" s="166" t="s">
        <v>1939</v>
      </c>
      <c r="G387" s="166" t="s">
        <v>129</v>
      </c>
      <c r="H387" s="166">
        <v>2266163</v>
      </c>
      <c r="I387" s="166">
        <v>0</v>
      </c>
      <c r="J387" s="166">
        <v>0</v>
      </c>
      <c r="K387" s="166" t="str">
        <f t="shared" ref="K387:K450" si="6">_xlfn.CONCAT(_xlfn.IFS(ISNUMBER(SEARCH("EN",A387)),"ENTITY",ISNUMBER(SEARCH("IN",A387)),"INSTRUMENT",ISNUMBER(SEARCH("PR",A387)),"PROTECTION",ISNUMBER(SEARCH("IP",A387)),"INSTR_PROTECTION",ISNUMBER(SEARCH("IE",A387)),"INSTR_ENTITY",ISNUMBER(SEARCH("AC",A387)),"INSTR_ACTIVITY"),D387)</f>
        <v>INSTRUMENTANNLSD_AGRD_RT</v>
      </c>
    </row>
    <row r="388" spans="1:11" hidden="1">
      <c r="A388" s="166" t="s">
        <v>2166</v>
      </c>
      <c r="B388" s="166" t="s">
        <v>2167</v>
      </c>
      <c r="C388" s="166" t="s">
        <v>127</v>
      </c>
      <c r="D388" s="166" t="s">
        <v>300</v>
      </c>
      <c r="E388" s="166" t="s">
        <v>1534</v>
      </c>
      <c r="F388" s="166" t="s">
        <v>1939</v>
      </c>
      <c r="G388" s="166" t="s">
        <v>129</v>
      </c>
      <c r="H388" s="166">
        <v>2266163</v>
      </c>
      <c r="I388" s="166">
        <v>0</v>
      </c>
      <c r="J388" s="166">
        <v>0</v>
      </c>
      <c r="K388" s="166" t="str">
        <f t="shared" si="6"/>
        <v>INSTRUMENTEIR</v>
      </c>
    </row>
    <row r="389" spans="1:11" hidden="1">
      <c r="A389" s="166" t="s">
        <v>2168</v>
      </c>
      <c r="B389" s="166" t="s">
        <v>2169</v>
      </c>
      <c r="C389" s="166" t="s">
        <v>127</v>
      </c>
      <c r="D389" s="166" t="s">
        <v>301</v>
      </c>
      <c r="E389" s="166" t="s">
        <v>1534</v>
      </c>
      <c r="F389" s="166" t="s">
        <v>1939</v>
      </c>
      <c r="G389" s="166" t="s">
        <v>129</v>
      </c>
      <c r="H389" s="166">
        <v>2266163</v>
      </c>
      <c r="I389" s="166">
        <v>0</v>
      </c>
      <c r="J389" s="166">
        <v>0</v>
      </c>
      <c r="K389" s="166" t="str">
        <f t="shared" si="6"/>
        <v>INSTRUMENTEIR_INCPTN</v>
      </c>
    </row>
    <row r="390" spans="1:11" hidden="1">
      <c r="A390" s="166" t="s">
        <v>2170</v>
      </c>
      <c r="B390" s="166" t="s">
        <v>2171</v>
      </c>
      <c r="C390" s="166" t="s">
        <v>127</v>
      </c>
      <c r="D390" s="166" t="s">
        <v>379</v>
      </c>
      <c r="E390" s="166" t="s">
        <v>1531</v>
      </c>
      <c r="F390" s="166" t="s">
        <v>1939</v>
      </c>
      <c r="G390" s="166" t="s">
        <v>129</v>
      </c>
      <c r="H390" s="166">
        <v>2266163</v>
      </c>
      <c r="I390" s="166">
        <v>0</v>
      </c>
      <c r="J390" s="166">
        <v>0</v>
      </c>
      <c r="K390" s="166" t="str">
        <f t="shared" si="6"/>
        <v>INSTRUMENTINTRST_RT_RST_FRQNCY</v>
      </c>
    </row>
    <row r="391" spans="1:11" hidden="1">
      <c r="A391" s="166" t="s">
        <v>2172</v>
      </c>
      <c r="B391" s="166" t="s">
        <v>2173</v>
      </c>
      <c r="C391" s="166" t="s">
        <v>127</v>
      </c>
      <c r="D391" s="166" t="s">
        <v>477</v>
      </c>
      <c r="E391" s="166" t="s">
        <v>1534</v>
      </c>
      <c r="F391" s="166" t="s">
        <v>1939</v>
      </c>
      <c r="G391" s="166" t="s">
        <v>129</v>
      </c>
      <c r="H391" s="166">
        <v>2266163</v>
      </c>
      <c r="I391" s="166">
        <v>0</v>
      </c>
      <c r="J391" s="166">
        <v>0</v>
      </c>
      <c r="K391" s="166" t="str">
        <f t="shared" si="6"/>
        <v>INSTRUMENTRCVD_AMRTSTN_12M</v>
      </c>
    </row>
    <row r="392" spans="1:11" hidden="1">
      <c r="A392" s="166" t="s">
        <v>2174</v>
      </c>
      <c r="B392" s="166" t="s">
        <v>2175</v>
      </c>
      <c r="C392" s="166" t="s">
        <v>127</v>
      </c>
      <c r="D392" s="166" t="s">
        <v>478</v>
      </c>
      <c r="E392" s="166" t="s">
        <v>1534</v>
      </c>
      <c r="F392" s="166" t="s">
        <v>1939</v>
      </c>
      <c r="G392" s="166" t="s">
        <v>129</v>
      </c>
      <c r="H392" s="166">
        <v>2266163</v>
      </c>
      <c r="I392" s="166">
        <v>0</v>
      </c>
      <c r="J392" s="166">
        <v>0</v>
      </c>
      <c r="K392" s="166" t="str">
        <f t="shared" si="6"/>
        <v>INSTRUMENTRCVD_AMRTSTN_24M</v>
      </c>
    </row>
    <row r="393" spans="1:11" hidden="1">
      <c r="A393" s="166" t="s">
        <v>2176</v>
      </c>
      <c r="B393" s="166" t="s">
        <v>2177</v>
      </c>
      <c r="C393" s="166" t="s">
        <v>127</v>
      </c>
      <c r="D393" s="166" t="s">
        <v>254</v>
      </c>
      <c r="E393" s="166" t="s">
        <v>1534</v>
      </c>
      <c r="F393" s="166" t="s">
        <v>1939</v>
      </c>
      <c r="G393" s="166" t="s">
        <v>129</v>
      </c>
      <c r="H393" s="166">
        <v>2266163</v>
      </c>
      <c r="I393" s="166">
        <v>0</v>
      </c>
      <c r="J393" s="166">
        <v>0</v>
      </c>
      <c r="K393" s="166" t="str">
        <f t="shared" si="6"/>
        <v>INSTRUMENTRCVD_INTRST_12M</v>
      </c>
    </row>
    <row r="394" spans="1:11" hidden="1">
      <c r="A394" s="166" t="s">
        <v>2178</v>
      </c>
      <c r="B394" s="166" t="s">
        <v>2179</v>
      </c>
      <c r="C394" s="166" t="s">
        <v>127</v>
      </c>
      <c r="D394" s="166" t="s">
        <v>251</v>
      </c>
      <c r="E394" s="166" t="s">
        <v>1534</v>
      </c>
      <c r="F394" s="166" t="s">
        <v>1939</v>
      </c>
      <c r="G394" s="166" t="s">
        <v>129</v>
      </c>
      <c r="H394" s="166">
        <v>2266163</v>
      </c>
      <c r="I394" s="166">
        <v>0</v>
      </c>
      <c r="J394" s="166">
        <v>0</v>
      </c>
      <c r="K394" s="166" t="str">
        <f t="shared" si="6"/>
        <v>INSTRUMENTRCVD_INTRST_24M</v>
      </c>
    </row>
    <row r="395" spans="1:11" hidden="1">
      <c r="A395" s="166" t="s">
        <v>2180</v>
      </c>
      <c r="B395" s="166" t="s">
        <v>2181</v>
      </c>
      <c r="C395" s="166" t="s">
        <v>127</v>
      </c>
      <c r="D395" s="166" t="s">
        <v>511</v>
      </c>
      <c r="E395" s="166" t="s">
        <v>1531</v>
      </c>
      <c r="F395" s="166" t="s">
        <v>1939</v>
      </c>
      <c r="G395" s="166" t="s">
        <v>129</v>
      </c>
      <c r="H395" s="166">
        <v>2266163</v>
      </c>
      <c r="I395" s="166">
        <v>0</v>
      </c>
      <c r="J395" s="166">
        <v>0</v>
      </c>
      <c r="K395" s="166" t="str">
        <f t="shared" si="6"/>
        <v>INSTRUMENTSYNDCT_RL</v>
      </c>
    </row>
    <row r="396" spans="1:11" hidden="1">
      <c r="A396" s="166" t="s">
        <v>2182</v>
      </c>
      <c r="B396" s="166" t="s">
        <v>2183</v>
      </c>
      <c r="C396" s="166" t="s">
        <v>127</v>
      </c>
      <c r="D396" s="166" t="s">
        <v>512</v>
      </c>
      <c r="E396" s="166" t="s">
        <v>1527</v>
      </c>
      <c r="F396" s="166" t="s">
        <v>1939</v>
      </c>
      <c r="G396" s="166" t="s">
        <v>129</v>
      </c>
      <c r="H396" s="166">
        <v>2266163</v>
      </c>
      <c r="I396" s="166">
        <v>0</v>
      </c>
      <c r="J396" s="166">
        <v>0</v>
      </c>
      <c r="K396" s="166" t="str">
        <f t="shared" si="6"/>
        <v>INSTRUMENTSYNDCTD_AGNT</v>
      </c>
    </row>
    <row r="397" spans="1:11" hidden="1">
      <c r="A397" s="166" t="s">
        <v>2184</v>
      </c>
      <c r="B397" s="166" t="s">
        <v>2185</v>
      </c>
      <c r="C397" s="166" t="s">
        <v>127</v>
      </c>
      <c r="D397" s="166" t="s">
        <v>513</v>
      </c>
      <c r="E397" s="166" t="s">
        <v>1527</v>
      </c>
      <c r="F397" s="166" t="s">
        <v>1939</v>
      </c>
      <c r="G397" s="166" t="s">
        <v>129</v>
      </c>
      <c r="H397" s="166">
        <v>2266163</v>
      </c>
      <c r="I397" s="166">
        <v>0</v>
      </c>
      <c r="J397" s="166">
        <v>0</v>
      </c>
      <c r="K397" s="166" t="str">
        <f t="shared" si="6"/>
        <v>INSTRUMENTSYNDCTD_CNTRCT_ID</v>
      </c>
    </row>
    <row r="398" spans="1:11" hidden="1">
      <c r="A398" s="166" t="s">
        <v>2186</v>
      </c>
      <c r="B398" s="166" t="s">
        <v>2187</v>
      </c>
      <c r="C398" s="166" t="s">
        <v>127</v>
      </c>
      <c r="D398" s="166" t="s">
        <v>514</v>
      </c>
      <c r="E398" s="166" t="s">
        <v>1527</v>
      </c>
      <c r="F398" s="166" t="s">
        <v>1939</v>
      </c>
      <c r="G398" s="166" t="s">
        <v>129</v>
      </c>
      <c r="H398" s="166">
        <v>2266163</v>
      </c>
      <c r="I398" s="166">
        <v>0</v>
      </c>
      <c r="J398" s="166">
        <v>0</v>
      </c>
      <c r="K398" s="166" t="str">
        <f t="shared" si="6"/>
        <v>INSTRUMENTSYNDCTD_LNDRS</v>
      </c>
    </row>
    <row r="399" spans="1:11" hidden="1">
      <c r="A399" s="166" t="s">
        <v>2188</v>
      </c>
      <c r="B399" s="166" t="s">
        <v>2189</v>
      </c>
      <c r="C399" s="166" t="s">
        <v>127</v>
      </c>
      <c r="D399" s="166" t="s">
        <v>515</v>
      </c>
      <c r="E399" s="166" t="s">
        <v>1534</v>
      </c>
      <c r="F399" s="166" t="s">
        <v>1939</v>
      </c>
      <c r="G399" s="166" t="s">
        <v>129</v>
      </c>
      <c r="H399" s="166">
        <v>2266163</v>
      </c>
      <c r="I399" s="166">
        <v>0</v>
      </c>
      <c r="J399" s="166">
        <v>0</v>
      </c>
      <c r="K399" s="166" t="str">
        <f t="shared" si="6"/>
        <v>INSTRUMENTSYNDCTD_SHR</v>
      </c>
    </row>
    <row r="400" spans="1:11" hidden="1">
      <c r="A400" s="166" t="s">
        <v>2190</v>
      </c>
      <c r="B400" s="166" t="s">
        <v>2191</v>
      </c>
      <c r="C400" s="166" t="s">
        <v>127</v>
      </c>
      <c r="D400" s="166" t="s">
        <v>516</v>
      </c>
      <c r="E400" s="166" t="s">
        <v>1531</v>
      </c>
      <c r="F400" s="166" t="s">
        <v>1939</v>
      </c>
      <c r="G400" s="166" t="s">
        <v>129</v>
      </c>
      <c r="H400" s="166">
        <v>2266163</v>
      </c>
      <c r="I400" s="166">
        <v>0</v>
      </c>
      <c r="J400" s="166">
        <v>0</v>
      </c>
      <c r="K400" s="166" t="str">
        <f t="shared" si="6"/>
        <v>INSTRUMENTSYNDCTN_TYP</v>
      </c>
    </row>
    <row r="401" spans="1:11" hidden="1">
      <c r="A401" s="166" t="s">
        <v>2192</v>
      </c>
      <c r="B401" s="166" t="s">
        <v>2193</v>
      </c>
      <c r="C401" s="166" t="s">
        <v>127</v>
      </c>
      <c r="D401" s="166" t="s">
        <v>162</v>
      </c>
      <c r="E401" s="166" t="s">
        <v>1531</v>
      </c>
      <c r="F401" s="166" t="s">
        <v>1939</v>
      </c>
      <c r="G401" s="166" t="s">
        <v>129</v>
      </c>
      <c r="H401" s="166">
        <v>2266163</v>
      </c>
      <c r="I401" s="166">
        <v>0</v>
      </c>
      <c r="J401" s="166">
        <v>0</v>
      </c>
      <c r="K401" s="166" t="str">
        <f t="shared" si="6"/>
        <v>INSTRUMENTASST_SCRT_CLSS</v>
      </c>
    </row>
    <row r="402" spans="1:11" hidden="1">
      <c r="A402" s="166" t="s">
        <v>2194</v>
      </c>
      <c r="B402" s="166" t="s">
        <v>2195</v>
      </c>
      <c r="C402" s="166" t="s">
        <v>127</v>
      </c>
      <c r="D402" s="166" t="s">
        <v>190</v>
      </c>
      <c r="E402" s="166" t="s">
        <v>1531</v>
      </c>
      <c r="F402" s="166" t="s">
        <v>1939</v>
      </c>
      <c r="G402" s="166" t="s">
        <v>129</v>
      </c>
      <c r="H402" s="166">
        <v>2266163</v>
      </c>
      <c r="I402" s="166">
        <v>0</v>
      </c>
      <c r="J402" s="166">
        <v>0</v>
      </c>
      <c r="K402" s="166" t="str">
        <f t="shared" si="6"/>
        <v>INSTRUMENTCPN_CRRNCY</v>
      </c>
    </row>
    <row r="403" spans="1:11" hidden="1">
      <c r="A403" s="166" t="s">
        <v>2196</v>
      </c>
      <c r="B403" s="166" t="s">
        <v>2197</v>
      </c>
      <c r="C403" s="166" t="s">
        <v>127</v>
      </c>
      <c r="D403" s="166" t="s">
        <v>191</v>
      </c>
      <c r="E403" s="166" t="s">
        <v>1534</v>
      </c>
      <c r="F403" s="166" t="s">
        <v>1939</v>
      </c>
      <c r="G403" s="166" t="s">
        <v>129</v>
      </c>
      <c r="H403" s="166">
        <v>2266163</v>
      </c>
      <c r="I403" s="166">
        <v>0</v>
      </c>
      <c r="J403" s="166">
        <v>0</v>
      </c>
      <c r="K403" s="166" t="str">
        <f t="shared" si="6"/>
        <v>INSTRUMENTCPN_RT_FXD</v>
      </c>
    </row>
    <row r="404" spans="1:11" hidden="1">
      <c r="A404" s="166" t="s">
        <v>2198</v>
      </c>
      <c r="B404" s="166" t="s">
        <v>2199</v>
      </c>
      <c r="C404" s="166" t="s">
        <v>127</v>
      </c>
      <c r="D404" s="166" t="s">
        <v>286</v>
      </c>
      <c r="E404" s="166" t="s">
        <v>1524</v>
      </c>
      <c r="F404" s="166" t="s">
        <v>1939</v>
      </c>
      <c r="G404" s="166" t="s">
        <v>129</v>
      </c>
      <c r="H404" s="166">
        <v>2266163</v>
      </c>
      <c r="I404" s="166">
        <v>0</v>
      </c>
      <c r="J404" s="166">
        <v>0</v>
      </c>
      <c r="K404" s="166" t="str">
        <f t="shared" si="6"/>
        <v>INSTRUMENTDT_VLTN</v>
      </c>
    </row>
    <row r="405" spans="1:11" hidden="1">
      <c r="A405" s="166" t="s">
        <v>2200</v>
      </c>
      <c r="B405" s="166" t="s">
        <v>2201</v>
      </c>
      <c r="C405" s="166" t="s">
        <v>127</v>
      </c>
      <c r="D405" s="166" t="s">
        <v>302</v>
      </c>
      <c r="E405" s="166" t="s">
        <v>1531</v>
      </c>
      <c r="F405" s="166" t="s">
        <v>1939</v>
      </c>
      <c r="G405" s="166" t="s">
        <v>129</v>
      </c>
      <c r="H405" s="166">
        <v>2266163</v>
      </c>
      <c r="I405" s="166">
        <v>0</v>
      </c>
      <c r="J405" s="166">
        <v>0</v>
      </c>
      <c r="K405" s="166" t="str">
        <f t="shared" si="6"/>
        <v>INSTRUMENTELGBLTY_ECB</v>
      </c>
    </row>
    <row r="406" spans="1:11" hidden="1">
      <c r="A406" s="166" t="s">
        <v>2202</v>
      </c>
      <c r="B406" s="166" t="s">
        <v>2203</v>
      </c>
      <c r="C406" s="166" t="s">
        <v>127</v>
      </c>
      <c r="D406" s="166" t="s">
        <v>342</v>
      </c>
      <c r="E406" s="166" t="s">
        <v>1527</v>
      </c>
      <c r="F406" s="166" t="s">
        <v>1939</v>
      </c>
      <c r="G406" s="166" t="s">
        <v>129</v>
      </c>
      <c r="H406" s="166">
        <v>2266163</v>
      </c>
      <c r="I406" s="166">
        <v>0</v>
      </c>
      <c r="J406" s="166">
        <v>0</v>
      </c>
      <c r="K406" s="166" t="str">
        <f t="shared" si="6"/>
        <v>INSTRUMENTGRNTR_ID</v>
      </c>
    </row>
    <row r="407" spans="1:11" hidden="1">
      <c r="A407" s="166" t="s">
        <v>2204</v>
      </c>
      <c r="B407" s="166" t="s">
        <v>2205</v>
      </c>
      <c r="C407" s="166" t="s">
        <v>127</v>
      </c>
      <c r="D407" s="166" t="s">
        <v>343</v>
      </c>
      <c r="E407" s="166" t="s">
        <v>1531</v>
      </c>
      <c r="F407" s="166" t="s">
        <v>1939</v>
      </c>
      <c r="G407" s="166" t="s">
        <v>129</v>
      </c>
      <c r="H407" s="166">
        <v>2266163</v>
      </c>
      <c r="I407" s="166">
        <v>0</v>
      </c>
      <c r="J407" s="166">
        <v>0</v>
      </c>
      <c r="K407" s="166" t="str">
        <f t="shared" si="6"/>
        <v>INSTRUMENTGRNTR_ID_TYP</v>
      </c>
    </row>
    <row r="408" spans="1:11" hidden="1">
      <c r="A408" s="166" t="s">
        <v>2206</v>
      </c>
      <c r="B408" s="166" t="s">
        <v>2207</v>
      </c>
      <c r="C408" s="166" t="s">
        <v>127</v>
      </c>
      <c r="D408" s="166" t="s">
        <v>349</v>
      </c>
      <c r="E408" s="166" t="s">
        <v>1527</v>
      </c>
      <c r="F408" s="166" t="s">
        <v>1939</v>
      </c>
      <c r="G408" s="166" t="s">
        <v>129</v>
      </c>
      <c r="H408" s="166">
        <v>2266163</v>
      </c>
      <c r="I408" s="166">
        <v>0</v>
      </c>
      <c r="J408" s="166">
        <v>0</v>
      </c>
      <c r="K408" s="166" t="str">
        <f t="shared" si="6"/>
        <v>INSTRUMENTHEDGE_ID</v>
      </c>
    </row>
    <row r="409" spans="1:11" hidden="1">
      <c r="A409" s="166" t="s">
        <v>2208</v>
      </c>
      <c r="B409" s="166" t="s">
        <v>2209</v>
      </c>
      <c r="C409" s="166" t="s">
        <v>127</v>
      </c>
      <c r="D409" s="166" t="s">
        <v>365</v>
      </c>
      <c r="E409" s="166" t="s">
        <v>1531</v>
      </c>
      <c r="F409" s="166" t="s">
        <v>1939</v>
      </c>
      <c r="G409" s="166" t="s">
        <v>129</v>
      </c>
      <c r="H409" s="166">
        <v>2266163</v>
      </c>
      <c r="I409" s="166">
        <v>0</v>
      </c>
      <c r="J409" s="166">
        <v>0</v>
      </c>
      <c r="K409" s="166" t="str">
        <f t="shared" si="6"/>
        <v>INSTRUMENTINSTR_SNRTY_CLSS</v>
      </c>
    </row>
    <row r="410" spans="1:11" hidden="1">
      <c r="A410" s="166" t="s">
        <v>2210</v>
      </c>
      <c r="B410" s="166" t="s">
        <v>2211</v>
      </c>
      <c r="C410" s="166" t="s">
        <v>127</v>
      </c>
      <c r="D410" s="166" t="s">
        <v>366</v>
      </c>
      <c r="E410" s="166" t="s">
        <v>1531</v>
      </c>
      <c r="F410" s="166" t="s">
        <v>1939</v>
      </c>
      <c r="G410" s="166" t="s">
        <v>129</v>
      </c>
      <c r="H410" s="166">
        <v>2266163</v>
      </c>
      <c r="I410" s="166">
        <v>0</v>
      </c>
      <c r="J410" s="166">
        <v>0</v>
      </c>
      <c r="K410" s="166" t="str">
        <f t="shared" si="6"/>
        <v>INSTRUMENTINSTRMNT_CLSS</v>
      </c>
    </row>
    <row r="411" spans="1:11" hidden="1">
      <c r="A411" s="166" t="s">
        <v>2212</v>
      </c>
      <c r="B411" s="166" t="s">
        <v>1790</v>
      </c>
      <c r="C411" s="166" t="s">
        <v>127</v>
      </c>
      <c r="D411" s="166" t="s">
        <v>380</v>
      </c>
      <c r="E411" s="166" t="s">
        <v>1527</v>
      </c>
      <c r="F411" s="166" t="s">
        <v>1939</v>
      </c>
      <c r="G411" s="166" t="s">
        <v>129</v>
      </c>
      <c r="H411" s="166">
        <v>2266163</v>
      </c>
      <c r="I411" s="166">
        <v>0</v>
      </c>
      <c r="J411" s="166">
        <v>0</v>
      </c>
      <c r="K411" s="166" t="str">
        <f t="shared" si="6"/>
        <v>INSTRUMENTISIN</v>
      </c>
    </row>
    <row r="412" spans="1:11" hidden="1">
      <c r="A412" s="166" t="s">
        <v>2213</v>
      </c>
      <c r="B412" s="166" t="s">
        <v>2214</v>
      </c>
      <c r="C412" s="166" t="s">
        <v>127</v>
      </c>
      <c r="D412" s="166" t="s">
        <v>382</v>
      </c>
      <c r="E412" s="166" t="s">
        <v>1531</v>
      </c>
      <c r="F412" s="166" t="s">
        <v>1939</v>
      </c>
      <c r="G412" s="166" t="s">
        <v>129</v>
      </c>
      <c r="H412" s="166">
        <v>2266163</v>
      </c>
      <c r="I412" s="166">
        <v>0</v>
      </c>
      <c r="J412" s="166">
        <v>0</v>
      </c>
      <c r="K412" s="166" t="str">
        <f t="shared" si="6"/>
        <v>INSTRUMENTISSR_CNTRY</v>
      </c>
    </row>
    <row r="413" spans="1:11" hidden="1">
      <c r="A413" s="166" t="s">
        <v>2215</v>
      </c>
      <c r="B413" s="166" t="s">
        <v>2216</v>
      </c>
      <c r="C413" s="166" t="s">
        <v>127</v>
      </c>
      <c r="D413" s="166" t="s">
        <v>383</v>
      </c>
      <c r="E413" s="166" t="s">
        <v>1531</v>
      </c>
      <c r="F413" s="166" t="s">
        <v>1939</v>
      </c>
      <c r="G413" s="166" t="s">
        <v>1134</v>
      </c>
      <c r="H413" s="166">
        <v>2266163</v>
      </c>
      <c r="I413" s="166">
        <v>19</v>
      </c>
      <c r="J413" s="166">
        <v>8.0000000000000004E-4</v>
      </c>
      <c r="K413" s="166" t="str">
        <f t="shared" si="6"/>
        <v>INSTRUMENTISSR_ESA_2010</v>
      </c>
    </row>
    <row r="414" spans="1:11" hidden="1">
      <c r="A414" s="166" t="s">
        <v>2217</v>
      </c>
      <c r="B414" s="166" t="s">
        <v>2218</v>
      </c>
      <c r="C414" s="166" t="s">
        <v>127</v>
      </c>
      <c r="D414" s="166" t="s">
        <v>384</v>
      </c>
      <c r="E414" s="166" t="s">
        <v>1527</v>
      </c>
      <c r="F414" s="166" t="s">
        <v>1939</v>
      </c>
      <c r="G414" s="166" t="s">
        <v>129</v>
      </c>
      <c r="H414" s="166">
        <v>2266163</v>
      </c>
      <c r="I414" s="166">
        <v>0</v>
      </c>
      <c r="J414" s="166">
        <v>0</v>
      </c>
      <c r="K414" s="166" t="str">
        <f t="shared" si="6"/>
        <v>INSTRUMENTISSR_ID</v>
      </c>
    </row>
    <row r="415" spans="1:11" hidden="1">
      <c r="A415" s="166" t="s">
        <v>2219</v>
      </c>
      <c r="B415" s="166" t="s">
        <v>1093</v>
      </c>
      <c r="C415" s="166" t="s">
        <v>127</v>
      </c>
      <c r="D415" s="166" t="s">
        <v>385</v>
      </c>
      <c r="E415" s="166" t="s">
        <v>1531</v>
      </c>
      <c r="F415" s="166" t="s">
        <v>1939</v>
      </c>
      <c r="G415" s="166" t="s">
        <v>129</v>
      </c>
      <c r="H415" s="166">
        <v>2266163</v>
      </c>
      <c r="I415" s="166">
        <v>0</v>
      </c>
      <c r="J415" s="166">
        <v>0</v>
      </c>
      <c r="K415" s="166" t="str">
        <f t="shared" si="6"/>
        <v>INSTRUMENTISSR_ID_TYP</v>
      </c>
    </row>
    <row r="416" spans="1:11" hidden="1">
      <c r="A416" s="166" t="s">
        <v>2220</v>
      </c>
      <c r="B416" s="166" t="s">
        <v>2221</v>
      </c>
      <c r="C416" s="166" t="s">
        <v>127</v>
      </c>
      <c r="D416" s="166" t="s">
        <v>386</v>
      </c>
      <c r="E416" s="166" t="s">
        <v>1531</v>
      </c>
      <c r="F416" s="166" t="s">
        <v>1939</v>
      </c>
      <c r="G416" s="166" t="s">
        <v>129</v>
      </c>
      <c r="H416" s="166">
        <v>2266163</v>
      </c>
      <c r="I416" s="166">
        <v>0</v>
      </c>
      <c r="J416" s="166">
        <v>0</v>
      </c>
      <c r="K416" s="166" t="str">
        <f t="shared" si="6"/>
        <v>INSTRUMENTISSR_NACE_SCTR</v>
      </c>
    </row>
    <row r="417" spans="1:11" hidden="1">
      <c r="A417" s="166" t="s">
        <v>2222</v>
      </c>
      <c r="B417" s="166" t="s">
        <v>2223</v>
      </c>
      <c r="C417" s="166" t="s">
        <v>127</v>
      </c>
      <c r="D417" s="166" t="s">
        <v>387</v>
      </c>
      <c r="E417" s="166" t="s">
        <v>2224</v>
      </c>
      <c r="F417" s="166" t="s">
        <v>1939</v>
      </c>
      <c r="G417" s="166" t="s">
        <v>129</v>
      </c>
      <c r="H417" s="166">
        <v>2266163</v>
      </c>
      <c r="I417" s="166">
        <v>0</v>
      </c>
      <c r="J417" s="166">
        <v>0</v>
      </c>
      <c r="K417" s="166" t="str">
        <f t="shared" si="6"/>
        <v>INSTRUMENTISSR_RTNG</v>
      </c>
    </row>
    <row r="418" spans="1:11" hidden="1">
      <c r="A418" s="166" t="s">
        <v>2225</v>
      </c>
      <c r="B418" s="166" t="s">
        <v>2226</v>
      </c>
      <c r="C418" s="166" t="s">
        <v>127</v>
      </c>
      <c r="D418" s="166" t="s">
        <v>388</v>
      </c>
      <c r="E418" s="166" t="s">
        <v>1527</v>
      </c>
      <c r="F418" s="166" t="s">
        <v>1939</v>
      </c>
      <c r="G418" s="166" t="s">
        <v>129</v>
      </c>
      <c r="H418" s="166">
        <v>2266163</v>
      </c>
      <c r="I418" s="166">
        <v>0</v>
      </c>
      <c r="J418" s="166">
        <v>0</v>
      </c>
      <c r="K418" s="166" t="str">
        <f t="shared" si="6"/>
        <v>INSTRUMENTISSR_RTNG_SRC</v>
      </c>
    </row>
    <row r="419" spans="1:11" hidden="1">
      <c r="A419" s="166" t="s">
        <v>2227</v>
      </c>
      <c r="B419" s="166" t="s">
        <v>2228</v>
      </c>
      <c r="C419" s="166" t="s">
        <v>127</v>
      </c>
      <c r="D419" s="166" t="s">
        <v>389</v>
      </c>
      <c r="E419" s="166" t="s">
        <v>1531</v>
      </c>
      <c r="F419" s="166" t="s">
        <v>1939</v>
      </c>
      <c r="G419" s="166" t="s">
        <v>129</v>
      </c>
      <c r="H419" s="166">
        <v>2266163</v>
      </c>
      <c r="I419" s="166">
        <v>0</v>
      </c>
      <c r="J419" s="166">
        <v>0</v>
      </c>
      <c r="K419" s="166" t="str">
        <f t="shared" si="6"/>
        <v>INSTRUMENTISSR_TYP</v>
      </c>
    </row>
    <row r="420" spans="1:11" hidden="1">
      <c r="A420" s="166" t="s">
        <v>2229</v>
      </c>
      <c r="B420" s="166" t="s">
        <v>2230</v>
      </c>
      <c r="C420" s="166" t="s">
        <v>127</v>
      </c>
      <c r="D420" s="166" t="s">
        <v>392</v>
      </c>
      <c r="E420" s="166" t="s">
        <v>1531</v>
      </c>
      <c r="F420" s="166" t="s">
        <v>1939</v>
      </c>
      <c r="G420" s="166" t="s">
        <v>129</v>
      </c>
      <c r="H420" s="166">
        <v>2266163</v>
      </c>
      <c r="I420" s="166">
        <v>0</v>
      </c>
      <c r="J420" s="166">
        <v>0</v>
      </c>
      <c r="K420" s="166" t="str">
        <f t="shared" si="6"/>
        <v>INSTRUMENTLCR_BFFR_CTGRY</v>
      </c>
    </row>
    <row r="421" spans="1:11" hidden="1">
      <c r="A421" s="166" t="s">
        <v>2231</v>
      </c>
      <c r="B421" s="166" t="s">
        <v>2232</v>
      </c>
      <c r="C421" s="166" t="s">
        <v>127</v>
      </c>
      <c r="D421" s="166" t="s">
        <v>448</v>
      </c>
      <c r="E421" s="166" t="s">
        <v>1531</v>
      </c>
      <c r="F421" s="166" t="s">
        <v>1939</v>
      </c>
      <c r="G421" s="166" t="s">
        <v>129</v>
      </c>
      <c r="H421" s="166">
        <v>2266163</v>
      </c>
      <c r="I421" s="166">
        <v>0</v>
      </c>
      <c r="J421" s="166">
        <v>0</v>
      </c>
      <c r="K421" s="166" t="str">
        <f t="shared" si="6"/>
        <v>INSTRUMENTPRCH_UNDR_RSL_AGR</v>
      </c>
    </row>
    <row r="422" spans="1:11" hidden="1">
      <c r="A422" s="166" t="s">
        <v>2233</v>
      </c>
      <c r="B422" s="166" t="s">
        <v>2234</v>
      </c>
      <c r="C422" s="166" t="s">
        <v>127</v>
      </c>
      <c r="D422" s="166" t="s">
        <v>450</v>
      </c>
      <c r="E422" s="166" t="s">
        <v>1531</v>
      </c>
      <c r="F422" s="166" t="s">
        <v>1939</v>
      </c>
      <c r="G422" s="166" t="s">
        <v>129</v>
      </c>
      <c r="H422" s="166">
        <v>2266163</v>
      </c>
      <c r="I422" s="166">
        <v>0</v>
      </c>
      <c r="J422" s="166">
        <v>0</v>
      </c>
      <c r="K422" s="166" t="str">
        <f t="shared" si="6"/>
        <v>INSTRUMENTPRDNTL_PRTFL</v>
      </c>
    </row>
    <row r="423" spans="1:11" hidden="1">
      <c r="A423" s="166" t="s">
        <v>2235</v>
      </c>
      <c r="B423" s="166" t="s">
        <v>2236</v>
      </c>
      <c r="C423" s="166" t="s">
        <v>127</v>
      </c>
      <c r="D423" s="166" t="s">
        <v>455</v>
      </c>
      <c r="E423" s="166" t="s">
        <v>1531</v>
      </c>
      <c r="F423" s="166" t="s">
        <v>1939</v>
      </c>
      <c r="G423" s="166" t="s">
        <v>129</v>
      </c>
      <c r="H423" s="166">
        <v>2266163</v>
      </c>
      <c r="I423" s="166">
        <v>0</v>
      </c>
      <c r="J423" s="166">
        <v>0</v>
      </c>
      <c r="K423" s="166" t="str">
        <f t="shared" si="6"/>
        <v>INSTRUMENTPRMRY_ASST_CLSSF</v>
      </c>
    </row>
    <row r="424" spans="1:11" hidden="1">
      <c r="A424" s="166" t="s">
        <v>2237</v>
      </c>
      <c r="B424" s="166" t="s">
        <v>2238</v>
      </c>
      <c r="C424" s="166" t="s">
        <v>127</v>
      </c>
      <c r="D424" s="166" t="s">
        <v>458</v>
      </c>
      <c r="E424" s="166" t="s">
        <v>1531</v>
      </c>
      <c r="F424" s="166" t="s">
        <v>1939</v>
      </c>
      <c r="G424" s="166" t="s">
        <v>129</v>
      </c>
      <c r="H424" s="166">
        <v>2266163</v>
      </c>
      <c r="I424" s="166">
        <v>0</v>
      </c>
      <c r="J424" s="166">
        <v>0</v>
      </c>
      <c r="K424" s="166" t="str">
        <f t="shared" si="6"/>
        <v>INSTRUMENTPRT_LCR_BFFR</v>
      </c>
    </row>
    <row r="425" spans="1:11" hidden="1">
      <c r="A425" s="166" t="s">
        <v>2239</v>
      </c>
      <c r="B425" s="166" t="s">
        <v>2240</v>
      </c>
      <c r="C425" s="166" t="s">
        <v>127</v>
      </c>
      <c r="D425" s="166" t="s">
        <v>554</v>
      </c>
      <c r="E425" s="166" t="s">
        <v>1534</v>
      </c>
      <c r="F425" s="166" t="s">
        <v>1939</v>
      </c>
      <c r="G425" s="166" t="s">
        <v>1134</v>
      </c>
      <c r="H425" s="166">
        <v>2266163</v>
      </c>
      <c r="I425" s="166">
        <v>2266163</v>
      </c>
      <c r="J425" s="166">
        <v>100</v>
      </c>
      <c r="K425" s="166" t="str">
        <f t="shared" si="6"/>
        <v>INSTRUMENTCPN_RT_FLTNG</v>
      </c>
    </row>
    <row r="426" spans="1:11" hidden="1">
      <c r="A426" s="166" t="s">
        <v>2241</v>
      </c>
      <c r="B426" s="166" t="s">
        <v>2242</v>
      </c>
      <c r="C426" s="166" t="s">
        <v>127</v>
      </c>
      <c r="D426" s="166" t="s">
        <v>507</v>
      </c>
      <c r="E426" s="166" t="s">
        <v>1534</v>
      </c>
      <c r="F426" s="166" t="s">
        <v>1939</v>
      </c>
      <c r="G426" s="166" t="s">
        <v>129</v>
      </c>
      <c r="H426" s="166">
        <v>2266163</v>
      </c>
      <c r="I426" s="166">
        <v>0</v>
      </c>
      <c r="J426" s="166">
        <v>0</v>
      </c>
      <c r="K426" s="166" t="str">
        <f t="shared" si="6"/>
        <v>INSTRUMENTSPRD</v>
      </c>
    </row>
    <row r="427" spans="1:11" hidden="1">
      <c r="A427" s="166" t="s">
        <v>2243</v>
      </c>
      <c r="B427" s="166" t="s">
        <v>2244</v>
      </c>
      <c r="C427" s="166" t="s">
        <v>127</v>
      </c>
      <c r="D427" s="166" t="s">
        <v>508</v>
      </c>
      <c r="E427" s="166" t="s">
        <v>1531</v>
      </c>
      <c r="F427" s="166" t="s">
        <v>1939</v>
      </c>
      <c r="G427" s="166" t="s">
        <v>129</v>
      </c>
      <c r="H427" s="166">
        <v>2266163</v>
      </c>
      <c r="I427" s="166">
        <v>0</v>
      </c>
      <c r="J427" s="166">
        <v>0</v>
      </c>
      <c r="K427" s="166" t="str">
        <f t="shared" si="6"/>
        <v>INSTRUMENTSRCS_ENCMBRNC</v>
      </c>
    </row>
    <row r="428" spans="1:11" hidden="1">
      <c r="A428" s="166" t="s">
        <v>2245</v>
      </c>
      <c r="B428" s="166" t="s">
        <v>2246</v>
      </c>
      <c r="C428" s="166" t="s">
        <v>127</v>
      </c>
      <c r="D428" s="166" t="s">
        <v>538</v>
      </c>
      <c r="E428" s="166" t="s">
        <v>1531</v>
      </c>
      <c r="F428" s="166" t="s">
        <v>1939</v>
      </c>
      <c r="G428" s="166" t="s">
        <v>129</v>
      </c>
      <c r="H428" s="166">
        <v>2266163</v>
      </c>
      <c r="I428" s="166">
        <v>0</v>
      </c>
      <c r="J428" s="166">
        <v>0</v>
      </c>
      <c r="K428" s="166" t="str">
        <f t="shared" si="6"/>
        <v>INSTRUMENTTYPE_OF_PLCMNT</v>
      </c>
    </row>
    <row r="429" spans="1:11" hidden="1">
      <c r="A429" s="166" t="s">
        <v>2247</v>
      </c>
      <c r="B429" s="166" t="s">
        <v>2248</v>
      </c>
      <c r="C429" s="166" t="s">
        <v>127</v>
      </c>
      <c r="D429" s="166" t="s">
        <v>539</v>
      </c>
      <c r="E429" s="166" t="s">
        <v>1531</v>
      </c>
      <c r="F429" s="166" t="s">
        <v>1939</v>
      </c>
      <c r="G429" s="166" t="s">
        <v>129</v>
      </c>
      <c r="H429" s="166">
        <v>2266163</v>
      </c>
      <c r="I429" s="166">
        <v>0</v>
      </c>
      <c r="J429" s="166">
        <v>0</v>
      </c>
      <c r="K429" s="166" t="str">
        <f t="shared" si="6"/>
        <v>INSTRUMENTVLTN_CRRNCY</v>
      </c>
    </row>
    <row r="430" spans="1:11" hidden="1">
      <c r="A430" s="166" t="s">
        <v>2249</v>
      </c>
      <c r="B430" s="166" t="s">
        <v>2250</v>
      </c>
      <c r="C430" s="166" t="s">
        <v>127</v>
      </c>
      <c r="D430" s="166" t="s">
        <v>540</v>
      </c>
      <c r="E430" s="166" t="s">
        <v>1531</v>
      </c>
      <c r="F430" s="166" t="s">
        <v>1939</v>
      </c>
      <c r="G430" s="166" t="s">
        <v>129</v>
      </c>
      <c r="H430" s="166">
        <v>2266163</v>
      </c>
      <c r="I430" s="166">
        <v>0</v>
      </c>
      <c r="J430" s="166">
        <v>0</v>
      </c>
      <c r="K430" s="166" t="str">
        <f t="shared" si="6"/>
        <v>INSTRUMENTVLTN_TYP</v>
      </c>
    </row>
    <row r="431" spans="1:11" hidden="1">
      <c r="A431" s="166" t="s">
        <v>2251</v>
      </c>
      <c r="B431" s="166" t="s">
        <v>2252</v>
      </c>
      <c r="C431" s="166" t="s">
        <v>127</v>
      </c>
      <c r="D431" s="166" t="s">
        <v>407</v>
      </c>
      <c r="E431" s="166" t="s">
        <v>1531</v>
      </c>
      <c r="F431" s="166" t="s">
        <v>1939</v>
      </c>
      <c r="G431" s="166" t="s">
        <v>129</v>
      </c>
      <c r="H431" s="166">
        <v>2266163</v>
      </c>
      <c r="I431" s="166">
        <v>0</v>
      </c>
      <c r="J431" s="166">
        <v>0</v>
      </c>
      <c r="K431" s="166" t="str">
        <f t="shared" si="6"/>
        <v>INSTRUMENTLVRG_FNNC_FLG</v>
      </c>
    </row>
    <row r="432" spans="1:11" hidden="1">
      <c r="A432" s="166" t="s">
        <v>2253</v>
      </c>
      <c r="B432" s="166" t="s">
        <v>2254</v>
      </c>
      <c r="C432" s="166" t="s">
        <v>127</v>
      </c>
      <c r="D432" s="166" t="s">
        <v>377</v>
      </c>
      <c r="E432" s="166" t="s">
        <v>1527</v>
      </c>
      <c r="F432" s="166" t="s">
        <v>1939</v>
      </c>
      <c r="G432" s="166" t="s">
        <v>129</v>
      </c>
      <c r="H432" s="166">
        <v>2266163</v>
      </c>
      <c r="I432" s="166">
        <v>0</v>
      </c>
      <c r="J432" s="166">
        <v>0</v>
      </c>
      <c r="K432" s="166" t="str">
        <f t="shared" si="6"/>
        <v>INSTRUMENTINTRNL_SGMNT_IFRS9</v>
      </c>
    </row>
    <row r="433" spans="1:11" hidden="1">
      <c r="A433" s="166" t="s">
        <v>2255</v>
      </c>
      <c r="B433" s="166" t="s">
        <v>2256</v>
      </c>
      <c r="C433" s="166" t="s">
        <v>127</v>
      </c>
      <c r="D433" s="166" t="s">
        <v>375</v>
      </c>
      <c r="E433" s="166" t="s">
        <v>2224</v>
      </c>
      <c r="F433" s="166" t="s">
        <v>1939</v>
      </c>
      <c r="G433" s="166" t="s">
        <v>1134</v>
      </c>
      <c r="H433" s="166">
        <v>2266163</v>
      </c>
      <c r="I433" s="166">
        <v>841</v>
      </c>
      <c r="J433" s="166">
        <v>3.7100000000000001E-2</v>
      </c>
      <c r="K433" s="166" t="str">
        <f t="shared" si="6"/>
        <v>INSTRUMENTINTRNL_SGMNT_CAT_MSTA</v>
      </c>
    </row>
    <row r="434" spans="1:11" hidden="1">
      <c r="A434" s="166" t="s">
        <v>2257</v>
      </c>
      <c r="B434" s="166" t="s">
        <v>2258</v>
      </c>
      <c r="C434" s="166" t="s">
        <v>127</v>
      </c>
      <c r="D434" s="166" t="s">
        <v>376</v>
      </c>
      <c r="E434" s="166" t="s">
        <v>2224</v>
      </c>
      <c r="F434" s="166" t="s">
        <v>1939</v>
      </c>
      <c r="G434" s="166" t="s">
        <v>1134</v>
      </c>
      <c r="H434" s="166">
        <v>2266163</v>
      </c>
      <c r="I434" s="166">
        <v>456626</v>
      </c>
      <c r="J434" s="166">
        <v>20.149699999999999</v>
      </c>
      <c r="K434" s="166" t="str">
        <f t="shared" si="6"/>
        <v>INSTRUMENTINTRNL_SGMNT_CATGSUB</v>
      </c>
    </row>
    <row r="435" spans="1:11" hidden="1">
      <c r="A435" s="166" t="s">
        <v>2259</v>
      </c>
      <c r="B435" s="166" t="s">
        <v>2260</v>
      </c>
      <c r="C435" s="166" t="s">
        <v>127</v>
      </c>
      <c r="D435" s="166" t="s">
        <v>198</v>
      </c>
      <c r="E435" s="166" t="s">
        <v>1534</v>
      </c>
      <c r="F435" s="166" t="s">
        <v>1939</v>
      </c>
      <c r="G435" s="166" t="s">
        <v>129</v>
      </c>
      <c r="H435" s="166">
        <v>2266163</v>
      </c>
      <c r="I435" s="166">
        <v>0</v>
      </c>
      <c r="J435" s="166">
        <v>0</v>
      </c>
      <c r="K435" s="166" t="str">
        <f t="shared" si="6"/>
        <v>INSTRUMENTCRRLTN_CFFCNT</v>
      </c>
    </row>
    <row r="436" spans="1:11" hidden="1">
      <c r="A436" s="166" t="s">
        <v>2261</v>
      </c>
      <c r="B436" s="166" t="s">
        <v>2262</v>
      </c>
      <c r="C436" s="166" t="s">
        <v>127</v>
      </c>
      <c r="D436" s="166" t="s">
        <v>381</v>
      </c>
      <c r="E436" s="166" t="s">
        <v>1527</v>
      </c>
      <c r="F436" s="166" t="s">
        <v>1939</v>
      </c>
      <c r="G436" s="166" t="s">
        <v>129</v>
      </c>
      <c r="H436" s="166">
        <v>2266163</v>
      </c>
      <c r="I436" s="166">
        <v>0</v>
      </c>
      <c r="J436" s="166">
        <v>0</v>
      </c>
      <c r="K436" s="166" t="str">
        <f t="shared" si="6"/>
        <v>INSTRUMENTISIN_SCRTSTN</v>
      </c>
    </row>
    <row r="437" spans="1:11" hidden="1">
      <c r="A437" s="166" t="s">
        <v>2263</v>
      </c>
      <c r="B437" s="166" t="s">
        <v>2264</v>
      </c>
      <c r="C437" s="166" t="s">
        <v>127</v>
      </c>
      <c r="D437" s="166" t="s">
        <v>184</v>
      </c>
      <c r="E437" s="166" t="s">
        <v>1527</v>
      </c>
      <c r="F437" s="166" t="s">
        <v>1939</v>
      </c>
      <c r="G437" s="166" t="s">
        <v>129</v>
      </c>
      <c r="H437" s="166">
        <v>2266163</v>
      </c>
      <c r="I437" s="166">
        <v>0</v>
      </c>
      <c r="J437" s="166">
        <v>0</v>
      </c>
      <c r="K437" s="166" t="str">
        <f t="shared" si="6"/>
        <v>INSTRUMENTCNTRCT_ID_BDR</v>
      </c>
    </row>
    <row r="438" spans="1:11" hidden="1">
      <c r="A438" s="166" t="s">
        <v>2265</v>
      </c>
      <c r="B438" s="166" t="s">
        <v>2266</v>
      </c>
      <c r="C438" s="166" t="s">
        <v>127</v>
      </c>
      <c r="D438" s="166" t="s">
        <v>189</v>
      </c>
      <c r="E438" s="166" t="s">
        <v>1531</v>
      </c>
      <c r="F438" s="166" t="s">
        <v>1939</v>
      </c>
      <c r="G438" s="166" t="s">
        <v>129</v>
      </c>
      <c r="H438" s="166">
        <v>2266163</v>
      </c>
      <c r="I438" s="166">
        <v>0</v>
      </c>
      <c r="J438" s="166">
        <v>0</v>
      </c>
      <c r="K438" s="166" t="str">
        <f t="shared" si="6"/>
        <v>INSTRUMENTCOD_SOC_INTRGRP</v>
      </c>
    </row>
    <row r="439" spans="1:11" hidden="1">
      <c r="A439" s="166" t="s">
        <v>2267</v>
      </c>
      <c r="B439" s="166" t="s">
        <v>2268</v>
      </c>
      <c r="C439" s="166" t="s">
        <v>127</v>
      </c>
      <c r="D439" s="166" t="s">
        <v>391</v>
      </c>
      <c r="E439" s="166" t="s">
        <v>1527</v>
      </c>
      <c r="F439" s="166" t="s">
        <v>1939</v>
      </c>
      <c r="G439" s="166" t="s">
        <v>129</v>
      </c>
      <c r="H439" s="166">
        <v>2266163</v>
      </c>
      <c r="I439" s="166">
        <v>0</v>
      </c>
      <c r="J439" s="166">
        <v>0</v>
      </c>
      <c r="K439" s="166" t="str">
        <f t="shared" si="6"/>
        <v>INSTRUMENTLCL_INSTMRNT_ID</v>
      </c>
    </row>
    <row r="440" spans="1:11" hidden="1">
      <c r="A440" s="166" t="s">
        <v>2269</v>
      </c>
      <c r="B440" s="166" t="s">
        <v>2270</v>
      </c>
      <c r="C440" s="166" t="s">
        <v>127</v>
      </c>
      <c r="D440" s="166" t="s">
        <v>2271</v>
      </c>
      <c r="E440" s="166" t="s">
        <v>1534</v>
      </c>
      <c r="F440" s="166" t="s">
        <v>1939</v>
      </c>
      <c r="G440" s="166" t="s">
        <v>129</v>
      </c>
      <c r="H440" s="166">
        <v>2266163</v>
      </c>
      <c r="I440" s="166">
        <v>0</v>
      </c>
      <c r="J440" s="166">
        <v>0</v>
      </c>
      <c r="K440" s="166" t="str">
        <f t="shared" si="6"/>
        <v>INSTRUMENTAVRG_BLNC</v>
      </c>
    </row>
    <row r="441" spans="1:11" hidden="1">
      <c r="A441" s="166" t="s">
        <v>2272</v>
      </c>
      <c r="B441" s="166" t="s">
        <v>2273</v>
      </c>
      <c r="C441" s="166" t="s">
        <v>127</v>
      </c>
      <c r="D441" s="166" t="s">
        <v>1436</v>
      </c>
      <c r="E441" s="166" t="s">
        <v>1531</v>
      </c>
      <c r="F441" s="166" t="s">
        <v>1939</v>
      </c>
      <c r="G441" s="166" t="s">
        <v>1134</v>
      </c>
      <c r="H441" s="166">
        <v>2266163</v>
      </c>
      <c r="I441" s="166">
        <v>1129</v>
      </c>
      <c r="J441" s="166">
        <v>4.9799999999999997E-2</v>
      </c>
      <c r="K441" s="166" t="str">
        <f t="shared" si="6"/>
        <v>INSTRUMENTNW_BSNSS</v>
      </c>
    </row>
    <row r="442" spans="1:11" hidden="1">
      <c r="A442" s="166" t="s">
        <v>2274</v>
      </c>
      <c r="B442" s="166" t="s">
        <v>2275</v>
      </c>
      <c r="C442" s="166" t="s">
        <v>127</v>
      </c>
      <c r="D442" s="166" t="s">
        <v>2276</v>
      </c>
      <c r="E442" s="166" t="s">
        <v>1534</v>
      </c>
      <c r="F442" s="166" t="s">
        <v>1939</v>
      </c>
      <c r="G442" s="166" t="s">
        <v>129</v>
      </c>
      <c r="H442" s="166">
        <v>2266163</v>
      </c>
      <c r="I442" s="166">
        <v>0</v>
      </c>
      <c r="J442" s="166">
        <v>0</v>
      </c>
      <c r="K442" s="166" t="str">
        <f t="shared" si="6"/>
        <v>INSTRUMENTGRSS_INTRST_INCM</v>
      </c>
    </row>
    <row r="443" spans="1:11" hidden="1">
      <c r="A443" s="166" t="s">
        <v>2277</v>
      </c>
      <c r="B443" s="166" t="s">
        <v>2278</v>
      </c>
      <c r="C443" s="166" t="s">
        <v>127</v>
      </c>
      <c r="D443" s="166" t="s">
        <v>2279</v>
      </c>
      <c r="E443" s="166" t="s">
        <v>1534</v>
      </c>
      <c r="F443" s="166" t="s">
        <v>1939</v>
      </c>
      <c r="G443" s="166" t="s">
        <v>129</v>
      </c>
      <c r="H443" s="166">
        <v>2266163</v>
      </c>
      <c r="I443" s="166">
        <v>0</v>
      </c>
      <c r="J443" s="166">
        <v>0</v>
      </c>
      <c r="K443" s="166" t="str">
        <f t="shared" si="6"/>
        <v>INSTRUMENTGRSS_CMMSSN_INCM</v>
      </c>
    </row>
    <row r="444" spans="1:11" hidden="1">
      <c r="A444" s="166" t="s">
        <v>2280</v>
      </c>
      <c r="B444" s="166" t="s">
        <v>2281</v>
      </c>
      <c r="C444" s="166" t="s">
        <v>127</v>
      </c>
      <c r="D444" s="166" t="s">
        <v>2282</v>
      </c>
      <c r="E444" s="166" t="s">
        <v>1534</v>
      </c>
      <c r="F444" s="166" t="s">
        <v>1939</v>
      </c>
      <c r="G444" s="166" t="s">
        <v>129</v>
      </c>
      <c r="H444" s="166">
        <v>2266163</v>
      </c>
      <c r="I444" s="166">
        <v>0</v>
      </c>
      <c r="J444" s="166">
        <v>0</v>
      </c>
      <c r="K444" s="166" t="str">
        <f t="shared" si="6"/>
        <v>INSTRUMENTINTRNL_TRNSFR_RT</v>
      </c>
    </row>
    <row r="445" spans="1:11" hidden="1">
      <c r="A445" s="166" t="s">
        <v>2283</v>
      </c>
      <c r="B445" s="166" t="s">
        <v>2284</v>
      </c>
      <c r="C445" s="166" t="s">
        <v>127</v>
      </c>
      <c r="D445" s="166" t="s">
        <v>2285</v>
      </c>
      <c r="E445" s="166" t="s">
        <v>1534</v>
      </c>
      <c r="F445" s="166" t="s">
        <v>1939</v>
      </c>
      <c r="G445" s="166" t="s">
        <v>129</v>
      </c>
      <c r="H445" s="166">
        <v>2266163</v>
      </c>
      <c r="I445" s="166">
        <v>0</v>
      </c>
      <c r="J445" s="166">
        <v>0</v>
      </c>
      <c r="K445" s="166" t="str">
        <f t="shared" si="6"/>
        <v>INSTRUMENTNT_LN_LSS_PRVSN</v>
      </c>
    </row>
    <row r="446" spans="1:11" hidden="1">
      <c r="A446" s="166" t="s">
        <v>2286</v>
      </c>
      <c r="B446" s="166" t="s">
        <v>2287</v>
      </c>
      <c r="C446" s="166" t="s">
        <v>127</v>
      </c>
      <c r="D446" s="166" t="s">
        <v>1439</v>
      </c>
      <c r="E446" s="166" t="s">
        <v>1531</v>
      </c>
      <c r="F446" s="166" t="s">
        <v>1939</v>
      </c>
      <c r="G446" s="166" t="s">
        <v>1134</v>
      </c>
      <c r="H446" s="166">
        <v>2266163</v>
      </c>
      <c r="I446" s="166">
        <v>1129</v>
      </c>
      <c r="J446" s="166">
        <v>4.9799999999999997E-2</v>
      </c>
      <c r="K446" s="166" t="str">
        <f t="shared" si="6"/>
        <v>INSTRUMENTBSNSS_AREA</v>
      </c>
    </row>
    <row r="447" spans="1:11" hidden="1">
      <c r="A447" s="166" t="s">
        <v>2288</v>
      </c>
      <c r="B447" s="166" t="s">
        <v>2289</v>
      </c>
      <c r="C447" s="166" t="s">
        <v>127</v>
      </c>
      <c r="D447" s="166" t="s">
        <v>1442</v>
      </c>
      <c r="E447" s="166" t="s">
        <v>1531</v>
      </c>
      <c r="F447" s="166" t="s">
        <v>1939</v>
      </c>
      <c r="G447" s="166" t="s">
        <v>1134</v>
      </c>
      <c r="H447" s="166">
        <v>2266163</v>
      </c>
      <c r="I447" s="166">
        <v>1129</v>
      </c>
      <c r="J447" s="166">
        <v>4.9799999999999997E-2</v>
      </c>
      <c r="K447" s="166" t="str">
        <f t="shared" si="6"/>
        <v>INSTRUMENTMNGMNT_PRDCT</v>
      </c>
    </row>
    <row r="448" spans="1:11" hidden="1">
      <c r="A448" s="166" t="s">
        <v>2290</v>
      </c>
      <c r="B448" s="166" t="s">
        <v>2291</v>
      </c>
      <c r="C448" s="166" t="s">
        <v>127</v>
      </c>
      <c r="D448" s="166" t="s">
        <v>2292</v>
      </c>
      <c r="E448" s="166" t="s">
        <v>1534</v>
      </c>
      <c r="F448" s="166" t="s">
        <v>1939</v>
      </c>
      <c r="G448" s="166" t="s">
        <v>129</v>
      </c>
      <c r="H448" s="166">
        <v>2266163</v>
      </c>
      <c r="I448" s="166">
        <v>0</v>
      </c>
      <c r="J448" s="166">
        <v>0</v>
      </c>
      <c r="K448" s="166" t="str">
        <f t="shared" si="6"/>
        <v>INSTRUMENTGRSS_CMMSSN_EXPNS</v>
      </c>
    </row>
    <row r="449" spans="1:11" hidden="1">
      <c r="A449" s="166" t="s">
        <v>2293</v>
      </c>
      <c r="B449" s="166" t="s">
        <v>2294</v>
      </c>
      <c r="C449" s="166" t="s">
        <v>127</v>
      </c>
      <c r="D449" s="166" t="s">
        <v>2295</v>
      </c>
      <c r="E449" s="166" t="s">
        <v>1534</v>
      </c>
      <c r="F449" s="166" t="s">
        <v>1939</v>
      </c>
      <c r="G449" s="166" t="s">
        <v>129</v>
      </c>
      <c r="H449" s="166">
        <v>2266163</v>
      </c>
      <c r="I449" s="166">
        <v>0</v>
      </c>
      <c r="J449" s="166">
        <v>0</v>
      </c>
      <c r="K449" s="166" t="str">
        <f t="shared" si="6"/>
        <v>INSTRUMENTGNS_FNNCL_TRNSCTN_EXCHNG_DFFRNCS</v>
      </c>
    </row>
    <row r="450" spans="1:11" hidden="1">
      <c r="A450" s="166" t="s">
        <v>2296</v>
      </c>
      <c r="B450" s="166" t="s">
        <v>2297</v>
      </c>
      <c r="C450" s="166" t="s">
        <v>127</v>
      </c>
      <c r="D450" s="166" t="s">
        <v>1445</v>
      </c>
      <c r="E450" s="166" t="s">
        <v>1531</v>
      </c>
      <c r="F450" s="166" t="s">
        <v>1939</v>
      </c>
      <c r="G450" s="166" t="s">
        <v>1134</v>
      </c>
      <c r="H450" s="166">
        <v>2266163</v>
      </c>
      <c r="I450" s="166">
        <v>1129</v>
      </c>
      <c r="J450" s="166">
        <v>4.9799999999999997E-2</v>
      </c>
      <c r="K450" s="166" t="str">
        <f t="shared" si="6"/>
        <v>INSTRUMENTFLG_INTRBSNSS</v>
      </c>
    </row>
    <row r="451" spans="1:11" hidden="1">
      <c r="A451" s="166" t="s">
        <v>2298</v>
      </c>
      <c r="B451" s="166" t="s">
        <v>2299</v>
      </c>
      <c r="C451" s="166" t="s">
        <v>127</v>
      </c>
      <c r="D451" s="166" t="s">
        <v>2300</v>
      </c>
      <c r="E451" s="166" t="s">
        <v>1531</v>
      </c>
      <c r="F451" s="166" t="s">
        <v>1939</v>
      </c>
      <c r="G451" s="166" t="s">
        <v>129</v>
      </c>
      <c r="H451" s="166">
        <v>2266163</v>
      </c>
      <c r="I451" s="166">
        <v>0</v>
      </c>
      <c r="J451" s="166">
        <v>0</v>
      </c>
      <c r="K451" s="166" t="str">
        <f t="shared" ref="K451:K514" si="7">_xlfn.CONCAT(_xlfn.IFS(ISNUMBER(SEARCH("EN",A451)),"ENTITY",ISNUMBER(SEARCH("IN",A451)),"INSTRUMENT",ISNUMBER(SEARCH("PR",A451)),"PROTECTION",ISNUMBER(SEARCH("IP",A451)),"INSTR_PROTECTION",ISNUMBER(SEARCH("IE",A451)),"INSTR_ENTITY",ISNUMBER(SEARCH("AC",A451)),"INSTR_ACTIVITY"),D451)</f>
        <v>INSTRUMENTINTRBSNSS_ADJ_COD</v>
      </c>
    </row>
    <row r="452" spans="1:11" hidden="1">
      <c r="A452" s="166" t="s">
        <v>2301</v>
      </c>
      <c r="B452" s="166" t="s">
        <v>2302</v>
      </c>
      <c r="C452" s="166" t="s">
        <v>127</v>
      </c>
      <c r="D452" s="166" t="s">
        <v>2303</v>
      </c>
      <c r="E452" s="166" t="s">
        <v>1531</v>
      </c>
      <c r="F452" s="166" t="s">
        <v>1939</v>
      </c>
      <c r="G452" s="166" t="s">
        <v>129</v>
      </c>
      <c r="H452" s="166">
        <v>2266163</v>
      </c>
      <c r="I452" s="166">
        <v>0</v>
      </c>
      <c r="J452" s="166">
        <v>0</v>
      </c>
      <c r="K452" s="166" t="str">
        <f t="shared" si="7"/>
        <v>INSTRUMENTCOD_SOC_DSTNTN</v>
      </c>
    </row>
    <row r="453" spans="1:11" hidden="1">
      <c r="A453" s="166" t="s">
        <v>2304</v>
      </c>
      <c r="B453" s="166" t="s">
        <v>2305</v>
      </c>
      <c r="C453" s="166" t="s">
        <v>127</v>
      </c>
      <c r="D453" s="166" t="s">
        <v>2306</v>
      </c>
      <c r="E453" s="166" t="s">
        <v>1531</v>
      </c>
      <c r="F453" s="166" t="s">
        <v>1939</v>
      </c>
      <c r="G453" s="166" t="s">
        <v>129</v>
      </c>
      <c r="H453" s="166">
        <v>2266163</v>
      </c>
      <c r="I453" s="166">
        <v>0</v>
      </c>
      <c r="J453" s="166">
        <v>0</v>
      </c>
      <c r="K453" s="166" t="str">
        <f t="shared" si="7"/>
        <v>INSTRUMENTBSNSS_AREA_DSTNTN</v>
      </c>
    </row>
    <row r="454" spans="1:11" hidden="1">
      <c r="A454" s="166" t="s">
        <v>2307</v>
      </c>
      <c r="B454" s="166" t="s">
        <v>2308</v>
      </c>
      <c r="C454" s="166" t="s">
        <v>127</v>
      </c>
      <c r="D454" s="166" t="s">
        <v>2309</v>
      </c>
      <c r="E454" s="166" t="s">
        <v>1534</v>
      </c>
      <c r="F454" s="166" t="s">
        <v>1939</v>
      </c>
      <c r="G454" s="166" t="s">
        <v>129</v>
      </c>
      <c r="H454" s="166">
        <v>2266163</v>
      </c>
      <c r="I454" s="166">
        <v>0</v>
      </c>
      <c r="J454" s="166">
        <v>0</v>
      </c>
      <c r="K454" s="166" t="str">
        <f t="shared" si="7"/>
        <v>INSTRUMENTAVRG_BLNC_OFF_BLNC</v>
      </c>
    </row>
    <row r="455" spans="1:11" hidden="1">
      <c r="A455" s="166" t="s">
        <v>2310</v>
      </c>
      <c r="B455" s="166" t="s">
        <v>2311</v>
      </c>
      <c r="C455" s="166" t="s">
        <v>127</v>
      </c>
      <c r="D455" s="166" t="s">
        <v>2312</v>
      </c>
      <c r="E455" s="166" t="s">
        <v>1534</v>
      </c>
      <c r="F455" s="166" t="s">
        <v>1939</v>
      </c>
      <c r="G455" s="166" t="s">
        <v>129</v>
      </c>
      <c r="H455" s="166">
        <v>2266163</v>
      </c>
      <c r="I455" s="166">
        <v>0</v>
      </c>
      <c r="J455" s="166">
        <v>0</v>
      </c>
      <c r="K455" s="166" t="str">
        <f t="shared" si="7"/>
        <v>INSTRUMENTINTRNL_TRNSFR_RT_OFF_BLNC</v>
      </c>
    </row>
    <row r="456" spans="1:11" hidden="1">
      <c r="A456" s="166" t="s">
        <v>2313</v>
      </c>
      <c r="B456" s="166" t="s">
        <v>2314</v>
      </c>
      <c r="C456" s="166" t="s">
        <v>127</v>
      </c>
      <c r="D456" s="166" t="s">
        <v>2315</v>
      </c>
      <c r="E456" s="166" t="s">
        <v>1534</v>
      </c>
      <c r="F456" s="166" t="s">
        <v>1939</v>
      </c>
      <c r="G456" s="166" t="s">
        <v>129</v>
      </c>
      <c r="H456" s="166">
        <v>2266163</v>
      </c>
      <c r="I456" s="166">
        <v>0</v>
      </c>
      <c r="J456" s="166">
        <v>0</v>
      </c>
      <c r="K456" s="166" t="str">
        <f t="shared" si="7"/>
        <v>INSTRUMENTGRSS_CMMSSN_INCM_OFF_BLNC</v>
      </c>
    </row>
    <row r="457" spans="1:11" hidden="1">
      <c r="A457" s="166" t="s">
        <v>2316</v>
      </c>
      <c r="B457" s="166" t="s">
        <v>2317</v>
      </c>
      <c r="C457" s="166" t="s">
        <v>127</v>
      </c>
      <c r="D457" s="166" t="s">
        <v>2318</v>
      </c>
      <c r="E457" s="166" t="s">
        <v>1534</v>
      </c>
      <c r="F457" s="166" t="s">
        <v>1939</v>
      </c>
      <c r="G457" s="166" t="s">
        <v>129</v>
      </c>
      <c r="H457" s="166">
        <v>2266163</v>
      </c>
      <c r="I457" s="166">
        <v>0</v>
      </c>
      <c r="J457" s="166">
        <v>0</v>
      </c>
      <c r="K457" s="166" t="str">
        <f t="shared" si="7"/>
        <v>INSTRUMENTGRSS_CMMSSN_EXPNS_OFF_BLNC</v>
      </c>
    </row>
    <row r="458" spans="1:11" hidden="1">
      <c r="A458" s="166" t="s">
        <v>2319</v>
      </c>
      <c r="B458" s="166" t="s">
        <v>2320</v>
      </c>
      <c r="C458" s="166" t="s">
        <v>127</v>
      </c>
      <c r="D458" s="166" t="s">
        <v>2321</v>
      </c>
      <c r="E458" s="166" t="s">
        <v>1534</v>
      </c>
      <c r="F458" s="166" t="s">
        <v>1939</v>
      </c>
      <c r="G458" s="166" t="s">
        <v>129</v>
      </c>
      <c r="H458" s="166">
        <v>2266163</v>
      </c>
      <c r="I458" s="166">
        <v>0</v>
      </c>
      <c r="J458" s="166">
        <v>0</v>
      </c>
      <c r="K458" s="166" t="str">
        <f t="shared" si="7"/>
        <v>INSTRUMENTRWA_OFF_BLNC</v>
      </c>
    </row>
    <row r="459" spans="1:11" hidden="1">
      <c r="A459" s="166" t="s">
        <v>2322</v>
      </c>
      <c r="B459" s="166" t="s">
        <v>2323</v>
      </c>
      <c r="C459" s="166" t="s">
        <v>127</v>
      </c>
      <c r="D459" s="166" t="s">
        <v>2324</v>
      </c>
      <c r="E459" s="166" t="s">
        <v>1534</v>
      </c>
      <c r="F459" s="166" t="s">
        <v>1939</v>
      </c>
      <c r="G459" s="166" t="s">
        <v>129</v>
      </c>
      <c r="H459" s="166">
        <v>2266163</v>
      </c>
      <c r="I459" s="166">
        <v>0</v>
      </c>
      <c r="J459" s="166">
        <v>0</v>
      </c>
      <c r="K459" s="166" t="str">
        <f t="shared" si="7"/>
        <v>INSTRUMENTGRSS_INTRST_EXPNS</v>
      </c>
    </row>
    <row r="460" spans="1:11" hidden="1">
      <c r="A460" s="166" t="s">
        <v>2325</v>
      </c>
      <c r="B460" s="166" t="s">
        <v>2326</v>
      </c>
      <c r="C460" s="166" t="s">
        <v>127</v>
      </c>
      <c r="D460" s="166" t="s">
        <v>2327</v>
      </c>
      <c r="E460" s="166" t="s">
        <v>1534</v>
      </c>
      <c r="F460" s="166" t="s">
        <v>1939</v>
      </c>
      <c r="G460" s="166" t="s">
        <v>129</v>
      </c>
      <c r="H460" s="166">
        <v>2266163</v>
      </c>
      <c r="I460" s="166">
        <v>0</v>
      </c>
      <c r="J460" s="166">
        <v>0</v>
      </c>
      <c r="K460" s="166" t="str">
        <f t="shared" si="7"/>
        <v>INSTRUMENTNT_LN_LSS_PRVSN_OFF_BLNC</v>
      </c>
    </row>
    <row r="461" spans="1:11" hidden="1">
      <c r="A461" s="166" t="s">
        <v>2328</v>
      </c>
      <c r="B461" s="166" t="s">
        <v>2329</v>
      </c>
      <c r="C461" s="166" t="s">
        <v>127</v>
      </c>
      <c r="D461" s="166" t="s">
        <v>2330</v>
      </c>
      <c r="E461" s="166" t="s">
        <v>1534</v>
      </c>
      <c r="F461" s="166" t="s">
        <v>1939</v>
      </c>
      <c r="G461" s="166" t="s">
        <v>129</v>
      </c>
      <c r="H461" s="166">
        <v>2266163</v>
      </c>
      <c r="I461" s="166">
        <v>0</v>
      </c>
      <c r="J461" s="166">
        <v>0</v>
      </c>
      <c r="K461" s="166" t="str">
        <f t="shared" si="7"/>
        <v>INSTRUMENTGRSS_INTRST_INCM_CCRR</v>
      </c>
    </row>
    <row r="462" spans="1:11" hidden="1">
      <c r="A462" s="166" t="s">
        <v>2331</v>
      </c>
      <c r="B462" s="166" t="s">
        <v>2332</v>
      </c>
      <c r="C462" s="166" t="s">
        <v>127</v>
      </c>
      <c r="D462" s="166" t="s">
        <v>2333</v>
      </c>
      <c r="E462" s="166" t="s">
        <v>1534</v>
      </c>
      <c r="F462" s="166" t="s">
        <v>1939</v>
      </c>
      <c r="G462" s="166" t="s">
        <v>129</v>
      </c>
      <c r="H462" s="166">
        <v>2266163</v>
      </c>
      <c r="I462" s="166">
        <v>0</v>
      </c>
      <c r="J462" s="166">
        <v>0</v>
      </c>
      <c r="K462" s="166" t="str">
        <f t="shared" si="7"/>
        <v>INSTRUMENTGRSS_INTRST_EXPNS_CCRR</v>
      </c>
    </row>
    <row r="463" spans="1:11" hidden="1">
      <c r="A463" s="166" t="s">
        <v>2334</v>
      </c>
      <c r="B463" s="166" t="s">
        <v>2335</v>
      </c>
      <c r="C463" s="166" t="s">
        <v>127</v>
      </c>
      <c r="D463" s="166" t="s">
        <v>2336</v>
      </c>
      <c r="E463" s="166" t="s">
        <v>1534</v>
      </c>
      <c r="F463" s="166" t="s">
        <v>1939</v>
      </c>
      <c r="G463" s="166" t="s">
        <v>129</v>
      </c>
      <c r="H463" s="166">
        <v>2266163</v>
      </c>
      <c r="I463" s="166">
        <v>0</v>
      </c>
      <c r="J463" s="166">
        <v>0</v>
      </c>
      <c r="K463" s="166" t="str">
        <f t="shared" si="7"/>
        <v>INSTRUMENTGRSS_CMMSSN_INCM_CCRR</v>
      </c>
    </row>
    <row r="464" spans="1:11" hidden="1">
      <c r="A464" s="166" t="s">
        <v>2337</v>
      </c>
      <c r="B464" s="166" t="s">
        <v>2338</v>
      </c>
      <c r="C464" s="166" t="s">
        <v>127</v>
      </c>
      <c r="D464" s="166" t="s">
        <v>2339</v>
      </c>
      <c r="E464" s="166" t="s">
        <v>1534</v>
      </c>
      <c r="F464" s="166" t="s">
        <v>1939</v>
      </c>
      <c r="G464" s="166" t="s">
        <v>129</v>
      </c>
      <c r="H464" s="166">
        <v>2266163</v>
      </c>
      <c r="I464" s="166">
        <v>0</v>
      </c>
      <c r="J464" s="166">
        <v>0</v>
      </c>
      <c r="K464" s="166" t="str">
        <f t="shared" si="7"/>
        <v>INSTRUMENTGRSS_CMMSSN_EXPNS_CCRR</v>
      </c>
    </row>
    <row r="465" spans="1:11" hidden="1">
      <c r="A465" s="166" t="s">
        <v>2340</v>
      </c>
      <c r="B465" s="166" t="s">
        <v>2341</v>
      </c>
      <c r="C465" s="166" t="s">
        <v>127</v>
      </c>
      <c r="D465" s="166" t="s">
        <v>2342</v>
      </c>
      <c r="E465" s="166" t="s">
        <v>1534</v>
      </c>
      <c r="F465" s="166" t="s">
        <v>1939</v>
      </c>
      <c r="G465" s="166" t="s">
        <v>129</v>
      </c>
      <c r="H465" s="166">
        <v>2266163</v>
      </c>
      <c r="I465" s="166">
        <v>0</v>
      </c>
      <c r="J465" s="166">
        <v>0</v>
      </c>
      <c r="K465" s="166" t="str">
        <f t="shared" si="7"/>
        <v>INSTRUMENTGNS_FNNCL_TRNSCTN_EXCHNG_CCRR</v>
      </c>
    </row>
    <row r="466" spans="1:11" hidden="1">
      <c r="A466" s="166" t="s">
        <v>2343</v>
      </c>
      <c r="B466" s="166" t="s">
        <v>2344</v>
      </c>
      <c r="C466" s="166" t="s">
        <v>127</v>
      </c>
      <c r="D466" s="166" t="s">
        <v>1448</v>
      </c>
      <c r="E466" s="166" t="s">
        <v>1531</v>
      </c>
      <c r="F466" s="166" t="s">
        <v>1939</v>
      </c>
      <c r="G466" s="166" t="s">
        <v>1134</v>
      </c>
      <c r="H466" s="166">
        <v>2266163</v>
      </c>
      <c r="I466" s="166">
        <v>2266163</v>
      </c>
      <c r="J466" s="166">
        <v>100</v>
      </c>
      <c r="K466" s="166" t="str">
        <f t="shared" si="7"/>
        <v>INSTRUMENTBSNSS_AREA_CCRR</v>
      </c>
    </row>
    <row r="467" spans="1:11" hidden="1">
      <c r="A467" s="166" t="s">
        <v>2345</v>
      </c>
      <c r="B467" s="166" t="s">
        <v>2346</v>
      </c>
      <c r="C467" s="166" t="s">
        <v>127</v>
      </c>
      <c r="D467" s="166" t="s">
        <v>2347</v>
      </c>
      <c r="E467" s="166" t="s">
        <v>1534</v>
      </c>
      <c r="F467" s="166" t="s">
        <v>1939</v>
      </c>
      <c r="G467" s="166" t="s">
        <v>129</v>
      </c>
      <c r="H467" s="166">
        <v>2266163</v>
      </c>
      <c r="I467" s="166">
        <v>0</v>
      </c>
      <c r="J467" s="166">
        <v>0</v>
      </c>
      <c r="K467" s="166" t="str">
        <f t="shared" si="7"/>
        <v>INSTRUMENTGRSS_CMMSSN_INCM_OFF_BLNC_CCRR</v>
      </c>
    </row>
    <row r="468" spans="1:11" hidden="1">
      <c r="A468" s="166" t="s">
        <v>2348</v>
      </c>
      <c r="B468" s="166" t="s">
        <v>2349</v>
      </c>
      <c r="C468" s="166" t="s">
        <v>127</v>
      </c>
      <c r="D468" s="166" t="s">
        <v>2350</v>
      </c>
      <c r="E468" s="166" t="s">
        <v>1534</v>
      </c>
      <c r="F468" s="166" t="s">
        <v>1939</v>
      </c>
      <c r="G468" s="166" t="s">
        <v>129</v>
      </c>
      <c r="H468" s="166">
        <v>2266163</v>
      </c>
      <c r="I468" s="166">
        <v>0</v>
      </c>
      <c r="J468" s="166">
        <v>0</v>
      </c>
      <c r="K468" s="166" t="str">
        <f t="shared" si="7"/>
        <v>INSTRUMENTGRSS_CMMSSN_EXPNS_OFF_BLNC_CCRR</v>
      </c>
    </row>
    <row r="469" spans="1:11" hidden="1">
      <c r="A469" s="166" t="s">
        <v>2351</v>
      </c>
      <c r="B469" s="166" t="s">
        <v>2352</v>
      </c>
      <c r="C469" s="166" t="s">
        <v>127</v>
      </c>
      <c r="D469" s="166" t="s">
        <v>1451</v>
      </c>
      <c r="E469" s="166" t="s">
        <v>1531</v>
      </c>
      <c r="F469" s="166" t="s">
        <v>1939</v>
      </c>
      <c r="G469" s="166" t="s">
        <v>1134</v>
      </c>
      <c r="H469" s="166">
        <v>2266163</v>
      </c>
      <c r="I469" s="166">
        <v>2266163</v>
      </c>
      <c r="J469" s="166">
        <v>100</v>
      </c>
      <c r="K469" s="166" t="str">
        <f t="shared" si="7"/>
        <v>INSTRUMENTRSK_MTGTD_CCT</v>
      </c>
    </row>
    <row r="470" spans="1:11" hidden="1">
      <c r="A470" s="166" t="s">
        <v>2353</v>
      </c>
      <c r="B470" s="166" t="s">
        <v>2354</v>
      </c>
      <c r="C470" s="166" t="s">
        <v>127</v>
      </c>
      <c r="D470" s="166" t="s">
        <v>1454</v>
      </c>
      <c r="E470" s="166" t="s">
        <v>1531</v>
      </c>
      <c r="F470" s="166" t="s">
        <v>1939</v>
      </c>
      <c r="G470" s="166" t="s">
        <v>1134</v>
      </c>
      <c r="H470" s="166">
        <v>2266163</v>
      </c>
      <c r="I470" s="166">
        <v>2266163</v>
      </c>
      <c r="J470" s="166">
        <v>100</v>
      </c>
      <c r="K470" s="166" t="str">
        <f t="shared" si="7"/>
        <v>INSTRUMENTRSK_MTGTD_CCP</v>
      </c>
    </row>
    <row r="471" spans="1:11" hidden="1">
      <c r="A471" s="166" t="s">
        <v>2355</v>
      </c>
      <c r="B471" s="166" t="s">
        <v>2356</v>
      </c>
      <c r="C471" s="166" t="s">
        <v>127</v>
      </c>
      <c r="D471" s="166" t="s">
        <v>2357</v>
      </c>
      <c r="E471" s="166" t="s">
        <v>1531</v>
      </c>
      <c r="F471" s="166" t="s">
        <v>1939</v>
      </c>
      <c r="G471" s="166" t="s">
        <v>1134</v>
      </c>
      <c r="H471" s="166">
        <v>2266163</v>
      </c>
      <c r="I471" s="166">
        <v>2266163</v>
      </c>
      <c r="J471" s="166">
        <v>100</v>
      </c>
      <c r="K471" s="166" t="str">
        <f t="shared" si="7"/>
        <v>INSTRUMENTLNS_CLLTRLZD_CLSSFCTN</v>
      </c>
    </row>
    <row r="472" spans="1:11" hidden="1">
      <c r="A472" s="166" t="s">
        <v>2358</v>
      </c>
      <c r="B472" s="166" t="s">
        <v>2359</v>
      </c>
      <c r="C472" s="166" t="s">
        <v>127</v>
      </c>
      <c r="D472" s="166" t="s">
        <v>2360</v>
      </c>
      <c r="E472" s="166" t="s">
        <v>1531</v>
      </c>
      <c r="F472" s="166" t="s">
        <v>1939</v>
      </c>
      <c r="G472" s="166" t="s">
        <v>1134</v>
      </c>
      <c r="H472" s="166">
        <v>2266163</v>
      </c>
      <c r="I472" s="166">
        <v>2266163</v>
      </c>
      <c r="J472" s="166">
        <v>100</v>
      </c>
      <c r="K472" s="166" t="str">
        <f t="shared" si="7"/>
        <v>INSTRUMENTMTHD_USD_INSTRMNT_SCP_1</v>
      </c>
    </row>
    <row r="473" spans="1:11" hidden="1">
      <c r="A473" s="166" t="s">
        <v>2361</v>
      </c>
      <c r="B473" s="166" t="s">
        <v>2362</v>
      </c>
      <c r="C473" s="166" t="s">
        <v>127</v>
      </c>
      <c r="D473" s="166" t="s">
        <v>2363</v>
      </c>
      <c r="E473" s="166" t="s">
        <v>1531</v>
      </c>
      <c r="F473" s="166" t="s">
        <v>1939</v>
      </c>
      <c r="G473" s="166" t="s">
        <v>1134</v>
      </c>
      <c r="H473" s="166">
        <v>2266163</v>
      </c>
      <c r="I473" s="166">
        <v>2266163</v>
      </c>
      <c r="J473" s="166">
        <v>100</v>
      </c>
      <c r="K473" s="166" t="str">
        <f t="shared" si="7"/>
        <v>INSTRUMENTMTHD_USD_INSTRMNT_SCP_2</v>
      </c>
    </row>
    <row r="474" spans="1:11" hidden="1">
      <c r="A474" s="166" t="s">
        <v>2364</v>
      </c>
      <c r="B474" s="166" t="s">
        <v>2365</v>
      </c>
      <c r="C474" s="166" t="s">
        <v>127</v>
      </c>
      <c r="D474" s="166" t="s">
        <v>2366</v>
      </c>
      <c r="E474" s="166" t="s">
        <v>1531</v>
      </c>
      <c r="F474" s="166" t="s">
        <v>1939</v>
      </c>
      <c r="G474" s="166" t="s">
        <v>1134</v>
      </c>
      <c r="H474" s="166">
        <v>2266163</v>
      </c>
      <c r="I474" s="166">
        <v>2266163</v>
      </c>
      <c r="J474" s="166">
        <v>100</v>
      </c>
      <c r="K474" s="166" t="str">
        <f t="shared" si="7"/>
        <v>INSTRUMENTMTHD_USD_INSTRMNT_SCP_3</v>
      </c>
    </row>
    <row r="475" spans="1:11" hidden="1">
      <c r="A475" s="166" t="s">
        <v>2367</v>
      </c>
      <c r="B475" s="166" t="s">
        <v>2368</v>
      </c>
      <c r="C475" s="166" t="s">
        <v>127</v>
      </c>
      <c r="D475" s="166" t="s">
        <v>2369</v>
      </c>
      <c r="E475" s="166" t="s">
        <v>1531</v>
      </c>
      <c r="F475" s="166" t="s">
        <v>1939</v>
      </c>
      <c r="G475" s="166" t="s">
        <v>1134</v>
      </c>
      <c r="H475" s="166">
        <v>2266163</v>
      </c>
      <c r="I475" s="166">
        <v>1129</v>
      </c>
      <c r="J475" s="166">
        <v>4.9799999999999997E-2</v>
      </c>
      <c r="K475" s="166" t="str">
        <f t="shared" si="7"/>
        <v>INSTRUMENTCNCLLD_INSTRMNT_STTS</v>
      </c>
    </row>
    <row r="476" spans="1:11" hidden="1">
      <c r="A476" s="166" t="s">
        <v>2370</v>
      </c>
      <c r="B476" s="166" t="s">
        <v>2371</v>
      </c>
      <c r="C476" s="166" t="s">
        <v>127</v>
      </c>
      <c r="D476" s="166" t="s">
        <v>351</v>
      </c>
      <c r="E476" s="166" t="s">
        <v>1531</v>
      </c>
      <c r="F476" s="166" t="s">
        <v>1939</v>
      </c>
      <c r="G476" s="166" t="s">
        <v>1134</v>
      </c>
      <c r="H476" s="166">
        <v>2266163</v>
      </c>
      <c r="I476" s="166">
        <v>30</v>
      </c>
      <c r="J476" s="166">
        <v>1.2999999999999999E-3</v>
      </c>
      <c r="K476" s="166" t="str">
        <f t="shared" si="7"/>
        <v>INSTRUMENTIDCMB</v>
      </c>
    </row>
    <row r="477" spans="1:11" hidden="1">
      <c r="A477" s="166" t="s">
        <v>2372</v>
      </c>
      <c r="B477" s="166" t="s">
        <v>2373</v>
      </c>
      <c r="C477" s="166" t="s">
        <v>127</v>
      </c>
      <c r="D477" s="166" t="s">
        <v>310</v>
      </c>
      <c r="E477" s="166" t="s">
        <v>1534</v>
      </c>
      <c r="F477" s="166" t="s">
        <v>1939</v>
      </c>
      <c r="G477" s="166" t="s">
        <v>129</v>
      </c>
      <c r="H477" s="166">
        <v>2266163</v>
      </c>
      <c r="I477" s="166">
        <v>0</v>
      </c>
      <c r="J477" s="166">
        <v>0</v>
      </c>
      <c r="K477" s="166" t="str">
        <f t="shared" si="7"/>
        <v>INSTRUMENTEXPCTD_LSS_CRR</v>
      </c>
    </row>
    <row r="478" spans="1:11" hidden="1">
      <c r="A478" s="166" t="s">
        <v>2374</v>
      </c>
      <c r="B478" s="166" t="s">
        <v>2375</v>
      </c>
      <c r="C478" s="166" t="s">
        <v>127</v>
      </c>
      <c r="D478" s="166" t="s">
        <v>400</v>
      </c>
      <c r="E478" s="166" t="s">
        <v>1534</v>
      </c>
      <c r="F478" s="166" t="s">
        <v>1939</v>
      </c>
      <c r="G478" s="166" t="s">
        <v>1134</v>
      </c>
      <c r="H478" s="166">
        <v>2266163</v>
      </c>
      <c r="I478" s="166">
        <v>2138963</v>
      </c>
      <c r="J478" s="166">
        <v>94.387</v>
      </c>
      <c r="K478" s="166" t="str">
        <f t="shared" si="7"/>
        <v>INSTRUMENTLSTI</v>
      </c>
    </row>
    <row r="479" spans="1:11" hidden="1">
      <c r="A479" s="166" t="s">
        <v>2376</v>
      </c>
      <c r="B479" s="166" t="s">
        <v>2377</v>
      </c>
      <c r="C479" s="166" t="s">
        <v>127</v>
      </c>
      <c r="D479" s="166" t="s">
        <v>226</v>
      </c>
      <c r="E479" s="166" t="s">
        <v>1534</v>
      </c>
      <c r="F479" s="166" t="s">
        <v>1939</v>
      </c>
      <c r="G479" s="166" t="s">
        <v>1134</v>
      </c>
      <c r="H479" s="166">
        <v>2266163</v>
      </c>
      <c r="I479" s="166">
        <v>2138963</v>
      </c>
      <c r="J479" s="166">
        <v>94.387</v>
      </c>
      <c r="K479" s="166" t="str">
        <f t="shared" si="7"/>
        <v>INSTRUMENTDSTI</v>
      </c>
    </row>
    <row r="480" spans="1:11" hidden="1">
      <c r="A480" s="166" t="s">
        <v>2378</v>
      </c>
      <c r="B480" s="166" t="s">
        <v>1678</v>
      </c>
      <c r="C480" s="166" t="s">
        <v>127</v>
      </c>
      <c r="D480" s="166" t="s">
        <v>402</v>
      </c>
      <c r="E480" s="166" t="s">
        <v>1534</v>
      </c>
      <c r="F480" s="166" t="s">
        <v>1939</v>
      </c>
      <c r="G480" s="166" t="s">
        <v>1134</v>
      </c>
      <c r="H480" s="166">
        <v>2266163</v>
      </c>
      <c r="I480" s="166">
        <v>2138963</v>
      </c>
      <c r="J480" s="166">
        <v>94.387</v>
      </c>
      <c r="K480" s="166" t="str">
        <f t="shared" si="7"/>
        <v>INSTRUMENTLTI_INSTRMNT</v>
      </c>
    </row>
    <row r="481" spans="1:11" hidden="1">
      <c r="A481" s="166" t="s">
        <v>2379</v>
      </c>
      <c r="B481" s="166" t="s">
        <v>2380</v>
      </c>
      <c r="C481" s="166" t="s">
        <v>127</v>
      </c>
      <c r="D481" s="166" t="s">
        <v>555</v>
      </c>
      <c r="E481" s="166" t="s">
        <v>1534</v>
      </c>
      <c r="F481" s="166" t="s">
        <v>1939</v>
      </c>
      <c r="G481" s="166" t="s">
        <v>1134</v>
      </c>
      <c r="H481" s="166">
        <v>2266163</v>
      </c>
      <c r="I481" s="166">
        <v>2266163</v>
      </c>
      <c r="J481" s="166">
        <v>100</v>
      </c>
      <c r="K481" s="166" t="str">
        <f t="shared" si="7"/>
        <v>INSTRUMENTINTRST_RT_CP</v>
      </c>
    </row>
    <row r="482" spans="1:11" hidden="1">
      <c r="A482" s="166" t="s">
        <v>2381</v>
      </c>
      <c r="B482" s="166" t="s">
        <v>2382</v>
      </c>
      <c r="C482" s="166" t="s">
        <v>127</v>
      </c>
      <c r="D482" s="166" t="s">
        <v>556</v>
      </c>
      <c r="E482" s="166" t="s">
        <v>1534</v>
      </c>
      <c r="F482" s="166" t="s">
        <v>1939</v>
      </c>
      <c r="G482" s="166" t="s">
        <v>1134</v>
      </c>
      <c r="H482" s="166">
        <v>2266163</v>
      </c>
      <c r="I482" s="166">
        <v>2266163</v>
      </c>
      <c r="J482" s="166">
        <v>100</v>
      </c>
      <c r="K482" s="166" t="str">
        <f t="shared" si="7"/>
        <v>INSTRUMENTINTRST_RT_FLR</v>
      </c>
    </row>
    <row r="483" spans="1:11" hidden="1">
      <c r="A483" s="166" t="s">
        <v>2383</v>
      </c>
      <c r="B483" s="166" t="s">
        <v>2384</v>
      </c>
      <c r="C483" s="166" t="s">
        <v>127</v>
      </c>
      <c r="D483" s="166" t="s">
        <v>557</v>
      </c>
      <c r="E483" s="166" t="s">
        <v>1534</v>
      </c>
      <c r="F483" s="166" t="s">
        <v>1939</v>
      </c>
      <c r="G483" s="166" t="s">
        <v>1134</v>
      </c>
      <c r="H483" s="166">
        <v>2266163</v>
      </c>
      <c r="I483" s="166">
        <v>2266163</v>
      </c>
      <c r="J483" s="166">
        <v>100</v>
      </c>
      <c r="K483" s="166" t="str">
        <f t="shared" si="7"/>
        <v>INSTRUMENTNMNL_INTRST_RT_FEE</v>
      </c>
    </row>
    <row r="484" spans="1:11" hidden="1">
      <c r="A484" s="166" t="s">
        <v>2385</v>
      </c>
      <c r="B484" s="166" t="s">
        <v>2386</v>
      </c>
      <c r="C484" s="166" t="s">
        <v>127</v>
      </c>
      <c r="D484" s="166" t="s">
        <v>485</v>
      </c>
      <c r="E484" s="166" t="s">
        <v>1531</v>
      </c>
      <c r="F484" s="166" t="s">
        <v>1939</v>
      </c>
      <c r="G484" s="166" t="s">
        <v>1134</v>
      </c>
      <c r="H484" s="166">
        <v>2266163</v>
      </c>
      <c r="I484" s="166">
        <v>2266163</v>
      </c>
      <c r="J484" s="166">
        <v>100</v>
      </c>
      <c r="K484" s="166" t="str">
        <f t="shared" si="7"/>
        <v>INSTRUMENTRFRNC_RT</v>
      </c>
    </row>
    <row r="485" spans="1:11" hidden="1">
      <c r="A485" s="166" t="s">
        <v>2387</v>
      </c>
      <c r="B485" s="166" t="s">
        <v>2388</v>
      </c>
      <c r="C485" s="166" t="s">
        <v>127</v>
      </c>
      <c r="D485" s="166" t="s">
        <v>558</v>
      </c>
      <c r="E485" s="166" t="s">
        <v>1524</v>
      </c>
      <c r="F485" s="166" t="s">
        <v>1939</v>
      </c>
      <c r="G485" s="166" t="s">
        <v>1134</v>
      </c>
      <c r="H485" s="166">
        <v>2266163</v>
      </c>
      <c r="I485" s="166">
        <v>2266163</v>
      </c>
      <c r="J485" s="166">
        <v>100</v>
      </c>
      <c r="K485" s="166" t="str">
        <f t="shared" si="7"/>
        <v>INSTRUMENTDT_STTLMNT</v>
      </c>
    </row>
    <row r="486" spans="1:11" hidden="1">
      <c r="A486" s="166" t="s">
        <v>2389</v>
      </c>
      <c r="B486" s="166" t="s">
        <v>2390</v>
      </c>
      <c r="C486" s="166" t="s">
        <v>127</v>
      </c>
      <c r="D486" s="166" t="s">
        <v>559</v>
      </c>
      <c r="E486" s="166" t="s">
        <v>1534</v>
      </c>
      <c r="F486" s="166" t="s">
        <v>1939</v>
      </c>
      <c r="G486" s="166" t="s">
        <v>1134</v>
      </c>
      <c r="H486" s="166">
        <v>2266163</v>
      </c>
      <c r="I486" s="166">
        <v>2266163</v>
      </c>
      <c r="J486" s="166">
        <v>100</v>
      </c>
      <c r="K486" s="166" t="str">
        <f t="shared" si="7"/>
        <v>INSTRUMENTTRNSFRRD_AMNT</v>
      </c>
    </row>
    <row r="487" spans="1:11" hidden="1">
      <c r="A487" s="166" t="s">
        <v>2391</v>
      </c>
      <c r="B487" s="166" t="s">
        <v>2392</v>
      </c>
      <c r="C487" s="166" t="s">
        <v>127</v>
      </c>
      <c r="D487" s="166" t="s">
        <v>560</v>
      </c>
      <c r="E487" s="166" t="s">
        <v>1531</v>
      </c>
      <c r="F487" s="166" t="s">
        <v>1939</v>
      </c>
      <c r="G487" s="166" t="s">
        <v>1134</v>
      </c>
      <c r="H487" s="166">
        <v>2266163</v>
      </c>
      <c r="I487" s="166">
        <v>2266163</v>
      </c>
      <c r="J487" s="166">
        <v>100</v>
      </c>
      <c r="K487" s="166" t="str">
        <f t="shared" si="7"/>
        <v>INSTRUMENTTYP_SCRTZTN</v>
      </c>
    </row>
    <row r="488" spans="1:11" hidden="1">
      <c r="A488" s="166" t="s">
        <v>2393</v>
      </c>
      <c r="B488" s="166" t="s">
        <v>2394</v>
      </c>
      <c r="C488" s="166" t="s">
        <v>127</v>
      </c>
      <c r="D488" s="166" t="s">
        <v>561</v>
      </c>
      <c r="E488" s="166" t="s">
        <v>1531</v>
      </c>
      <c r="F488" s="166" t="s">
        <v>1939</v>
      </c>
      <c r="G488" s="166" t="s">
        <v>129</v>
      </c>
      <c r="H488" s="166">
        <v>2266163</v>
      </c>
      <c r="I488" s="166">
        <v>0</v>
      </c>
      <c r="J488" s="166">
        <v>0</v>
      </c>
      <c r="K488" s="166" t="str">
        <f t="shared" si="7"/>
        <v>INSTRUMENTTYP_OFF_BLNC_PRDCT</v>
      </c>
    </row>
    <row r="489" spans="1:11" hidden="1">
      <c r="A489" s="166" t="s">
        <v>2395</v>
      </c>
      <c r="B489" s="166" t="s">
        <v>2396</v>
      </c>
      <c r="C489" s="166" t="s">
        <v>127</v>
      </c>
      <c r="D489" s="166" t="s">
        <v>562</v>
      </c>
      <c r="E489" s="166" t="s">
        <v>1531</v>
      </c>
      <c r="F489" s="166" t="s">
        <v>1939</v>
      </c>
      <c r="G489" s="166" t="s">
        <v>1134</v>
      </c>
      <c r="H489" s="166">
        <v>2266163</v>
      </c>
      <c r="I489" s="166">
        <v>2266163</v>
      </c>
      <c r="J489" s="166">
        <v>100</v>
      </c>
      <c r="K489" s="166" t="str">
        <f t="shared" si="7"/>
        <v>INSTRUMENTBLNC_SHT_RCGNTN</v>
      </c>
    </row>
    <row r="490" spans="1:11" hidden="1">
      <c r="A490" s="166" t="s">
        <v>2397</v>
      </c>
      <c r="B490" s="166" t="s">
        <v>2398</v>
      </c>
      <c r="C490" s="166" t="s">
        <v>127</v>
      </c>
      <c r="D490" s="166" t="s">
        <v>563</v>
      </c>
      <c r="E490" s="166" t="s">
        <v>1531</v>
      </c>
      <c r="F490" s="166" t="s">
        <v>1939</v>
      </c>
      <c r="G490" s="166" t="s">
        <v>1134</v>
      </c>
      <c r="H490" s="166">
        <v>2266163</v>
      </c>
      <c r="I490" s="166">
        <v>2266163</v>
      </c>
      <c r="J490" s="166">
        <v>100</v>
      </c>
      <c r="K490" s="166" t="str">
        <f t="shared" si="7"/>
        <v>INSTRUMENTFLG_DFLT</v>
      </c>
    </row>
    <row r="491" spans="1:11" hidden="1">
      <c r="A491" s="166" t="s">
        <v>2399</v>
      </c>
      <c r="B491" s="166" t="s">
        <v>2400</v>
      </c>
      <c r="C491" s="166" t="s">
        <v>127</v>
      </c>
      <c r="D491" s="166" t="s">
        <v>564</v>
      </c>
      <c r="E491" s="166" t="s">
        <v>1531</v>
      </c>
      <c r="F491" s="166" t="s">
        <v>1939</v>
      </c>
      <c r="G491" s="166" t="s">
        <v>1134</v>
      </c>
      <c r="H491" s="166">
        <v>2266163</v>
      </c>
      <c r="I491" s="166">
        <v>2266163</v>
      </c>
      <c r="J491" s="166">
        <v>100</v>
      </c>
      <c r="K491" s="166" t="str">
        <f t="shared" si="7"/>
        <v>INSTRUMENTFLG_HGH_RSK</v>
      </c>
    </row>
    <row r="492" spans="1:11" hidden="1">
      <c r="A492" s="166" t="s">
        <v>2401</v>
      </c>
      <c r="B492" s="166" t="s">
        <v>2402</v>
      </c>
      <c r="C492" s="166" t="s">
        <v>127</v>
      </c>
      <c r="D492" s="166" t="s">
        <v>1266</v>
      </c>
      <c r="E492" s="166" t="s">
        <v>1531</v>
      </c>
      <c r="F492" s="166" t="s">
        <v>1939</v>
      </c>
      <c r="G492" s="166" t="s">
        <v>129</v>
      </c>
      <c r="H492" s="166">
        <v>2266163</v>
      </c>
      <c r="I492" s="166">
        <v>0</v>
      </c>
      <c r="J492" s="166">
        <v>0</v>
      </c>
      <c r="K492" s="166" t="str">
        <f t="shared" si="7"/>
        <v>INSTRUMENTEXCLDD_LF</v>
      </c>
    </row>
    <row r="493" spans="1:11" hidden="1">
      <c r="A493" s="166" t="s">
        <v>2403</v>
      </c>
      <c r="B493" s="166" t="s">
        <v>2404</v>
      </c>
      <c r="C493" s="166" t="s">
        <v>127</v>
      </c>
      <c r="D493" s="166" t="s">
        <v>1320</v>
      </c>
      <c r="E493" s="166" t="s">
        <v>1534</v>
      </c>
      <c r="F493" s="166" t="s">
        <v>1939</v>
      </c>
      <c r="G493" s="166" t="s">
        <v>129</v>
      </c>
      <c r="H493" s="166">
        <v>2266163</v>
      </c>
      <c r="I493" s="166">
        <v>0</v>
      </c>
      <c r="J493" s="166">
        <v>0</v>
      </c>
      <c r="K493" s="166" t="str">
        <f t="shared" si="7"/>
        <v>INSTRUMENTRWA_MTGTN</v>
      </c>
    </row>
    <row r="494" spans="1:11" hidden="1">
      <c r="A494" s="166" t="s">
        <v>2405</v>
      </c>
      <c r="B494" s="166" t="s">
        <v>2406</v>
      </c>
      <c r="C494" s="166" t="s">
        <v>127</v>
      </c>
      <c r="D494" s="166" t="s">
        <v>1319</v>
      </c>
      <c r="E494" s="166" t="s">
        <v>1534</v>
      </c>
      <c r="F494" s="166" t="s">
        <v>1939</v>
      </c>
      <c r="G494" s="166" t="s">
        <v>129</v>
      </c>
      <c r="H494" s="166">
        <v>2266163</v>
      </c>
      <c r="I494" s="166">
        <v>0</v>
      </c>
      <c r="J494" s="166">
        <v>0</v>
      </c>
      <c r="K494" s="166" t="str">
        <f t="shared" si="7"/>
        <v>INSTRUMENTRWA_PRMTGTN</v>
      </c>
    </row>
    <row r="495" spans="1:11" hidden="1">
      <c r="A495" s="166" t="s">
        <v>2407</v>
      </c>
      <c r="B495" s="166" t="s">
        <v>2408</v>
      </c>
      <c r="C495" s="166" t="s">
        <v>127</v>
      </c>
      <c r="D495" s="166" t="s">
        <v>1311</v>
      </c>
      <c r="E495" s="166" t="s">
        <v>1531</v>
      </c>
      <c r="F495" s="166" t="s">
        <v>1939</v>
      </c>
      <c r="G495" s="166" t="s">
        <v>129</v>
      </c>
      <c r="H495" s="166">
        <v>2266163</v>
      </c>
      <c r="I495" s="166">
        <v>0</v>
      </c>
      <c r="J495" s="166">
        <v>0</v>
      </c>
      <c r="K495" s="166" t="str">
        <f t="shared" si="7"/>
        <v>INSTRUMENTUS_PRCDS</v>
      </c>
    </row>
    <row r="496" spans="1:11" hidden="1">
      <c r="A496" s="166" t="s">
        <v>2409</v>
      </c>
      <c r="B496" s="166" t="s">
        <v>2410</v>
      </c>
      <c r="C496" s="166" t="s">
        <v>127</v>
      </c>
      <c r="D496" s="166" t="s">
        <v>1317</v>
      </c>
      <c r="E496" s="166" t="s">
        <v>1534</v>
      </c>
      <c r="F496" s="166" t="s">
        <v>1939</v>
      </c>
      <c r="G496" s="166" t="s">
        <v>129</v>
      </c>
      <c r="H496" s="166">
        <v>2266163</v>
      </c>
      <c r="I496" s="166">
        <v>0</v>
      </c>
      <c r="J496" s="166">
        <v>0</v>
      </c>
      <c r="K496" s="166" t="str">
        <f t="shared" si="7"/>
        <v>INSTRUMENTTTL_LVRG_RT_INCPTN</v>
      </c>
    </row>
    <row r="497" spans="1:11" hidden="1">
      <c r="A497" s="166" t="s">
        <v>2411</v>
      </c>
      <c r="B497" s="166" t="s">
        <v>2412</v>
      </c>
      <c r="C497" s="166" t="s">
        <v>127</v>
      </c>
      <c r="D497" s="166" t="s">
        <v>1312</v>
      </c>
      <c r="E497" s="166" t="s">
        <v>1531</v>
      </c>
      <c r="F497" s="166" t="s">
        <v>1939</v>
      </c>
      <c r="G497" s="166" t="s">
        <v>129</v>
      </c>
      <c r="H497" s="166">
        <v>2266163</v>
      </c>
      <c r="I497" s="166">
        <v>0</v>
      </c>
      <c r="J497" s="166">
        <v>0</v>
      </c>
      <c r="K497" s="166" t="str">
        <f t="shared" si="7"/>
        <v>INSTRUMENTTYP_FCLTY</v>
      </c>
    </row>
    <row r="498" spans="1:11" hidden="1">
      <c r="A498" s="166" t="s">
        <v>2413</v>
      </c>
      <c r="B498" s="166" t="s">
        <v>2414</v>
      </c>
      <c r="C498" s="166" t="s">
        <v>127</v>
      </c>
      <c r="D498" s="166" t="s">
        <v>1314</v>
      </c>
      <c r="E498" s="166" t="s">
        <v>1531</v>
      </c>
      <c r="F498" s="166" t="s">
        <v>1939</v>
      </c>
      <c r="G498" s="166" t="s">
        <v>129</v>
      </c>
      <c r="H498" s="166">
        <v>2266163</v>
      </c>
      <c r="I498" s="166">
        <v>0</v>
      </c>
      <c r="J498" s="166">
        <v>0</v>
      </c>
      <c r="K498" s="166" t="str">
        <f t="shared" si="7"/>
        <v>INSTRUMENTTYP_CL</v>
      </c>
    </row>
    <row r="499" spans="1:11" hidden="1">
      <c r="A499" s="166" t="s">
        <v>2415</v>
      </c>
      <c r="B499" s="166" t="s">
        <v>2416</v>
      </c>
      <c r="C499" s="166" t="s">
        <v>127</v>
      </c>
      <c r="D499" s="166" t="s">
        <v>1471</v>
      </c>
      <c r="E499" s="166" t="s">
        <v>1531</v>
      </c>
      <c r="F499" s="166" t="s">
        <v>1939</v>
      </c>
      <c r="G499" s="166" t="s">
        <v>1134</v>
      </c>
      <c r="H499" s="166">
        <v>2266163</v>
      </c>
      <c r="I499" s="166">
        <v>2266163</v>
      </c>
      <c r="J499" s="166">
        <v>100</v>
      </c>
      <c r="K499" s="166" t="str">
        <f t="shared" si="7"/>
        <v>INSTRUMENTFLG_MNMM_SFGRDS</v>
      </c>
    </row>
    <row r="500" spans="1:11" hidden="1">
      <c r="A500" s="166" t="s">
        <v>2417</v>
      </c>
      <c r="B500" s="166" t="s">
        <v>2418</v>
      </c>
      <c r="C500" s="166" t="s">
        <v>127</v>
      </c>
      <c r="D500" s="166" t="s">
        <v>1322</v>
      </c>
      <c r="E500" s="166" t="s">
        <v>1534</v>
      </c>
      <c r="F500" s="166" t="s">
        <v>1939</v>
      </c>
      <c r="G500" s="166" t="s">
        <v>129</v>
      </c>
      <c r="H500" s="166">
        <v>2266163</v>
      </c>
      <c r="I500" s="166">
        <v>0</v>
      </c>
      <c r="J500" s="166">
        <v>0</v>
      </c>
      <c r="K500" s="166" t="str">
        <f t="shared" si="7"/>
        <v>INSTRUMENTRORAC</v>
      </c>
    </row>
    <row r="501" spans="1:11" hidden="1">
      <c r="A501" s="166" t="s">
        <v>2419</v>
      </c>
      <c r="B501" s="166" t="s">
        <v>2420</v>
      </c>
      <c r="C501" s="166" t="s">
        <v>127</v>
      </c>
      <c r="D501" s="166" t="s">
        <v>1321</v>
      </c>
      <c r="E501" s="166" t="s">
        <v>1534</v>
      </c>
      <c r="F501" s="166" t="s">
        <v>1939</v>
      </c>
      <c r="G501" s="166" t="s">
        <v>129</v>
      </c>
      <c r="H501" s="166">
        <v>2266163</v>
      </c>
      <c r="I501" s="166">
        <v>0</v>
      </c>
      <c r="J501" s="166">
        <v>0</v>
      </c>
      <c r="K501" s="166" t="str">
        <f t="shared" si="7"/>
        <v>INSTRUMENTRORWA</v>
      </c>
    </row>
    <row r="502" spans="1:11" hidden="1">
      <c r="A502" s="166" t="s">
        <v>2421</v>
      </c>
      <c r="B502" s="166" t="s">
        <v>2422</v>
      </c>
      <c r="C502" s="166" t="s">
        <v>127</v>
      </c>
      <c r="D502" s="166" t="s">
        <v>1313</v>
      </c>
      <c r="E502" s="166" t="s">
        <v>1531</v>
      </c>
      <c r="F502" s="166" t="s">
        <v>1939</v>
      </c>
      <c r="G502" s="166" t="s">
        <v>129</v>
      </c>
      <c r="H502" s="166">
        <v>2266163</v>
      </c>
      <c r="I502" s="166">
        <v>0</v>
      </c>
      <c r="J502" s="166">
        <v>0</v>
      </c>
      <c r="K502" s="166" t="str">
        <f t="shared" si="7"/>
        <v>INSTRUMENTTYP_DL</v>
      </c>
    </row>
    <row r="503" spans="1:11" hidden="1">
      <c r="A503" s="166" t="s">
        <v>2423</v>
      </c>
      <c r="B503" s="166" t="s">
        <v>2424</v>
      </c>
      <c r="C503" s="166" t="s">
        <v>127</v>
      </c>
      <c r="D503" s="166" t="s">
        <v>1329</v>
      </c>
      <c r="E503" s="166" t="s">
        <v>1531</v>
      </c>
      <c r="F503" s="166" t="s">
        <v>1939</v>
      </c>
      <c r="G503" s="166" t="s">
        <v>129</v>
      </c>
      <c r="H503" s="166">
        <v>2266163</v>
      </c>
      <c r="I503" s="166">
        <v>0</v>
      </c>
      <c r="J503" s="166">
        <v>0</v>
      </c>
      <c r="K503" s="166" t="str">
        <f t="shared" si="7"/>
        <v>INSTRUMENTDSTNTN_FNDS</v>
      </c>
    </row>
    <row r="504" spans="1:11" hidden="1">
      <c r="A504" s="166" t="s">
        <v>2425</v>
      </c>
      <c r="B504" s="166" t="s">
        <v>2426</v>
      </c>
      <c r="C504" s="166" t="s">
        <v>127</v>
      </c>
      <c r="D504" s="166" t="s">
        <v>565</v>
      </c>
      <c r="E504" s="166" t="s">
        <v>1527</v>
      </c>
      <c r="F504" s="166" t="s">
        <v>1939</v>
      </c>
      <c r="G504" s="166" t="s">
        <v>1134</v>
      </c>
      <c r="H504" s="166">
        <v>2266163</v>
      </c>
      <c r="I504" s="166">
        <v>2266163</v>
      </c>
      <c r="J504" s="166">
        <v>100</v>
      </c>
      <c r="K504" s="166" t="str">
        <f t="shared" si="7"/>
        <v>INSTRUMENTPRTNR</v>
      </c>
    </row>
    <row r="505" spans="1:11" hidden="1">
      <c r="A505" s="166" t="s">
        <v>2427</v>
      </c>
      <c r="B505" s="166" t="s">
        <v>2428</v>
      </c>
      <c r="C505" s="166" t="s">
        <v>127</v>
      </c>
      <c r="D505" s="166" t="s">
        <v>566</v>
      </c>
      <c r="E505" s="166" t="s">
        <v>1534</v>
      </c>
      <c r="F505" s="166" t="s">
        <v>1939</v>
      </c>
      <c r="G505" s="166" t="s">
        <v>1134</v>
      </c>
      <c r="H505" s="166">
        <v>2266163</v>
      </c>
      <c r="I505" s="166">
        <v>2266163</v>
      </c>
      <c r="J505" s="166">
        <v>100</v>
      </c>
      <c r="K505" s="166" t="str">
        <f t="shared" si="7"/>
        <v>INSTRUMENTINCNTVS</v>
      </c>
    </row>
    <row r="506" spans="1:11" hidden="1">
      <c r="A506" s="166" t="s">
        <v>2429</v>
      </c>
      <c r="B506" s="166" t="s">
        <v>2430</v>
      </c>
      <c r="C506" s="166" t="s">
        <v>127</v>
      </c>
      <c r="D506" s="166" t="s">
        <v>567</v>
      </c>
      <c r="E506" s="166" t="s">
        <v>1534</v>
      </c>
      <c r="F506" s="166" t="s">
        <v>1939</v>
      </c>
      <c r="G506" s="166" t="s">
        <v>1134</v>
      </c>
      <c r="H506" s="166">
        <v>2266163</v>
      </c>
      <c r="I506" s="166">
        <v>2266163</v>
      </c>
      <c r="J506" s="166">
        <v>100</v>
      </c>
      <c r="K506" s="166" t="str">
        <f t="shared" si="7"/>
        <v>INSTRUMENTOTHR_OPRTNG_INCM</v>
      </c>
    </row>
    <row r="507" spans="1:11" hidden="1">
      <c r="A507" s="166" t="s">
        <v>2431</v>
      </c>
      <c r="B507" s="166" t="s">
        <v>2432</v>
      </c>
      <c r="C507" s="166" t="s">
        <v>127</v>
      </c>
      <c r="D507" s="166" t="s">
        <v>568</v>
      </c>
      <c r="E507" s="166" t="s">
        <v>1534</v>
      </c>
      <c r="F507" s="166" t="s">
        <v>1939</v>
      </c>
      <c r="G507" s="166" t="s">
        <v>1134</v>
      </c>
      <c r="H507" s="166">
        <v>2266163</v>
      </c>
      <c r="I507" s="166">
        <v>2266163</v>
      </c>
      <c r="J507" s="166">
        <v>100</v>
      </c>
      <c r="K507" s="166" t="str">
        <f t="shared" si="7"/>
        <v>INSTRUMENTRFRRL_FS</v>
      </c>
    </row>
    <row r="508" spans="1:11" hidden="1">
      <c r="A508" s="166" t="s">
        <v>2433</v>
      </c>
      <c r="B508" s="166" t="s">
        <v>2434</v>
      </c>
      <c r="C508" s="166" t="s">
        <v>127</v>
      </c>
      <c r="D508" s="166" t="s">
        <v>569</v>
      </c>
      <c r="E508" s="166" t="s">
        <v>1534</v>
      </c>
      <c r="F508" s="166" t="s">
        <v>1939</v>
      </c>
      <c r="G508" s="166" t="s">
        <v>1134</v>
      </c>
      <c r="H508" s="166">
        <v>2266163</v>
      </c>
      <c r="I508" s="166">
        <v>2266163</v>
      </c>
      <c r="J508" s="166">
        <v>100</v>
      </c>
      <c r="K508" s="166" t="str">
        <f t="shared" si="7"/>
        <v>INSTRUMENTINSRNC_CMSSNS</v>
      </c>
    </row>
    <row r="509" spans="1:11" hidden="1">
      <c r="A509" s="166" t="s">
        <v>2435</v>
      </c>
      <c r="B509" s="166" t="s">
        <v>2436</v>
      </c>
      <c r="C509" s="166" t="s">
        <v>127</v>
      </c>
      <c r="D509" s="166" t="s">
        <v>570</v>
      </c>
      <c r="E509" s="166" t="s">
        <v>1534</v>
      </c>
      <c r="F509" s="166" t="s">
        <v>1939</v>
      </c>
      <c r="G509" s="166" t="s">
        <v>1134</v>
      </c>
      <c r="H509" s="166">
        <v>2266163</v>
      </c>
      <c r="I509" s="166">
        <v>2266163</v>
      </c>
      <c r="J509" s="166">
        <v>100</v>
      </c>
      <c r="K509" s="166" t="str">
        <f t="shared" si="7"/>
        <v>INSTRUMENTOTHR_INCM_AND_CHRGS</v>
      </c>
    </row>
    <row r="510" spans="1:11" hidden="1">
      <c r="A510" s="166" t="s">
        <v>2437</v>
      </c>
      <c r="B510" s="166" t="s">
        <v>2438</v>
      </c>
      <c r="C510" s="166" t="s">
        <v>127</v>
      </c>
      <c r="D510" s="166" t="s">
        <v>571</v>
      </c>
      <c r="E510" s="166" t="s">
        <v>1534</v>
      </c>
      <c r="F510" s="166" t="s">
        <v>1939</v>
      </c>
      <c r="G510" s="166" t="s">
        <v>1134</v>
      </c>
      <c r="H510" s="166">
        <v>2266163</v>
      </c>
      <c r="I510" s="166">
        <v>2266163</v>
      </c>
      <c r="J510" s="166">
        <v>100</v>
      </c>
      <c r="K510" s="166" t="str">
        <f t="shared" si="7"/>
        <v>INSTRUMENTTX_ON_PRFT</v>
      </c>
    </row>
    <row r="511" spans="1:11" hidden="1">
      <c r="A511" s="166" t="s">
        <v>2439</v>
      </c>
      <c r="B511" s="166" t="s">
        <v>2440</v>
      </c>
      <c r="C511" s="166" t="s">
        <v>127</v>
      </c>
      <c r="D511" s="166" t="s">
        <v>1268</v>
      </c>
      <c r="E511" s="166" t="s">
        <v>1534</v>
      </c>
      <c r="F511" s="166" t="s">
        <v>1939</v>
      </c>
      <c r="G511" s="166" t="s">
        <v>129</v>
      </c>
      <c r="H511" s="166">
        <v>2266163</v>
      </c>
      <c r="I511" s="166">
        <v>0</v>
      </c>
      <c r="J511" s="166">
        <v>0</v>
      </c>
      <c r="K511" s="166" t="str">
        <f t="shared" si="7"/>
        <v>INSTRUMENTPD_EC_INCPTN</v>
      </c>
    </row>
    <row r="512" spans="1:11" hidden="1">
      <c r="A512" s="166" t="s">
        <v>2441</v>
      </c>
      <c r="B512" s="166" t="s">
        <v>2442</v>
      </c>
      <c r="C512" s="166" t="s">
        <v>127</v>
      </c>
      <c r="D512" s="166" t="s">
        <v>1267</v>
      </c>
      <c r="E512" s="166" t="s">
        <v>1534</v>
      </c>
      <c r="F512" s="166" t="s">
        <v>1939</v>
      </c>
      <c r="G512" s="166" t="s">
        <v>129</v>
      </c>
      <c r="H512" s="166">
        <v>2266163</v>
      </c>
      <c r="I512" s="166">
        <v>0</v>
      </c>
      <c r="J512" s="166">
        <v>0</v>
      </c>
      <c r="K512" s="166" t="str">
        <f t="shared" si="7"/>
        <v>INSTRUMENTPD_EC_RD</v>
      </c>
    </row>
    <row r="513" spans="1:11" hidden="1">
      <c r="A513" s="166" t="s">
        <v>2443</v>
      </c>
      <c r="B513" s="166" t="s">
        <v>2444</v>
      </c>
      <c r="C513" s="166" t="s">
        <v>127</v>
      </c>
      <c r="D513" s="166" t="s">
        <v>1316</v>
      </c>
      <c r="E513" s="166" t="s">
        <v>1534</v>
      </c>
      <c r="F513" s="166" t="s">
        <v>1939</v>
      </c>
      <c r="G513" s="166" t="s">
        <v>129</v>
      </c>
      <c r="H513" s="166">
        <v>2266163</v>
      </c>
      <c r="I513" s="166">
        <v>0</v>
      </c>
      <c r="J513" s="166">
        <v>0</v>
      </c>
      <c r="K513" s="166" t="str">
        <f t="shared" si="7"/>
        <v>INSTRUMENTTTL_LVRG_RT_INCPTN_HLT</v>
      </c>
    </row>
    <row r="514" spans="1:11" hidden="1">
      <c r="A514" s="166" t="s">
        <v>2445</v>
      </c>
      <c r="B514" s="166" t="s">
        <v>2446</v>
      </c>
      <c r="C514" s="166" t="s">
        <v>127</v>
      </c>
      <c r="D514" s="166" t="s">
        <v>1328</v>
      </c>
      <c r="E514" s="166" t="s">
        <v>1524</v>
      </c>
      <c r="F514" s="166" t="s">
        <v>1939</v>
      </c>
      <c r="G514" s="166" t="s">
        <v>129</v>
      </c>
      <c r="H514" s="166">
        <v>2266163</v>
      </c>
      <c r="I514" s="166">
        <v>0</v>
      </c>
      <c r="J514" s="166">
        <v>0</v>
      </c>
      <c r="K514" s="166" t="str">
        <f t="shared" si="7"/>
        <v>INSTRUMENTDT_MDFCTN</v>
      </c>
    </row>
    <row r="515" spans="1:11" hidden="1">
      <c r="A515" s="166" t="s">
        <v>2447</v>
      </c>
      <c r="B515" s="166" t="s">
        <v>1550</v>
      </c>
      <c r="C515" s="166" t="s">
        <v>188</v>
      </c>
      <c r="D515" s="166" t="s">
        <v>186</v>
      </c>
      <c r="E515" s="166" t="s">
        <v>1531</v>
      </c>
      <c r="F515" s="166" t="s">
        <v>2448</v>
      </c>
      <c r="G515" s="166" t="s">
        <v>129</v>
      </c>
      <c r="H515" s="166">
        <v>783914</v>
      </c>
      <c r="I515" s="166">
        <v>0</v>
      </c>
      <c r="J515" s="166">
        <v>0</v>
      </c>
      <c r="K515" s="166" t="str">
        <f t="shared" ref="K515:K578" si="8">_xlfn.CONCAT(_xlfn.IFS(ISNUMBER(SEARCH("EN",A515)),"ENTITY",ISNUMBER(SEARCH("IN",A515)),"INSTRUMENT",ISNUMBER(SEARCH("PR",A515)),"PROTECTION",ISNUMBER(SEARCH("IP",A515)),"INSTR_PROTECTION",ISNUMBER(SEARCH("IE",A515)),"INSTR_ENTITY",ISNUMBER(SEARCH("AC",A515)),"INSTR_ACTIVITY"),D515)</f>
        <v>INSTR_PROTECTIONCOD_SOC</v>
      </c>
    </row>
    <row r="516" spans="1:11" hidden="1">
      <c r="A516" s="166" t="s">
        <v>2449</v>
      </c>
      <c r="B516" s="166" t="s">
        <v>1523</v>
      </c>
      <c r="C516" s="166" t="s">
        <v>188</v>
      </c>
      <c r="D516" s="166" t="s">
        <v>283</v>
      </c>
      <c r="E516" s="166" t="s">
        <v>1524</v>
      </c>
      <c r="F516" s="166" t="s">
        <v>2448</v>
      </c>
      <c r="G516" s="166" t="s">
        <v>129</v>
      </c>
      <c r="H516" s="166">
        <v>783914</v>
      </c>
      <c r="I516" s="166">
        <v>0</v>
      </c>
      <c r="J516" s="166">
        <v>0</v>
      </c>
      <c r="K516" s="166" t="str">
        <f t="shared" si="8"/>
        <v>INSTR_PROTECTIONDT_RFRNC</v>
      </c>
    </row>
    <row r="517" spans="1:11" hidden="1">
      <c r="A517" s="166" t="s">
        <v>2450</v>
      </c>
      <c r="B517" s="166" t="s">
        <v>1526</v>
      </c>
      <c r="C517" s="166" t="s">
        <v>188</v>
      </c>
      <c r="D517" s="166" t="s">
        <v>367</v>
      </c>
      <c r="E517" s="166" t="s">
        <v>1527</v>
      </c>
      <c r="F517" s="166" t="s">
        <v>2448</v>
      </c>
      <c r="G517" s="166" t="s">
        <v>129</v>
      </c>
      <c r="H517" s="166">
        <v>783914</v>
      </c>
      <c r="I517" s="166">
        <v>0</v>
      </c>
      <c r="J517" s="166">
        <v>0</v>
      </c>
      <c r="K517" s="166" t="str">
        <f t="shared" si="8"/>
        <v>INSTR_PROTECTIONINSTRMNT_ID</v>
      </c>
    </row>
    <row r="518" spans="1:11" hidden="1">
      <c r="A518" s="166" t="s">
        <v>2451</v>
      </c>
      <c r="B518" s="166" t="s">
        <v>2452</v>
      </c>
      <c r="C518" s="166" t="s">
        <v>188</v>
      </c>
      <c r="D518" s="166" t="s">
        <v>462</v>
      </c>
      <c r="E518" s="166" t="s">
        <v>1527</v>
      </c>
      <c r="F518" s="166" t="s">
        <v>2448</v>
      </c>
      <c r="G518" s="166" t="s">
        <v>129</v>
      </c>
      <c r="H518" s="166">
        <v>783914</v>
      </c>
      <c r="I518" s="166">
        <v>0</v>
      </c>
      <c r="J518" s="166">
        <v>0</v>
      </c>
      <c r="K518" s="166" t="str">
        <f t="shared" si="8"/>
        <v>INSTR_PROTECTIONPRTCTN_ID</v>
      </c>
    </row>
    <row r="519" spans="1:11" hidden="1">
      <c r="A519" s="166" t="s">
        <v>2453</v>
      </c>
      <c r="B519" s="166" t="s">
        <v>2454</v>
      </c>
      <c r="C519" s="166" t="s">
        <v>188</v>
      </c>
      <c r="D519" s="166" t="s">
        <v>459</v>
      </c>
      <c r="E519" s="166" t="s">
        <v>1534</v>
      </c>
      <c r="F519" s="166" t="s">
        <v>2448</v>
      </c>
      <c r="G519" s="166" t="s">
        <v>129</v>
      </c>
      <c r="H519" s="166">
        <v>783914</v>
      </c>
      <c r="I519" s="166">
        <v>0</v>
      </c>
      <c r="J519" s="166">
        <v>0</v>
      </c>
      <c r="K519" s="166" t="str">
        <f t="shared" si="8"/>
        <v>INSTR_PROTECTIONPRTCTN_ALLCTD_VL</v>
      </c>
    </row>
    <row r="520" spans="1:11" hidden="1">
      <c r="A520" s="166" t="s">
        <v>2455</v>
      </c>
      <c r="B520" s="166" t="s">
        <v>2456</v>
      </c>
      <c r="C520" s="166" t="s">
        <v>188</v>
      </c>
      <c r="D520" s="166" t="s">
        <v>520</v>
      </c>
      <c r="E520" s="166" t="s">
        <v>1534</v>
      </c>
      <c r="F520" s="166" t="s">
        <v>2448</v>
      </c>
      <c r="G520" s="166" t="s">
        <v>129</v>
      </c>
      <c r="H520" s="166">
        <v>783914</v>
      </c>
      <c r="I520" s="166">
        <v>0</v>
      </c>
      <c r="J520" s="166">
        <v>0</v>
      </c>
      <c r="K520" s="166" t="str">
        <f t="shared" si="8"/>
        <v>INSTR_PROTECTIONTHRD_PRTY_PRRTY_CLMS</v>
      </c>
    </row>
    <row r="521" spans="1:11" hidden="1">
      <c r="A521" s="166" t="s">
        <v>2457</v>
      </c>
      <c r="B521" s="166" t="s">
        <v>2458</v>
      </c>
      <c r="C521" s="166" t="s">
        <v>188</v>
      </c>
      <c r="D521" s="166" t="s">
        <v>1481</v>
      </c>
      <c r="E521" s="166" t="s">
        <v>1531</v>
      </c>
      <c r="F521" s="166" t="s">
        <v>2448</v>
      </c>
      <c r="G521" s="166" t="s">
        <v>129</v>
      </c>
      <c r="H521" s="166">
        <v>783914</v>
      </c>
      <c r="I521" s="166">
        <v>0</v>
      </c>
      <c r="J521" s="166">
        <v>0</v>
      </c>
      <c r="K521" s="166" t="str">
        <f t="shared" si="8"/>
        <v>INSTR_PROTECTIONTYP_RLTN</v>
      </c>
    </row>
    <row r="522" spans="1:11" hidden="1">
      <c r="A522" s="166" t="s">
        <v>2459</v>
      </c>
      <c r="B522" s="166" t="s">
        <v>2460</v>
      </c>
      <c r="C522" s="166" t="s">
        <v>156</v>
      </c>
      <c r="D522" s="166" t="s">
        <v>1323</v>
      </c>
      <c r="E522" s="166" t="s">
        <v>1531</v>
      </c>
      <c r="F522" s="166" t="s">
        <v>2448</v>
      </c>
      <c r="G522" s="166" t="s">
        <v>129</v>
      </c>
      <c r="H522" s="166">
        <v>783914</v>
      </c>
      <c r="I522" s="166">
        <v>0</v>
      </c>
      <c r="J522" s="166">
        <v>0</v>
      </c>
      <c r="K522" s="166" t="str">
        <f t="shared" si="8"/>
        <v>INSTR_PROTECTIONGRP_SPPRT</v>
      </c>
    </row>
    <row r="523" spans="1:11" hidden="1">
      <c r="A523" s="166" t="s">
        <v>2461</v>
      </c>
      <c r="B523" s="166" t="s">
        <v>1550</v>
      </c>
      <c r="C523" s="166" t="s">
        <v>156</v>
      </c>
      <c r="D523" s="166" t="s">
        <v>186</v>
      </c>
      <c r="E523" s="166" t="s">
        <v>1531</v>
      </c>
      <c r="F523" s="166" t="s">
        <v>2462</v>
      </c>
      <c r="G523" s="166" t="s">
        <v>129</v>
      </c>
      <c r="H523" s="166">
        <v>465126</v>
      </c>
      <c r="I523" s="166">
        <v>0</v>
      </c>
      <c r="J523" s="166">
        <v>0</v>
      </c>
      <c r="K523" s="166" t="str">
        <f t="shared" si="8"/>
        <v>PROTECTIONCOD_SOC</v>
      </c>
    </row>
    <row r="524" spans="1:11" hidden="1">
      <c r="A524" s="166" t="s">
        <v>2463</v>
      </c>
      <c r="B524" s="166" t="s">
        <v>2464</v>
      </c>
      <c r="C524" s="166" t="s">
        <v>156</v>
      </c>
      <c r="D524" s="166" t="s">
        <v>269</v>
      </c>
      <c r="E524" s="166" t="s">
        <v>1524</v>
      </c>
      <c r="F524" s="166" t="s">
        <v>2462</v>
      </c>
      <c r="G524" s="166" t="s">
        <v>129</v>
      </c>
      <c r="H524" s="166">
        <v>465126</v>
      </c>
      <c r="I524" s="166">
        <v>0</v>
      </c>
      <c r="J524" s="166">
        <v>0</v>
      </c>
      <c r="K524" s="166" t="str">
        <f t="shared" si="8"/>
        <v>PROTECTIONDT_MTRTY_PRTCTN</v>
      </c>
    </row>
    <row r="525" spans="1:11" hidden="1">
      <c r="A525" s="166" t="s">
        <v>2465</v>
      </c>
      <c r="B525" s="166" t="s">
        <v>1523</v>
      </c>
      <c r="C525" s="166" t="s">
        <v>156</v>
      </c>
      <c r="D525" s="166" t="s">
        <v>283</v>
      </c>
      <c r="E525" s="166" t="s">
        <v>1524</v>
      </c>
      <c r="F525" s="166" t="s">
        <v>2462</v>
      </c>
      <c r="G525" s="166" t="s">
        <v>129</v>
      </c>
      <c r="H525" s="166">
        <v>465126</v>
      </c>
      <c r="I525" s="166">
        <v>0</v>
      </c>
      <c r="J525" s="166">
        <v>0</v>
      </c>
      <c r="K525" s="166" t="str">
        <f t="shared" si="8"/>
        <v>PROTECTIONDT_RFRNC</v>
      </c>
    </row>
    <row r="526" spans="1:11" hidden="1">
      <c r="A526" s="166" t="s">
        <v>2466</v>
      </c>
      <c r="B526" s="166" t="s">
        <v>765</v>
      </c>
      <c r="C526" s="166" t="s">
        <v>156</v>
      </c>
      <c r="D526" s="166" t="s">
        <v>275</v>
      </c>
      <c r="E526" s="166" t="s">
        <v>1527</v>
      </c>
      <c r="F526" s="166" t="s">
        <v>2462</v>
      </c>
      <c r="G526" s="166" t="s">
        <v>129</v>
      </c>
      <c r="H526" s="166">
        <v>465126</v>
      </c>
      <c r="I526" s="166">
        <v>0</v>
      </c>
      <c r="J526" s="166">
        <v>0</v>
      </c>
      <c r="K526" s="166" t="str">
        <f t="shared" si="8"/>
        <v>PROTECTIONNTNL_ID</v>
      </c>
    </row>
    <row r="527" spans="1:11" hidden="1">
      <c r="A527" s="166" t="s">
        <v>2467</v>
      </c>
      <c r="B527" s="166" t="s">
        <v>2452</v>
      </c>
      <c r="C527" s="166" t="s">
        <v>156</v>
      </c>
      <c r="D527" s="166" t="s">
        <v>462</v>
      </c>
      <c r="E527" s="166" t="s">
        <v>1527</v>
      </c>
      <c r="F527" s="166" t="s">
        <v>2462</v>
      </c>
      <c r="G527" s="166" t="s">
        <v>129</v>
      </c>
      <c r="H527" s="166">
        <v>465126</v>
      </c>
      <c r="I527" s="166">
        <v>0</v>
      </c>
      <c r="J527" s="166">
        <v>0</v>
      </c>
      <c r="K527" s="166" t="str">
        <f t="shared" si="8"/>
        <v>PROTECTIONPRTCTN_ID</v>
      </c>
    </row>
    <row r="528" spans="1:11" hidden="1">
      <c r="A528" s="166" t="s">
        <v>2468</v>
      </c>
      <c r="B528" s="166" t="s">
        <v>2469</v>
      </c>
      <c r="C528" s="166" t="s">
        <v>156</v>
      </c>
      <c r="D528" s="166" t="s">
        <v>463</v>
      </c>
      <c r="E528" s="166" t="s">
        <v>1527</v>
      </c>
      <c r="F528" s="166" t="s">
        <v>2462</v>
      </c>
      <c r="G528" s="166" t="s">
        <v>129</v>
      </c>
      <c r="H528" s="166">
        <v>465126</v>
      </c>
      <c r="I528" s="166">
        <v>0</v>
      </c>
      <c r="J528" s="166">
        <v>0</v>
      </c>
      <c r="K528" s="166" t="str">
        <f t="shared" si="8"/>
        <v>PROTECTIONPRTCTN_PRVDR_ID</v>
      </c>
    </row>
    <row r="529" spans="1:11" hidden="1">
      <c r="A529" s="166" t="s">
        <v>2470</v>
      </c>
      <c r="B529" s="166" t="s">
        <v>2471</v>
      </c>
      <c r="C529" s="166" t="s">
        <v>156</v>
      </c>
      <c r="D529" s="166" t="s">
        <v>486</v>
      </c>
      <c r="E529" s="166" t="s">
        <v>1527</v>
      </c>
      <c r="F529" s="166" t="s">
        <v>2462</v>
      </c>
      <c r="G529" s="166" t="s">
        <v>129</v>
      </c>
      <c r="H529" s="166">
        <v>465126</v>
      </c>
      <c r="I529" s="166">
        <v>0</v>
      </c>
      <c r="J529" s="166">
        <v>0</v>
      </c>
      <c r="K529" s="166" t="str">
        <f t="shared" si="8"/>
        <v>PROTECTIONRL_ESTT_ADDRSS</v>
      </c>
    </row>
    <row r="530" spans="1:11" hidden="1">
      <c r="A530" s="166" t="s">
        <v>2472</v>
      </c>
      <c r="B530" s="166" t="s">
        <v>2473</v>
      </c>
      <c r="C530" s="166" t="s">
        <v>156</v>
      </c>
      <c r="D530" s="166" t="s">
        <v>175</v>
      </c>
      <c r="E530" s="166" t="s">
        <v>1531</v>
      </c>
      <c r="F530" s="166" t="s">
        <v>2462</v>
      </c>
      <c r="G530" s="166" t="s">
        <v>129</v>
      </c>
      <c r="H530" s="166">
        <v>465126</v>
      </c>
      <c r="I530" s="166">
        <v>0</v>
      </c>
      <c r="J530" s="166">
        <v>0</v>
      </c>
      <c r="K530" s="166" t="str">
        <f t="shared" si="8"/>
        <v>PROTECTIONRL_ESTT_CLLTRL_LCTN</v>
      </c>
    </row>
    <row r="531" spans="1:11" hidden="1">
      <c r="A531" s="166" t="s">
        <v>2474</v>
      </c>
      <c r="B531" s="166" t="s">
        <v>2475</v>
      </c>
      <c r="C531" s="166" t="s">
        <v>156</v>
      </c>
      <c r="D531" s="166" t="s">
        <v>488</v>
      </c>
      <c r="E531" s="166" t="s">
        <v>1527</v>
      </c>
      <c r="F531" s="166" t="s">
        <v>2462</v>
      </c>
      <c r="G531" s="166" t="s">
        <v>129</v>
      </c>
      <c r="H531" s="166">
        <v>465126</v>
      </c>
      <c r="I531" s="166">
        <v>0</v>
      </c>
      <c r="J531" s="166">
        <v>0</v>
      </c>
      <c r="K531" s="166" t="str">
        <f t="shared" si="8"/>
        <v>PROTECTIONRL_ESTT_CLLTRL_LCTN_INT</v>
      </c>
    </row>
    <row r="532" spans="1:11" hidden="1">
      <c r="A532" s="166" t="s">
        <v>2476</v>
      </c>
      <c r="B532" s="166" t="s">
        <v>2477</v>
      </c>
      <c r="C532" s="166" t="s">
        <v>156</v>
      </c>
      <c r="D532" s="166" t="s">
        <v>489</v>
      </c>
      <c r="E532" s="166" t="s">
        <v>1527</v>
      </c>
      <c r="F532" s="166" t="s">
        <v>2462</v>
      </c>
      <c r="G532" s="166" t="s">
        <v>129</v>
      </c>
      <c r="H532" s="166">
        <v>465126</v>
      </c>
      <c r="I532" s="166">
        <v>0</v>
      </c>
      <c r="J532" s="166">
        <v>0</v>
      </c>
      <c r="K532" s="166" t="str">
        <f t="shared" si="8"/>
        <v>PROTECTIONRL_ESTT_CTY</v>
      </c>
    </row>
    <row r="533" spans="1:11" hidden="1">
      <c r="A533" s="166" t="s">
        <v>2478</v>
      </c>
      <c r="B533" s="166" t="s">
        <v>1732</v>
      </c>
      <c r="C533" s="166" t="s">
        <v>156</v>
      </c>
      <c r="D533" s="166" t="s">
        <v>490</v>
      </c>
      <c r="E533" s="166" t="s">
        <v>1527</v>
      </c>
      <c r="F533" s="166" t="s">
        <v>2462</v>
      </c>
      <c r="G533" s="166" t="s">
        <v>129</v>
      </c>
      <c r="H533" s="166">
        <v>465126</v>
      </c>
      <c r="I533" s="166">
        <v>0</v>
      </c>
      <c r="J533" s="166">
        <v>0</v>
      </c>
      <c r="K533" s="166" t="str">
        <f t="shared" si="8"/>
        <v>PROTECTIONRL_ESTT_PST_CD</v>
      </c>
    </row>
    <row r="534" spans="1:11" hidden="1">
      <c r="A534" s="166" t="s">
        <v>2479</v>
      </c>
      <c r="B534" s="166" t="s">
        <v>2480</v>
      </c>
      <c r="C534" s="166" t="s">
        <v>156</v>
      </c>
      <c r="D534" s="166" t="s">
        <v>350</v>
      </c>
      <c r="E534" s="166" t="s">
        <v>1534</v>
      </c>
      <c r="F534" s="166" t="s">
        <v>2462</v>
      </c>
      <c r="G534" s="166" t="s">
        <v>129</v>
      </c>
      <c r="H534" s="166">
        <v>465126</v>
      </c>
      <c r="I534" s="166">
        <v>0</v>
      </c>
      <c r="J534" s="166">
        <v>0</v>
      </c>
      <c r="K534" s="166" t="str">
        <f t="shared" si="8"/>
        <v>PROTECTIONHRCT_MV</v>
      </c>
    </row>
    <row r="535" spans="1:11" hidden="1">
      <c r="A535" s="166" t="s">
        <v>2481</v>
      </c>
      <c r="B535" s="166" t="s">
        <v>2482</v>
      </c>
      <c r="C535" s="166" t="s">
        <v>156</v>
      </c>
      <c r="D535" s="166" t="s">
        <v>460</v>
      </c>
      <c r="E535" s="166" t="s">
        <v>1531</v>
      </c>
      <c r="F535" s="166" t="s">
        <v>2462</v>
      </c>
      <c r="G535" s="166" t="s">
        <v>129</v>
      </c>
      <c r="H535" s="166">
        <v>465126</v>
      </c>
      <c r="I535" s="166">
        <v>0</v>
      </c>
      <c r="J535" s="166">
        <v>0</v>
      </c>
      <c r="K535" s="166" t="str">
        <f t="shared" si="8"/>
        <v>PROTECTIONPRTCTN_CLLD</v>
      </c>
    </row>
    <row r="536" spans="1:11" hidden="1">
      <c r="A536" s="166" t="s">
        <v>2483</v>
      </c>
      <c r="B536" s="166" t="s">
        <v>654</v>
      </c>
      <c r="C536" s="166" t="s">
        <v>156</v>
      </c>
      <c r="D536" s="166" t="s">
        <v>228</v>
      </c>
      <c r="E536" s="166" t="s">
        <v>1531</v>
      </c>
      <c r="F536" s="166" t="s">
        <v>2462</v>
      </c>
      <c r="G536" s="166" t="s">
        <v>129</v>
      </c>
      <c r="H536" s="166">
        <v>465126</v>
      </c>
      <c r="I536" s="166">
        <v>0</v>
      </c>
      <c r="J536" s="166">
        <v>0</v>
      </c>
      <c r="K536" s="166" t="str">
        <f t="shared" si="8"/>
        <v>PROTECTIONTYP_PRTCTN</v>
      </c>
    </row>
    <row r="537" spans="1:11" hidden="1">
      <c r="A537" s="166" t="s">
        <v>2484</v>
      </c>
      <c r="B537" s="166" t="s">
        <v>2485</v>
      </c>
      <c r="C537" s="166" t="s">
        <v>156</v>
      </c>
      <c r="D537" s="166" t="s">
        <v>536</v>
      </c>
      <c r="E537" s="166" t="s">
        <v>1527</v>
      </c>
      <c r="F537" s="166" t="s">
        <v>2462</v>
      </c>
      <c r="G537" s="166" t="s">
        <v>129</v>
      </c>
      <c r="H537" s="166">
        <v>465126</v>
      </c>
      <c r="I537" s="166">
        <v>0</v>
      </c>
      <c r="J537" s="166">
        <v>0</v>
      </c>
      <c r="K537" s="166" t="str">
        <f t="shared" si="8"/>
        <v>PROTECTIONTYP_PRTCTN_INTRNL</v>
      </c>
    </row>
    <row r="538" spans="1:11" hidden="1">
      <c r="A538" s="166" t="s">
        <v>2486</v>
      </c>
      <c r="B538" s="166" t="s">
        <v>2487</v>
      </c>
      <c r="C538" s="166" t="s">
        <v>156</v>
      </c>
      <c r="D538" s="166" t="s">
        <v>537</v>
      </c>
      <c r="E538" s="166" t="s">
        <v>1531</v>
      </c>
      <c r="F538" s="166" t="s">
        <v>2462</v>
      </c>
      <c r="G538" s="166" t="s">
        <v>129</v>
      </c>
      <c r="H538" s="166">
        <v>465126</v>
      </c>
      <c r="I538" s="166">
        <v>0</v>
      </c>
      <c r="J538" s="166">
        <v>0</v>
      </c>
      <c r="K538" s="166" t="str">
        <f t="shared" si="8"/>
        <v>PROTECTIONTYP_PRTCTN_VL</v>
      </c>
    </row>
    <row r="539" spans="1:11" hidden="1">
      <c r="A539" s="166" t="s">
        <v>2488</v>
      </c>
      <c r="B539" s="166" t="s">
        <v>2489</v>
      </c>
      <c r="C539" s="166" t="s">
        <v>156</v>
      </c>
      <c r="D539" s="166" t="s">
        <v>157</v>
      </c>
      <c r="E539" s="166" t="s">
        <v>1531</v>
      </c>
      <c r="F539" s="166" t="s">
        <v>2462</v>
      </c>
      <c r="G539" s="166" t="s">
        <v>129</v>
      </c>
      <c r="H539" s="166">
        <v>465126</v>
      </c>
      <c r="I539" s="166">
        <v>0</v>
      </c>
      <c r="J539" s="166">
        <v>0</v>
      </c>
      <c r="K539" s="166" t="str">
        <f t="shared" si="8"/>
        <v>PROTECTIONAPPRSL_CRRNCY</v>
      </c>
    </row>
    <row r="540" spans="1:11" hidden="1">
      <c r="A540" s="166" t="s">
        <v>2490</v>
      </c>
      <c r="B540" s="166" t="s">
        <v>2491</v>
      </c>
      <c r="C540" s="166" t="s">
        <v>156</v>
      </c>
      <c r="D540" s="166" t="s">
        <v>159</v>
      </c>
      <c r="E540" s="166" t="s">
        <v>1527</v>
      </c>
      <c r="F540" s="166" t="s">
        <v>2462</v>
      </c>
      <c r="G540" s="166" t="s">
        <v>129</v>
      </c>
      <c r="H540" s="166">
        <v>465126</v>
      </c>
      <c r="I540" s="166">
        <v>0</v>
      </c>
      <c r="J540" s="166">
        <v>0</v>
      </c>
      <c r="K540" s="166" t="str">
        <f t="shared" si="8"/>
        <v>PROTECTIONAPPRSR</v>
      </c>
    </row>
    <row r="541" spans="1:11" hidden="1">
      <c r="A541" s="166" t="s">
        <v>2492</v>
      </c>
      <c r="B541" s="166" t="s">
        <v>887</v>
      </c>
      <c r="C541" s="166" t="s">
        <v>156</v>
      </c>
      <c r="D541" s="166" t="s">
        <v>267</v>
      </c>
      <c r="E541" s="166" t="s">
        <v>1524</v>
      </c>
      <c r="F541" s="166" t="s">
        <v>2462</v>
      </c>
      <c r="G541" s="166" t="s">
        <v>129</v>
      </c>
      <c r="H541" s="166">
        <v>465126</v>
      </c>
      <c r="I541" s="166">
        <v>0</v>
      </c>
      <c r="J541" s="166">
        <v>0</v>
      </c>
      <c r="K541" s="166" t="str">
        <f t="shared" si="8"/>
        <v>PROTECTIONDT_LST_FLL_APPRSL</v>
      </c>
    </row>
    <row r="542" spans="1:11" hidden="1">
      <c r="A542" s="166" t="s">
        <v>2493</v>
      </c>
      <c r="B542" s="166" t="s">
        <v>796</v>
      </c>
      <c r="C542" s="166" t="s">
        <v>156</v>
      </c>
      <c r="D542" s="166" t="s">
        <v>43</v>
      </c>
      <c r="E542" s="166" t="s">
        <v>1524</v>
      </c>
      <c r="F542" s="166" t="s">
        <v>2462</v>
      </c>
      <c r="G542" s="166" t="s">
        <v>129</v>
      </c>
      <c r="H542" s="166">
        <v>465126</v>
      </c>
      <c r="I542" s="166">
        <v>0</v>
      </c>
      <c r="J542" s="166">
        <v>0</v>
      </c>
      <c r="K542" s="166" t="str">
        <f t="shared" si="8"/>
        <v>PROTECTIONDT_ORGNL_PRTCTN_VL</v>
      </c>
    </row>
    <row r="543" spans="1:11" hidden="1">
      <c r="A543" s="166" t="s">
        <v>2494</v>
      </c>
      <c r="B543" s="166" t="s">
        <v>724</v>
      </c>
      <c r="C543" s="166" t="s">
        <v>156</v>
      </c>
      <c r="D543" s="166" t="s">
        <v>235</v>
      </c>
      <c r="E543" s="166" t="s">
        <v>1524</v>
      </c>
      <c r="F543" s="166" t="s">
        <v>2462</v>
      </c>
      <c r="G543" s="166" t="s">
        <v>129</v>
      </c>
      <c r="H543" s="166">
        <v>465126</v>
      </c>
      <c r="I543" s="166">
        <v>0</v>
      </c>
      <c r="J543" s="166">
        <v>0</v>
      </c>
      <c r="K543" s="166" t="str">
        <f t="shared" si="8"/>
        <v>PROTECTIONDT_PRTCTN_VL</v>
      </c>
    </row>
    <row r="544" spans="1:11" hidden="1">
      <c r="A544" s="166" t="s">
        <v>2495</v>
      </c>
      <c r="B544" s="166" t="s">
        <v>809</v>
      </c>
      <c r="C544" s="166" t="s">
        <v>156</v>
      </c>
      <c r="D544" s="166" t="s">
        <v>41</v>
      </c>
      <c r="E544" s="166" t="s">
        <v>1534</v>
      </c>
      <c r="F544" s="166" t="s">
        <v>2462</v>
      </c>
      <c r="G544" s="166" t="s">
        <v>129</v>
      </c>
      <c r="H544" s="166">
        <v>465126</v>
      </c>
      <c r="I544" s="166">
        <v>0</v>
      </c>
      <c r="J544" s="166">
        <v>0</v>
      </c>
      <c r="K544" s="166" t="str">
        <f t="shared" si="8"/>
        <v>PROTECTIONORGNL_PRTCTN_VL</v>
      </c>
    </row>
    <row r="545" spans="1:11" hidden="1">
      <c r="A545" s="166" t="s">
        <v>2496</v>
      </c>
      <c r="B545" s="166" t="s">
        <v>2497</v>
      </c>
      <c r="C545" s="166" t="s">
        <v>156</v>
      </c>
      <c r="D545" s="166" t="s">
        <v>461</v>
      </c>
      <c r="E545" s="166" t="s">
        <v>1534</v>
      </c>
      <c r="F545" s="166" t="s">
        <v>2462</v>
      </c>
      <c r="G545" s="166" t="s">
        <v>129</v>
      </c>
      <c r="H545" s="166">
        <v>465126</v>
      </c>
      <c r="I545" s="166">
        <v>0</v>
      </c>
      <c r="J545" s="166">
        <v>0</v>
      </c>
      <c r="K545" s="166" t="str">
        <f t="shared" si="8"/>
        <v>PROTECTIONPRTCTN_FRCD_SL_VL</v>
      </c>
    </row>
    <row r="546" spans="1:11" hidden="1">
      <c r="A546" s="166" t="s">
        <v>2498</v>
      </c>
      <c r="B546" s="166" t="s">
        <v>738</v>
      </c>
      <c r="C546" s="166" t="s">
        <v>156</v>
      </c>
      <c r="D546" s="166" t="s">
        <v>78</v>
      </c>
      <c r="E546" s="166" t="s">
        <v>1534</v>
      </c>
      <c r="F546" s="166" t="s">
        <v>2462</v>
      </c>
      <c r="G546" s="166" t="s">
        <v>129</v>
      </c>
      <c r="H546" s="166">
        <v>465126</v>
      </c>
      <c r="I546" s="166">
        <v>0</v>
      </c>
      <c r="J546" s="166">
        <v>0</v>
      </c>
      <c r="K546" s="166" t="str">
        <f t="shared" si="8"/>
        <v>PROTECTIONPRTCTN_VL</v>
      </c>
    </row>
    <row r="547" spans="1:11" hidden="1">
      <c r="A547" s="166" t="s">
        <v>2499</v>
      </c>
      <c r="B547" s="166" t="s">
        <v>2500</v>
      </c>
      <c r="C547" s="166" t="s">
        <v>156</v>
      </c>
      <c r="D547" s="166" t="s">
        <v>534</v>
      </c>
      <c r="E547" s="166" t="s">
        <v>1534</v>
      </c>
      <c r="F547" s="166" t="s">
        <v>2462</v>
      </c>
      <c r="G547" s="166" t="s">
        <v>129</v>
      </c>
      <c r="H547" s="166">
        <v>465126</v>
      </c>
      <c r="I547" s="166">
        <v>0</v>
      </c>
      <c r="J547" s="166">
        <v>0</v>
      </c>
      <c r="K547" s="166" t="str">
        <f t="shared" si="8"/>
        <v>PROTECTIONPRTCTN_VL_NPE</v>
      </c>
    </row>
    <row r="548" spans="1:11" hidden="1">
      <c r="A548" s="166" t="s">
        <v>2501</v>
      </c>
      <c r="B548" s="166" t="s">
        <v>2502</v>
      </c>
      <c r="C548" s="166" t="s">
        <v>156</v>
      </c>
      <c r="D548" s="166" t="s">
        <v>469</v>
      </c>
      <c r="E548" s="166" t="s">
        <v>1531</v>
      </c>
      <c r="F548" s="166" t="s">
        <v>2462</v>
      </c>
      <c r="G548" s="166" t="s">
        <v>129</v>
      </c>
      <c r="H548" s="166">
        <v>465126</v>
      </c>
      <c r="I548" s="166">
        <v>0</v>
      </c>
      <c r="J548" s="166">
        <v>0</v>
      </c>
      <c r="K548" s="166" t="str">
        <f t="shared" si="8"/>
        <v>PROTECTIONPRTCTN_VLTN_APPRCH</v>
      </c>
    </row>
    <row r="549" spans="1:11" hidden="1">
      <c r="A549" s="166" t="s">
        <v>2503</v>
      </c>
      <c r="B549" s="166" t="s">
        <v>669</v>
      </c>
      <c r="C549" s="166" t="s">
        <v>156</v>
      </c>
      <c r="D549" s="166" t="s">
        <v>179</v>
      </c>
      <c r="E549" s="166" t="s">
        <v>1524</v>
      </c>
      <c r="F549" s="166" t="s">
        <v>2462</v>
      </c>
      <c r="G549" s="166" t="s">
        <v>129</v>
      </c>
      <c r="H549" s="166">
        <v>465126</v>
      </c>
      <c r="I549" s="166">
        <v>0</v>
      </c>
      <c r="J549" s="166">
        <v>0</v>
      </c>
      <c r="K549" s="166" t="str">
        <f t="shared" si="8"/>
        <v>PROTECTIONDT_APPRSL_PRVS</v>
      </c>
    </row>
    <row r="550" spans="1:11" hidden="1">
      <c r="A550" s="166" t="s">
        <v>2504</v>
      </c>
      <c r="B550" s="166" t="s">
        <v>2505</v>
      </c>
      <c r="C550" s="166" t="s">
        <v>156</v>
      </c>
      <c r="D550" s="166" t="s">
        <v>468</v>
      </c>
      <c r="E550" s="166" t="s">
        <v>1534</v>
      </c>
      <c r="F550" s="166" t="s">
        <v>2462</v>
      </c>
      <c r="G550" s="166" t="s">
        <v>129</v>
      </c>
      <c r="H550" s="166">
        <v>465126</v>
      </c>
      <c r="I550" s="166">
        <v>0</v>
      </c>
      <c r="J550" s="166">
        <v>0</v>
      </c>
      <c r="K550" s="166" t="str">
        <f t="shared" si="8"/>
        <v>PROTECTIONPRTCTN_VL_PRVS</v>
      </c>
    </row>
    <row r="551" spans="1:11" hidden="1">
      <c r="A551" s="166" t="s">
        <v>2506</v>
      </c>
      <c r="B551" s="166" t="s">
        <v>771</v>
      </c>
      <c r="C551" s="166" t="s">
        <v>156</v>
      </c>
      <c r="D551" s="166" t="s">
        <v>247</v>
      </c>
      <c r="E551" s="166" t="s">
        <v>1531</v>
      </c>
      <c r="F551" s="166" t="s">
        <v>2462</v>
      </c>
      <c r="G551" s="166" t="s">
        <v>129</v>
      </c>
      <c r="H551" s="166">
        <v>465126</v>
      </c>
      <c r="I551" s="166">
        <v>0</v>
      </c>
      <c r="J551" s="166">
        <v>0</v>
      </c>
      <c r="K551" s="166" t="str">
        <f t="shared" si="8"/>
        <v>PROTECTIONCNSTRCTN_STTS</v>
      </c>
    </row>
    <row r="552" spans="1:11" hidden="1">
      <c r="A552" s="166" t="s">
        <v>2507</v>
      </c>
      <c r="B552" s="166" t="s">
        <v>2508</v>
      </c>
      <c r="C552" s="166" t="s">
        <v>156</v>
      </c>
      <c r="D552" s="166" t="s">
        <v>67</v>
      </c>
      <c r="E552" s="166" t="s">
        <v>1524</v>
      </c>
      <c r="F552" s="166" t="s">
        <v>2462</v>
      </c>
      <c r="G552" s="166" t="s">
        <v>129</v>
      </c>
      <c r="H552" s="166">
        <v>465126</v>
      </c>
      <c r="I552" s="166">
        <v>0</v>
      </c>
      <c r="J552" s="166">
        <v>0</v>
      </c>
      <c r="K552" s="166" t="str">
        <f t="shared" si="8"/>
        <v>PROTECTIONDT_CNSTRCTN_STTS</v>
      </c>
    </row>
    <row r="553" spans="1:11" hidden="1">
      <c r="A553" s="166" t="s">
        <v>2509</v>
      </c>
      <c r="B553" s="166" t="s">
        <v>2510</v>
      </c>
      <c r="C553" s="166" t="s">
        <v>156</v>
      </c>
      <c r="D553" s="166" t="s">
        <v>256</v>
      </c>
      <c r="E553" s="166" t="s">
        <v>1524</v>
      </c>
      <c r="F553" s="166" t="s">
        <v>2462</v>
      </c>
      <c r="G553" s="166" t="s">
        <v>129</v>
      </c>
      <c r="H553" s="166">
        <v>465126</v>
      </c>
      <c r="I553" s="166">
        <v>0</v>
      </c>
      <c r="J553" s="166">
        <v>0</v>
      </c>
      <c r="K553" s="166" t="str">
        <f t="shared" si="8"/>
        <v>PROTECTIONDT_FRST_USG</v>
      </c>
    </row>
    <row r="554" spans="1:11" hidden="1">
      <c r="A554" s="166" t="s">
        <v>2511</v>
      </c>
      <c r="B554" s="166" t="s">
        <v>790</v>
      </c>
      <c r="C554" s="166" t="s">
        <v>156</v>
      </c>
      <c r="D554" s="166" t="s">
        <v>264</v>
      </c>
      <c r="E554" s="166" t="s">
        <v>1531</v>
      </c>
      <c r="F554" s="166" t="s">
        <v>2462</v>
      </c>
      <c r="G554" s="166" t="s">
        <v>129</v>
      </c>
      <c r="H554" s="166">
        <v>465126</v>
      </c>
      <c r="I554" s="166">
        <v>0</v>
      </c>
      <c r="J554" s="166">
        <v>0</v>
      </c>
      <c r="K554" s="166" t="str">
        <f t="shared" si="8"/>
        <v>PROTECTIONDVLPMNT_STTS</v>
      </c>
    </row>
    <row r="555" spans="1:11" hidden="1">
      <c r="A555" s="166" t="s">
        <v>2512</v>
      </c>
      <c r="B555" s="166" t="s">
        <v>2513</v>
      </c>
      <c r="C555" s="166" t="s">
        <v>156</v>
      </c>
      <c r="D555" s="166" t="s">
        <v>412</v>
      </c>
      <c r="E555" s="166" t="s">
        <v>1531</v>
      </c>
      <c r="F555" s="166" t="s">
        <v>2462</v>
      </c>
      <c r="G555" s="166" t="s">
        <v>129</v>
      </c>
      <c r="H555" s="166">
        <v>465126</v>
      </c>
      <c r="I555" s="166">
        <v>0</v>
      </c>
      <c r="J555" s="166">
        <v>0</v>
      </c>
      <c r="K555" s="166" t="str">
        <f t="shared" si="8"/>
        <v>PROTECTIONMN_PRPS</v>
      </c>
    </row>
    <row r="556" spans="1:11" hidden="1">
      <c r="A556" s="166" t="s">
        <v>2514</v>
      </c>
      <c r="B556" s="166" t="s">
        <v>2515</v>
      </c>
      <c r="C556" s="166" t="s">
        <v>156</v>
      </c>
      <c r="D556" s="166" t="s">
        <v>453</v>
      </c>
      <c r="E556" s="166" t="s">
        <v>1531</v>
      </c>
      <c r="F556" s="166" t="s">
        <v>2462</v>
      </c>
      <c r="G556" s="166" t="s">
        <v>129</v>
      </c>
      <c r="H556" s="166">
        <v>465126</v>
      </c>
      <c r="I556" s="166">
        <v>0</v>
      </c>
      <c r="J556" s="166">
        <v>0</v>
      </c>
      <c r="K556" s="166" t="str">
        <f t="shared" si="8"/>
        <v>PROTECTIONPRM_LCTN</v>
      </c>
    </row>
    <row r="557" spans="1:11" hidden="1">
      <c r="A557" s="166" t="s">
        <v>2516</v>
      </c>
      <c r="B557" s="166" t="s">
        <v>2517</v>
      </c>
      <c r="C557" s="166" t="s">
        <v>156</v>
      </c>
      <c r="D557" s="166" t="s">
        <v>194</v>
      </c>
      <c r="E557" s="166" t="s">
        <v>1531</v>
      </c>
      <c r="F557" s="166" t="s">
        <v>2462</v>
      </c>
      <c r="G557" s="166" t="s">
        <v>129</v>
      </c>
      <c r="H557" s="166">
        <v>465126</v>
      </c>
      <c r="I557" s="166">
        <v>0</v>
      </c>
      <c r="J557" s="166">
        <v>0</v>
      </c>
      <c r="K557" s="166" t="str">
        <f t="shared" si="8"/>
        <v>PROTECTIONCRE_INCM_CRRNCY</v>
      </c>
    </row>
    <row r="558" spans="1:11" hidden="1">
      <c r="A558" s="166" t="s">
        <v>2518</v>
      </c>
      <c r="B558" s="166" t="s">
        <v>2519</v>
      </c>
      <c r="C558" s="166" t="s">
        <v>156</v>
      </c>
      <c r="D558" s="166" t="s">
        <v>196</v>
      </c>
      <c r="E558" s="166" t="s">
        <v>1534</v>
      </c>
      <c r="F558" s="166" t="s">
        <v>2462</v>
      </c>
      <c r="G558" s="166" t="s">
        <v>129</v>
      </c>
      <c r="H558" s="166">
        <v>465126</v>
      </c>
      <c r="I558" s="166">
        <v>0</v>
      </c>
      <c r="J558" s="166">
        <v>0</v>
      </c>
      <c r="K558" s="166" t="str">
        <f t="shared" si="8"/>
        <v>PROTECTIONCRE_YRLY_EXPNSS</v>
      </c>
    </row>
    <row r="559" spans="1:11" hidden="1">
      <c r="A559" s="166" t="s">
        <v>2520</v>
      </c>
      <c r="B559" s="166" t="s">
        <v>2521</v>
      </c>
      <c r="C559" s="166" t="s">
        <v>156</v>
      </c>
      <c r="D559" s="166" t="s">
        <v>197</v>
      </c>
      <c r="E559" s="166" t="s">
        <v>1534</v>
      </c>
      <c r="F559" s="166" t="s">
        <v>2462</v>
      </c>
      <c r="G559" s="166" t="s">
        <v>129</v>
      </c>
      <c r="H559" s="166">
        <v>465126</v>
      </c>
      <c r="I559" s="166">
        <v>0</v>
      </c>
      <c r="J559" s="166">
        <v>0</v>
      </c>
      <c r="K559" s="166" t="str">
        <f t="shared" si="8"/>
        <v>PROTECTIONCRE_YRLY_INCM</v>
      </c>
    </row>
    <row r="560" spans="1:11" hidden="1">
      <c r="A560" s="166" t="s">
        <v>2522</v>
      </c>
      <c r="B560" s="166" t="s">
        <v>1718</v>
      </c>
      <c r="C560" s="166" t="s">
        <v>156</v>
      </c>
      <c r="D560" s="166" t="s">
        <v>517</v>
      </c>
      <c r="E560" s="166" t="s">
        <v>1527</v>
      </c>
      <c r="F560" s="166" t="s">
        <v>2462</v>
      </c>
      <c r="G560" s="166" t="s">
        <v>129</v>
      </c>
      <c r="H560" s="166">
        <v>465126</v>
      </c>
      <c r="I560" s="166">
        <v>0</v>
      </c>
      <c r="J560" s="166">
        <v>0</v>
      </c>
      <c r="K560" s="166" t="str">
        <f t="shared" si="8"/>
        <v>PROTECTIONTAX_ID</v>
      </c>
    </row>
    <row r="561" spans="1:11" hidden="1">
      <c r="A561" s="166" t="s">
        <v>2523</v>
      </c>
      <c r="B561" s="166" t="s">
        <v>2524</v>
      </c>
      <c r="C561" s="166" t="s">
        <v>156</v>
      </c>
      <c r="D561" s="166" t="s">
        <v>2525</v>
      </c>
      <c r="E561" s="166" t="s">
        <v>1531</v>
      </c>
      <c r="F561" s="166" t="s">
        <v>2462</v>
      </c>
      <c r="G561" s="166" t="s">
        <v>1134</v>
      </c>
      <c r="H561" s="166">
        <v>465126</v>
      </c>
      <c r="I561" s="166">
        <v>465126</v>
      </c>
      <c r="J561" s="166">
        <v>100</v>
      </c>
      <c r="K561" s="166" t="str">
        <f t="shared" si="8"/>
        <v>PROTECTIONTYP_EP_SCR</v>
      </c>
    </row>
    <row r="562" spans="1:11" hidden="1">
      <c r="A562" s="166" t="s">
        <v>2526</v>
      </c>
      <c r="B562" s="166" t="s">
        <v>2527</v>
      </c>
      <c r="C562" s="166" t="s">
        <v>156</v>
      </c>
      <c r="D562" s="166" t="s">
        <v>2528</v>
      </c>
      <c r="E562" s="166" t="s">
        <v>1531</v>
      </c>
      <c r="F562" s="166" t="s">
        <v>2462</v>
      </c>
      <c r="G562" s="166" t="s">
        <v>1134</v>
      </c>
      <c r="H562" s="166">
        <v>465126</v>
      </c>
      <c r="I562" s="166">
        <v>465126</v>
      </c>
      <c r="J562" s="166">
        <v>100</v>
      </c>
      <c r="K562" s="166" t="str">
        <f t="shared" si="8"/>
        <v>PROTECTIONEP_SCR</v>
      </c>
    </row>
    <row r="563" spans="1:11" hidden="1">
      <c r="A563" s="166" t="s">
        <v>2529</v>
      </c>
      <c r="B563" s="166" t="s">
        <v>2530</v>
      </c>
      <c r="C563" s="166" t="s">
        <v>156</v>
      </c>
      <c r="D563" s="166" t="s">
        <v>2531</v>
      </c>
      <c r="E563" s="166" t="s">
        <v>1531</v>
      </c>
      <c r="F563" s="166" t="s">
        <v>2462</v>
      </c>
      <c r="G563" s="166" t="s">
        <v>1134</v>
      </c>
      <c r="H563" s="166">
        <v>465126</v>
      </c>
      <c r="I563" s="166">
        <v>465126</v>
      </c>
      <c r="J563" s="166">
        <v>100</v>
      </c>
      <c r="K563" s="166" t="str">
        <f t="shared" si="8"/>
        <v>PROTECTIONTYP_EPC_LBL</v>
      </c>
    </row>
    <row r="564" spans="1:11" hidden="1">
      <c r="A564" s="166" t="s">
        <v>2532</v>
      </c>
      <c r="B564" s="166" t="s">
        <v>2533</v>
      </c>
      <c r="C564" s="166" t="s">
        <v>156</v>
      </c>
      <c r="D564" s="166" t="s">
        <v>2534</v>
      </c>
      <c r="E564" s="166" t="s">
        <v>1531</v>
      </c>
      <c r="F564" s="166" t="s">
        <v>2462</v>
      </c>
      <c r="G564" s="166" t="s">
        <v>1134</v>
      </c>
      <c r="H564" s="166">
        <v>465126</v>
      </c>
      <c r="I564" s="166">
        <v>465126</v>
      </c>
      <c r="J564" s="166">
        <v>100</v>
      </c>
      <c r="K564" s="166" t="str">
        <f t="shared" si="8"/>
        <v>PROTECTIONEPC_LBL</v>
      </c>
    </row>
    <row r="565" spans="1:11" hidden="1">
      <c r="A565" s="166" t="s">
        <v>2535</v>
      </c>
      <c r="B565" s="166" t="s">
        <v>2536</v>
      </c>
      <c r="C565" s="166" t="s">
        <v>156</v>
      </c>
      <c r="D565" s="166" t="s">
        <v>2537</v>
      </c>
      <c r="E565" s="166" t="s">
        <v>1531</v>
      </c>
      <c r="F565" s="166" t="s">
        <v>2462</v>
      </c>
      <c r="G565" s="166" t="s">
        <v>1134</v>
      </c>
      <c r="H565" s="166">
        <v>465126</v>
      </c>
      <c r="I565" s="166">
        <v>465126</v>
      </c>
      <c r="J565" s="166">
        <v>100</v>
      </c>
      <c r="K565" s="166" t="str">
        <f t="shared" si="8"/>
        <v>PROTECTIONTYP_EMSSNS_LBL</v>
      </c>
    </row>
    <row r="566" spans="1:11" hidden="1">
      <c r="A566" s="166" t="s">
        <v>2538</v>
      </c>
      <c r="B566" s="166" t="s">
        <v>2539</v>
      </c>
      <c r="C566" s="166" t="s">
        <v>156</v>
      </c>
      <c r="D566" s="166" t="s">
        <v>2540</v>
      </c>
      <c r="E566" s="166" t="s">
        <v>1531</v>
      </c>
      <c r="F566" s="166" t="s">
        <v>2462</v>
      </c>
      <c r="G566" s="166" t="s">
        <v>1134</v>
      </c>
      <c r="H566" s="166">
        <v>465126</v>
      </c>
      <c r="I566" s="166">
        <v>465126</v>
      </c>
      <c r="J566" s="166">
        <v>100</v>
      </c>
      <c r="K566" s="166" t="str">
        <f t="shared" si="8"/>
        <v>PROTECTIONEPC_EMSSNS_LBL</v>
      </c>
    </row>
    <row r="567" spans="1:11" hidden="1">
      <c r="A567" s="166" t="s">
        <v>2541</v>
      </c>
      <c r="B567" s="166" t="s">
        <v>2542</v>
      </c>
      <c r="C567" s="166" t="s">
        <v>156</v>
      </c>
      <c r="D567" s="166" t="s">
        <v>2543</v>
      </c>
      <c r="E567" s="166" t="s">
        <v>1527</v>
      </c>
      <c r="F567" s="166" t="s">
        <v>2462</v>
      </c>
      <c r="G567" s="166" t="s">
        <v>1134</v>
      </c>
      <c r="H567" s="166">
        <v>465126</v>
      </c>
      <c r="I567" s="166">
        <v>465126</v>
      </c>
      <c r="J567" s="166">
        <v>100</v>
      </c>
      <c r="K567" s="166" t="str">
        <f t="shared" si="8"/>
        <v>PROTECTIONVHCL_EMSSNS_LBL</v>
      </c>
    </row>
    <row r="568" spans="1:11" hidden="1">
      <c r="A568" s="166" t="s">
        <v>2544</v>
      </c>
      <c r="B568" s="166" t="s">
        <v>2545</v>
      </c>
      <c r="C568" s="166" t="s">
        <v>156</v>
      </c>
      <c r="D568" s="166" t="s">
        <v>2546</v>
      </c>
      <c r="E568" s="166" t="s">
        <v>1531</v>
      </c>
      <c r="F568" s="166" t="s">
        <v>2462</v>
      </c>
      <c r="G568" s="166" t="s">
        <v>1134</v>
      </c>
      <c r="H568" s="166">
        <v>465126</v>
      </c>
      <c r="I568" s="166">
        <v>465126</v>
      </c>
      <c r="J568" s="166">
        <v>100</v>
      </c>
      <c r="K568" s="166" t="str">
        <f t="shared" si="8"/>
        <v>PROTECTIONTYP_EMSSNS_SCR</v>
      </c>
    </row>
    <row r="569" spans="1:11" hidden="1">
      <c r="A569" s="166" t="s">
        <v>2547</v>
      </c>
      <c r="B569" s="166" t="s">
        <v>2548</v>
      </c>
      <c r="C569" s="166" t="s">
        <v>156</v>
      </c>
      <c r="D569" s="166" t="s">
        <v>2549</v>
      </c>
      <c r="E569" s="166" t="s">
        <v>1534</v>
      </c>
      <c r="F569" s="166" t="s">
        <v>2462</v>
      </c>
      <c r="G569" s="166" t="s">
        <v>1134</v>
      </c>
      <c r="H569" s="166">
        <v>465126</v>
      </c>
      <c r="I569" s="166">
        <v>465126</v>
      </c>
      <c r="J569" s="166">
        <v>100</v>
      </c>
      <c r="K569" s="166" t="str">
        <f t="shared" si="8"/>
        <v>PROTECTIONEPC_EMSSNS_SCR</v>
      </c>
    </row>
    <row r="570" spans="1:11" hidden="1">
      <c r="A570" s="166" t="s">
        <v>2550</v>
      </c>
      <c r="B570" s="166" t="s">
        <v>2551</v>
      </c>
      <c r="C570" s="166" t="s">
        <v>156</v>
      </c>
      <c r="D570" s="166" t="s">
        <v>2552</v>
      </c>
      <c r="E570" s="166" t="s">
        <v>1534</v>
      </c>
      <c r="F570" s="166" t="s">
        <v>2462</v>
      </c>
      <c r="G570" s="166" t="s">
        <v>1134</v>
      </c>
      <c r="H570" s="166">
        <v>465126</v>
      </c>
      <c r="I570" s="166">
        <v>465126</v>
      </c>
      <c r="J570" s="166">
        <v>100</v>
      </c>
      <c r="K570" s="166" t="str">
        <f t="shared" si="8"/>
        <v>PROTECTIONVHCL_EMSSNS_SCR</v>
      </c>
    </row>
    <row r="571" spans="1:11" hidden="1">
      <c r="A571" s="166" t="s">
        <v>2553</v>
      </c>
      <c r="B571" s="166" t="s">
        <v>2554</v>
      </c>
      <c r="C571" s="166" t="s">
        <v>156</v>
      </c>
      <c r="D571" s="166" t="s">
        <v>2555</v>
      </c>
      <c r="E571" s="166" t="s">
        <v>1534</v>
      </c>
      <c r="F571" s="166" t="s">
        <v>2462</v>
      </c>
      <c r="G571" s="166" t="s">
        <v>1134</v>
      </c>
      <c r="H571" s="166">
        <v>465126</v>
      </c>
      <c r="I571" s="166">
        <v>465126</v>
      </c>
      <c r="J571" s="166">
        <v>100</v>
      </c>
      <c r="K571" s="166" t="str">
        <f t="shared" si="8"/>
        <v>PROTECTIONEMSSNS_SCP1_PRTCTN</v>
      </c>
    </row>
    <row r="572" spans="1:11" hidden="1">
      <c r="A572" s="166" t="s">
        <v>2556</v>
      </c>
      <c r="B572" s="166" t="s">
        <v>2557</v>
      </c>
      <c r="C572" s="166" t="s">
        <v>156</v>
      </c>
      <c r="D572" s="166" t="s">
        <v>2558</v>
      </c>
      <c r="E572" s="166" t="s">
        <v>1534</v>
      </c>
      <c r="F572" s="166" t="s">
        <v>2462</v>
      </c>
      <c r="G572" s="166" t="s">
        <v>1134</v>
      </c>
      <c r="H572" s="166">
        <v>465126</v>
      </c>
      <c r="I572" s="166">
        <v>465126</v>
      </c>
      <c r="J572" s="166">
        <v>100</v>
      </c>
      <c r="K572" s="166" t="str">
        <f t="shared" si="8"/>
        <v>PROTECTIONEMSSNS_SCP2_PRTCTN</v>
      </c>
    </row>
    <row r="573" spans="1:11" hidden="1">
      <c r="A573" s="166" t="s">
        <v>2559</v>
      </c>
      <c r="B573" s="166" t="s">
        <v>2560</v>
      </c>
      <c r="C573" s="166" t="s">
        <v>156</v>
      </c>
      <c r="D573" s="166" t="s">
        <v>2561</v>
      </c>
      <c r="E573" s="166" t="s">
        <v>1534</v>
      </c>
      <c r="F573" s="166" t="s">
        <v>2462</v>
      </c>
      <c r="G573" s="166" t="s">
        <v>1134</v>
      </c>
      <c r="H573" s="166">
        <v>465126</v>
      </c>
      <c r="I573" s="166">
        <v>465126</v>
      </c>
      <c r="J573" s="166">
        <v>100</v>
      </c>
      <c r="K573" s="166" t="str">
        <f t="shared" si="8"/>
        <v>PROTECTIONEMSSNS_SCP3_PRTCTN</v>
      </c>
    </row>
    <row r="574" spans="1:11" hidden="1">
      <c r="A574" s="166" t="s">
        <v>2562</v>
      </c>
      <c r="B574" s="166" t="s">
        <v>2563</v>
      </c>
      <c r="C574" s="166" t="s">
        <v>156</v>
      </c>
      <c r="D574" s="166" t="s">
        <v>2564</v>
      </c>
      <c r="E574" s="166" t="s">
        <v>1531</v>
      </c>
      <c r="F574" s="166" t="s">
        <v>2462</v>
      </c>
      <c r="G574" s="166" t="s">
        <v>1134</v>
      </c>
      <c r="H574" s="166">
        <v>465126</v>
      </c>
      <c r="I574" s="166">
        <v>465126</v>
      </c>
      <c r="J574" s="166">
        <v>100</v>
      </c>
      <c r="K574" s="166" t="str">
        <f t="shared" si="8"/>
        <v>PROTECTIONMTHD_USD_PRTCTN_SCP_1</v>
      </c>
    </row>
    <row r="575" spans="1:11" hidden="1">
      <c r="A575" s="166" t="s">
        <v>2565</v>
      </c>
      <c r="B575" s="166" t="s">
        <v>2566</v>
      </c>
      <c r="C575" s="166" t="s">
        <v>156</v>
      </c>
      <c r="D575" s="166" t="s">
        <v>2567</v>
      </c>
      <c r="E575" s="166" t="s">
        <v>1531</v>
      </c>
      <c r="F575" s="166" t="s">
        <v>2462</v>
      </c>
      <c r="G575" s="166" t="s">
        <v>1134</v>
      </c>
      <c r="H575" s="166">
        <v>465126</v>
      </c>
      <c r="I575" s="166">
        <v>465126</v>
      </c>
      <c r="J575" s="166">
        <v>100</v>
      </c>
      <c r="K575" s="166" t="str">
        <f t="shared" si="8"/>
        <v>PROTECTIONMTHD_USD_PRTCTN_SCP_2</v>
      </c>
    </row>
    <row r="576" spans="1:11" hidden="1">
      <c r="A576" s="166" t="s">
        <v>2568</v>
      </c>
      <c r="B576" s="166" t="s">
        <v>2569</v>
      </c>
      <c r="C576" s="166" t="s">
        <v>156</v>
      </c>
      <c r="D576" s="166" t="s">
        <v>2570</v>
      </c>
      <c r="E576" s="166" t="s">
        <v>1531</v>
      </c>
      <c r="F576" s="166" t="s">
        <v>2462</v>
      </c>
      <c r="G576" s="166" t="s">
        <v>1134</v>
      </c>
      <c r="H576" s="166">
        <v>465126</v>
      </c>
      <c r="I576" s="166">
        <v>465126</v>
      </c>
      <c r="J576" s="166">
        <v>100</v>
      </c>
      <c r="K576" s="166" t="str">
        <f t="shared" si="8"/>
        <v>PROTECTIONMTHD_USD_PRTCTN_SCP_3</v>
      </c>
    </row>
    <row r="577" spans="1:11" hidden="1">
      <c r="A577" s="166" t="s">
        <v>2571</v>
      </c>
      <c r="B577" s="166" t="s">
        <v>2572</v>
      </c>
      <c r="C577" s="166" t="s">
        <v>156</v>
      </c>
      <c r="D577" s="166" t="s">
        <v>1377</v>
      </c>
      <c r="E577" s="166" t="s">
        <v>1531</v>
      </c>
      <c r="F577" s="166" t="s">
        <v>2462</v>
      </c>
      <c r="G577" s="166" t="s">
        <v>1134</v>
      </c>
      <c r="H577" s="166">
        <v>465126</v>
      </c>
      <c r="I577" s="166">
        <v>465126</v>
      </c>
      <c r="J577" s="166">
        <v>100</v>
      </c>
      <c r="K577" s="166" t="str">
        <f t="shared" si="8"/>
        <v>PROTECTIONFLG_ACT_PHYSCL_RSK</v>
      </c>
    </row>
    <row r="578" spans="1:11" hidden="1">
      <c r="A578" s="166" t="s">
        <v>2573</v>
      </c>
      <c r="B578" s="166" t="s">
        <v>2574</v>
      </c>
      <c r="C578" s="166" t="s">
        <v>156</v>
      </c>
      <c r="D578" s="166" t="s">
        <v>1380</v>
      </c>
      <c r="E578" s="166" t="s">
        <v>1531</v>
      </c>
      <c r="F578" s="166" t="s">
        <v>2462</v>
      </c>
      <c r="G578" s="166" t="s">
        <v>1134</v>
      </c>
      <c r="H578" s="166">
        <v>465126</v>
      </c>
      <c r="I578" s="166">
        <v>465126</v>
      </c>
      <c r="J578" s="166">
        <v>100</v>
      </c>
      <c r="K578" s="166" t="str">
        <f t="shared" si="8"/>
        <v>PROTECTIONFLG_CHRNC_PHYSCL_RSK</v>
      </c>
    </row>
    <row r="579" spans="1:11" hidden="1">
      <c r="A579" s="166" t="s">
        <v>2575</v>
      </c>
      <c r="B579" s="166" t="s">
        <v>2576</v>
      </c>
      <c r="C579" s="166" t="s">
        <v>156</v>
      </c>
      <c r="D579" s="166" t="s">
        <v>2577</v>
      </c>
      <c r="E579" s="166" t="s">
        <v>1527</v>
      </c>
      <c r="F579" s="166" t="s">
        <v>2462</v>
      </c>
      <c r="G579" s="166" t="s">
        <v>1134</v>
      </c>
      <c r="H579" s="166">
        <v>465126</v>
      </c>
      <c r="I579" s="166">
        <v>465126</v>
      </c>
      <c r="J579" s="166">
        <v>100</v>
      </c>
      <c r="K579" s="166" t="str">
        <f t="shared" ref="K579:K642" si="9">_xlfn.CONCAT(_xlfn.IFS(ISNUMBER(SEARCH("EN",A579)),"ENTITY",ISNUMBER(SEARCH("IN",A579)),"INSTRUMENT",ISNUMBER(SEARCH("PR",A579)),"PROTECTION",ISNUMBER(SEARCH("IP",A579)),"INSTR_PROTECTION",ISNUMBER(SEARCH("IE",A579)),"INSTR_ENTITY",ISNUMBER(SEARCH("AC",A579)),"INSTR_ACTIVITY"),D579)</f>
        <v>PROTECTIONINSRNC_ID</v>
      </c>
    </row>
    <row r="580" spans="1:11" hidden="1">
      <c r="A580" s="166" t="s">
        <v>2578</v>
      </c>
      <c r="B580" s="166" t="s">
        <v>2579</v>
      </c>
      <c r="C580" s="166" t="s">
        <v>156</v>
      </c>
      <c r="D580" s="166" t="s">
        <v>2580</v>
      </c>
      <c r="E580" s="166" t="s">
        <v>2224</v>
      </c>
      <c r="F580" s="166" t="s">
        <v>2462</v>
      </c>
      <c r="G580" s="166" t="s">
        <v>1134</v>
      </c>
      <c r="H580" s="166">
        <v>465126</v>
      </c>
      <c r="I580" s="166">
        <v>465126</v>
      </c>
      <c r="J580" s="166">
        <v>100</v>
      </c>
      <c r="K580" s="166" t="str">
        <f t="shared" si="9"/>
        <v>PROTECTIONTYP_HZRDS_INSRD</v>
      </c>
    </row>
    <row r="581" spans="1:11" hidden="1">
      <c r="A581" s="166" t="s">
        <v>2581</v>
      </c>
      <c r="B581" s="166" t="s">
        <v>2582</v>
      </c>
      <c r="C581" s="166" t="s">
        <v>156</v>
      </c>
      <c r="D581" s="166" t="s">
        <v>2583</v>
      </c>
      <c r="E581" s="166" t="s">
        <v>1534</v>
      </c>
      <c r="F581" s="166" t="s">
        <v>2462</v>
      </c>
      <c r="G581" s="166" t="s">
        <v>1134</v>
      </c>
      <c r="H581" s="166">
        <v>465126</v>
      </c>
      <c r="I581" s="166">
        <v>465126</v>
      </c>
      <c r="J581" s="166">
        <v>100</v>
      </c>
      <c r="K581" s="166" t="str">
        <f t="shared" si="9"/>
        <v>PROTECTIONAMNT_CVRD_INSRNC</v>
      </c>
    </row>
    <row r="582" spans="1:11" hidden="1">
      <c r="A582" s="166" t="s">
        <v>2584</v>
      </c>
      <c r="B582" s="166" t="s">
        <v>2585</v>
      </c>
      <c r="C582" s="166" t="s">
        <v>156</v>
      </c>
      <c r="D582" s="166" t="s">
        <v>2586</v>
      </c>
      <c r="E582" s="166" t="s">
        <v>1524</v>
      </c>
      <c r="F582" s="166" t="s">
        <v>2462</v>
      </c>
      <c r="G582" s="166" t="s">
        <v>1134</v>
      </c>
      <c r="H582" s="166">
        <v>465126</v>
      </c>
      <c r="I582" s="166">
        <v>465126</v>
      </c>
      <c r="J582" s="166">
        <v>100</v>
      </c>
      <c r="K582" s="166" t="str">
        <f t="shared" si="9"/>
        <v>PROTECTIONDT_MTRTY_INSRNC</v>
      </c>
    </row>
    <row r="583" spans="1:11" hidden="1">
      <c r="A583" s="166" t="s">
        <v>2587</v>
      </c>
      <c r="B583" s="166" t="s">
        <v>2588</v>
      </c>
      <c r="C583" s="166" t="s">
        <v>156</v>
      </c>
      <c r="D583" s="166" t="s">
        <v>1495</v>
      </c>
      <c r="E583" s="166" t="s">
        <v>1531</v>
      </c>
      <c r="F583" s="166" t="s">
        <v>2462</v>
      </c>
      <c r="G583" s="166" t="s">
        <v>1134</v>
      </c>
      <c r="H583" s="166">
        <v>465126</v>
      </c>
      <c r="I583" s="166">
        <v>465126</v>
      </c>
      <c r="J583" s="166">
        <v>100</v>
      </c>
      <c r="K583" s="166" t="str">
        <f t="shared" si="9"/>
        <v>PROTECTIONFLG_FRST_HM</v>
      </c>
    </row>
    <row r="584" spans="1:11" hidden="1">
      <c r="A584" s="166" t="s">
        <v>2589</v>
      </c>
      <c r="B584" s="166" t="s">
        <v>2590</v>
      </c>
      <c r="C584" s="166" t="s">
        <v>156</v>
      </c>
      <c r="D584" s="166" t="s">
        <v>542</v>
      </c>
      <c r="E584" s="166" t="s">
        <v>1534</v>
      </c>
      <c r="F584" s="166" t="s">
        <v>2462</v>
      </c>
      <c r="G584" s="166" t="s">
        <v>129</v>
      </c>
      <c r="H584" s="166">
        <v>465126</v>
      </c>
      <c r="I584" s="166">
        <v>0</v>
      </c>
      <c r="J584" s="166">
        <v>0</v>
      </c>
      <c r="K584" s="166" t="str">
        <f t="shared" si="9"/>
        <v>PROTECTIONYR_CNSTRCTN</v>
      </c>
    </row>
    <row r="585" spans="1:11" hidden="1">
      <c r="A585" s="166" t="s">
        <v>2591</v>
      </c>
      <c r="B585" s="166" t="s">
        <v>2592</v>
      </c>
      <c r="C585" s="166" t="s">
        <v>156</v>
      </c>
      <c r="D585" s="166" t="s">
        <v>2593</v>
      </c>
      <c r="E585" s="166" t="s">
        <v>1534</v>
      </c>
      <c r="F585" s="166" t="s">
        <v>2462</v>
      </c>
      <c r="G585" s="166" t="s">
        <v>1134</v>
      </c>
      <c r="H585" s="166">
        <v>465126</v>
      </c>
      <c r="I585" s="166">
        <v>465126</v>
      </c>
      <c r="J585" s="166">
        <v>100</v>
      </c>
      <c r="K585" s="166" t="str">
        <f t="shared" si="9"/>
        <v>PROTECTIONBLDNG_AR</v>
      </c>
    </row>
    <row r="586" spans="1:11" hidden="1">
      <c r="A586" s="166" t="s">
        <v>2594</v>
      </c>
      <c r="B586" s="166" t="s">
        <v>2595</v>
      </c>
      <c r="C586" s="166" t="s">
        <v>156</v>
      </c>
      <c r="D586" s="166" t="s">
        <v>572</v>
      </c>
      <c r="E586" s="166" t="s">
        <v>1534</v>
      </c>
      <c r="F586" s="166" t="s">
        <v>2462</v>
      </c>
      <c r="G586" s="166" t="s">
        <v>1134</v>
      </c>
      <c r="H586" s="166">
        <v>465126</v>
      </c>
      <c r="I586" s="166">
        <v>465126</v>
      </c>
      <c r="J586" s="166">
        <v>100</v>
      </c>
      <c r="K586" s="166" t="str">
        <f t="shared" si="9"/>
        <v>PROTECTIONLND_AR</v>
      </c>
    </row>
    <row r="587" spans="1:11" hidden="1">
      <c r="A587" s="166" t="s">
        <v>2596</v>
      </c>
      <c r="B587" s="166" t="s">
        <v>2597</v>
      </c>
      <c r="C587" s="166" t="s">
        <v>156</v>
      </c>
      <c r="D587" s="166" t="s">
        <v>573</v>
      </c>
      <c r="E587" s="166" t="s">
        <v>1534</v>
      </c>
      <c r="F587" s="166" t="s">
        <v>2462</v>
      </c>
      <c r="G587" s="166" t="s">
        <v>1134</v>
      </c>
      <c r="H587" s="166">
        <v>465126</v>
      </c>
      <c r="I587" s="166">
        <v>465126</v>
      </c>
      <c r="J587" s="166">
        <v>100</v>
      </c>
      <c r="K587" s="166" t="str">
        <f t="shared" si="9"/>
        <v>PROTECTIONLN_PSTN</v>
      </c>
    </row>
    <row r="588" spans="1:11" hidden="1">
      <c r="A588" s="166" t="s">
        <v>2598</v>
      </c>
      <c r="B588" s="166" t="s">
        <v>2599</v>
      </c>
      <c r="C588" s="166" t="s">
        <v>156</v>
      </c>
      <c r="D588" s="166" t="s">
        <v>2600</v>
      </c>
      <c r="E588" s="166" t="s">
        <v>1531</v>
      </c>
      <c r="F588" s="166" t="s">
        <v>2462</v>
      </c>
      <c r="G588" s="166" t="s">
        <v>1134</v>
      </c>
      <c r="H588" s="166">
        <v>465126</v>
      </c>
      <c r="I588" s="166">
        <v>465126</v>
      </c>
      <c r="J588" s="166">
        <v>100</v>
      </c>
      <c r="K588" s="166" t="str">
        <f t="shared" si="9"/>
        <v>PROTECTIONRL_ESTT_CRTFCTN</v>
      </c>
    </row>
    <row r="589" spans="1:11" hidden="1">
      <c r="A589" s="166" t="s">
        <v>2601</v>
      </c>
      <c r="B589" s="166" t="s">
        <v>2602</v>
      </c>
      <c r="C589" s="166" t="s">
        <v>156</v>
      </c>
      <c r="D589" s="166" t="s">
        <v>2603</v>
      </c>
      <c r="E589" s="166" t="s">
        <v>1531</v>
      </c>
      <c r="F589" s="166" t="s">
        <v>2462</v>
      </c>
      <c r="G589" s="166" t="s">
        <v>129</v>
      </c>
      <c r="H589" s="166">
        <v>465126</v>
      </c>
      <c r="I589" s="166">
        <v>0</v>
      </c>
      <c r="J589" s="166">
        <v>0</v>
      </c>
      <c r="K589" s="166" t="str">
        <f t="shared" si="9"/>
        <v>PROTECTIONTYP_VHCL</v>
      </c>
    </row>
    <row r="590" spans="1:11" hidden="1">
      <c r="A590" s="166" t="s">
        <v>2604</v>
      </c>
      <c r="B590" s="166" t="s">
        <v>2605</v>
      </c>
      <c r="C590" s="166" t="s">
        <v>156</v>
      </c>
      <c r="D590" s="166" t="s">
        <v>2606</v>
      </c>
      <c r="E590" s="166" t="s">
        <v>1524</v>
      </c>
      <c r="F590" s="166" t="s">
        <v>2462</v>
      </c>
      <c r="G590" s="166" t="s">
        <v>1134</v>
      </c>
      <c r="H590" s="166">
        <v>465126</v>
      </c>
      <c r="I590" s="166">
        <v>465126</v>
      </c>
      <c r="J590" s="166">
        <v>100</v>
      </c>
      <c r="K590" s="166" t="str">
        <f t="shared" si="9"/>
        <v>PROTECTIONDT_RGSTRTN</v>
      </c>
    </row>
    <row r="591" spans="1:11" hidden="1">
      <c r="A591" s="166" t="s">
        <v>2607</v>
      </c>
      <c r="B591" s="166" t="s">
        <v>2608</v>
      </c>
      <c r="C591" s="166" t="s">
        <v>156</v>
      </c>
      <c r="D591" s="166" t="s">
        <v>2609</v>
      </c>
      <c r="E591" s="166" t="s">
        <v>1534</v>
      </c>
      <c r="F591" s="166" t="s">
        <v>2462</v>
      </c>
      <c r="G591" s="166" t="s">
        <v>1134</v>
      </c>
      <c r="H591" s="166">
        <v>465126</v>
      </c>
      <c r="I591" s="166">
        <v>465126</v>
      </c>
      <c r="J591" s="166">
        <v>100</v>
      </c>
      <c r="K591" s="166" t="str">
        <f t="shared" si="9"/>
        <v>PROTECTIONPRMRY_ENRGY_DMND_NN_RNWBL</v>
      </c>
    </row>
    <row r="592" spans="1:11" hidden="1">
      <c r="A592" s="166" t="s">
        <v>2610</v>
      </c>
      <c r="B592" s="166" t="s">
        <v>2611</v>
      </c>
      <c r="C592" s="166" t="s">
        <v>156</v>
      </c>
      <c r="D592" s="166" t="s">
        <v>2612</v>
      </c>
      <c r="E592" s="166" t="s">
        <v>1534</v>
      </c>
      <c r="F592" s="166" t="s">
        <v>2462</v>
      </c>
      <c r="G592" s="166" t="s">
        <v>1134</v>
      </c>
      <c r="H592" s="166">
        <v>465126</v>
      </c>
      <c r="I592" s="166">
        <v>465126</v>
      </c>
      <c r="J592" s="166">
        <v>100</v>
      </c>
      <c r="K592" s="166" t="str">
        <f t="shared" si="9"/>
        <v>PROTECTIONPRMRY_ENRGY_DMND_TTL</v>
      </c>
    </row>
    <row r="593" spans="1:11" hidden="1">
      <c r="A593" s="166" t="s">
        <v>2613</v>
      </c>
      <c r="B593" s="166" t="s">
        <v>2614</v>
      </c>
      <c r="C593" s="166" t="s">
        <v>156</v>
      </c>
      <c r="D593" s="166" t="s">
        <v>2615</v>
      </c>
      <c r="E593" s="166" t="s">
        <v>1534</v>
      </c>
      <c r="F593" s="166" t="s">
        <v>2462</v>
      </c>
      <c r="G593" s="166" t="s">
        <v>1134</v>
      </c>
      <c r="H593" s="166">
        <v>465126</v>
      </c>
      <c r="I593" s="166">
        <v>465126</v>
      </c>
      <c r="J593" s="166">
        <v>100</v>
      </c>
      <c r="K593" s="166" t="str">
        <f t="shared" si="9"/>
        <v>PROTECTIONPRMRY_ENRGY_DMND_RFRNC_VL</v>
      </c>
    </row>
    <row r="594" spans="1:11" hidden="1">
      <c r="A594" s="166" t="s">
        <v>2616</v>
      </c>
      <c r="B594" s="166" t="s">
        <v>2617</v>
      </c>
      <c r="C594" s="166" t="s">
        <v>156</v>
      </c>
      <c r="D594" s="166" t="s">
        <v>2618</v>
      </c>
      <c r="E594" s="166" t="s">
        <v>1531</v>
      </c>
      <c r="F594" s="166" t="s">
        <v>2462</v>
      </c>
      <c r="G594" s="166" t="s">
        <v>1134</v>
      </c>
      <c r="H594" s="166">
        <v>465126</v>
      </c>
      <c r="I594" s="166">
        <v>465126</v>
      </c>
      <c r="J594" s="166">
        <v>100</v>
      </c>
      <c r="K594" s="166" t="str">
        <f t="shared" si="9"/>
        <v>PROTECTIONRL_ESTT_CLMT_ZN</v>
      </c>
    </row>
    <row r="595" spans="1:11" hidden="1">
      <c r="A595" s="166" t="s">
        <v>2619</v>
      </c>
      <c r="B595" s="166" t="s">
        <v>2620</v>
      </c>
      <c r="C595" s="166" t="s">
        <v>156</v>
      </c>
      <c r="D595" s="166" t="s">
        <v>574</v>
      </c>
      <c r="E595" s="166" t="s">
        <v>1534</v>
      </c>
      <c r="F595" s="166" t="s">
        <v>2462</v>
      </c>
      <c r="G595" s="166" t="s">
        <v>1134</v>
      </c>
      <c r="H595" s="166">
        <v>465126</v>
      </c>
      <c r="I595" s="166">
        <v>465126</v>
      </c>
      <c r="J595" s="166">
        <v>100</v>
      </c>
      <c r="K595" s="166" t="str">
        <f t="shared" si="9"/>
        <v>PROTECTIONRL_ESTT_LNGTD</v>
      </c>
    </row>
    <row r="596" spans="1:11" hidden="1">
      <c r="A596" s="166" t="s">
        <v>2621</v>
      </c>
      <c r="B596" s="166" t="s">
        <v>2622</v>
      </c>
      <c r="C596" s="166" t="s">
        <v>156</v>
      </c>
      <c r="D596" s="166" t="s">
        <v>575</v>
      </c>
      <c r="E596" s="166" t="s">
        <v>1534</v>
      </c>
      <c r="F596" s="166" t="s">
        <v>2462</v>
      </c>
      <c r="G596" s="166" t="s">
        <v>1134</v>
      </c>
      <c r="H596" s="166">
        <v>465126</v>
      </c>
      <c r="I596" s="166">
        <v>465126</v>
      </c>
      <c r="J596" s="166">
        <v>100</v>
      </c>
      <c r="K596" s="166" t="str">
        <f t="shared" si="9"/>
        <v>PROTECTIONRL_ESTT_LTTD</v>
      </c>
    </row>
    <row r="597" spans="1:11" hidden="1">
      <c r="A597" s="166" t="s">
        <v>2623</v>
      </c>
      <c r="B597" s="166" t="s">
        <v>2624</v>
      </c>
      <c r="C597" s="166" t="s">
        <v>156</v>
      </c>
      <c r="D597" s="166" t="s">
        <v>1498</v>
      </c>
      <c r="E597" s="166" t="s">
        <v>1531</v>
      </c>
      <c r="F597" s="166" t="s">
        <v>2462</v>
      </c>
      <c r="G597" s="166" t="s">
        <v>129</v>
      </c>
      <c r="H597" s="166">
        <v>465126</v>
      </c>
      <c r="I597" s="166">
        <v>0</v>
      </c>
      <c r="J597" s="166">
        <v>0</v>
      </c>
      <c r="K597" s="166" t="str">
        <f t="shared" si="9"/>
        <v>PROTECTIONFLG_ELCTRC_VHCL</v>
      </c>
    </row>
    <row r="598" spans="1:11" hidden="1">
      <c r="A598" s="166" t="s">
        <v>2625</v>
      </c>
      <c r="B598" s="166" t="s">
        <v>2626</v>
      </c>
      <c r="C598" s="166" t="s">
        <v>576</v>
      </c>
      <c r="D598" s="166" t="s">
        <v>367</v>
      </c>
      <c r="E598" s="166" t="s">
        <v>2627</v>
      </c>
      <c r="F598" s="166" t="s">
        <v>2628</v>
      </c>
      <c r="G598" s="166" t="s">
        <v>129</v>
      </c>
      <c r="H598" s="166">
        <v>2138988</v>
      </c>
      <c r="I598" s="166">
        <v>0</v>
      </c>
      <c r="J598" s="166">
        <v>0</v>
      </c>
      <c r="K598" s="166" t="str">
        <f t="shared" si="9"/>
        <v>INSTR_ACTIVITYINSTRMNT_ID</v>
      </c>
    </row>
    <row r="599" spans="1:11" hidden="1">
      <c r="A599" s="166" t="s">
        <v>2629</v>
      </c>
      <c r="B599" s="166" t="s">
        <v>2630</v>
      </c>
      <c r="C599" s="166" t="s">
        <v>139</v>
      </c>
      <c r="D599" s="166" t="s">
        <v>306</v>
      </c>
      <c r="E599" s="166" t="s">
        <v>2627</v>
      </c>
      <c r="F599" s="166" t="s">
        <v>2628</v>
      </c>
      <c r="G599" s="166" t="s">
        <v>129</v>
      </c>
      <c r="H599" s="166">
        <v>1140751</v>
      </c>
      <c r="I599" s="166">
        <v>0</v>
      </c>
      <c r="J599" s="166">
        <v>0</v>
      </c>
      <c r="K599" s="166" t="str">
        <f t="shared" si="9"/>
        <v>ENTITYENTTY_ID</v>
      </c>
    </row>
    <row r="600" spans="1:11" hidden="1">
      <c r="A600" s="166" t="s">
        <v>2631</v>
      </c>
      <c r="B600" s="166" t="s">
        <v>2632</v>
      </c>
      <c r="C600" s="166" t="s">
        <v>187</v>
      </c>
      <c r="D600" s="166" t="s">
        <v>306</v>
      </c>
      <c r="E600" s="166" t="s">
        <v>2627</v>
      </c>
      <c r="F600" s="166" t="s">
        <v>2628</v>
      </c>
      <c r="G600" s="166" t="s">
        <v>129</v>
      </c>
      <c r="H600" s="166">
        <v>2655392</v>
      </c>
      <c r="I600" s="166">
        <v>0</v>
      </c>
      <c r="J600" s="166">
        <v>0</v>
      </c>
      <c r="K600" s="166" t="str">
        <f t="shared" si="9"/>
        <v>INSTR_ENTITYENTTY_ID</v>
      </c>
    </row>
    <row r="601" spans="1:11" hidden="1">
      <c r="A601" s="166" t="s">
        <v>2633</v>
      </c>
      <c r="B601" s="166" t="s">
        <v>2634</v>
      </c>
      <c r="C601" s="166" t="s">
        <v>187</v>
      </c>
      <c r="D601" s="166" t="s">
        <v>306</v>
      </c>
      <c r="E601" s="166" t="s">
        <v>2635</v>
      </c>
      <c r="F601" s="166" t="s">
        <v>2628</v>
      </c>
      <c r="G601" s="166" t="s">
        <v>1134</v>
      </c>
      <c r="H601" s="166">
        <v>907109</v>
      </c>
      <c r="I601" s="166">
        <v>23</v>
      </c>
      <c r="J601" s="166">
        <v>2.5000000000000001E-3</v>
      </c>
      <c r="K601" s="166" t="str">
        <f t="shared" si="9"/>
        <v>INSTR_ENTITYENTTY_ID</v>
      </c>
    </row>
    <row r="602" spans="1:11" hidden="1">
      <c r="A602" s="166" t="s">
        <v>2636</v>
      </c>
      <c r="B602" s="166" t="s">
        <v>2637</v>
      </c>
      <c r="C602" s="166" t="s">
        <v>187</v>
      </c>
      <c r="D602" s="166" t="s">
        <v>367</v>
      </c>
      <c r="E602" s="166" t="s">
        <v>2627</v>
      </c>
      <c r="F602" s="166" t="s">
        <v>2628</v>
      </c>
      <c r="G602" s="166" t="s">
        <v>129</v>
      </c>
      <c r="H602" s="166">
        <v>2655392</v>
      </c>
      <c r="I602" s="166">
        <v>0</v>
      </c>
      <c r="J602" s="166">
        <v>0</v>
      </c>
      <c r="K602" s="166" t="str">
        <f t="shared" si="9"/>
        <v>INSTR_ENTITYINSTRMNT_ID</v>
      </c>
    </row>
    <row r="603" spans="1:11" hidden="1">
      <c r="A603" s="166" t="s">
        <v>2638</v>
      </c>
      <c r="B603" s="166" t="s">
        <v>2639</v>
      </c>
      <c r="C603" s="166" t="s">
        <v>187</v>
      </c>
      <c r="D603" s="166" t="s">
        <v>367</v>
      </c>
      <c r="E603" s="166" t="s">
        <v>2640</v>
      </c>
      <c r="F603" s="166" t="s">
        <v>2628</v>
      </c>
      <c r="G603" s="166" t="s">
        <v>129</v>
      </c>
      <c r="H603" s="166">
        <v>2617674</v>
      </c>
      <c r="I603" s="166">
        <v>0</v>
      </c>
      <c r="J603" s="166">
        <v>0</v>
      </c>
      <c r="K603" s="166" t="str">
        <f t="shared" si="9"/>
        <v>INSTR_ENTITYINSTRMNT_ID</v>
      </c>
    </row>
    <row r="604" spans="1:11" hidden="1">
      <c r="A604" s="166" t="s">
        <v>2641</v>
      </c>
      <c r="B604" s="166" t="s">
        <v>2642</v>
      </c>
      <c r="C604" s="166" t="s">
        <v>127</v>
      </c>
      <c r="D604" s="166" t="s">
        <v>367</v>
      </c>
      <c r="E604" s="166" t="s">
        <v>2627</v>
      </c>
      <c r="F604" s="166" t="s">
        <v>2628</v>
      </c>
      <c r="G604" s="166" t="s">
        <v>1134</v>
      </c>
      <c r="H604" s="166">
        <v>127167</v>
      </c>
      <c r="I604" s="166">
        <v>37688</v>
      </c>
      <c r="J604" s="166">
        <v>29.636600000000001</v>
      </c>
      <c r="K604" s="166" t="str">
        <f t="shared" si="9"/>
        <v>INSTRUMENTINSTRMNT_ID</v>
      </c>
    </row>
    <row r="605" spans="1:11" hidden="1">
      <c r="A605" s="166" t="s">
        <v>2643</v>
      </c>
      <c r="B605" s="166" t="s">
        <v>2644</v>
      </c>
      <c r="C605" s="166" t="s">
        <v>127</v>
      </c>
      <c r="D605" s="166" t="s">
        <v>367</v>
      </c>
      <c r="E605" s="166" t="s">
        <v>2627</v>
      </c>
      <c r="F605" s="166" t="s">
        <v>2628</v>
      </c>
      <c r="G605" s="166" t="s">
        <v>129</v>
      </c>
      <c r="H605" s="166">
        <v>127167</v>
      </c>
      <c r="I605" s="166">
        <v>0</v>
      </c>
      <c r="J605" s="166">
        <v>0</v>
      </c>
      <c r="K605" s="166" t="str">
        <f t="shared" si="9"/>
        <v>INSTRUMENTINSTRMNT_ID</v>
      </c>
    </row>
    <row r="606" spans="1:11" hidden="1">
      <c r="A606" s="166" t="s">
        <v>2645</v>
      </c>
      <c r="B606" s="166" t="s">
        <v>2646</v>
      </c>
      <c r="C606" s="166" t="s">
        <v>188</v>
      </c>
      <c r="D606" s="166" t="s">
        <v>367</v>
      </c>
      <c r="E606" s="166" t="s">
        <v>2627</v>
      </c>
      <c r="F606" s="166" t="s">
        <v>2628</v>
      </c>
      <c r="G606" s="166" t="s">
        <v>129</v>
      </c>
      <c r="H606" s="166">
        <v>783914</v>
      </c>
      <c r="I606" s="166">
        <v>0</v>
      </c>
      <c r="J606" s="166">
        <v>0</v>
      </c>
      <c r="K606" s="166" t="str">
        <f t="shared" si="9"/>
        <v>INSTR_PROTECTIONINSTRMNT_ID</v>
      </c>
    </row>
    <row r="607" spans="1:11" hidden="1">
      <c r="A607" s="166" t="s">
        <v>2647</v>
      </c>
      <c r="B607" s="166" t="s">
        <v>2648</v>
      </c>
      <c r="C607" s="166" t="s">
        <v>188</v>
      </c>
      <c r="D607" s="166" t="s">
        <v>462</v>
      </c>
      <c r="E607" s="166" t="s">
        <v>2627</v>
      </c>
      <c r="F607" s="166" t="s">
        <v>2628</v>
      </c>
      <c r="G607" s="166" t="s">
        <v>129</v>
      </c>
      <c r="H607" s="166">
        <v>783914</v>
      </c>
      <c r="I607" s="166">
        <v>0</v>
      </c>
      <c r="J607" s="166">
        <v>0</v>
      </c>
      <c r="K607" s="166" t="str">
        <f t="shared" si="9"/>
        <v>INSTR_PROTECTIONPRTCTN_ID</v>
      </c>
    </row>
    <row r="608" spans="1:11" hidden="1">
      <c r="A608" s="166" t="s">
        <v>2649</v>
      </c>
      <c r="B608" s="166" t="s">
        <v>2650</v>
      </c>
      <c r="C608" s="166" t="s">
        <v>188</v>
      </c>
      <c r="D608" s="166" t="s">
        <v>462</v>
      </c>
      <c r="E608" s="166" t="s">
        <v>2635</v>
      </c>
      <c r="F608" s="166" t="s">
        <v>2628</v>
      </c>
      <c r="G608" s="166" t="s">
        <v>1134</v>
      </c>
      <c r="H608" s="166">
        <v>465126</v>
      </c>
      <c r="I608" s="166">
        <v>2470</v>
      </c>
      <c r="J608" s="166">
        <v>0.53100000000000003</v>
      </c>
      <c r="K608" s="166" t="str">
        <f t="shared" si="9"/>
        <v>INSTR_PROTECTIONPRTCTN_ID</v>
      </c>
    </row>
    <row r="609" spans="1:11" hidden="1">
      <c r="A609" s="166" t="s">
        <v>2651</v>
      </c>
      <c r="B609" s="166" t="s">
        <v>2652</v>
      </c>
      <c r="C609" s="166" t="s">
        <v>156</v>
      </c>
      <c r="D609" s="166" t="s">
        <v>462</v>
      </c>
      <c r="E609" s="166" t="s">
        <v>2627</v>
      </c>
      <c r="F609" s="166" t="s">
        <v>2628</v>
      </c>
      <c r="G609" s="166" t="s">
        <v>129</v>
      </c>
      <c r="H609" s="166">
        <v>465126</v>
      </c>
      <c r="I609" s="166">
        <v>0</v>
      </c>
      <c r="J609" s="166">
        <v>0</v>
      </c>
      <c r="K609" s="166" t="str">
        <f t="shared" si="9"/>
        <v>PROTECTIONPRTCTN_ID</v>
      </c>
    </row>
    <row r="610" spans="1:11" hidden="1">
      <c r="A610" s="166" t="s">
        <v>2653</v>
      </c>
      <c r="B610" s="166" t="s">
        <v>2654</v>
      </c>
      <c r="C610" s="166" t="s">
        <v>1336</v>
      </c>
      <c r="D610" s="166" t="s">
        <v>283</v>
      </c>
      <c r="E610" s="166" t="s">
        <v>1137</v>
      </c>
      <c r="F610" s="166" t="s">
        <v>2655</v>
      </c>
      <c r="G610" s="166" t="s">
        <v>129</v>
      </c>
      <c r="H610" s="166">
        <v>2138988</v>
      </c>
      <c r="I610" s="166">
        <v>0</v>
      </c>
      <c r="J610" s="166">
        <v>0</v>
      </c>
      <c r="K610" s="166" t="str">
        <f t="shared" si="9"/>
        <v>INSTR_ACTIVITYDT_RFRNC</v>
      </c>
    </row>
    <row r="611" spans="1:11" hidden="1">
      <c r="A611" s="166" t="s">
        <v>2656</v>
      </c>
      <c r="B611" s="166" t="s">
        <v>2657</v>
      </c>
      <c r="C611" s="166" t="s">
        <v>1336</v>
      </c>
      <c r="D611" s="166" t="s">
        <v>577</v>
      </c>
      <c r="E611" s="166" t="s">
        <v>1127</v>
      </c>
      <c r="F611" s="166" t="s">
        <v>2655</v>
      </c>
      <c r="G611" s="166" t="s">
        <v>129</v>
      </c>
      <c r="H611" s="166">
        <v>2138988</v>
      </c>
      <c r="I611" s="166">
        <v>0</v>
      </c>
      <c r="J611" s="166">
        <v>0</v>
      </c>
      <c r="K611" s="166" t="str">
        <f t="shared" si="9"/>
        <v>INSTR_ACTIVITYPRCNTG_ACTVTY</v>
      </c>
    </row>
    <row r="612" spans="1:11" hidden="1">
      <c r="A612" s="166" t="s">
        <v>2658</v>
      </c>
      <c r="B612" s="166" t="s">
        <v>2659</v>
      </c>
      <c r="C612" s="166" t="s">
        <v>1354</v>
      </c>
      <c r="D612" s="166" t="s">
        <v>249</v>
      </c>
      <c r="E612" s="166" t="s">
        <v>1132</v>
      </c>
      <c r="F612" s="166" t="s">
        <v>2660</v>
      </c>
      <c r="G612" s="166" t="s">
        <v>129</v>
      </c>
      <c r="H612" s="166">
        <v>1140750</v>
      </c>
      <c r="I612" s="166">
        <v>0</v>
      </c>
      <c r="J612" s="166">
        <v>0</v>
      </c>
      <c r="K612" s="166" t="str">
        <f t="shared" si="9"/>
        <v>ENTITYDT_FNNCL_STTMTS</v>
      </c>
    </row>
    <row r="613" spans="1:11" hidden="1">
      <c r="A613" s="166" t="s">
        <v>2661</v>
      </c>
      <c r="B613" s="166" t="s">
        <v>2654</v>
      </c>
      <c r="C613" s="166" t="s">
        <v>1354</v>
      </c>
      <c r="D613" s="166" t="s">
        <v>283</v>
      </c>
      <c r="E613" s="166" t="s">
        <v>1137</v>
      </c>
      <c r="F613" s="166" t="s">
        <v>2660</v>
      </c>
      <c r="G613" s="166" t="s">
        <v>129</v>
      </c>
      <c r="H613" s="166">
        <v>1140750</v>
      </c>
      <c r="I613" s="166">
        <v>0</v>
      </c>
      <c r="J613" s="166">
        <v>0</v>
      </c>
      <c r="K613" s="166" t="str">
        <f t="shared" si="9"/>
        <v>ENTITYDT_RFRNC</v>
      </c>
    </row>
    <row r="614" spans="1:11" hidden="1">
      <c r="A614" s="166" t="s">
        <v>2662</v>
      </c>
      <c r="B614" s="166" t="s">
        <v>2663</v>
      </c>
      <c r="C614" s="166" t="s">
        <v>1354</v>
      </c>
      <c r="D614" s="166" t="s">
        <v>329</v>
      </c>
      <c r="E614" s="166" t="s">
        <v>1531</v>
      </c>
      <c r="F614" s="166" t="s">
        <v>2660</v>
      </c>
      <c r="G614" s="166" t="s">
        <v>1134</v>
      </c>
      <c r="H614" s="166">
        <v>1140750</v>
      </c>
      <c r="I614" s="166">
        <v>82327</v>
      </c>
      <c r="J614" s="166">
        <v>7.2168999999999999</v>
      </c>
      <c r="K614" s="166" t="str">
        <f t="shared" si="9"/>
        <v>ENTITYFLG_RQST_EMRGNCY_FNDNG</v>
      </c>
    </row>
    <row r="615" spans="1:11" hidden="1">
      <c r="A615" s="166" t="s">
        <v>2664</v>
      </c>
      <c r="B615" s="166" t="s">
        <v>2665</v>
      </c>
      <c r="C615" s="166" t="s">
        <v>1354</v>
      </c>
      <c r="D615" s="166" t="s">
        <v>493</v>
      </c>
      <c r="E615" s="166" t="s">
        <v>1531</v>
      </c>
      <c r="F615" s="166" t="s">
        <v>2660</v>
      </c>
      <c r="G615" s="166" t="s">
        <v>129</v>
      </c>
      <c r="H615" s="166">
        <v>1140750</v>
      </c>
      <c r="I615" s="166">
        <v>0</v>
      </c>
      <c r="J615" s="166">
        <v>0</v>
      </c>
      <c r="K615" s="166" t="str">
        <f t="shared" si="9"/>
        <v>ENTITYRTNG_SCL</v>
      </c>
    </row>
    <row r="616" spans="1:11" hidden="1">
      <c r="A616" s="166" t="s">
        <v>2666</v>
      </c>
      <c r="B616" s="166" t="s">
        <v>2667</v>
      </c>
      <c r="C616" s="166" t="s">
        <v>1354</v>
      </c>
      <c r="D616" s="166" t="s">
        <v>437</v>
      </c>
      <c r="E616" s="166" t="s">
        <v>1127</v>
      </c>
      <c r="F616" s="166" t="s">
        <v>2660</v>
      </c>
      <c r="G616" s="166" t="s">
        <v>129</v>
      </c>
      <c r="H616" s="166">
        <v>1140750</v>
      </c>
      <c r="I616" s="166">
        <v>0</v>
      </c>
      <c r="J616" s="166">
        <v>0</v>
      </c>
      <c r="K616" s="166" t="str">
        <f t="shared" si="9"/>
        <v>ENTITYPD_CRR_RD</v>
      </c>
    </row>
    <row r="617" spans="1:11" hidden="1">
      <c r="A617" s="166" t="s">
        <v>2668</v>
      </c>
      <c r="B617" s="166" t="s">
        <v>2669</v>
      </c>
      <c r="C617" s="166" t="s">
        <v>1354</v>
      </c>
      <c r="D617" s="166" t="s">
        <v>440</v>
      </c>
      <c r="E617" s="166" t="s">
        <v>1127</v>
      </c>
      <c r="F617" s="166" t="s">
        <v>2660</v>
      </c>
      <c r="G617" s="166" t="s">
        <v>129</v>
      </c>
      <c r="H617" s="166">
        <v>1140750</v>
      </c>
      <c r="I617" s="166">
        <v>0</v>
      </c>
      <c r="J617" s="166">
        <v>0</v>
      </c>
      <c r="K617" s="166" t="str">
        <f t="shared" si="9"/>
        <v>ENTITYPD_IFRS9_12M_RD</v>
      </c>
    </row>
    <row r="618" spans="1:11" hidden="1">
      <c r="A618" s="166" t="s">
        <v>2670</v>
      </c>
      <c r="B618" s="166" t="s">
        <v>2671</v>
      </c>
      <c r="C618" s="166" t="s">
        <v>1354</v>
      </c>
      <c r="D618" s="166" t="s">
        <v>442</v>
      </c>
      <c r="E618" s="166" t="s">
        <v>1127</v>
      </c>
      <c r="F618" s="166" t="s">
        <v>2660</v>
      </c>
      <c r="G618" s="166" t="s">
        <v>129</v>
      </c>
      <c r="H618" s="166">
        <v>1140750</v>
      </c>
      <c r="I618" s="166">
        <v>0</v>
      </c>
      <c r="J618" s="166">
        <v>0</v>
      </c>
      <c r="K618" s="166" t="str">
        <f t="shared" si="9"/>
        <v>ENTITYPD_IFRS9_12M_RD_T1</v>
      </c>
    </row>
    <row r="619" spans="1:11" hidden="1">
      <c r="A619" s="166" t="s">
        <v>2672</v>
      </c>
      <c r="B619" s="166" t="s">
        <v>2673</v>
      </c>
      <c r="C619" s="166" t="s">
        <v>1354</v>
      </c>
      <c r="D619" s="166" t="s">
        <v>429</v>
      </c>
      <c r="E619" s="166" t="s">
        <v>1531</v>
      </c>
      <c r="F619" s="166" t="s">
        <v>2660</v>
      </c>
      <c r="G619" s="166" t="s">
        <v>129</v>
      </c>
      <c r="H619" s="166">
        <v>1140750</v>
      </c>
      <c r="I619" s="166">
        <v>0</v>
      </c>
      <c r="J619" s="166">
        <v>0</v>
      </c>
      <c r="K619" s="166" t="str">
        <f t="shared" si="9"/>
        <v>ENTITYOSI_ID</v>
      </c>
    </row>
    <row r="620" spans="1:11" hidden="1">
      <c r="A620" s="166" t="s">
        <v>2674</v>
      </c>
      <c r="B620" s="166" t="s">
        <v>2675</v>
      </c>
      <c r="C620" s="166" t="s">
        <v>1354</v>
      </c>
      <c r="D620" s="166" t="s">
        <v>438</v>
      </c>
      <c r="E620" s="166" t="s">
        <v>1127</v>
      </c>
      <c r="F620" s="166" t="s">
        <v>2660</v>
      </c>
      <c r="G620" s="166" t="s">
        <v>129</v>
      </c>
      <c r="H620" s="166">
        <v>1140750</v>
      </c>
      <c r="I620" s="166">
        <v>0</v>
      </c>
      <c r="J620" s="166">
        <v>0</v>
      </c>
      <c r="K620" s="166" t="str">
        <f t="shared" si="9"/>
        <v>ENTITYPD_CRR_RD_T1</v>
      </c>
    </row>
    <row r="621" spans="1:11" hidden="1">
      <c r="A621" s="166" t="s">
        <v>2676</v>
      </c>
      <c r="B621" s="166" t="s">
        <v>2677</v>
      </c>
      <c r="C621" s="166" t="s">
        <v>1354</v>
      </c>
      <c r="D621" s="166" t="s">
        <v>1739</v>
      </c>
      <c r="E621" s="166" t="s">
        <v>1132</v>
      </c>
      <c r="F621" s="166" t="s">
        <v>2660</v>
      </c>
      <c r="G621" s="166" t="s">
        <v>129</v>
      </c>
      <c r="H621" s="166">
        <v>1140750</v>
      </c>
      <c r="I621" s="166">
        <v>0</v>
      </c>
      <c r="J621" s="166">
        <v>0</v>
      </c>
      <c r="K621" s="166" t="str">
        <f t="shared" si="9"/>
        <v>ENTITYNACE_ESG</v>
      </c>
    </row>
    <row r="622" spans="1:11" hidden="1">
      <c r="A622" s="166" t="s">
        <v>2678</v>
      </c>
      <c r="B622" s="166" t="s">
        <v>2679</v>
      </c>
      <c r="C622" s="166" t="s">
        <v>1354</v>
      </c>
      <c r="D622" s="166" t="s">
        <v>1745</v>
      </c>
      <c r="E622" s="166" t="s">
        <v>1127</v>
      </c>
      <c r="F622" s="166" t="s">
        <v>2660</v>
      </c>
      <c r="G622" s="166" t="s">
        <v>129</v>
      </c>
      <c r="H622" s="166">
        <v>1140750</v>
      </c>
      <c r="I622" s="166">
        <v>0</v>
      </c>
      <c r="J622" s="166">
        <v>0</v>
      </c>
      <c r="K622" s="166" t="str">
        <f t="shared" si="9"/>
        <v>ENTITYTXNMY_ELGBL_CAPEX_CCM</v>
      </c>
    </row>
    <row r="623" spans="1:11" hidden="1">
      <c r="A623" s="166" t="s">
        <v>2680</v>
      </c>
      <c r="B623" s="166" t="s">
        <v>2681</v>
      </c>
      <c r="C623" s="166" t="s">
        <v>1354</v>
      </c>
      <c r="D623" s="166" t="s">
        <v>1748</v>
      </c>
      <c r="E623" s="166" t="s">
        <v>1127</v>
      </c>
      <c r="F623" s="166" t="s">
        <v>2660</v>
      </c>
      <c r="G623" s="166" t="s">
        <v>129</v>
      </c>
      <c r="H623" s="166">
        <v>1140750</v>
      </c>
      <c r="I623" s="166">
        <v>0</v>
      </c>
      <c r="J623" s="166">
        <v>0</v>
      </c>
      <c r="K623" s="166" t="str">
        <f t="shared" si="9"/>
        <v>ENTITYTXNMY_ELGBL_TRNVR_CCM</v>
      </c>
    </row>
    <row r="624" spans="1:11" hidden="1">
      <c r="A624" s="166" t="s">
        <v>2682</v>
      </c>
      <c r="B624" s="166" t="s">
        <v>2683</v>
      </c>
      <c r="C624" s="166" t="s">
        <v>1354</v>
      </c>
      <c r="D624" s="166" t="s">
        <v>1751</v>
      </c>
      <c r="E624" s="166" t="s">
        <v>1127</v>
      </c>
      <c r="F624" s="166" t="s">
        <v>2660</v>
      </c>
      <c r="G624" s="166" t="s">
        <v>129</v>
      </c>
      <c r="H624" s="166">
        <v>1140750</v>
      </c>
      <c r="I624" s="166">
        <v>0</v>
      </c>
      <c r="J624" s="166">
        <v>0</v>
      </c>
      <c r="K624" s="166" t="str">
        <f t="shared" si="9"/>
        <v>ENTITYTXNMY_ELGBL_CAPEX_CCA</v>
      </c>
    </row>
    <row r="625" spans="1:11" hidden="1">
      <c r="A625" s="166" t="s">
        <v>2684</v>
      </c>
      <c r="B625" s="166" t="s">
        <v>2685</v>
      </c>
      <c r="C625" s="166" t="s">
        <v>1354</v>
      </c>
      <c r="D625" s="166" t="s">
        <v>1754</v>
      </c>
      <c r="E625" s="166" t="s">
        <v>1127</v>
      </c>
      <c r="F625" s="166" t="s">
        <v>2660</v>
      </c>
      <c r="G625" s="166" t="s">
        <v>129</v>
      </c>
      <c r="H625" s="166">
        <v>1140750</v>
      </c>
      <c r="I625" s="166">
        <v>0</v>
      </c>
      <c r="J625" s="166">
        <v>0</v>
      </c>
      <c r="K625" s="166" t="str">
        <f t="shared" si="9"/>
        <v>ENTITYTXNMY_ELGBL_TRNVR_CCA</v>
      </c>
    </row>
    <row r="626" spans="1:11" hidden="1">
      <c r="A626" s="166" t="s">
        <v>2686</v>
      </c>
      <c r="B626" s="166" t="s">
        <v>2687</v>
      </c>
      <c r="C626" s="166" t="s">
        <v>1354</v>
      </c>
      <c r="D626" s="166" t="s">
        <v>1757</v>
      </c>
      <c r="E626" s="166" t="s">
        <v>1127</v>
      </c>
      <c r="F626" s="166" t="s">
        <v>2660</v>
      </c>
      <c r="G626" s="166" t="s">
        <v>129</v>
      </c>
      <c r="H626" s="166">
        <v>1140750</v>
      </c>
      <c r="I626" s="166">
        <v>0</v>
      </c>
      <c r="J626" s="166">
        <v>0</v>
      </c>
      <c r="K626" s="166" t="str">
        <f t="shared" si="9"/>
        <v>ENTITYENBLNG_CAPEX_CCM</v>
      </c>
    </row>
    <row r="627" spans="1:11" hidden="1">
      <c r="A627" s="166" t="s">
        <v>2688</v>
      </c>
      <c r="B627" s="166" t="s">
        <v>2689</v>
      </c>
      <c r="C627" s="166" t="s">
        <v>1354</v>
      </c>
      <c r="D627" s="166" t="s">
        <v>1760</v>
      </c>
      <c r="E627" s="166" t="s">
        <v>1127</v>
      </c>
      <c r="F627" s="166" t="s">
        <v>2660</v>
      </c>
      <c r="G627" s="166" t="s">
        <v>129</v>
      </c>
      <c r="H627" s="166">
        <v>1140750</v>
      </c>
      <c r="I627" s="166">
        <v>0</v>
      </c>
      <c r="J627" s="166">
        <v>0</v>
      </c>
      <c r="K627" s="166" t="str">
        <f t="shared" si="9"/>
        <v>ENTITYENBLNG_CAPEX_CCA</v>
      </c>
    </row>
    <row r="628" spans="1:11" hidden="1">
      <c r="A628" s="166" t="s">
        <v>2690</v>
      </c>
      <c r="B628" s="166" t="s">
        <v>2691</v>
      </c>
      <c r="C628" s="166" t="s">
        <v>1354</v>
      </c>
      <c r="D628" s="166" t="s">
        <v>1763</v>
      </c>
      <c r="E628" s="166" t="s">
        <v>1127</v>
      </c>
      <c r="F628" s="166" t="s">
        <v>2660</v>
      </c>
      <c r="G628" s="166" t="s">
        <v>129</v>
      </c>
      <c r="H628" s="166">
        <v>1140750</v>
      </c>
      <c r="I628" s="166">
        <v>0</v>
      </c>
      <c r="J628" s="166">
        <v>0</v>
      </c>
      <c r="K628" s="166" t="str">
        <f t="shared" si="9"/>
        <v>ENTITYTRNSTNL_CAPEX</v>
      </c>
    </row>
    <row r="629" spans="1:11" hidden="1">
      <c r="A629" s="166" t="s">
        <v>2692</v>
      </c>
      <c r="B629" s="166" t="s">
        <v>2693</v>
      </c>
      <c r="C629" s="166" t="s">
        <v>1354</v>
      </c>
      <c r="D629" s="166" t="s">
        <v>1766</v>
      </c>
      <c r="E629" s="166" t="s">
        <v>1127</v>
      </c>
      <c r="F629" s="166" t="s">
        <v>2660</v>
      </c>
      <c r="G629" s="166" t="s">
        <v>129</v>
      </c>
      <c r="H629" s="166">
        <v>1140750</v>
      </c>
      <c r="I629" s="166">
        <v>0</v>
      </c>
      <c r="J629" s="166">
        <v>0</v>
      </c>
      <c r="K629" s="166" t="str">
        <f t="shared" si="9"/>
        <v>ENTITYPURE_CAPEX_CCM</v>
      </c>
    </row>
    <row r="630" spans="1:11" hidden="1">
      <c r="A630" s="166" t="s">
        <v>2694</v>
      </c>
      <c r="B630" s="166" t="s">
        <v>2695</v>
      </c>
      <c r="C630" s="166" t="s">
        <v>1354</v>
      </c>
      <c r="D630" s="166" t="s">
        <v>1769</v>
      </c>
      <c r="E630" s="166" t="s">
        <v>1127</v>
      </c>
      <c r="F630" s="166" t="s">
        <v>2660</v>
      </c>
      <c r="G630" s="166" t="s">
        <v>129</v>
      </c>
      <c r="H630" s="166">
        <v>1140750</v>
      </c>
      <c r="I630" s="166">
        <v>0</v>
      </c>
      <c r="J630" s="166">
        <v>0</v>
      </c>
      <c r="K630" s="166" t="str">
        <f t="shared" si="9"/>
        <v>ENTITYPURE_CAPEX_CCA</v>
      </c>
    </row>
    <row r="631" spans="1:11" hidden="1">
      <c r="A631" s="166" t="s">
        <v>2696</v>
      </c>
      <c r="B631" s="166" t="s">
        <v>2697</v>
      </c>
      <c r="C631" s="166" t="s">
        <v>1354</v>
      </c>
      <c r="D631" s="166" t="s">
        <v>1772</v>
      </c>
      <c r="E631" s="166" t="s">
        <v>1127</v>
      </c>
      <c r="F631" s="166" t="s">
        <v>2660</v>
      </c>
      <c r="G631" s="166" t="s">
        <v>129</v>
      </c>
      <c r="H631" s="166">
        <v>1140750</v>
      </c>
      <c r="I631" s="166">
        <v>0</v>
      </c>
      <c r="J631" s="166">
        <v>0</v>
      </c>
      <c r="K631" s="166" t="str">
        <f t="shared" si="9"/>
        <v>ENTITYENBLNG_TRNVR_CCM</v>
      </c>
    </row>
    <row r="632" spans="1:11" hidden="1">
      <c r="A632" s="166" t="s">
        <v>2698</v>
      </c>
      <c r="B632" s="166" t="s">
        <v>2699</v>
      </c>
      <c r="C632" s="166" t="s">
        <v>1354</v>
      </c>
      <c r="D632" s="166" t="s">
        <v>1775</v>
      </c>
      <c r="E632" s="166" t="s">
        <v>1127</v>
      </c>
      <c r="F632" s="166" t="s">
        <v>2660</v>
      </c>
      <c r="G632" s="166" t="s">
        <v>129</v>
      </c>
      <c r="H632" s="166">
        <v>1140750</v>
      </c>
      <c r="I632" s="166">
        <v>0</v>
      </c>
      <c r="J632" s="166">
        <v>0</v>
      </c>
      <c r="K632" s="166" t="str">
        <f t="shared" si="9"/>
        <v>ENTITYENBLNG_TRNVR_CCA</v>
      </c>
    </row>
    <row r="633" spans="1:11" hidden="1">
      <c r="A633" s="166" t="s">
        <v>2700</v>
      </c>
      <c r="B633" s="166" t="s">
        <v>2701</v>
      </c>
      <c r="C633" s="166" t="s">
        <v>1354</v>
      </c>
      <c r="D633" s="166" t="s">
        <v>1778</v>
      </c>
      <c r="E633" s="166" t="s">
        <v>1127</v>
      </c>
      <c r="F633" s="166" t="s">
        <v>2660</v>
      </c>
      <c r="G633" s="166" t="s">
        <v>129</v>
      </c>
      <c r="H633" s="166">
        <v>1140750</v>
      </c>
      <c r="I633" s="166">
        <v>0</v>
      </c>
      <c r="J633" s="166">
        <v>0</v>
      </c>
      <c r="K633" s="166" t="str">
        <f t="shared" si="9"/>
        <v>ENTITYTRNSTNL_TRNVR</v>
      </c>
    </row>
    <row r="634" spans="1:11" hidden="1">
      <c r="A634" s="166" t="s">
        <v>2702</v>
      </c>
      <c r="B634" s="166" t="s">
        <v>2703</v>
      </c>
      <c r="C634" s="166" t="s">
        <v>1354</v>
      </c>
      <c r="D634" s="166" t="s">
        <v>1781</v>
      </c>
      <c r="E634" s="166" t="s">
        <v>1127</v>
      </c>
      <c r="F634" s="166" t="s">
        <v>2660</v>
      </c>
      <c r="G634" s="166" t="s">
        <v>129</v>
      </c>
      <c r="H634" s="166">
        <v>1140750</v>
      </c>
      <c r="I634" s="166">
        <v>0</v>
      </c>
      <c r="J634" s="166">
        <v>0</v>
      </c>
      <c r="K634" s="166" t="str">
        <f t="shared" si="9"/>
        <v>ENTITYPURE_TRNVR_CCM</v>
      </c>
    </row>
    <row r="635" spans="1:11" hidden="1">
      <c r="A635" s="166" t="s">
        <v>2704</v>
      </c>
      <c r="B635" s="166" t="s">
        <v>2705</v>
      </c>
      <c r="C635" s="166" t="s">
        <v>1354</v>
      </c>
      <c r="D635" s="166" t="s">
        <v>1784</v>
      </c>
      <c r="E635" s="166" t="s">
        <v>1127</v>
      </c>
      <c r="F635" s="166" t="s">
        <v>2660</v>
      </c>
      <c r="G635" s="166" t="s">
        <v>129</v>
      </c>
      <c r="H635" s="166">
        <v>1140750</v>
      </c>
      <c r="I635" s="166">
        <v>0</v>
      </c>
      <c r="J635" s="166">
        <v>0</v>
      </c>
      <c r="K635" s="166" t="str">
        <f t="shared" si="9"/>
        <v>ENTITYPURE_TRNVR_CCA</v>
      </c>
    </row>
    <row r="636" spans="1:11" hidden="1">
      <c r="A636" s="166" t="s">
        <v>2706</v>
      </c>
      <c r="B636" s="166" t="s">
        <v>2707</v>
      </c>
      <c r="C636" s="166" t="s">
        <v>139</v>
      </c>
      <c r="D636" s="166" t="s">
        <v>1799</v>
      </c>
      <c r="E636" s="166" t="s">
        <v>1127</v>
      </c>
      <c r="F636" s="166" t="s">
        <v>2660</v>
      </c>
      <c r="G636" s="166" t="s">
        <v>129</v>
      </c>
      <c r="H636" s="166">
        <v>1140750</v>
      </c>
      <c r="I636" s="166">
        <v>0</v>
      </c>
      <c r="J636" s="166">
        <v>0</v>
      </c>
      <c r="K636" s="166" t="str">
        <f t="shared" si="9"/>
        <v>ENTITYCNTRPRTY_EMSSNS_SCP1</v>
      </c>
    </row>
    <row r="637" spans="1:11" hidden="1">
      <c r="A637" s="166" t="s">
        <v>2708</v>
      </c>
      <c r="B637" s="166" t="s">
        <v>2709</v>
      </c>
      <c r="C637" s="166" t="s">
        <v>139</v>
      </c>
      <c r="D637" s="166" t="s">
        <v>1802</v>
      </c>
      <c r="E637" s="166" t="s">
        <v>1127</v>
      </c>
      <c r="F637" s="166" t="s">
        <v>2660</v>
      </c>
      <c r="G637" s="166" t="s">
        <v>129</v>
      </c>
      <c r="H637" s="166">
        <v>1140750</v>
      </c>
      <c r="I637" s="166">
        <v>0</v>
      </c>
      <c r="J637" s="166">
        <v>0</v>
      </c>
      <c r="K637" s="166" t="str">
        <f t="shared" si="9"/>
        <v>ENTITYCNTRPRTY_EMSSNS_SCP2</v>
      </c>
    </row>
    <row r="638" spans="1:11" hidden="1">
      <c r="A638" s="166" t="s">
        <v>2710</v>
      </c>
      <c r="B638" s="166" t="s">
        <v>2711</v>
      </c>
      <c r="C638" s="166" t="s">
        <v>139</v>
      </c>
      <c r="D638" s="166" t="s">
        <v>1805</v>
      </c>
      <c r="E638" s="166" t="s">
        <v>1127</v>
      </c>
      <c r="F638" s="166" t="s">
        <v>2660</v>
      </c>
      <c r="G638" s="166" t="s">
        <v>129</v>
      </c>
      <c r="H638" s="166">
        <v>1140750</v>
      </c>
      <c r="I638" s="166">
        <v>0</v>
      </c>
      <c r="J638" s="166">
        <v>0</v>
      </c>
      <c r="K638" s="166" t="str">
        <f t="shared" si="9"/>
        <v>ENTITYCNTRPRTY_EMSSNS_SCP3</v>
      </c>
    </row>
    <row r="639" spans="1:11" hidden="1">
      <c r="A639" s="166" t="s">
        <v>2712</v>
      </c>
      <c r="B639" s="166" t="s">
        <v>2713</v>
      </c>
      <c r="C639" s="166" t="s">
        <v>139</v>
      </c>
      <c r="D639" s="166" t="s">
        <v>1810</v>
      </c>
      <c r="E639" s="166" t="s">
        <v>1127</v>
      </c>
      <c r="F639" s="166" t="s">
        <v>2660</v>
      </c>
      <c r="G639" s="166" t="s">
        <v>129</v>
      </c>
      <c r="H639" s="166">
        <v>1140750</v>
      </c>
      <c r="I639" s="166">
        <v>0</v>
      </c>
      <c r="J639" s="166">
        <v>0</v>
      </c>
      <c r="K639" s="166" t="str">
        <f t="shared" si="9"/>
        <v>ENTITYGRP_EMSSNS_SCP1</v>
      </c>
    </row>
    <row r="640" spans="1:11" hidden="1">
      <c r="A640" s="166" t="s">
        <v>2714</v>
      </c>
      <c r="B640" s="166" t="s">
        <v>2715</v>
      </c>
      <c r="C640" s="166" t="s">
        <v>139</v>
      </c>
      <c r="D640" s="166" t="s">
        <v>1813</v>
      </c>
      <c r="E640" s="166" t="s">
        <v>1127</v>
      </c>
      <c r="F640" s="166" t="s">
        <v>2660</v>
      </c>
      <c r="G640" s="166" t="s">
        <v>129</v>
      </c>
      <c r="H640" s="166">
        <v>1140750</v>
      </c>
      <c r="I640" s="166">
        <v>0</v>
      </c>
      <c r="J640" s="166">
        <v>0</v>
      </c>
      <c r="K640" s="166" t="str">
        <f t="shared" si="9"/>
        <v>ENTITYGRP_EMSSNS_SCP2</v>
      </c>
    </row>
    <row r="641" spans="1:11" hidden="1">
      <c r="A641" s="166" t="s">
        <v>2716</v>
      </c>
      <c r="B641" s="166" t="s">
        <v>2717</v>
      </c>
      <c r="C641" s="166" t="s">
        <v>139</v>
      </c>
      <c r="D641" s="166" t="s">
        <v>1816</v>
      </c>
      <c r="E641" s="166" t="s">
        <v>1127</v>
      </c>
      <c r="F641" s="166" t="s">
        <v>2660</v>
      </c>
      <c r="G641" s="166" t="s">
        <v>129</v>
      </c>
      <c r="H641" s="166">
        <v>1140750</v>
      </c>
      <c r="I641" s="166">
        <v>0</v>
      </c>
      <c r="J641" s="166">
        <v>0</v>
      </c>
      <c r="K641" s="166" t="str">
        <f t="shared" si="9"/>
        <v>ENTITYGRP_EMSSNS_SCP3</v>
      </c>
    </row>
    <row r="642" spans="1:11" hidden="1">
      <c r="A642" s="166" t="s">
        <v>2718</v>
      </c>
      <c r="B642" s="166" t="s">
        <v>2719</v>
      </c>
      <c r="C642" s="166" t="s">
        <v>139</v>
      </c>
      <c r="D642" s="166" t="s">
        <v>547</v>
      </c>
      <c r="E642" s="166" t="s">
        <v>1127</v>
      </c>
      <c r="F642" s="166" t="s">
        <v>2660</v>
      </c>
      <c r="G642" s="166" t="s">
        <v>129</v>
      </c>
      <c r="H642" s="166">
        <v>1140750</v>
      </c>
      <c r="I642" s="166">
        <v>0</v>
      </c>
      <c r="J642" s="166">
        <v>0</v>
      </c>
      <c r="K642" s="166" t="str">
        <f t="shared" si="9"/>
        <v>ENTITYNMBR_EMPLYS</v>
      </c>
    </row>
    <row r="643" spans="1:11" hidden="1">
      <c r="A643" s="166" t="s">
        <v>2720</v>
      </c>
      <c r="B643" s="166" t="s">
        <v>2721</v>
      </c>
      <c r="C643" s="166" t="s">
        <v>1354</v>
      </c>
      <c r="D643" s="166" t="s">
        <v>1860</v>
      </c>
      <c r="E643" s="166" t="s">
        <v>1127</v>
      </c>
      <c r="F643" s="166" t="s">
        <v>2660</v>
      </c>
      <c r="G643" s="166" t="s">
        <v>129</v>
      </c>
      <c r="H643" s="166">
        <v>1140750</v>
      </c>
      <c r="I643" s="166">
        <v>0</v>
      </c>
      <c r="J643" s="166">
        <v>0</v>
      </c>
      <c r="K643" s="166" t="str">
        <f t="shared" ref="K643:K706" si="10">_xlfn.CONCAT(_xlfn.IFS(ISNUMBER(SEARCH("EN",A643)),"ENTITY",ISNUMBER(SEARCH("IN",A643)),"INSTRUMENT",ISNUMBER(SEARCH("PR",A643)),"PROTECTION",ISNUMBER(SEARCH("IP",A643)),"INSTR_PROTECTION",ISNUMBER(SEARCH("IE",A643)),"INSTR_ENTITY",ISNUMBER(SEARCH("AC",A643)),"INSTR_ACTIVITY"),D643)</f>
        <v>ENTITYTXNMY_ELGBL_CAPEX_W</v>
      </c>
    </row>
    <row r="644" spans="1:11" hidden="1">
      <c r="A644" s="166" t="s">
        <v>2722</v>
      </c>
      <c r="B644" s="166" t="s">
        <v>2723</v>
      </c>
      <c r="C644" s="166" t="s">
        <v>1354</v>
      </c>
      <c r="D644" s="166" t="s">
        <v>1863</v>
      </c>
      <c r="E644" s="166" t="s">
        <v>1127</v>
      </c>
      <c r="F644" s="166" t="s">
        <v>2660</v>
      </c>
      <c r="G644" s="166" t="s">
        <v>129</v>
      </c>
      <c r="H644" s="166">
        <v>1140750</v>
      </c>
      <c r="I644" s="166">
        <v>0</v>
      </c>
      <c r="J644" s="166">
        <v>0</v>
      </c>
      <c r="K644" s="166" t="str">
        <f t="shared" si="10"/>
        <v>ENTITYTXNMY_ELGBL_TRNVR_W</v>
      </c>
    </row>
    <row r="645" spans="1:11" hidden="1">
      <c r="A645" s="166" t="s">
        <v>2724</v>
      </c>
      <c r="B645" s="166" t="s">
        <v>2725</v>
      </c>
      <c r="C645" s="166" t="s">
        <v>1354</v>
      </c>
      <c r="D645" s="166" t="s">
        <v>1866</v>
      </c>
      <c r="E645" s="166" t="s">
        <v>1127</v>
      </c>
      <c r="F645" s="166" t="s">
        <v>2660</v>
      </c>
      <c r="G645" s="166" t="s">
        <v>129</v>
      </c>
      <c r="H645" s="166">
        <v>1140750</v>
      </c>
      <c r="I645" s="166">
        <v>0</v>
      </c>
      <c r="J645" s="166">
        <v>0</v>
      </c>
      <c r="K645" s="166" t="str">
        <f t="shared" si="10"/>
        <v>ENTITYTXNMY_ELGBL_CAPEX_P</v>
      </c>
    </row>
    <row r="646" spans="1:11" hidden="1">
      <c r="A646" s="166" t="s">
        <v>2726</v>
      </c>
      <c r="B646" s="166" t="s">
        <v>2727</v>
      </c>
      <c r="C646" s="166" t="s">
        <v>1354</v>
      </c>
      <c r="D646" s="166" t="s">
        <v>1869</v>
      </c>
      <c r="E646" s="166" t="s">
        <v>1127</v>
      </c>
      <c r="F646" s="166" t="s">
        <v>2660</v>
      </c>
      <c r="G646" s="166" t="s">
        <v>129</v>
      </c>
      <c r="H646" s="166">
        <v>1140750</v>
      </c>
      <c r="I646" s="166">
        <v>0</v>
      </c>
      <c r="J646" s="166">
        <v>0</v>
      </c>
      <c r="K646" s="166" t="str">
        <f t="shared" si="10"/>
        <v>ENTITYTXNMY_ELGBL_TRNVR_P</v>
      </c>
    </row>
    <row r="647" spans="1:11" hidden="1">
      <c r="A647" s="166" t="s">
        <v>2728</v>
      </c>
      <c r="B647" s="166" t="s">
        <v>2729</v>
      </c>
      <c r="C647" s="166" t="s">
        <v>1354</v>
      </c>
      <c r="D647" s="166" t="s">
        <v>1872</v>
      </c>
      <c r="E647" s="166" t="s">
        <v>1127</v>
      </c>
      <c r="F647" s="166" t="s">
        <v>2660</v>
      </c>
      <c r="G647" s="166" t="s">
        <v>129</v>
      </c>
      <c r="H647" s="166">
        <v>1140750</v>
      </c>
      <c r="I647" s="166">
        <v>0</v>
      </c>
      <c r="J647" s="166">
        <v>0</v>
      </c>
      <c r="K647" s="166" t="str">
        <f t="shared" si="10"/>
        <v>ENTITYTXNMY_ELGBL_CAPEX_B</v>
      </c>
    </row>
    <row r="648" spans="1:11" hidden="1">
      <c r="A648" s="166" t="s">
        <v>2730</v>
      </c>
      <c r="B648" s="166" t="s">
        <v>2731</v>
      </c>
      <c r="C648" s="166" t="s">
        <v>1354</v>
      </c>
      <c r="D648" s="166" t="s">
        <v>1875</v>
      </c>
      <c r="E648" s="166" t="s">
        <v>1127</v>
      </c>
      <c r="F648" s="166" t="s">
        <v>2660</v>
      </c>
      <c r="G648" s="166" t="s">
        <v>129</v>
      </c>
      <c r="H648" s="166">
        <v>1140750</v>
      </c>
      <c r="I648" s="166">
        <v>0</v>
      </c>
      <c r="J648" s="166">
        <v>0</v>
      </c>
      <c r="K648" s="166" t="str">
        <f t="shared" si="10"/>
        <v>ENTITYTXNMY_ELGBL_TRNVR_B</v>
      </c>
    </row>
    <row r="649" spans="1:11" hidden="1">
      <c r="A649" s="166" t="s">
        <v>2732</v>
      </c>
      <c r="B649" s="166" t="s">
        <v>2733</v>
      </c>
      <c r="C649" s="166" t="s">
        <v>1354</v>
      </c>
      <c r="D649" s="166" t="s">
        <v>1878</v>
      </c>
      <c r="E649" s="166" t="s">
        <v>1127</v>
      </c>
      <c r="F649" s="166" t="s">
        <v>2660</v>
      </c>
      <c r="G649" s="166" t="s">
        <v>129</v>
      </c>
      <c r="H649" s="166">
        <v>1140750</v>
      </c>
      <c r="I649" s="166">
        <v>0</v>
      </c>
      <c r="J649" s="166">
        <v>0</v>
      </c>
      <c r="K649" s="166" t="str">
        <f t="shared" si="10"/>
        <v>ENTITYTXNMY_ELGBL_CAPEX_CE</v>
      </c>
    </row>
    <row r="650" spans="1:11" hidden="1">
      <c r="A650" s="166" t="s">
        <v>2734</v>
      </c>
      <c r="B650" s="166" t="s">
        <v>2735</v>
      </c>
      <c r="C650" s="166" t="s">
        <v>1354</v>
      </c>
      <c r="D650" s="166" t="s">
        <v>1881</v>
      </c>
      <c r="E650" s="166" t="s">
        <v>1127</v>
      </c>
      <c r="F650" s="166" t="s">
        <v>2660</v>
      </c>
      <c r="G650" s="166" t="s">
        <v>129</v>
      </c>
      <c r="H650" s="166">
        <v>1140750</v>
      </c>
      <c r="I650" s="166">
        <v>0</v>
      </c>
      <c r="J650" s="166">
        <v>0</v>
      </c>
      <c r="K650" s="166" t="str">
        <f t="shared" si="10"/>
        <v>ENTITYTXNMY_ELGBL_TRNVR_CE</v>
      </c>
    </row>
    <row r="651" spans="1:11" hidden="1">
      <c r="A651" s="166" t="s">
        <v>2736</v>
      </c>
      <c r="B651" s="166" t="s">
        <v>2737</v>
      </c>
      <c r="C651" s="166" t="s">
        <v>1354</v>
      </c>
      <c r="D651" s="166" t="s">
        <v>1884</v>
      </c>
      <c r="E651" s="166" t="s">
        <v>1127</v>
      </c>
      <c r="F651" s="166" t="s">
        <v>2660</v>
      </c>
      <c r="G651" s="166" t="s">
        <v>129</v>
      </c>
      <c r="H651" s="166">
        <v>1140750</v>
      </c>
      <c r="I651" s="166">
        <v>0</v>
      </c>
      <c r="J651" s="166">
        <v>0</v>
      </c>
      <c r="K651" s="166" t="str">
        <f t="shared" si="10"/>
        <v>ENTITYPURE_CAPEX_P</v>
      </c>
    </row>
    <row r="652" spans="1:11" hidden="1">
      <c r="A652" s="166" t="s">
        <v>2738</v>
      </c>
      <c r="B652" s="166" t="s">
        <v>2739</v>
      </c>
      <c r="C652" s="166" t="s">
        <v>1354</v>
      </c>
      <c r="D652" s="166" t="s">
        <v>1887</v>
      </c>
      <c r="E652" s="166" t="s">
        <v>1127</v>
      </c>
      <c r="F652" s="166" t="s">
        <v>2660</v>
      </c>
      <c r="G652" s="166" t="s">
        <v>129</v>
      </c>
      <c r="H652" s="166">
        <v>1140750</v>
      </c>
      <c r="I652" s="166">
        <v>0</v>
      </c>
      <c r="J652" s="166">
        <v>0</v>
      </c>
      <c r="K652" s="166" t="str">
        <f t="shared" si="10"/>
        <v>ENTITYPURE_TRNVR_P</v>
      </c>
    </row>
    <row r="653" spans="1:11" hidden="1">
      <c r="A653" s="166" t="s">
        <v>2740</v>
      </c>
      <c r="B653" s="166" t="s">
        <v>2741</v>
      </c>
      <c r="C653" s="166" t="s">
        <v>1354</v>
      </c>
      <c r="D653" s="166" t="s">
        <v>1890</v>
      </c>
      <c r="E653" s="166" t="s">
        <v>1127</v>
      </c>
      <c r="F653" s="166" t="s">
        <v>2660</v>
      </c>
      <c r="G653" s="166" t="s">
        <v>129</v>
      </c>
      <c r="H653" s="166">
        <v>1140750</v>
      </c>
      <c r="I653" s="166">
        <v>0</v>
      </c>
      <c r="J653" s="166">
        <v>0</v>
      </c>
      <c r="K653" s="166" t="str">
        <f t="shared" si="10"/>
        <v>ENTITYPURE_CAPEX_B</v>
      </c>
    </row>
    <row r="654" spans="1:11" hidden="1">
      <c r="A654" s="166" t="s">
        <v>2742</v>
      </c>
      <c r="B654" s="166" t="s">
        <v>2743</v>
      </c>
      <c r="C654" s="166" t="s">
        <v>1354</v>
      </c>
      <c r="D654" s="166" t="s">
        <v>1893</v>
      </c>
      <c r="E654" s="166" t="s">
        <v>1127</v>
      </c>
      <c r="F654" s="166" t="s">
        <v>2660</v>
      </c>
      <c r="G654" s="166" t="s">
        <v>129</v>
      </c>
      <c r="H654" s="166">
        <v>1140750</v>
      </c>
      <c r="I654" s="166">
        <v>0</v>
      </c>
      <c r="J654" s="166">
        <v>0</v>
      </c>
      <c r="K654" s="166" t="str">
        <f t="shared" si="10"/>
        <v>ENTITYPURE_TRNVR_B</v>
      </c>
    </row>
    <row r="655" spans="1:11" hidden="1">
      <c r="A655" s="166" t="s">
        <v>2744</v>
      </c>
      <c r="B655" s="166" t="s">
        <v>2745</v>
      </c>
      <c r="C655" s="166" t="s">
        <v>1354</v>
      </c>
      <c r="D655" s="166" t="s">
        <v>1896</v>
      </c>
      <c r="E655" s="166" t="s">
        <v>1127</v>
      </c>
      <c r="F655" s="166" t="s">
        <v>2660</v>
      </c>
      <c r="G655" s="166" t="s">
        <v>129</v>
      </c>
      <c r="H655" s="166">
        <v>1140750</v>
      </c>
      <c r="I655" s="166">
        <v>0</v>
      </c>
      <c r="J655" s="166">
        <v>0</v>
      </c>
      <c r="K655" s="166" t="str">
        <f t="shared" si="10"/>
        <v>ENTITYPURE_CAPEX_W</v>
      </c>
    </row>
    <row r="656" spans="1:11" hidden="1">
      <c r="A656" s="166" t="s">
        <v>2746</v>
      </c>
      <c r="B656" s="166" t="s">
        <v>2747</v>
      </c>
      <c r="C656" s="166" t="s">
        <v>1354</v>
      </c>
      <c r="D656" s="166" t="s">
        <v>1899</v>
      </c>
      <c r="E656" s="166" t="s">
        <v>1127</v>
      </c>
      <c r="F656" s="166" t="s">
        <v>2660</v>
      </c>
      <c r="G656" s="166" t="s">
        <v>129</v>
      </c>
      <c r="H656" s="166">
        <v>1140750</v>
      </c>
      <c r="I656" s="166">
        <v>0</v>
      </c>
      <c r="J656" s="166">
        <v>0</v>
      </c>
      <c r="K656" s="166" t="str">
        <f t="shared" si="10"/>
        <v>ENTITYPURE_TRNVR_W</v>
      </c>
    </row>
    <row r="657" spans="1:11" hidden="1">
      <c r="A657" s="166" t="s">
        <v>2748</v>
      </c>
      <c r="B657" s="166" t="s">
        <v>2749</v>
      </c>
      <c r="C657" s="166" t="s">
        <v>1354</v>
      </c>
      <c r="D657" s="166" t="s">
        <v>1902</v>
      </c>
      <c r="E657" s="166" t="s">
        <v>1127</v>
      </c>
      <c r="F657" s="166" t="s">
        <v>2660</v>
      </c>
      <c r="G657" s="166" t="s">
        <v>129</v>
      </c>
      <c r="H657" s="166">
        <v>1140750</v>
      </c>
      <c r="I657" s="166">
        <v>0</v>
      </c>
      <c r="J657" s="166">
        <v>0</v>
      </c>
      <c r="K657" s="166" t="str">
        <f t="shared" si="10"/>
        <v>ENTITYPURE_CAPEX_CE</v>
      </c>
    </row>
    <row r="658" spans="1:11" hidden="1">
      <c r="A658" s="166" t="s">
        <v>2750</v>
      </c>
      <c r="B658" s="166" t="s">
        <v>2751</v>
      </c>
      <c r="C658" s="166" t="s">
        <v>1354</v>
      </c>
      <c r="D658" s="166" t="s">
        <v>1905</v>
      </c>
      <c r="E658" s="166" t="s">
        <v>1127</v>
      </c>
      <c r="F658" s="166" t="s">
        <v>2660</v>
      </c>
      <c r="G658" s="166" t="s">
        <v>129</v>
      </c>
      <c r="H658" s="166">
        <v>1140750</v>
      </c>
      <c r="I658" s="166">
        <v>0</v>
      </c>
      <c r="J658" s="166">
        <v>0</v>
      </c>
      <c r="K658" s="166" t="str">
        <f t="shared" si="10"/>
        <v>ENTITYPURE_TRNVR_CE</v>
      </c>
    </row>
    <row r="659" spans="1:11" hidden="1">
      <c r="A659" s="166" t="s">
        <v>2752</v>
      </c>
      <c r="B659" s="166" t="s">
        <v>2753</v>
      </c>
      <c r="C659" s="166" t="s">
        <v>1354</v>
      </c>
      <c r="D659" s="166" t="s">
        <v>1908</v>
      </c>
      <c r="E659" s="166" t="s">
        <v>1127</v>
      </c>
      <c r="F659" s="166" t="s">
        <v>2660</v>
      </c>
      <c r="G659" s="166" t="s">
        <v>129</v>
      </c>
      <c r="H659" s="166">
        <v>1140750</v>
      </c>
      <c r="I659" s="166">
        <v>0</v>
      </c>
      <c r="J659" s="166">
        <v>0</v>
      </c>
      <c r="K659" s="166" t="str">
        <f t="shared" si="10"/>
        <v>ENTITYENBLNG_CAPEX_W</v>
      </c>
    </row>
    <row r="660" spans="1:11" hidden="1">
      <c r="A660" s="166" t="s">
        <v>2754</v>
      </c>
      <c r="B660" s="166" t="s">
        <v>2755</v>
      </c>
      <c r="C660" s="166" t="s">
        <v>1354</v>
      </c>
      <c r="D660" s="166" t="s">
        <v>1911</v>
      </c>
      <c r="E660" s="166" t="s">
        <v>1127</v>
      </c>
      <c r="F660" s="166" t="s">
        <v>2660</v>
      </c>
      <c r="G660" s="166" t="s">
        <v>129</v>
      </c>
      <c r="H660" s="166">
        <v>1140750</v>
      </c>
      <c r="I660" s="166">
        <v>0</v>
      </c>
      <c r="J660" s="166">
        <v>0</v>
      </c>
      <c r="K660" s="166" t="str">
        <f t="shared" si="10"/>
        <v>ENTITYENBLNG_TRNVR_W</v>
      </c>
    </row>
    <row r="661" spans="1:11" hidden="1">
      <c r="A661" s="166" t="s">
        <v>2756</v>
      </c>
      <c r="B661" s="166" t="s">
        <v>2757</v>
      </c>
      <c r="C661" s="166" t="s">
        <v>1354</v>
      </c>
      <c r="D661" s="166" t="s">
        <v>1914</v>
      </c>
      <c r="E661" s="166" t="s">
        <v>1127</v>
      </c>
      <c r="F661" s="166" t="s">
        <v>2660</v>
      </c>
      <c r="G661" s="166" t="s">
        <v>129</v>
      </c>
      <c r="H661" s="166">
        <v>1140750</v>
      </c>
      <c r="I661" s="166">
        <v>0</v>
      </c>
      <c r="J661" s="166">
        <v>0</v>
      </c>
      <c r="K661" s="166" t="str">
        <f t="shared" si="10"/>
        <v>ENTITYENBLNG_CAPEX_CE</v>
      </c>
    </row>
    <row r="662" spans="1:11" hidden="1">
      <c r="A662" s="166" t="s">
        <v>2758</v>
      </c>
      <c r="B662" s="166" t="s">
        <v>2759</v>
      </c>
      <c r="C662" s="166" t="s">
        <v>1354</v>
      </c>
      <c r="D662" s="166" t="s">
        <v>1917</v>
      </c>
      <c r="E662" s="166" t="s">
        <v>1127</v>
      </c>
      <c r="F662" s="166" t="s">
        <v>2660</v>
      </c>
      <c r="G662" s="166" t="s">
        <v>129</v>
      </c>
      <c r="H662" s="166">
        <v>1140750</v>
      </c>
      <c r="I662" s="166">
        <v>0</v>
      </c>
      <c r="J662" s="166">
        <v>0</v>
      </c>
      <c r="K662" s="166" t="str">
        <f t="shared" si="10"/>
        <v>ENTITYENBLNG_TRNVR_CE</v>
      </c>
    </row>
    <row r="663" spans="1:11" hidden="1">
      <c r="A663" s="166" t="s">
        <v>2760</v>
      </c>
      <c r="B663" s="166" t="s">
        <v>2761</v>
      </c>
      <c r="C663" s="166" t="s">
        <v>1386</v>
      </c>
      <c r="D663" s="166" t="s">
        <v>283</v>
      </c>
      <c r="E663" s="166" t="s">
        <v>1137</v>
      </c>
      <c r="F663" s="166" t="s">
        <v>2762</v>
      </c>
      <c r="G663" s="166" t="s">
        <v>129</v>
      </c>
      <c r="H663" s="166">
        <v>2655362</v>
      </c>
      <c r="I663" s="166">
        <v>0</v>
      </c>
      <c r="J663" s="166">
        <v>0</v>
      </c>
      <c r="K663" s="166" t="str">
        <f t="shared" si="10"/>
        <v>INSTR_ENTITYDT_RFRNC</v>
      </c>
    </row>
    <row r="664" spans="1:11" hidden="1">
      <c r="A664" s="166" t="s">
        <v>2763</v>
      </c>
      <c r="B664" s="166" t="s">
        <v>2761</v>
      </c>
      <c r="C664" s="166" t="s">
        <v>1392</v>
      </c>
      <c r="D664" s="166" t="s">
        <v>283</v>
      </c>
      <c r="E664" s="166" t="s">
        <v>1137</v>
      </c>
      <c r="F664" s="166" t="s">
        <v>2764</v>
      </c>
      <c r="G664" s="166" t="s">
        <v>129</v>
      </c>
      <c r="H664" s="166">
        <v>2138963</v>
      </c>
      <c r="I664" s="166">
        <v>0</v>
      </c>
      <c r="J664" s="166">
        <v>0</v>
      </c>
      <c r="K664" s="166" t="str">
        <f t="shared" si="10"/>
        <v>INSTRUMENTDT_RFRNC</v>
      </c>
    </row>
    <row r="665" spans="1:11" hidden="1">
      <c r="A665" s="166" t="s">
        <v>2765</v>
      </c>
      <c r="B665" s="166" t="s">
        <v>2766</v>
      </c>
      <c r="C665" s="166" t="s">
        <v>1392</v>
      </c>
      <c r="D665" s="166" t="s">
        <v>311</v>
      </c>
      <c r="E665" s="166" t="s">
        <v>1531</v>
      </c>
      <c r="F665" s="166" t="s">
        <v>2764</v>
      </c>
      <c r="G665" s="166" t="s">
        <v>129</v>
      </c>
      <c r="H665" s="166">
        <v>2138963</v>
      </c>
      <c r="I665" s="166">
        <v>0</v>
      </c>
      <c r="J665" s="166">
        <v>0</v>
      </c>
      <c r="K665" s="166" t="str">
        <f t="shared" si="10"/>
        <v>INSTRUMENTEXPSR_IN_SCP</v>
      </c>
    </row>
    <row r="666" spans="1:11" hidden="1">
      <c r="A666" s="166" t="s">
        <v>2767</v>
      </c>
      <c r="B666" s="166" t="s">
        <v>685</v>
      </c>
      <c r="C666" s="166" t="s">
        <v>1392</v>
      </c>
      <c r="D666" s="166" t="s">
        <v>44</v>
      </c>
      <c r="E666" s="166" t="s">
        <v>1531</v>
      </c>
      <c r="F666" s="166" t="s">
        <v>2764</v>
      </c>
      <c r="G666" s="166" t="s">
        <v>129</v>
      </c>
      <c r="H666" s="166">
        <v>2138963</v>
      </c>
      <c r="I666" s="166">
        <v>0</v>
      </c>
      <c r="J666" s="166">
        <v>0</v>
      </c>
      <c r="K666" s="166" t="str">
        <f t="shared" si="10"/>
        <v>INSTRUMENTIMPRMNT_STTS</v>
      </c>
    </row>
    <row r="667" spans="1:11" hidden="1">
      <c r="A667" s="166" t="s">
        <v>2768</v>
      </c>
      <c r="B667" s="166" t="s">
        <v>2769</v>
      </c>
      <c r="C667" s="166" t="s">
        <v>1392</v>
      </c>
      <c r="D667" s="166" t="s">
        <v>46</v>
      </c>
      <c r="E667" s="166" t="s">
        <v>1531</v>
      </c>
      <c r="F667" s="166" t="s">
        <v>2764</v>
      </c>
      <c r="G667" s="166" t="s">
        <v>129</v>
      </c>
      <c r="H667" s="166">
        <v>2138963</v>
      </c>
      <c r="I667" s="166">
        <v>0</v>
      </c>
      <c r="J667" s="166">
        <v>0</v>
      </c>
      <c r="K667" s="166" t="str">
        <f t="shared" si="10"/>
        <v>INSTRUMENTIMPRMNT_STTS_PRVS</v>
      </c>
    </row>
    <row r="668" spans="1:11" hidden="1">
      <c r="A668" s="166" t="s">
        <v>2770</v>
      </c>
      <c r="B668" s="166" t="s">
        <v>2771</v>
      </c>
      <c r="C668" s="166" t="s">
        <v>1392</v>
      </c>
      <c r="D668" s="166" t="s">
        <v>527</v>
      </c>
      <c r="E668" s="166" t="s">
        <v>1132</v>
      </c>
      <c r="F668" s="166" t="s">
        <v>2764</v>
      </c>
      <c r="G668" s="166" t="s">
        <v>129</v>
      </c>
      <c r="H668" s="166">
        <v>2138963</v>
      </c>
      <c r="I668" s="166">
        <v>0</v>
      </c>
      <c r="J668" s="166">
        <v>0</v>
      </c>
      <c r="K668" s="166" t="str">
        <f t="shared" si="10"/>
        <v>INSTRUMENTTYP_AMRTSTN</v>
      </c>
    </row>
    <row r="669" spans="1:11" hidden="1">
      <c r="A669" s="166" t="s">
        <v>2772</v>
      </c>
      <c r="B669" s="166" t="s">
        <v>2773</v>
      </c>
      <c r="C669" s="166" t="s">
        <v>1392</v>
      </c>
      <c r="D669" s="166" t="s">
        <v>358</v>
      </c>
      <c r="E669" s="166" t="s">
        <v>1127</v>
      </c>
      <c r="F669" s="166" t="s">
        <v>2764</v>
      </c>
      <c r="G669" s="166" t="s">
        <v>129</v>
      </c>
      <c r="H669" s="166">
        <v>2138963</v>
      </c>
      <c r="I669" s="166">
        <v>0</v>
      </c>
      <c r="J669" s="166">
        <v>0</v>
      </c>
      <c r="K669" s="166" t="str">
        <f t="shared" si="10"/>
        <v>INSTRUMENTIFRS9_LGD</v>
      </c>
    </row>
    <row r="670" spans="1:11" hidden="1">
      <c r="A670" s="166" t="s">
        <v>2774</v>
      </c>
      <c r="B670" s="166" t="s">
        <v>2775</v>
      </c>
      <c r="C670" s="166" t="s">
        <v>1392</v>
      </c>
      <c r="D670" s="166" t="s">
        <v>396</v>
      </c>
      <c r="E670" s="166" t="s">
        <v>1127</v>
      </c>
      <c r="F670" s="166" t="s">
        <v>2764</v>
      </c>
      <c r="G670" s="166" t="s">
        <v>129</v>
      </c>
      <c r="H670" s="166">
        <v>2138963</v>
      </c>
      <c r="I670" s="166">
        <v>0</v>
      </c>
      <c r="J670" s="166">
        <v>0</v>
      </c>
      <c r="K670" s="166" t="str">
        <f t="shared" si="10"/>
        <v>INSTRUMENTLGD</v>
      </c>
    </row>
    <row r="671" spans="1:11" hidden="1">
      <c r="A671" s="166" t="s">
        <v>2776</v>
      </c>
      <c r="B671" s="166" t="s">
        <v>2777</v>
      </c>
      <c r="C671" s="166" t="s">
        <v>1392</v>
      </c>
      <c r="D671" s="166" t="s">
        <v>435</v>
      </c>
      <c r="E671" s="166" t="s">
        <v>1127</v>
      </c>
      <c r="F671" s="166" t="s">
        <v>2764</v>
      </c>
      <c r="G671" s="166" t="s">
        <v>129</v>
      </c>
      <c r="H671" s="166">
        <v>2138963</v>
      </c>
      <c r="I671" s="166">
        <v>0</v>
      </c>
      <c r="J671" s="166">
        <v>0</v>
      </c>
      <c r="K671" s="166" t="str">
        <f t="shared" si="10"/>
        <v>INSTRUMENTPD_CRR_INCPTN</v>
      </c>
    </row>
    <row r="672" spans="1:11" hidden="1">
      <c r="A672" s="166" t="s">
        <v>2778</v>
      </c>
      <c r="B672" s="166" t="s">
        <v>2667</v>
      </c>
      <c r="C672" s="166" t="s">
        <v>1392</v>
      </c>
      <c r="D672" s="166" t="s">
        <v>437</v>
      </c>
      <c r="E672" s="166" t="s">
        <v>1127</v>
      </c>
      <c r="F672" s="166" t="s">
        <v>2764</v>
      </c>
      <c r="G672" s="166" t="s">
        <v>129</v>
      </c>
      <c r="H672" s="166">
        <v>2138963</v>
      </c>
      <c r="I672" s="166">
        <v>0</v>
      </c>
      <c r="J672" s="166">
        <v>0</v>
      </c>
      <c r="K672" s="166" t="str">
        <f t="shared" si="10"/>
        <v>INSTRUMENTPD_CRR_RD</v>
      </c>
    </row>
    <row r="673" spans="1:11" hidden="1">
      <c r="A673" s="166" t="s">
        <v>2779</v>
      </c>
      <c r="B673" s="166" t="s">
        <v>2675</v>
      </c>
      <c r="C673" s="166" t="s">
        <v>1392</v>
      </c>
      <c r="D673" s="166" t="s">
        <v>438</v>
      </c>
      <c r="E673" s="166" t="s">
        <v>1127</v>
      </c>
      <c r="F673" s="166" t="s">
        <v>2764</v>
      </c>
      <c r="G673" s="166" t="s">
        <v>129</v>
      </c>
      <c r="H673" s="166">
        <v>2138963</v>
      </c>
      <c r="I673" s="166">
        <v>0</v>
      </c>
      <c r="J673" s="166">
        <v>0</v>
      </c>
      <c r="K673" s="166" t="str">
        <f t="shared" si="10"/>
        <v>INSTRUMENTPD_CRR_RD_T1</v>
      </c>
    </row>
    <row r="674" spans="1:11" hidden="1">
      <c r="A674" s="166" t="s">
        <v>2780</v>
      </c>
      <c r="B674" s="166" t="s">
        <v>2781</v>
      </c>
      <c r="C674" s="166" t="s">
        <v>1392</v>
      </c>
      <c r="D674" s="166" t="s">
        <v>439</v>
      </c>
      <c r="E674" s="166" t="s">
        <v>1127</v>
      </c>
      <c r="F674" s="166" t="s">
        <v>2764</v>
      </c>
      <c r="G674" s="166" t="s">
        <v>129</v>
      </c>
      <c r="H674" s="166">
        <v>2138963</v>
      </c>
      <c r="I674" s="166">
        <v>0</v>
      </c>
      <c r="J674" s="166">
        <v>0</v>
      </c>
      <c r="K674" s="166" t="str">
        <f t="shared" si="10"/>
        <v>INSTRUMENTPD_IFRS9_12M_INCPTN</v>
      </c>
    </row>
    <row r="675" spans="1:11" hidden="1">
      <c r="A675" s="166" t="s">
        <v>2782</v>
      </c>
      <c r="B675" s="166" t="s">
        <v>2669</v>
      </c>
      <c r="C675" s="166" t="s">
        <v>1392</v>
      </c>
      <c r="D675" s="166" t="s">
        <v>440</v>
      </c>
      <c r="E675" s="166" t="s">
        <v>1127</v>
      </c>
      <c r="F675" s="166" t="s">
        <v>2764</v>
      </c>
      <c r="G675" s="166" t="s">
        <v>129</v>
      </c>
      <c r="H675" s="166">
        <v>2138963</v>
      </c>
      <c r="I675" s="166">
        <v>0</v>
      </c>
      <c r="J675" s="166">
        <v>0</v>
      </c>
      <c r="K675" s="166" t="str">
        <f t="shared" si="10"/>
        <v>INSTRUMENTPD_IFRS9_12M_RD</v>
      </c>
    </row>
    <row r="676" spans="1:11" hidden="1">
      <c r="A676" s="166" t="s">
        <v>2783</v>
      </c>
      <c r="B676" s="166" t="s">
        <v>2671</v>
      </c>
      <c r="C676" s="166" t="s">
        <v>1392</v>
      </c>
      <c r="D676" s="166" t="s">
        <v>442</v>
      </c>
      <c r="E676" s="166" t="s">
        <v>1127</v>
      </c>
      <c r="F676" s="166" t="s">
        <v>2764</v>
      </c>
      <c r="G676" s="166" t="s">
        <v>129</v>
      </c>
      <c r="H676" s="166">
        <v>2138963</v>
      </c>
      <c r="I676" s="166">
        <v>0</v>
      </c>
      <c r="J676" s="166">
        <v>0</v>
      </c>
      <c r="K676" s="166" t="str">
        <f t="shared" si="10"/>
        <v>INSTRUMENTPD_IFRS9_12M_RD_T1</v>
      </c>
    </row>
    <row r="677" spans="1:11" hidden="1">
      <c r="A677" s="166" t="s">
        <v>2784</v>
      </c>
      <c r="B677" s="166" t="s">
        <v>2785</v>
      </c>
      <c r="C677" s="166" t="s">
        <v>1392</v>
      </c>
      <c r="D677" s="166" t="s">
        <v>443</v>
      </c>
      <c r="E677" s="166" t="s">
        <v>1127</v>
      </c>
      <c r="F677" s="166" t="s">
        <v>2764</v>
      </c>
      <c r="G677" s="166" t="s">
        <v>129</v>
      </c>
      <c r="H677" s="166">
        <v>2138963</v>
      </c>
      <c r="I677" s="166">
        <v>0</v>
      </c>
      <c r="J677" s="166">
        <v>0</v>
      </c>
      <c r="K677" s="166" t="str">
        <f t="shared" si="10"/>
        <v>INSTRUMENTPD_IFRS9_LFTM_INCPTN</v>
      </c>
    </row>
    <row r="678" spans="1:11" hidden="1">
      <c r="A678" s="166" t="s">
        <v>2786</v>
      </c>
      <c r="B678" s="166" t="s">
        <v>2787</v>
      </c>
      <c r="C678" s="166" t="s">
        <v>1392</v>
      </c>
      <c r="D678" s="166" t="s">
        <v>444</v>
      </c>
      <c r="E678" s="166" t="s">
        <v>1127</v>
      </c>
      <c r="F678" s="166" t="s">
        <v>2764</v>
      </c>
      <c r="G678" s="166" t="s">
        <v>129</v>
      </c>
      <c r="H678" s="166">
        <v>2138963</v>
      </c>
      <c r="I678" s="166">
        <v>0</v>
      </c>
      <c r="J678" s="166">
        <v>0</v>
      </c>
      <c r="K678" s="166" t="str">
        <f t="shared" si="10"/>
        <v>INSTRUMENTPD_IFRS9_RMNNG_LFTM_INCPTN</v>
      </c>
    </row>
    <row r="679" spans="1:11" hidden="1">
      <c r="A679" s="166" t="s">
        <v>2788</v>
      </c>
      <c r="B679" s="166" t="s">
        <v>2789</v>
      </c>
      <c r="C679" s="166" t="s">
        <v>1392</v>
      </c>
      <c r="D679" s="166" t="s">
        <v>445</v>
      </c>
      <c r="E679" s="166" t="s">
        <v>1127</v>
      </c>
      <c r="F679" s="166" t="s">
        <v>2764</v>
      </c>
      <c r="G679" s="166" t="s">
        <v>129</v>
      </c>
      <c r="H679" s="166">
        <v>2138963</v>
      </c>
      <c r="I679" s="166">
        <v>0</v>
      </c>
      <c r="J679" s="166">
        <v>0</v>
      </c>
      <c r="K679" s="166" t="str">
        <f t="shared" si="10"/>
        <v>INSTRUMENTPD_IFRS9_RMNNG_LFTM_RD</v>
      </c>
    </row>
    <row r="680" spans="1:11" hidden="1">
      <c r="A680" s="166" t="s">
        <v>2790</v>
      </c>
      <c r="B680" s="166" t="s">
        <v>2665</v>
      </c>
      <c r="C680" s="166" t="s">
        <v>1392</v>
      </c>
      <c r="D680" s="166" t="s">
        <v>493</v>
      </c>
      <c r="E680" s="166" t="s">
        <v>1531</v>
      </c>
      <c r="F680" s="166" t="s">
        <v>2764</v>
      </c>
      <c r="G680" s="166" t="s">
        <v>129</v>
      </c>
      <c r="H680" s="166">
        <v>2138963</v>
      </c>
      <c r="I680" s="166">
        <v>0</v>
      </c>
      <c r="J680" s="166">
        <v>0</v>
      </c>
      <c r="K680" s="166" t="str">
        <f t="shared" si="10"/>
        <v>INSTRUMENTRTNG_SCL</v>
      </c>
    </row>
    <row r="681" spans="1:11" hidden="1">
      <c r="A681" s="166" t="s">
        <v>2791</v>
      </c>
      <c r="B681" s="166" t="s">
        <v>2792</v>
      </c>
      <c r="C681" s="166" t="s">
        <v>1392</v>
      </c>
      <c r="D681" s="166" t="s">
        <v>300</v>
      </c>
      <c r="E681" s="166" t="s">
        <v>1127</v>
      </c>
      <c r="F681" s="166" t="s">
        <v>2764</v>
      </c>
      <c r="G681" s="166" t="s">
        <v>1134</v>
      </c>
      <c r="H681" s="166">
        <v>2138963</v>
      </c>
      <c r="I681" s="166">
        <v>1</v>
      </c>
      <c r="J681" s="166">
        <v>0</v>
      </c>
      <c r="K681" s="166" t="str">
        <f t="shared" si="10"/>
        <v>INSTRUMENTEIR</v>
      </c>
    </row>
    <row r="682" spans="1:11" hidden="1">
      <c r="A682" s="166" t="s">
        <v>2793</v>
      </c>
      <c r="B682" s="166" t="s">
        <v>2794</v>
      </c>
      <c r="C682" s="166" t="s">
        <v>1392</v>
      </c>
      <c r="D682" s="166" t="s">
        <v>301</v>
      </c>
      <c r="E682" s="166" t="s">
        <v>1127</v>
      </c>
      <c r="F682" s="166" t="s">
        <v>2764</v>
      </c>
      <c r="G682" s="166" t="s">
        <v>129</v>
      </c>
      <c r="H682" s="166">
        <v>2138963</v>
      </c>
      <c r="I682" s="166">
        <v>0</v>
      </c>
      <c r="J682" s="166">
        <v>0</v>
      </c>
      <c r="K682" s="166" t="str">
        <f t="shared" si="10"/>
        <v>INSTRUMENTEIR_INCPTN</v>
      </c>
    </row>
    <row r="683" spans="1:11" hidden="1">
      <c r="A683" s="166" t="s">
        <v>2795</v>
      </c>
      <c r="B683" s="166" t="s">
        <v>2796</v>
      </c>
      <c r="C683" s="166" t="s">
        <v>1392</v>
      </c>
      <c r="D683" s="166" t="s">
        <v>515</v>
      </c>
      <c r="E683" s="166" t="s">
        <v>1127</v>
      </c>
      <c r="F683" s="166" t="s">
        <v>2764</v>
      </c>
      <c r="G683" s="166" t="s">
        <v>129</v>
      </c>
      <c r="H683" s="166">
        <v>2138963</v>
      </c>
      <c r="I683" s="166">
        <v>0</v>
      </c>
      <c r="J683" s="166">
        <v>0</v>
      </c>
      <c r="K683" s="166" t="str">
        <f t="shared" si="10"/>
        <v>INSTRUMENTSYNDCTD_SHR</v>
      </c>
    </row>
    <row r="684" spans="1:11" hidden="1">
      <c r="A684" s="166" t="s">
        <v>2797</v>
      </c>
      <c r="B684" s="166" t="s">
        <v>2798</v>
      </c>
      <c r="C684" s="166" t="s">
        <v>1392</v>
      </c>
      <c r="D684" s="166" t="s">
        <v>191</v>
      </c>
      <c r="E684" s="166" t="s">
        <v>1127</v>
      </c>
      <c r="F684" s="166" t="s">
        <v>2764</v>
      </c>
      <c r="G684" s="166" t="s">
        <v>129</v>
      </c>
      <c r="H684" s="166">
        <v>2138963</v>
      </c>
      <c r="I684" s="166">
        <v>0</v>
      </c>
      <c r="J684" s="166">
        <v>0</v>
      </c>
      <c r="K684" s="166" t="str">
        <f t="shared" si="10"/>
        <v>INSTRUMENTCPN_RT_FXD</v>
      </c>
    </row>
    <row r="685" spans="1:11" hidden="1">
      <c r="A685" s="166" t="s">
        <v>2799</v>
      </c>
      <c r="B685" s="166" t="s">
        <v>2800</v>
      </c>
      <c r="C685" s="166" t="s">
        <v>127</v>
      </c>
      <c r="D685" s="166" t="s">
        <v>554</v>
      </c>
      <c r="E685" s="166" t="s">
        <v>1127</v>
      </c>
      <c r="F685" s="166" t="s">
        <v>2764</v>
      </c>
      <c r="G685" s="166" t="s">
        <v>129</v>
      </c>
      <c r="H685" s="166">
        <v>2138963</v>
      </c>
      <c r="I685" s="166">
        <v>0</v>
      </c>
      <c r="J685" s="166">
        <v>0</v>
      </c>
      <c r="K685" s="166" t="str">
        <f t="shared" si="10"/>
        <v>INSTRUMENTCPN_RT_FLTNG</v>
      </c>
    </row>
    <row r="686" spans="1:11" hidden="1">
      <c r="A686" s="166" t="s">
        <v>2801</v>
      </c>
      <c r="B686" s="166" t="s">
        <v>2802</v>
      </c>
      <c r="C686" s="166" t="s">
        <v>1392</v>
      </c>
      <c r="D686" s="166" t="s">
        <v>507</v>
      </c>
      <c r="E686" s="166" t="s">
        <v>1127</v>
      </c>
      <c r="F686" s="166" t="s">
        <v>2764</v>
      </c>
      <c r="G686" s="166" t="s">
        <v>129</v>
      </c>
      <c r="H686" s="166">
        <v>2138963</v>
      </c>
      <c r="I686" s="166">
        <v>0</v>
      </c>
      <c r="J686" s="166">
        <v>0</v>
      </c>
      <c r="K686" s="166" t="str">
        <f t="shared" si="10"/>
        <v>INSTRUMENTSPRD</v>
      </c>
    </row>
    <row r="687" spans="1:11" hidden="1">
      <c r="A687" s="166" t="s">
        <v>2803</v>
      </c>
      <c r="B687" s="166" t="s">
        <v>2804</v>
      </c>
      <c r="C687" s="166" t="s">
        <v>1392</v>
      </c>
      <c r="D687" s="166" t="s">
        <v>198</v>
      </c>
      <c r="E687" s="166" t="s">
        <v>1127</v>
      </c>
      <c r="F687" s="166" t="s">
        <v>2764</v>
      </c>
      <c r="G687" s="166" t="s">
        <v>129</v>
      </c>
      <c r="H687" s="166">
        <v>2138963</v>
      </c>
      <c r="I687" s="166">
        <v>0</v>
      </c>
      <c r="J687" s="166">
        <v>0</v>
      </c>
      <c r="K687" s="166" t="str">
        <f t="shared" si="10"/>
        <v>INSTRUMENTCRRLTN_CFFCNT</v>
      </c>
    </row>
    <row r="688" spans="1:11" hidden="1">
      <c r="A688" s="166" t="s">
        <v>2805</v>
      </c>
      <c r="B688" s="166" t="s">
        <v>2806</v>
      </c>
      <c r="C688" s="166" t="s">
        <v>127</v>
      </c>
      <c r="D688" s="166" t="s">
        <v>381</v>
      </c>
      <c r="E688" s="166" t="s">
        <v>1132</v>
      </c>
      <c r="F688" s="166" t="s">
        <v>2764</v>
      </c>
      <c r="G688" s="166" t="s">
        <v>1134</v>
      </c>
      <c r="H688" s="166">
        <v>23963</v>
      </c>
      <c r="I688" s="166">
        <v>23963</v>
      </c>
      <c r="J688" s="166">
        <v>100</v>
      </c>
      <c r="K688" s="166" t="str">
        <f t="shared" si="10"/>
        <v>INSTRUMENTISIN_SCRTSTN</v>
      </c>
    </row>
    <row r="689" spans="1:11" hidden="1">
      <c r="A689" s="166" t="s">
        <v>2807</v>
      </c>
      <c r="B689" s="166" t="s">
        <v>2808</v>
      </c>
      <c r="C689" s="166" t="s">
        <v>1392</v>
      </c>
      <c r="D689" s="166" t="s">
        <v>2321</v>
      </c>
      <c r="E689" s="166" t="s">
        <v>1531</v>
      </c>
      <c r="F689" s="166" t="s">
        <v>2764</v>
      </c>
      <c r="G689" s="166" t="s">
        <v>129</v>
      </c>
      <c r="H689" s="166">
        <v>2138963</v>
      </c>
      <c r="I689" s="166">
        <v>0</v>
      </c>
      <c r="J689" s="166">
        <v>0</v>
      </c>
      <c r="K689" s="166" t="str">
        <f t="shared" si="10"/>
        <v>INSTRUMENTRWA_OFF_BLNC</v>
      </c>
    </row>
    <row r="690" spans="1:11" hidden="1">
      <c r="A690" s="166" t="s">
        <v>2809</v>
      </c>
      <c r="B690" s="166" t="s">
        <v>2810</v>
      </c>
      <c r="C690" s="166" t="s">
        <v>1392</v>
      </c>
      <c r="D690" s="166" t="s">
        <v>562</v>
      </c>
      <c r="E690" s="166" t="s">
        <v>1531</v>
      </c>
      <c r="F690" s="166" t="s">
        <v>2764</v>
      </c>
      <c r="G690" s="166" t="s">
        <v>129</v>
      </c>
      <c r="H690" s="166">
        <v>2138963</v>
      </c>
      <c r="I690" s="166">
        <v>0</v>
      </c>
      <c r="J690" s="166">
        <v>0</v>
      </c>
      <c r="K690" s="166" t="str">
        <f t="shared" si="10"/>
        <v>INSTRUMENTBLNC_SHT_RCGNTN</v>
      </c>
    </row>
    <row r="691" spans="1:11" hidden="1">
      <c r="A691" s="166" t="s">
        <v>2811</v>
      </c>
      <c r="B691" s="166" t="s">
        <v>2812</v>
      </c>
      <c r="C691" s="166" t="s">
        <v>1392</v>
      </c>
      <c r="D691" s="166" t="s">
        <v>1266</v>
      </c>
      <c r="E691" s="166" t="s">
        <v>1132</v>
      </c>
      <c r="F691" s="166" t="s">
        <v>2764</v>
      </c>
      <c r="G691" s="166" t="s">
        <v>129</v>
      </c>
      <c r="H691" s="166">
        <v>2138963</v>
      </c>
      <c r="I691" s="166">
        <v>0</v>
      </c>
      <c r="J691" s="166">
        <v>0</v>
      </c>
      <c r="K691" s="166" t="str">
        <f t="shared" si="10"/>
        <v>INSTRUMENTEXCLDD_LF</v>
      </c>
    </row>
    <row r="692" spans="1:11" hidden="1">
      <c r="A692" s="166" t="s">
        <v>2813</v>
      </c>
      <c r="B692" s="166" t="s">
        <v>2814</v>
      </c>
      <c r="C692" s="166" t="s">
        <v>1392</v>
      </c>
      <c r="D692" s="166" t="s">
        <v>1268</v>
      </c>
      <c r="E692" s="166" t="s">
        <v>1127</v>
      </c>
      <c r="F692" s="166" t="s">
        <v>2764</v>
      </c>
      <c r="G692" s="166" t="s">
        <v>129</v>
      </c>
      <c r="H692" s="166">
        <v>2138963</v>
      </c>
      <c r="I692" s="166">
        <v>0</v>
      </c>
      <c r="J692" s="166">
        <v>0</v>
      </c>
      <c r="K692" s="166" t="str">
        <f t="shared" si="10"/>
        <v>INSTRUMENTPD_EC_INCPTN</v>
      </c>
    </row>
    <row r="693" spans="1:11" hidden="1">
      <c r="A693" s="166" t="s">
        <v>2815</v>
      </c>
      <c r="B693" s="166" t="s">
        <v>2816</v>
      </c>
      <c r="C693" s="166" t="s">
        <v>1392</v>
      </c>
      <c r="D693" s="166" t="s">
        <v>1267</v>
      </c>
      <c r="E693" s="166" t="s">
        <v>1127</v>
      </c>
      <c r="F693" s="166" t="s">
        <v>2764</v>
      </c>
      <c r="G693" s="166" t="s">
        <v>129</v>
      </c>
      <c r="H693" s="166">
        <v>2138963</v>
      </c>
      <c r="I693" s="166">
        <v>0</v>
      </c>
      <c r="J693" s="166">
        <v>0</v>
      </c>
      <c r="K693" s="166" t="str">
        <f t="shared" si="10"/>
        <v>INSTRUMENTPD_EC_RD</v>
      </c>
    </row>
    <row r="694" spans="1:11" hidden="1">
      <c r="A694" s="166" t="s">
        <v>2817</v>
      </c>
      <c r="B694" s="166" t="s">
        <v>2761</v>
      </c>
      <c r="C694" s="166" t="s">
        <v>1473</v>
      </c>
      <c r="D694" s="166" t="s">
        <v>283</v>
      </c>
      <c r="E694" s="166" t="s">
        <v>1137</v>
      </c>
      <c r="F694" s="166" t="s">
        <v>2818</v>
      </c>
      <c r="G694" s="166" t="s">
        <v>129</v>
      </c>
      <c r="H694" s="166">
        <v>783914</v>
      </c>
      <c r="I694" s="166">
        <v>0</v>
      </c>
      <c r="J694" s="166">
        <v>0</v>
      </c>
      <c r="K694" s="166" t="str">
        <f t="shared" si="10"/>
        <v>INSTR_PROTECTIONDT_RFRNC</v>
      </c>
    </row>
    <row r="695" spans="1:11" hidden="1">
      <c r="A695" s="166" t="s">
        <v>2819</v>
      </c>
      <c r="B695" s="166" t="s">
        <v>2761</v>
      </c>
      <c r="C695" s="166" t="s">
        <v>1485</v>
      </c>
      <c r="D695" s="166" t="s">
        <v>283</v>
      </c>
      <c r="E695" s="166" t="s">
        <v>1137</v>
      </c>
      <c r="F695" s="166" t="s">
        <v>2820</v>
      </c>
      <c r="G695" s="166" t="s">
        <v>129</v>
      </c>
      <c r="H695" s="166">
        <v>465126</v>
      </c>
      <c r="I695" s="166">
        <v>0</v>
      </c>
      <c r="J695" s="166">
        <v>0</v>
      </c>
      <c r="K695" s="166" t="str">
        <f t="shared" si="10"/>
        <v>PROTECTIONDT_RFRNC</v>
      </c>
    </row>
    <row r="696" spans="1:11" hidden="1">
      <c r="A696" s="166" t="s">
        <v>2821</v>
      </c>
      <c r="B696" s="166" t="s">
        <v>2822</v>
      </c>
      <c r="C696" s="166" t="s">
        <v>1485</v>
      </c>
      <c r="D696" s="166" t="s">
        <v>350</v>
      </c>
      <c r="E696" s="166" t="s">
        <v>1127</v>
      </c>
      <c r="F696" s="166" t="s">
        <v>2820</v>
      </c>
      <c r="G696" s="166" t="s">
        <v>129</v>
      </c>
      <c r="H696" s="166">
        <v>465126</v>
      </c>
      <c r="I696" s="166">
        <v>0</v>
      </c>
      <c r="J696" s="166">
        <v>0</v>
      </c>
      <c r="K696" s="166" t="str">
        <f t="shared" si="10"/>
        <v>PROTECTIONHRCT_MV</v>
      </c>
    </row>
    <row r="697" spans="1:11" hidden="1">
      <c r="A697" s="166" t="s">
        <v>2823</v>
      </c>
      <c r="B697" s="166" t="s">
        <v>2824</v>
      </c>
      <c r="C697" s="166" t="s">
        <v>156</v>
      </c>
      <c r="D697" s="166" t="s">
        <v>2549</v>
      </c>
      <c r="E697" s="166" t="s">
        <v>1127</v>
      </c>
      <c r="F697" s="166" t="s">
        <v>2820</v>
      </c>
      <c r="G697" s="166" t="s">
        <v>129</v>
      </c>
      <c r="H697" s="166">
        <v>465126</v>
      </c>
      <c r="I697" s="166">
        <v>0</v>
      </c>
      <c r="J697" s="166">
        <v>0</v>
      </c>
      <c r="K697" s="166" t="str">
        <f t="shared" si="10"/>
        <v>PROTECTIONEPC_EMSSNS_SCR</v>
      </c>
    </row>
    <row r="698" spans="1:11" hidden="1">
      <c r="A698" s="166" t="s">
        <v>2825</v>
      </c>
      <c r="B698" s="166" t="s">
        <v>2826</v>
      </c>
      <c r="C698" s="166" t="s">
        <v>156</v>
      </c>
      <c r="D698" s="166" t="s">
        <v>2552</v>
      </c>
      <c r="E698" s="166" t="s">
        <v>1127</v>
      </c>
      <c r="F698" s="166" t="s">
        <v>2820</v>
      </c>
      <c r="G698" s="166" t="s">
        <v>129</v>
      </c>
      <c r="H698" s="166">
        <v>465126</v>
      </c>
      <c r="I698" s="166">
        <v>0</v>
      </c>
      <c r="J698" s="166">
        <v>0</v>
      </c>
      <c r="K698" s="166" t="str">
        <f t="shared" si="10"/>
        <v>PROTECTIONVHCL_EMSSNS_SCR</v>
      </c>
    </row>
    <row r="699" spans="1:11" hidden="1">
      <c r="A699" s="166" t="s">
        <v>2827</v>
      </c>
      <c r="B699" s="166" t="s">
        <v>2828</v>
      </c>
      <c r="C699" s="166" t="s">
        <v>156</v>
      </c>
      <c r="D699" s="166" t="s">
        <v>2555</v>
      </c>
      <c r="E699" s="166" t="s">
        <v>1127</v>
      </c>
      <c r="F699" s="166" t="s">
        <v>2820</v>
      </c>
      <c r="G699" s="166" t="s">
        <v>129</v>
      </c>
      <c r="H699" s="166">
        <v>465126</v>
      </c>
      <c r="I699" s="166">
        <v>0</v>
      </c>
      <c r="J699" s="166">
        <v>0</v>
      </c>
      <c r="K699" s="166" t="str">
        <f t="shared" si="10"/>
        <v>PROTECTIONEMSSNS_SCP1_PRTCTN</v>
      </c>
    </row>
    <row r="700" spans="1:11" hidden="1">
      <c r="A700" s="166" t="s">
        <v>2829</v>
      </c>
      <c r="B700" s="166" t="s">
        <v>2830</v>
      </c>
      <c r="C700" s="166" t="s">
        <v>156</v>
      </c>
      <c r="D700" s="166" t="s">
        <v>2558</v>
      </c>
      <c r="E700" s="166" t="s">
        <v>1127</v>
      </c>
      <c r="F700" s="166" t="s">
        <v>2820</v>
      </c>
      <c r="G700" s="166" t="s">
        <v>129</v>
      </c>
      <c r="H700" s="166">
        <v>465126</v>
      </c>
      <c r="I700" s="166">
        <v>0</v>
      </c>
      <c r="J700" s="166">
        <v>0</v>
      </c>
      <c r="K700" s="166" t="str">
        <f t="shared" si="10"/>
        <v>PROTECTIONEMSSNS_SCP2_PRTCTN</v>
      </c>
    </row>
    <row r="701" spans="1:11" hidden="1">
      <c r="A701" s="166" t="s">
        <v>2831</v>
      </c>
      <c r="B701" s="166" t="s">
        <v>2832</v>
      </c>
      <c r="C701" s="166" t="s">
        <v>156</v>
      </c>
      <c r="D701" s="166" t="s">
        <v>2561</v>
      </c>
      <c r="E701" s="166" t="s">
        <v>1127</v>
      </c>
      <c r="F701" s="166" t="s">
        <v>2820</v>
      </c>
      <c r="G701" s="166" t="s">
        <v>129</v>
      </c>
      <c r="H701" s="166">
        <v>465126</v>
      </c>
      <c r="I701" s="166">
        <v>0</v>
      </c>
      <c r="J701" s="166">
        <v>0</v>
      </c>
      <c r="K701" s="166" t="str">
        <f t="shared" si="10"/>
        <v>PROTECTIONEMSSNS_SCP3_PRTCTN</v>
      </c>
    </row>
    <row r="702" spans="1:11" hidden="1">
      <c r="A702" s="166" t="s">
        <v>2833</v>
      </c>
      <c r="B702" s="166" t="s">
        <v>2834</v>
      </c>
      <c r="C702" s="166" t="s">
        <v>1485</v>
      </c>
      <c r="D702" s="166" t="s">
        <v>542</v>
      </c>
      <c r="E702" s="166" t="s">
        <v>1127</v>
      </c>
      <c r="F702" s="166" t="s">
        <v>2820</v>
      </c>
      <c r="G702" s="166" t="s">
        <v>1134</v>
      </c>
      <c r="H702" s="166">
        <v>465126</v>
      </c>
      <c r="I702" s="166">
        <v>1</v>
      </c>
      <c r="J702" s="166">
        <v>2.0000000000000001E-4</v>
      </c>
      <c r="K702" s="166" t="str">
        <f t="shared" si="10"/>
        <v>PROTECTIONYR_CNSTRCTN</v>
      </c>
    </row>
    <row r="703" spans="1:11" hidden="1">
      <c r="A703" s="166" t="s">
        <v>2835</v>
      </c>
      <c r="B703" s="166" t="s">
        <v>2836</v>
      </c>
      <c r="C703" s="166" t="s">
        <v>1131</v>
      </c>
      <c r="D703" s="166" t="s">
        <v>2593</v>
      </c>
      <c r="E703" s="166" t="s">
        <v>1127</v>
      </c>
      <c r="F703" s="166" t="s">
        <v>2820</v>
      </c>
      <c r="G703" s="166" t="s">
        <v>129</v>
      </c>
      <c r="H703" s="166">
        <v>465126</v>
      </c>
      <c r="I703" s="166">
        <v>0</v>
      </c>
      <c r="J703" s="166">
        <v>0</v>
      </c>
      <c r="K703" s="166" t="str">
        <f t="shared" si="10"/>
        <v>PROTECTIONBLDNG_AR</v>
      </c>
    </row>
    <row r="704" spans="1:11" hidden="1">
      <c r="A704" s="166" t="s">
        <v>2837</v>
      </c>
      <c r="B704" s="166" t="s">
        <v>2838</v>
      </c>
      <c r="C704" s="166" t="s">
        <v>1131</v>
      </c>
      <c r="D704" s="166" t="s">
        <v>572</v>
      </c>
      <c r="E704" s="166" t="s">
        <v>1127</v>
      </c>
      <c r="F704" s="166" t="s">
        <v>2820</v>
      </c>
      <c r="G704" s="166" t="s">
        <v>129</v>
      </c>
      <c r="H704" s="166">
        <v>465126</v>
      </c>
      <c r="I704" s="166">
        <v>0</v>
      </c>
      <c r="J704" s="166">
        <v>0</v>
      </c>
      <c r="K704" s="166" t="str">
        <f t="shared" si="10"/>
        <v>PROTECTIONLND_AR</v>
      </c>
    </row>
    <row r="705" spans="1:11" hidden="1">
      <c r="A705" s="166" t="s">
        <v>2839</v>
      </c>
      <c r="B705" s="166" t="s">
        <v>2840</v>
      </c>
      <c r="C705" s="166" t="s">
        <v>1131</v>
      </c>
      <c r="D705" s="166" t="s">
        <v>573</v>
      </c>
      <c r="E705" s="166" t="s">
        <v>1127</v>
      </c>
      <c r="F705" s="166" t="s">
        <v>2820</v>
      </c>
      <c r="G705" s="166" t="s">
        <v>129</v>
      </c>
      <c r="H705" s="166">
        <v>465126</v>
      </c>
      <c r="I705" s="166">
        <v>0</v>
      </c>
      <c r="J705" s="166">
        <v>0</v>
      </c>
      <c r="K705" s="166" t="str">
        <f t="shared" si="10"/>
        <v>PROTECTIONLN_PSTN</v>
      </c>
    </row>
    <row r="706" spans="1:11" hidden="1">
      <c r="A706" s="166" t="s">
        <v>2841</v>
      </c>
      <c r="B706" s="166" t="s">
        <v>2842</v>
      </c>
      <c r="C706" s="166" t="s">
        <v>1485</v>
      </c>
      <c r="D706" s="166" t="s">
        <v>2606</v>
      </c>
      <c r="E706" s="166" t="s">
        <v>1137</v>
      </c>
      <c r="F706" s="166" t="s">
        <v>2820</v>
      </c>
      <c r="G706" s="166" t="s">
        <v>129</v>
      </c>
      <c r="H706" s="166">
        <v>465126</v>
      </c>
      <c r="I706" s="166">
        <v>0</v>
      </c>
      <c r="J706" s="166">
        <v>0</v>
      </c>
      <c r="K706" s="166" t="str">
        <f t="shared" si="10"/>
        <v>PROTECTIONDT_RGSTRTN</v>
      </c>
    </row>
    <row r="707" spans="1:11" hidden="1">
      <c r="A707" s="166" t="s">
        <v>2843</v>
      </c>
      <c r="B707" s="166" t="s">
        <v>2844</v>
      </c>
      <c r="C707" s="166" t="s">
        <v>1485</v>
      </c>
      <c r="D707" s="166" t="s">
        <v>574</v>
      </c>
      <c r="E707" s="166" t="s">
        <v>1127</v>
      </c>
      <c r="F707" s="166" t="s">
        <v>2820</v>
      </c>
      <c r="G707" s="166" t="s">
        <v>129</v>
      </c>
      <c r="H707" s="166">
        <v>465126</v>
      </c>
      <c r="I707" s="166">
        <v>0</v>
      </c>
      <c r="J707" s="166">
        <v>0</v>
      </c>
      <c r="K707" s="166" t="str">
        <f t="shared" ref="K707:K770" si="11">_xlfn.CONCAT(_xlfn.IFS(ISNUMBER(SEARCH("EN",A707)),"ENTITY",ISNUMBER(SEARCH("IN",A707)),"INSTRUMENT",ISNUMBER(SEARCH("PR",A707)),"PROTECTION",ISNUMBER(SEARCH("IP",A707)),"INSTR_PROTECTION",ISNUMBER(SEARCH("IE",A707)),"INSTR_ENTITY",ISNUMBER(SEARCH("AC",A707)),"INSTR_ACTIVITY"),D707)</f>
        <v>PROTECTIONRL_ESTT_LNGTD</v>
      </c>
    </row>
    <row r="708" spans="1:11" hidden="1">
      <c r="A708" s="166" t="s">
        <v>2845</v>
      </c>
      <c r="B708" s="166" t="s">
        <v>2846</v>
      </c>
      <c r="C708" s="166" t="s">
        <v>1485</v>
      </c>
      <c r="D708" s="166" t="s">
        <v>575</v>
      </c>
      <c r="E708" s="166" t="s">
        <v>1127</v>
      </c>
      <c r="F708" s="166" t="s">
        <v>2820</v>
      </c>
      <c r="G708" s="166" t="s">
        <v>129</v>
      </c>
      <c r="H708" s="166">
        <v>465126</v>
      </c>
      <c r="I708" s="166">
        <v>0</v>
      </c>
      <c r="J708" s="166">
        <v>0</v>
      </c>
      <c r="K708" s="166" t="str">
        <f t="shared" si="11"/>
        <v>PROTECTIONRL_ESTT_LTTD</v>
      </c>
    </row>
    <row r="709" spans="1:11" hidden="1">
      <c r="A709" s="166" t="s">
        <v>2847</v>
      </c>
      <c r="B709" s="166" t="s">
        <v>2848</v>
      </c>
      <c r="C709" s="166" t="s">
        <v>576</v>
      </c>
      <c r="D709" s="166" t="s">
        <v>283</v>
      </c>
      <c r="E709" s="166" t="s">
        <v>1137</v>
      </c>
      <c r="F709" s="166" t="s">
        <v>2849</v>
      </c>
      <c r="G709" s="166" t="s">
        <v>129</v>
      </c>
      <c r="H709" s="166">
        <v>2138988</v>
      </c>
      <c r="I709" s="166">
        <v>0</v>
      </c>
      <c r="J709" s="166">
        <v>0</v>
      </c>
      <c r="K709" s="166" t="str">
        <f t="shared" si="11"/>
        <v>INSTR_ACTIVITYDT_RFRNC</v>
      </c>
    </row>
    <row r="710" spans="1:11" hidden="1">
      <c r="A710" s="166" t="s">
        <v>2850</v>
      </c>
      <c r="B710" s="166" t="s">
        <v>2851</v>
      </c>
      <c r="C710" s="166" t="s">
        <v>139</v>
      </c>
      <c r="D710" s="166" t="s">
        <v>232</v>
      </c>
      <c r="E710" s="166" t="s">
        <v>1137</v>
      </c>
      <c r="F710" s="166" t="s">
        <v>2852</v>
      </c>
      <c r="G710" s="166" t="s">
        <v>1134</v>
      </c>
      <c r="H710" s="166">
        <v>1140750</v>
      </c>
      <c r="I710" s="166">
        <v>245</v>
      </c>
      <c r="J710" s="166">
        <v>2.1499999999999998E-2</v>
      </c>
      <c r="K710" s="166" t="str">
        <f t="shared" si="11"/>
        <v>ENTITYDT_BRTH</v>
      </c>
    </row>
    <row r="711" spans="1:11" hidden="1">
      <c r="A711" s="166" t="s">
        <v>2853</v>
      </c>
      <c r="B711" s="166" t="s">
        <v>2854</v>
      </c>
      <c r="C711" s="166" t="s">
        <v>139</v>
      </c>
      <c r="D711" s="166" t="s">
        <v>239</v>
      </c>
      <c r="E711" s="166" t="s">
        <v>1137</v>
      </c>
      <c r="F711" s="166" t="s">
        <v>2852</v>
      </c>
      <c r="G711" s="166" t="s">
        <v>1134</v>
      </c>
      <c r="H711" s="166">
        <v>1140750</v>
      </c>
      <c r="I711" s="166">
        <v>4</v>
      </c>
      <c r="J711" s="166">
        <v>4.0000000000000002E-4</v>
      </c>
      <c r="K711" s="166" t="str">
        <f t="shared" si="11"/>
        <v>ENTITYDT_DFLT_STTS</v>
      </c>
    </row>
    <row r="712" spans="1:11" hidden="1">
      <c r="A712" s="166" t="s">
        <v>2855</v>
      </c>
      <c r="B712" s="166" t="s">
        <v>2856</v>
      </c>
      <c r="C712" s="166" t="s">
        <v>139</v>
      </c>
      <c r="D712" s="166" t="s">
        <v>249</v>
      </c>
      <c r="E712" s="166" t="s">
        <v>1137</v>
      </c>
      <c r="F712" s="166" t="s">
        <v>2852</v>
      </c>
      <c r="G712" s="166" t="s">
        <v>129</v>
      </c>
      <c r="H712" s="166">
        <v>1140750</v>
      </c>
      <c r="I712" s="166">
        <v>0</v>
      </c>
      <c r="J712" s="166">
        <v>0</v>
      </c>
      <c r="K712" s="166" t="str">
        <f t="shared" si="11"/>
        <v>ENTITYDT_FNNCL_STTMTS</v>
      </c>
    </row>
    <row r="713" spans="1:11" hidden="1">
      <c r="A713" s="166" t="s">
        <v>2857</v>
      </c>
      <c r="B713" s="166" t="s">
        <v>2858</v>
      </c>
      <c r="C713" s="166" t="s">
        <v>139</v>
      </c>
      <c r="D713" s="166" t="s">
        <v>249</v>
      </c>
      <c r="E713" s="166" t="s">
        <v>1132</v>
      </c>
      <c r="F713" s="166" t="s">
        <v>2852</v>
      </c>
      <c r="G713" s="166" t="s">
        <v>1134</v>
      </c>
      <c r="H713" s="166">
        <v>1140750</v>
      </c>
      <c r="I713" s="166">
        <v>9479</v>
      </c>
      <c r="J713" s="166">
        <v>0.83089999999999997</v>
      </c>
      <c r="K713" s="166" t="str">
        <f t="shared" si="11"/>
        <v>ENTITYDT_FNNCL_STTMTS</v>
      </c>
    </row>
    <row r="714" spans="1:11" hidden="1">
      <c r="A714" s="166" t="s">
        <v>2859</v>
      </c>
      <c r="B714" s="166" t="s">
        <v>2860</v>
      </c>
      <c r="C714" s="166" t="s">
        <v>139</v>
      </c>
      <c r="D714" s="166" t="s">
        <v>250</v>
      </c>
      <c r="E714" s="166" t="s">
        <v>1137</v>
      </c>
      <c r="F714" s="166" t="s">
        <v>2852</v>
      </c>
      <c r="G714" s="166" t="s">
        <v>129</v>
      </c>
      <c r="H714" s="166">
        <v>1140750</v>
      </c>
      <c r="I714" s="166">
        <v>0</v>
      </c>
      <c r="J714" s="166">
        <v>0</v>
      </c>
      <c r="K714" s="166" t="str">
        <f t="shared" si="11"/>
        <v>ENTITYDT_FNNCL_STTMTS_PRVS</v>
      </c>
    </row>
    <row r="715" spans="1:11" hidden="1">
      <c r="A715" s="166" t="s">
        <v>2861</v>
      </c>
      <c r="B715" s="166" t="s">
        <v>2862</v>
      </c>
      <c r="C715" s="166" t="s">
        <v>139</v>
      </c>
      <c r="D715" s="166" t="s">
        <v>263</v>
      </c>
      <c r="E715" s="166" t="s">
        <v>1137</v>
      </c>
      <c r="F715" s="166" t="s">
        <v>2852</v>
      </c>
      <c r="G715" s="166" t="s">
        <v>1134</v>
      </c>
      <c r="H715" s="166">
        <v>1140750</v>
      </c>
      <c r="I715" s="166">
        <v>1</v>
      </c>
      <c r="J715" s="166">
        <v>1E-4</v>
      </c>
      <c r="K715" s="166" t="str">
        <f t="shared" si="11"/>
        <v>ENTITYDT_INTTN_LGL_PRCDNGS_LE</v>
      </c>
    </row>
    <row r="716" spans="1:11" hidden="1">
      <c r="A716" s="166" t="s">
        <v>2863</v>
      </c>
      <c r="B716" s="166" t="s">
        <v>1141</v>
      </c>
      <c r="C716" s="166" t="s">
        <v>139</v>
      </c>
      <c r="D716" s="166" t="s">
        <v>277</v>
      </c>
      <c r="E716" s="166" t="s">
        <v>1137</v>
      </c>
      <c r="F716" s="166" t="s">
        <v>2852</v>
      </c>
      <c r="G716" s="166" t="s">
        <v>1134</v>
      </c>
      <c r="H716" s="166">
        <v>1140750</v>
      </c>
      <c r="I716" s="166">
        <v>4</v>
      </c>
      <c r="J716" s="166">
        <v>4.0000000000000002E-4</v>
      </c>
      <c r="K716" s="166" t="str">
        <f t="shared" si="11"/>
        <v>ENTITYDT_PRFRMNG_STTS_LE</v>
      </c>
    </row>
    <row r="717" spans="1:11" hidden="1">
      <c r="A717" s="166" t="s">
        <v>2864</v>
      </c>
      <c r="B717" s="166" t="s">
        <v>2848</v>
      </c>
      <c r="C717" s="166" t="s">
        <v>139</v>
      </c>
      <c r="D717" s="166" t="s">
        <v>283</v>
      </c>
      <c r="E717" s="166" t="s">
        <v>1137</v>
      </c>
      <c r="F717" s="166" t="s">
        <v>2852</v>
      </c>
      <c r="G717" s="166" t="s">
        <v>129</v>
      </c>
      <c r="H717" s="166">
        <v>1140750</v>
      </c>
      <c r="I717" s="166">
        <v>0</v>
      </c>
      <c r="J717" s="166">
        <v>0</v>
      </c>
      <c r="K717" s="166" t="str">
        <f t="shared" si="11"/>
        <v>ENTITYDT_RFRNC</v>
      </c>
    </row>
    <row r="718" spans="1:11" hidden="1">
      <c r="A718" s="166" t="s">
        <v>2865</v>
      </c>
      <c r="B718" s="166" t="s">
        <v>2866</v>
      </c>
      <c r="C718" s="166" t="s">
        <v>139</v>
      </c>
      <c r="D718" s="166" t="s">
        <v>465</v>
      </c>
      <c r="E718" s="166" t="s">
        <v>1137</v>
      </c>
      <c r="F718" s="166" t="s">
        <v>2852</v>
      </c>
      <c r="G718" s="166" t="s">
        <v>129</v>
      </c>
      <c r="H718" s="166">
        <v>1140750</v>
      </c>
      <c r="I718" s="166">
        <v>0</v>
      </c>
      <c r="J718" s="166">
        <v>0</v>
      </c>
      <c r="K718" s="166" t="str">
        <f t="shared" si="11"/>
        <v>ENTITYDT_EXTRNL_RTNG</v>
      </c>
    </row>
    <row r="719" spans="1:11" hidden="1">
      <c r="A719" s="166" t="s">
        <v>2867</v>
      </c>
      <c r="B719" s="166" t="s">
        <v>2868</v>
      </c>
      <c r="C719" s="166" t="s">
        <v>139</v>
      </c>
      <c r="D719" s="166" t="s">
        <v>260</v>
      </c>
      <c r="E719" s="166" t="s">
        <v>1137</v>
      </c>
      <c r="F719" s="166" t="s">
        <v>2852</v>
      </c>
      <c r="G719" s="166" t="s">
        <v>129</v>
      </c>
      <c r="H719" s="166">
        <v>1140750</v>
      </c>
      <c r="I719" s="166">
        <v>0</v>
      </c>
      <c r="J719" s="166">
        <v>0</v>
      </c>
      <c r="K719" s="166" t="str">
        <f t="shared" si="11"/>
        <v>ENTITYDT_INTRNL_RTNG</v>
      </c>
    </row>
    <row r="720" spans="1:11" hidden="1">
      <c r="A720" s="166" t="s">
        <v>2869</v>
      </c>
      <c r="B720" s="166" t="s">
        <v>2870</v>
      </c>
      <c r="C720" s="166" t="s">
        <v>139</v>
      </c>
      <c r="D720" s="166" t="s">
        <v>344</v>
      </c>
      <c r="E720" s="166" t="s">
        <v>1127</v>
      </c>
      <c r="F720" s="166" t="s">
        <v>2852</v>
      </c>
      <c r="G720" s="166" t="s">
        <v>1134</v>
      </c>
      <c r="H720" s="166">
        <v>1140750</v>
      </c>
      <c r="I720" s="166">
        <v>79</v>
      </c>
      <c r="J720" s="166">
        <v>6.8999999999999999E-3</v>
      </c>
      <c r="K720" s="166" t="str">
        <f t="shared" si="11"/>
        <v>ENTITYGRP_EBITDA</v>
      </c>
    </row>
    <row r="721" spans="1:11" hidden="1">
      <c r="A721" s="166" t="s">
        <v>2871</v>
      </c>
      <c r="B721" s="166" t="s">
        <v>2872</v>
      </c>
      <c r="C721" s="166" t="s">
        <v>139</v>
      </c>
      <c r="D721" s="166" t="s">
        <v>345</v>
      </c>
      <c r="E721" s="166" t="s">
        <v>1127</v>
      </c>
      <c r="F721" s="166" t="s">
        <v>2852</v>
      </c>
      <c r="G721" s="166" t="s">
        <v>1134</v>
      </c>
      <c r="H721" s="166">
        <v>1140750</v>
      </c>
      <c r="I721" s="166">
        <v>67</v>
      </c>
      <c r="J721" s="166">
        <v>5.8999999999999999E-3</v>
      </c>
      <c r="K721" s="166" t="str">
        <f t="shared" si="11"/>
        <v>ENTITYGRP_EQTY</v>
      </c>
    </row>
    <row r="722" spans="1:11" hidden="1">
      <c r="A722" s="166" t="s">
        <v>2873</v>
      </c>
      <c r="B722" s="166" t="s">
        <v>2874</v>
      </c>
      <c r="C722" s="166" t="s">
        <v>139</v>
      </c>
      <c r="D722" s="166" t="s">
        <v>346</v>
      </c>
      <c r="E722" s="166" t="s">
        <v>1127</v>
      </c>
      <c r="F722" s="166" t="s">
        <v>2852</v>
      </c>
      <c r="G722" s="166" t="s">
        <v>1134</v>
      </c>
      <c r="H722" s="166">
        <v>1140750</v>
      </c>
      <c r="I722" s="166">
        <v>521</v>
      </c>
      <c r="J722" s="166">
        <v>4.5699999999999998E-2</v>
      </c>
      <c r="K722" s="166" t="str">
        <f t="shared" si="11"/>
        <v>ENTITYGRP_NT_DBT</v>
      </c>
    </row>
    <row r="723" spans="1:11" hidden="1">
      <c r="A723" s="166" t="s">
        <v>2875</v>
      </c>
      <c r="B723" s="166" t="s">
        <v>2876</v>
      </c>
      <c r="C723" s="166" t="s">
        <v>139</v>
      </c>
      <c r="D723" s="166" t="s">
        <v>149</v>
      </c>
      <c r="E723" s="166" t="s">
        <v>1127</v>
      </c>
      <c r="F723" s="166" t="s">
        <v>2852</v>
      </c>
      <c r="G723" s="166" t="s">
        <v>129</v>
      </c>
      <c r="H723" s="166">
        <v>1140750</v>
      </c>
      <c r="I723" s="166">
        <v>0</v>
      </c>
      <c r="J723" s="166">
        <v>0</v>
      </c>
      <c r="K723" s="166" t="str">
        <f t="shared" si="11"/>
        <v>ENTITYANNL_TRNVR_LE</v>
      </c>
    </row>
    <row r="724" spans="1:11" hidden="1">
      <c r="A724" s="166" t="s">
        <v>2877</v>
      </c>
      <c r="B724" s="166" t="s">
        <v>2878</v>
      </c>
      <c r="C724" s="166" t="s">
        <v>139</v>
      </c>
      <c r="D724" s="166" t="s">
        <v>151</v>
      </c>
      <c r="E724" s="166" t="s">
        <v>1127</v>
      </c>
      <c r="F724" s="166" t="s">
        <v>2852</v>
      </c>
      <c r="G724" s="166" t="s">
        <v>129</v>
      </c>
      <c r="H724" s="166">
        <v>1140750</v>
      </c>
      <c r="I724" s="166">
        <v>0</v>
      </c>
      <c r="J724" s="166">
        <v>0</v>
      </c>
      <c r="K724" s="166" t="str">
        <f t="shared" si="11"/>
        <v>ENTITYANNL_TRNVR_PRVS</v>
      </c>
    </row>
    <row r="725" spans="1:11" hidden="1">
      <c r="A725" s="166" t="s">
        <v>2879</v>
      </c>
      <c r="B725" s="166" t="s">
        <v>2880</v>
      </c>
      <c r="C725" s="166" t="s">
        <v>139</v>
      </c>
      <c r="D725" s="166" t="s">
        <v>165</v>
      </c>
      <c r="E725" s="166" t="s">
        <v>1127</v>
      </c>
      <c r="F725" s="166" t="s">
        <v>2852</v>
      </c>
      <c r="G725" s="166" t="s">
        <v>129</v>
      </c>
      <c r="H725" s="166">
        <v>1140750</v>
      </c>
      <c r="I725" s="166">
        <v>0</v>
      </c>
      <c r="J725" s="166">
        <v>0</v>
      </c>
      <c r="K725" s="166" t="str">
        <f t="shared" si="11"/>
        <v>ENTITYCAPEX</v>
      </c>
    </row>
    <row r="726" spans="1:11" hidden="1">
      <c r="A726" s="166" t="s">
        <v>2881</v>
      </c>
      <c r="B726" s="166" t="s">
        <v>2882</v>
      </c>
      <c r="C726" s="166" t="s">
        <v>139</v>
      </c>
      <c r="D726" s="166" t="s">
        <v>166</v>
      </c>
      <c r="E726" s="166" t="s">
        <v>1127</v>
      </c>
      <c r="F726" s="166" t="s">
        <v>2852</v>
      </c>
      <c r="G726" s="166" t="s">
        <v>129</v>
      </c>
      <c r="H726" s="166">
        <v>1140750</v>
      </c>
      <c r="I726" s="166">
        <v>0</v>
      </c>
      <c r="J726" s="166">
        <v>0</v>
      </c>
      <c r="K726" s="166" t="str">
        <f t="shared" si="11"/>
        <v>ENTITYCAPEX_PRVS</v>
      </c>
    </row>
    <row r="727" spans="1:11" hidden="1">
      <c r="A727" s="166" t="s">
        <v>2883</v>
      </c>
      <c r="B727" s="166" t="s">
        <v>2884</v>
      </c>
      <c r="C727" s="166" t="s">
        <v>139</v>
      </c>
      <c r="D727" s="166" t="s">
        <v>201</v>
      </c>
      <c r="E727" s="166" t="s">
        <v>1127</v>
      </c>
      <c r="F727" s="166" t="s">
        <v>2852</v>
      </c>
      <c r="G727" s="166" t="s">
        <v>1134</v>
      </c>
      <c r="H727" s="166">
        <v>1140750</v>
      </c>
      <c r="I727" s="166">
        <v>326</v>
      </c>
      <c r="J727" s="166">
        <v>2.86E-2</v>
      </c>
      <c r="K727" s="166" t="str">
        <f t="shared" si="11"/>
        <v>ENTITYCSH</v>
      </c>
    </row>
    <row r="728" spans="1:11" hidden="1">
      <c r="A728" s="166" t="s">
        <v>2885</v>
      </c>
      <c r="B728" s="166" t="s">
        <v>2886</v>
      </c>
      <c r="C728" s="166" t="s">
        <v>139</v>
      </c>
      <c r="D728" s="166" t="s">
        <v>202</v>
      </c>
      <c r="E728" s="166" t="s">
        <v>1127</v>
      </c>
      <c r="F728" s="166" t="s">
        <v>2852</v>
      </c>
      <c r="G728" s="166" t="s">
        <v>1134</v>
      </c>
      <c r="H728" s="166">
        <v>1140750</v>
      </c>
      <c r="I728" s="166">
        <v>209</v>
      </c>
      <c r="J728" s="166">
        <v>1.83E-2</v>
      </c>
      <c r="K728" s="166" t="str">
        <f t="shared" si="11"/>
        <v>ENTITYCSH_PRVS</v>
      </c>
    </row>
    <row r="729" spans="1:11" hidden="1">
      <c r="A729" s="166" t="s">
        <v>2887</v>
      </c>
      <c r="B729" s="166" t="s">
        <v>2888</v>
      </c>
      <c r="C729" s="166" t="s">
        <v>139</v>
      </c>
      <c r="D729" s="166" t="s">
        <v>364</v>
      </c>
      <c r="E729" s="166" t="s">
        <v>1127</v>
      </c>
      <c r="F729" s="166" t="s">
        <v>2852</v>
      </c>
      <c r="G729" s="166" t="s">
        <v>1134</v>
      </c>
      <c r="H729" s="166">
        <v>1140750</v>
      </c>
      <c r="I729" s="166">
        <v>14615</v>
      </c>
      <c r="J729" s="166">
        <v>1.2811999999999999</v>
      </c>
      <c r="K729" s="166" t="str">
        <f t="shared" si="11"/>
        <v>ENTITYEBITDA</v>
      </c>
    </row>
    <row r="730" spans="1:11" hidden="1">
      <c r="A730" s="166" t="s">
        <v>2889</v>
      </c>
      <c r="B730" s="166" t="s">
        <v>2890</v>
      </c>
      <c r="C730" s="166" t="s">
        <v>139</v>
      </c>
      <c r="D730" s="166" t="s">
        <v>353</v>
      </c>
      <c r="E730" s="166" t="s">
        <v>1127</v>
      </c>
      <c r="F730" s="166" t="s">
        <v>2852</v>
      </c>
      <c r="G730" s="166" t="s">
        <v>1134</v>
      </c>
      <c r="H730" s="166">
        <v>1140750</v>
      </c>
      <c r="I730" s="166">
        <v>11585</v>
      </c>
      <c r="J730" s="166">
        <v>1.0156000000000001</v>
      </c>
      <c r="K730" s="166" t="str">
        <f t="shared" si="11"/>
        <v>ENTITYEBITDA_PRVS</v>
      </c>
    </row>
    <row r="731" spans="1:11" hidden="1">
      <c r="A731" s="166" t="s">
        <v>2891</v>
      </c>
      <c r="B731" s="166" t="s">
        <v>2892</v>
      </c>
      <c r="C731" s="166" t="s">
        <v>139</v>
      </c>
      <c r="D731" s="166" t="s">
        <v>308</v>
      </c>
      <c r="E731" s="166" t="s">
        <v>1127</v>
      </c>
      <c r="F731" s="166" t="s">
        <v>2852</v>
      </c>
      <c r="G731" s="166" t="s">
        <v>1134</v>
      </c>
      <c r="H731" s="166">
        <v>1140750</v>
      </c>
      <c r="I731" s="166">
        <v>10385</v>
      </c>
      <c r="J731" s="166">
        <v>0.91039999999999999</v>
      </c>
      <c r="K731" s="166" t="str">
        <f t="shared" si="11"/>
        <v>ENTITYEQTY</v>
      </c>
    </row>
    <row r="732" spans="1:11" hidden="1">
      <c r="A732" s="166" t="s">
        <v>2893</v>
      </c>
      <c r="B732" s="166" t="s">
        <v>2894</v>
      </c>
      <c r="C732" s="166" t="s">
        <v>139</v>
      </c>
      <c r="D732" s="166" t="s">
        <v>309</v>
      </c>
      <c r="E732" s="166" t="s">
        <v>1127</v>
      </c>
      <c r="F732" s="166" t="s">
        <v>2852</v>
      </c>
      <c r="G732" s="166" t="s">
        <v>1134</v>
      </c>
      <c r="H732" s="166">
        <v>1140750</v>
      </c>
      <c r="I732" s="166">
        <v>8029</v>
      </c>
      <c r="J732" s="166">
        <v>0.70379999999999998</v>
      </c>
      <c r="K732" s="166" t="str">
        <f t="shared" si="11"/>
        <v>ENTITYEQTY_PRVS</v>
      </c>
    </row>
    <row r="733" spans="1:11" hidden="1">
      <c r="A733" s="166" t="s">
        <v>2895</v>
      </c>
      <c r="B733" s="166" t="s">
        <v>2896</v>
      </c>
      <c r="C733" s="166" t="s">
        <v>139</v>
      </c>
      <c r="D733" s="166" t="s">
        <v>347</v>
      </c>
      <c r="E733" s="166" t="s">
        <v>1127</v>
      </c>
      <c r="F733" s="166" t="s">
        <v>2852</v>
      </c>
      <c r="G733" s="166" t="s">
        <v>129</v>
      </c>
      <c r="H733" s="166">
        <v>1140750</v>
      </c>
      <c r="I733" s="166">
        <v>0</v>
      </c>
      <c r="J733" s="166">
        <v>0</v>
      </c>
      <c r="K733" s="166" t="str">
        <f t="shared" si="11"/>
        <v>ENTITYGRP_TTL_DBT</v>
      </c>
    </row>
    <row r="734" spans="1:11" hidden="1">
      <c r="A734" s="166" t="s">
        <v>2897</v>
      </c>
      <c r="B734" s="166" t="s">
        <v>2898</v>
      </c>
      <c r="C734" s="166" t="s">
        <v>139</v>
      </c>
      <c r="D734" s="166" t="s">
        <v>339</v>
      </c>
      <c r="E734" s="166" t="s">
        <v>1127</v>
      </c>
      <c r="F734" s="166" t="s">
        <v>2852</v>
      </c>
      <c r="G734" s="166" t="s">
        <v>1134</v>
      </c>
      <c r="H734" s="166">
        <v>1140750</v>
      </c>
      <c r="I734" s="166">
        <v>2</v>
      </c>
      <c r="J734" s="166">
        <v>2.0000000000000001E-4</v>
      </c>
      <c r="K734" s="166" t="str">
        <f t="shared" si="11"/>
        <v>ENTITYGDWILL</v>
      </c>
    </row>
    <row r="735" spans="1:11" hidden="1">
      <c r="A735" s="166" t="s">
        <v>2899</v>
      </c>
      <c r="B735" s="166" t="s">
        <v>2900</v>
      </c>
      <c r="C735" s="166" t="s">
        <v>139</v>
      </c>
      <c r="D735" s="166" t="s">
        <v>340</v>
      </c>
      <c r="E735" s="166" t="s">
        <v>1127</v>
      </c>
      <c r="F735" s="166" t="s">
        <v>2852</v>
      </c>
      <c r="G735" s="166" t="s">
        <v>1134</v>
      </c>
      <c r="H735" s="166">
        <v>1140750</v>
      </c>
      <c r="I735" s="166">
        <v>3</v>
      </c>
      <c r="J735" s="166">
        <v>2.9999999999999997E-4</v>
      </c>
      <c r="K735" s="166" t="str">
        <f t="shared" si="11"/>
        <v>ENTITYGDWILL_PRVS</v>
      </c>
    </row>
    <row r="736" spans="1:11" hidden="1">
      <c r="A736" s="166" t="s">
        <v>2901</v>
      </c>
      <c r="B736" s="166" t="s">
        <v>1303</v>
      </c>
      <c r="C736" s="166" t="s">
        <v>139</v>
      </c>
      <c r="D736" s="166" t="s">
        <v>401</v>
      </c>
      <c r="E736" s="166" t="s">
        <v>1127</v>
      </c>
      <c r="F736" s="166" t="s">
        <v>2852</v>
      </c>
      <c r="G736" s="166" t="s">
        <v>1134</v>
      </c>
      <c r="H736" s="166">
        <v>1140750</v>
      </c>
      <c r="I736" s="166">
        <v>138</v>
      </c>
      <c r="J736" s="166">
        <v>1.21E-2</v>
      </c>
      <c r="K736" s="166" t="str">
        <f t="shared" si="11"/>
        <v>ENTITYLTI</v>
      </c>
    </row>
    <row r="737" spans="1:11" hidden="1">
      <c r="A737" s="166" t="s">
        <v>2902</v>
      </c>
      <c r="B737" s="166" t="s">
        <v>2903</v>
      </c>
      <c r="C737" s="166" t="s">
        <v>139</v>
      </c>
      <c r="D737" s="166" t="s">
        <v>406</v>
      </c>
      <c r="E737" s="166" t="s">
        <v>1127</v>
      </c>
      <c r="F737" s="166" t="s">
        <v>2852</v>
      </c>
      <c r="G737" s="166" t="s">
        <v>1134</v>
      </c>
      <c r="H737" s="166">
        <v>1140750</v>
      </c>
      <c r="I737" s="166">
        <v>31460</v>
      </c>
      <c r="J737" s="166">
        <v>2.7578</v>
      </c>
      <c r="K737" s="166" t="str">
        <f t="shared" si="11"/>
        <v>ENTITYLVRG</v>
      </c>
    </row>
    <row r="738" spans="1:11" hidden="1">
      <c r="A738" s="166" t="s">
        <v>2904</v>
      </c>
      <c r="B738" s="166" t="s">
        <v>2905</v>
      </c>
      <c r="C738" s="166" t="s">
        <v>139</v>
      </c>
      <c r="D738" s="166" t="s">
        <v>408</v>
      </c>
      <c r="E738" s="166" t="s">
        <v>1127</v>
      </c>
      <c r="F738" s="166" t="s">
        <v>2852</v>
      </c>
      <c r="G738" s="166" t="s">
        <v>1134</v>
      </c>
      <c r="H738" s="166">
        <v>1140750</v>
      </c>
      <c r="I738" s="166">
        <v>27741</v>
      </c>
      <c r="J738" s="166">
        <v>2.4318</v>
      </c>
      <c r="K738" s="166" t="str">
        <f t="shared" si="11"/>
        <v>ENTITYLVRG_PRVS</v>
      </c>
    </row>
    <row r="739" spans="1:11" hidden="1">
      <c r="A739" s="166" t="s">
        <v>2906</v>
      </c>
      <c r="B739" s="166" t="s">
        <v>2907</v>
      </c>
      <c r="C739" s="166" t="s">
        <v>139</v>
      </c>
      <c r="D739" s="166" t="s">
        <v>413</v>
      </c>
      <c r="E739" s="166" t="s">
        <v>1127</v>
      </c>
      <c r="F739" s="166" t="s">
        <v>2852</v>
      </c>
      <c r="G739" s="166" t="s">
        <v>129</v>
      </c>
      <c r="H739" s="166">
        <v>1140750</v>
      </c>
      <c r="I739" s="166">
        <v>0</v>
      </c>
      <c r="J739" s="166">
        <v>0</v>
      </c>
      <c r="K739" s="166" t="str">
        <f t="shared" si="11"/>
        <v>ENTITYMNTHL_INCM</v>
      </c>
    </row>
    <row r="740" spans="1:11" hidden="1">
      <c r="A740" s="166" t="s">
        <v>2908</v>
      </c>
      <c r="B740" s="166" t="s">
        <v>2909</v>
      </c>
      <c r="C740" s="166" t="s">
        <v>139</v>
      </c>
      <c r="D740" s="166" t="s">
        <v>414</v>
      </c>
      <c r="E740" s="166" t="s">
        <v>1127</v>
      </c>
      <c r="F740" s="166" t="s">
        <v>2852</v>
      </c>
      <c r="G740" s="166" t="s">
        <v>129</v>
      </c>
      <c r="H740" s="166">
        <v>1140750</v>
      </c>
      <c r="I740" s="166">
        <v>0</v>
      </c>
      <c r="J740" s="166">
        <v>0</v>
      </c>
      <c r="K740" s="166" t="str">
        <f t="shared" si="11"/>
        <v>ENTITYMNTHL_INCM_SLR</v>
      </c>
    </row>
    <row r="741" spans="1:11" hidden="1">
      <c r="A741" s="166" t="s">
        <v>2910</v>
      </c>
      <c r="B741" s="166" t="s">
        <v>2911</v>
      </c>
      <c r="C741" s="166" t="s">
        <v>139</v>
      </c>
      <c r="D741" s="166" t="s">
        <v>415</v>
      </c>
      <c r="E741" s="166" t="s">
        <v>1127</v>
      </c>
      <c r="F741" s="166" t="s">
        <v>2852</v>
      </c>
      <c r="G741" s="166" t="s">
        <v>129</v>
      </c>
      <c r="H741" s="166">
        <v>1140750</v>
      </c>
      <c r="I741" s="166">
        <v>0</v>
      </c>
      <c r="J741" s="166">
        <v>0</v>
      </c>
      <c r="K741" s="166" t="str">
        <f t="shared" si="11"/>
        <v>ENTITYMNTHL_TRNVR</v>
      </c>
    </row>
    <row r="742" spans="1:11" hidden="1">
      <c r="A742" s="166" t="s">
        <v>2912</v>
      </c>
      <c r="B742" s="166" t="s">
        <v>2913</v>
      </c>
      <c r="C742" s="166" t="s">
        <v>139</v>
      </c>
      <c r="D742" s="166" t="s">
        <v>419</v>
      </c>
      <c r="E742" s="166" t="s">
        <v>1127</v>
      </c>
      <c r="F742" s="166" t="s">
        <v>2852</v>
      </c>
      <c r="G742" s="166" t="s">
        <v>1134</v>
      </c>
      <c r="H742" s="166">
        <v>1140750</v>
      </c>
      <c r="I742" s="166">
        <v>18809</v>
      </c>
      <c r="J742" s="166">
        <v>1.6488</v>
      </c>
      <c r="K742" s="166" t="str">
        <f t="shared" si="11"/>
        <v>ENTITYNT_INCM</v>
      </c>
    </row>
    <row r="743" spans="1:11" hidden="1">
      <c r="A743" s="166" t="s">
        <v>2914</v>
      </c>
      <c r="B743" s="166" t="s">
        <v>2915</v>
      </c>
      <c r="C743" s="166" t="s">
        <v>139</v>
      </c>
      <c r="D743" s="166" t="s">
        <v>420</v>
      </c>
      <c r="E743" s="166" t="s">
        <v>1127</v>
      </c>
      <c r="F743" s="166" t="s">
        <v>2852</v>
      </c>
      <c r="G743" s="166" t="s">
        <v>1134</v>
      </c>
      <c r="H743" s="166">
        <v>1140750</v>
      </c>
      <c r="I743" s="166">
        <v>15189</v>
      </c>
      <c r="J743" s="166">
        <v>1.3314999999999999</v>
      </c>
      <c r="K743" s="166" t="str">
        <f t="shared" si="11"/>
        <v>ENTITYNT_INCM_PRVS</v>
      </c>
    </row>
    <row r="744" spans="1:11" hidden="1">
      <c r="A744" s="166" t="s">
        <v>2916</v>
      </c>
      <c r="B744" s="166" t="s">
        <v>2917</v>
      </c>
      <c r="C744" s="166" t="s">
        <v>139</v>
      </c>
      <c r="D744" s="166" t="s">
        <v>522</v>
      </c>
      <c r="E744" s="166" t="s">
        <v>1127</v>
      </c>
      <c r="F744" s="166" t="s">
        <v>2852</v>
      </c>
      <c r="G744" s="166" t="s">
        <v>129</v>
      </c>
      <c r="H744" s="166">
        <v>1140750</v>
      </c>
      <c r="I744" s="166">
        <v>0</v>
      </c>
      <c r="J744" s="166">
        <v>0</v>
      </c>
      <c r="K744" s="166" t="str">
        <f t="shared" si="11"/>
        <v>ENTITYTTL_DBT</v>
      </c>
    </row>
    <row r="745" spans="1:11" hidden="1">
      <c r="A745" s="166" t="s">
        <v>2918</v>
      </c>
      <c r="B745" s="166" t="s">
        <v>2919</v>
      </c>
      <c r="C745" s="166" t="s">
        <v>139</v>
      </c>
      <c r="D745" s="166" t="s">
        <v>523</v>
      </c>
      <c r="E745" s="166" t="s">
        <v>1127</v>
      </c>
      <c r="F745" s="166" t="s">
        <v>2852</v>
      </c>
      <c r="G745" s="166" t="s">
        <v>129</v>
      </c>
      <c r="H745" s="166">
        <v>1140750</v>
      </c>
      <c r="I745" s="166">
        <v>0</v>
      </c>
      <c r="J745" s="166">
        <v>0</v>
      </c>
      <c r="K745" s="166" t="str">
        <f t="shared" si="11"/>
        <v>ENTITYTTL_DBT_PRVS</v>
      </c>
    </row>
    <row r="746" spans="1:11" hidden="1">
      <c r="A746" s="166" t="s">
        <v>2920</v>
      </c>
      <c r="B746" s="166" t="s">
        <v>2921</v>
      </c>
      <c r="C746" s="166" t="s">
        <v>139</v>
      </c>
      <c r="D746" s="166" t="s">
        <v>171</v>
      </c>
      <c r="E746" s="166" t="s">
        <v>1127</v>
      </c>
      <c r="F746" s="166" t="s">
        <v>2852</v>
      </c>
      <c r="G746" s="166" t="s">
        <v>129</v>
      </c>
      <c r="H746" s="166">
        <v>1140750</v>
      </c>
      <c r="I746" s="166">
        <v>0</v>
      </c>
      <c r="J746" s="166">
        <v>0</v>
      </c>
      <c r="K746" s="166" t="str">
        <f t="shared" si="11"/>
        <v>ENTITYTTL_INTRST_PD</v>
      </c>
    </row>
    <row r="747" spans="1:11" hidden="1">
      <c r="A747" s="166" t="s">
        <v>2922</v>
      </c>
      <c r="B747" s="166" t="s">
        <v>2923</v>
      </c>
      <c r="C747" s="166" t="s">
        <v>139</v>
      </c>
      <c r="D747" s="166" t="s">
        <v>525</v>
      </c>
      <c r="E747" s="166" t="s">
        <v>1127</v>
      </c>
      <c r="F747" s="166" t="s">
        <v>2852</v>
      </c>
      <c r="G747" s="166" t="s">
        <v>1134</v>
      </c>
      <c r="H747" s="166">
        <v>1140750</v>
      </c>
      <c r="I747" s="166">
        <v>9</v>
      </c>
      <c r="J747" s="166">
        <v>8.0000000000000004E-4</v>
      </c>
      <c r="K747" s="166" t="str">
        <f t="shared" si="11"/>
        <v>ENTITYTTL_LVRG_RT</v>
      </c>
    </row>
    <row r="748" spans="1:11" hidden="1">
      <c r="A748" s="166" t="s">
        <v>2924</v>
      </c>
      <c r="B748" s="166" t="s">
        <v>2925</v>
      </c>
      <c r="C748" s="166" t="s">
        <v>139</v>
      </c>
      <c r="D748" s="166" t="s">
        <v>526</v>
      </c>
      <c r="E748" s="166" t="s">
        <v>1127</v>
      </c>
      <c r="F748" s="166" t="s">
        <v>2852</v>
      </c>
      <c r="G748" s="166" t="s">
        <v>1134</v>
      </c>
      <c r="H748" s="166">
        <v>1140750</v>
      </c>
      <c r="I748" s="166">
        <v>9</v>
      </c>
      <c r="J748" s="166">
        <v>8.0000000000000004E-4</v>
      </c>
      <c r="K748" s="166" t="str">
        <f t="shared" si="11"/>
        <v>ENTITYTTL_LVRG_RT_PRVS</v>
      </c>
    </row>
    <row r="749" spans="1:11" hidden="1">
      <c r="A749" s="166" t="s">
        <v>2926</v>
      </c>
      <c r="B749" s="166" t="s">
        <v>2927</v>
      </c>
      <c r="C749" s="166" t="s">
        <v>139</v>
      </c>
      <c r="D749" s="166" t="s">
        <v>206</v>
      </c>
      <c r="E749" s="166" t="s">
        <v>1127</v>
      </c>
      <c r="F749" s="166" t="s">
        <v>2852</v>
      </c>
      <c r="G749" s="166" t="s">
        <v>1134</v>
      </c>
      <c r="H749" s="166">
        <v>1140750</v>
      </c>
      <c r="I749" s="166">
        <v>10</v>
      </c>
      <c r="J749" s="166">
        <v>8.9999999999999998E-4</v>
      </c>
      <c r="K749" s="166" t="str">
        <f t="shared" si="11"/>
        <v>ENTITYDBT_RPYMNT_CPCTY_SNR_DBT</v>
      </c>
    </row>
    <row r="750" spans="1:11" hidden="1">
      <c r="A750" s="166" t="s">
        <v>2928</v>
      </c>
      <c r="B750" s="166" t="s">
        <v>2929</v>
      </c>
      <c r="C750" s="166" t="s">
        <v>139</v>
      </c>
      <c r="D750" s="166" t="s">
        <v>207</v>
      </c>
      <c r="E750" s="166" t="s">
        <v>1127</v>
      </c>
      <c r="F750" s="166" t="s">
        <v>2852</v>
      </c>
      <c r="G750" s="166" t="s">
        <v>1134</v>
      </c>
      <c r="H750" s="166">
        <v>1140750</v>
      </c>
      <c r="I750" s="166">
        <v>10</v>
      </c>
      <c r="J750" s="166">
        <v>8.9999999999999998E-4</v>
      </c>
      <c r="K750" s="166" t="str">
        <f t="shared" si="11"/>
        <v>ENTITYDBT_RPYMNT_CPCTY_TTL</v>
      </c>
    </row>
    <row r="751" spans="1:11" hidden="1">
      <c r="A751" s="166" t="s">
        <v>2930</v>
      </c>
      <c r="B751" s="166" t="s">
        <v>2931</v>
      </c>
      <c r="C751" s="166" t="s">
        <v>139</v>
      </c>
      <c r="D751" s="166" t="s">
        <v>208</v>
      </c>
      <c r="E751" s="166" t="s">
        <v>1127</v>
      </c>
      <c r="F751" s="166" t="s">
        <v>2852</v>
      </c>
      <c r="G751" s="166" t="s">
        <v>1134</v>
      </c>
      <c r="H751" s="166">
        <v>1140750</v>
      </c>
      <c r="I751" s="166">
        <v>790</v>
      </c>
      <c r="J751" s="166">
        <v>6.93E-2</v>
      </c>
      <c r="K751" s="166" t="str">
        <f t="shared" si="11"/>
        <v>ENTITYDBT_SRVC_RT</v>
      </c>
    </row>
    <row r="752" spans="1:11" hidden="1">
      <c r="A752" s="166" t="s">
        <v>2932</v>
      </c>
      <c r="B752" s="166" t="s">
        <v>2933</v>
      </c>
      <c r="C752" s="166" t="s">
        <v>139</v>
      </c>
      <c r="D752" s="166" t="s">
        <v>209</v>
      </c>
      <c r="E752" s="166" t="s">
        <v>1127</v>
      </c>
      <c r="F752" s="166" t="s">
        <v>2852</v>
      </c>
      <c r="G752" s="166" t="s">
        <v>1134</v>
      </c>
      <c r="H752" s="166">
        <v>1140750</v>
      </c>
      <c r="I752" s="166">
        <v>885</v>
      </c>
      <c r="J752" s="166">
        <v>7.7600000000000002E-2</v>
      </c>
      <c r="K752" s="166" t="str">
        <f t="shared" si="11"/>
        <v>ENTITYDBT_SRVC_RT_12M</v>
      </c>
    </row>
    <row r="753" spans="1:11" hidden="1">
      <c r="A753" s="166" t="s">
        <v>2934</v>
      </c>
      <c r="B753" s="166" t="s">
        <v>2935</v>
      </c>
      <c r="C753" s="166" t="s">
        <v>139</v>
      </c>
      <c r="D753" s="166" t="s">
        <v>150</v>
      </c>
      <c r="E753" s="166" t="s">
        <v>1127</v>
      </c>
      <c r="F753" s="166" t="s">
        <v>2852</v>
      </c>
      <c r="G753" s="166" t="s">
        <v>129</v>
      </c>
      <c r="H753" s="166">
        <v>1140750</v>
      </c>
      <c r="I753" s="166">
        <v>0</v>
      </c>
      <c r="J753" s="166">
        <v>0</v>
      </c>
      <c r="K753" s="166" t="str">
        <f t="shared" si="11"/>
        <v>ENTITYANNL_TRNVR_LE_BDR</v>
      </c>
    </row>
    <row r="754" spans="1:11" hidden="1">
      <c r="A754" s="166" t="s">
        <v>2936</v>
      </c>
      <c r="B754" s="166" t="s">
        <v>2937</v>
      </c>
      <c r="C754" s="166" t="s">
        <v>139</v>
      </c>
      <c r="D754" s="166" t="s">
        <v>152</v>
      </c>
      <c r="E754" s="166" t="s">
        <v>1127</v>
      </c>
      <c r="F754" s="166" t="s">
        <v>2852</v>
      </c>
      <c r="G754" s="166" t="s">
        <v>129</v>
      </c>
      <c r="H754" s="166">
        <v>1140750</v>
      </c>
      <c r="I754" s="166">
        <v>0</v>
      </c>
      <c r="J754" s="166">
        <v>0</v>
      </c>
      <c r="K754" s="166" t="str">
        <f t="shared" si="11"/>
        <v>ENTITYANNL_TRNVR_PRVS_BDR</v>
      </c>
    </row>
    <row r="755" spans="1:11" hidden="1">
      <c r="A755" s="166" t="s">
        <v>2938</v>
      </c>
      <c r="B755" s="166" t="s">
        <v>2939</v>
      </c>
      <c r="C755" s="166" t="s">
        <v>139</v>
      </c>
      <c r="D755" s="166" t="s">
        <v>1742</v>
      </c>
      <c r="E755" s="166" t="s">
        <v>1127</v>
      </c>
      <c r="F755" s="166" t="s">
        <v>2852</v>
      </c>
      <c r="G755" s="166" t="s">
        <v>129</v>
      </c>
      <c r="H755" s="166">
        <v>1140750</v>
      </c>
      <c r="I755" s="166">
        <v>0</v>
      </c>
      <c r="J755" s="166">
        <v>0</v>
      </c>
      <c r="K755" s="166" t="str">
        <f t="shared" si="11"/>
        <v>ENTITYTTL_LBLTY</v>
      </c>
    </row>
    <row r="756" spans="1:11" hidden="1">
      <c r="A756" s="166" t="s">
        <v>2940</v>
      </c>
      <c r="B756" s="166" t="s">
        <v>2941</v>
      </c>
      <c r="C756" s="166" t="s">
        <v>139</v>
      </c>
      <c r="D756" s="166" t="s">
        <v>1793</v>
      </c>
      <c r="E756" s="166" t="s">
        <v>1127</v>
      </c>
      <c r="F756" s="166" t="s">
        <v>2852</v>
      </c>
      <c r="G756" s="166" t="s">
        <v>129</v>
      </c>
      <c r="H756" s="166">
        <v>1140750</v>
      </c>
      <c r="I756" s="166">
        <v>0</v>
      </c>
      <c r="J756" s="166">
        <v>0</v>
      </c>
      <c r="K756" s="166" t="str">
        <f t="shared" si="11"/>
        <v>ENTITYGRP_ANNL_TRNVR_LE</v>
      </c>
    </row>
    <row r="757" spans="1:11" hidden="1">
      <c r="A757" s="166" t="s">
        <v>2942</v>
      </c>
      <c r="B757" s="166" t="s">
        <v>2943</v>
      </c>
      <c r="C757" s="166" t="s">
        <v>139</v>
      </c>
      <c r="D757" s="166" t="s">
        <v>1796</v>
      </c>
      <c r="E757" s="166" t="s">
        <v>1127</v>
      </c>
      <c r="F757" s="166" t="s">
        <v>2852</v>
      </c>
      <c r="G757" s="166" t="s">
        <v>129</v>
      </c>
      <c r="H757" s="166">
        <v>1140750</v>
      </c>
      <c r="I757" s="166">
        <v>0</v>
      </c>
      <c r="J757" s="166">
        <v>0</v>
      </c>
      <c r="K757" s="166" t="str">
        <f t="shared" si="11"/>
        <v>ENTITYGRP_TTL_LBLTY</v>
      </c>
    </row>
    <row r="758" spans="1:11" hidden="1">
      <c r="A758" s="166" t="s">
        <v>2944</v>
      </c>
      <c r="B758" s="166" t="s">
        <v>2945</v>
      </c>
      <c r="C758" s="166" t="s">
        <v>139</v>
      </c>
      <c r="D758" s="166" t="s">
        <v>331</v>
      </c>
      <c r="E758" s="166" t="s">
        <v>1127</v>
      </c>
      <c r="F758" s="166" t="s">
        <v>2852</v>
      </c>
      <c r="G758" s="166" t="s">
        <v>1134</v>
      </c>
      <c r="H758" s="166">
        <v>1140750</v>
      </c>
      <c r="I758" s="166">
        <v>3137</v>
      </c>
      <c r="J758" s="166">
        <v>0.27500000000000002</v>
      </c>
      <c r="K758" s="166" t="str">
        <f t="shared" si="11"/>
        <v>ENTITYFR_CSH_FLW</v>
      </c>
    </row>
    <row r="759" spans="1:11" hidden="1">
      <c r="A759" s="166" t="s">
        <v>2946</v>
      </c>
      <c r="B759" s="166" t="s">
        <v>2947</v>
      </c>
      <c r="C759" s="166" t="s">
        <v>139</v>
      </c>
      <c r="D759" s="166" t="s">
        <v>332</v>
      </c>
      <c r="E759" s="166" t="s">
        <v>1127</v>
      </c>
      <c r="F759" s="166" t="s">
        <v>2852</v>
      </c>
      <c r="G759" s="166" t="s">
        <v>1134</v>
      </c>
      <c r="H759" s="166">
        <v>1140750</v>
      </c>
      <c r="I759" s="166">
        <v>1273</v>
      </c>
      <c r="J759" s="166">
        <v>0.1116</v>
      </c>
      <c r="K759" s="166" t="str">
        <f t="shared" si="11"/>
        <v>ENTITYFR_CSH_FLW_T1</v>
      </c>
    </row>
    <row r="760" spans="1:11" hidden="1">
      <c r="A760" s="166" t="s">
        <v>2948</v>
      </c>
      <c r="B760" s="166" t="s">
        <v>2949</v>
      </c>
      <c r="C760" s="166" t="s">
        <v>139</v>
      </c>
      <c r="D760" s="166" t="s">
        <v>333</v>
      </c>
      <c r="E760" s="166" t="s">
        <v>1127</v>
      </c>
      <c r="F760" s="166" t="s">
        <v>2852</v>
      </c>
      <c r="G760" s="166" t="s">
        <v>1134</v>
      </c>
      <c r="H760" s="166">
        <v>1140750</v>
      </c>
      <c r="I760" s="166">
        <v>1174</v>
      </c>
      <c r="J760" s="166">
        <v>0.10290000000000001</v>
      </c>
      <c r="K760" s="166" t="str">
        <f t="shared" si="11"/>
        <v>ENTITYFR_CSH_FLW_T2</v>
      </c>
    </row>
    <row r="761" spans="1:11" hidden="1">
      <c r="A761" s="166" t="s">
        <v>2950</v>
      </c>
      <c r="B761" s="166" t="s">
        <v>2951</v>
      </c>
      <c r="C761" s="166" t="s">
        <v>139</v>
      </c>
      <c r="D761" s="166" t="s">
        <v>334</v>
      </c>
      <c r="E761" s="166" t="s">
        <v>1127</v>
      </c>
      <c r="F761" s="166" t="s">
        <v>2852</v>
      </c>
      <c r="G761" s="166" t="s">
        <v>1134</v>
      </c>
      <c r="H761" s="166">
        <v>1140750</v>
      </c>
      <c r="I761" s="166">
        <v>1139</v>
      </c>
      <c r="J761" s="166">
        <v>9.98E-2</v>
      </c>
      <c r="K761" s="166" t="str">
        <f t="shared" si="11"/>
        <v>ENTITYFR_CSH_FLW_T3</v>
      </c>
    </row>
    <row r="762" spans="1:11" hidden="1">
      <c r="A762" s="166" t="s">
        <v>2952</v>
      </c>
      <c r="B762" s="166" t="s">
        <v>2953</v>
      </c>
      <c r="C762" s="166" t="s">
        <v>139</v>
      </c>
      <c r="D762" s="166" t="s">
        <v>547</v>
      </c>
      <c r="E762" s="166" t="s">
        <v>1127</v>
      </c>
      <c r="F762" s="166" t="s">
        <v>2852</v>
      </c>
      <c r="G762" s="166" t="s">
        <v>129</v>
      </c>
      <c r="H762" s="166">
        <v>1140750</v>
      </c>
      <c r="I762" s="166">
        <v>0</v>
      </c>
      <c r="J762" s="166">
        <v>0</v>
      </c>
      <c r="K762" s="166" t="str">
        <f t="shared" si="11"/>
        <v>ENTITYNMBR_EMPLYS</v>
      </c>
    </row>
    <row r="763" spans="1:11" hidden="1">
      <c r="A763" s="166" t="s">
        <v>2954</v>
      </c>
      <c r="B763" s="166" t="s">
        <v>2955</v>
      </c>
      <c r="C763" s="166" t="s">
        <v>139</v>
      </c>
      <c r="D763" s="166" t="s">
        <v>552</v>
      </c>
      <c r="E763" s="166" t="s">
        <v>1127</v>
      </c>
      <c r="F763" s="166" t="s">
        <v>2852</v>
      </c>
      <c r="G763" s="166" t="s">
        <v>129</v>
      </c>
      <c r="H763" s="166">
        <v>1140750</v>
      </c>
      <c r="I763" s="166">
        <v>0</v>
      </c>
      <c r="J763" s="166">
        <v>0</v>
      </c>
      <c r="K763" s="166" t="str">
        <f t="shared" si="11"/>
        <v>ENTITYTTL_ASSTS</v>
      </c>
    </row>
    <row r="764" spans="1:11" hidden="1">
      <c r="A764" s="166" t="s">
        <v>2956</v>
      </c>
      <c r="B764" s="166" t="s">
        <v>2957</v>
      </c>
      <c r="C764" s="166" t="s">
        <v>139</v>
      </c>
      <c r="D764" s="166" t="s">
        <v>1322</v>
      </c>
      <c r="E764" s="166" t="s">
        <v>1127</v>
      </c>
      <c r="F764" s="166" t="s">
        <v>2852</v>
      </c>
      <c r="G764" s="166" t="s">
        <v>1134</v>
      </c>
      <c r="H764" s="166">
        <v>1140750</v>
      </c>
      <c r="I764" s="166">
        <v>3472</v>
      </c>
      <c r="J764" s="166">
        <v>0.3044</v>
      </c>
      <c r="K764" s="166" t="str">
        <f t="shared" si="11"/>
        <v>ENTITYRORAC</v>
      </c>
    </row>
    <row r="765" spans="1:11" hidden="1">
      <c r="A765" s="166" t="s">
        <v>2958</v>
      </c>
      <c r="B765" s="166" t="s">
        <v>2959</v>
      </c>
      <c r="C765" s="166" t="s">
        <v>139</v>
      </c>
      <c r="D765" s="166" t="s">
        <v>1325</v>
      </c>
      <c r="E765" s="166" t="s">
        <v>1127</v>
      </c>
      <c r="F765" s="166" t="s">
        <v>2852</v>
      </c>
      <c r="G765" s="166" t="s">
        <v>1134</v>
      </c>
      <c r="H765" s="166">
        <v>1140750</v>
      </c>
      <c r="I765" s="166">
        <v>3248</v>
      </c>
      <c r="J765" s="166">
        <v>0.28470000000000001</v>
      </c>
      <c r="K765" s="166" t="str">
        <f t="shared" si="11"/>
        <v>ENTITYGRP_RORAC</v>
      </c>
    </row>
    <row r="766" spans="1:11" hidden="1">
      <c r="A766" s="166" t="s">
        <v>2960</v>
      </c>
      <c r="B766" s="166" t="s">
        <v>2961</v>
      </c>
      <c r="C766" s="166" t="s">
        <v>139</v>
      </c>
      <c r="D766" s="166" t="s">
        <v>1321</v>
      </c>
      <c r="E766" s="166" t="s">
        <v>1127</v>
      </c>
      <c r="F766" s="166" t="s">
        <v>2852</v>
      </c>
      <c r="G766" s="166" t="s">
        <v>1134</v>
      </c>
      <c r="H766" s="166">
        <v>1140750</v>
      </c>
      <c r="I766" s="166">
        <v>3</v>
      </c>
      <c r="J766" s="166">
        <v>2.9999999999999997E-4</v>
      </c>
      <c r="K766" s="166" t="str">
        <f t="shared" si="11"/>
        <v>ENTITYRORWA</v>
      </c>
    </row>
    <row r="767" spans="1:11" hidden="1">
      <c r="A767" s="166" t="s">
        <v>2962</v>
      </c>
      <c r="B767" s="166" t="s">
        <v>2963</v>
      </c>
      <c r="C767" s="166" t="s">
        <v>139</v>
      </c>
      <c r="D767" s="166" t="s">
        <v>1324</v>
      </c>
      <c r="E767" s="166" t="s">
        <v>1127</v>
      </c>
      <c r="F767" s="166" t="s">
        <v>2852</v>
      </c>
      <c r="G767" s="166" t="s">
        <v>1134</v>
      </c>
      <c r="H767" s="166">
        <v>1140750</v>
      </c>
      <c r="I767" s="166">
        <v>3</v>
      </c>
      <c r="J767" s="166">
        <v>2.9999999999999997E-4</v>
      </c>
      <c r="K767" s="166" t="str">
        <f t="shared" si="11"/>
        <v>ENTITYGRP_RORWA</v>
      </c>
    </row>
    <row r="768" spans="1:11" hidden="1">
      <c r="A768" s="166" t="s">
        <v>2964</v>
      </c>
      <c r="B768" s="166" t="s">
        <v>2965</v>
      </c>
      <c r="C768" s="166" t="s">
        <v>139</v>
      </c>
      <c r="D768" s="166" t="s">
        <v>1315</v>
      </c>
      <c r="E768" s="166" t="s">
        <v>1127</v>
      </c>
      <c r="F768" s="166" t="s">
        <v>2852</v>
      </c>
      <c r="G768" s="166" t="s">
        <v>129</v>
      </c>
      <c r="H768" s="166">
        <v>1140750</v>
      </c>
      <c r="I768" s="166">
        <v>0</v>
      </c>
      <c r="J768" s="166">
        <v>0</v>
      </c>
      <c r="K768" s="166" t="str">
        <f t="shared" si="11"/>
        <v>ENTITYTTL_PRMSSBL_DBT_BLNC</v>
      </c>
    </row>
    <row r="769" spans="1:11" hidden="1">
      <c r="A769" s="166" t="s">
        <v>2966</v>
      </c>
      <c r="B769" s="166" t="s">
        <v>2848</v>
      </c>
      <c r="C769" s="166" t="s">
        <v>187</v>
      </c>
      <c r="D769" s="166" t="s">
        <v>283</v>
      </c>
      <c r="E769" s="166" t="s">
        <v>1137</v>
      </c>
      <c r="F769" s="166" t="s">
        <v>2967</v>
      </c>
      <c r="G769" s="166" t="s">
        <v>129</v>
      </c>
      <c r="H769" s="166">
        <v>2655362</v>
      </c>
      <c r="I769" s="166">
        <v>0</v>
      </c>
      <c r="J769" s="166">
        <v>0</v>
      </c>
      <c r="K769" s="166" t="str">
        <f t="shared" si="11"/>
        <v>INSTR_ENTITYDT_RFRNC</v>
      </c>
    </row>
    <row r="770" spans="1:11" hidden="1">
      <c r="A770" s="166" t="s">
        <v>2968</v>
      </c>
      <c r="B770" s="166" t="s">
        <v>2969</v>
      </c>
      <c r="C770" s="166" t="s">
        <v>187</v>
      </c>
      <c r="D770" s="166" t="s">
        <v>390</v>
      </c>
      <c r="E770" s="166" t="s">
        <v>1127</v>
      </c>
      <c r="F770" s="166" t="s">
        <v>2967</v>
      </c>
      <c r="G770" s="166" t="s">
        <v>1134</v>
      </c>
      <c r="H770" s="166">
        <v>2655362</v>
      </c>
      <c r="I770" s="166">
        <v>8</v>
      </c>
      <c r="J770" s="166">
        <v>2.9999999999999997E-4</v>
      </c>
      <c r="K770" s="166" t="str">
        <f t="shared" si="11"/>
        <v>INSTR_ENTITYJNT_LBLTY_AMNT</v>
      </c>
    </row>
    <row r="771" spans="1:11" hidden="1">
      <c r="A771" s="166" t="s">
        <v>2970</v>
      </c>
      <c r="B771" s="166" t="s">
        <v>2848</v>
      </c>
      <c r="C771" s="166" t="s">
        <v>127</v>
      </c>
      <c r="D771" s="166" t="s">
        <v>283</v>
      </c>
      <c r="E771" s="166" t="s">
        <v>1137</v>
      </c>
      <c r="F771" s="166" t="s">
        <v>1128</v>
      </c>
      <c r="G771" s="166" t="s">
        <v>129</v>
      </c>
      <c r="H771" s="166">
        <v>2138963</v>
      </c>
      <c r="I771" s="166">
        <v>0</v>
      </c>
      <c r="J771" s="166">
        <v>0</v>
      </c>
      <c r="K771" s="166" t="str">
        <f t="shared" ref="K771:K834" si="12">_xlfn.CONCAT(_xlfn.IFS(ISNUMBER(SEARCH("EN",A771)),"ENTITY",ISNUMBER(SEARCH("IN",A771)),"INSTRUMENT",ISNUMBER(SEARCH("PR",A771)),"PROTECTION",ISNUMBER(SEARCH("IP",A771)),"INSTR_PROTECTION",ISNUMBER(SEARCH("IE",A771)),"INSTR_ENTITY",ISNUMBER(SEARCH("AC",A771)),"INSTR_ACTIVITY"),D771)</f>
        <v>INSTRUMENTDT_RFRNC</v>
      </c>
    </row>
    <row r="772" spans="1:11" hidden="1">
      <c r="A772" s="166" t="s">
        <v>2971</v>
      </c>
      <c r="B772" s="166" t="s">
        <v>2972</v>
      </c>
      <c r="C772" s="166" t="s">
        <v>127</v>
      </c>
      <c r="D772" s="166" t="s">
        <v>259</v>
      </c>
      <c r="E772" s="166" t="s">
        <v>1137</v>
      </c>
      <c r="F772" s="166" t="s">
        <v>1128</v>
      </c>
      <c r="G772" s="166" t="s">
        <v>1134</v>
      </c>
      <c r="H772" s="166">
        <v>2138963</v>
      </c>
      <c r="I772" s="166">
        <v>37</v>
      </c>
      <c r="J772" s="166">
        <v>1.6999999999999999E-3</v>
      </c>
      <c r="K772" s="166" t="str">
        <f t="shared" si="12"/>
        <v>INSTRUMENTDT_INCPTN</v>
      </c>
    </row>
    <row r="773" spans="1:11" hidden="1">
      <c r="A773" s="166" t="s">
        <v>2973</v>
      </c>
      <c r="B773" s="166" t="s">
        <v>2854</v>
      </c>
      <c r="C773" s="166" t="s">
        <v>127</v>
      </c>
      <c r="D773" s="166" t="s">
        <v>241</v>
      </c>
      <c r="E773" s="166" t="s">
        <v>1137</v>
      </c>
      <c r="F773" s="166" t="s">
        <v>1128</v>
      </c>
      <c r="G773" s="166" t="s">
        <v>1134</v>
      </c>
      <c r="H773" s="166">
        <v>2138963</v>
      </c>
      <c r="I773" s="166">
        <v>35</v>
      </c>
      <c r="J773" s="166">
        <v>1.6000000000000001E-3</v>
      </c>
      <c r="K773" s="166" t="str">
        <f t="shared" si="12"/>
        <v>INSTRUMENTDT_DFLT_STTS_INSTRMNT</v>
      </c>
    </row>
    <row r="774" spans="1:11" hidden="1">
      <c r="A774" s="166" t="s">
        <v>2974</v>
      </c>
      <c r="B774" s="166" t="s">
        <v>2975</v>
      </c>
      <c r="C774" s="166" t="s">
        <v>127</v>
      </c>
      <c r="D774" s="166" t="s">
        <v>243</v>
      </c>
      <c r="E774" s="166" t="s">
        <v>1137</v>
      </c>
      <c r="F774" s="166" t="s">
        <v>1128</v>
      </c>
      <c r="G774" s="166" t="s">
        <v>129</v>
      </c>
      <c r="H774" s="166">
        <v>2138963</v>
      </c>
      <c r="I774" s="166">
        <v>0</v>
      </c>
      <c r="J774" s="166">
        <v>0</v>
      </c>
      <c r="K774" s="166" t="str">
        <f t="shared" si="12"/>
        <v>INSTRUMENTDT_END_GP_PPAL</v>
      </c>
    </row>
    <row r="775" spans="1:11" hidden="1">
      <c r="A775" s="166" t="s">
        <v>2976</v>
      </c>
      <c r="B775" s="166" t="s">
        <v>2977</v>
      </c>
      <c r="C775" s="166" t="s">
        <v>127</v>
      </c>
      <c r="D775" s="166" t="s">
        <v>245</v>
      </c>
      <c r="E775" s="166" t="s">
        <v>1137</v>
      </c>
      <c r="F775" s="166" t="s">
        <v>1128</v>
      </c>
      <c r="G775" s="166" t="s">
        <v>129</v>
      </c>
      <c r="H775" s="166">
        <v>2138963</v>
      </c>
      <c r="I775" s="166">
        <v>0</v>
      </c>
      <c r="J775" s="166">
        <v>0</v>
      </c>
      <c r="K775" s="166" t="str">
        <f t="shared" si="12"/>
        <v>INSTRUMENTDT_END_INTRST_ONLY</v>
      </c>
    </row>
    <row r="776" spans="1:11" hidden="1">
      <c r="A776" s="166" t="s">
        <v>2978</v>
      </c>
      <c r="B776" s="166" t="s">
        <v>2979</v>
      </c>
      <c r="C776" s="166" t="s">
        <v>127</v>
      </c>
      <c r="D776" s="166" t="s">
        <v>447</v>
      </c>
      <c r="E776" s="166" t="s">
        <v>1137</v>
      </c>
      <c r="F776" s="166" t="s">
        <v>1128</v>
      </c>
      <c r="G776" s="166" t="s">
        <v>1134</v>
      </c>
      <c r="H776" s="166">
        <v>2138963</v>
      </c>
      <c r="I776" s="166">
        <v>37</v>
      </c>
      <c r="J776" s="166">
        <v>1.6999999999999999E-3</v>
      </c>
      <c r="K776" s="166" t="str">
        <f t="shared" si="12"/>
        <v>INSTRUMENTDT_FRBRNC_STTS</v>
      </c>
    </row>
    <row r="777" spans="1:11" hidden="1">
      <c r="A777" s="166" t="s">
        <v>2980</v>
      </c>
      <c r="B777" s="166" t="s">
        <v>2981</v>
      </c>
      <c r="C777" s="166" t="s">
        <v>127</v>
      </c>
      <c r="D777" s="166" t="s">
        <v>431</v>
      </c>
      <c r="E777" s="166" t="s">
        <v>1137</v>
      </c>
      <c r="F777" s="166" t="s">
        <v>1128</v>
      </c>
      <c r="G777" s="166" t="s">
        <v>129</v>
      </c>
      <c r="H777" s="166">
        <v>2138963</v>
      </c>
      <c r="I777" s="166">
        <v>0</v>
      </c>
      <c r="J777" s="166">
        <v>0</v>
      </c>
      <c r="K777" s="166" t="str">
        <f t="shared" si="12"/>
        <v>INSTRUMENTDT_FRBRNC_STTS_PRVS</v>
      </c>
    </row>
    <row r="778" spans="1:11" hidden="1">
      <c r="A778" s="166" t="s">
        <v>2982</v>
      </c>
      <c r="B778" s="166" t="s">
        <v>2983</v>
      </c>
      <c r="C778" s="166" t="s">
        <v>127</v>
      </c>
      <c r="D778" s="166" t="s">
        <v>260</v>
      </c>
      <c r="E778" s="166" t="s">
        <v>1137</v>
      </c>
      <c r="F778" s="166" t="s">
        <v>1128</v>
      </c>
      <c r="G778" s="166" t="s">
        <v>129</v>
      </c>
      <c r="H778" s="166">
        <v>2138963</v>
      </c>
      <c r="I778" s="166">
        <v>0</v>
      </c>
      <c r="J778" s="166">
        <v>0</v>
      </c>
      <c r="K778" s="166" t="str">
        <f t="shared" si="12"/>
        <v>INSTRUMENTDT_INTRNL_RTNG</v>
      </c>
    </row>
    <row r="779" spans="1:11" hidden="1">
      <c r="A779" s="166" t="s">
        <v>1140</v>
      </c>
      <c r="B779" s="166" t="s">
        <v>1141</v>
      </c>
      <c r="C779" s="166" t="s">
        <v>127</v>
      </c>
      <c r="D779" s="166" t="s">
        <v>53</v>
      </c>
      <c r="E779" s="166" t="s">
        <v>1137</v>
      </c>
      <c r="F779" s="166" t="s">
        <v>1128</v>
      </c>
      <c r="G779" s="166" t="s">
        <v>1134</v>
      </c>
      <c r="H779" s="166">
        <v>2138963</v>
      </c>
      <c r="I779" s="166">
        <v>36</v>
      </c>
      <c r="J779" s="166">
        <v>1.6999999999999999E-3</v>
      </c>
      <c r="K779" s="166" t="str">
        <f t="shared" si="12"/>
        <v>INSTRUMENTDT_PRFRMNG_STTS</v>
      </c>
    </row>
    <row r="780" spans="1:11" hidden="1">
      <c r="A780" s="166" t="s">
        <v>1143</v>
      </c>
      <c r="B780" s="166" t="s">
        <v>1144</v>
      </c>
      <c r="C780" s="166" t="s">
        <v>127</v>
      </c>
      <c r="D780" s="166" t="s">
        <v>54</v>
      </c>
      <c r="E780" s="166" t="s">
        <v>1137</v>
      </c>
      <c r="F780" s="166" t="s">
        <v>1128</v>
      </c>
      <c r="G780" s="166" t="s">
        <v>1134</v>
      </c>
      <c r="H780" s="166">
        <v>2138963</v>
      </c>
      <c r="I780" s="166">
        <v>36</v>
      </c>
      <c r="J780" s="166">
        <v>1.6999999999999999E-3</v>
      </c>
      <c r="K780" s="166" t="str">
        <f t="shared" si="12"/>
        <v>INSTRUMENTDT_PRFRMNG_STTS_PRVS</v>
      </c>
    </row>
    <row r="781" spans="1:11" hidden="1">
      <c r="A781" s="166" t="s">
        <v>2984</v>
      </c>
      <c r="B781" s="166" t="s">
        <v>2985</v>
      </c>
      <c r="C781" s="166" t="s">
        <v>127</v>
      </c>
      <c r="D781" s="166" t="s">
        <v>285</v>
      </c>
      <c r="E781" s="166" t="s">
        <v>1137</v>
      </c>
      <c r="F781" s="166" t="s">
        <v>1128</v>
      </c>
      <c r="G781" s="166" t="s">
        <v>129</v>
      </c>
      <c r="H781" s="166">
        <v>2138963</v>
      </c>
      <c r="I781" s="166">
        <v>0</v>
      </c>
      <c r="J781" s="166">
        <v>0</v>
      </c>
      <c r="K781" s="166" t="str">
        <f t="shared" si="12"/>
        <v>INSTRUMENTDT_STRT_INTRST_ONLY</v>
      </c>
    </row>
    <row r="782" spans="1:11" hidden="1">
      <c r="A782" s="166" t="s">
        <v>2986</v>
      </c>
      <c r="B782" s="166" t="s">
        <v>2987</v>
      </c>
      <c r="C782" s="166" t="s">
        <v>127</v>
      </c>
      <c r="D782" s="166" t="s">
        <v>284</v>
      </c>
      <c r="E782" s="166" t="s">
        <v>1137</v>
      </c>
      <c r="F782" s="166" t="s">
        <v>1128</v>
      </c>
      <c r="G782" s="166" t="s">
        <v>129</v>
      </c>
      <c r="H782" s="166">
        <v>2138963</v>
      </c>
      <c r="I782" s="166">
        <v>0</v>
      </c>
      <c r="J782" s="166">
        <v>0</v>
      </c>
      <c r="K782" s="166" t="str">
        <f t="shared" si="12"/>
        <v>INSTRUMENTDT_STRT_GP_PPAL</v>
      </c>
    </row>
    <row r="783" spans="1:11" hidden="1">
      <c r="A783" s="166" t="s">
        <v>2988</v>
      </c>
      <c r="B783" s="166" t="s">
        <v>2989</v>
      </c>
      <c r="C783" s="166" t="s">
        <v>127</v>
      </c>
      <c r="D783" s="166" t="s">
        <v>348</v>
      </c>
      <c r="E783" s="166" t="s">
        <v>1127</v>
      </c>
      <c r="F783" s="166" t="s">
        <v>1128</v>
      </c>
      <c r="G783" s="166" t="s">
        <v>1134</v>
      </c>
      <c r="H783" s="166">
        <v>2138963</v>
      </c>
      <c r="I783" s="166">
        <v>27140</v>
      </c>
      <c r="J783" s="166">
        <v>1.2687999999999999</v>
      </c>
      <c r="K783" s="166" t="str">
        <f t="shared" si="12"/>
        <v>INSTRUMENTGRSS_CRRYNG_AMNT_INSTRMNT</v>
      </c>
    </row>
    <row r="784" spans="1:11" hidden="1">
      <c r="A784" s="166" t="s">
        <v>2990</v>
      </c>
      <c r="B784" s="166" t="s">
        <v>1097</v>
      </c>
      <c r="C784" s="166" t="s">
        <v>127</v>
      </c>
      <c r="D784" s="166" t="s">
        <v>128</v>
      </c>
      <c r="E784" s="166" t="s">
        <v>1127</v>
      </c>
      <c r="F784" s="166" t="s">
        <v>1128</v>
      </c>
      <c r="G784" s="166" t="s">
        <v>129</v>
      </c>
      <c r="H784" s="166">
        <v>2138963</v>
      </c>
      <c r="I784" s="166">
        <v>0</v>
      </c>
      <c r="J784" s="166">
        <v>0</v>
      </c>
      <c r="K784" s="166" t="str">
        <f t="shared" si="12"/>
        <v>INSTRUMENTACCMLTD_CHNGS_FV_CR_INSTRMNT</v>
      </c>
    </row>
    <row r="785" spans="1:11" hidden="1">
      <c r="A785" s="166" t="s">
        <v>2991</v>
      </c>
      <c r="B785" s="166" t="s">
        <v>2992</v>
      </c>
      <c r="C785" s="166" t="s">
        <v>127</v>
      </c>
      <c r="D785" s="166" t="s">
        <v>524</v>
      </c>
      <c r="E785" s="166" t="s">
        <v>1127</v>
      </c>
      <c r="F785" s="166" t="s">
        <v>1128</v>
      </c>
      <c r="G785" s="166" t="s">
        <v>1134</v>
      </c>
      <c r="H785" s="166">
        <v>2138963</v>
      </c>
      <c r="I785" s="166">
        <v>474</v>
      </c>
      <c r="J785" s="166">
        <v>2.2200000000000001E-2</v>
      </c>
      <c r="K785" s="166" t="str">
        <f t="shared" si="12"/>
        <v>INSTRUMENTACCRD_INTRST_INSTRMNT</v>
      </c>
    </row>
    <row r="786" spans="1:11" hidden="1">
      <c r="A786" s="166" t="s">
        <v>2993</v>
      </c>
      <c r="B786" s="166" t="s">
        <v>2994</v>
      </c>
      <c r="C786" s="166" t="s">
        <v>127</v>
      </c>
      <c r="D786" s="166" t="s">
        <v>148</v>
      </c>
      <c r="E786" s="166" t="s">
        <v>1127</v>
      </c>
      <c r="F786" s="166" t="s">
        <v>1128</v>
      </c>
      <c r="G786" s="166" t="s">
        <v>1134</v>
      </c>
      <c r="H786" s="166">
        <v>2138963</v>
      </c>
      <c r="I786" s="166">
        <v>1</v>
      </c>
      <c r="J786" s="166">
        <v>0</v>
      </c>
      <c r="K786" s="166" t="str">
        <f t="shared" si="12"/>
        <v>INSTRUMENTAMNT_D_AT_MTRTY</v>
      </c>
    </row>
    <row r="787" spans="1:11" hidden="1">
      <c r="A787" s="166" t="s">
        <v>2995</v>
      </c>
      <c r="B787" s="166" t="s">
        <v>2996</v>
      </c>
      <c r="C787" s="166" t="s">
        <v>127</v>
      </c>
      <c r="D787" s="166" t="s">
        <v>167</v>
      </c>
      <c r="E787" s="166" t="s">
        <v>1127</v>
      </c>
      <c r="F787" s="166" t="s">
        <v>1128</v>
      </c>
      <c r="G787" s="166" t="s">
        <v>1134</v>
      </c>
      <c r="H787" s="166">
        <v>2138963</v>
      </c>
      <c r="I787" s="166">
        <v>114042</v>
      </c>
      <c r="J787" s="166">
        <v>5.3315999999999999</v>
      </c>
      <c r="K787" s="166" t="str">
        <f t="shared" si="12"/>
        <v>INSTRUMENTCCF</v>
      </c>
    </row>
    <row r="788" spans="1:11" hidden="1">
      <c r="A788" s="166" t="s">
        <v>2997</v>
      </c>
      <c r="B788" s="166" t="s">
        <v>2998</v>
      </c>
      <c r="C788" s="166" t="s">
        <v>127</v>
      </c>
      <c r="D788" s="166" t="s">
        <v>173</v>
      </c>
      <c r="E788" s="166" t="s">
        <v>1127</v>
      </c>
      <c r="F788" s="166" t="s">
        <v>1128</v>
      </c>
      <c r="G788" s="166" t="s">
        <v>129</v>
      </c>
      <c r="H788" s="166">
        <v>2138963</v>
      </c>
      <c r="I788" s="166">
        <v>0</v>
      </c>
      <c r="J788" s="166">
        <v>0</v>
      </c>
      <c r="K788" s="166" t="str">
        <f t="shared" si="12"/>
        <v>INSTRUMENTCMMTMNT_INCPTN_INSTRMNT</v>
      </c>
    </row>
    <row r="789" spans="1:11" hidden="1">
      <c r="A789" s="166" t="s">
        <v>2999</v>
      </c>
      <c r="B789" s="166" t="s">
        <v>3000</v>
      </c>
      <c r="C789" s="166" t="s">
        <v>127</v>
      </c>
      <c r="D789" s="166" t="s">
        <v>482</v>
      </c>
      <c r="E789" s="166" t="s">
        <v>1127</v>
      </c>
      <c r="F789" s="166" t="s">
        <v>1128</v>
      </c>
      <c r="G789" s="166" t="s">
        <v>129</v>
      </c>
      <c r="H789" s="166">
        <v>2138963</v>
      </c>
      <c r="I789" s="166">
        <v>0</v>
      </c>
      <c r="J789" s="166">
        <v>0</v>
      </c>
      <c r="K789" s="166" t="str">
        <f t="shared" si="12"/>
        <v>INSTRUMENTCMMTMNT_INSTRMNT</v>
      </c>
    </row>
    <row r="790" spans="1:11" hidden="1">
      <c r="A790" s="166" t="s">
        <v>3001</v>
      </c>
      <c r="B790" s="166" t="s">
        <v>3002</v>
      </c>
      <c r="C790" s="166" t="s">
        <v>127</v>
      </c>
      <c r="D790" s="166" t="s">
        <v>200</v>
      </c>
      <c r="E790" s="166" t="s">
        <v>1127</v>
      </c>
      <c r="F790" s="166" t="s">
        <v>1128</v>
      </c>
      <c r="G790" s="166" t="s">
        <v>1134</v>
      </c>
      <c r="H790" s="166">
        <v>2138963</v>
      </c>
      <c r="I790" s="166">
        <v>28695</v>
      </c>
      <c r="J790" s="166">
        <v>1.3414999999999999</v>
      </c>
      <c r="K790" s="166" t="str">
        <f t="shared" si="12"/>
        <v>INSTRUMENTCRRYNG_AMNT_INSTRMNT</v>
      </c>
    </row>
    <row r="791" spans="1:11" hidden="1">
      <c r="A791" s="166" t="s">
        <v>3003</v>
      </c>
      <c r="B791" s="166" t="s">
        <v>3004</v>
      </c>
      <c r="C791" s="166" t="s">
        <v>127</v>
      </c>
      <c r="D791" s="166" t="s">
        <v>210</v>
      </c>
      <c r="E791" s="166" t="s">
        <v>1127</v>
      </c>
      <c r="F791" s="166" t="s">
        <v>1128</v>
      </c>
      <c r="G791" s="166" t="s">
        <v>129</v>
      </c>
      <c r="H791" s="166">
        <v>2138963</v>
      </c>
      <c r="I791" s="166">
        <v>0</v>
      </c>
      <c r="J791" s="166">
        <v>0</v>
      </c>
      <c r="K791" s="166" t="str">
        <f t="shared" si="12"/>
        <v>INSTRUMENTDBT_YLD</v>
      </c>
    </row>
    <row r="792" spans="1:11" hidden="1">
      <c r="A792" s="166" t="s">
        <v>3005</v>
      </c>
      <c r="B792" s="166" t="s">
        <v>3006</v>
      </c>
      <c r="C792" s="166" t="s">
        <v>127</v>
      </c>
      <c r="D792" s="166" t="s">
        <v>496</v>
      </c>
      <c r="E792" s="166" t="s">
        <v>1137</v>
      </c>
      <c r="F792" s="166" t="s">
        <v>1128</v>
      </c>
      <c r="G792" s="166" t="s">
        <v>1134</v>
      </c>
      <c r="H792" s="166">
        <v>2138963</v>
      </c>
      <c r="I792" s="166">
        <v>7</v>
      </c>
      <c r="J792" s="166">
        <v>2.9999999999999997E-4</v>
      </c>
      <c r="K792" s="166" t="str">
        <f t="shared" si="12"/>
        <v>INSTRUMENTDT_LGL_FNL_MTRTY</v>
      </c>
    </row>
    <row r="793" spans="1:11" hidden="1">
      <c r="A793" s="166" t="s">
        <v>3007</v>
      </c>
      <c r="B793" s="166" t="s">
        <v>3008</v>
      </c>
      <c r="C793" s="166" t="s">
        <v>127</v>
      </c>
      <c r="D793" s="166" t="s">
        <v>500</v>
      </c>
      <c r="E793" s="166" t="s">
        <v>1137</v>
      </c>
      <c r="F793" s="166" t="s">
        <v>1128</v>
      </c>
      <c r="G793" s="166" t="s">
        <v>1134</v>
      </c>
      <c r="H793" s="166">
        <v>2138963</v>
      </c>
      <c r="I793" s="166">
        <v>8</v>
      </c>
      <c r="J793" s="166">
        <v>4.0000000000000002E-4</v>
      </c>
      <c r="K793" s="166" t="str">
        <f t="shared" si="12"/>
        <v>INSTRUMENTDT_NXT_INTRST_RT_RST</v>
      </c>
    </row>
    <row r="794" spans="1:11" hidden="1">
      <c r="A794" s="166" t="s">
        <v>3009</v>
      </c>
      <c r="B794" s="166" t="s">
        <v>3010</v>
      </c>
      <c r="C794" s="166" t="s">
        <v>127</v>
      </c>
      <c r="D794" s="166" t="s">
        <v>274</v>
      </c>
      <c r="E794" s="166" t="s">
        <v>1137</v>
      </c>
      <c r="F794" s="166" t="s">
        <v>1128</v>
      </c>
      <c r="G794" s="166" t="s">
        <v>1134</v>
      </c>
      <c r="H794" s="166">
        <v>2138963</v>
      </c>
      <c r="I794" s="166">
        <v>18</v>
      </c>
      <c r="J794" s="166">
        <v>8.0000000000000004E-4</v>
      </c>
      <c r="K794" s="166" t="str">
        <f t="shared" si="12"/>
        <v>INSTRUMENTDT_ORGNL_MTRTY</v>
      </c>
    </row>
    <row r="795" spans="1:11" hidden="1">
      <c r="A795" s="166" t="s">
        <v>3011</v>
      </c>
      <c r="B795" s="166" t="s">
        <v>756</v>
      </c>
      <c r="C795" s="166" t="s">
        <v>127</v>
      </c>
      <c r="D795" s="166" t="s">
        <v>278</v>
      </c>
      <c r="E795" s="166" t="s">
        <v>1127</v>
      </c>
      <c r="F795" s="166" t="s">
        <v>1128</v>
      </c>
      <c r="G795" s="166" t="s">
        <v>129</v>
      </c>
      <c r="H795" s="166">
        <v>2138963</v>
      </c>
      <c r="I795" s="166">
        <v>0</v>
      </c>
      <c r="J795" s="166">
        <v>0</v>
      </c>
      <c r="K795" s="166" t="str">
        <f t="shared" si="12"/>
        <v>INSTRUMENTIFRS9_BHVRL_MTRTY</v>
      </c>
    </row>
    <row r="796" spans="1:11" hidden="1">
      <c r="A796" s="166" t="s">
        <v>3012</v>
      </c>
      <c r="B796" s="166" t="s">
        <v>3013</v>
      </c>
      <c r="C796" s="166" t="s">
        <v>127</v>
      </c>
      <c r="D796" s="166" t="s">
        <v>289</v>
      </c>
      <c r="E796" s="166" t="s">
        <v>1127</v>
      </c>
      <c r="F796" s="166" t="s">
        <v>1128</v>
      </c>
      <c r="G796" s="166" t="s">
        <v>129</v>
      </c>
      <c r="H796" s="166">
        <v>2138963</v>
      </c>
      <c r="I796" s="166">
        <v>0</v>
      </c>
      <c r="J796" s="166">
        <v>0</v>
      </c>
      <c r="K796" s="166" t="str">
        <f t="shared" si="12"/>
        <v>INSTRUMENTEAD</v>
      </c>
    </row>
    <row r="797" spans="1:11" hidden="1">
      <c r="A797" s="166" t="s">
        <v>3014</v>
      </c>
      <c r="B797" s="166" t="s">
        <v>3015</v>
      </c>
      <c r="C797" s="166" t="s">
        <v>127</v>
      </c>
      <c r="D797" s="166" t="s">
        <v>355</v>
      </c>
      <c r="E797" s="166" t="s">
        <v>1127</v>
      </c>
      <c r="F797" s="166" t="s">
        <v>1128</v>
      </c>
      <c r="G797" s="166" t="s">
        <v>1134</v>
      </c>
      <c r="H797" s="166">
        <v>2138963</v>
      </c>
      <c r="I797" s="166">
        <v>39113</v>
      </c>
      <c r="J797" s="166">
        <v>1.8286</v>
      </c>
      <c r="K797" s="166" t="str">
        <f t="shared" si="12"/>
        <v>INSTRUMENTIFRS9_CCF</v>
      </c>
    </row>
    <row r="798" spans="1:11" hidden="1">
      <c r="A798" s="166" t="s">
        <v>3016</v>
      </c>
      <c r="B798" s="166" t="s">
        <v>3017</v>
      </c>
      <c r="C798" s="166" t="s">
        <v>127</v>
      </c>
      <c r="D798" s="166" t="s">
        <v>357</v>
      </c>
      <c r="E798" s="166" t="s">
        <v>1127</v>
      </c>
      <c r="F798" s="166" t="s">
        <v>1128</v>
      </c>
      <c r="G798" s="166" t="s">
        <v>129</v>
      </c>
      <c r="H798" s="166">
        <v>2138963</v>
      </c>
      <c r="I798" s="166">
        <v>0</v>
      </c>
      <c r="J798" s="166">
        <v>0</v>
      </c>
      <c r="K798" s="166" t="str">
        <f t="shared" si="12"/>
        <v>INSTRUMENTIFRS9_EAD</v>
      </c>
    </row>
    <row r="799" spans="1:11" hidden="1">
      <c r="A799" s="166" t="s">
        <v>3018</v>
      </c>
      <c r="B799" s="166" t="s">
        <v>3019</v>
      </c>
      <c r="C799" s="166" t="s">
        <v>127</v>
      </c>
      <c r="D799" s="166" t="s">
        <v>295</v>
      </c>
      <c r="E799" s="166" t="s">
        <v>1127</v>
      </c>
      <c r="F799" s="166" t="s">
        <v>1128</v>
      </c>
      <c r="G799" s="166" t="s">
        <v>129</v>
      </c>
      <c r="H799" s="166">
        <v>2138963</v>
      </c>
      <c r="I799" s="166">
        <v>0</v>
      </c>
      <c r="J799" s="166">
        <v>0</v>
      </c>
      <c r="K799" s="166" t="str">
        <f t="shared" si="12"/>
        <v>INSTRUMENTINSTLMNT_PAY</v>
      </c>
    </row>
    <row r="800" spans="1:11" hidden="1">
      <c r="A800" s="166" t="s">
        <v>3020</v>
      </c>
      <c r="B800" s="166" t="s">
        <v>3021</v>
      </c>
      <c r="C800" s="166" t="s">
        <v>127</v>
      </c>
      <c r="D800" s="166" t="s">
        <v>426</v>
      </c>
      <c r="E800" s="166" t="s">
        <v>1127</v>
      </c>
      <c r="F800" s="166" t="s">
        <v>1128</v>
      </c>
      <c r="G800" s="166" t="s">
        <v>129</v>
      </c>
      <c r="H800" s="166">
        <v>2138963</v>
      </c>
      <c r="I800" s="166">
        <v>0</v>
      </c>
      <c r="J800" s="166">
        <v>0</v>
      </c>
      <c r="K800" s="166" t="str">
        <f t="shared" si="12"/>
        <v>INSTRUMENTOFF_BLNC_SHT_AMNT_INSTRMNT</v>
      </c>
    </row>
    <row r="801" spans="1:11" hidden="1">
      <c r="A801" s="166" t="s">
        <v>3022</v>
      </c>
      <c r="B801" s="166" t="s">
        <v>912</v>
      </c>
      <c r="C801" s="166" t="s">
        <v>127</v>
      </c>
      <c r="D801" s="166" t="s">
        <v>427</v>
      </c>
      <c r="E801" s="166" t="s">
        <v>1127</v>
      </c>
      <c r="F801" s="166" t="s">
        <v>1128</v>
      </c>
      <c r="G801" s="166" t="s">
        <v>129</v>
      </c>
      <c r="H801" s="166">
        <v>2138963</v>
      </c>
      <c r="I801" s="166">
        <v>0</v>
      </c>
      <c r="J801" s="166">
        <v>0</v>
      </c>
      <c r="K801" s="166" t="str">
        <f t="shared" si="12"/>
        <v>INSTRUMENTOFF_BLNC_SHT_AMNT_INSTRMNT_PRVS</v>
      </c>
    </row>
    <row r="802" spans="1:11" hidden="1">
      <c r="A802" s="166" t="s">
        <v>3023</v>
      </c>
      <c r="B802" s="166" t="s">
        <v>3024</v>
      </c>
      <c r="C802" s="166" t="s">
        <v>1131</v>
      </c>
      <c r="D802" s="166" t="s">
        <v>292</v>
      </c>
      <c r="E802" s="166" t="s">
        <v>1132</v>
      </c>
      <c r="F802" s="166" t="s">
        <v>1133</v>
      </c>
      <c r="G802" s="166" t="s">
        <v>129</v>
      </c>
      <c r="H802" s="166">
        <v>381343</v>
      </c>
      <c r="I802" s="166">
        <v>0</v>
      </c>
      <c r="J802" s="166">
        <v>0</v>
      </c>
      <c r="K802" s="166" t="str">
        <f t="shared" si="12"/>
        <v>INSTRUMENTOTSTNDNG_NMNL_AMNT_INSTRMNT_PRVS</v>
      </c>
    </row>
    <row r="803" spans="1:11" hidden="1">
      <c r="A803" s="166" t="s">
        <v>3025</v>
      </c>
      <c r="B803" s="166" t="s">
        <v>3026</v>
      </c>
      <c r="C803" s="166" t="s">
        <v>1131</v>
      </c>
      <c r="D803" s="166" t="s">
        <v>292</v>
      </c>
      <c r="E803" s="166" t="s">
        <v>1132</v>
      </c>
      <c r="F803" s="166" t="s">
        <v>1133</v>
      </c>
      <c r="G803" s="166" t="s">
        <v>129</v>
      </c>
      <c r="H803" s="166">
        <v>1745133</v>
      </c>
      <c r="I803" s="166">
        <v>0</v>
      </c>
      <c r="J803" s="166">
        <v>0</v>
      </c>
      <c r="K803" s="166" t="str">
        <f t="shared" si="12"/>
        <v>INSTRUMENTOTSTNDNG_NMNL_AMNT_INSTRMNT_PRVS</v>
      </c>
    </row>
    <row r="804" spans="1:11" hidden="1">
      <c r="A804" s="166" t="s">
        <v>3027</v>
      </c>
      <c r="B804" s="166" t="s">
        <v>3028</v>
      </c>
      <c r="C804" s="166" t="s">
        <v>127</v>
      </c>
      <c r="D804" s="166" t="s">
        <v>470</v>
      </c>
      <c r="E804" s="166" t="s">
        <v>1127</v>
      </c>
      <c r="F804" s="166" t="s">
        <v>1128</v>
      </c>
      <c r="G804" s="166" t="s">
        <v>129</v>
      </c>
      <c r="H804" s="166">
        <v>2138963</v>
      </c>
      <c r="I804" s="166">
        <v>0</v>
      </c>
      <c r="J804" s="166">
        <v>0</v>
      </c>
      <c r="K804" s="166" t="str">
        <f t="shared" si="12"/>
        <v>INSTRUMENTPRVSNS_OFF_BLNC_SHT</v>
      </c>
    </row>
    <row r="805" spans="1:11" hidden="1">
      <c r="A805" s="166" t="s">
        <v>3029</v>
      </c>
      <c r="B805" s="166" t="s">
        <v>3030</v>
      </c>
      <c r="C805" s="166" t="s">
        <v>127</v>
      </c>
      <c r="D805" s="166" t="s">
        <v>494</v>
      </c>
      <c r="E805" s="166" t="s">
        <v>1127</v>
      </c>
      <c r="F805" s="166" t="s">
        <v>1128</v>
      </c>
      <c r="G805" s="166" t="s">
        <v>129</v>
      </c>
      <c r="H805" s="166">
        <v>2138963</v>
      </c>
      <c r="I805" s="166">
        <v>0</v>
      </c>
      <c r="J805" s="166">
        <v>0</v>
      </c>
      <c r="K805" s="166" t="str">
        <f t="shared" si="12"/>
        <v>INSTRUMENTRTNTN_SHR</v>
      </c>
    </row>
    <row r="806" spans="1:11" hidden="1">
      <c r="A806" s="166" t="s">
        <v>3031</v>
      </c>
      <c r="B806" s="166" t="s">
        <v>3032</v>
      </c>
      <c r="C806" s="166" t="s">
        <v>127</v>
      </c>
      <c r="D806" s="166" t="s">
        <v>495</v>
      </c>
      <c r="E806" s="166" t="s">
        <v>1127</v>
      </c>
      <c r="F806" s="166" t="s">
        <v>1128</v>
      </c>
      <c r="G806" s="166" t="s">
        <v>129</v>
      </c>
      <c r="H806" s="166">
        <v>2138963</v>
      </c>
      <c r="I806" s="166">
        <v>0</v>
      </c>
      <c r="J806" s="166">
        <v>0</v>
      </c>
      <c r="K806" s="166" t="str">
        <f t="shared" si="12"/>
        <v>INSTRUMENTRWA</v>
      </c>
    </row>
    <row r="807" spans="1:11" hidden="1">
      <c r="A807" s="166" t="s">
        <v>3033</v>
      </c>
      <c r="B807" s="166" t="s">
        <v>3034</v>
      </c>
      <c r="C807" s="166" t="s">
        <v>127</v>
      </c>
      <c r="D807" s="166" t="s">
        <v>133</v>
      </c>
      <c r="E807" s="166" t="s">
        <v>1127</v>
      </c>
      <c r="F807" s="166" t="s">
        <v>1128</v>
      </c>
      <c r="G807" s="166" t="s">
        <v>129</v>
      </c>
      <c r="H807" s="166">
        <v>2138963</v>
      </c>
      <c r="I807" s="166">
        <v>0</v>
      </c>
      <c r="J807" s="166">
        <v>0</v>
      </c>
      <c r="K807" s="166" t="str">
        <f t="shared" si="12"/>
        <v>INSTRUMENTACCMLTD_IMPRMNT_INSTRMNT</v>
      </c>
    </row>
    <row r="808" spans="1:11" hidden="1">
      <c r="A808" s="166" t="s">
        <v>3035</v>
      </c>
      <c r="B808" s="166" t="s">
        <v>3036</v>
      </c>
      <c r="C808" s="166" t="s">
        <v>127</v>
      </c>
      <c r="D808" s="166" t="s">
        <v>134</v>
      </c>
      <c r="E808" s="166" t="s">
        <v>1127</v>
      </c>
      <c r="F808" s="166" t="s">
        <v>1128</v>
      </c>
      <c r="G808" s="166" t="s">
        <v>129</v>
      </c>
      <c r="H808" s="166">
        <v>2138963</v>
      </c>
      <c r="I808" s="166">
        <v>0</v>
      </c>
      <c r="J808" s="166">
        <v>0</v>
      </c>
      <c r="K808" s="166" t="str">
        <f t="shared" si="12"/>
        <v>INSTRUMENTACCMLTD_IMPRMNT_INSTRMNT_PRVS</v>
      </c>
    </row>
    <row r="809" spans="1:11" hidden="1">
      <c r="A809" s="166" t="s">
        <v>3037</v>
      </c>
      <c r="B809" s="166" t="s">
        <v>3038</v>
      </c>
      <c r="C809" s="166" t="s">
        <v>127</v>
      </c>
      <c r="D809" s="166" t="s">
        <v>137</v>
      </c>
      <c r="E809" s="166" t="s">
        <v>1127</v>
      </c>
      <c r="F809" s="166" t="s">
        <v>1128</v>
      </c>
      <c r="G809" s="166" t="s">
        <v>129</v>
      </c>
      <c r="H809" s="166">
        <v>2138963</v>
      </c>
      <c r="I809" s="166">
        <v>0</v>
      </c>
      <c r="J809" s="166">
        <v>0</v>
      </c>
      <c r="K809" s="166" t="str">
        <f t="shared" si="12"/>
        <v>INSTRUMENTACCMLTD_WRTFFS_INSTRMNT</v>
      </c>
    </row>
    <row r="810" spans="1:11" hidden="1">
      <c r="A810" s="166" t="s">
        <v>3039</v>
      </c>
      <c r="B810" s="166" t="s">
        <v>3040</v>
      </c>
      <c r="C810" s="166" t="s">
        <v>127</v>
      </c>
      <c r="D810" s="166" t="s">
        <v>160</v>
      </c>
      <c r="E810" s="166" t="s">
        <v>1127</v>
      </c>
      <c r="F810" s="166" t="s">
        <v>1128</v>
      </c>
      <c r="G810" s="166" t="s">
        <v>129</v>
      </c>
      <c r="H810" s="166">
        <v>2138963</v>
      </c>
      <c r="I810" s="166">
        <v>0</v>
      </c>
      <c r="J810" s="166">
        <v>0</v>
      </c>
      <c r="K810" s="166" t="str">
        <f t="shared" si="12"/>
        <v>INSTRUMENTARRRS_INSTRMNT</v>
      </c>
    </row>
    <row r="811" spans="1:11" hidden="1">
      <c r="A811" s="166" t="s">
        <v>3041</v>
      </c>
      <c r="B811" s="166" t="s">
        <v>3042</v>
      </c>
      <c r="C811" s="166" t="s">
        <v>127</v>
      </c>
      <c r="D811" s="166" t="s">
        <v>161</v>
      </c>
      <c r="E811" s="166" t="s">
        <v>1127</v>
      </c>
      <c r="F811" s="166" t="s">
        <v>1128</v>
      </c>
      <c r="G811" s="166" t="s">
        <v>129</v>
      </c>
      <c r="H811" s="166">
        <v>2138963</v>
      </c>
      <c r="I811" s="166">
        <v>0</v>
      </c>
      <c r="J811" s="166">
        <v>0</v>
      </c>
      <c r="K811" s="166" t="str">
        <f t="shared" si="12"/>
        <v>INSTRUMENTARRRS_INSTRMNT_12M</v>
      </c>
    </row>
    <row r="812" spans="1:11" hidden="1">
      <c r="A812" s="166" t="s">
        <v>3043</v>
      </c>
      <c r="B812" s="166" t="s">
        <v>3044</v>
      </c>
      <c r="C812" s="166" t="s">
        <v>127</v>
      </c>
      <c r="D812" s="166" t="s">
        <v>487</v>
      </c>
      <c r="E812" s="166" t="s">
        <v>1127</v>
      </c>
      <c r="F812" s="166" t="s">
        <v>1128</v>
      </c>
      <c r="G812" s="166" t="s">
        <v>129</v>
      </c>
      <c r="H812" s="166">
        <v>2138963</v>
      </c>
      <c r="I812" s="166">
        <v>0</v>
      </c>
      <c r="J812" s="166">
        <v>0</v>
      </c>
      <c r="K812" s="166" t="str">
        <f t="shared" si="12"/>
        <v>INSTRUMENTCMLTV_RCVRS_SNC_DFLT_INSTRMNT</v>
      </c>
    </row>
    <row r="813" spans="1:11" hidden="1">
      <c r="A813" s="166" t="s">
        <v>3045</v>
      </c>
      <c r="B813" s="166" t="s">
        <v>3046</v>
      </c>
      <c r="C813" s="166" t="s">
        <v>127</v>
      </c>
      <c r="D813" s="166" t="s">
        <v>218</v>
      </c>
      <c r="E813" s="166" t="s">
        <v>1127</v>
      </c>
      <c r="F813" s="166" t="s">
        <v>1128</v>
      </c>
      <c r="G813" s="166" t="s">
        <v>129</v>
      </c>
      <c r="H813" s="166">
        <v>2138963</v>
      </c>
      <c r="I813" s="166">
        <v>0</v>
      </c>
      <c r="J813" s="166">
        <v>0</v>
      </c>
      <c r="K813" s="166" t="str">
        <f t="shared" si="12"/>
        <v>INSTRUMENTDPD</v>
      </c>
    </row>
    <row r="814" spans="1:11" hidden="1">
      <c r="A814" s="166" t="s">
        <v>3047</v>
      </c>
      <c r="B814" s="166" t="s">
        <v>3048</v>
      </c>
      <c r="C814" s="166" t="s">
        <v>127</v>
      </c>
      <c r="D814" s="166" t="s">
        <v>219</v>
      </c>
      <c r="E814" s="166" t="s">
        <v>1127</v>
      </c>
      <c r="F814" s="166" t="s">
        <v>1128</v>
      </c>
      <c r="G814" s="166" t="s">
        <v>129</v>
      </c>
      <c r="H814" s="166">
        <v>2138963</v>
      </c>
      <c r="I814" s="166">
        <v>0</v>
      </c>
      <c r="J814" s="166">
        <v>0</v>
      </c>
      <c r="K814" s="166" t="str">
        <f t="shared" si="12"/>
        <v>INSTRUMENTDPD_12M</v>
      </c>
    </row>
    <row r="815" spans="1:11" hidden="1">
      <c r="A815" s="166" t="s">
        <v>3049</v>
      </c>
      <c r="B815" s="166" t="s">
        <v>3050</v>
      </c>
      <c r="C815" s="166" t="s">
        <v>127</v>
      </c>
      <c r="D815" s="166" t="s">
        <v>220</v>
      </c>
      <c r="E815" s="166" t="s">
        <v>1127</v>
      </c>
      <c r="F815" s="166" t="s">
        <v>1128</v>
      </c>
      <c r="G815" s="166" t="s">
        <v>129</v>
      </c>
      <c r="H815" s="166">
        <v>2138963</v>
      </c>
      <c r="I815" s="166">
        <v>0</v>
      </c>
      <c r="J815" s="166">
        <v>0</v>
      </c>
      <c r="K815" s="166" t="str">
        <f t="shared" si="12"/>
        <v>INSTRUMENTDPD_12M_FRBRNC_STTS</v>
      </c>
    </row>
    <row r="816" spans="1:11" hidden="1">
      <c r="A816" s="166" t="s">
        <v>3051</v>
      </c>
      <c r="B816" s="166" t="s">
        <v>3052</v>
      </c>
      <c r="C816" s="166" t="s">
        <v>127</v>
      </c>
      <c r="D816" s="166" t="s">
        <v>48</v>
      </c>
      <c r="E816" s="166" t="s">
        <v>1127</v>
      </c>
      <c r="F816" s="166" t="s">
        <v>1128</v>
      </c>
      <c r="G816" s="166" t="s">
        <v>129</v>
      </c>
      <c r="H816" s="166">
        <v>2138963</v>
      </c>
      <c r="I816" s="166">
        <v>0</v>
      </c>
      <c r="J816" s="166">
        <v>0</v>
      </c>
      <c r="K816" s="166" t="str">
        <f t="shared" si="12"/>
        <v>INSTRUMENTDPD_12M_PRFRMNG_STTS</v>
      </c>
    </row>
    <row r="817" spans="1:11" hidden="1">
      <c r="A817" s="166" t="s">
        <v>3053</v>
      </c>
      <c r="B817" s="166" t="s">
        <v>3054</v>
      </c>
      <c r="C817" s="166" t="s">
        <v>127</v>
      </c>
      <c r="D817" s="166" t="s">
        <v>223</v>
      </c>
      <c r="E817" s="166" t="s">
        <v>1127</v>
      </c>
      <c r="F817" s="166" t="s">
        <v>1128</v>
      </c>
      <c r="G817" s="166" t="s">
        <v>129</v>
      </c>
      <c r="H817" s="166">
        <v>2138963</v>
      </c>
      <c r="I817" s="166">
        <v>0</v>
      </c>
      <c r="J817" s="166">
        <v>0</v>
      </c>
      <c r="K817" s="166" t="str">
        <f t="shared" si="12"/>
        <v>INSTRUMENTDPD_24M_FRBRNC_STTS</v>
      </c>
    </row>
    <row r="818" spans="1:11" hidden="1">
      <c r="A818" s="166" t="s">
        <v>3055</v>
      </c>
      <c r="B818" s="166" t="s">
        <v>3056</v>
      </c>
      <c r="C818" s="166" t="s">
        <v>127</v>
      </c>
      <c r="D818" s="166" t="s">
        <v>49</v>
      </c>
      <c r="E818" s="166" t="s">
        <v>1127</v>
      </c>
      <c r="F818" s="166" t="s">
        <v>1128</v>
      </c>
      <c r="G818" s="166" t="s">
        <v>129</v>
      </c>
      <c r="H818" s="166">
        <v>2138963</v>
      </c>
      <c r="I818" s="166">
        <v>0</v>
      </c>
      <c r="J818" s="166">
        <v>0</v>
      </c>
      <c r="K818" s="166" t="str">
        <f t="shared" si="12"/>
        <v>INSTRUMENTDPD_24M_PRFRMNG_STTS</v>
      </c>
    </row>
    <row r="819" spans="1:11" hidden="1">
      <c r="A819" s="166" t="s">
        <v>3057</v>
      </c>
      <c r="B819" s="166" t="s">
        <v>3058</v>
      </c>
      <c r="C819" s="166" t="s">
        <v>127</v>
      </c>
      <c r="D819" s="166" t="s">
        <v>225</v>
      </c>
      <c r="E819" s="166" t="s">
        <v>1127</v>
      </c>
      <c r="F819" s="166" t="s">
        <v>1128</v>
      </c>
      <c r="G819" s="166" t="s">
        <v>129</v>
      </c>
      <c r="H819" s="166">
        <v>2138963</v>
      </c>
      <c r="I819" s="166">
        <v>0</v>
      </c>
      <c r="J819" s="166">
        <v>0</v>
      </c>
      <c r="K819" s="166" t="str">
        <f t="shared" si="12"/>
        <v>INSTRUMENTDPD_FRBRNC_STTS</v>
      </c>
    </row>
    <row r="820" spans="1:11" hidden="1">
      <c r="A820" s="166" t="s">
        <v>3059</v>
      </c>
      <c r="B820" s="166" t="s">
        <v>3060</v>
      </c>
      <c r="C820" s="166" t="s">
        <v>127</v>
      </c>
      <c r="D820" s="166" t="s">
        <v>50</v>
      </c>
      <c r="E820" s="166" t="s">
        <v>1127</v>
      </c>
      <c r="F820" s="166" t="s">
        <v>1128</v>
      </c>
      <c r="G820" s="166" t="s">
        <v>129</v>
      </c>
      <c r="H820" s="166">
        <v>2138963</v>
      </c>
      <c r="I820" s="166">
        <v>0</v>
      </c>
      <c r="J820" s="166">
        <v>0</v>
      </c>
      <c r="K820" s="166" t="str">
        <f t="shared" si="12"/>
        <v>INSTRUMENTDPD_PRFRMNG_STTS</v>
      </c>
    </row>
    <row r="821" spans="1:11" hidden="1">
      <c r="A821" s="166" t="s">
        <v>1135</v>
      </c>
      <c r="B821" s="166" t="s">
        <v>1136</v>
      </c>
      <c r="C821" s="166" t="s">
        <v>127</v>
      </c>
      <c r="D821" s="166" t="s">
        <v>51</v>
      </c>
      <c r="E821" s="166" t="s">
        <v>1137</v>
      </c>
      <c r="F821" s="166" t="s">
        <v>1128</v>
      </c>
      <c r="G821" s="166" t="s">
        <v>1134</v>
      </c>
      <c r="H821" s="166">
        <v>2138963</v>
      </c>
      <c r="I821" s="166">
        <v>29</v>
      </c>
      <c r="J821" s="166">
        <v>1.4E-3</v>
      </c>
      <c r="K821" s="166" t="str">
        <f t="shared" si="12"/>
        <v>INSTRUMENTDT_IMPRMNT_STTS</v>
      </c>
    </row>
    <row r="822" spans="1:11" hidden="1">
      <c r="A822" s="166" t="s">
        <v>1138</v>
      </c>
      <c r="B822" s="166" t="s">
        <v>1139</v>
      </c>
      <c r="C822" s="166" t="s">
        <v>127</v>
      </c>
      <c r="D822" s="166" t="s">
        <v>52</v>
      </c>
      <c r="E822" s="166" t="s">
        <v>1137</v>
      </c>
      <c r="F822" s="166" t="s">
        <v>1128</v>
      </c>
      <c r="G822" s="166" t="s">
        <v>1134</v>
      </c>
      <c r="H822" s="166">
        <v>2138963</v>
      </c>
      <c r="I822" s="166">
        <v>29</v>
      </c>
      <c r="J822" s="166">
        <v>1.4E-3</v>
      </c>
      <c r="K822" s="166" t="str">
        <f t="shared" si="12"/>
        <v>INSTRUMENTDT_IMPRMNT_STTS_PRVS</v>
      </c>
    </row>
    <row r="823" spans="1:11" hidden="1">
      <c r="A823" s="166" t="s">
        <v>3061</v>
      </c>
      <c r="B823" s="166" t="s">
        <v>3062</v>
      </c>
      <c r="C823" s="166" t="s">
        <v>127</v>
      </c>
      <c r="D823" s="166" t="s">
        <v>282</v>
      </c>
      <c r="E823" s="166" t="s">
        <v>1137</v>
      </c>
      <c r="F823" s="166" t="s">
        <v>1128</v>
      </c>
      <c r="G823" s="166" t="s">
        <v>129</v>
      </c>
      <c r="H823" s="166">
        <v>2138963</v>
      </c>
      <c r="I823" s="166">
        <v>0</v>
      </c>
      <c r="J823" s="166">
        <v>0</v>
      </c>
      <c r="K823" s="166" t="str">
        <f t="shared" si="12"/>
        <v>INSTRUMENTDT_PST_D</v>
      </c>
    </row>
    <row r="824" spans="1:11" hidden="1">
      <c r="A824" s="166" t="s">
        <v>3063</v>
      </c>
      <c r="B824" s="166" t="s">
        <v>3064</v>
      </c>
      <c r="C824" s="166" t="s">
        <v>127</v>
      </c>
      <c r="D824" s="166" t="s">
        <v>418</v>
      </c>
      <c r="E824" s="166" t="s">
        <v>1127</v>
      </c>
      <c r="F824" s="166" t="s">
        <v>1128</v>
      </c>
      <c r="G824" s="166" t="s">
        <v>129</v>
      </c>
      <c r="H824" s="166">
        <v>2138963</v>
      </c>
      <c r="I824" s="166">
        <v>0</v>
      </c>
      <c r="J824" s="166">
        <v>0</v>
      </c>
      <c r="K824" s="166" t="str">
        <f t="shared" si="12"/>
        <v>INSTRUMENTNMBR_FRBRNC_MSRS</v>
      </c>
    </row>
    <row r="825" spans="1:11" hidden="1">
      <c r="A825" s="166" t="s">
        <v>3065</v>
      </c>
      <c r="B825" s="166" t="s">
        <v>3066</v>
      </c>
      <c r="C825" s="166" t="s">
        <v>127</v>
      </c>
      <c r="D825" s="166" t="s">
        <v>403</v>
      </c>
      <c r="E825" s="166" t="s">
        <v>1127</v>
      </c>
      <c r="F825" s="166" t="s">
        <v>1128</v>
      </c>
      <c r="G825" s="166" t="s">
        <v>1134</v>
      </c>
      <c r="H825" s="166">
        <v>2138963</v>
      </c>
      <c r="I825" s="166">
        <v>6</v>
      </c>
      <c r="J825" s="166">
        <v>2.9999999999999997E-4</v>
      </c>
      <c r="K825" s="166" t="str">
        <f t="shared" si="12"/>
        <v>INSTRUMENTLTV</v>
      </c>
    </row>
    <row r="826" spans="1:11" hidden="1">
      <c r="A826" s="166" t="s">
        <v>3067</v>
      </c>
      <c r="B826" s="166" t="s">
        <v>3068</v>
      </c>
      <c r="C826" s="166" t="s">
        <v>127</v>
      </c>
      <c r="D826" s="166" t="s">
        <v>404</v>
      </c>
      <c r="E826" s="166" t="s">
        <v>1127</v>
      </c>
      <c r="F826" s="166" t="s">
        <v>1128</v>
      </c>
      <c r="G826" s="166" t="s">
        <v>1134</v>
      </c>
      <c r="H826" s="166">
        <v>2138963</v>
      </c>
      <c r="I826" s="166">
        <v>3</v>
      </c>
      <c r="J826" s="166">
        <v>1E-4</v>
      </c>
      <c r="K826" s="166" t="str">
        <f t="shared" si="12"/>
        <v>INSTRUMENTLTV_INCPTN</v>
      </c>
    </row>
    <row r="827" spans="1:11" hidden="1">
      <c r="A827" s="166" t="s">
        <v>3069</v>
      </c>
      <c r="B827" s="166" t="s">
        <v>3070</v>
      </c>
      <c r="C827" s="166" t="s">
        <v>127</v>
      </c>
      <c r="D827" s="166" t="s">
        <v>405</v>
      </c>
      <c r="E827" s="166" t="s">
        <v>1127</v>
      </c>
      <c r="F827" s="166" t="s">
        <v>1128</v>
      </c>
      <c r="G827" s="166" t="s">
        <v>129</v>
      </c>
      <c r="H827" s="166">
        <v>2138963</v>
      </c>
      <c r="I827" s="166">
        <v>0</v>
      </c>
      <c r="J827" s="166">
        <v>0</v>
      </c>
      <c r="K827" s="166" t="str">
        <f t="shared" si="12"/>
        <v>INSTRUMENTLTV_NPE</v>
      </c>
    </row>
    <row r="828" spans="1:11" hidden="1">
      <c r="A828" s="166" t="s">
        <v>3071</v>
      </c>
      <c r="B828" s="166" t="s">
        <v>3072</v>
      </c>
      <c r="C828" s="166" t="s">
        <v>127</v>
      </c>
      <c r="D828" s="166" t="s">
        <v>153</v>
      </c>
      <c r="E828" s="166" t="s">
        <v>1127</v>
      </c>
      <c r="F828" s="166" t="s">
        <v>1128</v>
      </c>
      <c r="G828" s="166" t="s">
        <v>1134</v>
      </c>
      <c r="H828" s="166">
        <v>2138963</v>
      </c>
      <c r="I828" s="166">
        <v>4</v>
      </c>
      <c r="J828" s="166">
        <v>2.0000000000000001E-4</v>
      </c>
      <c r="K828" s="166" t="str">
        <f t="shared" si="12"/>
        <v>INSTRUMENTANNLSD_AGRD_RT</v>
      </c>
    </row>
    <row r="829" spans="1:11" hidden="1">
      <c r="A829" s="166" t="s">
        <v>3073</v>
      </c>
      <c r="B829" s="166" t="s">
        <v>3074</v>
      </c>
      <c r="C829" s="166" t="s">
        <v>127</v>
      </c>
      <c r="D829" s="166" t="s">
        <v>477</v>
      </c>
      <c r="E829" s="166" t="s">
        <v>1127</v>
      </c>
      <c r="F829" s="166" t="s">
        <v>1128</v>
      </c>
      <c r="G829" s="166" t="s">
        <v>1134</v>
      </c>
      <c r="H829" s="166">
        <v>2138963</v>
      </c>
      <c r="I829" s="166">
        <v>2</v>
      </c>
      <c r="J829" s="166">
        <v>1E-4</v>
      </c>
      <c r="K829" s="166" t="str">
        <f t="shared" si="12"/>
        <v>INSTRUMENTRCVD_AMRTSTN_12M</v>
      </c>
    </row>
    <row r="830" spans="1:11" hidden="1">
      <c r="A830" s="166" t="s">
        <v>3075</v>
      </c>
      <c r="B830" s="166" t="s">
        <v>3076</v>
      </c>
      <c r="C830" s="166" t="s">
        <v>127</v>
      </c>
      <c r="D830" s="166" t="s">
        <v>478</v>
      </c>
      <c r="E830" s="166" t="s">
        <v>1127</v>
      </c>
      <c r="F830" s="166" t="s">
        <v>1128</v>
      </c>
      <c r="G830" s="166" t="s">
        <v>1134</v>
      </c>
      <c r="H830" s="166">
        <v>2138963</v>
      </c>
      <c r="I830" s="166">
        <v>2</v>
      </c>
      <c r="J830" s="166">
        <v>1E-4</v>
      </c>
      <c r="K830" s="166" t="str">
        <f t="shared" si="12"/>
        <v>INSTRUMENTRCVD_AMRTSTN_24M</v>
      </c>
    </row>
    <row r="831" spans="1:11" hidden="1">
      <c r="A831" s="166" t="s">
        <v>3077</v>
      </c>
      <c r="B831" s="166" t="s">
        <v>3078</v>
      </c>
      <c r="C831" s="166" t="s">
        <v>127</v>
      </c>
      <c r="D831" s="166" t="s">
        <v>254</v>
      </c>
      <c r="E831" s="166" t="s">
        <v>1127</v>
      </c>
      <c r="F831" s="166" t="s">
        <v>1128</v>
      </c>
      <c r="G831" s="166" t="s">
        <v>129</v>
      </c>
      <c r="H831" s="166">
        <v>2138963</v>
      </c>
      <c r="I831" s="166">
        <v>0</v>
      </c>
      <c r="J831" s="166">
        <v>0</v>
      </c>
      <c r="K831" s="166" t="str">
        <f t="shared" si="12"/>
        <v>INSTRUMENTRCVD_INTRST_12M</v>
      </c>
    </row>
    <row r="832" spans="1:11" hidden="1">
      <c r="A832" s="166" t="s">
        <v>3079</v>
      </c>
      <c r="B832" s="166" t="s">
        <v>3080</v>
      </c>
      <c r="C832" s="166" t="s">
        <v>127</v>
      </c>
      <c r="D832" s="166" t="s">
        <v>251</v>
      </c>
      <c r="E832" s="166" t="s">
        <v>1127</v>
      </c>
      <c r="F832" s="166" t="s">
        <v>1128</v>
      </c>
      <c r="G832" s="166" t="s">
        <v>129</v>
      </c>
      <c r="H832" s="166">
        <v>2138963</v>
      </c>
      <c r="I832" s="166">
        <v>0</v>
      </c>
      <c r="J832" s="166">
        <v>0</v>
      </c>
      <c r="K832" s="166" t="str">
        <f t="shared" si="12"/>
        <v>INSTRUMENTRCVD_INTRST_24M</v>
      </c>
    </row>
    <row r="833" spans="1:11" hidden="1">
      <c r="A833" s="166" t="s">
        <v>3081</v>
      </c>
      <c r="B833" s="166" t="s">
        <v>3082</v>
      </c>
      <c r="C833" s="166" t="s">
        <v>127</v>
      </c>
      <c r="D833" s="166" t="s">
        <v>507</v>
      </c>
      <c r="E833" s="166" t="s">
        <v>1127</v>
      </c>
      <c r="F833" s="166" t="s">
        <v>1128</v>
      </c>
      <c r="G833" s="166" t="s">
        <v>129</v>
      </c>
      <c r="H833" s="166">
        <v>2138963</v>
      </c>
      <c r="I833" s="166">
        <v>0</v>
      </c>
      <c r="J833" s="166">
        <v>0</v>
      </c>
      <c r="K833" s="166" t="str">
        <f t="shared" si="12"/>
        <v>INSTRUMENTSPRD</v>
      </c>
    </row>
    <row r="834" spans="1:11" hidden="1">
      <c r="A834" s="166" t="s">
        <v>3083</v>
      </c>
      <c r="B834" s="166" t="s">
        <v>3084</v>
      </c>
      <c r="C834" s="166" t="s">
        <v>127</v>
      </c>
      <c r="D834" s="166" t="s">
        <v>2271</v>
      </c>
      <c r="E834" s="166" t="s">
        <v>1127</v>
      </c>
      <c r="F834" s="166" t="s">
        <v>1128</v>
      </c>
      <c r="G834" s="166" t="s">
        <v>129</v>
      </c>
      <c r="H834" s="166">
        <v>2138963</v>
      </c>
      <c r="I834" s="166">
        <v>0</v>
      </c>
      <c r="J834" s="166">
        <v>0</v>
      </c>
      <c r="K834" s="166" t="str">
        <f t="shared" si="12"/>
        <v>INSTRUMENTAVRG_BLNC</v>
      </c>
    </row>
    <row r="835" spans="1:11" hidden="1">
      <c r="A835" s="166" t="s">
        <v>3085</v>
      </c>
      <c r="B835" s="166" t="s">
        <v>3086</v>
      </c>
      <c r="C835" s="166" t="s">
        <v>127</v>
      </c>
      <c r="D835" s="166" t="s">
        <v>2276</v>
      </c>
      <c r="E835" s="166" t="s">
        <v>1127</v>
      </c>
      <c r="F835" s="166" t="s">
        <v>1128</v>
      </c>
      <c r="G835" s="166" t="s">
        <v>1134</v>
      </c>
      <c r="H835" s="166">
        <v>2138963</v>
      </c>
      <c r="I835" s="166">
        <v>5</v>
      </c>
      <c r="J835" s="166">
        <v>2.0000000000000001E-4</v>
      </c>
      <c r="K835" s="166" t="str">
        <f t="shared" ref="K835:K898" si="13">_xlfn.CONCAT(_xlfn.IFS(ISNUMBER(SEARCH("EN",A835)),"ENTITY",ISNUMBER(SEARCH("IN",A835)),"INSTRUMENT",ISNUMBER(SEARCH("PR",A835)),"PROTECTION",ISNUMBER(SEARCH("IP",A835)),"INSTR_PROTECTION",ISNUMBER(SEARCH("IE",A835)),"INSTR_ENTITY",ISNUMBER(SEARCH("AC",A835)),"INSTR_ACTIVITY"),D835)</f>
        <v>INSTRUMENTGRSS_INTRST_INCM</v>
      </c>
    </row>
    <row r="836" spans="1:11" hidden="1">
      <c r="A836" s="166" t="s">
        <v>3087</v>
      </c>
      <c r="B836" s="166" t="s">
        <v>3088</v>
      </c>
      <c r="C836" s="166" t="s">
        <v>127</v>
      </c>
      <c r="D836" s="166" t="s">
        <v>2279</v>
      </c>
      <c r="E836" s="166" t="s">
        <v>1127</v>
      </c>
      <c r="F836" s="166" t="s">
        <v>1128</v>
      </c>
      <c r="G836" s="166" t="s">
        <v>129</v>
      </c>
      <c r="H836" s="166">
        <v>2138963</v>
      </c>
      <c r="I836" s="166">
        <v>0</v>
      </c>
      <c r="J836" s="166">
        <v>0</v>
      </c>
      <c r="K836" s="166" t="str">
        <f t="shared" si="13"/>
        <v>INSTRUMENTGRSS_CMMSSN_INCM</v>
      </c>
    </row>
    <row r="837" spans="1:11" hidden="1">
      <c r="A837" s="166" t="s">
        <v>3089</v>
      </c>
      <c r="B837" s="166" t="s">
        <v>3090</v>
      </c>
      <c r="C837" s="166" t="s">
        <v>127</v>
      </c>
      <c r="D837" s="166" t="s">
        <v>2282</v>
      </c>
      <c r="E837" s="166" t="s">
        <v>1127</v>
      </c>
      <c r="F837" s="166" t="s">
        <v>1128</v>
      </c>
      <c r="G837" s="166" t="s">
        <v>1134</v>
      </c>
      <c r="H837" s="166">
        <v>2138963</v>
      </c>
      <c r="I837" s="166">
        <v>1674089</v>
      </c>
      <c r="J837" s="166">
        <v>78.266400000000004</v>
      </c>
      <c r="K837" s="166" t="str">
        <f t="shared" si="13"/>
        <v>INSTRUMENTINTRNL_TRNSFR_RT</v>
      </c>
    </row>
    <row r="838" spans="1:11" hidden="1">
      <c r="A838" s="166" t="s">
        <v>3091</v>
      </c>
      <c r="B838" s="166" t="s">
        <v>3092</v>
      </c>
      <c r="C838" s="166" t="s">
        <v>127</v>
      </c>
      <c r="D838" s="166" t="s">
        <v>2292</v>
      </c>
      <c r="E838" s="166" t="s">
        <v>1127</v>
      </c>
      <c r="F838" s="166" t="s">
        <v>1128</v>
      </c>
      <c r="G838" s="166" t="s">
        <v>129</v>
      </c>
      <c r="H838" s="166">
        <v>2138963</v>
      </c>
      <c r="I838" s="166">
        <v>0</v>
      </c>
      <c r="J838" s="166">
        <v>0</v>
      </c>
      <c r="K838" s="166" t="str">
        <f t="shared" si="13"/>
        <v>INSTRUMENTGRSS_CMMSSN_EXPNS</v>
      </c>
    </row>
    <row r="839" spans="1:11" hidden="1">
      <c r="A839" s="166" t="s">
        <v>3093</v>
      </c>
      <c r="B839" s="166" t="s">
        <v>3094</v>
      </c>
      <c r="C839" s="166" t="s">
        <v>127</v>
      </c>
      <c r="D839" s="166" t="s">
        <v>2295</v>
      </c>
      <c r="E839" s="166" t="s">
        <v>1127</v>
      </c>
      <c r="F839" s="166" t="s">
        <v>1128</v>
      </c>
      <c r="G839" s="166" t="s">
        <v>129</v>
      </c>
      <c r="H839" s="166">
        <v>2138963</v>
      </c>
      <c r="I839" s="166">
        <v>0</v>
      </c>
      <c r="J839" s="166">
        <v>0</v>
      </c>
      <c r="K839" s="166" t="str">
        <f t="shared" si="13"/>
        <v>INSTRUMENTGNS_FNNCL_TRNSCTN_EXCHNG_DFFRNCS</v>
      </c>
    </row>
    <row r="840" spans="1:11" hidden="1">
      <c r="A840" s="166" t="s">
        <v>3095</v>
      </c>
      <c r="B840" s="166" t="s">
        <v>3096</v>
      </c>
      <c r="C840" s="166" t="s">
        <v>127</v>
      </c>
      <c r="D840" s="166" t="s">
        <v>2309</v>
      </c>
      <c r="E840" s="166" t="s">
        <v>1127</v>
      </c>
      <c r="F840" s="166" t="s">
        <v>1128</v>
      </c>
      <c r="G840" s="166" t="s">
        <v>129</v>
      </c>
      <c r="H840" s="166">
        <v>2138963</v>
      </c>
      <c r="I840" s="166">
        <v>0</v>
      </c>
      <c r="J840" s="166">
        <v>0</v>
      </c>
      <c r="K840" s="166" t="str">
        <f t="shared" si="13"/>
        <v>INSTRUMENTAVRG_BLNC_OFF_BLNC</v>
      </c>
    </row>
    <row r="841" spans="1:11" hidden="1">
      <c r="A841" s="166" t="s">
        <v>3097</v>
      </c>
      <c r="B841" s="166" t="s">
        <v>3098</v>
      </c>
      <c r="C841" s="166" t="s">
        <v>127</v>
      </c>
      <c r="D841" s="166" t="s">
        <v>2312</v>
      </c>
      <c r="E841" s="166" t="s">
        <v>1127</v>
      </c>
      <c r="F841" s="166" t="s">
        <v>1128</v>
      </c>
      <c r="G841" s="166" t="s">
        <v>129</v>
      </c>
      <c r="H841" s="166">
        <v>2138963</v>
      </c>
      <c r="I841" s="166">
        <v>0</v>
      </c>
      <c r="J841" s="166">
        <v>0</v>
      </c>
      <c r="K841" s="166" t="str">
        <f t="shared" si="13"/>
        <v>INSTRUMENTINTRNL_TRNSFR_RT_OFF_BLNC</v>
      </c>
    </row>
    <row r="842" spans="1:11" hidden="1">
      <c r="A842" s="166" t="s">
        <v>3099</v>
      </c>
      <c r="B842" s="166" t="s">
        <v>3100</v>
      </c>
      <c r="C842" s="166" t="s">
        <v>127</v>
      </c>
      <c r="D842" s="166" t="s">
        <v>2315</v>
      </c>
      <c r="E842" s="166" t="s">
        <v>1127</v>
      </c>
      <c r="F842" s="166" t="s">
        <v>1128</v>
      </c>
      <c r="G842" s="166" t="s">
        <v>129</v>
      </c>
      <c r="H842" s="166">
        <v>2138963</v>
      </c>
      <c r="I842" s="166">
        <v>0</v>
      </c>
      <c r="J842" s="166">
        <v>0</v>
      </c>
      <c r="K842" s="166" t="str">
        <f t="shared" si="13"/>
        <v>INSTRUMENTGRSS_CMMSSN_INCM_OFF_BLNC</v>
      </c>
    </row>
    <row r="843" spans="1:11" hidden="1">
      <c r="A843" s="166" t="s">
        <v>3101</v>
      </c>
      <c r="B843" s="166" t="s">
        <v>3102</v>
      </c>
      <c r="C843" s="166" t="s">
        <v>127</v>
      </c>
      <c r="D843" s="166" t="s">
        <v>2318</v>
      </c>
      <c r="E843" s="166" t="s">
        <v>1127</v>
      </c>
      <c r="F843" s="166" t="s">
        <v>1128</v>
      </c>
      <c r="G843" s="166" t="s">
        <v>129</v>
      </c>
      <c r="H843" s="166">
        <v>2138963</v>
      </c>
      <c r="I843" s="166">
        <v>0</v>
      </c>
      <c r="J843" s="166">
        <v>0</v>
      </c>
      <c r="K843" s="166" t="str">
        <f t="shared" si="13"/>
        <v>INSTRUMENTGRSS_CMMSSN_EXPNS_OFF_BLNC</v>
      </c>
    </row>
    <row r="844" spans="1:11" hidden="1">
      <c r="A844" s="166" t="s">
        <v>3103</v>
      </c>
      <c r="B844" s="166" t="s">
        <v>3104</v>
      </c>
      <c r="C844" s="166" t="s">
        <v>127</v>
      </c>
      <c r="D844" s="166" t="s">
        <v>2324</v>
      </c>
      <c r="E844" s="166" t="s">
        <v>1127</v>
      </c>
      <c r="F844" s="166" t="s">
        <v>1128</v>
      </c>
      <c r="G844" s="166" t="s">
        <v>129</v>
      </c>
      <c r="H844" s="166">
        <v>2138963</v>
      </c>
      <c r="I844" s="166">
        <v>0</v>
      </c>
      <c r="J844" s="166">
        <v>0</v>
      </c>
      <c r="K844" s="166" t="str">
        <f t="shared" si="13"/>
        <v>INSTRUMENTGRSS_INTRST_EXPNS</v>
      </c>
    </row>
    <row r="845" spans="1:11" hidden="1">
      <c r="A845" s="166" t="s">
        <v>3105</v>
      </c>
      <c r="B845" s="166" t="s">
        <v>3106</v>
      </c>
      <c r="C845" s="166" t="s">
        <v>127</v>
      </c>
      <c r="D845" s="166" t="s">
        <v>2330</v>
      </c>
      <c r="E845" s="166" t="s">
        <v>1127</v>
      </c>
      <c r="F845" s="166" t="s">
        <v>1128</v>
      </c>
      <c r="G845" s="166" t="s">
        <v>129</v>
      </c>
      <c r="H845" s="166">
        <v>2138963</v>
      </c>
      <c r="I845" s="166">
        <v>0</v>
      </c>
      <c r="J845" s="166">
        <v>0</v>
      </c>
      <c r="K845" s="166" t="str">
        <f t="shared" si="13"/>
        <v>INSTRUMENTGRSS_INTRST_INCM_CCRR</v>
      </c>
    </row>
    <row r="846" spans="1:11" hidden="1">
      <c r="A846" s="166" t="s">
        <v>3107</v>
      </c>
      <c r="B846" s="166" t="s">
        <v>3108</v>
      </c>
      <c r="C846" s="166" t="s">
        <v>127</v>
      </c>
      <c r="D846" s="166" t="s">
        <v>2333</v>
      </c>
      <c r="E846" s="166" t="s">
        <v>1127</v>
      </c>
      <c r="F846" s="166" t="s">
        <v>1128</v>
      </c>
      <c r="G846" s="166" t="s">
        <v>129</v>
      </c>
      <c r="H846" s="166">
        <v>2138963</v>
      </c>
      <c r="I846" s="166">
        <v>0</v>
      </c>
      <c r="J846" s="166">
        <v>0</v>
      </c>
      <c r="K846" s="166" t="str">
        <f t="shared" si="13"/>
        <v>INSTRUMENTGRSS_INTRST_EXPNS_CCRR</v>
      </c>
    </row>
    <row r="847" spans="1:11" hidden="1">
      <c r="A847" s="166" t="s">
        <v>3109</v>
      </c>
      <c r="B847" s="166" t="s">
        <v>3110</v>
      </c>
      <c r="C847" s="166" t="s">
        <v>127</v>
      </c>
      <c r="D847" s="166" t="s">
        <v>2336</v>
      </c>
      <c r="E847" s="166" t="s">
        <v>1127</v>
      </c>
      <c r="F847" s="166" t="s">
        <v>1128</v>
      </c>
      <c r="G847" s="166" t="s">
        <v>129</v>
      </c>
      <c r="H847" s="166">
        <v>2138963</v>
      </c>
      <c r="I847" s="166">
        <v>0</v>
      </c>
      <c r="J847" s="166">
        <v>0</v>
      </c>
      <c r="K847" s="166" t="str">
        <f t="shared" si="13"/>
        <v>INSTRUMENTGRSS_CMMSSN_INCM_CCRR</v>
      </c>
    </row>
    <row r="848" spans="1:11" hidden="1">
      <c r="A848" s="166" t="s">
        <v>3111</v>
      </c>
      <c r="B848" s="166" t="s">
        <v>3112</v>
      </c>
      <c r="C848" s="166" t="s">
        <v>127</v>
      </c>
      <c r="D848" s="166" t="s">
        <v>2339</v>
      </c>
      <c r="E848" s="166" t="s">
        <v>1127</v>
      </c>
      <c r="F848" s="166" t="s">
        <v>1128</v>
      </c>
      <c r="G848" s="166" t="s">
        <v>129</v>
      </c>
      <c r="H848" s="166">
        <v>2138963</v>
      </c>
      <c r="I848" s="166">
        <v>0</v>
      </c>
      <c r="J848" s="166">
        <v>0</v>
      </c>
      <c r="K848" s="166" t="str">
        <f t="shared" si="13"/>
        <v>INSTRUMENTGRSS_CMMSSN_EXPNS_CCRR</v>
      </c>
    </row>
    <row r="849" spans="1:11" hidden="1">
      <c r="A849" s="166" t="s">
        <v>3113</v>
      </c>
      <c r="B849" s="166" t="s">
        <v>3114</v>
      </c>
      <c r="C849" s="166" t="s">
        <v>127</v>
      </c>
      <c r="D849" s="166" t="s">
        <v>2342</v>
      </c>
      <c r="E849" s="166" t="s">
        <v>1127</v>
      </c>
      <c r="F849" s="166" t="s">
        <v>1128</v>
      </c>
      <c r="G849" s="166" t="s">
        <v>129</v>
      </c>
      <c r="H849" s="166">
        <v>2138963</v>
      </c>
      <c r="I849" s="166">
        <v>0</v>
      </c>
      <c r="J849" s="166">
        <v>0</v>
      </c>
      <c r="K849" s="166" t="str">
        <f t="shared" si="13"/>
        <v>INSTRUMENTGNS_FNNCL_TRNSCTN_EXCHNG_CCRR</v>
      </c>
    </row>
    <row r="850" spans="1:11" hidden="1">
      <c r="A850" s="166" t="s">
        <v>3115</v>
      </c>
      <c r="B850" s="166" t="s">
        <v>3116</v>
      </c>
      <c r="C850" s="166" t="s">
        <v>127</v>
      </c>
      <c r="D850" s="166" t="s">
        <v>2347</v>
      </c>
      <c r="E850" s="166" t="s">
        <v>1127</v>
      </c>
      <c r="F850" s="166" t="s">
        <v>1128</v>
      </c>
      <c r="G850" s="166" t="s">
        <v>129</v>
      </c>
      <c r="H850" s="166">
        <v>2138963</v>
      </c>
      <c r="I850" s="166">
        <v>0</v>
      </c>
      <c r="J850" s="166">
        <v>0</v>
      </c>
      <c r="K850" s="166" t="str">
        <f t="shared" si="13"/>
        <v>INSTRUMENTGRSS_CMMSSN_INCM_OFF_BLNC_CCRR</v>
      </c>
    </row>
    <row r="851" spans="1:11" hidden="1">
      <c r="A851" s="166" t="s">
        <v>3117</v>
      </c>
      <c r="B851" s="166" t="s">
        <v>3118</v>
      </c>
      <c r="C851" s="166" t="s">
        <v>127</v>
      </c>
      <c r="D851" s="166" t="s">
        <v>2350</v>
      </c>
      <c r="E851" s="166" t="s">
        <v>1127</v>
      </c>
      <c r="F851" s="166" t="s">
        <v>1128</v>
      </c>
      <c r="G851" s="166" t="s">
        <v>129</v>
      </c>
      <c r="H851" s="166">
        <v>2138963</v>
      </c>
      <c r="I851" s="166">
        <v>0</v>
      </c>
      <c r="J851" s="166">
        <v>0</v>
      </c>
      <c r="K851" s="166" t="str">
        <f t="shared" si="13"/>
        <v>INSTRUMENTGRSS_CMMSSN_EXPNS_OFF_BLNC_CCRR</v>
      </c>
    </row>
    <row r="852" spans="1:11" hidden="1">
      <c r="A852" s="166" t="s">
        <v>3119</v>
      </c>
      <c r="B852" s="166" t="s">
        <v>3120</v>
      </c>
      <c r="C852" s="166" t="s">
        <v>127</v>
      </c>
      <c r="D852" s="166" t="s">
        <v>310</v>
      </c>
      <c r="E852" s="166" t="s">
        <v>1127</v>
      </c>
      <c r="F852" s="166" t="s">
        <v>1128</v>
      </c>
      <c r="G852" s="166" t="s">
        <v>129</v>
      </c>
      <c r="H852" s="166">
        <v>2138963</v>
      </c>
      <c r="I852" s="166">
        <v>0</v>
      </c>
      <c r="J852" s="166">
        <v>0</v>
      </c>
      <c r="K852" s="166" t="str">
        <f t="shared" si="13"/>
        <v>INSTRUMENTEXPCTD_LSS_CRR</v>
      </c>
    </row>
    <row r="853" spans="1:11" hidden="1">
      <c r="A853" s="166" t="s">
        <v>3121</v>
      </c>
      <c r="B853" s="166" t="s">
        <v>3122</v>
      </c>
      <c r="C853" s="166" t="s">
        <v>127</v>
      </c>
      <c r="D853" s="166" t="s">
        <v>400</v>
      </c>
      <c r="E853" s="166" t="s">
        <v>1127</v>
      </c>
      <c r="F853" s="166" t="s">
        <v>1128</v>
      </c>
      <c r="G853" s="166" t="s">
        <v>129</v>
      </c>
      <c r="H853" s="166">
        <v>2138963</v>
      </c>
      <c r="I853" s="166">
        <v>0</v>
      </c>
      <c r="J853" s="166">
        <v>0</v>
      </c>
      <c r="K853" s="166" t="str">
        <f t="shared" si="13"/>
        <v>INSTRUMENTLSTI</v>
      </c>
    </row>
    <row r="854" spans="1:11" hidden="1">
      <c r="A854" s="166" t="s">
        <v>3123</v>
      </c>
      <c r="B854" s="166" t="s">
        <v>3124</v>
      </c>
      <c r="C854" s="166" t="s">
        <v>127</v>
      </c>
      <c r="D854" s="166" t="s">
        <v>226</v>
      </c>
      <c r="E854" s="166" t="s">
        <v>1127</v>
      </c>
      <c r="F854" s="166" t="s">
        <v>1128</v>
      </c>
      <c r="G854" s="166" t="s">
        <v>129</v>
      </c>
      <c r="H854" s="166">
        <v>2138963</v>
      </c>
      <c r="I854" s="166">
        <v>0</v>
      </c>
      <c r="J854" s="166">
        <v>0</v>
      </c>
      <c r="K854" s="166" t="str">
        <f t="shared" si="13"/>
        <v>INSTRUMENTDSTI</v>
      </c>
    </row>
    <row r="855" spans="1:11" hidden="1">
      <c r="A855" s="166" t="s">
        <v>3125</v>
      </c>
      <c r="B855" s="166" t="s">
        <v>3126</v>
      </c>
      <c r="C855" s="166" t="s">
        <v>127</v>
      </c>
      <c r="D855" s="166" t="s">
        <v>402</v>
      </c>
      <c r="E855" s="166" t="s">
        <v>1127</v>
      </c>
      <c r="F855" s="166" t="s">
        <v>1128</v>
      </c>
      <c r="G855" s="166" t="s">
        <v>129</v>
      </c>
      <c r="H855" s="166">
        <v>2138963</v>
      </c>
      <c r="I855" s="166">
        <v>0</v>
      </c>
      <c r="J855" s="166">
        <v>0</v>
      </c>
      <c r="K855" s="166" t="str">
        <f t="shared" si="13"/>
        <v>INSTRUMENTLTI_INSTRMNT</v>
      </c>
    </row>
    <row r="856" spans="1:11" hidden="1">
      <c r="A856" s="166" t="s">
        <v>3127</v>
      </c>
      <c r="B856" s="166" t="s">
        <v>3128</v>
      </c>
      <c r="C856" s="166" t="s">
        <v>127</v>
      </c>
      <c r="D856" s="166" t="s">
        <v>555</v>
      </c>
      <c r="E856" s="166" t="s">
        <v>1127</v>
      </c>
      <c r="F856" s="166" t="s">
        <v>1128</v>
      </c>
      <c r="G856" s="166" t="s">
        <v>129</v>
      </c>
      <c r="H856" s="166">
        <v>2138963</v>
      </c>
      <c r="I856" s="166">
        <v>0</v>
      </c>
      <c r="J856" s="166">
        <v>0</v>
      </c>
      <c r="K856" s="166" t="str">
        <f t="shared" si="13"/>
        <v>INSTRUMENTINTRST_RT_CP</v>
      </c>
    </row>
    <row r="857" spans="1:11" hidden="1">
      <c r="A857" s="166" t="s">
        <v>3129</v>
      </c>
      <c r="B857" s="166" t="s">
        <v>3130</v>
      </c>
      <c r="C857" s="166" t="s">
        <v>127</v>
      </c>
      <c r="D857" s="166" t="s">
        <v>556</v>
      </c>
      <c r="E857" s="166" t="s">
        <v>1127</v>
      </c>
      <c r="F857" s="166" t="s">
        <v>1128</v>
      </c>
      <c r="G857" s="166" t="s">
        <v>129</v>
      </c>
      <c r="H857" s="166">
        <v>2138963</v>
      </c>
      <c r="I857" s="166">
        <v>0</v>
      </c>
      <c r="J857" s="166">
        <v>0</v>
      </c>
      <c r="K857" s="166" t="str">
        <f t="shared" si="13"/>
        <v>INSTRUMENTINTRST_RT_FLR</v>
      </c>
    </row>
    <row r="858" spans="1:11" hidden="1">
      <c r="A858" s="166" t="s">
        <v>3131</v>
      </c>
      <c r="B858" s="166" t="s">
        <v>3132</v>
      </c>
      <c r="C858" s="166" t="s">
        <v>127</v>
      </c>
      <c r="D858" s="166" t="s">
        <v>557</v>
      </c>
      <c r="E858" s="166" t="s">
        <v>1127</v>
      </c>
      <c r="F858" s="166" t="s">
        <v>1128</v>
      </c>
      <c r="G858" s="166" t="s">
        <v>129</v>
      </c>
      <c r="H858" s="166">
        <v>2138963</v>
      </c>
      <c r="I858" s="166">
        <v>0</v>
      </c>
      <c r="J858" s="166">
        <v>0</v>
      </c>
      <c r="K858" s="166" t="str">
        <f t="shared" si="13"/>
        <v>INSTRUMENTNMNL_INTRST_RT_FEE</v>
      </c>
    </row>
    <row r="859" spans="1:11" hidden="1">
      <c r="A859" s="166" t="s">
        <v>3133</v>
      </c>
      <c r="B859" s="166" t="s">
        <v>3134</v>
      </c>
      <c r="C859" s="166" t="s">
        <v>127</v>
      </c>
      <c r="D859" s="166" t="s">
        <v>559</v>
      </c>
      <c r="E859" s="166" t="s">
        <v>1127</v>
      </c>
      <c r="F859" s="166" t="s">
        <v>1128</v>
      </c>
      <c r="G859" s="166" t="s">
        <v>129</v>
      </c>
      <c r="H859" s="166">
        <v>2138963</v>
      </c>
      <c r="I859" s="166">
        <v>0</v>
      </c>
      <c r="J859" s="166">
        <v>0</v>
      </c>
      <c r="K859" s="166" t="str">
        <f t="shared" si="13"/>
        <v>INSTRUMENTTRNSFRRD_AMNT</v>
      </c>
    </row>
    <row r="860" spans="1:11" hidden="1">
      <c r="A860" s="166" t="s">
        <v>3135</v>
      </c>
      <c r="B860" s="166" t="s">
        <v>3136</v>
      </c>
      <c r="C860" s="166" t="s">
        <v>127</v>
      </c>
      <c r="D860" s="166" t="s">
        <v>1320</v>
      </c>
      <c r="E860" s="166" t="s">
        <v>1127</v>
      </c>
      <c r="F860" s="166" t="s">
        <v>1128</v>
      </c>
      <c r="G860" s="166" t="s">
        <v>129</v>
      </c>
      <c r="H860" s="166">
        <v>2138963</v>
      </c>
      <c r="I860" s="166">
        <v>0</v>
      </c>
      <c r="J860" s="166">
        <v>0</v>
      </c>
      <c r="K860" s="166" t="str">
        <f t="shared" si="13"/>
        <v>INSTRUMENTRWA_MTGTN</v>
      </c>
    </row>
    <row r="861" spans="1:11" hidden="1">
      <c r="A861" s="166" t="s">
        <v>3137</v>
      </c>
      <c r="B861" s="166" t="s">
        <v>3138</v>
      </c>
      <c r="C861" s="166" t="s">
        <v>127</v>
      </c>
      <c r="D861" s="166" t="s">
        <v>1319</v>
      </c>
      <c r="E861" s="166" t="s">
        <v>1127</v>
      </c>
      <c r="F861" s="166" t="s">
        <v>1128</v>
      </c>
      <c r="G861" s="166" t="s">
        <v>129</v>
      </c>
      <c r="H861" s="166">
        <v>2138963</v>
      </c>
      <c r="I861" s="166">
        <v>0</v>
      </c>
      <c r="J861" s="166">
        <v>0</v>
      </c>
      <c r="K861" s="166" t="str">
        <f t="shared" si="13"/>
        <v>INSTRUMENTRWA_PRMTGTN</v>
      </c>
    </row>
    <row r="862" spans="1:11" hidden="1">
      <c r="A862" s="166" t="s">
        <v>3139</v>
      </c>
      <c r="B862" s="166" t="s">
        <v>3140</v>
      </c>
      <c r="C862" s="166" t="s">
        <v>127</v>
      </c>
      <c r="D862" s="166" t="s">
        <v>1317</v>
      </c>
      <c r="E862" s="166" t="s">
        <v>1127</v>
      </c>
      <c r="F862" s="166" t="s">
        <v>1128</v>
      </c>
      <c r="G862" s="166" t="s">
        <v>1134</v>
      </c>
      <c r="H862" s="166">
        <v>2138963</v>
      </c>
      <c r="I862" s="166">
        <v>65</v>
      </c>
      <c r="J862" s="166">
        <v>3.0000000000000001E-3</v>
      </c>
      <c r="K862" s="166" t="str">
        <f t="shared" si="13"/>
        <v>INSTRUMENTTTL_LVRG_RT_INCPTN</v>
      </c>
    </row>
    <row r="863" spans="1:11" hidden="1">
      <c r="A863" s="166" t="s">
        <v>3141</v>
      </c>
      <c r="B863" s="166" t="s">
        <v>3142</v>
      </c>
      <c r="C863" s="166" t="s">
        <v>127</v>
      </c>
      <c r="D863" s="166" t="s">
        <v>1322</v>
      </c>
      <c r="E863" s="166" t="s">
        <v>1127</v>
      </c>
      <c r="F863" s="166" t="s">
        <v>1128</v>
      </c>
      <c r="G863" s="166" t="s">
        <v>1134</v>
      </c>
      <c r="H863" s="166">
        <v>2138963</v>
      </c>
      <c r="I863" s="166">
        <v>87101</v>
      </c>
      <c r="J863" s="166">
        <v>4.0720999999999998</v>
      </c>
      <c r="K863" s="166" t="str">
        <f t="shared" si="13"/>
        <v>INSTRUMENTRORAC</v>
      </c>
    </row>
    <row r="864" spans="1:11" hidden="1">
      <c r="A864" s="166" t="s">
        <v>3143</v>
      </c>
      <c r="B864" s="166" t="s">
        <v>3144</v>
      </c>
      <c r="C864" s="166" t="s">
        <v>127</v>
      </c>
      <c r="D864" s="166" t="s">
        <v>1321</v>
      </c>
      <c r="E864" s="166" t="s">
        <v>1127</v>
      </c>
      <c r="F864" s="166" t="s">
        <v>1128</v>
      </c>
      <c r="G864" s="166" t="s">
        <v>1134</v>
      </c>
      <c r="H864" s="166">
        <v>2138963</v>
      </c>
      <c r="I864" s="166">
        <v>3</v>
      </c>
      <c r="J864" s="166">
        <v>1E-4</v>
      </c>
      <c r="K864" s="166" t="str">
        <f t="shared" si="13"/>
        <v>INSTRUMENTRORWA</v>
      </c>
    </row>
    <row r="865" spans="1:11" hidden="1">
      <c r="A865" s="166" t="s">
        <v>3145</v>
      </c>
      <c r="B865" s="166" t="s">
        <v>3146</v>
      </c>
      <c r="C865" s="166" t="s">
        <v>127</v>
      </c>
      <c r="D865" s="166" t="s">
        <v>566</v>
      </c>
      <c r="E865" s="166" t="s">
        <v>1127</v>
      </c>
      <c r="F865" s="166" t="s">
        <v>1128</v>
      </c>
      <c r="G865" s="166" t="s">
        <v>129</v>
      </c>
      <c r="H865" s="166">
        <v>2138963</v>
      </c>
      <c r="I865" s="166">
        <v>0</v>
      </c>
      <c r="J865" s="166">
        <v>0</v>
      </c>
      <c r="K865" s="166" t="str">
        <f t="shared" si="13"/>
        <v>INSTRUMENTINCNTVS</v>
      </c>
    </row>
    <row r="866" spans="1:11" hidden="1">
      <c r="A866" s="166" t="s">
        <v>3147</v>
      </c>
      <c r="B866" s="166" t="s">
        <v>3148</v>
      </c>
      <c r="C866" s="166" t="s">
        <v>127</v>
      </c>
      <c r="D866" s="166" t="s">
        <v>567</v>
      </c>
      <c r="E866" s="166" t="s">
        <v>1127</v>
      </c>
      <c r="F866" s="166" t="s">
        <v>1128</v>
      </c>
      <c r="G866" s="166" t="s">
        <v>129</v>
      </c>
      <c r="H866" s="166">
        <v>2138963</v>
      </c>
      <c r="I866" s="166">
        <v>0</v>
      </c>
      <c r="J866" s="166">
        <v>0</v>
      </c>
      <c r="K866" s="166" t="str">
        <f t="shared" si="13"/>
        <v>INSTRUMENTOTHR_OPRTNG_INCM</v>
      </c>
    </row>
    <row r="867" spans="1:11" hidden="1">
      <c r="A867" s="166" t="s">
        <v>3149</v>
      </c>
      <c r="B867" s="166" t="s">
        <v>3150</v>
      </c>
      <c r="C867" s="166" t="s">
        <v>127</v>
      </c>
      <c r="D867" s="166" t="s">
        <v>568</v>
      </c>
      <c r="E867" s="166" t="s">
        <v>1127</v>
      </c>
      <c r="F867" s="166" t="s">
        <v>1128</v>
      </c>
      <c r="G867" s="166" t="s">
        <v>129</v>
      </c>
      <c r="H867" s="166">
        <v>2138963</v>
      </c>
      <c r="I867" s="166">
        <v>0</v>
      </c>
      <c r="J867" s="166">
        <v>0</v>
      </c>
      <c r="K867" s="166" t="str">
        <f t="shared" si="13"/>
        <v>INSTRUMENTRFRRL_FS</v>
      </c>
    </row>
    <row r="868" spans="1:11" hidden="1">
      <c r="A868" s="166" t="s">
        <v>3151</v>
      </c>
      <c r="B868" s="166" t="s">
        <v>3152</v>
      </c>
      <c r="C868" s="166" t="s">
        <v>127</v>
      </c>
      <c r="D868" s="166" t="s">
        <v>569</v>
      </c>
      <c r="E868" s="166" t="s">
        <v>1127</v>
      </c>
      <c r="F868" s="166" t="s">
        <v>1128</v>
      </c>
      <c r="G868" s="166" t="s">
        <v>129</v>
      </c>
      <c r="H868" s="166">
        <v>2138963</v>
      </c>
      <c r="I868" s="166">
        <v>0</v>
      </c>
      <c r="J868" s="166">
        <v>0</v>
      </c>
      <c r="K868" s="166" t="str">
        <f t="shared" si="13"/>
        <v>INSTRUMENTINSRNC_CMSSNS</v>
      </c>
    </row>
    <row r="869" spans="1:11" hidden="1">
      <c r="A869" s="166" t="s">
        <v>3153</v>
      </c>
      <c r="B869" s="166" t="s">
        <v>3154</v>
      </c>
      <c r="C869" s="166" t="s">
        <v>127</v>
      </c>
      <c r="D869" s="166" t="s">
        <v>570</v>
      </c>
      <c r="E869" s="166" t="s">
        <v>1127</v>
      </c>
      <c r="F869" s="166" t="s">
        <v>1128</v>
      </c>
      <c r="G869" s="166" t="s">
        <v>129</v>
      </c>
      <c r="H869" s="166">
        <v>2138963</v>
      </c>
      <c r="I869" s="166">
        <v>0</v>
      </c>
      <c r="J869" s="166">
        <v>0</v>
      </c>
      <c r="K869" s="166" t="str">
        <f t="shared" si="13"/>
        <v>INSTRUMENTOTHR_INCM_AND_CHRGS</v>
      </c>
    </row>
    <row r="870" spans="1:11" hidden="1">
      <c r="A870" s="166" t="s">
        <v>3155</v>
      </c>
      <c r="B870" s="166" t="s">
        <v>3156</v>
      </c>
      <c r="C870" s="166" t="s">
        <v>127</v>
      </c>
      <c r="D870" s="166" t="s">
        <v>571</v>
      </c>
      <c r="E870" s="166" t="s">
        <v>1127</v>
      </c>
      <c r="F870" s="166" t="s">
        <v>1128</v>
      </c>
      <c r="G870" s="166" t="s">
        <v>129</v>
      </c>
      <c r="H870" s="166">
        <v>2138963</v>
      </c>
      <c r="I870" s="166">
        <v>0</v>
      </c>
      <c r="J870" s="166">
        <v>0</v>
      </c>
      <c r="K870" s="166" t="str">
        <f t="shared" si="13"/>
        <v>INSTRUMENTTX_ON_PRFT</v>
      </c>
    </row>
    <row r="871" spans="1:11" hidden="1">
      <c r="A871" s="166" t="s">
        <v>3157</v>
      </c>
      <c r="B871" s="166" t="s">
        <v>3158</v>
      </c>
      <c r="C871" s="166" t="s">
        <v>127</v>
      </c>
      <c r="D871" s="166" t="s">
        <v>1316</v>
      </c>
      <c r="E871" s="166" t="s">
        <v>1127</v>
      </c>
      <c r="F871" s="166" t="s">
        <v>1128</v>
      </c>
      <c r="G871" s="166" t="s">
        <v>1134</v>
      </c>
      <c r="H871" s="166">
        <v>2138963</v>
      </c>
      <c r="I871" s="166">
        <v>65</v>
      </c>
      <c r="J871" s="166">
        <v>3.0000000000000001E-3</v>
      </c>
      <c r="K871" s="166" t="str">
        <f t="shared" si="13"/>
        <v>INSTRUMENTTTL_LVRG_RT_INCPTN_HLT</v>
      </c>
    </row>
    <row r="872" spans="1:11" hidden="1">
      <c r="A872" s="166" t="s">
        <v>3159</v>
      </c>
      <c r="B872" s="166" t="s">
        <v>2848</v>
      </c>
      <c r="C872" s="166" t="s">
        <v>188</v>
      </c>
      <c r="D872" s="166" t="s">
        <v>283</v>
      </c>
      <c r="E872" s="166" t="s">
        <v>1137</v>
      </c>
      <c r="F872" s="166" t="s">
        <v>3160</v>
      </c>
      <c r="G872" s="166" t="s">
        <v>129</v>
      </c>
      <c r="H872" s="166">
        <v>783914</v>
      </c>
      <c r="I872" s="166">
        <v>0</v>
      </c>
      <c r="J872" s="166">
        <v>0</v>
      </c>
      <c r="K872" s="166" t="str">
        <f t="shared" si="13"/>
        <v>INSTR_PROTECTIONDT_RFRNC</v>
      </c>
    </row>
    <row r="873" spans="1:11" hidden="1">
      <c r="A873" s="166" t="s">
        <v>3161</v>
      </c>
      <c r="B873" s="166" t="s">
        <v>3162</v>
      </c>
      <c r="C873" s="166" t="s">
        <v>188</v>
      </c>
      <c r="D873" s="166" t="s">
        <v>459</v>
      </c>
      <c r="E873" s="166" t="s">
        <v>3163</v>
      </c>
      <c r="F873" s="166" t="s">
        <v>3160</v>
      </c>
      <c r="G873" s="166" t="s">
        <v>129</v>
      </c>
      <c r="H873" s="166">
        <v>783914</v>
      </c>
      <c r="I873" s="166">
        <v>0</v>
      </c>
      <c r="J873" s="166">
        <v>0</v>
      </c>
      <c r="K873" s="166" t="str">
        <f t="shared" si="13"/>
        <v>INSTR_PROTECTIONPRTCTN_ALLCTD_VL</v>
      </c>
    </row>
    <row r="874" spans="1:11" hidden="1">
      <c r="A874" s="166" t="s">
        <v>3164</v>
      </c>
      <c r="B874" s="166" t="s">
        <v>3165</v>
      </c>
      <c r="C874" s="166" t="s">
        <v>188</v>
      </c>
      <c r="D874" s="166" t="s">
        <v>520</v>
      </c>
      <c r="E874" s="166" t="s">
        <v>1127</v>
      </c>
      <c r="F874" s="166" t="s">
        <v>3160</v>
      </c>
      <c r="G874" s="166" t="s">
        <v>129</v>
      </c>
      <c r="H874" s="166">
        <v>783914</v>
      </c>
      <c r="I874" s="166">
        <v>0</v>
      </c>
      <c r="J874" s="166">
        <v>0</v>
      </c>
      <c r="K874" s="166" t="str">
        <f t="shared" si="13"/>
        <v>INSTR_PROTECTIONTHRD_PRTY_PRRTY_CLMS</v>
      </c>
    </row>
    <row r="875" spans="1:11" hidden="1">
      <c r="A875" s="166" t="s">
        <v>3166</v>
      </c>
      <c r="B875" s="166" t="s">
        <v>3167</v>
      </c>
      <c r="C875" s="166" t="s">
        <v>156</v>
      </c>
      <c r="D875" s="166" t="s">
        <v>269</v>
      </c>
      <c r="E875" s="166" t="s">
        <v>1137</v>
      </c>
      <c r="F875" s="166" t="s">
        <v>3168</v>
      </c>
      <c r="G875" s="166" t="s">
        <v>129</v>
      </c>
      <c r="H875" s="166">
        <v>465126</v>
      </c>
      <c r="I875" s="166">
        <v>0</v>
      </c>
      <c r="J875" s="166">
        <v>0</v>
      </c>
      <c r="K875" s="166" t="str">
        <f t="shared" si="13"/>
        <v>PROTECTIONDT_MTRTY_PRTCTN</v>
      </c>
    </row>
    <row r="876" spans="1:11" hidden="1">
      <c r="A876" s="166" t="s">
        <v>3169</v>
      </c>
      <c r="B876" s="166" t="s">
        <v>2848</v>
      </c>
      <c r="C876" s="166" t="s">
        <v>156</v>
      </c>
      <c r="D876" s="166" t="s">
        <v>283</v>
      </c>
      <c r="E876" s="166" t="s">
        <v>1137</v>
      </c>
      <c r="F876" s="166" t="s">
        <v>3168</v>
      </c>
      <c r="G876" s="166" t="s">
        <v>129</v>
      </c>
      <c r="H876" s="166">
        <v>465126</v>
      </c>
      <c r="I876" s="166">
        <v>0</v>
      </c>
      <c r="J876" s="166">
        <v>0</v>
      </c>
      <c r="K876" s="166" t="str">
        <f t="shared" si="13"/>
        <v>PROTECTIONDT_RFRNC</v>
      </c>
    </row>
    <row r="877" spans="1:11" hidden="1">
      <c r="A877" s="166" t="s">
        <v>3170</v>
      </c>
      <c r="B877" s="166" t="s">
        <v>889</v>
      </c>
      <c r="C877" s="166" t="s">
        <v>127</v>
      </c>
      <c r="D877" s="166" t="s">
        <v>267</v>
      </c>
      <c r="E877" s="166" t="s">
        <v>1137</v>
      </c>
      <c r="F877" s="166" t="s">
        <v>3168</v>
      </c>
      <c r="G877" s="166" t="s">
        <v>129</v>
      </c>
      <c r="H877" s="166">
        <v>465126</v>
      </c>
      <c r="I877" s="166">
        <v>0</v>
      </c>
      <c r="J877" s="166">
        <v>0</v>
      </c>
      <c r="K877" s="166" t="str">
        <f t="shared" si="13"/>
        <v>PROTECTIONDT_LST_FLL_APPRSL</v>
      </c>
    </row>
    <row r="878" spans="1:11" hidden="1">
      <c r="A878" s="166" t="s">
        <v>3171</v>
      </c>
      <c r="B878" s="166" t="s">
        <v>798</v>
      </c>
      <c r="C878" s="166" t="s">
        <v>156</v>
      </c>
      <c r="D878" s="166" t="s">
        <v>43</v>
      </c>
      <c r="E878" s="166" t="s">
        <v>1137</v>
      </c>
      <c r="F878" s="166" t="s">
        <v>3168</v>
      </c>
      <c r="G878" s="166" t="s">
        <v>1134</v>
      </c>
      <c r="H878" s="166">
        <v>465126</v>
      </c>
      <c r="I878" s="166">
        <v>5</v>
      </c>
      <c r="J878" s="166">
        <v>1.1000000000000001E-3</v>
      </c>
      <c r="K878" s="166" t="str">
        <f t="shared" si="13"/>
        <v>PROTECTIONDT_ORGNL_PRTCTN_VL</v>
      </c>
    </row>
    <row r="879" spans="1:11" hidden="1">
      <c r="A879" s="166" t="s">
        <v>3172</v>
      </c>
      <c r="B879" s="166" t="s">
        <v>726</v>
      </c>
      <c r="C879" s="166" t="s">
        <v>156</v>
      </c>
      <c r="D879" s="166" t="s">
        <v>235</v>
      </c>
      <c r="E879" s="166" t="s">
        <v>1137</v>
      </c>
      <c r="F879" s="166" t="s">
        <v>3168</v>
      </c>
      <c r="G879" s="166" t="s">
        <v>129</v>
      </c>
      <c r="H879" s="166">
        <v>465126</v>
      </c>
      <c r="I879" s="166">
        <v>0</v>
      </c>
      <c r="J879" s="166">
        <v>0</v>
      </c>
      <c r="K879" s="166" t="str">
        <f t="shared" si="13"/>
        <v>PROTECTIONDT_PRTCTN_VL</v>
      </c>
    </row>
    <row r="880" spans="1:11" hidden="1">
      <c r="A880" s="166" t="s">
        <v>3173</v>
      </c>
      <c r="B880" s="166" t="s">
        <v>811</v>
      </c>
      <c r="C880" s="166" t="s">
        <v>156</v>
      </c>
      <c r="D880" s="166" t="s">
        <v>41</v>
      </c>
      <c r="E880" s="166" t="s">
        <v>3163</v>
      </c>
      <c r="F880" s="166" t="s">
        <v>3168</v>
      </c>
      <c r="G880" s="166" t="s">
        <v>129</v>
      </c>
      <c r="H880" s="166">
        <v>465126</v>
      </c>
      <c r="I880" s="166">
        <v>0</v>
      </c>
      <c r="J880" s="166">
        <v>0</v>
      </c>
      <c r="K880" s="166" t="str">
        <f t="shared" si="13"/>
        <v>PROTECTIONORGNL_PRTCTN_VL</v>
      </c>
    </row>
    <row r="881" spans="1:11" hidden="1">
      <c r="A881" s="166" t="s">
        <v>3174</v>
      </c>
      <c r="B881" s="166" t="s">
        <v>3175</v>
      </c>
      <c r="C881" s="166" t="s">
        <v>156</v>
      </c>
      <c r="D881" s="166" t="s">
        <v>461</v>
      </c>
      <c r="E881" s="166" t="s">
        <v>1127</v>
      </c>
      <c r="F881" s="166" t="s">
        <v>3168</v>
      </c>
      <c r="G881" s="166" t="s">
        <v>129</v>
      </c>
      <c r="H881" s="166">
        <v>465126</v>
      </c>
      <c r="I881" s="166">
        <v>0</v>
      </c>
      <c r="J881" s="166">
        <v>0</v>
      </c>
      <c r="K881" s="166" t="str">
        <f t="shared" si="13"/>
        <v>PROTECTIONPRTCTN_FRCD_SL_VL</v>
      </c>
    </row>
    <row r="882" spans="1:11" hidden="1">
      <c r="A882" s="166" t="s">
        <v>3176</v>
      </c>
      <c r="B882" s="166" t="s">
        <v>740</v>
      </c>
      <c r="C882" s="166" t="s">
        <v>156</v>
      </c>
      <c r="D882" s="166" t="s">
        <v>78</v>
      </c>
      <c r="E882" s="166" t="s">
        <v>3163</v>
      </c>
      <c r="F882" s="166" t="s">
        <v>3168</v>
      </c>
      <c r="G882" s="166" t="s">
        <v>129</v>
      </c>
      <c r="H882" s="166">
        <v>465126</v>
      </c>
      <c r="I882" s="166">
        <v>0</v>
      </c>
      <c r="J882" s="166">
        <v>0</v>
      </c>
      <c r="K882" s="166" t="str">
        <f t="shared" si="13"/>
        <v>PROTECTIONPRTCTN_VL</v>
      </c>
    </row>
    <row r="883" spans="1:11" hidden="1">
      <c r="A883" s="166" t="s">
        <v>3177</v>
      </c>
      <c r="B883" s="166" t="s">
        <v>3178</v>
      </c>
      <c r="C883" s="166" t="s">
        <v>156</v>
      </c>
      <c r="D883" s="166" t="s">
        <v>534</v>
      </c>
      <c r="E883" s="166" t="s">
        <v>1127</v>
      </c>
      <c r="F883" s="166" t="s">
        <v>3168</v>
      </c>
      <c r="G883" s="166" t="s">
        <v>129</v>
      </c>
      <c r="H883" s="166">
        <v>465126</v>
      </c>
      <c r="I883" s="166">
        <v>0</v>
      </c>
      <c r="J883" s="166">
        <v>0</v>
      </c>
      <c r="K883" s="166" t="str">
        <f t="shared" si="13"/>
        <v>PROTECTIONPRTCTN_VL_NPE</v>
      </c>
    </row>
    <row r="884" spans="1:11" hidden="1">
      <c r="A884" s="166" t="s">
        <v>3179</v>
      </c>
      <c r="B884" s="166" t="s">
        <v>671</v>
      </c>
      <c r="C884" s="166" t="s">
        <v>156</v>
      </c>
      <c r="D884" s="166" t="s">
        <v>179</v>
      </c>
      <c r="E884" s="166" t="s">
        <v>1137</v>
      </c>
      <c r="F884" s="166" t="s">
        <v>3168</v>
      </c>
      <c r="G884" s="166" t="s">
        <v>129</v>
      </c>
      <c r="H884" s="166">
        <v>465126</v>
      </c>
      <c r="I884" s="166">
        <v>0</v>
      </c>
      <c r="J884" s="166">
        <v>0</v>
      </c>
      <c r="K884" s="166" t="str">
        <f t="shared" si="13"/>
        <v>PROTECTIONDT_APPRSL_PRVS</v>
      </c>
    </row>
    <row r="885" spans="1:11" hidden="1">
      <c r="A885" s="166" t="s">
        <v>3180</v>
      </c>
      <c r="B885" s="166" t="s">
        <v>3181</v>
      </c>
      <c r="C885" s="166" t="s">
        <v>156</v>
      </c>
      <c r="D885" s="166" t="s">
        <v>468</v>
      </c>
      <c r="E885" s="166" t="s">
        <v>1127</v>
      </c>
      <c r="F885" s="166" t="s">
        <v>3168</v>
      </c>
      <c r="G885" s="166" t="s">
        <v>129</v>
      </c>
      <c r="H885" s="166">
        <v>465126</v>
      </c>
      <c r="I885" s="166">
        <v>0</v>
      </c>
      <c r="J885" s="166">
        <v>0</v>
      </c>
      <c r="K885" s="166" t="str">
        <f t="shared" si="13"/>
        <v>PROTECTIONPRTCTN_VL_PRVS</v>
      </c>
    </row>
    <row r="886" spans="1:11" hidden="1">
      <c r="A886" s="166" t="s">
        <v>3182</v>
      </c>
      <c r="B886" s="166" t="s">
        <v>3183</v>
      </c>
      <c r="C886" s="166" t="s">
        <v>156</v>
      </c>
      <c r="D886" s="166" t="s">
        <v>67</v>
      </c>
      <c r="E886" s="166" t="s">
        <v>1137</v>
      </c>
      <c r="F886" s="166" t="s">
        <v>3168</v>
      </c>
      <c r="G886" s="166" t="s">
        <v>129</v>
      </c>
      <c r="H886" s="166">
        <v>465126</v>
      </c>
      <c r="I886" s="166">
        <v>0</v>
      </c>
      <c r="J886" s="166">
        <v>0</v>
      </c>
      <c r="K886" s="166" t="str">
        <f t="shared" si="13"/>
        <v>PROTECTIONDT_CNSTRCTN_STTS</v>
      </c>
    </row>
    <row r="887" spans="1:11" hidden="1">
      <c r="A887" s="166" t="s">
        <v>3184</v>
      </c>
      <c r="B887" s="166" t="s">
        <v>3185</v>
      </c>
      <c r="C887" s="166" t="s">
        <v>156</v>
      </c>
      <c r="D887" s="166" t="s">
        <v>256</v>
      </c>
      <c r="E887" s="166" t="s">
        <v>1137</v>
      </c>
      <c r="F887" s="166" t="s">
        <v>3168</v>
      </c>
      <c r="G887" s="166" t="s">
        <v>129</v>
      </c>
      <c r="H887" s="166">
        <v>465126</v>
      </c>
      <c r="I887" s="166">
        <v>0</v>
      </c>
      <c r="J887" s="166">
        <v>0</v>
      </c>
      <c r="K887" s="166" t="str">
        <f t="shared" si="13"/>
        <v>PROTECTIONDT_FRST_USG</v>
      </c>
    </row>
    <row r="888" spans="1:11" hidden="1">
      <c r="A888" s="166" t="s">
        <v>3186</v>
      </c>
      <c r="B888" s="166" t="s">
        <v>3187</v>
      </c>
      <c r="C888" s="166" t="s">
        <v>156</v>
      </c>
      <c r="D888" s="166" t="s">
        <v>196</v>
      </c>
      <c r="E888" s="166" t="s">
        <v>1127</v>
      </c>
      <c r="F888" s="166" t="s">
        <v>3168</v>
      </c>
      <c r="G888" s="166" t="s">
        <v>129</v>
      </c>
      <c r="H888" s="166">
        <v>465126</v>
      </c>
      <c r="I888" s="166">
        <v>0</v>
      </c>
      <c r="J888" s="166">
        <v>0</v>
      </c>
      <c r="K888" s="166" t="str">
        <f t="shared" si="13"/>
        <v>PROTECTIONCRE_YRLY_EXPNSS</v>
      </c>
    </row>
    <row r="889" spans="1:11" hidden="1">
      <c r="A889" s="166" t="s">
        <v>3188</v>
      </c>
      <c r="B889" s="166" t="s">
        <v>3189</v>
      </c>
      <c r="C889" s="166" t="s">
        <v>156</v>
      </c>
      <c r="D889" s="166" t="s">
        <v>197</v>
      </c>
      <c r="E889" s="166" t="s">
        <v>1127</v>
      </c>
      <c r="F889" s="166" t="s">
        <v>3168</v>
      </c>
      <c r="G889" s="166" t="s">
        <v>129</v>
      </c>
      <c r="H889" s="166">
        <v>465126</v>
      </c>
      <c r="I889" s="166">
        <v>0</v>
      </c>
      <c r="J889" s="166">
        <v>0</v>
      </c>
      <c r="K889" s="166" t="str">
        <f t="shared" si="13"/>
        <v>PROTECTIONCRE_YRLY_INCM</v>
      </c>
    </row>
    <row r="890" spans="1:11" hidden="1">
      <c r="A890" s="166" t="s">
        <v>3190</v>
      </c>
      <c r="B890" s="166" t="s">
        <v>3191</v>
      </c>
      <c r="C890" s="166" t="s">
        <v>156</v>
      </c>
      <c r="D890" s="166" t="s">
        <v>2583</v>
      </c>
      <c r="E890" s="166" t="s">
        <v>1127</v>
      </c>
      <c r="F890" s="166" t="s">
        <v>3168</v>
      </c>
      <c r="G890" s="166" t="s">
        <v>129</v>
      </c>
      <c r="H890" s="166">
        <v>465126</v>
      </c>
      <c r="I890" s="166">
        <v>0</v>
      </c>
      <c r="J890" s="166">
        <v>0</v>
      </c>
      <c r="K890" s="166" t="str">
        <f t="shared" si="13"/>
        <v>PROTECTIONAMNT_CVRD_INSRNC</v>
      </c>
    </row>
    <row r="891" spans="1:11" hidden="1">
      <c r="A891" s="166" t="s">
        <v>3192</v>
      </c>
      <c r="B891" s="166" t="s">
        <v>3193</v>
      </c>
      <c r="C891" s="166" t="s">
        <v>156</v>
      </c>
      <c r="D891" s="166" t="s">
        <v>542</v>
      </c>
      <c r="E891" s="166" t="s">
        <v>1127</v>
      </c>
      <c r="F891" s="166" t="s">
        <v>3168</v>
      </c>
      <c r="G891" s="166" t="s">
        <v>1134</v>
      </c>
      <c r="H891" s="166">
        <v>465126</v>
      </c>
      <c r="I891" s="166">
        <v>103</v>
      </c>
      <c r="J891" s="166">
        <v>2.2100000000000002E-2</v>
      </c>
      <c r="K891" s="166" t="str">
        <f t="shared" si="13"/>
        <v>PROTECTIONYR_CNSTRCTN</v>
      </c>
    </row>
    <row r="892" spans="1:11" hidden="1">
      <c r="A892" s="166" t="s">
        <v>3194</v>
      </c>
      <c r="B892" s="166" t="s">
        <v>3195</v>
      </c>
      <c r="C892" s="166" t="s">
        <v>156</v>
      </c>
      <c r="D892" s="166" t="s">
        <v>2593</v>
      </c>
      <c r="E892" s="166" t="s">
        <v>1127</v>
      </c>
      <c r="F892" s="166" t="s">
        <v>3168</v>
      </c>
      <c r="G892" s="166" t="s">
        <v>129</v>
      </c>
      <c r="H892" s="166">
        <v>465126</v>
      </c>
      <c r="I892" s="166">
        <v>0</v>
      </c>
      <c r="J892" s="166">
        <v>0</v>
      </c>
      <c r="K892" s="166" t="str">
        <f t="shared" si="13"/>
        <v>PROTECTIONBLDNG_AR</v>
      </c>
    </row>
    <row r="893" spans="1:11" hidden="1">
      <c r="A893" s="166" t="s">
        <v>3196</v>
      </c>
      <c r="B893" s="166" t="s">
        <v>3197</v>
      </c>
      <c r="C893" s="166" t="s">
        <v>156</v>
      </c>
      <c r="D893" s="166" t="s">
        <v>572</v>
      </c>
      <c r="E893" s="166" t="s">
        <v>1127</v>
      </c>
      <c r="F893" s="166" t="s">
        <v>3168</v>
      </c>
      <c r="G893" s="166" t="s">
        <v>129</v>
      </c>
      <c r="H893" s="166">
        <v>465126</v>
      </c>
      <c r="I893" s="166">
        <v>0</v>
      </c>
      <c r="J893" s="166">
        <v>0</v>
      </c>
      <c r="K893" s="166" t="str">
        <f t="shared" si="13"/>
        <v>PROTECTIONLND_AR</v>
      </c>
    </row>
    <row r="894" spans="1:11" hidden="1">
      <c r="A894" s="166" t="s">
        <v>3198</v>
      </c>
      <c r="B894" s="166" t="s">
        <v>3199</v>
      </c>
      <c r="C894" s="166" t="s">
        <v>156</v>
      </c>
      <c r="D894" s="166" t="s">
        <v>573</v>
      </c>
      <c r="E894" s="166" t="s">
        <v>1127</v>
      </c>
      <c r="F894" s="166" t="s">
        <v>3168</v>
      </c>
      <c r="G894" s="166" t="s">
        <v>129</v>
      </c>
      <c r="H894" s="166">
        <v>465126</v>
      </c>
      <c r="I894" s="166">
        <v>0</v>
      </c>
      <c r="J894" s="166">
        <v>0</v>
      </c>
      <c r="K894" s="166" t="str">
        <f t="shared" si="13"/>
        <v>PROTECTIONLN_PSTN</v>
      </c>
    </row>
    <row r="895" spans="1:11" hidden="1">
      <c r="A895" s="166" t="s">
        <v>3200</v>
      </c>
      <c r="B895" s="166" t="s">
        <v>3201</v>
      </c>
      <c r="C895" s="166" t="s">
        <v>156</v>
      </c>
      <c r="D895" s="166" t="s">
        <v>2609</v>
      </c>
      <c r="E895" s="166" t="s">
        <v>1127</v>
      </c>
      <c r="F895" s="166" t="s">
        <v>3168</v>
      </c>
      <c r="G895" s="166" t="s">
        <v>129</v>
      </c>
      <c r="H895" s="166">
        <v>465126</v>
      </c>
      <c r="I895" s="166">
        <v>0</v>
      </c>
      <c r="J895" s="166">
        <v>0</v>
      </c>
      <c r="K895" s="166" t="str">
        <f t="shared" si="13"/>
        <v>PROTECTIONPRMRY_ENRGY_DMND_NN_RNWBL</v>
      </c>
    </row>
    <row r="896" spans="1:11" hidden="1">
      <c r="A896" s="166" t="s">
        <v>3202</v>
      </c>
      <c r="B896" s="166" t="s">
        <v>3203</v>
      </c>
      <c r="C896" s="166" t="s">
        <v>156</v>
      </c>
      <c r="D896" s="166" t="s">
        <v>2612</v>
      </c>
      <c r="E896" s="166" t="s">
        <v>1127</v>
      </c>
      <c r="F896" s="166" t="s">
        <v>3168</v>
      </c>
      <c r="G896" s="166" t="s">
        <v>129</v>
      </c>
      <c r="H896" s="166">
        <v>465126</v>
      </c>
      <c r="I896" s="166">
        <v>0</v>
      </c>
      <c r="J896" s="166">
        <v>0</v>
      </c>
      <c r="K896" s="166" t="str">
        <f t="shared" si="13"/>
        <v>PROTECTIONPRMRY_ENRGY_DMND_TTL</v>
      </c>
    </row>
    <row r="897" spans="1:11" hidden="1">
      <c r="A897" s="166" t="s">
        <v>3204</v>
      </c>
      <c r="B897" s="166" t="s">
        <v>3205</v>
      </c>
      <c r="C897" s="166" t="s">
        <v>156</v>
      </c>
      <c r="D897" s="166" t="s">
        <v>2615</v>
      </c>
      <c r="E897" s="166" t="s">
        <v>1127</v>
      </c>
      <c r="F897" s="166" t="s">
        <v>3168</v>
      </c>
      <c r="G897" s="166" t="s">
        <v>129</v>
      </c>
      <c r="H897" s="166">
        <v>465126</v>
      </c>
      <c r="I897" s="166">
        <v>0</v>
      </c>
      <c r="J897" s="166">
        <v>0</v>
      </c>
      <c r="K897" s="166" t="str">
        <f t="shared" si="13"/>
        <v>PROTECTIONPRMRY_ENRGY_DMND_RFRNC_VL</v>
      </c>
    </row>
    <row r="898" spans="1:11" hidden="1">
      <c r="A898" s="166" t="s">
        <v>3206</v>
      </c>
      <c r="B898" s="166" t="s">
        <v>3207</v>
      </c>
      <c r="C898" s="166" t="s">
        <v>576</v>
      </c>
      <c r="D898" s="166" t="s">
        <v>577</v>
      </c>
      <c r="E898" s="166" t="s">
        <v>1132</v>
      </c>
      <c r="F898" s="166" t="s">
        <v>3208</v>
      </c>
      <c r="G898" s="166" t="s">
        <v>1134</v>
      </c>
      <c r="H898" s="166">
        <v>2138857</v>
      </c>
      <c r="I898" s="166">
        <v>46</v>
      </c>
      <c r="J898" s="166">
        <v>2.2000000000000001E-3</v>
      </c>
      <c r="K898" s="166" t="str">
        <f t="shared" si="13"/>
        <v>INSTR_ACTIVITYPRCNTG_ACTVTY</v>
      </c>
    </row>
    <row r="899" spans="1:11" hidden="1">
      <c r="A899" s="166" t="s">
        <v>3209</v>
      </c>
      <c r="B899" s="166" t="s">
        <v>3210</v>
      </c>
      <c r="C899" s="166" t="s">
        <v>1142</v>
      </c>
      <c r="D899" s="166" t="s">
        <v>1341</v>
      </c>
      <c r="E899" s="166" t="s">
        <v>1132</v>
      </c>
      <c r="F899" s="166" t="s">
        <v>3208</v>
      </c>
      <c r="G899" s="166" t="s">
        <v>129</v>
      </c>
      <c r="H899" s="166">
        <v>1740608</v>
      </c>
      <c r="I899" s="166">
        <v>0</v>
      </c>
      <c r="J899" s="166">
        <v>0</v>
      </c>
      <c r="K899" s="166" t="str">
        <f t="shared" ref="K899:K962" si="14">_xlfn.CONCAT(_xlfn.IFS(ISNUMBER(SEARCH("EN",A899)),"ENTITY",ISNUMBER(SEARCH("IN",A899)),"INSTRUMENT",ISNUMBER(SEARCH("PR",A899)),"PROTECTION",ISNUMBER(SEARCH("IP",A899)),"INSTR_PROTECTION",ISNUMBER(SEARCH("IE",A899)),"INSTR_ENTITY",ISNUMBER(SEARCH("AC",A899)),"INSTR_ACTIVITY"),D899)</f>
        <v>INSTR_ACTIVITYENVRNMNTL_OBJCTV</v>
      </c>
    </row>
    <row r="900" spans="1:11" hidden="1">
      <c r="A900" s="166" t="s">
        <v>3211</v>
      </c>
      <c r="B900" s="166" t="s">
        <v>3212</v>
      </c>
      <c r="C900" s="166" t="s">
        <v>3213</v>
      </c>
      <c r="D900" s="166" t="s">
        <v>1341</v>
      </c>
      <c r="E900" s="166" t="s">
        <v>1132</v>
      </c>
      <c r="F900" s="166" t="s">
        <v>3208</v>
      </c>
      <c r="G900" s="166" t="s">
        <v>129</v>
      </c>
      <c r="H900" s="166">
        <v>0</v>
      </c>
      <c r="I900" s="166">
        <v>0</v>
      </c>
      <c r="J900" s="166">
        <v>0</v>
      </c>
      <c r="K900" s="166" t="str">
        <f t="shared" si="14"/>
        <v>INSTR_ACTIVITYENVRNMNTL_OBJCTV</v>
      </c>
    </row>
    <row r="901" spans="1:11" hidden="1">
      <c r="A901" s="166" t="s">
        <v>3214</v>
      </c>
      <c r="B901" s="166" t="s">
        <v>3215</v>
      </c>
      <c r="C901" s="166" t="s">
        <v>3213</v>
      </c>
      <c r="D901" s="166" t="s">
        <v>1341</v>
      </c>
      <c r="E901" s="166" t="s">
        <v>1132</v>
      </c>
      <c r="F901" s="166" t="s">
        <v>3208</v>
      </c>
      <c r="G901" s="166" t="s">
        <v>129</v>
      </c>
      <c r="H901" s="166">
        <v>29205</v>
      </c>
      <c r="I901" s="166">
        <v>0</v>
      </c>
      <c r="J901" s="166">
        <v>0</v>
      </c>
      <c r="K901" s="166" t="str">
        <f t="shared" si="14"/>
        <v>INSTR_ACTIVITYENVRNMNTL_OBJCTV</v>
      </c>
    </row>
    <row r="902" spans="1:11" hidden="1">
      <c r="A902" s="166" t="s">
        <v>3216</v>
      </c>
      <c r="B902" s="166" t="s">
        <v>3217</v>
      </c>
      <c r="C902" s="166" t="s">
        <v>3213</v>
      </c>
      <c r="D902" s="166" t="s">
        <v>1341</v>
      </c>
      <c r="E902" s="166" t="s">
        <v>1132</v>
      </c>
      <c r="F902" s="166" t="s">
        <v>3208</v>
      </c>
      <c r="G902" s="166" t="s">
        <v>129</v>
      </c>
      <c r="H902" s="166">
        <v>7550</v>
      </c>
      <c r="I902" s="166">
        <v>0</v>
      </c>
      <c r="J902" s="166">
        <v>0</v>
      </c>
      <c r="K902" s="166" t="str">
        <f t="shared" si="14"/>
        <v>INSTR_ACTIVITYENVRNMNTL_OBJCTV</v>
      </c>
    </row>
    <row r="903" spans="1:11" hidden="1">
      <c r="A903" s="166" t="s">
        <v>3218</v>
      </c>
      <c r="B903" s="166" t="s">
        <v>3219</v>
      </c>
      <c r="C903" s="166" t="s">
        <v>3213</v>
      </c>
      <c r="D903" s="166" t="s">
        <v>1341</v>
      </c>
      <c r="E903" s="166" t="s">
        <v>1132</v>
      </c>
      <c r="F903" s="166" t="s">
        <v>3208</v>
      </c>
      <c r="G903" s="166" t="s">
        <v>129</v>
      </c>
      <c r="H903" s="166">
        <v>0</v>
      </c>
      <c r="I903" s="166">
        <v>0</v>
      </c>
      <c r="J903" s="166">
        <v>0</v>
      </c>
      <c r="K903" s="166" t="str">
        <f t="shared" si="14"/>
        <v>INSTR_ACTIVITYENVRNMNTL_OBJCTV</v>
      </c>
    </row>
    <row r="904" spans="1:11" hidden="1">
      <c r="A904" s="166" t="s">
        <v>3220</v>
      </c>
      <c r="B904" s="166" t="s">
        <v>3221</v>
      </c>
      <c r="C904" s="166" t="s">
        <v>3213</v>
      </c>
      <c r="D904" s="166" t="s">
        <v>1341</v>
      </c>
      <c r="E904" s="166" t="s">
        <v>1132</v>
      </c>
      <c r="F904" s="166" t="s">
        <v>3208</v>
      </c>
      <c r="G904" s="166" t="s">
        <v>129</v>
      </c>
      <c r="H904" s="166">
        <v>0</v>
      </c>
      <c r="I904" s="166">
        <v>0</v>
      </c>
      <c r="J904" s="166">
        <v>0</v>
      </c>
      <c r="K904" s="166" t="str">
        <f t="shared" si="14"/>
        <v>INSTR_ACTIVITYENVRNMNTL_OBJCTV</v>
      </c>
    </row>
    <row r="905" spans="1:11" hidden="1">
      <c r="A905" s="166" t="s">
        <v>3222</v>
      </c>
      <c r="B905" s="166" t="s">
        <v>3223</v>
      </c>
      <c r="C905" s="166" t="s">
        <v>3213</v>
      </c>
      <c r="D905" s="166" t="s">
        <v>1341</v>
      </c>
      <c r="E905" s="166" t="s">
        <v>1132</v>
      </c>
      <c r="F905" s="166" t="s">
        <v>3208</v>
      </c>
      <c r="G905" s="166" t="s">
        <v>129</v>
      </c>
      <c r="H905" s="166">
        <v>0</v>
      </c>
      <c r="I905" s="166">
        <v>0</v>
      </c>
      <c r="J905" s="166">
        <v>0</v>
      </c>
      <c r="K905" s="166" t="str">
        <f t="shared" si="14"/>
        <v>INSTR_ACTIVITYENVRNMNTL_OBJCTV</v>
      </c>
    </row>
    <row r="906" spans="1:11" hidden="1">
      <c r="A906" s="166" t="s">
        <v>3224</v>
      </c>
      <c r="B906" s="166" t="s">
        <v>3225</v>
      </c>
      <c r="C906" s="166" t="s">
        <v>3213</v>
      </c>
      <c r="D906" s="166" t="s">
        <v>1341</v>
      </c>
      <c r="E906" s="166" t="s">
        <v>1132</v>
      </c>
      <c r="F906" s="166" t="s">
        <v>3208</v>
      </c>
      <c r="G906" s="166" t="s">
        <v>129</v>
      </c>
      <c r="H906" s="166">
        <v>1</v>
      </c>
      <c r="I906" s="166">
        <v>0</v>
      </c>
      <c r="J906" s="166">
        <v>0</v>
      </c>
      <c r="K906" s="166" t="str">
        <f t="shared" si="14"/>
        <v>INSTR_ACTIVITYENVRNMNTL_OBJCTV</v>
      </c>
    </row>
    <row r="907" spans="1:11" hidden="1">
      <c r="A907" s="166" t="s">
        <v>3226</v>
      </c>
      <c r="B907" s="166" t="s">
        <v>3227</v>
      </c>
      <c r="C907" s="166" t="s">
        <v>3213</v>
      </c>
      <c r="D907" s="166" t="s">
        <v>1341</v>
      </c>
      <c r="E907" s="166" t="s">
        <v>1132</v>
      </c>
      <c r="F907" s="166" t="s">
        <v>3208</v>
      </c>
      <c r="G907" s="166" t="s">
        <v>129</v>
      </c>
      <c r="H907" s="166">
        <v>145</v>
      </c>
      <c r="I907" s="166">
        <v>0</v>
      </c>
      <c r="J907" s="166">
        <v>0</v>
      </c>
      <c r="K907" s="166" t="str">
        <f t="shared" si="14"/>
        <v>INSTR_ACTIVITYENVRNMNTL_OBJCTV</v>
      </c>
    </row>
    <row r="908" spans="1:11" hidden="1">
      <c r="A908" s="166" t="s">
        <v>3228</v>
      </c>
      <c r="B908" s="166" t="s">
        <v>3229</v>
      </c>
      <c r="C908" s="166" t="s">
        <v>3213</v>
      </c>
      <c r="D908" s="166" t="s">
        <v>1341</v>
      </c>
      <c r="E908" s="166" t="s">
        <v>1132</v>
      </c>
      <c r="F908" s="166" t="s">
        <v>3208</v>
      </c>
      <c r="G908" s="166" t="s">
        <v>129</v>
      </c>
      <c r="H908" s="166">
        <v>2101956</v>
      </c>
      <c r="I908" s="166">
        <v>0</v>
      </c>
      <c r="J908" s="166">
        <v>0</v>
      </c>
      <c r="K908" s="166" t="str">
        <f t="shared" si="14"/>
        <v>INSTR_ACTIVITYENVRNMNTL_OBJCTV</v>
      </c>
    </row>
    <row r="909" spans="1:11" hidden="1">
      <c r="A909" s="166" t="s">
        <v>3230</v>
      </c>
      <c r="B909" s="166" t="s">
        <v>3231</v>
      </c>
      <c r="C909" s="166" t="s">
        <v>3213</v>
      </c>
      <c r="D909" s="166" t="s">
        <v>1341</v>
      </c>
      <c r="E909" s="166" t="s">
        <v>1132</v>
      </c>
      <c r="F909" s="166" t="s">
        <v>3208</v>
      </c>
      <c r="G909" s="166" t="s">
        <v>129</v>
      </c>
      <c r="H909" s="166">
        <v>0</v>
      </c>
      <c r="I909" s="166">
        <v>0</v>
      </c>
      <c r="J909" s="166">
        <v>0</v>
      </c>
      <c r="K909" s="166" t="str">
        <f t="shared" si="14"/>
        <v>INSTR_ACTIVITYENVRNMNTL_OBJCTV</v>
      </c>
    </row>
    <row r="910" spans="1:11" hidden="1">
      <c r="A910" s="166" t="s">
        <v>3232</v>
      </c>
      <c r="B910" s="166" t="s">
        <v>3233</v>
      </c>
      <c r="C910" s="166" t="s">
        <v>3213</v>
      </c>
      <c r="D910" s="166" t="s">
        <v>1539</v>
      </c>
      <c r="E910" s="166" t="s">
        <v>1132</v>
      </c>
      <c r="F910" s="166" t="s">
        <v>3208</v>
      </c>
      <c r="G910" s="166" t="s">
        <v>129</v>
      </c>
      <c r="H910" s="166">
        <v>0</v>
      </c>
      <c r="I910" s="166">
        <v>0</v>
      </c>
      <c r="J910" s="166">
        <v>0</v>
      </c>
      <c r="K910" s="166" t="str">
        <f t="shared" si="14"/>
        <v>INSTR_ACTIVITYTYP_ACTVTY</v>
      </c>
    </row>
    <row r="911" spans="1:11" hidden="1">
      <c r="A911" s="166" t="s">
        <v>3234</v>
      </c>
      <c r="B911" s="166" t="s">
        <v>3235</v>
      </c>
      <c r="C911" s="166" t="s">
        <v>3213</v>
      </c>
      <c r="D911" s="166" t="s">
        <v>1539</v>
      </c>
      <c r="E911" s="166" t="s">
        <v>1132</v>
      </c>
      <c r="F911" s="166" t="s">
        <v>3208</v>
      </c>
      <c r="G911" s="166" t="s">
        <v>129</v>
      </c>
      <c r="H911" s="166">
        <v>0</v>
      </c>
      <c r="I911" s="166">
        <v>0</v>
      </c>
      <c r="J911" s="166">
        <v>0</v>
      </c>
      <c r="K911" s="166" t="str">
        <f t="shared" si="14"/>
        <v>INSTR_ACTIVITYTYP_ACTVTY</v>
      </c>
    </row>
    <row r="912" spans="1:11" hidden="1">
      <c r="A912" s="166" t="s">
        <v>3236</v>
      </c>
      <c r="B912" s="166" t="s">
        <v>3237</v>
      </c>
      <c r="C912" s="166" t="s">
        <v>3213</v>
      </c>
      <c r="D912" s="166" t="s">
        <v>1539</v>
      </c>
      <c r="E912" s="166" t="s">
        <v>1132</v>
      </c>
      <c r="F912" s="166" t="s">
        <v>3208</v>
      </c>
      <c r="G912" s="166" t="s">
        <v>129</v>
      </c>
      <c r="H912" s="166">
        <v>0</v>
      </c>
      <c r="I912" s="166">
        <v>0</v>
      </c>
      <c r="J912" s="166">
        <v>0</v>
      </c>
      <c r="K912" s="166" t="str">
        <f t="shared" si="14"/>
        <v>INSTR_ACTIVITYTYP_ACTVTY</v>
      </c>
    </row>
    <row r="913" spans="1:11" hidden="1">
      <c r="A913" s="166" t="s">
        <v>3238</v>
      </c>
      <c r="B913" s="166" t="s">
        <v>3239</v>
      </c>
      <c r="C913" s="166" t="s">
        <v>3213</v>
      </c>
      <c r="D913" s="166" t="s">
        <v>1539</v>
      </c>
      <c r="E913" s="166" t="s">
        <v>1132</v>
      </c>
      <c r="F913" s="166" t="s">
        <v>3208</v>
      </c>
      <c r="G913" s="166" t="s">
        <v>129</v>
      </c>
      <c r="H913" s="166">
        <v>7</v>
      </c>
      <c r="I913" s="166">
        <v>0</v>
      </c>
      <c r="J913" s="166">
        <v>0</v>
      </c>
      <c r="K913" s="166" t="str">
        <f t="shared" si="14"/>
        <v>INSTR_ACTIVITYTYP_ACTVTY</v>
      </c>
    </row>
    <row r="914" spans="1:11" hidden="1">
      <c r="A914" s="166" t="s">
        <v>3240</v>
      </c>
      <c r="B914" s="166" t="s">
        <v>3241</v>
      </c>
      <c r="C914" s="166" t="s">
        <v>3213</v>
      </c>
      <c r="D914" s="166" t="s">
        <v>1539</v>
      </c>
      <c r="E914" s="166" t="s">
        <v>1132</v>
      </c>
      <c r="F914" s="166" t="s">
        <v>3208</v>
      </c>
      <c r="G914" s="166" t="s">
        <v>129</v>
      </c>
      <c r="H914" s="166">
        <v>32152</v>
      </c>
      <c r="I914" s="166">
        <v>0</v>
      </c>
      <c r="J914" s="166">
        <v>0</v>
      </c>
      <c r="K914" s="166" t="str">
        <f t="shared" si="14"/>
        <v>INSTR_ACTIVITYTYP_ACTVTY</v>
      </c>
    </row>
    <row r="915" spans="1:11" hidden="1">
      <c r="A915" s="166" t="s">
        <v>3242</v>
      </c>
      <c r="B915" s="166" t="s">
        <v>3243</v>
      </c>
      <c r="C915" s="166" t="s">
        <v>3213</v>
      </c>
      <c r="D915" s="166" t="s">
        <v>1539</v>
      </c>
      <c r="E915" s="166" t="s">
        <v>1132</v>
      </c>
      <c r="F915" s="166" t="s">
        <v>3208</v>
      </c>
      <c r="G915" s="166" t="s">
        <v>129</v>
      </c>
      <c r="H915" s="166">
        <v>0</v>
      </c>
      <c r="I915" s="166">
        <v>0</v>
      </c>
      <c r="J915" s="166">
        <v>0</v>
      </c>
      <c r="K915" s="166" t="str">
        <f t="shared" si="14"/>
        <v>INSTR_ACTIVITYTYP_ACTVTY</v>
      </c>
    </row>
    <row r="916" spans="1:11" hidden="1">
      <c r="A916" s="166" t="s">
        <v>3244</v>
      </c>
      <c r="B916" s="166" t="s">
        <v>3245</v>
      </c>
      <c r="C916" s="166" t="s">
        <v>3213</v>
      </c>
      <c r="D916" s="166" t="s">
        <v>1539</v>
      </c>
      <c r="E916" s="166" t="s">
        <v>1132</v>
      </c>
      <c r="F916" s="166" t="s">
        <v>3208</v>
      </c>
      <c r="G916" s="166" t="s">
        <v>129</v>
      </c>
      <c r="H916" s="166">
        <v>4554</v>
      </c>
      <c r="I916" s="166">
        <v>0</v>
      </c>
      <c r="J916" s="166">
        <v>0</v>
      </c>
      <c r="K916" s="166" t="str">
        <f t="shared" si="14"/>
        <v>INSTR_ACTIVITYTYP_ACTVTY</v>
      </c>
    </row>
    <row r="917" spans="1:11" hidden="1">
      <c r="A917" s="166" t="s">
        <v>3246</v>
      </c>
      <c r="B917" s="166" t="s">
        <v>3247</v>
      </c>
      <c r="C917" s="166" t="s">
        <v>3213</v>
      </c>
      <c r="D917" s="166" t="s">
        <v>1539</v>
      </c>
      <c r="E917" s="166" t="s">
        <v>1132</v>
      </c>
      <c r="F917" s="166" t="s">
        <v>3208</v>
      </c>
      <c r="G917" s="166" t="s">
        <v>129</v>
      </c>
      <c r="H917" s="166">
        <v>2101956</v>
      </c>
      <c r="I917" s="166">
        <v>0</v>
      </c>
      <c r="J917" s="166">
        <v>0</v>
      </c>
      <c r="K917" s="166" t="str">
        <f t="shared" si="14"/>
        <v>INSTR_ACTIVITYTYP_ACTVTY</v>
      </c>
    </row>
    <row r="918" spans="1:11" hidden="1">
      <c r="A918" s="166" t="s">
        <v>3248</v>
      </c>
      <c r="B918" s="166" t="s">
        <v>3249</v>
      </c>
      <c r="C918" s="166" t="s">
        <v>3213</v>
      </c>
      <c r="D918" s="166" t="s">
        <v>1539</v>
      </c>
      <c r="E918" s="166" t="s">
        <v>1132</v>
      </c>
      <c r="F918" s="166" t="s">
        <v>3208</v>
      </c>
      <c r="G918" s="166" t="s">
        <v>129</v>
      </c>
      <c r="H918" s="166">
        <v>187</v>
      </c>
      <c r="I918" s="166">
        <v>0</v>
      </c>
      <c r="J918" s="166">
        <v>0</v>
      </c>
      <c r="K918" s="166" t="str">
        <f t="shared" si="14"/>
        <v>INSTR_ACTIVITYTYP_ACTVTY</v>
      </c>
    </row>
    <row r="919" spans="1:11" hidden="1">
      <c r="A919" s="166" t="s">
        <v>3250</v>
      </c>
      <c r="B919" s="166" t="s">
        <v>3251</v>
      </c>
      <c r="C919" s="166" t="s">
        <v>3213</v>
      </c>
      <c r="D919" s="166" t="s">
        <v>1344</v>
      </c>
      <c r="E919" s="166" t="s">
        <v>1132</v>
      </c>
      <c r="F919" s="166" t="s">
        <v>3208</v>
      </c>
      <c r="G919" s="166" t="s">
        <v>129</v>
      </c>
      <c r="H919" s="166">
        <v>0</v>
      </c>
      <c r="I919" s="166">
        <v>0</v>
      </c>
      <c r="J919" s="166">
        <v>0</v>
      </c>
      <c r="K919" s="166" t="str">
        <f t="shared" si="14"/>
        <v>INSTR_ACTIVITYSSTNBL_INDCTR</v>
      </c>
    </row>
    <row r="920" spans="1:11" hidden="1">
      <c r="A920" s="166" t="s">
        <v>3252</v>
      </c>
      <c r="B920" s="166" t="s">
        <v>3253</v>
      </c>
      <c r="C920" s="166" t="s">
        <v>3213</v>
      </c>
      <c r="D920" s="166" t="s">
        <v>1344</v>
      </c>
      <c r="E920" s="166" t="s">
        <v>1132</v>
      </c>
      <c r="F920" s="166" t="s">
        <v>3208</v>
      </c>
      <c r="G920" s="166" t="s">
        <v>129</v>
      </c>
      <c r="H920" s="166">
        <v>0</v>
      </c>
      <c r="I920" s="166">
        <v>0</v>
      </c>
      <c r="J920" s="166">
        <v>0</v>
      </c>
      <c r="K920" s="166" t="str">
        <f t="shared" si="14"/>
        <v>INSTR_ACTIVITYSSTNBL_INDCTR</v>
      </c>
    </row>
    <row r="921" spans="1:11" hidden="1">
      <c r="A921" s="166" t="s">
        <v>3254</v>
      </c>
      <c r="B921" s="166" t="s">
        <v>3255</v>
      </c>
      <c r="C921" s="166" t="s">
        <v>3213</v>
      </c>
      <c r="D921" s="166" t="s">
        <v>1344</v>
      </c>
      <c r="E921" s="166" t="s">
        <v>1132</v>
      </c>
      <c r="F921" s="166" t="s">
        <v>3208</v>
      </c>
      <c r="G921" s="166" t="s">
        <v>129</v>
      </c>
      <c r="H921" s="166">
        <v>0</v>
      </c>
      <c r="I921" s="166">
        <v>0</v>
      </c>
      <c r="J921" s="166">
        <v>0</v>
      </c>
      <c r="K921" s="166" t="str">
        <f t="shared" si="14"/>
        <v>INSTR_ACTIVITYSSTNBL_INDCTR</v>
      </c>
    </row>
    <row r="922" spans="1:11" hidden="1">
      <c r="A922" s="166" t="s">
        <v>3256</v>
      </c>
      <c r="B922" s="166" t="s">
        <v>3257</v>
      </c>
      <c r="C922" s="166" t="s">
        <v>3213</v>
      </c>
      <c r="D922" s="166" t="s">
        <v>1344</v>
      </c>
      <c r="E922" s="166" t="s">
        <v>1132</v>
      </c>
      <c r="F922" s="166" t="s">
        <v>3208</v>
      </c>
      <c r="G922" s="166" t="s">
        <v>129</v>
      </c>
      <c r="H922" s="166">
        <v>0</v>
      </c>
      <c r="I922" s="166">
        <v>0</v>
      </c>
      <c r="J922" s="166">
        <v>0</v>
      </c>
      <c r="K922" s="166" t="str">
        <f t="shared" si="14"/>
        <v>INSTR_ACTIVITYSSTNBL_INDCTR</v>
      </c>
    </row>
    <row r="923" spans="1:11" hidden="1">
      <c r="A923" s="166" t="s">
        <v>3258</v>
      </c>
      <c r="B923" s="166" t="s">
        <v>3259</v>
      </c>
      <c r="C923" s="166" t="s">
        <v>3213</v>
      </c>
      <c r="D923" s="166" t="s">
        <v>1344</v>
      </c>
      <c r="E923" s="166" t="s">
        <v>1132</v>
      </c>
      <c r="F923" s="166" t="s">
        <v>3208</v>
      </c>
      <c r="G923" s="166" t="s">
        <v>129</v>
      </c>
      <c r="H923" s="166">
        <v>0</v>
      </c>
      <c r="I923" s="166">
        <v>0</v>
      </c>
      <c r="J923" s="166">
        <v>0</v>
      </c>
      <c r="K923" s="166" t="str">
        <f t="shared" si="14"/>
        <v>INSTR_ACTIVITYSSTNBL_INDCTR</v>
      </c>
    </row>
    <row r="924" spans="1:11" hidden="1">
      <c r="A924" s="166" t="s">
        <v>3260</v>
      </c>
      <c r="B924" s="166" t="s">
        <v>3261</v>
      </c>
      <c r="C924" s="166" t="s">
        <v>1142</v>
      </c>
      <c r="D924" s="166" t="s">
        <v>1344</v>
      </c>
      <c r="E924" s="166" t="s">
        <v>1132</v>
      </c>
      <c r="F924" s="166" t="s">
        <v>3208</v>
      </c>
      <c r="G924" s="166" t="s">
        <v>129</v>
      </c>
      <c r="H924" s="166">
        <v>0</v>
      </c>
      <c r="I924" s="166">
        <v>0</v>
      </c>
      <c r="J924" s="166">
        <v>0</v>
      </c>
      <c r="K924" s="166" t="str">
        <f t="shared" si="14"/>
        <v>INSTR_ACTIVITYSSTNBL_INDCTR</v>
      </c>
    </row>
    <row r="925" spans="1:11" hidden="1">
      <c r="A925" s="166" t="s">
        <v>3262</v>
      </c>
      <c r="B925" s="166" t="s">
        <v>3263</v>
      </c>
      <c r="C925" s="166" t="s">
        <v>3213</v>
      </c>
      <c r="D925" s="166" t="s">
        <v>1344</v>
      </c>
      <c r="E925" s="166" t="s">
        <v>1132</v>
      </c>
      <c r="F925" s="166" t="s">
        <v>3208</v>
      </c>
      <c r="G925" s="166" t="s">
        <v>129</v>
      </c>
      <c r="H925" s="166">
        <v>2091424</v>
      </c>
      <c r="I925" s="166">
        <v>0</v>
      </c>
      <c r="J925" s="166">
        <v>0</v>
      </c>
      <c r="K925" s="166" t="str">
        <f t="shared" si="14"/>
        <v>INSTR_ACTIVITYSSTNBL_INDCTR</v>
      </c>
    </row>
    <row r="926" spans="1:11" hidden="1">
      <c r="A926" s="166" t="s">
        <v>3264</v>
      </c>
      <c r="B926" s="166" t="s">
        <v>3265</v>
      </c>
      <c r="C926" s="166" t="s">
        <v>3213</v>
      </c>
      <c r="D926" s="166" t="s">
        <v>1344</v>
      </c>
      <c r="E926" s="166" t="s">
        <v>1132</v>
      </c>
      <c r="F926" s="166" t="s">
        <v>3208</v>
      </c>
      <c r="G926" s="166" t="s">
        <v>1134</v>
      </c>
      <c r="H926" s="166">
        <v>614</v>
      </c>
      <c r="I926" s="166">
        <v>614</v>
      </c>
      <c r="J926" s="166">
        <v>100</v>
      </c>
      <c r="K926" s="166" t="str">
        <f t="shared" si="14"/>
        <v>INSTR_ACTIVITYSSTNBL_INDCTR</v>
      </c>
    </row>
    <row r="927" spans="1:11" hidden="1">
      <c r="A927" s="166" t="s">
        <v>3266</v>
      </c>
      <c r="B927" s="166" t="s">
        <v>3267</v>
      </c>
      <c r="C927" s="166" t="s">
        <v>3213</v>
      </c>
      <c r="D927" s="166" t="s">
        <v>1344</v>
      </c>
      <c r="E927" s="166" t="s">
        <v>1132</v>
      </c>
      <c r="F927" s="166" t="s">
        <v>3208</v>
      </c>
      <c r="G927" s="166" t="s">
        <v>129</v>
      </c>
      <c r="H927" s="166">
        <v>9108</v>
      </c>
      <c r="I927" s="166">
        <v>0</v>
      </c>
      <c r="J927" s="166">
        <v>0</v>
      </c>
      <c r="K927" s="166" t="str">
        <f t="shared" si="14"/>
        <v>INSTR_ACTIVITYSSTNBL_INDCTR</v>
      </c>
    </row>
    <row r="928" spans="1:11" hidden="1">
      <c r="A928" s="166" t="s">
        <v>3268</v>
      </c>
      <c r="B928" s="166" t="s">
        <v>3269</v>
      </c>
      <c r="C928" s="166" t="s">
        <v>3213</v>
      </c>
      <c r="D928" s="166" t="s">
        <v>1344</v>
      </c>
      <c r="E928" s="166" t="s">
        <v>1132</v>
      </c>
      <c r="F928" s="166" t="s">
        <v>3208</v>
      </c>
      <c r="G928" s="166" t="s">
        <v>1134</v>
      </c>
      <c r="H928" s="166">
        <v>781</v>
      </c>
      <c r="I928" s="166">
        <v>781</v>
      </c>
      <c r="J928" s="166">
        <v>100</v>
      </c>
      <c r="K928" s="166" t="str">
        <f t="shared" si="14"/>
        <v>INSTR_ACTIVITYSSTNBL_INDCTR</v>
      </c>
    </row>
    <row r="929" spans="1:11" hidden="1">
      <c r="A929" s="166" t="s">
        <v>3270</v>
      </c>
      <c r="B929" s="166" t="s">
        <v>3271</v>
      </c>
      <c r="C929" s="166" t="s">
        <v>3213</v>
      </c>
      <c r="D929" s="166" t="s">
        <v>1344</v>
      </c>
      <c r="E929" s="166" t="s">
        <v>1132</v>
      </c>
      <c r="F929" s="166" t="s">
        <v>3208</v>
      </c>
      <c r="G929" s="166" t="s">
        <v>129</v>
      </c>
      <c r="H929" s="166">
        <v>29</v>
      </c>
      <c r="I929" s="166">
        <v>0</v>
      </c>
      <c r="J929" s="166">
        <v>0</v>
      </c>
      <c r="K929" s="166" t="str">
        <f t="shared" si="14"/>
        <v>INSTR_ACTIVITYSSTNBL_INDCTR</v>
      </c>
    </row>
    <row r="930" spans="1:11" hidden="1">
      <c r="A930" s="166" t="s">
        <v>3272</v>
      </c>
      <c r="B930" s="166" t="s">
        <v>3273</v>
      </c>
      <c r="C930" s="166" t="s">
        <v>3213</v>
      </c>
      <c r="D930" s="166" t="s">
        <v>1344</v>
      </c>
      <c r="E930" s="166" t="s">
        <v>1132</v>
      </c>
      <c r="F930" s="166" t="s">
        <v>3208</v>
      </c>
      <c r="G930" s="166" t="s">
        <v>129</v>
      </c>
      <c r="H930" s="166">
        <v>0</v>
      </c>
      <c r="I930" s="166">
        <v>0</v>
      </c>
      <c r="J930" s="166">
        <v>0</v>
      </c>
      <c r="K930" s="166" t="str">
        <f t="shared" si="14"/>
        <v>INSTR_ACTIVITYSSTNBL_INDCTR</v>
      </c>
    </row>
    <row r="931" spans="1:11" hidden="1">
      <c r="A931" s="166" t="s">
        <v>3274</v>
      </c>
      <c r="B931" s="166" t="s">
        <v>3275</v>
      </c>
      <c r="C931" s="166" t="s">
        <v>3213</v>
      </c>
      <c r="D931" s="166" t="s">
        <v>1344</v>
      </c>
      <c r="E931" s="166" t="s">
        <v>1132</v>
      </c>
      <c r="F931" s="166" t="s">
        <v>3208</v>
      </c>
      <c r="G931" s="166" t="s">
        <v>1134</v>
      </c>
      <c r="H931" s="166">
        <v>36901</v>
      </c>
      <c r="I931" s="166">
        <v>36901</v>
      </c>
      <c r="J931" s="166">
        <v>100</v>
      </c>
      <c r="K931" s="166" t="str">
        <f t="shared" si="14"/>
        <v>INSTR_ACTIVITYSSTNBL_INDCTR</v>
      </c>
    </row>
    <row r="932" spans="1:11" hidden="1">
      <c r="A932" s="166" t="s">
        <v>3276</v>
      </c>
      <c r="B932" s="166" t="s">
        <v>3277</v>
      </c>
      <c r="C932" s="166" t="s">
        <v>1142</v>
      </c>
      <c r="D932" s="166" t="s">
        <v>1344</v>
      </c>
      <c r="E932" s="166" t="s">
        <v>1132</v>
      </c>
      <c r="F932" s="166" t="s">
        <v>3208</v>
      </c>
      <c r="G932" s="166" t="s">
        <v>129</v>
      </c>
      <c r="H932" s="166">
        <v>0</v>
      </c>
      <c r="I932" s="166">
        <v>0</v>
      </c>
      <c r="J932" s="166">
        <v>0</v>
      </c>
      <c r="K932" s="166" t="str">
        <f t="shared" si="14"/>
        <v>INSTR_ACTIVITYSSTNBL_INDCTR</v>
      </c>
    </row>
    <row r="933" spans="1:11" hidden="1">
      <c r="A933" s="166" t="s">
        <v>3278</v>
      </c>
      <c r="B933" s="166" t="s">
        <v>3279</v>
      </c>
      <c r="C933" s="166" t="s">
        <v>1142</v>
      </c>
      <c r="D933" s="166" t="s">
        <v>1348</v>
      </c>
      <c r="E933" s="166" t="s">
        <v>1132</v>
      </c>
      <c r="F933" s="166" t="s">
        <v>3208</v>
      </c>
      <c r="G933" s="166" t="s">
        <v>129</v>
      </c>
      <c r="H933" s="166">
        <v>0</v>
      </c>
      <c r="I933" s="166">
        <v>0</v>
      </c>
      <c r="J933" s="166">
        <v>0</v>
      </c>
      <c r="K933" s="166" t="str">
        <f t="shared" si="14"/>
        <v>INSTR_ACTIVITYFLG_SBSTNTL_CNTRBTN</v>
      </c>
    </row>
    <row r="934" spans="1:11" hidden="1">
      <c r="A934" s="166" t="s">
        <v>3280</v>
      </c>
      <c r="B934" s="166" t="s">
        <v>3281</v>
      </c>
      <c r="C934" s="166" t="s">
        <v>1142</v>
      </c>
      <c r="D934" s="166" t="s">
        <v>1351</v>
      </c>
      <c r="E934" s="166" t="s">
        <v>1132</v>
      </c>
      <c r="F934" s="166" t="s">
        <v>3208</v>
      </c>
      <c r="G934" s="166" t="s">
        <v>129</v>
      </c>
      <c r="H934" s="166">
        <v>0</v>
      </c>
      <c r="I934" s="166">
        <v>0</v>
      </c>
      <c r="J934" s="166">
        <v>0</v>
      </c>
      <c r="K934" s="166" t="str">
        <f t="shared" si="14"/>
        <v>INSTR_ACTIVITYFLG_DNSH_CMPLNC</v>
      </c>
    </row>
    <row r="935" spans="1:11" hidden="1">
      <c r="A935" s="166" t="s">
        <v>3282</v>
      </c>
      <c r="B935" s="166" t="s">
        <v>3283</v>
      </c>
      <c r="C935" s="166" t="s">
        <v>3213</v>
      </c>
      <c r="D935" s="166" t="s">
        <v>1548</v>
      </c>
      <c r="E935" s="166" t="s">
        <v>1132</v>
      </c>
      <c r="F935" s="166" t="s">
        <v>3208</v>
      </c>
      <c r="G935" s="166" t="s">
        <v>129</v>
      </c>
      <c r="H935" s="166">
        <v>0</v>
      </c>
      <c r="I935" s="166">
        <v>0</v>
      </c>
      <c r="J935" s="166">
        <v>0</v>
      </c>
      <c r="K935" s="166" t="str">
        <f t="shared" si="14"/>
        <v>INSTR_ACTIVITYDNSH_DTL</v>
      </c>
    </row>
    <row r="936" spans="1:11" hidden="1">
      <c r="A936" s="166" t="s">
        <v>3284</v>
      </c>
      <c r="B936" s="166" t="s">
        <v>3285</v>
      </c>
      <c r="C936" s="166" t="s">
        <v>576</v>
      </c>
      <c r="D936" s="166" t="s">
        <v>1548</v>
      </c>
      <c r="E936" s="166" t="s">
        <v>1132</v>
      </c>
      <c r="F936" s="166" t="s">
        <v>3208</v>
      </c>
      <c r="G936" s="166" t="s">
        <v>129</v>
      </c>
      <c r="H936" s="166">
        <v>0</v>
      </c>
      <c r="I936" s="166">
        <v>0</v>
      </c>
      <c r="J936" s="166">
        <v>0</v>
      </c>
      <c r="K936" s="166" t="str">
        <f t="shared" si="14"/>
        <v>INSTR_ACTIVITYDNSH_DTL</v>
      </c>
    </row>
    <row r="937" spans="1:11" hidden="1">
      <c r="A937" s="166" t="s">
        <v>3286</v>
      </c>
      <c r="B937" s="166" t="s">
        <v>3287</v>
      </c>
      <c r="C937" s="166" t="s">
        <v>576</v>
      </c>
      <c r="D937" s="166" t="s">
        <v>1548</v>
      </c>
      <c r="E937" s="166" t="s">
        <v>1132</v>
      </c>
      <c r="F937" s="166" t="s">
        <v>3208</v>
      </c>
      <c r="G937" s="166" t="s">
        <v>129</v>
      </c>
      <c r="H937" s="166">
        <v>0</v>
      </c>
      <c r="I937" s="166">
        <v>0</v>
      </c>
      <c r="J937" s="166">
        <v>0</v>
      </c>
      <c r="K937" s="166" t="str">
        <f t="shared" si="14"/>
        <v>INSTR_ACTIVITYDNSH_DTL</v>
      </c>
    </row>
    <row r="938" spans="1:11" hidden="1">
      <c r="A938" s="166" t="s">
        <v>3288</v>
      </c>
      <c r="B938" s="166" t="s">
        <v>3289</v>
      </c>
      <c r="C938" s="166" t="s">
        <v>576</v>
      </c>
      <c r="D938" s="166" t="s">
        <v>1548</v>
      </c>
      <c r="E938" s="166" t="s">
        <v>1132</v>
      </c>
      <c r="F938" s="166" t="s">
        <v>3208</v>
      </c>
      <c r="G938" s="166" t="s">
        <v>129</v>
      </c>
      <c r="H938" s="166">
        <v>0</v>
      </c>
      <c r="I938" s="166">
        <v>0</v>
      </c>
      <c r="J938" s="166">
        <v>0</v>
      </c>
      <c r="K938" s="166" t="str">
        <f t="shared" si="14"/>
        <v>INSTR_ACTIVITYDNSH_DTL</v>
      </c>
    </row>
    <row r="939" spans="1:11" hidden="1">
      <c r="A939" s="166" t="s">
        <v>3290</v>
      </c>
      <c r="B939" s="166" t="s">
        <v>3291</v>
      </c>
      <c r="C939" s="166" t="s">
        <v>576</v>
      </c>
      <c r="D939" s="166" t="s">
        <v>1548</v>
      </c>
      <c r="E939" s="166" t="s">
        <v>1132</v>
      </c>
      <c r="F939" s="166" t="s">
        <v>3208</v>
      </c>
      <c r="G939" s="166" t="s">
        <v>129</v>
      </c>
      <c r="H939" s="166">
        <v>0</v>
      </c>
      <c r="I939" s="166">
        <v>0</v>
      </c>
      <c r="J939" s="166">
        <v>0</v>
      </c>
      <c r="K939" s="166" t="str">
        <f t="shared" si="14"/>
        <v>INSTR_ACTIVITYDNSH_DTL</v>
      </c>
    </row>
    <row r="940" spans="1:11" hidden="1">
      <c r="A940" s="166" t="s">
        <v>3292</v>
      </c>
      <c r="B940" s="166" t="s">
        <v>3293</v>
      </c>
      <c r="C940" s="166" t="s">
        <v>576</v>
      </c>
      <c r="D940" s="166" t="s">
        <v>1548</v>
      </c>
      <c r="E940" s="166" t="s">
        <v>1132</v>
      </c>
      <c r="F940" s="166" t="s">
        <v>3208</v>
      </c>
      <c r="G940" s="166" t="s">
        <v>129</v>
      </c>
      <c r="H940" s="166">
        <v>0</v>
      </c>
      <c r="I940" s="166">
        <v>0</v>
      </c>
      <c r="J940" s="166">
        <v>0</v>
      </c>
      <c r="K940" s="166" t="str">
        <f t="shared" si="14"/>
        <v>INSTR_ACTIVITYDNSH_DTL</v>
      </c>
    </row>
    <row r="941" spans="1:11" hidden="1">
      <c r="A941" s="166" t="s">
        <v>3294</v>
      </c>
      <c r="B941" s="166" t="s">
        <v>3295</v>
      </c>
      <c r="C941" s="166" t="s">
        <v>576</v>
      </c>
      <c r="D941" s="166" t="s">
        <v>1548</v>
      </c>
      <c r="E941" s="166" t="s">
        <v>1132</v>
      </c>
      <c r="F941" s="166" t="s">
        <v>3208</v>
      </c>
      <c r="G941" s="166" t="s">
        <v>129</v>
      </c>
      <c r="H941" s="166">
        <v>0</v>
      </c>
      <c r="I941" s="166">
        <v>0</v>
      </c>
      <c r="J941" s="166">
        <v>0</v>
      </c>
      <c r="K941" s="166" t="str">
        <f t="shared" si="14"/>
        <v>INSTR_ACTIVITYDNSH_DTL</v>
      </c>
    </row>
    <row r="942" spans="1:11" hidden="1">
      <c r="A942" s="166" t="s">
        <v>3296</v>
      </c>
      <c r="B942" s="166" t="s">
        <v>3297</v>
      </c>
      <c r="C942" s="166" t="s">
        <v>3213</v>
      </c>
      <c r="D942" s="166" t="s">
        <v>1548</v>
      </c>
      <c r="E942" s="166" t="s">
        <v>1132</v>
      </c>
      <c r="F942" s="166" t="s">
        <v>3208</v>
      </c>
      <c r="G942" s="166" t="s">
        <v>129</v>
      </c>
      <c r="H942" s="166">
        <v>0</v>
      </c>
      <c r="I942" s="166">
        <v>0</v>
      </c>
      <c r="J942" s="166">
        <v>0</v>
      </c>
      <c r="K942" s="166" t="str">
        <f t="shared" si="14"/>
        <v>INSTR_ACTIVITYDNSH_DTL</v>
      </c>
    </row>
    <row r="943" spans="1:11" hidden="1">
      <c r="A943" s="166" t="s">
        <v>3298</v>
      </c>
      <c r="B943" s="166" t="s">
        <v>3299</v>
      </c>
      <c r="C943" s="166" t="s">
        <v>1142</v>
      </c>
      <c r="D943" s="166" t="s">
        <v>232</v>
      </c>
      <c r="E943" s="166" t="s">
        <v>1132</v>
      </c>
      <c r="F943" s="166" t="s">
        <v>1241</v>
      </c>
      <c r="G943" s="166" t="s">
        <v>1134</v>
      </c>
      <c r="H943" s="166">
        <v>2108486</v>
      </c>
      <c r="I943" s="166">
        <v>1428</v>
      </c>
      <c r="J943" s="166">
        <v>6.7699999999999996E-2</v>
      </c>
      <c r="K943" s="166" t="str">
        <f t="shared" si="14"/>
        <v>ENTITYDT_BRTH</v>
      </c>
    </row>
    <row r="944" spans="1:11" hidden="1">
      <c r="A944" s="166" t="s">
        <v>3300</v>
      </c>
      <c r="B944" s="166" t="s">
        <v>3301</v>
      </c>
      <c r="C944" s="166" t="s">
        <v>1243</v>
      </c>
      <c r="D944" s="166" t="s">
        <v>232</v>
      </c>
      <c r="E944" s="166" t="s">
        <v>1132</v>
      </c>
      <c r="F944" s="166" t="s">
        <v>1241</v>
      </c>
      <c r="G944" s="166" t="s">
        <v>129</v>
      </c>
      <c r="H944" s="166">
        <v>1138796</v>
      </c>
      <c r="I944" s="166">
        <v>0</v>
      </c>
      <c r="J944" s="166">
        <v>0</v>
      </c>
      <c r="K944" s="166" t="str">
        <f t="shared" si="14"/>
        <v>ENTITYDT_BRTH</v>
      </c>
    </row>
    <row r="945" spans="1:11" hidden="1">
      <c r="A945" s="166" t="s">
        <v>3302</v>
      </c>
      <c r="B945" s="166" t="s">
        <v>3303</v>
      </c>
      <c r="C945" s="166" t="s">
        <v>1243</v>
      </c>
      <c r="D945" s="166" t="s">
        <v>239</v>
      </c>
      <c r="E945" s="166" t="s">
        <v>1132</v>
      </c>
      <c r="F945" s="166" t="s">
        <v>1241</v>
      </c>
      <c r="G945" s="166" t="s">
        <v>129</v>
      </c>
      <c r="H945" s="166">
        <v>907080</v>
      </c>
      <c r="I945" s="166">
        <v>0</v>
      </c>
      <c r="J945" s="166">
        <v>0</v>
      </c>
      <c r="K945" s="166" t="str">
        <f t="shared" si="14"/>
        <v>ENTITYDT_DFLT_STTS</v>
      </c>
    </row>
    <row r="946" spans="1:11" hidden="1">
      <c r="A946" s="166" t="s">
        <v>3304</v>
      </c>
      <c r="B946" s="166" t="s">
        <v>3305</v>
      </c>
      <c r="C946" s="166" t="s">
        <v>1243</v>
      </c>
      <c r="D946" s="166" t="s">
        <v>239</v>
      </c>
      <c r="E946" s="166" t="s">
        <v>1132</v>
      </c>
      <c r="F946" s="166" t="s">
        <v>1241</v>
      </c>
      <c r="G946" s="166" t="s">
        <v>1134</v>
      </c>
      <c r="H946" s="166">
        <v>891295</v>
      </c>
      <c r="I946" s="166">
        <v>771</v>
      </c>
      <c r="J946" s="166">
        <v>8.6499999999999994E-2</v>
      </c>
      <c r="K946" s="166" t="str">
        <f t="shared" si="14"/>
        <v>ENTITYDT_DFLT_STTS</v>
      </c>
    </row>
    <row r="947" spans="1:11" hidden="1">
      <c r="A947" s="166" t="s">
        <v>3306</v>
      </c>
      <c r="B947" s="166" t="s">
        <v>3307</v>
      </c>
      <c r="C947" s="166" t="s">
        <v>1243</v>
      </c>
      <c r="D947" s="166" t="s">
        <v>239</v>
      </c>
      <c r="E947" s="166" t="s">
        <v>1132</v>
      </c>
      <c r="F947" s="166" t="s">
        <v>1241</v>
      </c>
      <c r="G947" s="166" t="s">
        <v>1134</v>
      </c>
      <c r="H947" s="166">
        <v>892830</v>
      </c>
      <c r="I947" s="166">
        <v>1</v>
      </c>
      <c r="J947" s="166">
        <v>1E-4</v>
      </c>
      <c r="K947" s="166" t="str">
        <f t="shared" si="14"/>
        <v>ENTITYDT_DFLT_STTS</v>
      </c>
    </row>
    <row r="948" spans="1:11" hidden="1">
      <c r="A948" s="166" t="s">
        <v>3308</v>
      </c>
      <c r="B948" s="166" t="s">
        <v>3309</v>
      </c>
      <c r="C948" s="166" t="s">
        <v>1243</v>
      </c>
      <c r="D948" s="166" t="s">
        <v>239</v>
      </c>
      <c r="E948" s="166" t="s">
        <v>1132</v>
      </c>
      <c r="F948" s="166" t="s">
        <v>1241</v>
      </c>
      <c r="G948" s="166" t="s">
        <v>129</v>
      </c>
      <c r="H948" s="166">
        <v>233641</v>
      </c>
      <c r="I948" s="166">
        <v>0</v>
      </c>
      <c r="J948" s="166">
        <v>0</v>
      </c>
      <c r="K948" s="166" t="str">
        <f t="shared" si="14"/>
        <v>ENTITYDT_DFLT_STTS</v>
      </c>
    </row>
    <row r="949" spans="1:11" hidden="1">
      <c r="A949" s="166" t="s">
        <v>3310</v>
      </c>
      <c r="B949" s="166" t="s">
        <v>3311</v>
      </c>
      <c r="C949" s="166" t="s">
        <v>1243</v>
      </c>
      <c r="D949" s="166" t="s">
        <v>249</v>
      </c>
      <c r="E949" s="166" t="s">
        <v>1132</v>
      </c>
      <c r="F949" s="166" t="s">
        <v>1241</v>
      </c>
      <c r="G949" s="166" t="s">
        <v>129</v>
      </c>
      <c r="H949" s="166">
        <v>64912</v>
      </c>
      <c r="I949" s="166">
        <v>0</v>
      </c>
      <c r="J949" s="166">
        <v>0</v>
      </c>
      <c r="K949" s="166" t="str">
        <f t="shared" si="14"/>
        <v>ENTITYDT_FNNCL_STTMTS</v>
      </c>
    </row>
    <row r="950" spans="1:11" hidden="1">
      <c r="A950" s="166" t="s">
        <v>3312</v>
      </c>
      <c r="B950" s="166" t="s">
        <v>3313</v>
      </c>
      <c r="C950" s="166" t="s">
        <v>1243</v>
      </c>
      <c r="D950" s="166" t="s">
        <v>249</v>
      </c>
      <c r="E950" s="166" t="s">
        <v>1132</v>
      </c>
      <c r="F950" s="166" t="s">
        <v>1241</v>
      </c>
      <c r="G950" s="166" t="s">
        <v>129</v>
      </c>
      <c r="H950" s="166">
        <v>68422</v>
      </c>
      <c r="I950" s="166">
        <v>0</v>
      </c>
      <c r="J950" s="166">
        <v>0</v>
      </c>
      <c r="K950" s="166" t="str">
        <f t="shared" si="14"/>
        <v>ENTITYDT_FNNCL_STTMTS</v>
      </c>
    </row>
    <row r="951" spans="1:11" hidden="1">
      <c r="A951" s="166" t="s">
        <v>3314</v>
      </c>
      <c r="B951" s="166" t="s">
        <v>3315</v>
      </c>
      <c r="C951" s="166" t="s">
        <v>1243</v>
      </c>
      <c r="D951" s="166" t="s">
        <v>249</v>
      </c>
      <c r="E951" s="166" t="s">
        <v>1132</v>
      </c>
      <c r="F951" s="166" t="s">
        <v>1241</v>
      </c>
      <c r="G951" s="166" t="s">
        <v>1134</v>
      </c>
      <c r="H951" s="166">
        <v>67601</v>
      </c>
      <c r="I951" s="166">
        <v>2</v>
      </c>
      <c r="J951" s="166">
        <v>3.0000000000000001E-3</v>
      </c>
      <c r="K951" s="166" t="str">
        <f t="shared" si="14"/>
        <v>ENTITYDT_FNNCL_STTMTS</v>
      </c>
    </row>
    <row r="952" spans="1:11" hidden="1">
      <c r="A952" s="166" t="s">
        <v>3316</v>
      </c>
      <c r="B952" s="166" t="s">
        <v>3317</v>
      </c>
      <c r="C952" s="166" t="s">
        <v>1243</v>
      </c>
      <c r="D952" s="166" t="s">
        <v>249</v>
      </c>
      <c r="E952" s="166" t="s">
        <v>1132</v>
      </c>
      <c r="F952" s="166" t="s">
        <v>1241</v>
      </c>
      <c r="G952" s="166" t="s">
        <v>129</v>
      </c>
      <c r="H952" s="166">
        <v>68644</v>
      </c>
      <c r="I952" s="166">
        <v>0</v>
      </c>
      <c r="J952" s="166">
        <v>0</v>
      </c>
      <c r="K952" s="166" t="str">
        <f t="shared" si="14"/>
        <v>ENTITYDT_FNNCL_STTMTS</v>
      </c>
    </row>
    <row r="953" spans="1:11" hidden="1">
      <c r="A953" s="166" t="s">
        <v>3318</v>
      </c>
      <c r="B953" s="166" t="s">
        <v>3319</v>
      </c>
      <c r="C953" s="166" t="s">
        <v>1243</v>
      </c>
      <c r="D953" s="166" t="s">
        <v>249</v>
      </c>
      <c r="E953" s="166" t="s">
        <v>1132</v>
      </c>
      <c r="F953" s="166" t="s">
        <v>1241</v>
      </c>
      <c r="G953" s="166" t="s">
        <v>1134</v>
      </c>
      <c r="H953" s="166">
        <v>46</v>
      </c>
      <c r="I953" s="166">
        <v>1</v>
      </c>
      <c r="J953" s="166">
        <v>2.1739000000000002</v>
      </c>
      <c r="K953" s="166" t="str">
        <f t="shared" si="14"/>
        <v>ENTITYDT_FNNCL_STTMTS</v>
      </c>
    </row>
    <row r="954" spans="1:11" hidden="1">
      <c r="A954" s="166" t="s">
        <v>3320</v>
      </c>
      <c r="B954" s="166" t="s">
        <v>3321</v>
      </c>
      <c r="C954" s="166" t="s">
        <v>1243</v>
      </c>
      <c r="D954" s="166" t="s">
        <v>250</v>
      </c>
      <c r="E954" s="166" t="s">
        <v>1132</v>
      </c>
      <c r="F954" s="166" t="s">
        <v>1241</v>
      </c>
      <c r="G954" s="166" t="s">
        <v>1134</v>
      </c>
      <c r="H954" s="166">
        <v>61250</v>
      </c>
      <c r="I954" s="166">
        <v>115</v>
      </c>
      <c r="J954" s="166">
        <v>0.18779999999999999</v>
      </c>
      <c r="K954" s="166" t="str">
        <f t="shared" si="14"/>
        <v>ENTITYDT_FNNCL_STTMTS_PRVS</v>
      </c>
    </row>
    <row r="955" spans="1:11" hidden="1">
      <c r="A955" s="166" t="s">
        <v>3322</v>
      </c>
      <c r="B955" s="166" t="s">
        <v>3323</v>
      </c>
      <c r="C955" s="166" t="s">
        <v>1243</v>
      </c>
      <c r="D955" s="166" t="s">
        <v>250</v>
      </c>
      <c r="E955" s="166" t="s">
        <v>1132</v>
      </c>
      <c r="F955" s="166" t="s">
        <v>1241</v>
      </c>
      <c r="G955" s="166" t="s">
        <v>129</v>
      </c>
      <c r="H955" s="166">
        <v>64912</v>
      </c>
      <c r="I955" s="166">
        <v>0</v>
      </c>
      <c r="J955" s="166">
        <v>0</v>
      </c>
      <c r="K955" s="166" t="str">
        <f t="shared" si="14"/>
        <v>ENTITYDT_FNNCL_STTMTS_PRVS</v>
      </c>
    </row>
    <row r="956" spans="1:11" hidden="1">
      <c r="A956" s="166" t="s">
        <v>3324</v>
      </c>
      <c r="B956" s="166" t="s">
        <v>3325</v>
      </c>
      <c r="C956" s="166" t="s">
        <v>1243</v>
      </c>
      <c r="D956" s="166" t="s">
        <v>250</v>
      </c>
      <c r="E956" s="166" t="s">
        <v>1132</v>
      </c>
      <c r="F956" s="166" t="s">
        <v>1241</v>
      </c>
      <c r="G956" s="166" t="s">
        <v>1134</v>
      </c>
      <c r="H956" s="166">
        <v>46</v>
      </c>
      <c r="I956" s="166">
        <v>1</v>
      </c>
      <c r="J956" s="166">
        <v>2.1739000000000002</v>
      </c>
      <c r="K956" s="166" t="str">
        <f t="shared" si="14"/>
        <v>ENTITYDT_FNNCL_STTMTS_PRVS</v>
      </c>
    </row>
    <row r="957" spans="1:11" hidden="1">
      <c r="A957" s="166" t="s">
        <v>3326</v>
      </c>
      <c r="B957" s="166" t="s">
        <v>3327</v>
      </c>
      <c r="C957" s="166" t="s">
        <v>1243</v>
      </c>
      <c r="D957" s="166" t="s">
        <v>263</v>
      </c>
      <c r="E957" s="166" t="s">
        <v>1132</v>
      </c>
      <c r="F957" s="166" t="s">
        <v>1241</v>
      </c>
      <c r="G957" s="166" t="s">
        <v>129</v>
      </c>
      <c r="H957" s="166">
        <v>5364</v>
      </c>
      <c r="I957" s="166">
        <v>0</v>
      </c>
      <c r="J957" s="166">
        <v>0</v>
      </c>
      <c r="K957" s="166" t="str">
        <f t="shared" si="14"/>
        <v>ENTITYDT_INTTN_LGL_PRCDNGS_LE</v>
      </c>
    </row>
    <row r="958" spans="1:11" hidden="1">
      <c r="A958" s="166" t="s">
        <v>3328</v>
      </c>
      <c r="B958" s="166" t="s">
        <v>3329</v>
      </c>
      <c r="C958" s="166" t="s">
        <v>1243</v>
      </c>
      <c r="D958" s="166" t="s">
        <v>263</v>
      </c>
      <c r="E958" s="166" t="s">
        <v>1132</v>
      </c>
      <c r="F958" s="166" t="s">
        <v>1241</v>
      </c>
      <c r="G958" s="166" t="s">
        <v>129</v>
      </c>
      <c r="H958" s="166">
        <v>5354</v>
      </c>
      <c r="I958" s="166">
        <v>0</v>
      </c>
      <c r="J958" s="166">
        <v>0</v>
      </c>
      <c r="K958" s="166" t="str">
        <f t="shared" si="14"/>
        <v>ENTITYDT_INTTN_LGL_PRCDNGS_LE</v>
      </c>
    </row>
    <row r="959" spans="1:11" hidden="1">
      <c r="A959" s="166" t="s">
        <v>3330</v>
      </c>
      <c r="B959" s="166" t="s">
        <v>3331</v>
      </c>
      <c r="C959" s="166" t="s">
        <v>1243</v>
      </c>
      <c r="D959" s="166" t="s">
        <v>263</v>
      </c>
      <c r="E959" s="166" t="s">
        <v>1132</v>
      </c>
      <c r="F959" s="166" t="s">
        <v>1241</v>
      </c>
      <c r="G959" s="166" t="s">
        <v>129</v>
      </c>
      <c r="H959" s="166">
        <v>5364</v>
      </c>
      <c r="I959" s="166">
        <v>0</v>
      </c>
      <c r="J959" s="166">
        <v>0</v>
      </c>
      <c r="K959" s="166" t="str">
        <f t="shared" si="14"/>
        <v>ENTITYDT_INTTN_LGL_PRCDNGS_LE</v>
      </c>
    </row>
    <row r="960" spans="1:11" hidden="1">
      <c r="A960" s="166" t="s">
        <v>3332</v>
      </c>
      <c r="B960" s="166" t="s">
        <v>3333</v>
      </c>
      <c r="C960" s="166" t="s">
        <v>1243</v>
      </c>
      <c r="D960" s="166" t="s">
        <v>277</v>
      </c>
      <c r="E960" s="166" t="s">
        <v>1132</v>
      </c>
      <c r="F960" s="166" t="s">
        <v>1241</v>
      </c>
      <c r="G960" s="166" t="s">
        <v>129</v>
      </c>
      <c r="H960" s="166">
        <v>903504</v>
      </c>
      <c r="I960" s="166">
        <v>0</v>
      </c>
      <c r="J960" s="166">
        <v>0</v>
      </c>
      <c r="K960" s="166" t="str">
        <f t="shared" si="14"/>
        <v>ENTITYDT_PRFRMNG_STTS_LE</v>
      </c>
    </row>
    <row r="961" spans="1:11" hidden="1">
      <c r="A961" s="166" t="s">
        <v>3334</v>
      </c>
      <c r="B961" s="166" t="s">
        <v>3335</v>
      </c>
      <c r="C961" s="166" t="s">
        <v>1243</v>
      </c>
      <c r="D961" s="166" t="s">
        <v>277</v>
      </c>
      <c r="E961" s="166" t="s">
        <v>1132</v>
      </c>
      <c r="F961" s="166" t="s">
        <v>1241</v>
      </c>
      <c r="G961" s="166" t="s">
        <v>1134</v>
      </c>
      <c r="H961" s="166">
        <v>891186</v>
      </c>
      <c r="I961" s="166">
        <v>952</v>
      </c>
      <c r="J961" s="166">
        <v>0.10680000000000001</v>
      </c>
      <c r="K961" s="166" t="str">
        <f t="shared" si="14"/>
        <v>ENTITYDT_PRFRMNG_STTS_LE</v>
      </c>
    </row>
    <row r="962" spans="1:11" hidden="1">
      <c r="A962" s="166" t="s">
        <v>3336</v>
      </c>
      <c r="B962" s="166" t="s">
        <v>3337</v>
      </c>
      <c r="C962" s="166" t="s">
        <v>1243</v>
      </c>
      <c r="D962" s="166" t="s">
        <v>277</v>
      </c>
      <c r="E962" s="166" t="s">
        <v>1132</v>
      </c>
      <c r="F962" s="166" t="s">
        <v>1241</v>
      </c>
      <c r="G962" s="166" t="s">
        <v>129</v>
      </c>
      <c r="H962" s="166">
        <v>892746</v>
      </c>
      <c r="I962" s="166">
        <v>0</v>
      </c>
      <c r="J962" s="166">
        <v>0</v>
      </c>
      <c r="K962" s="166" t="str">
        <f t="shared" si="14"/>
        <v>ENTITYDT_PRFRMNG_STTS_LE</v>
      </c>
    </row>
    <row r="963" spans="1:11" hidden="1">
      <c r="A963" s="166" t="s">
        <v>3338</v>
      </c>
      <c r="B963" s="166" t="s">
        <v>3339</v>
      </c>
      <c r="C963" s="166" t="s">
        <v>1243</v>
      </c>
      <c r="D963" s="166" t="s">
        <v>277</v>
      </c>
      <c r="E963" s="166" t="s">
        <v>1132</v>
      </c>
      <c r="F963" s="166" t="s">
        <v>1241</v>
      </c>
      <c r="G963" s="166" t="s">
        <v>1134</v>
      </c>
      <c r="H963" s="166">
        <v>237245</v>
      </c>
      <c r="I963" s="166">
        <v>276</v>
      </c>
      <c r="J963" s="166">
        <v>0.1163</v>
      </c>
      <c r="K963" s="166" t="str">
        <f t="shared" ref="K963:K1026" si="15">_xlfn.CONCAT(_xlfn.IFS(ISNUMBER(SEARCH("EN",A963)),"ENTITY",ISNUMBER(SEARCH("IN",A963)),"INSTRUMENT",ISNUMBER(SEARCH("PR",A963)),"PROTECTION",ISNUMBER(SEARCH("IP",A963)),"INSTR_PROTECTION",ISNUMBER(SEARCH("IE",A963)),"INSTR_ENTITY",ISNUMBER(SEARCH("AC",A963)),"INSTR_ACTIVITY"),D963)</f>
        <v>ENTITYDT_PRFRMNG_STTS_LE</v>
      </c>
    </row>
    <row r="964" spans="1:11" hidden="1">
      <c r="A964" s="166" t="s">
        <v>3340</v>
      </c>
      <c r="B964" s="166" t="s">
        <v>3341</v>
      </c>
      <c r="C964" s="166" t="s">
        <v>1243</v>
      </c>
      <c r="D964" s="166" t="s">
        <v>337</v>
      </c>
      <c r="E964" s="166" t="s">
        <v>1132</v>
      </c>
      <c r="F964" s="166" t="s">
        <v>1241</v>
      </c>
      <c r="G964" s="166" t="s">
        <v>129</v>
      </c>
      <c r="H964" s="166">
        <v>18697</v>
      </c>
      <c r="I964" s="166">
        <v>0</v>
      </c>
      <c r="J964" s="166">
        <v>0</v>
      </c>
      <c r="K964" s="166" t="str">
        <f t="shared" si="15"/>
        <v>ENTITYGCC_PRNT_ID</v>
      </c>
    </row>
    <row r="965" spans="1:11" hidden="1">
      <c r="A965" s="166" t="s">
        <v>3342</v>
      </c>
      <c r="B965" s="166" t="s">
        <v>3343</v>
      </c>
      <c r="C965" s="166" t="s">
        <v>1243</v>
      </c>
      <c r="D965" s="166" t="s">
        <v>337</v>
      </c>
      <c r="E965" s="166" t="s">
        <v>1132</v>
      </c>
      <c r="F965" s="166" t="s">
        <v>1241</v>
      </c>
      <c r="G965" s="166" t="s">
        <v>1134</v>
      </c>
      <c r="H965" s="166">
        <v>46</v>
      </c>
      <c r="I965" s="166">
        <v>1</v>
      </c>
      <c r="J965" s="166">
        <v>2.1739000000000002</v>
      </c>
      <c r="K965" s="166" t="str">
        <f t="shared" si="15"/>
        <v>ENTITYGCC_PRNT_ID</v>
      </c>
    </row>
    <row r="966" spans="1:11" hidden="1">
      <c r="A966" s="166" t="s">
        <v>3344</v>
      </c>
      <c r="B966" s="166" t="s">
        <v>3345</v>
      </c>
      <c r="C966" s="166" t="s">
        <v>1243</v>
      </c>
      <c r="D966" s="166" t="s">
        <v>338</v>
      </c>
      <c r="E966" s="166" t="s">
        <v>1132</v>
      </c>
      <c r="F966" s="166" t="s">
        <v>1241</v>
      </c>
      <c r="G966" s="166" t="s">
        <v>129</v>
      </c>
      <c r="H966" s="166">
        <v>18697</v>
      </c>
      <c r="I966" s="166">
        <v>0</v>
      </c>
      <c r="J966" s="166">
        <v>0</v>
      </c>
      <c r="K966" s="166" t="str">
        <f t="shared" si="15"/>
        <v>ENTITYGCC_PRNT_NM</v>
      </c>
    </row>
    <row r="967" spans="1:11" hidden="1">
      <c r="A967" s="166" t="s">
        <v>3346</v>
      </c>
      <c r="B967" s="166" t="s">
        <v>3347</v>
      </c>
      <c r="C967" s="166" t="s">
        <v>1243</v>
      </c>
      <c r="D967" s="166" t="s">
        <v>338</v>
      </c>
      <c r="E967" s="166" t="s">
        <v>1132</v>
      </c>
      <c r="F967" s="166" t="s">
        <v>1241</v>
      </c>
      <c r="G967" s="166" t="s">
        <v>1134</v>
      </c>
      <c r="H967" s="166">
        <v>46</v>
      </c>
      <c r="I967" s="166">
        <v>1</v>
      </c>
      <c r="J967" s="166">
        <v>2.1739000000000002</v>
      </c>
      <c r="K967" s="166" t="str">
        <f t="shared" si="15"/>
        <v>ENTITYGCC_PRNT_NM</v>
      </c>
    </row>
    <row r="968" spans="1:11" hidden="1">
      <c r="A968" s="166" t="s">
        <v>3348</v>
      </c>
      <c r="B968" s="166" t="s">
        <v>3349</v>
      </c>
      <c r="C968" s="166" t="s">
        <v>1243</v>
      </c>
      <c r="D968" s="166" t="s">
        <v>395</v>
      </c>
      <c r="E968" s="166" t="s">
        <v>1132</v>
      </c>
      <c r="F968" s="166" t="s">
        <v>1241</v>
      </c>
      <c r="G968" s="166" t="s">
        <v>129</v>
      </c>
      <c r="H968" s="166">
        <v>46</v>
      </c>
      <c r="I968" s="166">
        <v>0</v>
      </c>
      <c r="J968" s="166">
        <v>0</v>
      </c>
      <c r="K968" s="166" t="str">
        <f t="shared" si="15"/>
        <v>ENTITYLEI</v>
      </c>
    </row>
    <row r="969" spans="1:11" hidden="1">
      <c r="A969" s="166" t="s">
        <v>3350</v>
      </c>
      <c r="B969" s="166" t="s">
        <v>3351</v>
      </c>
      <c r="C969" s="166" t="s">
        <v>1243</v>
      </c>
      <c r="D969" s="166" t="s">
        <v>317</v>
      </c>
      <c r="E969" s="166" t="s">
        <v>1132</v>
      </c>
      <c r="F969" s="166" t="s">
        <v>1241</v>
      </c>
      <c r="G969" s="166" t="s">
        <v>129</v>
      </c>
      <c r="H969" s="166">
        <v>126</v>
      </c>
      <c r="I969" s="166">
        <v>0</v>
      </c>
      <c r="J969" s="166">
        <v>0</v>
      </c>
      <c r="K969" s="166" t="str">
        <f t="shared" si="15"/>
        <v>ENTITYEXTRNL_RTNG_NM</v>
      </c>
    </row>
    <row r="970" spans="1:11" hidden="1">
      <c r="A970" s="166" t="s">
        <v>3352</v>
      </c>
      <c r="B970" s="166" t="s">
        <v>3353</v>
      </c>
      <c r="C970" s="166" t="s">
        <v>1243</v>
      </c>
      <c r="D970" s="166" t="s">
        <v>317</v>
      </c>
      <c r="E970" s="166" t="s">
        <v>1132</v>
      </c>
      <c r="F970" s="166" t="s">
        <v>1241</v>
      </c>
      <c r="G970" s="166" t="s">
        <v>129</v>
      </c>
      <c r="H970" s="166">
        <v>46</v>
      </c>
      <c r="I970" s="166">
        <v>0</v>
      </c>
      <c r="J970" s="166">
        <v>0</v>
      </c>
      <c r="K970" s="166" t="str">
        <f t="shared" si="15"/>
        <v>ENTITYEXTRNL_RTNG_NM</v>
      </c>
    </row>
    <row r="971" spans="1:11" hidden="1">
      <c r="A971" s="166" t="s">
        <v>3354</v>
      </c>
      <c r="B971" s="166" t="s">
        <v>3355</v>
      </c>
      <c r="C971" s="166" t="s">
        <v>1243</v>
      </c>
      <c r="D971" s="166" t="s">
        <v>140</v>
      </c>
      <c r="E971" s="166" t="s">
        <v>1132</v>
      </c>
      <c r="F971" s="166" t="s">
        <v>1241</v>
      </c>
      <c r="G971" s="166" t="s">
        <v>129</v>
      </c>
      <c r="H971" s="166">
        <v>68644</v>
      </c>
      <c r="I971" s="166">
        <v>0</v>
      </c>
      <c r="J971" s="166">
        <v>0</v>
      </c>
      <c r="K971" s="166" t="str">
        <f t="shared" si="15"/>
        <v>ENTITYACCNTNG_FRMWRK_SL</v>
      </c>
    </row>
    <row r="972" spans="1:11" hidden="1">
      <c r="A972" s="166" t="s">
        <v>3356</v>
      </c>
      <c r="B972" s="166" t="s">
        <v>3357</v>
      </c>
      <c r="C972" s="166" t="s">
        <v>1142</v>
      </c>
      <c r="D972" s="166" t="s">
        <v>192</v>
      </c>
      <c r="E972" s="166" t="s">
        <v>1132</v>
      </c>
      <c r="F972" s="166" t="s">
        <v>1241</v>
      </c>
      <c r="G972" s="166" t="s">
        <v>129</v>
      </c>
      <c r="H972" s="166">
        <v>28436</v>
      </c>
      <c r="I972" s="166">
        <v>0</v>
      </c>
      <c r="J972" s="166">
        <v>0</v>
      </c>
      <c r="K972" s="166" t="str">
        <f t="shared" si="15"/>
        <v>ENTITYCR_FLG</v>
      </c>
    </row>
    <row r="973" spans="1:11" hidden="1">
      <c r="A973" s="166" t="s">
        <v>3358</v>
      </c>
      <c r="B973" s="166" t="s">
        <v>3359</v>
      </c>
      <c r="C973" s="166" t="s">
        <v>1142</v>
      </c>
      <c r="D973" s="166" t="s">
        <v>192</v>
      </c>
      <c r="E973" s="166" t="s">
        <v>1132</v>
      </c>
      <c r="F973" s="166" t="s">
        <v>1241</v>
      </c>
      <c r="G973" s="166" t="s">
        <v>129</v>
      </c>
      <c r="H973" s="166">
        <v>229338</v>
      </c>
      <c r="I973" s="166">
        <v>0</v>
      </c>
      <c r="J973" s="166">
        <v>0</v>
      </c>
      <c r="K973" s="166" t="str">
        <f t="shared" si="15"/>
        <v>ENTITYCR_FLG</v>
      </c>
    </row>
    <row r="974" spans="1:11" hidden="1">
      <c r="A974" s="166" t="s">
        <v>3360</v>
      </c>
      <c r="B974" s="166" t="s">
        <v>3361</v>
      </c>
      <c r="C974" s="166" t="s">
        <v>1142</v>
      </c>
      <c r="D974" s="166" t="s">
        <v>192</v>
      </c>
      <c r="E974" s="166" t="s">
        <v>1132</v>
      </c>
      <c r="F974" s="166" t="s">
        <v>1241</v>
      </c>
      <c r="G974" s="166" t="s">
        <v>1134</v>
      </c>
      <c r="H974" s="166">
        <v>155836</v>
      </c>
      <c r="I974" s="166">
        <v>1669</v>
      </c>
      <c r="J974" s="166">
        <v>1.071</v>
      </c>
      <c r="K974" s="166" t="str">
        <f t="shared" si="15"/>
        <v>ENTITYCR_FLG</v>
      </c>
    </row>
    <row r="975" spans="1:11" hidden="1">
      <c r="A975" s="166" t="s">
        <v>3362</v>
      </c>
      <c r="B975" s="166" t="s">
        <v>3363</v>
      </c>
      <c r="C975" s="166" t="s">
        <v>1243</v>
      </c>
      <c r="D975" s="166" t="s">
        <v>211</v>
      </c>
      <c r="E975" s="166" t="s">
        <v>1132</v>
      </c>
      <c r="F975" s="166" t="s">
        <v>1241</v>
      </c>
      <c r="G975" s="166" t="s">
        <v>129</v>
      </c>
      <c r="H975" s="166">
        <v>654</v>
      </c>
      <c r="I975" s="166">
        <v>0</v>
      </c>
      <c r="J975" s="166">
        <v>0</v>
      </c>
      <c r="K975" s="166" t="str">
        <f t="shared" si="15"/>
        <v>ENTITYDCSD</v>
      </c>
    </row>
    <row r="976" spans="1:11" hidden="1">
      <c r="A976" s="166" t="s">
        <v>3364</v>
      </c>
      <c r="B976" s="166" t="s">
        <v>3365</v>
      </c>
      <c r="C976" s="166" t="s">
        <v>1142</v>
      </c>
      <c r="D976" s="166" t="s">
        <v>212</v>
      </c>
      <c r="E976" s="166" t="s">
        <v>1132</v>
      </c>
      <c r="F976" s="166" t="s">
        <v>1241</v>
      </c>
      <c r="G976" s="166" t="s">
        <v>129</v>
      </c>
      <c r="H976" s="166">
        <v>7413</v>
      </c>
      <c r="I976" s="166">
        <v>0</v>
      </c>
      <c r="J976" s="166">
        <v>0</v>
      </c>
      <c r="K976" s="166" t="str">
        <f t="shared" si="15"/>
        <v>ENTITYDFLT_STTS</v>
      </c>
    </row>
    <row r="977" spans="1:11" hidden="1">
      <c r="A977" s="166" t="s">
        <v>3366</v>
      </c>
      <c r="B977" s="166" t="s">
        <v>3367</v>
      </c>
      <c r="C977" s="166" t="s">
        <v>1142</v>
      </c>
      <c r="D977" s="166" t="s">
        <v>212</v>
      </c>
      <c r="E977" s="166" t="s">
        <v>1132</v>
      </c>
      <c r="F977" s="166" t="s">
        <v>1241</v>
      </c>
      <c r="G977" s="166" t="s">
        <v>129</v>
      </c>
      <c r="H977" s="166">
        <v>17689</v>
      </c>
      <c r="I977" s="166">
        <v>0</v>
      </c>
      <c r="J977" s="166">
        <v>0</v>
      </c>
      <c r="K977" s="166" t="str">
        <f t="shared" si="15"/>
        <v>ENTITYDFLT_STTS</v>
      </c>
    </row>
    <row r="978" spans="1:11" hidden="1">
      <c r="A978" s="166" t="s">
        <v>3368</v>
      </c>
      <c r="B978" s="166" t="s">
        <v>3369</v>
      </c>
      <c r="C978" s="166" t="s">
        <v>1142</v>
      </c>
      <c r="D978" s="166" t="s">
        <v>212</v>
      </c>
      <c r="E978" s="166" t="s">
        <v>1132</v>
      </c>
      <c r="F978" s="166" t="s">
        <v>1241</v>
      </c>
      <c r="G978" s="166" t="s">
        <v>129</v>
      </c>
      <c r="H978" s="166">
        <v>2854</v>
      </c>
      <c r="I978" s="166">
        <v>0</v>
      </c>
      <c r="J978" s="166">
        <v>0</v>
      </c>
      <c r="K978" s="166" t="str">
        <f t="shared" si="15"/>
        <v>ENTITYDFLT_STTS</v>
      </c>
    </row>
    <row r="979" spans="1:11" hidden="1">
      <c r="A979" s="166" t="s">
        <v>3370</v>
      </c>
      <c r="B979" s="166" t="s">
        <v>3371</v>
      </c>
      <c r="C979" s="166" t="s">
        <v>1243</v>
      </c>
      <c r="D979" s="166" t="s">
        <v>465</v>
      </c>
      <c r="E979" s="166" t="s">
        <v>1132</v>
      </c>
      <c r="F979" s="166" t="s">
        <v>1241</v>
      </c>
      <c r="G979" s="166" t="s">
        <v>129</v>
      </c>
      <c r="H979" s="166">
        <v>12</v>
      </c>
      <c r="I979" s="166">
        <v>0</v>
      </c>
      <c r="J979" s="166">
        <v>0</v>
      </c>
      <c r="K979" s="166" t="str">
        <f t="shared" si="15"/>
        <v>ENTITYDT_EXTRNL_RTNG</v>
      </c>
    </row>
    <row r="980" spans="1:11" hidden="1">
      <c r="A980" s="166" t="s">
        <v>3372</v>
      </c>
      <c r="B980" s="166" t="s">
        <v>3373</v>
      </c>
      <c r="C980" s="166" t="s">
        <v>1243</v>
      </c>
      <c r="D980" s="166" t="s">
        <v>465</v>
      </c>
      <c r="E980" s="166" t="s">
        <v>1132</v>
      </c>
      <c r="F980" s="166" t="s">
        <v>1241</v>
      </c>
      <c r="G980" s="166" t="s">
        <v>129</v>
      </c>
      <c r="H980" s="166">
        <v>126</v>
      </c>
      <c r="I980" s="166">
        <v>0</v>
      </c>
      <c r="J980" s="166">
        <v>0</v>
      </c>
      <c r="K980" s="166" t="str">
        <f t="shared" si="15"/>
        <v>ENTITYDT_EXTRNL_RTNG</v>
      </c>
    </row>
    <row r="981" spans="1:11" hidden="1">
      <c r="A981" s="166" t="s">
        <v>3374</v>
      </c>
      <c r="B981" s="166" t="s">
        <v>3375</v>
      </c>
      <c r="C981" s="166" t="s">
        <v>1243</v>
      </c>
      <c r="D981" s="166" t="s">
        <v>465</v>
      </c>
      <c r="E981" s="166" t="s">
        <v>1132</v>
      </c>
      <c r="F981" s="166" t="s">
        <v>1241</v>
      </c>
      <c r="G981" s="166" t="s">
        <v>129</v>
      </c>
      <c r="H981" s="166">
        <v>126</v>
      </c>
      <c r="I981" s="166">
        <v>0</v>
      </c>
      <c r="J981" s="166">
        <v>0</v>
      </c>
      <c r="K981" s="166" t="str">
        <f t="shared" si="15"/>
        <v>ENTITYDT_EXTRNL_RTNG</v>
      </c>
    </row>
    <row r="982" spans="1:11" hidden="1">
      <c r="A982" s="166" t="s">
        <v>3376</v>
      </c>
      <c r="B982" s="166" t="s">
        <v>3377</v>
      </c>
      <c r="C982" s="166" t="s">
        <v>1243</v>
      </c>
      <c r="D982" s="166" t="s">
        <v>465</v>
      </c>
      <c r="E982" s="166" t="s">
        <v>1132</v>
      </c>
      <c r="F982" s="166" t="s">
        <v>1241</v>
      </c>
      <c r="G982" s="166" t="s">
        <v>129</v>
      </c>
      <c r="H982" s="166">
        <v>46</v>
      </c>
      <c r="I982" s="166">
        <v>0</v>
      </c>
      <c r="J982" s="166">
        <v>0</v>
      </c>
      <c r="K982" s="166" t="str">
        <f t="shared" si="15"/>
        <v>ENTITYDT_EXTRNL_RTNG</v>
      </c>
    </row>
    <row r="983" spans="1:11" hidden="1">
      <c r="A983" s="166" t="s">
        <v>3378</v>
      </c>
      <c r="B983" s="166" t="s">
        <v>3379</v>
      </c>
      <c r="C983" s="166" t="s">
        <v>1243</v>
      </c>
      <c r="D983" s="166" t="s">
        <v>260</v>
      </c>
      <c r="E983" s="166" t="s">
        <v>1132</v>
      </c>
      <c r="F983" s="166" t="s">
        <v>1241</v>
      </c>
      <c r="G983" s="166" t="s">
        <v>129</v>
      </c>
      <c r="H983" s="166">
        <v>1047384</v>
      </c>
      <c r="I983" s="166">
        <v>0</v>
      </c>
      <c r="J983" s="166">
        <v>0</v>
      </c>
      <c r="K983" s="166" t="str">
        <f t="shared" si="15"/>
        <v>ENTITYDT_INTRNL_RTNG</v>
      </c>
    </row>
    <row r="984" spans="1:11" hidden="1">
      <c r="A984" s="166" t="s">
        <v>3380</v>
      </c>
      <c r="B984" s="166" t="s">
        <v>3381</v>
      </c>
      <c r="C984" s="166" t="s">
        <v>1243</v>
      </c>
      <c r="D984" s="166" t="s">
        <v>260</v>
      </c>
      <c r="E984" s="166" t="s">
        <v>1132</v>
      </c>
      <c r="F984" s="166" t="s">
        <v>1241</v>
      </c>
      <c r="G984" s="166" t="s">
        <v>129</v>
      </c>
      <c r="H984" s="166">
        <v>1048902</v>
      </c>
      <c r="I984" s="166">
        <v>0</v>
      </c>
      <c r="J984" s="166">
        <v>0</v>
      </c>
      <c r="K984" s="166" t="str">
        <f t="shared" si="15"/>
        <v>ENTITYDT_INTRNL_RTNG</v>
      </c>
    </row>
    <row r="985" spans="1:11" hidden="1">
      <c r="A985" s="166" t="s">
        <v>3382</v>
      </c>
      <c r="B985" s="166" t="s">
        <v>3383</v>
      </c>
      <c r="C985" s="166" t="s">
        <v>1243</v>
      </c>
      <c r="D985" s="166" t="s">
        <v>260</v>
      </c>
      <c r="E985" s="166" t="s">
        <v>1132</v>
      </c>
      <c r="F985" s="166" t="s">
        <v>1241</v>
      </c>
      <c r="G985" s="166" t="s">
        <v>129</v>
      </c>
      <c r="H985" s="166">
        <v>1052848</v>
      </c>
      <c r="I985" s="166">
        <v>0</v>
      </c>
      <c r="J985" s="166">
        <v>0</v>
      </c>
      <c r="K985" s="166" t="str">
        <f t="shared" si="15"/>
        <v>ENTITYDT_INTRNL_RTNG</v>
      </c>
    </row>
    <row r="986" spans="1:11" hidden="1">
      <c r="A986" s="166" t="s">
        <v>3384</v>
      </c>
      <c r="B986" s="166" t="s">
        <v>3385</v>
      </c>
      <c r="C986" s="166" t="s">
        <v>1243</v>
      </c>
      <c r="D986" s="166" t="s">
        <v>260</v>
      </c>
      <c r="E986" s="166" t="s">
        <v>1132</v>
      </c>
      <c r="F986" s="166" t="s">
        <v>1241</v>
      </c>
      <c r="G986" s="166" t="s">
        <v>1134</v>
      </c>
      <c r="H986" s="166">
        <v>68644</v>
      </c>
      <c r="I986" s="166">
        <v>9344</v>
      </c>
      <c r="J986" s="166">
        <v>13.612299999999999</v>
      </c>
      <c r="K986" s="166" t="str">
        <f t="shared" si="15"/>
        <v>ENTITYDT_INTRNL_RTNG</v>
      </c>
    </row>
    <row r="987" spans="1:11" hidden="1">
      <c r="A987" s="166" t="s">
        <v>3386</v>
      </c>
      <c r="B987" s="166" t="s">
        <v>3387</v>
      </c>
      <c r="C987" s="166" t="s">
        <v>1243</v>
      </c>
      <c r="D987" s="166" t="s">
        <v>304</v>
      </c>
      <c r="E987" s="166" t="s">
        <v>1132</v>
      </c>
      <c r="F987" s="166" t="s">
        <v>1241</v>
      </c>
      <c r="G987" s="166" t="s">
        <v>129</v>
      </c>
      <c r="H987" s="166">
        <v>654</v>
      </c>
      <c r="I987" s="166">
        <v>0</v>
      </c>
      <c r="J987" s="166">
        <v>0</v>
      </c>
      <c r="K987" s="166" t="str">
        <f t="shared" si="15"/>
        <v>ENTITYEMPLYMNT_STTS_INTRNL</v>
      </c>
    </row>
    <row r="988" spans="1:11" hidden="1">
      <c r="A988" s="166" t="s">
        <v>3388</v>
      </c>
      <c r="B988" s="166" t="s">
        <v>3389</v>
      </c>
      <c r="C988" s="166" t="s">
        <v>1243</v>
      </c>
      <c r="D988" s="166" t="s">
        <v>303</v>
      </c>
      <c r="E988" s="166" t="s">
        <v>1132</v>
      </c>
      <c r="F988" s="166" t="s">
        <v>1241</v>
      </c>
      <c r="G988" s="166" t="s">
        <v>129</v>
      </c>
      <c r="H988" s="166">
        <v>1057332</v>
      </c>
      <c r="I988" s="166">
        <v>0</v>
      </c>
      <c r="J988" s="166">
        <v>0</v>
      </c>
      <c r="K988" s="166" t="str">
        <f t="shared" si="15"/>
        <v>ENTITYEMPLYMNT_STTS</v>
      </c>
    </row>
    <row r="989" spans="1:11" hidden="1">
      <c r="A989" s="166" t="s">
        <v>3390</v>
      </c>
      <c r="B989" s="166" t="s">
        <v>3391</v>
      </c>
      <c r="C989" s="166" t="s">
        <v>1243</v>
      </c>
      <c r="D989" s="166" t="s">
        <v>303</v>
      </c>
      <c r="E989" s="166" t="s">
        <v>1132</v>
      </c>
      <c r="F989" s="166" t="s">
        <v>1241</v>
      </c>
      <c r="G989" s="166" t="s">
        <v>129</v>
      </c>
      <c r="H989" s="166">
        <v>654</v>
      </c>
      <c r="I989" s="166">
        <v>0</v>
      </c>
      <c r="J989" s="166">
        <v>0</v>
      </c>
      <c r="K989" s="166" t="str">
        <f t="shared" si="15"/>
        <v>ENTITYEMPLYMNT_STTS</v>
      </c>
    </row>
    <row r="990" spans="1:11" hidden="1">
      <c r="A990" s="166" t="s">
        <v>1240</v>
      </c>
      <c r="B990" s="166" t="s">
        <v>1201</v>
      </c>
      <c r="C990" s="166" t="s">
        <v>1142</v>
      </c>
      <c r="D990" s="166" t="s">
        <v>305</v>
      </c>
      <c r="E990" s="166" t="s">
        <v>1132</v>
      </c>
      <c r="F990" s="166" t="s">
        <v>1241</v>
      </c>
      <c r="G990" s="166" t="s">
        <v>1134</v>
      </c>
      <c r="H990" s="166">
        <v>113228</v>
      </c>
      <c r="I990" s="166">
        <v>16945</v>
      </c>
      <c r="J990" s="166">
        <v>14.965400000000001</v>
      </c>
      <c r="K990" s="166" t="str">
        <f t="shared" si="15"/>
        <v>ENTITYENTRPRS_SZ_LE</v>
      </c>
    </row>
    <row r="991" spans="1:11" hidden="1">
      <c r="A991" s="166" t="s">
        <v>3392</v>
      </c>
      <c r="B991" s="166" t="s">
        <v>1202</v>
      </c>
      <c r="C991" s="166" t="s">
        <v>1142</v>
      </c>
      <c r="D991" s="166" t="s">
        <v>305</v>
      </c>
      <c r="E991" s="166" t="s">
        <v>1132</v>
      </c>
      <c r="F991" s="166" t="s">
        <v>1241</v>
      </c>
      <c r="G991" s="166" t="s">
        <v>129</v>
      </c>
      <c r="H991" s="166">
        <v>257774</v>
      </c>
      <c r="I991" s="166">
        <v>0</v>
      </c>
      <c r="J991" s="166">
        <v>0</v>
      </c>
      <c r="K991" s="166" t="str">
        <f t="shared" si="15"/>
        <v>ENTITYENTRPRS_SZ_LE</v>
      </c>
    </row>
    <row r="992" spans="1:11" hidden="1">
      <c r="A992" s="166" t="s">
        <v>1242</v>
      </c>
      <c r="B992" s="166" t="s">
        <v>1203</v>
      </c>
      <c r="C992" s="166" t="s">
        <v>1243</v>
      </c>
      <c r="D992" s="166" t="s">
        <v>305</v>
      </c>
      <c r="E992" s="166" t="s">
        <v>1132</v>
      </c>
      <c r="F992" s="166" t="s">
        <v>1241</v>
      </c>
      <c r="G992" s="166" t="s">
        <v>1134</v>
      </c>
      <c r="H992" s="166">
        <v>37</v>
      </c>
      <c r="I992" s="166">
        <v>1</v>
      </c>
      <c r="J992" s="166">
        <v>2.7027000000000001</v>
      </c>
      <c r="K992" s="166" t="str">
        <f t="shared" si="15"/>
        <v>ENTITYENTRPRS_SZ_LE</v>
      </c>
    </row>
    <row r="993" spans="1:11" hidden="1">
      <c r="A993" s="166" t="s">
        <v>3393</v>
      </c>
      <c r="B993" s="166" t="s">
        <v>1204</v>
      </c>
      <c r="C993" s="166" t="s">
        <v>1243</v>
      </c>
      <c r="D993" s="166" t="s">
        <v>305</v>
      </c>
      <c r="E993" s="166" t="s">
        <v>1132</v>
      </c>
      <c r="F993" s="166" t="s">
        <v>1241</v>
      </c>
      <c r="G993" s="166" t="s">
        <v>129</v>
      </c>
      <c r="H993" s="166">
        <v>0</v>
      </c>
      <c r="I993" s="166">
        <v>0</v>
      </c>
      <c r="J993" s="166">
        <v>0</v>
      </c>
      <c r="K993" s="166" t="str">
        <f t="shared" si="15"/>
        <v>ENTITYENTRPRS_SZ_LE</v>
      </c>
    </row>
    <row r="994" spans="1:11" hidden="1">
      <c r="A994" s="166" t="s">
        <v>3394</v>
      </c>
      <c r="B994" s="166" t="s">
        <v>3395</v>
      </c>
      <c r="C994" s="166" t="s">
        <v>1243</v>
      </c>
      <c r="D994" s="166" t="s">
        <v>336</v>
      </c>
      <c r="E994" s="166" t="s">
        <v>1132</v>
      </c>
      <c r="F994" s="166" t="s">
        <v>1241</v>
      </c>
      <c r="G994" s="166" t="s">
        <v>129</v>
      </c>
      <c r="H994" s="166">
        <v>126</v>
      </c>
      <c r="I994" s="166">
        <v>0</v>
      </c>
      <c r="J994" s="166">
        <v>0</v>
      </c>
      <c r="K994" s="166" t="str">
        <f t="shared" si="15"/>
        <v>ENTITYEXTRNL_RTNG</v>
      </c>
    </row>
    <row r="995" spans="1:11" hidden="1">
      <c r="A995" s="166" t="s">
        <v>3396</v>
      </c>
      <c r="B995" s="166" t="s">
        <v>3397</v>
      </c>
      <c r="C995" s="166" t="s">
        <v>1243</v>
      </c>
      <c r="D995" s="166" t="s">
        <v>336</v>
      </c>
      <c r="E995" s="166" t="s">
        <v>1132</v>
      </c>
      <c r="F995" s="166" t="s">
        <v>1241</v>
      </c>
      <c r="G995" s="166" t="s">
        <v>129</v>
      </c>
      <c r="H995" s="166">
        <v>46</v>
      </c>
      <c r="I995" s="166">
        <v>0</v>
      </c>
      <c r="J995" s="166">
        <v>0</v>
      </c>
      <c r="K995" s="166" t="str">
        <f t="shared" si="15"/>
        <v>ENTITYEXTRNL_RTNG</v>
      </c>
    </row>
    <row r="996" spans="1:11" hidden="1">
      <c r="A996" s="166" t="s">
        <v>3398</v>
      </c>
      <c r="B996" s="166" t="s">
        <v>3399</v>
      </c>
      <c r="C996" s="166" t="s">
        <v>1243</v>
      </c>
      <c r="D996" s="166" t="s">
        <v>314</v>
      </c>
      <c r="E996" s="166" t="s">
        <v>1132</v>
      </c>
      <c r="F996" s="166" t="s">
        <v>1241</v>
      </c>
      <c r="G996" s="166" t="s">
        <v>129</v>
      </c>
      <c r="H996" s="166">
        <v>82624</v>
      </c>
      <c r="I996" s="166">
        <v>0</v>
      </c>
      <c r="J996" s="166">
        <v>0</v>
      </c>
      <c r="K996" s="166" t="str">
        <f t="shared" si="15"/>
        <v>ENTITYEXTRNL_RTNG_PRVS</v>
      </c>
    </row>
    <row r="997" spans="1:11" hidden="1">
      <c r="A997" s="166" t="s">
        <v>3400</v>
      </c>
      <c r="B997" s="166" t="s">
        <v>3401</v>
      </c>
      <c r="C997" s="166" t="s">
        <v>1243</v>
      </c>
      <c r="D997" s="166" t="s">
        <v>314</v>
      </c>
      <c r="E997" s="166" t="s">
        <v>1132</v>
      </c>
      <c r="F997" s="166" t="s">
        <v>1241</v>
      </c>
      <c r="G997" s="166" t="s">
        <v>129</v>
      </c>
      <c r="H997" s="166">
        <v>46</v>
      </c>
      <c r="I997" s="166">
        <v>0</v>
      </c>
      <c r="J997" s="166">
        <v>0</v>
      </c>
      <c r="K997" s="166" t="str">
        <f t="shared" si="15"/>
        <v>ENTITYEXTRNL_RTNG_PRVS</v>
      </c>
    </row>
    <row r="998" spans="1:11" hidden="1">
      <c r="A998" s="166" t="s">
        <v>3402</v>
      </c>
      <c r="B998" s="166" t="s">
        <v>3403</v>
      </c>
      <c r="C998" s="166" t="s">
        <v>1243</v>
      </c>
      <c r="D998" s="166" t="s">
        <v>321</v>
      </c>
      <c r="E998" s="166" t="s">
        <v>1132</v>
      </c>
      <c r="F998" s="166" t="s">
        <v>1241</v>
      </c>
      <c r="G998" s="166" t="s">
        <v>129</v>
      </c>
      <c r="H998" s="166">
        <v>18694</v>
      </c>
      <c r="I998" s="166">
        <v>0</v>
      </c>
      <c r="J998" s="166">
        <v>0</v>
      </c>
      <c r="K998" s="166" t="str">
        <f t="shared" si="15"/>
        <v>ENTITYFLG_BNKRPTCY_IN_GRP</v>
      </c>
    </row>
    <row r="999" spans="1:11" hidden="1">
      <c r="A999" s="166" t="s">
        <v>3404</v>
      </c>
      <c r="B999" s="166" t="s">
        <v>3405</v>
      </c>
      <c r="C999" s="166" t="s">
        <v>1243</v>
      </c>
      <c r="D999" s="166" t="s">
        <v>321</v>
      </c>
      <c r="E999" s="166" t="s">
        <v>1132</v>
      </c>
      <c r="F999" s="166" t="s">
        <v>1241</v>
      </c>
      <c r="G999" s="166" t="s">
        <v>129</v>
      </c>
      <c r="H999" s="166">
        <v>64001</v>
      </c>
      <c r="I999" s="166">
        <v>0</v>
      </c>
      <c r="J999" s="166">
        <v>0</v>
      </c>
      <c r="K999" s="166" t="str">
        <f t="shared" si="15"/>
        <v>ENTITYFLG_BNKRPTCY_IN_GRP</v>
      </c>
    </row>
    <row r="1000" spans="1:11" hidden="1">
      <c r="A1000" s="166" t="s">
        <v>3406</v>
      </c>
      <c r="B1000" s="166" t="s">
        <v>3407</v>
      </c>
      <c r="C1000" s="166" t="s">
        <v>1243</v>
      </c>
      <c r="D1000" s="166" t="s">
        <v>321</v>
      </c>
      <c r="E1000" s="166" t="s">
        <v>1132</v>
      </c>
      <c r="F1000" s="166" t="s">
        <v>1241</v>
      </c>
      <c r="G1000" s="166" t="s">
        <v>1134</v>
      </c>
      <c r="H1000" s="166">
        <v>46</v>
      </c>
      <c r="I1000" s="166">
        <v>1</v>
      </c>
      <c r="J1000" s="166">
        <v>2.1739000000000002</v>
      </c>
      <c r="K1000" s="166" t="str">
        <f t="shared" si="15"/>
        <v>ENTITYFLG_BNKRPTCY_IN_GRP</v>
      </c>
    </row>
    <row r="1001" spans="1:11" hidden="1">
      <c r="A1001" s="166" t="s">
        <v>3408</v>
      </c>
      <c r="B1001" s="166" t="s">
        <v>3409</v>
      </c>
      <c r="C1001" s="166" t="s">
        <v>139</v>
      </c>
      <c r="D1001" s="166" t="s">
        <v>321</v>
      </c>
      <c r="E1001" s="166" t="s">
        <v>10</v>
      </c>
      <c r="F1001" s="166" t="s">
        <v>1241</v>
      </c>
      <c r="G1001" s="166" t="s">
        <v>129</v>
      </c>
      <c r="H1001" s="166">
        <v>82695</v>
      </c>
      <c r="I1001" s="166">
        <v>0</v>
      </c>
      <c r="J1001" s="166">
        <v>0</v>
      </c>
      <c r="K1001" s="166" t="str">
        <f t="shared" si="15"/>
        <v>ENTITYFLG_BNKRPTCY_IN_GRP</v>
      </c>
    </row>
    <row r="1002" spans="1:11" hidden="1">
      <c r="A1002" s="166" t="s">
        <v>3410</v>
      </c>
      <c r="B1002" s="166" t="s">
        <v>3411</v>
      </c>
      <c r="C1002" s="166" t="s">
        <v>1243</v>
      </c>
      <c r="D1002" s="166" t="s">
        <v>322</v>
      </c>
      <c r="E1002" s="166" t="s">
        <v>1132</v>
      </c>
      <c r="F1002" s="166" t="s">
        <v>1241</v>
      </c>
      <c r="G1002" s="166" t="s">
        <v>1134</v>
      </c>
      <c r="H1002" s="166">
        <v>46</v>
      </c>
      <c r="I1002" s="166">
        <v>1</v>
      </c>
      <c r="J1002" s="166">
        <v>2.1739000000000002</v>
      </c>
      <c r="K1002" s="166" t="str">
        <f t="shared" si="15"/>
        <v>ENTITYFLG_HGH_CDS</v>
      </c>
    </row>
    <row r="1003" spans="1:11" hidden="1">
      <c r="A1003" s="166" t="s">
        <v>3412</v>
      </c>
      <c r="B1003" s="166" t="s">
        <v>3413</v>
      </c>
      <c r="C1003" s="166" t="s">
        <v>1243</v>
      </c>
      <c r="D1003" s="166" t="s">
        <v>323</v>
      </c>
      <c r="E1003" s="166" t="s">
        <v>1132</v>
      </c>
      <c r="F1003" s="166" t="s">
        <v>1241</v>
      </c>
      <c r="G1003" s="166" t="s">
        <v>1134</v>
      </c>
      <c r="H1003" s="166">
        <v>46</v>
      </c>
      <c r="I1003" s="166">
        <v>1</v>
      </c>
      <c r="J1003" s="166">
        <v>2.1739000000000002</v>
      </c>
      <c r="K1003" s="166" t="str">
        <f t="shared" si="15"/>
        <v>ENTITYFLG_ISDA_CRDT_EVNT</v>
      </c>
    </row>
    <row r="1004" spans="1:11" hidden="1">
      <c r="A1004" s="166" t="s">
        <v>3414</v>
      </c>
      <c r="B1004" s="166" t="s">
        <v>3415</v>
      </c>
      <c r="C1004" s="166" t="s">
        <v>1243</v>
      </c>
      <c r="D1004" s="166" t="s">
        <v>326</v>
      </c>
      <c r="E1004" s="166" t="s">
        <v>1132</v>
      </c>
      <c r="F1004" s="166" t="s">
        <v>1241</v>
      </c>
      <c r="G1004" s="166" t="s">
        <v>1134</v>
      </c>
      <c r="H1004" s="166">
        <v>46</v>
      </c>
      <c r="I1004" s="166">
        <v>1</v>
      </c>
      <c r="J1004" s="166">
        <v>2.1739000000000002</v>
      </c>
      <c r="K1004" s="166" t="str">
        <f t="shared" si="15"/>
        <v>ENTITYFLG_RQST_BNKRPTCY</v>
      </c>
    </row>
    <row r="1005" spans="1:11" hidden="1">
      <c r="A1005" s="166" t="s">
        <v>3416</v>
      </c>
      <c r="B1005" s="166" t="s">
        <v>3417</v>
      </c>
      <c r="C1005" s="166" t="s">
        <v>1142</v>
      </c>
      <c r="D1005" s="166" t="s">
        <v>327</v>
      </c>
      <c r="E1005" s="166" t="s">
        <v>1132</v>
      </c>
      <c r="F1005" s="166" t="s">
        <v>1241</v>
      </c>
      <c r="G1005" s="166" t="s">
        <v>1134</v>
      </c>
      <c r="H1005" s="166">
        <v>12617</v>
      </c>
      <c r="I1005" s="166">
        <v>7</v>
      </c>
      <c r="J1005" s="166">
        <v>5.5500000000000001E-2</v>
      </c>
      <c r="K1005" s="166" t="str">
        <f t="shared" si="15"/>
        <v>ENTITYFLG_RQST_DSTRSSD_RSTRCTRNG</v>
      </c>
    </row>
    <row r="1006" spans="1:11" hidden="1">
      <c r="A1006" s="166" t="s">
        <v>3418</v>
      </c>
      <c r="B1006" s="166" t="s">
        <v>3419</v>
      </c>
      <c r="C1006" s="166" t="s">
        <v>1243</v>
      </c>
      <c r="D1006" s="166" t="s">
        <v>330</v>
      </c>
      <c r="E1006" s="166" t="s">
        <v>1132</v>
      </c>
      <c r="F1006" s="166" t="s">
        <v>1241</v>
      </c>
      <c r="G1006" s="166" t="s">
        <v>129</v>
      </c>
      <c r="H1006" s="166">
        <v>46</v>
      </c>
      <c r="I1006" s="166">
        <v>0</v>
      </c>
      <c r="J1006" s="166">
        <v>0</v>
      </c>
      <c r="K1006" s="166" t="str">
        <f t="shared" si="15"/>
        <v>ENTITYFLG_SLL_WTH_LSS</v>
      </c>
    </row>
    <row r="1007" spans="1:11" hidden="1">
      <c r="A1007" s="166" t="s">
        <v>3420</v>
      </c>
      <c r="B1007" s="166" t="s">
        <v>3421</v>
      </c>
      <c r="C1007" s="166" t="s">
        <v>1243</v>
      </c>
      <c r="D1007" s="166" t="s">
        <v>362</v>
      </c>
      <c r="E1007" s="166" t="s">
        <v>1132</v>
      </c>
      <c r="F1007" s="166" t="s">
        <v>1241</v>
      </c>
      <c r="G1007" s="166" t="s">
        <v>1134</v>
      </c>
      <c r="H1007" s="166">
        <v>654</v>
      </c>
      <c r="I1007" s="166">
        <v>365</v>
      </c>
      <c r="J1007" s="166">
        <v>55.810400000000001</v>
      </c>
      <c r="K1007" s="166" t="str">
        <f t="shared" si="15"/>
        <v>ENTITYINCM_SC</v>
      </c>
    </row>
    <row r="1008" spans="1:11" hidden="1">
      <c r="A1008" s="166" t="s">
        <v>3422</v>
      </c>
      <c r="B1008" s="166" t="s">
        <v>3423</v>
      </c>
      <c r="C1008" s="166" t="s">
        <v>1243</v>
      </c>
      <c r="D1008" s="166" t="s">
        <v>368</v>
      </c>
      <c r="E1008" s="166" t="s">
        <v>1132</v>
      </c>
      <c r="F1008" s="166" t="s">
        <v>1241</v>
      </c>
      <c r="G1008" s="166" t="s">
        <v>129</v>
      </c>
      <c r="H1008" s="166">
        <v>1048902</v>
      </c>
      <c r="I1008" s="166">
        <v>0</v>
      </c>
      <c r="J1008" s="166">
        <v>0</v>
      </c>
      <c r="K1008" s="166" t="str">
        <f t="shared" si="15"/>
        <v>ENTITYINTRNL_RTNG</v>
      </c>
    </row>
    <row r="1009" spans="1:11" hidden="1">
      <c r="A1009" s="166" t="s">
        <v>3424</v>
      </c>
      <c r="B1009" s="166" t="s">
        <v>3425</v>
      </c>
      <c r="C1009" s="166" t="s">
        <v>1142</v>
      </c>
      <c r="D1009" s="166" t="s">
        <v>368</v>
      </c>
      <c r="E1009" s="166" t="s">
        <v>1132</v>
      </c>
      <c r="F1009" s="166" t="s">
        <v>1241</v>
      </c>
      <c r="G1009" s="166" t="s">
        <v>1134</v>
      </c>
      <c r="H1009" s="166">
        <v>2008604</v>
      </c>
      <c r="I1009" s="166">
        <v>12342</v>
      </c>
      <c r="J1009" s="166">
        <v>0.61450000000000005</v>
      </c>
      <c r="K1009" s="166" t="str">
        <f t="shared" si="15"/>
        <v>ENTITYINTRNL_RTNG</v>
      </c>
    </row>
    <row r="1010" spans="1:11" hidden="1">
      <c r="A1010" s="166" t="s">
        <v>3426</v>
      </c>
      <c r="B1010" s="166" t="s">
        <v>3427</v>
      </c>
      <c r="C1010" s="166" t="s">
        <v>1243</v>
      </c>
      <c r="D1010" s="166" t="s">
        <v>368</v>
      </c>
      <c r="E1010" s="166" t="s">
        <v>1132</v>
      </c>
      <c r="F1010" s="166" t="s">
        <v>1241</v>
      </c>
      <c r="G1010" s="166" t="s">
        <v>1134</v>
      </c>
      <c r="H1010" s="166">
        <v>1021012</v>
      </c>
      <c r="I1010" s="166">
        <v>75276</v>
      </c>
      <c r="J1010" s="166">
        <v>7.3727</v>
      </c>
      <c r="K1010" s="166" t="str">
        <f t="shared" si="15"/>
        <v>ENTITYINTRNL_RTNG</v>
      </c>
    </row>
    <row r="1011" spans="1:11" hidden="1">
      <c r="A1011" s="166" t="s">
        <v>3428</v>
      </c>
      <c r="B1011" s="166" t="s">
        <v>3429</v>
      </c>
      <c r="C1011" s="166" t="s">
        <v>1243</v>
      </c>
      <c r="D1011" s="166" t="s">
        <v>3430</v>
      </c>
      <c r="E1011" s="166" t="s">
        <v>1132</v>
      </c>
      <c r="F1011" s="166" t="s">
        <v>1241</v>
      </c>
      <c r="G1011" s="166" t="s">
        <v>1134</v>
      </c>
      <c r="H1011" s="166">
        <v>876415</v>
      </c>
      <c r="I1011" s="166">
        <v>76927</v>
      </c>
      <c r="J1011" s="166">
        <v>8.7774999999999999</v>
      </c>
      <c r="K1011" s="166" t="str">
        <f t="shared" si="15"/>
        <v>ENTITYEN_INTRNL_RTNG</v>
      </c>
    </row>
    <row r="1012" spans="1:11" hidden="1">
      <c r="A1012" s="166" t="s">
        <v>3431</v>
      </c>
      <c r="B1012" s="166" t="s">
        <v>3432</v>
      </c>
      <c r="C1012" s="166" t="s">
        <v>1243</v>
      </c>
      <c r="D1012" s="166" t="s">
        <v>3430</v>
      </c>
      <c r="E1012" s="166" t="s">
        <v>1132</v>
      </c>
      <c r="F1012" s="166" t="s">
        <v>1241</v>
      </c>
      <c r="G1012" s="166" t="s">
        <v>1134</v>
      </c>
      <c r="H1012" s="166">
        <v>260702</v>
      </c>
      <c r="I1012" s="166">
        <v>253056</v>
      </c>
      <c r="J1012" s="166">
        <v>97.067099999999996</v>
      </c>
      <c r="K1012" s="166" t="str">
        <f t="shared" si="15"/>
        <v>ENTITYEN_INTRNL_RTNG</v>
      </c>
    </row>
    <row r="1013" spans="1:11" hidden="1">
      <c r="A1013" s="166" t="s">
        <v>3433</v>
      </c>
      <c r="B1013" s="166" t="s">
        <v>3434</v>
      </c>
      <c r="C1013" s="166" t="s">
        <v>1243</v>
      </c>
      <c r="D1013" s="166" t="s">
        <v>373</v>
      </c>
      <c r="E1013" s="166" t="s">
        <v>1132</v>
      </c>
      <c r="F1013" s="166" t="s">
        <v>1241</v>
      </c>
      <c r="G1013" s="166" t="s">
        <v>1134</v>
      </c>
      <c r="H1013" s="166">
        <v>81806</v>
      </c>
      <c r="I1013" s="166">
        <v>75276</v>
      </c>
      <c r="J1013" s="166">
        <v>92.017700000000005</v>
      </c>
      <c r="K1013" s="166" t="str">
        <f t="shared" si="15"/>
        <v>ENTITYINTRNL_RTNG_PRVS</v>
      </c>
    </row>
    <row r="1014" spans="1:11" hidden="1">
      <c r="A1014" s="166" t="s">
        <v>3435</v>
      </c>
      <c r="B1014" s="166" t="s">
        <v>3436</v>
      </c>
      <c r="C1014" s="166" t="s">
        <v>1243</v>
      </c>
      <c r="D1014" s="166" t="s">
        <v>373</v>
      </c>
      <c r="E1014" s="166" t="s">
        <v>1132</v>
      </c>
      <c r="F1014" s="166" t="s">
        <v>1241</v>
      </c>
      <c r="G1014" s="166" t="s">
        <v>1134</v>
      </c>
      <c r="H1014" s="166">
        <v>64912</v>
      </c>
      <c r="I1014" s="166">
        <v>40</v>
      </c>
      <c r="J1014" s="166">
        <v>6.1600000000000002E-2</v>
      </c>
      <c r="K1014" s="166" t="str">
        <f t="shared" si="15"/>
        <v>ENTITYINTRNL_RTNG_PRVS</v>
      </c>
    </row>
    <row r="1015" spans="1:11" hidden="1">
      <c r="A1015" s="166" t="s">
        <v>3437</v>
      </c>
      <c r="B1015" s="166" t="s">
        <v>3438</v>
      </c>
      <c r="C1015" s="166" t="s">
        <v>1142</v>
      </c>
      <c r="D1015" s="166" t="s">
        <v>398</v>
      </c>
      <c r="E1015" s="166" t="s">
        <v>1132</v>
      </c>
      <c r="F1015" s="166" t="s">
        <v>1241</v>
      </c>
      <c r="G1015" s="166" t="s">
        <v>1134</v>
      </c>
      <c r="H1015" s="166">
        <v>257774</v>
      </c>
      <c r="I1015" s="166">
        <v>5810</v>
      </c>
      <c r="J1015" s="166">
        <v>2.2538999999999998</v>
      </c>
      <c r="K1015" s="166" t="str">
        <f t="shared" si="15"/>
        <v>ENTITYLGL_PRCDNG_STTS_LE</v>
      </c>
    </row>
    <row r="1016" spans="1:11" hidden="1">
      <c r="A1016" s="166" t="s">
        <v>3439</v>
      </c>
      <c r="B1016" s="166" t="s">
        <v>3440</v>
      </c>
      <c r="C1016" s="166" t="s">
        <v>1243</v>
      </c>
      <c r="D1016" s="166" t="s">
        <v>398</v>
      </c>
      <c r="E1016" s="166" t="s">
        <v>1132</v>
      </c>
      <c r="F1016" s="166" t="s">
        <v>1241</v>
      </c>
      <c r="G1016" s="166" t="s">
        <v>1134</v>
      </c>
      <c r="H1016" s="166">
        <v>5047</v>
      </c>
      <c r="I1016" s="166">
        <v>10</v>
      </c>
      <c r="J1016" s="166">
        <v>0.1981</v>
      </c>
      <c r="K1016" s="166" t="str">
        <f t="shared" si="15"/>
        <v>ENTITYLGL_PRCDNG_STTS_LE</v>
      </c>
    </row>
    <row r="1017" spans="1:11" hidden="1">
      <c r="A1017" s="166" t="s">
        <v>3441</v>
      </c>
      <c r="B1017" s="166" t="s">
        <v>3442</v>
      </c>
      <c r="C1017" s="166" t="s">
        <v>1243</v>
      </c>
      <c r="D1017" s="166" t="s">
        <v>398</v>
      </c>
      <c r="E1017" s="166" t="s">
        <v>1132</v>
      </c>
      <c r="F1017" s="166" t="s">
        <v>1241</v>
      </c>
      <c r="G1017" s="166" t="s">
        <v>129</v>
      </c>
      <c r="H1017" s="166">
        <v>2</v>
      </c>
      <c r="I1017" s="166">
        <v>0</v>
      </c>
      <c r="J1017" s="166">
        <v>0</v>
      </c>
      <c r="K1017" s="166" t="str">
        <f t="shared" si="15"/>
        <v>ENTITYLGL_PRCDNG_STTS_LE</v>
      </c>
    </row>
    <row r="1018" spans="1:11" hidden="1">
      <c r="A1018" s="166" t="s">
        <v>3443</v>
      </c>
      <c r="B1018" s="166" t="s">
        <v>3444</v>
      </c>
      <c r="C1018" s="166" t="s">
        <v>1160</v>
      </c>
      <c r="D1018" s="166" t="s">
        <v>398</v>
      </c>
      <c r="E1018" s="166" t="s">
        <v>1132</v>
      </c>
      <c r="F1018" s="166" t="s">
        <v>1241</v>
      </c>
      <c r="G1018" s="166" t="s">
        <v>1134</v>
      </c>
      <c r="H1018" s="166">
        <v>110</v>
      </c>
      <c r="I1018" s="166">
        <v>46</v>
      </c>
      <c r="J1018" s="166">
        <v>41.818199999999997</v>
      </c>
      <c r="K1018" s="166" t="str">
        <f t="shared" si="15"/>
        <v>ENTITYLGL_PRCDNG_STTS_LE</v>
      </c>
    </row>
    <row r="1019" spans="1:11" hidden="1">
      <c r="A1019" s="166" t="s">
        <v>3445</v>
      </c>
      <c r="B1019" s="166" t="s">
        <v>3446</v>
      </c>
      <c r="C1019" s="166" t="s">
        <v>1243</v>
      </c>
      <c r="D1019" s="166" t="s">
        <v>433</v>
      </c>
      <c r="E1019" s="166" t="s">
        <v>1132</v>
      </c>
      <c r="F1019" s="166" t="s">
        <v>1241</v>
      </c>
      <c r="G1019" s="166" t="s">
        <v>129</v>
      </c>
      <c r="H1019" s="166">
        <v>39</v>
      </c>
      <c r="I1019" s="166">
        <v>0</v>
      </c>
      <c r="J1019" s="166">
        <v>0</v>
      </c>
      <c r="K1019" s="166" t="str">
        <f t="shared" si="15"/>
        <v>ENTITYOWND_BY_SPNSR</v>
      </c>
    </row>
    <row r="1020" spans="1:11" hidden="1">
      <c r="A1020" s="166" t="s">
        <v>3447</v>
      </c>
      <c r="B1020" s="166" t="s">
        <v>3448</v>
      </c>
      <c r="C1020" s="166" t="s">
        <v>1243</v>
      </c>
      <c r="D1020" s="166" t="s">
        <v>492</v>
      </c>
      <c r="E1020" s="166" t="s">
        <v>1132</v>
      </c>
      <c r="F1020" s="166" t="s">
        <v>1241</v>
      </c>
      <c r="G1020" s="166" t="s">
        <v>129</v>
      </c>
      <c r="H1020" s="166">
        <v>1052848</v>
      </c>
      <c r="I1020" s="166">
        <v>0</v>
      </c>
      <c r="J1020" s="166">
        <v>0</v>
      </c>
      <c r="K1020" s="166" t="str">
        <f t="shared" si="15"/>
        <v>ENTITYRTNG_MTHD</v>
      </c>
    </row>
    <row r="1021" spans="1:11" hidden="1">
      <c r="A1021" s="166" t="s">
        <v>3449</v>
      </c>
      <c r="B1021" s="166" t="s">
        <v>3450</v>
      </c>
      <c r="C1021" s="166" t="s">
        <v>1243</v>
      </c>
      <c r="D1021" s="166" t="s">
        <v>492</v>
      </c>
      <c r="E1021" s="166" t="s">
        <v>1132</v>
      </c>
      <c r="F1021" s="166" t="s">
        <v>1241</v>
      </c>
      <c r="G1021" s="166" t="s">
        <v>129</v>
      </c>
      <c r="H1021" s="166">
        <v>81806</v>
      </c>
      <c r="I1021" s="166">
        <v>0</v>
      </c>
      <c r="J1021" s="166">
        <v>0</v>
      </c>
      <c r="K1021" s="166" t="str">
        <f t="shared" si="15"/>
        <v>ENTITYRTNG_MTHD</v>
      </c>
    </row>
    <row r="1022" spans="1:11" hidden="1">
      <c r="A1022" s="166" t="s">
        <v>3451</v>
      </c>
      <c r="B1022" s="166" t="s">
        <v>3452</v>
      </c>
      <c r="C1022" s="166" t="s">
        <v>1142</v>
      </c>
      <c r="D1022" s="166" t="s">
        <v>492</v>
      </c>
      <c r="E1022" s="166" t="s">
        <v>1132</v>
      </c>
      <c r="F1022" s="166" t="s">
        <v>1241</v>
      </c>
      <c r="G1022" s="166" t="s">
        <v>1134</v>
      </c>
      <c r="H1022" s="166">
        <v>1878954</v>
      </c>
      <c r="I1022" s="166">
        <v>127046</v>
      </c>
      <c r="J1022" s="166">
        <v>6.7614999999999998</v>
      </c>
      <c r="K1022" s="166" t="str">
        <f t="shared" si="15"/>
        <v>ENTITYRTNG_MTHD</v>
      </c>
    </row>
    <row r="1023" spans="1:11" hidden="1">
      <c r="A1023" s="166" t="s">
        <v>3453</v>
      </c>
      <c r="B1023" s="166" t="s">
        <v>3454</v>
      </c>
      <c r="C1023" s="166" t="s">
        <v>1243</v>
      </c>
      <c r="D1023" s="166" t="s">
        <v>492</v>
      </c>
      <c r="E1023" s="166" t="s">
        <v>1132</v>
      </c>
      <c r="F1023" s="166" t="s">
        <v>1241</v>
      </c>
      <c r="G1023" s="166" t="s">
        <v>1134</v>
      </c>
      <c r="H1023" s="166">
        <v>876415</v>
      </c>
      <c r="I1023" s="166">
        <v>76927</v>
      </c>
      <c r="J1023" s="166">
        <v>8.7774999999999999</v>
      </c>
      <c r="K1023" s="166" t="str">
        <f t="shared" si="15"/>
        <v>ENTITYRTNG_MTHD</v>
      </c>
    </row>
    <row r="1024" spans="1:11" hidden="1">
      <c r="A1024" s="166" t="s">
        <v>3455</v>
      </c>
      <c r="B1024" s="166" t="s">
        <v>3456</v>
      </c>
      <c r="C1024" s="166" t="s">
        <v>1243</v>
      </c>
      <c r="D1024" s="166" t="s">
        <v>504</v>
      </c>
      <c r="E1024" s="166" t="s">
        <v>1132</v>
      </c>
      <c r="F1024" s="166" t="s">
        <v>1241</v>
      </c>
      <c r="G1024" s="166" t="s">
        <v>1134</v>
      </c>
      <c r="H1024" s="166">
        <v>37</v>
      </c>
      <c r="I1024" s="166">
        <v>1</v>
      </c>
      <c r="J1024" s="166">
        <v>2.7027000000000001</v>
      </c>
      <c r="K1024" s="166" t="str">
        <f t="shared" si="15"/>
        <v>ENTITYSNGL_PRPS_VHCL</v>
      </c>
    </row>
    <row r="1025" spans="1:11" hidden="1">
      <c r="A1025" s="166" t="s">
        <v>3457</v>
      </c>
      <c r="B1025" s="166" t="s">
        <v>3458</v>
      </c>
      <c r="C1025" s="166" t="s">
        <v>1243</v>
      </c>
      <c r="D1025" s="166" t="s">
        <v>344</v>
      </c>
      <c r="E1025" s="166" t="s">
        <v>1132</v>
      </c>
      <c r="F1025" s="166" t="s">
        <v>1241</v>
      </c>
      <c r="G1025" s="166" t="s">
        <v>129</v>
      </c>
      <c r="H1025" s="166">
        <v>64053</v>
      </c>
      <c r="I1025" s="166">
        <v>0</v>
      </c>
      <c r="J1025" s="166">
        <v>0</v>
      </c>
      <c r="K1025" s="166" t="str">
        <f t="shared" si="15"/>
        <v>ENTITYGRP_EBITDA</v>
      </c>
    </row>
    <row r="1026" spans="1:11" hidden="1">
      <c r="A1026" s="166" t="s">
        <v>3459</v>
      </c>
      <c r="B1026" s="166" t="s">
        <v>3460</v>
      </c>
      <c r="C1026" s="166" t="s">
        <v>1243</v>
      </c>
      <c r="D1026" s="166" t="s">
        <v>344</v>
      </c>
      <c r="E1026" s="166" t="s">
        <v>1132</v>
      </c>
      <c r="F1026" s="166" t="s">
        <v>1241</v>
      </c>
      <c r="G1026" s="166" t="s">
        <v>129</v>
      </c>
      <c r="H1026" s="166">
        <v>18697</v>
      </c>
      <c r="I1026" s="166">
        <v>0</v>
      </c>
      <c r="J1026" s="166">
        <v>0</v>
      </c>
      <c r="K1026" s="166" t="str">
        <f t="shared" si="15"/>
        <v>ENTITYGRP_EBITDA</v>
      </c>
    </row>
    <row r="1027" spans="1:11" hidden="1">
      <c r="A1027" s="166" t="s">
        <v>3461</v>
      </c>
      <c r="B1027" s="166" t="s">
        <v>3462</v>
      </c>
      <c r="C1027" s="166" t="s">
        <v>1243</v>
      </c>
      <c r="D1027" s="166" t="s">
        <v>344</v>
      </c>
      <c r="E1027" s="166" t="s">
        <v>1132</v>
      </c>
      <c r="F1027" s="166" t="s">
        <v>1241</v>
      </c>
      <c r="G1027" s="166" t="s">
        <v>129</v>
      </c>
      <c r="H1027" s="166">
        <v>46</v>
      </c>
      <c r="I1027" s="166">
        <v>0</v>
      </c>
      <c r="J1027" s="166">
        <v>0</v>
      </c>
      <c r="K1027" s="166" t="str">
        <f t="shared" ref="K1027:K1090" si="16">_xlfn.CONCAT(_xlfn.IFS(ISNUMBER(SEARCH("EN",A1027)),"ENTITY",ISNUMBER(SEARCH("IN",A1027)),"INSTRUMENT",ISNUMBER(SEARCH("PR",A1027)),"PROTECTION",ISNUMBER(SEARCH("IP",A1027)),"INSTR_PROTECTION",ISNUMBER(SEARCH("IE",A1027)),"INSTR_ENTITY",ISNUMBER(SEARCH("AC",A1027)),"INSTR_ACTIVITY"),D1027)</f>
        <v>ENTITYGRP_EBITDA</v>
      </c>
    </row>
    <row r="1028" spans="1:11" hidden="1">
      <c r="A1028" s="166" t="s">
        <v>3463</v>
      </c>
      <c r="B1028" s="166" t="s">
        <v>3464</v>
      </c>
      <c r="C1028" s="166" t="s">
        <v>139</v>
      </c>
      <c r="D1028" s="166" t="s">
        <v>344</v>
      </c>
      <c r="E1028" s="166" t="s">
        <v>1132</v>
      </c>
      <c r="F1028" s="166" t="s">
        <v>1241</v>
      </c>
      <c r="G1028" s="166" t="s">
        <v>129</v>
      </c>
      <c r="H1028" s="166">
        <v>82750</v>
      </c>
      <c r="I1028" s="166">
        <v>0</v>
      </c>
      <c r="J1028" s="166">
        <v>0</v>
      </c>
      <c r="K1028" s="166" t="str">
        <f t="shared" si="16"/>
        <v>ENTITYGRP_EBITDA</v>
      </c>
    </row>
    <row r="1029" spans="1:11" hidden="1">
      <c r="A1029" s="166" t="s">
        <v>3465</v>
      </c>
      <c r="B1029" s="166" t="s">
        <v>3466</v>
      </c>
      <c r="C1029" s="166" t="s">
        <v>1243</v>
      </c>
      <c r="D1029" s="166" t="s">
        <v>345</v>
      </c>
      <c r="E1029" s="166" t="s">
        <v>1132</v>
      </c>
      <c r="F1029" s="166" t="s">
        <v>1241</v>
      </c>
      <c r="G1029" s="166" t="s">
        <v>129</v>
      </c>
      <c r="H1029" s="166">
        <v>64053</v>
      </c>
      <c r="I1029" s="166">
        <v>0</v>
      </c>
      <c r="J1029" s="166">
        <v>0</v>
      </c>
      <c r="K1029" s="166" t="str">
        <f t="shared" si="16"/>
        <v>ENTITYGRP_EQTY</v>
      </c>
    </row>
    <row r="1030" spans="1:11" hidden="1">
      <c r="A1030" s="166" t="s">
        <v>3467</v>
      </c>
      <c r="B1030" s="166" t="s">
        <v>3468</v>
      </c>
      <c r="C1030" s="166" t="s">
        <v>1243</v>
      </c>
      <c r="D1030" s="166" t="s">
        <v>345</v>
      </c>
      <c r="E1030" s="166" t="s">
        <v>1132</v>
      </c>
      <c r="F1030" s="166" t="s">
        <v>1241</v>
      </c>
      <c r="G1030" s="166" t="s">
        <v>129</v>
      </c>
      <c r="H1030" s="166">
        <v>18697</v>
      </c>
      <c r="I1030" s="166">
        <v>0</v>
      </c>
      <c r="J1030" s="166">
        <v>0</v>
      </c>
      <c r="K1030" s="166" t="str">
        <f t="shared" si="16"/>
        <v>ENTITYGRP_EQTY</v>
      </c>
    </row>
    <row r="1031" spans="1:11" hidden="1">
      <c r="A1031" s="166" t="s">
        <v>3469</v>
      </c>
      <c r="B1031" s="166" t="s">
        <v>3470</v>
      </c>
      <c r="C1031" s="166" t="s">
        <v>1243</v>
      </c>
      <c r="D1031" s="166" t="s">
        <v>345</v>
      </c>
      <c r="E1031" s="166" t="s">
        <v>1132</v>
      </c>
      <c r="F1031" s="166" t="s">
        <v>1241</v>
      </c>
      <c r="G1031" s="166" t="s">
        <v>129</v>
      </c>
      <c r="H1031" s="166">
        <v>46</v>
      </c>
      <c r="I1031" s="166">
        <v>0</v>
      </c>
      <c r="J1031" s="166">
        <v>0</v>
      </c>
      <c r="K1031" s="166" t="str">
        <f t="shared" si="16"/>
        <v>ENTITYGRP_EQTY</v>
      </c>
    </row>
    <row r="1032" spans="1:11" hidden="1">
      <c r="A1032" s="166" t="s">
        <v>3471</v>
      </c>
      <c r="B1032" s="166" t="s">
        <v>3472</v>
      </c>
      <c r="C1032" s="166" t="s">
        <v>1243</v>
      </c>
      <c r="D1032" s="166" t="s">
        <v>345</v>
      </c>
      <c r="E1032" s="166" t="s">
        <v>1132</v>
      </c>
      <c r="F1032" s="166" t="s">
        <v>1241</v>
      </c>
      <c r="G1032" s="166" t="s">
        <v>1134</v>
      </c>
      <c r="H1032" s="166">
        <v>2959</v>
      </c>
      <c r="I1032" s="166">
        <v>542</v>
      </c>
      <c r="J1032" s="166">
        <v>18.317</v>
      </c>
      <c r="K1032" s="166" t="str">
        <f t="shared" si="16"/>
        <v>ENTITYGRP_EQTY</v>
      </c>
    </row>
    <row r="1033" spans="1:11" hidden="1">
      <c r="A1033" s="166" t="s">
        <v>3473</v>
      </c>
      <c r="B1033" s="166" t="s">
        <v>3474</v>
      </c>
      <c r="C1033" s="166" t="s">
        <v>139</v>
      </c>
      <c r="D1033" s="166" t="s">
        <v>345</v>
      </c>
      <c r="E1033" s="166" t="s">
        <v>10</v>
      </c>
      <c r="F1033" s="166" t="s">
        <v>1241</v>
      </c>
      <c r="G1033" s="166" t="s">
        <v>129</v>
      </c>
      <c r="H1033" s="166">
        <v>82750</v>
      </c>
      <c r="I1033" s="166">
        <v>0</v>
      </c>
      <c r="J1033" s="166">
        <v>0</v>
      </c>
      <c r="K1033" s="166" t="str">
        <f t="shared" si="16"/>
        <v>ENTITYGRP_EQTY</v>
      </c>
    </row>
    <row r="1034" spans="1:11" hidden="1">
      <c r="A1034" s="166" t="s">
        <v>3475</v>
      </c>
      <c r="B1034" s="166" t="s">
        <v>3476</v>
      </c>
      <c r="C1034" s="166" t="s">
        <v>1243</v>
      </c>
      <c r="D1034" s="166" t="s">
        <v>346</v>
      </c>
      <c r="E1034" s="166" t="s">
        <v>1132</v>
      </c>
      <c r="F1034" s="166" t="s">
        <v>1241</v>
      </c>
      <c r="G1034" s="166" t="s">
        <v>129</v>
      </c>
      <c r="H1034" s="166">
        <v>64053</v>
      </c>
      <c r="I1034" s="166">
        <v>0</v>
      </c>
      <c r="J1034" s="166">
        <v>0</v>
      </c>
      <c r="K1034" s="166" t="str">
        <f t="shared" si="16"/>
        <v>ENTITYGRP_NT_DBT</v>
      </c>
    </row>
    <row r="1035" spans="1:11" hidden="1">
      <c r="A1035" s="166" t="s">
        <v>3477</v>
      </c>
      <c r="B1035" s="166" t="s">
        <v>3478</v>
      </c>
      <c r="C1035" s="166" t="s">
        <v>1243</v>
      </c>
      <c r="D1035" s="166" t="s">
        <v>346</v>
      </c>
      <c r="E1035" s="166" t="s">
        <v>1132</v>
      </c>
      <c r="F1035" s="166" t="s">
        <v>1241</v>
      </c>
      <c r="G1035" s="166" t="s">
        <v>129</v>
      </c>
      <c r="H1035" s="166">
        <v>18697</v>
      </c>
      <c r="I1035" s="166">
        <v>0</v>
      </c>
      <c r="J1035" s="166">
        <v>0</v>
      </c>
      <c r="K1035" s="166" t="str">
        <f t="shared" si="16"/>
        <v>ENTITYGRP_NT_DBT</v>
      </c>
    </row>
    <row r="1036" spans="1:11" hidden="1">
      <c r="A1036" s="166" t="s">
        <v>3479</v>
      </c>
      <c r="B1036" s="166" t="s">
        <v>3480</v>
      </c>
      <c r="C1036" s="166" t="s">
        <v>1142</v>
      </c>
      <c r="D1036" s="166" t="s">
        <v>346</v>
      </c>
      <c r="E1036" s="166" t="s">
        <v>1132</v>
      </c>
      <c r="F1036" s="166" t="s">
        <v>1241</v>
      </c>
      <c r="G1036" s="166" t="s">
        <v>129</v>
      </c>
      <c r="H1036" s="166">
        <v>3019</v>
      </c>
      <c r="I1036" s="166">
        <v>0</v>
      </c>
      <c r="J1036" s="166">
        <v>0</v>
      </c>
      <c r="K1036" s="166" t="str">
        <f t="shared" si="16"/>
        <v>ENTITYGRP_NT_DBT</v>
      </c>
    </row>
    <row r="1037" spans="1:11" hidden="1">
      <c r="A1037" s="166" t="s">
        <v>3481</v>
      </c>
      <c r="B1037" s="166" t="s">
        <v>3482</v>
      </c>
      <c r="C1037" s="166" t="s">
        <v>1243</v>
      </c>
      <c r="D1037" s="166" t="s">
        <v>346</v>
      </c>
      <c r="E1037" s="166" t="s">
        <v>1132</v>
      </c>
      <c r="F1037" s="166" t="s">
        <v>1241</v>
      </c>
      <c r="G1037" s="166" t="s">
        <v>129</v>
      </c>
      <c r="H1037" s="166">
        <v>46</v>
      </c>
      <c r="I1037" s="166">
        <v>0</v>
      </c>
      <c r="J1037" s="166">
        <v>0</v>
      </c>
      <c r="K1037" s="166" t="str">
        <f t="shared" si="16"/>
        <v>ENTITYGRP_NT_DBT</v>
      </c>
    </row>
    <row r="1038" spans="1:11" hidden="1">
      <c r="A1038" s="166" t="s">
        <v>3483</v>
      </c>
      <c r="B1038" s="166" t="s">
        <v>3484</v>
      </c>
      <c r="C1038" s="166" t="s">
        <v>139</v>
      </c>
      <c r="D1038" s="166" t="s">
        <v>346</v>
      </c>
      <c r="E1038" s="166" t="s">
        <v>10</v>
      </c>
      <c r="F1038" s="166" t="s">
        <v>1241</v>
      </c>
      <c r="G1038" s="166" t="s">
        <v>129</v>
      </c>
      <c r="H1038" s="166">
        <v>82750</v>
      </c>
      <c r="I1038" s="166">
        <v>0</v>
      </c>
      <c r="J1038" s="166">
        <v>0</v>
      </c>
      <c r="K1038" s="166" t="str">
        <f t="shared" si="16"/>
        <v>ENTITYGRP_NT_DBT</v>
      </c>
    </row>
    <row r="1039" spans="1:11" hidden="1">
      <c r="A1039" s="166" t="s">
        <v>3485</v>
      </c>
      <c r="B1039" s="166" t="s">
        <v>3486</v>
      </c>
      <c r="C1039" s="166" t="s">
        <v>1243</v>
      </c>
      <c r="D1039" s="166" t="s">
        <v>149</v>
      </c>
      <c r="E1039" s="166" t="s">
        <v>1132</v>
      </c>
      <c r="F1039" s="166" t="s">
        <v>1241</v>
      </c>
      <c r="G1039" s="166" t="s">
        <v>129</v>
      </c>
      <c r="H1039" s="166">
        <v>68644</v>
      </c>
      <c r="I1039" s="166">
        <v>0</v>
      </c>
      <c r="J1039" s="166">
        <v>0</v>
      </c>
      <c r="K1039" s="166" t="str">
        <f t="shared" si="16"/>
        <v>ENTITYANNL_TRNVR_LE</v>
      </c>
    </row>
    <row r="1040" spans="1:11" hidden="1">
      <c r="A1040" s="166" t="s">
        <v>3487</v>
      </c>
      <c r="B1040" s="166" t="s">
        <v>3488</v>
      </c>
      <c r="C1040" s="166" t="s">
        <v>1243</v>
      </c>
      <c r="D1040" s="166" t="s">
        <v>149</v>
      </c>
      <c r="E1040" s="166" t="s">
        <v>1132</v>
      </c>
      <c r="F1040" s="166" t="s">
        <v>1241</v>
      </c>
      <c r="G1040" s="166" t="s">
        <v>1134</v>
      </c>
      <c r="H1040" s="166">
        <v>46</v>
      </c>
      <c r="I1040" s="166">
        <v>1</v>
      </c>
      <c r="J1040" s="166">
        <v>2.1739000000000002</v>
      </c>
      <c r="K1040" s="166" t="str">
        <f t="shared" si="16"/>
        <v>ENTITYANNL_TRNVR_LE</v>
      </c>
    </row>
    <row r="1041" spans="1:11" hidden="1">
      <c r="A1041" s="166" t="s">
        <v>3489</v>
      </c>
      <c r="B1041" s="166" t="s">
        <v>3490</v>
      </c>
      <c r="C1041" s="166" t="s">
        <v>1243</v>
      </c>
      <c r="D1041" s="166" t="s">
        <v>151</v>
      </c>
      <c r="E1041" s="166" t="s">
        <v>1132</v>
      </c>
      <c r="F1041" s="166" t="s">
        <v>1241</v>
      </c>
      <c r="G1041" s="166" t="s">
        <v>129</v>
      </c>
      <c r="H1041" s="166">
        <v>64912</v>
      </c>
      <c r="I1041" s="166">
        <v>0</v>
      </c>
      <c r="J1041" s="166">
        <v>0</v>
      </c>
      <c r="K1041" s="166" t="str">
        <f t="shared" si="16"/>
        <v>ENTITYANNL_TRNVR_PRVS</v>
      </c>
    </row>
    <row r="1042" spans="1:11" hidden="1">
      <c r="A1042" s="166" t="s">
        <v>3491</v>
      </c>
      <c r="B1042" s="166" t="s">
        <v>3492</v>
      </c>
      <c r="C1042" s="166" t="s">
        <v>1243</v>
      </c>
      <c r="D1042" s="166" t="s">
        <v>151</v>
      </c>
      <c r="E1042" s="166" t="s">
        <v>1132</v>
      </c>
      <c r="F1042" s="166" t="s">
        <v>1241</v>
      </c>
      <c r="G1042" s="166" t="s">
        <v>1134</v>
      </c>
      <c r="H1042" s="166">
        <v>46</v>
      </c>
      <c r="I1042" s="166">
        <v>1</v>
      </c>
      <c r="J1042" s="166">
        <v>2.1739000000000002</v>
      </c>
      <c r="K1042" s="166" t="str">
        <f t="shared" si="16"/>
        <v>ENTITYANNL_TRNVR_PRVS</v>
      </c>
    </row>
    <row r="1043" spans="1:11" hidden="1">
      <c r="A1043" s="166" t="s">
        <v>3493</v>
      </c>
      <c r="B1043" s="166" t="s">
        <v>3494</v>
      </c>
      <c r="C1043" s="166" t="s">
        <v>1243</v>
      </c>
      <c r="D1043" s="166" t="s">
        <v>165</v>
      </c>
      <c r="E1043" s="166" t="s">
        <v>1132</v>
      </c>
      <c r="F1043" s="166" t="s">
        <v>1241</v>
      </c>
      <c r="G1043" s="166" t="s">
        <v>129</v>
      </c>
      <c r="H1043" s="166">
        <v>68644</v>
      </c>
      <c r="I1043" s="166">
        <v>0</v>
      </c>
      <c r="J1043" s="166">
        <v>0</v>
      </c>
      <c r="K1043" s="166" t="str">
        <f t="shared" si="16"/>
        <v>ENTITYCAPEX</v>
      </c>
    </row>
    <row r="1044" spans="1:11" hidden="1">
      <c r="A1044" s="166" t="s">
        <v>3495</v>
      </c>
      <c r="B1044" s="166" t="s">
        <v>3496</v>
      </c>
      <c r="C1044" s="166" t="s">
        <v>1243</v>
      </c>
      <c r="D1044" s="166" t="s">
        <v>165</v>
      </c>
      <c r="E1044" s="166" t="s">
        <v>1132</v>
      </c>
      <c r="F1044" s="166" t="s">
        <v>1241</v>
      </c>
      <c r="G1044" s="166" t="s">
        <v>1134</v>
      </c>
      <c r="H1044" s="166">
        <v>46</v>
      </c>
      <c r="I1044" s="166">
        <v>1</v>
      </c>
      <c r="J1044" s="166">
        <v>2.1739000000000002</v>
      </c>
      <c r="K1044" s="166" t="str">
        <f t="shared" si="16"/>
        <v>ENTITYCAPEX</v>
      </c>
    </row>
    <row r="1045" spans="1:11" hidden="1">
      <c r="A1045" s="166" t="s">
        <v>3497</v>
      </c>
      <c r="B1045" s="166" t="s">
        <v>3498</v>
      </c>
      <c r="C1045" s="166" t="s">
        <v>1243</v>
      </c>
      <c r="D1045" s="166" t="s">
        <v>166</v>
      </c>
      <c r="E1045" s="166" t="s">
        <v>1132</v>
      </c>
      <c r="F1045" s="166" t="s">
        <v>1241</v>
      </c>
      <c r="G1045" s="166" t="s">
        <v>129</v>
      </c>
      <c r="H1045" s="166">
        <v>64912</v>
      </c>
      <c r="I1045" s="166">
        <v>0</v>
      </c>
      <c r="J1045" s="166">
        <v>0</v>
      </c>
      <c r="K1045" s="166" t="str">
        <f t="shared" si="16"/>
        <v>ENTITYCAPEX_PRVS</v>
      </c>
    </row>
    <row r="1046" spans="1:11" hidden="1">
      <c r="A1046" s="166" t="s">
        <v>3499</v>
      </c>
      <c r="B1046" s="166" t="s">
        <v>3500</v>
      </c>
      <c r="C1046" s="166" t="s">
        <v>1243</v>
      </c>
      <c r="D1046" s="166" t="s">
        <v>166</v>
      </c>
      <c r="E1046" s="166" t="s">
        <v>1132</v>
      </c>
      <c r="F1046" s="166" t="s">
        <v>1241</v>
      </c>
      <c r="G1046" s="166" t="s">
        <v>1134</v>
      </c>
      <c r="H1046" s="166">
        <v>46</v>
      </c>
      <c r="I1046" s="166">
        <v>1</v>
      </c>
      <c r="J1046" s="166">
        <v>2.1739000000000002</v>
      </c>
      <c r="K1046" s="166" t="str">
        <f t="shared" si="16"/>
        <v>ENTITYCAPEX_PRVS</v>
      </c>
    </row>
    <row r="1047" spans="1:11" hidden="1">
      <c r="A1047" s="166" t="s">
        <v>3501</v>
      </c>
      <c r="B1047" s="166" t="s">
        <v>3502</v>
      </c>
      <c r="C1047" s="166" t="s">
        <v>1142</v>
      </c>
      <c r="D1047" s="166" t="s">
        <v>170</v>
      </c>
      <c r="E1047" s="166" t="s">
        <v>1132</v>
      </c>
      <c r="F1047" s="166" t="s">
        <v>1241</v>
      </c>
      <c r="G1047" s="166" t="s">
        <v>1134</v>
      </c>
      <c r="H1047" s="166">
        <v>156104</v>
      </c>
      <c r="I1047" s="166">
        <v>148474</v>
      </c>
      <c r="J1047" s="166">
        <v>95.112200000000001</v>
      </c>
      <c r="K1047" s="166" t="str">
        <f t="shared" si="16"/>
        <v>ENTITYCLLCTN_MD</v>
      </c>
    </row>
    <row r="1048" spans="1:11" hidden="1">
      <c r="A1048" s="166" t="s">
        <v>3503</v>
      </c>
      <c r="B1048" s="166" t="s">
        <v>3504</v>
      </c>
      <c r="C1048" s="166" t="s">
        <v>1243</v>
      </c>
      <c r="D1048" s="166" t="s">
        <v>201</v>
      </c>
      <c r="E1048" s="166" t="s">
        <v>1132</v>
      </c>
      <c r="F1048" s="166" t="s">
        <v>1241</v>
      </c>
      <c r="G1048" s="166" t="s">
        <v>129</v>
      </c>
      <c r="H1048" s="166">
        <v>68644</v>
      </c>
      <c r="I1048" s="166">
        <v>0</v>
      </c>
      <c r="J1048" s="166">
        <v>0</v>
      </c>
      <c r="K1048" s="166" t="str">
        <f t="shared" si="16"/>
        <v>ENTITYCSH</v>
      </c>
    </row>
    <row r="1049" spans="1:11" hidden="1">
      <c r="A1049" s="166" t="s">
        <v>3505</v>
      </c>
      <c r="B1049" s="166" t="s">
        <v>3506</v>
      </c>
      <c r="C1049" s="166" t="s">
        <v>1243</v>
      </c>
      <c r="D1049" s="166" t="s">
        <v>201</v>
      </c>
      <c r="E1049" s="166" t="s">
        <v>1132</v>
      </c>
      <c r="F1049" s="166" t="s">
        <v>1241</v>
      </c>
      <c r="G1049" s="166" t="s">
        <v>1134</v>
      </c>
      <c r="H1049" s="166">
        <v>46</v>
      </c>
      <c r="I1049" s="166">
        <v>1</v>
      </c>
      <c r="J1049" s="166">
        <v>2.1739000000000002</v>
      </c>
      <c r="K1049" s="166" t="str">
        <f t="shared" si="16"/>
        <v>ENTITYCSH</v>
      </c>
    </row>
    <row r="1050" spans="1:11" hidden="1">
      <c r="A1050" s="166" t="s">
        <v>3507</v>
      </c>
      <c r="B1050" s="166" t="s">
        <v>3508</v>
      </c>
      <c r="C1050" s="166" t="s">
        <v>1243</v>
      </c>
      <c r="D1050" s="166" t="s">
        <v>202</v>
      </c>
      <c r="E1050" s="166" t="s">
        <v>1132</v>
      </c>
      <c r="F1050" s="166" t="s">
        <v>1241</v>
      </c>
      <c r="G1050" s="166" t="s">
        <v>129</v>
      </c>
      <c r="H1050" s="166">
        <v>64912</v>
      </c>
      <c r="I1050" s="166">
        <v>0</v>
      </c>
      <c r="J1050" s="166">
        <v>0</v>
      </c>
      <c r="K1050" s="166" t="str">
        <f t="shared" si="16"/>
        <v>ENTITYCSH_PRVS</v>
      </c>
    </row>
    <row r="1051" spans="1:11" hidden="1">
      <c r="A1051" s="166" t="s">
        <v>3509</v>
      </c>
      <c r="B1051" s="166" t="s">
        <v>3510</v>
      </c>
      <c r="C1051" s="166" t="s">
        <v>1243</v>
      </c>
      <c r="D1051" s="166" t="s">
        <v>202</v>
      </c>
      <c r="E1051" s="166" t="s">
        <v>1132</v>
      </c>
      <c r="F1051" s="166" t="s">
        <v>1241</v>
      </c>
      <c r="G1051" s="166" t="s">
        <v>1134</v>
      </c>
      <c r="H1051" s="166">
        <v>46</v>
      </c>
      <c r="I1051" s="166">
        <v>1</v>
      </c>
      <c r="J1051" s="166">
        <v>2.1739000000000002</v>
      </c>
      <c r="K1051" s="166" t="str">
        <f t="shared" si="16"/>
        <v>ENTITYCSH_PRVS</v>
      </c>
    </row>
    <row r="1052" spans="1:11" hidden="1">
      <c r="A1052" s="166" t="s">
        <v>3511</v>
      </c>
      <c r="B1052" s="166" t="s">
        <v>3512</v>
      </c>
      <c r="C1052" s="166" t="s">
        <v>1243</v>
      </c>
      <c r="D1052" s="166" t="s">
        <v>364</v>
      </c>
      <c r="E1052" s="166" t="s">
        <v>1132</v>
      </c>
      <c r="F1052" s="166" t="s">
        <v>1241</v>
      </c>
      <c r="G1052" s="166" t="s">
        <v>129</v>
      </c>
      <c r="H1052" s="166">
        <v>68644</v>
      </c>
      <c r="I1052" s="166">
        <v>0</v>
      </c>
      <c r="J1052" s="166">
        <v>0</v>
      </c>
      <c r="K1052" s="166" t="str">
        <f t="shared" si="16"/>
        <v>ENTITYEBITDA</v>
      </c>
    </row>
    <row r="1053" spans="1:11" hidden="1">
      <c r="A1053" s="166" t="s">
        <v>3513</v>
      </c>
      <c r="B1053" s="166" t="s">
        <v>3514</v>
      </c>
      <c r="C1053" s="166" t="s">
        <v>1243</v>
      </c>
      <c r="D1053" s="166" t="s">
        <v>364</v>
      </c>
      <c r="E1053" s="166" t="s">
        <v>1132</v>
      </c>
      <c r="F1053" s="166" t="s">
        <v>1241</v>
      </c>
      <c r="G1053" s="166" t="s">
        <v>1134</v>
      </c>
      <c r="H1053" s="166">
        <v>46</v>
      </c>
      <c r="I1053" s="166">
        <v>1</v>
      </c>
      <c r="J1053" s="166">
        <v>2.1739000000000002</v>
      </c>
      <c r="K1053" s="166" t="str">
        <f t="shared" si="16"/>
        <v>ENTITYEBITDA</v>
      </c>
    </row>
    <row r="1054" spans="1:11" hidden="1">
      <c r="A1054" s="166" t="s">
        <v>3515</v>
      </c>
      <c r="B1054" s="166" t="s">
        <v>3516</v>
      </c>
      <c r="C1054" s="166" t="s">
        <v>1243</v>
      </c>
      <c r="D1054" s="166" t="s">
        <v>353</v>
      </c>
      <c r="E1054" s="166" t="s">
        <v>1132</v>
      </c>
      <c r="F1054" s="166" t="s">
        <v>1241</v>
      </c>
      <c r="G1054" s="166" t="s">
        <v>129</v>
      </c>
      <c r="H1054" s="166">
        <v>64912</v>
      </c>
      <c r="I1054" s="166">
        <v>0</v>
      </c>
      <c r="J1054" s="166">
        <v>0</v>
      </c>
      <c r="K1054" s="166" t="str">
        <f t="shared" si="16"/>
        <v>ENTITYEBITDA_PRVS</v>
      </c>
    </row>
    <row r="1055" spans="1:11" hidden="1">
      <c r="A1055" s="166" t="s">
        <v>3517</v>
      </c>
      <c r="B1055" s="166" t="s">
        <v>3518</v>
      </c>
      <c r="C1055" s="166" t="s">
        <v>1243</v>
      </c>
      <c r="D1055" s="166" t="s">
        <v>353</v>
      </c>
      <c r="E1055" s="166" t="s">
        <v>1132</v>
      </c>
      <c r="F1055" s="166" t="s">
        <v>1241</v>
      </c>
      <c r="G1055" s="166" t="s">
        <v>1134</v>
      </c>
      <c r="H1055" s="166">
        <v>46</v>
      </c>
      <c r="I1055" s="166">
        <v>1</v>
      </c>
      <c r="J1055" s="166">
        <v>2.1739000000000002</v>
      </c>
      <c r="K1055" s="166" t="str">
        <f t="shared" si="16"/>
        <v>ENTITYEBITDA_PRVS</v>
      </c>
    </row>
    <row r="1056" spans="1:11" hidden="1">
      <c r="A1056" s="166" t="s">
        <v>3519</v>
      </c>
      <c r="B1056" s="166" t="s">
        <v>3520</v>
      </c>
      <c r="C1056" s="166" t="s">
        <v>1243</v>
      </c>
      <c r="D1056" s="166" t="s">
        <v>308</v>
      </c>
      <c r="E1056" s="166" t="s">
        <v>1132</v>
      </c>
      <c r="F1056" s="166" t="s">
        <v>1241</v>
      </c>
      <c r="G1056" s="166" t="s">
        <v>129</v>
      </c>
      <c r="H1056" s="166">
        <v>68644</v>
      </c>
      <c r="I1056" s="166">
        <v>0</v>
      </c>
      <c r="J1056" s="166">
        <v>0</v>
      </c>
      <c r="K1056" s="166" t="str">
        <f t="shared" si="16"/>
        <v>ENTITYEQTY</v>
      </c>
    </row>
    <row r="1057" spans="1:11" hidden="1">
      <c r="A1057" s="166" t="s">
        <v>3521</v>
      </c>
      <c r="B1057" s="166" t="s">
        <v>3522</v>
      </c>
      <c r="C1057" s="166" t="s">
        <v>1243</v>
      </c>
      <c r="D1057" s="166" t="s">
        <v>308</v>
      </c>
      <c r="E1057" s="166" t="s">
        <v>1132</v>
      </c>
      <c r="F1057" s="166" t="s">
        <v>1241</v>
      </c>
      <c r="G1057" s="166" t="s">
        <v>1134</v>
      </c>
      <c r="H1057" s="166">
        <v>46</v>
      </c>
      <c r="I1057" s="166">
        <v>1</v>
      </c>
      <c r="J1057" s="166">
        <v>2.1739000000000002</v>
      </c>
      <c r="K1057" s="166" t="str">
        <f t="shared" si="16"/>
        <v>ENTITYEQTY</v>
      </c>
    </row>
    <row r="1058" spans="1:11" hidden="1">
      <c r="A1058" s="166" t="s">
        <v>3523</v>
      </c>
      <c r="B1058" s="166" t="s">
        <v>3524</v>
      </c>
      <c r="C1058" s="166" t="s">
        <v>1243</v>
      </c>
      <c r="D1058" s="166" t="s">
        <v>309</v>
      </c>
      <c r="E1058" s="166" t="s">
        <v>1132</v>
      </c>
      <c r="F1058" s="166" t="s">
        <v>1241</v>
      </c>
      <c r="G1058" s="166" t="s">
        <v>129</v>
      </c>
      <c r="H1058" s="166">
        <v>64912</v>
      </c>
      <c r="I1058" s="166">
        <v>0</v>
      </c>
      <c r="J1058" s="166">
        <v>0</v>
      </c>
      <c r="K1058" s="166" t="str">
        <f t="shared" si="16"/>
        <v>ENTITYEQTY_PRVS</v>
      </c>
    </row>
    <row r="1059" spans="1:11" hidden="1">
      <c r="A1059" s="166" t="s">
        <v>3525</v>
      </c>
      <c r="B1059" s="166" t="s">
        <v>3526</v>
      </c>
      <c r="C1059" s="166" t="s">
        <v>1243</v>
      </c>
      <c r="D1059" s="166" t="s">
        <v>309</v>
      </c>
      <c r="E1059" s="166" t="s">
        <v>1132</v>
      </c>
      <c r="F1059" s="166" t="s">
        <v>1241</v>
      </c>
      <c r="G1059" s="166" t="s">
        <v>1134</v>
      </c>
      <c r="H1059" s="166">
        <v>46</v>
      </c>
      <c r="I1059" s="166">
        <v>1</v>
      </c>
      <c r="J1059" s="166">
        <v>2.1739000000000002</v>
      </c>
      <c r="K1059" s="166" t="str">
        <f t="shared" si="16"/>
        <v>ENTITYEQTY_PRVS</v>
      </c>
    </row>
    <row r="1060" spans="1:11" hidden="1">
      <c r="A1060" s="166" t="s">
        <v>3527</v>
      </c>
      <c r="B1060" s="166" t="s">
        <v>3528</v>
      </c>
      <c r="C1060" s="166" t="s">
        <v>1243</v>
      </c>
      <c r="D1060" s="166" t="s">
        <v>347</v>
      </c>
      <c r="E1060" s="166" t="s">
        <v>1132</v>
      </c>
      <c r="F1060" s="166" t="s">
        <v>1241</v>
      </c>
      <c r="G1060" s="166" t="s">
        <v>129</v>
      </c>
      <c r="H1060" s="166">
        <v>64053</v>
      </c>
      <c r="I1060" s="166">
        <v>0</v>
      </c>
      <c r="J1060" s="166">
        <v>0</v>
      </c>
      <c r="K1060" s="166" t="str">
        <f t="shared" si="16"/>
        <v>ENTITYGRP_TTL_DBT</v>
      </c>
    </row>
    <row r="1061" spans="1:11" hidden="1">
      <c r="A1061" s="166" t="s">
        <v>3529</v>
      </c>
      <c r="B1061" s="166" t="s">
        <v>3530</v>
      </c>
      <c r="C1061" s="166" t="s">
        <v>1243</v>
      </c>
      <c r="D1061" s="166" t="s">
        <v>347</v>
      </c>
      <c r="E1061" s="166" t="s">
        <v>1132</v>
      </c>
      <c r="F1061" s="166" t="s">
        <v>1241</v>
      </c>
      <c r="G1061" s="166" t="s">
        <v>129</v>
      </c>
      <c r="H1061" s="166">
        <v>18697</v>
      </c>
      <c r="I1061" s="166">
        <v>0</v>
      </c>
      <c r="J1061" s="166">
        <v>0</v>
      </c>
      <c r="K1061" s="166" t="str">
        <f t="shared" si="16"/>
        <v>ENTITYGRP_TTL_DBT</v>
      </c>
    </row>
    <row r="1062" spans="1:11" hidden="1">
      <c r="A1062" s="166" t="s">
        <v>3531</v>
      </c>
      <c r="B1062" s="166" t="s">
        <v>3532</v>
      </c>
      <c r="C1062" s="166" t="s">
        <v>1243</v>
      </c>
      <c r="D1062" s="166" t="s">
        <v>347</v>
      </c>
      <c r="E1062" s="166" t="s">
        <v>1132</v>
      </c>
      <c r="F1062" s="166" t="s">
        <v>1241</v>
      </c>
      <c r="G1062" s="166" t="s">
        <v>129</v>
      </c>
      <c r="H1062" s="166">
        <v>46</v>
      </c>
      <c r="I1062" s="166">
        <v>0</v>
      </c>
      <c r="J1062" s="166">
        <v>0</v>
      </c>
      <c r="K1062" s="166" t="str">
        <f t="shared" si="16"/>
        <v>ENTITYGRP_TTL_DBT</v>
      </c>
    </row>
    <row r="1063" spans="1:11" hidden="1">
      <c r="A1063" s="166" t="s">
        <v>3533</v>
      </c>
      <c r="B1063" s="166" t="s">
        <v>3534</v>
      </c>
      <c r="C1063" s="166" t="s">
        <v>1243</v>
      </c>
      <c r="D1063" s="166" t="s">
        <v>347</v>
      </c>
      <c r="E1063" s="166" t="s">
        <v>1132</v>
      </c>
      <c r="F1063" s="166" t="s">
        <v>1241</v>
      </c>
      <c r="G1063" s="166" t="s">
        <v>1134</v>
      </c>
      <c r="H1063" s="166">
        <v>2959</v>
      </c>
      <c r="I1063" s="166">
        <v>278</v>
      </c>
      <c r="J1063" s="166">
        <v>9.3950999999999993</v>
      </c>
      <c r="K1063" s="166" t="str">
        <f t="shared" si="16"/>
        <v>ENTITYGRP_TTL_DBT</v>
      </c>
    </row>
    <row r="1064" spans="1:11" hidden="1">
      <c r="A1064" s="166" t="s">
        <v>3535</v>
      </c>
      <c r="B1064" s="166" t="s">
        <v>3536</v>
      </c>
      <c r="C1064" s="166" t="s">
        <v>139</v>
      </c>
      <c r="D1064" s="166" t="s">
        <v>347</v>
      </c>
      <c r="E1064" s="166" t="s">
        <v>1132</v>
      </c>
      <c r="F1064" s="166" t="s">
        <v>1241</v>
      </c>
      <c r="G1064" s="166" t="s">
        <v>129</v>
      </c>
      <c r="H1064" s="166">
        <v>82750</v>
      </c>
      <c r="I1064" s="166">
        <v>0</v>
      </c>
      <c r="J1064" s="166">
        <v>0</v>
      </c>
      <c r="K1064" s="166" t="str">
        <f t="shared" si="16"/>
        <v>ENTITYGRP_TTL_DBT</v>
      </c>
    </row>
    <row r="1065" spans="1:11" hidden="1">
      <c r="A1065" s="166" t="s">
        <v>3537</v>
      </c>
      <c r="B1065" s="166" t="s">
        <v>3538</v>
      </c>
      <c r="C1065" s="166" t="s">
        <v>1243</v>
      </c>
      <c r="D1065" s="166" t="s">
        <v>339</v>
      </c>
      <c r="E1065" s="166" t="s">
        <v>1132</v>
      </c>
      <c r="F1065" s="166" t="s">
        <v>1241</v>
      </c>
      <c r="G1065" s="166" t="s">
        <v>129</v>
      </c>
      <c r="H1065" s="166">
        <v>68644</v>
      </c>
      <c r="I1065" s="166">
        <v>0</v>
      </c>
      <c r="J1065" s="166">
        <v>0</v>
      </c>
      <c r="K1065" s="166" t="str">
        <f t="shared" si="16"/>
        <v>ENTITYGDWILL</v>
      </c>
    </row>
    <row r="1066" spans="1:11" hidden="1">
      <c r="A1066" s="166" t="s">
        <v>3539</v>
      </c>
      <c r="B1066" s="166" t="s">
        <v>3540</v>
      </c>
      <c r="C1066" s="166" t="s">
        <v>1243</v>
      </c>
      <c r="D1066" s="166" t="s">
        <v>339</v>
      </c>
      <c r="E1066" s="166" t="s">
        <v>1132</v>
      </c>
      <c r="F1066" s="166" t="s">
        <v>1241</v>
      </c>
      <c r="G1066" s="166" t="s">
        <v>1134</v>
      </c>
      <c r="H1066" s="166">
        <v>46</v>
      </c>
      <c r="I1066" s="166">
        <v>1</v>
      </c>
      <c r="J1066" s="166">
        <v>2.1739000000000002</v>
      </c>
      <c r="K1066" s="166" t="str">
        <f t="shared" si="16"/>
        <v>ENTITYGDWILL</v>
      </c>
    </row>
    <row r="1067" spans="1:11" hidden="1">
      <c r="A1067" s="166" t="s">
        <v>3541</v>
      </c>
      <c r="B1067" s="166" t="s">
        <v>3542</v>
      </c>
      <c r="C1067" s="166" t="s">
        <v>1243</v>
      </c>
      <c r="D1067" s="166" t="s">
        <v>340</v>
      </c>
      <c r="E1067" s="166" t="s">
        <v>1132</v>
      </c>
      <c r="F1067" s="166" t="s">
        <v>1241</v>
      </c>
      <c r="G1067" s="166" t="s">
        <v>129</v>
      </c>
      <c r="H1067" s="166">
        <v>64912</v>
      </c>
      <c r="I1067" s="166">
        <v>0</v>
      </c>
      <c r="J1067" s="166">
        <v>0</v>
      </c>
      <c r="K1067" s="166" t="str">
        <f t="shared" si="16"/>
        <v>ENTITYGDWILL_PRVS</v>
      </c>
    </row>
    <row r="1068" spans="1:11" hidden="1">
      <c r="A1068" s="166" t="s">
        <v>3543</v>
      </c>
      <c r="B1068" s="166" t="s">
        <v>3544</v>
      </c>
      <c r="C1068" s="166" t="s">
        <v>1243</v>
      </c>
      <c r="D1068" s="166" t="s">
        <v>340</v>
      </c>
      <c r="E1068" s="166" t="s">
        <v>1132</v>
      </c>
      <c r="F1068" s="166" t="s">
        <v>1241</v>
      </c>
      <c r="G1068" s="166" t="s">
        <v>1134</v>
      </c>
      <c r="H1068" s="166">
        <v>46</v>
      </c>
      <c r="I1068" s="166">
        <v>1</v>
      </c>
      <c r="J1068" s="166">
        <v>2.1739000000000002</v>
      </c>
      <c r="K1068" s="166" t="str">
        <f t="shared" si="16"/>
        <v>ENTITYGDWILL_PRVS</v>
      </c>
    </row>
    <row r="1069" spans="1:11" hidden="1">
      <c r="A1069" s="166" t="s">
        <v>3545</v>
      </c>
      <c r="B1069" s="166" t="s">
        <v>3546</v>
      </c>
      <c r="C1069" s="166" t="s">
        <v>1142</v>
      </c>
      <c r="D1069" s="166" t="s">
        <v>401</v>
      </c>
      <c r="E1069" s="166" t="s">
        <v>1132</v>
      </c>
      <c r="F1069" s="166" t="s">
        <v>1241</v>
      </c>
      <c r="G1069" s="166" t="s">
        <v>129</v>
      </c>
      <c r="H1069" s="166">
        <v>14860</v>
      </c>
      <c r="I1069" s="166">
        <v>0</v>
      </c>
      <c r="J1069" s="166">
        <v>0</v>
      </c>
      <c r="K1069" s="166" t="str">
        <f t="shared" si="16"/>
        <v>ENTITYLTI</v>
      </c>
    </row>
    <row r="1070" spans="1:11" hidden="1">
      <c r="A1070" s="166" t="s">
        <v>3547</v>
      </c>
      <c r="B1070" s="166" t="s">
        <v>3548</v>
      </c>
      <c r="C1070" s="166" t="s">
        <v>1243</v>
      </c>
      <c r="D1070" s="166" t="s">
        <v>406</v>
      </c>
      <c r="E1070" s="166" t="s">
        <v>1132</v>
      </c>
      <c r="F1070" s="166" t="s">
        <v>1241</v>
      </c>
      <c r="G1070" s="166" t="s">
        <v>129</v>
      </c>
      <c r="H1070" s="166">
        <v>68644</v>
      </c>
      <c r="I1070" s="166">
        <v>0</v>
      </c>
      <c r="J1070" s="166">
        <v>0</v>
      </c>
      <c r="K1070" s="166" t="str">
        <f t="shared" si="16"/>
        <v>ENTITYLVRG</v>
      </c>
    </row>
    <row r="1071" spans="1:11" hidden="1">
      <c r="A1071" s="166" t="s">
        <v>3549</v>
      </c>
      <c r="B1071" s="166" t="s">
        <v>3550</v>
      </c>
      <c r="C1071" s="166" t="s">
        <v>1142</v>
      </c>
      <c r="D1071" s="166" t="s">
        <v>406</v>
      </c>
      <c r="E1071" s="166" t="s">
        <v>1132</v>
      </c>
      <c r="F1071" s="166" t="s">
        <v>1241</v>
      </c>
      <c r="G1071" s="166" t="s">
        <v>129</v>
      </c>
      <c r="H1071" s="166">
        <v>67115</v>
      </c>
      <c r="I1071" s="166">
        <v>0</v>
      </c>
      <c r="J1071" s="166">
        <v>0</v>
      </c>
      <c r="K1071" s="166" t="str">
        <f t="shared" si="16"/>
        <v>ENTITYLVRG</v>
      </c>
    </row>
    <row r="1072" spans="1:11" hidden="1">
      <c r="A1072" s="166" t="s">
        <v>3551</v>
      </c>
      <c r="B1072" s="166" t="s">
        <v>3552</v>
      </c>
      <c r="C1072" s="166" t="s">
        <v>139</v>
      </c>
      <c r="D1072" s="166" t="s">
        <v>406</v>
      </c>
      <c r="E1072" s="166" t="s">
        <v>1132</v>
      </c>
      <c r="F1072" s="166" t="s">
        <v>1241</v>
      </c>
      <c r="G1072" s="166" t="s">
        <v>129</v>
      </c>
      <c r="H1072" s="166">
        <v>45</v>
      </c>
      <c r="I1072" s="166">
        <v>0</v>
      </c>
      <c r="J1072" s="166">
        <v>0</v>
      </c>
      <c r="K1072" s="166" t="str">
        <f t="shared" si="16"/>
        <v>ENTITYLVRG</v>
      </c>
    </row>
    <row r="1073" spans="1:11" hidden="1">
      <c r="A1073" s="166" t="s">
        <v>3553</v>
      </c>
      <c r="B1073" s="166" t="s">
        <v>3554</v>
      </c>
      <c r="C1073" s="166" t="s">
        <v>1243</v>
      </c>
      <c r="D1073" s="166" t="s">
        <v>406</v>
      </c>
      <c r="E1073" s="166" t="s">
        <v>1132</v>
      </c>
      <c r="F1073" s="166" t="s">
        <v>1241</v>
      </c>
      <c r="G1073" s="166" t="s">
        <v>1134</v>
      </c>
      <c r="H1073" s="166">
        <v>46</v>
      </c>
      <c r="I1073" s="166">
        <v>1</v>
      </c>
      <c r="J1073" s="166">
        <v>2.1739000000000002</v>
      </c>
      <c r="K1073" s="166" t="str">
        <f t="shared" si="16"/>
        <v>ENTITYLVRG</v>
      </c>
    </row>
    <row r="1074" spans="1:11" hidden="1">
      <c r="A1074" s="166" t="s">
        <v>3555</v>
      </c>
      <c r="B1074" s="166" t="s">
        <v>3556</v>
      </c>
      <c r="C1074" s="166" t="s">
        <v>1243</v>
      </c>
      <c r="D1074" s="166" t="s">
        <v>408</v>
      </c>
      <c r="E1074" s="166" t="s">
        <v>1132</v>
      </c>
      <c r="F1074" s="166" t="s">
        <v>1241</v>
      </c>
      <c r="G1074" s="166" t="s">
        <v>129</v>
      </c>
      <c r="H1074" s="166">
        <v>64912</v>
      </c>
      <c r="I1074" s="166">
        <v>0</v>
      </c>
      <c r="J1074" s="166">
        <v>0</v>
      </c>
      <c r="K1074" s="166" t="str">
        <f t="shared" si="16"/>
        <v>ENTITYLVRG_PRVS</v>
      </c>
    </row>
    <row r="1075" spans="1:11" hidden="1">
      <c r="A1075" s="166" t="s">
        <v>3557</v>
      </c>
      <c r="B1075" s="166" t="s">
        <v>3558</v>
      </c>
      <c r="C1075" s="166" t="s">
        <v>1243</v>
      </c>
      <c r="D1075" s="166" t="s">
        <v>408</v>
      </c>
      <c r="E1075" s="166" t="s">
        <v>1132</v>
      </c>
      <c r="F1075" s="166" t="s">
        <v>1241</v>
      </c>
      <c r="G1075" s="166" t="s">
        <v>129</v>
      </c>
      <c r="H1075" s="166">
        <v>45</v>
      </c>
      <c r="I1075" s="166">
        <v>0</v>
      </c>
      <c r="J1075" s="166">
        <v>0</v>
      </c>
      <c r="K1075" s="166" t="str">
        <f t="shared" si="16"/>
        <v>ENTITYLVRG_PRVS</v>
      </c>
    </row>
    <row r="1076" spans="1:11" hidden="1">
      <c r="A1076" s="166" t="s">
        <v>3559</v>
      </c>
      <c r="B1076" s="166" t="s">
        <v>3560</v>
      </c>
      <c r="C1076" s="166" t="s">
        <v>139</v>
      </c>
      <c r="D1076" s="166" t="s">
        <v>408</v>
      </c>
      <c r="E1076" s="166" t="s">
        <v>1132</v>
      </c>
      <c r="F1076" s="166" t="s">
        <v>1241</v>
      </c>
      <c r="G1076" s="166" t="s">
        <v>129</v>
      </c>
      <c r="H1076" s="166">
        <v>60251</v>
      </c>
      <c r="I1076" s="166">
        <v>0</v>
      </c>
      <c r="J1076" s="166">
        <v>0</v>
      </c>
      <c r="K1076" s="166" t="str">
        <f t="shared" si="16"/>
        <v>ENTITYLVRG_PRVS</v>
      </c>
    </row>
    <row r="1077" spans="1:11" hidden="1">
      <c r="A1077" s="166" t="s">
        <v>3561</v>
      </c>
      <c r="B1077" s="166" t="s">
        <v>3562</v>
      </c>
      <c r="C1077" s="166" t="s">
        <v>1243</v>
      </c>
      <c r="D1077" s="166" t="s">
        <v>408</v>
      </c>
      <c r="E1077" s="166" t="s">
        <v>1132</v>
      </c>
      <c r="F1077" s="166" t="s">
        <v>1241</v>
      </c>
      <c r="G1077" s="166" t="s">
        <v>1134</v>
      </c>
      <c r="H1077" s="166">
        <v>46</v>
      </c>
      <c r="I1077" s="166">
        <v>1</v>
      </c>
      <c r="J1077" s="166">
        <v>2.1739000000000002</v>
      </c>
      <c r="K1077" s="166" t="str">
        <f t="shared" si="16"/>
        <v>ENTITYLVRG_PRVS</v>
      </c>
    </row>
    <row r="1078" spans="1:11" hidden="1">
      <c r="A1078" s="166" t="s">
        <v>3563</v>
      </c>
      <c r="B1078" s="166" t="s">
        <v>3564</v>
      </c>
      <c r="C1078" s="166" t="s">
        <v>1243</v>
      </c>
      <c r="D1078" s="166" t="s">
        <v>413</v>
      </c>
      <c r="E1078" s="166" t="s">
        <v>1132</v>
      </c>
      <c r="F1078" s="166" t="s">
        <v>1241</v>
      </c>
      <c r="G1078" s="166" t="s">
        <v>129</v>
      </c>
      <c r="H1078" s="166">
        <v>654</v>
      </c>
      <c r="I1078" s="166">
        <v>0</v>
      </c>
      <c r="J1078" s="166">
        <v>0</v>
      </c>
      <c r="K1078" s="166" t="str">
        <f t="shared" si="16"/>
        <v>ENTITYMNTHL_INCM</v>
      </c>
    </row>
    <row r="1079" spans="1:11" hidden="1">
      <c r="A1079" s="166" t="s">
        <v>3565</v>
      </c>
      <c r="B1079" s="166" t="s">
        <v>3566</v>
      </c>
      <c r="C1079" s="166" t="s">
        <v>1243</v>
      </c>
      <c r="D1079" s="166" t="s">
        <v>414</v>
      </c>
      <c r="E1079" s="166" t="s">
        <v>1132</v>
      </c>
      <c r="F1079" s="166" t="s">
        <v>1241</v>
      </c>
      <c r="G1079" s="166" t="s">
        <v>1134</v>
      </c>
      <c r="H1079" s="166">
        <v>763141</v>
      </c>
      <c r="I1079" s="166">
        <v>183096</v>
      </c>
      <c r="J1079" s="166">
        <v>23.9924</v>
      </c>
      <c r="K1079" s="166" t="str">
        <f t="shared" si="16"/>
        <v>ENTITYMNTHL_INCM_SLR</v>
      </c>
    </row>
    <row r="1080" spans="1:11" hidden="1">
      <c r="A1080" s="166" t="s">
        <v>3567</v>
      </c>
      <c r="B1080" s="166" t="s">
        <v>3568</v>
      </c>
      <c r="C1080" s="166" t="s">
        <v>1243</v>
      </c>
      <c r="D1080" s="166" t="s">
        <v>414</v>
      </c>
      <c r="E1080" s="166" t="s">
        <v>1132</v>
      </c>
      <c r="F1080" s="166" t="s">
        <v>1241</v>
      </c>
      <c r="G1080" s="166" t="s">
        <v>129</v>
      </c>
      <c r="H1080" s="166">
        <v>654</v>
      </c>
      <c r="I1080" s="166">
        <v>0</v>
      </c>
      <c r="J1080" s="166">
        <v>0</v>
      </c>
      <c r="K1080" s="166" t="str">
        <f t="shared" si="16"/>
        <v>ENTITYMNTHL_INCM_SLR</v>
      </c>
    </row>
    <row r="1081" spans="1:11" hidden="1">
      <c r="A1081" s="166" t="s">
        <v>3569</v>
      </c>
      <c r="B1081" s="166" t="s">
        <v>3570</v>
      </c>
      <c r="C1081" s="166" t="s">
        <v>1243</v>
      </c>
      <c r="D1081" s="166" t="s">
        <v>415</v>
      </c>
      <c r="E1081" s="166" t="s">
        <v>1132</v>
      </c>
      <c r="F1081" s="166" t="s">
        <v>1241</v>
      </c>
      <c r="G1081" s="166" t="s">
        <v>1134</v>
      </c>
      <c r="H1081" s="166">
        <v>654</v>
      </c>
      <c r="I1081" s="166">
        <v>546</v>
      </c>
      <c r="J1081" s="166">
        <v>83.486199999999997</v>
      </c>
      <c r="K1081" s="166" t="str">
        <f t="shared" si="16"/>
        <v>ENTITYMNTHL_TRNVR</v>
      </c>
    </row>
    <row r="1082" spans="1:11" hidden="1">
      <c r="A1082" s="166" t="s">
        <v>3571</v>
      </c>
      <c r="B1082" s="166" t="s">
        <v>3572</v>
      </c>
      <c r="C1082" s="166" t="s">
        <v>1243</v>
      </c>
      <c r="D1082" s="166" t="s">
        <v>419</v>
      </c>
      <c r="E1082" s="166" t="s">
        <v>1132</v>
      </c>
      <c r="F1082" s="166" t="s">
        <v>1241</v>
      </c>
      <c r="G1082" s="166" t="s">
        <v>129</v>
      </c>
      <c r="H1082" s="166">
        <v>68644</v>
      </c>
      <c r="I1082" s="166">
        <v>0</v>
      </c>
      <c r="J1082" s="166">
        <v>0</v>
      </c>
      <c r="K1082" s="166" t="str">
        <f t="shared" si="16"/>
        <v>ENTITYNT_INCM</v>
      </c>
    </row>
    <row r="1083" spans="1:11" hidden="1">
      <c r="A1083" s="166" t="s">
        <v>3573</v>
      </c>
      <c r="B1083" s="166" t="s">
        <v>3574</v>
      </c>
      <c r="C1083" s="166" t="s">
        <v>1243</v>
      </c>
      <c r="D1083" s="166" t="s">
        <v>419</v>
      </c>
      <c r="E1083" s="166" t="s">
        <v>1132</v>
      </c>
      <c r="F1083" s="166" t="s">
        <v>1241</v>
      </c>
      <c r="G1083" s="166" t="s">
        <v>1134</v>
      </c>
      <c r="H1083" s="166">
        <v>46</v>
      </c>
      <c r="I1083" s="166">
        <v>1</v>
      </c>
      <c r="J1083" s="166">
        <v>2.1739000000000002</v>
      </c>
      <c r="K1083" s="166" t="str">
        <f t="shared" si="16"/>
        <v>ENTITYNT_INCM</v>
      </c>
    </row>
    <row r="1084" spans="1:11" hidden="1">
      <c r="A1084" s="166" t="s">
        <v>3575</v>
      </c>
      <c r="B1084" s="166" t="s">
        <v>3576</v>
      </c>
      <c r="C1084" s="166" t="s">
        <v>1243</v>
      </c>
      <c r="D1084" s="166" t="s">
        <v>420</v>
      </c>
      <c r="E1084" s="166" t="s">
        <v>1132</v>
      </c>
      <c r="F1084" s="166" t="s">
        <v>1241</v>
      </c>
      <c r="G1084" s="166" t="s">
        <v>129</v>
      </c>
      <c r="H1084" s="166">
        <v>64912</v>
      </c>
      <c r="I1084" s="166">
        <v>0</v>
      </c>
      <c r="J1084" s="166">
        <v>0</v>
      </c>
      <c r="K1084" s="166" t="str">
        <f t="shared" si="16"/>
        <v>ENTITYNT_INCM_PRVS</v>
      </c>
    </row>
    <row r="1085" spans="1:11" hidden="1">
      <c r="A1085" s="166" t="s">
        <v>3577</v>
      </c>
      <c r="B1085" s="166" t="s">
        <v>3578</v>
      </c>
      <c r="C1085" s="166" t="s">
        <v>1243</v>
      </c>
      <c r="D1085" s="166" t="s">
        <v>420</v>
      </c>
      <c r="E1085" s="166" t="s">
        <v>1132</v>
      </c>
      <c r="F1085" s="166" t="s">
        <v>1241</v>
      </c>
      <c r="G1085" s="166" t="s">
        <v>1134</v>
      </c>
      <c r="H1085" s="166">
        <v>46</v>
      </c>
      <c r="I1085" s="166">
        <v>1</v>
      </c>
      <c r="J1085" s="166">
        <v>2.1739000000000002</v>
      </c>
      <c r="K1085" s="166" t="str">
        <f t="shared" si="16"/>
        <v>ENTITYNT_INCM_PRVS</v>
      </c>
    </row>
    <row r="1086" spans="1:11" hidden="1">
      <c r="A1086" s="166" t="s">
        <v>3579</v>
      </c>
      <c r="B1086" s="166" t="s">
        <v>3580</v>
      </c>
      <c r="C1086" s="166" t="s">
        <v>1243</v>
      </c>
      <c r="D1086" s="166" t="s">
        <v>522</v>
      </c>
      <c r="E1086" s="166" t="s">
        <v>1132</v>
      </c>
      <c r="F1086" s="166" t="s">
        <v>1241</v>
      </c>
      <c r="G1086" s="166" t="s">
        <v>129</v>
      </c>
      <c r="H1086" s="166">
        <v>68644</v>
      </c>
      <c r="I1086" s="166">
        <v>0</v>
      </c>
      <c r="J1086" s="166">
        <v>0</v>
      </c>
      <c r="K1086" s="166" t="str">
        <f t="shared" si="16"/>
        <v>ENTITYTTL_DBT</v>
      </c>
    </row>
    <row r="1087" spans="1:11" hidden="1">
      <c r="A1087" s="166" t="s">
        <v>3581</v>
      </c>
      <c r="B1087" s="166" t="s">
        <v>3582</v>
      </c>
      <c r="C1087" s="166" t="s">
        <v>1243</v>
      </c>
      <c r="D1087" s="166" t="s">
        <v>522</v>
      </c>
      <c r="E1087" s="166" t="s">
        <v>1132</v>
      </c>
      <c r="F1087" s="166" t="s">
        <v>1241</v>
      </c>
      <c r="G1087" s="166" t="s">
        <v>1134</v>
      </c>
      <c r="H1087" s="166">
        <v>46</v>
      </c>
      <c r="I1087" s="166">
        <v>1</v>
      </c>
      <c r="J1087" s="166">
        <v>2.1739000000000002</v>
      </c>
      <c r="K1087" s="166" t="str">
        <f t="shared" si="16"/>
        <v>ENTITYTTL_DBT</v>
      </c>
    </row>
    <row r="1088" spans="1:11" hidden="1">
      <c r="A1088" s="166" t="s">
        <v>3583</v>
      </c>
      <c r="B1088" s="166" t="s">
        <v>3584</v>
      </c>
      <c r="C1088" s="166" t="s">
        <v>1243</v>
      </c>
      <c r="D1088" s="166" t="s">
        <v>523</v>
      </c>
      <c r="E1088" s="166" t="s">
        <v>1132</v>
      </c>
      <c r="F1088" s="166" t="s">
        <v>1241</v>
      </c>
      <c r="G1088" s="166" t="s">
        <v>129</v>
      </c>
      <c r="H1088" s="166">
        <v>64912</v>
      </c>
      <c r="I1088" s="166">
        <v>0</v>
      </c>
      <c r="J1088" s="166">
        <v>0</v>
      </c>
      <c r="K1088" s="166" t="str">
        <f t="shared" si="16"/>
        <v>ENTITYTTL_DBT_PRVS</v>
      </c>
    </row>
    <row r="1089" spans="1:11" hidden="1">
      <c r="A1089" s="166" t="s">
        <v>3585</v>
      </c>
      <c r="B1089" s="166" t="s">
        <v>3586</v>
      </c>
      <c r="C1089" s="166" t="s">
        <v>1243</v>
      </c>
      <c r="D1089" s="166" t="s">
        <v>523</v>
      </c>
      <c r="E1089" s="166" t="s">
        <v>1132</v>
      </c>
      <c r="F1089" s="166" t="s">
        <v>1241</v>
      </c>
      <c r="G1089" s="166" t="s">
        <v>1134</v>
      </c>
      <c r="H1089" s="166">
        <v>46</v>
      </c>
      <c r="I1089" s="166">
        <v>1</v>
      </c>
      <c r="J1089" s="166">
        <v>2.1739000000000002</v>
      </c>
      <c r="K1089" s="166" t="str">
        <f t="shared" si="16"/>
        <v>ENTITYTTL_DBT_PRVS</v>
      </c>
    </row>
    <row r="1090" spans="1:11" hidden="1">
      <c r="A1090" s="166" t="s">
        <v>3587</v>
      </c>
      <c r="B1090" s="166" t="s">
        <v>3588</v>
      </c>
      <c r="C1090" s="166" t="s">
        <v>1142</v>
      </c>
      <c r="D1090" s="166" t="s">
        <v>171</v>
      </c>
      <c r="E1090" s="166" t="s">
        <v>1132</v>
      </c>
      <c r="F1090" s="166" t="s">
        <v>1241</v>
      </c>
      <c r="G1090" s="166" t="s">
        <v>129</v>
      </c>
      <c r="H1090" s="166">
        <v>38373</v>
      </c>
      <c r="I1090" s="166">
        <v>0</v>
      </c>
      <c r="J1090" s="166">
        <v>0</v>
      </c>
      <c r="K1090" s="166" t="str">
        <f t="shared" si="16"/>
        <v>ENTITYTTL_INTRST_PD</v>
      </c>
    </row>
    <row r="1091" spans="1:11" hidden="1">
      <c r="A1091" s="166" t="s">
        <v>3589</v>
      </c>
      <c r="B1091" s="166" t="s">
        <v>3590</v>
      </c>
      <c r="C1091" s="166" t="s">
        <v>1142</v>
      </c>
      <c r="D1091" s="166" t="s">
        <v>171</v>
      </c>
      <c r="E1091" s="166" t="s">
        <v>1132</v>
      </c>
      <c r="F1091" s="166" t="s">
        <v>1241</v>
      </c>
      <c r="G1091" s="166" t="s">
        <v>129</v>
      </c>
      <c r="H1091" s="166">
        <v>38373</v>
      </c>
      <c r="I1091" s="166">
        <v>0</v>
      </c>
      <c r="J1091" s="166">
        <v>0</v>
      </c>
      <c r="K1091" s="166" t="str">
        <f t="shared" ref="K1091:K1154" si="17">_xlfn.CONCAT(_xlfn.IFS(ISNUMBER(SEARCH("EN",A1091)),"ENTITY",ISNUMBER(SEARCH("IN",A1091)),"INSTRUMENT",ISNUMBER(SEARCH("PR",A1091)),"PROTECTION",ISNUMBER(SEARCH("IP",A1091)),"INSTR_PROTECTION",ISNUMBER(SEARCH("IE",A1091)),"INSTR_ENTITY",ISNUMBER(SEARCH("AC",A1091)),"INSTR_ACTIVITY"),D1091)</f>
        <v>ENTITYTTL_INTRST_PD</v>
      </c>
    </row>
    <row r="1092" spans="1:11" hidden="1">
      <c r="A1092" s="166" t="s">
        <v>3591</v>
      </c>
      <c r="B1092" s="166" t="s">
        <v>3592</v>
      </c>
      <c r="C1092" s="166" t="s">
        <v>1243</v>
      </c>
      <c r="D1092" s="166" t="s">
        <v>171</v>
      </c>
      <c r="E1092" s="166" t="s">
        <v>1132</v>
      </c>
      <c r="F1092" s="166" t="s">
        <v>1241</v>
      </c>
      <c r="G1092" s="166" t="s">
        <v>129</v>
      </c>
      <c r="H1092" s="166">
        <v>39</v>
      </c>
      <c r="I1092" s="166">
        <v>0</v>
      </c>
      <c r="J1092" s="166">
        <v>0</v>
      </c>
      <c r="K1092" s="166" t="str">
        <f t="shared" si="17"/>
        <v>ENTITYTTL_INTRST_PD</v>
      </c>
    </row>
    <row r="1093" spans="1:11" hidden="1">
      <c r="A1093" s="166" t="s">
        <v>3593</v>
      </c>
      <c r="B1093" s="166" t="s">
        <v>3594</v>
      </c>
      <c r="C1093" s="166" t="s">
        <v>1160</v>
      </c>
      <c r="D1093" s="166" t="s">
        <v>525</v>
      </c>
      <c r="E1093" s="166" t="s">
        <v>1132</v>
      </c>
      <c r="F1093" s="166" t="s">
        <v>1241</v>
      </c>
      <c r="G1093" s="166" t="s">
        <v>1134</v>
      </c>
      <c r="H1093" s="166">
        <v>464</v>
      </c>
      <c r="I1093" s="166">
        <v>464</v>
      </c>
      <c r="J1093" s="166">
        <v>100</v>
      </c>
      <c r="K1093" s="166" t="str">
        <f t="shared" si="17"/>
        <v>ENTITYTTL_LVRG_RT</v>
      </c>
    </row>
    <row r="1094" spans="1:11" hidden="1">
      <c r="A1094" s="166" t="s">
        <v>3595</v>
      </c>
      <c r="B1094" s="166" t="s">
        <v>3596</v>
      </c>
      <c r="C1094" s="166" t="s">
        <v>1243</v>
      </c>
      <c r="D1094" s="166" t="s">
        <v>525</v>
      </c>
      <c r="E1094" s="166" t="s">
        <v>1132</v>
      </c>
      <c r="F1094" s="166" t="s">
        <v>1241</v>
      </c>
      <c r="G1094" s="166" t="s">
        <v>129</v>
      </c>
      <c r="H1094" s="166">
        <v>39</v>
      </c>
      <c r="I1094" s="166">
        <v>0</v>
      </c>
      <c r="J1094" s="166">
        <v>0</v>
      </c>
      <c r="K1094" s="166" t="str">
        <f t="shared" si="17"/>
        <v>ENTITYTTL_LVRG_RT</v>
      </c>
    </row>
    <row r="1095" spans="1:11" hidden="1">
      <c r="A1095" s="166" t="s">
        <v>3597</v>
      </c>
      <c r="B1095" s="166" t="s">
        <v>3598</v>
      </c>
      <c r="C1095" s="166" t="s">
        <v>1243</v>
      </c>
      <c r="D1095" s="166" t="s">
        <v>525</v>
      </c>
      <c r="E1095" s="166" t="s">
        <v>1132</v>
      </c>
      <c r="F1095" s="166" t="s">
        <v>1241</v>
      </c>
      <c r="G1095" s="166" t="s">
        <v>129</v>
      </c>
      <c r="H1095" s="166">
        <v>38</v>
      </c>
      <c r="I1095" s="166">
        <v>0</v>
      </c>
      <c r="J1095" s="166">
        <v>0</v>
      </c>
      <c r="K1095" s="166" t="str">
        <f t="shared" si="17"/>
        <v>ENTITYTTL_LVRG_RT</v>
      </c>
    </row>
    <row r="1096" spans="1:11" hidden="1">
      <c r="A1096" s="166" t="s">
        <v>3599</v>
      </c>
      <c r="B1096" s="166" t="s">
        <v>3600</v>
      </c>
      <c r="C1096" s="166" t="s">
        <v>1160</v>
      </c>
      <c r="D1096" s="166" t="s">
        <v>525</v>
      </c>
      <c r="E1096" s="166" t="s">
        <v>1132</v>
      </c>
      <c r="F1096" s="166" t="s">
        <v>1241</v>
      </c>
      <c r="G1096" s="166" t="s">
        <v>129</v>
      </c>
      <c r="H1096" s="166">
        <v>7</v>
      </c>
      <c r="I1096" s="166">
        <v>0</v>
      </c>
      <c r="J1096" s="166">
        <v>0</v>
      </c>
      <c r="K1096" s="166" t="str">
        <f t="shared" si="17"/>
        <v>ENTITYTTL_LVRG_RT</v>
      </c>
    </row>
    <row r="1097" spans="1:11" hidden="1">
      <c r="A1097" s="166" t="s">
        <v>3601</v>
      </c>
      <c r="B1097" s="166" t="s">
        <v>3602</v>
      </c>
      <c r="C1097" s="166" t="s">
        <v>1243</v>
      </c>
      <c r="D1097" s="166" t="s">
        <v>525</v>
      </c>
      <c r="E1097" s="166" t="s">
        <v>1132</v>
      </c>
      <c r="F1097" s="166" t="s">
        <v>1241</v>
      </c>
      <c r="G1097" s="166" t="s">
        <v>1134</v>
      </c>
      <c r="H1097" s="166">
        <v>68422</v>
      </c>
      <c r="I1097" s="166">
        <v>68370</v>
      </c>
      <c r="J1097" s="166">
        <v>99.924000000000007</v>
      </c>
      <c r="K1097" s="166" t="str">
        <f t="shared" si="17"/>
        <v>ENTITYTTL_LVRG_RT</v>
      </c>
    </row>
    <row r="1098" spans="1:11" hidden="1">
      <c r="A1098" s="166" t="s">
        <v>3603</v>
      </c>
      <c r="B1098" s="166" t="s">
        <v>3604</v>
      </c>
      <c r="C1098" s="166" t="s">
        <v>1142</v>
      </c>
      <c r="D1098" s="166" t="s">
        <v>525</v>
      </c>
      <c r="E1098" s="166" t="s">
        <v>10</v>
      </c>
      <c r="F1098" s="166" t="s">
        <v>1241</v>
      </c>
      <c r="G1098" s="166" t="s">
        <v>1134</v>
      </c>
      <c r="H1098" s="166">
        <v>6</v>
      </c>
      <c r="I1098" s="166">
        <v>6</v>
      </c>
      <c r="J1098" s="166">
        <v>100</v>
      </c>
      <c r="K1098" s="166" t="str">
        <f t="shared" si="17"/>
        <v>ENTITYTTL_LVRG_RT</v>
      </c>
    </row>
    <row r="1099" spans="1:11" hidden="1">
      <c r="A1099" s="166" t="s">
        <v>3605</v>
      </c>
      <c r="B1099" s="166" t="s">
        <v>3606</v>
      </c>
      <c r="C1099" s="166" t="s">
        <v>1243</v>
      </c>
      <c r="D1099" s="166" t="s">
        <v>526</v>
      </c>
      <c r="E1099" s="166" t="s">
        <v>1132</v>
      </c>
      <c r="F1099" s="166" t="s">
        <v>1241</v>
      </c>
      <c r="G1099" s="166" t="s">
        <v>129</v>
      </c>
      <c r="H1099" s="166">
        <v>38</v>
      </c>
      <c r="I1099" s="166">
        <v>0</v>
      </c>
      <c r="J1099" s="166">
        <v>0</v>
      </c>
      <c r="K1099" s="166" t="str">
        <f t="shared" si="17"/>
        <v>ENTITYTTL_LVRG_RT_PRVS</v>
      </c>
    </row>
    <row r="1100" spans="1:11" hidden="1">
      <c r="A1100" s="166" t="s">
        <v>3607</v>
      </c>
      <c r="B1100" s="166" t="s">
        <v>3608</v>
      </c>
      <c r="C1100" s="166" t="s">
        <v>1243</v>
      </c>
      <c r="D1100" s="166" t="s">
        <v>526</v>
      </c>
      <c r="E1100" s="166" t="s">
        <v>1132</v>
      </c>
      <c r="F1100" s="166" t="s">
        <v>1241</v>
      </c>
      <c r="G1100" s="166" t="s">
        <v>129</v>
      </c>
      <c r="H1100" s="166">
        <v>39</v>
      </c>
      <c r="I1100" s="166">
        <v>0</v>
      </c>
      <c r="J1100" s="166">
        <v>0</v>
      </c>
      <c r="K1100" s="166" t="str">
        <f t="shared" si="17"/>
        <v>ENTITYTTL_LVRG_RT_PRVS</v>
      </c>
    </row>
    <row r="1101" spans="1:11" hidden="1">
      <c r="A1101" s="166" t="s">
        <v>3609</v>
      </c>
      <c r="B1101" s="166" t="s">
        <v>3610</v>
      </c>
      <c r="C1101" s="166" t="s">
        <v>1243</v>
      </c>
      <c r="D1101" s="166" t="s">
        <v>526</v>
      </c>
      <c r="E1101" s="166" t="s">
        <v>1132</v>
      </c>
      <c r="F1101" s="166" t="s">
        <v>1241</v>
      </c>
      <c r="G1101" s="166" t="s">
        <v>1134</v>
      </c>
      <c r="H1101" s="166">
        <v>64690</v>
      </c>
      <c r="I1101" s="166">
        <v>64642</v>
      </c>
      <c r="J1101" s="166">
        <v>99.925799999999995</v>
      </c>
      <c r="K1101" s="166" t="str">
        <f t="shared" si="17"/>
        <v>ENTITYTTL_LVRG_RT_PRVS</v>
      </c>
    </row>
    <row r="1102" spans="1:11" hidden="1">
      <c r="A1102" s="166" t="s">
        <v>3611</v>
      </c>
      <c r="B1102" s="166" t="s">
        <v>3612</v>
      </c>
      <c r="C1102" s="166" t="s">
        <v>1142</v>
      </c>
      <c r="D1102" s="166" t="s">
        <v>206</v>
      </c>
      <c r="E1102" s="166" t="s">
        <v>1132</v>
      </c>
      <c r="F1102" s="166" t="s">
        <v>1241</v>
      </c>
      <c r="G1102" s="166" t="s">
        <v>129</v>
      </c>
      <c r="H1102" s="166">
        <v>301</v>
      </c>
      <c r="I1102" s="166">
        <v>0</v>
      </c>
      <c r="J1102" s="166">
        <v>0</v>
      </c>
      <c r="K1102" s="166" t="str">
        <f t="shared" si="17"/>
        <v>ENTITYDBT_RPYMNT_CPCTY_SNR_DBT</v>
      </c>
    </row>
    <row r="1103" spans="1:11" hidden="1">
      <c r="A1103" s="166" t="s">
        <v>3613</v>
      </c>
      <c r="B1103" s="166" t="s">
        <v>3614</v>
      </c>
      <c r="C1103" s="166" t="s">
        <v>1243</v>
      </c>
      <c r="D1103" s="166" t="s">
        <v>206</v>
      </c>
      <c r="E1103" s="166" t="s">
        <v>1132</v>
      </c>
      <c r="F1103" s="166" t="s">
        <v>1241</v>
      </c>
      <c r="G1103" s="166" t="s">
        <v>129</v>
      </c>
      <c r="H1103" s="166">
        <v>39</v>
      </c>
      <c r="I1103" s="166">
        <v>0</v>
      </c>
      <c r="J1103" s="166">
        <v>0</v>
      </c>
      <c r="K1103" s="166" t="str">
        <f t="shared" si="17"/>
        <v>ENTITYDBT_RPYMNT_CPCTY_SNR_DBT</v>
      </c>
    </row>
    <row r="1104" spans="1:11" hidden="1">
      <c r="A1104" s="166" t="s">
        <v>3615</v>
      </c>
      <c r="B1104" s="166" t="s">
        <v>3616</v>
      </c>
      <c r="C1104" s="166" t="s">
        <v>1142</v>
      </c>
      <c r="D1104" s="166" t="s">
        <v>207</v>
      </c>
      <c r="E1104" s="166" t="s">
        <v>1132</v>
      </c>
      <c r="F1104" s="166" t="s">
        <v>1241</v>
      </c>
      <c r="G1104" s="166" t="s">
        <v>129</v>
      </c>
      <c r="H1104" s="166">
        <v>301</v>
      </c>
      <c r="I1104" s="166">
        <v>0</v>
      </c>
      <c r="J1104" s="166">
        <v>0</v>
      </c>
      <c r="K1104" s="166" t="str">
        <f t="shared" si="17"/>
        <v>ENTITYDBT_RPYMNT_CPCTY_TTL</v>
      </c>
    </row>
    <row r="1105" spans="1:11" hidden="1">
      <c r="A1105" s="166" t="s">
        <v>3617</v>
      </c>
      <c r="B1105" s="166" t="s">
        <v>3618</v>
      </c>
      <c r="C1105" s="166" t="s">
        <v>1243</v>
      </c>
      <c r="D1105" s="166" t="s">
        <v>207</v>
      </c>
      <c r="E1105" s="166" t="s">
        <v>1132</v>
      </c>
      <c r="F1105" s="166" t="s">
        <v>1241</v>
      </c>
      <c r="G1105" s="166" t="s">
        <v>129</v>
      </c>
      <c r="H1105" s="166">
        <v>39</v>
      </c>
      <c r="I1105" s="166">
        <v>0</v>
      </c>
      <c r="J1105" s="166">
        <v>0</v>
      </c>
      <c r="K1105" s="166" t="str">
        <f t="shared" si="17"/>
        <v>ENTITYDBT_RPYMNT_CPCTY_TTL</v>
      </c>
    </row>
    <row r="1106" spans="1:11" hidden="1">
      <c r="A1106" s="166" t="s">
        <v>3619</v>
      </c>
      <c r="B1106" s="166" t="s">
        <v>3620</v>
      </c>
      <c r="C1106" s="166" t="s">
        <v>1243</v>
      </c>
      <c r="D1106" s="166" t="s">
        <v>208</v>
      </c>
      <c r="E1106" s="166" t="s">
        <v>1132</v>
      </c>
      <c r="F1106" s="166" t="s">
        <v>1241</v>
      </c>
      <c r="G1106" s="166" t="s">
        <v>129</v>
      </c>
      <c r="H1106" s="166">
        <v>68644</v>
      </c>
      <c r="I1106" s="166">
        <v>0</v>
      </c>
      <c r="J1106" s="166">
        <v>0</v>
      </c>
      <c r="K1106" s="166" t="str">
        <f t="shared" si="17"/>
        <v>ENTITYDBT_SRVC_RT</v>
      </c>
    </row>
    <row r="1107" spans="1:11" hidden="1">
      <c r="A1107" s="166" t="s">
        <v>3621</v>
      </c>
      <c r="B1107" s="166" t="s">
        <v>3622</v>
      </c>
      <c r="C1107" s="166" t="s">
        <v>1243</v>
      </c>
      <c r="D1107" s="166" t="s">
        <v>208</v>
      </c>
      <c r="E1107" s="166" t="s">
        <v>1132</v>
      </c>
      <c r="F1107" s="166" t="s">
        <v>1241</v>
      </c>
      <c r="G1107" s="166" t="s">
        <v>1134</v>
      </c>
      <c r="H1107" s="166">
        <v>46</v>
      </c>
      <c r="I1107" s="166">
        <v>1</v>
      </c>
      <c r="J1107" s="166">
        <v>2.1739000000000002</v>
      </c>
      <c r="K1107" s="166" t="str">
        <f t="shared" si="17"/>
        <v>ENTITYDBT_SRVC_RT</v>
      </c>
    </row>
    <row r="1108" spans="1:11" hidden="1">
      <c r="A1108" s="166" t="s">
        <v>3623</v>
      </c>
      <c r="B1108" s="166" t="s">
        <v>3624</v>
      </c>
      <c r="C1108" s="166" t="s">
        <v>1243</v>
      </c>
      <c r="D1108" s="166" t="s">
        <v>209</v>
      </c>
      <c r="E1108" s="166" t="s">
        <v>1132</v>
      </c>
      <c r="F1108" s="166" t="s">
        <v>1241</v>
      </c>
      <c r="G1108" s="166" t="s">
        <v>129</v>
      </c>
      <c r="H1108" s="166">
        <v>64912</v>
      </c>
      <c r="I1108" s="166">
        <v>0</v>
      </c>
      <c r="J1108" s="166">
        <v>0</v>
      </c>
      <c r="K1108" s="166" t="str">
        <f t="shared" si="17"/>
        <v>ENTITYDBT_SRVC_RT_12M</v>
      </c>
    </row>
    <row r="1109" spans="1:11" hidden="1">
      <c r="A1109" s="166" t="s">
        <v>3625</v>
      </c>
      <c r="B1109" s="166" t="s">
        <v>3626</v>
      </c>
      <c r="C1109" s="166" t="s">
        <v>1243</v>
      </c>
      <c r="D1109" s="166" t="s">
        <v>209</v>
      </c>
      <c r="E1109" s="166" t="s">
        <v>1132</v>
      </c>
      <c r="F1109" s="166" t="s">
        <v>1241</v>
      </c>
      <c r="G1109" s="166" t="s">
        <v>1134</v>
      </c>
      <c r="H1109" s="166">
        <v>46</v>
      </c>
      <c r="I1109" s="166">
        <v>1</v>
      </c>
      <c r="J1109" s="166">
        <v>2.1739000000000002</v>
      </c>
      <c r="K1109" s="166" t="str">
        <f t="shared" si="17"/>
        <v>ENTITYDBT_SRVC_RT_12M</v>
      </c>
    </row>
    <row r="1110" spans="1:11" hidden="1">
      <c r="A1110" s="166" t="s">
        <v>3627</v>
      </c>
      <c r="B1110" s="166" t="s">
        <v>3628</v>
      </c>
      <c r="C1110" s="166" t="s">
        <v>1142</v>
      </c>
      <c r="D1110" s="166" t="s">
        <v>437</v>
      </c>
      <c r="E1110" s="166" t="s">
        <v>1132</v>
      </c>
      <c r="F1110" s="166" t="s">
        <v>1241</v>
      </c>
      <c r="G1110" s="166" t="s">
        <v>129</v>
      </c>
      <c r="H1110" s="166">
        <v>1759460</v>
      </c>
      <c r="I1110" s="166">
        <v>0</v>
      </c>
      <c r="J1110" s="166">
        <v>0</v>
      </c>
      <c r="K1110" s="166" t="str">
        <f t="shared" si="17"/>
        <v>ENTITYPD_CRR_RD</v>
      </c>
    </row>
    <row r="1111" spans="1:11" hidden="1">
      <c r="A1111" s="166" t="s">
        <v>3629</v>
      </c>
      <c r="B1111" s="166" t="s">
        <v>3630</v>
      </c>
      <c r="C1111" s="166" t="s">
        <v>1142</v>
      </c>
      <c r="D1111" s="166" t="s">
        <v>437</v>
      </c>
      <c r="E1111" s="166" t="s">
        <v>1132</v>
      </c>
      <c r="F1111" s="166" t="s">
        <v>1241</v>
      </c>
      <c r="G1111" s="166" t="s">
        <v>129</v>
      </c>
      <c r="H1111" s="166">
        <v>1759460</v>
      </c>
      <c r="I1111" s="166">
        <v>0</v>
      </c>
      <c r="J1111" s="166">
        <v>0</v>
      </c>
      <c r="K1111" s="166" t="str">
        <f t="shared" si="17"/>
        <v>ENTITYPD_CRR_RD</v>
      </c>
    </row>
    <row r="1112" spans="1:11" hidden="1">
      <c r="A1112" s="166" t="s">
        <v>3631</v>
      </c>
      <c r="B1112" s="166" t="s">
        <v>3632</v>
      </c>
      <c r="C1112" s="166" t="s">
        <v>1142</v>
      </c>
      <c r="D1112" s="166" t="s">
        <v>440</v>
      </c>
      <c r="E1112" s="166" t="s">
        <v>1132</v>
      </c>
      <c r="F1112" s="166" t="s">
        <v>1241</v>
      </c>
      <c r="G1112" s="166" t="s">
        <v>1134</v>
      </c>
      <c r="H1112" s="166">
        <v>2138638</v>
      </c>
      <c r="I1112" s="166">
        <v>763</v>
      </c>
      <c r="J1112" s="166">
        <v>3.5700000000000003E-2</v>
      </c>
      <c r="K1112" s="166" t="str">
        <f t="shared" si="17"/>
        <v>ENTITYPD_IFRS9_12M_RD</v>
      </c>
    </row>
    <row r="1113" spans="1:11" hidden="1">
      <c r="A1113" s="166" t="s">
        <v>3633</v>
      </c>
      <c r="B1113" s="166" t="s">
        <v>3634</v>
      </c>
      <c r="C1113" s="166" t="s">
        <v>1142</v>
      </c>
      <c r="D1113" s="166" t="s">
        <v>442</v>
      </c>
      <c r="E1113" s="166" t="s">
        <v>1132</v>
      </c>
      <c r="F1113" s="166" t="s">
        <v>1241</v>
      </c>
      <c r="G1113" s="166" t="s">
        <v>1134</v>
      </c>
      <c r="H1113" s="166">
        <v>1385805</v>
      </c>
      <c r="I1113" s="166">
        <v>1385805</v>
      </c>
      <c r="J1113" s="166">
        <v>100</v>
      </c>
      <c r="K1113" s="166" t="str">
        <f t="shared" si="17"/>
        <v>ENTITYPD_IFRS9_12M_RD_T1</v>
      </c>
    </row>
    <row r="1114" spans="1:11" hidden="1">
      <c r="A1114" s="166" t="s">
        <v>3635</v>
      </c>
      <c r="B1114" s="166" t="s">
        <v>3636</v>
      </c>
      <c r="C1114" s="166" t="s">
        <v>1243</v>
      </c>
      <c r="D1114" s="166" t="s">
        <v>150</v>
      </c>
      <c r="E1114" s="166" t="s">
        <v>1132</v>
      </c>
      <c r="F1114" s="166" t="s">
        <v>1241</v>
      </c>
      <c r="G1114" s="166" t="s">
        <v>129</v>
      </c>
      <c r="H1114" s="166">
        <v>68644</v>
      </c>
      <c r="I1114" s="166">
        <v>0</v>
      </c>
      <c r="J1114" s="166">
        <v>0</v>
      </c>
      <c r="K1114" s="166" t="str">
        <f t="shared" si="17"/>
        <v>ENTITYANNL_TRNVR_LE_BDR</v>
      </c>
    </row>
    <row r="1115" spans="1:11" hidden="1">
      <c r="A1115" s="166" t="s">
        <v>3637</v>
      </c>
      <c r="B1115" s="166" t="s">
        <v>3638</v>
      </c>
      <c r="C1115" s="166" t="s">
        <v>1243</v>
      </c>
      <c r="D1115" s="166" t="s">
        <v>150</v>
      </c>
      <c r="E1115" s="166" t="s">
        <v>1132</v>
      </c>
      <c r="F1115" s="166" t="s">
        <v>1241</v>
      </c>
      <c r="G1115" s="166" t="s">
        <v>1134</v>
      </c>
      <c r="H1115" s="166">
        <v>46</v>
      </c>
      <c r="I1115" s="166">
        <v>1</v>
      </c>
      <c r="J1115" s="166">
        <v>2.1739000000000002</v>
      </c>
      <c r="K1115" s="166" t="str">
        <f t="shared" si="17"/>
        <v>ENTITYANNL_TRNVR_LE_BDR</v>
      </c>
    </row>
    <row r="1116" spans="1:11" hidden="1">
      <c r="A1116" s="166" t="s">
        <v>3639</v>
      </c>
      <c r="B1116" s="166" t="s">
        <v>3640</v>
      </c>
      <c r="C1116" s="166" t="s">
        <v>1243</v>
      </c>
      <c r="D1116" s="166" t="s">
        <v>152</v>
      </c>
      <c r="E1116" s="166" t="s">
        <v>1132</v>
      </c>
      <c r="F1116" s="166" t="s">
        <v>1241</v>
      </c>
      <c r="G1116" s="166" t="s">
        <v>129</v>
      </c>
      <c r="H1116" s="166">
        <v>64912</v>
      </c>
      <c r="I1116" s="166">
        <v>0</v>
      </c>
      <c r="J1116" s="166">
        <v>0</v>
      </c>
      <c r="K1116" s="166" t="str">
        <f t="shared" si="17"/>
        <v>ENTITYANNL_TRNVR_PRVS_BDR</v>
      </c>
    </row>
    <row r="1117" spans="1:11" hidden="1">
      <c r="A1117" s="166" t="s">
        <v>3641</v>
      </c>
      <c r="B1117" s="166" t="s">
        <v>3642</v>
      </c>
      <c r="C1117" s="166" t="s">
        <v>1243</v>
      </c>
      <c r="D1117" s="166" t="s">
        <v>152</v>
      </c>
      <c r="E1117" s="166" t="s">
        <v>1132</v>
      </c>
      <c r="F1117" s="166" t="s">
        <v>1241</v>
      </c>
      <c r="G1117" s="166" t="s">
        <v>129</v>
      </c>
      <c r="H1117" s="166">
        <v>46</v>
      </c>
      <c r="I1117" s="166">
        <v>0</v>
      </c>
      <c r="J1117" s="166">
        <v>0</v>
      </c>
      <c r="K1117" s="166" t="str">
        <f t="shared" si="17"/>
        <v>ENTITYANNL_TRNVR_PRVS_BDR</v>
      </c>
    </row>
    <row r="1118" spans="1:11" hidden="1">
      <c r="A1118" s="166" t="s">
        <v>3643</v>
      </c>
      <c r="B1118" s="166" t="s">
        <v>3644</v>
      </c>
      <c r="C1118" s="166" t="s">
        <v>1243</v>
      </c>
      <c r="D1118" s="166" t="s">
        <v>438</v>
      </c>
      <c r="E1118" s="166" t="s">
        <v>1132</v>
      </c>
      <c r="F1118" s="166" t="s">
        <v>1241</v>
      </c>
      <c r="G1118" s="166" t="s">
        <v>129</v>
      </c>
      <c r="H1118" s="166">
        <v>260702</v>
      </c>
      <c r="I1118" s="166">
        <v>0</v>
      </c>
      <c r="J1118" s="166">
        <v>0</v>
      </c>
      <c r="K1118" s="166" t="str">
        <f t="shared" si="17"/>
        <v>ENTITYPD_CRR_RD_T1</v>
      </c>
    </row>
    <row r="1119" spans="1:11" hidden="1">
      <c r="A1119" s="166" t="s">
        <v>3645</v>
      </c>
      <c r="B1119" s="166" t="s">
        <v>3646</v>
      </c>
      <c r="C1119" s="166" t="s">
        <v>1243</v>
      </c>
      <c r="D1119" s="166" t="s">
        <v>297</v>
      </c>
      <c r="E1119" s="166" t="s">
        <v>1132</v>
      </c>
      <c r="F1119" s="166" t="s">
        <v>1241</v>
      </c>
      <c r="G1119" s="166" t="s">
        <v>129</v>
      </c>
      <c r="H1119" s="166">
        <v>64053</v>
      </c>
      <c r="I1119" s="166">
        <v>0</v>
      </c>
      <c r="J1119" s="166">
        <v>0</v>
      </c>
      <c r="K1119" s="166" t="str">
        <f t="shared" si="17"/>
        <v>ENTITYEC_GRP_ID</v>
      </c>
    </row>
    <row r="1120" spans="1:11" hidden="1">
      <c r="A1120" s="166" t="s">
        <v>3647</v>
      </c>
      <c r="B1120" s="166" t="s">
        <v>3648</v>
      </c>
      <c r="C1120" s="166" t="s">
        <v>1243</v>
      </c>
      <c r="D1120" s="166" t="s">
        <v>297</v>
      </c>
      <c r="E1120" s="166" t="s">
        <v>1132</v>
      </c>
      <c r="F1120" s="166" t="s">
        <v>1241</v>
      </c>
      <c r="G1120" s="166" t="s">
        <v>1134</v>
      </c>
      <c r="H1120" s="166">
        <v>46</v>
      </c>
      <c r="I1120" s="166">
        <v>1</v>
      </c>
      <c r="J1120" s="166">
        <v>2.1739000000000002</v>
      </c>
      <c r="K1120" s="166" t="str">
        <f t="shared" si="17"/>
        <v>ENTITYEC_GRP_ID</v>
      </c>
    </row>
    <row r="1121" spans="1:11" hidden="1">
      <c r="A1121" s="166" t="s">
        <v>3649</v>
      </c>
      <c r="B1121" s="166" t="s">
        <v>3650</v>
      </c>
      <c r="C1121" s="166" t="s">
        <v>1160</v>
      </c>
      <c r="D1121" s="166" t="s">
        <v>297</v>
      </c>
      <c r="E1121" s="166" t="s">
        <v>1132</v>
      </c>
      <c r="F1121" s="166" t="s">
        <v>1241</v>
      </c>
      <c r="G1121" s="166" t="s">
        <v>129</v>
      </c>
      <c r="H1121" s="166">
        <v>190603</v>
      </c>
      <c r="I1121" s="166">
        <v>0</v>
      </c>
      <c r="J1121" s="166">
        <v>0</v>
      </c>
      <c r="K1121" s="166" t="str">
        <f t="shared" si="17"/>
        <v>ENTITYEC_GRP_ID</v>
      </c>
    </row>
    <row r="1122" spans="1:11" hidden="1">
      <c r="A1122" s="166" t="s">
        <v>3651</v>
      </c>
      <c r="B1122" s="166" t="s">
        <v>3652</v>
      </c>
      <c r="C1122" s="166" t="s">
        <v>1243</v>
      </c>
      <c r="D1122" s="166" t="s">
        <v>298</v>
      </c>
      <c r="E1122" s="166" t="s">
        <v>1132</v>
      </c>
      <c r="F1122" s="166" t="s">
        <v>1241</v>
      </c>
      <c r="G1122" s="166" t="s">
        <v>129</v>
      </c>
      <c r="H1122" s="166">
        <v>64053</v>
      </c>
      <c r="I1122" s="166">
        <v>0</v>
      </c>
      <c r="J1122" s="166">
        <v>0</v>
      </c>
      <c r="K1122" s="166" t="str">
        <f t="shared" si="17"/>
        <v>ENTITYEC_GRP_NM</v>
      </c>
    </row>
    <row r="1123" spans="1:11" hidden="1">
      <c r="A1123" s="166" t="s">
        <v>3653</v>
      </c>
      <c r="B1123" s="166" t="s">
        <v>3654</v>
      </c>
      <c r="C1123" s="166" t="s">
        <v>1243</v>
      </c>
      <c r="D1123" s="166" t="s">
        <v>298</v>
      </c>
      <c r="E1123" s="166" t="s">
        <v>1132</v>
      </c>
      <c r="F1123" s="166" t="s">
        <v>1241</v>
      </c>
      <c r="G1123" s="166" t="s">
        <v>1134</v>
      </c>
      <c r="H1123" s="166">
        <v>46</v>
      </c>
      <c r="I1123" s="166">
        <v>1</v>
      </c>
      <c r="J1123" s="166">
        <v>2.1739000000000002</v>
      </c>
      <c r="K1123" s="166" t="str">
        <f t="shared" si="17"/>
        <v>ENTITYEC_GRP_NM</v>
      </c>
    </row>
    <row r="1124" spans="1:11" hidden="1">
      <c r="A1124" s="166" t="s">
        <v>3655</v>
      </c>
      <c r="B1124" s="166" t="s">
        <v>3656</v>
      </c>
      <c r="C1124" s="166" t="s">
        <v>1243</v>
      </c>
      <c r="D1124" s="166" t="s">
        <v>1733</v>
      </c>
      <c r="E1124" s="166" t="s">
        <v>1132</v>
      </c>
      <c r="F1124" s="166" t="s">
        <v>1241</v>
      </c>
      <c r="G1124" s="166" t="s">
        <v>129</v>
      </c>
      <c r="H1124" s="166">
        <v>20</v>
      </c>
      <c r="I1124" s="166">
        <v>0</v>
      </c>
      <c r="J1124" s="166">
        <v>0</v>
      </c>
      <c r="K1124" s="166" t="str">
        <f t="shared" si="17"/>
        <v>ENTITYPST_CD</v>
      </c>
    </row>
    <row r="1125" spans="1:11" hidden="1">
      <c r="A1125" s="166" t="s">
        <v>3657</v>
      </c>
      <c r="B1125" s="166" t="s">
        <v>3658</v>
      </c>
      <c r="C1125" s="166" t="s">
        <v>1243</v>
      </c>
      <c r="D1125" s="166" t="s">
        <v>1733</v>
      </c>
      <c r="E1125" s="166" t="s">
        <v>1132</v>
      </c>
      <c r="F1125" s="166" t="s">
        <v>1241</v>
      </c>
      <c r="G1125" s="166" t="s">
        <v>129</v>
      </c>
      <c r="H1125" s="166">
        <v>9912</v>
      </c>
      <c r="I1125" s="166">
        <v>0</v>
      </c>
      <c r="J1125" s="166">
        <v>0</v>
      </c>
      <c r="K1125" s="166" t="str">
        <f t="shared" si="17"/>
        <v>ENTITYPST_CD</v>
      </c>
    </row>
    <row r="1126" spans="1:11" hidden="1">
      <c r="A1126" s="166" t="s">
        <v>3659</v>
      </c>
      <c r="B1126" s="166" t="s">
        <v>3660</v>
      </c>
      <c r="C1126" s="166" t="s">
        <v>1243</v>
      </c>
      <c r="D1126" s="166" t="s">
        <v>1733</v>
      </c>
      <c r="E1126" s="166" t="s">
        <v>1132</v>
      </c>
      <c r="F1126" s="166" t="s">
        <v>1241</v>
      </c>
      <c r="G1126" s="166" t="s">
        <v>129</v>
      </c>
      <c r="H1126" s="166">
        <v>10202</v>
      </c>
      <c r="I1126" s="166">
        <v>0</v>
      </c>
      <c r="J1126" s="166">
        <v>0</v>
      </c>
      <c r="K1126" s="166" t="str">
        <f t="shared" si="17"/>
        <v>ENTITYPST_CD</v>
      </c>
    </row>
    <row r="1127" spans="1:11" hidden="1">
      <c r="A1127" s="166" t="s">
        <v>3661</v>
      </c>
      <c r="B1127" s="166" t="s">
        <v>3662</v>
      </c>
      <c r="C1127" s="166" t="s">
        <v>1243</v>
      </c>
      <c r="D1127" s="166" t="s">
        <v>1733</v>
      </c>
      <c r="E1127" s="166" t="s">
        <v>1132</v>
      </c>
      <c r="F1127" s="166" t="s">
        <v>1241</v>
      </c>
      <c r="G1127" s="166" t="s">
        <v>129</v>
      </c>
      <c r="H1127" s="166">
        <v>21</v>
      </c>
      <c r="I1127" s="166">
        <v>0</v>
      </c>
      <c r="J1127" s="166">
        <v>0</v>
      </c>
      <c r="K1127" s="166" t="str">
        <f t="shared" si="17"/>
        <v>ENTITYPST_CD</v>
      </c>
    </row>
    <row r="1128" spans="1:11" hidden="1">
      <c r="A1128" s="166" t="s">
        <v>3663</v>
      </c>
      <c r="B1128" s="166" t="s">
        <v>3664</v>
      </c>
      <c r="C1128" s="166" t="s">
        <v>1243</v>
      </c>
      <c r="D1128" s="166" t="s">
        <v>1733</v>
      </c>
      <c r="E1128" s="166" t="s">
        <v>1132</v>
      </c>
      <c r="F1128" s="166" t="s">
        <v>1241</v>
      </c>
      <c r="G1128" s="166" t="s">
        <v>129</v>
      </c>
      <c r="H1128" s="166">
        <v>187</v>
      </c>
      <c r="I1128" s="166">
        <v>0</v>
      </c>
      <c r="J1128" s="166">
        <v>0</v>
      </c>
      <c r="K1128" s="166" t="str">
        <f t="shared" si="17"/>
        <v>ENTITYPST_CD</v>
      </c>
    </row>
    <row r="1129" spans="1:11" hidden="1">
      <c r="A1129" s="166" t="s">
        <v>3665</v>
      </c>
      <c r="B1129" s="166" t="s">
        <v>3666</v>
      </c>
      <c r="C1129" s="166" t="s">
        <v>1243</v>
      </c>
      <c r="D1129" s="166" t="s">
        <v>1733</v>
      </c>
      <c r="E1129" s="166" t="s">
        <v>1132</v>
      </c>
      <c r="F1129" s="166" t="s">
        <v>1241</v>
      </c>
      <c r="G1129" s="166" t="s">
        <v>129</v>
      </c>
      <c r="H1129" s="166">
        <v>681</v>
      </c>
      <c r="I1129" s="166">
        <v>0</v>
      </c>
      <c r="J1129" s="166">
        <v>0</v>
      </c>
      <c r="K1129" s="166" t="str">
        <f t="shared" si="17"/>
        <v>ENTITYPST_CD</v>
      </c>
    </row>
    <row r="1130" spans="1:11" hidden="1">
      <c r="A1130" s="166" t="s">
        <v>3667</v>
      </c>
      <c r="B1130" s="166" t="s">
        <v>3668</v>
      </c>
      <c r="C1130" s="166" t="s">
        <v>1243</v>
      </c>
      <c r="D1130" s="166" t="s">
        <v>1733</v>
      </c>
      <c r="E1130" s="166" t="s">
        <v>1132</v>
      </c>
      <c r="F1130" s="166" t="s">
        <v>1241</v>
      </c>
      <c r="G1130" s="166" t="s">
        <v>129</v>
      </c>
      <c r="H1130" s="166">
        <v>15</v>
      </c>
      <c r="I1130" s="166">
        <v>0</v>
      </c>
      <c r="J1130" s="166">
        <v>0</v>
      </c>
      <c r="K1130" s="166" t="str">
        <f t="shared" si="17"/>
        <v>ENTITYPST_CD</v>
      </c>
    </row>
    <row r="1131" spans="1:11" hidden="1">
      <c r="A1131" s="166" t="s">
        <v>3669</v>
      </c>
      <c r="B1131" s="166" t="s">
        <v>3670</v>
      </c>
      <c r="C1131" s="166" t="s">
        <v>1243</v>
      </c>
      <c r="D1131" s="166" t="s">
        <v>1733</v>
      </c>
      <c r="E1131" s="166" t="s">
        <v>1132</v>
      </c>
      <c r="F1131" s="166" t="s">
        <v>1241</v>
      </c>
      <c r="G1131" s="166" t="s">
        <v>129</v>
      </c>
      <c r="H1131" s="166">
        <v>572</v>
      </c>
      <c r="I1131" s="166">
        <v>0</v>
      </c>
      <c r="J1131" s="166">
        <v>0</v>
      </c>
      <c r="K1131" s="166" t="str">
        <f t="shared" si="17"/>
        <v>ENTITYPST_CD</v>
      </c>
    </row>
    <row r="1132" spans="1:11" hidden="1">
      <c r="A1132" s="166" t="s">
        <v>3671</v>
      </c>
      <c r="B1132" s="166" t="s">
        <v>3672</v>
      </c>
      <c r="C1132" s="166" t="s">
        <v>1243</v>
      </c>
      <c r="D1132" s="166" t="s">
        <v>1733</v>
      </c>
      <c r="E1132" s="166" t="s">
        <v>1132</v>
      </c>
      <c r="F1132" s="166" t="s">
        <v>1241</v>
      </c>
      <c r="G1132" s="166" t="s">
        <v>129</v>
      </c>
      <c r="H1132" s="166">
        <v>64</v>
      </c>
      <c r="I1132" s="166">
        <v>0</v>
      </c>
      <c r="J1132" s="166">
        <v>0</v>
      </c>
      <c r="K1132" s="166" t="str">
        <f t="shared" si="17"/>
        <v>ENTITYPST_CD</v>
      </c>
    </row>
    <row r="1133" spans="1:11" hidden="1">
      <c r="A1133" s="166" t="s">
        <v>3673</v>
      </c>
      <c r="B1133" s="166" t="s">
        <v>3674</v>
      </c>
      <c r="C1133" s="166" t="s">
        <v>1243</v>
      </c>
      <c r="D1133" s="166" t="s">
        <v>1733</v>
      </c>
      <c r="E1133" s="166" t="s">
        <v>1132</v>
      </c>
      <c r="F1133" s="166" t="s">
        <v>1241</v>
      </c>
      <c r="G1133" s="166" t="s">
        <v>129</v>
      </c>
      <c r="H1133" s="166">
        <v>1106458</v>
      </c>
      <c r="I1133" s="166">
        <v>0</v>
      </c>
      <c r="J1133" s="166">
        <v>0</v>
      </c>
      <c r="K1133" s="166" t="str">
        <f t="shared" si="17"/>
        <v>ENTITYPST_CD</v>
      </c>
    </row>
    <row r="1134" spans="1:11" hidden="1">
      <c r="A1134" s="166" t="s">
        <v>3675</v>
      </c>
      <c r="B1134" s="166" t="s">
        <v>3676</v>
      </c>
      <c r="C1134" s="166" t="s">
        <v>1243</v>
      </c>
      <c r="D1134" s="166" t="s">
        <v>1733</v>
      </c>
      <c r="E1134" s="166" t="s">
        <v>1132</v>
      </c>
      <c r="F1134" s="166" t="s">
        <v>1241</v>
      </c>
      <c r="G1134" s="166" t="s">
        <v>129</v>
      </c>
      <c r="H1134" s="166">
        <v>3</v>
      </c>
      <c r="I1134" s="166">
        <v>0</v>
      </c>
      <c r="J1134" s="166">
        <v>0</v>
      </c>
      <c r="K1134" s="166" t="str">
        <f t="shared" si="17"/>
        <v>ENTITYPST_CD</v>
      </c>
    </row>
    <row r="1135" spans="1:11" hidden="1">
      <c r="A1135" s="166" t="s">
        <v>3677</v>
      </c>
      <c r="B1135" s="166" t="s">
        <v>3678</v>
      </c>
      <c r="C1135" s="166" t="s">
        <v>1243</v>
      </c>
      <c r="D1135" s="166" t="s">
        <v>1733</v>
      </c>
      <c r="E1135" s="166" t="s">
        <v>1132</v>
      </c>
      <c r="F1135" s="166" t="s">
        <v>1241</v>
      </c>
      <c r="G1135" s="166" t="s">
        <v>129</v>
      </c>
      <c r="H1135" s="166">
        <v>6082</v>
      </c>
      <c r="I1135" s="166">
        <v>0</v>
      </c>
      <c r="J1135" s="166">
        <v>0</v>
      </c>
      <c r="K1135" s="166" t="str">
        <f t="shared" si="17"/>
        <v>ENTITYPST_CD</v>
      </c>
    </row>
    <row r="1136" spans="1:11" hidden="1">
      <c r="A1136" s="166" t="s">
        <v>3679</v>
      </c>
      <c r="B1136" s="166" t="s">
        <v>3680</v>
      </c>
      <c r="C1136" s="166" t="s">
        <v>1243</v>
      </c>
      <c r="D1136" s="166" t="s">
        <v>1733</v>
      </c>
      <c r="E1136" s="166" t="s">
        <v>1132</v>
      </c>
      <c r="F1136" s="166" t="s">
        <v>1241</v>
      </c>
      <c r="G1136" s="166" t="s">
        <v>129</v>
      </c>
      <c r="H1136" s="166">
        <v>1140685</v>
      </c>
      <c r="I1136" s="166">
        <v>0</v>
      </c>
      <c r="J1136" s="166">
        <v>0</v>
      </c>
      <c r="K1136" s="166" t="str">
        <f t="shared" si="17"/>
        <v>ENTITYPST_CD</v>
      </c>
    </row>
    <row r="1137" spans="1:11" hidden="1">
      <c r="A1137" s="166" t="s">
        <v>3681</v>
      </c>
      <c r="B1137" s="166" t="s">
        <v>3682</v>
      </c>
      <c r="C1137" s="166" t="s">
        <v>1243</v>
      </c>
      <c r="D1137" s="166" t="s">
        <v>1736</v>
      </c>
      <c r="E1137" s="166" t="s">
        <v>1132</v>
      </c>
      <c r="F1137" s="166" t="s">
        <v>1241</v>
      </c>
      <c r="G1137" s="166" t="s">
        <v>129</v>
      </c>
      <c r="H1137" s="166">
        <v>2</v>
      </c>
      <c r="I1137" s="166">
        <v>0</v>
      </c>
      <c r="J1137" s="166">
        <v>0</v>
      </c>
      <c r="K1137" s="166" t="str">
        <f t="shared" si="17"/>
        <v>ENTITYESG_SBSCTR</v>
      </c>
    </row>
    <row r="1138" spans="1:11" hidden="1">
      <c r="A1138" s="166" t="s">
        <v>3683</v>
      </c>
      <c r="B1138" s="166" t="s">
        <v>3684</v>
      </c>
      <c r="C1138" s="166" t="s">
        <v>1142</v>
      </c>
      <c r="D1138" s="166" t="s">
        <v>1736</v>
      </c>
      <c r="E1138" s="166" t="s">
        <v>1132</v>
      </c>
      <c r="F1138" s="166" t="s">
        <v>1241</v>
      </c>
      <c r="G1138" s="166" t="s">
        <v>129</v>
      </c>
      <c r="H1138" s="166">
        <v>7837</v>
      </c>
      <c r="I1138" s="166">
        <v>0</v>
      </c>
      <c r="J1138" s="166">
        <v>0</v>
      </c>
      <c r="K1138" s="166" t="str">
        <f t="shared" si="17"/>
        <v>ENTITYESG_SBSCTR</v>
      </c>
    </row>
    <row r="1139" spans="1:11" hidden="1">
      <c r="A1139" s="166" t="s">
        <v>3685</v>
      </c>
      <c r="B1139" s="166" t="s">
        <v>3686</v>
      </c>
      <c r="C1139" s="166" t="s">
        <v>1142</v>
      </c>
      <c r="D1139" s="166" t="s">
        <v>1736</v>
      </c>
      <c r="E1139" s="166" t="s">
        <v>1132</v>
      </c>
      <c r="F1139" s="166" t="s">
        <v>1241</v>
      </c>
      <c r="G1139" s="166" t="s">
        <v>129</v>
      </c>
      <c r="H1139" s="166">
        <v>17818</v>
      </c>
      <c r="I1139" s="166">
        <v>0</v>
      </c>
      <c r="J1139" s="166">
        <v>0</v>
      </c>
      <c r="K1139" s="166" t="str">
        <f t="shared" si="17"/>
        <v>ENTITYESG_SBSCTR</v>
      </c>
    </row>
    <row r="1140" spans="1:11" hidden="1">
      <c r="A1140" s="166" t="s">
        <v>3687</v>
      </c>
      <c r="B1140" s="166" t="s">
        <v>3688</v>
      </c>
      <c r="C1140" s="166" t="s">
        <v>1243</v>
      </c>
      <c r="D1140" s="166" t="s">
        <v>1739</v>
      </c>
      <c r="E1140" s="166" t="s">
        <v>1132</v>
      </c>
      <c r="F1140" s="166" t="s">
        <v>1241</v>
      </c>
      <c r="G1140" s="166" t="s">
        <v>129</v>
      </c>
      <c r="H1140" s="166">
        <v>46</v>
      </c>
      <c r="I1140" s="166">
        <v>0</v>
      </c>
      <c r="J1140" s="166">
        <v>0</v>
      </c>
      <c r="K1140" s="166" t="str">
        <f t="shared" si="17"/>
        <v>ENTITYNACE_ESG</v>
      </c>
    </row>
    <row r="1141" spans="1:11" hidden="1">
      <c r="A1141" s="166" t="s">
        <v>3689</v>
      </c>
      <c r="B1141" s="166" t="s">
        <v>3690</v>
      </c>
      <c r="C1141" s="166" t="s">
        <v>1243</v>
      </c>
      <c r="D1141" s="166" t="s">
        <v>1742</v>
      </c>
      <c r="E1141" s="166" t="s">
        <v>1132</v>
      </c>
      <c r="F1141" s="166" t="s">
        <v>1241</v>
      </c>
      <c r="G1141" s="166" t="s">
        <v>129</v>
      </c>
      <c r="H1141" s="166">
        <v>68644</v>
      </c>
      <c r="I1141" s="166">
        <v>0</v>
      </c>
      <c r="J1141" s="166">
        <v>0</v>
      </c>
      <c r="K1141" s="166" t="str">
        <f t="shared" si="17"/>
        <v>ENTITYTTL_LBLTY</v>
      </c>
    </row>
    <row r="1142" spans="1:11" hidden="1">
      <c r="A1142" s="166" t="s">
        <v>3691</v>
      </c>
      <c r="B1142" s="166" t="s">
        <v>3692</v>
      </c>
      <c r="C1142" s="166" t="s">
        <v>1243</v>
      </c>
      <c r="D1142" s="166" t="s">
        <v>1742</v>
      </c>
      <c r="E1142" s="166" t="s">
        <v>1132</v>
      </c>
      <c r="F1142" s="166" t="s">
        <v>1241</v>
      </c>
      <c r="G1142" s="166" t="s">
        <v>129</v>
      </c>
      <c r="H1142" s="166">
        <v>46</v>
      </c>
      <c r="I1142" s="166">
        <v>0</v>
      </c>
      <c r="J1142" s="166">
        <v>0</v>
      </c>
      <c r="K1142" s="166" t="str">
        <f t="shared" si="17"/>
        <v>ENTITYTTL_LBLTY</v>
      </c>
    </row>
    <row r="1143" spans="1:11" hidden="1">
      <c r="A1143" s="166" t="s">
        <v>3693</v>
      </c>
      <c r="B1143" s="166" t="s">
        <v>3694</v>
      </c>
      <c r="C1143" s="166" t="s">
        <v>1243</v>
      </c>
      <c r="D1143" s="166" t="s">
        <v>1745</v>
      </c>
      <c r="E1143" s="166" t="s">
        <v>1132</v>
      </c>
      <c r="F1143" s="166" t="s">
        <v>1241</v>
      </c>
      <c r="G1143" s="166" t="s">
        <v>129</v>
      </c>
      <c r="H1143" s="166">
        <v>46</v>
      </c>
      <c r="I1143" s="166">
        <v>0</v>
      </c>
      <c r="J1143" s="166">
        <v>0</v>
      </c>
      <c r="K1143" s="166" t="str">
        <f t="shared" si="17"/>
        <v>ENTITYTXNMY_ELGBL_CAPEX_CCM</v>
      </c>
    </row>
    <row r="1144" spans="1:11" hidden="1">
      <c r="A1144" s="166" t="s">
        <v>3695</v>
      </c>
      <c r="B1144" s="166" t="s">
        <v>3696</v>
      </c>
      <c r="C1144" s="166" t="s">
        <v>1243</v>
      </c>
      <c r="D1144" s="166" t="s">
        <v>1748</v>
      </c>
      <c r="E1144" s="166" t="s">
        <v>1132</v>
      </c>
      <c r="F1144" s="166" t="s">
        <v>1241</v>
      </c>
      <c r="G1144" s="166" t="s">
        <v>129</v>
      </c>
      <c r="H1144" s="166">
        <v>46</v>
      </c>
      <c r="I1144" s="166">
        <v>0</v>
      </c>
      <c r="J1144" s="166">
        <v>0</v>
      </c>
      <c r="K1144" s="166" t="str">
        <f t="shared" si="17"/>
        <v>ENTITYTXNMY_ELGBL_TRNVR_CCM</v>
      </c>
    </row>
    <row r="1145" spans="1:11" hidden="1">
      <c r="A1145" s="166" t="s">
        <v>3697</v>
      </c>
      <c r="B1145" s="166" t="s">
        <v>3698</v>
      </c>
      <c r="C1145" s="166" t="s">
        <v>1243</v>
      </c>
      <c r="D1145" s="166" t="s">
        <v>1751</v>
      </c>
      <c r="E1145" s="166" t="s">
        <v>1132</v>
      </c>
      <c r="F1145" s="166" t="s">
        <v>1241</v>
      </c>
      <c r="G1145" s="166" t="s">
        <v>129</v>
      </c>
      <c r="H1145" s="166">
        <v>46</v>
      </c>
      <c r="I1145" s="166">
        <v>0</v>
      </c>
      <c r="J1145" s="166">
        <v>0</v>
      </c>
      <c r="K1145" s="166" t="str">
        <f t="shared" si="17"/>
        <v>ENTITYTXNMY_ELGBL_CAPEX_CCA</v>
      </c>
    </row>
    <row r="1146" spans="1:11" hidden="1">
      <c r="A1146" s="166" t="s">
        <v>3699</v>
      </c>
      <c r="B1146" s="166" t="s">
        <v>3700</v>
      </c>
      <c r="C1146" s="166" t="s">
        <v>1243</v>
      </c>
      <c r="D1146" s="166" t="s">
        <v>1754</v>
      </c>
      <c r="E1146" s="166" t="s">
        <v>1132</v>
      </c>
      <c r="F1146" s="166" t="s">
        <v>1241</v>
      </c>
      <c r="G1146" s="166" t="s">
        <v>129</v>
      </c>
      <c r="H1146" s="166">
        <v>46</v>
      </c>
      <c r="I1146" s="166">
        <v>0</v>
      </c>
      <c r="J1146" s="166">
        <v>0</v>
      </c>
      <c r="K1146" s="166" t="str">
        <f t="shared" si="17"/>
        <v>ENTITYTXNMY_ELGBL_TRNVR_CCA</v>
      </c>
    </row>
    <row r="1147" spans="1:11" hidden="1">
      <c r="A1147" s="166" t="s">
        <v>3701</v>
      </c>
      <c r="B1147" s="166" t="s">
        <v>3702</v>
      </c>
      <c r="C1147" s="166" t="s">
        <v>1243</v>
      </c>
      <c r="D1147" s="166" t="s">
        <v>1757</v>
      </c>
      <c r="E1147" s="166" t="s">
        <v>1132</v>
      </c>
      <c r="F1147" s="166" t="s">
        <v>1241</v>
      </c>
      <c r="G1147" s="166" t="s">
        <v>129</v>
      </c>
      <c r="H1147" s="166">
        <v>46</v>
      </c>
      <c r="I1147" s="166">
        <v>0</v>
      </c>
      <c r="J1147" s="166">
        <v>0</v>
      </c>
      <c r="K1147" s="166" t="str">
        <f t="shared" si="17"/>
        <v>ENTITYENBLNG_CAPEX_CCM</v>
      </c>
    </row>
    <row r="1148" spans="1:11" hidden="1">
      <c r="A1148" s="166" t="s">
        <v>3703</v>
      </c>
      <c r="B1148" s="166" t="s">
        <v>3704</v>
      </c>
      <c r="C1148" s="166" t="s">
        <v>1243</v>
      </c>
      <c r="D1148" s="166" t="s">
        <v>1760</v>
      </c>
      <c r="E1148" s="166" t="s">
        <v>1132</v>
      </c>
      <c r="F1148" s="166" t="s">
        <v>1241</v>
      </c>
      <c r="G1148" s="166" t="s">
        <v>129</v>
      </c>
      <c r="H1148" s="166">
        <v>46</v>
      </c>
      <c r="I1148" s="166">
        <v>0</v>
      </c>
      <c r="J1148" s="166">
        <v>0</v>
      </c>
      <c r="K1148" s="166" t="str">
        <f t="shared" si="17"/>
        <v>ENTITYENBLNG_CAPEX_CCA</v>
      </c>
    </row>
    <row r="1149" spans="1:11" hidden="1">
      <c r="A1149" s="166" t="s">
        <v>3705</v>
      </c>
      <c r="B1149" s="166" t="s">
        <v>3706</v>
      </c>
      <c r="C1149" s="166" t="s">
        <v>1243</v>
      </c>
      <c r="D1149" s="166" t="s">
        <v>1763</v>
      </c>
      <c r="E1149" s="166" t="s">
        <v>1132</v>
      </c>
      <c r="F1149" s="166" t="s">
        <v>1241</v>
      </c>
      <c r="G1149" s="166" t="s">
        <v>129</v>
      </c>
      <c r="H1149" s="166">
        <v>46</v>
      </c>
      <c r="I1149" s="166">
        <v>0</v>
      </c>
      <c r="J1149" s="166">
        <v>0</v>
      </c>
      <c r="K1149" s="166" t="str">
        <f t="shared" si="17"/>
        <v>ENTITYTRNSTNL_CAPEX</v>
      </c>
    </row>
    <row r="1150" spans="1:11" hidden="1">
      <c r="A1150" s="166" t="s">
        <v>3707</v>
      </c>
      <c r="B1150" s="166" t="s">
        <v>3708</v>
      </c>
      <c r="C1150" s="166" t="s">
        <v>1243</v>
      </c>
      <c r="D1150" s="166" t="s">
        <v>1766</v>
      </c>
      <c r="E1150" s="166" t="s">
        <v>1132</v>
      </c>
      <c r="F1150" s="166" t="s">
        <v>1241</v>
      </c>
      <c r="G1150" s="166" t="s">
        <v>129</v>
      </c>
      <c r="H1150" s="166">
        <v>46</v>
      </c>
      <c r="I1150" s="166">
        <v>0</v>
      </c>
      <c r="J1150" s="166">
        <v>0</v>
      </c>
      <c r="K1150" s="166" t="str">
        <f t="shared" si="17"/>
        <v>ENTITYPURE_CAPEX_CCM</v>
      </c>
    </row>
    <row r="1151" spans="1:11" hidden="1">
      <c r="A1151" s="166" t="s">
        <v>3709</v>
      </c>
      <c r="B1151" s="166" t="s">
        <v>3710</v>
      </c>
      <c r="C1151" s="166" t="s">
        <v>1243</v>
      </c>
      <c r="D1151" s="166" t="s">
        <v>1769</v>
      </c>
      <c r="E1151" s="166" t="s">
        <v>1132</v>
      </c>
      <c r="F1151" s="166" t="s">
        <v>1241</v>
      </c>
      <c r="G1151" s="166" t="s">
        <v>129</v>
      </c>
      <c r="H1151" s="166">
        <v>46</v>
      </c>
      <c r="I1151" s="166">
        <v>0</v>
      </c>
      <c r="J1151" s="166">
        <v>0</v>
      </c>
      <c r="K1151" s="166" t="str">
        <f t="shared" si="17"/>
        <v>ENTITYPURE_CAPEX_CCA</v>
      </c>
    </row>
    <row r="1152" spans="1:11" hidden="1">
      <c r="A1152" s="166" t="s">
        <v>3711</v>
      </c>
      <c r="B1152" s="166" t="s">
        <v>3712</v>
      </c>
      <c r="C1152" s="166" t="s">
        <v>1243</v>
      </c>
      <c r="D1152" s="166" t="s">
        <v>1772</v>
      </c>
      <c r="E1152" s="166" t="s">
        <v>1132</v>
      </c>
      <c r="F1152" s="166" t="s">
        <v>1241</v>
      </c>
      <c r="G1152" s="166" t="s">
        <v>129</v>
      </c>
      <c r="H1152" s="166">
        <v>46</v>
      </c>
      <c r="I1152" s="166">
        <v>0</v>
      </c>
      <c r="J1152" s="166">
        <v>0</v>
      </c>
      <c r="K1152" s="166" t="str">
        <f t="shared" si="17"/>
        <v>ENTITYENBLNG_TRNVR_CCM</v>
      </c>
    </row>
    <row r="1153" spans="1:11" hidden="1">
      <c r="A1153" s="166" t="s">
        <v>3713</v>
      </c>
      <c r="B1153" s="166" t="s">
        <v>3714</v>
      </c>
      <c r="C1153" s="166" t="s">
        <v>1243</v>
      </c>
      <c r="D1153" s="166" t="s">
        <v>1775</v>
      </c>
      <c r="E1153" s="166" t="s">
        <v>1132</v>
      </c>
      <c r="F1153" s="166" t="s">
        <v>1241</v>
      </c>
      <c r="G1153" s="166" t="s">
        <v>129</v>
      </c>
      <c r="H1153" s="166">
        <v>46</v>
      </c>
      <c r="I1153" s="166">
        <v>0</v>
      </c>
      <c r="J1153" s="166">
        <v>0</v>
      </c>
      <c r="K1153" s="166" t="str">
        <f t="shared" si="17"/>
        <v>ENTITYENBLNG_TRNVR_CCA</v>
      </c>
    </row>
    <row r="1154" spans="1:11" hidden="1">
      <c r="A1154" s="166" t="s">
        <v>3715</v>
      </c>
      <c r="B1154" s="166" t="s">
        <v>3716</v>
      </c>
      <c r="C1154" s="166" t="s">
        <v>1243</v>
      </c>
      <c r="D1154" s="166" t="s">
        <v>1778</v>
      </c>
      <c r="E1154" s="166" t="s">
        <v>1132</v>
      </c>
      <c r="F1154" s="166" t="s">
        <v>1241</v>
      </c>
      <c r="G1154" s="166" t="s">
        <v>129</v>
      </c>
      <c r="H1154" s="166">
        <v>46</v>
      </c>
      <c r="I1154" s="166">
        <v>0</v>
      </c>
      <c r="J1154" s="166">
        <v>0</v>
      </c>
      <c r="K1154" s="166" t="str">
        <f t="shared" si="17"/>
        <v>ENTITYTRNSTNL_TRNVR</v>
      </c>
    </row>
    <row r="1155" spans="1:11" hidden="1">
      <c r="A1155" s="166" t="s">
        <v>3717</v>
      </c>
      <c r="B1155" s="166" t="s">
        <v>3718</v>
      </c>
      <c r="C1155" s="166" t="s">
        <v>1243</v>
      </c>
      <c r="D1155" s="166" t="s">
        <v>1781</v>
      </c>
      <c r="E1155" s="166" t="s">
        <v>1132</v>
      </c>
      <c r="F1155" s="166" t="s">
        <v>1241</v>
      </c>
      <c r="G1155" s="166" t="s">
        <v>129</v>
      </c>
      <c r="H1155" s="166">
        <v>46</v>
      </c>
      <c r="I1155" s="166">
        <v>0</v>
      </c>
      <c r="J1155" s="166">
        <v>0</v>
      </c>
      <c r="K1155" s="166" t="str">
        <f t="shared" ref="K1155:K1218" si="18">_xlfn.CONCAT(_xlfn.IFS(ISNUMBER(SEARCH("EN",A1155)),"ENTITY",ISNUMBER(SEARCH("IN",A1155)),"INSTRUMENT",ISNUMBER(SEARCH("PR",A1155)),"PROTECTION",ISNUMBER(SEARCH("IP",A1155)),"INSTR_PROTECTION",ISNUMBER(SEARCH("IE",A1155)),"INSTR_ENTITY",ISNUMBER(SEARCH("AC",A1155)),"INSTR_ACTIVITY"),D1155)</f>
        <v>ENTITYPURE_TRNVR_CCM</v>
      </c>
    </row>
    <row r="1156" spans="1:11" hidden="1">
      <c r="A1156" s="166" t="s">
        <v>3719</v>
      </c>
      <c r="B1156" s="166" t="s">
        <v>3720</v>
      </c>
      <c r="C1156" s="166" t="s">
        <v>1243</v>
      </c>
      <c r="D1156" s="166" t="s">
        <v>1784</v>
      </c>
      <c r="E1156" s="166" t="s">
        <v>1132</v>
      </c>
      <c r="F1156" s="166" t="s">
        <v>1241</v>
      </c>
      <c r="G1156" s="166" t="s">
        <v>129</v>
      </c>
      <c r="H1156" s="166">
        <v>46</v>
      </c>
      <c r="I1156" s="166">
        <v>0</v>
      </c>
      <c r="J1156" s="166">
        <v>0</v>
      </c>
      <c r="K1156" s="166" t="str">
        <f t="shared" si="18"/>
        <v>ENTITYPURE_TRNVR_CCA</v>
      </c>
    </row>
    <row r="1157" spans="1:11" hidden="1">
      <c r="A1157" s="166" t="s">
        <v>3721</v>
      </c>
      <c r="B1157" s="166" t="s">
        <v>3722</v>
      </c>
      <c r="C1157" s="166" t="s">
        <v>1243</v>
      </c>
      <c r="D1157" s="166" t="s">
        <v>1368</v>
      </c>
      <c r="E1157" s="166" t="s">
        <v>1132</v>
      </c>
      <c r="F1157" s="166" t="s">
        <v>1241</v>
      </c>
      <c r="G1157" s="166" t="s">
        <v>129</v>
      </c>
      <c r="H1157" s="166">
        <v>78132</v>
      </c>
      <c r="I1157" s="166">
        <v>0</v>
      </c>
      <c r="J1157" s="166">
        <v>0</v>
      </c>
      <c r="K1157" s="166" t="str">
        <f t="shared" si="18"/>
        <v>ENTITYFLG_CSRD_APPLCBLTY</v>
      </c>
    </row>
    <row r="1158" spans="1:11" hidden="1">
      <c r="A1158" s="166" t="s">
        <v>3723</v>
      </c>
      <c r="B1158" s="166" t="s">
        <v>3724</v>
      </c>
      <c r="C1158" s="166" t="s">
        <v>1243</v>
      </c>
      <c r="D1158" s="166" t="s">
        <v>1368</v>
      </c>
      <c r="E1158" s="166" t="s">
        <v>1132</v>
      </c>
      <c r="F1158" s="166" t="s">
        <v>1241</v>
      </c>
      <c r="G1158" s="166" t="s">
        <v>129</v>
      </c>
      <c r="H1158" s="166">
        <v>46</v>
      </c>
      <c r="I1158" s="166">
        <v>0</v>
      </c>
      <c r="J1158" s="166">
        <v>0</v>
      </c>
      <c r="K1158" s="166" t="str">
        <f t="shared" si="18"/>
        <v>ENTITYFLG_CSRD_APPLCBLTY</v>
      </c>
    </row>
    <row r="1159" spans="1:11" hidden="1">
      <c r="A1159" s="166" t="s">
        <v>3725</v>
      </c>
      <c r="B1159" s="166" t="s">
        <v>3726</v>
      </c>
      <c r="C1159" s="166" t="s">
        <v>1243</v>
      </c>
      <c r="D1159" s="166" t="s">
        <v>1371</v>
      </c>
      <c r="E1159" s="166" t="s">
        <v>1132</v>
      </c>
      <c r="F1159" s="166" t="s">
        <v>1241</v>
      </c>
      <c r="G1159" s="166" t="s">
        <v>129</v>
      </c>
      <c r="H1159" s="166">
        <v>46</v>
      </c>
      <c r="I1159" s="166">
        <v>0</v>
      </c>
      <c r="J1159" s="166">
        <v>0</v>
      </c>
      <c r="K1159" s="166" t="str">
        <f t="shared" si="18"/>
        <v>ENTITYFLG_GRP_CSRD_APPLCBLTY</v>
      </c>
    </row>
    <row r="1160" spans="1:11" hidden="1">
      <c r="A1160" s="166" t="s">
        <v>3727</v>
      </c>
      <c r="B1160" s="166" t="s">
        <v>3728</v>
      </c>
      <c r="C1160" s="166" t="s">
        <v>139</v>
      </c>
      <c r="D1160" s="166" t="s">
        <v>1371</v>
      </c>
      <c r="E1160" s="166" t="s">
        <v>10</v>
      </c>
      <c r="F1160" s="166" t="s">
        <v>1241</v>
      </c>
      <c r="G1160" s="166" t="s">
        <v>129</v>
      </c>
      <c r="H1160" s="166">
        <v>82443</v>
      </c>
      <c r="I1160" s="166">
        <v>0</v>
      </c>
      <c r="J1160" s="166">
        <v>0</v>
      </c>
      <c r="K1160" s="166" t="str">
        <f t="shared" si="18"/>
        <v>ENTITYFLG_GRP_CSRD_APPLCBLTY</v>
      </c>
    </row>
    <row r="1161" spans="1:11" hidden="1">
      <c r="A1161" s="166" t="s">
        <v>3729</v>
      </c>
      <c r="B1161" s="166" t="s">
        <v>3730</v>
      </c>
      <c r="C1161" s="166" t="s">
        <v>1243</v>
      </c>
      <c r="D1161" s="166" t="s">
        <v>380</v>
      </c>
      <c r="E1161" s="166" t="s">
        <v>1132</v>
      </c>
      <c r="F1161" s="166" t="s">
        <v>1241</v>
      </c>
      <c r="G1161" s="166" t="s">
        <v>129</v>
      </c>
      <c r="H1161" s="166">
        <v>44</v>
      </c>
      <c r="I1161" s="166">
        <v>0</v>
      </c>
      <c r="J1161" s="166">
        <v>0</v>
      </c>
      <c r="K1161" s="166" t="str">
        <f t="shared" si="18"/>
        <v>ENTITYISIN</v>
      </c>
    </row>
    <row r="1162" spans="1:11" hidden="1">
      <c r="A1162" s="166" t="s">
        <v>3731</v>
      </c>
      <c r="B1162" s="166" t="s">
        <v>3732</v>
      </c>
      <c r="C1162" s="166" t="s">
        <v>1243</v>
      </c>
      <c r="D1162" s="166" t="s">
        <v>1793</v>
      </c>
      <c r="E1162" s="166" t="s">
        <v>1132</v>
      </c>
      <c r="F1162" s="166" t="s">
        <v>1241</v>
      </c>
      <c r="G1162" s="166" t="s">
        <v>1134</v>
      </c>
      <c r="H1162" s="166">
        <v>18697</v>
      </c>
      <c r="I1162" s="166">
        <v>18697</v>
      </c>
      <c r="J1162" s="166">
        <v>100</v>
      </c>
      <c r="K1162" s="166" t="str">
        <f t="shared" si="18"/>
        <v>ENTITYGRP_ANNL_TRNVR_LE</v>
      </c>
    </row>
    <row r="1163" spans="1:11" hidden="1">
      <c r="A1163" s="166" t="s">
        <v>3733</v>
      </c>
      <c r="B1163" s="166" t="s">
        <v>3734</v>
      </c>
      <c r="C1163" s="166" t="s">
        <v>1243</v>
      </c>
      <c r="D1163" s="166" t="s">
        <v>1793</v>
      </c>
      <c r="E1163" s="166" t="s">
        <v>1132</v>
      </c>
      <c r="F1163" s="166" t="s">
        <v>1241</v>
      </c>
      <c r="G1163" s="166" t="s">
        <v>129</v>
      </c>
      <c r="H1163" s="166">
        <v>64053</v>
      </c>
      <c r="I1163" s="166">
        <v>0</v>
      </c>
      <c r="J1163" s="166">
        <v>0</v>
      </c>
      <c r="K1163" s="166" t="str">
        <f t="shared" si="18"/>
        <v>ENTITYGRP_ANNL_TRNVR_LE</v>
      </c>
    </row>
    <row r="1164" spans="1:11" hidden="1">
      <c r="A1164" s="166" t="s">
        <v>3735</v>
      </c>
      <c r="B1164" s="166" t="s">
        <v>3736</v>
      </c>
      <c r="C1164" s="166" t="s">
        <v>1243</v>
      </c>
      <c r="D1164" s="166" t="s">
        <v>1793</v>
      </c>
      <c r="E1164" s="166" t="s">
        <v>1132</v>
      </c>
      <c r="F1164" s="166" t="s">
        <v>1241</v>
      </c>
      <c r="G1164" s="166" t="s">
        <v>129</v>
      </c>
      <c r="H1164" s="166">
        <v>46</v>
      </c>
      <c r="I1164" s="166">
        <v>0</v>
      </c>
      <c r="J1164" s="166">
        <v>0</v>
      </c>
      <c r="K1164" s="166" t="str">
        <f t="shared" si="18"/>
        <v>ENTITYGRP_ANNL_TRNVR_LE</v>
      </c>
    </row>
    <row r="1165" spans="1:11" hidden="1">
      <c r="A1165" s="166" t="s">
        <v>3737</v>
      </c>
      <c r="B1165" s="166" t="s">
        <v>3738</v>
      </c>
      <c r="C1165" s="166" t="s">
        <v>139</v>
      </c>
      <c r="D1165" s="166" t="s">
        <v>1793</v>
      </c>
      <c r="E1165" s="166" t="s">
        <v>10</v>
      </c>
      <c r="F1165" s="166" t="s">
        <v>1241</v>
      </c>
      <c r="G1165" s="166" t="s">
        <v>129</v>
      </c>
      <c r="H1165" s="166">
        <v>82750</v>
      </c>
      <c r="I1165" s="166">
        <v>0</v>
      </c>
      <c r="J1165" s="166">
        <v>0</v>
      </c>
      <c r="K1165" s="166" t="str">
        <f t="shared" si="18"/>
        <v>ENTITYGRP_ANNL_TRNVR_LE</v>
      </c>
    </row>
    <row r="1166" spans="1:11" hidden="1">
      <c r="A1166" s="166" t="s">
        <v>3739</v>
      </c>
      <c r="B1166" s="166" t="s">
        <v>3740</v>
      </c>
      <c r="C1166" s="166" t="s">
        <v>1243</v>
      </c>
      <c r="D1166" s="166" t="s">
        <v>1796</v>
      </c>
      <c r="E1166" s="166" t="s">
        <v>1132</v>
      </c>
      <c r="F1166" s="166" t="s">
        <v>1241</v>
      </c>
      <c r="G1166" s="166" t="s">
        <v>129</v>
      </c>
      <c r="H1166" s="166">
        <v>18697</v>
      </c>
      <c r="I1166" s="166">
        <v>0</v>
      </c>
      <c r="J1166" s="166">
        <v>0</v>
      </c>
      <c r="K1166" s="166" t="str">
        <f t="shared" si="18"/>
        <v>ENTITYGRP_TTL_LBLTY</v>
      </c>
    </row>
    <row r="1167" spans="1:11" hidden="1">
      <c r="A1167" s="166" t="s">
        <v>3741</v>
      </c>
      <c r="B1167" s="166" t="s">
        <v>3742</v>
      </c>
      <c r="C1167" s="166" t="s">
        <v>1243</v>
      </c>
      <c r="D1167" s="166" t="s">
        <v>1796</v>
      </c>
      <c r="E1167" s="166" t="s">
        <v>1132</v>
      </c>
      <c r="F1167" s="166" t="s">
        <v>1241</v>
      </c>
      <c r="G1167" s="166" t="s">
        <v>129</v>
      </c>
      <c r="H1167" s="166">
        <v>64053</v>
      </c>
      <c r="I1167" s="166">
        <v>0</v>
      </c>
      <c r="J1167" s="166">
        <v>0</v>
      </c>
      <c r="K1167" s="166" t="str">
        <f t="shared" si="18"/>
        <v>ENTITYGRP_TTL_LBLTY</v>
      </c>
    </row>
    <row r="1168" spans="1:11" hidden="1">
      <c r="A1168" s="166" t="s">
        <v>3743</v>
      </c>
      <c r="B1168" s="166" t="s">
        <v>3744</v>
      </c>
      <c r="C1168" s="166" t="s">
        <v>1243</v>
      </c>
      <c r="D1168" s="166" t="s">
        <v>1796</v>
      </c>
      <c r="E1168" s="166" t="s">
        <v>1132</v>
      </c>
      <c r="F1168" s="166" t="s">
        <v>1241</v>
      </c>
      <c r="G1168" s="166" t="s">
        <v>129</v>
      </c>
      <c r="H1168" s="166">
        <v>46</v>
      </c>
      <c r="I1168" s="166">
        <v>0</v>
      </c>
      <c r="J1168" s="166">
        <v>0</v>
      </c>
      <c r="K1168" s="166" t="str">
        <f t="shared" si="18"/>
        <v>ENTITYGRP_TTL_LBLTY</v>
      </c>
    </row>
    <row r="1169" spans="1:11" hidden="1">
      <c r="A1169" s="166" t="s">
        <v>3745</v>
      </c>
      <c r="B1169" s="166" t="s">
        <v>3746</v>
      </c>
      <c r="C1169" s="166" t="s">
        <v>139</v>
      </c>
      <c r="D1169" s="166" t="s">
        <v>1796</v>
      </c>
      <c r="E1169" s="166" t="s">
        <v>10</v>
      </c>
      <c r="F1169" s="166" t="s">
        <v>1241</v>
      </c>
      <c r="G1169" s="166" t="s">
        <v>129</v>
      </c>
      <c r="H1169" s="166">
        <v>82750</v>
      </c>
      <c r="I1169" s="166">
        <v>0</v>
      </c>
      <c r="J1169" s="166">
        <v>0</v>
      </c>
      <c r="K1169" s="166" t="str">
        <f t="shared" si="18"/>
        <v>ENTITYGRP_TTL_LBLTY</v>
      </c>
    </row>
    <row r="1170" spans="1:11" hidden="1">
      <c r="A1170" s="166" t="s">
        <v>3747</v>
      </c>
      <c r="B1170" s="166" t="s">
        <v>3748</v>
      </c>
      <c r="C1170" s="166" t="s">
        <v>1142</v>
      </c>
      <c r="D1170" s="166" t="s">
        <v>1799</v>
      </c>
      <c r="E1170" s="166" t="s">
        <v>1132</v>
      </c>
      <c r="F1170" s="166" t="s">
        <v>1241</v>
      </c>
      <c r="G1170" s="166" t="s">
        <v>129</v>
      </c>
      <c r="H1170" s="166">
        <v>0</v>
      </c>
      <c r="I1170" s="166">
        <v>0</v>
      </c>
      <c r="J1170" s="166">
        <v>0</v>
      </c>
      <c r="K1170" s="166" t="str">
        <f t="shared" si="18"/>
        <v>ENTITYCNTRPRTY_EMSSNS_SCP1</v>
      </c>
    </row>
    <row r="1171" spans="1:11" hidden="1">
      <c r="A1171" s="166" t="s">
        <v>3749</v>
      </c>
      <c r="B1171" s="166" t="s">
        <v>3750</v>
      </c>
      <c r="C1171" s="166" t="s">
        <v>1243</v>
      </c>
      <c r="D1171" s="166" t="s">
        <v>1799</v>
      </c>
      <c r="E1171" s="166" t="s">
        <v>1132</v>
      </c>
      <c r="F1171" s="166" t="s">
        <v>1241</v>
      </c>
      <c r="G1171" s="166" t="s">
        <v>129</v>
      </c>
      <c r="H1171" s="166">
        <v>37</v>
      </c>
      <c r="I1171" s="166">
        <v>0</v>
      </c>
      <c r="J1171" s="166">
        <v>0</v>
      </c>
      <c r="K1171" s="166" t="str">
        <f t="shared" si="18"/>
        <v>ENTITYCNTRPRTY_EMSSNS_SCP1</v>
      </c>
    </row>
    <row r="1172" spans="1:11" hidden="1">
      <c r="A1172" s="166" t="s">
        <v>3751</v>
      </c>
      <c r="B1172" s="166" t="s">
        <v>3752</v>
      </c>
      <c r="C1172" s="166" t="s">
        <v>1142</v>
      </c>
      <c r="D1172" s="166" t="s">
        <v>1802</v>
      </c>
      <c r="E1172" s="166" t="s">
        <v>1132</v>
      </c>
      <c r="F1172" s="166" t="s">
        <v>1241</v>
      </c>
      <c r="G1172" s="166" t="s">
        <v>129</v>
      </c>
      <c r="H1172" s="166">
        <v>0</v>
      </c>
      <c r="I1172" s="166">
        <v>0</v>
      </c>
      <c r="J1172" s="166">
        <v>0</v>
      </c>
      <c r="K1172" s="166" t="str">
        <f t="shared" si="18"/>
        <v>ENTITYCNTRPRTY_EMSSNS_SCP2</v>
      </c>
    </row>
    <row r="1173" spans="1:11" hidden="1">
      <c r="A1173" s="166" t="s">
        <v>3753</v>
      </c>
      <c r="B1173" s="166" t="s">
        <v>3754</v>
      </c>
      <c r="C1173" s="166" t="s">
        <v>1243</v>
      </c>
      <c r="D1173" s="166" t="s">
        <v>1802</v>
      </c>
      <c r="E1173" s="166" t="s">
        <v>1132</v>
      </c>
      <c r="F1173" s="166" t="s">
        <v>1241</v>
      </c>
      <c r="G1173" s="166" t="s">
        <v>129</v>
      </c>
      <c r="H1173" s="166">
        <v>37</v>
      </c>
      <c r="I1173" s="166">
        <v>0</v>
      </c>
      <c r="J1173" s="166">
        <v>0</v>
      </c>
      <c r="K1173" s="166" t="str">
        <f t="shared" si="18"/>
        <v>ENTITYCNTRPRTY_EMSSNS_SCP2</v>
      </c>
    </row>
    <row r="1174" spans="1:11" hidden="1">
      <c r="A1174" s="166" t="s">
        <v>3755</v>
      </c>
      <c r="B1174" s="166" t="s">
        <v>3756</v>
      </c>
      <c r="C1174" s="166" t="s">
        <v>1142</v>
      </c>
      <c r="D1174" s="166" t="s">
        <v>1805</v>
      </c>
      <c r="E1174" s="166" t="s">
        <v>1132</v>
      </c>
      <c r="F1174" s="166" t="s">
        <v>1241</v>
      </c>
      <c r="G1174" s="166" t="s">
        <v>129</v>
      </c>
      <c r="H1174" s="166">
        <v>0</v>
      </c>
      <c r="I1174" s="166">
        <v>0</v>
      </c>
      <c r="J1174" s="166">
        <v>0</v>
      </c>
      <c r="K1174" s="166" t="str">
        <f t="shared" si="18"/>
        <v>ENTITYCNTRPRTY_EMSSNS_SCP3</v>
      </c>
    </row>
    <row r="1175" spans="1:11" hidden="1">
      <c r="A1175" s="166" t="s">
        <v>3757</v>
      </c>
      <c r="B1175" s="166" t="s">
        <v>3758</v>
      </c>
      <c r="C1175" s="166" t="s">
        <v>1243</v>
      </c>
      <c r="D1175" s="166" t="s">
        <v>1805</v>
      </c>
      <c r="E1175" s="166" t="s">
        <v>1132</v>
      </c>
      <c r="F1175" s="166" t="s">
        <v>1241</v>
      </c>
      <c r="G1175" s="166" t="s">
        <v>129</v>
      </c>
      <c r="H1175" s="166">
        <v>37</v>
      </c>
      <c r="I1175" s="166">
        <v>0</v>
      </c>
      <c r="J1175" s="166">
        <v>0</v>
      </c>
      <c r="K1175" s="166" t="str">
        <f t="shared" si="18"/>
        <v>ENTITYCNTRPRTY_EMSSNS_SCP3</v>
      </c>
    </row>
    <row r="1176" spans="1:11" hidden="1">
      <c r="A1176" s="166" t="s">
        <v>3759</v>
      </c>
      <c r="B1176" s="166" t="s">
        <v>3760</v>
      </c>
      <c r="C1176" s="166" t="s">
        <v>1243</v>
      </c>
      <c r="D1176" s="166" t="s">
        <v>1374</v>
      </c>
      <c r="E1176" s="166" t="s">
        <v>1132</v>
      </c>
      <c r="F1176" s="166" t="s">
        <v>1241</v>
      </c>
      <c r="G1176" s="166" t="s">
        <v>129</v>
      </c>
      <c r="H1176" s="166">
        <v>37</v>
      </c>
      <c r="I1176" s="166">
        <v>0</v>
      </c>
      <c r="J1176" s="166">
        <v>0</v>
      </c>
      <c r="K1176" s="166" t="str">
        <f t="shared" si="18"/>
        <v>ENTITYFLG_EXCLDD_EU_PRS_ALGND_BNCHMRK</v>
      </c>
    </row>
    <row r="1177" spans="1:11" hidden="1">
      <c r="A1177" s="166" t="s">
        <v>3761</v>
      </c>
      <c r="B1177" s="166" t="s">
        <v>3762</v>
      </c>
      <c r="C1177" s="166" t="s">
        <v>1243</v>
      </c>
      <c r="D1177" s="166" t="s">
        <v>1810</v>
      </c>
      <c r="E1177" s="166" t="s">
        <v>1132</v>
      </c>
      <c r="F1177" s="166" t="s">
        <v>1241</v>
      </c>
      <c r="G1177" s="166" t="s">
        <v>129</v>
      </c>
      <c r="H1177" s="166">
        <v>0</v>
      </c>
      <c r="I1177" s="166">
        <v>0</v>
      </c>
      <c r="J1177" s="166">
        <v>0</v>
      </c>
      <c r="K1177" s="166" t="str">
        <f t="shared" si="18"/>
        <v>ENTITYGRP_EMSSNS_SCP1</v>
      </c>
    </row>
    <row r="1178" spans="1:11" hidden="1">
      <c r="A1178" s="166" t="s">
        <v>3763</v>
      </c>
      <c r="B1178" s="166" t="s">
        <v>3764</v>
      </c>
      <c r="C1178" s="166" t="s">
        <v>1243</v>
      </c>
      <c r="D1178" s="166" t="s">
        <v>1810</v>
      </c>
      <c r="E1178" s="166" t="s">
        <v>1132</v>
      </c>
      <c r="F1178" s="166" t="s">
        <v>1241</v>
      </c>
      <c r="G1178" s="166" t="s">
        <v>129</v>
      </c>
      <c r="H1178" s="166">
        <v>0</v>
      </c>
      <c r="I1178" s="166">
        <v>0</v>
      </c>
      <c r="J1178" s="166">
        <v>0</v>
      </c>
      <c r="K1178" s="166" t="str">
        <f t="shared" si="18"/>
        <v>ENTITYGRP_EMSSNS_SCP1</v>
      </c>
    </row>
    <row r="1179" spans="1:11" hidden="1">
      <c r="A1179" s="166" t="s">
        <v>3765</v>
      </c>
      <c r="B1179" s="166" t="s">
        <v>3766</v>
      </c>
      <c r="C1179" s="166" t="s">
        <v>1243</v>
      </c>
      <c r="D1179" s="166" t="s">
        <v>1810</v>
      </c>
      <c r="E1179" s="166" t="s">
        <v>1132</v>
      </c>
      <c r="F1179" s="166" t="s">
        <v>1241</v>
      </c>
      <c r="G1179" s="166" t="s">
        <v>129</v>
      </c>
      <c r="H1179" s="166">
        <v>37</v>
      </c>
      <c r="I1179" s="166">
        <v>0</v>
      </c>
      <c r="J1179" s="166">
        <v>0</v>
      </c>
      <c r="K1179" s="166" t="str">
        <f t="shared" si="18"/>
        <v>ENTITYGRP_EMSSNS_SCP1</v>
      </c>
    </row>
    <row r="1180" spans="1:11" hidden="1">
      <c r="A1180" s="166" t="s">
        <v>3767</v>
      </c>
      <c r="B1180" s="166" t="s">
        <v>3768</v>
      </c>
      <c r="C1180" s="166" t="s">
        <v>139</v>
      </c>
      <c r="D1180" s="166" t="s">
        <v>1810</v>
      </c>
      <c r="E1180" s="166" t="s">
        <v>10</v>
      </c>
      <c r="F1180" s="166" t="s">
        <v>1241</v>
      </c>
      <c r="G1180" s="166" t="s">
        <v>129</v>
      </c>
      <c r="H1180" s="166">
        <v>81421</v>
      </c>
      <c r="I1180" s="166">
        <v>0</v>
      </c>
      <c r="J1180" s="166">
        <v>0</v>
      </c>
      <c r="K1180" s="166" t="str">
        <f t="shared" si="18"/>
        <v>ENTITYGRP_EMSSNS_SCP1</v>
      </c>
    </row>
    <row r="1181" spans="1:11" hidden="1">
      <c r="A1181" s="166" t="s">
        <v>3769</v>
      </c>
      <c r="B1181" s="166" t="s">
        <v>3770</v>
      </c>
      <c r="C1181" s="166" t="s">
        <v>1243</v>
      </c>
      <c r="D1181" s="166" t="s">
        <v>1813</v>
      </c>
      <c r="E1181" s="166" t="s">
        <v>1132</v>
      </c>
      <c r="F1181" s="166" t="s">
        <v>1241</v>
      </c>
      <c r="G1181" s="166" t="s">
        <v>129</v>
      </c>
      <c r="H1181" s="166">
        <v>0</v>
      </c>
      <c r="I1181" s="166">
        <v>0</v>
      </c>
      <c r="J1181" s="166">
        <v>0</v>
      </c>
      <c r="K1181" s="166" t="str">
        <f t="shared" si="18"/>
        <v>ENTITYGRP_EMSSNS_SCP2</v>
      </c>
    </row>
    <row r="1182" spans="1:11" hidden="1">
      <c r="A1182" s="166" t="s">
        <v>3771</v>
      </c>
      <c r="B1182" s="166" t="s">
        <v>3772</v>
      </c>
      <c r="C1182" s="166" t="s">
        <v>1243</v>
      </c>
      <c r="D1182" s="166" t="s">
        <v>1813</v>
      </c>
      <c r="E1182" s="166" t="s">
        <v>1132</v>
      </c>
      <c r="F1182" s="166" t="s">
        <v>1241</v>
      </c>
      <c r="G1182" s="166" t="s">
        <v>129</v>
      </c>
      <c r="H1182" s="166">
        <v>0</v>
      </c>
      <c r="I1182" s="166">
        <v>0</v>
      </c>
      <c r="J1182" s="166">
        <v>0</v>
      </c>
      <c r="K1182" s="166" t="str">
        <f t="shared" si="18"/>
        <v>ENTITYGRP_EMSSNS_SCP2</v>
      </c>
    </row>
    <row r="1183" spans="1:11" hidden="1">
      <c r="A1183" s="166" t="s">
        <v>3773</v>
      </c>
      <c r="B1183" s="166" t="s">
        <v>3774</v>
      </c>
      <c r="C1183" s="166" t="s">
        <v>1243</v>
      </c>
      <c r="D1183" s="166" t="s">
        <v>1813</v>
      </c>
      <c r="E1183" s="166" t="s">
        <v>1132</v>
      </c>
      <c r="F1183" s="166" t="s">
        <v>1241</v>
      </c>
      <c r="G1183" s="166" t="s">
        <v>129</v>
      </c>
      <c r="H1183" s="166">
        <v>37</v>
      </c>
      <c r="I1183" s="166">
        <v>0</v>
      </c>
      <c r="J1183" s="166">
        <v>0</v>
      </c>
      <c r="K1183" s="166" t="str">
        <f t="shared" si="18"/>
        <v>ENTITYGRP_EMSSNS_SCP2</v>
      </c>
    </row>
    <row r="1184" spans="1:11" hidden="1">
      <c r="A1184" s="166" t="s">
        <v>3775</v>
      </c>
      <c r="B1184" s="166" t="s">
        <v>3776</v>
      </c>
      <c r="C1184" s="166" t="s">
        <v>139</v>
      </c>
      <c r="D1184" s="166" t="s">
        <v>1813</v>
      </c>
      <c r="E1184" s="166" t="s">
        <v>10</v>
      </c>
      <c r="F1184" s="166" t="s">
        <v>1241</v>
      </c>
      <c r="G1184" s="166" t="s">
        <v>129</v>
      </c>
      <c r="H1184" s="166">
        <v>81421</v>
      </c>
      <c r="I1184" s="166">
        <v>0</v>
      </c>
      <c r="J1184" s="166">
        <v>0</v>
      </c>
      <c r="K1184" s="166" t="str">
        <f t="shared" si="18"/>
        <v>ENTITYGRP_EMSSNS_SCP2</v>
      </c>
    </row>
    <row r="1185" spans="1:11" hidden="1">
      <c r="A1185" s="166" t="s">
        <v>3777</v>
      </c>
      <c r="B1185" s="166" t="s">
        <v>3778</v>
      </c>
      <c r="C1185" s="166" t="s">
        <v>1243</v>
      </c>
      <c r="D1185" s="166" t="s">
        <v>1816</v>
      </c>
      <c r="E1185" s="166" t="s">
        <v>1132</v>
      </c>
      <c r="F1185" s="166" t="s">
        <v>1241</v>
      </c>
      <c r="G1185" s="166" t="s">
        <v>129</v>
      </c>
      <c r="H1185" s="166">
        <v>0</v>
      </c>
      <c r="I1185" s="166">
        <v>0</v>
      </c>
      <c r="J1185" s="166">
        <v>0</v>
      </c>
      <c r="K1185" s="166" t="str">
        <f t="shared" si="18"/>
        <v>ENTITYGRP_EMSSNS_SCP3</v>
      </c>
    </row>
    <row r="1186" spans="1:11" hidden="1">
      <c r="A1186" s="166" t="s">
        <v>3779</v>
      </c>
      <c r="B1186" s="166" t="s">
        <v>3780</v>
      </c>
      <c r="C1186" s="166" t="s">
        <v>1243</v>
      </c>
      <c r="D1186" s="166" t="s">
        <v>1816</v>
      </c>
      <c r="E1186" s="166" t="s">
        <v>1132</v>
      </c>
      <c r="F1186" s="166" t="s">
        <v>1241</v>
      </c>
      <c r="G1186" s="166" t="s">
        <v>129</v>
      </c>
      <c r="H1186" s="166">
        <v>0</v>
      </c>
      <c r="I1186" s="166">
        <v>0</v>
      </c>
      <c r="J1186" s="166">
        <v>0</v>
      </c>
      <c r="K1186" s="166" t="str">
        <f t="shared" si="18"/>
        <v>ENTITYGRP_EMSSNS_SCP3</v>
      </c>
    </row>
    <row r="1187" spans="1:11" hidden="1">
      <c r="A1187" s="166" t="s">
        <v>3781</v>
      </c>
      <c r="B1187" s="166" t="s">
        <v>3782</v>
      </c>
      <c r="C1187" s="166" t="s">
        <v>1243</v>
      </c>
      <c r="D1187" s="166" t="s">
        <v>1816</v>
      </c>
      <c r="E1187" s="166" t="s">
        <v>1132</v>
      </c>
      <c r="F1187" s="166" t="s">
        <v>1241</v>
      </c>
      <c r="G1187" s="166" t="s">
        <v>129</v>
      </c>
      <c r="H1187" s="166">
        <v>37</v>
      </c>
      <c r="I1187" s="166">
        <v>0</v>
      </c>
      <c r="J1187" s="166">
        <v>0</v>
      </c>
      <c r="K1187" s="166" t="str">
        <f t="shared" si="18"/>
        <v>ENTITYGRP_EMSSNS_SCP3</v>
      </c>
    </row>
    <row r="1188" spans="1:11" hidden="1">
      <c r="A1188" s="166" t="s">
        <v>3783</v>
      </c>
      <c r="B1188" s="166" t="s">
        <v>3784</v>
      </c>
      <c r="C1188" s="166" t="s">
        <v>139</v>
      </c>
      <c r="D1188" s="166" t="s">
        <v>1816</v>
      </c>
      <c r="E1188" s="166" t="s">
        <v>10</v>
      </c>
      <c r="F1188" s="166" t="s">
        <v>1241</v>
      </c>
      <c r="G1188" s="166" t="s">
        <v>129</v>
      </c>
      <c r="H1188" s="166">
        <v>81421</v>
      </c>
      <c r="I1188" s="166">
        <v>0</v>
      </c>
      <c r="J1188" s="166">
        <v>0</v>
      </c>
      <c r="K1188" s="166" t="str">
        <f t="shared" si="18"/>
        <v>ENTITYGRP_EMSSNS_SCP3</v>
      </c>
    </row>
    <row r="1189" spans="1:11" hidden="1">
      <c r="A1189" s="166" t="s">
        <v>3785</v>
      </c>
      <c r="B1189" s="166" t="s">
        <v>3786</v>
      </c>
      <c r="C1189" s="166" t="s">
        <v>1243</v>
      </c>
      <c r="D1189" s="166" t="s">
        <v>1377</v>
      </c>
      <c r="E1189" s="166" t="s">
        <v>1132</v>
      </c>
      <c r="F1189" s="166" t="s">
        <v>1241</v>
      </c>
      <c r="G1189" s="166" t="s">
        <v>129</v>
      </c>
      <c r="H1189" s="166">
        <v>1057383</v>
      </c>
      <c r="I1189" s="166">
        <v>0</v>
      </c>
      <c r="J1189" s="166">
        <v>0</v>
      </c>
      <c r="K1189" s="166" t="str">
        <f t="shared" si="18"/>
        <v>ENTITYFLG_ACT_PHYSCL_RSK</v>
      </c>
    </row>
    <row r="1190" spans="1:11" hidden="1">
      <c r="A1190" s="166" t="s">
        <v>3787</v>
      </c>
      <c r="B1190" s="166" t="s">
        <v>3788</v>
      </c>
      <c r="C1190" s="166" t="s">
        <v>1243</v>
      </c>
      <c r="D1190" s="166" t="s">
        <v>1380</v>
      </c>
      <c r="E1190" s="166" t="s">
        <v>1132</v>
      </c>
      <c r="F1190" s="166" t="s">
        <v>1241</v>
      </c>
      <c r="G1190" s="166" t="s">
        <v>129</v>
      </c>
      <c r="H1190" s="166">
        <v>1057383</v>
      </c>
      <c r="I1190" s="166">
        <v>0</v>
      </c>
      <c r="J1190" s="166">
        <v>0</v>
      </c>
      <c r="K1190" s="166" t="str">
        <f t="shared" si="18"/>
        <v>ENTITYFLG_CHRNC_PHYSCL_RSK</v>
      </c>
    </row>
    <row r="1191" spans="1:11" hidden="1">
      <c r="A1191" s="166" t="s">
        <v>3789</v>
      </c>
      <c r="B1191" s="166" t="s">
        <v>3790</v>
      </c>
      <c r="C1191" s="166" t="s">
        <v>1243</v>
      </c>
      <c r="D1191" s="166" t="s">
        <v>1823</v>
      </c>
      <c r="E1191" s="166" t="s">
        <v>1132</v>
      </c>
      <c r="F1191" s="166" t="s">
        <v>1241</v>
      </c>
      <c r="G1191" s="166" t="s">
        <v>129</v>
      </c>
      <c r="H1191" s="166">
        <v>46</v>
      </c>
      <c r="I1191" s="166">
        <v>0</v>
      </c>
      <c r="J1191" s="166">
        <v>0</v>
      </c>
      <c r="K1191" s="166" t="str">
        <f t="shared" si="18"/>
        <v>ENTITYGRP_ECNMC_ACTVTY</v>
      </c>
    </row>
    <row r="1192" spans="1:11" hidden="1">
      <c r="A1192" s="166" t="s">
        <v>3791</v>
      </c>
      <c r="B1192" s="166" t="s">
        <v>3792</v>
      </c>
      <c r="C1192" s="166" t="s">
        <v>139</v>
      </c>
      <c r="D1192" s="166" t="s">
        <v>1823</v>
      </c>
      <c r="E1192" s="166" t="s">
        <v>1132</v>
      </c>
      <c r="F1192" s="166" t="s">
        <v>1241</v>
      </c>
      <c r="G1192" s="166" t="s">
        <v>129</v>
      </c>
      <c r="H1192" s="166">
        <v>82695</v>
      </c>
      <c r="I1192" s="166">
        <v>0</v>
      </c>
      <c r="J1192" s="166">
        <v>0</v>
      </c>
      <c r="K1192" s="166" t="str">
        <f t="shared" si="18"/>
        <v>ENTITYGRP_ECNMC_ACTVTY</v>
      </c>
    </row>
    <row r="1193" spans="1:11" hidden="1">
      <c r="A1193" s="166" t="s">
        <v>3793</v>
      </c>
      <c r="B1193" s="166" t="s">
        <v>3794</v>
      </c>
      <c r="C1193" s="166" t="s">
        <v>1243</v>
      </c>
      <c r="D1193" s="166" t="s">
        <v>331</v>
      </c>
      <c r="E1193" s="166" t="s">
        <v>1132</v>
      </c>
      <c r="F1193" s="166" t="s">
        <v>1241</v>
      </c>
      <c r="G1193" s="166" t="s">
        <v>1134</v>
      </c>
      <c r="H1193" s="166">
        <v>39</v>
      </c>
      <c r="I1193" s="166">
        <v>1</v>
      </c>
      <c r="J1193" s="166">
        <v>2.5640999999999998</v>
      </c>
      <c r="K1193" s="166" t="str">
        <f t="shared" si="18"/>
        <v>ENTITYFR_CSH_FLW</v>
      </c>
    </row>
    <row r="1194" spans="1:11" hidden="1">
      <c r="A1194" s="166" t="s">
        <v>3795</v>
      </c>
      <c r="B1194" s="166" t="s">
        <v>3796</v>
      </c>
      <c r="C1194" s="166" t="s">
        <v>1243</v>
      </c>
      <c r="D1194" s="166" t="s">
        <v>332</v>
      </c>
      <c r="E1194" s="166" t="s">
        <v>1132</v>
      </c>
      <c r="F1194" s="166" t="s">
        <v>1241</v>
      </c>
      <c r="G1194" s="166" t="s">
        <v>129</v>
      </c>
      <c r="H1194" s="166">
        <v>39</v>
      </c>
      <c r="I1194" s="166">
        <v>0</v>
      </c>
      <c r="J1194" s="166">
        <v>0</v>
      </c>
      <c r="K1194" s="166" t="str">
        <f t="shared" si="18"/>
        <v>ENTITYFR_CSH_FLW_T1</v>
      </c>
    </row>
    <row r="1195" spans="1:11" hidden="1">
      <c r="A1195" s="166" t="s">
        <v>3797</v>
      </c>
      <c r="B1195" s="166" t="s">
        <v>3798</v>
      </c>
      <c r="C1195" s="166" t="s">
        <v>1243</v>
      </c>
      <c r="D1195" s="166" t="s">
        <v>333</v>
      </c>
      <c r="E1195" s="166" t="s">
        <v>1132</v>
      </c>
      <c r="F1195" s="166" t="s">
        <v>1241</v>
      </c>
      <c r="G1195" s="166" t="s">
        <v>129</v>
      </c>
      <c r="H1195" s="166">
        <v>39</v>
      </c>
      <c r="I1195" s="166">
        <v>0</v>
      </c>
      <c r="J1195" s="166">
        <v>0</v>
      </c>
      <c r="K1195" s="166" t="str">
        <f t="shared" si="18"/>
        <v>ENTITYFR_CSH_FLW_T2</v>
      </c>
    </row>
    <row r="1196" spans="1:11" hidden="1">
      <c r="A1196" s="166" t="s">
        <v>3799</v>
      </c>
      <c r="B1196" s="166" t="s">
        <v>3800</v>
      </c>
      <c r="C1196" s="166" t="s">
        <v>1243</v>
      </c>
      <c r="D1196" s="166" t="s">
        <v>334</v>
      </c>
      <c r="E1196" s="166" t="s">
        <v>1132</v>
      </c>
      <c r="F1196" s="166" t="s">
        <v>1241</v>
      </c>
      <c r="G1196" s="166" t="s">
        <v>129</v>
      </c>
      <c r="H1196" s="166">
        <v>39</v>
      </c>
      <c r="I1196" s="166">
        <v>0</v>
      </c>
      <c r="J1196" s="166">
        <v>0</v>
      </c>
      <c r="K1196" s="166" t="str">
        <f t="shared" si="18"/>
        <v>ENTITYFR_CSH_FLW_T3</v>
      </c>
    </row>
    <row r="1197" spans="1:11" hidden="1">
      <c r="A1197" s="166" t="s">
        <v>3801</v>
      </c>
      <c r="B1197" s="166" t="s">
        <v>3802</v>
      </c>
      <c r="C1197" s="166" t="s">
        <v>1243</v>
      </c>
      <c r="D1197" s="166" t="s">
        <v>543</v>
      </c>
      <c r="E1197" s="166" t="s">
        <v>1132</v>
      </c>
      <c r="F1197" s="166" t="s">
        <v>1241</v>
      </c>
      <c r="G1197" s="166" t="s">
        <v>129</v>
      </c>
      <c r="H1197" s="166">
        <v>0</v>
      </c>
      <c r="I1197" s="166">
        <v>0</v>
      </c>
      <c r="J1197" s="166">
        <v>0</v>
      </c>
      <c r="K1197" s="166" t="str">
        <f t="shared" si="18"/>
        <v>ENTITYADDRSS_CTY</v>
      </c>
    </row>
    <row r="1198" spans="1:11" hidden="1">
      <c r="A1198" s="166" t="s">
        <v>3803</v>
      </c>
      <c r="B1198" s="166" t="s">
        <v>3804</v>
      </c>
      <c r="C1198" s="166" t="s">
        <v>1243</v>
      </c>
      <c r="D1198" s="166" t="s">
        <v>545</v>
      </c>
      <c r="E1198" s="166" t="s">
        <v>1132</v>
      </c>
      <c r="F1198" s="166" t="s">
        <v>1241</v>
      </c>
      <c r="G1198" s="166" t="s">
        <v>129</v>
      </c>
      <c r="H1198" s="166">
        <v>0</v>
      </c>
      <c r="I1198" s="166">
        <v>0</v>
      </c>
      <c r="J1198" s="166">
        <v>0</v>
      </c>
      <c r="K1198" s="166" t="str">
        <f t="shared" si="18"/>
        <v>ENTITYADDRSS_STRT</v>
      </c>
    </row>
    <row r="1199" spans="1:11" hidden="1">
      <c r="A1199" s="166" t="s">
        <v>3805</v>
      </c>
      <c r="B1199" s="166" t="s">
        <v>3806</v>
      </c>
      <c r="C1199" s="166" t="s">
        <v>1243</v>
      </c>
      <c r="D1199" s="166" t="s">
        <v>546</v>
      </c>
      <c r="E1199" s="166" t="s">
        <v>1132</v>
      </c>
      <c r="F1199" s="166" t="s">
        <v>1241</v>
      </c>
      <c r="G1199" s="166" t="s">
        <v>129</v>
      </c>
      <c r="H1199" s="166">
        <v>81382</v>
      </c>
      <c r="I1199" s="166">
        <v>0</v>
      </c>
      <c r="J1199" s="166">
        <v>0</v>
      </c>
      <c r="K1199" s="166" t="str">
        <f t="shared" si="18"/>
        <v>ENTITYDT_ENTRPRS_SZ</v>
      </c>
    </row>
    <row r="1200" spans="1:11" hidden="1">
      <c r="A1200" s="166" t="s">
        <v>3807</v>
      </c>
      <c r="B1200" s="166" t="s">
        <v>3808</v>
      </c>
      <c r="C1200" s="166" t="s">
        <v>1243</v>
      </c>
      <c r="D1200" s="166" t="s">
        <v>546</v>
      </c>
      <c r="E1200" s="166" t="s">
        <v>1132</v>
      </c>
      <c r="F1200" s="166" t="s">
        <v>1241</v>
      </c>
      <c r="G1200" s="166" t="s">
        <v>129</v>
      </c>
      <c r="H1200" s="166">
        <v>0</v>
      </c>
      <c r="I1200" s="166">
        <v>0</v>
      </c>
      <c r="J1200" s="166">
        <v>0</v>
      </c>
      <c r="K1200" s="166" t="str">
        <f t="shared" si="18"/>
        <v>ENTITYDT_ENTRPRS_SZ</v>
      </c>
    </row>
    <row r="1201" spans="1:11" hidden="1">
      <c r="A1201" s="166" t="s">
        <v>3809</v>
      </c>
      <c r="B1201" s="166" t="s">
        <v>3810</v>
      </c>
      <c r="C1201" s="166" t="s">
        <v>1131</v>
      </c>
      <c r="D1201" s="166" t="s">
        <v>546</v>
      </c>
      <c r="E1201" s="166" t="s">
        <v>1132</v>
      </c>
      <c r="F1201" s="166" t="s">
        <v>1241</v>
      </c>
      <c r="G1201" s="166" t="s">
        <v>129</v>
      </c>
      <c r="H1201" s="166">
        <v>0</v>
      </c>
      <c r="I1201" s="166">
        <v>0</v>
      </c>
      <c r="J1201" s="166">
        <v>0</v>
      </c>
      <c r="K1201" s="166" t="str">
        <f t="shared" si="18"/>
        <v>ENTITYDT_ENTRPRS_SZ</v>
      </c>
    </row>
    <row r="1202" spans="1:11" hidden="1">
      <c r="A1202" s="166" t="s">
        <v>3811</v>
      </c>
      <c r="B1202" s="166" t="s">
        <v>3812</v>
      </c>
      <c r="C1202" s="166" t="s">
        <v>1243</v>
      </c>
      <c r="D1202" s="166" t="s">
        <v>547</v>
      </c>
      <c r="E1202" s="166" t="s">
        <v>1132</v>
      </c>
      <c r="F1202" s="166" t="s">
        <v>1241</v>
      </c>
      <c r="G1202" s="166" t="s">
        <v>129</v>
      </c>
      <c r="H1202" s="166">
        <v>81382</v>
      </c>
      <c r="I1202" s="166">
        <v>0</v>
      </c>
      <c r="J1202" s="166">
        <v>0</v>
      </c>
      <c r="K1202" s="166" t="str">
        <f t="shared" si="18"/>
        <v>ENTITYNMBR_EMPLYS</v>
      </c>
    </row>
    <row r="1203" spans="1:11" hidden="1">
      <c r="A1203" s="166" t="s">
        <v>3813</v>
      </c>
      <c r="B1203" s="166" t="s">
        <v>3814</v>
      </c>
      <c r="C1203" s="166" t="s">
        <v>1243</v>
      </c>
      <c r="D1203" s="166" t="s">
        <v>548</v>
      </c>
      <c r="E1203" s="166" t="s">
        <v>1132</v>
      </c>
      <c r="F1203" s="166" t="s">
        <v>1241</v>
      </c>
      <c r="G1203" s="166" t="s">
        <v>129</v>
      </c>
      <c r="H1203" s="166">
        <v>46</v>
      </c>
      <c r="I1203" s="166">
        <v>0</v>
      </c>
      <c r="J1203" s="166">
        <v>0</v>
      </c>
      <c r="K1203" s="166" t="str">
        <f t="shared" si="18"/>
        <v>ENTITYLGL_FRM</v>
      </c>
    </row>
    <row r="1204" spans="1:11" hidden="1">
      <c r="A1204" s="166" t="s">
        <v>3815</v>
      </c>
      <c r="B1204" s="166" t="s">
        <v>3816</v>
      </c>
      <c r="C1204" s="166" t="s">
        <v>1243</v>
      </c>
      <c r="D1204" s="166" t="s">
        <v>548</v>
      </c>
      <c r="E1204" s="166" t="s">
        <v>1132</v>
      </c>
      <c r="F1204" s="166" t="s">
        <v>1241</v>
      </c>
      <c r="G1204" s="166" t="s">
        <v>129</v>
      </c>
      <c r="H1204" s="166">
        <v>0</v>
      </c>
      <c r="I1204" s="166">
        <v>0</v>
      </c>
      <c r="J1204" s="166">
        <v>0</v>
      </c>
      <c r="K1204" s="166" t="str">
        <f t="shared" si="18"/>
        <v>ENTITYLGL_FRM</v>
      </c>
    </row>
    <row r="1205" spans="1:11" hidden="1">
      <c r="A1205" s="166" t="s">
        <v>3817</v>
      </c>
      <c r="B1205" s="166" t="s">
        <v>3818</v>
      </c>
      <c r="C1205" s="166" t="s">
        <v>1243</v>
      </c>
      <c r="D1205" s="166" t="s">
        <v>549</v>
      </c>
      <c r="E1205" s="166" t="s">
        <v>1132</v>
      </c>
      <c r="F1205" s="166" t="s">
        <v>1241</v>
      </c>
      <c r="G1205" s="166" t="s">
        <v>129</v>
      </c>
      <c r="H1205" s="166">
        <v>46</v>
      </c>
      <c r="I1205" s="166">
        <v>0</v>
      </c>
      <c r="J1205" s="166">
        <v>0</v>
      </c>
      <c r="K1205" s="166" t="str">
        <f t="shared" si="18"/>
        <v>ENTITYHD_OFFC_UNDRTKNG_ID</v>
      </c>
    </row>
    <row r="1206" spans="1:11" hidden="1">
      <c r="A1206" s="166" t="s">
        <v>3819</v>
      </c>
      <c r="B1206" s="166" t="s">
        <v>3820</v>
      </c>
      <c r="C1206" s="166" t="s">
        <v>1243</v>
      </c>
      <c r="D1206" s="166" t="s">
        <v>549</v>
      </c>
      <c r="E1206" s="166" t="s">
        <v>1132</v>
      </c>
      <c r="F1206" s="166" t="s">
        <v>1241</v>
      </c>
      <c r="G1206" s="166" t="s">
        <v>129</v>
      </c>
      <c r="H1206" s="166">
        <v>63823</v>
      </c>
      <c r="I1206" s="166">
        <v>0</v>
      </c>
      <c r="J1206" s="166">
        <v>0</v>
      </c>
      <c r="K1206" s="166" t="str">
        <f t="shared" si="18"/>
        <v>ENTITYHD_OFFC_UNDRTKNG_ID</v>
      </c>
    </row>
    <row r="1207" spans="1:11" hidden="1">
      <c r="A1207" s="166" t="s">
        <v>3821</v>
      </c>
      <c r="B1207" s="166" t="s">
        <v>3822</v>
      </c>
      <c r="C1207" s="166" t="s">
        <v>1243</v>
      </c>
      <c r="D1207" s="166" t="s">
        <v>549</v>
      </c>
      <c r="E1207" s="166" t="s">
        <v>1132</v>
      </c>
      <c r="F1207" s="166" t="s">
        <v>1241</v>
      </c>
      <c r="G1207" s="166" t="s">
        <v>129</v>
      </c>
      <c r="H1207" s="166">
        <v>18573</v>
      </c>
      <c r="I1207" s="166">
        <v>0</v>
      </c>
      <c r="J1207" s="166">
        <v>0</v>
      </c>
      <c r="K1207" s="166" t="str">
        <f t="shared" si="18"/>
        <v>ENTITYHD_OFFC_UNDRTKNG_ID</v>
      </c>
    </row>
    <row r="1208" spans="1:11" hidden="1">
      <c r="A1208" s="166" t="s">
        <v>3823</v>
      </c>
      <c r="B1208" s="166" t="s">
        <v>3824</v>
      </c>
      <c r="C1208" s="166" t="s">
        <v>139</v>
      </c>
      <c r="D1208" s="166" t="s">
        <v>549</v>
      </c>
      <c r="E1208" s="166" t="s">
        <v>10</v>
      </c>
      <c r="F1208" s="166" t="s">
        <v>1241</v>
      </c>
      <c r="G1208" s="166" t="s">
        <v>129</v>
      </c>
      <c r="H1208" s="166">
        <v>82443</v>
      </c>
      <c r="I1208" s="166">
        <v>0</v>
      </c>
      <c r="J1208" s="166">
        <v>0</v>
      </c>
      <c r="K1208" s="166" t="str">
        <f t="shared" si="18"/>
        <v>ENTITYHD_OFFC_UNDRTKNG_ID</v>
      </c>
    </row>
    <row r="1209" spans="1:11" hidden="1">
      <c r="A1209" s="166" t="s">
        <v>3825</v>
      </c>
      <c r="B1209" s="166" t="s">
        <v>3826</v>
      </c>
      <c r="C1209" s="166" t="s">
        <v>1243</v>
      </c>
      <c r="D1209" s="166" t="s">
        <v>550</v>
      </c>
      <c r="E1209" s="166" t="s">
        <v>1132</v>
      </c>
      <c r="F1209" s="166" t="s">
        <v>1241</v>
      </c>
      <c r="G1209" s="166" t="s">
        <v>129</v>
      </c>
      <c r="H1209" s="166">
        <v>46</v>
      </c>
      <c r="I1209" s="166">
        <v>0</v>
      </c>
      <c r="J1209" s="166">
        <v>0</v>
      </c>
      <c r="K1209" s="166" t="str">
        <f t="shared" si="18"/>
        <v>ENTITYIMMDT_PRNT_UNDRTKNG_ID</v>
      </c>
    </row>
    <row r="1210" spans="1:11" hidden="1">
      <c r="A1210" s="166" t="s">
        <v>3827</v>
      </c>
      <c r="B1210" s="166" t="s">
        <v>3828</v>
      </c>
      <c r="C1210" s="166" t="s">
        <v>1243</v>
      </c>
      <c r="D1210" s="166" t="s">
        <v>550</v>
      </c>
      <c r="E1210" s="166" t="s">
        <v>1132</v>
      </c>
      <c r="F1210" s="166" t="s">
        <v>1241</v>
      </c>
      <c r="G1210" s="166" t="s">
        <v>129</v>
      </c>
      <c r="H1210" s="166">
        <v>0</v>
      </c>
      <c r="I1210" s="166">
        <v>0</v>
      </c>
      <c r="J1210" s="166">
        <v>0</v>
      </c>
      <c r="K1210" s="166" t="str">
        <f t="shared" si="18"/>
        <v>ENTITYIMMDT_PRNT_UNDRTKNG_ID</v>
      </c>
    </row>
    <row r="1211" spans="1:11" hidden="1">
      <c r="A1211" s="166" t="s">
        <v>3829</v>
      </c>
      <c r="B1211" s="166" t="s">
        <v>3830</v>
      </c>
      <c r="C1211" s="166" t="s">
        <v>1243</v>
      </c>
      <c r="D1211" s="166" t="s">
        <v>550</v>
      </c>
      <c r="E1211" s="166" t="s">
        <v>1132</v>
      </c>
      <c r="F1211" s="166" t="s">
        <v>1241</v>
      </c>
      <c r="G1211" s="166" t="s">
        <v>129</v>
      </c>
      <c r="H1211" s="166">
        <v>0</v>
      </c>
      <c r="I1211" s="166">
        <v>0</v>
      </c>
      <c r="J1211" s="166">
        <v>0</v>
      </c>
      <c r="K1211" s="166" t="str">
        <f t="shared" si="18"/>
        <v>ENTITYIMMDT_PRNT_UNDRTKNG_ID</v>
      </c>
    </row>
    <row r="1212" spans="1:11" hidden="1">
      <c r="A1212" s="166" t="s">
        <v>3831</v>
      </c>
      <c r="B1212" s="166" t="s">
        <v>3832</v>
      </c>
      <c r="C1212" s="166" t="s">
        <v>1243</v>
      </c>
      <c r="D1212" s="166" t="s">
        <v>551</v>
      </c>
      <c r="E1212" s="166" t="s">
        <v>1132</v>
      </c>
      <c r="F1212" s="166" t="s">
        <v>1241</v>
      </c>
      <c r="G1212" s="166" t="s">
        <v>129</v>
      </c>
      <c r="H1212" s="166">
        <v>46</v>
      </c>
      <c r="I1212" s="166">
        <v>0</v>
      </c>
      <c r="J1212" s="166">
        <v>0</v>
      </c>
      <c r="K1212" s="166" t="str">
        <f t="shared" si="18"/>
        <v>ENTITYULTMT_PRNT_UNDRTKNG_ID</v>
      </c>
    </row>
    <row r="1213" spans="1:11" hidden="1">
      <c r="A1213" s="166" t="s">
        <v>3833</v>
      </c>
      <c r="B1213" s="166" t="s">
        <v>3834</v>
      </c>
      <c r="C1213" s="166" t="s">
        <v>1243</v>
      </c>
      <c r="D1213" s="166" t="s">
        <v>551</v>
      </c>
      <c r="E1213" s="166" t="s">
        <v>1132</v>
      </c>
      <c r="F1213" s="166" t="s">
        <v>1241</v>
      </c>
      <c r="G1213" s="166" t="s">
        <v>129</v>
      </c>
      <c r="H1213" s="166">
        <v>0</v>
      </c>
      <c r="I1213" s="166">
        <v>0</v>
      </c>
      <c r="J1213" s="166">
        <v>0</v>
      </c>
      <c r="K1213" s="166" t="str">
        <f t="shared" si="18"/>
        <v>ENTITYULTMT_PRNT_UNDRTKNG_ID</v>
      </c>
    </row>
    <row r="1214" spans="1:11" hidden="1">
      <c r="A1214" s="166" t="s">
        <v>3835</v>
      </c>
      <c r="B1214" s="166" t="s">
        <v>3836</v>
      </c>
      <c r="C1214" s="166" t="s">
        <v>1243</v>
      </c>
      <c r="D1214" s="166" t="s">
        <v>551</v>
      </c>
      <c r="E1214" s="166" t="s">
        <v>1132</v>
      </c>
      <c r="F1214" s="166" t="s">
        <v>1241</v>
      </c>
      <c r="G1214" s="166" t="s">
        <v>129</v>
      </c>
      <c r="H1214" s="166">
        <v>0</v>
      </c>
      <c r="I1214" s="166">
        <v>0</v>
      </c>
      <c r="J1214" s="166">
        <v>0</v>
      </c>
      <c r="K1214" s="166" t="str">
        <f t="shared" si="18"/>
        <v>ENTITYULTMT_PRNT_UNDRTKNG_ID</v>
      </c>
    </row>
    <row r="1215" spans="1:11" hidden="1">
      <c r="A1215" s="166" t="s">
        <v>3837</v>
      </c>
      <c r="B1215" s="166" t="s">
        <v>3838</v>
      </c>
      <c r="C1215" s="166" t="s">
        <v>1243</v>
      </c>
      <c r="D1215" s="166" t="s">
        <v>552</v>
      </c>
      <c r="E1215" s="166" t="s">
        <v>1132</v>
      </c>
      <c r="F1215" s="166" t="s">
        <v>1241</v>
      </c>
      <c r="G1215" s="166" t="s">
        <v>129</v>
      </c>
      <c r="H1215" s="166">
        <v>68644</v>
      </c>
      <c r="I1215" s="166">
        <v>0</v>
      </c>
      <c r="J1215" s="166">
        <v>0</v>
      </c>
      <c r="K1215" s="166" t="str">
        <f t="shared" si="18"/>
        <v>ENTITYTTL_ASSTS</v>
      </c>
    </row>
    <row r="1216" spans="1:11" hidden="1">
      <c r="A1216" s="166" t="s">
        <v>3839</v>
      </c>
      <c r="B1216" s="166" t="s">
        <v>3840</v>
      </c>
      <c r="C1216" s="166" t="s">
        <v>1243</v>
      </c>
      <c r="D1216" s="166" t="s">
        <v>552</v>
      </c>
      <c r="E1216" s="166" t="s">
        <v>1132</v>
      </c>
      <c r="F1216" s="166" t="s">
        <v>1241</v>
      </c>
      <c r="G1216" s="166" t="s">
        <v>129</v>
      </c>
      <c r="H1216" s="166">
        <v>46</v>
      </c>
      <c r="I1216" s="166">
        <v>0</v>
      </c>
      <c r="J1216" s="166">
        <v>0</v>
      </c>
      <c r="K1216" s="166" t="str">
        <f t="shared" si="18"/>
        <v>ENTITYTTL_ASSTS</v>
      </c>
    </row>
    <row r="1217" spans="1:11" hidden="1">
      <c r="A1217" s="166" t="s">
        <v>3841</v>
      </c>
      <c r="B1217" s="166" t="s">
        <v>3842</v>
      </c>
      <c r="C1217" s="166" t="s">
        <v>1243</v>
      </c>
      <c r="D1217" s="166" t="s">
        <v>1326</v>
      </c>
      <c r="E1217" s="166" t="s">
        <v>1132</v>
      </c>
      <c r="F1217" s="166" t="s">
        <v>1241</v>
      </c>
      <c r="G1217" s="166" t="s">
        <v>1134</v>
      </c>
      <c r="H1217" s="166">
        <v>39</v>
      </c>
      <c r="I1217" s="166">
        <v>38</v>
      </c>
      <c r="J1217" s="166">
        <v>97.435900000000004</v>
      </c>
      <c r="K1217" s="166" t="str">
        <f t="shared" si="18"/>
        <v>ENTITYFLLN_ANGL_NRRW_DFNTN</v>
      </c>
    </row>
    <row r="1218" spans="1:11" hidden="1">
      <c r="A1218" s="166" t="s">
        <v>3843</v>
      </c>
      <c r="B1218" s="166" t="s">
        <v>3844</v>
      </c>
      <c r="C1218" s="166" t="s">
        <v>1243</v>
      </c>
      <c r="D1218" s="166" t="s">
        <v>1327</v>
      </c>
      <c r="E1218" s="166" t="s">
        <v>1132</v>
      </c>
      <c r="F1218" s="166" t="s">
        <v>1241</v>
      </c>
      <c r="G1218" s="166" t="s">
        <v>1134</v>
      </c>
      <c r="H1218" s="166">
        <v>39</v>
      </c>
      <c r="I1218" s="166">
        <v>38</v>
      </c>
      <c r="J1218" s="166">
        <v>97.435900000000004</v>
      </c>
      <c r="K1218" s="166" t="str">
        <f t="shared" si="18"/>
        <v>ENTITYFLLN_ANGL_EXTNDD_DFNTN</v>
      </c>
    </row>
    <row r="1219" spans="1:11" hidden="1">
      <c r="A1219" s="166" t="s">
        <v>3845</v>
      </c>
      <c r="B1219" s="166" t="s">
        <v>3846</v>
      </c>
      <c r="C1219" s="166" t="s">
        <v>1243</v>
      </c>
      <c r="D1219" s="166" t="s">
        <v>1860</v>
      </c>
      <c r="E1219" s="166" t="s">
        <v>1132</v>
      </c>
      <c r="F1219" s="166" t="s">
        <v>1241</v>
      </c>
      <c r="G1219" s="166" t="s">
        <v>129</v>
      </c>
      <c r="H1219" s="166">
        <v>46</v>
      </c>
      <c r="I1219" s="166">
        <v>0</v>
      </c>
      <c r="J1219" s="166">
        <v>0</v>
      </c>
      <c r="K1219" s="166" t="str">
        <f t="shared" ref="K1219:K1282" si="19">_xlfn.CONCAT(_xlfn.IFS(ISNUMBER(SEARCH("EN",A1219)),"ENTITY",ISNUMBER(SEARCH("IN",A1219)),"INSTRUMENT",ISNUMBER(SEARCH("PR",A1219)),"PROTECTION",ISNUMBER(SEARCH("IP",A1219)),"INSTR_PROTECTION",ISNUMBER(SEARCH("IE",A1219)),"INSTR_ENTITY",ISNUMBER(SEARCH("AC",A1219)),"INSTR_ACTIVITY"),D1219)</f>
        <v>ENTITYTXNMY_ELGBL_CAPEX_W</v>
      </c>
    </row>
    <row r="1220" spans="1:11" hidden="1">
      <c r="A1220" s="166" t="s">
        <v>3847</v>
      </c>
      <c r="B1220" s="166" t="s">
        <v>3848</v>
      </c>
      <c r="C1220" s="166" t="s">
        <v>1243</v>
      </c>
      <c r="D1220" s="166" t="s">
        <v>1863</v>
      </c>
      <c r="E1220" s="166" t="s">
        <v>1132</v>
      </c>
      <c r="F1220" s="166" t="s">
        <v>1241</v>
      </c>
      <c r="G1220" s="166" t="s">
        <v>129</v>
      </c>
      <c r="H1220" s="166">
        <v>46</v>
      </c>
      <c r="I1220" s="166">
        <v>0</v>
      </c>
      <c r="J1220" s="166">
        <v>0</v>
      </c>
      <c r="K1220" s="166" t="str">
        <f t="shared" si="19"/>
        <v>ENTITYTXNMY_ELGBL_TRNVR_W</v>
      </c>
    </row>
    <row r="1221" spans="1:11" hidden="1">
      <c r="A1221" s="166" t="s">
        <v>3849</v>
      </c>
      <c r="B1221" s="166" t="s">
        <v>3850</v>
      </c>
      <c r="C1221" s="166" t="s">
        <v>1243</v>
      </c>
      <c r="D1221" s="166" t="s">
        <v>1866</v>
      </c>
      <c r="E1221" s="166" t="s">
        <v>1132</v>
      </c>
      <c r="F1221" s="166" t="s">
        <v>1241</v>
      </c>
      <c r="G1221" s="166" t="s">
        <v>129</v>
      </c>
      <c r="H1221" s="166">
        <v>46</v>
      </c>
      <c r="I1221" s="166">
        <v>0</v>
      </c>
      <c r="J1221" s="166">
        <v>0</v>
      </c>
      <c r="K1221" s="166" t="str">
        <f t="shared" si="19"/>
        <v>ENTITYTXNMY_ELGBL_CAPEX_P</v>
      </c>
    </row>
    <row r="1222" spans="1:11" hidden="1">
      <c r="A1222" s="166" t="s">
        <v>3851</v>
      </c>
      <c r="B1222" s="166" t="s">
        <v>3852</v>
      </c>
      <c r="C1222" s="166" t="s">
        <v>1243</v>
      </c>
      <c r="D1222" s="166" t="s">
        <v>1869</v>
      </c>
      <c r="E1222" s="166" t="s">
        <v>1132</v>
      </c>
      <c r="F1222" s="166" t="s">
        <v>1241</v>
      </c>
      <c r="G1222" s="166" t="s">
        <v>129</v>
      </c>
      <c r="H1222" s="166">
        <v>46</v>
      </c>
      <c r="I1222" s="166">
        <v>0</v>
      </c>
      <c r="J1222" s="166">
        <v>0</v>
      </c>
      <c r="K1222" s="166" t="str">
        <f t="shared" si="19"/>
        <v>ENTITYTXNMY_ELGBL_TRNVR_P</v>
      </c>
    </row>
    <row r="1223" spans="1:11" hidden="1">
      <c r="A1223" s="166" t="s">
        <v>3853</v>
      </c>
      <c r="B1223" s="166" t="s">
        <v>3854</v>
      </c>
      <c r="C1223" s="166" t="s">
        <v>1243</v>
      </c>
      <c r="D1223" s="166" t="s">
        <v>1872</v>
      </c>
      <c r="E1223" s="166" t="s">
        <v>1132</v>
      </c>
      <c r="F1223" s="166" t="s">
        <v>1241</v>
      </c>
      <c r="G1223" s="166" t="s">
        <v>129</v>
      </c>
      <c r="H1223" s="166">
        <v>46</v>
      </c>
      <c r="I1223" s="166">
        <v>0</v>
      </c>
      <c r="J1223" s="166">
        <v>0</v>
      </c>
      <c r="K1223" s="166" t="str">
        <f t="shared" si="19"/>
        <v>ENTITYTXNMY_ELGBL_CAPEX_B</v>
      </c>
    </row>
    <row r="1224" spans="1:11" hidden="1">
      <c r="A1224" s="166" t="s">
        <v>3855</v>
      </c>
      <c r="B1224" s="166" t="s">
        <v>3856</v>
      </c>
      <c r="C1224" s="166" t="s">
        <v>1243</v>
      </c>
      <c r="D1224" s="166" t="s">
        <v>1875</v>
      </c>
      <c r="E1224" s="166" t="s">
        <v>1132</v>
      </c>
      <c r="F1224" s="166" t="s">
        <v>1241</v>
      </c>
      <c r="G1224" s="166" t="s">
        <v>129</v>
      </c>
      <c r="H1224" s="166">
        <v>46</v>
      </c>
      <c r="I1224" s="166">
        <v>0</v>
      </c>
      <c r="J1224" s="166">
        <v>0</v>
      </c>
      <c r="K1224" s="166" t="str">
        <f t="shared" si="19"/>
        <v>ENTITYTXNMY_ELGBL_TRNVR_B</v>
      </c>
    </row>
    <row r="1225" spans="1:11" hidden="1">
      <c r="A1225" s="166" t="s">
        <v>3857</v>
      </c>
      <c r="B1225" s="166" t="s">
        <v>3858</v>
      </c>
      <c r="C1225" s="166" t="s">
        <v>1243</v>
      </c>
      <c r="D1225" s="166" t="s">
        <v>1878</v>
      </c>
      <c r="E1225" s="166" t="s">
        <v>1132</v>
      </c>
      <c r="F1225" s="166" t="s">
        <v>1241</v>
      </c>
      <c r="G1225" s="166" t="s">
        <v>129</v>
      </c>
      <c r="H1225" s="166">
        <v>46</v>
      </c>
      <c r="I1225" s="166">
        <v>0</v>
      </c>
      <c r="J1225" s="166">
        <v>0</v>
      </c>
      <c r="K1225" s="166" t="str">
        <f t="shared" si="19"/>
        <v>ENTITYTXNMY_ELGBL_CAPEX_CE</v>
      </c>
    </row>
    <row r="1226" spans="1:11" hidden="1">
      <c r="A1226" s="166" t="s">
        <v>3859</v>
      </c>
      <c r="B1226" s="166" t="s">
        <v>3860</v>
      </c>
      <c r="C1226" s="166" t="s">
        <v>1243</v>
      </c>
      <c r="D1226" s="166" t="s">
        <v>1881</v>
      </c>
      <c r="E1226" s="166" t="s">
        <v>1132</v>
      </c>
      <c r="F1226" s="166" t="s">
        <v>1241</v>
      </c>
      <c r="G1226" s="166" t="s">
        <v>129</v>
      </c>
      <c r="H1226" s="166">
        <v>46</v>
      </c>
      <c r="I1226" s="166">
        <v>0</v>
      </c>
      <c r="J1226" s="166">
        <v>0</v>
      </c>
      <c r="K1226" s="166" t="str">
        <f t="shared" si="19"/>
        <v>ENTITYTXNMY_ELGBL_TRNVR_CE</v>
      </c>
    </row>
    <row r="1227" spans="1:11" hidden="1">
      <c r="A1227" s="166" t="s">
        <v>3861</v>
      </c>
      <c r="B1227" s="166" t="s">
        <v>3862</v>
      </c>
      <c r="C1227" s="166" t="s">
        <v>1243</v>
      </c>
      <c r="D1227" s="166" t="s">
        <v>1884</v>
      </c>
      <c r="E1227" s="166" t="s">
        <v>1132</v>
      </c>
      <c r="F1227" s="166" t="s">
        <v>1241</v>
      </c>
      <c r="G1227" s="166" t="s">
        <v>129</v>
      </c>
      <c r="H1227" s="166">
        <v>46</v>
      </c>
      <c r="I1227" s="166">
        <v>0</v>
      </c>
      <c r="J1227" s="166">
        <v>0</v>
      </c>
      <c r="K1227" s="166" t="str">
        <f t="shared" si="19"/>
        <v>ENTITYPURE_CAPEX_P</v>
      </c>
    </row>
    <row r="1228" spans="1:11" hidden="1">
      <c r="A1228" s="166" t="s">
        <v>3863</v>
      </c>
      <c r="B1228" s="166" t="s">
        <v>3864</v>
      </c>
      <c r="C1228" s="166" t="s">
        <v>1243</v>
      </c>
      <c r="D1228" s="166" t="s">
        <v>1887</v>
      </c>
      <c r="E1228" s="166" t="s">
        <v>1132</v>
      </c>
      <c r="F1228" s="166" t="s">
        <v>1241</v>
      </c>
      <c r="G1228" s="166" t="s">
        <v>129</v>
      </c>
      <c r="H1228" s="166">
        <v>46</v>
      </c>
      <c r="I1228" s="166">
        <v>0</v>
      </c>
      <c r="J1228" s="166">
        <v>0</v>
      </c>
      <c r="K1228" s="166" t="str">
        <f t="shared" si="19"/>
        <v>ENTITYPURE_TRNVR_P</v>
      </c>
    </row>
    <row r="1229" spans="1:11" hidden="1">
      <c r="A1229" s="166" t="s">
        <v>3865</v>
      </c>
      <c r="B1229" s="166" t="s">
        <v>3866</v>
      </c>
      <c r="C1229" s="166" t="s">
        <v>1243</v>
      </c>
      <c r="D1229" s="166" t="s">
        <v>1890</v>
      </c>
      <c r="E1229" s="166" t="s">
        <v>1132</v>
      </c>
      <c r="F1229" s="166" t="s">
        <v>1241</v>
      </c>
      <c r="G1229" s="166" t="s">
        <v>129</v>
      </c>
      <c r="H1229" s="166">
        <v>46</v>
      </c>
      <c r="I1229" s="166">
        <v>0</v>
      </c>
      <c r="J1229" s="166">
        <v>0</v>
      </c>
      <c r="K1229" s="166" t="str">
        <f t="shared" si="19"/>
        <v>ENTITYPURE_CAPEX_B</v>
      </c>
    </row>
    <row r="1230" spans="1:11" hidden="1">
      <c r="A1230" s="166" t="s">
        <v>3867</v>
      </c>
      <c r="B1230" s="166" t="s">
        <v>3868</v>
      </c>
      <c r="C1230" s="166" t="s">
        <v>1243</v>
      </c>
      <c r="D1230" s="166" t="s">
        <v>1893</v>
      </c>
      <c r="E1230" s="166" t="s">
        <v>1132</v>
      </c>
      <c r="F1230" s="166" t="s">
        <v>1241</v>
      </c>
      <c r="G1230" s="166" t="s">
        <v>129</v>
      </c>
      <c r="H1230" s="166">
        <v>46</v>
      </c>
      <c r="I1230" s="166">
        <v>0</v>
      </c>
      <c r="J1230" s="166">
        <v>0</v>
      </c>
      <c r="K1230" s="166" t="str">
        <f t="shared" si="19"/>
        <v>ENTITYPURE_TRNVR_B</v>
      </c>
    </row>
    <row r="1231" spans="1:11" hidden="1">
      <c r="A1231" s="166" t="s">
        <v>3869</v>
      </c>
      <c r="B1231" s="166" t="s">
        <v>3870</v>
      </c>
      <c r="C1231" s="166" t="s">
        <v>1243</v>
      </c>
      <c r="D1231" s="166" t="s">
        <v>1896</v>
      </c>
      <c r="E1231" s="166" t="s">
        <v>1132</v>
      </c>
      <c r="F1231" s="166" t="s">
        <v>1241</v>
      </c>
      <c r="G1231" s="166" t="s">
        <v>129</v>
      </c>
      <c r="H1231" s="166">
        <v>46</v>
      </c>
      <c r="I1231" s="166">
        <v>0</v>
      </c>
      <c r="J1231" s="166">
        <v>0</v>
      </c>
      <c r="K1231" s="166" t="str">
        <f t="shared" si="19"/>
        <v>ENTITYPURE_CAPEX_W</v>
      </c>
    </row>
    <row r="1232" spans="1:11" hidden="1">
      <c r="A1232" s="166" t="s">
        <v>3871</v>
      </c>
      <c r="B1232" s="166" t="s">
        <v>3872</v>
      </c>
      <c r="C1232" s="166" t="s">
        <v>1243</v>
      </c>
      <c r="D1232" s="166" t="s">
        <v>1899</v>
      </c>
      <c r="E1232" s="166" t="s">
        <v>1132</v>
      </c>
      <c r="F1232" s="166" t="s">
        <v>1241</v>
      </c>
      <c r="G1232" s="166" t="s">
        <v>129</v>
      </c>
      <c r="H1232" s="166">
        <v>46</v>
      </c>
      <c r="I1232" s="166">
        <v>0</v>
      </c>
      <c r="J1232" s="166">
        <v>0</v>
      </c>
      <c r="K1232" s="166" t="str">
        <f t="shared" si="19"/>
        <v>ENTITYPURE_TRNVR_W</v>
      </c>
    </row>
    <row r="1233" spans="1:11" hidden="1">
      <c r="A1233" s="166" t="s">
        <v>3873</v>
      </c>
      <c r="B1233" s="166" t="s">
        <v>3874</v>
      </c>
      <c r="C1233" s="166" t="s">
        <v>1243</v>
      </c>
      <c r="D1233" s="166" t="s">
        <v>1902</v>
      </c>
      <c r="E1233" s="166" t="s">
        <v>1132</v>
      </c>
      <c r="F1233" s="166" t="s">
        <v>1241</v>
      </c>
      <c r="G1233" s="166" t="s">
        <v>129</v>
      </c>
      <c r="H1233" s="166">
        <v>46</v>
      </c>
      <c r="I1233" s="166">
        <v>0</v>
      </c>
      <c r="J1233" s="166">
        <v>0</v>
      </c>
      <c r="K1233" s="166" t="str">
        <f t="shared" si="19"/>
        <v>ENTITYPURE_CAPEX_CE</v>
      </c>
    </row>
    <row r="1234" spans="1:11" hidden="1">
      <c r="A1234" s="166" t="s">
        <v>3875</v>
      </c>
      <c r="B1234" s="166" t="s">
        <v>3876</v>
      </c>
      <c r="C1234" s="166" t="s">
        <v>1243</v>
      </c>
      <c r="D1234" s="166" t="s">
        <v>1905</v>
      </c>
      <c r="E1234" s="166" t="s">
        <v>1132</v>
      </c>
      <c r="F1234" s="166" t="s">
        <v>1241</v>
      </c>
      <c r="G1234" s="166" t="s">
        <v>129</v>
      </c>
      <c r="H1234" s="166">
        <v>46</v>
      </c>
      <c r="I1234" s="166">
        <v>0</v>
      </c>
      <c r="J1234" s="166">
        <v>0</v>
      </c>
      <c r="K1234" s="166" t="str">
        <f t="shared" si="19"/>
        <v>ENTITYPURE_TRNVR_CE</v>
      </c>
    </row>
    <row r="1235" spans="1:11" hidden="1">
      <c r="A1235" s="166" t="s">
        <v>3877</v>
      </c>
      <c r="B1235" s="166" t="s">
        <v>3878</v>
      </c>
      <c r="C1235" s="166" t="s">
        <v>1243</v>
      </c>
      <c r="D1235" s="166" t="s">
        <v>1908</v>
      </c>
      <c r="E1235" s="166" t="s">
        <v>1132</v>
      </c>
      <c r="F1235" s="166" t="s">
        <v>1241</v>
      </c>
      <c r="G1235" s="166" t="s">
        <v>129</v>
      </c>
      <c r="H1235" s="166">
        <v>46</v>
      </c>
      <c r="I1235" s="166">
        <v>0</v>
      </c>
      <c r="J1235" s="166">
        <v>0</v>
      </c>
      <c r="K1235" s="166" t="str">
        <f t="shared" si="19"/>
        <v>ENTITYENBLNG_CAPEX_W</v>
      </c>
    </row>
    <row r="1236" spans="1:11" hidden="1">
      <c r="A1236" s="166" t="s">
        <v>3879</v>
      </c>
      <c r="B1236" s="166" t="s">
        <v>3880</v>
      </c>
      <c r="C1236" s="166" t="s">
        <v>1243</v>
      </c>
      <c r="D1236" s="166" t="s">
        <v>1911</v>
      </c>
      <c r="E1236" s="166" t="s">
        <v>1132</v>
      </c>
      <c r="F1236" s="166" t="s">
        <v>1241</v>
      </c>
      <c r="G1236" s="166" t="s">
        <v>129</v>
      </c>
      <c r="H1236" s="166">
        <v>46</v>
      </c>
      <c r="I1236" s="166">
        <v>0</v>
      </c>
      <c r="J1236" s="166">
        <v>0</v>
      </c>
      <c r="K1236" s="166" t="str">
        <f t="shared" si="19"/>
        <v>ENTITYENBLNG_TRNVR_W</v>
      </c>
    </row>
    <row r="1237" spans="1:11" hidden="1">
      <c r="A1237" s="166" t="s">
        <v>3881</v>
      </c>
      <c r="B1237" s="166" t="s">
        <v>3882</v>
      </c>
      <c r="C1237" s="166" t="s">
        <v>1243</v>
      </c>
      <c r="D1237" s="166" t="s">
        <v>1914</v>
      </c>
      <c r="E1237" s="166" t="s">
        <v>1132</v>
      </c>
      <c r="F1237" s="166" t="s">
        <v>1241</v>
      </c>
      <c r="G1237" s="166" t="s">
        <v>129</v>
      </c>
      <c r="H1237" s="166">
        <v>46</v>
      </c>
      <c r="I1237" s="166">
        <v>0</v>
      </c>
      <c r="J1237" s="166">
        <v>0</v>
      </c>
      <c r="K1237" s="166" t="str">
        <f t="shared" si="19"/>
        <v>ENTITYENBLNG_CAPEX_CE</v>
      </c>
    </row>
    <row r="1238" spans="1:11" hidden="1">
      <c r="A1238" s="166" t="s">
        <v>3883</v>
      </c>
      <c r="B1238" s="166" t="s">
        <v>3884</v>
      </c>
      <c r="C1238" s="166" t="s">
        <v>1243</v>
      </c>
      <c r="D1238" s="166" t="s">
        <v>1917</v>
      </c>
      <c r="E1238" s="166" t="s">
        <v>1132</v>
      </c>
      <c r="F1238" s="166" t="s">
        <v>1241</v>
      </c>
      <c r="G1238" s="166" t="s">
        <v>129</v>
      </c>
      <c r="H1238" s="166">
        <v>46</v>
      </c>
      <c r="I1238" s="166">
        <v>0</v>
      </c>
      <c r="J1238" s="166">
        <v>0</v>
      </c>
      <c r="K1238" s="166" t="str">
        <f t="shared" si="19"/>
        <v>ENTITYENBLNG_TRNVR_CE</v>
      </c>
    </row>
    <row r="1239" spans="1:11" hidden="1">
      <c r="A1239" s="166" t="s">
        <v>3885</v>
      </c>
      <c r="B1239" s="166" t="s">
        <v>3886</v>
      </c>
      <c r="C1239" s="166" t="s">
        <v>1243</v>
      </c>
      <c r="D1239" s="166" t="s">
        <v>1325</v>
      </c>
      <c r="E1239" s="166" t="s">
        <v>1132</v>
      </c>
      <c r="F1239" s="166" t="s">
        <v>1241</v>
      </c>
      <c r="G1239" s="166" t="s">
        <v>129</v>
      </c>
      <c r="H1239" s="166">
        <v>63747</v>
      </c>
      <c r="I1239" s="166">
        <v>0</v>
      </c>
      <c r="J1239" s="166">
        <v>0</v>
      </c>
      <c r="K1239" s="166" t="str">
        <f t="shared" si="19"/>
        <v>ENTITYGRP_RORAC</v>
      </c>
    </row>
    <row r="1240" spans="1:11" hidden="1">
      <c r="A1240" s="166" t="s">
        <v>3887</v>
      </c>
      <c r="B1240" s="166" t="s">
        <v>3888</v>
      </c>
      <c r="C1240" s="166" t="s">
        <v>1243</v>
      </c>
      <c r="D1240" s="166" t="s">
        <v>1325</v>
      </c>
      <c r="E1240" s="166" t="s">
        <v>1132</v>
      </c>
      <c r="F1240" s="166" t="s">
        <v>1241</v>
      </c>
      <c r="G1240" s="166" t="s">
        <v>129</v>
      </c>
      <c r="H1240" s="166">
        <v>18582</v>
      </c>
      <c r="I1240" s="166">
        <v>0</v>
      </c>
      <c r="J1240" s="166">
        <v>0</v>
      </c>
      <c r="K1240" s="166" t="str">
        <f t="shared" si="19"/>
        <v>ENTITYGRP_RORAC</v>
      </c>
    </row>
    <row r="1241" spans="1:11" hidden="1">
      <c r="A1241" s="166" t="s">
        <v>3889</v>
      </c>
      <c r="B1241" s="166" t="s">
        <v>3890</v>
      </c>
      <c r="C1241" s="166" t="s">
        <v>139</v>
      </c>
      <c r="D1241" s="166" t="s">
        <v>1325</v>
      </c>
      <c r="E1241" s="166" t="s">
        <v>10</v>
      </c>
      <c r="F1241" s="166" t="s">
        <v>1241</v>
      </c>
      <c r="G1241" s="166" t="s">
        <v>129</v>
      </c>
      <c r="H1241" s="166">
        <v>82329</v>
      </c>
      <c r="I1241" s="166">
        <v>0</v>
      </c>
      <c r="J1241" s="166">
        <v>0</v>
      </c>
      <c r="K1241" s="166" t="str">
        <f t="shared" si="19"/>
        <v>ENTITYGRP_RORAC</v>
      </c>
    </row>
    <row r="1242" spans="1:11" hidden="1">
      <c r="A1242" s="166" t="s">
        <v>3891</v>
      </c>
      <c r="B1242" s="166" t="s">
        <v>3892</v>
      </c>
      <c r="C1242" s="166" t="s">
        <v>1243</v>
      </c>
      <c r="D1242" s="166" t="s">
        <v>1324</v>
      </c>
      <c r="E1242" s="166" t="s">
        <v>1132</v>
      </c>
      <c r="F1242" s="166" t="s">
        <v>1241</v>
      </c>
      <c r="G1242" s="166" t="s">
        <v>129</v>
      </c>
      <c r="H1242" s="166">
        <v>63747</v>
      </c>
      <c r="I1242" s="166">
        <v>0</v>
      </c>
      <c r="J1242" s="166">
        <v>0</v>
      </c>
      <c r="K1242" s="166" t="str">
        <f t="shared" si="19"/>
        <v>ENTITYGRP_RORWA</v>
      </c>
    </row>
    <row r="1243" spans="1:11" hidden="1">
      <c r="A1243" s="166" t="s">
        <v>3893</v>
      </c>
      <c r="B1243" s="166" t="s">
        <v>3894</v>
      </c>
      <c r="C1243" s="166" t="s">
        <v>1243</v>
      </c>
      <c r="D1243" s="166" t="s">
        <v>1324</v>
      </c>
      <c r="E1243" s="166" t="s">
        <v>1132</v>
      </c>
      <c r="F1243" s="166" t="s">
        <v>1241</v>
      </c>
      <c r="G1243" s="166" t="s">
        <v>129</v>
      </c>
      <c r="H1243" s="166">
        <v>18582</v>
      </c>
      <c r="I1243" s="166">
        <v>0</v>
      </c>
      <c r="J1243" s="166">
        <v>0</v>
      </c>
      <c r="K1243" s="166" t="str">
        <f t="shared" si="19"/>
        <v>ENTITYGRP_RORWA</v>
      </c>
    </row>
    <row r="1244" spans="1:11" hidden="1">
      <c r="A1244" s="166" t="s">
        <v>3895</v>
      </c>
      <c r="B1244" s="166" t="s">
        <v>3896</v>
      </c>
      <c r="C1244" s="166" t="s">
        <v>139</v>
      </c>
      <c r="D1244" s="166" t="s">
        <v>1324</v>
      </c>
      <c r="E1244" s="166" t="s">
        <v>10</v>
      </c>
      <c r="F1244" s="166" t="s">
        <v>1241</v>
      </c>
      <c r="G1244" s="166" t="s">
        <v>129</v>
      </c>
      <c r="H1244" s="166">
        <v>82329</v>
      </c>
      <c r="I1244" s="166">
        <v>0</v>
      </c>
      <c r="J1244" s="166">
        <v>0</v>
      </c>
      <c r="K1244" s="166" t="str">
        <f t="shared" si="19"/>
        <v>ENTITYGRP_RORWA</v>
      </c>
    </row>
    <row r="1245" spans="1:11" hidden="1">
      <c r="A1245" s="166" t="s">
        <v>3897</v>
      </c>
      <c r="B1245" s="166" t="s">
        <v>3898</v>
      </c>
      <c r="C1245" s="166" t="s">
        <v>1243</v>
      </c>
      <c r="D1245" s="166" t="s">
        <v>1315</v>
      </c>
      <c r="E1245" s="166" t="s">
        <v>1132</v>
      </c>
      <c r="F1245" s="166" t="s">
        <v>1241</v>
      </c>
      <c r="G1245" s="166" t="s">
        <v>129</v>
      </c>
      <c r="H1245" s="166">
        <v>38</v>
      </c>
      <c r="I1245" s="166">
        <v>0</v>
      </c>
      <c r="J1245" s="166">
        <v>0</v>
      </c>
      <c r="K1245" s="166" t="str">
        <f t="shared" si="19"/>
        <v>ENTITYTTL_PRMSSBL_DBT_BLNC</v>
      </c>
    </row>
    <row r="1246" spans="1:11" hidden="1">
      <c r="A1246" s="166" t="s">
        <v>3899</v>
      </c>
      <c r="B1246" s="166" t="s">
        <v>3900</v>
      </c>
      <c r="C1246" s="166" t="s">
        <v>1243</v>
      </c>
      <c r="D1246" s="166" t="s">
        <v>1315</v>
      </c>
      <c r="E1246" s="166" t="s">
        <v>1132</v>
      </c>
      <c r="F1246" s="166" t="s">
        <v>1241</v>
      </c>
      <c r="G1246" s="166" t="s">
        <v>1134</v>
      </c>
      <c r="H1246" s="166">
        <v>68372</v>
      </c>
      <c r="I1246" s="166">
        <v>1</v>
      </c>
      <c r="J1246" s="166">
        <v>1.5E-3</v>
      </c>
      <c r="K1246" s="166" t="str">
        <f t="shared" si="19"/>
        <v>ENTITYTTL_PRMSSBL_DBT_BLNC</v>
      </c>
    </row>
    <row r="1247" spans="1:11" hidden="1">
      <c r="A1247" s="166" t="s">
        <v>3901</v>
      </c>
      <c r="B1247" s="166" t="s">
        <v>3902</v>
      </c>
      <c r="C1247" s="166" t="s">
        <v>1131</v>
      </c>
      <c r="D1247" s="166" t="s">
        <v>510</v>
      </c>
      <c r="E1247" s="166" t="s">
        <v>1132</v>
      </c>
      <c r="F1247" s="166" t="s">
        <v>1133</v>
      </c>
      <c r="G1247" s="166" t="s">
        <v>129</v>
      </c>
      <c r="H1247" s="166">
        <v>0</v>
      </c>
      <c r="I1247" s="166">
        <v>0</v>
      </c>
      <c r="J1247" s="166">
        <v>0</v>
      </c>
      <c r="K1247" s="166" t="str">
        <f t="shared" si="19"/>
        <v>INSTRUMENTSUBPORTFOLIO_ID</v>
      </c>
    </row>
    <row r="1248" spans="1:11" hidden="1">
      <c r="A1248" s="166" t="s">
        <v>3903</v>
      </c>
      <c r="B1248" s="166" t="s">
        <v>3904</v>
      </c>
      <c r="C1248" s="166" t="s">
        <v>1142</v>
      </c>
      <c r="D1248" s="166" t="s">
        <v>367</v>
      </c>
      <c r="E1248" s="166" t="s">
        <v>1132</v>
      </c>
      <c r="F1248" s="166" t="s">
        <v>1133</v>
      </c>
      <c r="G1248" s="166" t="s">
        <v>129</v>
      </c>
      <c r="H1248" s="166">
        <v>2138477</v>
      </c>
      <c r="I1248" s="166">
        <v>0</v>
      </c>
      <c r="J1248" s="166">
        <v>0</v>
      </c>
      <c r="K1248" s="166" t="str">
        <f t="shared" si="19"/>
        <v>INSTRUMENTINSTRMNT_ID</v>
      </c>
    </row>
    <row r="1249" spans="1:11" hidden="1">
      <c r="A1249" s="166" t="s">
        <v>3905</v>
      </c>
      <c r="B1249" s="166" t="s">
        <v>3906</v>
      </c>
      <c r="C1249" s="166" t="s">
        <v>1142</v>
      </c>
      <c r="D1249" s="166" t="s">
        <v>259</v>
      </c>
      <c r="E1249" s="166" t="s">
        <v>1132</v>
      </c>
      <c r="F1249" s="166" t="s">
        <v>1133</v>
      </c>
      <c r="G1249" s="166" t="s">
        <v>1134</v>
      </c>
      <c r="H1249" s="166">
        <v>2108486</v>
      </c>
      <c r="I1249" s="166">
        <v>1428</v>
      </c>
      <c r="J1249" s="166">
        <v>6.7699999999999996E-2</v>
      </c>
      <c r="K1249" s="166" t="str">
        <f t="shared" si="19"/>
        <v>INSTRUMENTDT_INCPTN</v>
      </c>
    </row>
    <row r="1250" spans="1:11" hidden="1">
      <c r="A1250" s="166" t="s">
        <v>3907</v>
      </c>
      <c r="B1250" s="166" t="s">
        <v>3908</v>
      </c>
      <c r="C1250" s="166" t="s">
        <v>1131</v>
      </c>
      <c r="D1250" s="166" t="s">
        <v>259</v>
      </c>
      <c r="E1250" s="166" t="s">
        <v>1132</v>
      </c>
      <c r="F1250" s="166" t="s">
        <v>1133</v>
      </c>
      <c r="G1250" s="166" t="s">
        <v>1134</v>
      </c>
      <c r="H1250" s="166">
        <v>206</v>
      </c>
      <c r="I1250" s="166">
        <v>13</v>
      </c>
      <c r="J1250" s="166">
        <v>6.3106999999999998</v>
      </c>
      <c r="K1250" s="166" t="str">
        <f t="shared" si="19"/>
        <v>INSTRUMENTDT_INCPTN</v>
      </c>
    </row>
    <row r="1251" spans="1:11" hidden="1">
      <c r="A1251" s="166" t="s">
        <v>3909</v>
      </c>
      <c r="B1251" s="166" t="s">
        <v>3910</v>
      </c>
      <c r="C1251" s="166" t="s">
        <v>127</v>
      </c>
      <c r="D1251" s="166" t="s">
        <v>259</v>
      </c>
      <c r="E1251" s="166" t="s">
        <v>1132</v>
      </c>
      <c r="F1251" s="166" t="s">
        <v>1133</v>
      </c>
      <c r="G1251" s="166" t="s">
        <v>129</v>
      </c>
      <c r="H1251" s="166">
        <v>2138963</v>
      </c>
      <c r="I1251" s="166">
        <v>0</v>
      </c>
      <c r="J1251" s="166">
        <v>0</v>
      </c>
      <c r="K1251" s="166" t="str">
        <f t="shared" si="19"/>
        <v>INSTRUMENTDT_INCPTN</v>
      </c>
    </row>
    <row r="1252" spans="1:11" hidden="1">
      <c r="A1252" s="166" t="s">
        <v>3911</v>
      </c>
      <c r="B1252" s="166" t="s">
        <v>3912</v>
      </c>
      <c r="C1252" s="166" t="s">
        <v>1131</v>
      </c>
      <c r="D1252" s="166" t="s">
        <v>259</v>
      </c>
      <c r="E1252" s="166" t="s">
        <v>1132</v>
      </c>
      <c r="F1252" s="166" t="s">
        <v>1133</v>
      </c>
      <c r="G1252" s="166" t="s">
        <v>129</v>
      </c>
      <c r="H1252" s="166">
        <v>3</v>
      </c>
      <c r="I1252" s="166">
        <v>0</v>
      </c>
      <c r="J1252" s="166">
        <v>0</v>
      </c>
      <c r="K1252" s="166" t="str">
        <f t="shared" si="19"/>
        <v>INSTRUMENTDT_INCPTN</v>
      </c>
    </row>
    <row r="1253" spans="1:11" hidden="1">
      <c r="A1253" s="166" t="s">
        <v>3913</v>
      </c>
      <c r="B1253" s="166" t="s">
        <v>3914</v>
      </c>
      <c r="C1253" s="166" t="s">
        <v>1131</v>
      </c>
      <c r="D1253" s="166" t="s">
        <v>163</v>
      </c>
      <c r="E1253" s="166" t="s">
        <v>1132</v>
      </c>
      <c r="F1253" s="166" t="s">
        <v>1133</v>
      </c>
      <c r="G1253" s="166" t="s">
        <v>129</v>
      </c>
      <c r="H1253" s="166">
        <v>279</v>
      </c>
      <c r="I1253" s="166">
        <v>0</v>
      </c>
      <c r="J1253" s="166">
        <v>0</v>
      </c>
      <c r="K1253" s="166" t="str">
        <f t="shared" si="19"/>
        <v>INSTRUMENTBRCHD_CVNNTS</v>
      </c>
    </row>
    <row r="1254" spans="1:11" hidden="1">
      <c r="A1254" s="166" t="s">
        <v>3915</v>
      </c>
      <c r="B1254" s="166" t="s">
        <v>3916</v>
      </c>
      <c r="C1254" s="166" t="s">
        <v>1131</v>
      </c>
      <c r="D1254" s="166" t="s">
        <v>204</v>
      </c>
      <c r="E1254" s="166" t="s">
        <v>1132</v>
      </c>
      <c r="F1254" s="166" t="s">
        <v>1133</v>
      </c>
      <c r="G1254" s="166" t="s">
        <v>129</v>
      </c>
      <c r="H1254" s="166">
        <v>0</v>
      </c>
      <c r="I1254" s="166">
        <v>0</v>
      </c>
      <c r="J1254" s="166">
        <v>0</v>
      </c>
      <c r="K1254" s="166" t="str">
        <f t="shared" si="19"/>
        <v>INSTRUMENTCVNNT_STTS</v>
      </c>
    </row>
    <row r="1255" spans="1:11" hidden="1">
      <c r="A1255" s="166" t="s">
        <v>3917</v>
      </c>
      <c r="B1255" s="166" t="s">
        <v>3918</v>
      </c>
      <c r="C1255" s="166" t="s">
        <v>1131</v>
      </c>
      <c r="D1255" s="166" t="s">
        <v>204</v>
      </c>
      <c r="E1255" s="166" t="s">
        <v>1132</v>
      </c>
      <c r="F1255" s="166" t="s">
        <v>1133</v>
      </c>
      <c r="G1255" s="166" t="s">
        <v>1134</v>
      </c>
      <c r="H1255" s="166">
        <v>378839</v>
      </c>
      <c r="I1255" s="166">
        <v>378543</v>
      </c>
      <c r="J1255" s="166">
        <v>99.921899999999994</v>
      </c>
      <c r="K1255" s="166" t="str">
        <f t="shared" si="19"/>
        <v>INSTRUMENTCVNNT_STTS</v>
      </c>
    </row>
    <row r="1256" spans="1:11" hidden="1">
      <c r="A1256" s="166" t="s">
        <v>3919</v>
      </c>
      <c r="B1256" s="166" t="s">
        <v>3920</v>
      </c>
      <c r="C1256" s="166" t="s">
        <v>1131</v>
      </c>
      <c r="D1256" s="166" t="s">
        <v>205</v>
      </c>
      <c r="E1256" s="166" t="s">
        <v>1132</v>
      </c>
      <c r="F1256" s="166" t="s">
        <v>1133</v>
      </c>
      <c r="G1256" s="166" t="s">
        <v>129</v>
      </c>
      <c r="H1256" s="166">
        <v>0</v>
      </c>
      <c r="I1256" s="166">
        <v>0</v>
      </c>
      <c r="J1256" s="166">
        <v>0</v>
      </c>
      <c r="K1256" s="166" t="str">
        <f t="shared" si="19"/>
        <v>INSTRUMENTCVNNT_TYP</v>
      </c>
    </row>
    <row r="1257" spans="1:11" hidden="1">
      <c r="A1257" s="166" t="s">
        <v>3921</v>
      </c>
      <c r="B1257" s="166" t="s">
        <v>3922</v>
      </c>
      <c r="C1257" s="166" t="s">
        <v>1131</v>
      </c>
      <c r="D1257" s="166" t="s">
        <v>205</v>
      </c>
      <c r="E1257" s="166" t="s">
        <v>1132</v>
      </c>
      <c r="F1257" s="166" t="s">
        <v>1133</v>
      </c>
      <c r="G1257" s="166" t="s">
        <v>129</v>
      </c>
      <c r="H1257" s="166">
        <v>279</v>
      </c>
      <c r="I1257" s="166">
        <v>0</v>
      </c>
      <c r="J1257" s="166">
        <v>0</v>
      </c>
      <c r="K1257" s="166" t="str">
        <f t="shared" si="19"/>
        <v>INSTRUMENTCVNNT_TYP</v>
      </c>
    </row>
    <row r="1258" spans="1:11" hidden="1">
      <c r="A1258" s="166" t="s">
        <v>3923</v>
      </c>
      <c r="B1258" s="166" t="s">
        <v>3924</v>
      </c>
      <c r="C1258" s="166" t="s">
        <v>1131</v>
      </c>
      <c r="D1258" s="166" t="s">
        <v>205</v>
      </c>
      <c r="E1258" s="166" t="s">
        <v>1132</v>
      </c>
      <c r="F1258" s="166" t="s">
        <v>1133</v>
      </c>
      <c r="G1258" s="166" t="s">
        <v>129</v>
      </c>
      <c r="H1258" s="166">
        <v>18</v>
      </c>
      <c r="I1258" s="166">
        <v>0</v>
      </c>
      <c r="J1258" s="166">
        <v>0</v>
      </c>
      <c r="K1258" s="166" t="str">
        <f t="shared" si="19"/>
        <v>INSTRUMENTCVNNT_TYP</v>
      </c>
    </row>
    <row r="1259" spans="1:11" hidden="1">
      <c r="A1259" s="166" t="s">
        <v>3925</v>
      </c>
      <c r="B1259" s="166" t="s">
        <v>3926</v>
      </c>
      <c r="C1259" s="166" t="s">
        <v>1131</v>
      </c>
      <c r="D1259" s="166" t="s">
        <v>205</v>
      </c>
      <c r="E1259" s="166" t="s">
        <v>1132</v>
      </c>
      <c r="F1259" s="166" t="s">
        <v>1133</v>
      </c>
      <c r="G1259" s="166" t="s">
        <v>129</v>
      </c>
      <c r="H1259" s="166">
        <v>1</v>
      </c>
      <c r="I1259" s="166">
        <v>0</v>
      </c>
      <c r="J1259" s="166">
        <v>0</v>
      </c>
      <c r="K1259" s="166" t="str">
        <f t="shared" si="19"/>
        <v>INSTRUMENTCVNNT_TYP</v>
      </c>
    </row>
    <row r="1260" spans="1:11" hidden="1">
      <c r="A1260" s="166" t="s">
        <v>3927</v>
      </c>
      <c r="B1260" s="166" t="s">
        <v>3928</v>
      </c>
      <c r="C1260" s="166" t="s">
        <v>1142</v>
      </c>
      <c r="D1260" s="166" t="s">
        <v>480</v>
      </c>
      <c r="E1260" s="166" t="s">
        <v>1132</v>
      </c>
      <c r="F1260" s="166" t="s">
        <v>1133</v>
      </c>
      <c r="G1260" s="166" t="s">
        <v>129</v>
      </c>
      <c r="H1260" s="166">
        <v>0</v>
      </c>
      <c r="I1260" s="166">
        <v>0</v>
      </c>
      <c r="J1260" s="166">
        <v>0</v>
      </c>
      <c r="K1260" s="166" t="str">
        <f t="shared" si="19"/>
        <v>INSTRUMENTDFLT_STTS_INSTRMNT</v>
      </c>
    </row>
    <row r="1261" spans="1:11" hidden="1">
      <c r="A1261" s="166" t="s">
        <v>3929</v>
      </c>
      <c r="B1261" s="166" t="s">
        <v>3930</v>
      </c>
      <c r="C1261" s="166" t="s">
        <v>1160</v>
      </c>
      <c r="D1261" s="166" t="s">
        <v>480</v>
      </c>
      <c r="E1261" s="166" t="s">
        <v>1132</v>
      </c>
      <c r="F1261" s="166" t="s">
        <v>1133</v>
      </c>
      <c r="G1261" s="166" t="s">
        <v>1134</v>
      </c>
      <c r="H1261" s="166">
        <v>110</v>
      </c>
      <c r="I1261" s="166">
        <v>12</v>
      </c>
      <c r="J1261" s="166">
        <v>10.9091</v>
      </c>
      <c r="K1261" s="166" t="str">
        <f t="shared" si="19"/>
        <v>INSTRUMENTDFLT_STTS_INSTRMNT</v>
      </c>
    </row>
    <row r="1262" spans="1:11" hidden="1">
      <c r="A1262" s="166" t="s">
        <v>3931</v>
      </c>
      <c r="B1262" s="166" t="s">
        <v>3932</v>
      </c>
      <c r="C1262" s="166" t="s">
        <v>1142</v>
      </c>
      <c r="D1262" s="166" t="s">
        <v>241</v>
      </c>
      <c r="E1262" s="166" t="s">
        <v>1132</v>
      </c>
      <c r="F1262" s="166" t="s">
        <v>1133</v>
      </c>
      <c r="G1262" s="166" t="s">
        <v>129</v>
      </c>
      <c r="H1262" s="166">
        <v>0</v>
      </c>
      <c r="I1262" s="166">
        <v>0</v>
      </c>
      <c r="J1262" s="166">
        <v>0</v>
      </c>
      <c r="K1262" s="166" t="str">
        <f t="shared" si="19"/>
        <v>INSTRUMENTDT_DFLT_STTS_INSTRMNT</v>
      </c>
    </row>
    <row r="1263" spans="1:11" hidden="1">
      <c r="A1263" s="166" t="s">
        <v>3933</v>
      </c>
      <c r="B1263" s="166" t="s">
        <v>3934</v>
      </c>
      <c r="C1263" s="166" t="s">
        <v>1142</v>
      </c>
      <c r="D1263" s="166" t="s">
        <v>241</v>
      </c>
      <c r="E1263" s="166" t="s">
        <v>1132</v>
      </c>
      <c r="F1263" s="166" t="s">
        <v>1133</v>
      </c>
      <c r="G1263" s="166" t="s">
        <v>129</v>
      </c>
      <c r="H1263" s="166">
        <v>23410</v>
      </c>
      <c r="I1263" s="166">
        <v>0</v>
      </c>
      <c r="J1263" s="166">
        <v>0</v>
      </c>
      <c r="K1263" s="166" t="str">
        <f t="shared" si="19"/>
        <v>INSTRUMENTDT_DFLT_STTS_INSTRMNT</v>
      </c>
    </row>
    <row r="1264" spans="1:11" hidden="1">
      <c r="A1264" s="166" t="s">
        <v>3935</v>
      </c>
      <c r="B1264" s="166" t="s">
        <v>3936</v>
      </c>
      <c r="C1264" s="166" t="s">
        <v>1131</v>
      </c>
      <c r="D1264" s="166" t="s">
        <v>241</v>
      </c>
      <c r="E1264" s="166" t="s">
        <v>1132</v>
      </c>
      <c r="F1264" s="166" t="s">
        <v>1133</v>
      </c>
      <c r="G1264" s="166" t="s">
        <v>1134</v>
      </c>
      <c r="H1264" s="166">
        <v>2138628</v>
      </c>
      <c r="I1264" s="166">
        <v>1</v>
      </c>
      <c r="J1264" s="166">
        <v>0</v>
      </c>
      <c r="K1264" s="166" t="str">
        <f t="shared" si="19"/>
        <v>INSTRUMENTDT_DFLT_STTS_INSTRMNT</v>
      </c>
    </row>
    <row r="1265" spans="1:11" hidden="1">
      <c r="A1265" s="166" t="s">
        <v>3937</v>
      </c>
      <c r="B1265" s="166" t="s">
        <v>3938</v>
      </c>
      <c r="C1265" s="166" t="s">
        <v>1131</v>
      </c>
      <c r="D1265" s="166" t="s">
        <v>241</v>
      </c>
      <c r="E1265" s="166" t="s">
        <v>1132</v>
      </c>
      <c r="F1265" s="166" t="s">
        <v>1133</v>
      </c>
      <c r="G1265" s="166" t="s">
        <v>1134</v>
      </c>
      <c r="H1265" s="166">
        <v>117687</v>
      </c>
      <c r="I1265" s="166">
        <v>545</v>
      </c>
      <c r="J1265" s="166">
        <v>0.46310000000000001</v>
      </c>
      <c r="K1265" s="166" t="str">
        <f t="shared" si="19"/>
        <v>INSTRUMENTDT_DFLT_STTS_INSTRMNT</v>
      </c>
    </row>
    <row r="1266" spans="1:11" hidden="1">
      <c r="A1266" s="166" t="s">
        <v>3939</v>
      </c>
      <c r="B1266" s="166" t="s">
        <v>3940</v>
      </c>
      <c r="C1266" s="166" t="s">
        <v>1131</v>
      </c>
      <c r="D1266" s="166" t="s">
        <v>243</v>
      </c>
      <c r="E1266" s="166" t="s">
        <v>1132</v>
      </c>
      <c r="F1266" s="166" t="s">
        <v>1133</v>
      </c>
      <c r="G1266" s="166" t="s">
        <v>129</v>
      </c>
      <c r="H1266" s="166">
        <v>110020</v>
      </c>
      <c r="I1266" s="166">
        <v>0</v>
      </c>
      <c r="J1266" s="166">
        <v>0</v>
      </c>
      <c r="K1266" s="166" t="str">
        <f t="shared" si="19"/>
        <v>INSTRUMENTDT_END_GP_PPAL</v>
      </c>
    </row>
    <row r="1267" spans="1:11" hidden="1">
      <c r="A1267" s="166" t="s">
        <v>3941</v>
      </c>
      <c r="B1267" s="166" t="s">
        <v>3942</v>
      </c>
      <c r="C1267" s="166" t="s">
        <v>1131</v>
      </c>
      <c r="D1267" s="166" t="s">
        <v>243</v>
      </c>
      <c r="E1267" s="166" t="s">
        <v>1132</v>
      </c>
      <c r="F1267" s="166" t="s">
        <v>1133</v>
      </c>
      <c r="G1267" s="166" t="s">
        <v>1134</v>
      </c>
      <c r="H1267" s="166">
        <v>109996</v>
      </c>
      <c r="I1267" s="166">
        <v>49</v>
      </c>
      <c r="J1267" s="166">
        <v>4.4499999999999998E-2</v>
      </c>
      <c r="K1267" s="166" t="str">
        <f t="shared" si="19"/>
        <v>INSTRUMENTDT_END_GP_PPAL</v>
      </c>
    </row>
    <row r="1268" spans="1:11" hidden="1">
      <c r="A1268" s="166" t="s">
        <v>3943</v>
      </c>
      <c r="B1268" s="166" t="s">
        <v>3944</v>
      </c>
      <c r="C1268" s="166" t="s">
        <v>1131</v>
      </c>
      <c r="D1268" s="166" t="s">
        <v>243</v>
      </c>
      <c r="E1268" s="166" t="s">
        <v>1132</v>
      </c>
      <c r="F1268" s="166" t="s">
        <v>1133</v>
      </c>
      <c r="G1268" s="166" t="s">
        <v>129</v>
      </c>
      <c r="H1268" s="166">
        <v>108359</v>
      </c>
      <c r="I1268" s="166">
        <v>0</v>
      </c>
      <c r="J1268" s="166">
        <v>0</v>
      </c>
      <c r="K1268" s="166" t="str">
        <f t="shared" si="19"/>
        <v>INSTRUMENTDT_END_GP_PPAL</v>
      </c>
    </row>
    <row r="1269" spans="1:11" hidden="1">
      <c r="A1269" s="166" t="s">
        <v>3945</v>
      </c>
      <c r="B1269" s="166" t="s">
        <v>3946</v>
      </c>
      <c r="C1269" s="166" t="s">
        <v>1131</v>
      </c>
      <c r="D1269" s="166" t="s">
        <v>243</v>
      </c>
      <c r="E1269" s="166" t="s">
        <v>1132</v>
      </c>
      <c r="F1269" s="166" t="s">
        <v>1133</v>
      </c>
      <c r="G1269" s="166" t="s">
        <v>129</v>
      </c>
      <c r="H1269" s="166">
        <v>11612</v>
      </c>
      <c r="I1269" s="166">
        <v>0</v>
      </c>
      <c r="J1269" s="166">
        <v>0</v>
      </c>
      <c r="K1269" s="166" t="str">
        <f t="shared" si="19"/>
        <v>INSTRUMENTDT_END_GP_PPAL</v>
      </c>
    </row>
    <row r="1270" spans="1:11" hidden="1">
      <c r="A1270" s="166" t="s">
        <v>3947</v>
      </c>
      <c r="B1270" s="166" t="s">
        <v>3948</v>
      </c>
      <c r="C1270" s="166" t="s">
        <v>1131</v>
      </c>
      <c r="D1270" s="166" t="s">
        <v>243</v>
      </c>
      <c r="E1270" s="166" t="s">
        <v>1132</v>
      </c>
      <c r="F1270" s="166" t="s">
        <v>1133</v>
      </c>
      <c r="G1270" s="166" t="s">
        <v>1134</v>
      </c>
      <c r="H1270" s="166">
        <v>1964372</v>
      </c>
      <c r="I1270" s="166">
        <v>24</v>
      </c>
      <c r="J1270" s="166">
        <v>1.1999999999999999E-3</v>
      </c>
      <c r="K1270" s="166" t="str">
        <f t="shared" si="19"/>
        <v>INSTRUMENTDT_END_GP_PPAL</v>
      </c>
    </row>
    <row r="1271" spans="1:11" hidden="1">
      <c r="A1271" s="166" t="s">
        <v>3949</v>
      </c>
      <c r="B1271" s="166" t="s">
        <v>3950</v>
      </c>
      <c r="C1271" s="166" t="s">
        <v>127</v>
      </c>
      <c r="D1271" s="166" t="s">
        <v>243</v>
      </c>
      <c r="E1271" s="166" t="s">
        <v>1132</v>
      </c>
      <c r="F1271" s="166" t="s">
        <v>1133</v>
      </c>
      <c r="G1271" s="166" t="s">
        <v>1134</v>
      </c>
      <c r="H1271" s="166">
        <v>110020</v>
      </c>
      <c r="I1271" s="166">
        <v>4</v>
      </c>
      <c r="J1271" s="166">
        <v>3.5999999999999999E-3</v>
      </c>
      <c r="K1271" s="166" t="str">
        <f t="shared" si="19"/>
        <v>INSTRUMENTDT_END_GP_PPAL</v>
      </c>
    </row>
    <row r="1272" spans="1:11" hidden="1">
      <c r="A1272" s="166" t="s">
        <v>3951</v>
      </c>
      <c r="B1272" s="166" t="s">
        <v>3952</v>
      </c>
      <c r="C1272" s="166" t="s">
        <v>1131</v>
      </c>
      <c r="D1272" s="166" t="s">
        <v>245</v>
      </c>
      <c r="E1272" s="166" t="s">
        <v>1132</v>
      </c>
      <c r="F1272" s="166" t="s">
        <v>1133</v>
      </c>
      <c r="G1272" s="166" t="s">
        <v>1134</v>
      </c>
      <c r="H1272" s="166">
        <v>121632</v>
      </c>
      <c r="I1272" s="166">
        <v>7971</v>
      </c>
      <c r="J1272" s="166">
        <v>6.5533999999999999</v>
      </c>
      <c r="K1272" s="166" t="str">
        <f t="shared" si="19"/>
        <v>INSTRUMENTDT_END_INTRST_ONLY</v>
      </c>
    </row>
    <row r="1273" spans="1:11" hidden="1">
      <c r="A1273" s="166" t="s">
        <v>3953</v>
      </c>
      <c r="B1273" s="166" t="s">
        <v>3954</v>
      </c>
      <c r="C1273" s="166" t="s">
        <v>1131</v>
      </c>
      <c r="D1273" s="166" t="s">
        <v>245</v>
      </c>
      <c r="E1273" s="166" t="s">
        <v>1132</v>
      </c>
      <c r="F1273" s="166" t="s">
        <v>1133</v>
      </c>
      <c r="G1273" s="166" t="s">
        <v>129</v>
      </c>
      <c r="H1273" s="166">
        <v>111031</v>
      </c>
      <c r="I1273" s="166">
        <v>0</v>
      </c>
      <c r="J1273" s="166">
        <v>0</v>
      </c>
      <c r="K1273" s="166" t="str">
        <f t="shared" si="19"/>
        <v>INSTRUMENTDT_END_INTRST_ONLY</v>
      </c>
    </row>
    <row r="1274" spans="1:11" hidden="1">
      <c r="A1274" s="166" t="s">
        <v>3955</v>
      </c>
      <c r="B1274" s="166" t="s">
        <v>3956</v>
      </c>
      <c r="C1274" s="166" t="s">
        <v>1131</v>
      </c>
      <c r="D1274" s="166" t="s">
        <v>245</v>
      </c>
      <c r="E1274" s="166" t="s">
        <v>1132</v>
      </c>
      <c r="F1274" s="166" t="s">
        <v>1133</v>
      </c>
      <c r="G1274" s="166" t="s">
        <v>1134</v>
      </c>
      <c r="H1274" s="166">
        <v>1960696</v>
      </c>
      <c r="I1274" s="166">
        <v>24</v>
      </c>
      <c r="J1274" s="166">
        <v>1.1999999999999999E-3</v>
      </c>
      <c r="K1274" s="166" t="str">
        <f t="shared" si="19"/>
        <v>INSTRUMENTDT_END_INTRST_ONLY</v>
      </c>
    </row>
    <row r="1275" spans="1:11" hidden="1">
      <c r="A1275" s="166" t="s">
        <v>3957</v>
      </c>
      <c r="B1275" s="166" t="s">
        <v>3958</v>
      </c>
      <c r="C1275" s="166" t="s">
        <v>127</v>
      </c>
      <c r="D1275" s="166" t="s">
        <v>245</v>
      </c>
      <c r="E1275" s="166" t="s">
        <v>1132</v>
      </c>
      <c r="F1275" s="166" t="s">
        <v>1133</v>
      </c>
      <c r="G1275" s="166" t="s">
        <v>1134</v>
      </c>
      <c r="H1275" s="166">
        <v>111031</v>
      </c>
      <c r="I1275" s="166">
        <v>5</v>
      </c>
      <c r="J1275" s="166">
        <v>4.4999999999999997E-3</v>
      </c>
      <c r="K1275" s="166" t="str">
        <f t="shared" si="19"/>
        <v>INSTRUMENTDT_END_INTRST_ONLY</v>
      </c>
    </row>
    <row r="1276" spans="1:11" hidden="1">
      <c r="A1276" s="166" t="s">
        <v>3959</v>
      </c>
      <c r="B1276" s="166" t="s">
        <v>3960</v>
      </c>
      <c r="C1276" s="166" t="s">
        <v>1131</v>
      </c>
      <c r="D1276" s="166" t="s">
        <v>447</v>
      </c>
      <c r="E1276" s="166" t="s">
        <v>1132</v>
      </c>
      <c r="F1276" s="166" t="s">
        <v>1133</v>
      </c>
      <c r="G1276" s="166" t="s">
        <v>1134</v>
      </c>
      <c r="H1276" s="166">
        <v>2138963</v>
      </c>
      <c r="I1276" s="166">
        <v>4</v>
      </c>
      <c r="J1276" s="166">
        <v>2.0000000000000001E-4</v>
      </c>
      <c r="K1276" s="166" t="str">
        <f t="shared" si="19"/>
        <v>INSTRUMENTDT_FRBRNC_STTS</v>
      </c>
    </row>
    <row r="1277" spans="1:11" hidden="1">
      <c r="A1277" s="166" t="s">
        <v>3961</v>
      </c>
      <c r="B1277" s="166" t="s">
        <v>3962</v>
      </c>
      <c r="C1277" s="166" t="s">
        <v>1131</v>
      </c>
      <c r="D1277" s="166" t="s">
        <v>447</v>
      </c>
      <c r="E1277" s="166" t="s">
        <v>1132</v>
      </c>
      <c r="F1277" s="166" t="s">
        <v>1133</v>
      </c>
      <c r="G1277" s="166" t="s">
        <v>129</v>
      </c>
      <c r="H1277" s="166">
        <v>2138963</v>
      </c>
      <c r="I1277" s="166">
        <v>0</v>
      </c>
      <c r="J1277" s="166">
        <v>0</v>
      </c>
      <c r="K1277" s="166" t="str">
        <f t="shared" si="19"/>
        <v>INSTRUMENTDT_FRBRNC_STTS</v>
      </c>
    </row>
    <row r="1278" spans="1:11" hidden="1">
      <c r="A1278" s="166" t="s">
        <v>3963</v>
      </c>
      <c r="B1278" s="166" t="s">
        <v>3964</v>
      </c>
      <c r="C1278" s="166" t="s">
        <v>1131</v>
      </c>
      <c r="D1278" s="166" t="s">
        <v>447</v>
      </c>
      <c r="E1278" s="166" t="s">
        <v>1132</v>
      </c>
      <c r="F1278" s="166" t="s">
        <v>1133</v>
      </c>
      <c r="G1278" s="166" t="s">
        <v>1134</v>
      </c>
      <c r="H1278" s="166">
        <v>570</v>
      </c>
      <c r="I1278" s="166">
        <v>419</v>
      </c>
      <c r="J1278" s="166">
        <v>73.508799999999994</v>
      </c>
      <c r="K1278" s="166" t="str">
        <f t="shared" si="19"/>
        <v>INSTRUMENTDT_FRBRNC_STTS</v>
      </c>
    </row>
    <row r="1279" spans="1:11" hidden="1">
      <c r="A1279" s="166" t="s">
        <v>3965</v>
      </c>
      <c r="B1279" s="166" t="s">
        <v>3966</v>
      </c>
      <c r="C1279" s="166" t="s">
        <v>1160</v>
      </c>
      <c r="D1279" s="166" t="s">
        <v>447</v>
      </c>
      <c r="E1279" s="166" t="s">
        <v>1132</v>
      </c>
      <c r="F1279" s="166" t="s">
        <v>1133</v>
      </c>
      <c r="G1279" s="166" t="s">
        <v>1134</v>
      </c>
      <c r="H1279" s="166">
        <v>29649</v>
      </c>
      <c r="I1279" s="166">
        <v>29649</v>
      </c>
      <c r="J1279" s="166">
        <v>100</v>
      </c>
      <c r="K1279" s="166" t="str">
        <f t="shared" si="19"/>
        <v>INSTRUMENTDT_FRBRNC_STTS</v>
      </c>
    </row>
    <row r="1280" spans="1:11" hidden="1">
      <c r="A1280" s="166" t="s">
        <v>3967</v>
      </c>
      <c r="B1280" s="166" t="s">
        <v>3968</v>
      </c>
      <c r="C1280" s="166" t="s">
        <v>1131</v>
      </c>
      <c r="D1280" s="166" t="s">
        <v>431</v>
      </c>
      <c r="E1280" s="166" t="s">
        <v>1132</v>
      </c>
      <c r="F1280" s="166" t="s">
        <v>1133</v>
      </c>
      <c r="G1280" s="166" t="s">
        <v>1134</v>
      </c>
      <c r="H1280" s="166">
        <v>28775</v>
      </c>
      <c r="I1280" s="166">
        <v>1330</v>
      </c>
      <c r="J1280" s="166">
        <v>4.6220999999999997</v>
      </c>
      <c r="K1280" s="166" t="str">
        <f t="shared" si="19"/>
        <v>INSTRUMENTDT_FRBRNC_STTS_PRVS</v>
      </c>
    </row>
    <row r="1281" spans="1:11" hidden="1">
      <c r="A1281" s="166" t="s">
        <v>3969</v>
      </c>
      <c r="B1281" s="166" t="s">
        <v>3970</v>
      </c>
      <c r="C1281" s="166" t="s">
        <v>1131</v>
      </c>
      <c r="D1281" s="166" t="s">
        <v>431</v>
      </c>
      <c r="E1281" s="166" t="s">
        <v>1132</v>
      </c>
      <c r="F1281" s="166" t="s">
        <v>1133</v>
      </c>
      <c r="G1281" s="166" t="s">
        <v>1134</v>
      </c>
      <c r="H1281" s="166">
        <v>28775</v>
      </c>
      <c r="I1281" s="166">
        <v>6</v>
      </c>
      <c r="J1281" s="166">
        <v>2.0899999999999998E-2</v>
      </c>
      <c r="K1281" s="166" t="str">
        <f t="shared" si="19"/>
        <v>INSTRUMENTDT_FRBRNC_STTS_PRVS</v>
      </c>
    </row>
    <row r="1282" spans="1:11" hidden="1">
      <c r="A1282" s="166" t="s">
        <v>3971</v>
      </c>
      <c r="B1282" s="166" t="s">
        <v>3972</v>
      </c>
      <c r="C1282" s="166" t="s">
        <v>1131</v>
      </c>
      <c r="D1282" s="166" t="s">
        <v>3973</v>
      </c>
      <c r="E1282" s="166" t="s">
        <v>1132</v>
      </c>
      <c r="F1282" s="166" t="s">
        <v>1133</v>
      </c>
      <c r="G1282" s="166" t="s">
        <v>129</v>
      </c>
      <c r="H1282" s="166">
        <v>2008604</v>
      </c>
      <c r="I1282" s="166">
        <v>0</v>
      </c>
      <c r="J1282" s="166">
        <v>0</v>
      </c>
      <c r="K1282" s="166" t="str">
        <f t="shared" si="19"/>
        <v>INSTRUMENTIN_DT_INTRNL_RTNG</v>
      </c>
    </row>
    <row r="1283" spans="1:11" hidden="1">
      <c r="A1283" s="166" t="s">
        <v>3974</v>
      </c>
      <c r="B1283" s="166" t="s">
        <v>3975</v>
      </c>
      <c r="C1283" s="166" t="s">
        <v>1142</v>
      </c>
      <c r="D1283" s="166" t="s">
        <v>260</v>
      </c>
      <c r="E1283" s="166" t="s">
        <v>1132</v>
      </c>
      <c r="F1283" s="166" t="s">
        <v>1133</v>
      </c>
      <c r="G1283" s="166" t="s">
        <v>1134</v>
      </c>
      <c r="H1283" s="166">
        <v>90401</v>
      </c>
      <c r="I1283" s="166">
        <v>30807</v>
      </c>
      <c r="J1283" s="166">
        <v>34.078200000000002</v>
      </c>
      <c r="K1283" s="166" t="str">
        <f t="shared" ref="K1283:K1346" si="20">_xlfn.CONCAT(_xlfn.IFS(ISNUMBER(SEARCH("EN",A1283)),"ENTITY",ISNUMBER(SEARCH("IN",A1283)),"INSTRUMENT",ISNUMBER(SEARCH("PR",A1283)),"PROTECTION",ISNUMBER(SEARCH("IP",A1283)),"INSTR_PROTECTION",ISNUMBER(SEARCH("IE",A1283)),"INSTR_ENTITY",ISNUMBER(SEARCH("AC",A1283)),"INSTR_ACTIVITY"),D1283)</f>
        <v>INSTRUMENTDT_INTRNL_RTNG</v>
      </c>
    </row>
    <row r="1284" spans="1:11" hidden="1">
      <c r="A1284" s="166" t="s">
        <v>3976</v>
      </c>
      <c r="B1284" s="166" t="s">
        <v>3977</v>
      </c>
      <c r="C1284" s="166" t="s">
        <v>1131</v>
      </c>
      <c r="D1284" s="166" t="s">
        <v>260</v>
      </c>
      <c r="E1284" s="166" t="s">
        <v>1132</v>
      </c>
      <c r="F1284" s="166" t="s">
        <v>1133</v>
      </c>
      <c r="G1284" s="166" t="s">
        <v>129</v>
      </c>
      <c r="H1284" s="166">
        <v>1961151</v>
      </c>
      <c r="I1284" s="166">
        <v>0</v>
      </c>
      <c r="J1284" s="166">
        <v>0</v>
      </c>
      <c r="K1284" s="166" t="str">
        <f t="shared" si="20"/>
        <v>INSTRUMENTDT_INTRNL_RTNG</v>
      </c>
    </row>
    <row r="1285" spans="1:11" hidden="1">
      <c r="A1285" s="166" t="s">
        <v>3978</v>
      </c>
      <c r="B1285" s="166" t="s">
        <v>3979</v>
      </c>
      <c r="C1285" s="166" t="s">
        <v>1142</v>
      </c>
      <c r="D1285" s="166" t="s">
        <v>53</v>
      </c>
      <c r="E1285" s="166" t="s">
        <v>1132</v>
      </c>
      <c r="F1285" s="166" t="s">
        <v>1133</v>
      </c>
      <c r="G1285" s="166" t="s">
        <v>129</v>
      </c>
      <c r="H1285" s="166">
        <v>10509</v>
      </c>
      <c r="I1285" s="166">
        <v>0</v>
      </c>
      <c r="J1285" s="166">
        <v>0</v>
      </c>
      <c r="K1285" s="166" t="str">
        <f t="shared" si="20"/>
        <v>INSTRUMENTDT_PRFRMNG_STTS</v>
      </c>
    </row>
    <row r="1286" spans="1:11" hidden="1">
      <c r="A1286" s="166" t="s">
        <v>3980</v>
      </c>
      <c r="B1286" s="166" t="s">
        <v>3981</v>
      </c>
      <c r="C1286" s="166" t="s">
        <v>1131</v>
      </c>
      <c r="D1286" s="166" t="s">
        <v>53</v>
      </c>
      <c r="E1286" s="166" t="s">
        <v>1132</v>
      </c>
      <c r="F1286" s="166" t="s">
        <v>1133</v>
      </c>
      <c r="G1286" s="166" t="s">
        <v>129</v>
      </c>
      <c r="H1286" s="166">
        <v>2138963</v>
      </c>
      <c r="I1286" s="166">
        <v>0</v>
      </c>
      <c r="J1286" s="166">
        <v>0</v>
      </c>
      <c r="K1286" s="166" t="str">
        <f t="shared" si="20"/>
        <v>INSTRUMENTDT_PRFRMNG_STTS</v>
      </c>
    </row>
    <row r="1287" spans="1:11" hidden="1">
      <c r="A1287" s="166" t="s">
        <v>3982</v>
      </c>
      <c r="B1287" s="166" t="s">
        <v>3983</v>
      </c>
      <c r="C1287" s="166" t="s">
        <v>1131</v>
      </c>
      <c r="D1287" s="166" t="s">
        <v>53</v>
      </c>
      <c r="E1287" s="166" t="s">
        <v>1132</v>
      </c>
      <c r="F1287" s="166" t="s">
        <v>1133</v>
      </c>
      <c r="G1287" s="166" t="s">
        <v>129</v>
      </c>
      <c r="H1287" s="166">
        <v>2138953</v>
      </c>
      <c r="I1287" s="166">
        <v>0</v>
      </c>
      <c r="J1287" s="166">
        <v>0</v>
      </c>
      <c r="K1287" s="166" t="str">
        <f t="shared" si="20"/>
        <v>INSTRUMENTDT_PRFRMNG_STTS</v>
      </c>
    </row>
    <row r="1288" spans="1:11" hidden="1">
      <c r="A1288" s="166" t="s">
        <v>3984</v>
      </c>
      <c r="B1288" s="166" t="s">
        <v>3985</v>
      </c>
      <c r="C1288" s="166" t="s">
        <v>1131</v>
      </c>
      <c r="D1288" s="166" t="s">
        <v>54</v>
      </c>
      <c r="E1288" s="166" t="s">
        <v>1132</v>
      </c>
      <c r="F1288" s="166" t="s">
        <v>1133</v>
      </c>
      <c r="G1288" s="166" t="s">
        <v>129</v>
      </c>
      <c r="H1288" s="166">
        <v>2138963</v>
      </c>
      <c r="I1288" s="166">
        <v>0</v>
      </c>
      <c r="J1288" s="166">
        <v>0</v>
      </c>
      <c r="K1288" s="166" t="str">
        <f t="shared" si="20"/>
        <v>INSTRUMENTDT_PRFRMNG_STTS_PRVS</v>
      </c>
    </row>
    <row r="1289" spans="1:11" hidden="1">
      <c r="A1289" s="166" t="s">
        <v>3986</v>
      </c>
      <c r="B1289" s="166" t="s">
        <v>3987</v>
      </c>
      <c r="C1289" s="166" t="s">
        <v>1142</v>
      </c>
      <c r="D1289" s="166" t="s">
        <v>54</v>
      </c>
      <c r="E1289" s="166" t="s">
        <v>1132</v>
      </c>
      <c r="F1289" s="166" t="s">
        <v>1133</v>
      </c>
      <c r="G1289" s="166" t="s">
        <v>129</v>
      </c>
      <c r="H1289" s="166">
        <v>10509</v>
      </c>
      <c r="I1289" s="166">
        <v>0</v>
      </c>
      <c r="J1289" s="166">
        <v>0</v>
      </c>
      <c r="K1289" s="166" t="str">
        <f t="shared" si="20"/>
        <v>INSTRUMENTDT_PRFRMNG_STTS_PRVS</v>
      </c>
    </row>
    <row r="1290" spans="1:11" hidden="1">
      <c r="A1290" s="166" t="s">
        <v>3988</v>
      </c>
      <c r="B1290" s="166" t="s">
        <v>3989</v>
      </c>
      <c r="C1290" s="166" t="s">
        <v>1131</v>
      </c>
      <c r="D1290" s="166" t="s">
        <v>54</v>
      </c>
      <c r="E1290" s="166" t="s">
        <v>1132</v>
      </c>
      <c r="F1290" s="166" t="s">
        <v>1133</v>
      </c>
      <c r="G1290" s="166" t="s">
        <v>129</v>
      </c>
      <c r="H1290" s="166">
        <v>2138953</v>
      </c>
      <c r="I1290" s="166">
        <v>0</v>
      </c>
      <c r="J1290" s="166">
        <v>0</v>
      </c>
      <c r="K1290" s="166" t="str">
        <f t="shared" si="20"/>
        <v>INSTRUMENTDT_PRFRMNG_STTS_PRVS</v>
      </c>
    </row>
    <row r="1291" spans="1:11" hidden="1">
      <c r="A1291" s="166" t="s">
        <v>3990</v>
      </c>
      <c r="B1291" s="166" t="s">
        <v>3991</v>
      </c>
      <c r="C1291" s="166" t="s">
        <v>1131</v>
      </c>
      <c r="D1291" s="166" t="s">
        <v>54</v>
      </c>
      <c r="E1291" s="166" t="s">
        <v>1132</v>
      </c>
      <c r="F1291" s="166" t="s">
        <v>1133</v>
      </c>
      <c r="G1291" s="166" t="s">
        <v>129</v>
      </c>
      <c r="H1291" s="166">
        <v>0</v>
      </c>
      <c r="I1291" s="166">
        <v>0</v>
      </c>
      <c r="J1291" s="166">
        <v>0</v>
      </c>
      <c r="K1291" s="166" t="str">
        <f t="shared" si="20"/>
        <v>INSTRUMENTDT_PRFRMNG_STTS_PRVS</v>
      </c>
    </row>
    <row r="1292" spans="1:11" hidden="1">
      <c r="A1292" s="166" t="s">
        <v>3992</v>
      </c>
      <c r="B1292" s="166" t="s">
        <v>3993</v>
      </c>
      <c r="C1292" s="166" t="s">
        <v>1131</v>
      </c>
      <c r="D1292" s="166" t="s">
        <v>285</v>
      </c>
      <c r="E1292" s="166" t="s">
        <v>1132</v>
      </c>
      <c r="F1292" s="166" t="s">
        <v>1133</v>
      </c>
      <c r="G1292" s="166" t="s">
        <v>1134</v>
      </c>
      <c r="H1292" s="166">
        <v>111007</v>
      </c>
      <c r="I1292" s="166">
        <v>49</v>
      </c>
      <c r="J1292" s="166">
        <v>4.41E-2</v>
      </c>
      <c r="K1292" s="166" t="str">
        <f t="shared" si="20"/>
        <v>INSTRUMENTDT_STRT_INTRST_ONLY</v>
      </c>
    </row>
    <row r="1293" spans="1:11" hidden="1">
      <c r="A1293" s="166" t="s">
        <v>3994</v>
      </c>
      <c r="B1293" s="166" t="s">
        <v>3995</v>
      </c>
      <c r="C1293" s="166" t="s">
        <v>1131</v>
      </c>
      <c r="D1293" s="166" t="s">
        <v>285</v>
      </c>
      <c r="E1293" s="166" t="s">
        <v>1132</v>
      </c>
      <c r="F1293" s="166" t="s">
        <v>1133</v>
      </c>
      <c r="G1293" s="166" t="s">
        <v>1134</v>
      </c>
      <c r="H1293" s="166">
        <v>121632</v>
      </c>
      <c r="I1293" s="166">
        <v>7960</v>
      </c>
      <c r="J1293" s="166">
        <v>6.5442999999999998</v>
      </c>
      <c r="K1293" s="166" t="str">
        <f t="shared" si="20"/>
        <v>INSTRUMENTDT_STRT_INTRST_ONLY</v>
      </c>
    </row>
    <row r="1294" spans="1:11" hidden="1">
      <c r="A1294" s="166" t="s">
        <v>3996</v>
      </c>
      <c r="B1294" s="166" t="s">
        <v>3997</v>
      </c>
      <c r="C1294" s="166" t="s">
        <v>1131</v>
      </c>
      <c r="D1294" s="166" t="s">
        <v>285</v>
      </c>
      <c r="E1294" s="166" t="s">
        <v>1132</v>
      </c>
      <c r="F1294" s="166" t="s">
        <v>1133</v>
      </c>
      <c r="G1294" s="166" t="s">
        <v>1134</v>
      </c>
      <c r="H1294" s="166">
        <v>131548</v>
      </c>
      <c r="I1294" s="166">
        <v>117</v>
      </c>
      <c r="J1294" s="166">
        <v>8.8900000000000007E-2</v>
      </c>
      <c r="K1294" s="166" t="str">
        <f t="shared" si="20"/>
        <v>INSTRUMENTDT_STRT_INTRST_ONLY</v>
      </c>
    </row>
    <row r="1295" spans="1:11" hidden="1">
      <c r="A1295" s="166" t="s">
        <v>3998</v>
      </c>
      <c r="B1295" s="166" t="s">
        <v>3999</v>
      </c>
      <c r="C1295" s="166" t="s">
        <v>1131</v>
      </c>
      <c r="D1295" s="166" t="s">
        <v>285</v>
      </c>
      <c r="E1295" s="166" t="s">
        <v>1132</v>
      </c>
      <c r="F1295" s="166" t="s">
        <v>1133</v>
      </c>
      <c r="G1295" s="166" t="s">
        <v>129</v>
      </c>
      <c r="H1295" s="166">
        <v>131548</v>
      </c>
      <c r="I1295" s="166">
        <v>0</v>
      </c>
      <c r="J1295" s="166">
        <v>0</v>
      </c>
      <c r="K1295" s="166" t="str">
        <f t="shared" si="20"/>
        <v>INSTRUMENTDT_STRT_INTRST_ONLY</v>
      </c>
    </row>
    <row r="1296" spans="1:11" hidden="1">
      <c r="A1296" s="166" t="s">
        <v>4000</v>
      </c>
      <c r="B1296" s="166" t="s">
        <v>4001</v>
      </c>
      <c r="C1296" s="166" t="s">
        <v>127</v>
      </c>
      <c r="D1296" s="166" t="s">
        <v>324</v>
      </c>
      <c r="E1296" s="166" t="s">
        <v>10</v>
      </c>
      <c r="F1296" s="166" t="s">
        <v>1133</v>
      </c>
      <c r="G1296" s="166" t="s">
        <v>129</v>
      </c>
      <c r="H1296" s="166">
        <v>378839</v>
      </c>
      <c r="I1296" s="166">
        <v>0</v>
      </c>
      <c r="J1296" s="166">
        <v>0</v>
      </c>
      <c r="K1296" s="166" t="str">
        <f t="shared" si="20"/>
        <v>INSTRUMENTFLG_LBO</v>
      </c>
    </row>
    <row r="1297" spans="1:11" hidden="1">
      <c r="A1297" s="166" t="s">
        <v>4002</v>
      </c>
      <c r="B1297" s="166" t="s">
        <v>4003</v>
      </c>
      <c r="C1297" s="166" t="s">
        <v>1131</v>
      </c>
      <c r="D1297" s="166" t="s">
        <v>312</v>
      </c>
      <c r="E1297" s="166" t="s">
        <v>1132</v>
      </c>
      <c r="F1297" s="166" t="s">
        <v>1133</v>
      </c>
      <c r="G1297" s="166" t="s">
        <v>129</v>
      </c>
      <c r="H1297" s="166">
        <v>3552</v>
      </c>
      <c r="I1297" s="166">
        <v>0</v>
      </c>
      <c r="J1297" s="166">
        <v>0</v>
      </c>
      <c r="K1297" s="166" t="str">
        <f t="shared" si="20"/>
        <v>INSTRUMENTFRBRNC_STTS_INSTRMNT</v>
      </c>
    </row>
    <row r="1298" spans="1:11" hidden="1">
      <c r="A1298" s="166" t="s">
        <v>4004</v>
      </c>
      <c r="B1298" s="166" t="s">
        <v>4005</v>
      </c>
      <c r="C1298" s="166" t="s">
        <v>1131</v>
      </c>
      <c r="D1298" s="166" t="s">
        <v>312</v>
      </c>
      <c r="E1298" s="166" t="s">
        <v>1132</v>
      </c>
      <c r="F1298" s="166" t="s">
        <v>1133</v>
      </c>
      <c r="G1298" s="166" t="s">
        <v>129</v>
      </c>
      <c r="H1298" s="166">
        <v>394780</v>
      </c>
      <c r="I1298" s="166">
        <v>0</v>
      </c>
      <c r="J1298" s="166">
        <v>0</v>
      </c>
      <c r="K1298" s="166" t="str">
        <f t="shared" si="20"/>
        <v>INSTRUMENTFRBRNC_STTS_INSTRMNT</v>
      </c>
    </row>
    <row r="1299" spans="1:11" hidden="1">
      <c r="A1299" s="166" t="s">
        <v>4006</v>
      </c>
      <c r="B1299" s="166" t="s">
        <v>686</v>
      </c>
      <c r="C1299" s="166" t="s">
        <v>1131</v>
      </c>
      <c r="D1299" s="166" t="s">
        <v>44</v>
      </c>
      <c r="E1299" s="166" t="s">
        <v>1132</v>
      </c>
      <c r="F1299" s="166" t="s">
        <v>1133</v>
      </c>
      <c r="G1299" s="166" t="s">
        <v>129</v>
      </c>
      <c r="H1299" s="166">
        <v>7814</v>
      </c>
      <c r="I1299" s="166">
        <v>0</v>
      </c>
      <c r="J1299" s="166">
        <v>0</v>
      </c>
      <c r="K1299" s="166" t="str">
        <f t="shared" si="20"/>
        <v>INSTRUMENTIMPRMNT_STTS</v>
      </c>
    </row>
    <row r="1300" spans="1:11" hidden="1">
      <c r="A1300" s="166" t="s">
        <v>1145</v>
      </c>
      <c r="B1300" s="166" t="s">
        <v>1146</v>
      </c>
      <c r="C1300" s="166" t="s">
        <v>1131</v>
      </c>
      <c r="D1300" s="166" t="s">
        <v>44</v>
      </c>
      <c r="E1300" s="166" t="s">
        <v>1132</v>
      </c>
      <c r="F1300" s="166" t="s">
        <v>1133</v>
      </c>
      <c r="G1300" s="166" t="s">
        <v>1134</v>
      </c>
      <c r="H1300" s="166">
        <v>130343</v>
      </c>
      <c r="I1300" s="166">
        <v>67</v>
      </c>
      <c r="J1300" s="166">
        <v>5.1400000000000001E-2</v>
      </c>
      <c r="K1300" s="166" t="str">
        <f t="shared" si="20"/>
        <v>INSTRUMENTIMPRMNT_STTS</v>
      </c>
    </row>
    <row r="1301" spans="1:11" hidden="1">
      <c r="A1301" s="166" t="s">
        <v>1147</v>
      </c>
      <c r="B1301" s="166" t="s">
        <v>1148</v>
      </c>
      <c r="C1301" s="166" t="s">
        <v>1131</v>
      </c>
      <c r="D1301" s="166" t="s">
        <v>44</v>
      </c>
      <c r="E1301" s="166" t="s">
        <v>1132</v>
      </c>
      <c r="F1301" s="166" t="s">
        <v>1133</v>
      </c>
      <c r="G1301" s="166" t="s">
        <v>1134</v>
      </c>
      <c r="H1301" s="166">
        <v>2008285</v>
      </c>
      <c r="I1301" s="166">
        <v>51</v>
      </c>
      <c r="J1301" s="166">
        <v>2.5000000000000001E-3</v>
      </c>
      <c r="K1301" s="166" t="str">
        <f t="shared" si="20"/>
        <v>INSTRUMENTIMPRMNT_STTS</v>
      </c>
    </row>
    <row r="1302" spans="1:11" hidden="1">
      <c r="A1302" s="166" t="s">
        <v>4007</v>
      </c>
      <c r="B1302" s="166" t="s">
        <v>695</v>
      </c>
      <c r="C1302" s="166" t="s">
        <v>1131</v>
      </c>
      <c r="D1302" s="166" t="s">
        <v>44</v>
      </c>
      <c r="E1302" s="166" t="s">
        <v>1132</v>
      </c>
      <c r="F1302" s="166" t="s">
        <v>1133</v>
      </c>
      <c r="G1302" s="166" t="s">
        <v>129</v>
      </c>
      <c r="H1302" s="166">
        <v>2008623</v>
      </c>
      <c r="I1302" s="166">
        <v>0</v>
      </c>
      <c r="J1302" s="166">
        <v>0</v>
      </c>
      <c r="K1302" s="166" t="str">
        <f t="shared" si="20"/>
        <v>INSTRUMENTIMPRMNT_STTS</v>
      </c>
    </row>
    <row r="1303" spans="1:11" hidden="1">
      <c r="A1303" s="166" t="s">
        <v>1149</v>
      </c>
      <c r="B1303" s="166" t="s">
        <v>1150</v>
      </c>
      <c r="C1303" s="166" t="s">
        <v>1142</v>
      </c>
      <c r="D1303" s="166" t="s">
        <v>44</v>
      </c>
      <c r="E1303" s="166" t="s">
        <v>1132</v>
      </c>
      <c r="F1303" s="166" t="s">
        <v>1133</v>
      </c>
      <c r="G1303" s="166" t="s">
        <v>1134</v>
      </c>
      <c r="H1303" s="166">
        <v>16150</v>
      </c>
      <c r="I1303" s="166">
        <v>1924</v>
      </c>
      <c r="J1303" s="166">
        <v>11.9133</v>
      </c>
      <c r="K1303" s="166" t="str">
        <f t="shared" si="20"/>
        <v>INSTRUMENTIMPRMNT_STTS</v>
      </c>
    </row>
    <row r="1304" spans="1:11" hidden="1">
      <c r="A1304" s="166" t="s">
        <v>4008</v>
      </c>
      <c r="B1304" s="166" t="s">
        <v>4009</v>
      </c>
      <c r="C1304" s="166" t="s">
        <v>1151</v>
      </c>
      <c r="D1304" s="166" t="s">
        <v>44</v>
      </c>
      <c r="E1304" s="166" t="s">
        <v>1132</v>
      </c>
      <c r="F1304" s="166" t="s">
        <v>1133</v>
      </c>
      <c r="G1304" s="166" t="s">
        <v>129</v>
      </c>
      <c r="H1304" s="166">
        <v>1871334</v>
      </c>
      <c r="I1304" s="166">
        <v>0</v>
      </c>
      <c r="J1304" s="166">
        <v>0</v>
      </c>
      <c r="K1304" s="166" t="str">
        <f t="shared" si="20"/>
        <v>INSTRUMENTIMPRMNT_STTS</v>
      </c>
    </row>
    <row r="1305" spans="1:11" hidden="1">
      <c r="A1305" s="166" t="s">
        <v>1152</v>
      </c>
      <c r="B1305" s="166" t="s">
        <v>1153</v>
      </c>
      <c r="C1305" s="166" t="s">
        <v>1151</v>
      </c>
      <c r="D1305" s="166" t="s">
        <v>44</v>
      </c>
      <c r="E1305" s="166" t="s">
        <v>1132</v>
      </c>
      <c r="F1305" s="166" t="s">
        <v>1133</v>
      </c>
      <c r="G1305" s="166" t="s">
        <v>1134</v>
      </c>
      <c r="H1305" s="166">
        <v>1676415</v>
      </c>
      <c r="I1305" s="166">
        <v>7</v>
      </c>
      <c r="J1305" s="166">
        <v>4.0000000000000002E-4</v>
      </c>
      <c r="K1305" s="166" t="str">
        <f t="shared" si="20"/>
        <v>INSTRUMENTIMPRMNT_STTS</v>
      </c>
    </row>
    <row r="1306" spans="1:11" hidden="1">
      <c r="A1306" s="166" t="s">
        <v>4010</v>
      </c>
      <c r="B1306" s="166" t="s">
        <v>4011</v>
      </c>
      <c r="C1306" s="166" t="s">
        <v>1151</v>
      </c>
      <c r="D1306" s="166" t="s">
        <v>44</v>
      </c>
      <c r="E1306" s="166" t="s">
        <v>1132</v>
      </c>
      <c r="F1306" s="166" t="s">
        <v>1133</v>
      </c>
      <c r="G1306" s="166" t="s">
        <v>129</v>
      </c>
      <c r="H1306" s="166">
        <v>332211</v>
      </c>
      <c r="I1306" s="166">
        <v>0</v>
      </c>
      <c r="J1306" s="166">
        <v>0</v>
      </c>
      <c r="K1306" s="166" t="str">
        <f t="shared" si="20"/>
        <v>INSTRUMENTIMPRMNT_STTS</v>
      </c>
    </row>
    <row r="1307" spans="1:11" hidden="1">
      <c r="A1307" s="166" t="s">
        <v>4012</v>
      </c>
      <c r="B1307" s="166" t="s">
        <v>4013</v>
      </c>
      <c r="C1307" s="166" t="s">
        <v>1151</v>
      </c>
      <c r="D1307" s="166" t="s">
        <v>44</v>
      </c>
      <c r="E1307" s="166" t="s">
        <v>1132</v>
      </c>
      <c r="F1307" s="166" t="s">
        <v>1133</v>
      </c>
      <c r="G1307" s="166" t="s">
        <v>129</v>
      </c>
      <c r="H1307" s="166">
        <v>130324</v>
      </c>
      <c r="I1307" s="166">
        <v>0</v>
      </c>
      <c r="J1307" s="166">
        <v>0</v>
      </c>
      <c r="K1307" s="166" t="str">
        <f t="shared" si="20"/>
        <v>INSTRUMENTIMPRMNT_STTS</v>
      </c>
    </row>
    <row r="1308" spans="1:11" hidden="1">
      <c r="A1308" s="166" t="s">
        <v>1154</v>
      </c>
      <c r="B1308" s="166" t="s">
        <v>1155</v>
      </c>
      <c r="C1308" s="166" t="s">
        <v>1151</v>
      </c>
      <c r="D1308" s="166" t="s">
        <v>46</v>
      </c>
      <c r="E1308" s="166" t="s">
        <v>1132</v>
      </c>
      <c r="F1308" s="166" t="s">
        <v>1133</v>
      </c>
      <c r="G1308" s="166" t="s">
        <v>1134</v>
      </c>
      <c r="H1308" s="166">
        <v>13</v>
      </c>
      <c r="I1308" s="166">
        <v>3</v>
      </c>
      <c r="J1308" s="166">
        <v>23.076899999999998</v>
      </c>
      <c r="K1308" s="166" t="str">
        <f t="shared" si="20"/>
        <v>INSTRUMENTIMPRMNT_STTS_PRVS</v>
      </c>
    </row>
    <row r="1309" spans="1:11" hidden="1">
      <c r="A1309" s="166" t="s">
        <v>4014</v>
      </c>
      <c r="B1309" s="166" t="s">
        <v>4015</v>
      </c>
      <c r="C1309" s="166" t="s">
        <v>1151</v>
      </c>
      <c r="D1309" s="166" t="s">
        <v>46</v>
      </c>
      <c r="E1309" s="166" t="s">
        <v>1132</v>
      </c>
      <c r="F1309" s="166" t="s">
        <v>1133</v>
      </c>
      <c r="G1309" s="166" t="s">
        <v>129</v>
      </c>
      <c r="H1309" s="166">
        <v>1871334</v>
      </c>
      <c r="I1309" s="166">
        <v>0</v>
      </c>
      <c r="J1309" s="166">
        <v>0</v>
      </c>
      <c r="K1309" s="166" t="str">
        <f t="shared" si="20"/>
        <v>INSTRUMENTIMPRMNT_STTS_PRVS</v>
      </c>
    </row>
    <row r="1310" spans="1:11" hidden="1">
      <c r="A1310" s="166" t="s">
        <v>4016</v>
      </c>
      <c r="B1310" s="166" t="s">
        <v>4017</v>
      </c>
      <c r="C1310" s="166" t="s">
        <v>1131</v>
      </c>
      <c r="D1310" s="166" t="s">
        <v>2001</v>
      </c>
      <c r="E1310" s="166" t="s">
        <v>1132</v>
      </c>
      <c r="F1310" s="166" t="s">
        <v>1133</v>
      </c>
      <c r="G1310" s="166" t="s">
        <v>129</v>
      </c>
      <c r="H1310" s="166">
        <v>1961151</v>
      </c>
      <c r="I1310" s="166">
        <v>0</v>
      </c>
      <c r="J1310" s="166">
        <v>0</v>
      </c>
      <c r="K1310" s="166" t="str">
        <f t="shared" si="20"/>
        <v>INSTRUMENTIN_INTRNL_RTNG</v>
      </c>
    </row>
    <row r="1311" spans="1:11" hidden="1">
      <c r="A1311" s="166" t="s">
        <v>4018</v>
      </c>
      <c r="B1311" s="166" t="s">
        <v>4019</v>
      </c>
      <c r="C1311" s="166" t="s">
        <v>1131</v>
      </c>
      <c r="D1311" s="166" t="s">
        <v>2001</v>
      </c>
      <c r="E1311" s="166" t="s">
        <v>1132</v>
      </c>
      <c r="F1311" s="166" t="s">
        <v>1133</v>
      </c>
      <c r="G1311" s="166" t="s">
        <v>1134</v>
      </c>
      <c r="H1311" s="166">
        <v>1759460</v>
      </c>
      <c r="I1311" s="166">
        <v>115347</v>
      </c>
      <c r="J1311" s="166">
        <v>6.5557999999999996</v>
      </c>
      <c r="K1311" s="166" t="str">
        <f t="shared" si="20"/>
        <v>INSTRUMENTIN_INTRNL_RTNG</v>
      </c>
    </row>
    <row r="1312" spans="1:11" hidden="1">
      <c r="A1312" s="166" t="s">
        <v>4020</v>
      </c>
      <c r="B1312" s="166" t="s">
        <v>4021</v>
      </c>
      <c r="C1312" s="166" t="s">
        <v>1131</v>
      </c>
      <c r="D1312" s="166" t="s">
        <v>2001</v>
      </c>
      <c r="E1312" s="166" t="s">
        <v>1132</v>
      </c>
      <c r="F1312" s="166" t="s">
        <v>1133</v>
      </c>
      <c r="G1312" s="166" t="s">
        <v>1134</v>
      </c>
      <c r="H1312" s="166">
        <v>379168</v>
      </c>
      <c r="I1312" s="166">
        <v>364170</v>
      </c>
      <c r="J1312" s="166">
        <v>96.044499999999999</v>
      </c>
      <c r="K1312" s="166" t="str">
        <f t="shared" si="20"/>
        <v>INSTRUMENTIN_INTRNL_RTNG</v>
      </c>
    </row>
    <row r="1313" spans="1:11" hidden="1">
      <c r="A1313" s="166" t="s">
        <v>4022</v>
      </c>
      <c r="B1313" s="166" t="s">
        <v>4023</v>
      </c>
      <c r="C1313" s="166" t="s">
        <v>1131</v>
      </c>
      <c r="D1313" s="166" t="s">
        <v>370</v>
      </c>
      <c r="E1313" s="166" t="s">
        <v>1132</v>
      </c>
      <c r="F1313" s="166" t="s">
        <v>1133</v>
      </c>
      <c r="G1313" s="166" t="s">
        <v>129</v>
      </c>
      <c r="H1313" s="166">
        <v>130343</v>
      </c>
      <c r="I1313" s="166">
        <v>0</v>
      </c>
      <c r="J1313" s="166">
        <v>0</v>
      </c>
      <c r="K1313" s="166" t="str">
        <f t="shared" si="20"/>
        <v>INSTRUMENTINTRNL_RTNG_INCPTN</v>
      </c>
    </row>
    <row r="1314" spans="1:11" hidden="1">
      <c r="A1314" s="166" t="s">
        <v>4024</v>
      </c>
      <c r="B1314" s="166" t="s">
        <v>4025</v>
      </c>
      <c r="C1314" s="166" t="s">
        <v>1131</v>
      </c>
      <c r="D1314" s="166" t="s">
        <v>370</v>
      </c>
      <c r="E1314" s="166" t="s">
        <v>1132</v>
      </c>
      <c r="F1314" s="166" t="s">
        <v>1133</v>
      </c>
      <c r="G1314" s="166" t="s">
        <v>129</v>
      </c>
      <c r="H1314" s="166">
        <v>772729</v>
      </c>
      <c r="I1314" s="166">
        <v>0</v>
      </c>
      <c r="J1314" s="166">
        <v>0</v>
      </c>
      <c r="K1314" s="166" t="str">
        <f t="shared" si="20"/>
        <v>INSTRUMENTINTRNL_RTNG_INCPTN</v>
      </c>
    </row>
    <row r="1315" spans="1:11" hidden="1">
      <c r="A1315" s="166" t="s">
        <v>4026</v>
      </c>
      <c r="B1315" s="166" t="s">
        <v>4027</v>
      </c>
      <c r="C1315" s="166" t="s">
        <v>1131</v>
      </c>
      <c r="D1315" s="166" t="s">
        <v>393</v>
      </c>
      <c r="E1315" s="166" t="s">
        <v>1132</v>
      </c>
      <c r="F1315" s="166" t="s">
        <v>1133</v>
      </c>
      <c r="G1315" s="166" t="s">
        <v>1134</v>
      </c>
      <c r="H1315" s="166">
        <v>13</v>
      </c>
      <c r="I1315" s="166">
        <v>13</v>
      </c>
      <c r="J1315" s="166">
        <v>100</v>
      </c>
      <c r="K1315" s="166" t="str">
        <f t="shared" si="20"/>
        <v>INSTRUMENTLCRE</v>
      </c>
    </row>
    <row r="1316" spans="1:11" hidden="1">
      <c r="A1316" s="166" t="s">
        <v>4028</v>
      </c>
      <c r="B1316" s="166" t="s">
        <v>4029</v>
      </c>
      <c r="C1316" s="166" t="s">
        <v>1131</v>
      </c>
      <c r="D1316" s="166" t="s">
        <v>393</v>
      </c>
      <c r="E1316" s="166" t="s">
        <v>1132</v>
      </c>
      <c r="F1316" s="166" t="s">
        <v>1133</v>
      </c>
      <c r="G1316" s="166" t="s">
        <v>129</v>
      </c>
      <c r="H1316" s="166">
        <v>2138819</v>
      </c>
      <c r="I1316" s="166">
        <v>0</v>
      </c>
      <c r="J1316" s="166">
        <v>0</v>
      </c>
      <c r="K1316" s="166" t="str">
        <f t="shared" si="20"/>
        <v>INSTRUMENTLCRE</v>
      </c>
    </row>
    <row r="1317" spans="1:11" hidden="1">
      <c r="A1317" s="166" t="s">
        <v>4030</v>
      </c>
      <c r="B1317" s="166" t="s">
        <v>4031</v>
      </c>
      <c r="C1317" s="166" t="s">
        <v>1160</v>
      </c>
      <c r="D1317" s="166" t="s">
        <v>397</v>
      </c>
      <c r="E1317" s="166" t="s">
        <v>1132</v>
      </c>
      <c r="F1317" s="166" t="s">
        <v>1133</v>
      </c>
      <c r="G1317" s="166" t="s">
        <v>129</v>
      </c>
      <c r="H1317" s="166">
        <v>16</v>
      </c>
      <c r="I1317" s="166">
        <v>0</v>
      </c>
      <c r="J1317" s="166">
        <v>0</v>
      </c>
      <c r="K1317" s="166" t="str">
        <f t="shared" si="20"/>
        <v>INSTRUMENTLGL_PRCDNG_STTS</v>
      </c>
    </row>
    <row r="1318" spans="1:11" hidden="1">
      <c r="A1318" s="166" t="s">
        <v>4032</v>
      </c>
      <c r="B1318" s="166" t="s">
        <v>4033</v>
      </c>
      <c r="C1318" s="166" t="s">
        <v>1142</v>
      </c>
      <c r="D1318" s="166" t="s">
        <v>397</v>
      </c>
      <c r="E1318" s="166" t="s">
        <v>1132</v>
      </c>
      <c r="F1318" s="166" t="s">
        <v>1133</v>
      </c>
      <c r="G1318" s="166" t="s">
        <v>129</v>
      </c>
      <c r="H1318" s="166">
        <v>398355</v>
      </c>
      <c r="I1318" s="166">
        <v>0</v>
      </c>
      <c r="J1318" s="166">
        <v>0</v>
      </c>
      <c r="K1318" s="166" t="str">
        <f t="shared" si="20"/>
        <v>INSTRUMENTLGL_PRCDNG_STTS</v>
      </c>
    </row>
    <row r="1319" spans="1:11" hidden="1">
      <c r="A1319" s="166" t="s">
        <v>4034</v>
      </c>
      <c r="B1319" s="166" t="s">
        <v>4035</v>
      </c>
      <c r="C1319" s="166" t="s">
        <v>1131</v>
      </c>
      <c r="D1319" s="166" t="s">
        <v>287</v>
      </c>
      <c r="E1319" s="166" t="s">
        <v>1132</v>
      </c>
      <c r="F1319" s="166" t="s">
        <v>1133</v>
      </c>
      <c r="G1319" s="166" t="s">
        <v>1134</v>
      </c>
      <c r="H1319" s="166">
        <v>13</v>
      </c>
      <c r="I1319" s="166">
        <v>13</v>
      </c>
      <c r="J1319" s="166">
        <v>100</v>
      </c>
      <c r="K1319" s="166" t="str">
        <f t="shared" si="20"/>
        <v>INSTRUMENTPOCI</v>
      </c>
    </row>
    <row r="1320" spans="1:11" hidden="1">
      <c r="A1320" s="166" t="s">
        <v>4036</v>
      </c>
      <c r="B1320" s="166" t="s">
        <v>4037</v>
      </c>
      <c r="C1320" s="166" t="s">
        <v>1131</v>
      </c>
      <c r="D1320" s="166" t="s">
        <v>287</v>
      </c>
      <c r="E1320" s="166" t="s">
        <v>1132</v>
      </c>
      <c r="F1320" s="166" t="s">
        <v>1133</v>
      </c>
      <c r="G1320" s="166" t="s">
        <v>129</v>
      </c>
      <c r="H1320" s="166">
        <v>2138819</v>
      </c>
      <c r="I1320" s="166">
        <v>0</v>
      </c>
      <c r="J1320" s="166">
        <v>0</v>
      </c>
      <c r="K1320" s="166" t="str">
        <f t="shared" si="20"/>
        <v>INSTRUMENTPOCI</v>
      </c>
    </row>
    <row r="1321" spans="1:11" hidden="1">
      <c r="A1321" s="166" t="s">
        <v>1156</v>
      </c>
      <c r="B1321" s="166" t="s">
        <v>1157</v>
      </c>
      <c r="C1321" s="166" t="s">
        <v>1131</v>
      </c>
      <c r="D1321" s="166" t="s">
        <v>45</v>
      </c>
      <c r="E1321" s="166" t="s">
        <v>1132</v>
      </c>
      <c r="F1321" s="166" t="s">
        <v>1133</v>
      </c>
      <c r="G1321" s="166" t="s">
        <v>1134</v>
      </c>
      <c r="H1321" s="166">
        <v>130343</v>
      </c>
      <c r="I1321" s="166">
        <v>67</v>
      </c>
      <c r="J1321" s="166">
        <v>5.1400000000000001E-2</v>
      </c>
      <c r="K1321" s="166" t="str">
        <f t="shared" si="20"/>
        <v>INSTRUMENTPRFRMNG_STTS</v>
      </c>
    </row>
    <row r="1322" spans="1:11" hidden="1">
      <c r="A1322" s="166" t="s">
        <v>4038</v>
      </c>
      <c r="B1322" s="166" t="s">
        <v>4039</v>
      </c>
      <c r="C1322" s="166" t="s">
        <v>1131</v>
      </c>
      <c r="D1322" s="166" t="s">
        <v>45</v>
      </c>
      <c r="E1322" s="166" t="s">
        <v>1132</v>
      </c>
      <c r="F1322" s="166" t="s">
        <v>1133</v>
      </c>
      <c r="G1322" s="166" t="s">
        <v>129</v>
      </c>
      <c r="H1322" s="166">
        <v>2138953</v>
      </c>
      <c r="I1322" s="166">
        <v>0</v>
      </c>
      <c r="J1322" s="166">
        <v>0</v>
      </c>
      <c r="K1322" s="166" t="str">
        <f t="shared" si="20"/>
        <v>INSTRUMENTPRFRMNG_STTS</v>
      </c>
    </row>
    <row r="1323" spans="1:11" hidden="1">
      <c r="A1323" s="166" t="s">
        <v>4040</v>
      </c>
      <c r="B1323" s="166" t="s">
        <v>4041</v>
      </c>
      <c r="C1323" s="166" t="s">
        <v>1131</v>
      </c>
      <c r="D1323" s="166" t="s">
        <v>45</v>
      </c>
      <c r="E1323" s="166" t="s">
        <v>1132</v>
      </c>
      <c r="F1323" s="166" t="s">
        <v>1133</v>
      </c>
      <c r="G1323" s="166" t="s">
        <v>129</v>
      </c>
      <c r="H1323" s="166">
        <v>1676086</v>
      </c>
      <c r="I1323" s="166">
        <v>0</v>
      </c>
      <c r="J1323" s="166">
        <v>0</v>
      </c>
      <c r="K1323" s="166" t="str">
        <f t="shared" si="20"/>
        <v>INSTRUMENTPRFRMNG_STTS</v>
      </c>
    </row>
    <row r="1324" spans="1:11" hidden="1">
      <c r="A1324" s="166" t="s">
        <v>1158</v>
      </c>
      <c r="B1324" s="166" t="s">
        <v>1159</v>
      </c>
      <c r="C1324" s="166" t="s">
        <v>1160</v>
      </c>
      <c r="D1324" s="166" t="s">
        <v>45</v>
      </c>
      <c r="E1324" s="166" t="s">
        <v>1132</v>
      </c>
      <c r="F1324" s="166" t="s">
        <v>1133</v>
      </c>
      <c r="G1324" s="166" t="s">
        <v>1134</v>
      </c>
      <c r="H1324" s="166">
        <v>110</v>
      </c>
      <c r="I1324" s="166">
        <v>12</v>
      </c>
      <c r="J1324" s="166">
        <v>10.9091</v>
      </c>
      <c r="K1324" s="166" t="str">
        <f t="shared" si="20"/>
        <v>INSTRUMENTPRFRMNG_STTS</v>
      </c>
    </row>
    <row r="1325" spans="1:11" hidden="1">
      <c r="A1325" s="166" t="s">
        <v>1163</v>
      </c>
      <c r="B1325" s="166" t="s">
        <v>1164</v>
      </c>
      <c r="C1325" s="166" t="s">
        <v>1151</v>
      </c>
      <c r="D1325" s="166" t="s">
        <v>45</v>
      </c>
      <c r="E1325" s="166" t="s">
        <v>1132</v>
      </c>
      <c r="F1325" s="166" t="s">
        <v>1133</v>
      </c>
      <c r="G1325" s="166" t="s">
        <v>1134</v>
      </c>
      <c r="H1325" s="166">
        <v>2008639</v>
      </c>
      <c r="I1325" s="166">
        <v>3</v>
      </c>
      <c r="J1325" s="166">
        <v>1E-4</v>
      </c>
      <c r="K1325" s="166" t="str">
        <f t="shared" si="20"/>
        <v>INSTRUMENTPRFRMNG_STTS</v>
      </c>
    </row>
    <row r="1326" spans="1:11" hidden="1">
      <c r="A1326" s="166" t="s">
        <v>4042</v>
      </c>
      <c r="B1326" s="166" t="s">
        <v>4043</v>
      </c>
      <c r="C1326" s="166" t="s">
        <v>1151</v>
      </c>
      <c r="D1326" s="166" t="s">
        <v>45</v>
      </c>
      <c r="E1326" s="166" t="s">
        <v>1132</v>
      </c>
      <c r="F1326" s="166" t="s">
        <v>1133</v>
      </c>
      <c r="G1326" s="166" t="s">
        <v>129</v>
      </c>
      <c r="H1326" s="166">
        <v>130324</v>
      </c>
      <c r="I1326" s="166">
        <v>0</v>
      </c>
      <c r="J1326" s="166">
        <v>0</v>
      </c>
      <c r="K1326" s="166" t="str">
        <f t="shared" si="20"/>
        <v>INSTRUMENTPRFRMNG_STTS</v>
      </c>
    </row>
    <row r="1327" spans="1:11" hidden="1">
      <c r="A1327" s="166" t="s">
        <v>4044</v>
      </c>
      <c r="B1327" s="166" t="s">
        <v>4045</v>
      </c>
      <c r="C1327" s="166" t="s">
        <v>1160</v>
      </c>
      <c r="D1327" s="166" t="s">
        <v>45</v>
      </c>
      <c r="E1327" s="166" t="s">
        <v>1132</v>
      </c>
      <c r="F1327" s="166" t="s">
        <v>1133</v>
      </c>
      <c r="G1327" s="166" t="s">
        <v>129</v>
      </c>
      <c r="H1327" s="166">
        <v>0</v>
      </c>
      <c r="I1327" s="166">
        <v>0</v>
      </c>
      <c r="J1327" s="166">
        <v>0</v>
      </c>
      <c r="K1327" s="166" t="str">
        <f t="shared" si="20"/>
        <v>INSTRUMENTPRFRMNG_STTS</v>
      </c>
    </row>
    <row r="1328" spans="1:11" hidden="1">
      <c r="A1328" s="166" t="s">
        <v>4046</v>
      </c>
      <c r="B1328" s="166" t="s">
        <v>4047</v>
      </c>
      <c r="C1328" s="166" t="s">
        <v>1131</v>
      </c>
      <c r="D1328" s="166" t="s">
        <v>45</v>
      </c>
      <c r="E1328" s="166" t="s">
        <v>1132</v>
      </c>
      <c r="F1328" s="166" t="s">
        <v>1133</v>
      </c>
      <c r="G1328" s="166" t="s">
        <v>129</v>
      </c>
      <c r="H1328" s="166">
        <v>130327</v>
      </c>
      <c r="I1328" s="166">
        <v>0</v>
      </c>
      <c r="J1328" s="166">
        <v>0</v>
      </c>
      <c r="K1328" s="166" t="str">
        <f t="shared" si="20"/>
        <v>INSTRUMENTPRFRMNG_STTS</v>
      </c>
    </row>
    <row r="1329" spans="1:11" hidden="1">
      <c r="A1329" s="166" t="s">
        <v>1161</v>
      </c>
      <c r="B1329" s="166" t="s">
        <v>1162</v>
      </c>
      <c r="C1329" s="166" t="s">
        <v>1142</v>
      </c>
      <c r="D1329" s="166" t="s">
        <v>45</v>
      </c>
      <c r="E1329" s="166" t="s">
        <v>1132</v>
      </c>
      <c r="F1329" s="166" t="s">
        <v>1133</v>
      </c>
      <c r="G1329" s="166" t="s">
        <v>1134</v>
      </c>
      <c r="H1329" s="166">
        <v>141060</v>
      </c>
      <c r="I1329" s="166">
        <v>10733</v>
      </c>
      <c r="J1329" s="166">
        <v>7.6087999999999996</v>
      </c>
      <c r="K1329" s="166" t="str">
        <f t="shared" si="20"/>
        <v>INSTRUMENTPRFRMNG_STTS</v>
      </c>
    </row>
    <row r="1330" spans="1:11" hidden="1">
      <c r="A1330" s="166" t="s">
        <v>4048</v>
      </c>
      <c r="B1330" s="166" t="s">
        <v>4049</v>
      </c>
      <c r="C1330" s="166" t="s">
        <v>1131</v>
      </c>
      <c r="D1330" s="166" t="s">
        <v>47</v>
      </c>
      <c r="E1330" s="166" t="s">
        <v>1132</v>
      </c>
      <c r="F1330" s="166" t="s">
        <v>1133</v>
      </c>
      <c r="G1330" s="166" t="s">
        <v>129</v>
      </c>
      <c r="H1330" s="166">
        <v>50885</v>
      </c>
      <c r="I1330" s="166">
        <v>0</v>
      </c>
      <c r="J1330" s="166">
        <v>0</v>
      </c>
      <c r="K1330" s="166" t="str">
        <f t="shared" si="20"/>
        <v>INSTRUMENTPRFRMNG_STTS_PRVS</v>
      </c>
    </row>
    <row r="1331" spans="1:11" hidden="1">
      <c r="A1331" s="166" t="s">
        <v>4050</v>
      </c>
      <c r="B1331" s="166" t="s">
        <v>4051</v>
      </c>
      <c r="C1331" s="166" t="s">
        <v>1131</v>
      </c>
      <c r="D1331" s="166" t="s">
        <v>47</v>
      </c>
      <c r="E1331" s="166" t="s">
        <v>1132</v>
      </c>
      <c r="F1331" s="166" t="s">
        <v>1133</v>
      </c>
      <c r="G1331" s="166" t="s">
        <v>129</v>
      </c>
      <c r="H1331" s="166">
        <v>0</v>
      </c>
      <c r="I1331" s="166">
        <v>0</v>
      </c>
      <c r="J1331" s="166">
        <v>0</v>
      </c>
      <c r="K1331" s="166" t="str">
        <f t="shared" si="20"/>
        <v>INSTRUMENTPRFRMNG_STTS_PRVS</v>
      </c>
    </row>
    <row r="1332" spans="1:11" hidden="1">
      <c r="A1332" s="166" t="s">
        <v>4052</v>
      </c>
      <c r="B1332" s="166" t="s">
        <v>4053</v>
      </c>
      <c r="C1332" s="166" t="s">
        <v>1131</v>
      </c>
      <c r="D1332" s="166" t="s">
        <v>47</v>
      </c>
      <c r="E1332" s="166" t="s">
        <v>1132</v>
      </c>
      <c r="F1332" s="166" t="s">
        <v>1133</v>
      </c>
      <c r="G1332" s="166" t="s">
        <v>129</v>
      </c>
      <c r="H1332" s="166">
        <v>0</v>
      </c>
      <c r="I1332" s="166">
        <v>0</v>
      </c>
      <c r="J1332" s="166">
        <v>0</v>
      </c>
      <c r="K1332" s="166" t="str">
        <f t="shared" si="20"/>
        <v>INSTRUMENTPRFRMNG_STTS_PRVS</v>
      </c>
    </row>
    <row r="1333" spans="1:11" hidden="1">
      <c r="A1333" s="166" t="s">
        <v>4054</v>
      </c>
      <c r="B1333" s="166" t="s">
        <v>4055</v>
      </c>
      <c r="C1333" s="166" t="s">
        <v>1131</v>
      </c>
      <c r="D1333" s="166" t="s">
        <v>452</v>
      </c>
      <c r="E1333" s="166" t="s">
        <v>1132</v>
      </c>
      <c r="F1333" s="166" t="s">
        <v>1133</v>
      </c>
      <c r="G1333" s="166" t="s">
        <v>129</v>
      </c>
      <c r="H1333" s="166">
        <v>486</v>
      </c>
      <c r="I1333" s="166">
        <v>0</v>
      </c>
      <c r="J1333" s="166">
        <v>0</v>
      </c>
      <c r="K1333" s="166" t="str">
        <f t="shared" si="20"/>
        <v>INSTRUMENTPRJCT_FNNC_LN</v>
      </c>
    </row>
    <row r="1334" spans="1:11" hidden="1">
      <c r="A1334" s="166" t="s">
        <v>4056</v>
      </c>
      <c r="B1334" s="166" t="s">
        <v>4057</v>
      </c>
      <c r="C1334" s="166" t="s">
        <v>1131</v>
      </c>
      <c r="D1334" s="166" t="s">
        <v>456</v>
      </c>
      <c r="E1334" s="166" t="s">
        <v>1132</v>
      </c>
      <c r="F1334" s="166" t="s">
        <v>1133</v>
      </c>
      <c r="G1334" s="166" t="s">
        <v>129</v>
      </c>
      <c r="H1334" s="166">
        <v>2254</v>
      </c>
      <c r="I1334" s="166">
        <v>0</v>
      </c>
      <c r="J1334" s="166">
        <v>0</v>
      </c>
      <c r="K1334" s="166" t="str">
        <f t="shared" si="20"/>
        <v>INSTRUMENTPRPS</v>
      </c>
    </row>
    <row r="1335" spans="1:11" hidden="1">
      <c r="A1335" s="166" t="s">
        <v>4058</v>
      </c>
      <c r="B1335" s="166" t="s">
        <v>4059</v>
      </c>
      <c r="C1335" s="166" t="s">
        <v>1131</v>
      </c>
      <c r="D1335" s="166" t="s">
        <v>456</v>
      </c>
      <c r="E1335" s="166" t="s">
        <v>1132</v>
      </c>
      <c r="F1335" s="166" t="s">
        <v>1133</v>
      </c>
      <c r="G1335" s="166" t="s">
        <v>129</v>
      </c>
      <c r="H1335" s="166">
        <v>0</v>
      </c>
      <c r="I1335" s="166">
        <v>0</v>
      </c>
      <c r="J1335" s="166">
        <v>0</v>
      </c>
      <c r="K1335" s="166" t="str">
        <f t="shared" si="20"/>
        <v>INSTRUMENTPRPS</v>
      </c>
    </row>
    <row r="1336" spans="1:11" hidden="1">
      <c r="A1336" s="166" t="s">
        <v>4060</v>
      </c>
      <c r="B1336" s="166" t="s">
        <v>4061</v>
      </c>
      <c r="C1336" s="166" t="s">
        <v>1131</v>
      </c>
      <c r="D1336" s="166" t="s">
        <v>474</v>
      </c>
      <c r="E1336" s="166" t="s">
        <v>1132</v>
      </c>
      <c r="F1336" s="166" t="s">
        <v>1133</v>
      </c>
      <c r="G1336" s="166" t="s">
        <v>129</v>
      </c>
      <c r="H1336" s="166">
        <v>11612</v>
      </c>
      <c r="I1336" s="166">
        <v>0</v>
      </c>
      <c r="J1336" s="166">
        <v>0</v>
      </c>
      <c r="K1336" s="166" t="str">
        <f t="shared" si="20"/>
        <v>INSTRUMENTPYMNT_INTRST_ONLY</v>
      </c>
    </row>
    <row r="1337" spans="1:11" hidden="1">
      <c r="A1337" s="166" t="s">
        <v>4062</v>
      </c>
      <c r="B1337" s="166" t="s">
        <v>4063</v>
      </c>
      <c r="C1337" s="166" t="s">
        <v>1131</v>
      </c>
      <c r="D1337" s="166" t="s">
        <v>474</v>
      </c>
      <c r="E1337" s="166" t="s">
        <v>1132</v>
      </c>
      <c r="F1337" s="166" t="s">
        <v>1133</v>
      </c>
      <c r="G1337" s="166" t="s">
        <v>129</v>
      </c>
      <c r="H1337" s="166">
        <v>8619</v>
      </c>
      <c r="I1337" s="166">
        <v>0</v>
      </c>
      <c r="J1337" s="166">
        <v>0</v>
      </c>
      <c r="K1337" s="166" t="str">
        <f t="shared" si="20"/>
        <v>INSTRUMENTPYMNT_INTRST_ONLY</v>
      </c>
    </row>
    <row r="1338" spans="1:11" hidden="1">
      <c r="A1338" s="166" t="s">
        <v>4064</v>
      </c>
      <c r="B1338" s="166" t="s">
        <v>4065</v>
      </c>
      <c r="C1338" s="166" t="s">
        <v>1131</v>
      </c>
      <c r="D1338" s="166" t="s">
        <v>474</v>
      </c>
      <c r="E1338" s="166" t="s">
        <v>1132</v>
      </c>
      <c r="F1338" s="166" t="s">
        <v>1133</v>
      </c>
      <c r="G1338" s="166" t="s">
        <v>1134</v>
      </c>
      <c r="H1338" s="166">
        <v>102388</v>
      </c>
      <c r="I1338" s="166">
        <v>102388</v>
      </c>
      <c r="J1338" s="166">
        <v>100</v>
      </c>
      <c r="K1338" s="166" t="str">
        <f t="shared" si="20"/>
        <v>INSTRUMENTPYMNT_INTRST_ONLY</v>
      </c>
    </row>
    <row r="1339" spans="1:11" hidden="1">
      <c r="A1339" s="166" t="s">
        <v>4066</v>
      </c>
      <c r="B1339" s="166" t="s">
        <v>4067</v>
      </c>
      <c r="C1339" s="166" t="s">
        <v>1131</v>
      </c>
      <c r="D1339" s="166" t="s">
        <v>474</v>
      </c>
      <c r="E1339" s="166" t="s">
        <v>1132</v>
      </c>
      <c r="F1339" s="166" t="s">
        <v>1133</v>
      </c>
      <c r="G1339" s="166" t="s">
        <v>1134</v>
      </c>
      <c r="H1339" s="166">
        <v>1960672</v>
      </c>
      <c r="I1339" s="166">
        <v>7936</v>
      </c>
      <c r="J1339" s="166">
        <v>0.40479999999999999</v>
      </c>
      <c r="K1339" s="166" t="str">
        <f t="shared" si="20"/>
        <v>INSTRUMENTPYMNT_INTRST_ONLY</v>
      </c>
    </row>
    <row r="1340" spans="1:11" hidden="1">
      <c r="A1340" s="166" t="s">
        <v>4068</v>
      </c>
      <c r="B1340" s="166" t="s">
        <v>4069</v>
      </c>
      <c r="C1340" s="166" t="s">
        <v>1131</v>
      </c>
      <c r="D1340" s="166" t="s">
        <v>505</v>
      </c>
      <c r="E1340" s="166" t="s">
        <v>1132</v>
      </c>
      <c r="F1340" s="166" t="s">
        <v>1133</v>
      </c>
      <c r="G1340" s="166" t="s">
        <v>129</v>
      </c>
      <c r="H1340" s="166">
        <v>366933</v>
      </c>
      <c r="I1340" s="166">
        <v>0</v>
      </c>
      <c r="J1340" s="166">
        <v>0</v>
      </c>
      <c r="K1340" s="166" t="str">
        <f t="shared" si="20"/>
        <v>INSTRUMENTSPCLTV_LNDNG</v>
      </c>
    </row>
    <row r="1341" spans="1:11" hidden="1">
      <c r="A1341" s="166" t="s">
        <v>4070</v>
      </c>
      <c r="B1341" s="166" t="s">
        <v>4071</v>
      </c>
      <c r="C1341" s="166" t="s">
        <v>1131</v>
      </c>
      <c r="D1341" s="166" t="s">
        <v>505</v>
      </c>
      <c r="E1341" s="166" t="s">
        <v>1132</v>
      </c>
      <c r="F1341" s="166" t="s">
        <v>1133</v>
      </c>
      <c r="G1341" s="166" t="s">
        <v>1134</v>
      </c>
      <c r="H1341" s="166">
        <v>3208</v>
      </c>
      <c r="I1341" s="166">
        <v>954</v>
      </c>
      <c r="J1341" s="166">
        <v>29.738199999999999</v>
      </c>
      <c r="K1341" s="166" t="str">
        <f t="shared" si="20"/>
        <v>INSTRUMENTSPCLTV_LNDNG</v>
      </c>
    </row>
    <row r="1342" spans="1:11" hidden="1">
      <c r="A1342" s="166" t="s">
        <v>4072</v>
      </c>
      <c r="B1342" s="166" t="s">
        <v>4073</v>
      </c>
      <c r="C1342" s="166" t="s">
        <v>1131</v>
      </c>
      <c r="D1342" s="166" t="s">
        <v>509</v>
      </c>
      <c r="E1342" s="166" t="s">
        <v>1132</v>
      </c>
      <c r="F1342" s="166" t="s">
        <v>1133</v>
      </c>
      <c r="G1342" s="166" t="s">
        <v>1134</v>
      </c>
      <c r="H1342" s="166">
        <v>26</v>
      </c>
      <c r="I1342" s="166">
        <v>1</v>
      </c>
      <c r="J1342" s="166">
        <v>3.8462000000000001</v>
      </c>
      <c r="K1342" s="166" t="str">
        <f t="shared" si="20"/>
        <v>INSTRUMENTSTTS_UNDRWRTTN_TRNSCTN</v>
      </c>
    </row>
    <row r="1343" spans="1:11" hidden="1">
      <c r="A1343" s="166" t="s">
        <v>4074</v>
      </c>
      <c r="B1343" s="166" t="s">
        <v>4075</v>
      </c>
      <c r="C1343" s="166" t="s">
        <v>1131</v>
      </c>
      <c r="D1343" s="166" t="s">
        <v>509</v>
      </c>
      <c r="E1343" s="166" t="s">
        <v>1132</v>
      </c>
      <c r="F1343" s="166" t="s">
        <v>1133</v>
      </c>
      <c r="G1343" s="166" t="s">
        <v>1134</v>
      </c>
      <c r="H1343" s="166">
        <v>378813</v>
      </c>
      <c r="I1343" s="166">
        <v>1</v>
      </c>
      <c r="J1343" s="166">
        <v>2.9999999999999997E-4</v>
      </c>
      <c r="K1343" s="166" t="str">
        <f t="shared" si="20"/>
        <v>INSTRUMENTSTTS_UNDRWRTTN_TRNSCTN</v>
      </c>
    </row>
    <row r="1344" spans="1:11" hidden="1">
      <c r="A1344" s="166" t="s">
        <v>4076</v>
      </c>
      <c r="B1344" s="166" t="s">
        <v>4077</v>
      </c>
      <c r="C1344" s="166" t="s">
        <v>1131</v>
      </c>
      <c r="D1344" s="166" t="s">
        <v>521</v>
      </c>
      <c r="E1344" s="166" t="s">
        <v>1132</v>
      </c>
      <c r="F1344" s="166" t="s">
        <v>1133</v>
      </c>
      <c r="G1344" s="166" t="s">
        <v>129</v>
      </c>
      <c r="H1344" s="166">
        <v>100</v>
      </c>
      <c r="I1344" s="166">
        <v>0</v>
      </c>
      <c r="J1344" s="166">
        <v>0</v>
      </c>
      <c r="K1344" s="166" t="str">
        <f t="shared" si="20"/>
        <v>INSTRUMENTTRNCH</v>
      </c>
    </row>
    <row r="1345" spans="1:11" hidden="1">
      <c r="A1345" s="166" t="s">
        <v>4078</v>
      </c>
      <c r="B1345" s="166" t="s">
        <v>4079</v>
      </c>
      <c r="C1345" s="166" t="s">
        <v>1131</v>
      </c>
      <c r="D1345" s="166" t="s">
        <v>521</v>
      </c>
      <c r="E1345" s="166" t="s">
        <v>1132</v>
      </c>
      <c r="F1345" s="166" t="s">
        <v>1133</v>
      </c>
      <c r="G1345" s="166" t="s">
        <v>129</v>
      </c>
      <c r="H1345" s="166">
        <v>378734</v>
      </c>
      <c r="I1345" s="166">
        <v>0</v>
      </c>
      <c r="J1345" s="166">
        <v>0</v>
      </c>
      <c r="K1345" s="166" t="str">
        <f t="shared" si="20"/>
        <v>INSTRUMENTTRNCH</v>
      </c>
    </row>
    <row r="1346" spans="1:11" hidden="1">
      <c r="A1346" s="166" t="s">
        <v>4080</v>
      </c>
      <c r="B1346" s="166" t="s">
        <v>4081</v>
      </c>
      <c r="C1346" s="166" t="s">
        <v>1131</v>
      </c>
      <c r="D1346" s="166" t="s">
        <v>527</v>
      </c>
      <c r="E1346" s="166" t="s">
        <v>1132</v>
      </c>
      <c r="F1346" s="166" t="s">
        <v>1133</v>
      </c>
      <c r="G1346" s="166" t="s">
        <v>1134</v>
      </c>
      <c r="H1346" s="166">
        <v>4535</v>
      </c>
      <c r="I1346" s="166">
        <v>303</v>
      </c>
      <c r="J1346" s="166">
        <v>6.6814</v>
      </c>
      <c r="K1346" s="166" t="str">
        <f t="shared" si="20"/>
        <v>INSTRUMENTTYP_AMRTSTN</v>
      </c>
    </row>
    <row r="1347" spans="1:11" hidden="1">
      <c r="A1347" s="166" t="s">
        <v>4082</v>
      </c>
      <c r="B1347" s="166" t="s">
        <v>4083</v>
      </c>
      <c r="C1347" s="166" t="s">
        <v>1131</v>
      </c>
      <c r="D1347" s="166" t="s">
        <v>527</v>
      </c>
      <c r="E1347" s="166" t="s">
        <v>1132</v>
      </c>
      <c r="F1347" s="166" t="s">
        <v>1133</v>
      </c>
      <c r="G1347" s="166" t="s">
        <v>129</v>
      </c>
      <c r="H1347" s="166">
        <v>402804</v>
      </c>
      <c r="I1347" s="166">
        <v>0</v>
      </c>
      <c r="J1347" s="166">
        <v>0</v>
      </c>
      <c r="K1347" s="166" t="str">
        <f t="shared" ref="K1347:K1410" si="21">_xlfn.CONCAT(_xlfn.IFS(ISNUMBER(SEARCH("EN",A1347)),"ENTITY",ISNUMBER(SEARCH("IN",A1347)),"INSTRUMENT",ISNUMBER(SEARCH("PR",A1347)),"PROTECTION",ISNUMBER(SEARCH("IP",A1347)),"INSTR_PROTECTION",ISNUMBER(SEARCH("IE",A1347)),"INSTR_ENTITY",ISNUMBER(SEARCH("AC",A1347)),"INSTR_ACTIVITY"),D1347)</f>
        <v>INSTRUMENTTYP_AMRTSTN</v>
      </c>
    </row>
    <row r="1348" spans="1:11">
      <c r="A1348" s="166" t="s">
        <v>4084</v>
      </c>
      <c r="B1348" s="166" t="s">
        <v>4085</v>
      </c>
      <c r="C1348" s="166" t="s">
        <v>1131</v>
      </c>
      <c r="D1348" s="166" t="s">
        <v>530</v>
      </c>
      <c r="E1348" s="166" t="s">
        <v>1132</v>
      </c>
      <c r="F1348" s="166" t="s">
        <v>1133</v>
      </c>
      <c r="G1348" s="166" t="s">
        <v>129</v>
      </c>
      <c r="H1348" s="166">
        <v>0</v>
      </c>
      <c r="I1348" s="166">
        <v>0</v>
      </c>
      <c r="J1348" s="166">
        <v>0</v>
      </c>
      <c r="K1348" s="166" t="str">
        <f t="shared" si="21"/>
        <v>INSTRUMENTTYP_INSTRMNT</v>
      </c>
    </row>
    <row r="1349" spans="1:11">
      <c r="A1349" s="166" t="s">
        <v>4086</v>
      </c>
      <c r="B1349" s="166" t="s">
        <v>4087</v>
      </c>
      <c r="C1349" s="166" t="s">
        <v>1131</v>
      </c>
      <c r="D1349" s="166" t="s">
        <v>530</v>
      </c>
      <c r="E1349" s="166" t="s">
        <v>1132</v>
      </c>
      <c r="F1349" s="166" t="s">
        <v>1133</v>
      </c>
      <c r="G1349" s="166" t="s">
        <v>1134</v>
      </c>
      <c r="H1349" s="166">
        <v>17</v>
      </c>
      <c r="I1349" s="166">
        <v>8</v>
      </c>
      <c r="J1349" s="166">
        <v>47.058799999999998</v>
      </c>
      <c r="K1349" s="166" t="str">
        <f t="shared" si="21"/>
        <v>INSTRUMENTTYP_INSTRMNT</v>
      </c>
    </row>
    <row r="1350" spans="1:11">
      <c r="A1350" s="166" t="s">
        <v>4088</v>
      </c>
      <c r="B1350" s="166" t="s">
        <v>4089</v>
      </c>
      <c r="C1350" s="166" t="s">
        <v>1131</v>
      </c>
      <c r="D1350" s="166" t="s">
        <v>530</v>
      </c>
      <c r="E1350" s="166" t="s">
        <v>1132</v>
      </c>
      <c r="F1350" s="166" t="s">
        <v>1133</v>
      </c>
      <c r="G1350" s="166" t="s">
        <v>1134</v>
      </c>
      <c r="H1350" s="166">
        <v>301</v>
      </c>
      <c r="I1350" s="166">
        <v>277</v>
      </c>
      <c r="J1350" s="166">
        <v>92.026600000000002</v>
      </c>
      <c r="K1350" s="166" t="str">
        <f t="shared" si="21"/>
        <v>INSTRUMENTTYP_INSTRMNT</v>
      </c>
    </row>
    <row r="1351" spans="1:11" hidden="1">
      <c r="A1351" s="166" t="s">
        <v>4090</v>
      </c>
      <c r="B1351" s="166" t="s">
        <v>4091</v>
      </c>
      <c r="C1351" s="166" t="s">
        <v>1131</v>
      </c>
      <c r="D1351" s="166" t="s">
        <v>531</v>
      </c>
      <c r="E1351" s="166" t="s">
        <v>1132</v>
      </c>
      <c r="F1351" s="166" t="s">
        <v>1133</v>
      </c>
      <c r="G1351" s="166" t="s">
        <v>129</v>
      </c>
      <c r="H1351" s="166">
        <v>398775</v>
      </c>
      <c r="I1351" s="166">
        <v>0</v>
      </c>
      <c r="J1351" s="166">
        <v>0</v>
      </c>
      <c r="K1351" s="166" t="str">
        <f t="shared" si="21"/>
        <v>INSTRUMENTTYP_INTRST_RT</v>
      </c>
    </row>
    <row r="1352" spans="1:11" hidden="1">
      <c r="A1352" s="166" t="s">
        <v>4092</v>
      </c>
      <c r="B1352" s="166" t="s">
        <v>4093</v>
      </c>
      <c r="C1352" s="166" t="s">
        <v>1131</v>
      </c>
      <c r="D1352" s="166" t="s">
        <v>531</v>
      </c>
      <c r="E1352" s="166" t="s">
        <v>1132</v>
      </c>
      <c r="F1352" s="166" t="s">
        <v>1133</v>
      </c>
      <c r="G1352" s="166" t="s">
        <v>129</v>
      </c>
      <c r="H1352" s="166">
        <v>1795693</v>
      </c>
      <c r="I1352" s="166">
        <v>0</v>
      </c>
      <c r="J1352" s="166">
        <v>0</v>
      </c>
      <c r="K1352" s="166" t="str">
        <f t="shared" si="21"/>
        <v>INSTRUMENTTYP_INTRST_RT</v>
      </c>
    </row>
    <row r="1353" spans="1:11" hidden="1">
      <c r="A1353" s="166" t="s">
        <v>4094</v>
      </c>
      <c r="B1353" s="166" t="s">
        <v>640</v>
      </c>
      <c r="C1353" s="166" t="s">
        <v>1131</v>
      </c>
      <c r="D1353" s="166" t="s">
        <v>144</v>
      </c>
      <c r="E1353" s="166" t="s">
        <v>1132</v>
      </c>
      <c r="F1353" s="166" t="s">
        <v>1133</v>
      </c>
      <c r="G1353" s="166" t="s">
        <v>1134</v>
      </c>
      <c r="H1353" s="166">
        <v>1081986</v>
      </c>
      <c r="I1353" s="166">
        <v>35</v>
      </c>
      <c r="J1353" s="166">
        <v>3.2000000000000002E-3</v>
      </c>
      <c r="K1353" s="166" t="str">
        <f t="shared" si="21"/>
        <v>INSTRUMENTTYP_MRTGG</v>
      </c>
    </row>
    <row r="1354" spans="1:11" hidden="1">
      <c r="A1354" s="166" t="s">
        <v>4095</v>
      </c>
      <c r="B1354" s="166" t="s">
        <v>643</v>
      </c>
      <c r="C1354" s="166" t="s">
        <v>1151</v>
      </c>
      <c r="D1354" s="166" t="s">
        <v>144</v>
      </c>
      <c r="E1354" s="166" t="s">
        <v>1132</v>
      </c>
      <c r="F1354" s="166" t="s">
        <v>1133</v>
      </c>
      <c r="G1354" s="166" t="s">
        <v>129</v>
      </c>
      <c r="H1354" s="166">
        <v>364700</v>
      </c>
      <c r="I1354" s="166">
        <v>0</v>
      </c>
      <c r="J1354" s="166">
        <v>0</v>
      </c>
      <c r="K1354" s="166" t="str">
        <f t="shared" si="21"/>
        <v>INSTRUMENTTYP_MRTGG</v>
      </c>
    </row>
    <row r="1355" spans="1:11" hidden="1">
      <c r="A1355" s="166" t="s">
        <v>4096</v>
      </c>
      <c r="B1355" s="166" t="s">
        <v>4097</v>
      </c>
      <c r="C1355" s="166" t="s">
        <v>1160</v>
      </c>
      <c r="D1355" s="166" t="s">
        <v>144</v>
      </c>
      <c r="E1355" s="166" t="s">
        <v>1132</v>
      </c>
      <c r="F1355" s="166" t="s">
        <v>1133</v>
      </c>
      <c r="G1355" s="166" t="s">
        <v>1134</v>
      </c>
      <c r="H1355" s="166">
        <v>391434</v>
      </c>
      <c r="I1355" s="166">
        <v>32472</v>
      </c>
      <c r="J1355" s="166">
        <v>8.2957000000000001</v>
      </c>
      <c r="K1355" s="166" t="str">
        <f t="shared" si="21"/>
        <v>INSTRUMENTTYP_MRTGG</v>
      </c>
    </row>
    <row r="1356" spans="1:11" hidden="1">
      <c r="A1356" s="166" t="s">
        <v>4098</v>
      </c>
      <c r="B1356" s="166" t="s">
        <v>4099</v>
      </c>
      <c r="C1356" s="166" t="s">
        <v>1160</v>
      </c>
      <c r="D1356" s="166" t="s">
        <v>144</v>
      </c>
      <c r="E1356" s="166" t="s">
        <v>1132</v>
      </c>
      <c r="F1356" s="166" t="s">
        <v>1133</v>
      </c>
      <c r="G1356" s="166" t="s">
        <v>1134</v>
      </c>
      <c r="H1356" s="166">
        <v>1645528</v>
      </c>
      <c r="I1356" s="166">
        <v>1645528</v>
      </c>
      <c r="J1356" s="166">
        <v>100</v>
      </c>
      <c r="K1356" s="166" t="str">
        <f t="shared" si="21"/>
        <v>INSTRUMENTTYP_MRTGG</v>
      </c>
    </row>
    <row r="1357" spans="1:11" hidden="1">
      <c r="A1357" s="166" t="s">
        <v>4100</v>
      </c>
      <c r="B1357" s="166" t="s">
        <v>4101</v>
      </c>
      <c r="C1357" s="166" t="s">
        <v>127</v>
      </c>
      <c r="D1357" s="166" t="s">
        <v>144</v>
      </c>
      <c r="E1357" s="166" t="s">
        <v>10</v>
      </c>
      <c r="F1357" s="166" t="s">
        <v>1133</v>
      </c>
      <c r="G1357" s="166" t="s">
        <v>1134</v>
      </c>
      <c r="H1357" s="166">
        <v>101870</v>
      </c>
      <c r="I1357" s="166">
        <v>101870</v>
      </c>
      <c r="J1357" s="166">
        <v>100</v>
      </c>
      <c r="K1357" s="166" t="str">
        <f t="shared" si="21"/>
        <v>INSTRUMENTTYP_MRTGG</v>
      </c>
    </row>
    <row r="1358" spans="1:11" hidden="1">
      <c r="A1358" s="166" t="s">
        <v>4102</v>
      </c>
      <c r="B1358" s="166" t="s">
        <v>4103</v>
      </c>
      <c r="C1358" s="166" t="s">
        <v>1131</v>
      </c>
      <c r="D1358" s="166" t="s">
        <v>529</v>
      </c>
      <c r="E1358" s="166" t="s">
        <v>1132</v>
      </c>
      <c r="F1358" s="166" t="s">
        <v>1133</v>
      </c>
      <c r="G1358" s="166" t="s">
        <v>1134</v>
      </c>
      <c r="H1358" s="166">
        <v>2881</v>
      </c>
      <c r="I1358" s="166">
        <v>674</v>
      </c>
      <c r="J1358" s="166">
        <v>23.3947</v>
      </c>
      <c r="K1358" s="166" t="str">
        <f t="shared" si="21"/>
        <v>INSTRUMENTTYP_CRE_OPRTN</v>
      </c>
    </row>
    <row r="1359" spans="1:11" hidden="1">
      <c r="A1359" s="166" t="s">
        <v>4104</v>
      </c>
      <c r="B1359" s="166" t="s">
        <v>4105</v>
      </c>
      <c r="C1359" s="166" t="s">
        <v>1131</v>
      </c>
      <c r="D1359" s="166" t="s">
        <v>529</v>
      </c>
      <c r="E1359" s="166" t="s">
        <v>1132</v>
      </c>
      <c r="F1359" s="166" t="s">
        <v>1133</v>
      </c>
      <c r="G1359" s="166" t="s">
        <v>129</v>
      </c>
      <c r="H1359" s="166">
        <v>0</v>
      </c>
      <c r="I1359" s="166">
        <v>0</v>
      </c>
      <c r="J1359" s="166">
        <v>0</v>
      </c>
      <c r="K1359" s="166" t="str">
        <f t="shared" si="21"/>
        <v>INSTRUMENTTYP_CRE_OPRTN</v>
      </c>
    </row>
    <row r="1360" spans="1:11" hidden="1">
      <c r="A1360" s="166" t="s">
        <v>4106</v>
      </c>
      <c r="B1360" s="166" t="s">
        <v>4107</v>
      </c>
      <c r="C1360" s="166" t="s">
        <v>1131</v>
      </c>
      <c r="D1360" s="166" t="s">
        <v>529</v>
      </c>
      <c r="E1360" s="166" t="s">
        <v>1132</v>
      </c>
      <c r="F1360" s="166" t="s">
        <v>1133</v>
      </c>
      <c r="G1360" s="166" t="s">
        <v>129</v>
      </c>
      <c r="H1360" s="166">
        <v>0</v>
      </c>
      <c r="I1360" s="166">
        <v>0</v>
      </c>
      <c r="J1360" s="166">
        <v>0</v>
      </c>
      <c r="K1360" s="166" t="str">
        <f t="shared" si="21"/>
        <v>INSTRUMENTTYP_CRE_OPRTN</v>
      </c>
    </row>
    <row r="1361" spans="1:11" hidden="1">
      <c r="A1361" s="166" t="s">
        <v>4108</v>
      </c>
      <c r="B1361" s="166" t="s">
        <v>4109</v>
      </c>
      <c r="C1361" s="166" t="s">
        <v>1131</v>
      </c>
      <c r="D1361" s="166" t="s">
        <v>529</v>
      </c>
      <c r="E1361" s="166" t="s">
        <v>1132</v>
      </c>
      <c r="F1361" s="166" t="s">
        <v>1133</v>
      </c>
      <c r="G1361" s="166" t="s">
        <v>1134</v>
      </c>
      <c r="H1361" s="166">
        <v>79</v>
      </c>
      <c r="I1361" s="166">
        <v>77</v>
      </c>
      <c r="J1361" s="166">
        <v>97.468400000000003</v>
      </c>
      <c r="K1361" s="166" t="str">
        <f t="shared" si="21"/>
        <v>INSTRUMENTTYP_CRE_OPRTN</v>
      </c>
    </row>
    <row r="1362" spans="1:11" hidden="1">
      <c r="A1362" s="166" t="s">
        <v>4110</v>
      </c>
      <c r="B1362" s="166" t="s">
        <v>4111</v>
      </c>
      <c r="C1362" s="166" t="s">
        <v>1131</v>
      </c>
      <c r="D1362" s="166" t="s">
        <v>284</v>
      </c>
      <c r="E1362" s="166" t="s">
        <v>1132</v>
      </c>
      <c r="F1362" s="166" t="s">
        <v>1133</v>
      </c>
      <c r="G1362" s="166" t="s">
        <v>1134</v>
      </c>
      <c r="H1362" s="166">
        <v>109996</v>
      </c>
      <c r="I1362" s="166">
        <v>49</v>
      </c>
      <c r="J1362" s="166">
        <v>4.4499999999999998E-2</v>
      </c>
      <c r="K1362" s="166" t="str">
        <f t="shared" si="21"/>
        <v>INSTRUMENTDT_STRT_GP_PPAL</v>
      </c>
    </row>
    <row r="1363" spans="1:11" hidden="1">
      <c r="A1363" s="166" t="s">
        <v>4112</v>
      </c>
      <c r="B1363" s="166" t="s">
        <v>4113</v>
      </c>
      <c r="C1363" s="166" t="s">
        <v>1131</v>
      </c>
      <c r="D1363" s="166" t="s">
        <v>284</v>
      </c>
      <c r="E1363" s="166" t="s">
        <v>1132</v>
      </c>
      <c r="F1363" s="166" t="s">
        <v>1133</v>
      </c>
      <c r="G1363" s="166" t="s">
        <v>1134</v>
      </c>
      <c r="H1363" s="166">
        <v>130502</v>
      </c>
      <c r="I1363" s="166">
        <v>117</v>
      </c>
      <c r="J1363" s="166">
        <v>8.9700000000000002E-2</v>
      </c>
      <c r="K1363" s="166" t="str">
        <f t="shared" si="21"/>
        <v>INSTRUMENTDT_STRT_GP_PPAL</v>
      </c>
    </row>
    <row r="1364" spans="1:11" hidden="1">
      <c r="A1364" s="166" t="s">
        <v>4114</v>
      </c>
      <c r="B1364" s="166" t="s">
        <v>4115</v>
      </c>
      <c r="C1364" s="166" t="s">
        <v>1131</v>
      </c>
      <c r="D1364" s="166" t="s">
        <v>284</v>
      </c>
      <c r="E1364" s="166" t="s">
        <v>1132</v>
      </c>
      <c r="F1364" s="166" t="s">
        <v>1133</v>
      </c>
      <c r="G1364" s="166" t="s">
        <v>129</v>
      </c>
      <c r="H1364" s="166">
        <v>130502</v>
      </c>
      <c r="I1364" s="166">
        <v>0</v>
      </c>
      <c r="J1364" s="166">
        <v>0</v>
      </c>
      <c r="K1364" s="166" t="str">
        <f t="shared" si="21"/>
        <v>INSTRUMENTDT_STRT_GP_PPAL</v>
      </c>
    </row>
    <row r="1365" spans="1:11" hidden="1">
      <c r="A1365" s="166" t="s">
        <v>4116</v>
      </c>
      <c r="B1365" s="166" t="s">
        <v>4117</v>
      </c>
      <c r="C1365" s="166" t="s">
        <v>1131</v>
      </c>
      <c r="D1365" s="166" t="s">
        <v>348</v>
      </c>
      <c r="E1365" s="166" t="s">
        <v>1132</v>
      </c>
      <c r="F1365" s="166" t="s">
        <v>1133</v>
      </c>
      <c r="G1365" s="166" t="s">
        <v>129</v>
      </c>
      <c r="H1365" s="166">
        <v>1871334</v>
      </c>
      <c r="I1365" s="166">
        <v>0</v>
      </c>
      <c r="J1365" s="166">
        <v>0</v>
      </c>
      <c r="K1365" s="166" t="str">
        <f t="shared" si="21"/>
        <v>INSTRUMENTGRSS_CRRYNG_AMNT_INSTRMNT</v>
      </c>
    </row>
    <row r="1366" spans="1:11" hidden="1">
      <c r="A1366" s="166" t="s">
        <v>4118</v>
      </c>
      <c r="B1366" s="166" t="s">
        <v>4119</v>
      </c>
      <c r="C1366" s="166" t="s">
        <v>1131</v>
      </c>
      <c r="D1366" s="166" t="s">
        <v>348</v>
      </c>
      <c r="E1366" s="166" t="s">
        <v>1132</v>
      </c>
      <c r="F1366" s="166" t="s">
        <v>1133</v>
      </c>
      <c r="G1366" s="166" t="s">
        <v>129</v>
      </c>
      <c r="H1366" s="166">
        <v>13</v>
      </c>
      <c r="I1366" s="166">
        <v>0</v>
      </c>
      <c r="J1366" s="166">
        <v>0</v>
      </c>
      <c r="K1366" s="166" t="str">
        <f t="shared" si="21"/>
        <v>INSTRUMENTGRSS_CRRYNG_AMNT_INSTRMNT</v>
      </c>
    </row>
    <row r="1367" spans="1:11" hidden="1">
      <c r="A1367" s="166" t="s">
        <v>4120</v>
      </c>
      <c r="B1367" s="166" t="s">
        <v>4121</v>
      </c>
      <c r="C1367" s="166" t="s">
        <v>1131</v>
      </c>
      <c r="D1367" s="166" t="s">
        <v>348</v>
      </c>
      <c r="E1367" s="166" t="s">
        <v>1132</v>
      </c>
      <c r="F1367" s="166" t="s">
        <v>1133</v>
      </c>
      <c r="G1367" s="166" t="s">
        <v>129</v>
      </c>
      <c r="H1367" s="166">
        <v>267616</v>
      </c>
      <c r="I1367" s="166">
        <v>0</v>
      </c>
      <c r="J1367" s="166">
        <v>0</v>
      </c>
      <c r="K1367" s="166" t="str">
        <f t="shared" si="21"/>
        <v>INSTRUMENTGRSS_CRRYNG_AMNT_INSTRMNT</v>
      </c>
    </row>
    <row r="1368" spans="1:11" hidden="1">
      <c r="A1368" s="166" t="s">
        <v>4122</v>
      </c>
      <c r="B1368" s="166" t="s">
        <v>1098</v>
      </c>
      <c r="C1368" s="166" t="s">
        <v>1131</v>
      </c>
      <c r="D1368" s="166" t="s">
        <v>128</v>
      </c>
      <c r="E1368" s="166" t="s">
        <v>1132</v>
      </c>
      <c r="F1368" s="166" t="s">
        <v>1133</v>
      </c>
      <c r="G1368" s="166" t="s">
        <v>129</v>
      </c>
      <c r="H1368" s="166">
        <v>1871203</v>
      </c>
      <c r="I1368" s="166">
        <v>0</v>
      </c>
      <c r="J1368" s="166">
        <v>0</v>
      </c>
      <c r="K1368" s="166" t="str">
        <f t="shared" si="21"/>
        <v>INSTRUMENTACCMLTD_CHNGS_FV_CR_INSTRMNT</v>
      </c>
    </row>
    <row r="1369" spans="1:11" hidden="1">
      <c r="A1369" s="166" t="s">
        <v>4123</v>
      </c>
      <c r="B1369" s="166" t="s">
        <v>1099</v>
      </c>
      <c r="C1369" s="166" t="s">
        <v>1131</v>
      </c>
      <c r="D1369" s="166" t="s">
        <v>128</v>
      </c>
      <c r="E1369" s="166" t="s">
        <v>1132</v>
      </c>
      <c r="F1369" s="166" t="s">
        <v>1133</v>
      </c>
      <c r="G1369" s="166" t="s">
        <v>129</v>
      </c>
      <c r="H1369" s="166">
        <v>13</v>
      </c>
      <c r="I1369" s="166">
        <v>0</v>
      </c>
      <c r="J1369" s="166">
        <v>0</v>
      </c>
      <c r="K1369" s="166" t="str">
        <f t="shared" si="21"/>
        <v>INSTRUMENTACCMLTD_CHNGS_FV_CR_INSTRMNT</v>
      </c>
    </row>
    <row r="1370" spans="1:11" hidden="1">
      <c r="A1370" s="166" t="s">
        <v>4124</v>
      </c>
      <c r="B1370" s="166" t="s">
        <v>1100</v>
      </c>
      <c r="C1370" s="166" t="s">
        <v>1131</v>
      </c>
      <c r="D1370" s="166" t="s">
        <v>128</v>
      </c>
      <c r="E1370" s="166" t="s">
        <v>1132</v>
      </c>
      <c r="F1370" s="166" t="s">
        <v>1133</v>
      </c>
      <c r="G1370" s="166" t="s">
        <v>129</v>
      </c>
      <c r="H1370" s="166">
        <v>0</v>
      </c>
      <c r="I1370" s="166">
        <v>0</v>
      </c>
      <c r="J1370" s="166">
        <v>0</v>
      </c>
      <c r="K1370" s="166" t="str">
        <f t="shared" si="21"/>
        <v>INSTRUMENTACCMLTD_CHNGS_FV_CR_INSTRMNT</v>
      </c>
    </row>
    <row r="1371" spans="1:11" hidden="1">
      <c r="A1371" s="166" t="s">
        <v>4125</v>
      </c>
      <c r="B1371" s="166" t="s">
        <v>1101</v>
      </c>
      <c r="C1371" s="166" t="s">
        <v>1131</v>
      </c>
      <c r="D1371" s="166" t="s">
        <v>128</v>
      </c>
      <c r="E1371" s="166" t="s">
        <v>1132</v>
      </c>
      <c r="F1371" s="166" t="s">
        <v>1133</v>
      </c>
      <c r="G1371" s="166" t="s">
        <v>129</v>
      </c>
      <c r="H1371" s="166">
        <v>12159</v>
      </c>
      <c r="I1371" s="166">
        <v>0</v>
      </c>
      <c r="J1371" s="166">
        <v>0</v>
      </c>
      <c r="K1371" s="166" t="str">
        <f t="shared" si="21"/>
        <v>INSTRUMENTACCMLTD_CHNGS_FV_CR_INSTRMNT</v>
      </c>
    </row>
    <row r="1372" spans="1:11" hidden="1">
      <c r="A1372" s="166" t="s">
        <v>4126</v>
      </c>
      <c r="B1372" s="166" t="s">
        <v>4127</v>
      </c>
      <c r="C1372" s="166" t="s">
        <v>1131</v>
      </c>
      <c r="D1372" s="166" t="s">
        <v>138</v>
      </c>
      <c r="E1372" s="166" t="s">
        <v>1132</v>
      </c>
      <c r="F1372" s="166" t="s">
        <v>1133</v>
      </c>
      <c r="G1372" s="166" t="s">
        <v>1134</v>
      </c>
      <c r="H1372" s="166">
        <v>1871195</v>
      </c>
      <c r="I1372" s="166">
        <v>1</v>
      </c>
      <c r="J1372" s="166">
        <v>1E-4</v>
      </c>
      <c r="K1372" s="166" t="str">
        <f t="shared" si="21"/>
        <v>INSTRUMENTACCNTNG_CLSSFCTN</v>
      </c>
    </row>
    <row r="1373" spans="1:11" hidden="1">
      <c r="A1373" s="166" t="s">
        <v>4128</v>
      </c>
      <c r="B1373" s="166" t="s">
        <v>4129</v>
      </c>
      <c r="C1373" s="166" t="s">
        <v>1131</v>
      </c>
      <c r="D1373" s="166" t="s">
        <v>138</v>
      </c>
      <c r="E1373" s="166" t="s">
        <v>1132</v>
      </c>
      <c r="F1373" s="166" t="s">
        <v>1133</v>
      </c>
      <c r="G1373" s="166" t="s">
        <v>129</v>
      </c>
      <c r="H1373" s="166">
        <v>131</v>
      </c>
      <c r="I1373" s="166">
        <v>0</v>
      </c>
      <c r="J1373" s="166">
        <v>0</v>
      </c>
      <c r="K1373" s="166" t="str">
        <f t="shared" si="21"/>
        <v>INSTRUMENTACCNTNG_CLSSFCTN</v>
      </c>
    </row>
    <row r="1374" spans="1:11" hidden="1">
      <c r="A1374" s="166" t="s">
        <v>4130</v>
      </c>
      <c r="B1374" s="166" t="s">
        <v>4131</v>
      </c>
      <c r="C1374" s="166" t="s">
        <v>1131</v>
      </c>
      <c r="D1374" s="166" t="s">
        <v>138</v>
      </c>
      <c r="E1374" s="166" t="s">
        <v>1132</v>
      </c>
      <c r="F1374" s="166" t="s">
        <v>1133</v>
      </c>
      <c r="G1374" s="166" t="s">
        <v>129</v>
      </c>
      <c r="H1374" s="166">
        <v>13</v>
      </c>
      <c r="I1374" s="166">
        <v>0</v>
      </c>
      <c r="J1374" s="166">
        <v>0</v>
      </c>
      <c r="K1374" s="166" t="str">
        <f t="shared" si="21"/>
        <v>INSTRUMENTACCNTNG_CLSSFCTN</v>
      </c>
    </row>
    <row r="1375" spans="1:11" hidden="1">
      <c r="A1375" s="166" t="s">
        <v>4132</v>
      </c>
      <c r="B1375" s="166" t="s">
        <v>4133</v>
      </c>
      <c r="C1375" s="166" t="s">
        <v>1131</v>
      </c>
      <c r="D1375" s="166" t="s">
        <v>138</v>
      </c>
      <c r="E1375" s="166" t="s">
        <v>1132</v>
      </c>
      <c r="F1375" s="166" t="s">
        <v>1133</v>
      </c>
      <c r="G1375" s="166" t="s">
        <v>129</v>
      </c>
      <c r="H1375" s="166">
        <v>8</v>
      </c>
      <c r="I1375" s="166">
        <v>0</v>
      </c>
      <c r="J1375" s="166">
        <v>0</v>
      </c>
      <c r="K1375" s="166" t="str">
        <f t="shared" si="21"/>
        <v>INSTRUMENTACCNTNG_CLSSFCTN</v>
      </c>
    </row>
    <row r="1376" spans="1:11" hidden="1">
      <c r="A1376" s="166" t="s">
        <v>4134</v>
      </c>
      <c r="B1376" s="166" t="s">
        <v>4135</v>
      </c>
      <c r="C1376" s="166" t="s">
        <v>1131</v>
      </c>
      <c r="D1376" s="166" t="s">
        <v>138</v>
      </c>
      <c r="E1376" s="166" t="s">
        <v>1132</v>
      </c>
      <c r="F1376" s="166" t="s">
        <v>1133</v>
      </c>
      <c r="G1376" s="166" t="s">
        <v>129</v>
      </c>
      <c r="H1376" s="166">
        <v>0</v>
      </c>
      <c r="I1376" s="166">
        <v>0</v>
      </c>
      <c r="J1376" s="166">
        <v>0</v>
      </c>
      <c r="K1376" s="166" t="str">
        <f t="shared" si="21"/>
        <v>INSTRUMENTACCNTNG_CLSSFCTN</v>
      </c>
    </row>
    <row r="1377" spans="1:11" hidden="1">
      <c r="A1377" s="166" t="s">
        <v>4136</v>
      </c>
      <c r="B1377" s="166" t="s">
        <v>4137</v>
      </c>
      <c r="C1377" s="166" t="s">
        <v>1131</v>
      </c>
      <c r="D1377" s="166" t="s">
        <v>524</v>
      </c>
      <c r="E1377" s="166" t="s">
        <v>1132</v>
      </c>
      <c r="F1377" s="166" t="s">
        <v>1133</v>
      </c>
      <c r="G1377" s="166" t="s">
        <v>129</v>
      </c>
      <c r="H1377" s="166">
        <v>0</v>
      </c>
      <c r="I1377" s="166">
        <v>0</v>
      </c>
      <c r="J1377" s="166">
        <v>0</v>
      </c>
      <c r="K1377" s="166" t="str">
        <f t="shared" si="21"/>
        <v>INSTRUMENTACCRD_INTRST_INSTRMNT</v>
      </c>
    </row>
    <row r="1378" spans="1:11" hidden="1">
      <c r="A1378" s="166" t="s">
        <v>4138</v>
      </c>
      <c r="B1378" s="166" t="s">
        <v>4139</v>
      </c>
      <c r="C1378" s="166" t="s">
        <v>1131</v>
      </c>
      <c r="D1378" s="166" t="s">
        <v>148</v>
      </c>
      <c r="E1378" s="166" t="s">
        <v>1132</v>
      </c>
      <c r="F1378" s="166" t="s">
        <v>1133</v>
      </c>
      <c r="G1378" s="166" t="s">
        <v>1134</v>
      </c>
      <c r="H1378" s="166">
        <v>797571</v>
      </c>
      <c r="I1378" s="166">
        <v>7380</v>
      </c>
      <c r="J1378" s="166">
        <v>0.92530000000000001</v>
      </c>
      <c r="K1378" s="166" t="str">
        <f t="shared" si="21"/>
        <v>INSTRUMENTAMNT_D_AT_MTRTY</v>
      </c>
    </row>
    <row r="1379" spans="1:11" hidden="1">
      <c r="A1379" s="166" t="s">
        <v>4140</v>
      </c>
      <c r="B1379" s="166" t="s">
        <v>4141</v>
      </c>
      <c r="C1379" s="166" t="s">
        <v>4142</v>
      </c>
      <c r="D1379" s="166" t="s">
        <v>148</v>
      </c>
      <c r="E1379" s="166" t="s">
        <v>1132</v>
      </c>
      <c r="F1379" s="166" t="s">
        <v>1133</v>
      </c>
      <c r="G1379" s="166" t="s">
        <v>1134</v>
      </c>
      <c r="H1379" s="166">
        <v>824635</v>
      </c>
      <c r="I1379" s="166">
        <v>21896</v>
      </c>
      <c r="J1379" s="166">
        <v>2.6551999999999998</v>
      </c>
      <c r="K1379" s="166" t="str">
        <f t="shared" si="21"/>
        <v>INSTRUMENTAMNT_D_AT_MTRTY</v>
      </c>
    </row>
    <row r="1380" spans="1:11" hidden="1">
      <c r="A1380" s="166" t="s">
        <v>4143</v>
      </c>
      <c r="B1380" s="166" t="s">
        <v>4144</v>
      </c>
      <c r="C1380" s="166" t="s">
        <v>1131</v>
      </c>
      <c r="D1380" s="166" t="s">
        <v>173</v>
      </c>
      <c r="E1380" s="166" t="s">
        <v>1132</v>
      </c>
      <c r="F1380" s="166" t="s">
        <v>1133</v>
      </c>
      <c r="G1380" s="166" t="s">
        <v>129</v>
      </c>
      <c r="H1380" s="166">
        <v>4109</v>
      </c>
      <c r="I1380" s="166">
        <v>0</v>
      </c>
      <c r="J1380" s="166">
        <v>0</v>
      </c>
      <c r="K1380" s="166" t="str">
        <f t="shared" si="21"/>
        <v>INSTRUMENTCMMTMNT_INCPTN_INSTRMNT</v>
      </c>
    </row>
    <row r="1381" spans="1:11" hidden="1">
      <c r="A1381" s="166" t="s">
        <v>4145</v>
      </c>
      <c r="B1381" s="166" t="s">
        <v>4146</v>
      </c>
      <c r="C1381" s="166" t="s">
        <v>1131</v>
      </c>
      <c r="D1381" s="166" t="s">
        <v>173</v>
      </c>
      <c r="E1381" s="166" t="s">
        <v>1132</v>
      </c>
      <c r="F1381" s="166" t="s">
        <v>1133</v>
      </c>
      <c r="G1381" s="166" t="s">
        <v>129</v>
      </c>
      <c r="H1381" s="166">
        <v>4109</v>
      </c>
      <c r="I1381" s="166">
        <v>0</v>
      </c>
      <c r="J1381" s="166">
        <v>0</v>
      </c>
      <c r="K1381" s="166" t="str">
        <f t="shared" si="21"/>
        <v>INSTRUMENTCMMTMNT_INCPTN_INSTRMNT</v>
      </c>
    </row>
    <row r="1382" spans="1:11" hidden="1">
      <c r="A1382" s="166" t="s">
        <v>4147</v>
      </c>
      <c r="B1382" s="166" t="s">
        <v>1191</v>
      </c>
      <c r="C1382" s="166" t="s">
        <v>1131</v>
      </c>
      <c r="D1382" s="166" t="s">
        <v>210</v>
      </c>
      <c r="E1382" s="166" t="s">
        <v>1132</v>
      </c>
      <c r="F1382" s="166" t="s">
        <v>1133</v>
      </c>
      <c r="G1382" s="166" t="s">
        <v>129</v>
      </c>
      <c r="H1382" s="166">
        <v>367053</v>
      </c>
      <c r="I1382" s="166">
        <v>0</v>
      </c>
      <c r="J1382" s="166">
        <v>0</v>
      </c>
      <c r="K1382" s="166" t="str">
        <f t="shared" si="21"/>
        <v>INSTRUMENTDBT_YLD</v>
      </c>
    </row>
    <row r="1383" spans="1:11" hidden="1">
      <c r="A1383" s="166" t="s">
        <v>4148</v>
      </c>
      <c r="B1383" s="166" t="s">
        <v>4149</v>
      </c>
      <c r="C1383" s="166" t="s">
        <v>1142</v>
      </c>
      <c r="D1383" s="166" t="s">
        <v>210</v>
      </c>
      <c r="E1383" s="166" t="s">
        <v>1132</v>
      </c>
      <c r="F1383" s="166" t="s">
        <v>1133</v>
      </c>
      <c r="G1383" s="166" t="s">
        <v>1134</v>
      </c>
      <c r="H1383" s="166">
        <v>334127</v>
      </c>
      <c r="I1383" s="166">
        <v>330225</v>
      </c>
      <c r="J1383" s="166">
        <v>98.8322</v>
      </c>
      <c r="K1383" s="166" t="str">
        <f t="shared" si="21"/>
        <v>INSTRUMENTDBT_YLD</v>
      </c>
    </row>
    <row r="1384" spans="1:11" hidden="1">
      <c r="A1384" s="166" t="s">
        <v>4150</v>
      </c>
      <c r="B1384" s="166" t="s">
        <v>4151</v>
      </c>
      <c r="C1384" s="166" t="s">
        <v>1131</v>
      </c>
      <c r="D1384" s="166" t="s">
        <v>496</v>
      </c>
      <c r="E1384" s="166" t="s">
        <v>1132</v>
      </c>
      <c r="F1384" s="166" t="s">
        <v>1133</v>
      </c>
      <c r="G1384" s="166" t="s">
        <v>1134</v>
      </c>
      <c r="H1384" s="166">
        <v>1057187</v>
      </c>
      <c r="I1384" s="166">
        <v>10</v>
      </c>
      <c r="J1384" s="166">
        <v>8.9999999999999998E-4</v>
      </c>
      <c r="K1384" s="166" t="str">
        <f t="shared" si="21"/>
        <v>INSTRUMENTDT_LGL_FNL_MTRTY</v>
      </c>
    </row>
    <row r="1385" spans="1:11" hidden="1">
      <c r="A1385" s="166" t="s">
        <v>4152</v>
      </c>
      <c r="B1385" s="166" t="s">
        <v>4153</v>
      </c>
      <c r="C1385" s="166" t="s">
        <v>1131</v>
      </c>
      <c r="D1385" s="166" t="s">
        <v>496</v>
      </c>
      <c r="E1385" s="166" t="s">
        <v>1132</v>
      </c>
      <c r="F1385" s="166" t="s">
        <v>1133</v>
      </c>
      <c r="G1385" s="166" t="s">
        <v>1134</v>
      </c>
      <c r="H1385" s="166">
        <v>797571</v>
      </c>
      <c r="I1385" s="166">
        <v>849</v>
      </c>
      <c r="J1385" s="166">
        <v>0.10639999999999999</v>
      </c>
      <c r="K1385" s="166" t="str">
        <f t="shared" si="21"/>
        <v>INSTRUMENTDT_LGL_FNL_MTRTY</v>
      </c>
    </row>
    <row r="1386" spans="1:11" hidden="1">
      <c r="A1386" s="166" t="s">
        <v>4154</v>
      </c>
      <c r="B1386" s="166" t="s">
        <v>4155</v>
      </c>
      <c r="C1386" s="166" t="s">
        <v>1131</v>
      </c>
      <c r="D1386" s="166" t="s">
        <v>496</v>
      </c>
      <c r="E1386" s="166" t="s">
        <v>1132</v>
      </c>
      <c r="F1386" s="166" t="s">
        <v>1133</v>
      </c>
      <c r="G1386" s="166" t="s">
        <v>1134</v>
      </c>
      <c r="H1386" s="166">
        <v>1057093</v>
      </c>
      <c r="I1386" s="166">
        <v>1</v>
      </c>
      <c r="J1386" s="166">
        <v>1E-4</v>
      </c>
      <c r="K1386" s="166" t="str">
        <f t="shared" si="21"/>
        <v>INSTRUMENTDT_LGL_FNL_MTRTY</v>
      </c>
    </row>
    <row r="1387" spans="1:11" hidden="1">
      <c r="A1387" s="166" t="s">
        <v>4156</v>
      </c>
      <c r="B1387" s="166" t="s">
        <v>4157</v>
      </c>
      <c r="C1387" s="166" t="s">
        <v>1131</v>
      </c>
      <c r="D1387" s="166" t="s">
        <v>500</v>
      </c>
      <c r="E1387" s="166" t="s">
        <v>1132</v>
      </c>
      <c r="F1387" s="166" t="s">
        <v>1133</v>
      </c>
      <c r="G1387" s="166" t="s">
        <v>1134</v>
      </c>
      <c r="H1387" s="166">
        <v>28232</v>
      </c>
      <c r="I1387" s="166">
        <v>374</v>
      </c>
      <c r="J1387" s="166">
        <v>1.3247</v>
      </c>
      <c r="K1387" s="166" t="str">
        <f t="shared" si="21"/>
        <v>INSTRUMENTDT_NXT_INTRST_RT_RST</v>
      </c>
    </row>
    <row r="1388" spans="1:11" hidden="1">
      <c r="A1388" s="166" t="s">
        <v>4158</v>
      </c>
      <c r="B1388" s="166" t="s">
        <v>4159</v>
      </c>
      <c r="C1388" s="166" t="s">
        <v>1131</v>
      </c>
      <c r="D1388" s="166" t="s">
        <v>500</v>
      </c>
      <c r="E1388" s="166" t="s">
        <v>1132</v>
      </c>
      <c r="F1388" s="166" t="s">
        <v>1133</v>
      </c>
      <c r="G1388" s="166" t="s">
        <v>1134</v>
      </c>
      <c r="H1388" s="166">
        <v>2990</v>
      </c>
      <c r="I1388" s="166">
        <v>54</v>
      </c>
      <c r="J1388" s="166">
        <v>1.806</v>
      </c>
      <c r="K1388" s="166" t="str">
        <f t="shared" si="21"/>
        <v>INSTRUMENTDT_NXT_INTRST_RT_RST</v>
      </c>
    </row>
    <row r="1389" spans="1:11" hidden="1">
      <c r="A1389" s="166" t="s">
        <v>4160</v>
      </c>
      <c r="B1389" s="166" t="s">
        <v>4161</v>
      </c>
      <c r="C1389" s="166" t="s">
        <v>1131</v>
      </c>
      <c r="D1389" s="166" t="s">
        <v>500</v>
      </c>
      <c r="E1389" s="166" t="s">
        <v>1132</v>
      </c>
      <c r="F1389" s="166" t="s">
        <v>1133</v>
      </c>
      <c r="G1389" s="166" t="s">
        <v>129</v>
      </c>
      <c r="H1389" s="166">
        <v>0</v>
      </c>
      <c r="I1389" s="166">
        <v>0</v>
      </c>
      <c r="J1389" s="166">
        <v>0</v>
      </c>
      <c r="K1389" s="166" t="str">
        <f t="shared" si="21"/>
        <v>INSTRUMENTDT_NXT_INTRST_RT_RST</v>
      </c>
    </row>
    <row r="1390" spans="1:11" hidden="1">
      <c r="A1390" s="166" t="s">
        <v>4162</v>
      </c>
      <c r="B1390" s="166" t="s">
        <v>4163</v>
      </c>
      <c r="C1390" s="166" t="s">
        <v>1131</v>
      </c>
      <c r="D1390" s="166" t="s">
        <v>500</v>
      </c>
      <c r="E1390" s="166" t="s">
        <v>1132</v>
      </c>
      <c r="F1390" s="166" t="s">
        <v>1133</v>
      </c>
      <c r="G1390" s="166" t="s">
        <v>1134</v>
      </c>
      <c r="H1390" s="166">
        <v>25853</v>
      </c>
      <c r="I1390" s="166">
        <v>103</v>
      </c>
      <c r="J1390" s="166">
        <v>0.39839999999999998</v>
      </c>
      <c r="K1390" s="166" t="str">
        <f t="shared" si="21"/>
        <v>INSTRUMENTDT_NXT_INTRST_RT_RST</v>
      </c>
    </row>
    <row r="1391" spans="1:11" hidden="1">
      <c r="A1391" s="166" t="s">
        <v>4164</v>
      </c>
      <c r="B1391" s="166" t="s">
        <v>4165</v>
      </c>
      <c r="C1391" s="166" t="s">
        <v>1131</v>
      </c>
      <c r="D1391" s="166" t="s">
        <v>500</v>
      </c>
      <c r="E1391" s="166" t="s">
        <v>1132</v>
      </c>
      <c r="F1391" s="166" t="s">
        <v>1133</v>
      </c>
      <c r="G1391" s="166" t="s">
        <v>1134</v>
      </c>
      <c r="H1391" s="166">
        <v>41390</v>
      </c>
      <c r="I1391" s="166">
        <v>3347</v>
      </c>
      <c r="J1391" s="166">
        <v>8.0864999999999991</v>
      </c>
      <c r="K1391" s="166" t="str">
        <f t="shared" si="21"/>
        <v>INSTRUMENTDT_NXT_INTRST_RT_RST</v>
      </c>
    </row>
    <row r="1392" spans="1:11" hidden="1">
      <c r="A1392" s="166" t="s">
        <v>4166</v>
      </c>
      <c r="B1392" s="166" t="s">
        <v>4167</v>
      </c>
      <c r="C1392" s="166" t="s">
        <v>1131</v>
      </c>
      <c r="D1392" s="166" t="s">
        <v>500</v>
      </c>
      <c r="E1392" s="166" t="s">
        <v>1132</v>
      </c>
      <c r="F1392" s="166" t="s">
        <v>1133</v>
      </c>
      <c r="G1392" s="166" t="s">
        <v>129</v>
      </c>
      <c r="H1392" s="166">
        <v>0</v>
      </c>
      <c r="I1392" s="166">
        <v>0</v>
      </c>
      <c r="J1392" s="166">
        <v>0</v>
      </c>
      <c r="K1392" s="166" t="str">
        <f t="shared" si="21"/>
        <v>INSTRUMENTDT_NXT_INTRST_RT_RST</v>
      </c>
    </row>
    <row r="1393" spans="1:11" hidden="1">
      <c r="A1393" s="166" t="s">
        <v>4168</v>
      </c>
      <c r="B1393" s="166" t="s">
        <v>4169</v>
      </c>
      <c r="C1393" s="166" t="s">
        <v>1131</v>
      </c>
      <c r="D1393" s="166" t="s">
        <v>500</v>
      </c>
      <c r="E1393" s="166" t="s">
        <v>1132</v>
      </c>
      <c r="F1393" s="166" t="s">
        <v>1133</v>
      </c>
      <c r="G1393" s="166" t="s">
        <v>129</v>
      </c>
      <c r="H1393" s="166">
        <v>1335607</v>
      </c>
      <c r="I1393" s="166">
        <v>0</v>
      </c>
      <c r="J1393" s="166">
        <v>0</v>
      </c>
      <c r="K1393" s="166" t="str">
        <f t="shared" si="21"/>
        <v>INSTRUMENTDT_NXT_INTRST_RT_RST</v>
      </c>
    </row>
    <row r="1394" spans="1:11" hidden="1">
      <c r="A1394" s="166" t="s">
        <v>4170</v>
      </c>
      <c r="B1394" s="166" t="s">
        <v>4171</v>
      </c>
      <c r="C1394" s="166" t="s">
        <v>1131</v>
      </c>
      <c r="D1394" s="166" t="s">
        <v>500</v>
      </c>
      <c r="E1394" s="166" t="s">
        <v>1132</v>
      </c>
      <c r="F1394" s="166" t="s">
        <v>1133</v>
      </c>
      <c r="G1394" s="166" t="s">
        <v>1134</v>
      </c>
      <c r="H1394" s="166">
        <v>420975</v>
      </c>
      <c r="I1394" s="166">
        <v>1191</v>
      </c>
      <c r="J1394" s="166">
        <v>0.28289999999999998</v>
      </c>
      <c r="K1394" s="166" t="str">
        <f t="shared" si="21"/>
        <v>INSTRUMENTDT_NXT_INTRST_RT_RST</v>
      </c>
    </row>
    <row r="1395" spans="1:11" hidden="1">
      <c r="A1395" s="166" t="s">
        <v>4172</v>
      </c>
      <c r="B1395" s="166" t="s">
        <v>4173</v>
      </c>
      <c r="C1395" s="166" t="s">
        <v>127</v>
      </c>
      <c r="D1395" s="166" t="s">
        <v>500</v>
      </c>
      <c r="E1395" s="166" t="s">
        <v>1132</v>
      </c>
      <c r="F1395" s="166" t="s">
        <v>1133</v>
      </c>
      <c r="G1395" s="166" t="s">
        <v>1134</v>
      </c>
      <c r="H1395" s="166">
        <v>420975</v>
      </c>
      <c r="I1395" s="166">
        <v>10125</v>
      </c>
      <c r="J1395" s="166">
        <v>2.4051</v>
      </c>
      <c r="K1395" s="166" t="str">
        <f t="shared" si="21"/>
        <v>INSTRUMENTDT_NXT_INTRST_RT_RST</v>
      </c>
    </row>
    <row r="1396" spans="1:11" hidden="1">
      <c r="A1396" s="166" t="s">
        <v>4174</v>
      </c>
      <c r="B1396" s="166" t="s">
        <v>4175</v>
      </c>
      <c r="C1396" s="166" t="s">
        <v>1131</v>
      </c>
      <c r="D1396" s="166" t="s">
        <v>500</v>
      </c>
      <c r="E1396" s="166" t="s">
        <v>1132</v>
      </c>
      <c r="F1396" s="166" t="s">
        <v>1133</v>
      </c>
      <c r="G1396" s="166" t="s">
        <v>1134</v>
      </c>
      <c r="H1396" s="166">
        <v>420975</v>
      </c>
      <c r="I1396" s="166">
        <v>8</v>
      </c>
      <c r="J1396" s="166">
        <v>1.9E-3</v>
      </c>
      <c r="K1396" s="166" t="str">
        <f t="shared" si="21"/>
        <v>INSTRUMENTDT_NXT_INTRST_RT_RST</v>
      </c>
    </row>
    <row r="1397" spans="1:11" hidden="1">
      <c r="A1397" s="166" t="s">
        <v>4176</v>
      </c>
      <c r="B1397" s="166" t="s">
        <v>4177</v>
      </c>
      <c r="C1397" s="166" t="s">
        <v>1131</v>
      </c>
      <c r="D1397" s="166" t="s">
        <v>274</v>
      </c>
      <c r="E1397" s="166" t="s">
        <v>1132</v>
      </c>
      <c r="F1397" s="166" t="s">
        <v>1133</v>
      </c>
      <c r="G1397" s="166" t="s">
        <v>1134</v>
      </c>
      <c r="H1397" s="166">
        <v>1057187</v>
      </c>
      <c r="I1397" s="166">
        <v>44</v>
      </c>
      <c r="J1397" s="166">
        <v>4.1999999999999997E-3</v>
      </c>
      <c r="K1397" s="166" t="str">
        <f t="shared" si="21"/>
        <v>INSTRUMENTDT_ORGNL_MTRTY</v>
      </c>
    </row>
    <row r="1398" spans="1:11" hidden="1">
      <c r="A1398" s="166" t="s">
        <v>4178</v>
      </c>
      <c r="B1398" s="166" t="s">
        <v>4179</v>
      </c>
      <c r="C1398" s="166" t="s">
        <v>1131</v>
      </c>
      <c r="D1398" s="166" t="s">
        <v>355</v>
      </c>
      <c r="E1398" s="166" t="s">
        <v>1132</v>
      </c>
      <c r="F1398" s="166" t="s">
        <v>1133</v>
      </c>
      <c r="G1398" s="166" t="s">
        <v>129</v>
      </c>
      <c r="H1398" s="166">
        <v>905713</v>
      </c>
      <c r="I1398" s="166">
        <v>0</v>
      </c>
      <c r="J1398" s="166">
        <v>0</v>
      </c>
      <c r="K1398" s="166" t="str">
        <f t="shared" si="21"/>
        <v>INSTRUMENTIFRS9_CCF</v>
      </c>
    </row>
    <row r="1399" spans="1:11" hidden="1">
      <c r="A1399" s="166" t="s">
        <v>4180</v>
      </c>
      <c r="B1399" s="166" t="s">
        <v>4181</v>
      </c>
      <c r="C1399" s="166" t="s">
        <v>1131</v>
      </c>
      <c r="D1399" s="166" t="s">
        <v>357</v>
      </c>
      <c r="E1399" s="166" t="s">
        <v>1132</v>
      </c>
      <c r="F1399" s="166" t="s">
        <v>1133</v>
      </c>
      <c r="G1399" s="166" t="s">
        <v>1134</v>
      </c>
      <c r="H1399" s="166">
        <v>2138832</v>
      </c>
      <c r="I1399" s="166">
        <v>273250</v>
      </c>
      <c r="J1399" s="166">
        <v>12.775700000000001</v>
      </c>
      <c r="K1399" s="166" t="str">
        <f t="shared" si="21"/>
        <v>INSTRUMENTIFRS9_EAD</v>
      </c>
    </row>
    <row r="1400" spans="1:11" hidden="1">
      <c r="A1400" s="166" t="s">
        <v>4182</v>
      </c>
      <c r="B1400" s="166" t="s">
        <v>4183</v>
      </c>
      <c r="C1400" s="166" t="s">
        <v>1131</v>
      </c>
      <c r="D1400" s="166" t="s">
        <v>357</v>
      </c>
      <c r="E1400" s="166" t="s">
        <v>1132</v>
      </c>
      <c r="F1400" s="166" t="s">
        <v>1133</v>
      </c>
      <c r="G1400" s="166" t="s">
        <v>1134</v>
      </c>
      <c r="H1400" s="166">
        <v>905713</v>
      </c>
      <c r="I1400" s="166">
        <v>5456</v>
      </c>
      <c r="J1400" s="166">
        <v>0.60240000000000005</v>
      </c>
      <c r="K1400" s="166" t="str">
        <f t="shared" si="21"/>
        <v>INSTRUMENTIFRS9_EAD</v>
      </c>
    </row>
    <row r="1401" spans="1:11" hidden="1">
      <c r="A1401" s="166" t="s">
        <v>4184</v>
      </c>
      <c r="B1401" s="166" t="s">
        <v>4185</v>
      </c>
      <c r="C1401" s="166" t="s">
        <v>1131</v>
      </c>
      <c r="D1401" s="166" t="s">
        <v>295</v>
      </c>
      <c r="E1401" s="166" t="s">
        <v>1132</v>
      </c>
      <c r="F1401" s="166" t="s">
        <v>1133</v>
      </c>
      <c r="G1401" s="166" t="s">
        <v>129</v>
      </c>
      <c r="H1401" s="166">
        <v>785959</v>
      </c>
      <c r="I1401" s="166">
        <v>0</v>
      </c>
      <c r="J1401" s="166">
        <v>0</v>
      </c>
      <c r="K1401" s="166" t="str">
        <f t="shared" si="21"/>
        <v>INSTRUMENTINSTLMNT_PAY</v>
      </c>
    </row>
    <row r="1402" spans="1:11" hidden="1">
      <c r="A1402" s="166" t="s">
        <v>4186</v>
      </c>
      <c r="B1402" s="166" t="s">
        <v>4187</v>
      </c>
      <c r="C1402" s="166" t="s">
        <v>1131</v>
      </c>
      <c r="D1402" s="166" t="s">
        <v>426</v>
      </c>
      <c r="E1402" s="166" t="s">
        <v>1132</v>
      </c>
      <c r="F1402" s="166" t="s">
        <v>1133</v>
      </c>
      <c r="G1402" s="166" t="s">
        <v>1134</v>
      </c>
      <c r="H1402" s="166">
        <v>2138832</v>
      </c>
      <c r="I1402" s="166">
        <v>93</v>
      </c>
      <c r="J1402" s="166">
        <v>4.3E-3</v>
      </c>
      <c r="K1402" s="166" t="str">
        <f t="shared" si="21"/>
        <v>INSTRUMENTOFF_BLNC_SHT_AMNT_INSTRMNT</v>
      </c>
    </row>
    <row r="1403" spans="1:11" hidden="1">
      <c r="A1403" s="166" t="s">
        <v>4188</v>
      </c>
      <c r="B1403" s="166" t="s">
        <v>4189</v>
      </c>
      <c r="C1403" s="166" t="s">
        <v>1131</v>
      </c>
      <c r="D1403" s="166" t="s">
        <v>426</v>
      </c>
      <c r="E1403" s="166" t="s">
        <v>1132</v>
      </c>
      <c r="F1403" s="166" t="s">
        <v>1133</v>
      </c>
      <c r="G1403" s="166" t="s">
        <v>129</v>
      </c>
      <c r="H1403" s="166">
        <v>1781429</v>
      </c>
      <c r="I1403" s="166">
        <v>0</v>
      </c>
      <c r="J1403" s="166">
        <v>0</v>
      </c>
      <c r="K1403" s="166" t="str">
        <f t="shared" si="21"/>
        <v>INSTRUMENTOFF_BLNC_SHT_AMNT_INSTRMNT</v>
      </c>
    </row>
    <row r="1404" spans="1:11" hidden="1">
      <c r="A1404" s="166" t="s">
        <v>4190</v>
      </c>
      <c r="B1404" s="166" t="s">
        <v>4191</v>
      </c>
      <c r="C1404" s="166" t="s">
        <v>1131</v>
      </c>
      <c r="D1404" s="166" t="s">
        <v>426</v>
      </c>
      <c r="E1404" s="166" t="s">
        <v>1132</v>
      </c>
      <c r="F1404" s="166" t="s">
        <v>1133</v>
      </c>
      <c r="G1404" s="166" t="s">
        <v>129</v>
      </c>
      <c r="H1404" s="166">
        <v>196</v>
      </c>
      <c r="I1404" s="166">
        <v>0</v>
      </c>
      <c r="J1404" s="166">
        <v>0</v>
      </c>
      <c r="K1404" s="166" t="str">
        <f t="shared" si="21"/>
        <v>INSTRUMENTOFF_BLNC_SHT_AMNT_INSTRMNT</v>
      </c>
    </row>
    <row r="1405" spans="1:11" hidden="1">
      <c r="A1405" s="166" t="s">
        <v>4192</v>
      </c>
      <c r="B1405" s="166" t="s">
        <v>4193</v>
      </c>
      <c r="C1405" s="166" t="s">
        <v>1131</v>
      </c>
      <c r="D1405" s="166" t="s">
        <v>426</v>
      </c>
      <c r="E1405" s="166" t="s">
        <v>1132</v>
      </c>
      <c r="F1405" s="166" t="s">
        <v>1133</v>
      </c>
      <c r="G1405" s="166" t="s">
        <v>129</v>
      </c>
      <c r="H1405" s="166">
        <v>13</v>
      </c>
      <c r="I1405" s="166">
        <v>0</v>
      </c>
      <c r="J1405" s="166">
        <v>0</v>
      </c>
      <c r="K1405" s="166" t="str">
        <f t="shared" si="21"/>
        <v>INSTRUMENTOFF_BLNC_SHT_AMNT_INSTRMNT</v>
      </c>
    </row>
    <row r="1406" spans="1:11" hidden="1">
      <c r="A1406" s="166" t="s">
        <v>4194</v>
      </c>
      <c r="B1406" s="166" t="s">
        <v>914</v>
      </c>
      <c r="C1406" s="166" t="s">
        <v>1131</v>
      </c>
      <c r="D1406" s="166" t="s">
        <v>427</v>
      </c>
      <c r="E1406" s="166" t="s">
        <v>1132</v>
      </c>
      <c r="F1406" s="166" t="s">
        <v>1133</v>
      </c>
      <c r="G1406" s="166" t="s">
        <v>129</v>
      </c>
      <c r="H1406" s="166">
        <v>381343</v>
      </c>
      <c r="I1406" s="166">
        <v>0</v>
      </c>
      <c r="J1406" s="166">
        <v>0</v>
      </c>
      <c r="K1406" s="166" t="str">
        <f t="shared" si="21"/>
        <v>INSTRUMENTOFF_BLNC_SHT_AMNT_INSTRMNT_PRVS</v>
      </c>
    </row>
    <row r="1407" spans="1:11" hidden="1">
      <c r="A1407" s="166" t="s">
        <v>4195</v>
      </c>
      <c r="B1407" s="166" t="s">
        <v>916</v>
      </c>
      <c r="C1407" s="166" t="s">
        <v>1131</v>
      </c>
      <c r="D1407" s="166" t="s">
        <v>427</v>
      </c>
      <c r="E1407" s="166" t="s">
        <v>1132</v>
      </c>
      <c r="F1407" s="166" t="s">
        <v>1133</v>
      </c>
      <c r="G1407" s="166" t="s">
        <v>129</v>
      </c>
      <c r="H1407" s="166">
        <v>1745059</v>
      </c>
      <c r="I1407" s="166">
        <v>0</v>
      </c>
      <c r="J1407" s="166">
        <v>0</v>
      </c>
      <c r="K1407" s="166" t="str">
        <f t="shared" si="21"/>
        <v>INSTRUMENTOFF_BLNC_SHT_AMNT_INSTRMNT_PRVS</v>
      </c>
    </row>
    <row r="1408" spans="1:11" hidden="1">
      <c r="A1408" s="166" t="s">
        <v>4196</v>
      </c>
      <c r="B1408" s="166" t="s">
        <v>4197</v>
      </c>
      <c r="C1408" s="166" t="s">
        <v>127</v>
      </c>
      <c r="D1408" s="166" t="s">
        <v>430</v>
      </c>
      <c r="E1408" s="166" t="s">
        <v>1534</v>
      </c>
      <c r="F1408" s="166" t="s">
        <v>1939</v>
      </c>
      <c r="G1408" s="166" t="s">
        <v>129</v>
      </c>
      <c r="H1408" s="166">
        <v>2266163</v>
      </c>
      <c r="I1408" s="166">
        <v>0</v>
      </c>
      <c r="J1408" s="166">
        <v>0</v>
      </c>
      <c r="K1408" s="166" t="str">
        <f t="shared" si="21"/>
        <v>INSTRUMENTOTSTNDNG_NMNL_AMNT_INSTRMNT</v>
      </c>
    </row>
    <row r="1409" spans="1:11" hidden="1">
      <c r="A1409" s="166" t="s">
        <v>1248</v>
      </c>
      <c r="B1409" s="166" t="s">
        <v>1249</v>
      </c>
      <c r="C1409" s="166" t="s">
        <v>127</v>
      </c>
      <c r="D1409" s="166" t="s">
        <v>430</v>
      </c>
      <c r="E1409" s="166" t="s">
        <v>1127</v>
      </c>
      <c r="F1409" s="166" t="s">
        <v>1128</v>
      </c>
      <c r="G1409" s="166" t="s">
        <v>1134</v>
      </c>
      <c r="H1409" s="166">
        <v>2138963</v>
      </c>
      <c r="I1409" s="166">
        <v>26793</v>
      </c>
      <c r="J1409" s="166">
        <v>1.2525999999999999</v>
      </c>
      <c r="K1409" s="166" t="str">
        <f t="shared" si="21"/>
        <v>INSTRUMENTOTSTNDNG_NMNL_AMNT_INSTRMNT</v>
      </c>
    </row>
    <row r="1410" spans="1:11" hidden="1">
      <c r="A1410" s="166" t="s">
        <v>4198</v>
      </c>
      <c r="B1410" s="166" t="s">
        <v>4199</v>
      </c>
      <c r="C1410" s="166" t="s">
        <v>1131</v>
      </c>
      <c r="D1410" s="166" t="s">
        <v>430</v>
      </c>
      <c r="E1410" s="166" t="s">
        <v>1132</v>
      </c>
      <c r="F1410" s="166" t="s">
        <v>1133</v>
      </c>
      <c r="G1410" s="166" t="s">
        <v>129</v>
      </c>
      <c r="H1410" s="166">
        <v>1871203</v>
      </c>
      <c r="I1410" s="166">
        <v>0</v>
      </c>
      <c r="J1410" s="166">
        <v>0</v>
      </c>
      <c r="K1410" s="166" t="str">
        <f t="shared" si="21"/>
        <v>INSTRUMENTOTSTNDNG_NMNL_AMNT_INSTRMNT</v>
      </c>
    </row>
    <row r="1411" spans="1:11" hidden="1">
      <c r="A1411" s="166" t="s">
        <v>4200</v>
      </c>
      <c r="B1411" s="166" t="s">
        <v>4201</v>
      </c>
      <c r="C1411" s="166" t="s">
        <v>1131</v>
      </c>
      <c r="D1411" s="166" t="s">
        <v>430</v>
      </c>
      <c r="E1411" s="166" t="s">
        <v>1132</v>
      </c>
      <c r="F1411" s="166" t="s">
        <v>1133</v>
      </c>
      <c r="G1411" s="166" t="s">
        <v>129</v>
      </c>
      <c r="H1411" s="166">
        <v>2138832</v>
      </c>
      <c r="I1411" s="166">
        <v>0</v>
      </c>
      <c r="J1411" s="166">
        <v>0</v>
      </c>
      <c r="K1411" s="166" t="str">
        <f t="shared" ref="K1411:K1474" si="22">_xlfn.CONCAT(_xlfn.IFS(ISNUMBER(SEARCH("EN",A1411)),"ENTITY",ISNUMBER(SEARCH("IN",A1411)),"INSTRUMENT",ISNUMBER(SEARCH("PR",A1411)),"PROTECTION",ISNUMBER(SEARCH("IP",A1411)),"INSTR_PROTECTION",ISNUMBER(SEARCH("IE",A1411)),"INSTR_ENTITY",ISNUMBER(SEARCH("AC",A1411)),"INSTR_ACTIVITY"),D1411)</f>
        <v>INSTRUMENTOTSTNDNG_NMNL_AMNT_INSTRMNT</v>
      </c>
    </row>
    <row r="1412" spans="1:11" hidden="1">
      <c r="A1412" s="166" t="s">
        <v>1246</v>
      </c>
      <c r="B1412" s="166" t="s">
        <v>1247</v>
      </c>
      <c r="C1412" s="166" t="s">
        <v>1131</v>
      </c>
      <c r="D1412" s="166" t="s">
        <v>430</v>
      </c>
      <c r="E1412" s="166" t="s">
        <v>1132</v>
      </c>
      <c r="F1412" s="166" t="s">
        <v>1133</v>
      </c>
      <c r="G1412" s="166" t="s">
        <v>1134</v>
      </c>
      <c r="H1412" s="166">
        <v>1233119</v>
      </c>
      <c r="I1412" s="166">
        <v>46553</v>
      </c>
      <c r="J1412" s="166">
        <v>3.7751999999999999</v>
      </c>
      <c r="K1412" s="166" t="str">
        <f t="shared" si="22"/>
        <v>INSTRUMENTOTSTNDNG_NMNL_AMNT_INSTRMNT</v>
      </c>
    </row>
    <row r="1413" spans="1:11" hidden="1">
      <c r="A1413" s="166" t="s">
        <v>4202</v>
      </c>
      <c r="B1413" s="166" t="s">
        <v>4203</v>
      </c>
      <c r="C1413" s="166" t="s">
        <v>1131</v>
      </c>
      <c r="D1413" s="166" t="s">
        <v>430</v>
      </c>
      <c r="E1413" s="166" t="s">
        <v>1132</v>
      </c>
      <c r="F1413" s="166" t="s">
        <v>1133</v>
      </c>
      <c r="G1413" s="166" t="s">
        <v>129</v>
      </c>
      <c r="H1413" s="166">
        <v>13</v>
      </c>
      <c r="I1413" s="166">
        <v>0</v>
      </c>
      <c r="J1413" s="166">
        <v>0</v>
      </c>
      <c r="K1413" s="166" t="str">
        <f t="shared" si="22"/>
        <v>INSTRUMENTOTSTNDNG_NMNL_AMNT_INSTRMNT</v>
      </c>
    </row>
    <row r="1414" spans="1:11" hidden="1">
      <c r="A1414" s="166" t="s">
        <v>4204</v>
      </c>
      <c r="B1414" s="166" t="s">
        <v>4205</v>
      </c>
      <c r="C1414" s="166" t="s">
        <v>1131</v>
      </c>
      <c r="D1414" s="166" t="s">
        <v>430</v>
      </c>
      <c r="E1414" s="166" t="s">
        <v>1132</v>
      </c>
      <c r="F1414" s="166" t="s">
        <v>1133</v>
      </c>
      <c r="G1414" s="166" t="s">
        <v>129</v>
      </c>
      <c r="H1414" s="166">
        <v>0</v>
      </c>
      <c r="I1414" s="166">
        <v>0</v>
      </c>
      <c r="J1414" s="166">
        <v>0</v>
      </c>
      <c r="K1414" s="166" t="str">
        <f t="shared" si="22"/>
        <v>INSTRUMENTOTSTNDNG_NMNL_AMNT_INSTRMNT</v>
      </c>
    </row>
    <row r="1415" spans="1:11" hidden="1">
      <c r="A1415" s="166" t="s">
        <v>4206</v>
      </c>
      <c r="B1415" s="166" t="s">
        <v>4207</v>
      </c>
      <c r="C1415" s="166" t="s">
        <v>1131</v>
      </c>
      <c r="D1415" s="166" t="s">
        <v>470</v>
      </c>
      <c r="E1415" s="166" t="s">
        <v>1132</v>
      </c>
      <c r="F1415" s="166" t="s">
        <v>1133</v>
      </c>
      <c r="G1415" s="166" t="s">
        <v>129</v>
      </c>
      <c r="H1415" s="166">
        <v>0</v>
      </c>
      <c r="I1415" s="166">
        <v>0</v>
      </c>
      <c r="J1415" s="166">
        <v>0</v>
      </c>
      <c r="K1415" s="166" t="str">
        <f t="shared" si="22"/>
        <v>INSTRUMENTPRVSNS_OFF_BLNC_SHT</v>
      </c>
    </row>
    <row r="1416" spans="1:11" hidden="1">
      <c r="A1416" s="166" t="s">
        <v>4208</v>
      </c>
      <c r="B1416" s="166" t="s">
        <v>4209</v>
      </c>
      <c r="C1416" s="166" t="s">
        <v>1131</v>
      </c>
      <c r="D1416" s="166" t="s">
        <v>470</v>
      </c>
      <c r="E1416" s="166" t="s">
        <v>1132</v>
      </c>
      <c r="F1416" s="166" t="s">
        <v>1133</v>
      </c>
      <c r="G1416" s="166" t="s">
        <v>129</v>
      </c>
      <c r="H1416" s="166">
        <v>13</v>
      </c>
      <c r="I1416" s="166">
        <v>0</v>
      </c>
      <c r="J1416" s="166">
        <v>0</v>
      </c>
      <c r="K1416" s="166" t="str">
        <f t="shared" si="22"/>
        <v>INSTRUMENTPRVSNS_OFF_BLNC_SHT</v>
      </c>
    </row>
    <row r="1417" spans="1:11" hidden="1">
      <c r="A1417" s="166" t="s">
        <v>4210</v>
      </c>
      <c r="B1417" s="166" t="s">
        <v>4211</v>
      </c>
      <c r="C1417" s="166" t="s">
        <v>1131</v>
      </c>
      <c r="D1417" s="166" t="s">
        <v>494</v>
      </c>
      <c r="E1417" s="166" t="s">
        <v>1132</v>
      </c>
      <c r="F1417" s="166" t="s">
        <v>1133</v>
      </c>
      <c r="G1417" s="166" t="s">
        <v>129</v>
      </c>
      <c r="H1417" s="166">
        <v>105</v>
      </c>
      <c r="I1417" s="166">
        <v>0</v>
      </c>
      <c r="J1417" s="166">
        <v>0</v>
      </c>
      <c r="K1417" s="166" t="str">
        <f t="shared" si="22"/>
        <v>INSTRUMENTRTNTN_SHR</v>
      </c>
    </row>
    <row r="1418" spans="1:11" hidden="1">
      <c r="A1418" s="166" t="s">
        <v>4212</v>
      </c>
      <c r="B1418" s="166" t="s">
        <v>4213</v>
      </c>
      <c r="C1418" s="166" t="s">
        <v>1131</v>
      </c>
      <c r="D1418" s="166" t="s">
        <v>494</v>
      </c>
      <c r="E1418" s="166" t="s">
        <v>1132</v>
      </c>
      <c r="F1418" s="166" t="s">
        <v>1133</v>
      </c>
      <c r="G1418" s="166" t="s">
        <v>129</v>
      </c>
      <c r="H1418" s="166">
        <v>378734</v>
      </c>
      <c r="I1418" s="166">
        <v>0</v>
      </c>
      <c r="J1418" s="166">
        <v>0</v>
      </c>
      <c r="K1418" s="166" t="str">
        <f t="shared" si="22"/>
        <v>INSTRUMENTRTNTN_SHR</v>
      </c>
    </row>
    <row r="1419" spans="1:11" hidden="1">
      <c r="A1419" s="166" t="s">
        <v>4214</v>
      </c>
      <c r="B1419" s="166" t="s">
        <v>596</v>
      </c>
      <c r="C1419" s="166" t="s">
        <v>1131</v>
      </c>
      <c r="D1419" s="166" t="s">
        <v>421</v>
      </c>
      <c r="E1419" s="166" t="s">
        <v>1132</v>
      </c>
      <c r="F1419" s="166" t="s">
        <v>1133</v>
      </c>
      <c r="G1419" s="166" t="s">
        <v>1134</v>
      </c>
      <c r="H1419" s="166">
        <v>2138963</v>
      </c>
      <c r="I1419" s="166">
        <v>106981</v>
      </c>
      <c r="J1419" s="166">
        <v>5.0015000000000001</v>
      </c>
      <c r="K1419" s="166" t="str">
        <f t="shared" si="22"/>
        <v>INSTRUMENTRWA_MTHD</v>
      </c>
    </row>
    <row r="1420" spans="1:11" hidden="1">
      <c r="A1420" s="166" t="s">
        <v>4215</v>
      </c>
      <c r="B1420" s="166" t="s">
        <v>4216</v>
      </c>
      <c r="C1420" s="166" t="s">
        <v>1131</v>
      </c>
      <c r="D1420" s="166" t="s">
        <v>133</v>
      </c>
      <c r="E1420" s="166" t="s">
        <v>1132</v>
      </c>
      <c r="F1420" s="166" t="s">
        <v>1133</v>
      </c>
      <c r="G1420" s="166" t="s">
        <v>1134</v>
      </c>
      <c r="H1420" s="166">
        <v>13</v>
      </c>
      <c r="I1420" s="166">
        <v>13</v>
      </c>
      <c r="J1420" s="166">
        <v>100</v>
      </c>
      <c r="K1420" s="166" t="str">
        <f t="shared" si="22"/>
        <v>INSTRUMENTACCMLTD_IMPRMNT_INSTRMNT</v>
      </c>
    </row>
    <row r="1421" spans="1:11" hidden="1">
      <c r="A1421" s="166" t="s">
        <v>4217</v>
      </c>
      <c r="B1421" s="166" t="s">
        <v>4218</v>
      </c>
      <c r="C1421" s="166" t="s">
        <v>1131</v>
      </c>
      <c r="D1421" s="166" t="s">
        <v>133</v>
      </c>
      <c r="E1421" s="166" t="s">
        <v>1132</v>
      </c>
      <c r="F1421" s="166" t="s">
        <v>1133</v>
      </c>
      <c r="G1421" s="166" t="s">
        <v>129</v>
      </c>
      <c r="H1421" s="166">
        <v>267616</v>
      </c>
      <c r="I1421" s="166">
        <v>0</v>
      </c>
      <c r="J1421" s="166">
        <v>0</v>
      </c>
      <c r="K1421" s="166" t="str">
        <f t="shared" si="22"/>
        <v>INSTRUMENTACCMLTD_IMPRMNT_INSTRMNT</v>
      </c>
    </row>
    <row r="1422" spans="1:11" hidden="1">
      <c r="A1422" s="166" t="s">
        <v>4219</v>
      </c>
      <c r="B1422" s="166" t="s">
        <v>4220</v>
      </c>
      <c r="C1422" s="166" t="s">
        <v>1131</v>
      </c>
      <c r="D1422" s="166" t="s">
        <v>133</v>
      </c>
      <c r="E1422" s="166" t="s">
        <v>1132</v>
      </c>
      <c r="F1422" s="166" t="s">
        <v>1133</v>
      </c>
      <c r="G1422" s="166" t="s">
        <v>129</v>
      </c>
      <c r="H1422" s="166">
        <v>13</v>
      </c>
      <c r="I1422" s="166">
        <v>0</v>
      </c>
      <c r="J1422" s="166">
        <v>0</v>
      </c>
      <c r="K1422" s="166" t="str">
        <f t="shared" si="22"/>
        <v>INSTRUMENTACCMLTD_IMPRMNT_INSTRMNT</v>
      </c>
    </row>
    <row r="1423" spans="1:11" hidden="1">
      <c r="A1423" s="166" t="s">
        <v>4221</v>
      </c>
      <c r="B1423" s="166" t="s">
        <v>4222</v>
      </c>
      <c r="C1423" s="166" t="s">
        <v>1131</v>
      </c>
      <c r="D1423" s="166" t="s">
        <v>133</v>
      </c>
      <c r="E1423" s="166" t="s">
        <v>1132</v>
      </c>
      <c r="F1423" s="166" t="s">
        <v>1133</v>
      </c>
      <c r="G1423" s="166" t="s">
        <v>129</v>
      </c>
      <c r="H1423" s="166">
        <v>0</v>
      </c>
      <c r="I1423" s="166">
        <v>0</v>
      </c>
      <c r="J1423" s="166">
        <v>0</v>
      </c>
      <c r="K1423" s="166" t="str">
        <f t="shared" si="22"/>
        <v>INSTRUMENTACCMLTD_IMPRMNT_INSTRMNT</v>
      </c>
    </row>
    <row r="1424" spans="1:11" hidden="1">
      <c r="A1424" s="166" t="s">
        <v>1244</v>
      </c>
      <c r="B1424" s="166" t="s">
        <v>1245</v>
      </c>
      <c r="C1424" s="166" t="s">
        <v>1131</v>
      </c>
      <c r="D1424" s="166" t="s">
        <v>134</v>
      </c>
      <c r="E1424" s="166" t="s">
        <v>1132</v>
      </c>
      <c r="F1424" s="166" t="s">
        <v>1133</v>
      </c>
      <c r="G1424" s="166" t="s">
        <v>1134</v>
      </c>
      <c r="H1424" s="166">
        <v>13</v>
      </c>
      <c r="I1424" s="166">
        <v>11</v>
      </c>
      <c r="J1424" s="166">
        <v>84.615399999999994</v>
      </c>
      <c r="K1424" s="166" t="str">
        <f t="shared" si="22"/>
        <v>INSTRUMENTACCMLTD_IMPRMNT_INSTRMNT_PRVS</v>
      </c>
    </row>
    <row r="1425" spans="1:11" hidden="1">
      <c r="A1425" s="166" t="s">
        <v>4223</v>
      </c>
      <c r="B1425" s="166" t="s">
        <v>4224</v>
      </c>
      <c r="C1425" s="166" t="s">
        <v>1131</v>
      </c>
      <c r="D1425" s="166" t="s">
        <v>134</v>
      </c>
      <c r="E1425" s="166" t="s">
        <v>1132</v>
      </c>
      <c r="F1425" s="166" t="s">
        <v>1133</v>
      </c>
      <c r="G1425" s="166" t="s">
        <v>129</v>
      </c>
      <c r="H1425" s="166">
        <v>381343</v>
      </c>
      <c r="I1425" s="166">
        <v>0</v>
      </c>
      <c r="J1425" s="166">
        <v>0</v>
      </c>
      <c r="K1425" s="166" t="str">
        <f t="shared" si="22"/>
        <v>INSTRUMENTACCMLTD_IMPRMNT_INSTRMNT_PRVS</v>
      </c>
    </row>
    <row r="1426" spans="1:11" hidden="1">
      <c r="A1426" s="166" t="s">
        <v>4225</v>
      </c>
      <c r="B1426" s="166" t="s">
        <v>4226</v>
      </c>
      <c r="C1426" s="166" t="s">
        <v>1131</v>
      </c>
      <c r="D1426" s="166" t="s">
        <v>160</v>
      </c>
      <c r="E1426" s="166" t="s">
        <v>1132</v>
      </c>
      <c r="F1426" s="166" t="s">
        <v>1133</v>
      </c>
      <c r="G1426" s="166" t="s">
        <v>1134</v>
      </c>
      <c r="H1426" s="166">
        <v>156104</v>
      </c>
      <c r="I1426" s="166">
        <v>58</v>
      </c>
      <c r="J1426" s="166">
        <v>3.7199999999999997E-2</v>
      </c>
      <c r="K1426" s="166" t="str">
        <f t="shared" si="22"/>
        <v>INSTRUMENTARRRS_INSTRMNT</v>
      </c>
    </row>
    <row r="1427" spans="1:11" hidden="1">
      <c r="A1427" s="166" t="s">
        <v>4227</v>
      </c>
      <c r="B1427" s="166" t="s">
        <v>4228</v>
      </c>
      <c r="C1427" s="166" t="s">
        <v>1131</v>
      </c>
      <c r="D1427" s="166" t="s">
        <v>160</v>
      </c>
      <c r="E1427" s="166" t="s">
        <v>1132</v>
      </c>
      <c r="F1427" s="166" t="s">
        <v>1133</v>
      </c>
      <c r="G1427" s="166" t="s">
        <v>129</v>
      </c>
      <c r="H1427" s="166">
        <v>156104</v>
      </c>
      <c r="I1427" s="166">
        <v>0</v>
      </c>
      <c r="J1427" s="166">
        <v>0</v>
      </c>
      <c r="K1427" s="166" t="str">
        <f t="shared" si="22"/>
        <v>INSTRUMENTARRRS_INSTRMNT</v>
      </c>
    </row>
    <row r="1428" spans="1:11" hidden="1">
      <c r="A1428" s="166" t="s">
        <v>4229</v>
      </c>
      <c r="B1428" s="166" t="s">
        <v>4230</v>
      </c>
      <c r="C1428" s="166" t="s">
        <v>1131</v>
      </c>
      <c r="D1428" s="166" t="s">
        <v>160</v>
      </c>
      <c r="E1428" s="166" t="s">
        <v>1132</v>
      </c>
      <c r="F1428" s="166" t="s">
        <v>1133</v>
      </c>
      <c r="G1428" s="166" t="s">
        <v>1134</v>
      </c>
      <c r="H1428" s="166">
        <v>90762</v>
      </c>
      <c r="I1428" s="166">
        <v>7894</v>
      </c>
      <c r="J1428" s="166">
        <v>8.6974999999999998</v>
      </c>
      <c r="K1428" s="166" t="str">
        <f t="shared" si="22"/>
        <v>INSTRUMENTARRRS_INSTRMNT</v>
      </c>
    </row>
    <row r="1429" spans="1:11" hidden="1">
      <c r="A1429" s="166" t="s">
        <v>4231</v>
      </c>
      <c r="B1429" s="166" t="s">
        <v>4232</v>
      </c>
      <c r="C1429" s="166" t="s">
        <v>1131</v>
      </c>
      <c r="D1429" s="166" t="s">
        <v>160</v>
      </c>
      <c r="E1429" s="166" t="s">
        <v>1132</v>
      </c>
      <c r="F1429" s="166" t="s">
        <v>1133</v>
      </c>
      <c r="G1429" s="166" t="s">
        <v>1134</v>
      </c>
      <c r="H1429" s="166">
        <v>152681</v>
      </c>
      <c r="I1429" s="166">
        <v>5869</v>
      </c>
      <c r="J1429" s="166">
        <v>3.8439999999999999</v>
      </c>
      <c r="K1429" s="166" t="str">
        <f t="shared" si="22"/>
        <v>INSTRUMENTARRRS_INSTRMNT</v>
      </c>
    </row>
    <row r="1430" spans="1:11" hidden="1">
      <c r="A1430" s="166" t="s">
        <v>4233</v>
      </c>
      <c r="B1430" s="166" t="s">
        <v>4234</v>
      </c>
      <c r="C1430" s="166" t="s">
        <v>1131</v>
      </c>
      <c r="D1430" s="166" t="s">
        <v>160</v>
      </c>
      <c r="E1430" s="166" t="s">
        <v>1132</v>
      </c>
      <c r="F1430" s="166" t="s">
        <v>1133</v>
      </c>
      <c r="G1430" s="166" t="s">
        <v>129</v>
      </c>
      <c r="H1430" s="166">
        <v>0</v>
      </c>
      <c r="I1430" s="166">
        <v>0</v>
      </c>
      <c r="J1430" s="166">
        <v>0</v>
      </c>
      <c r="K1430" s="166" t="str">
        <f t="shared" si="22"/>
        <v>INSTRUMENTARRRS_INSTRMNT</v>
      </c>
    </row>
    <row r="1431" spans="1:11" hidden="1">
      <c r="A1431" s="166" t="s">
        <v>4235</v>
      </c>
      <c r="B1431" s="166" t="s">
        <v>4236</v>
      </c>
      <c r="C1431" s="166" t="s">
        <v>1131</v>
      </c>
      <c r="D1431" s="166" t="s">
        <v>161</v>
      </c>
      <c r="E1431" s="166" t="s">
        <v>1132</v>
      </c>
      <c r="F1431" s="166" t="s">
        <v>1133</v>
      </c>
      <c r="G1431" s="166" t="s">
        <v>129</v>
      </c>
      <c r="H1431" s="166">
        <v>156104</v>
      </c>
      <c r="I1431" s="166">
        <v>0</v>
      </c>
      <c r="J1431" s="166">
        <v>0</v>
      </c>
      <c r="K1431" s="166" t="str">
        <f t="shared" si="22"/>
        <v>INSTRUMENTARRRS_INSTRMNT_12M</v>
      </c>
    </row>
    <row r="1432" spans="1:11" hidden="1">
      <c r="A1432" s="166" t="s">
        <v>4237</v>
      </c>
      <c r="B1432" s="166" t="s">
        <v>4238</v>
      </c>
      <c r="C1432" s="166" t="s">
        <v>1131</v>
      </c>
      <c r="D1432" s="166" t="s">
        <v>161</v>
      </c>
      <c r="E1432" s="166" t="s">
        <v>1132</v>
      </c>
      <c r="F1432" s="166" t="s">
        <v>1133</v>
      </c>
      <c r="G1432" s="166" t="s">
        <v>1134</v>
      </c>
      <c r="H1432" s="166">
        <v>215142</v>
      </c>
      <c r="I1432" s="166">
        <v>5533</v>
      </c>
      <c r="J1432" s="166">
        <v>2.5718000000000001</v>
      </c>
      <c r="K1432" s="166" t="str">
        <f t="shared" si="22"/>
        <v>INSTRUMENTARRRS_INSTRMNT_12M</v>
      </c>
    </row>
    <row r="1433" spans="1:11" hidden="1">
      <c r="A1433" s="166" t="s">
        <v>4239</v>
      </c>
      <c r="B1433" s="166" t="s">
        <v>4240</v>
      </c>
      <c r="C1433" s="166" t="s">
        <v>1131</v>
      </c>
      <c r="D1433" s="166" t="s">
        <v>161</v>
      </c>
      <c r="E1433" s="166" t="s">
        <v>1132</v>
      </c>
      <c r="F1433" s="166" t="s">
        <v>1133</v>
      </c>
      <c r="G1433" s="166" t="s">
        <v>129</v>
      </c>
      <c r="H1433" s="166">
        <v>0</v>
      </c>
      <c r="I1433" s="166">
        <v>0</v>
      </c>
      <c r="J1433" s="166">
        <v>0</v>
      </c>
      <c r="K1433" s="166" t="str">
        <f t="shared" si="22"/>
        <v>INSTRUMENTARRRS_INSTRMNT_12M</v>
      </c>
    </row>
    <row r="1434" spans="1:11" hidden="1">
      <c r="A1434" s="166" t="s">
        <v>4241</v>
      </c>
      <c r="B1434" s="166" t="s">
        <v>4242</v>
      </c>
      <c r="C1434" s="166" t="s">
        <v>1131</v>
      </c>
      <c r="D1434" s="166" t="s">
        <v>218</v>
      </c>
      <c r="E1434" s="166" t="s">
        <v>1132</v>
      </c>
      <c r="F1434" s="166" t="s">
        <v>1133</v>
      </c>
      <c r="G1434" s="166" t="s">
        <v>1134</v>
      </c>
      <c r="H1434" s="166">
        <v>150235</v>
      </c>
      <c r="I1434" s="166">
        <v>8641</v>
      </c>
      <c r="J1434" s="166">
        <v>5.7516999999999996</v>
      </c>
      <c r="K1434" s="166" t="str">
        <f t="shared" si="22"/>
        <v>INSTRUMENTDPD</v>
      </c>
    </row>
    <row r="1435" spans="1:11" hidden="1">
      <c r="A1435" s="166" t="s">
        <v>4243</v>
      </c>
      <c r="B1435" s="166" t="s">
        <v>4244</v>
      </c>
      <c r="C1435" s="166" t="s">
        <v>1160</v>
      </c>
      <c r="D1435" s="166" t="s">
        <v>218</v>
      </c>
      <c r="E1435" s="166" t="s">
        <v>1132</v>
      </c>
      <c r="F1435" s="166" t="s">
        <v>1133</v>
      </c>
      <c r="G1435" s="166" t="s">
        <v>1134</v>
      </c>
      <c r="H1435" s="166">
        <v>110</v>
      </c>
      <c r="I1435" s="166">
        <v>28</v>
      </c>
      <c r="J1435" s="166">
        <v>25.454499999999999</v>
      </c>
      <c r="K1435" s="166" t="str">
        <f t="shared" si="22"/>
        <v>INSTRUMENTDPD</v>
      </c>
    </row>
    <row r="1436" spans="1:11" hidden="1">
      <c r="A1436" s="166" t="s">
        <v>4245</v>
      </c>
      <c r="B1436" s="166" t="s">
        <v>4246</v>
      </c>
      <c r="C1436" s="166" t="s">
        <v>1131</v>
      </c>
      <c r="D1436" s="166" t="s">
        <v>219</v>
      </c>
      <c r="E1436" s="166" t="s">
        <v>1132</v>
      </c>
      <c r="F1436" s="166" t="s">
        <v>1133</v>
      </c>
      <c r="G1436" s="166" t="s">
        <v>1134</v>
      </c>
      <c r="H1436" s="166">
        <v>1985790</v>
      </c>
      <c r="I1436" s="166">
        <v>25273</v>
      </c>
      <c r="J1436" s="166">
        <v>1.2726999999999999</v>
      </c>
      <c r="K1436" s="166" t="str">
        <f t="shared" si="22"/>
        <v>INSTRUMENTDPD_12M</v>
      </c>
    </row>
    <row r="1437" spans="1:11" hidden="1">
      <c r="A1437" s="166" t="s">
        <v>4247</v>
      </c>
      <c r="B1437" s="166" t="s">
        <v>4248</v>
      </c>
      <c r="C1437" s="166" t="s">
        <v>1131</v>
      </c>
      <c r="D1437" s="166" t="s">
        <v>220</v>
      </c>
      <c r="E1437" s="166" t="s">
        <v>1132</v>
      </c>
      <c r="F1437" s="166" t="s">
        <v>1133</v>
      </c>
      <c r="G1437" s="166" t="s">
        <v>1134</v>
      </c>
      <c r="H1437" s="166">
        <v>2125827</v>
      </c>
      <c r="I1437" s="166">
        <v>2117366</v>
      </c>
      <c r="J1437" s="166">
        <v>99.602000000000004</v>
      </c>
      <c r="K1437" s="166" t="str">
        <f t="shared" si="22"/>
        <v>INSTRUMENTDPD_12M_FRBRNC_STTS</v>
      </c>
    </row>
    <row r="1438" spans="1:11" hidden="1">
      <c r="A1438" s="166" t="s">
        <v>4249</v>
      </c>
      <c r="B1438" s="166" t="s">
        <v>4250</v>
      </c>
      <c r="C1438" s="166" t="s">
        <v>1131</v>
      </c>
      <c r="D1438" s="166" t="s">
        <v>220</v>
      </c>
      <c r="E1438" s="166" t="s">
        <v>1132</v>
      </c>
      <c r="F1438" s="166" t="s">
        <v>1133</v>
      </c>
      <c r="G1438" s="166" t="s">
        <v>129</v>
      </c>
      <c r="H1438" s="166">
        <v>2130065</v>
      </c>
      <c r="I1438" s="166">
        <v>0</v>
      </c>
      <c r="J1438" s="166">
        <v>0</v>
      </c>
      <c r="K1438" s="166" t="str">
        <f t="shared" si="22"/>
        <v>INSTRUMENTDPD_12M_FRBRNC_STTS</v>
      </c>
    </row>
    <row r="1439" spans="1:11" hidden="1">
      <c r="A1439" s="166" t="s">
        <v>1129</v>
      </c>
      <c r="B1439" s="166" t="s">
        <v>1130</v>
      </c>
      <c r="C1439" s="166" t="s">
        <v>1131</v>
      </c>
      <c r="D1439" s="166" t="s">
        <v>48</v>
      </c>
      <c r="E1439" s="166" t="s">
        <v>1132</v>
      </c>
      <c r="F1439" s="166" t="s">
        <v>1133</v>
      </c>
      <c r="G1439" s="166" t="s">
        <v>129</v>
      </c>
      <c r="H1439" s="166">
        <v>113948</v>
      </c>
      <c r="I1439" s="166">
        <v>0</v>
      </c>
      <c r="J1439" s="166">
        <v>0</v>
      </c>
      <c r="K1439" s="166" t="str">
        <f t="shared" si="22"/>
        <v>INSTRUMENTDPD_12M_PRFRMNG_STTS</v>
      </c>
    </row>
    <row r="1440" spans="1:11" hidden="1">
      <c r="A1440" s="166" t="s">
        <v>4251</v>
      </c>
      <c r="B1440" s="166" t="s">
        <v>4252</v>
      </c>
      <c r="C1440" s="166" t="s">
        <v>1131</v>
      </c>
      <c r="D1440" s="166" t="s">
        <v>48</v>
      </c>
      <c r="E1440" s="166" t="s">
        <v>1132</v>
      </c>
      <c r="F1440" s="166" t="s">
        <v>1133</v>
      </c>
      <c r="G1440" s="166" t="s">
        <v>129</v>
      </c>
      <c r="H1440" s="166">
        <v>2023404</v>
      </c>
      <c r="I1440" s="166">
        <v>0</v>
      </c>
      <c r="J1440" s="166">
        <v>0</v>
      </c>
      <c r="K1440" s="166" t="str">
        <f t="shared" si="22"/>
        <v>INSTRUMENTDPD_12M_PRFRMNG_STTS</v>
      </c>
    </row>
    <row r="1441" spans="1:11" hidden="1">
      <c r="A1441" s="166" t="s">
        <v>4253</v>
      </c>
      <c r="B1441" s="166" t="s">
        <v>4254</v>
      </c>
      <c r="C1441" s="166" t="s">
        <v>1131</v>
      </c>
      <c r="D1441" s="166" t="s">
        <v>48</v>
      </c>
      <c r="E1441" s="166" t="s">
        <v>1132</v>
      </c>
      <c r="F1441" s="166" t="s">
        <v>1133</v>
      </c>
      <c r="G1441" s="166" t="s">
        <v>129</v>
      </c>
      <c r="H1441" s="166">
        <v>115428</v>
      </c>
      <c r="I1441" s="166">
        <v>0</v>
      </c>
      <c r="J1441" s="166">
        <v>0</v>
      </c>
      <c r="K1441" s="166" t="str">
        <f t="shared" si="22"/>
        <v>INSTRUMENTDPD_12M_PRFRMNG_STTS</v>
      </c>
    </row>
    <row r="1442" spans="1:11" hidden="1">
      <c r="A1442" s="166" t="s">
        <v>4255</v>
      </c>
      <c r="B1442" s="166" t="s">
        <v>4256</v>
      </c>
      <c r="C1442" s="166" t="s">
        <v>1131</v>
      </c>
      <c r="D1442" s="166" t="s">
        <v>48</v>
      </c>
      <c r="E1442" s="166" t="s">
        <v>1132</v>
      </c>
      <c r="F1442" s="166" t="s">
        <v>1133</v>
      </c>
      <c r="G1442" s="166" t="s">
        <v>129</v>
      </c>
      <c r="H1442" s="166">
        <v>115428</v>
      </c>
      <c r="I1442" s="166">
        <v>0</v>
      </c>
      <c r="J1442" s="166">
        <v>0</v>
      </c>
      <c r="K1442" s="166" t="str">
        <f t="shared" si="22"/>
        <v>INSTRUMENTDPD_12M_PRFRMNG_STTS</v>
      </c>
    </row>
    <row r="1443" spans="1:11" hidden="1">
      <c r="A1443" s="166" t="s">
        <v>4257</v>
      </c>
      <c r="B1443" s="166" t="s">
        <v>4258</v>
      </c>
      <c r="C1443" s="166" t="s">
        <v>1131</v>
      </c>
      <c r="D1443" s="166" t="s">
        <v>223</v>
      </c>
      <c r="E1443" s="166" t="s">
        <v>1132</v>
      </c>
      <c r="F1443" s="166" t="s">
        <v>1133</v>
      </c>
      <c r="G1443" s="166" t="s">
        <v>1134</v>
      </c>
      <c r="H1443" s="166">
        <v>2125827</v>
      </c>
      <c r="I1443" s="166">
        <v>2117493</v>
      </c>
      <c r="J1443" s="166">
        <v>99.608000000000004</v>
      </c>
      <c r="K1443" s="166" t="str">
        <f t="shared" si="22"/>
        <v>INSTRUMENTDPD_24M_FRBRNC_STTS</v>
      </c>
    </row>
    <row r="1444" spans="1:11" hidden="1">
      <c r="A1444" s="166" t="s">
        <v>4259</v>
      </c>
      <c r="B1444" s="166" t="s">
        <v>4260</v>
      </c>
      <c r="C1444" s="166" t="s">
        <v>1131</v>
      </c>
      <c r="D1444" s="166" t="s">
        <v>223</v>
      </c>
      <c r="E1444" s="166" t="s">
        <v>1132</v>
      </c>
      <c r="F1444" s="166" t="s">
        <v>1133</v>
      </c>
      <c r="G1444" s="166" t="s">
        <v>129</v>
      </c>
      <c r="H1444" s="166">
        <v>2130065</v>
      </c>
      <c r="I1444" s="166">
        <v>0</v>
      </c>
      <c r="J1444" s="166">
        <v>0</v>
      </c>
      <c r="K1444" s="166" t="str">
        <f t="shared" si="22"/>
        <v>INSTRUMENTDPD_24M_FRBRNC_STTS</v>
      </c>
    </row>
    <row r="1445" spans="1:11" hidden="1">
      <c r="A1445" s="166" t="s">
        <v>4261</v>
      </c>
      <c r="B1445" s="166" t="s">
        <v>4262</v>
      </c>
      <c r="C1445" s="166" t="s">
        <v>1131</v>
      </c>
      <c r="D1445" s="166" t="s">
        <v>223</v>
      </c>
      <c r="E1445" s="166" t="s">
        <v>1132</v>
      </c>
      <c r="F1445" s="166" t="s">
        <v>1133</v>
      </c>
      <c r="G1445" s="166" t="s">
        <v>1134</v>
      </c>
      <c r="H1445" s="166">
        <v>8767</v>
      </c>
      <c r="I1445" s="166">
        <v>433</v>
      </c>
      <c r="J1445" s="166">
        <v>4.9390000000000001</v>
      </c>
      <c r="K1445" s="166" t="str">
        <f t="shared" si="22"/>
        <v>INSTRUMENTDPD_24M_FRBRNC_STTS</v>
      </c>
    </row>
    <row r="1446" spans="1:11" hidden="1">
      <c r="A1446" s="166" t="s">
        <v>4263</v>
      </c>
      <c r="B1446" s="166" t="s">
        <v>4264</v>
      </c>
      <c r="C1446" s="166" t="s">
        <v>1131</v>
      </c>
      <c r="D1446" s="166" t="s">
        <v>49</v>
      </c>
      <c r="E1446" s="166" t="s">
        <v>1132</v>
      </c>
      <c r="F1446" s="166" t="s">
        <v>1133</v>
      </c>
      <c r="G1446" s="166" t="s">
        <v>129</v>
      </c>
      <c r="H1446" s="166">
        <v>115428</v>
      </c>
      <c r="I1446" s="166">
        <v>0</v>
      </c>
      <c r="J1446" s="166">
        <v>0</v>
      </c>
      <c r="K1446" s="166" t="str">
        <f t="shared" si="22"/>
        <v>INSTRUMENTDPD_24M_PRFRMNG_STTS</v>
      </c>
    </row>
    <row r="1447" spans="1:11" hidden="1">
      <c r="A1447" s="166" t="s">
        <v>4265</v>
      </c>
      <c r="B1447" s="166" t="s">
        <v>4266</v>
      </c>
      <c r="C1447" s="166" t="s">
        <v>1131</v>
      </c>
      <c r="D1447" s="166" t="s">
        <v>49</v>
      </c>
      <c r="E1447" s="166" t="s">
        <v>1132</v>
      </c>
      <c r="F1447" s="166" t="s">
        <v>1133</v>
      </c>
      <c r="G1447" s="166" t="s">
        <v>129</v>
      </c>
      <c r="H1447" s="166">
        <v>2023404</v>
      </c>
      <c r="I1447" s="166">
        <v>0</v>
      </c>
      <c r="J1447" s="166">
        <v>0</v>
      </c>
      <c r="K1447" s="166" t="str">
        <f t="shared" si="22"/>
        <v>INSTRUMENTDPD_24M_PRFRMNG_STTS</v>
      </c>
    </row>
    <row r="1448" spans="1:11" hidden="1">
      <c r="A1448" s="166" t="s">
        <v>4267</v>
      </c>
      <c r="B1448" s="166" t="s">
        <v>4268</v>
      </c>
      <c r="C1448" s="166" t="s">
        <v>1131</v>
      </c>
      <c r="D1448" s="166" t="s">
        <v>225</v>
      </c>
      <c r="E1448" s="166" t="s">
        <v>1132</v>
      </c>
      <c r="F1448" s="166" t="s">
        <v>1133</v>
      </c>
      <c r="G1448" s="166" t="s">
        <v>1134</v>
      </c>
      <c r="H1448" s="166">
        <v>2125827</v>
      </c>
      <c r="I1448" s="166">
        <v>2117493</v>
      </c>
      <c r="J1448" s="166">
        <v>99.608000000000004</v>
      </c>
      <c r="K1448" s="166" t="str">
        <f t="shared" si="22"/>
        <v>INSTRUMENTDPD_FRBRNC_STTS</v>
      </c>
    </row>
    <row r="1449" spans="1:11" hidden="1">
      <c r="A1449" s="166" t="s">
        <v>4269</v>
      </c>
      <c r="B1449" s="166" t="s">
        <v>4270</v>
      </c>
      <c r="C1449" s="166" t="s">
        <v>1131</v>
      </c>
      <c r="D1449" s="166" t="s">
        <v>51</v>
      </c>
      <c r="E1449" s="166" t="s">
        <v>1132</v>
      </c>
      <c r="F1449" s="166" t="s">
        <v>1133</v>
      </c>
      <c r="G1449" s="166" t="s">
        <v>129</v>
      </c>
      <c r="H1449" s="166">
        <v>725600</v>
      </c>
      <c r="I1449" s="166">
        <v>0</v>
      </c>
      <c r="J1449" s="166">
        <v>0</v>
      </c>
      <c r="K1449" s="166" t="str">
        <f t="shared" si="22"/>
        <v>INSTRUMENTDT_IMPRMNT_STTS</v>
      </c>
    </row>
    <row r="1450" spans="1:11" hidden="1">
      <c r="A1450" s="166" t="s">
        <v>4271</v>
      </c>
      <c r="B1450" s="166" t="s">
        <v>4272</v>
      </c>
      <c r="C1450" s="166" t="s">
        <v>1131</v>
      </c>
      <c r="D1450" s="166" t="s">
        <v>51</v>
      </c>
      <c r="E1450" s="166" t="s">
        <v>1132</v>
      </c>
      <c r="F1450" s="166" t="s">
        <v>1133</v>
      </c>
      <c r="G1450" s="166" t="s">
        <v>129</v>
      </c>
      <c r="H1450" s="166">
        <v>2138963</v>
      </c>
      <c r="I1450" s="166">
        <v>0</v>
      </c>
      <c r="J1450" s="166">
        <v>0</v>
      </c>
      <c r="K1450" s="166" t="str">
        <f t="shared" si="22"/>
        <v>INSTRUMENTDT_IMPRMNT_STTS</v>
      </c>
    </row>
    <row r="1451" spans="1:11" hidden="1">
      <c r="A1451" s="166" t="s">
        <v>4273</v>
      </c>
      <c r="B1451" s="166" t="s">
        <v>4274</v>
      </c>
      <c r="C1451" s="166" t="s">
        <v>1131</v>
      </c>
      <c r="D1451" s="166" t="s">
        <v>52</v>
      </c>
      <c r="E1451" s="166" t="s">
        <v>1132</v>
      </c>
      <c r="F1451" s="166" t="s">
        <v>1133</v>
      </c>
      <c r="G1451" s="166" t="s">
        <v>129</v>
      </c>
      <c r="H1451" s="166">
        <v>2138963</v>
      </c>
      <c r="I1451" s="166">
        <v>0</v>
      </c>
      <c r="J1451" s="166">
        <v>0</v>
      </c>
      <c r="K1451" s="166" t="str">
        <f t="shared" si="22"/>
        <v>INSTRUMENTDT_IMPRMNT_STTS_PRVS</v>
      </c>
    </row>
    <row r="1452" spans="1:11" hidden="1">
      <c r="A1452" s="166" t="s">
        <v>4275</v>
      </c>
      <c r="B1452" s="166" t="s">
        <v>4276</v>
      </c>
      <c r="C1452" s="166" t="s">
        <v>1131</v>
      </c>
      <c r="D1452" s="166" t="s">
        <v>52</v>
      </c>
      <c r="E1452" s="166" t="s">
        <v>1132</v>
      </c>
      <c r="F1452" s="166" t="s">
        <v>1133</v>
      </c>
      <c r="G1452" s="166" t="s">
        <v>129</v>
      </c>
      <c r="H1452" s="166">
        <v>725600</v>
      </c>
      <c r="I1452" s="166">
        <v>0</v>
      </c>
      <c r="J1452" s="166">
        <v>0</v>
      </c>
      <c r="K1452" s="166" t="str">
        <f t="shared" si="22"/>
        <v>INSTRUMENTDT_IMPRMNT_STTS_PRVS</v>
      </c>
    </row>
    <row r="1453" spans="1:11" hidden="1">
      <c r="A1453" s="166" t="s">
        <v>4277</v>
      </c>
      <c r="B1453" s="166" t="s">
        <v>4278</v>
      </c>
      <c r="C1453" s="166" t="s">
        <v>1131</v>
      </c>
      <c r="D1453" s="166" t="s">
        <v>52</v>
      </c>
      <c r="E1453" s="166" t="s">
        <v>1132</v>
      </c>
      <c r="F1453" s="166" t="s">
        <v>1133</v>
      </c>
      <c r="G1453" s="166" t="s">
        <v>129</v>
      </c>
      <c r="H1453" s="166">
        <v>0</v>
      </c>
      <c r="I1453" s="166">
        <v>0</v>
      </c>
      <c r="J1453" s="166">
        <v>0</v>
      </c>
      <c r="K1453" s="166" t="str">
        <f t="shared" si="22"/>
        <v>INSTRUMENTDT_IMPRMNT_STTS_PRVS</v>
      </c>
    </row>
    <row r="1454" spans="1:11" hidden="1">
      <c r="A1454" s="166" t="s">
        <v>4279</v>
      </c>
      <c r="B1454" s="166" t="s">
        <v>4280</v>
      </c>
      <c r="C1454" s="166" t="s">
        <v>1131</v>
      </c>
      <c r="D1454" s="166" t="s">
        <v>282</v>
      </c>
      <c r="E1454" s="166" t="s">
        <v>1132</v>
      </c>
      <c r="F1454" s="166" t="s">
        <v>1133</v>
      </c>
      <c r="G1454" s="166" t="s">
        <v>1134</v>
      </c>
      <c r="H1454" s="166">
        <v>152681</v>
      </c>
      <c r="I1454" s="166">
        <v>5869</v>
      </c>
      <c r="J1454" s="166">
        <v>3.8439999999999999</v>
      </c>
      <c r="K1454" s="166" t="str">
        <f t="shared" si="22"/>
        <v>INSTRUMENTDT_PST_D</v>
      </c>
    </row>
    <row r="1455" spans="1:11" hidden="1">
      <c r="A1455" s="166" t="s">
        <v>4281</v>
      </c>
      <c r="B1455" s="166" t="s">
        <v>4282</v>
      </c>
      <c r="C1455" s="166" t="s">
        <v>1131</v>
      </c>
      <c r="D1455" s="166" t="s">
        <v>282</v>
      </c>
      <c r="E1455" s="166" t="s">
        <v>1132</v>
      </c>
      <c r="F1455" s="166" t="s">
        <v>1133</v>
      </c>
      <c r="G1455" s="166" t="s">
        <v>1134</v>
      </c>
      <c r="H1455" s="166">
        <v>90762</v>
      </c>
      <c r="I1455" s="166">
        <v>7894</v>
      </c>
      <c r="J1455" s="166">
        <v>8.6974999999999998</v>
      </c>
      <c r="K1455" s="166" t="str">
        <f t="shared" si="22"/>
        <v>INSTRUMENTDT_PST_D</v>
      </c>
    </row>
    <row r="1456" spans="1:11" hidden="1">
      <c r="A1456" s="166" t="s">
        <v>4283</v>
      </c>
      <c r="B1456" s="166" t="s">
        <v>4284</v>
      </c>
      <c r="C1456" s="166" t="s">
        <v>1131</v>
      </c>
      <c r="D1456" s="166" t="s">
        <v>282</v>
      </c>
      <c r="E1456" s="166" t="s">
        <v>1132</v>
      </c>
      <c r="F1456" s="166" t="s">
        <v>1133</v>
      </c>
      <c r="G1456" s="166" t="s">
        <v>1134</v>
      </c>
      <c r="H1456" s="166">
        <v>1895028</v>
      </c>
      <c r="I1456" s="166">
        <v>63930</v>
      </c>
      <c r="J1456" s="166">
        <v>3.3736000000000002</v>
      </c>
      <c r="K1456" s="166" t="str">
        <f t="shared" si="22"/>
        <v>INSTRUMENTDT_PST_D</v>
      </c>
    </row>
    <row r="1457" spans="1:11" hidden="1">
      <c r="A1457" s="166" t="s">
        <v>4285</v>
      </c>
      <c r="B1457" s="166" t="s">
        <v>4286</v>
      </c>
      <c r="C1457" s="166" t="s">
        <v>1131</v>
      </c>
      <c r="D1457" s="166" t="s">
        <v>282</v>
      </c>
      <c r="E1457" s="166" t="s">
        <v>1132</v>
      </c>
      <c r="F1457" s="166" t="s">
        <v>1133</v>
      </c>
      <c r="G1457" s="166" t="s">
        <v>1134</v>
      </c>
      <c r="H1457" s="166">
        <v>156104</v>
      </c>
      <c r="I1457" s="166">
        <v>5</v>
      </c>
      <c r="J1457" s="166">
        <v>3.2000000000000002E-3</v>
      </c>
      <c r="K1457" s="166" t="str">
        <f t="shared" si="22"/>
        <v>INSTRUMENTDT_PST_D</v>
      </c>
    </row>
    <row r="1458" spans="1:11" hidden="1">
      <c r="A1458" s="166" t="s">
        <v>4287</v>
      </c>
      <c r="B1458" s="166" t="s">
        <v>4288</v>
      </c>
      <c r="C1458" s="166" t="s">
        <v>1131</v>
      </c>
      <c r="D1458" s="166" t="s">
        <v>282</v>
      </c>
      <c r="E1458" s="166" t="s">
        <v>1132</v>
      </c>
      <c r="F1458" s="166" t="s">
        <v>1133</v>
      </c>
      <c r="G1458" s="166" t="s">
        <v>129</v>
      </c>
      <c r="H1458" s="166">
        <v>156104</v>
      </c>
      <c r="I1458" s="166">
        <v>0</v>
      </c>
      <c r="J1458" s="166">
        <v>0</v>
      </c>
      <c r="K1458" s="166" t="str">
        <f t="shared" si="22"/>
        <v>INSTRUMENTDT_PST_D</v>
      </c>
    </row>
    <row r="1459" spans="1:11" hidden="1">
      <c r="A1459" s="166" t="s">
        <v>4289</v>
      </c>
      <c r="B1459" s="166" t="s">
        <v>4290</v>
      </c>
      <c r="C1459" s="166" t="s">
        <v>1160</v>
      </c>
      <c r="D1459" s="166" t="s">
        <v>282</v>
      </c>
      <c r="E1459" s="166" t="s">
        <v>1132</v>
      </c>
      <c r="F1459" s="166" t="s">
        <v>1133</v>
      </c>
      <c r="G1459" s="166" t="s">
        <v>1134</v>
      </c>
      <c r="H1459" s="166">
        <v>110</v>
      </c>
      <c r="I1459" s="166">
        <v>18</v>
      </c>
      <c r="J1459" s="166">
        <v>16.363600000000002</v>
      </c>
      <c r="K1459" s="166" t="str">
        <f t="shared" si="22"/>
        <v>INSTRUMENTDT_PST_D</v>
      </c>
    </row>
    <row r="1460" spans="1:11" hidden="1">
      <c r="A1460" s="166" t="s">
        <v>4291</v>
      </c>
      <c r="B1460" s="166" t="s">
        <v>4292</v>
      </c>
      <c r="C1460" s="166" t="s">
        <v>1131</v>
      </c>
      <c r="D1460" s="166" t="s">
        <v>359</v>
      </c>
      <c r="E1460" s="166" t="s">
        <v>1132</v>
      </c>
      <c r="F1460" s="166" t="s">
        <v>1133</v>
      </c>
      <c r="G1460" s="166" t="s">
        <v>129</v>
      </c>
      <c r="H1460" s="166">
        <v>1676411</v>
      </c>
      <c r="I1460" s="166">
        <v>0</v>
      </c>
      <c r="J1460" s="166">
        <v>0</v>
      </c>
      <c r="K1460" s="166" t="str">
        <f t="shared" si="22"/>
        <v>INSTRUMENTIMPRMNT_ASSSSMNT_MTHD</v>
      </c>
    </row>
    <row r="1461" spans="1:11" hidden="1">
      <c r="A1461" s="166" t="s">
        <v>4293</v>
      </c>
      <c r="B1461" s="166" t="s">
        <v>4294</v>
      </c>
      <c r="C1461" s="166" t="s">
        <v>1131</v>
      </c>
      <c r="D1461" s="166" t="s">
        <v>360</v>
      </c>
      <c r="E1461" s="166" t="s">
        <v>1132</v>
      </c>
      <c r="F1461" s="166" t="s">
        <v>1133</v>
      </c>
      <c r="G1461" s="166" t="s">
        <v>1134</v>
      </c>
      <c r="H1461" s="166">
        <v>397912</v>
      </c>
      <c r="I1461" s="166">
        <v>320</v>
      </c>
      <c r="J1461" s="166">
        <v>8.0399999999999999E-2</v>
      </c>
      <c r="K1461" s="166" t="str">
        <f t="shared" si="22"/>
        <v>INSTRUMENTIMPRMNT_CLCLTN_MTHD</v>
      </c>
    </row>
    <row r="1462" spans="1:11" hidden="1">
      <c r="A1462" s="166" t="s">
        <v>4295</v>
      </c>
      <c r="B1462" s="166" t="s">
        <v>4296</v>
      </c>
      <c r="C1462" s="166" t="s">
        <v>1131</v>
      </c>
      <c r="D1462" s="166" t="s">
        <v>360</v>
      </c>
      <c r="E1462" s="166" t="s">
        <v>1132</v>
      </c>
      <c r="F1462" s="166" t="s">
        <v>1133</v>
      </c>
      <c r="G1462" s="166" t="s">
        <v>1134</v>
      </c>
      <c r="H1462" s="166">
        <v>398355</v>
      </c>
      <c r="I1462" s="166">
        <v>320</v>
      </c>
      <c r="J1462" s="166">
        <v>8.0299999999999996E-2</v>
      </c>
      <c r="K1462" s="166" t="str">
        <f t="shared" si="22"/>
        <v>INSTRUMENTIMPRMNT_CLCLTN_MTHD</v>
      </c>
    </row>
    <row r="1463" spans="1:11" hidden="1">
      <c r="A1463" s="166" t="s">
        <v>4297</v>
      </c>
      <c r="B1463" s="166" t="s">
        <v>4298</v>
      </c>
      <c r="C1463" s="166" t="s">
        <v>1131</v>
      </c>
      <c r="D1463" s="166" t="s">
        <v>418</v>
      </c>
      <c r="E1463" s="166" t="s">
        <v>1132</v>
      </c>
      <c r="F1463" s="166" t="s">
        <v>1133</v>
      </c>
      <c r="G1463" s="166" t="s">
        <v>129</v>
      </c>
      <c r="H1463" s="166">
        <v>2111521</v>
      </c>
      <c r="I1463" s="166">
        <v>0</v>
      </c>
      <c r="J1463" s="166">
        <v>0</v>
      </c>
      <c r="K1463" s="166" t="str">
        <f t="shared" si="22"/>
        <v>INSTRUMENTNMBR_FRBRNC_MSRS</v>
      </c>
    </row>
    <row r="1464" spans="1:11" hidden="1">
      <c r="A1464" s="166" t="s">
        <v>4299</v>
      </c>
      <c r="B1464" s="166" t="s">
        <v>4300</v>
      </c>
      <c r="C1464" s="166" t="s">
        <v>1131</v>
      </c>
      <c r="D1464" s="166" t="s">
        <v>418</v>
      </c>
      <c r="E1464" s="166" t="s">
        <v>1132</v>
      </c>
      <c r="F1464" s="166" t="s">
        <v>1133</v>
      </c>
      <c r="G1464" s="166" t="s">
        <v>1134</v>
      </c>
      <c r="H1464" s="166">
        <v>8304</v>
      </c>
      <c r="I1464" s="166">
        <v>8304</v>
      </c>
      <c r="J1464" s="166">
        <v>100</v>
      </c>
      <c r="K1464" s="166" t="str">
        <f t="shared" si="22"/>
        <v>INSTRUMENTNMBR_FRBRNC_MSRS</v>
      </c>
    </row>
    <row r="1465" spans="1:11" hidden="1">
      <c r="A1465" s="166" t="s">
        <v>4301</v>
      </c>
      <c r="B1465" s="166" t="s">
        <v>4302</v>
      </c>
      <c r="C1465" s="166" t="s">
        <v>1131</v>
      </c>
      <c r="D1465" s="166" t="s">
        <v>403</v>
      </c>
      <c r="E1465" s="166" t="s">
        <v>1132</v>
      </c>
      <c r="F1465" s="166" t="s">
        <v>1133</v>
      </c>
      <c r="G1465" s="166" t="s">
        <v>129</v>
      </c>
      <c r="H1465" s="166">
        <v>358908</v>
      </c>
      <c r="I1465" s="166">
        <v>0</v>
      </c>
      <c r="J1465" s="166">
        <v>0</v>
      </c>
      <c r="K1465" s="166" t="str">
        <f t="shared" si="22"/>
        <v>INSTRUMENTLTV</v>
      </c>
    </row>
    <row r="1466" spans="1:11" hidden="1">
      <c r="A1466" s="166" t="s">
        <v>4303</v>
      </c>
      <c r="B1466" s="166" t="s">
        <v>4304</v>
      </c>
      <c r="C1466" s="166" t="s">
        <v>1131</v>
      </c>
      <c r="D1466" s="166" t="s">
        <v>403</v>
      </c>
      <c r="E1466" s="166" t="s">
        <v>1132</v>
      </c>
      <c r="F1466" s="166" t="s">
        <v>1133</v>
      </c>
      <c r="G1466" s="166" t="s">
        <v>1134</v>
      </c>
      <c r="H1466" s="166">
        <v>4682</v>
      </c>
      <c r="I1466" s="166">
        <v>11</v>
      </c>
      <c r="J1466" s="166">
        <v>0.2349</v>
      </c>
      <c r="K1466" s="166" t="str">
        <f t="shared" si="22"/>
        <v>INSTRUMENTLTV</v>
      </c>
    </row>
    <row r="1467" spans="1:11" hidden="1">
      <c r="A1467" s="166" t="s">
        <v>4305</v>
      </c>
      <c r="B1467" s="166" t="s">
        <v>4306</v>
      </c>
      <c r="C1467" s="166" t="s">
        <v>1160</v>
      </c>
      <c r="D1467" s="166" t="s">
        <v>403</v>
      </c>
      <c r="E1467" s="166" t="s">
        <v>1132</v>
      </c>
      <c r="F1467" s="166" t="s">
        <v>1133</v>
      </c>
      <c r="G1467" s="166" t="s">
        <v>129</v>
      </c>
      <c r="H1467" s="166">
        <v>363570</v>
      </c>
      <c r="I1467" s="166">
        <v>0</v>
      </c>
      <c r="J1467" s="166">
        <v>0</v>
      </c>
      <c r="K1467" s="166" t="str">
        <f t="shared" si="22"/>
        <v>INSTRUMENTLTV</v>
      </c>
    </row>
    <row r="1468" spans="1:11" hidden="1">
      <c r="A1468" s="166" t="s">
        <v>4307</v>
      </c>
      <c r="B1468" s="166" t="s">
        <v>4308</v>
      </c>
      <c r="C1468" s="166" t="s">
        <v>1160</v>
      </c>
      <c r="D1468" s="166" t="s">
        <v>404</v>
      </c>
      <c r="E1468" s="166" t="s">
        <v>1132</v>
      </c>
      <c r="F1468" s="166" t="s">
        <v>1133</v>
      </c>
      <c r="G1468" s="166" t="s">
        <v>129</v>
      </c>
      <c r="H1468" s="166">
        <v>363570</v>
      </c>
      <c r="I1468" s="166">
        <v>0</v>
      </c>
      <c r="J1468" s="166">
        <v>0</v>
      </c>
      <c r="K1468" s="166" t="str">
        <f t="shared" si="22"/>
        <v>INSTRUMENTLTV_INCPTN</v>
      </c>
    </row>
    <row r="1469" spans="1:11" hidden="1">
      <c r="A1469" s="166" t="s">
        <v>4309</v>
      </c>
      <c r="B1469" s="166" t="s">
        <v>4310</v>
      </c>
      <c r="C1469" s="166" t="s">
        <v>1160</v>
      </c>
      <c r="D1469" s="166" t="s">
        <v>405</v>
      </c>
      <c r="E1469" s="166" t="s">
        <v>1132</v>
      </c>
      <c r="F1469" s="166" t="s">
        <v>1133</v>
      </c>
      <c r="G1469" s="166" t="s">
        <v>1134</v>
      </c>
      <c r="H1469" s="166">
        <v>5576</v>
      </c>
      <c r="I1469" s="166">
        <v>2373</v>
      </c>
      <c r="J1469" s="166">
        <v>42.557400000000001</v>
      </c>
      <c r="K1469" s="166" t="str">
        <f t="shared" si="22"/>
        <v>INSTRUMENTLTV_NPE</v>
      </c>
    </row>
    <row r="1470" spans="1:11" hidden="1">
      <c r="A1470" s="166" t="s">
        <v>4311</v>
      </c>
      <c r="B1470" s="166" t="s">
        <v>4312</v>
      </c>
      <c r="C1470" s="166" t="s">
        <v>1131</v>
      </c>
      <c r="D1470" s="166" t="s">
        <v>435</v>
      </c>
      <c r="E1470" s="166" t="s">
        <v>1132</v>
      </c>
      <c r="F1470" s="166" t="s">
        <v>1133</v>
      </c>
      <c r="G1470" s="166" t="s">
        <v>1134</v>
      </c>
      <c r="H1470" s="166">
        <v>379168</v>
      </c>
      <c r="I1470" s="166">
        <v>38652</v>
      </c>
      <c r="J1470" s="166">
        <v>10.193899999999999</v>
      </c>
      <c r="K1470" s="166" t="str">
        <f t="shared" si="22"/>
        <v>INSTRUMENTPD_CRR_INCPTN</v>
      </c>
    </row>
    <row r="1471" spans="1:11" hidden="1">
      <c r="A1471" s="166" t="s">
        <v>4313</v>
      </c>
      <c r="B1471" s="166" t="s">
        <v>4314</v>
      </c>
      <c r="C1471" s="166" t="s">
        <v>1142</v>
      </c>
      <c r="D1471" s="166" t="s">
        <v>437</v>
      </c>
      <c r="E1471" s="166" t="s">
        <v>1132</v>
      </c>
      <c r="F1471" s="166" t="s">
        <v>1133</v>
      </c>
      <c r="G1471" s="166" t="s">
        <v>1134</v>
      </c>
      <c r="H1471" s="166">
        <v>1841909</v>
      </c>
      <c r="I1471" s="166">
        <v>82449</v>
      </c>
      <c r="J1471" s="166">
        <v>4.4763000000000002</v>
      </c>
      <c r="K1471" s="166" t="str">
        <f t="shared" si="22"/>
        <v>INSTRUMENTPD_CRR_RD</v>
      </c>
    </row>
    <row r="1472" spans="1:11" hidden="1">
      <c r="A1472" s="166" t="s">
        <v>4315</v>
      </c>
      <c r="B1472" s="166" t="s">
        <v>4316</v>
      </c>
      <c r="C1472" s="166" t="s">
        <v>1131</v>
      </c>
      <c r="D1472" s="166" t="s">
        <v>437</v>
      </c>
      <c r="E1472" s="166" t="s">
        <v>1132</v>
      </c>
      <c r="F1472" s="166" t="s">
        <v>1133</v>
      </c>
      <c r="G1472" s="166" t="s">
        <v>1134</v>
      </c>
      <c r="H1472" s="166">
        <v>130343</v>
      </c>
      <c r="I1472" s="166">
        <v>115347</v>
      </c>
      <c r="J1472" s="166">
        <v>88.495000000000005</v>
      </c>
      <c r="K1472" s="166" t="str">
        <f t="shared" si="22"/>
        <v>INSTRUMENTPD_CRR_RD</v>
      </c>
    </row>
    <row r="1473" spans="1:11" hidden="1">
      <c r="A1473" s="166" t="s">
        <v>4317</v>
      </c>
      <c r="B1473" s="166" t="s">
        <v>4318</v>
      </c>
      <c r="C1473" s="166" t="s">
        <v>1131</v>
      </c>
      <c r="D1473" s="166" t="s">
        <v>438</v>
      </c>
      <c r="E1473" s="166" t="s">
        <v>1132</v>
      </c>
      <c r="F1473" s="166" t="s">
        <v>1133</v>
      </c>
      <c r="G1473" s="166" t="s">
        <v>129</v>
      </c>
      <c r="H1473" s="166">
        <v>381343</v>
      </c>
      <c r="I1473" s="166">
        <v>0</v>
      </c>
      <c r="J1473" s="166">
        <v>0</v>
      </c>
      <c r="K1473" s="166" t="str">
        <f t="shared" si="22"/>
        <v>INSTRUMENTPD_CRR_RD_T1</v>
      </c>
    </row>
    <row r="1474" spans="1:11" hidden="1">
      <c r="A1474" s="166" t="s">
        <v>4319</v>
      </c>
      <c r="B1474" s="166" t="s">
        <v>4320</v>
      </c>
      <c r="C1474" s="166" t="s">
        <v>1131</v>
      </c>
      <c r="D1474" s="166" t="s">
        <v>438</v>
      </c>
      <c r="E1474" s="166" t="s">
        <v>1132</v>
      </c>
      <c r="F1474" s="166" t="s">
        <v>1133</v>
      </c>
      <c r="G1474" s="166" t="s">
        <v>129</v>
      </c>
      <c r="H1474" s="166">
        <v>379168</v>
      </c>
      <c r="I1474" s="166">
        <v>0</v>
      </c>
      <c r="J1474" s="166">
        <v>0</v>
      </c>
      <c r="K1474" s="166" t="str">
        <f t="shared" si="22"/>
        <v>INSTRUMENTPD_CRR_RD_T1</v>
      </c>
    </row>
    <row r="1475" spans="1:11" hidden="1">
      <c r="A1475" s="166" t="s">
        <v>4321</v>
      </c>
      <c r="B1475" s="166" t="s">
        <v>4322</v>
      </c>
      <c r="C1475" s="166" t="s">
        <v>1131</v>
      </c>
      <c r="D1475" s="166" t="s">
        <v>440</v>
      </c>
      <c r="E1475" s="166" t="s">
        <v>1132</v>
      </c>
      <c r="F1475" s="166" t="s">
        <v>1133</v>
      </c>
      <c r="G1475" s="166" t="s">
        <v>1134</v>
      </c>
      <c r="H1475" s="166">
        <v>2008626</v>
      </c>
      <c r="I1475" s="166">
        <v>315</v>
      </c>
      <c r="J1475" s="166">
        <v>1.5699999999999999E-2</v>
      </c>
      <c r="K1475" s="166" t="str">
        <f t="shared" ref="K1475:K1538" si="23">_xlfn.CONCAT(_xlfn.IFS(ISNUMBER(SEARCH("EN",A1475)),"ENTITY",ISNUMBER(SEARCH("IN",A1475)),"INSTRUMENT",ISNUMBER(SEARCH("PR",A1475)),"PROTECTION",ISNUMBER(SEARCH("IP",A1475)),"INSTR_PROTECTION",ISNUMBER(SEARCH("IE",A1475)),"INSTR_ENTITY",ISNUMBER(SEARCH("AC",A1475)),"INSTR_ACTIVITY"),D1475)</f>
        <v>INSTRUMENTPD_IFRS9_12M_RD</v>
      </c>
    </row>
    <row r="1476" spans="1:11" hidden="1">
      <c r="A1476" s="166" t="s">
        <v>4323</v>
      </c>
      <c r="B1476" s="166" t="s">
        <v>4324</v>
      </c>
      <c r="C1476" s="166" t="s">
        <v>1142</v>
      </c>
      <c r="D1476" s="166" t="s">
        <v>440</v>
      </c>
      <c r="E1476" s="166" t="s">
        <v>1132</v>
      </c>
      <c r="F1476" s="166" t="s">
        <v>1133</v>
      </c>
      <c r="G1476" s="166" t="s">
        <v>1134</v>
      </c>
      <c r="H1476" s="166">
        <v>2138060</v>
      </c>
      <c r="I1476" s="166">
        <v>185</v>
      </c>
      <c r="J1476" s="166">
        <v>8.6999999999999994E-3</v>
      </c>
      <c r="K1476" s="166" t="str">
        <f t="shared" si="23"/>
        <v>INSTRUMENTPD_IFRS9_12M_RD</v>
      </c>
    </row>
    <row r="1477" spans="1:11" hidden="1">
      <c r="A1477" s="166" t="s">
        <v>4325</v>
      </c>
      <c r="B1477" s="166" t="s">
        <v>4326</v>
      </c>
      <c r="C1477" s="166" t="s">
        <v>1131</v>
      </c>
      <c r="D1477" s="166" t="s">
        <v>442</v>
      </c>
      <c r="E1477" s="166" t="s">
        <v>1132</v>
      </c>
      <c r="F1477" s="166" t="s">
        <v>1133</v>
      </c>
      <c r="G1477" s="166" t="s">
        <v>1134</v>
      </c>
      <c r="H1477" s="166">
        <v>381343</v>
      </c>
      <c r="I1477" s="166">
        <v>7</v>
      </c>
      <c r="J1477" s="166">
        <v>1.8E-3</v>
      </c>
      <c r="K1477" s="166" t="str">
        <f t="shared" si="23"/>
        <v>INSTRUMENTPD_IFRS9_12M_RD_T1</v>
      </c>
    </row>
    <row r="1478" spans="1:11" hidden="1">
      <c r="A1478" s="166" t="s">
        <v>4327</v>
      </c>
      <c r="B1478" s="166" t="s">
        <v>4328</v>
      </c>
      <c r="C1478" s="166" t="s">
        <v>1131</v>
      </c>
      <c r="D1478" s="166" t="s">
        <v>445</v>
      </c>
      <c r="E1478" s="166" t="s">
        <v>1132</v>
      </c>
      <c r="F1478" s="166" t="s">
        <v>1133</v>
      </c>
      <c r="G1478" s="166" t="s">
        <v>129</v>
      </c>
      <c r="H1478" s="166">
        <v>462088</v>
      </c>
      <c r="I1478" s="166">
        <v>0</v>
      </c>
      <c r="J1478" s="166">
        <v>0</v>
      </c>
      <c r="K1478" s="166" t="str">
        <f t="shared" si="23"/>
        <v>INSTRUMENTPD_IFRS9_RMNNG_LFTM_RD</v>
      </c>
    </row>
    <row r="1479" spans="1:11" hidden="1">
      <c r="A1479" s="166" t="s">
        <v>4329</v>
      </c>
      <c r="B1479" s="166" t="s">
        <v>4330</v>
      </c>
      <c r="C1479" s="166" t="s">
        <v>1131</v>
      </c>
      <c r="D1479" s="166" t="s">
        <v>4331</v>
      </c>
      <c r="E1479" s="166" t="s">
        <v>1132</v>
      </c>
      <c r="F1479" s="166" t="s">
        <v>1133</v>
      </c>
      <c r="G1479" s="166" t="s">
        <v>129</v>
      </c>
      <c r="H1479" s="166">
        <v>2008604</v>
      </c>
      <c r="I1479" s="166">
        <v>0</v>
      </c>
      <c r="J1479" s="166">
        <v>0</v>
      </c>
      <c r="K1479" s="166" t="str">
        <f t="shared" si="23"/>
        <v>INSTRUMENTIN_RTNG_MTHD</v>
      </c>
    </row>
    <row r="1480" spans="1:11" hidden="1">
      <c r="A1480" s="166" t="s">
        <v>4332</v>
      </c>
      <c r="B1480" s="166" t="s">
        <v>4333</v>
      </c>
      <c r="C1480" s="166" t="s">
        <v>1131</v>
      </c>
      <c r="D1480" s="166" t="s">
        <v>4331</v>
      </c>
      <c r="E1480" s="166" t="s">
        <v>1132</v>
      </c>
      <c r="F1480" s="166" t="s">
        <v>1133</v>
      </c>
      <c r="G1480" s="166" t="s">
        <v>129</v>
      </c>
      <c r="H1480" s="166">
        <v>130343</v>
      </c>
      <c r="I1480" s="166">
        <v>0</v>
      </c>
      <c r="J1480" s="166">
        <v>0</v>
      </c>
      <c r="K1480" s="166" t="str">
        <f t="shared" si="23"/>
        <v>INSTRUMENTIN_RTNG_MTHD</v>
      </c>
    </row>
    <row r="1481" spans="1:11" hidden="1">
      <c r="A1481" s="166" t="s">
        <v>4334</v>
      </c>
      <c r="B1481" s="166" t="s">
        <v>4335</v>
      </c>
      <c r="C1481" s="166" t="s">
        <v>1131</v>
      </c>
      <c r="D1481" s="166" t="s">
        <v>492</v>
      </c>
      <c r="E1481" s="166" t="s">
        <v>1132</v>
      </c>
      <c r="F1481" s="166" t="s">
        <v>1133</v>
      </c>
      <c r="G1481" s="166" t="s">
        <v>1134</v>
      </c>
      <c r="H1481" s="166">
        <v>1878954</v>
      </c>
      <c r="I1481" s="166">
        <v>116897</v>
      </c>
      <c r="J1481" s="166">
        <v>6.2214</v>
      </c>
      <c r="K1481" s="166" t="str">
        <f t="shared" si="23"/>
        <v>INSTRUMENTRTNG_MTHD</v>
      </c>
    </row>
    <row r="1482" spans="1:11" hidden="1">
      <c r="A1482" s="166" t="s">
        <v>4336</v>
      </c>
      <c r="B1482" s="166" t="s">
        <v>4337</v>
      </c>
      <c r="C1482" s="166" t="s">
        <v>1131</v>
      </c>
      <c r="D1482" s="166" t="s">
        <v>270</v>
      </c>
      <c r="E1482" s="166" t="s">
        <v>1132</v>
      </c>
      <c r="F1482" s="166" t="s">
        <v>1133</v>
      </c>
      <c r="G1482" s="166" t="s">
        <v>129</v>
      </c>
      <c r="H1482" s="166">
        <v>2008626</v>
      </c>
      <c r="I1482" s="166">
        <v>0</v>
      </c>
      <c r="J1482" s="166">
        <v>0</v>
      </c>
      <c r="K1482" s="166" t="str">
        <f t="shared" si="23"/>
        <v>INSTRUMENTSICR_ASSSSMNT_MTHD</v>
      </c>
    </row>
    <row r="1483" spans="1:11" hidden="1">
      <c r="A1483" s="166" t="s">
        <v>4338</v>
      </c>
      <c r="B1483" s="166" t="s">
        <v>4339</v>
      </c>
      <c r="C1483" s="166" t="s">
        <v>1131</v>
      </c>
      <c r="D1483" s="166" t="s">
        <v>270</v>
      </c>
      <c r="E1483" s="166" t="s">
        <v>1132</v>
      </c>
      <c r="F1483" s="166" t="s">
        <v>1133</v>
      </c>
      <c r="G1483" s="166" t="s">
        <v>129</v>
      </c>
      <c r="H1483" s="166">
        <v>130327</v>
      </c>
      <c r="I1483" s="166">
        <v>0</v>
      </c>
      <c r="J1483" s="166">
        <v>0</v>
      </c>
      <c r="K1483" s="166" t="str">
        <f t="shared" si="23"/>
        <v>INSTRUMENTSICR_ASSSSMNT_MTHD</v>
      </c>
    </row>
    <row r="1484" spans="1:11" hidden="1">
      <c r="A1484" s="166" t="s">
        <v>4340</v>
      </c>
      <c r="B1484" s="166" t="s">
        <v>4341</v>
      </c>
      <c r="C1484" s="166" t="s">
        <v>1131</v>
      </c>
      <c r="D1484" s="166" t="s">
        <v>300</v>
      </c>
      <c r="E1484" s="166" t="s">
        <v>1132</v>
      </c>
      <c r="F1484" s="166" t="s">
        <v>1133</v>
      </c>
      <c r="G1484" s="166" t="s">
        <v>1134</v>
      </c>
      <c r="H1484" s="166">
        <v>2104560</v>
      </c>
      <c r="I1484" s="166">
        <v>2</v>
      </c>
      <c r="J1484" s="166">
        <v>1E-4</v>
      </c>
      <c r="K1484" s="166" t="str">
        <f t="shared" si="23"/>
        <v>INSTRUMENTEIR</v>
      </c>
    </row>
    <row r="1485" spans="1:11" hidden="1">
      <c r="A1485" s="166" t="s">
        <v>4342</v>
      </c>
      <c r="B1485" s="166" t="s">
        <v>4343</v>
      </c>
      <c r="C1485" s="166" t="s">
        <v>1131</v>
      </c>
      <c r="D1485" s="166" t="s">
        <v>300</v>
      </c>
      <c r="E1485" s="166" t="s">
        <v>1132</v>
      </c>
      <c r="F1485" s="166" t="s">
        <v>1133</v>
      </c>
      <c r="G1485" s="166" t="s">
        <v>1134</v>
      </c>
      <c r="H1485" s="166">
        <v>1795497</v>
      </c>
      <c r="I1485" s="166">
        <v>3340</v>
      </c>
      <c r="J1485" s="166">
        <v>0.186</v>
      </c>
      <c r="K1485" s="166" t="str">
        <f t="shared" si="23"/>
        <v>INSTRUMENTEIR</v>
      </c>
    </row>
    <row r="1486" spans="1:11" hidden="1">
      <c r="A1486" s="166" t="s">
        <v>4344</v>
      </c>
      <c r="B1486" s="166" t="s">
        <v>4345</v>
      </c>
      <c r="C1486" s="166" t="s">
        <v>1131</v>
      </c>
      <c r="D1486" s="166" t="s">
        <v>300</v>
      </c>
      <c r="E1486" s="166" t="s">
        <v>1132</v>
      </c>
      <c r="F1486" s="166" t="s">
        <v>1133</v>
      </c>
      <c r="G1486" s="166" t="s">
        <v>1134</v>
      </c>
      <c r="H1486" s="166">
        <v>2138822</v>
      </c>
      <c r="I1486" s="166">
        <v>186</v>
      </c>
      <c r="J1486" s="166">
        <v>8.6999999999999994E-3</v>
      </c>
      <c r="K1486" s="166" t="str">
        <f t="shared" si="23"/>
        <v>INSTRUMENTEIR</v>
      </c>
    </row>
    <row r="1487" spans="1:11" hidden="1">
      <c r="A1487" s="166" t="s">
        <v>4346</v>
      </c>
      <c r="B1487" s="166" t="s">
        <v>4347</v>
      </c>
      <c r="C1487" s="166" t="s">
        <v>1131</v>
      </c>
      <c r="D1487" s="166" t="s">
        <v>300</v>
      </c>
      <c r="E1487" s="166" t="s">
        <v>1132</v>
      </c>
      <c r="F1487" s="166" t="s">
        <v>1133</v>
      </c>
      <c r="G1487" s="166" t="s">
        <v>129</v>
      </c>
      <c r="H1487" s="166">
        <v>0</v>
      </c>
      <c r="I1487" s="166">
        <v>0</v>
      </c>
      <c r="J1487" s="166">
        <v>0</v>
      </c>
      <c r="K1487" s="166" t="str">
        <f t="shared" si="23"/>
        <v>INSTRUMENTEIR</v>
      </c>
    </row>
    <row r="1488" spans="1:11" hidden="1">
      <c r="A1488" s="166" t="s">
        <v>4348</v>
      </c>
      <c r="B1488" s="166" t="s">
        <v>4349</v>
      </c>
      <c r="C1488" s="166" t="s">
        <v>1131</v>
      </c>
      <c r="D1488" s="166" t="s">
        <v>301</v>
      </c>
      <c r="E1488" s="166" t="s">
        <v>1132</v>
      </c>
      <c r="F1488" s="166" t="s">
        <v>1133</v>
      </c>
      <c r="G1488" s="166" t="s">
        <v>1134</v>
      </c>
      <c r="H1488" s="166">
        <v>2138822</v>
      </c>
      <c r="I1488" s="166">
        <v>186</v>
      </c>
      <c r="J1488" s="166">
        <v>8.6999999999999994E-3</v>
      </c>
      <c r="K1488" s="166" t="str">
        <f t="shared" si="23"/>
        <v>INSTRUMENTEIR_INCPTN</v>
      </c>
    </row>
    <row r="1489" spans="1:11" hidden="1">
      <c r="A1489" s="166" t="s">
        <v>4350</v>
      </c>
      <c r="B1489" s="166" t="s">
        <v>4351</v>
      </c>
      <c r="C1489" s="166" t="s">
        <v>1131</v>
      </c>
      <c r="D1489" s="166" t="s">
        <v>301</v>
      </c>
      <c r="E1489" s="166" t="s">
        <v>1132</v>
      </c>
      <c r="F1489" s="166" t="s">
        <v>1133</v>
      </c>
      <c r="G1489" s="166" t="s">
        <v>129</v>
      </c>
      <c r="H1489" s="166">
        <v>0</v>
      </c>
      <c r="I1489" s="166">
        <v>0</v>
      </c>
      <c r="J1489" s="166">
        <v>0</v>
      </c>
      <c r="K1489" s="166" t="str">
        <f t="shared" si="23"/>
        <v>INSTRUMENTEIR_INCPTN</v>
      </c>
    </row>
    <row r="1490" spans="1:11" hidden="1">
      <c r="A1490" s="166" t="s">
        <v>4352</v>
      </c>
      <c r="B1490" s="166" t="s">
        <v>4353</v>
      </c>
      <c r="C1490" s="166" t="s">
        <v>1131</v>
      </c>
      <c r="D1490" s="166" t="s">
        <v>379</v>
      </c>
      <c r="E1490" s="166" t="s">
        <v>1132</v>
      </c>
      <c r="F1490" s="166" t="s">
        <v>1133</v>
      </c>
      <c r="G1490" s="166" t="s">
        <v>1134</v>
      </c>
      <c r="H1490" s="166">
        <v>704433</v>
      </c>
      <c r="I1490" s="166">
        <v>283491</v>
      </c>
      <c r="J1490" s="166">
        <v>40.243899999999996</v>
      </c>
      <c r="K1490" s="166" t="str">
        <f t="shared" si="23"/>
        <v>INSTRUMENTINTRST_RT_RST_FRQNCY</v>
      </c>
    </row>
    <row r="1491" spans="1:11" hidden="1">
      <c r="A1491" s="166" t="s">
        <v>4354</v>
      </c>
      <c r="B1491" s="166" t="s">
        <v>4355</v>
      </c>
      <c r="C1491" s="166" t="s">
        <v>1131</v>
      </c>
      <c r="D1491" s="166" t="s">
        <v>379</v>
      </c>
      <c r="E1491" s="166" t="s">
        <v>1132</v>
      </c>
      <c r="F1491" s="166" t="s">
        <v>1133</v>
      </c>
      <c r="G1491" s="166" t="s">
        <v>129</v>
      </c>
      <c r="H1491" s="166">
        <v>0</v>
      </c>
      <c r="I1491" s="166">
        <v>0</v>
      </c>
      <c r="J1491" s="166">
        <v>0</v>
      </c>
      <c r="K1491" s="166" t="str">
        <f t="shared" si="23"/>
        <v>INSTRUMENTINTRST_RT_RST_FRQNCY</v>
      </c>
    </row>
    <row r="1492" spans="1:11" hidden="1">
      <c r="A1492" s="166" t="s">
        <v>4356</v>
      </c>
      <c r="B1492" s="166" t="s">
        <v>4357</v>
      </c>
      <c r="C1492" s="166" t="s">
        <v>1131</v>
      </c>
      <c r="D1492" s="166" t="s">
        <v>477</v>
      </c>
      <c r="E1492" s="166" t="s">
        <v>1132</v>
      </c>
      <c r="F1492" s="166" t="s">
        <v>1133</v>
      </c>
      <c r="G1492" s="166" t="s">
        <v>129</v>
      </c>
      <c r="H1492" s="166">
        <v>152454</v>
      </c>
      <c r="I1492" s="166">
        <v>0</v>
      </c>
      <c r="J1492" s="166">
        <v>0</v>
      </c>
      <c r="K1492" s="166" t="str">
        <f t="shared" si="23"/>
        <v>INSTRUMENTRCVD_AMRTSTN_12M</v>
      </c>
    </row>
    <row r="1493" spans="1:11" hidden="1">
      <c r="A1493" s="166" t="s">
        <v>4358</v>
      </c>
      <c r="B1493" s="166" t="s">
        <v>4359</v>
      </c>
      <c r="C1493" s="166" t="s">
        <v>1131</v>
      </c>
      <c r="D1493" s="166" t="s">
        <v>477</v>
      </c>
      <c r="E1493" s="166" t="s">
        <v>1132</v>
      </c>
      <c r="F1493" s="166" t="s">
        <v>1133</v>
      </c>
      <c r="G1493" s="166" t="s">
        <v>1134</v>
      </c>
      <c r="H1493" s="166">
        <v>734775</v>
      </c>
      <c r="I1493" s="166">
        <v>2</v>
      </c>
      <c r="J1493" s="166">
        <v>2.9999999999999997E-4</v>
      </c>
      <c r="K1493" s="166" t="str">
        <f t="shared" si="23"/>
        <v>INSTRUMENTRCVD_AMRTSTN_12M</v>
      </c>
    </row>
    <row r="1494" spans="1:11" hidden="1">
      <c r="A1494" s="166" t="s">
        <v>4360</v>
      </c>
      <c r="B1494" s="166" t="s">
        <v>4361</v>
      </c>
      <c r="C1494" s="166" t="s">
        <v>1131</v>
      </c>
      <c r="D1494" s="166" t="s">
        <v>254</v>
      </c>
      <c r="E1494" s="166" t="s">
        <v>1132</v>
      </c>
      <c r="F1494" s="166" t="s">
        <v>1133</v>
      </c>
      <c r="G1494" s="166" t="s">
        <v>129</v>
      </c>
      <c r="H1494" s="166">
        <v>152454</v>
      </c>
      <c r="I1494" s="166">
        <v>0</v>
      </c>
      <c r="J1494" s="166">
        <v>0</v>
      </c>
      <c r="K1494" s="166" t="str">
        <f t="shared" si="23"/>
        <v>INSTRUMENTRCVD_INTRST_12M</v>
      </c>
    </row>
    <row r="1495" spans="1:11" hidden="1">
      <c r="A1495" s="166" t="s">
        <v>4362</v>
      </c>
      <c r="B1495" s="166" t="s">
        <v>4363</v>
      </c>
      <c r="C1495" s="166" t="s">
        <v>1131</v>
      </c>
      <c r="D1495" s="166" t="s">
        <v>254</v>
      </c>
      <c r="E1495" s="166" t="s">
        <v>1132</v>
      </c>
      <c r="F1495" s="166" t="s">
        <v>1133</v>
      </c>
      <c r="G1495" s="166" t="s">
        <v>129</v>
      </c>
      <c r="H1495" s="166">
        <v>734776</v>
      </c>
      <c r="I1495" s="166">
        <v>0</v>
      </c>
      <c r="J1495" s="166">
        <v>0</v>
      </c>
      <c r="K1495" s="166" t="str">
        <f t="shared" si="23"/>
        <v>INSTRUMENTRCVD_INTRST_12M</v>
      </c>
    </row>
    <row r="1496" spans="1:11" hidden="1">
      <c r="A1496" s="166" t="s">
        <v>4364</v>
      </c>
      <c r="B1496" s="166" t="s">
        <v>4365</v>
      </c>
      <c r="C1496" s="166" t="s">
        <v>1131</v>
      </c>
      <c r="D1496" s="166" t="s">
        <v>511</v>
      </c>
      <c r="E1496" s="166" t="s">
        <v>1132</v>
      </c>
      <c r="F1496" s="166" t="s">
        <v>1133</v>
      </c>
      <c r="G1496" s="166" t="s">
        <v>129</v>
      </c>
      <c r="H1496" s="166">
        <v>79</v>
      </c>
      <c r="I1496" s="166">
        <v>0</v>
      </c>
      <c r="J1496" s="166">
        <v>0</v>
      </c>
      <c r="K1496" s="166" t="str">
        <f t="shared" si="23"/>
        <v>INSTRUMENTSYNDCT_RL</v>
      </c>
    </row>
    <row r="1497" spans="1:11" hidden="1">
      <c r="A1497" s="166" t="s">
        <v>4366</v>
      </c>
      <c r="B1497" s="166" t="s">
        <v>4367</v>
      </c>
      <c r="C1497" s="166" t="s">
        <v>1131</v>
      </c>
      <c r="D1497" s="166" t="s">
        <v>511</v>
      </c>
      <c r="E1497" s="166" t="s">
        <v>1132</v>
      </c>
      <c r="F1497" s="166" t="s">
        <v>1133</v>
      </c>
      <c r="G1497" s="166" t="s">
        <v>129</v>
      </c>
      <c r="H1497" s="166">
        <v>100</v>
      </c>
      <c r="I1497" s="166">
        <v>0</v>
      </c>
      <c r="J1497" s="166">
        <v>0</v>
      </c>
      <c r="K1497" s="166" t="str">
        <f t="shared" si="23"/>
        <v>INSTRUMENTSYNDCT_RL</v>
      </c>
    </row>
    <row r="1498" spans="1:11" hidden="1">
      <c r="A1498" s="166" t="s">
        <v>4368</v>
      </c>
      <c r="B1498" s="166" t="s">
        <v>4369</v>
      </c>
      <c r="C1498" s="166" t="s">
        <v>1131</v>
      </c>
      <c r="D1498" s="166" t="s">
        <v>511</v>
      </c>
      <c r="E1498" s="166" t="s">
        <v>1132</v>
      </c>
      <c r="F1498" s="166" t="s">
        <v>1133</v>
      </c>
      <c r="G1498" s="166" t="s">
        <v>129</v>
      </c>
      <c r="H1498" s="166">
        <v>378734</v>
      </c>
      <c r="I1498" s="166">
        <v>0</v>
      </c>
      <c r="J1498" s="166">
        <v>0</v>
      </c>
      <c r="K1498" s="166" t="str">
        <f t="shared" si="23"/>
        <v>INSTRUMENTSYNDCT_RL</v>
      </c>
    </row>
    <row r="1499" spans="1:11" hidden="1">
      <c r="A1499" s="166" t="s">
        <v>4370</v>
      </c>
      <c r="B1499" s="166" t="s">
        <v>4371</v>
      </c>
      <c r="C1499" s="166" t="s">
        <v>1131</v>
      </c>
      <c r="D1499" s="166" t="s">
        <v>512</v>
      </c>
      <c r="E1499" s="166" t="s">
        <v>1132</v>
      </c>
      <c r="F1499" s="166" t="s">
        <v>1133</v>
      </c>
      <c r="G1499" s="166" t="s">
        <v>129</v>
      </c>
      <c r="H1499" s="166">
        <v>100</v>
      </c>
      <c r="I1499" s="166">
        <v>0</v>
      </c>
      <c r="J1499" s="166">
        <v>0</v>
      </c>
      <c r="K1499" s="166" t="str">
        <f t="shared" si="23"/>
        <v>INSTRUMENTSYNDCTD_AGNT</v>
      </c>
    </row>
    <row r="1500" spans="1:11" hidden="1">
      <c r="A1500" s="166" t="s">
        <v>4372</v>
      </c>
      <c r="B1500" s="166" t="s">
        <v>4373</v>
      </c>
      <c r="C1500" s="166" t="s">
        <v>1131</v>
      </c>
      <c r="D1500" s="166" t="s">
        <v>512</v>
      </c>
      <c r="E1500" s="166" t="s">
        <v>1132</v>
      </c>
      <c r="F1500" s="166" t="s">
        <v>1133</v>
      </c>
      <c r="G1500" s="166" t="s">
        <v>129</v>
      </c>
      <c r="H1500" s="166">
        <v>398119</v>
      </c>
      <c r="I1500" s="166">
        <v>0</v>
      </c>
      <c r="J1500" s="166">
        <v>0</v>
      </c>
      <c r="K1500" s="166" t="str">
        <f t="shared" si="23"/>
        <v>INSTRUMENTSYNDCTD_AGNT</v>
      </c>
    </row>
    <row r="1501" spans="1:11" hidden="1">
      <c r="A1501" s="166" t="s">
        <v>4374</v>
      </c>
      <c r="B1501" s="166" t="s">
        <v>4375</v>
      </c>
      <c r="C1501" s="166" t="s">
        <v>1131</v>
      </c>
      <c r="D1501" s="166" t="s">
        <v>513</v>
      </c>
      <c r="E1501" s="166" t="s">
        <v>1132</v>
      </c>
      <c r="F1501" s="166" t="s">
        <v>1133</v>
      </c>
      <c r="G1501" s="166" t="s">
        <v>129</v>
      </c>
      <c r="H1501" s="166">
        <v>105</v>
      </c>
      <c r="I1501" s="166">
        <v>0</v>
      </c>
      <c r="J1501" s="166">
        <v>0</v>
      </c>
      <c r="K1501" s="166" t="str">
        <f t="shared" si="23"/>
        <v>INSTRUMENTSYNDCTD_CNTRCT_ID</v>
      </c>
    </row>
    <row r="1502" spans="1:11" hidden="1">
      <c r="A1502" s="166" t="s">
        <v>4376</v>
      </c>
      <c r="B1502" s="166" t="s">
        <v>4377</v>
      </c>
      <c r="C1502" s="166" t="s">
        <v>1131</v>
      </c>
      <c r="D1502" s="166" t="s">
        <v>513</v>
      </c>
      <c r="E1502" s="166" t="s">
        <v>1132</v>
      </c>
      <c r="F1502" s="166" t="s">
        <v>1133</v>
      </c>
      <c r="G1502" s="166" t="s">
        <v>129</v>
      </c>
      <c r="H1502" s="166">
        <v>378734</v>
      </c>
      <c r="I1502" s="166">
        <v>0</v>
      </c>
      <c r="J1502" s="166">
        <v>0</v>
      </c>
      <c r="K1502" s="166" t="str">
        <f t="shared" si="23"/>
        <v>INSTRUMENTSYNDCTD_CNTRCT_ID</v>
      </c>
    </row>
    <row r="1503" spans="1:11" hidden="1">
      <c r="A1503" s="166" t="s">
        <v>4378</v>
      </c>
      <c r="B1503" s="166" t="s">
        <v>4379</v>
      </c>
      <c r="C1503" s="166" t="s">
        <v>1131</v>
      </c>
      <c r="D1503" s="166" t="s">
        <v>514</v>
      </c>
      <c r="E1503" s="166" t="s">
        <v>1132</v>
      </c>
      <c r="F1503" s="166" t="s">
        <v>1133</v>
      </c>
      <c r="G1503" s="166" t="s">
        <v>129</v>
      </c>
      <c r="H1503" s="166">
        <v>100</v>
      </c>
      <c r="I1503" s="166">
        <v>0</v>
      </c>
      <c r="J1503" s="166">
        <v>0</v>
      </c>
      <c r="K1503" s="166" t="str">
        <f t="shared" si="23"/>
        <v>INSTRUMENTSYNDCTD_LNDRS</v>
      </c>
    </row>
    <row r="1504" spans="1:11" hidden="1">
      <c r="A1504" s="166" t="s">
        <v>4380</v>
      </c>
      <c r="B1504" s="166" t="s">
        <v>4381</v>
      </c>
      <c r="C1504" s="166" t="s">
        <v>1131</v>
      </c>
      <c r="D1504" s="166" t="s">
        <v>514</v>
      </c>
      <c r="E1504" s="166" t="s">
        <v>1132</v>
      </c>
      <c r="F1504" s="166" t="s">
        <v>1133</v>
      </c>
      <c r="G1504" s="166" t="s">
        <v>129</v>
      </c>
      <c r="H1504" s="166">
        <v>398119</v>
      </c>
      <c r="I1504" s="166">
        <v>0</v>
      </c>
      <c r="J1504" s="166">
        <v>0</v>
      </c>
      <c r="K1504" s="166" t="str">
        <f t="shared" si="23"/>
        <v>INSTRUMENTSYNDCTD_LNDRS</v>
      </c>
    </row>
    <row r="1505" spans="1:11" hidden="1">
      <c r="A1505" s="166" t="s">
        <v>4382</v>
      </c>
      <c r="B1505" s="166" t="s">
        <v>4383</v>
      </c>
      <c r="C1505" s="166" t="s">
        <v>1131</v>
      </c>
      <c r="D1505" s="166" t="s">
        <v>515</v>
      </c>
      <c r="E1505" s="166" t="s">
        <v>1132</v>
      </c>
      <c r="F1505" s="166" t="s">
        <v>1133</v>
      </c>
      <c r="G1505" s="166" t="s">
        <v>129</v>
      </c>
      <c r="H1505" s="166">
        <v>100</v>
      </c>
      <c r="I1505" s="166">
        <v>0</v>
      </c>
      <c r="J1505" s="166">
        <v>0</v>
      </c>
      <c r="K1505" s="166" t="str">
        <f t="shared" si="23"/>
        <v>INSTRUMENTSYNDCTD_SHR</v>
      </c>
    </row>
    <row r="1506" spans="1:11" hidden="1">
      <c r="A1506" s="166" t="s">
        <v>4384</v>
      </c>
      <c r="B1506" s="166" t="s">
        <v>4385</v>
      </c>
      <c r="C1506" s="166" t="s">
        <v>1131</v>
      </c>
      <c r="D1506" s="166" t="s">
        <v>515</v>
      </c>
      <c r="E1506" s="166" t="s">
        <v>1132</v>
      </c>
      <c r="F1506" s="166" t="s">
        <v>1133</v>
      </c>
      <c r="G1506" s="166" t="s">
        <v>129</v>
      </c>
      <c r="H1506" s="166">
        <v>398119</v>
      </c>
      <c r="I1506" s="166">
        <v>0</v>
      </c>
      <c r="J1506" s="166">
        <v>0</v>
      </c>
      <c r="K1506" s="166" t="str">
        <f t="shared" si="23"/>
        <v>INSTRUMENTSYNDCTD_SHR</v>
      </c>
    </row>
    <row r="1507" spans="1:11" hidden="1">
      <c r="A1507" s="166" t="s">
        <v>4386</v>
      </c>
      <c r="B1507" s="166" t="s">
        <v>4387</v>
      </c>
      <c r="C1507" s="166" t="s">
        <v>1131</v>
      </c>
      <c r="D1507" s="166" t="s">
        <v>516</v>
      </c>
      <c r="E1507" s="166" t="s">
        <v>1132</v>
      </c>
      <c r="F1507" s="166" t="s">
        <v>1133</v>
      </c>
      <c r="G1507" s="166" t="s">
        <v>129</v>
      </c>
      <c r="H1507" s="166">
        <v>79</v>
      </c>
      <c r="I1507" s="166">
        <v>0</v>
      </c>
      <c r="J1507" s="166">
        <v>0</v>
      </c>
      <c r="K1507" s="166" t="str">
        <f t="shared" si="23"/>
        <v>INSTRUMENTSYNDCTN_TYP</v>
      </c>
    </row>
    <row r="1508" spans="1:11" hidden="1">
      <c r="A1508" s="166" t="s">
        <v>4388</v>
      </c>
      <c r="B1508" s="166" t="s">
        <v>4389</v>
      </c>
      <c r="C1508" s="166" t="s">
        <v>1131</v>
      </c>
      <c r="D1508" s="166" t="s">
        <v>516</v>
      </c>
      <c r="E1508" s="166" t="s">
        <v>1132</v>
      </c>
      <c r="F1508" s="166" t="s">
        <v>1133</v>
      </c>
      <c r="G1508" s="166" t="s">
        <v>129</v>
      </c>
      <c r="H1508" s="166">
        <v>100</v>
      </c>
      <c r="I1508" s="166">
        <v>0</v>
      </c>
      <c r="J1508" s="166">
        <v>0</v>
      </c>
      <c r="K1508" s="166" t="str">
        <f t="shared" si="23"/>
        <v>INSTRUMENTSYNDCTN_TYP</v>
      </c>
    </row>
    <row r="1509" spans="1:11" hidden="1">
      <c r="A1509" s="166" t="s">
        <v>4390</v>
      </c>
      <c r="B1509" s="166" t="s">
        <v>4391</v>
      </c>
      <c r="C1509" s="166" t="s">
        <v>1131</v>
      </c>
      <c r="D1509" s="166" t="s">
        <v>516</v>
      </c>
      <c r="E1509" s="166" t="s">
        <v>1132</v>
      </c>
      <c r="F1509" s="166" t="s">
        <v>1133</v>
      </c>
      <c r="G1509" s="166" t="s">
        <v>129</v>
      </c>
      <c r="H1509" s="166">
        <v>398119</v>
      </c>
      <c r="I1509" s="166">
        <v>0</v>
      </c>
      <c r="J1509" s="166">
        <v>0</v>
      </c>
      <c r="K1509" s="166" t="str">
        <f t="shared" si="23"/>
        <v>INSTRUMENTSYNDCTN_TYP</v>
      </c>
    </row>
    <row r="1510" spans="1:11" hidden="1">
      <c r="A1510" s="166" t="s">
        <v>4392</v>
      </c>
      <c r="B1510" s="166" t="s">
        <v>4393</v>
      </c>
      <c r="C1510" s="166" t="s">
        <v>127</v>
      </c>
      <c r="D1510" s="166" t="s">
        <v>286</v>
      </c>
      <c r="E1510" s="166" t="s">
        <v>1132</v>
      </c>
      <c r="F1510" s="166" t="s">
        <v>1133</v>
      </c>
      <c r="G1510" s="166" t="s">
        <v>129</v>
      </c>
      <c r="H1510" s="166">
        <v>64</v>
      </c>
      <c r="I1510" s="166">
        <v>0</v>
      </c>
      <c r="J1510" s="166">
        <v>0</v>
      </c>
      <c r="K1510" s="166" t="str">
        <f t="shared" si="23"/>
        <v>INSTRUMENTDT_VLTN</v>
      </c>
    </row>
    <row r="1511" spans="1:11" hidden="1">
      <c r="A1511" s="166" t="s">
        <v>4394</v>
      </c>
      <c r="B1511" s="166" t="s">
        <v>4395</v>
      </c>
      <c r="C1511" s="166" t="s">
        <v>127</v>
      </c>
      <c r="D1511" s="166" t="s">
        <v>286</v>
      </c>
      <c r="E1511" s="166" t="s">
        <v>1132</v>
      </c>
      <c r="F1511" s="166" t="s">
        <v>1133</v>
      </c>
      <c r="G1511" s="166" t="s">
        <v>129</v>
      </c>
      <c r="H1511" s="166">
        <v>64</v>
      </c>
      <c r="I1511" s="166">
        <v>0</v>
      </c>
      <c r="J1511" s="166">
        <v>0</v>
      </c>
      <c r="K1511" s="166" t="str">
        <f t="shared" si="23"/>
        <v>INSTRUMENTDT_VLTN</v>
      </c>
    </row>
    <row r="1512" spans="1:11" hidden="1">
      <c r="A1512" s="166" t="s">
        <v>4396</v>
      </c>
      <c r="B1512" s="166" t="s">
        <v>4397</v>
      </c>
      <c r="C1512" s="166" t="s">
        <v>1131</v>
      </c>
      <c r="D1512" s="166" t="s">
        <v>343</v>
      </c>
      <c r="E1512" s="166" t="s">
        <v>1132</v>
      </c>
      <c r="F1512" s="166" t="s">
        <v>1133</v>
      </c>
      <c r="G1512" s="166" t="s">
        <v>129</v>
      </c>
      <c r="H1512" s="166">
        <v>480</v>
      </c>
      <c r="I1512" s="166">
        <v>0</v>
      </c>
      <c r="J1512" s="166">
        <v>0</v>
      </c>
      <c r="K1512" s="166" t="str">
        <f t="shared" si="23"/>
        <v>INSTRUMENTGRNTR_ID_TYP</v>
      </c>
    </row>
    <row r="1513" spans="1:11" hidden="1">
      <c r="A1513" s="166" t="s">
        <v>4398</v>
      </c>
      <c r="B1513" s="166" t="s">
        <v>4399</v>
      </c>
      <c r="C1513" s="166" t="s">
        <v>1131</v>
      </c>
      <c r="D1513" s="166" t="s">
        <v>455</v>
      </c>
      <c r="E1513" s="166" t="s">
        <v>1132</v>
      </c>
      <c r="F1513" s="166" t="s">
        <v>1133</v>
      </c>
      <c r="G1513" s="166" t="s">
        <v>129</v>
      </c>
      <c r="H1513" s="166">
        <v>0</v>
      </c>
      <c r="I1513" s="166">
        <v>0</v>
      </c>
      <c r="J1513" s="166">
        <v>0</v>
      </c>
      <c r="K1513" s="166" t="str">
        <f t="shared" si="23"/>
        <v>INSTRUMENTPRMRY_ASST_CLSSF</v>
      </c>
    </row>
    <row r="1514" spans="1:11" hidden="1">
      <c r="A1514" s="166" t="s">
        <v>4400</v>
      </c>
      <c r="B1514" s="166" t="s">
        <v>4401</v>
      </c>
      <c r="C1514" s="166" t="s">
        <v>1131</v>
      </c>
      <c r="D1514" s="166" t="s">
        <v>507</v>
      </c>
      <c r="E1514" s="166" t="s">
        <v>1132</v>
      </c>
      <c r="F1514" s="166" t="s">
        <v>1133</v>
      </c>
      <c r="G1514" s="166" t="s">
        <v>129</v>
      </c>
      <c r="H1514" s="166">
        <v>1153180</v>
      </c>
      <c r="I1514" s="166">
        <v>0</v>
      </c>
      <c r="J1514" s="166">
        <v>0</v>
      </c>
      <c r="K1514" s="166" t="str">
        <f t="shared" si="23"/>
        <v>INSTRUMENTSPRD</v>
      </c>
    </row>
    <row r="1515" spans="1:11" hidden="1">
      <c r="A1515" s="166" t="s">
        <v>4402</v>
      </c>
      <c r="B1515" s="166" t="s">
        <v>4403</v>
      </c>
      <c r="C1515" s="166" t="s">
        <v>1131</v>
      </c>
      <c r="D1515" s="166" t="s">
        <v>507</v>
      </c>
      <c r="E1515" s="166" t="s">
        <v>1132</v>
      </c>
      <c r="F1515" s="166" t="s">
        <v>1133</v>
      </c>
      <c r="G1515" s="166" t="s">
        <v>1134</v>
      </c>
      <c r="H1515" s="166">
        <v>704433</v>
      </c>
      <c r="I1515" s="166">
        <v>704028</v>
      </c>
      <c r="J1515" s="166">
        <v>99.942499999999995</v>
      </c>
      <c r="K1515" s="166" t="str">
        <f t="shared" si="23"/>
        <v>INSTRUMENTSPRD</v>
      </c>
    </row>
    <row r="1516" spans="1:11" hidden="1">
      <c r="A1516" s="166" t="s">
        <v>4404</v>
      </c>
      <c r="B1516" s="166" t="s">
        <v>4405</v>
      </c>
      <c r="C1516" s="166" t="s">
        <v>1142</v>
      </c>
      <c r="D1516" s="166" t="s">
        <v>407</v>
      </c>
      <c r="E1516" s="166" t="s">
        <v>1132</v>
      </c>
      <c r="F1516" s="166" t="s">
        <v>1133</v>
      </c>
      <c r="G1516" s="166" t="s">
        <v>1134</v>
      </c>
      <c r="H1516" s="166">
        <v>1</v>
      </c>
      <c r="I1516" s="166">
        <v>1</v>
      </c>
      <c r="J1516" s="166">
        <v>100</v>
      </c>
      <c r="K1516" s="166" t="str">
        <f t="shared" si="23"/>
        <v>INSTRUMENTLVRG_FNNC_FLG</v>
      </c>
    </row>
    <row r="1517" spans="1:11" hidden="1">
      <c r="A1517" s="166" t="s">
        <v>4406</v>
      </c>
      <c r="B1517" s="166" t="s">
        <v>4407</v>
      </c>
      <c r="C1517" s="166" t="s">
        <v>1160</v>
      </c>
      <c r="D1517" s="166" t="s">
        <v>407</v>
      </c>
      <c r="E1517" s="166" t="s">
        <v>1132</v>
      </c>
      <c r="F1517" s="166" t="s">
        <v>1133</v>
      </c>
      <c r="G1517" s="166" t="s">
        <v>1134</v>
      </c>
      <c r="H1517" s="166">
        <v>27353</v>
      </c>
      <c r="I1517" s="166">
        <v>4</v>
      </c>
      <c r="J1517" s="166">
        <v>1.46E-2</v>
      </c>
      <c r="K1517" s="166" t="str">
        <f t="shared" si="23"/>
        <v>INSTRUMENTLVRG_FNNC_FLG</v>
      </c>
    </row>
    <row r="1518" spans="1:11" hidden="1">
      <c r="A1518" s="166" t="s">
        <v>4408</v>
      </c>
      <c r="B1518" s="166" t="s">
        <v>4409</v>
      </c>
      <c r="C1518" s="166" t="s">
        <v>1131</v>
      </c>
      <c r="D1518" s="166" t="s">
        <v>407</v>
      </c>
      <c r="E1518" s="166" t="s">
        <v>1132</v>
      </c>
      <c r="F1518" s="166" t="s">
        <v>1133</v>
      </c>
      <c r="G1518" s="166" t="s">
        <v>1134</v>
      </c>
      <c r="H1518" s="166">
        <v>267410</v>
      </c>
      <c r="I1518" s="166">
        <v>12</v>
      </c>
      <c r="J1518" s="166">
        <v>4.4999999999999997E-3</v>
      </c>
      <c r="K1518" s="166" t="str">
        <f t="shared" si="23"/>
        <v>INSTRUMENTLVRG_FNNC_FLG</v>
      </c>
    </row>
    <row r="1519" spans="1:11" hidden="1">
      <c r="A1519" s="166" t="s">
        <v>4410</v>
      </c>
      <c r="B1519" s="166" t="s">
        <v>4411</v>
      </c>
      <c r="C1519" s="166" t="s">
        <v>1160</v>
      </c>
      <c r="D1519" s="166" t="s">
        <v>407</v>
      </c>
      <c r="E1519" s="166" t="s">
        <v>1132</v>
      </c>
      <c r="F1519" s="166" t="s">
        <v>1133</v>
      </c>
      <c r="G1519" s="166" t="s">
        <v>129</v>
      </c>
      <c r="H1519" s="166">
        <v>128</v>
      </c>
      <c r="I1519" s="166">
        <v>0</v>
      </c>
      <c r="J1519" s="166">
        <v>0</v>
      </c>
      <c r="K1519" s="166" t="str">
        <f t="shared" si="23"/>
        <v>INSTRUMENTLVRG_FNNC_FLG</v>
      </c>
    </row>
    <row r="1520" spans="1:11" hidden="1">
      <c r="A1520" s="166" t="s">
        <v>4412</v>
      </c>
      <c r="B1520" s="166" t="s">
        <v>4413</v>
      </c>
      <c r="C1520" s="166" t="s">
        <v>1392</v>
      </c>
      <c r="D1520" s="166" t="s">
        <v>407</v>
      </c>
      <c r="E1520" s="166" t="s">
        <v>1132</v>
      </c>
      <c r="F1520" s="166" t="s">
        <v>1133</v>
      </c>
      <c r="G1520" s="166" t="s">
        <v>1134</v>
      </c>
      <c r="H1520" s="166">
        <v>83627</v>
      </c>
      <c r="I1520" s="166">
        <v>14</v>
      </c>
      <c r="J1520" s="166">
        <v>1.67E-2</v>
      </c>
      <c r="K1520" s="166" t="str">
        <f t="shared" si="23"/>
        <v>INSTRUMENTLVRG_FNNC_FLG</v>
      </c>
    </row>
    <row r="1521" spans="1:11" hidden="1">
      <c r="A1521" s="166" t="s">
        <v>4414</v>
      </c>
      <c r="B1521" s="166" t="s">
        <v>4415</v>
      </c>
      <c r="C1521" s="166" t="s">
        <v>1131</v>
      </c>
      <c r="D1521" s="166" t="s">
        <v>407</v>
      </c>
      <c r="E1521" s="166" t="s">
        <v>1132</v>
      </c>
      <c r="F1521" s="166" t="s">
        <v>1133</v>
      </c>
      <c r="G1521" s="166" t="s">
        <v>129</v>
      </c>
      <c r="H1521" s="166">
        <v>31770</v>
      </c>
      <c r="I1521" s="166">
        <v>0</v>
      </c>
      <c r="J1521" s="166">
        <v>0</v>
      </c>
      <c r="K1521" s="166" t="str">
        <f t="shared" si="23"/>
        <v>INSTRUMENTLVRG_FNNC_FLG</v>
      </c>
    </row>
    <row r="1522" spans="1:11" hidden="1">
      <c r="A1522" s="166" t="s">
        <v>4416</v>
      </c>
      <c r="B1522" s="166" t="s">
        <v>4417</v>
      </c>
      <c r="C1522" s="166" t="s">
        <v>1142</v>
      </c>
      <c r="D1522" s="166" t="s">
        <v>407</v>
      </c>
      <c r="E1522" s="166" t="s">
        <v>1132</v>
      </c>
      <c r="F1522" s="166" t="s">
        <v>1133</v>
      </c>
      <c r="G1522" s="166" t="s">
        <v>1134</v>
      </c>
      <c r="H1522" s="166">
        <v>231</v>
      </c>
      <c r="I1522" s="166">
        <v>227</v>
      </c>
      <c r="J1522" s="166">
        <v>98.2684</v>
      </c>
      <c r="K1522" s="166" t="str">
        <f t="shared" si="23"/>
        <v>INSTRUMENTLVRG_FNNC_FLG</v>
      </c>
    </row>
    <row r="1523" spans="1:11" hidden="1">
      <c r="A1523" s="166" t="s">
        <v>4418</v>
      </c>
      <c r="B1523" s="166" t="s">
        <v>4419</v>
      </c>
      <c r="C1523" s="166" t="s">
        <v>1131</v>
      </c>
      <c r="D1523" s="166" t="s">
        <v>198</v>
      </c>
      <c r="E1523" s="166" t="s">
        <v>1132</v>
      </c>
      <c r="F1523" s="166" t="s">
        <v>1133</v>
      </c>
      <c r="G1523" s="166" t="s">
        <v>129</v>
      </c>
      <c r="H1523" s="166">
        <v>152693</v>
      </c>
      <c r="I1523" s="166">
        <v>0</v>
      </c>
      <c r="J1523" s="166">
        <v>0</v>
      </c>
      <c r="K1523" s="166" t="str">
        <f t="shared" si="23"/>
        <v>INSTRUMENTCRRLTN_CFFCNT</v>
      </c>
    </row>
    <row r="1524" spans="1:11" hidden="1">
      <c r="A1524" s="166" t="s">
        <v>4420</v>
      </c>
      <c r="B1524" s="166" t="s">
        <v>4421</v>
      </c>
      <c r="C1524" s="166" t="s">
        <v>1131</v>
      </c>
      <c r="D1524" s="166" t="s">
        <v>198</v>
      </c>
      <c r="E1524" s="166" t="s">
        <v>1132</v>
      </c>
      <c r="F1524" s="166" t="s">
        <v>1133</v>
      </c>
      <c r="G1524" s="166" t="s">
        <v>1134</v>
      </c>
      <c r="H1524" s="166">
        <v>247821</v>
      </c>
      <c r="I1524" s="166">
        <v>247821</v>
      </c>
      <c r="J1524" s="166">
        <v>100</v>
      </c>
      <c r="K1524" s="166" t="str">
        <f t="shared" si="23"/>
        <v>INSTRUMENTCRRLTN_CFFCNT</v>
      </c>
    </row>
    <row r="1525" spans="1:11" hidden="1">
      <c r="A1525" s="166" t="s">
        <v>4422</v>
      </c>
      <c r="B1525" s="166" t="s">
        <v>4423</v>
      </c>
      <c r="C1525" s="166" t="s">
        <v>127</v>
      </c>
      <c r="D1525" s="166" t="s">
        <v>198</v>
      </c>
      <c r="E1525" s="166" t="s">
        <v>1132</v>
      </c>
      <c r="F1525" s="166" t="s">
        <v>1133</v>
      </c>
      <c r="G1525" s="166" t="s">
        <v>1134</v>
      </c>
      <c r="H1525" s="166">
        <v>23657</v>
      </c>
      <c r="I1525" s="166">
        <v>15</v>
      </c>
      <c r="J1525" s="166">
        <v>6.3399999999999998E-2</v>
      </c>
      <c r="K1525" s="166" t="str">
        <f t="shared" si="23"/>
        <v>INSTRUMENTCRRLTN_CFFCNT</v>
      </c>
    </row>
    <row r="1526" spans="1:11" hidden="1">
      <c r="A1526" s="166" t="s">
        <v>4424</v>
      </c>
      <c r="B1526" s="166" t="s">
        <v>4425</v>
      </c>
      <c r="C1526" s="166" t="s">
        <v>1131</v>
      </c>
      <c r="D1526" s="166" t="s">
        <v>381</v>
      </c>
      <c r="E1526" s="166" t="s">
        <v>1132</v>
      </c>
      <c r="F1526" s="166" t="s">
        <v>1133</v>
      </c>
      <c r="G1526" s="166" t="s">
        <v>129</v>
      </c>
      <c r="H1526" s="166">
        <v>486</v>
      </c>
      <c r="I1526" s="166">
        <v>0</v>
      </c>
      <c r="J1526" s="166">
        <v>0</v>
      </c>
      <c r="K1526" s="166" t="str">
        <f t="shared" si="23"/>
        <v>INSTRUMENTISIN_SCRTSTN</v>
      </c>
    </row>
    <row r="1527" spans="1:11" hidden="1">
      <c r="A1527" s="166" t="s">
        <v>4426</v>
      </c>
      <c r="B1527" s="166" t="s">
        <v>4427</v>
      </c>
      <c r="C1527" s="166" t="s">
        <v>127</v>
      </c>
      <c r="D1527" s="166" t="s">
        <v>381</v>
      </c>
      <c r="E1527" s="166" t="s">
        <v>1132</v>
      </c>
      <c r="F1527" s="166" t="s">
        <v>1133</v>
      </c>
      <c r="G1527" s="166" t="s">
        <v>129</v>
      </c>
      <c r="H1527" s="166">
        <v>0</v>
      </c>
      <c r="I1527" s="166">
        <v>0</v>
      </c>
      <c r="J1527" s="166">
        <v>0</v>
      </c>
      <c r="K1527" s="166" t="str">
        <f t="shared" si="23"/>
        <v>INSTRUMENTISIN_SCRTSTN</v>
      </c>
    </row>
    <row r="1528" spans="1:11" hidden="1">
      <c r="A1528" s="166" t="s">
        <v>4428</v>
      </c>
      <c r="B1528" s="166" t="s">
        <v>4429</v>
      </c>
      <c r="C1528" s="166" t="s">
        <v>1131</v>
      </c>
      <c r="D1528" s="166" t="s">
        <v>2276</v>
      </c>
      <c r="E1528" s="166" t="s">
        <v>1132</v>
      </c>
      <c r="F1528" s="166" t="s">
        <v>1133</v>
      </c>
      <c r="G1528" s="166" t="s">
        <v>129</v>
      </c>
      <c r="H1528" s="166">
        <v>0</v>
      </c>
      <c r="I1528" s="166">
        <v>0</v>
      </c>
      <c r="J1528" s="166">
        <v>0</v>
      </c>
      <c r="K1528" s="166" t="str">
        <f t="shared" si="23"/>
        <v>INSTRUMENTGRSS_INTRST_INCM</v>
      </c>
    </row>
    <row r="1529" spans="1:11" hidden="1">
      <c r="A1529" s="166" t="s">
        <v>4430</v>
      </c>
      <c r="B1529" s="166" t="s">
        <v>4431</v>
      </c>
      <c r="C1529" s="166" t="s">
        <v>1131</v>
      </c>
      <c r="D1529" s="166" t="s">
        <v>2276</v>
      </c>
      <c r="E1529" s="166" t="s">
        <v>1132</v>
      </c>
      <c r="F1529" s="166" t="s">
        <v>1133</v>
      </c>
      <c r="G1529" s="166" t="s">
        <v>129</v>
      </c>
      <c r="H1529" s="166">
        <v>0</v>
      </c>
      <c r="I1529" s="166">
        <v>0</v>
      </c>
      <c r="J1529" s="166">
        <v>0</v>
      </c>
      <c r="K1529" s="166" t="str">
        <f t="shared" si="23"/>
        <v>INSTRUMENTGRSS_INTRST_INCM</v>
      </c>
    </row>
    <row r="1530" spans="1:11" hidden="1">
      <c r="A1530" s="166" t="s">
        <v>4432</v>
      </c>
      <c r="B1530" s="166" t="s">
        <v>4433</v>
      </c>
      <c r="C1530" s="166" t="s">
        <v>1131</v>
      </c>
      <c r="D1530" s="166" t="s">
        <v>2276</v>
      </c>
      <c r="E1530" s="166" t="s">
        <v>1132</v>
      </c>
      <c r="F1530" s="166" t="s">
        <v>1133</v>
      </c>
      <c r="G1530" s="166" t="s">
        <v>1134</v>
      </c>
      <c r="H1530" s="166">
        <v>267616</v>
      </c>
      <c r="I1530" s="166">
        <v>41924</v>
      </c>
      <c r="J1530" s="166">
        <v>15.665699999999999</v>
      </c>
      <c r="K1530" s="166" t="str">
        <f t="shared" si="23"/>
        <v>INSTRUMENTGRSS_INTRST_INCM</v>
      </c>
    </row>
    <row r="1531" spans="1:11" hidden="1">
      <c r="A1531" s="166" t="s">
        <v>4434</v>
      </c>
      <c r="B1531" s="166" t="s">
        <v>4435</v>
      </c>
      <c r="C1531" s="166" t="s">
        <v>1131</v>
      </c>
      <c r="D1531" s="166" t="s">
        <v>2279</v>
      </c>
      <c r="E1531" s="166" t="s">
        <v>1132</v>
      </c>
      <c r="F1531" s="166" t="s">
        <v>1133</v>
      </c>
      <c r="G1531" s="166" t="s">
        <v>129</v>
      </c>
      <c r="H1531" s="166">
        <v>0</v>
      </c>
      <c r="I1531" s="166">
        <v>0</v>
      </c>
      <c r="J1531" s="166">
        <v>0</v>
      </c>
      <c r="K1531" s="166" t="str">
        <f t="shared" si="23"/>
        <v>INSTRUMENTGRSS_CMMSSN_INCM</v>
      </c>
    </row>
    <row r="1532" spans="1:11" hidden="1">
      <c r="A1532" s="166" t="s">
        <v>4436</v>
      </c>
      <c r="B1532" s="166" t="s">
        <v>4437</v>
      </c>
      <c r="C1532" s="166" t="s">
        <v>1131</v>
      </c>
      <c r="D1532" s="166" t="s">
        <v>2279</v>
      </c>
      <c r="E1532" s="166" t="s">
        <v>1132</v>
      </c>
      <c r="F1532" s="166" t="s">
        <v>1133</v>
      </c>
      <c r="G1532" s="166" t="s">
        <v>129</v>
      </c>
      <c r="H1532" s="166">
        <v>0</v>
      </c>
      <c r="I1532" s="166">
        <v>0</v>
      </c>
      <c r="J1532" s="166">
        <v>0</v>
      </c>
      <c r="K1532" s="166" t="str">
        <f t="shared" si="23"/>
        <v>INSTRUMENTGRSS_CMMSSN_INCM</v>
      </c>
    </row>
    <row r="1533" spans="1:11" hidden="1">
      <c r="A1533" s="166" t="s">
        <v>4438</v>
      </c>
      <c r="B1533" s="166" t="s">
        <v>4439</v>
      </c>
      <c r="C1533" s="166" t="s">
        <v>1131</v>
      </c>
      <c r="D1533" s="166" t="s">
        <v>2279</v>
      </c>
      <c r="E1533" s="166" t="s">
        <v>1132</v>
      </c>
      <c r="F1533" s="166" t="s">
        <v>1133</v>
      </c>
      <c r="G1533" s="166" t="s">
        <v>129</v>
      </c>
      <c r="H1533" s="166">
        <v>267616</v>
      </c>
      <c r="I1533" s="166">
        <v>0</v>
      </c>
      <c r="J1533" s="166">
        <v>0</v>
      </c>
      <c r="K1533" s="166" t="str">
        <f t="shared" si="23"/>
        <v>INSTRUMENTGRSS_CMMSSN_INCM</v>
      </c>
    </row>
    <row r="1534" spans="1:11" hidden="1">
      <c r="A1534" s="166" t="s">
        <v>4440</v>
      </c>
      <c r="B1534" s="166" t="s">
        <v>4441</v>
      </c>
      <c r="C1534" s="166" t="s">
        <v>1131</v>
      </c>
      <c r="D1534" s="166" t="s">
        <v>2279</v>
      </c>
      <c r="E1534" s="166" t="s">
        <v>1132</v>
      </c>
      <c r="F1534" s="166" t="s">
        <v>1133</v>
      </c>
      <c r="G1534" s="166" t="s">
        <v>129</v>
      </c>
      <c r="H1534" s="166">
        <v>0</v>
      </c>
      <c r="I1534" s="166">
        <v>0</v>
      </c>
      <c r="J1534" s="166">
        <v>0</v>
      </c>
      <c r="K1534" s="166" t="str">
        <f t="shared" si="23"/>
        <v>INSTRUMENTGRSS_CMMSSN_INCM</v>
      </c>
    </row>
    <row r="1535" spans="1:11" hidden="1">
      <c r="A1535" s="166" t="s">
        <v>4442</v>
      </c>
      <c r="B1535" s="166" t="s">
        <v>4443</v>
      </c>
      <c r="C1535" s="166" t="s">
        <v>1131</v>
      </c>
      <c r="D1535" s="166" t="s">
        <v>2279</v>
      </c>
      <c r="E1535" s="166" t="s">
        <v>1132</v>
      </c>
      <c r="F1535" s="166" t="s">
        <v>1133</v>
      </c>
      <c r="G1535" s="166" t="s">
        <v>129</v>
      </c>
      <c r="H1535" s="166">
        <v>0</v>
      </c>
      <c r="I1535" s="166">
        <v>0</v>
      </c>
      <c r="J1535" s="166">
        <v>0</v>
      </c>
      <c r="K1535" s="166" t="str">
        <f t="shared" si="23"/>
        <v>INSTRUMENTGRSS_CMMSSN_INCM</v>
      </c>
    </row>
    <row r="1536" spans="1:11" hidden="1">
      <c r="A1536" s="166" t="s">
        <v>4444</v>
      </c>
      <c r="B1536" s="166" t="s">
        <v>4445</v>
      </c>
      <c r="C1536" s="166" t="s">
        <v>1131</v>
      </c>
      <c r="D1536" s="166" t="s">
        <v>2282</v>
      </c>
      <c r="E1536" s="166" t="s">
        <v>1132</v>
      </c>
      <c r="F1536" s="166" t="s">
        <v>1133</v>
      </c>
      <c r="G1536" s="166" t="s">
        <v>1134</v>
      </c>
      <c r="H1536" s="166">
        <v>2136761</v>
      </c>
      <c r="I1536" s="166">
        <v>57507</v>
      </c>
      <c r="J1536" s="166">
        <v>2.6913</v>
      </c>
      <c r="K1536" s="166" t="str">
        <f t="shared" si="23"/>
        <v>INSTRUMENTINTRNL_TRNSFR_RT</v>
      </c>
    </row>
    <row r="1537" spans="1:11" hidden="1">
      <c r="A1537" s="166" t="s">
        <v>4446</v>
      </c>
      <c r="B1537" s="166" t="s">
        <v>4447</v>
      </c>
      <c r="C1537" s="166" t="s">
        <v>1131</v>
      </c>
      <c r="D1537" s="166" t="s">
        <v>1442</v>
      </c>
      <c r="E1537" s="166" t="s">
        <v>1132</v>
      </c>
      <c r="F1537" s="166" t="s">
        <v>1133</v>
      </c>
      <c r="G1537" s="166" t="s">
        <v>1134</v>
      </c>
      <c r="H1537" s="166">
        <v>21619</v>
      </c>
      <c r="I1537" s="166">
        <v>2210</v>
      </c>
      <c r="J1537" s="166">
        <v>10.2225</v>
      </c>
      <c r="K1537" s="166" t="str">
        <f t="shared" si="23"/>
        <v>INSTRUMENTMNGMNT_PRDCT</v>
      </c>
    </row>
    <row r="1538" spans="1:11" hidden="1">
      <c r="A1538" s="166" t="s">
        <v>4448</v>
      </c>
      <c r="B1538" s="166" t="s">
        <v>4449</v>
      </c>
      <c r="C1538" s="166" t="s">
        <v>1131</v>
      </c>
      <c r="D1538" s="166" t="s">
        <v>1442</v>
      </c>
      <c r="E1538" s="166" t="s">
        <v>1132</v>
      </c>
      <c r="F1538" s="166" t="s">
        <v>1133</v>
      </c>
      <c r="G1538" s="166" t="s">
        <v>1134</v>
      </c>
      <c r="H1538" s="166">
        <v>246002</v>
      </c>
      <c r="I1538" s="166">
        <v>244087</v>
      </c>
      <c r="J1538" s="166">
        <v>99.221599999999995</v>
      </c>
      <c r="K1538" s="166" t="str">
        <f t="shared" si="23"/>
        <v>INSTRUMENTMNGMNT_PRDCT</v>
      </c>
    </row>
    <row r="1539" spans="1:11" hidden="1">
      <c r="A1539" s="166" t="s">
        <v>4450</v>
      </c>
      <c r="B1539" s="166" t="s">
        <v>4451</v>
      </c>
      <c r="C1539" s="166" t="s">
        <v>1131</v>
      </c>
      <c r="D1539" s="166" t="s">
        <v>1442</v>
      </c>
      <c r="E1539" s="166" t="s">
        <v>1132</v>
      </c>
      <c r="F1539" s="166" t="s">
        <v>1133</v>
      </c>
      <c r="G1539" s="166" t="s">
        <v>1134</v>
      </c>
      <c r="H1539" s="166">
        <v>1871340</v>
      </c>
      <c r="I1539" s="166">
        <v>276</v>
      </c>
      <c r="J1539" s="166">
        <v>1.47E-2</v>
      </c>
      <c r="K1539" s="166" t="str">
        <f t="shared" ref="K1539:K1602" si="24">_xlfn.CONCAT(_xlfn.IFS(ISNUMBER(SEARCH("EN",A1539)),"ENTITY",ISNUMBER(SEARCH("IN",A1539)),"INSTRUMENT",ISNUMBER(SEARCH("PR",A1539)),"PROTECTION",ISNUMBER(SEARCH("IP",A1539)),"INSTR_PROTECTION",ISNUMBER(SEARCH("IE",A1539)),"INSTR_ENTITY",ISNUMBER(SEARCH("AC",A1539)),"INSTR_ACTIVITY"),D1539)</f>
        <v>INSTRUMENTMNGMNT_PRDCT</v>
      </c>
    </row>
    <row r="1540" spans="1:11" hidden="1">
      <c r="A1540" s="166" t="s">
        <v>4452</v>
      </c>
      <c r="B1540" s="166" t="s">
        <v>4453</v>
      </c>
      <c r="C1540" s="166" t="s">
        <v>1131</v>
      </c>
      <c r="D1540" s="166" t="s">
        <v>2292</v>
      </c>
      <c r="E1540" s="166" t="s">
        <v>1132</v>
      </c>
      <c r="F1540" s="166" t="s">
        <v>1133</v>
      </c>
      <c r="G1540" s="166" t="s">
        <v>129</v>
      </c>
      <c r="H1540" s="166">
        <v>0</v>
      </c>
      <c r="I1540" s="166">
        <v>0</v>
      </c>
      <c r="J1540" s="166">
        <v>0</v>
      </c>
      <c r="K1540" s="166" t="str">
        <f t="shared" si="24"/>
        <v>INSTRUMENTGRSS_CMMSSN_EXPNS</v>
      </c>
    </row>
    <row r="1541" spans="1:11" hidden="1">
      <c r="A1541" s="166" t="s">
        <v>4454</v>
      </c>
      <c r="B1541" s="166" t="s">
        <v>4455</v>
      </c>
      <c r="C1541" s="166" t="s">
        <v>1131</v>
      </c>
      <c r="D1541" s="166" t="s">
        <v>2292</v>
      </c>
      <c r="E1541" s="166" t="s">
        <v>1132</v>
      </c>
      <c r="F1541" s="166" t="s">
        <v>1133</v>
      </c>
      <c r="G1541" s="166" t="s">
        <v>129</v>
      </c>
      <c r="H1541" s="166">
        <v>0</v>
      </c>
      <c r="I1541" s="166">
        <v>0</v>
      </c>
      <c r="J1541" s="166">
        <v>0</v>
      </c>
      <c r="K1541" s="166" t="str">
        <f t="shared" si="24"/>
        <v>INSTRUMENTGRSS_CMMSSN_EXPNS</v>
      </c>
    </row>
    <row r="1542" spans="1:11" hidden="1">
      <c r="A1542" s="166" t="s">
        <v>4456</v>
      </c>
      <c r="B1542" s="166" t="s">
        <v>4457</v>
      </c>
      <c r="C1542" s="166" t="s">
        <v>1131</v>
      </c>
      <c r="D1542" s="166" t="s">
        <v>2292</v>
      </c>
      <c r="E1542" s="166" t="s">
        <v>1132</v>
      </c>
      <c r="F1542" s="166" t="s">
        <v>1133</v>
      </c>
      <c r="G1542" s="166" t="s">
        <v>129</v>
      </c>
      <c r="H1542" s="166">
        <v>267616</v>
      </c>
      <c r="I1542" s="166">
        <v>0</v>
      </c>
      <c r="J1542" s="166">
        <v>0</v>
      </c>
      <c r="K1542" s="166" t="str">
        <f t="shared" si="24"/>
        <v>INSTRUMENTGRSS_CMMSSN_EXPNS</v>
      </c>
    </row>
    <row r="1543" spans="1:11" hidden="1">
      <c r="A1543" s="166" t="s">
        <v>4458</v>
      </c>
      <c r="B1543" s="166" t="s">
        <v>4459</v>
      </c>
      <c r="C1543" s="166" t="s">
        <v>1131</v>
      </c>
      <c r="D1543" s="166" t="s">
        <v>2295</v>
      </c>
      <c r="E1543" s="166" t="s">
        <v>1132</v>
      </c>
      <c r="F1543" s="166" t="s">
        <v>1133</v>
      </c>
      <c r="G1543" s="166" t="s">
        <v>129</v>
      </c>
      <c r="H1543" s="166">
        <v>0</v>
      </c>
      <c r="I1543" s="166">
        <v>0</v>
      </c>
      <c r="J1543" s="166">
        <v>0</v>
      </c>
      <c r="K1543" s="166" t="str">
        <f t="shared" si="24"/>
        <v>INSTRUMENTGNS_FNNCL_TRNSCTN_EXCHNG_DFFRNCS</v>
      </c>
    </row>
    <row r="1544" spans="1:11" hidden="1">
      <c r="A1544" s="166" t="s">
        <v>4460</v>
      </c>
      <c r="B1544" s="166" t="s">
        <v>4461</v>
      </c>
      <c r="C1544" s="166" t="s">
        <v>1131</v>
      </c>
      <c r="D1544" s="166" t="s">
        <v>2295</v>
      </c>
      <c r="E1544" s="166" t="s">
        <v>1132</v>
      </c>
      <c r="F1544" s="166" t="s">
        <v>1133</v>
      </c>
      <c r="G1544" s="166" t="s">
        <v>129</v>
      </c>
      <c r="H1544" s="166">
        <v>0</v>
      </c>
      <c r="I1544" s="166">
        <v>0</v>
      </c>
      <c r="J1544" s="166">
        <v>0</v>
      </c>
      <c r="K1544" s="166" t="str">
        <f t="shared" si="24"/>
        <v>INSTRUMENTGNS_FNNCL_TRNSCTN_EXCHNG_DFFRNCS</v>
      </c>
    </row>
    <row r="1545" spans="1:11" hidden="1">
      <c r="A1545" s="166" t="s">
        <v>4462</v>
      </c>
      <c r="B1545" s="166" t="s">
        <v>4463</v>
      </c>
      <c r="C1545" s="166" t="s">
        <v>1131</v>
      </c>
      <c r="D1545" s="166" t="s">
        <v>2295</v>
      </c>
      <c r="E1545" s="166" t="s">
        <v>1132</v>
      </c>
      <c r="F1545" s="166" t="s">
        <v>1133</v>
      </c>
      <c r="G1545" s="166" t="s">
        <v>129</v>
      </c>
      <c r="H1545" s="166">
        <v>267616</v>
      </c>
      <c r="I1545" s="166">
        <v>0</v>
      </c>
      <c r="J1545" s="166">
        <v>0</v>
      </c>
      <c r="K1545" s="166" t="str">
        <f t="shared" si="24"/>
        <v>INSTRUMENTGNS_FNNCL_TRNSCTN_EXCHNG_DFFRNCS</v>
      </c>
    </row>
    <row r="1546" spans="1:11" hidden="1">
      <c r="A1546" s="166" t="s">
        <v>4464</v>
      </c>
      <c r="B1546" s="166" t="s">
        <v>4465</v>
      </c>
      <c r="C1546" s="166" t="s">
        <v>1131</v>
      </c>
      <c r="D1546" s="166" t="s">
        <v>2300</v>
      </c>
      <c r="E1546" s="166" t="s">
        <v>1132</v>
      </c>
      <c r="F1546" s="166" t="s">
        <v>1133</v>
      </c>
      <c r="G1546" s="166" t="s">
        <v>129</v>
      </c>
      <c r="H1546" s="166">
        <v>2138963</v>
      </c>
      <c r="I1546" s="166">
        <v>0</v>
      </c>
      <c r="J1546" s="166">
        <v>0</v>
      </c>
      <c r="K1546" s="166" t="str">
        <f t="shared" si="24"/>
        <v>INSTRUMENTINTRBSNSS_ADJ_COD</v>
      </c>
    </row>
    <row r="1547" spans="1:11" hidden="1">
      <c r="A1547" s="166" t="s">
        <v>4466</v>
      </c>
      <c r="B1547" s="166" t="s">
        <v>4467</v>
      </c>
      <c r="C1547" s="166" t="s">
        <v>1131</v>
      </c>
      <c r="D1547" s="166" t="s">
        <v>2300</v>
      </c>
      <c r="E1547" s="166" t="s">
        <v>1132</v>
      </c>
      <c r="F1547" s="166" t="s">
        <v>1133</v>
      </c>
      <c r="G1547" s="166" t="s">
        <v>129</v>
      </c>
      <c r="H1547" s="166">
        <v>0</v>
      </c>
      <c r="I1547" s="166">
        <v>0</v>
      </c>
      <c r="J1547" s="166">
        <v>0</v>
      </c>
      <c r="K1547" s="166" t="str">
        <f t="shared" si="24"/>
        <v>INSTRUMENTINTRBSNSS_ADJ_COD</v>
      </c>
    </row>
    <row r="1548" spans="1:11" hidden="1">
      <c r="A1548" s="166" t="s">
        <v>4468</v>
      </c>
      <c r="B1548" s="166" t="s">
        <v>4469</v>
      </c>
      <c r="C1548" s="166" t="s">
        <v>1131</v>
      </c>
      <c r="D1548" s="166" t="s">
        <v>2303</v>
      </c>
      <c r="E1548" s="166" t="s">
        <v>1132</v>
      </c>
      <c r="F1548" s="166" t="s">
        <v>1133</v>
      </c>
      <c r="G1548" s="166" t="s">
        <v>129</v>
      </c>
      <c r="H1548" s="166">
        <v>2138963</v>
      </c>
      <c r="I1548" s="166">
        <v>0</v>
      </c>
      <c r="J1548" s="166">
        <v>0</v>
      </c>
      <c r="K1548" s="166" t="str">
        <f t="shared" si="24"/>
        <v>INSTRUMENTCOD_SOC_DSTNTN</v>
      </c>
    </row>
    <row r="1549" spans="1:11" hidden="1">
      <c r="A1549" s="166" t="s">
        <v>4470</v>
      </c>
      <c r="B1549" s="166" t="s">
        <v>4471</v>
      </c>
      <c r="C1549" s="166" t="s">
        <v>1131</v>
      </c>
      <c r="D1549" s="166" t="s">
        <v>2303</v>
      </c>
      <c r="E1549" s="166" t="s">
        <v>1132</v>
      </c>
      <c r="F1549" s="166" t="s">
        <v>1133</v>
      </c>
      <c r="G1549" s="166" t="s">
        <v>129</v>
      </c>
      <c r="H1549" s="166">
        <v>0</v>
      </c>
      <c r="I1549" s="166">
        <v>0</v>
      </c>
      <c r="J1549" s="166">
        <v>0</v>
      </c>
      <c r="K1549" s="166" t="str">
        <f t="shared" si="24"/>
        <v>INSTRUMENTCOD_SOC_DSTNTN</v>
      </c>
    </row>
    <row r="1550" spans="1:11" hidden="1">
      <c r="A1550" s="166" t="s">
        <v>4472</v>
      </c>
      <c r="B1550" s="166" t="s">
        <v>4473</v>
      </c>
      <c r="C1550" s="166" t="s">
        <v>1131</v>
      </c>
      <c r="D1550" s="166" t="s">
        <v>2306</v>
      </c>
      <c r="E1550" s="166" t="s">
        <v>1132</v>
      </c>
      <c r="F1550" s="166" t="s">
        <v>1133</v>
      </c>
      <c r="G1550" s="166" t="s">
        <v>129</v>
      </c>
      <c r="H1550" s="166">
        <v>2138963</v>
      </c>
      <c r="I1550" s="166">
        <v>0</v>
      </c>
      <c r="J1550" s="166">
        <v>0</v>
      </c>
      <c r="K1550" s="166" t="str">
        <f t="shared" si="24"/>
        <v>INSTRUMENTBSNSS_AREA_DSTNTN</v>
      </c>
    </row>
    <row r="1551" spans="1:11" hidden="1">
      <c r="A1551" s="166" t="s">
        <v>4474</v>
      </c>
      <c r="B1551" s="166" t="s">
        <v>4475</v>
      </c>
      <c r="C1551" s="166" t="s">
        <v>1131</v>
      </c>
      <c r="D1551" s="166" t="s">
        <v>2306</v>
      </c>
      <c r="E1551" s="166" t="s">
        <v>1132</v>
      </c>
      <c r="F1551" s="166" t="s">
        <v>1133</v>
      </c>
      <c r="G1551" s="166" t="s">
        <v>129</v>
      </c>
      <c r="H1551" s="166">
        <v>0</v>
      </c>
      <c r="I1551" s="166">
        <v>0</v>
      </c>
      <c r="J1551" s="166">
        <v>0</v>
      </c>
      <c r="K1551" s="166" t="str">
        <f t="shared" si="24"/>
        <v>INSTRUMENTBSNSS_AREA_DSTNTN</v>
      </c>
    </row>
    <row r="1552" spans="1:11" hidden="1">
      <c r="A1552" s="166" t="s">
        <v>4476</v>
      </c>
      <c r="B1552" s="166" t="s">
        <v>4477</v>
      </c>
      <c r="C1552" s="166" t="s">
        <v>1131</v>
      </c>
      <c r="D1552" s="166" t="s">
        <v>2306</v>
      </c>
      <c r="E1552" s="166" t="s">
        <v>1132</v>
      </c>
      <c r="F1552" s="166" t="s">
        <v>1133</v>
      </c>
      <c r="G1552" s="166" t="s">
        <v>129</v>
      </c>
      <c r="H1552" s="166">
        <v>0</v>
      </c>
      <c r="I1552" s="166">
        <v>0</v>
      </c>
      <c r="J1552" s="166">
        <v>0</v>
      </c>
      <c r="K1552" s="166" t="str">
        <f t="shared" si="24"/>
        <v>INSTRUMENTBSNSS_AREA_DSTNTN</v>
      </c>
    </row>
    <row r="1553" spans="1:11" hidden="1">
      <c r="A1553" s="166" t="s">
        <v>4478</v>
      </c>
      <c r="B1553" s="166" t="s">
        <v>4479</v>
      </c>
      <c r="C1553" s="166" t="s">
        <v>1131</v>
      </c>
      <c r="D1553" s="166" t="s">
        <v>2309</v>
      </c>
      <c r="E1553" s="166" t="s">
        <v>1132</v>
      </c>
      <c r="F1553" s="166" t="s">
        <v>1133</v>
      </c>
      <c r="G1553" s="166" t="s">
        <v>129</v>
      </c>
      <c r="H1553" s="166">
        <v>19685</v>
      </c>
      <c r="I1553" s="166">
        <v>0</v>
      </c>
      <c r="J1553" s="166">
        <v>0</v>
      </c>
      <c r="K1553" s="166" t="str">
        <f t="shared" si="24"/>
        <v>INSTRUMENTAVRG_BLNC_OFF_BLNC</v>
      </c>
    </row>
    <row r="1554" spans="1:11" hidden="1">
      <c r="A1554" s="166" t="s">
        <v>4480</v>
      </c>
      <c r="B1554" s="166" t="s">
        <v>4481</v>
      </c>
      <c r="C1554" s="166" t="s">
        <v>1131</v>
      </c>
      <c r="D1554" s="166" t="s">
        <v>2312</v>
      </c>
      <c r="E1554" s="166" t="s">
        <v>1132</v>
      </c>
      <c r="F1554" s="166" t="s">
        <v>1133</v>
      </c>
      <c r="G1554" s="166" t="s">
        <v>1134</v>
      </c>
      <c r="H1554" s="166">
        <v>19685</v>
      </c>
      <c r="I1554" s="166">
        <v>19685</v>
      </c>
      <c r="J1554" s="166">
        <v>100</v>
      </c>
      <c r="K1554" s="166" t="str">
        <f t="shared" si="24"/>
        <v>INSTRUMENTINTRNL_TRNSFR_RT_OFF_BLNC</v>
      </c>
    </row>
    <row r="1555" spans="1:11" hidden="1">
      <c r="A1555" s="166" t="s">
        <v>4482</v>
      </c>
      <c r="B1555" s="166" t="s">
        <v>4483</v>
      </c>
      <c r="C1555" s="166" t="s">
        <v>1131</v>
      </c>
      <c r="D1555" s="166" t="s">
        <v>2312</v>
      </c>
      <c r="E1555" s="166" t="s">
        <v>1132</v>
      </c>
      <c r="F1555" s="166" t="s">
        <v>1133</v>
      </c>
      <c r="G1555" s="166" t="s">
        <v>129</v>
      </c>
      <c r="H1555" s="166">
        <v>0</v>
      </c>
      <c r="I1555" s="166">
        <v>0</v>
      </c>
      <c r="J1555" s="166">
        <v>0</v>
      </c>
      <c r="K1555" s="166" t="str">
        <f t="shared" si="24"/>
        <v>INSTRUMENTINTRNL_TRNSFR_RT_OFF_BLNC</v>
      </c>
    </row>
    <row r="1556" spans="1:11" hidden="1">
      <c r="A1556" s="166" t="s">
        <v>4484</v>
      </c>
      <c r="B1556" s="166" t="s">
        <v>4485</v>
      </c>
      <c r="C1556" s="166" t="s">
        <v>1131</v>
      </c>
      <c r="D1556" s="166" t="s">
        <v>2315</v>
      </c>
      <c r="E1556" s="166" t="s">
        <v>1132</v>
      </c>
      <c r="F1556" s="166" t="s">
        <v>1133</v>
      </c>
      <c r="G1556" s="166" t="s">
        <v>129</v>
      </c>
      <c r="H1556" s="166">
        <v>19685</v>
      </c>
      <c r="I1556" s="166">
        <v>0</v>
      </c>
      <c r="J1556" s="166">
        <v>0</v>
      </c>
      <c r="K1556" s="166" t="str">
        <f t="shared" si="24"/>
        <v>INSTRUMENTGRSS_CMMSSN_INCM_OFF_BLNC</v>
      </c>
    </row>
    <row r="1557" spans="1:11" hidden="1">
      <c r="A1557" s="166" t="s">
        <v>4486</v>
      </c>
      <c r="B1557" s="166" t="s">
        <v>4487</v>
      </c>
      <c r="C1557" s="166" t="s">
        <v>1131</v>
      </c>
      <c r="D1557" s="166" t="s">
        <v>2315</v>
      </c>
      <c r="E1557" s="166" t="s">
        <v>1132</v>
      </c>
      <c r="F1557" s="166" t="s">
        <v>1133</v>
      </c>
      <c r="G1557" s="166" t="s">
        <v>129</v>
      </c>
      <c r="H1557" s="166">
        <v>0</v>
      </c>
      <c r="I1557" s="166">
        <v>0</v>
      </c>
      <c r="J1557" s="166">
        <v>0</v>
      </c>
      <c r="K1557" s="166" t="str">
        <f t="shared" si="24"/>
        <v>INSTRUMENTGRSS_CMMSSN_INCM_OFF_BLNC</v>
      </c>
    </row>
    <row r="1558" spans="1:11" hidden="1">
      <c r="A1558" s="166" t="s">
        <v>4488</v>
      </c>
      <c r="B1558" s="166" t="s">
        <v>4489</v>
      </c>
      <c r="C1558" s="166" t="s">
        <v>1131</v>
      </c>
      <c r="D1558" s="166" t="s">
        <v>2315</v>
      </c>
      <c r="E1558" s="166" t="s">
        <v>1132</v>
      </c>
      <c r="F1558" s="166" t="s">
        <v>1133</v>
      </c>
      <c r="G1558" s="166" t="s">
        <v>129</v>
      </c>
      <c r="H1558" s="166">
        <v>0</v>
      </c>
      <c r="I1558" s="166">
        <v>0</v>
      </c>
      <c r="J1558" s="166">
        <v>0</v>
      </c>
      <c r="K1558" s="166" t="str">
        <f t="shared" si="24"/>
        <v>INSTRUMENTGRSS_CMMSSN_INCM_OFF_BLNC</v>
      </c>
    </row>
    <row r="1559" spans="1:11" hidden="1">
      <c r="A1559" s="166" t="s">
        <v>4490</v>
      </c>
      <c r="B1559" s="166" t="s">
        <v>4491</v>
      </c>
      <c r="C1559" s="166" t="s">
        <v>1131</v>
      </c>
      <c r="D1559" s="166" t="s">
        <v>2318</v>
      </c>
      <c r="E1559" s="166" t="s">
        <v>1132</v>
      </c>
      <c r="F1559" s="166" t="s">
        <v>1133</v>
      </c>
      <c r="G1559" s="166" t="s">
        <v>129</v>
      </c>
      <c r="H1559" s="166">
        <v>19685</v>
      </c>
      <c r="I1559" s="166">
        <v>0</v>
      </c>
      <c r="J1559" s="166">
        <v>0</v>
      </c>
      <c r="K1559" s="166" t="str">
        <f t="shared" si="24"/>
        <v>INSTRUMENTGRSS_CMMSSN_EXPNS_OFF_BLNC</v>
      </c>
    </row>
    <row r="1560" spans="1:11" hidden="1">
      <c r="A1560" s="166" t="s">
        <v>4492</v>
      </c>
      <c r="B1560" s="166" t="s">
        <v>4493</v>
      </c>
      <c r="C1560" s="166" t="s">
        <v>1131</v>
      </c>
      <c r="D1560" s="166" t="s">
        <v>2318</v>
      </c>
      <c r="E1560" s="166" t="s">
        <v>1132</v>
      </c>
      <c r="F1560" s="166" t="s">
        <v>1133</v>
      </c>
      <c r="G1560" s="166" t="s">
        <v>129</v>
      </c>
      <c r="H1560" s="166">
        <v>0</v>
      </c>
      <c r="I1560" s="166">
        <v>0</v>
      </c>
      <c r="J1560" s="166">
        <v>0</v>
      </c>
      <c r="K1560" s="166" t="str">
        <f t="shared" si="24"/>
        <v>INSTRUMENTGRSS_CMMSSN_EXPNS_OFF_BLNC</v>
      </c>
    </row>
    <row r="1561" spans="1:11" hidden="1">
      <c r="A1561" s="166" t="s">
        <v>4494</v>
      </c>
      <c r="B1561" s="166" t="s">
        <v>4495</v>
      </c>
      <c r="C1561" s="166" t="s">
        <v>1131</v>
      </c>
      <c r="D1561" s="166" t="s">
        <v>2318</v>
      </c>
      <c r="E1561" s="166" t="s">
        <v>1132</v>
      </c>
      <c r="F1561" s="166" t="s">
        <v>1133</v>
      </c>
      <c r="G1561" s="166" t="s">
        <v>129</v>
      </c>
      <c r="H1561" s="166">
        <v>0</v>
      </c>
      <c r="I1561" s="166">
        <v>0</v>
      </c>
      <c r="J1561" s="166">
        <v>0</v>
      </c>
      <c r="K1561" s="166" t="str">
        <f t="shared" si="24"/>
        <v>INSTRUMENTGRSS_CMMSSN_EXPNS_OFF_BLNC</v>
      </c>
    </row>
    <row r="1562" spans="1:11" hidden="1">
      <c r="A1562" s="166" t="s">
        <v>4496</v>
      </c>
      <c r="B1562" s="166" t="s">
        <v>4497</v>
      </c>
      <c r="C1562" s="166" t="s">
        <v>1131</v>
      </c>
      <c r="D1562" s="166" t="s">
        <v>2324</v>
      </c>
      <c r="E1562" s="166" t="s">
        <v>1132</v>
      </c>
      <c r="F1562" s="166" t="s">
        <v>1133</v>
      </c>
      <c r="G1562" s="166" t="s">
        <v>129</v>
      </c>
      <c r="H1562" s="166">
        <v>0</v>
      </c>
      <c r="I1562" s="166">
        <v>0</v>
      </c>
      <c r="J1562" s="166">
        <v>0</v>
      </c>
      <c r="K1562" s="166" t="str">
        <f t="shared" si="24"/>
        <v>INSTRUMENTGRSS_INTRST_EXPNS</v>
      </c>
    </row>
    <row r="1563" spans="1:11" hidden="1">
      <c r="A1563" s="166" t="s">
        <v>4498</v>
      </c>
      <c r="B1563" s="166" t="s">
        <v>4499</v>
      </c>
      <c r="C1563" s="166" t="s">
        <v>1131</v>
      </c>
      <c r="D1563" s="166" t="s">
        <v>2324</v>
      </c>
      <c r="E1563" s="166" t="s">
        <v>1132</v>
      </c>
      <c r="F1563" s="166" t="s">
        <v>1133</v>
      </c>
      <c r="G1563" s="166" t="s">
        <v>129</v>
      </c>
      <c r="H1563" s="166">
        <v>0</v>
      </c>
      <c r="I1563" s="166">
        <v>0</v>
      </c>
      <c r="J1563" s="166">
        <v>0</v>
      </c>
      <c r="K1563" s="166" t="str">
        <f t="shared" si="24"/>
        <v>INSTRUMENTGRSS_INTRST_EXPNS</v>
      </c>
    </row>
    <row r="1564" spans="1:11" hidden="1">
      <c r="A1564" s="166" t="s">
        <v>4500</v>
      </c>
      <c r="B1564" s="166" t="s">
        <v>4501</v>
      </c>
      <c r="C1564" s="166" t="s">
        <v>1131</v>
      </c>
      <c r="D1564" s="166" t="s">
        <v>2327</v>
      </c>
      <c r="E1564" s="166" t="s">
        <v>1132</v>
      </c>
      <c r="F1564" s="166" t="s">
        <v>1133</v>
      </c>
      <c r="G1564" s="166" t="s">
        <v>129</v>
      </c>
      <c r="H1564" s="166">
        <v>19685</v>
      </c>
      <c r="I1564" s="166">
        <v>0</v>
      </c>
      <c r="J1564" s="166">
        <v>0</v>
      </c>
      <c r="K1564" s="166" t="str">
        <f t="shared" si="24"/>
        <v>INSTRUMENTNT_LN_LSS_PRVSN_OFF_BLNC</v>
      </c>
    </row>
    <row r="1565" spans="1:11" hidden="1">
      <c r="A1565" s="166" t="s">
        <v>4502</v>
      </c>
      <c r="B1565" s="166" t="s">
        <v>4503</v>
      </c>
      <c r="C1565" s="166" t="s">
        <v>1131</v>
      </c>
      <c r="D1565" s="166" t="s">
        <v>2330</v>
      </c>
      <c r="E1565" s="166" t="s">
        <v>1132</v>
      </c>
      <c r="F1565" s="166" t="s">
        <v>1133</v>
      </c>
      <c r="G1565" s="166" t="s">
        <v>129</v>
      </c>
      <c r="H1565" s="166">
        <v>267616</v>
      </c>
      <c r="I1565" s="166">
        <v>0</v>
      </c>
      <c r="J1565" s="166">
        <v>0</v>
      </c>
      <c r="K1565" s="166" t="str">
        <f t="shared" si="24"/>
        <v>INSTRUMENTGRSS_INTRST_INCM_CCRR</v>
      </c>
    </row>
    <row r="1566" spans="1:11" hidden="1">
      <c r="A1566" s="166" t="s">
        <v>4504</v>
      </c>
      <c r="B1566" s="166" t="s">
        <v>4505</v>
      </c>
      <c r="C1566" s="166" t="s">
        <v>1131</v>
      </c>
      <c r="D1566" s="166" t="s">
        <v>2333</v>
      </c>
      <c r="E1566" s="166" t="s">
        <v>1132</v>
      </c>
      <c r="F1566" s="166" t="s">
        <v>1133</v>
      </c>
      <c r="G1566" s="166" t="s">
        <v>129</v>
      </c>
      <c r="H1566" s="166">
        <v>267616</v>
      </c>
      <c r="I1566" s="166">
        <v>0</v>
      </c>
      <c r="J1566" s="166">
        <v>0</v>
      </c>
      <c r="K1566" s="166" t="str">
        <f t="shared" si="24"/>
        <v>INSTRUMENTGRSS_INTRST_EXPNS_CCRR</v>
      </c>
    </row>
    <row r="1567" spans="1:11" hidden="1">
      <c r="A1567" s="166" t="s">
        <v>4506</v>
      </c>
      <c r="B1567" s="166" t="s">
        <v>4507</v>
      </c>
      <c r="C1567" s="166" t="s">
        <v>1131</v>
      </c>
      <c r="D1567" s="166" t="s">
        <v>2336</v>
      </c>
      <c r="E1567" s="166" t="s">
        <v>1132</v>
      </c>
      <c r="F1567" s="166" t="s">
        <v>1133</v>
      </c>
      <c r="G1567" s="166" t="s">
        <v>129</v>
      </c>
      <c r="H1567" s="166">
        <v>267616</v>
      </c>
      <c r="I1567" s="166">
        <v>0</v>
      </c>
      <c r="J1567" s="166">
        <v>0</v>
      </c>
      <c r="K1567" s="166" t="str">
        <f t="shared" si="24"/>
        <v>INSTRUMENTGRSS_CMMSSN_INCM_CCRR</v>
      </c>
    </row>
    <row r="1568" spans="1:11" hidden="1">
      <c r="A1568" s="166" t="s">
        <v>4508</v>
      </c>
      <c r="B1568" s="166" t="s">
        <v>4509</v>
      </c>
      <c r="C1568" s="166" t="s">
        <v>1131</v>
      </c>
      <c r="D1568" s="166" t="s">
        <v>2339</v>
      </c>
      <c r="E1568" s="166" t="s">
        <v>1132</v>
      </c>
      <c r="F1568" s="166" t="s">
        <v>1133</v>
      </c>
      <c r="G1568" s="166" t="s">
        <v>129</v>
      </c>
      <c r="H1568" s="166">
        <v>267616</v>
      </c>
      <c r="I1568" s="166">
        <v>0</v>
      </c>
      <c r="J1568" s="166">
        <v>0</v>
      </c>
      <c r="K1568" s="166" t="str">
        <f t="shared" si="24"/>
        <v>INSTRUMENTGRSS_CMMSSN_EXPNS_CCRR</v>
      </c>
    </row>
    <row r="1569" spans="1:11" hidden="1">
      <c r="A1569" s="166" t="s">
        <v>4510</v>
      </c>
      <c r="B1569" s="166" t="s">
        <v>4511</v>
      </c>
      <c r="C1569" s="166" t="s">
        <v>1131</v>
      </c>
      <c r="D1569" s="166" t="s">
        <v>2342</v>
      </c>
      <c r="E1569" s="166" t="s">
        <v>1132</v>
      </c>
      <c r="F1569" s="166" t="s">
        <v>1133</v>
      </c>
      <c r="G1569" s="166" t="s">
        <v>129</v>
      </c>
      <c r="H1569" s="166">
        <v>267616</v>
      </c>
      <c r="I1569" s="166">
        <v>0</v>
      </c>
      <c r="J1569" s="166">
        <v>0</v>
      </c>
      <c r="K1569" s="166" t="str">
        <f t="shared" si="24"/>
        <v>INSTRUMENTGNS_FNNCL_TRNSCTN_EXCHNG_CCRR</v>
      </c>
    </row>
    <row r="1570" spans="1:11" hidden="1">
      <c r="A1570" s="166" t="s">
        <v>4512</v>
      </c>
      <c r="B1570" s="166" t="s">
        <v>1192</v>
      </c>
      <c r="C1570" s="166" t="s">
        <v>1131</v>
      </c>
      <c r="D1570" s="166" t="s">
        <v>2357</v>
      </c>
      <c r="E1570" s="166" t="s">
        <v>1132</v>
      </c>
      <c r="F1570" s="166" t="s">
        <v>1133</v>
      </c>
      <c r="G1570" s="166" t="s">
        <v>129</v>
      </c>
      <c r="H1570" s="166">
        <v>3949</v>
      </c>
      <c r="I1570" s="166">
        <v>0</v>
      </c>
      <c r="J1570" s="166">
        <v>0</v>
      </c>
      <c r="K1570" s="166" t="str">
        <f t="shared" si="24"/>
        <v>INSTRUMENTLNS_CLLTRLZD_CLSSFCTN</v>
      </c>
    </row>
    <row r="1571" spans="1:11" hidden="1">
      <c r="A1571" s="166" t="s">
        <v>4513</v>
      </c>
      <c r="B1571" s="166" t="s">
        <v>1214</v>
      </c>
      <c r="C1571" s="166" t="s">
        <v>1131</v>
      </c>
      <c r="D1571" s="166" t="s">
        <v>2357</v>
      </c>
      <c r="E1571" s="166" t="s">
        <v>1132</v>
      </c>
      <c r="F1571" s="166" t="s">
        <v>1133</v>
      </c>
      <c r="G1571" s="166" t="s">
        <v>129</v>
      </c>
      <c r="H1571" s="166">
        <v>350921</v>
      </c>
      <c r="I1571" s="166">
        <v>0</v>
      </c>
      <c r="J1571" s="166">
        <v>0</v>
      </c>
      <c r="K1571" s="166" t="str">
        <f t="shared" si="24"/>
        <v>INSTRUMENTLNS_CLLTRLZD_CLSSFCTN</v>
      </c>
    </row>
    <row r="1572" spans="1:11" hidden="1">
      <c r="A1572" s="166" t="s">
        <v>4514</v>
      </c>
      <c r="B1572" s="166" t="s">
        <v>4515</v>
      </c>
      <c r="C1572" s="166" t="s">
        <v>1160</v>
      </c>
      <c r="D1572" s="166" t="s">
        <v>2357</v>
      </c>
      <c r="E1572" s="166" t="s">
        <v>1132</v>
      </c>
      <c r="F1572" s="166" t="s">
        <v>1133</v>
      </c>
      <c r="G1572" s="166" t="s">
        <v>129</v>
      </c>
      <c r="H1572" s="166">
        <v>211201</v>
      </c>
      <c r="I1572" s="166">
        <v>0</v>
      </c>
      <c r="J1572" s="166">
        <v>0</v>
      </c>
      <c r="K1572" s="166" t="str">
        <f t="shared" si="24"/>
        <v>INSTRUMENTLNS_CLLTRLZD_CLSSFCTN</v>
      </c>
    </row>
    <row r="1573" spans="1:11" hidden="1">
      <c r="A1573" s="166" t="s">
        <v>4516</v>
      </c>
      <c r="B1573" s="166" t="s">
        <v>4517</v>
      </c>
      <c r="C1573" s="166" t="s">
        <v>1160</v>
      </c>
      <c r="D1573" s="166" t="s">
        <v>2357</v>
      </c>
      <c r="E1573" s="166" t="s">
        <v>1132</v>
      </c>
      <c r="F1573" s="166" t="s">
        <v>1133</v>
      </c>
      <c r="G1573" s="166" t="s">
        <v>129</v>
      </c>
      <c r="H1573" s="166">
        <v>1542</v>
      </c>
      <c r="I1573" s="166">
        <v>0</v>
      </c>
      <c r="J1573" s="166">
        <v>0</v>
      </c>
      <c r="K1573" s="166" t="str">
        <f t="shared" si="24"/>
        <v>INSTRUMENTLNS_CLLTRLZD_CLSSFCTN</v>
      </c>
    </row>
    <row r="1574" spans="1:11" hidden="1">
      <c r="A1574" s="166" t="s">
        <v>4518</v>
      </c>
      <c r="B1574" s="166" t="s">
        <v>4519</v>
      </c>
      <c r="C1574" s="166" t="s">
        <v>1160</v>
      </c>
      <c r="D1574" s="166" t="s">
        <v>2357</v>
      </c>
      <c r="E1574" s="166" t="s">
        <v>1132</v>
      </c>
      <c r="F1574" s="166" t="s">
        <v>1133</v>
      </c>
      <c r="G1574" s="166" t="s">
        <v>129</v>
      </c>
      <c r="H1574" s="166">
        <v>105998</v>
      </c>
      <c r="I1574" s="166">
        <v>0</v>
      </c>
      <c r="J1574" s="166">
        <v>0</v>
      </c>
      <c r="K1574" s="166" t="str">
        <f t="shared" si="24"/>
        <v>INSTRUMENTLNS_CLLTRLZD_CLSSFCTN</v>
      </c>
    </row>
    <row r="1575" spans="1:11" hidden="1">
      <c r="A1575" s="166" t="s">
        <v>4520</v>
      </c>
      <c r="B1575" s="166" t="s">
        <v>4521</v>
      </c>
      <c r="C1575" s="166" t="s">
        <v>1160</v>
      </c>
      <c r="D1575" s="166" t="s">
        <v>2357</v>
      </c>
      <c r="E1575" s="166" t="s">
        <v>1132</v>
      </c>
      <c r="F1575" s="166" t="s">
        <v>1133</v>
      </c>
      <c r="G1575" s="166" t="s">
        <v>129</v>
      </c>
      <c r="H1575" s="166">
        <v>49965</v>
      </c>
      <c r="I1575" s="166">
        <v>0</v>
      </c>
      <c r="J1575" s="166">
        <v>0</v>
      </c>
      <c r="K1575" s="166" t="str">
        <f t="shared" si="24"/>
        <v>INSTRUMENTLNS_CLLTRLZD_CLSSFCTN</v>
      </c>
    </row>
    <row r="1576" spans="1:11" hidden="1">
      <c r="A1576" s="166" t="s">
        <v>4522</v>
      </c>
      <c r="B1576" s="166" t="s">
        <v>4523</v>
      </c>
      <c r="C1576" s="166" t="s">
        <v>1160</v>
      </c>
      <c r="D1576" s="166" t="s">
        <v>2357</v>
      </c>
      <c r="E1576" s="166" t="s">
        <v>1132</v>
      </c>
      <c r="F1576" s="166" t="s">
        <v>1133</v>
      </c>
      <c r="G1576" s="166" t="s">
        <v>129</v>
      </c>
      <c r="H1576" s="166">
        <v>453882</v>
      </c>
      <c r="I1576" s="166">
        <v>0</v>
      </c>
      <c r="J1576" s="166">
        <v>0</v>
      </c>
      <c r="K1576" s="166" t="str">
        <f t="shared" si="24"/>
        <v>INSTRUMENTLNS_CLLTRLZD_CLSSFCTN</v>
      </c>
    </row>
    <row r="1577" spans="1:11" hidden="1">
      <c r="A1577" s="166" t="s">
        <v>4524</v>
      </c>
      <c r="B1577" s="166" t="s">
        <v>4525</v>
      </c>
      <c r="C1577" s="166" t="s">
        <v>1142</v>
      </c>
      <c r="D1577" s="166" t="s">
        <v>2360</v>
      </c>
      <c r="E1577" s="166" t="s">
        <v>1132</v>
      </c>
      <c r="F1577" s="166" t="s">
        <v>1133</v>
      </c>
      <c r="G1577" s="166" t="s">
        <v>129</v>
      </c>
      <c r="H1577" s="166">
        <v>0</v>
      </c>
      <c r="I1577" s="166">
        <v>0</v>
      </c>
      <c r="J1577" s="166">
        <v>0</v>
      </c>
      <c r="K1577" s="166" t="str">
        <f t="shared" si="24"/>
        <v>INSTRUMENTMTHD_USD_INSTRMNT_SCP_1</v>
      </c>
    </row>
    <row r="1578" spans="1:11" hidden="1">
      <c r="A1578" s="166" t="s">
        <v>4526</v>
      </c>
      <c r="B1578" s="166" t="s">
        <v>4527</v>
      </c>
      <c r="C1578" s="166" t="s">
        <v>1160</v>
      </c>
      <c r="D1578" s="166" t="s">
        <v>2360</v>
      </c>
      <c r="E1578" s="166" t="s">
        <v>1132</v>
      </c>
      <c r="F1578" s="166" t="s">
        <v>1133</v>
      </c>
      <c r="G1578" s="166" t="s">
        <v>129</v>
      </c>
      <c r="H1578" s="166">
        <v>0</v>
      </c>
      <c r="I1578" s="166">
        <v>0</v>
      </c>
      <c r="J1578" s="166">
        <v>0</v>
      </c>
      <c r="K1578" s="166" t="str">
        <f t="shared" si="24"/>
        <v>INSTRUMENTMTHD_USD_INSTRMNT_SCP_1</v>
      </c>
    </row>
    <row r="1579" spans="1:11" hidden="1">
      <c r="A1579" s="166" t="s">
        <v>4528</v>
      </c>
      <c r="B1579" s="166" t="s">
        <v>4529</v>
      </c>
      <c r="C1579" s="166" t="s">
        <v>1142</v>
      </c>
      <c r="D1579" s="166" t="s">
        <v>2363</v>
      </c>
      <c r="E1579" s="166" t="s">
        <v>1132</v>
      </c>
      <c r="F1579" s="166" t="s">
        <v>1133</v>
      </c>
      <c r="G1579" s="166" t="s">
        <v>129</v>
      </c>
      <c r="H1579" s="166">
        <v>0</v>
      </c>
      <c r="I1579" s="166">
        <v>0</v>
      </c>
      <c r="J1579" s="166">
        <v>0</v>
      </c>
      <c r="K1579" s="166" t="str">
        <f t="shared" si="24"/>
        <v>INSTRUMENTMTHD_USD_INSTRMNT_SCP_2</v>
      </c>
    </row>
    <row r="1580" spans="1:11" hidden="1">
      <c r="A1580" s="166" t="s">
        <v>4530</v>
      </c>
      <c r="B1580" s="166" t="s">
        <v>4531</v>
      </c>
      <c r="C1580" s="166" t="s">
        <v>1160</v>
      </c>
      <c r="D1580" s="166" t="s">
        <v>2363</v>
      </c>
      <c r="E1580" s="166" t="s">
        <v>1132</v>
      </c>
      <c r="F1580" s="166" t="s">
        <v>1133</v>
      </c>
      <c r="G1580" s="166" t="s">
        <v>129</v>
      </c>
      <c r="H1580" s="166">
        <v>0</v>
      </c>
      <c r="I1580" s="166">
        <v>0</v>
      </c>
      <c r="J1580" s="166">
        <v>0</v>
      </c>
      <c r="K1580" s="166" t="str">
        <f t="shared" si="24"/>
        <v>INSTRUMENTMTHD_USD_INSTRMNT_SCP_2</v>
      </c>
    </row>
    <row r="1581" spans="1:11" hidden="1">
      <c r="A1581" s="166" t="s">
        <v>4532</v>
      </c>
      <c r="B1581" s="166" t="s">
        <v>4533</v>
      </c>
      <c r="C1581" s="166" t="s">
        <v>1142</v>
      </c>
      <c r="D1581" s="166" t="s">
        <v>2366</v>
      </c>
      <c r="E1581" s="166" t="s">
        <v>1132</v>
      </c>
      <c r="F1581" s="166" t="s">
        <v>1133</v>
      </c>
      <c r="G1581" s="166" t="s">
        <v>129</v>
      </c>
      <c r="H1581" s="166">
        <v>0</v>
      </c>
      <c r="I1581" s="166">
        <v>0</v>
      </c>
      <c r="J1581" s="166">
        <v>0</v>
      </c>
      <c r="K1581" s="166" t="str">
        <f t="shared" si="24"/>
        <v>INSTRUMENTMTHD_USD_INSTRMNT_SCP_3</v>
      </c>
    </row>
    <row r="1582" spans="1:11" hidden="1">
      <c r="A1582" s="166" t="s">
        <v>4534</v>
      </c>
      <c r="B1582" s="166" t="s">
        <v>4535</v>
      </c>
      <c r="C1582" s="166" t="s">
        <v>1160</v>
      </c>
      <c r="D1582" s="166" t="s">
        <v>2366</v>
      </c>
      <c r="E1582" s="166" t="s">
        <v>1132</v>
      </c>
      <c r="F1582" s="166" t="s">
        <v>1133</v>
      </c>
      <c r="G1582" s="166" t="s">
        <v>129</v>
      </c>
      <c r="H1582" s="166">
        <v>0</v>
      </c>
      <c r="I1582" s="166">
        <v>0</v>
      </c>
      <c r="J1582" s="166">
        <v>0</v>
      </c>
      <c r="K1582" s="166" t="str">
        <f t="shared" si="24"/>
        <v>INSTRUMENTMTHD_USD_INSTRMNT_SCP_3</v>
      </c>
    </row>
    <row r="1583" spans="1:11" hidden="1">
      <c r="A1583" s="166" t="s">
        <v>4536</v>
      </c>
      <c r="B1583" s="166" t="s">
        <v>4537</v>
      </c>
      <c r="C1583" s="166" t="s">
        <v>1131</v>
      </c>
      <c r="D1583" s="166" t="s">
        <v>310</v>
      </c>
      <c r="E1583" s="166" t="s">
        <v>1132</v>
      </c>
      <c r="F1583" s="166" t="s">
        <v>1133</v>
      </c>
      <c r="G1583" s="166" t="s">
        <v>129</v>
      </c>
      <c r="H1583" s="166">
        <v>1878954</v>
      </c>
      <c r="I1583" s="166">
        <v>0</v>
      </c>
      <c r="J1583" s="166">
        <v>0</v>
      </c>
      <c r="K1583" s="166" t="str">
        <f t="shared" si="24"/>
        <v>INSTRUMENTEXPCTD_LSS_CRR</v>
      </c>
    </row>
    <row r="1584" spans="1:11" hidden="1">
      <c r="A1584" s="166" t="s">
        <v>4538</v>
      </c>
      <c r="B1584" s="166" t="s">
        <v>4539</v>
      </c>
      <c r="C1584" s="166" t="s">
        <v>1131</v>
      </c>
      <c r="D1584" s="166" t="s">
        <v>310</v>
      </c>
      <c r="E1584" s="166" t="s">
        <v>1132</v>
      </c>
      <c r="F1584" s="166" t="s">
        <v>1133</v>
      </c>
      <c r="G1584" s="166" t="s">
        <v>129</v>
      </c>
      <c r="H1584" s="166">
        <v>152693</v>
      </c>
      <c r="I1584" s="166">
        <v>0</v>
      </c>
      <c r="J1584" s="166">
        <v>0</v>
      </c>
      <c r="K1584" s="166" t="str">
        <f t="shared" si="24"/>
        <v>INSTRUMENTEXPCTD_LSS_CRR</v>
      </c>
    </row>
    <row r="1585" spans="1:11" hidden="1">
      <c r="A1585" s="166" t="s">
        <v>4540</v>
      </c>
      <c r="B1585" s="166" t="s">
        <v>4541</v>
      </c>
      <c r="C1585" s="166" t="s">
        <v>1131</v>
      </c>
      <c r="D1585" s="166" t="s">
        <v>400</v>
      </c>
      <c r="E1585" s="166" t="s">
        <v>1132</v>
      </c>
      <c r="F1585" s="166" t="s">
        <v>1133</v>
      </c>
      <c r="G1585" s="166" t="s">
        <v>129</v>
      </c>
      <c r="H1585" s="166">
        <v>0</v>
      </c>
      <c r="I1585" s="166">
        <v>0</v>
      </c>
      <c r="J1585" s="166">
        <v>0</v>
      </c>
      <c r="K1585" s="166" t="str">
        <f t="shared" si="24"/>
        <v>INSTRUMENTLSTI</v>
      </c>
    </row>
    <row r="1586" spans="1:11" hidden="1">
      <c r="A1586" s="166" t="s">
        <v>4542</v>
      </c>
      <c r="B1586" s="166" t="s">
        <v>4543</v>
      </c>
      <c r="C1586" s="166" t="s">
        <v>1131</v>
      </c>
      <c r="D1586" s="166" t="s">
        <v>226</v>
      </c>
      <c r="E1586" s="166" t="s">
        <v>1132</v>
      </c>
      <c r="F1586" s="166" t="s">
        <v>1133</v>
      </c>
      <c r="G1586" s="166" t="s">
        <v>129</v>
      </c>
      <c r="H1586" s="166">
        <v>0</v>
      </c>
      <c r="I1586" s="166">
        <v>0</v>
      </c>
      <c r="J1586" s="166">
        <v>0</v>
      </c>
      <c r="K1586" s="166" t="str">
        <f t="shared" si="24"/>
        <v>INSTRUMENTDSTI</v>
      </c>
    </row>
    <row r="1587" spans="1:11" hidden="1">
      <c r="A1587" s="166" t="s">
        <v>4544</v>
      </c>
      <c r="B1587" s="166" t="s">
        <v>4545</v>
      </c>
      <c r="C1587" s="166" t="s">
        <v>1131</v>
      </c>
      <c r="D1587" s="166" t="s">
        <v>402</v>
      </c>
      <c r="E1587" s="166" t="s">
        <v>1132</v>
      </c>
      <c r="F1587" s="166" t="s">
        <v>1133</v>
      </c>
      <c r="G1587" s="166" t="s">
        <v>129</v>
      </c>
      <c r="H1587" s="166">
        <v>0</v>
      </c>
      <c r="I1587" s="166">
        <v>0</v>
      </c>
      <c r="J1587" s="166">
        <v>0</v>
      </c>
      <c r="K1587" s="166" t="str">
        <f t="shared" si="24"/>
        <v>INSTRUMENTLTI_INSTRMNT</v>
      </c>
    </row>
    <row r="1588" spans="1:11" hidden="1">
      <c r="A1588" s="166" t="s">
        <v>4546</v>
      </c>
      <c r="B1588" s="166" t="s">
        <v>4547</v>
      </c>
      <c r="C1588" s="166" t="s">
        <v>1131</v>
      </c>
      <c r="D1588" s="166" t="s">
        <v>555</v>
      </c>
      <c r="E1588" s="166" t="s">
        <v>1132</v>
      </c>
      <c r="F1588" s="166" t="s">
        <v>1133</v>
      </c>
      <c r="G1588" s="166" t="s">
        <v>129</v>
      </c>
      <c r="H1588" s="166">
        <v>1153180</v>
      </c>
      <c r="I1588" s="166">
        <v>0</v>
      </c>
      <c r="J1588" s="166">
        <v>0</v>
      </c>
      <c r="K1588" s="166" t="str">
        <f t="shared" si="24"/>
        <v>INSTRUMENTINTRST_RT_CP</v>
      </c>
    </row>
    <row r="1589" spans="1:11" hidden="1">
      <c r="A1589" s="166" t="s">
        <v>4548</v>
      </c>
      <c r="B1589" s="166" t="s">
        <v>4549</v>
      </c>
      <c r="C1589" s="166" t="s">
        <v>1131</v>
      </c>
      <c r="D1589" s="166" t="s">
        <v>555</v>
      </c>
      <c r="E1589" s="166" t="s">
        <v>1132</v>
      </c>
      <c r="F1589" s="166" t="s">
        <v>1133</v>
      </c>
      <c r="G1589" s="166" t="s">
        <v>129</v>
      </c>
      <c r="H1589" s="166">
        <v>0</v>
      </c>
      <c r="I1589" s="166">
        <v>0</v>
      </c>
      <c r="J1589" s="166">
        <v>0</v>
      </c>
      <c r="K1589" s="166" t="str">
        <f t="shared" si="24"/>
        <v>INSTRUMENTINTRST_RT_CP</v>
      </c>
    </row>
    <row r="1590" spans="1:11" hidden="1">
      <c r="A1590" s="166" t="s">
        <v>4550</v>
      </c>
      <c r="B1590" s="166" t="s">
        <v>4551</v>
      </c>
      <c r="C1590" s="166" t="s">
        <v>1131</v>
      </c>
      <c r="D1590" s="166" t="s">
        <v>556</v>
      </c>
      <c r="E1590" s="166" t="s">
        <v>1132</v>
      </c>
      <c r="F1590" s="166" t="s">
        <v>1133</v>
      </c>
      <c r="G1590" s="166" t="s">
        <v>129</v>
      </c>
      <c r="H1590" s="166">
        <v>1153180</v>
      </c>
      <c r="I1590" s="166">
        <v>0</v>
      </c>
      <c r="J1590" s="166">
        <v>0</v>
      </c>
      <c r="K1590" s="166" t="str">
        <f t="shared" si="24"/>
        <v>INSTRUMENTINTRST_RT_FLR</v>
      </c>
    </row>
    <row r="1591" spans="1:11" hidden="1">
      <c r="A1591" s="166" t="s">
        <v>4552</v>
      </c>
      <c r="B1591" s="166" t="s">
        <v>4553</v>
      </c>
      <c r="C1591" s="166" t="s">
        <v>1131</v>
      </c>
      <c r="D1591" s="166" t="s">
        <v>556</v>
      </c>
      <c r="E1591" s="166" t="s">
        <v>1132</v>
      </c>
      <c r="F1591" s="166" t="s">
        <v>1133</v>
      </c>
      <c r="G1591" s="166" t="s">
        <v>129</v>
      </c>
      <c r="H1591" s="166">
        <v>0</v>
      </c>
      <c r="I1591" s="166">
        <v>0</v>
      </c>
      <c r="J1591" s="166">
        <v>0</v>
      </c>
      <c r="K1591" s="166" t="str">
        <f t="shared" si="24"/>
        <v>INSTRUMENTINTRST_RT_FLR</v>
      </c>
    </row>
    <row r="1592" spans="1:11" hidden="1">
      <c r="A1592" s="166" t="s">
        <v>4554</v>
      </c>
      <c r="B1592" s="166" t="s">
        <v>4555</v>
      </c>
      <c r="C1592" s="166" t="s">
        <v>1131</v>
      </c>
      <c r="D1592" s="166" t="s">
        <v>485</v>
      </c>
      <c r="E1592" s="166" t="s">
        <v>1132</v>
      </c>
      <c r="F1592" s="166" t="s">
        <v>1133</v>
      </c>
      <c r="G1592" s="166" t="s">
        <v>129</v>
      </c>
      <c r="H1592" s="166">
        <v>1153180</v>
      </c>
      <c r="I1592" s="166">
        <v>0</v>
      </c>
      <c r="J1592" s="166">
        <v>0</v>
      </c>
      <c r="K1592" s="166" t="str">
        <f t="shared" si="24"/>
        <v>INSTRUMENTRFRNC_RT</v>
      </c>
    </row>
    <row r="1593" spans="1:11" hidden="1">
      <c r="A1593" s="166" t="s">
        <v>4556</v>
      </c>
      <c r="B1593" s="166" t="s">
        <v>4557</v>
      </c>
      <c r="C1593" s="166" t="s">
        <v>1131</v>
      </c>
      <c r="D1593" s="166" t="s">
        <v>485</v>
      </c>
      <c r="E1593" s="166" t="s">
        <v>1132</v>
      </c>
      <c r="F1593" s="166" t="s">
        <v>1133</v>
      </c>
      <c r="G1593" s="166" t="s">
        <v>129</v>
      </c>
      <c r="H1593" s="166">
        <v>704433</v>
      </c>
      <c r="I1593" s="166">
        <v>0</v>
      </c>
      <c r="J1593" s="166">
        <v>0</v>
      </c>
      <c r="K1593" s="166" t="str">
        <f t="shared" si="24"/>
        <v>INSTRUMENTRFRNC_RT</v>
      </c>
    </row>
    <row r="1594" spans="1:11" hidden="1">
      <c r="A1594" s="166" t="s">
        <v>4558</v>
      </c>
      <c r="B1594" s="166" t="s">
        <v>4559</v>
      </c>
      <c r="C1594" s="166" t="s">
        <v>1131</v>
      </c>
      <c r="D1594" s="166" t="s">
        <v>558</v>
      </c>
      <c r="E1594" s="166" t="s">
        <v>1132</v>
      </c>
      <c r="F1594" s="166" t="s">
        <v>1133</v>
      </c>
      <c r="G1594" s="166" t="s">
        <v>129</v>
      </c>
      <c r="H1594" s="166">
        <v>0</v>
      </c>
      <c r="I1594" s="166">
        <v>0</v>
      </c>
      <c r="J1594" s="166">
        <v>0</v>
      </c>
      <c r="K1594" s="166" t="str">
        <f t="shared" si="24"/>
        <v>INSTRUMENTDT_STTLMNT</v>
      </c>
    </row>
    <row r="1595" spans="1:11" hidden="1">
      <c r="A1595" s="166" t="s">
        <v>4560</v>
      </c>
      <c r="B1595" s="166" t="s">
        <v>4561</v>
      </c>
      <c r="C1595" s="166" t="s">
        <v>1131</v>
      </c>
      <c r="D1595" s="166" t="s">
        <v>558</v>
      </c>
      <c r="E1595" s="166" t="s">
        <v>1132</v>
      </c>
      <c r="F1595" s="166" t="s">
        <v>1133</v>
      </c>
      <c r="G1595" s="166" t="s">
        <v>129</v>
      </c>
      <c r="H1595" s="166">
        <v>0</v>
      </c>
      <c r="I1595" s="166">
        <v>0</v>
      </c>
      <c r="J1595" s="166">
        <v>0</v>
      </c>
      <c r="K1595" s="166" t="str">
        <f t="shared" si="24"/>
        <v>INSTRUMENTDT_STTLMNT</v>
      </c>
    </row>
    <row r="1596" spans="1:11" hidden="1">
      <c r="A1596" s="166" t="s">
        <v>4562</v>
      </c>
      <c r="B1596" s="166" t="s">
        <v>4563</v>
      </c>
      <c r="C1596" s="166" t="s">
        <v>1131</v>
      </c>
      <c r="D1596" s="166" t="s">
        <v>558</v>
      </c>
      <c r="E1596" s="166" t="s">
        <v>1132</v>
      </c>
      <c r="F1596" s="166" t="s">
        <v>1133</v>
      </c>
      <c r="G1596" s="166" t="s">
        <v>129</v>
      </c>
      <c r="H1596" s="166">
        <v>0</v>
      </c>
      <c r="I1596" s="166">
        <v>0</v>
      </c>
      <c r="J1596" s="166">
        <v>0</v>
      </c>
      <c r="K1596" s="166" t="str">
        <f t="shared" si="24"/>
        <v>INSTRUMENTDT_STTLMNT</v>
      </c>
    </row>
    <row r="1597" spans="1:11" hidden="1">
      <c r="A1597" s="166" t="s">
        <v>4564</v>
      </c>
      <c r="B1597" s="166" t="s">
        <v>4565</v>
      </c>
      <c r="C1597" s="166" t="s">
        <v>1131</v>
      </c>
      <c r="D1597" s="166" t="s">
        <v>558</v>
      </c>
      <c r="E1597" s="166" t="s">
        <v>1132</v>
      </c>
      <c r="F1597" s="166" t="s">
        <v>1133</v>
      </c>
      <c r="G1597" s="166" t="s">
        <v>129</v>
      </c>
      <c r="H1597" s="166">
        <v>0</v>
      </c>
      <c r="I1597" s="166">
        <v>0</v>
      </c>
      <c r="J1597" s="166">
        <v>0</v>
      </c>
      <c r="K1597" s="166" t="str">
        <f t="shared" si="24"/>
        <v>INSTRUMENTDT_STTLMNT</v>
      </c>
    </row>
    <row r="1598" spans="1:11" hidden="1">
      <c r="A1598" s="166" t="s">
        <v>4566</v>
      </c>
      <c r="B1598" s="166" t="s">
        <v>4567</v>
      </c>
      <c r="C1598" s="166" t="s">
        <v>1131</v>
      </c>
      <c r="D1598" s="166" t="s">
        <v>559</v>
      </c>
      <c r="E1598" s="166" t="s">
        <v>1132</v>
      </c>
      <c r="F1598" s="166" t="s">
        <v>1133</v>
      </c>
      <c r="G1598" s="166" t="s">
        <v>129</v>
      </c>
      <c r="H1598" s="166">
        <v>0</v>
      </c>
      <c r="I1598" s="166">
        <v>0</v>
      </c>
      <c r="J1598" s="166">
        <v>0</v>
      </c>
      <c r="K1598" s="166" t="str">
        <f t="shared" si="24"/>
        <v>INSTRUMENTTRNSFRRD_AMNT</v>
      </c>
    </row>
    <row r="1599" spans="1:11" hidden="1">
      <c r="A1599" s="166" t="s">
        <v>4568</v>
      </c>
      <c r="B1599" s="166" t="s">
        <v>4569</v>
      </c>
      <c r="C1599" s="166" t="s">
        <v>1131</v>
      </c>
      <c r="D1599" s="166" t="s">
        <v>561</v>
      </c>
      <c r="E1599" s="166" t="s">
        <v>1132</v>
      </c>
      <c r="F1599" s="166" t="s">
        <v>1133</v>
      </c>
      <c r="G1599" s="166" t="s">
        <v>129</v>
      </c>
      <c r="H1599" s="166">
        <v>905713</v>
      </c>
      <c r="I1599" s="166">
        <v>0</v>
      </c>
      <c r="J1599" s="166">
        <v>0</v>
      </c>
      <c r="K1599" s="166" t="str">
        <f t="shared" si="24"/>
        <v>INSTRUMENTTYP_OFF_BLNC_PRDCT</v>
      </c>
    </row>
    <row r="1600" spans="1:11" hidden="1">
      <c r="A1600" s="166" t="s">
        <v>4570</v>
      </c>
      <c r="B1600" s="166" t="s">
        <v>4571</v>
      </c>
      <c r="C1600" s="166" t="s">
        <v>1131</v>
      </c>
      <c r="D1600" s="166" t="s">
        <v>561</v>
      </c>
      <c r="E1600" s="166" t="s">
        <v>1132</v>
      </c>
      <c r="F1600" s="166" t="s">
        <v>1133</v>
      </c>
      <c r="G1600" s="166" t="s">
        <v>1134</v>
      </c>
      <c r="H1600" s="166">
        <v>245997</v>
      </c>
      <c r="I1600" s="166">
        <v>245997</v>
      </c>
      <c r="J1600" s="166">
        <v>100</v>
      </c>
      <c r="K1600" s="166" t="str">
        <f t="shared" si="24"/>
        <v>INSTRUMENTTYP_OFF_BLNC_PRDCT</v>
      </c>
    </row>
    <row r="1601" spans="1:11" hidden="1">
      <c r="A1601" s="166" t="s">
        <v>4572</v>
      </c>
      <c r="B1601" s="166" t="s">
        <v>4573</v>
      </c>
      <c r="C1601" s="166" t="s">
        <v>1131</v>
      </c>
      <c r="D1601" s="166" t="s">
        <v>561</v>
      </c>
      <c r="E1601" s="166" t="s">
        <v>1132</v>
      </c>
      <c r="F1601" s="166" t="s">
        <v>1133</v>
      </c>
      <c r="G1601" s="166" t="s">
        <v>1134</v>
      </c>
      <c r="H1601" s="166">
        <v>17728</v>
      </c>
      <c r="I1601" s="166">
        <v>17728</v>
      </c>
      <c r="J1601" s="166">
        <v>100</v>
      </c>
      <c r="K1601" s="166" t="str">
        <f t="shared" si="24"/>
        <v>INSTRUMENTTYP_OFF_BLNC_PRDCT</v>
      </c>
    </row>
    <row r="1602" spans="1:11" hidden="1">
      <c r="A1602" s="166" t="s">
        <v>4574</v>
      </c>
      <c r="B1602" s="166" t="s">
        <v>4575</v>
      </c>
      <c r="C1602" s="166" t="s">
        <v>1131</v>
      </c>
      <c r="D1602" s="166" t="s">
        <v>561</v>
      </c>
      <c r="E1602" s="166" t="s">
        <v>1132</v>
      </c>
      <c r="F1602" s="166" t="s">
        <v>1133</v>
      </c>
      <c r="G1602" s="166" t="s">
        <v>1134</v>
      </c>
      <c r="H1602" s="166">
        <v>3891</v>
      </c>
      <c r="I1602" s="166">
        <v>3891</v>
      </c>
      <c r="J1602" s="166">
        <v>100</v>
      </c>
      <c r="K1602" s="166" t="str">
        <f t="shared" si="24"/>
        <v>INSTRUMENTTYP_OFF_BLNC_PRDCT</v>
      </c>
    </row>
    <row r="1603" spans="1:11" hidden="1">
      <c r="A1603" s="166" t="s">
        <v>4576</v>
      </c>
      <c r="B1603" s="166" t="s">
        <v>4577</v>
      </c>
      <c r="C1603" s="166" t="s">
        <v>1131</v>
      </c>
      <c r="D1603" s="166" t="s">
        <v>562</v>
      </c>
      <c r="E1603" s="166" t="s">
        <v>1132</v>
      </c>
      <c r="F1603" s="166" t="s">
        <v>1133</v>
      </c>
      <c r="G1603" s="166" t="s">
        <v>129</v>
      </c>
      <c r="H1603" s="166">
        <v>0</v>
      </c>
      <c r="I1603" s="166">
        <v>0</v>
      </c>
      <c r="J1603" s="166">
        <v>0</v>
      </c>
      <c r="K1603" s="166" t="str">
        <f t="shared" ref="K1603:K1666" si="25">_xlfn.CONCAT(_xlfn.IFS(ISNUMBER(SEARCH("EN",A1603)),"ENTITY",ISNUMBER(SEARCH("IN",A1603)),"INSTRUMENT",ISNUMBER(SEARCH("PR",A1603)),"PROTECTION",ISNUMBER(SEARCH("IP",A1603)),"INSTR_PROTECTION",ISNUMBER(SEARCH("IE",A1603)),"INSTR_ENTITY",ISNUMBER(SEARCH("AC",A1603)),"INSTR_ACTIVITY"),D1603)</f>
        <v>INSTRUMENTBLNC_SHT_RCGNTN</v>
      </c>
    </row>
    <row r="1604" spans="1:11" hidden="1">
      <c r="A1604" s="166" t="s">
        <v>4578</v>
      </c>
      <c r="B1604" s="166" t="s">
        <v>4579</v>
      </c>
      <c r="C1604" s="166" t="s">
        <v>1142</v>
      </c>
      <c r="D1604" s="166" t="s">
        <v>1266</v>
      </c>
      <c r="E1604" s="166" t="s">
        <v>1132</v>
      </c>
      <c r="F1604" s="166" t="s">
        <v>1133</v>
      </c>
      <c r="G1604" s="166" t="s">
        <v>129</v>
      </c>
      <c r="H1604" s="166">
        <v>2493</v>
      </c>
      <c r="I1604" s="166">
        <v>0</v>
      </c>
      <c r="J1604" s="166">
        <v>0</v>
      </c>
      <c r="K1604" s="166" t="str">
        <f t="shared" si="25"/>
        <v>INSTRUMENTEXCLDD_LF</v>
      </c>
    </row>
    <row r="1605" spans="1:11" hidden="1">
      <c r="A1605" s="166" t="s">
        <v>4580</v>
      </c>
      <c r="B1605" s="166" t="s">
        <v>4581</v>
      </c>
      <c r="C1605" s="166" t="s">
        <v>1131</v>
      </c>
      <c r="D1605" s="166" t="s">
        <v>1266</v>
      </c>
      <c r="E1605" s="166" t="s">
        <v>1132</v>
      </c>
      <c r="F1605" s="166" t="s">
        <v>1133</v>
      </c>
      <c r="G1605" s="166" t="s">
        <v>129</v>
      </c>
      <c r="H1605" s="166">
        <v>103592</v>
      </c>
      <c r="I1605" s="166">
        <v>0</v>
      </c>
      <c r="J1605" s="166">
        <v>0</v>
      </c>
      <c r="K1605" s="166" t="str">
        <f t="shared" si="25"/>
        <v>INSTRUMENTEXCLDD_LF</v>
      </c>
    </row>
    <row r="1606" spans="1:11" hidden="1">
      <c r="A1606" s="166" t="s">
        <v>4582</v>
      </c>
      <c r="B1606" s="166" t="s">
        <v>4583</v>
      </c>
      <c r="C1606" s="166" t="s">
        <v>1142</v>
      </c>
      <c r="D1606" s="166" t="s">
        <v>1266</v>
      </c>
      <c r="E1606" s="166" t="s">
        <v>1132</v>
      </c>
      <c r="F1606" s="166" t="s">
        <v>1133</v>
      </c>
      <c r="G1606" s="166" t="s">
        <v>129</v>
      </c>
      <c r="H1606" s="166">
        <v>96768</v>
      </c>
      <c r="I1606" s="166">
        <v>0</v>
      </c>
      <c r="J1606" s="166">
        <v>0</v>
      </c>
      <c r="K1606" s="166" t="str">
        <f t="shared" si="25"/>
        <v>INSTRUMENTEXCLDD_LF</v>
      </c>
    </row>
    <row r="1607" spans="1:11" hidden="1">
      <c r="A1607" s="166" t="s">
        <v>4584</v>
      </c>
      <c r="B1607" s="166" t="s">
        <v>4585</v>
      </c>
      <c r="C1607" s="166" t="s">
        <v>1131</v>
      </c>
      <c r="D1607" s="166" t="s">
        <v>1266</v>
      </c>
      <c r="E1607" s="166" t="s">
        <v>1132</v>
      </c>
      <c r="F1607" s="166" t="s">
        <v>1133</v>
      </c>
      <c r="G1607" s="166" t="s">
        <v>129</v>
      </c>
      <c r="H1607" s="166">
        <v>50</v>
      </c>
      <c r="I1607" s="166">
        <v>0</v>
      </c>
      <c r="J1607" s="166">
        <v>0</v>
      </c>
      <c r="K1607" s="166" t="str">
        <f t="shared" si="25"/>
        <v>INSTRUMENTEXCLDD_LF</v>
      </c>
    </row>
    <row r="1608" spans="1:11" hidden="1">
      <c r="A1608" s="166" t="s">
        <v>4586</v>
      </c>
      <c r="B1608" s="166" t="s">
        <v>4587</v>
      </c>
      <c r="C1608" s="166" t="s">
        <v>1131</v>
      </c>
      <c r="D1608" s="166" t="s">
        <v>1266</v>
      </c>
      <c r="E1608" s="166" t="s">
        <v>1132</v>
      </c>
      <c r="F1608" s="166" t="s">
        <v>1133</v>
      </c>
      <c r="G1608" s="166" t="s">
        <v>129</v>
      </c>
      <c r="H1608" s="166">
        <v>565</v>
      </c>
      <c r="I1608" s="166">
        <v>0</v>
      </c>
      <c r="J1608" s="166">
        <v>0</v>
      </c>
      <c r="K1608" s="166" t="str">
        <f t="shared" si="25"/>
        <v>INSTRUMENTEXCLDD_LF</v>
      </c>
    </row>
    <row r="1609" spans="1:11" hidden="1">
      <c r="A1609" s="166" t="s">
        <v>4588</v>
      </c>
      <c r="B1609" s="166" t="s">
        <v>4589</v>
      </c>
      <c r="C1609" s="166" t="s">
        <v>1131</v>
      </c>
      <c r="D1609" s="166" t="s">
        <v>1266</v>
      </c>
      <c r="E1609" s="166" t="s">
        <v>1132</v>
      </c>
      <c r="F1609" s="166" t="s">
        <v>1133</v>
      </c>
      <c r="G1609" s="166" t="s">
        <v>129</v>
      </c>
      <c r="H1609" s="166">
        <v>371002</v>
      </c>
      <c r="I1609" s="166">
        <v>0</v>
      </c>
      <c r="J1609" s="166">
        <v>0</v>
      </c>
      <c r="K1609" s="166" t="str">
        <f t="shared" si="25"/>
        <v>INSTRUMENTEXCLDD_LF</v>
      </c>
    </row>
    <row r="1610" spans="1:11" hidden="1">
      <c r="A1610" s="166" t="s">
        <v>4590</v>
      </c>
      <c r="B1610" s="166" t="s">
        <v>4591</v>
      </c>
      <c r="C1610" s="166" t="s">
        <v>1392</v>
      </c>
      <c r="D1610" s="166" t="s">
        <v>1266</v>
      </c>
      <c r="E1610" s="166" t="s">
        <v>1132</v>
      </c>
      <c r="F1610" s="166" t="s">
        <v>1133</v>
      </c>
      <c r="G1610" s="166" t="s">
        <v>1134</v>
      </c>
      <c r="H1610" s="166">
        <v>64918</v>
      </c>
      <c r="I1610" s="166">
        <v>19126</v>
      </c>
      <c r="J1610" s="166">
        <v>29.4618</v>
      </c>
      <c r="K1610" s="166" t="str">
        <f t="shared" si="25"/>
        <v>INSTRUMENTEXCLDD_LF</v>
      </c>
    </row>
    <row r="1611" spans="1:11" hidden="1">
      <c r="A1611" s="166" t="s">
        <v>4592</v>
      </c>
      <c r="B1611" s="166" t="s">
        <v>4593</v>
      </c>
      <c r="C1611" s="166" t="s">
        <v>1392</v>
      </c>
      <c r="D1611" s="166" t="s">
        <v>1266</v>
      </c>
      <c r="E1611" s="166" t="s">
        <v>1132</v>
      </c>
      <c r="F1611" s="166" t="s">
        <v>1133</v>
      </c>
      <c r="G1611" s="166" t="s">
        <v>129</v>
      </c>
      <c r="H1611" s="166">
        <v>378839</v>
      </c>
      <c r="I1611" s="166">
        <v>0</v>
      </c>
      <c r="J1611" s="166">
        <v>0</v>
      </c>
      <c r="K1611" s="166" t="str">
        <f t="shared" si="25"/>
        <v>INSTRUMENTEXCLDD_LF</v>
      </c>
    </row>
    <row r="1612" spans="1:11" hidden="1">
      <c r="A1612" s="166" t="s">
        <v>4594</v>
      </c>
      <c r="B1612" s="166" t="s">
        <v>4595</v>
      </c>
      <c r="C1612" s="166" t="s">
        <v>1131</v>
      </c>
      <c r="D1612" s="166" t="s">
        <v>1319</v>
      </c>
      <c r="E1612" s="166" t="s">
        <v>1132</v>
      </c>
      <c r="F1612" s="166" t="s">
        <v>1133</v>
      </c>
      <c r="G1612" s="166" t="s">
        <v>1134</v>
      </c>
      <c r="H1612" s="166">
        <v>378839</v>
      </c>
      <c r="I1612" s="166">
        <v>7</v>
      </c>
      <c r="J1612" s="166">
        <v>1.8E-3</v>
      </c>
      <c r="K1612" s="166" t="str">
        <f t="shared" si="25"/>
        <v>INSTRUMENTRWA_PRMTGTN</v>
      </c>
    </row>
    <row r="1613" spans="1:11" hidden="1">
      <c r="A1613" s="166" t="s">
        <v>4596</v>
      </c>
      <c r="B1613" s="166" t="s">
        <v>4597</v>
      </c>
      <c r="C1613" s="166" t="s">
        <v>1131</v>
      </c>
      <c r="D1613" s="166" t="s">
        <v>1319</v>
      </c>
      <c r="E1613" s="166" t="s">
        <v>1132</v>
      </c>
      <c r="F1613" s="166" t="s">
        <v>1133</v>
      </c>
      <c r="G1613" s="166" t="s">
        <v>1134</v>
      </c>
      <c r="H1613" s="166">
        <v>378839</v>
      </c>
      <c r="I1613" s="166">
        <v>108</v>
      </c>
      <c r="J1613" s="166">
        <v>2.8500000000000001E-2</v>
      </c>
      <c r="K1613" s="166" t="str">
        <f t="shared" si="25"/>
        <v>INSTRUMENTRWA_PRMTGTN</v>
      </c>
    </row>
    <row r="1614" spans="1:11" hidden="1">
      <c r="A1614" s="166" t="s">
        <v>4598</v>
      </c>
      <c r="B1614" s="166" t="s">
        <v>4599</v>
      </c>
      <c r="C1614" s="166" t="s">
        <v>1131</v>
      </c>
      <c r="D1614" s="166" t="s">
        <v>1313</v>
      </c>
      <c r="E1614" s="166" t="s">
        <v>1132</v>
      </c>
      <c r="F1614" s="166" t="s">
        <v>1133</v>
      </c>
      <c r="G1614" s="166" t="s">
        <v>1134</v>
      </c>
      <c r="H1614" s="166">
        <v>105</v>
      </c>
      <c r="I1614" s="166">
        <v>92</v>
      </c>
      <c r="J1614" s="166">
        <v>87.619</v>
      </c>
      <c r="K1614" s="166" t="str">
        <f t="shared" si="25"/>
        <v>INSTRUMENTTYP_DL</v>
      </c>
    </row>
    <row r="1615" spans="1:11" hidden="1">
      <c r="A1615" s="166" t="s">
        <v>4600</v>
      </c>
      <c r="B1615" s="166" t="s">
        <v>4601</v>
      </c>
      <c r="C1615" s="166" t="s">
        <v>1131</v>
      </c>
      <c r="D1615" s="166" t="s">
        <v>1313</v>
      </c>
      <c r="E1615" s="166" t="s">
        <v>1132</v>
      </c>
      <c r="F1615" s="166" t="s">
        <v>1133</v>
      </c>
      <c r="G1615" s="166" t="s">
        <v>1134</v>
      </c>
      <c r="H1615" s="166">
        <v>19744</v>
      </c>
      <c r="I1615" s="166">
        <v>19492</v>
      </c>
      <c r="J1615" s="166">
        <v>98.723699999999994</v>
      </c>
      <c r="K1615" s="166" t="str">
        <f t="shared" si="25"/>
        <v>INSTRUMENTTYP_DL</v>
      </c>
    </row>
    <row r="1616" spans="1:11" hidden="1">
      <c r="A1616" s="166" t="s">
        <v>4602</v>
      </c>
      <c r="B1616" s="166" t="s">
        <v>4603</v>
      </c>
      <c r="C1616" s="166" t="s">
        <v>1131</v>
      </c>
      <c r="D1616" s="166" t="s">
        <v>1313</v>
      </c>
      <c r="E1616" s="166" t="s">
        <v>1132</v>
      </c>
      <c r="F1616" s="166" t="s">
        <v>1133</v>
      </c>
      <c r="G1616" s="166" t="s">
        <v>129</v>
      </c>
      <c r="H1616" s="166">
        <v>378734</v>
      </c>
      <c r="I1616" s="166">
        <v>0</v>
      </c>
      <c r="J1616" s="166">
        <v>0</v>
      </c>
      <c r="K1616" s="166" t="str">
        <f t="shared" si="25"/>
        <v>INSTRUMENTTYP_DL</v>
      </c>
    </row>
    <row r="1617" spans="1:11" hidden="1">
      <c r="A1617" s="166" t="s">
        <v>4604</v>
      </c>
      <c r="B1617" s="166" t="s">
        <v>4605</v>
      </c>
      <c r="C1617" s="166" t="s">
        <v>127</v>
      </c>
      <c r="D1617" s="166" t="s">
        <v>565</v>
      </c>
      <c r="E1617" s="166" t="s">
        <v>1132</v>
      </c>
      <c r="F1617" s="166" t="s">
        <v>1133</v>
      </c>
      <c r="G1617" s="166" t="s">
        <v>129</v>
      </c>
      <c r="H1617" s="166">
        <v>47433</v>
      </c>
      <c r="I1617" s="166">
        <v>0</v>
      </c>
      <c r="J1617" s="166">
        <v>0</v>
      </c>
      <c r="K1617" s="166" t="str">
        <f t="shared" si="25"/>
        <v>INSTRUMENTPRTNR</v>
      </c>
    </row>
    <row r="1618" spans="1:11" hidden="1">
      <c r="A1618" s="166" t="s">
        <v>4606</v>
      </c>
      <c r="B1618" s="166" t="s">
        <v>4607</v>
      </c>
      <c r="C1618" s="166" t="s">
        <v>127</v>
      </c>
      <c r="D1618" s="166" t="s">
        <v>566</v>
      </c>
      <c r="E1618" s="166" t="s">
        <v>1132</v>
      </c>
      <c r="F1618" s="166" t="s">
        <v>1133</v>
      </c>
      <c r="G1618" s="166" t="s">
        <v>129</v>
      </c>
      <c r="H1618" s="166">
        <v>47433</v>
      </c>
      <c r="I1618" s="166">
        <v>0</v>
      </c>
      <c r="J1618" s="166">
        <v>0</v>
      </c>
      <c r="K1618" s="166" t="str">
        <f t="shared" si="25"/>
        <v>INSTRUMENTINCNTVS</v>
      </c>
    </row>
    <row r="1619" spans="1:11" hidden="1">
      <c r="A1619" s="166" t="s">
        <v>4608</v>
      </c>
      <c r="B1619" s="166" t="s">
        <v>4609</v>
      </c>
      <c r="C1619" s="166" t="s">
        <v>127</v>
      </c>
      <c r="D1619" s="166" t="s">
        <v>567</v>
      </c>
      <c r="E1619" s="166" t="s">
        <v>1132</v>
      </c>
      <c r="F1619" s="166" t="s">
        <v>1133</v>
      </c>
      <c r="G1619" s="166" t="s">
        <v>129</v>
      </c>
      <c r="H1619" s="166">
        <v>47433</v>
      </c>
      <c r="I1619" s="166">
        <v>0</v>
      </c>
      <c r="J1619" s="166">
        <v>0</v>
      </c>
      <c r="K1619" s="166" t="str">
        <f t="shared" si="25"/>
        <v>INSTRUMENTOTHR_OPRTNG_INCM</v>
      </c>
    </row>
    <row r="1620" spans="1:11" hidden="1">
      <c r="A1620" s="166" t="s">
        <v>4610</v>
      </c>
      <c r="B1620" s="166" t="s">
        <v>4611</v>
      </c>
      <c r="C1620" s="166" t="s">
        <v>127</v>
      </c>
      <c r="D1620" s="166" t="s">
        <v>568</v>
      </c>
      <c r="E1620" s="166" t="s">
        <v>10</v>
      </c>
      <c r="F1620" s="166" t="s">
        <v>1133</v>
      </c>
      <c r="G1620" s="166" t="s">
        <v>129</v>
      </c>
      <c r="H1620" s="166">
        <v>47433</v>
      </c>
      <c r="I1620" s="166">
        <v>0</v>
      </c>
      <c r="J1620" s="166">
        <v>0</v>
      </c>
      <c r="K1620" s="166" t="str">
        <f t="shared" si="25"/>
        <v>INSTRUMENTRFRRL_FS</v>
      </c>
    </row>
    <row r="1621" spans="1:11" hidden="1">
      <c r="A1621" s="166" t="s">
        <v>4612</v>
      </c>
      <c r="B1621" s="166" t="s">
        <v>4613</v>
      </c>
      <c r="C1621" s="166" t="s">
        <v>127</v>
      </c>
      <c r="D1621" s="166" t="s">
        <v>4614</v>
      </c>
      <c r="E1621" s="166" t="s">
        <v>10</v>
      </c>
      <c r="F1621" s="166" t="s">
        <v>1133</v>
      </c>
      <c r="G1621" s="166" t="s">
        <v>129</v>
      </c>
      <c r="H1621" s="166">
        <v>47433</v>
      </c>
      <c r="I1621" s="166">
        <v>0</v>
      </c>
      <c r="J1621" s="166">
        <v>0</v>
      </c>
      <c r="K1621" s="166" t="str">
        <f t="shared" si="25"/>
        <v>INSTRUMENTINSRNC_CMMSSNS</v>
      </c>
    </row>
    <row r="1622" spans="1:11" hidden="1">
      <c r="A1622" s="166" t="s">
        <v>4615</v>
      </c>
      <c r="B1622" s="166" t="s">
        <v>4616</v>
      </c>
      <c r="C1622" s="166" t="s">
        <v>127</v>
      </c>
      <c r="D1622" s="166" t="s">
        <v>570</v>
      </c>
      <c r="E1622" s="166" t="s">
        <v>10</v>
      </c>
      <c r="F1622" s="166" t="s">
        <v>1133</v>
      </c>
      <c r="G1622" s="166" t="s">
        <v>129</v>
      </c>
      <c r="H1622" s="166">
        <v>47433</v>
      </c>
      <c r="I1622" s="166">
        <v>0</v>
      </c>
      <c r="J1622" s="166">
        <v>0</v>
      </c>
      <c r="K1622" s="166" t="str">
        <f t="shared" si="25"/>
        <v>INSTRUMENTOTHR_INCM_AND_CHRGS</v>
      </c>
    </row>
    <row r="1623" spans="1:11" hidden="1">
      <c r="A1623" s="166" t="s">
        <v>4617</v>
      </c>
      <c r="B1623" s="166" t="s">
        <v>4618</v>
      </c>
      <c r="C1623" s="166" t="s">
        <v>127</v>
      </c>
      <c r="D1623" s="166" t="s">
        <v>571</v>
      </c>
      <c r="E1623" s="166" t="s">
        <v>10</v>
      </c>
      <c r="F1623" s="166" t="s">
        <v>1133</v>
      </c>
      <c r="G1623" s="166" t="s">
        <v>129</v>
      </c>
      <c r="H1623" s="166">
        <v>47433</v>
      </c>
      <c r="I1623" s="166">
        <v>0</v>
      </c>
      <c r="J1623" s="166">
        <v>0</v>
      </c>
      <c r="K1623" s="166" t="str">
        <f t="shared" si="25"/>
        <v>INSTRUMENTTX_ON_PRFT</v>
      </c>
    </row>
    <row r="1624" spans="1:11" hidden="1">
      <c r="A1624" s="166" t="s">
        <v>4619</v>
      </c>
      <c r="B1624" s="166" t="s">
        <v>4620</v>
      </c>
      <c r="C1624" s="166" t="s">
        <v>1131</v>
      </c>
      <c r="D1624" s="166" t="s">
        <v>1268</v>
      </c>
      <c r="E1624" s="166" t="s">
        <v>1132</v>
      </c>
      <c r="F1624" s="166" t="s">
        <v>1133</v>
      </c>
      <c r="G1624" s="166" t="s">
        <v>129</v>
      </c>
      <c r="H1624" s="166">
        <v>0</v>
      </c>
      <c r="I1624" s="166">
        <v>0</v>
      </c>
      <c r="J1624" s="166">
        <v>0</v>
      </c>
      <c r="K1624" s="166" t="str">
        <f t="shared" si="25"/>
        <v>INSTRUMENTPD_EC_INCPTN</v>
      </c>
    </row>
    <row r="1625" spans="1:11" hidden="1">
      <c r="A1625" s="166" t="s">
        <v>4621</v>
      </c>
      <c r="B1625" s="166" t="s">
        <v>4622</v>
      </c>
      <c r="C1625" s="166" t="s">
        <v>1131</v>
      </c>
      <c r="D1625" s="166" t="s">
        <v>1267</v>
      </c>
      <c r="E1625" s="166" t="s">
        <v>1132</v>
      </c>
      <c r="F1625" s="166" t="s">
        <v>1133</v>
      </c>
      <c r="G1625" s="166" t="s">
        <v>1134</v>
      </c>
      <c r="H1625" s="166">
        <v>130343</v>
      </c>
      <c r="I1625" s="166">
        <v>4</v>
      </c>
      <c r="J1625" s="166">
        <v>3.0999999999999999E-3</v>
      </c>
      <c r="K1625" s="166" t="str">
        <f t="shared" si="25"/>
        <v>INSTRUMENTPD_EC_RD</v>
      </c>
    </row>
    <row r="1626" spans="1:11" hidden="1">
      <c r="A1626" s="166" t="s">
        <v>4623</v>
      </c>
      <c r="B1626" s="166" t="s">
        <v>4624</v>
      </c>
      <c r="C1626" s="166" t="s">
        <v>1131</v>
      </c>
      <c r="D1626" s="166" t="s">
        <v>1316</v>
      </c>
      <c r="E1626" s="166" t="s">
        <v>1132</v>
      </c>
      <c r="F1626" s="166" t="s">
        <v>1133</v>
      </c>
      <c r="G1626" s="166" t="s">
        <v>129</v>
      </c>
      <c r="H1626" s="166">
        <v>378538</v>
      </c>
      <c r="I1626" s="166">
        <v>0</v>
      </c>
      <c r="J1626" s="166">
        <v>0</v>
      </c>
      <c r="K1626" s="166" t="str">
        <f t="shared" si="25"/>
        <v>INSTRUMENTTTL_LVRG_RT_INCPTN_HLT</v>
      </c>
    </row>
    <row r="1627" spans="1:11" hidden="1">
      <c r="A1627" s="166" t="s">
        <v>4625</v>
      </c>
      <c r="B1627" s="166" t="s">
        <v>4626</v>
      </c>
      <c r="C1627" s="166" t="s">
        <v>1131</v>
      </c>
      <c r="D1627" s="166" t="s">
        <v>1316</v>
      </c>
      <c r="E1627" s="166" t="s">
        <v>1132</v>
      </c>
      <c r="F1627" s="166" t="s">
        <v>1133</v>
      </c>
      <c r="G1627" s="166" t="s">
        <v>129</v>
      </c>
      <c r="H1627" s="166">
        <v>301</v>
      </c>
      <c r="I1627" s="166">
        <v>0</v>
      </c>
      <c r="J1627" s="166">
        <v>0</v>
      </c>
      <c r="K1627" s="166" t="str">
        <f t="shared" si="25"/>
        <v>INSTRUMENTTTL_LVRG_RT_INCPTN_HLT</v>
      </c>
    </row>
    <row r="1628" spans="1:11" hidden="1">
      <c r="A1628" s="166" t="s">
        <v>4627</v>
      </c>
      <c r="B1628" s="166" t="s">
        <v>4628</v>
      </c>
      <c r="C1628" s="166" t="s">
        <v>1131</v>
      </c>
      <c r="D1628" s="166" t="s">
        <v>1316</v>
      </c>
      <c r="E1628" s="166" t="s">
        <v>1132</v>
      </c>
      <c r="F1628" s="166" t="s">
        <v>1133</v>
      </c>
      <c r="G1628" s="166" t="s">
        <v>129</v>
      </c>
      <c r="H1628" s="166">
        <v>301</v>
      </c>
      <c r="I1628" s="166">
        <v>0</v>
      </c>
      <c r="J1628" s="166">
        <v>0</v>
      </c>
      <c r="K1628" s="166" t="str">
        <f t="shared" si="25"/>
        <v>INSTRUMENTTTL_LVRG_RT_INCPTN_HLT</v>
      </c>
    </row>
    <row r="1629" spans="1:11" hidden="1">
      <c r="A1629" s="166" t="s">
        <v>4629</v>
      </c>
      <c r="B1629" s="166" t="s">
        <v>4630</v>
      </c>
      <c r="C1629" s="166" t="s">
        <v>1131</v>
      </c>
      <c r="D1629" s="166" t="s">
        <v>1328</v>
      </c>
      <c r="E1629" s="166" t="s">
        <v>1132</v>
      </c>
      <c r="F1629" s="166" t="s">
        <v>1133</v>
      </c>
      <c r="G1629" s="166" t="s">
        <v>1134</v>
      </c>
      <c r="H1629" s="166">
        <v>36260</v>
      </c>
      <c r="I1629" s="166">
        <v>36260</v>
      </c>
      <c r="J1629" s="166">
        <v>100</v>
      </c>
      <c r="K1629" s="166" t="str">
        <f t="shared" si="25"/>
        <v>INSTRUMENTDT_MDFCTN</v>
      </c>
    </row>
    <row r="1630" spans="1:11" hidden="1">
      <c r="A1630" s="166" t="s">
        <v>4631</v>
      </c>
      <c r="B1630" s="166" t="s">
        <v>4632</v>
      </c>
      <c r="C1630" s="166" t="s">
        <v>1131</v>
      </c>
      <c r="D1630" s="166" t="s">
        <v>1328</v>
      </c>
      <c r="E1630" s="166" t="s">
        <v>1132</v>
      </c>
      <c r="F1630" s="166" t="s">
        <v>1133</v>
      </c>
      <c r="G1630" s="166" t="s">
        <v>1134</v>
      </c>
      <c r="H1630" s="166">
        <v>3769</v>
      </c>
      <c r="I1630" s="166">
        <v>2</v>
      </c>
      <c r="J1630" s="166">
        <v>5.3100000000000001E-2</v>
      </c>
      <c r="K1630" s="166" t="str">
        <f t="shared" si="25"/>
        <v>INSTRUMENTDT_MDFCTN</v>
      </c>
    </row>
    <row r="1631" spans="1:11" hidden="1">
      <c r="A1631" s="166" t="s">
        <v>4633</v>
      </c>
      <c r="B1631" s="166" t="s">
        <v>4634</v>
      </c>
      <c r="C1631" s="166" t="s">
        <v>1131</v>
      </c>
      <c r="D1631" s="166" t="s">
        <v>1328</v>
      </c>
      <c r="E1631" s="166" t="s">
        <v>1132</v>
      </c>
      <c r="F1631" s="166" t="s">
        <v>1133</v>
      </c>
      <c r="G1631" s="166" t="s">
        <v>129</v>
      </c>
      <c r="H1631" s="166">
        <v>3769</v>
      </c>
      <c r="I1631" s="166">
        <v>0</v>
      </c>
      <c r="J1631" s="166">
        <v>0</v>
      </c>
      <c r="K1631" s="166" t="str">
        <f t="shared" si="25"/>
        <v>INSTRUMENTDT_MDFCTN</v>
      </c>
    </row>
    <row r="1632" spans="1:11" hidden="1">
      <c r="A1632" s="166" t="s">
        <v>4635</v>
      </c>
      <c r="B1632" s="166" t="s">
        <v>4636</v>
      </c>
      <c r="C1632" s="166" t="s">
        <v>1160</v>
      </c>
      <c r="D1632" s="166" t="s">
        <v>1323</v>
      </c>
      <c r="E1632" s="166" t="s">
        <v>10</v>
      </c>
      <c r="F1632" s="166" t="s">
        <v>4637</v>
      </c>
      <c r="G1632" s="166" t="s">
        <v>129</v>
      </c>
      <c r="H1632" s="166">
        <v>32536</v>
      </c>
      <c r="I1632" s="166">
        <v>0</v>
      </c>
      <c r="J1632" s="166">
        <v>0</v>
      </c>
      <c r="K1632" s="166" t="str">
        <f t="shared" si="25"/>
        <v>INSTR_PROTECTIONGRP_SPPRT</v>
      </c>
    </row>
    <row r="1633" spans="1:11" hidden="1">
      <c r="A1633" s="166" t="s">
        <v>4638</v>
      </c>
      <c r="B1633" s="166" t="s">
        <v>4639</v>
      </c>
      <c r="C1633" s="166" t="s">
        <v>1160</v>
      </c>
      <c r="D1633" s="166" t="s">
        <v>269</v>
      </c>
      <c r="E1633" s="166" t="s">
        <v>1132</v>
      </c>
      <c r="F1633" s="166" t="s">
        <v>4640</v>
      </c>
      <c r="G1633" s="166" t="s">
        <v>129</v>
      </c>
      <c r="H1633" s="166">
        <v>277350</v>
      </c>
      <c r="I1633" s="166">
        <v>0</v>
      </c>
      <c r="J1633" s="166">
        <v>0</v>
      </c>
      <c r="K1633" s="166" t="str">
        <f t="shared" si="25"/>
        <v>PROTECTIONDT_MTRTY_PRTCTN</v>
      </c>
    </row>
    <row r="1634" spans="1:11" hidden="1">
      <c r="A1634" s="166" t="s">
        <v>4641</v>
      </c>
      <c r="B1634" s="166" t="s">
        <v>4642</v>
      </c>
      <c r="C1634" s="166" t="s">
        <v>4643</v>
      </c>
      <c r="D1634" s="166" t="s">
        <v>269</v>
      </c>
      <c r="E1634" s="166" t="s">
        <v>1132</v>
      </c>
      <c r="F1634" s="166" t="s">
        <v>4640</v>
      </c>
      <c r="G1634" s="166" t="s">
        <v>129</v>
      </c>
      <c r="H1634" s="166">
        <v>161924</v>
      </c>
      <c r="I1634" s="166">
        <v>0</v>
      </c>
      <c r="J1634" s="166">
        <v>0</v>
      </c>
      <c r="K1634" s="166" t="str">
        <f t="shared" si="25"/>
        <v>PROTECTIONDT_MTRTY_PRTCTN</v>
      </c>
    </row>
    <row r="1635" spans="1:11" hidden="1">
      <c r="A1635" s="166" t="s">
        <v>4644</v>
      </c>
      <c r="B1635" s="166" t="s">
        <v>4645</v>
      </c>
      <c r="C1635" s="166" t="s">
        <v>4643</v>
      </c>
      <c r="D1635" s="166" t="s">
        <v>275</v>
      </c>
      <c r="E1635" s="166" t="s">
        <v>1132</v>
      </c>
      <c r="F1635" s="166" t="s">
        <v>4640</v>
      </c>
      <c r="G1635" s="166" t="s">
        <v>129</v>
      </c>
      <c r="H1635" s="166">
        <v>272377</v>
      </c>
      <c r="I1635" s="166">
        <v>0</v>
      </c>
      <c r="J1635" s="166">
        <v>0</v>
      </c>
      <c r="K1635" s="166" t="str">
        <f t="shared" si="25"/>
        <v>PROTECTIONNTNL_ID</v>
      </c>
    </row>
    <row r="1636" spans="1:11" hidden="1">
      <c r="A1636" s="166" t="s">
        <v>4646</v>
      </c>
      <c r="B1636" s="166" t="s">
        <v>769</v>
      </c>
      <c r="C1636" s="166" t="s">
        <v>4643</v>
      </c>
      <c r="D1636" s="166" t="s">
        <v>275</v>
      </c>
      <c r="E1636" s="166" t="s">
        <v>1132</v>
      </c>
      <c r="F1636" s="166" t="s">
        <v>4640</v>
      </c>
      <c r="G1636" s="166" t="s">
        <v>129</v>
      </c>
      <c r="H1636" s="166">
        <v>192749</v>
      </c>
      <c r="I1636" s="166">
        <v>0</v>
      </c>
      <c r="J1636" s="166">
        <v>0</v>
      </c>
      <c r="K1636" s="166" t="str">
        <f t="shared" si="25"/>
        <v>PROTECTIONNTNL_ID</v>
      </c>
    </row>
    <row r="1637" spans="1:11" hidden="1">
      <c r="A1637" s="166" t="s">
        <v>4647</v>
      </c>
      <c r="B1637" s="166" t="s">
        <v>4648</v>
      </c>
      <c r="C1637" s="166" t="s">
        <v>4643</v>
      </c>
      <c r="D1637" s="166" t="s">
        <v>486</v>
      </c>
      <c r="E1637" s="166" t="s">
        <v>1132</v>
      </c>
      <c r="F1637" s="166" t="s">
        <v>4640</v>
      </c>
      <c r="G1637" s="166" t="s">
        <v>129</v>
      </c>
      <c r="H1637" s="166">
        <v>272377</v>
      </c>
      <c r="I1637" s="166">
        <v>0</v>
      </c>
      <c r="J1637" s="166">
        <v>0</v>
      </c>
      <c r="K1637" s="166" t="str">
        <f t="shared" si="25"/>
        <v>PROTECTIONRL_ESTT_ADDRSS</v>
      </c>
    </row>
    <row r="1638" spans="1:11" hidden="1">
      <c r="A1638" s="166" t="s">
        <v>4649</v>
      </c>
      <c r="B1638" s="166" t="s">
        <v>4650</v>
      </c>
      <c r="C1638" s="166" t="s">
        <v>4643</v>
      </c>
      <c r="D1638" s="166" t="s">
        <v>486</v>
      </c>
      <c r="E1638" s="166" t="s">
        <v>1132</v>
      </c>
      <c r="F1638" s="166" t="s">
        <v>4640</v>
      </c>
      <c r="G1638" s="166" t="s">
        <v>129</v>
      </c>
      <c r="H1638" s="166">
        <v>192749</v>
      </c>
      <c r="I1638" s="166">
        <v>0</v>
      </c>
      <c r="J1638" s="166">
        <v>0</v>
      </c>
      <c r="K1638" s="166" t="str">
        <f t="shared" si="25"/>
        <v>PROTECTIONRL_ESTT_ADDRSS</v>
      </c>
    </row>
    <row r="1639" spans="1:11" hidden="1">
      <c r="A1639" s="166" t="s">
        <v>4651</v>
      </c>
      <c r="B1639" s="166" t="s">
        <v>4652</v>
      </c>
      <c r="C1639" s="166" t="s">
        <v>4643</v>
      </c>
      <c r="D1639" s="166" t="s">
        <v>175</v>
      </c>
      <c r="E1639" s="166" t="s">
        <v>1132</v>
      </c>
      <c r="F1639" s="166" t="s">
        <v>4640</v>
      </c>
      <c r="G1639" s="166" t="s">
        <v>129</v>
      </c>
      <c r="H1639" s="166">
        <v>272377</v>
      </c>
      <c r="I1639" s="166">
        <v>0</v>
      </c>
      <c r="J1639" s="166">
        <v>0</v>
      </c>
      <c r="K1639" s="166" t="str">
        <f t="shared" si="25"/>
        <v>PROTECTIONRL_ESTT_CLLTRL_LCTN</v>
      </c>
    </row>
    <row r="1640" spans="1:11" hidden="1">
      <c r="A1640" s="166" t="s">
        <v>4653</v>
      </c>
      <c r="B1640" s="166" t="s">
        <v>4654</v>
      </c>
      <c r="C1640" s="166" t="s">
        <v>4643</v>
      </c>
      <c r="D1640" s="166" t="s">
        <v>175</v>
      </c>
      <c r="E1640" s="166" t="s">
        <v>1132</v>
      </c>
      <c r="F1640" s="166" t="s">
        <v>4640</v>
      </c>
      <c r="G1640" s="166" t="s">
        <v>129</v>
      </c>
      <c r="H1640" s="166">
        <v>192749</v>
      </c>
      <c r="I1640" s="166">
        <v>0</v>
      </c>
      <c r="J1640" s="166">
        <v>0</v>
      </c>
      <c r="K1640" s="166" t="str">
        <f t="shared" si="25"/>
        <v>PROTECTIONRL_ESTT_CLLTRL_LCTN</v>
      </c>
    </row>
    <row r="1641" spans="1:11" hidden="1">
      <c r="A1641" s="166" t="s">
        <v>4655</v>
      </c>
      <c r="B1641" s="166" t="s">
        <v>4656</v>
      </c>
      <c r="C1641" s="166" t="s">
        <v>4643</v>
      </c>
      <c r="D1641" s="166" t="s">
        <v>488</v>
      </c>
      <c r="E1641" s="166" t="s">
        <v>1132</v>
      </c>
      <c r="F1641" s="166" t="s">
        <v>4640</v>
      </c>
      <c r="G1641" s="166" t="s">
        <v>129</v>
      </c>
      <c r="H1641" s="166">
        <v>272377</v>
      </c>
      <c r="I1641" s="166">
        <v>0</v>
      </c>
      <c r="J1641" s="166">
        <v>0</v>
      </c>
      <c r="K1641" s="166" t="str">
        <f t="shared" si="25"/>
        <v>PROTECTIONRL_ESTT_CLLTRL_LCTN_INT</v>
      </c>
    </row>
    <row r="1642" spans="1:11" hidden="1">
      <c r="A1642" s="166" t="s">
        <v>4657</v>
      </c>
      <c r="B1642" s="166" t="s">
        <v>4658</v>
      </c>
      <c r="C1642" s="166" t="s">
        <v>4643</v>
      </c>
      <c r="D1642" s="166" t="s">
        <v>488</v>
      </c>
      <c r="E1642" s="166" t="s">
        <v>1132</v>
      </c>
      <c r="F1642" s="166" t="s">
        <v>4640</v>
      </c>
      <c r="G1642" s="166" t="s">
        <v>129</v>
      </c>
      <c r="H1642" s="166">
        <v>192749</v>
      </c>
      <c r="I1642" s="166">
        <v>0</v>
      </c>
      <c r="J1642" s="166">
        <v>0</v>
      </c>
      <c r="K1642" s="166" t="str">
        <f t="shared" si="25"/>
        <v>PROTECTIONRL_ESTT_CLLTRL_LCTN_INT</v>
      </c>
    </row>
    <row r="1643" spans="1:11" hidden="1">
      <c r="A1643" s="166" t="s">
        <v>4659</v>
      </c>
      <c r="B1643" s="166" t="s">
        <v>4660</v>
      </c>
      <c r="C1643" s="166" t="s">
        <v>4643</v>
      </c>
      <c r="D1643" s="166" t="s">
        <v>489</v>
      </c>
      <c r="E1643" s="166" t="s">
        <v>1132</v>
      </c>
      <c r="F1643" s="166" t="s">
        <v>4640</v>
      </c>
      <c r="G1643" s="166" t="s">
        <v>129</v>
      </c>
      <c r="H1643" s="166">
        <v>272377</v>
      </c>
      <c r="I1643" s="166">
        <v>0</v>
      </c>
      <c r="J1643" s="166">
        <v>0</v>
      </c>
      <c r="K1643" s="166" t="str">
        <f t="shared" si="25"/>
        <v>PROTECTIONRL_ESTT_CTY</v>
      </c>
    </row>
    <row r="1644" spans="1:11" hidden="1">
      <c r="A1644" s="166" t="s">
        <v>4661</v>
      </c>
      <c r="B1644" s="166" t="s">
        <v>4662</v>
      </c>
      <c r="C1644" s="166" t="s">
        <v>4643</v>
      </c>
      <c r="D1644" s="166" t="s">
        <v>489</v>
      </c>
      <c r="E1644" s="166" t="s">
        <v>1132</v>
      </c>
      <c r="F1644" s="166" t="s">
        <v>4640</v>
      </c>
      <c r="G1644" s="166" t="s">
        <v>129</v>
      </c>
      <c r="H1644" s="166">
        <v>192749</v>
      </c>
      <c r="I1644" s="166">
        <v>0</v>
      </c>
      <c r="J1644" s="166">
        <v>0</v>
      </c>
      <c r="K1644" s="166" t="str">
        <f t="shared" si="25"/>
        <v>PROTECTIONRL_ESTT_CTY</v>
      </c>
    </row>
    <row r="1645" spans="1:11" hidden="1">
      <c r="A1645" s="166" t="s">
        <v>4663</v>
      </c>
      <c r="B1645" s="166" t="s">
        <v>4664</v>
      </c>
      <c r="C1645" s="166" t="s">
        <v>4643</v>
      </c>
      <c r="D1645" s="166" t="s">
        <v>490</v>
      </c>
      <c r="E1645" s="166" t="s">
        <v>1132</v>
      </c>
      <c r="F1645" s="166" t="s">
        <v>4640</v>
      </c>
      <c r="G1645" s="166" t="s">
        <v>129</v>
      </c>
      <c r="H1645" s="166">
        <v>272377</v>
      </c>
      <c r="I1645" s="166">
        <v>0</v>
      </c>
      <c r="J1645" s="166">
        <v>0</v>
      </c>
      <c r="K1645" s="166" t="str">
        <f t="shared" si="25"/>
        <v>PROTECTIONRL_ESTT_PST_CD</v>
      </c>
    </row>
    <row r="1646" spans="1:11" hidden="1">
      <c r="A1646" s="166" t="s">
        <v>4665</v>
      </c>
      <c r="B1646" s="166" t="s">
        <v>4666</v>
      </c>
      <c r="C1646" s="166" t="s">
        <v>4643</v>
      </c>
      <c r="D1646" s="166" t="s">
        <v>490</v>
      </c>
      <c r="E1646" s="166" t="s">
        <v>1132</v>
      </c>
      <c r="F1646" s="166" t="s">
        <v>4640</v>
      </c>
      <c r="G1646" s="166" t="s">
        <v>129</v>
      </c>
      <c r="H1646" s="166">
        <v>192749</v>
      </c>
      <c r="I1646" s="166">
        <v>0</v>
      </c>
      <c r="J1646" s="166">
        <v>0</v>
      </c>
      <c r="K1646" s="166" t="str">
        <f t="shared" si="25"/>
        <v>PROTECTIONRL_ESTT_PST_CD</v>
      </c>
    </row>
    <row r="1647" spans="1:11" hidden="1">
      <c r="A1647" s="166" t="s">
        <v>4667</v>
      </c>
      <c r="B1647" s="166" t="s">
        <v>4668</v>
      </c>
      <c r="C1647" s="166" t="s">
        <v>4643</v>
      </c>
      <c r="D1647" s="166" t="s">
        <v>490</v>
      </c>
      <c r="E1647" s="166" t="s">
        <v>1132</v>
      </c>
      <c r="F1647" s="166" t="s">
        <v>4640</v>
      </c>
      <c r="G1647" s="166" t="s">
        <v>129</v>
      </c>
      <c r="H1647" s="166">
        <v>0</v>
      </c>
      <c r="I1647" s="166">
        <v>0</v>
      </c>
      <c r="J1647" s="166">
        <v>0</v>
      </c>
      <c r="K1647" s="166" t="str">
        <f t="shared" si="25"/>
        <v>PROTECTIONRL_ESTT_PST_CD</v>
      </c>
    </row>
    <row r="1648" spans="1:11" hidden="1">
      <c r="A1648" s="166" t="s">
        <v>4669</v>
      </c>
      <c r="B1648" s="166" t="s">
        <v>4670</v>
      </c>
      <c r="C1648" s="166" t="s">
        <v>4643</v>
      </c>
      <c r="D1648" s="166" t="s">
        <v>490</v>
      </c>
      <c r="E1648" s="166" t="s">
        <v>1132</v>
      </c>
      <c r="F1648" s="166" t="s">
        <v>4640</v>
      </c>
      <c r="G1648" s="166" t="s">
        <v>129</v>
      </c>
      <c r="H1648" s="166">
        <v>0</v>
      </c>
      <c r="I1648" s="166">
        <v>0</v>
      </c>
      <c r="J1648" s="166">
        <v>0</v>
      </c>
      <c r="K1648" s="166" t="str">
        <f t="shared" si="25"/>
        <v>PROTECTIONRL_ESTT_PST_CD</v>
      </c>
    </row>
    <row r="1649" spans="1:11" hidden="1">
      <c r="A1649" s="166" t="s">
        <v>4671</v>
      </c>
      <c r="B1649" s="166" t="s">
        <v>4672</v>
      </c>
      <c r="C1649" s="166" t="s">
        <v>4643</v>
      </c>
      <c r="D1649" s="166" t="s">
        <v>490</v>
      </c>
      <c r="E1649" s="166" t="s">
        <v>1132</v>
      </c>
      <c r="F1649" s="166" t="s">
        <v>4640</v>
      </c>
      <c r="G1649" s="166" t="s">
        <v>129</v>
      </c>
      <c r="H1649" s="166">
        <v>0</v>
      </c>
      <c r="I1649" s="166">
        <v>0</v>
      </c>
      <c r="J1649" s="166">
        <v>0</v>
      </c>
      <c r="K1649" s="166" t="str">
        <f t="shared" si="25"/>
        <v>PROTECTIONRL_ESTT_PST_CD</v>
      </c>
    </row>
    <row r="1650" spans="1:11" hidden="1">
      <c r="A1650" s="166" t="s">
        <v>4673</v>
      </c>
      <c r="B1650" s="166" t="s">
        <v>4674</v>
      </c>
      <c r="C1650" s="166" t="s">
        <v>4643</v>
      </c>
      <c r="D1650" s="166" t="s">
        <v>490</v>
      </c>
      <c r="E1650" s="166" t="s">
        <v>1132</v>
      </c>
      <c r="F1650" s="166" t="s">
        <v>4640</v>
      </c>
      <c r="G1650" s="166" t="s">
        <v>129</v>
      </c>
      <c r="H1650" s="166">
        <v>0</v>
      </c>
      <c r="I1650" s="166">
        <v>0</v>
      </c>
      <c r="J1650" s="166">
        <v>0</v>
      </c>
      <c r="K1650" s="166" t="str">
        <f t="shared" si="25"/>
        <v>PROTECTIONRL_ESTT_PST_CD</v>
      </c>
    </row>
    <row r="1651" spans="1:11" hidden="1">
      <c r="A1651" s="166" t="s">
        <v>4675</v>
      </c>
      <c r="B1651" s="166" t="s">
        <v>4676</v>
      </c>
      <c r="C1651" s="166" t="s">
        <v>1160</v>
      </c>
      <c r="D1651" s="166" t="s">
        <v>490</v>
      </c>
      <c r="E1651" s="166" t="s">
        <v>1132</v>
      </c>
      <c r="F1651" s="166" t="s">
        <v>4640</v>
      </c>
      <c r="G1651" s="166" t="s">
        <v>129</v>
      </c>
      <c r="H1651" s="166">
        <v>0</v>
      </c>
      <c r="I1651" s="166">
        <v>0</v>
      </c>
      <c r="J1651" s="166">
        <v>0</v>
      </c>
      <c r="K1651" s="166" t="str">
        <f t="shared" si="25"/>
        <v>PROTECTIONRL_ESTT_PST_CD</v>
      </c>
    </row>
    <row r="1652" spans="1:11" hidden="1">
      <c r="A1652" s="166" t="s">
        <v>4677</v>
      </c>
      <c r="B1652" s="166" t="s">
        <v>4678</v>
      </c>
      <c r="C1652" s="166" t="s">
        <v>4643</v>
      </c>
      <c r="D1652" s="166" t="s">
        <v>490</v>
      </c>
      <c r="E1652" s="166" t="s">
        <v>1132</v>
      </c>
      <c r="F1652" s="166" t="s">
        <v>4640</v>
      </c>
      <c r="G1652" s="166" t="s">
        <v>129</v>
      </c>
      <c r="H1652" s="166">
        <v>0</v>
      </c>
      <c r="I1652" s="166">
        <v>0</v>
      </c>
      <c r="J1652" s="166">
        <v>0</v>
      </c>
      <c r="K1652" s="166" t="str">
        <f t="shared" si="25"/>
        <v>PROTECTIONRL_ESTT_PST_CD</v>
      </c>
    </row>
    <row r="1653" spans="1:11" hidden="1">
      <c r="A1653" s="166" t="s">
        <v>4679</v>
      </c>
      <c r="B1653" s="166" t="s">
        <v>4680</v>
      </c>
      <c r="C1653" s="166" t="s">
        <v>4643</v>
      </c>
      <c r="D1653" s="166" t="s">
        <v>490</v>
      </c>
      <c r="E1653" s="166" t="s">
        <v>1132</v>
      </c>
      <c r="F1653" s="166" t="s">
        <v>4640</v>
      </c>
      <c r="G1653" s="166" t="s">
        <v>129</v>
      </c>
      <c r="H1653" s="166">
        <v>0</v>
      </c>
      <c r="I1653" s="166">
        <v>0</v>
      </c>
      <c r="J1653" s="166">
        <v>0</v>
      </c>
      <c r="K1653" s="166" t="str">
        <f t="shared" si="25"/>
        <v>PROTECTIONRL_ESTT_PST_CD</v>
      </c>
    </row>
    <row r="1654" spans="1:11" hidden="1">
      <c r="A1654" s="166" t="s">
        <v>4681</v>
      </c>
      <c r="B1654" s="166" t="s">
        <v>4682</v>
      </c>
      <c r="C1654" s="166" t="s">
        <v>4643</v>
      </c>
      <c r="D1654" s="166" t="s">
        <v>490</v>
      </c>
      <c r="E1654" s="166" t="s">
        <v>1132</v>
      </c>
      <c r="F1654" s="166" t="s">
        <v>4640</v>
      </c>
      <c r="G1654" s="166" t="s">
        <v>129</v>
      </c>
      <c r="H1654" s="166">
        <v>0</v>
      </c>
      <c r="I1654" s="166">
        <v>0</v>
      </c>
      <c r="J1654" s="166">
        <v>0</v>
      </c>
      <c r="K1654" s="166" t="str">
        <f t="shared" si="25"/>
        <v>PROTECTIONRL_ESTT_PST_CD</v>
      </c>
    </row>
    <row r="1655" spans="1:11" hidden="1">
      <c r="A1655" s="166" t="s">
        <v>4683</v>
      </c>
      <c r="B1655" s="166" t="s">
        <v>4684</v>
      </c>
      <c r="C1655" s="166" t="s">
        <v>4643</v>
      </c>
      <c r="D1655" s="166" t="s">
        <v>490</v>
      </c>
      <c r="E1655" s="166" t="s">
        <v>1132</v>
      </c>
      <c r="F1655" s="166" t="s">
        <v>4640</v>
      </c>
      <c r="G1655" s="166" t="s">
        <v>129</v>
      </c>
      <c r="H1655" s="166">
        <v>0</v>
      </c>
      <c r="I1655" s="166">
        <v>0</v>
      </c>
      <c r="J1655" s="166">
        <v>0</v>
      </c>
      <c r="K1655" s="166" t="str">
        <f t="shared" si="25"/>
        <v>PROTECTIONRL_ESTT_PST_CD</v>
      </c>
    </row>
    <row r="1656" spans="1:11" hidden="1">
      <c r="A1656" s="166" t="s">
        <v>4685</v>
      </c>
      <c r="B1656" s="166" t="s">
        <v>4686</v>
      </c>
      <c r="C1656" s="166" t="s">
        <v>4643</v>
      </c>
      <c r="D1656" s="166" t="s">
        <v>490</v>
      </c>
      <c r="E1656" s="166" t="s">
        <v>1132</v>
      </c>
      <c r="F1656" s="166" t="s">
        <v>4640</v>
      </c>
      <c r="G1656" s="166" t="s">
        <v>129</v>
      </c>
      <c r="H1656" s="166">
        <v>272377</v>
      </c>
      <c r="I1656" s="166">
        <v>0</v>
      </c>
      <c r="J1656" s="166">
        <v>0</v>
      </c>
      <c r="K1656" s="166" t="str">
        <f t="shared" si="25"/>
        <v>PROTECTIONRL_ESTT_PST_CD</v>
      </c>
    </row>
    <row r="1657" spans="1:11" hidden="1">
      <c r="A1657" s="166" t="s">
        <v>4687</v>
      </c>
      <c r="B1657" s="166" t="s">
        <v>4688</v>
      </c>
      <c r="C1657" s="166" t="s">
        <v>4643</v>
      </c>
      <c r="D1657" s="166" t="s">
        <v>490</v>
      </c>
      <c r="E1657" s="166" t="s">
        <v>1132</v>
      </c>
      <c r="F1657" s="166" t="s">
        <v>4640</v>
      </c>
      <c r="G1657" s="166" t="s">
        <v>129</v>
      </c>
      <c r="H1657" s="166">
        <v>0</v>
      </c>
      <c r="I1657" s="166">
        <v>0</v>
      </c>
      <c r="J1657" s="166">
        <v>0</v>
      </c>
      <c r="K1657" s="166" t="str">
        <f t="shared" si="25"/>
        <v>PROTECTIONRL_ESTT_PST_CD</v>
      </c>
    </row>
    <row r="1658" spans="1:11" hidden="1">
      <c r="A1658" s="166" t="s">
        <v>4689</v>
      </c>
      <c r="B1658" s="166" t="s">
        <v>4690</v>
      </c>
      <c r="C1658" s="166" t="s">
        <v>4643</v>
      </c>
      <c r="D1658" s="166" t="s">
        <v>490</v>
      </c>
      <c r="E1658" s="166" t="s">
        <v>1132</v>
      </c>
      <c r="F1658" s="166" t="s">
        <v>4640</v>
      </c>
      <c r="G1658" s="166" t="s">
        <v>129</v>
      </c>
      <c r="H1658" s="166">
        <v>0</v>
      </c>
      <c r="I1658" s="166">
        <v>0</v>
      </c>
      <c r="J1658" s="166">
        <v>0</v>
      </c>
      <c r="K1658" s="166" t="str">
        <f t="shared" si="25"/>
        <v>PROTECTIONRL_ESTT_PST_CD</v>
      </c>
    </row>
    <row r="1659" spans="1:11" hidden="1">
      <c r="A1659" s="166" t="s">
        <v>4691</v>
      </c>
      <c r="B1659" s="166" t="s">
        <v>4692</v>
      </c>
      <c r="C1659" s="166" t="s">
        <v>4643</v>
      </c>
      <c r="D1659" s="166" t="s">
        <v>490</v>
      </c>
      <c r="E1659" s="166" t="s">
        <v>1132</v>
      </c>
      <c r="F1659" s="166" t="s">
        <v>4640</v>
      </c>
      <c r="G1659" s="166" t="s">
        <v>129</v>
      </c>
      <c r="H1659" s="166">
        <v>272377</v>
      </c>
      <c r="I1659" s="166">
        <v>0</v>
      </c>
      <c r="J1659" s="166">
        <v>0</v>
      </c>
      <c r="K1659" s="166" t="str">
        <f t="shared" si="25"/>
        <v>PROTECTIONRL_ESTT_PST_CD</v>
      </c>
    </row>
    <row r="1660" spans="1:11" hidden="1">
      <c r="A1660" s="166" t="s">
        <v>4693</v>
      </c>
      <c r="B1660" s="166" t="s">
        <v>4694</v>
      </c>
      <c r="C1660" s="166" t="s">
        <v>4643</v>
      </c>
      <c r="D1660" s="166" t="s">
        <v>460</v>
      </c>
      <c r="E1660" s="166" t="s">
        <v>1132</v>
      </c>
      <c r="F1660" s="166" t="s">
        <v>4640</v>
      </c>
      <c r="G1660" s="166" t="s">
        <v>129</v>
      </c>
      <c r="H1660" s="166">
        <v>161924</v>
      </c>
      <c r="I1660" s="166">
        <v>0</v>
      </c>
      <c r="J1660" s="166">
        <v>0</v>
      </c>
      <c r="K1660" s="166" t="str">
        <f t="shared" si="25"/>
        <v>PROTECTIONPRTCTN_CLLD</v>
      </c>
    </row>
    <row r="1661" spans="1:11" hidden="1">
      <c r="A1661" s="166" t="s">
        <v>4695</v>
      </c>
      <c r="B1661" s="166" t="s">
        <v>656</v>
      </c>
      <c r="C1661" s="166" t="s">
        <v>4643</v>
      </c>
      <c r="D1661" s="166" t="s">
        <v>228</v>
      </c>
      <c r="E1661" s="166" t="s">
        <v>1132</v>
      </c>
      <c r="F1661" s="166" t="s">
        <v>4640</v>
      </c>
      <c r="G1661" s="166" t="s">
        <v>129</v>
      </c>
      <c r="H1661" s="166">
        <v>439600</v>
      </c>
      <c r="I1661" s="166">
        <v>0</v>
      </c>
      <c r="J1661" s="166">
        <v>0</v>
      </c>
      <c r="K1661" s="166" t="str">
        <f t="shared" si="25"/>
        <v>PROTECTIONTYP_PRTCTN</v>
      </c>
    </row>
    <row r="1662" spans="1:11" hidden="1">
      <c r="A1662" s="166" t="s">
        <v>4696</v>
      </c>
      <c r="B1662" s="166" t="s">
        <v>658</v>
      </c>
      <c r="C1662" s="166" t="s">
        <v>4643</v>
      </c>
      <c r="D1662" s="166" t="s">
        <v>228</v>
      </c>
      <c r="E1662" s="166" t="s">
        <v>1132</v>
      </c>
      <c r="F1662" s="166" t="s">
        <v>4640</v>
      </c>
      <c r="G1662" s="166" t="s">
        <v>129</v>
      </c>
      <c r="H1662" s="166">
        <v>0</v>
      </c>
      <c r="I1662" s="166">
        <v>0</v>
      </c>
      <c r="J1662" s="166">
        <v>0</v>
      </c>
      <c r="K1662" s="166" t="str">
        <f t="shared" si="25"/>
        <v>PROTECTIONTYP_PRTCTN</v>
      </c>
    </row>
    <row r="1663" spans="1:11" hidden="1">
      <c r="A1663" s="166" t="s">
        <v>4697</v>
      </c>
      <c r="B1663" s="166" t="s">
        <v>4698</v>
      </c>
      <c r="C1663" s="166" t="s">
        <v>4643</v>
      </c>
      <c r="D1663" s="166" t="s">
        <v>228</v>
      </c>
      <c r="E1663" s="166" t="s">
        <v>1132</v>
      </c>
      <c r="F1663" s="166" t="s">
        <v>4640</v>
      </c>
      <c r="G1663" s="166" t="s">
        <v>129</v>
      </c>
      <c r="H1663" s="166">
        <v>5264</v>
      </c>
      <c r="I1663" s="166">
        <v>0</v>
      </c>
      <c r="J1663" s="166">
        <v>0</v>
      </c>
      <c r="K1663" s="166" t="str">
        <f t="shared" si="25"/>
        <v>PROTECTIONTYP_PRTCTN</v>
      </c>
    </row>
    <row r="1664" spans="1:11" hidden="1">
      <c r="A1664" s="166" t="s">
        <v>4699</v>
      </c>
      <c r="B1664" s="166" t="s">
        <v>667</v>
      </c>
      <c r="C1664" s="166" t="s">
        <v>4643</v>
      </c>
      <c r="D1664" s="166" t="s">
        <v>228</v>
      </c>
      <c r="E1664" s="166" t="s">
        <v>1132</v>
      </c>
      <c r="F1664" s="166" t="s">
        <v>4640</v>
      </c>
      <c r="G1664" s="166" t="s">
        <v>129</v>
      </c>
      <c r="H1664" s="166">
        <v>7367</v>
      </c>
      <c r="I1664" s="166">
        <v>0</v>
      </c>
      <c r="J1664" s="166">
        <v>0</v>
      </c>
      <c r="K1664" s="166" t="str">
        <f t="shared" si="25"/>
        <v>PROTECTIONTYP_PRTCTN</v>
      </c>
    </row>
    <row r="1665" spans="1:11" hidden="1">
      <c r="A1665" s="166" t="s">
        <v>4700</v>
      </c>
      <c r="B1665" s="166" t="s">
        <v>697</v>
      </c>
      <c r="C1665" s="166" t="s">
        <v>4643</v>
      </c>
      <c r="D1665" s="166" t="s">
        <v>228</v>
      </c>
      <c r="E1665" s="166" t="s">
        <v>1132</v>
      </c>
      <c r="F1665" s="166" t="s">
        <v>4640</v>
      </c>
      <c r="G1665" s="166" t="s">
        <v>129</v>
      </c>
      <c r="H1665" s="166">
        <v>1265</v>
      </c>
      <c r="I1665" s="166">
        <v>0</v>
      </c>
      <c r="J1665" s="166">
        <v>0</v>
      </c>
      <c r="K1665" s="166" t="str">
        <f t="shared" si="25"/>
        <v>PROTECTIONTYP_PRTCTN</v>
      </c>
    </row>
    <row r="1666" spans="1:11" hidden="1">
      <c r="A1666" s="166" t="s">
        <v>4701</v>
      </c>
      <c r="B1666" s="166" t="s">
        <v>699</v>
      </c>
      <c r="C1666" s="166" t="s">
        <v>4643</v>
      </c>
      <c r="D1666" s="166" t="s">
        <v>228</v>
      </c>
      <c r="E1666" s="166" t="s">
        <v>1132</v>
      </c>
      <c r="F1666" s="166" t="s">
        <v>4640</v>
      </c>
      <c r="G1666" s="166" t="s">
        <v>129</v>
      </c>
      <c r="H1666" s="166">
        <v>0</v>
      </c>
      <c r="I1666" s="166">
        <v>0</v>
      </c>
      <c r="J1666" s="166">
        <v>0</v>
      </c>
      <c r="K1666" s="166" t="str">
        <f t="shared" si="25"/>
        <v>PROTECTIONTYP_PRTCTN</v>
      </c>
    </row>
    <row r="1667" spans="1:11" hidden="1">
      <c r="A1667" s="166" t="s">
        <v>4702</v>
      </c>
      <c r="B1667" s="166" t="s">
        <v>702</v>
      </c>
      <c r="C1667" s="166" t="s">
        <v>4643</v>
      </c>
      <c r="D1667" s="166" t="s">
        <v>228</v>
      </c>
      <c r="E1667" s="166" t="s">
        <v>1132</v>
      </c>
      <c r="F1667" s="166" t="s">
        <v>4640</v>
      </c>
      <c r="G1667" s="166" t="s">
        <v>129</v>
      </c>
      <c r="H1667" s="166">
        <v>65088</v>
      </c>
      <c r="I1667" s="166">
        <v>0</v>
      </c>
      <c r="J1667" s="166">
        <v>0</v>
      </c>
      <c r="K1667" s="166" t="str">
        <f t="shared" ref="K1667:K1730" si="26">_xlfn.CONCAT(_xlfn.IFS(ISNUMBER(SEARCH("EN",A1667)),"ENTITY",ISNUMBER(SEARCH("IN",A1667)),"INSTRUMENT",ISNUMBER(SEARCH("PR",A1667)),"PROTECTION",ISNUMBER(SEARCH("IP",A1667)),"INSTR_PROTECTION",ISNUMBER(SEARCH("IE",A1667)),"INSTR_ENTITY",ISNUMBER(SEARCH("AC",A1667)),"INSTR_ACTIVITY"),D1667)</f>
        <v>PROTECTIONTYP_PRTCTN</v>
      </c>
    </row>
    <row r="1668" spans="1:11" hidden="1">
      <c r="A1668" s="166" t="s">
        <v>4703</v>
      </c>
      <c r="B1668" s="166" t="s">
        <v>704</v>
      </c>
      <c r="C1668" s="166" t="s">
        <v>4643</v>
      </c>
      <c r="D1668" s="166" t="s">
        <v>228</v>
      </c>
      <c r="E1668" s="166" t="s">
        <v>1132</v>
      </c>
      <c r="F1668" s="166" t="s">
        <v>4640</v>
      </c>
      <c r="G1668" s="166" t="s">
        <v>129</v>
      </c>
      <c r="H1668" s="166">
        <v>24202</v>
      </c>
      <c r="I1668" s="166">
        <v>0</v>
      </c>
      <c r="J1668" s="166">
        <v>0</v>
      </c>
      <c r="K1668" s="166" t="str">
        <f t="shared" si="26"/>
        <v>PROTECTIONTYP_PRTCTN</v>
      </c>
    </row>
    <row r="1669" spans="1:11" hidden="1">
      <c r="A1669" s="166" t="s">
        <v>4704</v>
      </c>
      <c r="B1669" s="166" t="s">
        <v>706</v>
      </c>
      <c r="C1669" s="166" t="s">
        <v>4643</v>
      </c>
      <c r="D1669" s="166" t="s">
        <v>228</v>
      </c>
      <c r="E1669" s="166" t="s">
        <v>1132</v>
      </c>
      <c r="F1669" s="166" t="s">
        <v>4640</v>
      </c>
      <c r="G1669" s="166" t="s">
        <v>129</v>
      </c>
      <c r="H1669" s="166">
        <v>0</v>
      </c>
      <c r="I1669" s="166">
        <v>0</v>
      </c>
      <c r="J1669" s="166">
        <v>0</v>
      </c>
      <c r="K1669" s="166" t="str">
        <f t="shared" si="26"/>
        <v>PROTECTIONTYP_PRTCTN</v>
      </c>
    </row>
    <row r="1670" spans="1:11" hidden="1">
      <c r="A1670" s="166" t="s">
        <v>4705</v>
      </c>
      <c r="B1670" s="166" t="s">
        <v>708</v>
      </c>
      <c r="C1670" s="166" t="s">
        <v>4643</v>
      </c>
      <c r="D1670" s="166" t="s">
        <v>228</v>
      </c>
      <c r="E1670" s="166" t="s">
        <v>1132</v>
      </c>
      <c r="F1670" s="166" t="s">
        <v>4640</v>
      </c>
      <c r="G1670" s="166" t="s">
        <v>129</v>
      </c>
      <c r="H1670" s="166">
        <v>263039</v>
      </c>
      <c r="I1670" s="166">
        <v>0</v>
      </c>
      <c r="J1670" s="166">
        <v>0</v>
      </c>
      <c r="K1670" s="166" t="str">
        <f t="shared" si="26"/>
        <v>PROTECTIONTYP_PRTCTN</v>
      </c>
    </row>
    <row r="1671" spans="1:11" hidden="1">
      <c r="A1671" s="166" t="s">
        <v>4706</v>
      </c>
      <c r="B1671" s="166" t="s">
        <v>710</v>
      </c>
      <c r="C1671" s="166" t="s">
        <v>4643</v>
      </c>
      <c r="D1671" s="166" t="s">
        <v>228</v>
      </c>
      <c r="E1671" s="166" t="s">
        <v>1132</v>
      </c>
      <c r="F1671" s="166" t="s">
        <v>4640</v>
      </c>
      <c r="G1671" s="166" t="s">
        <v>129</v>
      </c>
      <c r="H1671" s="166">
        <v>259178</v>
      </c>
      <c r="I1671" s="166">
        <v>0</v>
      </c>
      <c r="J1671" s="166">
        <v>0</v>
      </c>
      <c r="K1671" s="166" t="str">
        <f t="shared" si="26"/>
        <v>PROTECTIONTYP_PRTCTN</v>
      </c>
    </row>
    <row r="1672" spans="1:11" hidden="1">
      <c r="A1672" s="166" t="s">
        <v>4707</v>
      </c>
      <c r="B1672" s="166" t="s">
        <v>836</v>
      </c>
      <c r="C1672" s="166" t="s">
        <v>4643</v>
      </c>
      <c r="D1672" s="166" t="s">
        <v>228</v>
      </c>
      <c r="E1672" s="166" t="s">
        <v>1132</v>
      </c>
      <c r="F1672" s="166" t="s">
        <v>4640</v>
      </c>
      <c r="G1672" s="166" t="s">
        <v>129</v>
      </c>
      <c r="H1672" s="166">
        <v>272234</v>
      </c>
      <c r="I1672" s="166">
        <v>0</v>
      </c>
      <c r="J1672" s="166">
        <v>0</v>
      </c>
      <c r="K1672" s="166" t="str">
        <f t="shared" si="26"/>
        <v>PROTECTIONTYP_PRTCTN</v>
      </c>
    </row>
    <row r="1673" spans="1:11" hidden="1">
      <c r="A1673" s="166" t="s">
        <v>4708</v>
      </c>
      <c r="B1673" s="166" t="s">
        <v>714</v>
      </c>
      <c r="C1673" s="166" t="s">
        <v>4643</v>
      </c>
      <c r="D1673" s="166" t="s">
        <v>228</v>
      </c>
      <c r="E1673" s="166" t="s">
        <v>1132</v>
      </c>
      <c r="F1673" s="166" t="s">
        <v>4640</v>
      </c>
      <c r="G1673" s="166" t="s">
        <v>129</v>
      </c>
      <c r="H1673" s="166">
        <v>0</v>
      </c>
      <c r="I1673" s="166">
        <v>0</v>
      </c>
      <c r="J1673" s="166">
        <v>0</v>
      </c>
      <c r="K1673" s="166" t="str">
        <f t="shared" si="26"/>
        <v>PROTECTIONTYP_PRTCTN</v>
      </c>
    </row>
    <row r="1674" spans="1:11" hidden="1">
      <c r="A1674" s="166" t="s">
        <v>4709</v>
      </c>
      <c r="B1674" s="166" t="s">
        <v>716</v>
      </c>
      <c r="C1674" s="166" t="s">
        <v>4643</v>
      </c>
      <c r="D1674" s="166" t="s">
        <v>228</v>
      </c>
      <c r="E1674" s="166" t="s">
        <v>1132</v>
      </c>
      <c r="F1674" s="166" t="s">
        <v>4640</v>
      </c>
      <c r="G1674" s="166" t="s">
        <v>129</v>
      </c>
      <c r="H1674" s="166">
        <v>0</v>
      </c>
      <c r="I1674" s="166">
        <v>0</v>
      </c>
      <c r="J1674" s="166">
        <v>0</v>
      </c>
      <c r="K1674" s="166" t="str">
        <f t="shared" si="26"/>
        <v>PROTECTIONTYP_PRTCTN</v>
      </c>
    </row>
    <row r="1675" spans="1:11" hidden="1">
      <c r="A1675" s="166" t="s">
        <v>4710</v>
      </c>
      <c r="B1675" s="166" t="s">
        <v>4711</v>
      </c>
      <c r="C1675" s="166" t="s">
        <v>4643</v>
      </c>
      <c r="D1675" s="166" t="s">
        <v>228</v>
      </c>
      <c r="E1675" s="166" t="s">
        <v>1132</v>
      </c>
      <c r="F1675" s="166" t="s">
        <v>4640</v>
      </c>
      <c r="G1675" s="166" t="s">
        <v>129</v>
      </c>
      <c r="H1675" s="166">
        <v>0</v>
      </c>
      <c r="I1675" s="166">
        <v>0</v>
      </c>
      <c r="J1675" s="166">
        <v>0</v>
      </c>
      <c r="K1675" s="166" t="str">
        <f t="shared" si="26"/>
        <v>PROTECTIONTYP_PRTCTN</v>
      </c>
    </row>
    <row r="1676" spans="1:11" hidden="1">
      <c r="A1676" s="166" t="s">
        <v>4712</v>
      </c>
      <c r="B1676" s="166" t="s">
        <v>718</v>
      </c>
      <c r="C1676" s="166" t="s">
        <v>1160</v>
      </c>
      <c r="D1676" s="166" t="s">
        <v>228</v>
      </c>
      <c r="E1676" s="166" t="s">
        <v>1132</v>
      </c>
      <c r="F1676" s="166" t="s">
        <v>4640</v>
      </c>
      <c r="G1676" s="166" t="s">
        <v>129</v>
      </c>
      <c r="H1676" s="166">
        <v>0</v>
      </c>
      <c r="I1676" s="166">
        <v>0</v>
      </c>
      <c r="J1676" s="166">
        <v>0</v>
      </c>
      <c r="K1676" s="166" t="str">
        <f t="shared" si="26"/>
        <v>PROTECTIONTYP_PRTCTN</v>
      </c>
    </row>
    <row r="1677" spans="1:11" hidden="1">
      <c r="A1677" s="166" t="s">
        <v>4713</v>
      </c>
      <c r="B1677" s="166" t="s">
        <v>720</v>
      </c>
      <c r="C1677" s="166" t="s">
        <v>1160</v>
      </c>
      <c r="D1677" s="166" t="s">
        <v>228</v>
      </c>
      <c r="E1677" s="166" t="s">
        <v>1132</v>
      </c>
      <c r="F1677" s="166" t="s">
        <v>4640</v>
      </c>
      <c r="G1677" s="166" t="s">
        <v>129</v>
      </c>
      <c r="H1677" s="166">
        <v>0</v>
      </c>
      <c r="I1677" s="166">
        <v>0</v>
      </c>
      <c r="J1677" s="166">
        <v>0</v>
      </c>
      <c r="K1677" s="166" t="str">
        <f t="shared" si="26"/>
        <v>PROTECTIONTYP_PRTCTN</v>
      </c>
    </row>
    <row r="1678" spans="1:11" hidden="1">
      <c r="A1678" s="166" t="s">
        <v>4714</v>
      </c>
      <c r="B1678" s="166" t="s">
        <v>721</v>
      </c>
      <c r="C1678" s="166" t="s">
        <v>1160</v>
      </c>
      <c r="D1678" s="166" t="s">
        <v>228</v>
      </c>
      <c r="E1678" s="166" t="s">
        <v>1132</v>
      </c>
      <c r="F1678" s="166" t="s">
        <v>4640</v>
      </c>
      <c r="G1678" s="166" t="s">
        <v>129</v>
      </c>
      <c r="H1678" s="166">
        <v>0</v>
      </c>
      <c r="I1678" s="166">
        <v>0</v>
      </c>
      <c r="J1678" s="166">
        <v>0</v>
      </c>
      <c r="K1678" s="166" t="str">
        <f t="shared" si="26"/>
        <v>PROTECTIONTYP_PRTCTN</v>
      </c>
    </row>
    <row r="1679" spans="1:11" hidden="1">
      <c r="A1679" s="166" t="s">
        <v>4715</v>
      </c>
      <c r="B1679" s="166" t="s">
        <v>1193</v>
      </c>
      <c r="C1679" s="166" t="s">
        <v>1160</v>
      </c>
      <c r="D1679" s="166" t="s">
        <v>228</v>
      </c>
      <c r="E1679" s="166" t="s">
        <v>1132</v>
      </c>
      <c r="F1679" s="166" t="s">
        <v>4640</v>
      </c>
      <c r="G1679" s="166" t="s">
        <v>1134</v>
      </c>
      <c r="H1679" s="166">
        <v>3949</v>
      </c>
      <c r="I1679" s="166">
        <v>1</v>
      </c>
      <c r="J1679" s="166">
        <v>2.53E-2</v>
      </c>
      <c r="K1679" s="166" t="str">
        <f t="shared" si="26"/>
        <v>PROTECTIONTYP_PRTCTN</v>
      </c>
    </row>
    <row r="1680" spans="1:11" hidden="1">
      <c r="A1680" s="166" t="s">
        <v>4716</v>
      </c>
      <c r="B1680" s="166" t="s">
        <v>1215</v>
      </c>
      <c r="C1680" s="166" t="s">
        <v>1160</v>
      </c>
      <c r="D1680" s="166" t="s">
        <v>228</v>
      </c>
      <c r="E1680" s="166" t="s">
        <v>1132</v>
      </c>
      <c r="F1680" s="166" t="s">
        <v>4640</v>
      </c>
      <c r="G1680" s="166" t="s">
        <v>129</v>
      </c>
      <c r="H1680" s="166">
        <v>350921</v>
      </c>
      <c r="I1680" s="166">
        <v>0</v>
      </c>
      <c r="J1680" s="166">
        <v>0</v>
      </c>
      <c r="K1680" s="166" t="str">
        <f t="shared" si="26"/>
        <v>PROTECTIONTYP_PRTCTN</v>
      </c>
    </row>
    <row r="1681" spans="1:11" hidden="1">
      <c r="A1681" s="166" t="s">
        <v>4717</v>
      </c>
      <c r="B1681" s="166" t="s">
        <v>4718</v>
      </c>
      <c r="C1681" s="166" t="s">
        <v>4643</v>
      </c>
      <c r="D1681" s="166" t="s">
        <v>537</v>
      </c>
      <c r="E1681" s="166" t="s">
        <v>1132</v>
      </c>
      <c r="F1681" s="166" t="s">
        <v>4640</v>
      </c>
      <c r="G1681" s="166" t="s">
        <v>129</v>
      </c>
      <c r="H1681" s="166">
        <v>49</v>
      </c>
      <c r="I1681" s="166">
        <v>0</v>
      </c>
      <c r="J1681" s="166">
        <v>0</v>
      </c>
      <c r="K1681" s="166" t="str">
        <f t="shared" si="26"/>
        <v>PROTECTIONTYP_PRTCTN_VL</v>
      </c>
    </row>
    <row r="1682" spans="1:11" hidden="1">
      <c r="A1682" s="166" t="s">
        <v>4719</v>
      </c>
      <c r="B1682" s="166" t="s">
        <v>4720</v>
      </c>
      <c r="C1682" s="166" t="s">
        <v>4643</v>
      </c>
      <c r="D1682" s="166" t="s">
        <v>537</v>
      </c>
      <c r="E1682" s="166" t="s">
        <v>1132</v>
      </c>
      <c r="F1682" s="166" t="s">
        <v>4640</v>
      </c>
      <c r="G1682" s="166" t="s">
        <v>129</v>
      </c>
      <c r="H1682" s="166">
        <v>537</v>
      </c>
      <c r="I1682" s="166">
        <v>0</v>
      </c>
      <c r="J1682" s="166">
        <v>0</v>
      </c>
      <c r="K1682" s="166" t="str">
        <f t="shared" si="26"/>
        <v>PROTECTIONTYP_PRTCTN_VL</v>
      </c>
    </row>
    <row r="1683" spans="1:11" hidden="1">
      <c r="A1683" s="166" t="s">
        <v>4721</v>
      </c>
      <c r="B1683" s="166" t="s">
        <v>4722</v>
      </c>
      <c r="C1683" s="166" t="s">
        <v>4643</v>
      </c>
      <c r="D1683" s="166" t="s">
        <v>537</v>
      </c>
      <c r="E1683" s="166" t="s">
        <v>1132</v>
      </c>
      <c r="F1683" s="166" t="s">
        <v>4640</v>
      </c>
      <c r="G1683" s="166" t="s">
        <v>129</v>
      </c>
      <c r="H1683" s="166">
        <v>1265</v>
      </c>
      <c r="I1683" s="166">
        <v>0</v>
      </c>
      <c r="J1683" s="166">
        <v>0</v>
      </c>
      <c r="K1683" s="166" t="str">
        <f t="shared" si="26"/>
        <v>PROTECTIONTYP_PRTCTN_VL</v>
      </c>
    </row>
    <row r="1684" spans="1:11" hidden="1">
      <c r="A1684" s="166" t="s">
        <v>4723</v>
      </c>
      <c r="B1684" s="166" t="s">
        <v>4724</v>
      </c>
      <c r="C1684" s="166" t="s">
        <v>4643</v>
      </c>
      <c r="D1684" s="166" t="s">
        <v>537</v>
      </c>
      <c r="E1684" s="166" t="s">
        <v>1132</v>
      </c>
      <c r="F1684" s="166" t="s">
        <v>4640</v>
      </c>
      <c r="G1684" s="166" t="s">
        <v>129</v>
      </c>
      <c r="H1684" s="166">
        <v>7192</v>
      </c>
      <c r="I1684" s="166">
        <v>0</v>
      </c>
      <c r="J1684" s="166">
        <v>0</v>
      </c>
      <c r="K1684" s="166" t="str">
        <f t="shared" si="26"/>
        <v>PROTECTIONTYP_PRTCTN_VL</v>
      </c>
    </row>
    <row r="1685" spans="1:11" hidden="1">
      <c r="A1685" s="166" t="s">
        <v>4725</v>
      </c>
      <c r="B1685" s="166" t="s">
        <v>4726</v>
      </c>
      <c r="C1685" s="166" t="s">
        <v>4643</v>
      </c>
      <c r="D1685" s="166" t="s">
        <v>537</v>
      </c>
      <c r="E1685" s="166" t="s">
        <v>1132</v>
      </c>
      <c r="F1685" s="166" t="s">
        <v>4640</v>
      </c>
      <c r="G1685" s="166" t="s">
        <v>129</v>
      </c>
      <c r="H1685" s="166">
        <v>64723</v>
      </c>
      <c r="I1685" s="166">
        <v>0</v>
      </c>
      <c r="J1685" s="166">
        <v>0</v>
      </c>
      <c r="K1685" s="166" t="str">
        <f t="shared" si="26"/>
        <v>PROTECTIONTYP_PRTCTN_VL</v>
      </c>
    </row>
    <row r="1686" spans="1:11" hidden="1">
      <c r="A1686" s="166" t="s">
        <v>4727</v>
      </c>
      <c r="B1686" s="166" t="s">
        <v>4728</v>
      </c>
      <c r="C1686" s="166" t="s">
        <v>4643</v>
      </c>
      <c r="D1686" s="166" t="s">
        <v>157</v>
      </c>
      <c r="E1686" s="166" t="s">
        <v>1132</v>
      </c>
      <c r="F1686" s="166" t="s">
        <v>4640</v>
      </c>
      <c r="G1686" s="166" t="s">
        <v>129</v>
      </c>
      <c r="H1686" s="166">
        <v>302625</v>
      </c>
      <c r="I1686" s="166">
        <v>0</v>
      </c>
      <c r="J1686" s="166">
        <v>0</v>
      </c>
      <c r="K1686" s="166" t="str">
        <f t="shared" si="26"/>
        <v>PROTECTIONAPPRSL_CRRNCY</v>
      </c>
    </row>
    <row r="1687" spans="1:11" hidden="1">
      <c r="A1687" s="166" t="s">
        <v>4729</v>
      </c>
      <c r="B1687" s="166" t="s">
        <v>4730</v>
      </c>
      <c r="C1687" s="166" t="s">
        <v>4643</v>
      </c>
      <c r="D1687" s="166" t="s">
        <v>157</v>
      </c>
      <c r="E1687" s="166" t="s">
        <v>1132</v>
      </c>
      <c r="F1687" s="166" t="s">
        <v>4640</v>
      </c>
      <c r="G1687" s="166" t="s">
        <v>129</v>
      </c>
      <c r="H1687" s="166">
        <v>161924</v>
      </c>
      <c r="I1687" s="166">
        <v>0</v>
      </c>
      <c r="J1687" s="166">
        <v>0</v>
      </c>
      <c r="K1687" s="166" t="str">
        <f t="shared" si="26"/>
        <v>PROTECTIONAPPRSL_CRRNCY</v>
      </c>
    </row>
    <row r="1688" spans="1:11" hidden="1">
      <c r="A1688" s="166" t="s">
        <v>4731</v>
      </c>
      <c r="B1688" s="166" t="s">
        <v>4732</v>
      </c>
      <c r="C1688" s="166" t="s">
        <v>4643</v>
      </c>
      <c r="D1688" s="166" t="s">
        <v>159</v>
      </c>
      <c r="E1688" s="166" t="s">
        <v>1132</v>
      </c>
      <c r="F1688" s="166" t="s">
        <v>4640</v>
      </c>
      <c r="G1688" s="166" t="s">
        <v>129</v>
      </c>
      <c r="H1688" s="166">
        <v>161924</v>
      </c>
      <c r="I1688" s="166">
        <v>0</v>
      </c>
      <c r="J1688" s="166">
        <v>0</v>
      </c>
      <c r="K1688" s="166" t="str">
        <f t="shared" si="26"/>
        <v>PROTECTIONAPPRSR</v>
      </c>
    </row>
    <row r="1689" spans="1:11" hidden="1">
      <c r="A1689" s="166" t="s">
        <v>4733</v>
      </c>
      <c r="B1689" s="166" t="s">
        <v>892</v>
      </c>
      <c r="C1689" s="166" t="s">
        <v>4643</v>
      </c>
      <c r="D1689" s="166" t="s">
        <v>267</v>
      </c>
      <c r="E1689" s="166" t="s">
        <v>1132</v>
      </c>
      <c r="F1689" s="166" t="s">
        <v>4640</v>
      </c>
      <c r="G1689" s="166" t="s">
        <v>129</v>
      </c>
      <c r="H1689" s="166">
        <v>24202</v>
      </c>
      <c r="I1689" s="166">
        <v>0</v>
      </c>
      <c r="J1689" s="166">
        <v>0</v>
      </c>
      <c r="K1689" s="166" t="str">
        <f t="shared" si="26"/>
        <v>PROTECTIONDT_LST_FLL_APPRSL</v>
      </c>
    </row>
    <row r="1690" spans="1:11" hidden="1">
      <c r="A1690" s="166" t="s">
        <v>4734</v>
      </c>
      <c r="B1690" s="166" t="s">
        <v>635</v>
      </c>
      <c r="C1690" s="166" t="s">
        <v>4643</v>
      </c>
      <c r="D1690" s="166" t="s">
        <v>267</v>
      </c>
      <c r="E1690" s="166" t="s">
        <v>1132</v>
      </c>
      <c r="F1690" s="166" t="s">
        <v>4640</v>
      </c>
      <c r="G1690" s="166" t="s">
        <v>129</v>
      </c>
      <c r="H1690" s="166">
        <v>259178</v>
      </c>
      <c r="I1690" s="166">
        <v>0</v>
      </c>
      <c r="J1690" s="166">
        <v>0</v>
      </c>
      <c r="K1690" s="166" t="str">
        <f t="shared" si="26"/>
        <v>PROTECTIONDT_LST_FLL_APPRSL</v>
      </c>
    </row>
    <row r="1691" spans="1:11" hidden="1">
      <c r="A1691" s="166" t="s">
        <v>4735</v>
      </c>
      <c r="B1691" s="166" t="s">
        <v>800</v>
      </c>
      <c r="C1691" s="166" t="s">
        <v>4643</v>
      </c>
      <c r="D1691" s="166" t="s">
        <v>43</v>
      </c>
      <c r="E1691" s="166" t="s">
        <v>1132</v>
      </c>
      <c r="F1691" s="166" t="s">
        <v>4640</v>
      </c>
      <c r="G1691" s="166" t="s">
        <v>1134</v>
      </c>
      <c r="H1691" s="166">
        <v>277414</v>
      </c>
      <c r="I1691" s="166">
        <v>2</v>
      </c>
      <c r="J1691" s="166">
        <v>6.9999999999999999E-4</v>
      </c>
      <c r="K1691" s="166" t="str">
        <f t="shared" si="26"/>
        <v>PROTECTIONDT_ORGNL_PRTCTN_VL</v>
      </c>
    </row>
    <row r="1692" spans="1:11" hidden="1">
      <c r="A1692" s="166" t="s">
        <v>4736</v>
      </c>
      <c r="B1692" s="166" t="s">
        <v>803</v>
      </c>
      <c r="C1692" s="166" t="s">
        <v>4643</v>
      </c>
      <c r="D1692" s="166" t="s">
        <v>43</v>
      </c>
      <c r="E1692" s="166" t="s">
        <v>1132</v>
      </c>
      <c r="F1692" s="166" t="s">
        <v>4640</v>
      </c>
      <c r="G1692" s="166" t="s">
        <v>1134</v>
      </c>
      <c r="H1692" s="166">
        <v>302790</v>
      </c>
      <c r="I1692" s="166">
        <v>3</v>
      </c>
      <c r="J1692" s="166">
        <v>1E-3</v>
      </c>
      <c r="K1692" s="166" t="str">
        <f t="shared" si="26"/>
        <v>PROTECTIONDT_ORGNL_PRTCTN_VL</v>
      </c>
    </row>
    <row r="1693" spans="1:11" hidden="1">
      <c r="A1693" s="166" t="s">
        <v>4737</v>
      </c>
      <c r="B1693" s="166" t="s">
        <v>4738</v>
      </c>
      <c r="C1693" s="166" t="s">
        <v>4643</v>
      </c>
      <c r="D1693" s="166" t="s">
        <v>43</v>
      </c>
      <c r="E1693" s="166" t="s">
        <v>1132</v>
      </c>
      <c r="F1693" s="166" t="s">
        <v>4640</v>
      </c>
      <c r="G1693" s="166" t="s">
        <v>129</v>
      </c>
      <c r="H1693" s="166">
        <v>161924</v>
      </c>
      <c r="I1693" s="166">
        <v>0</v>
      </c>
      <c r="J1693" s="166">
        <v>0</v>
      </c>
      <c r="K1693" s="166" t="str">
        <f t="shared" si="26"/>
        <v>PROTECTIONDT_ORGNL_PRTCTN_VL</v>
      </c>
    </row>
    <row r="1694" spans="1:11" hidden="1">
      <c r="A1694" s="166" t="s">
        <v>4739</v>
      </c>
      <c r="B1694" s="166" t="s">
        <v>4740</v>
      </c>
      <c r="C1694" s="166" t="s">
        <v>4643</v>
      </c>
      <c r="D1694" s="166" t="s">
        <v>235</v>
      </c>
      <c r="E1694" s="166" t="s">
        <v>1132</v>
      </c>
      <c r="F1694" s="166" t="s">
        <v>4640</v>
      </c>
      <c r="G1694" s="166" t="s">
        <v>1134</v>
      </c>
      <c r="H1694" s="166">
        <v>1265</v>
      </c>
      <c r="I1694" s="166">
        <v>1258</v>
      </c>
      <c r="J1694" s="166">
        <v>99.446600000000004</v>
      </c>
      <c r="K1694" s="166" t="str">
        <f t="shared" si="26"/>
        <v>PROTECTIONDT_PRTCTN_VL</v>
      </c>
    </row>
    <row r="1695" spans="1:11" hidden="1">
      <c r="A1695" s="166" t="s">
        <v>4741</v>
      </c>
      <c r="B1695" s="166" t="s">
        <v>731</v>
      </c>
      <c r="C1695" s="166" t="s">
        <v>4643</v>
      </c>
      <c r="D1695" s="166" t="s">
        <v>235</v>
      </c>
      <c r="E1695" s="166" t="s">
        <v>1132</v>
      </c>
      <c r="F1695" s="166" t="s">
        <v>4640</v>
      </c>
      <c r="G1695" s="166" t="s">
        <v>1134</v>
      </c>
      <c r="H1695" s="166">
        <v>277414</v>
      </c>
      <c r="I1695" s="166">
        <v>10</v>
      </c>
      <c r="J1695" s="166">
        <v>3.5999999999999999E-3</v>
      </c>
      <c r="K1695" s="166" t="str">
        <f t="shared" si="26"/>
        <v>PROTECTIONDT_PRTCTN_VL</v>
      </c>
    </row>
    <row r="1696" spans="1:11" hidden="1">
      <c r="A1696" s="166" t="s">
        <v>4742</v>
      </c>
      <c r="B1696" s="166" t="s">
        <v>733</v>
      </c>
      <c r="C1696" s="166" t="s">
        <v>4643</v>
      </c>
      <c r="D1696" s="166" t="s">
        <v>235</v>
      </c>
      <c r="E1696" s="166" t="s">
        <v>1132</v>
      </c>
      <c r="F1696" s="166" t="s">
        <v>4640</v>
      </c>
      <c r="G1696" s="166" t="s">
        <v>129</v>
      </c>
      <c r="H1696" s="166">
        <v>259178</v>
      </c>
      <c r="I1696" s="166">
        <v>0</v>
      </c>
      <c r="J1696" s="166">
        <v>0</v>
      </c>
      <c r="K1696" s="166" t="str">
        <f t="shared" si="26"/>
        <v>PROTECTIONDT_PRTCTN_VL</v>
      </c>
    </row>
    <row r="1697" spans="1:11" hidden="1">
      <c r="A1697" s="166" t="s">
        <v>4743</v>
      </c>
      <c r="B1697" s="166" t="s">
        <v>735</v>
      </c>
      <c r="C1697" s="166" t="s">
        <v>4643</v>
      </c>
      <c r="D1697" s="166" t="s">
        <v>235</v>
      </c>
      <c r="E1697" s="166" t="s">
        <v>1132</v>
      </c>
      <c r="F1697" s="166" t="s">
        <v>4640</v>
      </c>
      <c r="G1697" s="166" t="s">
        <v>129</v>
      </c>
      <c r="H1697" s="166">
        <v>24202</v>
      </c>
      <c r="I1697" s="166">
        <v>0</v>
      </c>
      <c r="J1697" s="166">
        <v>0</v>
      </c>
      <c r="K1697" s="166" t="str">
        <f t="shared" si="26"/>
        <v>PROTECTIONDT_PRTCTN_VL</v>
      </c>
    </row>
    <row r="1698" spans="1:11" hidden="1">
      <c r="A1698" s="166" t="s">
        <v>4744</v>
      </c>
      <c r="B1698" s="166" t="s">
        <v>4745</v>
      </c>
      <c r="C1698" s="166" t="s">
        <v>4643</v>
      </c>
      <c r="D1698" s="166" t="s">
        <v>235</v>
      </c>
      <c r="E1698" s="166" t="s">
        <v>1132</v>
      </c>
      <c r="F1698" s="166" t="s">
        <v>4640</v>
      </c>
      <c r="G1698" s="166" t="s">
        <v>129</v>
      </c>
      <c r="H1698" s="166">
        <v>161924</v>
      </c>
      <c r="I1698" s="166">
        <v>0</v>
      </c>
      <c r="J1698" s="166">
        <v>0</v>
      </c>
      <c r="K1698" s="166" t="str">
        <f t="shared" si="26"/>
        <v>PROTECTIONDT_PRTCTN_VL</v>
      </c>
    </row>
    <row r="1699" spans="1:11" hidden="1">
      <c r="A1699" s="166" t="s">
        <v>4746</v>
      </c>
      <c r="B1699" s="166" t="s">
        <v>813</v>
      </c>
      <c r="C1699" s="166" t="s">
        <v>4643</v>
      </c>
      <c r="D1699" s="166" t="s">
        <v>41</v>
      </c>
      <c r="E1699" s="166" t="s">
        <v>1132</v>
      </c>
      <c r="F1699" s="166" t="s">
        <v>4640</v>
      </c>
      <c r="G1699" s="166" t="s">
        <v>1134</v>
      </c>
      <c r="H1699" s="166">
        <v>302790</v>
      </c>
      <c r="I1699" s="166">
        <v>122</v>
      </c>
      <c r="J1699" s="166">
        <v>4.0300000000000002E-2</v>
      </c>
      <c r="K1699" s="166" t="str">
        <f t="shared" si="26"/>
        <v>PROTECTIONORGNL_PRTCTN_VL</v>
      </c>
    </row>
    <row r="1700" spans="1:11" hidden="1">
      <c r="A1700" s="166" t="s">
        <v>4747</v>
      </c>
      <c r="B1700" s="166" t="s">
        <v>815</v>
      </c>
      <c r="C1700" s="166" t="s">
        <v>4643</v>
      </c>
      <c r="D1700" s="166" t="s">
        <v>41</v>
      </c>
      <c r="E1700" s="166" t="s">
        <v>1132</v>
      </c>
      <c r="F1700" s="166" t="s">
        <v>4640</v>
      </c>
      <c r="G1700" s="166" t="s">
        <v>129</v>
      </c>
      <c r="H1700" s="166">
        <v>162336</v>
      </c>
      <c r="I1700" s="166">
        <v>0</v>
      </c>
      <c r="J1700" s="166">
        <v>0</v>
      </c>
      <c r="K1700" s="166" t="str">
        <f t="shared" si="26"/>
        <v>PROTECTIONORGNL_PRTCTN_VL</v>
      </c>
    </row>
    <row r="1701" spans="1:11" hidden="1">
      <c r="A1701" s="166" t="s">
        <v>4748</v>
      </c>
      <c r="B1701" s="166" t="s">
        <v>4749</v>
      </c>
      <c r="C1701" s="166" t="s">
        <v>4643</v>
      </c>
      <c r="D1701" s="166" t="s">
        <v>41</v>
      </c>
      <c r="E1701" s="166" t="s">
        <v>1132</v>
      </c>
      <c r="F1701" s="166" t="s">
        <v>4640</v>
      </c>
      <c r="G1701" s="166" t="s">
        <v>129</v>
      </c>
      <c r="H1701" s="166">
        <v>161924</v>
      </c>
      <c r="I1701" s="166">
        <v>0</v>
      </c>
      <c r="J1701" s="166">
        <v>0</v>
      </c>
      <c r="K1701" s="166" t="str">
        <f t="shared" si="26"/>
        <v>PROTECTIONORGNL_PRTCTN_VL</v>
      </c>
    </row>
    <row r="1702" spans="1:11" hidden="1">
      <c r="A1702" s="166" t="s">
        <v>4750</v>
      </c>
      <c r="B1702" s="166" t="s">
        <v>742</v>
      </c>
      <c r="C1702" s="166" t="s">
        <v>1160</v>
      </c>
      <c r="D1702" s="166" t="s">
        <v>78</v>
      </c>
      <c r="E1702" s="166" t="s">
        <v>1132</v>
      </c>
      <c r="F1702" s="166" t="s">
        <v>4640</v>
      </c>
      <c r="G1702" s="166" t="s">
        <v>1134</v>
      </c>
      <c r="H1702" s="166">
        <v>419214</v>
      </c>
      <c r="I1702" s="166">
        <v>32</v>
      </c>
      <c r="J1702" s="166">
        <v>7.6E-3</v>
      </c>
      <c r="K1702" s="166" t="str">
        <f t="shared" si="26"/>
        <v>PROTECTIONPRTCTN_VL</v>
      </c>
    </row>
    <row r="1703" spans="1:11" hidden="1">
      <c r="A1703" s="166" t="s">
        <v>4751</v>
      </c>
      <c r="B1703" s="166" t="s">
        <v>744</v>
      </c>
      <c r="C1703" s="166" t="s">
        <v>4643</v>
      </c>
      <c r="D1703" s="166" t="s">
        <v>78</v>
      </c>
      <c r="E1703" s="166" t="s">
        <v>1132</v>
      </c>
      <c r="F1703" s="166" t="s">
        <v>4640</v>
      </c>
      <c r="G1703" s="166" t="s">
        <v>1134</v>
      </c>
      <c r="H1703" s="166">
        <v>277414</v>
      </c>
      <c r="I1703" s="166">
        <v>165</v>
      </c>
      <c r="J1703" s="166">
        <v>5.9499999999999997E-2</v>
      </c>
      <c r="K1703" s="166" t="str">
        <f t="shared" si="26"/>
        <v>PROTECTIONPRTCTN_VL</v>
      </c>
    </row>
    <row r="1704" spans="1:11" hidden="1">
      <c r="A1704" s="166" t="s">
        <v>4752</v>
      </c>
      <c r="B1704" s="166" t="s">
        <v>747</v>
      </c>
      <c r="C1704" s="166" t="s">
        <v>1160</v>
      </c>
      <c r="D1704" s="166" t="s">
        <v>78</v>
      </c>
      <c r="E1704" s="166" t="s">
        <v>1132</v>
      </c>
      <c r="F1704" s="166" t="s">
        <v>4640</v>
      </c>
      <c r="G1704" s="166" t="s">
        <v>1134</v>
      </c>
      <c r="H1704" s="166">
        <v>465126</v>
      </c>
      <c r="I1704" s="166">
        <v>40</v>
      </c>
      <c r="J1704" s="166">
        <v>8.6E-3</v>
      </c>
      <c r="K1704" s="166" t="str">
        <f t="shared" si="26"/>
        <v>PROTECTIONPRTCTN_VL</v>
      </c>
    </row>
    <row r="1705" spans="1:11" hidden="1">
      <c r="A1705" s="166" t="s">
        <v>4753</v>
      </c>
      <c r="B1705" s="166" t="s">
        <v>4754</v>
      </c>
      <c r="C1705" s="166" t="s">
        <v>4643</v>
      </c>
      <c r="D1705" s="166" t="s">
        <v>78</v>
      </c>
      <c r="E1705" s="166" t="s">
        <v>1132</v>
      </c>
      <c r="F1705" s="166" t="s">
        <v>4640</v>
      </c>
      <c r="G1705" s="166" t="s">
        <v>129</v>
      </c>
      <c r="H1705" s="166">
        <v>161924</v>
      </c>
      <c r="I1705" s="166">
        <v>0</v>
      </c>
      <c r="J1705" s="166">
        <v>0</v>
      </c>
      <c r="K1705" s="166" t="str">
        <f t="shared" si="26"/>
        <v>PROTECTIONPRTCTN_VL</v>
      </c>
    </row>
    <row r="1706" spans="1:11" hidden="1">
      <c r="A1706" s="166" t="s">
        <v>4755</v>
      </c>
      <c r="B1706" s="166" t="s">
        <v>4756</v>
      </c>
      <c r="C1706" s="166" t="s">
        <v>1160</v>
      </c>
      <c r="D1706" s="166" t="s">
        <v>534</v>
      </c>
      <c r="E1706" s="166" t="s">
        <v>1132</v>
      </c>
      <c r="F1706" s="166" t="s">
        <v>4640</v>
      </c>
      <c r="G1706" s="166" t="s">
        <v>129</v>
      </c>
      <c r="H1706" s="166">
        <v>6153</v>
      </c>
      <c r="I1706" s="166">
        <v>0</v>
      </c>
      <c r="J1706" s="166">
        <v>0</v>
      </c>
      <c r="K1706" s="166" t="str">
        <f t="shared" si="26"/>
        <v>PROTECTIONPRTCTN_VL_NPE</v>
      </c>
    </row>
    <row r="1707" spans="1:11" hidden="1">
      <c r="A1707" s="166" t="s">
        <v>4757</v>
      </c>
      <c r="B1707" s="166" t="s">
        <v>4758</v>
      </c>
      <c r="C1707" s="166" t="s">
        <v>4643</v>
      </c>
      <c r="D1707" s="166" t="s">
        <v>534</v>
      </c>
      <c r="E1707" s="166" t="s">
        <v>1132</v>
      </c>
      <c r="F1707" s="166" t="s">
        <v>4640</v>
      </c>
      <c r="G1707" s="166" t="s">
        <v>129</v>
      </c>
      <c r="H1707" s="166">
        <v>161924</v>
      </c>
      <c r="I1707" s="166">
        <v>0</v>
      </c>
      <c r="J1707" s="166">
        <v>0</v>
      </c>
      <c r="K1707" s="166" t="str">
        <f t="shared" si="26"/>
        <v>PROTECTIONPRTCTN_VL_NPE</v>
      </c>
    </row>
    <row r="1708" spans="1:11" hidden="1">
      <c r="A1708" s="166" t="s">
        <v>4759</v>
      </c>
      <c r="B1708" s="166" t="s">
        <v>4760</v>
      </c>
      <c r="C1708" s="166" t="s">
        <v>4643</v>
      </c>
      <c r="D1708" s="166" t="s">
        <v>469</v>
      </c>
      <c r="E1708" s="166" t="s">
        <v>1132</v>
      </c>
      <c r="F1708" s="166" t="s">
        <v>4640</v>
      </c>
      <c r="G1708" s="166" t="s">
        <v>129</v>
      </c>
      <c r="H1708" s="166">
        <v>302625</v>
      </c>
      <c r="I1708" s="166">
        <v>0</v>
      </c>
      <c r="J1708" s="166">
        <v>0</v>
      </c>
      <c r="K1708" s="166" t="str">
        <f t="shared" si="26"/>
        <v>PROTECTIONPRTCTN_VLTN_APPRCH</v>
      </c>
    </row>
    <row r="1709" spans="1:11" hidden="1">
      <c r="A1709" s="166" t="s">
        <v>4761</v>
      </c>
      <c r="B1709" s="166" t="s">
        <v>4762</v>
      </c>
      <c r="C1709" s="166" t="s">
        <v>4643</v>
      </c>
      <c r="D1709" s="166" t="s">
        <v>469</v>
      </c>
      <c r="E1709" s="166" t="s">
        <v>1132</v>
      </c>
      <c r="F1709" s="166" t="s">
        <v>4640</v>
      </c>
      <c r="G1709" s="166" t="s">
        <v>1134</v>
      </c>
      <c r="H1709" s="166">
        <v>161924</v>
      </c>
      <c r="I1709" s="166">
        <v>161924</v>
      </c>
      <c r="J1709" s="166">
        <v>100</v>
      </c>
      <c r="K1709" s="166" t="str">
        <f t="shared" si="26"/>
        <v>PROTECTIONPRTCTN_VLTN_APPRCH</v>
      </c>
    </row>
    <row r="1710" spans="1:11" hidden="1">
      <c r="A1710" s="166" t="s">
        <v>4763</v>
      </c>
      <c r="B1710" s="166" t="s">
        <v>674</v>
      </c>
      <c r="C1710" s="166" t="s">
        <v>4643</v>
      </c>
      <c r="D1710" s="166" t="s">
        <v>179</v>
      </c>
      <c r="E1710" s="166" t="s">
        <v>1132</v>
      </c>
      <c r="F1710" s="166" t="s">
        <v>4640</v>
      </c>
      <c r="G1710" s="166" t="s">
        <v>129</v>
      </c>
      <c r="H1710" s="166">
        <v>24202</v>
      </c>
      <c r="I1710" s="166">
        <v>0</v>
      </c>
      <c r="J1710" s="166">
        <v>0</v>
      </c>
      <c r="K1710" s="166" t="str">
        <f t="shared" si="26"/>
        <v>PROTECTIONDT_APPRSL_PRVS</v>
      </c>
    </row>
    <row r="1711" spans="1:11" hidden="1">
      <c r="A1711" s="166" t="s">
        <v>4764</v>
      </c>
      <c r="B1711" s="166" t="s">
        <v>676</v>
      </c>
      <c r="C1711" s="166" t="s">
        <v>4643</v>
      </c>
      <c r="D1711" s="166" t="s">
        <v>179</v>
      </c>
      <c r="E1711" s="166" t="s">
        <v>1132</v>
      </c>
      <c r="F1711" s="166" t="s">
        <v>4640</v>
      </c>
      <c r="G1711" s="166" t="s">
        <v>129</v>
      </c>
      <c r="H1711" s="166">
        <v>24202</v>
      </c>
      <c r="I1711" s="166">
        <v>0</v>
      </c>
      <c r="J1711" s="166">
        <v>0</v>
      </c>
      <c r="K1711" s="166" t="str">
        <f t="shared" si="26"/>
        <v>PROTECTIONDT_APPRSL_PRVS</v>
      </c>
    </row>
    <row r="1712" spans="1:11" hidden="1">
      <c r="A1712" s="166" t="s">
        <v>4765</v>
      </c>
      <c r="B1712" s="166" t="s">
        <v>679</v>
      </c>
      <c r="C1712" s="166" t="s">
        <v>4643</v>
      </c>
      <c r="D1712" s="166" t="s">
        <v>179</v>
      </c>
      <c r="E1712" s="166" t="s">
        <v>1132</v>
      </c>
      <c r="F1712" s="166" t="s">
        <v>4640</v>
      </c>
      <c r="G1712" s="166" t="s">
        <v>129</v>
      </c>
      <c r="H1712" s="166">
        <v>24202</v>
      </c>
      <c r="I1712" s="166">
        <v>0</v>
      </c>
      <c r="J1712" s="166">
        <v>0</v>
      </c>
      <c r="K1712" s="166" t="str">
        <f t="shared" si="26"/>
        <v>PROTECTIONDT_APPRSL_PRVS</v>
      </c>
    </row>
    <row r="1713" spans="1:11" hidden="1">
      <c r="A1713" s="166" t="s">
        <v>4766</v>
      </c>
      <c r="B1713" s="166" t="s">
        <v>4767</v>
      </c>
      <c r="C1713" s="166" t="s">
        <v>4643</v>
      </c>
      <c r="D1713" s="166" t="s">
        <v>179</v>
      </c>
      <c r="E1713" s="166" t="s">
        <v>1132</v>
      </c>
      <c r="F1713" s="166" t="s">
        <v>4640</v>
      </c>
      <c r="G1713" s="166" t="s">
        <v>129</v>
      </c>
      <c r="H1713" s="166">
        <v>161924</v>
      </c>
      <c r="I1713" s="166">
        <v>0</v>
      </c>
      <c r="J1713" s="166">
        <v>0</v>
      </c>
      <c r="K1713" s="166" t="str">
        <f t="shared" si="26"/>
        <v>PROTECTIONDT_APPRSL_PRVS</v>
      </c>
    </row>
    <row r="1714" spans="1:11" hidden="1">
      <c r="A1714" s="166" t="s">
        <v>4768</v>
      </c>
      <c r="B1714" s="166" t="s">
        <v>4769</v>
      </c>
      <c r="C1714" s="166" t="s">
        <v>4643</v>
      </c>
      <c r="D1714" s="166" t="s">
        <v>468</v>
      </c>
      <c r="E1714" s="166" t="s">
        <v>1132</v>
      </c>
      <c r="F1714" s="166" t="s">
        <v>4640</v>
      </c>
      <c r="G1714" s="166" t="s">
        <v>129</v>
      </c>
      <c r="H1714" s="166">
        <v>24202</v>
      </c>
      <c r="I1714" s="166">
        <v>0</v>
      </c>
      <c r="J1714" s="166">
        <v>0</v>
      </c>
      <c r="K1714" s="166" t="str">
        <f t="shared" si="26"/>
        <v>PROTECTIONPRTCTN_VL_PRVS</v>
      </c>
    </row>
    <row r="1715" spans="1:11" hidden="1">
      <c r="A1715" s="166" t="s">
        <v>4770</v>
      </c>
      <c r="B1715" s="166" t="s">
        <v>4771</v>
      </c>
      <c r="C1715" s="166" t="s">
        <v>4643</v>
      </c>
      <c r="D1715" s="166" t="s">
        <v>468</v>
      </c>
      <c r="E1715" s="166" t="s">
        <v>1132</v>
      </c>
      <c r="F1715" s="166" t="s">
        <v>4640</v>
      </c>
      <c r="G1715" s="166" t="s">
        <v>129</v>
      </c>
      <c r="H1715" s="166">
        <v>161924</v>
      </c>
      <c r="I1715" s="166">
        <v>0</v>
      </c>
      <c r="J1715" s="166">
        <v>0</v>
      </c>
      <c r="K1715" s="166" t="str">
        <f t="shared" si="26"/>
        <v>PROTECTIONPRTCTN_VL_PRVS</v>
      </c>
    </row>
    <row r="1716" spans="1:11" hidden="1">
      <c r="A1716" s="166" t="s">
        <v>4772</v>
      </c>
      <c r="B1716" s="166" t="s">
        <v>4773</v>
      </c>
      <c r="C1716" s="166" t="s">
        <v>4643</v>
      </c>
      <c r="D1716" s="166" t="s">
        <v>247</v>
      </c>
      <c r="E1716" s="166" t="s">
        <v>1132</v>
      </c>
      <c r="F1716" s="166" t="s">
        <v>4640</v>
      </c>
      <c r="G1716" s="166" t="s">
        <v>129</v>
      </c>
      <c r="H1716" s="166">
        <v>272191</v>
      </c>
      <c r="I1716" s="166">
        <v>0</v>
      </c>
      <c r="J1716" s="166">
        <v>0</v>
      </c>
      <c r="K1716" s="166" t="str">
        <f t="shared" si="26"/>
        <v>PROTECTIONCNSTRCTN_STTS</v>
      </c>
    </row>
    <row r="1717" spans="1:11" hidden="1">
      <c r="A1717" s="166" t="s">
        <v>4774</v>
      </c>
      <c r="B1717" s="166" t="s">
        <v>775</v>
      </c>
      <c r="C1717" s="166" t="s">
        <v>4643</v>
      </c>
      <c r="D1717" s="166" t="s">
        <v>247</v>
      </c>
      <c r="E1717" s="166" t="s">
        <v>1132</v>
      </c>
      <c r="F1717" s="166" t="s">
        <v>4640</v>
      </c>
      <c r="G1717" s="166" t="s">
        <v>129</v>
      </c>
      <c r="H1717" s="166">
        <v>259422</v>
      </c>
      <c r="I1717" s="166">
        <v>0</v>
      </c>
      <c r="J1717" s="166">
        <v>0</v>
      </c>
      <c r="K1717" s="166" t="str">
        <f t="shared" si="26"/>
        <v>PROTECTIONCNSTRCTN_STTS</v>
      </c>
    </row>
    <row r="1718" spans="1:11" hidden="1">
      <c r="A1718" s="166" t="s">
        <v>4775</v>
      </c>
      <c r="B1718" s="166" t="s">
        <v>777</v>
      </c>
      <c r="C1718" s="166" t="s">
        <v>4643</v>
      </c>
      <c r="D1718" s="166" t="s">
        <v>247</v>
      </c>
      <c r="E1718" s="166" t="s">
        <v>1132</v>
      </c>
      <c r="F1718" s="166" t="s">
        <v>4640</v>
      </c>
      <c r="G1718" s="166" t="s">
        <v>129</v>
      </c>
      <c r="H1718" s="166">
        <v>12510</v>
      </c>
      <c r="I1718" s="166">
        <v>0</v>
      </c>
      <c r="J1718" s="166">
        <v>0</v>
      </c>
      <c r="K1718" s="166" t="str">
        <f t="shared" si="26"/>
        <v>PROTECTIONCNSTRCTN_STTS</v>
      </c>
    </row>
    <row r="1719" spans="1:11" hidden="1">
      <c r="A1719" s="166" t="s">
        <v>4776</v>
      </c>
      <c r="B1719" s="166" t="s">
        <v>779</v>
      </c>
      <c r="C1719" s="166" t="s">
        <v>4643</v>
      </c>
      <c r="D1719" s="166" t="s">
        <v>247</v>
      </c>
      <c r="E1719" s="166" t="s">
        <v>1132</v>
      </c>
      <c r="F1719" s="166" t="s">
        <v>4640</v>
      </c>
      <c r="G1719" s="166" t="s">
        <v>129</v>
      </c>
      <c r="H1719" s="166">
        <v>198</v>
      </c>
      <c r="I1719" s="166">
        <v>0</v>
      </c>
      <c r="J1719" s="166">
        <v>0</v>
      </c>
      <c r="K1719" s="166" t="str">
        <f t="shared" si="26"/>
        <v>PROTECTIONCNSTRCTN_STTS</v>
      </c>
    </row>
    <row r="1720" spans="1:11" hidden="1">
      <c r="A1720" s="166" t="s">
        <v>4777</v>
      </c>
      <c r="B1720" s="166" t="s">
        <v>781</v>
      </c>
      <c r="C1720" s="166" t="s">
        <v>4643</v>
      </c>
      <c r="D1720" s="166" t="s">
        <v>247</v>
      </c>
      <c r="E1720" s="166" t="s">
        <v>1132</v>
      </c>
      <c r="F1720" s="166" t="s">
        <v>4640</v>
      </c>
      <c r="G1720" s="166" t="s">
        <v>129</v>
      </c>
      <c r="H1720" s="166">
        <v>166781</v>
      </c>
      <c r="I1720" s="166">
        <v>0</v>
      </c>
      <c r="J1720" s="166">
        <v>0</v>
      </c>
      <c r="K1720" s="166" t="str">
        <f t="shared" si="26"/>
        <v>PROTECTIONCNSTRCTN_STTS</v>
      </c>
    </row>
    <row r="1721" spans="1:11" hidden="1">
      <c r="A1721" s="166" t="s">
        <v>4778</v>
      </c>
      <c r="B1721" s="166" t="s">
        <v>4779</v>
      </c>
      <c r="C1721" s="166" t="s">
        <v>4643</v>
      </c>
      <c r="D1721" s="166" t="s">
        <v>247</v>
      </c>
      <c r="E1721" s="166" t="s">
        <v>1132</v>
      </c>
      <c r="F1721" s="166" t="s">
        <v>4640</v>
      </c>
      <c r="G1721" s="166" t="s">
        <v>129</v>
      </c>
      <c r="H1721" s="166">
        <v>0</v>
      </c>
      <c r="I1721" s="166">
        <v>0</v>
      </c>
      <c r="J1721" s="166">
        <v>0</v>
      </c>
      <c r="K1721" s="166" t="str">
        <f t="shared" si="26"/>
        <v>PROTECTIONCNSTRCTN_STTS</v>
      </c>
    </row>
    <row r="1722" spans="1:11" hidden="1">
      <c r="A1722" s="166" t="s">
        <v>4780</v>
      </c>
      <c r="B1722" s="166" t="s">
        <v>786</v>
      </c>
      <c r="C1722" s="166" t="s">
        <v>4643</v>
      </c>
      <c r="D1722" s="166" t="s">
        <v>247</v>
      </c>
      <c r="E1722" s="166" t="s">
        <v>1132</v>
      </c>
      <c r="F1722" s="166" t="s">
        <v>4640</v>
      </c>
      <c r="G1722" s="166" t="s">
        <v>129</v>
      </c>
      <c r="H1722" s="166">
        <v>69</v>
      </c>
      <c r="I1722" s="166">
        <v>0</v>
      </c>
      <c r="J1722" s="166">
        <v>0</v>
      </c>
      <c r="K1722" s="166" t="str">
        <f t="shared" si="26"/>
        <v>PROTECTIONCNSTRCTN_STTS</v>
      </c>
    </row>
    <row r="1723" spans="1:11" hidden="1">
      <c r="A1723" s="166" t="s">
        <v>4781</v>
      </c>
      <c r="B1723" s="166" t="s">
        <v>788</v>
      </c>
      <c r="C1723" s="166" t="s">
        <v>4643</v>
      </c>
      <c r="D1723" s="166" t="s">
        <v>247</v>
      </c>
      <c r="E1723" s="166" t="s">
        <v>1132</v>
      </c>
      <c r="F1723" s="166" t="s">
        <v>4640</v>
      </c>
      <c r="G1723" s="166" t="s">
        <v>129</v>
      </c>
      <c r="H1723" s="166">
        <v>0</v>
      </c>
      <c r="I1723" s="166">
        <v>0</v>
      </c>
      <c r="J1723" s="166">
        <v>0</v>
      </c>
      <c r="K1723" s="166" t="str">
        <f t="shared" si="26"/>
        <v>PROTECTIONCNSTRCTN_STTS</v>
      </c>
    </row>
    <row r="1724" spans="1:11" hidden="1">
      <c r="A1724" s="166" t="s">
        <v>4782</v>
      </c>
      <c r="B1724" s="166" t="s">
        <v>4783</v>
      </c>
      <c r="C1724" s="166" t="s">
        <v>4643</v>
      </c>
      <c r="D1724" s="166" t="s">
        <v>67</v>
      </c>
      <c r="E1724" s="166" t="s">
        <v>1132</v>
      </c>
      <c r="F1724" s="166" t="s">
        <v>4640</v>
      </c>
      <c r="G1724" s="166" t="s">
        <v>129</v>
      </c>
      <c r="H1724" s="166">
        <v>272130</v>
      </c>
      <c r="I1724" s="166">
        <v>0</v>
      </c>
      <c r="J1724" s="166">
        <v>0</v>
      </c>
      <c r="K1724" s="166" t="str">
        <f t="shared" si="26"/>
        <v>PROTECTIONDT_CNSTRCTN_STTS</v>
      </c>
    </row>
    <row r="1725" spans="1:11" hidden="1">
      <c r="A1725" s="166" t="s">
        <v>4784</v>
      </c>
      <c r="B1725" s="166" t="s">
        <v>4785</v>
      </c>
      <c r="C1725" s="166" t="s">
        <v>4643</v>
      </c>
      <c r="D1725" s="166" t="s">
        <v>67</v>
      </c>
      <c r="E1725" s="166" t="s">
        <v>1132</v>
      </c>
      <c r="F1725" s="166" t="s">
        <v>4640</v>
      </c>
      <c r="G1725" s="166" t="s">
        <v>129</v>
      </c>
      <c r="H1725" s="166">
        <v>166781</v>
      </c>
      <c r="I1725" s="166">
        <v>0</v>
      </c>
      <c r="J1725" s="166">
        <v>0</v>
      </c>
      <c r="K1725" s="166" t="str">
        <f t="shared" si="26"/>
        <v>PROTECTIONDT_CNSTRCTN_STTS</v>
      </c>
    </row>
    <row r="1726" spans="1:11" hidden="1">
      <c r="A1726" s="166" t="s">
        <v>4786</v>
      </c>
      <c r="B1726" s="166" t="s">
        <v>4787</v>
      </c>
      <c r="C1726" s="166" t="s">
        <v>4643</v>
      </c>
      <c r="D1726" s="166" t="s">
        <v>67</v>
      </c>
      <c r="E1726" s="166" t="s">
        <v>1132</v>
      </c>
      <c r="F1726" s="166" t="s">
        <v>4640</v>
      </c>
      <c r="G1726" s="166" t="s">
        <v>1134</v>
      </c>
      <c r="H1726" s="166">
        <v>272191</v>
      </c>
      <c r="I1726" s="166">
        <v>10</v>
      </c>
      <c r="J1726" s="166">
        <v>3.7000000000000002E-3</v>
      </c>
      <c r="K1726" s="166" t="str">
        <f t="shared" si="26"/>
        <v>PROTECTIONDT_CNSTRCTN_STTS</v>
      </c>
    </row>
    <row r="1727" spans="1:11" hidden="1">
      <c r="A1727" s="166" t="s">
        <v>4788</v>
      </c>
      <c r="B1727" s="166" t="s">
        <v>4789</v>
      </c>
      <c r="C1727" s="166" t="s">
        <v>4643</v>
      </c>
      <c r="D1727" s="166" t="s">
        <v>256</v>
      </c>
      <c r="E1727" s="166" t="s">
        <v>1132</v>
      </c>
      <c r="F1727" s="166" t="s">
        <v>4640</v>
      </c>
      <c r="G1727" s="166" t="s">
        <v>129</v>
      </c>
      <c r="H1727" s="166">
        <v>4731</v>
      </c>
      <c r="I1727" s="166">
        <v>0</v>
      </c>
      <c r="J1727" s="166">
        <v>0</v>
      </c>
      <c r="K1727" s="166" t="str">
        <f t="shared" si="26"/>
        <v>PROTECTIONDT_FRST_USG</v>
      </c>
    </row>
    <row r="1728" spans="1:11" hidden="1">
      <c r="A1728" s="166" t="s">
        <v>4790</v>
      </c>
      <c r="B1728" s="166" t="s">
        <v>792</v>
      </c>
      <c r="C1728" s="166" t="s">
        <v>4643</v>
      </c>
      <c r="D1728" s="166" t="s">
        <v>264</v>
      </c>
      <c r="E1728" s="166" t="s">
        <v>1132</v>
      </c>
      <c r="F1728" s="166" t="s">
        <v>4640</v>
      </c>
      <c r="G1728" s="166" t="s">
        <v>129</v>
      </c>
      <c r="H1728" s="166">
        <v>272377</v>
      </c>
      <c r="I1728" s="166">
        <v>0</v>
      </c>
      <c r="J1728" s="166">
        <v>0</v>
      </c>
      <c r="K1728" s="166" t="str">
        <f t="shared" si="26"/>
        <v>PROTECTIONDVLPMNT_STTS</v>
      </c>
    </row>
    <row r="1729" spans="1:11" hidden="1">
      <c r="A1729" s="166" t="s">
        <v>4791</v>
      </c>
      <c r="B1729" s="166" t="s">
        <v>4792</v>
      </c>
      <c r="C1729" s="166" t="s">
        <v>4643</v>
      </c>
      <c r="D1729" s="166" t="s">
        <v>264</v>
      </c>
      <c r="E1729" s="166" t="s">
        <v>1132</v>
      </c>
      <c r="F1729" s="166" t="s">
        <v>4640</v>
      </c>
      <c r="G1729" s="166" t="s">
        <v>129</v>
      </c>
      <c r="H1729" s="166">
        <v>192749</v>
      </c>
      <c r="I1729" s="166">
        <v>0</v>
      </c>
      <c r="J1729" s="166">
        <v>0</v>
      </c>
      <c r="K1729" s="166" t="str">
        <f t="shared" si="26"/>
        <v>PROTECTIONDVLPMNT_STTS</v>
      </c>
    </row>
    <row r="1730" spans="1:11" hidden="1">
      <c r="A1730" s="166" t="s">
        <v>4793</v>
      </c>
      <c r="B1730" s="166" t="s">
        <v>4794</v>
      </c>
      <c r="C1730" s="166" t="s">
        <v>4643</v>
      </c>
      <c r="D1730" s="166" t="s">
        <v>412</v>
      </c>
      <c r="E1730" s="166" t="s">
        <v>1132</v>
      </c>
      <c r="F1730" s="166" t="s">
        <v>4640</v>
      </c>
      <c r="G1730" s="166" t="s">
        <v>1134</v>
      </c>
      <c r="H1730" s="166">
        <v>2450</v>
      </c>
      <c r="I1730" s="166">
        <v>329</v>
      </c>
      <c r="J1730" s="166">
        <v>13.428599999999999</v>
      </c>
      <c r="K1730" s="166" t="str">
        <f t="shared" si="26"/>
        <v>PROTECTIONMN_PRPS</v>
      </c>
    </row>
    <row r="1731" spans="1:11" hidden="1">
      <c r="A1731" s="166" t="s">
        <v>4795</v>
      </c>
      <c r="B1731" s="166" t="s">
        <v>4796</v>
      </c>
      <c r="C1731" s="166" t="s">
        <v>4643</v>
      </c>
      <c r="D1731" s="166" t="s">
        <v>412</v>
      </c>
      <c r="E1731" s="166" t="s">
        <v>1132</v>
      </c>
      <c r="F1731" s="166" t="s">
        <v>4640</v>
      </c>
      <c r="G1731" s="166" t="s">
        <v>129</v>
      </c>
      <c r="H1731" s="166">
        <v>436</v>
      </c>
      <c r="I1731" s="166">
        <v>0</v>
      </c>
      <c r="J1731" s="166">
        <v>0</v>
      </c>
      <c r="K1731" s="166" t="str">
        <f t="shared" ref="K1731:K1794" si="27">_xlfn.CONCAT(_xlfn.IFS(ISNUMBER(SEARCH("EN",A1731)),"ENTITY",ISNUMBER(SEARCH("IN",A1731)),"INSTRUMENT",ISNUMBER(SEARCH("PR",A1731)),"PROTECTION",ISNUMBER(SEARCH("IP",A1731)),"INSTR_PROTECTION",ISNUMBER(SEARCH("IE",A1731)),"INSTR_ENTITY",ISNUMBER(SEARCH("AC",A1731)),"INSTR_ACTIVITY"),D1731)</f>
        <v>PROTECTIONMN_PRPS</v>
      </c>
    </row>
    <row r="1732" spans="1:11" hidden="1">
      <c r="A1732" s="166" t="s">
        <v>4797</v>
      </c>
      <c r="B1732" s="166" t="s">
        <v>4798</v>
      </c>
      <c r="C1732" s="166" t="s">
        <v>4643</v>
      </c>
      <c r="D1732" s="166" t="s">
        <v>412</v>
      </c>
      <c r="E1732" s="166" t="s">
        <v>1132</v>
      </c>
      <c r="F1732" s="166" t="s">
        <v>4640</v>
      </c>
      <c r="G1732" s="166" t="s">
        <v>129</v>
      </c>
      <c r="H1732" s="166">
        <v>4295</v>
      </c>
      <c r="I1732" s="166">
        <v>0</v>
      </c>
      <c r="J1732" s="166">
        <v>0</v>
      </c>
      <c r="K1732" s="166" t="str">
        <f t="shared" si="27"/>
        <v>PROTECTIONMN_PRPS</v>
      </c>
    </row>
    <row r="1733" spans="1:11" hidden="1">
      <c r="A1733" s="166" t="s">
        <v>4799</v>
      </c>
      <c r="B1733" s="166" t="s">
        <v>4800</v>
      </c>
      <c r="C1733" s="166" t="s">
        <v>4643</v>
      </c>
      <c r="D1733" s="166" t="s">
        <v>412</v>
      </c>
      <c r="E1733" s="166" t="s">
        <v>1132</v>
      </c>
      <c r="F1733" s="166" t="s">
        <v>4640</v>
      </c>
      <c r="G1733" s="166" t="s">
        <v>129</v>
      </c>
      <c r="H1733" s="166">
        <v>88436</v>
      </c>
      <c r="I1733" s="166">
        <v>0</v>
      </c>
      <c r="J1733" s="166">
        <v>0</v>
      </c>
      <c r="K1733" s="166" t="str">
        <f t="shared" si="27"/>
        <v>PROTECTIONMN_PRPS</v>
      </c>
    </row>
    <row r="1734" spans="1:11" hidden="1">
      <c r="A1734" s="166" t="s">
        <v>4801</v>
      </c>
      <c r="B1734" s="166" t="s">
        <v>4802</v>
      </c>
      <c r="C1734" s="166" t="s">
        <v>4643</v>
      </c>
      <c r="D1734" s="166" t="s">
        <v>453</v>
      </c>
      <c r="E1734" s="166" t="s">
        <v>1132</v>
      </c>
      <c r="F1734" s="166" t="s">
        <v>4640</v>
      </c>
      <c r="G1734" s="166" t="s">
        <v>1134</v>
      </c>
      <c r="H1734" s="166">
        <v>88436</v>
      </c>
      <c r="I1734" s="166">
        <v>22089</v>
      </c>
      <c r="J1734" s="166">
        <v>24.977399999999999</v>
      </c>
      <c r="K1734" s="166" t="str">
        <f t="shared" si="27"/>
        <v>PROTECTIONPRM_LCTN</v>
      </c>
    </row>
    <row r="1735" spans="1:11" hidden="1">
      <c r="A1735" s="166" t="s">
        <v>4803</v>
      </c>
      <c r="B1735" s="166" t="s">
        <v>4804</v>
      </c>
      <c r="C1735" s="166" t="s">
        <v>4643</v>
      </c>
      <c r="D1735" s="166" t="s">
        <v>453</v>
      </c>
      <c r="E1735" s="166" t="s">
        <v>1132</v>
      </c>
      <c r="F1735" s="166" t="s">
        <v>4640</v>
      </c>
      <c r="G1735" s="166" t="s">
        <v>129</v>
      </c>
      <c r="H1735" s="166">
        <v>7181</v>
      </c>
      <c r="I1735" s="166">
        <v>0</v>
      </c>
      <c r="J1735" s="166">
        <v>0</v>
      </c>
      <c r="K1735" s="166" t="str">
        <f t="shared" si="27"/>
        <v>PROTECTIONPRM_LCTN</v>
      </c>
    </row>
    <row r="1736" spans="1:11" hidden="1">
      <c r="A1736" s="166" t="s">
        <v>4805</v>
      </c>
      <c r="B1736" s="166" t="s">
        <v>4806</v>
      </c>
      <c r="C1736" s="166" t="s">
        <v>4643</v>
      </c>
      <c r="D1736" s="166" t="s">
        <v>194</v>
      </c>
      <c r="E1736" s="166" t="s">
        <v>1132</v>
      </c>
      <c r="F1736" s="166" t="s">
        <v>4640</v>
      </c>
      <c r="G1736" s="166" t="s">
        <v>129</v>
      </c>
      <c r="H1736" s="166">
        <v>0</v>
      </c>
      <c r="I1736" s="166">
        <v>0</v>
      </c>
      <c r="J1736" s="166">
        <v>0</v>
      </c>
      <c r="K1736" s="166" t="str">
        <f t="shared" si="27"/>
        <v>PROTECTIONCRE_INCM_CRRNCY</v>
      </c>
    </row>
    <row r="1737" spans="1:11" hidden="1">
      <c r="A1737" s="166" t="s">
        <v>4807</v>
      </c>
      <c r="B1737" s="166" t="s">
        <v>4808</v>
      </c>
      <c r="C1737" s="166" t="s">
        <v>4643</v>
      </c>
      <c r="D1737" s="166" t="s">
        <v>194</v>
      </c>
      <c r="E1737" s="166" t="s">
        <v>1132</v>
      </c>
      <c r="F1737" s="166" t="s">
        <v>4640</v>
      </c>
      <c r="G1737" s="166" t="s">
        <v>129</v>
      </c>
      <c r="H1737" s="166">
        <v>0</v>
      </c>
      <c r="I1737" s="166">
        <v>0</v>
      </c>
      <c r="J1737" s="166">
        <v>0</v>
      </c>
      <c r="K1737" s="166" t="str">
        <f t="shared" si="27"/>
        <v>PROTECTIONCRE_INCM_CRRNCY</v>
      </c>
    </row>
    <row r="1738" spans="1:11" hidden="1">
      <c r="A1738" s="166" t="s">
        <v>4809</v>
      </c>
      <c r="B1738" s="166" t="s">
        <v>4810</v>
      </c>
      <c r="C1738" s="166" t="s">
        <v>4643</v>
      </c>
      <c r="D1738" s="166" t="s">
        <v>517</v>
      </c>
      <c r="E1738" s="166" t="s">
        <v>1132</v>
      </c>
      <c r="F1738" s="166" t="s">
        <v>4640</v>
      </c>
      <c r="G1738" s="166" t="s">
        <v>129</v>
      </c>
      <c r="H1738" s="166">
        <v>161924</v>
      </c>
      <c r="I1738" s="166">
        <v>0</v>
      </c>
      <c r="J1738" s="166">
        <v>0</v>
      </c>
      <c r="K1738" s="166" t="str">
        <f t="shared" si="27"/>
        <v>PROTECTIONTAX_ID</v>
      </c>
    </row>
    <row r="1739" spans="1:11" hidden="1">
      <c r="A1739" s="166" t="s">
        <v>4811</v>
      </c>
      <c r="B1739" s="166" t="s">
        <v>4812</v>
      </c>
      <c r="C1739" s="166" t="s">
        <v>4643</v>
      </c>
      <c r="D1739" s="166" t="s">
        <v>2525</v>
      </c>
      <c r="E1739" s="166" t="s">
        <v>1132</v>
      </c>
      <c r="F1739" s="166" t="s">
        <v>4640</v>
      </c>
      <c r="G1739" s="166" t="s">
        <v>129</v>
      </c>
      <c r="H1739" s="166">
        <v>192749</v>
      </c>
      <c r="I1739" s="166">
        <v>0</v>
      </c>
      <c r="J1739" s="166">
        <v>0</v>
      </c>
      <c r="K1739" s="166" t="str">
        <f t="shared" si="27"/>
        <v>PROTECTIONTYP_EP_SCR</v>
      </c>
    </row>
    <row r="1740" spans="1:11" hidden="1">
      <c r="A1740" s="166" t="s">
        <v>4813</v>
      </c>
      <c r="B1740" s="166" t="s">
        <v>4814</v>
      </c>
      <c r="C1740" s="166" t="s">
        <v>4643</v>
      </c>
      <c r="D1740" s="166" t="s">
        <v>2525</v>
      </c>
      <c r="E1740" s="166" t="s">
        <v>1132</v>
      </c>
      <c r="F1740" s="166" t="s">
        <v>4640</v>
      </c>
      <c r="G1740" s="166" t="s">
        <v>129</v>
      </c>
      <c r="H1740" s="166">
        <v>0</v>
      </c>
      <c r="I1740" s="166">
        <v>0</v>
      </c>
      <c r="J1740" s="166">
        <v>0</v>
      </c>
      <c r="K1740" s="166" t="str">
        <f t="shared" si="27"/>
        <v>PROTECTIONTYP_EP_SCR</v>
      </c>
    </row>
    <row r="1741" spans="1:11" hidden="1">
      <c r="A1741" s="166" t="s">
        <v>4815</v>
      </c>
      <c r="B1741" s="166" t="s">
        <v>4816</v>
      </c>
      <c r="C1741" s="166" t="s">
        <v>4643</v>
      </c>
      <c r="D1741" s="166" t="s">
        <v>2525</v>
      </c>
      <c r="E1741" s="166" t="s">
        <v>1132</v>
      </c>
      <c r="F1741" s="166" t="s">
        <v>4640</v>
      </c>
      <c r="G1741" s="166" t="s">
        <v>129</v>
      </c>
      <c r="H1741" s="166">
        <v>0</v>
      </c>
      <c r="I1741" s="166">
        <v>0</v>
      </c>
      <c r="J1741" s="166">
        <v>0</v>
      </c>
      <c r="K1741" s="166" t="str">
        <f t="shared" si="27"/>
        <v>PROTECTIONTYP_EP_SCR</v>
      </c>
    </row>
    <row r="1742" spans="1:11" hidden="1">
      <c r="A1742" s="166" t="s">
        <v>4817</v>
      </c>
      <c r="B1742" s="166" t="s">
        <v>4818</v>
      </c>
      <c r="C1742" s="166" t="s">
        <v>4643</v>
      </c>
      <c r="D1742" s="166" t="s">
        <v>2528</v>
      </c>
      <c r="E1742" s="166" t="s">
        <v>1132</v>
      </c>
      <c r="F1742" s="166" t="s">
        <v>4640</v>
      </c>
      <c r="G1742" s="166" t="s">
        <v>129</v>
      </c>
      <c r="H1742" s="166">
        <v>192749</v>
      </c>
      <c r="I1742" s="166">
        <v>0</v>
      </c>
      <c r="J1742" s="166">
        <v>0</v>
      </c>
      <c r="K1742" s="166" t="str">
        <f t="shared" si="27"/>
        <v>PROTECTIONEP_SCR</v>
      </c>
    </row>
    <row r="1743" spans="1:11" hidden="1">
      <c r="A1743" s="166" t="s">
        <v>4819</v>
      </c>
      <c r="B1743" s="166" t="s">
        <v>4820</v>
      </c>
      <c r="C1743" s="166" t="s">
        <v>4643</v>
      </c>
      <c r="D1743" s="166" t="s">
        <v>2531</v>
      </c>
      <c r="E1743" s="166" t="s">
        <v>1132</v>
      </c>
      <c r="F1743" s="166" t="s">
        <v>4640</v>
      </c>
      <c r="G1743" s="166" t="s">
        <v>129</v>
      </c>
      <c r="H1743" s="166">
        <v>192749</v>
      </c>
      <c r="I1743" s="166">
        <v>0</v>
      </c>
      <c r="J1743" s="166">
        <v>0</v>
      </c>
      <c r="K1743" s="166" t="str">
        <f t="shared" si="27"/>
        <v>PROTECTIONTYP_EPC_LBL</v>
      </c>
    </row>
    <row r="1744" spans="1:11" hidden="1">
      <c r="A1744" s="166" t="s">
        <v>4821</v>
      </c>
      <c r="B1744" s="166" t="s">
        <v>4822</v>
      </c>
      <c r="C1744" s="166" t="s">
        <v>4643</v>
      </c>
      <c r="D1744" s="166" t="s">
        <v>2531</v>
      </c>
      <c r="E1744" s="166" t="s">
        <v>1132</v>
      </c>
      <c r="F1744" s="166" t="s">
        <v>4640</v>
      </c>
      <c r="G1744" s="166" t="s">
        <v>129</v>
      </c>
      <c r="H1744" s="166">
        <v>0</v>
      </c>
      <c r="I1744" s="166">
        <v>0</v>
      </c>
      <c r="J1744" s="166">
        <v>0</v>
      </c>
      <c r="K1744" s="166" t="str">
        <f t="shared" si="27"/>
        <v>PROTECTIONTYP_EPC_LBL</v>
      </c>
    </row>
    <row r="1745" spans="1:11" hidden="1">
      <c r="A1745" s="166" t="s">
        <v>4823</v>
      </c>
      <c r="B1745" s="166" t="s">
        <v>4824</v>
      </c>
      <c r="C1745" s="166" t="s">
        <v>4643</v>
      </c>
      <c r="D1745" s="166" t="s">
        <v>2531</v>
      </c>
      <c r="E1745" s="166" t="s">
        <v>1132</v>
      </c>
      <c r="F1745" s="166" t="s">
        <v>4640</v>
      </c>
      <c r="G1745" s="166" t="s">
        <v>129</v>
      </c>
      <c r="H1745" s="166">
        <v>0</v>
      </c>
      <c r="I1745" s="166">
        <v>0</v>
      </c>
      <c r="J1745" s="166">
        <v>0</v>
      </c>
      <c r="K1745" s="166" t="str">
        <f t="shared" si="27"/>
        <v>PROTECTIONTYP_EPC_LBL</v>
      </c>
    </row>
    <row r="1746" spans="1:11" hidden="1">
      <c r="A1746" s="166" t="s">
        <v>4825</v>
      </c>
      <c r="B1746" s="166" t="s">
        <v>4826</v>
      </c>
      <c r="C1746" s="166" t="s">
        <v>4643</v>
      </c>
      <c r="D1746" s="166" t="s">
        <v>2534</v>
      </c>
      <c r="E1746" s="166" t="s">
        <v>1132</v>
      </c>
      <c r="F1746" s="166" t="s">
        <v>4640</v>
      </c>
      <c r="G1746" s="166" t="s">
        <v>129</v>
      </c>
      <c r="H1746" s="166">
        <v>192749</v>
      </c>
      <c r="I1746" s="166">
        <v>0</v>
      </c>
      <c r="J1746" s="166">
        <v>0</v>
      </c>
      <c r="K1746" s="166" t="str">
        <f t="shared" si="27"/>
        <v>PROTECTIONEPC_LBL</v>
      </c>
    </row>
    <row r="1747" spans="1:11" hidden="1">
      <c r="A1747" s="166" t="s">
        <v>4827</v>
      </c>
      <c r="B1747" s="166" t="s">
        <v>4828</v>
      </c>
      <c r="C1747" s="166" t="s">
        <v>4643</v>
      </c>
      <c r="D1747" s="166" t="s">
        <v>2537</v>
      </c>
      <c r="E1747" s="166" t="s">
        <v>1132</v>
      </c>
      <c r="F1747" s="166" t="s">
        <v>4640</v>
      </c>
      <c r="G1747" s="166" t="s">
        <v>129</v>
      </c>
      <c r="H1747" s="166">
        <v>172260</v>
      </c>
      <c r="I1747" s="166">
        <v>0</v>
      </c>
      <c r="J1747" s="166">
        <v>0</v>
      </c>
      <c r="K1747" s="166" t="str">
        <f t="shared" si="27"/>
        <v>PROTECTIONTYP_EMSSNS_LBL</v>
      </c>
    </row>
    <row r="1748" spans="1:11" hidden="1">
      <c r="A1748" s="166" t="s">
        <v>4829</v>
      </c>
      <c r="B1748" s="166" t="s">
        <v>4830</v>
      </c>
      <c r="C1748" s="166" t="s">
        <v>4643</v>
      </c>
      <c r="D1748" s="166" t="s">
        <v>2537</v>
      </c>
      <c r="E1748" s="166" t="s">
        <v>1132</v>
      </c>
      <c r="F1748" s="166" t="s">
        <v>4640</v>
      </c>
      <c r="G1748" s="166" t="s">
        <v>129</v>
      </c>
      <c r="H1748" s="166">
        <v>0</v>
      </c>
      <c r="I1748" s="166">
        <v>0</v>
      </c>
      <c r="J1748" s="166">
        <v>0</v>
      </c>
      <c r="K1748" s="166" t="str">
        <f t="shared" si="27"/>
        <v>PROTECTIONTYP_EMSSNS_LBL</v>
      </c>
    </row>
    <row r="1749" spans="1:11" hidden="1">
      <c r="A1749" s="166" t="s">
        <v>4831</v>
      </c>
      <c r="B1749" s="166" t="s">
        <v>4832</v>
      </c>
      <c r="C1749" s="166" t="s">
        <v>4643</v>
      </c>
      <c r="D1749" s="166" t="s">
        <v>2537</v>
      </c>
      <c r="E1749" s="166" t="s">
        <v>1132</v>
      </c>
      <c r="F1749" s="166" t="s">
        <v>4640</v>
      </c>
      <c r="G1749" s="166" t="s">
        <v>129</v>
      </c>
      <c r="H1749" s="166">
        <v>0</v>
      </c>
      <c r="I1749" s="166">
        <v>0</v>
      </c>
      <c r="J1749" s="166">
        <v>0</v>
      </c>
      <c r="K1749" s="166" t="str">
        <f t="shared" si="27"/>
        <v>PROTECTIONTYP_EMSSNS_LBL</v>
      </c>
    </row>
    <row r="1750" spans="1:11" hidden="1">
      <c r="A1750" s="166" t="s">
        <v>4833</v>
      </c>
      <c r="B1750" s="166" t="s">
        <v>4834</v>
      </c>
      <c r="C1750" s="166" t="s">
        <v>4643</v>
      </c>
      <c r="D1750" s="166" t="s">
        <v>2540</v>
      </c>
      <c r="E1750" s="166" t="s">
        <v>1132</v>
      </c>
      <c r="F1750" s="166" t="s">
        <v>4640</v>
      </c>
      <c r="G1750" s="166" t="s">
        <v>129</v>
      </c>
      <c r="H1750" s="166">
        <v>192749</v>
      </c>
      <c r="I1750" s="166">
        <v>0</v>
      </c>
      <c r="J1750" s="166">
        <v>0</v>
      </c>
      <c r="K1750" s="166" t="str">
        <f t="shared" si="27"/>
        <v>PROTECTIONEPC_EMSSNS_LBL</v>
      </c>
    </row>
    <row r="1751" spans="1:11" hidden="1">
      <c r="A1751" s="166" t="s">
        <v>4835</v>
      </c>
      <c r="B1751" s="166" t="s">
        <v>4836</v>
      </c>
      <c r="C1751" s="166" t="s">
        <v>4643</v>
      </c>
      <c r="D1751" s="166" t="s">
        <v>2543</v>
      </c>
      <c r="E1751" s="166" t="s">
        <v>1132</v>
      </c>
      <c r="F1751" s="166" t="s">
        <v>4640</v>
      </c>
      <c r="G1751" s="166" t="s">
        <v>129</v>
      </c>
      <c r="H1751" s="166">
        <v>444637</v>
      </c>
      <c r="I1751" s="166">
        <v>0</v>
      </c>
      <c r="J1751" s="166">
        <v>0</v>
      </c>
      <c r="K1751" s="166" t="str">
        <f t="shared" si="27"/>
        <v>PROTECTIONVHCL_EMSSNS_LBL</v>
      </c>
    </row>
    <row r="1752" spans="1:11" hidden="1">
      <c r="A1752" s="166" t="s">
        <v>4837</v>
      </c>
      <c r="B1752" s="166" t="s">
        <v>4838</v>
      </c>
      <c r="C1752" s="166" t="s">
        <v>4643</v>
      </c>
      <c r="D1752" s="166" t="s">
        <v>2546</v>
      </c>
      <c r="E1752" s="166" t="s">
        <v>1132</v>
      </c>
      <c r="F1752" s="166" t="s">
        <v>4640</v>
      </c>
      <c r="G1752" s="166" t="s">
        <v>129</v>
      </c>
      <c r="H1752" s="166">
        <v>172260</v>
      </c>
      <c r="I1752" s="166">
        <v>0</v>
      </c>
      <c r="J1752" s="166">
        <v>0</v>
      </c>
      <c r="K1752" s="166" t="str">
        <f t="shared" si="27"/>
        <v>PROTECTIONTYP_EMSSNS_SCR</v>
      </c>
    </row>
    <row r="1753" spans="1:11" hidden="1">
      <c r="A1753" s="166" t="s">
        <v>4839</v>
      </c>
      <c r="B1753" s="166" t="s">
        <v>4840</v>
      </c>
      <c r="C1753" s="166" t="s">
        <v>4643</v>
      </c>
      <c r="D1753" s="166" t="s">
        <v>2546</v>
      </c>
      <c r="E1753" s="166" t="s">
        <v>1132</v>
      </c>
      <c r="F1753" s="166" t="s">
        <v>4640</v>
      </c>
      <c r="G1753" s="166" t="s">
        <v>129</v>
      </c>
      <c r="H1753" s="166">
        <v>0</v>
      </c>
      <c r="I1753" s="166">
        <v>0</v>
      </c>
      <c r="J1753" s="166">
        <v>0</v>
      </c>
      <c r="K1753" s="166" t="str">
        <f t="shared" si="27"/>
        <v>PROTECTIONTYP_EMSSNS_SCR</v>
      </c>
    </row>
    <row r="1754" spans="1:11" hidden="1">
      <c r="A1754" s="166" t="s">
        <v>4841</v>
      </c>
      <c r="B1754" s="166" t="s">
        <v>4842</v>
      </c>
      <c r="C1754" s="166" t="s">
        <v>4643</v>
      </c>
      <c r="D1754" s="166" t="s">
        <v>2546</v>
      </c>
      <c r="E1754" s="166" t="s">
        <v>1132</v>
      </c>
      <c r="F1754" s="166" t="s">
        <v>4640</v>
      </c>
      <c r="G1754" s="166" t="s">
        <v>129</v>
      </c>
      <c r="H1754" s="166">
        <v>0</v>
      </c>
      <c r="I1754" s="166">
        <v>0</v>
      </c>
      <c r="J1754" s="166">
        <v>0</v>
      </c>
      <c r="K1754" s="166" t="str">
        <f t="shared" si="27"/>
        <v>PROTECTIONTYP_EMSSNS_SCR</v>
      </c>
    </row>
    <row r="1755" spans="1:11" hidden="1">
      <c r="A1755" s="166" t="s">
        <v>4843</v>
      </c>
      <c r="B1755" s="166" t="s">
        <v>4844</v>
      </c>
      <c r="C1755" s="166" t="s">
        <v>4643</v>
      </c>
      <c r="D1755" s="166" t="s">
        <v>2549</v>
      </c>
      <c r="E1755" s="166" t="s">
        <v>1132</v>
      </c>
      <c r="F1755" s="166" t="s">
        <v>4640</v>
      </c>
      <c r="G1755" s="166" t="s">
        <v>129</v>
      </c>
      <c r="H1755" s="166">
        <v>192749</v>
      </c>
      <c r="I1755" s="166">
        <v>0</v>
      </c>
      <c r="J1755" s="166">
        <v>0</v>
      </c>
      <c r="K1755" s="166" t="str">
        <f t="shared" si="27"/>
        <v>PROTECTIONEPC_EMSSNS_SCR</v>
      </c>
    </row>
    <row r="1756" spans="1:11" hidden="1">
      <c r="A1756" s="166" t="s">
        <v>4845</v>
      </c>
      <c r="B1756" s="166" t="s">
        <v>4846</v>
      </c>
      <c r="C1756" s="166" t="s">
        <v>4643</v>
      </c>
      <c r="D1756" s="166" t="s">
        <v>2552</v>
      </c>
      <c r="E1756" s="166" t="s">
        <v>1132</v>
      </c>
      <c r="F1756" s="166" t="s">
        <v>4640</v>
      </c>
      <c r="G1756" s="166" t="s">
        <v>129</v>
      </c>
      <c r="H1756" s="166">
        <v>444637</v>
      </c>
      <c r="I1756" s="166">
        <v>0</v>
      </c>
      <c r="J1756" s="166">
        <v>0</v>
      </c>
      <c r="K1756" s="166" t="str">
        <f t="shared" si="27"/>
        <v>PROTECTIONVHCL_EMSSNS_SCR</v>
      </c>
    </row>
    <row r="1757" spans="1:11" hidden="1">
      <c r="A1757" s="166" t="s">
        <v>4847</v>
      </c>
      <c r="B1757" s="166" t="s">
        <v>4848</v>
      </c>
      <c r="C1757" s="166" t="s">
        <v>4643</v>
      </c>
      <c r="D1757" s="166" t="s">
        <v>2555</v>
      </c>
      <c r="E1757" s="166" t="s">
        <v>1132</v>
      </c>
      <c r="F1757" s="166" t="s">
        <v>4640</v>
      </c>
      <c r="G1757" s="166" t="s">
        <v>129</v>
      </c>
      <c r="H1757" s="166">
        <v>0</v>
      </c>
      <c r="I1757" s="166">
        <v>0</v>
      </c>
      <c r="J1757" s="166">
        <v>0</v>
      </c>
      <c r="K1757" s="166" t="str">
        <f t="shared" si="27"/>
        <v>PROTECTIONEMSSNS_SCP1_PRTCTN</v>
      </c>
    </row>
    <row r="1758" spans="1:11" hidden="1">
      <c r="A1758" s="166" t="s">
        <v>4849</v>
      </c>
      <c r="B1758" s="166" t="s">
        <v>4850</v>
      </c>
      <c r="C1758" s="166" t="s">
        <v>4643</v>
      </c>
      <c r="D1758" s="166" t="s">
        <v>2555</v>
      </c>
      <c r="E1758" s="166" t="s">
        <v>1132</v>
      </c>
      <c r="F1758" s="166" t="s">
        <v>4640</v>
      </c>
      <c r="G1758" s="166" t="s">
        <v>129</v>
      </c>
      <c r="H1758" s="166">
        <v>0</v>
      </c>
      <c r="I1758" s="166">
        <v>0</v>
      </c>
      <c r="J1758" s="166">
        <v>0</v>
      </c>
      <c r="K1758" s="166" t="str">
        <f t="shared" si="27"/>
        <v>PROTECTIONEMSSNS_SCP1_PRTCTN</v>
      </c>
    </row>
    <row r="1759" spans="1:11" hidden="1">
      <c r="A1759" s="166" t="s">
        <v>4851</v>
      </c>
      <c r="B1759" s="166" t="s">
        <v>4852</v>
      </c>
      <c r="C1759" s="166" t="s">
        <v>4643</v>
      </c>
      <c r="D1759" s="166" t="s">
        <v>2555</v>
      </c>
      <c r="E1759" s="166" t="s">
        <v>1132</v>
      </c>
      <c r="F1759" s="166" t="s">
        <v>4640</v>
      </c>
      <c r="G1759" s="166" t="s">
        <v>129</v>
      </c>
      <c r="H1759" s="166">
        <v>71040</v>
      </c>
      <c r="I1759" s="166">
        <v>0</v>
      </c>
      <c r="J1759" s="166">
        <v>0</v>
      </c>
      <c r="K1759" s="166" t="str">
        <f t="shared" si="27"/>
        <v>PROTECTIONEMSSNS_SCP1_PRTCTN</v>
      </c>
    </row>
    <row r="1760" spans="1:11" hidden="1">
      <c r="A1760" s="166" t="s">
        <v>4853</v>
      </c>
      <c r="B1760" s="166" t="s">
        <v>4854</v>
      </c>
      <c r="C1760" s="166" t="s">
        <v>4643</v>
      </c>
      <c r="D1760" s="166" t="s">
        <v>2558</v>
      </c>
      <c r="E1760" s="166" t="s">
        <v>1132</v>
      </c>
      <c r="F1760" s="166" t="s">
        <v>4640</v>
      </c>
      <c r="G1760" s="166" t="s">
        <v>129</v>
      </c>
      <c r="H1760" s="166">
        <v>0</v>
      </c>
      <c r="I1760" s="166">
        <v>0</v>
      </c>
      <c r="J1760" s="166">
        <v>0</v>
      </c>
      <c r="K1760" s="166" t="str">
        <f t="shared" si="27"/>
        <v>PROTECTIONEMSSNS_SCP2_PRTCTN</v>
      </c>
    </row>
    <row r="1761" spans="1:11" hidden="1">
      <c r="A1761" s="166" t="s">
        <v>4855</v>
      </c>
      <c r="B1761" s="166" t="s">
        <v>4856</v>
      </c>
      <c r="C1761" s="166" t="s">
        <v>4643</v>
      </c>
      <c r="D1761" s="166" t="s">
        <v>2558</v>
      </c>
      <c r="E1761" s="166" t="s">
        <v>1132</v>
      </c>
      <c r="F1761" s="166" t="s">
        <v>4640</v>
      </c>
      <c r="G1761" s="166" t="s">
        <v>129</v>
      </c>
      <c r="H1761" s="166">
        <v>0</v>
      </c>
      <c r="I1761" s="166">
        <v>0</v>
      </c>
      <c r="J1761" s="166">
        <v>0</v>
      </c>
      <c r="K1761" s="166" t="str">
        <f t="shared" si="27"/>
        <v>PROTECTIONEMSSNS_SCP2_PRTCTN</v>
      </c>
    </row>
    <row r="1762" spans="1:11" hidden="1">
      <c r="A1762" s="166" t="s">
        <v>4857</v>
      </c>
      <c r="B1762" s="166" t="s">
        <v>4858</v>
      </c>
      <c r="C1762" s="166" t="s">
        <v>4643</v>
      </c>
      <c r="D1762" s="166" t="s">
        <v>2558</v>
      </c>
      <c r="E1762" s="166" t="s">
        <v>1132</v>
      </c>
      <c r="F1762" s="166" t="s">
        <v>4640</v>
      </c>
      <c r="G1762" s="166" t="s">
        <v>129</v>
      </c>
      <c r="H1762" s="166">
        <v>71040</v>
      </c>
      <c r="I1762" s="166">
        <v>0</v>
      </c>
      <c r="J1762" s="166">
        <v>0</v>
      </c>
      <c r="K1762" s="166" t="str">
        <f t="shared" si="27"/>
        <v>PROTECTIONEMSSNS_SCP2_PRTCTN</v>
      </c>
    </row>
    <row r="1763" spans="1:11" hidden="1">
      <c r="A1763" s="166" t="s">
        <v>4859</v>
      </c>
      <c r="B1763" s="166" t="s">
        <v>4860</v>
      </c>
      <c r="C1763" s="166" t="s">
        <v>4643</v>
      </c>
      <c r="D1763" s="166" t="s">
        <v>2561</v>
      </c>
      <c r="E1763" s="166" t="s">
        <v>1132</v>
      </c>
      <c r="F1763" s="166" t="s">
        <v>4640</v>
      </c>
      <c r="G1763" s="166" t="s">
        <v>129</v>
      </c>
      <c r="H1763" s="166">
        <v>0</v>
      </c>
      <c r="I1763" s="166">
        <v>0</v>
      </c>
      <c r="J1763" s="166">
        <v>0</v>
      </c>
      <c r="K1763" s="166" t="str">
        <f t="shared" si="27"/>
        <v>PROTECTIONEMSSNS_SCP3_PRTCTN</v>
      </c>
    </row>
    <row r="1764" spans="1:11" hidden="1">
      <c r="A1764" s="166" t="s">
        <v>4861</v>
      </c>
      <c r="B1764" s="166" t="s">
        <v>4862</v>
      </c>
      <c r="C1764" s="166" t="s">
        <v>4643</v>
      </c>
      <c r="D1764" s="166" t="s">
        <v>2561</v>
      </c>
      <c r="E1764" s="166" t="s">
        <v>1132</v>
      </c>
      <c r="F1764" s="166" t="s">
        <v>4640</v>
      </c>
      <c r="G1764" s="166" t="s">
        <v>129</v>
      </c>
      <c r="H1764" s="166">
        <v>0</v>
      </c>
      <c r="I1764" s="166">
        <v>0</v>
      </c>
      <c r="J1764" s="166">
        <v>0</v>
      </c>
      <c r="K1764" s="166" t="str">
        <f t="shared" si="27"/>
        <v>PROTECTIONEMSSNS_SCP3_PRTCTN</v>
      </c>
    </row>
    <row r="1765" spans="1:11" hidden="1">
      <c r="A1765" s="166" t="s">
        <v>4863</v>
      </c>
      <c r="B1765" s="166" t="s">
        <v>4864</v>
      </c>
      <c r="C1765" s="166" t="s">
        <v>4643</v>
      </c>
      <c r="D1765" s="166" t="s">
        <v>2561</v>
      </c>
      <c r="E1765" s="166" t="s">
        <v>1132</v>
      </c>
      <c r="F1765" s="166" t="s">
        <v>4640</v>
      </c>
      <c r="G1765" s="166" t="s">
        <v>129</v>
      </c>
      <c r="H1765" s="166">
        <v>71040</v>
      </c>
      <c r="I1765" s="166">
        <v>0</v>
      </c>
      <c r="J1765" s="166">
        <v>0</v>
      </c>
      <c r="K1765" s="166" t="str">
        <f t="shared" si="27"/>
        <v>PROTECTIONEMSSNS_SCP3_PRTCTN</v>
      </c>
    </row>
    <row r="1766" spans="1:11" hidden="1">
      <c r="A1766" s="166" t="s">
        <v>4865</v>
      </c>
      <c r="B1766" s="166" t="s">
        <v>4866</v>
      </c>
      <c r="C1766" s="166" t="s">
        <v>1160</v>
      </c>
      <c r="D1766" s="166" t="s">
        <v>2564</v>
      </c>
      <c r="E1766" s="166" t="s">
        <v>1132</v>
      </c>
      <c r="F1766" s="166" t="s">
        <v>4640</v>
      </c>
      <c r="G1766" s="166" t="s">
        <v>129</v>
      </c>
      <c r="H1766" s="166">
        <v>0</v>
      </c>
      <c r="I1766" s="166">
        <v>0</v>
      </c>
      <c r="J1766" s="166">
        <v>0</v>
      </c>
      <c r="K1766" s="166" t="str">
        <f t="shared" si="27"/>
        <v>PROTECTIONMTHD_USD_PRTCTN_SCP_1</v>
      </c>
    </row>
    <row r="1767" spans="1:11" hidden="1">
      <c r="A1767" s="166" t="s">
        <v>4867</v>
      </c>
      <c r="B1767" s="166" t="s">
        <v>4868</v>
      </c>
      <c r="C1767" s="166" t="s">
        <v>1160</v>
      </c>
      <c r="D1767" s="166" t="s">
        <v>2564</v>
      </c>
      <c r="E1767" s="166" t="s">
        <v>1132</v>
      </c>
      <c r="F1767" s="166" t="s">
        <v>4640</v>
      </c>
      <c r="G1767" s="166" t="s">
        <v>129</v>
      </c>
      <c r="H1767" s="166">
        <v>0</v>
      </c>
      <c r="I1767" s="166">
        <v>0</v>
      </c>
      <c r="J1767" s="166">
        <v>0</v>
      </c>
      <c r="K1767" s="166" t="str">
        <f t="shared" si="27"/>
        <v>PROTECTIONMTHD_USD_PRTCTN_SCP_1</v>
      </c>
    </row>
    <row r="1768" spans="1:11" hidden="1">
      <c r="A1768" s="166" t="s">
        <v>4869</v>
      </c>
      <c r="B1768" s="166" t="s">
        <v>4870</v>
      </c>
      <c r="C1768" s="166" t="s">
        <v>1160</v>
      </c>
      <c r="D1768" s="166" t="s">
        <v>2567</v>
      </c>
      <c r="E1768" s="166" t="s">
        <v>1132</v>
      </c>
      <c r="F1768" s="166" t="s">
        <v>4640</v>
      </c>
      <c r="G1768" s="166" t="s">
        <v>129</v>
      </c>
      <c r="H1768" s="166">
        <v>0</v>
      </c>
      <c r="I1768" s="166">
        <v>0</v>
      </c>
      <c r="J1768" s="166">
        <v>0</v>
      </c>
      <c r="K1768" s="166" t="str">
        <f t="shared" si="27"/>
        <v>PROTECTIONMTHD_USD_PRTCTN_SCP_2</v>
      </c>
    </row>
    <row r="1769" spans="1:11" hidden="1">
      <c r="A1769" s="166" t="s">
        <v>4871</v>
      </c>
      <c r="B1769" s="166" t="s">
        <v>4872</v>
      </c>
      <c r="C1769" s="166" t="s">
        <v>1160</v>
      </c>
      <c r="D1769" s="166" t="s">
        <v>2567</v>
      </c>
      <c r="E1769" s="166" t="s">
        <v>1132</v>
      </c>
      <c r="F1769" s="166" t="s">
        <v>4640</v>
      </c>
      <c r="G1769" s="166" t="s">
        <v>129</v>
      </c>
      <c r="H1769" s="166">
        <v>0</v>
      </c>
      <c r="I1769" s="166">
        <v>0</v>
      </c>
      <c r="J1769" s="166">
        <v>0</v>
      </c>
      <c r="K1769" s="166" t="str">
        <f t="shared" si="27"/>
        <v>PROTECTIONMTHD_USD_PRTCTN_SCP_2</v>
      </c>
    </row>
    <row r="1770" spans="1:11" hidden="1">
      <c r="A1770" s="166" t="s">
        <v>4873</v>
      </c>
      <c r="B1770" s="166" t="s">
        <v>4874</v>
      </c>
      <c r="C1770" s="166" t="s">
        <v>1160</v>
      </c>
      <c r="D1770" s="166" t="s">
        <v>2570</v>
      </c>
      <c r="E1770" s="166" t="s">
        <v>1132</v>
      </c>
      <c r="F1770" s="166" t="s">
        <v>4640</v>
      </c>
      <c r="G1770" s="166" t="s">
        <v>129</v>
      </c>
      <c r="H1770" s="166">
        <v>0</v>
      </c>
      <c r="I1770" s="166">
        <v>0</v>
      </c>
      <c r="J1770" s="166">
        <v>0</v>
      </c>
      <c r="K1770" s="166" t="str">
        <f t="shared" si="27"/>
        <v>PROTECTIONMTHD_USD_PRTCTN_SCP_3</v>
      </c>
    </row>
    <row r="1771" spans="1:11" hidden="1">
      <c r="A1771" s="166" t="s">
        <v>4875</v>
      </c>
      <c r="B1771" s="166" t="s">
        <v>4876</v>
      </c>
      <c r="C1771" s="166" t="s">
        <v>1160</v>
      </c>
      <c r="D1771" s="166" t="s">
        <v>2570</v>
      </c>
      <c r="E1771" s="166" t="s">
        <v>1132</v>
      </c>
      <c r="F1771" s="166" t="s">
        <v>4640</v>
      </c>
      <c r="G1771" s="166" t="s">
        <v>129</v>
      </c>
      <c r="H1771" s="166">
        <v>0</v>
      </c>
      <c r="I1771" s="166">
        <v>0</v>
      </c>
      <c r="J1771" s="166">
        <v>0</v>
      </c>
      <c r="K1771" s="166" t="str">
        <f t="shared" si="27"/>
        <v>PROTECTIONMTHD_USD_PRTCTN_SCP_3</v>
      </c>
    </row>
    <row r="1772" spans="1:11" hidden="1">
      <c r="A1772" s="166" t="s">
        <v>4877</v>
      </c>
      <c r="B1772" s="166" t="s">
        <v>4878</v>
      </c>
      <c r="C1772" s="166" t="s">
        <v>4643</v>
      </c>
      <c r="D1772" s="166" t="s">
        <v>1377</v>
      </c>
      <c r="E1772" s="166" t="s">
        <v>1132</v>
      </c>
      <c r="F1772" s="166" t="s">
        <v>4640</v>
      </c>
      <c r="G1772" s="166" t="s">
        <v>129</v>
      </c>
      <c r="H1772" s="166">
        <v>192749</v>
      </c>
      <c r="I1772" s="166">
        <v>0</v>
      </c>
      <c r="J1772" s="166">
        <v>0</v>
      </c>
      <c r="K1772" s="166" t="str">
        <f t="shared" si="27"/>
        <v>PROTECTIONFLG_ACT_PHYSCL_RSK</v>
      </c>
    </row>
    <row r="1773" spans="1:11" hidden="1">
      <c r="A1773" s="166" t="s">
        <v>4879</v>
      </c>
      <c r="B1773" s="166" t="s">
        <v>4880</v>
      </c>
      <c r="C1773" s="166" t="s">
        <v>4643</v>
      </c>
      <c r="D1773" s="166" t="s">
        <v>1380</v>
      </c>
      <c r="E1773" s="166" t="s">
        <v>1132</v>
      </c>
      <c r="F1773" s="166" t="s">
        <v>4640</v>
      </c>
      <c r="G1773" s="166" t="s">
        <v>129</v>
      </c>
      <c r="H1773" s="166">
        <v>192749</v>
      </c>
      <c r="I1773" s="166">
        <v>0</v>
      </c>
      <c r="J1773" s="166">
        <v>0</v>
      </c>
      <c r="K1773" s="166" t="str">
        <f t="shared" si="27"/>
        <v>PROTECTIONFLG_CHRNC_PHYSCL_RSK</v>
      </c>
    </row>
    <row r="1774" spans="1:11" hidden="1">
      <c r="A1774" s="166" t="s">
        <v>4881</v>
      </c>
      <c r="B1774" s="166" t="s">
        <v>4882</v>
      </c>
      <c r="C1774" s="166" t="s">
        <v>4643</v>
      </c>
      <c r="D1774" s="166" t="s">
        <v>2580</v>
      </c>
      <c r="E1774" s="166" t="s">
        <v>1132</v>
      </c>
      <c r="F1774" s="166" t="s">
        <v>4640</v>
      </c>
      <c r="G1774" s="166" t="s">
        <v>129</v>
      </c>
      <c r="H1774" s="166">
        <v>0</v>
      </c>
      <c r="I1774" s="166">
        <v>0</v>
      </c>
      <c r="J1774" s="166">
        <v>0</v>
      </c>
      <c r="K1774" s="166" t="str">
        <f t="shared" si="27"/>
        <v>PROTECTIONTYP_HZRDS_INSRD</v>
      </c>
    </row>
    <row r="1775" spans="1:11" hidden="1">
      <c r="A1775" s="166" t="s">
        <v>4883</v>
      </c>
      <c r="B1775" s="166" t="s">
        <v>4884</v>
      </c>
      <c r="C1775" s="166" t="s">
        <v>4643</v>
      </c>
      <c r="D1775" s="166" t="s">
        <v>2580</v>
      </c>
      <c r="E1775" s="166" t="s">
        <v>1132</v>
      </c>
      <c r="F1775" s="166" t="s">
        <v>4640</v>
      </c>
      <c r="G1775" s="166" t="s">
        <v>129</v>
      </c>
      <c r="H1775" s="166">
        <v>0</v>
      </c>
      <c r="I1775" s="166">
        <v>0</v>
      </c>
      <c r="J1775" s="166">
        <v>0</v>
      </c>
      <c r="K1775" s="166" t="str">
        <f t="shared" si="27"/>
        <v>PROTECTIONTYP_HZRDS_INSRD</v>
      </c>
    </row>
    <row r="1776" spans="1:11" hidden="1">
      <c r="A1776" s="166" t="s">
        <v>4885</v>
      </c>
      <c r="B1776" s="166" t="s">
        <v>4886</v>
      </c>
      <c r="C1776" s="166" t="s">
        <v>4643</v>
      </c>
      <c r="D1776" s="166" t="s">
        <v>2583</v>
      </c>
      <c r="E1776" s="166" t="s">
        <v>1132</v>
      </c>
      <c r="F1776" s="166" t="s">
        <v>4640</v>
      </c>
      <c r="G1776" s="166" t="s">
        <v>129</v>
      </c>
      <c r="H1776" s="166">
        <v>0</v>
      </c>
      <c r="I1776" s="166">
        <v>0</v>
      </c>
      <c r="J1776" s="166">
        <v>0</v>
      </c>
      <c r="K1776" s="166" t="str">
        <f t="shared" si="27"/>
        <v>PROTECTIONAMNT_CVRD_INSRNC</v>
      </c>
    </row>
    <row r="1777" spans="1:11" hidden="1">
      <c r="A1777" s="166" t="s">
        <v>4887</v>
      </c>
      <c r="B1777" s="166" t="s">
        <v>4888</v>
      </c>
      <c r="C1777" s="166" t="s">
        <v>4643</v>
      </c>
      <c r="D1777" s="166" t="s">
        <v>2583</v>
      </c>
      <c r="E1777" s="166" t="s">
        <v>1132</v>
      </c>
      <c r="F1777" s="166" t="s">
        <v>4640</v>
      </c>
      <c r="G1777" s="166" t="s">
        <v>129</v>
      </c>
      <c r="H1777" s="166">
        <v>0</v>
      </c>
      <c r="I1777" s="166">
        <v>0</v>
      </c>
      <c r="J1777" s="166">
        <v>0</v>
      </c>
      <c r="K1777" s="166" t="str">
        <f t="shared" si="27"/>
        <v>PROTECTIONAMNT_CVRD_INSRNC</v>
      </c>
    </row>
    <row r="1778" spans="1:11" hidden="1">
      <c r="A1778" s="166" t="s">
        <v>4889</v>
      </c>
      <c r="B1778" s="166" t="s">
        <v>4890</v>
      </c>
      <c r="C1778" s="166" t="s">
        <v>4643</v>
      </c>
      <c r="D1778" s="166" t="s">
        <v>2586</v>
      </c>
      <c r="E1778" s="166" t="s">
        <v>1132</v>
      </c>
      <c r="F1778" s="166" t="s">
        <v>4640</v>
      </c>
      <c r="G1778" s="166" t="s">
        <v>129</v>
      </c>
      <c r="H1778" s="166">
        <v>0</v>
      </c>
      <c r="I1778" s="166">
        <v>0</v>
      </c>
      <c r="J1778" s="166">
        <v>0</v>
      </c>
      <c r="K1778" s="166" t="str">
        <f t="shared" si="27"/>
        <v>PROTECTIONDT_MTRTY_INSRNC</v>
      </c>
    </row>
    <row r="1779" spans="1:11" hidden="1">
      <c r="A1779" s="166" t="s">
        <v>4891</v>
      </c>
      <c r="B1779" s="166" t="s">
        <v>4892</v>
      </c>
      <c r="C1779" s="166" t="s">
        <v>4643</v>
      </c>
      <c r="D1779" s="166" t="s">
        <v>2586</v>
      </c>
      <c r="E1779" s="166" t="s">
        <v>1132</v>
      </c>
      <c r="F1779" s="166" t="s">
        <v>4640</v>
      </c>
      <c r="G1779" s="166" t="s">
        <v>129</v>
      </c>
      <c r="H1779" s="166">
        <v>0</v>
      </c>
      <c r="I1779" s="166">
        <v>0</v>
      </c>
      <c r="J1779" s="166">
        <v>0</v>
      </c>
      <c r="K1779" s="166" t="str">
        <f t="shared" si="27"/>
        <v>PROTECTIONDT_MTRTY_INSRNC</v>
      </c>
    </row>
    <row r="1780" spans="1:11" hidden="1">
      <c r="A1780" s="166" t="s">
        <v>4893</v>
      </c>
      <c r="B1780" s="166" t="s">
        <v>4894</v>
      </c>
      <c r="C1780" s="166" t="s">
        <v>4643</v>
      </c>
      <c r="D1780" s="166" t="s">
        <v>1495</v>
      </c>
      <c r="E1780" s="166" t="s">
        <v>1132</v>
      </c>
      <c r="F1780" s="166" t="s">
        <v>4640</v>
      </c>
      <c r="G1780" s="166" t="s">
        <v>129</v>
      </c>
      <c r="H1780" s="166">
        <v>103604</v>
      </c>
      <c r="I1780" s="166">
        <v>0</v>
      </c>
      <c r="J1780" s="166">
        <v>0</v>
      </c>
      <c r="K1780" s="166" t="str">
        <f t="shared" si="27"/>
        <v>PROTECTIONFLG_FRST_HM</v>
      </c>
    </row>
    <row r="1781" spans="1:11" hidden="1">
      <c r="A1781" s="166" t="s">
        <v>4895</v>
      </c>
      <c r="B1781" s="166" t="s">
        <v>4896</v>
      </c>
      <c r="C1781" s="166" t="s">
        <v>4643</v>
      </c>
      <c r="D1781" s="166" t="s">
        <v>542</v>
      </c>
      <c r="E1781" s="166" t="s">
        <v>1132</v>
      </c>
      <c r="F1781" s="166" t="s">
        <v>4640</v>
      </c>
      <c r="G1781" s="166" t="s">
        <v>129</v>
      </c>
      <c r="H1781" s="166">
        <v>259422</v>
      </c>
      <c r="I1781" s="166">
        <v>0</v>
      </c>
      <c r="J1781" s="166">
        <v>0</v>
      </c>
      <c r="K1781" s="166" t="str">
        <f t="shared" si="27"/>
        <v>PROTECTIONYR_CNSTRCTN</v>
      </c>
    </row>
    <row r="1782" spans="1:11" hidden="1">
      <c r="A1782" s="166" t="s">
        <v>4897</v>
      </c>
      <c r="B1782" s="166" t="s">
        <v>4898</v>
      </c>
      <c r="C1782" s="166" t="s">
        <v>4643</v>
      </c>
      <c r="D1782" s="166" t="s">
        <v>542</v>
      </c>
      <c r="E1782" s="166" t="s">
        <v>1132</v>
      </c>
      <c r="F1782" s="166" t="s">
        <v>4640</v>
      </c>
      <c r="G1782" s="166" t="s">
        <v>129</v>
      </c>
      <c r="H1782" s="166">
        <v>69</v>
      </c>
      <c r="I1782" s="166">
        <v>0</v>
      </c>
      <c r="J1782" s="166">
        <v>0</v>
      </c>
      <c r="K1782" s="166" t="str">
        <f t="shared" si="27"/>
        <v>PROTECTIONYR_CNSTRCTN</v>
      </c>
    </row>
    <row r="1783" spans="1:11" hidden="1">
      <c r="A1783" s="166" t="s">
        <v>4899</v>
      </c>
      <c r="B1783" s="166" t="s">
        <v>4900</v>
      </c>
      <c r="C1783" s="166" t="s">
        <v>4643</v>
      </c>
      <c r="D1783" s="166" t="s">
        <v>2593</v>
      </c>
      <c r="E1783" s="166" t="s">
        <v>1132</v>
      </c>
      <c r="F1783" s="166" t="s">
        <v>4640</v>
      </c>
      <c r="G1783" s="166" t="s">
        <v>129</v>
      </c>
      <c r="H1783" s="166">
        <v>272377</v>
      </c>
      <c r="I1783" s="166">
        <v>0</v>
      </c>
      <c r="J1783" s="166">
        <v>0</v>
      </c>
      <c r="K1783" s="166" t="str">
        <f t="shared" si="27"/>
        <v>PROTECTIONBLDNG_AR</v>
      </c>
    </row>
    <row r="1784" spans="1:11" hidden="1">
      <c r="A1784" s="166" t="s">
        <v>4901</v>
      </c>
      <c r="B1784" s="166" t="s">
        <v>4902</v>
      </c>
      <c r="C1784" s="166" t="s">
        <v>4643</v>
      </c>
      <c r="D1784" s="166" t="s">
        <v>2593</v>
      </c>
      <c r="E1784" s="166" t="s">
        <v>1132</v>
      </c>
      <c r="F1784" s="166" t="s">
        <v>4640</v>
      </c>
      <c r="G1784" s="166" t="s">
        <v>129</v>
      </c>
      <c r="H1784" s="166">
        <v>192749</v>
      </c>
      <c r="I1784" s="166">
        <v>0</v>
      </c>
      <c r="J1784" s="166">
        <v>0</v>
      </c>
      <c r="K1784" s="166" t="str">
        <f t="shared" si="27"/>
        <v>PROTECTIONBLDNG_AR</v>
      </c>
    </row>
    <row r="1785" spans="1:11" hidden="1">
      <c r="A1785" s="166" t="s">
        <v>4903</v>
      </c>
      <c r="B1785" s="166" t="s">
        <v>4904</v>
      </c>
      <c r="C1785" s="166" t="s">
        <v>4643</v>
      </c>
      <c r="D1785" s="166" t="s">
        <v>572</v>
      </c>
      <c r="E1785" s="166" t="s">
        <v>1132</v>
      </c>
      <c r="F1785" s="166" t="s">
        <v>4640</v>
      </c>
      <c r="G1785" s="166" t="s">
        <v>129</v>
      </c>
      <c r="H1785" s="166">
        <v>272377</v>
      </c>
      <c r="I1785" s="166">
        <v>0</v>
      </c>
      <c r="J1785" s="166">
        <v>0</v>
      </c>
      <c r="K1785" s="166" t="str">
        <f t="shared" si="27"/>
        <v>PROTECTIONLND_AR</v>
      </c>
    </row>
    <row r="1786" spans="1:11" hidden="1">
      <c r="A1786" s="166" t="s">
        <v>4905</v>
      </c>
      <c r="B1786" s="166" t="s">
        <v>4906</v>
      </c>
      <c r="C1786" s="166" t="s">
        <v>4643</v>
      </c>
      <c r="D1786" s="166" t="s">
        <v>572</v>
      </c>
      <c r="E1786" s="166" t="s">
        <v>1132</v>
      </c>
      <c r="F1786" s="166" t="s">
        <v>4640</v>
      </c>
      <c r="G1786" s="166" t="s">
        <v>129</v>
      </c>
      <c r="H1786" s="166">
        <v>192749</v>
      </c>
      <c r="I1786" s="166">
        <v>0</v>
      </c>
      <c r="J1786" s="166">
        <v>0</v>
      </c>
      <c r="K1786" s="166" t="str">
        <f t="shared" si="27"/>
        <v>PROTECTIONLND_AR</v>
      </c>
    </row>
    <row r="1787" spans="1:11" hidden="1">
      <c r="A1787" s="166" t="s">
        <v>4907</v>
      </c>
      <c r="B1787" s="166" t="s">
        <v>4908</v>
      </c>
      <c r="C1787" s="166" t="s">
        <v>4643</v>
      </c>
      <c r="D1787" s="166" t="s">
        <v>572</v>
      </c>
      <c r="E1787" s="166" t="s">
        <v>1132</v>
      </c>
      <c r="F1787" s="166" t="s">
        <v>4640</v>
      </c>
      <c r="G1787" s="166" t="s">
        <v>129</v>
      </c>
      <c r="H1787" s="166">
        <v>0</v>
      </c>
      <c r="I1787" s="166">
        <v>0</v>
      </c>
      <c r="J1787" s="166">
        <v>0</v>
      </c>
      <c r="K1787" s="166" t="str">
        <f t="shared" si="27"/>
        <v>PROTECTIONLND_AR</v>
      </c>
    </row>
    <row r="1788" spans="1:11" hidden="1">
      <c r="A1788" s="166" t="s">
        <v>4909</v>
      </c>
      <c r="B1788" s="166" t="s">
        <v>4910</v>
      </c>
      <c r="C1788" s="166" t="s">
        <v>4643</v>
      </c>
      <c r="D1788" s="166" t="s">
        <v>2600</v>
      </c>
      <c r="E1788" s="166" t="s">
        <v>1132</v>
      </c>
      <c r="F1788" s="166" t="s">
        <v>4640</v>
      </c>
      <c r="G1788" s="166" t="s">
        <v>129</v>
      </c>
      <c r="H1788" s="166">
        <v>272377</v>
      </c>
      <c r="I1788" s="166">
        <v>0</v>
      </c>
      <c r="J1788" s="166">
        <v>0</v>
      </c>
      <c r="K1788" s="166" t="str">
        <f t="shared" si="27"/>
        <v>PROTECTIONRL_ESTT_CRTFCTN</v>
      </c>
    </row>
    <row r="1789" spans="1:11" hidden="1">
      <c r="A1789" s="166" t="s">
        <v>4911</v>
      </c>
      <c r="B1789" s="166" t="s">
        <v>4912</v>
      </c>
      <c r="C1789" s="166" t="s">
        <v>4643</v>
      </c>
      <c r="D1789" s="166" t="s">
        <v>2600</v>
      </c>
      <c r="E1789" s="166" t="s">
        <v>1132</v>
      </c>
      <c r="F1789" s="166" t="s">
        <v>4640</v>
      </c>
      <c r="G1789" s="166" t="s">
        <v>129</v>
      </c>
      <c r="H1789" s="166">
        <v>192749</v>
      </c>
      <c r="I1789" s="166">
        <v>0</v>
      </c>
      <c r="J1789" s="166">
        <v>0</v>
      </c>
      <c r="K1789" s="166" t="str">
        <f t="shared" si="27"/>
        <v>PROTECTIONRL_ESTT_CRTFCTN</v>
      </c>
    </row>
    <row r="1790" spans="1:11" hidden="1">
      <c r="A1790" s="166" t="s">
        <v>4913</v>
      </c>
      <c r="B1790" s="166" t="s">
        <v>4914</v>
      </c>
      <c r="C1790" s="166" t="s">
        <v>4643</v>
      </c>
      <c r="D1790" s="166" t="s">
        <v>2603</v>
      </c>
      <c r="E1790" s="166" t="s">
        <v>1132</v>
      </c>
      <c r="F1790" s="166" t="s">
        <v>4640</v>
      </c>
      <c r="G1790" s="166" t="s">
        <v>129</v>
      </c>
      <c r="H1790" s="166">
        <v>20489</v>
      </c>
      <c r="I1790" s="166">
        <v>0</v>
      </c>
      <c r="J1790" s="166">
        <v>0</v>
      </c>
      <c r="K1790" s="166" t="str">
        <f t="shared" si="27"/>
        <v>PROTECTIONTYP_VHCL</v>
      </c>
    </row>
    <row r="1791" spans="1:11" hidden="1">
      <c r="A1791" s="166" t="s">
        <v>4915</v>
      </c>
      <c r="B1791" s="166" t="s">
        <v>4916</v>
      </c>
      <c r="C1791" s="166" t="s">
        <v>4643</v>
      </c>
      <c r="D1791" s="166" t="s">
        <v>2603</v>
      </c>
      <c r="E1791" s="166" t="s">
        <v>1132</v>
      </c>
      <c r="F1791" s="166" t="s">
        <v>4640</v>
      </c>
      <c r="G1791" s="166" t="s">
        <v>129</v>
      </c>
      <c r="H1791" s="166">
        <v>444637</v>
      </c>
      <c r="I1791" s="166">
        <v>0</v>
      </c>
      <c r="J1791" s="166">
        <v>0</v>
      </c>
      <c r="K1791" s="166" t="str">
        <f t="shared" si="27"/>
        <v>PROTECTIONTYP_VHCL</v>
      </c>
    </row>
    <row r="1792" spans="1:11" hidden="1">
      <c r="A1792" s="166" t="s">
        <v>4917</v>
      </c>
      <c r="B1792" s="166" t="s">
        <v>4918</v>
      </c>
      <c r="C1792" s="166" t="s">
        <v>4643</v>
      </c>
      <c r="D1792" s="166" t="s">
        <v>2606</v>
      </c>
      <c r="E1792" s="166" t="s">
        <v>1132</v>
      </c>
      <c r="F1792" s="166" t="s">
        <v>4640</v>
      </c>
      <c r="G1792" s="166" t="s">
        <v>129</v>
      </c>
      <c r="H1792" s="166">
        <v>20489</v>
      </c>
      <c r="I1792" s="166">
        <v>0</v>
      </c>
      <c r="J1792" s="166">
        <v>0</v>
      </c>
      <c r="K1792" s="166" t="str">
        <f t="shared" si="27"/>
        <v>PROTECTIONDT_RGSTRTN</v>
      </c>
    </row>
    <row r="1793" spans="1:11" hidden="1">
      <c r="A1793" s="166" t="s">
        <v>4919</v>
      </c>
      <c r="B1793" s="166" t="s">
        <v>4920</v>
      </c>
      <c r="C1793" s="166" t="s">
        <v>4643</v>
      </c>
      <c r="D1793" s="166" t="s">
        <v>2606</v>
      </c>
      <c r="E1793" s="166" t="s">
        <v>1132</v>
      </c>
      <c r="F1793" s="166" t="s">
        <v>4640</v>
      </c>
      <c r="G1793" s="166" t="s">
        <v>129</v>
      </c>
      <c r="H1793" s="166">
        <v>444637</v>
      </c>
      <c r="I1793" s="166">
        <v>0</v>
      </c>
      <c r="J1793" s="166">
        <v>0</v>
      </c>
      <c r="K1793" s="166" t="str">
        <f t="shared" si="27"/>
        <v>PROTECTIONDT_RGSTRTN</v>
      </c>
    </row>
    <row r="1794" spans="1:11" hidden="1">
      <c r="A1794" s="166" t="s">
        <v>4921</v>
      </c>
      <c r="B1794" s="166" t="s">
        <v>4922</v>
      </c>
      <c r="C1794" s="166" t="s">
        <v>4643</v>
      </c>
      <c r="D1794" s="166" t="s">
        <v>2606</v>
      </c>
      <c r="E1794" s="166" t="s">
        <v>1132</v>
      </c>
      <c r="F1794" s="166" t="s">
        <v>4640</v>
      </c>
      <c r="G1794" s="166" t="s">
        <v>129</v>
      </c>
      <c r="H1794" s="166">
        <v>0</v>
      </c>
      <c r="I1794" s="166">
        <v>0</v>
      </c>
      <c r="J1794" s="166">
        <v>0</v>
      </c>
      <c r="K1794" s="166" t="str">
        <f t="shared" si="27"/>
        <v>PROTECTIONDT_RGSTRTN</v>
      </c>
    </row>
    <row r="1795" spans="1:11" hidden="1">
      <c r="A1795" s="166" t="s">
        <v>4923</v>
      </c>
      <c r="B1795" s="166" t="s">
        <v>4924</v>
      </c>
      <c r="C1795" s="166" t="s">
        <v>4643</v>
      </c>
      <c r="D1795" s="166" t="s">
        <v>2609</v>
      </c>
      <c r="E1795" s="166" t="s">
        <v>1132</v>
      </c>
      <c r="F1795" s="166" t="s">
        <v>4640</v>
      </c>
      <c r="G1795" s="166" t="s">
        <v>129</v>
      </c>
      <c r="H1795" s="166">
        <v>465126</v>
      </c>
      <c r="I1795" s="166">
        <v>0</v>
      </c>
      <c r="J1795" s="166">
        <v>0</v>
      </c>
      <c r="K1795" s="166" t="str">
        <f t="shared" ref="K1795:K1839" si="28">_xlfn.CONCAT(_xlfn.IFS(ISNUMBER(SEARCH("EN",A1795)),"ENTITY",ISNUMBER(SEARCH("IN",A1795)),"INSTRUMENT",ISNUMBER(SEARCH("PR",A1795)),"PROTECTION",ISNUMBER(SEARCH("IP",A1795)),"INSTR_PROTECTION",ISNUMBER(SEARCH("IE",A1795)),"INSTR_ENTITY",ISNUMBER(SEARCH("AC",A1795)),"INSTR_ACTIVITY"),D1795)</f>
        <v>PROTECTIONPRMRY_ENRGY_DMND_NN_RNWBL</v>
      </c>
    </row>
    <row r="1796" spans="1:11" hidden="1">
      <c r="A1796" s="166" t="s">
        <v>4925</v>
      </c>
      <c r="B1796" s="166" t="s">
        <v>4926</v>
      </c>
      <c r="C1796" s="166" t="s">
        <v>4643</v>
      </c>
      <c r="D1796" s="166" t="s">
        <v>2609</v>
      </c>
      <c r="E1796" s="166" t="s">
        <v>1132</v>
      </c>
      <c r="F1796" s="166" t="s">
        <v>4640</v>
      </c>
      <c r="G1796" s="166" t="s">
        <v>129</v>
      </c>
      <c r="H1796" s="166">
        <v>0</v>
      </c>
      <c r="I1796" s="166">
        <v>0</v>
      </c>
      <c r="J1796" s="166">
        <v>0</v>
      </c>
      <c r="K1796" s="166" t="str">
        <f t="shared" si="28"/>
        <v>PROTECTIONPRMRY_ENRGY_DMND_NN_RNWBL</v>
      </c>
    </row>
    <row r="1797" spans="1:11" hidden="1">
      <c r="A1797" s="166" t="s">
        <v>4927</v>
      </c>
      <c r="B1797" s="166" t="s">
        <v>4928</v>
      </c>
      <c r="C1797" s="166" t="s">
        <v>4643</v>
      </c>
      <c r="D1797" s="166" t="s">
        <v>2612</v>
      </c>
      <c r="E1797" s="166" t="s">
        <v>1132</v>
      </c>
      <c r="F1797" s="166" t="s">
        <v>4640</v>
      </c>
      <c r="G1797" s="166" t="s">
        <v>129</v>
      </c>
      <c r="H1797" s="166">
        <v>0</v>
      </c>
      <c r="I1797" s="166">
        <v>0</v>
      </c>
      <c r="J1797" s="166">
        <v>0</v>
      </c>
      <c r="K1797" s="166" t="str">
        <f t="shared" si="28"/>
        <v>PROTECTIONPRMRY_ENRGY_DMND_TTL</v>
      </c>
    </row>
    <row r="1798" spans="1:11" hidden="1">
      <c r="A1798" s="166" t="s">
        <v>4929</v>
      </c>
      <c r="B1798" s="166" t="s">
        <v>4930</v>
      </c>
      <c r="C1798" s="166" t="s">
        <v>4643</v>
      </c>
      <c r="D1798" s="166" t="s">
        <v>2612</v>
      </c>
      <c r="E1798" s="166" t="s">
        <v>1132</v>
      </c>
      <c r="F1798" s="166" t="s">
        <v>4640</v>
      </c>
      <c r="G1798" s="166" t="s">
        <v>129</v>
      </c>
      <c r="H1798" s="166">
        <v>465126</v>
      </c>
      <c r="I1798" s="166">
        <v>0</v>
      </c>
      <c r="J1798" s="166">
        <v>0</v>
      </c>
      <c r="K1798" s="166" t="str">
        <f t="shared" si="28"/>
        <v>PROTECTIONPRMRY_ENRGY_DMND_TTL</v>
      </c>
    </row>
    <row r="1799" spans="1:11" hidden="1">
      <c r="A1799" s="166" t="s">
        <v>4931</v>
      </c>
      <c r="B1799" s="166" t="s">
        <v>4932</v>
      </c>
      <c r="C1799" s="166" t="s">
        <v>4643</v>
      </c>
      <c r="D1799" s="166" t="s">
        <v>2615</v>
      </c>
      <c r="E1799" s="166" t="s">
        <v>1132</v>
      </c>
      <c r="F1799" s="166" t="s">
        <v>4640</v>
      </c>
      <c r="G1799" s="166" t="s">
        <v>129</v>
      </c>
      <c r="H1799" s="166">
        <v>192749</v>
      </c>
      <c r="I1799" s="166">
        <v>0</v>
      </c>
      <c r="J1799" s="166">
        <v>0</v>
      </c>
      <c r="K1799" s="166" t="str">
        <f t="shared" si="28"/>
        <v>PROTECTIONPRMRY_ENRGY_DMND_RFRNC_VL</v>
      </c>
    </row>
    <row r="1800" spans="1:11" hidden="1">
      <c r="A1800" s="166" t="s">
        <v>4933</v>
      </c>
      <c r="B1800" s="166" t="s">
        <v>4934</v>
      </c>
      <c r="C1800" s="166" t="s">
        <v>4643</v>
      </c>
      <c r="D1800" s="166" t="s">
        <v>2615</v>
      </c>
      <c r="E1800" s="166" t="s">
        <v>1132</v>
      </c>
      <c r="F1800" s="166" t="s">
        <v>4640</v>
      </c>
      <c r="G1800" s="166" t="s">
        <v>129</v>
      </c>
      <c r="H1800" s="166">
        <v>272377</v>
      </c>
      <c r="I1800" s="166">
        <v>0</v>
      </c>
      <c r="J1800" s="166">
        <v>0</v>
      </c>
      <c r="K1800" s="166" t="str">
        <f t="shared" si="28"/>
        <v>PROTECTIONPRMRY_ENRGY_DMND_RFRNC_VL</v>
      </c>
    </row>
    <row r="1801" spans="1:11" hidden="1">
      <c r="A1801" s="166" t="s">
        <v>4935</v>
      </c>
      <c r="B1801" s="166" t="s">
        <v>4936</v>
      </c>
      <c r="C1801" s="166" t="s">
        <v>4643</v>
      </c>
      <c r="D1801" s="166" t="s">
        <v>2618</v>
      </c>
      <c r="E1801" s="166" t="s">
        <v>1132</v>
      </c>
      <c r="F1801" s="166" t="s">
        <v>4640</v>
      </c>
      <c r="G1801" s="166" t="s">
        <v>129</v>
      </c>
      <c r="H1801" s="166">
        <v>465126</v>
      </c>
      <c r="I1801" s="166">
        <v>0</v>
      </c>
      <c r="J1801" s="166">
        <v>0</v>
      </c>
      <c r="K1801" s="166" t="str">
        <f t="shared" si="28"/>
        <v>PROTECTIONRL_ESTT_CLMT_ZN</v>
      </c>
    </row>
    <row r="1802" spans="1:11" hidden="1">
      <c r="A1802" s="166" t="s">
        <v>4937</v>
      </c>
      <c r="B1802" s="166" t="s">
        <v>4938</v>
      </c>
      <c r="C1802" s="166" t="s">
        <v>4643</v>
      </c>
      <c r="D1802" s="166" t="s">
        <v>2618</v>
      </c>
      <c r="E1802" s="166" t="s">
        <v>1132</v>
      </c>
      <c r="F1802" s="166" t="s">
        <v>4640</v>
      </c>
      <c r="G1802" s="166" t="s">
        <v>129</v>
      </c>
      <c r="H1802" s="166">
        <v>0</v>
      </c>
      <c r="I1802" s="166">
        <v>0</v>
      </c>
      <c r="J1802" s="166">
        <v>0</v>
      </c>
      <c r="K1802" s="166" t="str">
        <f t="shared" si="28"/>
        <v>PROTECTIONRL_ESTT_CLMT_ZN</v>
      </c>
    </row>
    <row r="1803" spans="1:11" hidden="1">
      <c r="A1803" s="166" t="s">
        <v>4939</v>
      </c>
      <c r="B1803" s="166" t="s">
        <v>4940</v>
      </c>
      <c r="C1803" s="166" t="s">
        <v>4643</v>
      </c>
      <c r="D1803" s="166" t="s">
        <v>574</v>
      </c>
      <c r="E1803" s="166" t="s">
        <v>1132</v>
      </c>
      <c r="F1803" s="166" t="s">
        <v>4640</v>
      </c>
      <c r="G1803" s="166" t="s">
        <v>129</v>
      </c>
      <c r="H1803" s="166">
        <v>272377</v>
      </c>
      <c r="I1803" s="166">
        <v>0</v>
      </c>
      <c r="J1803" s="166">
        <v>0</v>
      </c>
      <c r="K1803" s="166" t="str">
        <f t="shared" si="28"/>
        <v>PROTECTIONRL_ESTT_LNGTD</v>
      </c>
    </row>
    <row r="1804" spans="1:11" hidden="1">
      <c r="A1804" s="166" t="s">
        <v>4941</v>
      </c>
      <c r="B1804" s="166" t="s">
        <v>4942</v>
      </c>
      <c r="C1804" s="166" t="s">
        <v>4643</v>
      </c>
      <c r="D1804" s="166" t="s">
        <v>574</v>
      </c>
      <c r="E1804" s="166" t="s">
        <v>1132</v>
      </c>
      <c r="F1804" s="166" t="s">
        <v>4640</v>
      </c>
      <c r="G1804" s="166" t="s">
        <v>129</v>
      </c>
      <c r="H1804" s="166">
        <v>192749</v>
      </c>
      <c r="I1804" s="166">
        <v>0</v>
      </c>
      <c r="J1804" s="166">
        <v>0</v>
      </c>
      <c r="K1804" s="166" t="str">
        <f t="shared" si="28"/>
        <v>PROTECTIONRL_ESTT_LNGTD</v>
      </c>
    </row>
    <row r="1805" spans="1:11" hidden="1">
      <c r="A1805" s="166" t="s">
        <v>4943</v>
      </c>
      <c r="B1805" s="166" t="s">
        <v>4944</v>
      </c>
      <c r="C1805" s="166" t="s">
        <v>4643</v>
      </c>
      <c r="D1805" s="166" t="s">
        <v>575</v>
      </c>
      <c r="E1805" s="166" t="s">
        <v>1132</v>
      </c>
      <c r="F1805" s="166" t="s">
        <v>4640</v>
      </c>
      <c r="G1805" s="166" t="s">
        <v>129</v>
      </c>
      <c r="H1805" s="166">
        <v>272377</v>
      </c>
      <c r="I1805" s="166">
        <v>0</v>
      </c>
      <c r="J1805" s="166">
        <v>0</v>
      </c>
      <c r="K1805" s="166" t="str">
        <f t="shared" si="28"/>
        <v>PROTECTIONRL_ESTT_LTTD</v>
      </c>
    </row>
    <row r="1806" spans="1:11" hidden="1">
      <c r="A1806" s="166" t="s">
        <v>4945</v>
      </c>
      <c r="B1806" s="166" t="s">
        <v>4946</v>
      </c>
      <c r="C1806" s="166" t="s">
        <v>4643</v>
      </c>
      <c r="D1806" s="166" t="s">
        <v>575</v>
      </c>
      <c r="E1806" s="166" t="s">
        <v>1132</v>
      </c>
      <c r="F1806" s="166" t="s">
        <v>4640</v>
      </c>
      <c r="G1806" s="166" t="s">
        <v>129</v>
      </c>
      <c r="H1806" s="166">
        <v>192749</v>
      </c>
      <c r="I1806" s="166">
        <v>0</v>
      </c>
      <c r="J1806" s="166">
        <v>0</v>
      </c>
      <c r="K1806" s="166" t="str">
        <f t="shared" si="28"/>
        <v>PROTECTIONRL_ESTT_LTTD</v>
      </c>
    </row>
    <row r="1807" spans="1:11" hidden="1">
      <c r="A1807" s="166" t="s">
        <v>4947</v>
      </c>
      <c r="B1807" s="166" t="s">
        <v>4948</v>
      </c>
      <c r="C1807" s="166" t="s">
        <v>4643</v>
      </c>
      <c r="D1807" s="166" t="s">
        <v>1498</v>
      </c>
      <c r="E1807" s="166" t="s">
        <v>1132</v>
      </c>
      <c r="F1807" s="166" t="s">
        <v>4640</v>
      </c>
      <c r="G1807" s="166" t="s">
        <v>129</v>
      </c>
      <c r="H1807" s="166">
        <v>20489</v>
      </c>
      <c r="I1807" s="166">
        <v>0</v>
      </c>
      <c r="J1807" s="166">
        <v>0</v>
      </c>
      <c r="K1807" s="166" t="str">
        <f t="shared" si="28"/>
        <v>PROTECTIONFLG_ELCTRC_VHCL</v>
      </c>
    </row>
    <row r="1808" spans="1:11" hidden="1">
      <c r="A1808" s="166" t="s">
        <v>4949</v>
      </c>
      <c r="B1808" s="166" t="s">
        <v>4950</v>
      </c>
      <c r="C1808" s="166" t="s">
        <v>4643</v>
      </c>
      <c r="D1808" s="166" t="s">
        <v>1498</v>
      </c>
      <c r="E1808" s="166" t="s">
        <v>1132</v>
      </c>
      <c r="F1808" s="166" t="s">
        <v>4640</v>
      </c>
      <c r="G1808" s="166" t="s">
        <v>129</v>
      </c>
      <c r="H1808" s="166">
        <v>444637</v>
      </c>
      <c r="I1808" s="166">
        <v>0</v>
      </c>
      <c r="J1808" s="166">
        <v>0</v>
      </c>
      <c r="K1808" s="166" t="str">
        <f t="shared" si="28"/>
        <v>PROTECTIONFLG_ELCTRC_VHCL</v>
      </c>
    </row>
    <row r="1809" spans="1:11" hidden="1">
      <c r="A1809" s="166" t="s">
        <v>4951</v>
      </c>
      <c r="B1809" s="166" t="s">
        <v>4952</v>
      </c>
      <c r="C1809" s="166" t="s">
        <v>576</v>
      </c>
      <c r="D1809" s="166" t="s">
        <v>10</v>
      </c>
      <c r="E1809" s="166" t="s">
        <v>4953</v>
      </c>
      <c r="F1809" s="166" t="s">
        <v>4954</v>
      </c>
      <c r="G1809" s="166" t="s">
        <v>129</v>
      </c>
      <c r="H1809" s="166">
        <v>4</v>
      </c>
      <c r="I1809" s="166">
        <v>0</v>
      </c>
      <c r="J1809" s="166">
        <v>0</v>
      </c>
      <c r="K1809" s="166" t="str">
        <f t="shared" si="28"/>
        <v>INSTR_ACTIVITY</v>
      </c>
    </row>
    <row r="1810" spans="1:11" hidden="1">
      <c r="A1810" s="166" t="s">
        <v>4955</v>
      </c>
      <c r="B1810" s="166" t="s">
        <v>4956</v>
      </c>
      <c r="C1810" s="166" t="s">
        <v>576</v>
      </c>
      <c r="D1810" s="166" t="s">
        <v>10</v>
      </c>
      <c r="E1810" s="166" t="s">
        <v>4953</v>
      </c>
      <c r="F1810" s="166" t="s">
        <v>4954</v>
      </c>
      <c r="G1810" s="166" t="s">
        <v>129</v>
      </c>
      <c r="H1810" s="166">
        <v>6</v>
      </c>
      <c r="I1810" s="166">
        <v>0</v>
      </c>
      <c r="J1810" s="166">
        <v>0</v>
      </c>
      <c r="K1810" s="166" t="str">
        <f t="shared" si="28"/>
        <v>INSTR_ACTIVITY</v>
      </c>
    </row>
    <row r="1811" spans="1:11" hidden="1">
      <c r="A1811" s="166" t="s">
        <v>4957</v>
      </c>
      <c r="B1811" s="166" t="s">
        <v>4958</v>
      </c>
      <c r="C1811" s="166" t="s">
        <v>576</v>
      </c>
      <c r="D1811" s="166" t="s">
        <v>10</v>
      </c>
      <c r="E1811" s="166" t="s">
        <v>4953</v>
      </c>
      <c r="F1811" s="166" t="s">
        <v>4954</v>
      </c>
      <c r="G1811" s="166" t="s">
        <v>1134</v>
      </c>
      <c r="H1811" s="166">
        <v>7</v>
      </c>
      <c r="I1811" s="166">
        <v>5</v>
      </c>
      <c r="J1811" s="166">
        <v>71.428600000000003</v>
      </c>
      <c r="K1811" s="166" t="str">
        <f t="shared" si="28"/>
        <v>INSTR_ACTIVITY</v>
      </c>
    </row>
    <row r="1812" spans="1:11" hidden="1">
      <c r="A1812" s="166" t="s">
        <v>4959</v>
      </c>
      <c r="B1812" s="166" t="s">
        <v>4960</v>
      </c>
      <c r="C1812" s="166" t="s">
        <v>576</v>
      </c>
      <c r="D1812" s="166" t="s">
        <v>186</v>
      </c>
      <c r="E1812" s="166" t="s">
        <v>4953</v>
      </c>
      <c r="F1812" s="166" t="s">
        <v>4954</v>
      </c>
      <c r="G1812" s="166" t="s">
        <v>129</v>
      </c>
      <c r="H1812" s="166">
        <v>2138988</v>
      </c>
      <c r="I1812" s="166">
        <v>0</v>
      </c>
      <c r="J1812" s="166">
        <v>0</v>
      </c>
      <c r="K1812" s="166" t="str">
        <f t="shared" si="28"/>
        <v>INSTR_ACTIVITYCOD_SOC</v>
      </c>
    </row>
    <row r="1813" spans="1:11" hidden="1">
      <c r="A1813" s="166" t="s">
        <v>4961</v>
      </c>
      <c r="B1813" s="166" t="s">
        <v>4962</v>
      </c>
      <c r="C1813" s="166" t="s">
        <v>576</v>
      </c>
      <c r="D1813" s="166" t="s">
        <v>283</v>
      </c>
      <c r="E1813" s="166" t="s">
        <v>4953</v>
      </c>
      <c r="F1813" s="166" t="s">
        <v>4954</v>
      </c>
      <c r="G1813" s="166" t="s">
        <v>129</v>
      </c>
      <c r="H1813" s="166">
        <v>2138988</v>
      </c>
      <c r="I1813" s="166">
        <v>0</v>
      </c>
      <c r="J1813" s="166">
        <v>0</v>
      </c>
      <c r="K1813" s="166" t="str">
        <f t="shared" si="28"/>
        <v>INSTR_ACTIVITYDT_RFRNC</v>
      </c>
    </row>
    <row r="1814" spans="1:11" hidden="1">
      <c r="A1814" s="166" t="s">
        <v>4963</v>
      </c>
      <c r="B1814" s="166" t="s">
        <v>4952</v>
      </c>
      <c r="C1814" s="166" t="s">
        <v>139</v>
      </c>
      <c r="D1814" s="166" t="s">
        <v>10</v>
      </c>
      <c r="E1814" s="166" t="s">
        <v>4953</v>
      </c>
      <c r="F1814" s="166" t="s">
        <v>4964</v>
      </c>
      <c r="G1814" s="166" t="s">
        <v>129</v>
      </c>
      <c r="H1814" s="166">
        <v>3</v>
      </c>
      <c r="I1814" s="166">
        <v>0</v>
      </c>
      <c r="J1814" s="166">
        <v>0</v>
      </c>
      <c r="K1814" s="166" t="str">
        <f t="shared" si="28"/>
        <v>ENTITY</v>
      </c>
    </row>
    <row r="1815" spans="1:11" hidden="1">
      <c r="A1815" s="166" t="s">
        <v>4965</v>
      </c>
      <c r="B1815" s="166" t="s">
        <v>4956</v>
      </c>
      <c r="C1815" s="166" t="s">
        <v>139</v>
      </c>
      <c r="D1815" s="166" t="s">
        <v>10</v>
      </c>
      <c r="E1815" s="166" t="s">
        <v>4953</v>
      </c>
      <c r="F1815" s="166" t="s">
        <v>4964</v>
      </c>
      <c r="G1815" s="166" t="s">
        <v>1134</v>
      </c>
      <c r="H1815" s="166">
        <v>105</v>
      </c>
      <c r="I1815" s="166">
        <v>1</v>
      </c>
      <c r="J1815" s="166">
        <v>0.95240000000000002</v>
      </c>
      <c r="K1815" s="166" t="str">
        <f t="shared" si="28"/>
        <v>ENTITY</v>
      </c>
    </row>
    <row r="1816" spans="1:11" hidden="1">
      <c r="A1816" s="166" t="s">
        <v>4966</v>
      </c>
      <c r="B1816" s="166" t="s">
        <v>4958</v>
      </c>
      <c r="C1816" s="166" t="s">
        <v>139</v>
      </c>
      <c r="D1816" s="166" t="s">
        <v>10</v>
      </c>
      <c r="E1816" s="166" t="s">
        <v>4953</v>
      </c>
      <c r="F1816" s="166" t="s">
        <v>4964</v>
      </c>
      <c r="G1816" s="166" t="s">
        <v>1134</v>
      </c>
      <c r="H1816" s="166">
        <v>164</v>
      </c>
      <c r="I1816" s="166">
        <v>63</v>
      </c>
      <c r="J1816" s="166">
        <v>38.4146</v>
      </c>
      <c r="K1816" s="166" t="str">
        <f t="shared" si="28"/>
        <v>ENTITY</v>
      </c>
    </row>
    <row r="1817" spans="1:11" hidden="1">
      <c r="A1817" s="166" t="s">
        <v>4967</v>
      </c>
      <c r="B1817" s="166" t="s">
        <v>4968</v>
      </c>
      <c r="C1817" s="166" t="s">
        <v>139</v>
      </c>
      <c r="D1817" s="166" t="s">
        <v>186</v>
      </c>
      <c r="E1817" s="166" t="s">
        <v>4953</v>
      </c>
      <c r="F1817" s="166" t="s">
        <v>4964</v>
      </c>
      <c r="G1817" s="166" t="s">
        <v>129</v>
      </c>
      <c r="H1817" s="166">
        <v>1140751</v>
      </c>
      <c r="I1817" s="166">
        <v>0</v>
      </c>
      <c r="J1817" s="166">
        <v>0</v>
      </c>
      <c r="K1817" s="166" t="str">
        <f t="shared" si="28"/>
        <v>ENTITYCOD_SOC</v>
      </c>
    </row>
    <row r="1818" spans="1:11" hidden="1">
      <c r="A1818" s="166" t="s">
        <v>4969</v>
      </c>
      <c r="B1818" s="166" t="s">
        <v>4970</v>
      </c>
      <c r="C1818" s="166" t="s">
        <v>139</v>
      </c>
      <c r="D1818" s="166" t="s">
        <v>283</v>
      </c>
      <c r="E1818" s="166" t="s">
        <v>4953</v>
      </c>
      <c r="F1818" s="166" t="s">
        <v>4964</v>
      </c>
      <c r="G1818" s="166" t="s">
        <v>129</v>
      </c>
      <c r="H1818" s="166">
        <v>1140751</v>
      </c>
      <c r="I1818" s="166">
        <v>0</v>
      </c>
      <c r="J1818" s="166">
        <v>0</v>
      </c>
      <c r="K1818" s="166" t="str">
        <f t="shared" si="28"/>
        <v>ENTITYDT_RFRNC</v>
      </c>
    </row>
    <row r="1819" spans="1:11" hidden="1">
      <c r="A1819" s="166" t="s">
        <v>4971</v>
      </c>
      <c r="B1819" s="166" t="s">
        <v>4952</v>
      </c>
      <c r="C1819" s="166" t="s">
        <v>187</v>
      </c>
      <c r="D1819" s="166" t="s">
        <v>10</v>
      </c>
      <c r="E1819" s="166" t="s">
        <v>4953</v>
      </c>
      <c r="F1819" s="166" t="s">
        <v>4972</v>
      </c>
      <c r="G1819" s="166" t="s">
        <v>129</v>
      </c>
      <c r="H1819" s="166">
        <v>4</v>
      </c>
      <c r="I1819" s="166">
        <v>0</v>
      </c>
      <c r="J1819" s="166">
        <v>0</v>
      </c>
      <c r="K1819" s="166" t="str">
        <f t="shared" si="28"/>
        <v>INSTR_ENTITY</v>
      </c>
    </row>
    <row r="1820" spans="1:11" hidden="1">
      <c r="A1820" s="166" t="s">
        <v>4973</v>
      </c>
      <c r="B1820" s="166" t="s">
        <v>4956</v>
      </c>
      <c r="C1820" s="166" t="s">
        <v>187</v>
      </c>
      <c r="D1820" s="166" t="s">
        <v>10</v>
      </c>
      <c r="E1820" s="166" t="s">
        <v>4953</v>
      </c>
      <c r="F1820" s="166" t="s">
        <v>4972</v>
      </c>
      <c r="G1820" s="166" t="s">
        <v>129</v>
      </c>
      <c r="H1820" s="166">
        <v>6</v>
      </c>
      <c r="I1820" s="166">
        <v>0</v>
      </c>
      <c r="J1820" s="166">
        <v>0</v>
      </c>
      <c r="K1820" s="166" t="str">
        <f t="shared" si="28"/>
        <v>INSTR_ENTITY</v>
      </c>
    </row>
    <row r="1821" spans="1:11" hidden="1">
      <c r="A1821" s="166" t="s">
        <v>4974</v>
      </c>
      <c r="B1821" s="166" t="s">
        <v>4958</v>
      </c>
      <c r="C1821" s="166" t="s">
        <v>187</v>
      </c>
      <c r="D1821" s="166" t="s">
        <v>10</v>
      </c>
      <c r="E1821" s="166" t="s">
        <v>4953</v>
      </c>
      <c r="F1821" s="166" t="s">
        <v>4972</v>
      </c>
      <c r="G1821" s="166" t="s">
        <v>129</v>
      </c>
      <c r="H1821" s="166">
        <v>2</v>
      </c>
      <c r="I1821" s="166">
        <v>0</v>
      </c>
      <c r="J1821" s="166">
        <v>0</v>
      </c>
      <c r="K1821" s="166" t="str">
        <f t="shared" si="28"/>
        <v>INSTR_ENTITY</v>
      </c>
    </row>
    <row r="1822" spans="1:11" hidden="1">
      <c r="A1822" s="166" t="s">
        <v>4975</v>
      </c>
      <c r="B1822" s="166" t="s">
        <v>4976</v>
      </c>
      <c r="C1822" s="166" t="s">
        <v>187</v>
      </c>
      <c r="D1822" s="166" t="s">
        <v>186</v>
      </c>
      <c r="E1822" s="166" t="s">
        <v>4953</v>
      </c>
      <c r="F1822" s="166" t="s">
        <v>4972</v>
      </c>
      <c r="G1822" s="166" t="s">
        <v>129</v>
      </c>
      <c r="H1822" s="166">
        <v>2655392</v>
      </c>
      <c r="I1822" s="166">
        <v>0</v>
      </c>
      <c r="J1822" s="166">
        <v>0</v>
      </c>
      <c r="K1822" s="166" t="str">
        <f t="shared" si="28"/>
        <v>INSTR_ENTITYCOD_SOC</v>
      </c>
    </row>
    <row r="1823" spans="1:11" hidden="1">
      <c r="A1823" s="166" t="s">
        <v>4977</v>
      </c>
      <c r="B1823" s="166" t="s">
        <v>4978</v>
      </c>
      <c r="C1823" s="166" t="s">
        <v>187</v>
      </c>
      <c r="D1823" s="166" t="s">
        <v>283</v>
      </c>
      <c r="E1823" s="166" t="s">
        <v>4953</v>
      </c>
      <c r="F1823" s="166" t="s">
        <v>4972</v>
      </c>
      <c r="G1823" s="166" t="s">
        <v>129</v>
      </c>
      <c r="H1823" s="166">
        <v>2655392</v>
      </c>
      <c r="I1823" s="166">
        <v>0</v>
      </c>
      <c r="J1823" s="166">
        <v>0</v>
      </c>
      <c r="K1823" s="166" t="str">
        <f t="shared" si="28"/>
        <v>INSTR_ENTITYDT_RFRNC</v>
      </c>
    </row>
    <row r="1824" spans="1:11" hidden="1">
      <c r="A1824" s="166" t="s">
        <v>4979</v>
      </c>
      <c r="B1824" s="166" t="s">
        <v>4952</v>
      </c>
      <c r="C1824" s="166" t="s">
        <v>127</v>
      </c>
      <c r="D1824" s="166" t="s">
        <v>10</v>
      </c>
      <c r="E1824" s="166" t="s">
        <v>4953</v>
      </c>
      <c r="F1824" s="166" t="s">
        <v>4980</v>
      </c>
      <c r="G1824" s="166" t="s">
        <v>129</v>
      </c>
      <c r="H1824" s="166">
        <v>5</v>
      </c>
      <c r="I1824" s="166">
        <v>0</v>
      </c>
      <c r="J1824" s="166">
        <v>0</v>
      </c>
      <c r="K1824" s="166" t="str">
        <f t="shared" si="28"/>
        <v>INSTRUMENT</v>
      </c>
    </row>
    <row r="1825" spans="1:11" hidden="1">
      <c r="A1825" s="166" t="s">
        <v>4981</v>
      </c>
      <c r="B1825" s="166" t="s">
        <v>4956</v>
      </c>
      <c r="C1825" s="166" t="s">
        <v>127</v>
      </c>
      <c r="D1825" s="166" t="s">
        <v>10</v>
      </c>
      <c r="E1825" s="166" t="s">
        <v>4953</v>
      </c>
      <c r="F1825" s="166" t="s">
        <v>4980</v>
      </c>
      <c r="G1825" s="166" t="s">
        <v>1134</v>
      </c>
      <c r="H1825" s="166">
        <v>244</v>
      </c>
      <c r="I1825" s="166">
        <v>16</v>
      </c>
      <c r="J1825" s="166">
        <v>6.5574000000000003</v>
      </c>
      <c r="K1825" s="166" t="str">
        <f t="shared" si="28"/>
        <v>INSTRUMENT</v>
      </c>
    </row>
    <row r="1826" spans="1:11" hidden="1">
      <c r="A1826" s="166" t="s">
        <v>4982</v>
      </c>
      <c r="B1826" s="166" t="s">
        <v>4958</v>
      </c>
      <c r="C1826" s="166" t="s">
        <v>127</v>
      </c>
      <c r="D1826" s="166" t="s">
        <v>10</v>
      </c>
      <c r="E1826" s="166" t="s">
        <v>4953</v>
      </c>
      <c r="F1826" s="166" t="s">
        <v>4980</v>
      </c>
      <c r="G1826" s="166" t="s">
        <v>1134</v>
      </c>
      <c r="H1826" s="166">
        <v>247</v>
      </c>
      <c r="I1826" s="166">
        <v>24</v>
      </c>
      <c r="J1826" s="166">
        <v>9.7165999999999997</v>
      </c>
      <c r="K1826" s="166" t="str">
        <f t="shared" si="28"/>
        <v>INSTRUMENT</v>
      </c>
    </row>
    <row r="1827" spans="1:11" hidden="1">
      <c r="A1827" s="166" t="s">
        <v>4983</v>
      </c>
      <c r="B1827" s="166" t="s">
        <v>4984</v>
      </c>
      <c r="C1827" s="166" t="s">
        <v>127</v>
      </c>
      <c r="D1827" s="166" t="s">
        <v>4985</v>
      </c>
      <c r="E1827" s="166" t="s">
        <v>4953</v>
      </c>
      <c r="F1827" s="166" t="s">
        <v>4980</v>
      </c>
      <c r="G1827" s="166" t="s">
        <v>129</v>
      </c>
      <c r="H1827" s="166">
        <v>2266163</v>
      </c>
      <c r="I1827" s="166">
        <v>0</v>
      </c>
      <c r="J1827" s="166">
        <v>0</v>
      </c>
      <c r="K1827" s="166" t="str">
        <f t="shared" si="28"/>
        <v>INSTRUMENTSUBPORTFOLIOID</v>
      </c>
    </row>
    <row r="1828" spans="1:11" hidden="1">
      <c r="A1828" s="166" t="s">
        <v>4986</v>
      </c>
      <c r="B1828" s="166" t="s">
        <v>4987</v>
      </c>
      <c r="C1828" s="166" t="s">
        <v>127</v>
      </c>
      <c r="D1828" s="166" t="s">
        <v>186</v>
      </c>
      <c r="E1828" s="166" t="s">
        <v>4953</v>
      </c>
      <c r="F1828" s="166" t="s">
        <v>4980</v>
      </c>
      <c r="G1828" s="166" t="s">
        <v>129</v>
      </c>
      <c r="H1828" s="166">
        <v>2266163</v>
      </c>
      <c r="I1828" s="166">
        <v>0</v>
      </c>
      <c r="J1828" s="166">
        <v>0</v>
      </c>
      <c r="K1828" s="166" t="str">
        <f t="shared" si="28"/>
        <v>INSTRUMENTCOD_SOC</v>
      </c>
    </row>
    <row r="1829" spans="1:11" hidden="1">
      <c r="A1829" s="166" t="s">
        <v>4988</v>
      </c>
      <c r="B1829" s="166" t="s">
        <v>4989</v>
      </c>
      <c r="C1829" s="166" t="s">
        <v>127</v>
      </c>
      <c r="D1829" s="166" t="s">
        <v>283</v>
      </c>
      <c r="E1829" s="166" t="s">
        <v>4953</v>
      </c>
      <c r="F1829" s="166" t="s">
        <v>4980</v>
      </c>
      <c r="G1829" s="166" t="s">
        <v>129</v>
      </c>
      <c r="H1829" s="166">
        <v>2266163</v>
      </c>
      <c r="I1829" s="166">
        <v>0</v>
      </c>
      <c r="J1829" s="166">
        <v>0</v>
      </c>
      <c r="K1829" s="166" t="str">
        <f t="shared" si="28"/>
        <v>INSTRUMENTDT_RFRNC</v>
      </c>
    </row>
    <row r="1830" spans="1:11" hidden="1">
      <c r="A1830" s="166" t="s">
        <v>4990</v>
      </c>
      <c r="B1830" s="166" t="s">
        <v>4952</v>
      </c>
      <c r="C1830" s="166" t="s">
        <v>188</v>
      </c>
      <c r="D1830" s="166" t="s">
        <v>10</v>
      </c>
      <c r="E1830" s="166" t="s">
        <v>4953</v>
      </c>
      <c r="F1830" s="166" t="s">
        <v>4991</v>
      </c>
      <c r="G1830" s="166" t="s">
        <v>129</v>
      </c>
      <c r="H1830" s="166">
        <v>4</v>
      </c>
      <c r="I1830" s="166">
        <v>0</v>
      </c>
      <c r="J1830" s="166">
        <v>0</v>
      </c>
      <c r="K1830" s="166" t="str">
        <f t="shared" si="28"/>
        <v>INSTR_PROTECTION</v>
      </c>
    </row>
    <row r="1831" spans="1:11" hidden="1">
      <c r="A1831" s="166" t="s">
        <v>4992</v>
      </c>
      <c r="B1831" s="166" t="s">
        <v>4956</v>
      </c>
      <c r="C1831" s="166" t="s">
        <v>188</v>
      </c>
      <c r="D1831" s="166" t="s">
        <v>10</v>
      </c>
      <c r="E1831" s="166" t="s">
        <v>4953</v>
      </c>
      <c r="F1831" s="166" t="s">
        <v>4991</v>
      </c>
      <c r="G1831" s="166" t="s">
        <v>129</v>
      </c>
      <c r="H1831" s="166">
        <v>8</v>
      </c>
      <c r="I1831" s="166">
        <v>0</v>
      </c>
      <c r="J1831" s="166">
        <v>0</v>
      </c>
      <c r="K1831" s="166" t="str">
        <f t="shared" si="28"/>
        <v>INSTR_PROTECTION</v>
      </c>
    </row>
    <row r="1832" spans="1:11" hidden="1">
      <c r="A1832" s="166" t="s">
        <v>4993</v>
      </c>
      <c r="B1832" s="166" t="s">
        <v>4958</v>
      </c>
      <c r="C1832" s="166" t="s">
        <v>188</v>
      </c>
      <c r="D1832" s="166" t="s">
        <v>10</v>
      </c>
      <c r="E1832" s="166" t="s">
        <v>4953</v>
      </c>
      <c r="F1832" s="166" t="s">
        <v>4991</v>
      </c>
      <c r="G1832" s="166" t="s">
        <v>129</v>
      </c>
      <c r="H1832" s="166">
        <v>4</v>
      </c>
      <c r="I1832" s="166">
        <v>0</v>
      </c>
      <c r="J1832" s="166">
        <v>0</v>
      </c>
      <c r="K1832" s="166" t="str">
        <f t="shared" si="28"/>
        <v>INSTR_PROTECTION</v>
      </c>
    </row>
    <row r="1833" spans="1:11" hidden="1">
      <c r="A1833" s="166" t="s">
        <v>4994</v>
      </c>
      <c r="B1833" s="166" t="s">
        <v>4995</v>
      </c>
      <c r="C1833" s="166" t="s">
        <v>188</v>
      </c>
      <c r="D1833" s="166" t="s">
        <v>186</v>
      </c>
      <c r="E1833" s="166" t="s">
        <v>4953</v>
      </c>
      <c r="F1833" s="166" t="s">
        <v>4991</v>
      </c>
      <c r="G1833" s="166" t="s">
        <v>129</v>
      </c>
      <c r="H1833" s="166">
        <v>783914</v>
      </c>
      <c r="I1833" s="166">
        <v>0</v>
      </c>
      <c r="J1833" s="166">
        <v>0</v>
      </c>
      <c r="K1833" s="166" t="str">
        <f t="shared" si="28"/>
        <v>INSTR_PROTECTIONCOD_SOC</v>
      </c>
    </row>
    <row r="1834" spans="1:11" hidden="1">
      <c r="A1834" s="166" t="s">
        <v>4996</v>
      </c>
      <c r="B1834" s="166" t="s">
        <v>4997</v>
      </c>
      <c r="C1834" s="166" t="s">
        <v>188</v>
      </c>
      <c r="D1834" s="166" t="s">
        <v>283</v>
      </c>
      <c r="E1834" s="166" t="s">
        <v>4953</v>
      </c>
      <c r="F1834" s="166" t="s">
        <v>4991</v>
      </c>
      <c r="G1834" s="166" t="s">
        <v>129</v>
      </c>
      <c r="H1834" s="166">
        <v>783914</v>
      </c>
      <c r="I1834" s="166">
        <v>0</v>
      </c>
      <c r="J1834" s="166">
        <v>0</v>
      </c>
      <c r="K1834" s="166" t="str">
        <f t="shared" si="28"/>
        <v>INSTR_PROTECTIONDT_RFRNC</v>
      </c>
    </row>
    <row r="1835" spans="1:11" hidden="1">
      <c r="A1835" s="166" t="s">
        <v>4998</v>
      </c>
      <c r="B1835" s="166" t="s">
        <v>4952</v>
      </c>
      <c r="C1835" s="166" t="s">
        <v>156</v>
      </c>
      <c r="D1835" s="166" t="s">
        <v>10</v>
      </c>
      <c r="E1835" s="166" t="s">
        <v>4953</v>
      </c>
      <c r="F1835" s="166" t="s">
        <v>4999</v>
      </c>
      <c r="G1835" s="166" t="s">
        <v>129</v>
      </c>
      <c r="H1835" s="166">
        <v>3</v>
      </c>
      <c r="I1835" s="166">
        <v>0</v>
      </c>
      <c r="J1835" s="166">
        <v>0</v>
      </c>
      <c r="K1835" s="166" t="str">
        <f t="shared" si="28"/>
        <v>PROTECTION</v>
      </c>
    </row>
    <row r="1836" spans="1:11" hidden="1">
      <c r="A1836" s="166" t="s">
        <v>5000</v>
      </c>
      <c r="B1836" s="166" t="s">
        <v>4956</v>
      </c>
      <c r="C1836" s="166" t="s">
        <v>156</v>
      </c>
      <c r="D1836" s="166" t="s">
        <v>10</v>
      </c>
      <c r="E1836" s="166" t="s">
        <v>4953</v>
      </c>
      <c r="F1836" s="166" t="s">
        <v>4999</v>
      </c>
      <c r="G1836" s="166" t="s">
        <v>1134</v>
      </c>
      <c r="H1836" s="166">
        <v>42</v>
      </c>
      <c r="I1836" s="166">
        <v>1</v>
      </c>
      <c r="J1836" s="166">
        <v>2.3809999999999998</v>
      </c>
      <c r="K1836" s="166" t="str">
        <f t="shared" si="28"/>
        <v>PROTECTION</v>
      </c>
    </row>
    <row r="1837" spans="1:11" hidden="1">
      <c r="A1837" s="166" t="s">
        <v>5001</v>
      </c>
      <c r="B1837" s="166" t="s">
        <v>4958</v>
      </c>
      <c r="C1837" s="166" t="s">
        <v>156</v>
      </c>
      <c r="D1837" s="166" t="s">
        <v>10</v>
      </c>
      <c r="E1837" s="166" t="s">
        <v>4953</v>
      </c>
      <c r="F1837" s="166" t="s">
        <v>4999</v>
      </c>
      <c r="G1837" s="166" t="s">
        <v>1134</v>
      </c>
      <c r="H1837" s="166">
        <v>72</v>
      </c>
      <c r="I1837" s="166">
        <v>34</v>
      </c>
      <c r="J1837" s="166">
        <v>47.222200000000001</v>
      </c>
      <c r="K1837" s="166" t="str">
        <f t="shared" si="28"/>
        <v>PROTECTION</v>
      </c>
    </row>
    <row r="1838" spans="1:11" hidden="1">
      <c r="A1838" s="166" t="s">
        <v>5002</v>
      </c>
      <c r="B1838" s="166" t="s">
        <v>5003</v>
      </c>
      <c r="C1838" s="166" t="s">
        <v>156</v>
      </c>
      <c r="D1838" s="166" t="s">
        <v>186</v>
      </c>
      <c r="E1838" s="166" t="s">
        <v>4953</v>
      </c>
      <c r="F1838" s="166" t="s">
        <v>4999</v>
      </c>
      <c r="G1838" s="166" t="s">
        <v>129</v>
      </c>
      <c r="H1838" s="166">
        <v>465126</v>
      </c>
      <c r="I1838" s="166">
        <v>0</v>
      </c>
      <c r="J1838" s="166">
        <v>0</v>
      </c>
      <c r="K1838" s="166" t="str">
        <f t="shared" si="28"/>
        <v>PROTECTIONCOD_SOC</v>
      </c>
    </row>
    <row r="1839" spans="1:11" hidden="1">
      <c r="A1839" s="166" t="s">
        <v>5004</v>
      </c>
      <c r="B1839" s="166" t="s">
        <v>5005</v>
      </c>
      <c r="C1839" s="166" t="s">
        <v>156</v>
      </c>
      <c r="D1839" s="166" t="s">
        <v>283</v>
      </c>
      <c r="E1839" s="166" t="s">
        <v>4953</v>
      </c>
      <c r="F1839" s="166" t="s">
        <v>4999</v>
      </c>
      <c r="G1839" s="166" t="s">
        <v>129</v>
      </c>
      <c r="H1839" s="166">
        <v>465126</v>
      </c>
      <c r="I1839" s="166">
        <v>0</v>
      </c>
      <c r="J1839" s="166">
        <v>0</v>
      </c>
      <c r="K1839" s="166" t="str">
        <f t="shared" si="28"/>
        <v>PROTECTIONDT_RFRNC</v>
      </c>
    </row>
  </sheetData>
  <autoFilter ref="A1:J1839" xr:uid="{00000000-0001-0000-0000-000000000000}">
    <filterColumn colId="3">
      <filters>
        <filter val="TYP_INSTRMNT"/>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7AD8-548F-46EB-9D95-57305968A545}">
  <dimension ref="B3:L22"/>
  <sheetViews>
    <sheetView zoomScale="61" zoomScaleNormal="100" workbookViewId="0">
      <selection activeCell="L16" sqref="L16"/>
    </sheetView>
  </sheetViews>
  <sheetFormatPr defaultRowHeight="15"/>
  <cols>
    <col min="1" max="1" width="3.75" customWidth="1"/>
    <col min="2" max="2" width="19.5" bestFit="1" customWidth="1"/>
    <col min="3" max="3" width="70.875" customWidth="1"/>
    <col min="4" max="4" width="16.375" bestFit="1" customWidth="1"/>
    <col min="5" max="5" width="33" style="2" bestFit="1" customWidth="1"/>
    <col min="6" max="6" width="19.125" bestFit="1" customWidth="1"/>
    <col min="7" max="7" width="15.625" bestFit="1" customWidth="1"/>
    <col min="8" max="8" width="17.125" customWidth="1"/>
    <col min="9" max="9" width="16.125" bestFit="1" customWidth="1"/>
    <col min="10" max="10" width="16.5" bestFit="1" customWidth="1"/>
    <col min="11" max="11" width="11.5" bestFit="1" customWidth="1"/>
    <col min="12" max="12" width="72.5" style="1" bestFit="1" customWidth="1"/>
  </cols>
  <sheetData>
    <row r="3" spans="2:12" ht="14.25">
      <c r="B3" s="132" t="s">
        <v>1117</v>
      </c>
      <c r="C3" s="132" t="s">
        <v>1118</v>
      </c>
      <c r="D3" s="132" t="s">
        <v>1119</v>
      </c>
      <c r="E3" s="132" t="s">
        <v>1120</v>
      </c>
      <c r="F3" s="132" t="s">
        <v>1121</v>
      </c>
      <c r="G3" s="132" t="s">
        <v>1122</v>
      </c>
      <c r="H3" s="132" t="s">
        <v>1123</v>
      </c>
      <c r="I3" s="132" t="s">
        <v>1124</v>
      </c>
      <c r="J3" s="132" t="s">
        <v>1125</v>
      </c>
      <c r="K3" s="132" t="s">
        <v>1126</v>
      </c>
      <c r="L3" s="159" t="s">
        <v>1250</v>
      </c>
    </row>
    <row r="4" spans="2:12" ht="14.25">
      <c r="B4" s="132" t="s">
        <v>1244</v>
      </c>
      <c r="C4" s="132" t="s">
        <v>1245</v>
      </c>
      <c r="D4" s="132" t="s">
        <v>1131</v>
      </c>
      <c r="E4" s="132" t="s">
        <v>134</v>
      </c>
      <c r="F4" s="132" t="s">
        <v>1132</v>
      </c>
      <c r="G4" s="132" t="s">
        <v>1133</v>
      </c>
      <c r="H4" s="132" t="s">
        <v>1134</v>
      </c>
      <c r="I4" s="132">
        <v>13</v>
      </c>
      <c r="J4" s="132">
        <v>11</v>
      </c>
      <c r="K4" s="132">
        <v>84.615399999999994</v>
      </c>
      <c r="L4" s="161" t="s">
        <v>1262</v>
      </c>
    </row>
    <row r="5" spans="2:12" ht="14.25">
      <c r="B5" s="132" t="s">
        <v>1129</v>
      </c>
      <c r="C5" s="132" t="s">
        <v>1130</v>
      </c>
      <c r="D5" s="132" t="s">
        <v>1131</v>
      </c>
      <c r="E5" s="132" t="s">
        <v>48</v>
      </c>
      <c r="F5" s="132" t="s">
        <v>1132</v>
      </c>
      <c r="G5" s="132" t="s">
        <v>1133</v>
      </c>
      <c r="H5" s="132" t="s">
        <v>1134</v>
      </c>
      <c r="I5" s="132">
        <v>113948</v>
      </c>
      <c r="J5" s="132">
        <v>77017</v>
      </c>
      <c r="K5" s="132">
        <v>67.589600000000004</v>
      </c>
      <c r="L5" s="161" t="s">
        <v>1263</v>
      </c>
    </row>
    <row r="6" spans="2:12" ht="14.25">
      <c r="B6" s="132" t="s">
        <v>1135</v>
      </c>
      <c r="C6" s="132" t="s">
        <v>1136</v>
      </c>
      <c r="D6" s="132" t="s">
        <v>127</v>
      </c>
      <c r="E6" s="132" t="s">
        <v>51</v>
      </c>
      <c r="F6" s="132" t="s">
        <v>1137</v>
      </c>
      <c r="G6" s="132" t="s">
        <v>1128</v>
      </c>
      <c r="H6" s="132" t="s">
        <v>1134</v>
      </c>
      <c r="I6" s="132">
        <v>2138963</v>
      </c>
      <c r="J6" s="132">
        <v>29</v>
      </c>
      <c r="K6" s="132">
        <v>1.4E-3</v>
      </c>
      <c r="L6" s="160" t="s">
        <v>1251</v>
      </c>
    </row>
    <row r="7" spans="2:12" ht="14.25">
      <c r="B7" s="132" t="s">
        <v>1138</v>
      </c>
      <c r="C7" s="132" t="s">
        <v>1139</v>
      </c>
      <c r="D7" s="132" t="s">
        <v>127</v>
      </c>
      <c r="E7" s="132" t="s">
        <v>52</v>
      </c>
      <c r="F7" s="132" t="s">
        <v>1137</v>
      </c>
      <c r="G7" s="132" t="s">
        <v>1128</v>
      </c>
      <c r="H7" s="132" t="s">
        <v>1134</v>
      </c>
      <c r="I7" s="132">
        <v>2138963</v>
      </c>
      <c r="J7" s="132">
        <v>29</v>
      </c>
      <c r="K7" s="132">
        <v>1.4E-3</v>
      </c>
      <c r="L7" s="160" t="s">
        <v>1251</v>
      </c>
    </row>
    <row r="8" spans="2:12" ht="14.25">
      <c r="B8" s="132" t="s">
        <v>1140</v>
      </c>
      <c r="C8" s="132" t="s">
        <v>1141</v>
      </c>
      <c r="D8" s="132" t="s">
        <v>127</v>
      </c>
      <c r="E8" s="132" t="s">
        <v>53</v>
      </c>
      <c r="F8" s="132" t="s">
        <v>1137</v>
      </c>
      <c r="G8" s="132" t="s">
        <v>1128</v>
      </c>
      <c r="H8" s="132" t="s">
        <v>1134</v>
      </c>
      <c r="I8" s="132">
        <v>2138963</v>
      </c>
      <c r="J8" s="132">
        <v>36</v>
      </c>
      <c r="K8" s="132">
        <v>1.6999999999999999E-3</v>
      </c>
      <c r="L8" s="160" t="s">
        <v>1251</v>
      </c>
    </row>
    <row r="9" spans="2:12" ht="14.25">
      <c r="B9" s="132" t="s">
        <v>1143</v>
      </c>
      <c r="C9" s="132" t="s">
        <v>1144</v>
      </c>
      <c r="D9" s="132" t="s">
        <v>127</v>
      </c>
      <c r="E9" s="132" t="s">
        <v>54</v>
      </c>
      <c r="F9" s="132" t="s">
        <v>1137</v>
      </c>
      <c r="G9" s="132" t="s">
        <v>1128</v>
      </c>
      <c r="H9" s="132" t="s">
        <v>1134</v>
      </c>
      <c r="I9" s="132">
        <v>2138963</v>
      </c>
      <c r="J9" s="132">
        <v>36</v>
      </c>
      <c r="K9" s="132">
        <v>1.6999999999999999E-3</v>
      </c>
      <c r="L9" s="160" t="s">
        <v>1251</v>
      </c>
    </row>
    <row r="10" spans="2:12" ht="14.25">
      <c r="B10" s="132" t="s">
        <v>1240</v>
      </c>
      <c r="C10" s="132" t="s">
        <v>1201</v>
      </c>
      <c r="D10" s="132" t="s">
        <v>1142</v>
      </c>
      <c r="E10" s="132" t="s">
        <v>305</v>
      </c>
      <c r="F10" s="132" t="s">
        <v>1132</v>
      </c>
      <c r="G10" s="132" t="s">
        <v>1241</v>
      </c>
      <c r="H10" s="132" t="s">
        <v>1134</v>
      </c>
      <c r="I10" s="132">
        <v>113228</v>
      </c>
      <c r="J10" s="132">
        <v>16945</v>
      </c>
      <c r="K10" s="132">
        <v>14.965400000000001</v>
      </c>
      <c r="L10" s="160" t="s">
        <v>1257</v>
      </c>
    </row>
    <row r="11" spans="2:12" ht="14.25">
      <c r="B11" s="132" t="s">
        <v>1242</v>
      </c>
      <c r="C11" s="132" t="s">
        <v>1203</v>
      </c>
      <c r="D11" s="132" t="s">
        <v>1243</v>
      </c>
      <c r="E11" s="132" t="s">
        <v>305</v>
      </c>
      <c r="F11" s="132" t="s">
        <v>1132</v>
      </c>
      <c r="G11" s="132" t="s">
        <v>1241</v>
      </c>
      <c r="H11" s="132" t="s">
        <v>1134</v>
      </c>
      <c r="I11" s="132">
        <v>38</v>
      </c>
      <c r="J11" s="132">
        <v>1</v>
      </c>
      <c r="K11" s="132">
        <v>2.6316000000000002</v>
      </c>
      <c r="L11" s="160" t="s">
        <v>1252</v>
      </c>
    </row>
    <row r="12" spans="2:12" ht="14.25">
      <c r="B12" s="132" t="s">
        <v>1145</v>
      </c>
      <c r="C12" s="132" t="s">
        <v>1146</v>
      </c>
      <c r="D12" s="132" t="s">
        <v>1131</v>
      </c>
      <c r="E12" s="132" t="s">
        <v>44</v>
      </c>
      <c r="F12" s="132" t="s">
        <v>1132</v>
      </c>
      <c r="G12" s="132" t="s">
        <v>1133</v>
      </c>
      <c r="H12" s="132" t="s">
        <v>1134</v>
      </c>
      <c r="I12" s="132">
        <v>130343</v>
      </c>
      <c r="J12" s="132">
        <v>67</v>
      </c>
      <c r="K12" s="132">
        <v>5.1400000000000001E-2</v>
      </c>
      <c r="L12" s="160" t="s">
        <v>1253</v>
      </c>
    </row>
    <row r="13" spans="2:12" ht="14.25">
      <c r="B13" s="132" t="s">
        <v>1147</v>
      </c>
      <c r="C13" s="132" t="s">
        <v>1148</v>
      </c>
      <c r="D13" s="132" t="s">
        <v>1131</v>
      </c>
      <c r="E13" s="132" t="s">
        <v>44</v>
      </c>
      <c r="F13" s="132" t="s">
        <v>1132</v>
      </c>
      <c r="G13" s="132" t="s">
        <v>1133</v>
      </c>
      <c r="H13" s="132" t="s">
        <v>1134</v>
      </c>
      <c r="I13" s="132">
        <v>2008285</v>
      </c>
      <c r="J13" s="132">
        <v>51</v>
      </c>
      <c r="K13" s="132">
        <v>2.5000000000000001E-3</v>
      </c>
      <c r="L13" s="160" t="s">
        <v>1253</v>
      </c>
    </row>
    <row r="14" spans="2:12" ht="14.25">
      <c r="B14" s="132" t="s">
        <v>1149</v>
      </c>
      <c r="C14" s="132" t="s">
        <v>1150</v>
      </c>
      <c r="D14" s="132" t="s">
        <v>1142</v>
      </c>
      <c r="E14" s="132" t="s">
        <v>44</v>
      </c>
      <c r="F14" s="132" t="s">
        <v>1132</v>
      </c>
      <c r="G14" s="132" t="s">
        <v>1133</v>
      </c>
      <c r="H14" s="132" t="s">
        <v>1134</v>
      </c>
      <c r="I14" s="132">
        <v>16150</v>
      </c>
      <c r="J14" s="132">
        <v>1924</v>
      </c>
      <c r="K14" s="132">
        <v>11.9133</v>
      </c>
      <c r="L14" s="161" t="s">
        <v>1264</v>
      </c>
    </row>
    <row r="15" spans="2:12" ht="14.25">
      <c r="B15" s="132" t="s">
        <v>1152</v>
      </c>
      <c r="C15" s="132" t="s">
        <v>1153</v>
      </c>
      <c r="D15" s="132" t="s">
        <v>1151</v>
      </c>
      <c r="E15" s="132" t="s">
        <v>44</v>
      </c>
      <c r="F15" s="132" t="s">
        <v>1132</v>
      </c>
      <c r="G15" s="132" t="s">
        <v>1133</v>
      </c>
      <c r="H15" s="132" t="s">
        <v>1134</v>
      </c>
      <c r="I15" s="132">
        <v>1676415</v>
      </c>
      <c r="J15" s="132">
        <v>7</v>
      </c>
      <c r="K15" s="132">
        <v>4.0000000000000002E-4</v>
      </c>
      <c r="L15" s="160" t="s">
        <v>1254</v>
      </c>
    </row>
    <row r="16" spans="2:12" ht="14.25">
      <c r="B16" s="132" t="s">
        <v>1154</v>
      </c>
      <c r="C16" s="132" t="s">
        <v>1155</v>
      </c>
      <c r="D16" s="132" t="s">
        <v>1151</v>
      </c>
      <c r="E16" s="132" t="s">
        <v>46</v>
      </c>
      <c r="F16" s="132" t="s">
        <v>1132</v>
      </c>
      <c r="G16" s="132" t="s">
        <v>1133</v>
      </c>
      <c r="H16" s="132" t="s">
        <v>1134</v>
      </c>
      <c r="I16" s="132">
        <v>13</v>
      </c>
      <c r="J16" s="132">
        <v>3</v>
      </c>
      <c r="K16" s="132">
        <v>23.076899999999998</v>
      </c>
      <c r="L16" s="161" t="s">
        <v>1262</v>
      </c>
    </row>
    <row r="17" spans="2:12" ht="14.25">
      <c r="B17" s="132" t="s">
        <v>1248</v>
      </c>
      <c r="C17" s="132" t="s">
        <v>1249</v>
      </c>
      <c r="D17" s="132" t="s">
        <v>127</v>
      </c>
      <c r="E17" s="132" t="s">
        <v>430</v>
      </c>
      <c r="F17" s="132" t="s">
        <v>1127</v>
      </c>
      <c r="G17" s="132" t="s">
        <v>1128</v>
      </c>
      <c r="H17" s="132" t="s">
        <v>1134</v>
      </c>
      <c r="I17" s="132">
        <v>2138963</v>
      </c>
      <c r="J17" s="132">
        <v>26793</v>
      </c>
      <c r="K17" s="132">
        <v>1.2525999999999999</v>
      </c>
      <c r="L17" s="160" t="s">
        <v>1255</v>
      </c>
    </row>
    <row r="18" spans="2:12" ht="14.25">
      <c r="B18" s="132" t="s">
        <v>1246</v>
      </c>
      <c r="C18" s="132" t="s">
        <v>1247</v>
      </c>
      <c r="D18" s="132" t="s">
        <v>1131</v>
      </c>
      <c r="E18" s="132" t="s">
        <v>430</v>
      </c>
      <c r="F18" s="132" t="s">
        <v>1132</v>
      </c>
      <c r="G18" s="132" t="s">
        <v>1133</v>
      </c>
      <c r="H18" s="132" t="s">
        <v>1134</v>
      </c>
      <c r="I18" s="132">
        <v>1233119</v>
      </c>
      <c r="J18" s="132">
        <v>46553</v>
      </c>
      <c r="K18" s="132">
        <v>3.7751999999999999</v>
      </c>
      <c r="L18" s="160" t="s">
        <v>1251</v>
      </c>
    </row>
    <row r="19" spans="2:12" ht="14.25">
      <c r="B19" s="132" t="s">
        <v>1156</v>
      </c>
      <c r="C19" s="132" t="s">
        <v>1157</v>
      </c>
      <c r="D19" s="132" t="s">
        <v>1131</v>
      </c>
      <c r="E19" s="132" t="s">
        <v>45</v>
      </c>
      <c r="F19" s="132" t="s">
        <v>1132</v>
      </c>
      <c r="G19" s="132" t="s">
        <v>1133</v>
      </c>
      <c r="H19" s="132" t="s">
        <v>1134</v>
      </c>
      <c r="I19" s="132">
        <v>130343</v>
      </c>
      <c r="J19" s="132">
        <v>67</v>
      </c>
      <c r="K19" s="132">
        <v>5.1400000000000001E-2</v>
      </c>
      <c r="L19" s="160" t="s">
        <v>1253</v>
      </c>
    </row>
    <row r="20" spans="2:12" ht="14.25">
      <c r="B20" s="132" t="s">
        <v>1158</v>
      </c>
      <c r="C20" s="132" t="s">
        <v>1159</v>
      </c>
      <c r="D20" s="132" t="s">
        <v>1160</v>
      </c>
      <c r="E20" s="132" t="s">
        <v>45</v>
      </c>
      <c r="F20" s="132" t="s">
        <v>1132</v>
      </c>
      <c r="G20" s="132" t="s">
        <v>1133</v>
      </c>
      <c r="H20" s="132" t="s">
        <v>1134</v>
      </c>
      <c r="I20" s="132">
        <v>110</v>
      </c>
      <c r="J20" s="132">
        <v>12</v>
      </c>
      <c r="K20" s="132">
        <v>10.9091</v>
      </c>
      <c r="L20" s="161" t="s">
        <v>1265</v>
      </c>
    </row>
    <row r="21" spans="2:12" ht="14.25">
      <c r="B21" s="132" t="s">
        <v>1163</v>
      </c>
      <c r="C21" s="132" t="s">
        <v>1164</v>
      </c>
      <c r="D21" s="132" t="s">
        <v>1151</v>
      </c>
      <c r="E21" s="132" t="s">
        <v>45</v>
      </c>
      <c r="F21" s="132" t="s">
        <v>1132</v>
      </c>
      <c r="G21" s="132" t="s">
        <v>1133</v>
      </c>
      <c r="H21" s="132" t="s">
        <v>1134</v>
      </c>
      <c r="I21" s="132">
        <v>2008639</v>
      </c>
      <c r="J21" s="132">
        <v>3</v>
      </c>
      <c r="K21" s="132">
        <v>1E-4</v>
      </c>
      <c r="L21" s="159" t="s">
        <v>1256</v>
      </c>
    </row>
    <row r="22" spans="2:12" ht="14.25">
      <c r="B22" s="132" t="s">
        <v>1161</v>
      </c>
      <c r="C22" s="132" t="s">
        <v>1162</v>
      </c>
      <c r="D22" s="132" t="s">
        <v>1142</v>
      </c>
      <c r="E22" s="132" t="s">
        <v>45</v>
      </c>
      <c r="F22" s="132" t="s">
        <v>1132</v>
      </c>
      <c r="G22" s="132" t="s">
        <v>1133</v>
      </c>
      <c r="H22" s="132" t="s">
        <v>1134</v>
      </c>
      <c r="I22" s="132">
        <v>141060</v>
      </c>
      <c r="J22" s="132">
        <v>10733</v>
      </c>
      <c r="K22" s="132">
        <v>7.6087999999999996</v>
      </c>
      <c r="L22" s="160" t="s">
        <v>1261</v>
      </c>
    </row>
  </sheetData>
  <autoFilter ref="B3:L22" xr:uid="{FE6A7AD8-548F-46EB-9D95-57305968A545}"/>
  <conditionalFormatting sqref="H1:H1048576">
    <cfRule type="cellIs" dxfId="1" priority="1" operator="equal">
      <formula>"KO"</formula>
    </cfRule>
    <cfRule type="cellIs" dxfId="0" priority="2" operator="equal">
      <formula>"OK"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4A7EB3B-8041-4B1A-A0EE-31C21393D69B}"/>
</file>

<file path=customXml/itemProps2.xml><?xml version="1.0" encoding="utf-8"?>
<ds:datastoreItem xmlns:ds="http://schemas.openxmlformats.org/officeDocument/2006/customXml" ds:itemID="{13A9D5AD-5A66-43CE-BB4D-0F048F16D84B}">
  <ds:schemaRefs>
    <ds:schemaRef ds:uri="http://schemas.microsoft.com/sharepoint/v3/contenttype/forms"/>
  </ds:schemaRefs>
</ds:datastoreItem>
</file>

<file path=customXml/itemProps3.xml><?xml version="1.0" encoding="utf-8"?>
<ds:datastoreItem xmlns:ds="http://schemas.openxmlformats.org/officeDocument/2006/customXml" ds:itemID="{BD08B9EA-78A1-402B-9A17-848E2AB9FB5A}">
  <ds:schemaRefs>
    <ds:schemaRef ds:uri="http://www.w3.org/XML/1998/namespace"/>
    <ds:schemaRef ds:uri="http://schemas.microsoft.com/office/2006/documentManagement/types"/>
    <ds:schemaRef ds:uri="http://schemas.microsoft.com/sharepoint/v3"/>
    <ds:schemaRef ds:uri="a9b50dc7-8f72-473c-8b7e-4a8c46ecad32"/>
    <ds:schemaRef ds:uri="http://schemas.microsoft.com/office/infopath/2007/PartnerControls"/>
    <ds:schemaRef ds:uri="http://purl.org/dc/dcmitype/"/>
    <ds:schemaRef ds:uri="http://purl.org/dc/elements/1.1/"/>
    <ds:schemaRef ds:uri="http://schemas.openxmlformats.org/package/2006/metadata/core-properties"/>
    <ds:schemaRef ds:uri="7b1ec8e5-5652-48eb-8550-a56a35f5f817"/>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40</vt:i4>
      </vt:variant>
    </vt:vector>
  </HeadingPairs>
  <TitlesOfParts>
    <vt:vector size="51" baseType="lpstr">
      <vt:lpstr>Status</vt:lpstr>
      <vt:lpstr>PDS (old)</vt:lpstr>
      <vt:lpstr>Aux.</vt:lpstr>
      <vt:lpstr>PDS</vt:lpstr>
      <vt:lpstr>Detalhe</vt:lpstr>
      <vt:lpstr>Caderno Testes</vt:lpstr>
      <vt:lpstr>Campos IMP vs CNT</vt:lpstr>
      <vt:lpstr>Planeamento</vt:lpstr>
      <vt:lpstr>Status PM (Campos)</vt:lpstr>
      <vt:lpstr>PRO_LT_SCORECARD_FLEX_VALIDATIO</vt:lpstr>
      <vt:lpstr>Controlos Corporativos</vt:lpstr>
      <vt:lpstr>'Campos IMP vs CNT'!_Hlk71900621</vt:lpstr>
      <vt:lpstr>'Campos IMP vs CNT'!_Toc164082158</vt:lpstr>
      <vt:lpstr>'Campos IMP vs CNT'!_Toc164082286</vt:lpstr>
      <vt:lpstr>'Campos IMP vs CNT'!_Toc164082298</vt:lpstr>
      <vt:lpstr>'Campos IMP vs CNT'!_Toc164082299</vt:lpstr>
      <vt:lpstr>'Campos IMP vs CNT'!_Toc164082302</vt:lpstr>
      <vt:lpstr>'Campos IMP vs CNT'!_Toc164082303</vt:lpstr>
      <vt:lpstr>'Campos IMP vs CNT'!_Toc164082304</vt:lpstr>
      <vt:lpstr>'Campos IMP vs CNT'!_Toc164082314</vt:lpstr>
      <vt:lpstr>'Campos IMP vs CNT'!_Toc164082315</vt:lpstr>
      <vt:lpstr>'Campos IMP vs CNT'!_Toc164082316</vt:lpstr>
      <vt:lpstr>'Campos IMP vs CNT'!_Toc164082319</vt:lpstr>
      <vt:lpstr>'Campos IMP vs CNT'!_Toc164082330</vt:lpstr>
      <vt:lpstr>'Campos IMP vs CNT'!_Toc164082331</vt:lpstr>
      <vt:lpstr>'Campos IMP vs CNT'!_Toc164082332</vt:lpstr>
      <vt:lpstr>'Campos IMP vs CNT'!_Toc164082333</vt:lpstr>
      <vt:lpstr>'Campos IMP vs CNT'!_Toc164082334</vt:lpstr>
      <vt:lpstr>'Campos IMP vs CNT'!_Toc164082339</vt:lpstr>
      <vt:lpstr>'Campos IMP vs CNT'!_Toc164082348</vt:lpstr>
      <vt:lpstr>'Campos IMP vs CNT'!_Toc164082349</vt:lpstr>
      <vt:lpstr>'Campos IMP vs CNT'!_Toc164082351</vt:lpstr>
      <vt:lpstr>'Campos IMP vs CNT'!_Toc164082352</vt:lpstr>
      <vt:lpstr>'Campos IMP vs CNT'!_Toc164082353</vt:lpstr>
      <vt:lpstr>'Campos IMP vs CNT'!_Toc164082359</vt:lpstr>
      <vt:lpstr>'Campos IMP vs CNT'!_Toc164082360</vt:lpstr>
      <vt:lpstr>'Campos IMP vs CNT'!_Toc164082361</vt:lpstr>
      <vt:lpstr>'Campos IMP vs CNT'!_Toc164082362</vt:lpstr>
      <vt:lpstr>'Campos IMP vs CNT'!_Toc164082363</vt:lpstr>
      <vt:lpstr>'Campos IMP vs CNT'!_Toc164082366</vt:lpstr>
      <vt:lpstr>'Campos IMP vs CNT'!_Toc164082367</vt:lpstr>
      <vt:lpstr>'Campos IMP vs CNT'!_Toc164082368</vt:lpstr>
      <vt:lpstr>'Campos IMP vs CNT'!_Toc164082369</vt:lpstr>
      <vt:lpstr>'Campos IMP vs CNT'!_Toc164082370</vt:lpstr>
      <vt:lpstr>'Campos IMP vs CNT'!_Toc164082371</vt:lpstr>
      <vt:lpstr>'Campos IMP vs CNT'!_Toc164082372</vt:lpstr>
      <vt:lpstr>'Campos IMP vs CNT'!_Toc164082373</vt:lpstr>
      <vt:lpstr>'Campos IMP vs CNT'!_Toc164082374</vt:lpstr>
      <vt:lpstr>'Campos IMP vs CNT'!_Toc164082375</vt:lpstr>
      <vt:lpstr>'Campos IMP vs CNT'!_Toc164082382</vt:lpstr>
      <vt:lpstr>'Campos IMP vs CNT'!_Toc164082383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Cristiana Serafim Stephani</dc:creator>
  <cp:keywords/>
  <dc:description/>
  <cp:lastModifiedBy>Hélder Filipe Felicidade Fernandes</cp:lastModifiedBy>
  <cp:revision/>
  <dcterms:created xsi:type="dcterms:W3CDTF">2024-05-23T09:46:15Z</dcterms:created>
  <dcterms:modified xsi:type="dcterms:W3CDTF">2025-11-12T16:24:32Z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2024-05-23T13:22:07Z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31e3cbb2-9e6e-4b62-8d7d-92b28613781b</vt:lpwstr>
  </property>
  <property fmtid="{D5CDD505-2E9C-101B-9397-08002B2CF9AE}" pid="8" name="MSIP_Label_41b88ec2-a72b-4523-9e84-0458a1764731_ContentBits">
    <vt:lpwstr>0</vt:lpwstr>
  </property>
  <property fmtid="{D5CDD505-2E9C-101B-9397-08002B2CF9AE}" pid="9" name="ContentTypeId">
    <vt:lpwstr>0x0101001951051659CE89468EBDA2519EAB1C2D</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