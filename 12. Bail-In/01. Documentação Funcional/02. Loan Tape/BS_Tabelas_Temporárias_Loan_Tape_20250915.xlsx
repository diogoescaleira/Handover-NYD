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3. Loan Tape/01. Documentação Final/01. Loan Tape/02. Especificação/"/>
    </mc:Choice>
  </mc:AlternateContent>
  <xr:revisionPtr revIDLastSave="360" documentId="11_C08EEC06F6297BC7D13B3D67BDBE8023B47DFFCF" xr6:coauthVersionLast="47" xr6:coauthVersionMax="47" xr10:uidLastSave="{608F3967-1B94-4F3E-9398-B111F593A13A}"/>
  <bookViews>
    <workbookView xWindow="-120" yWindow="-120" windowWidth="29040" windowHeight="15720" firstSheet="7" activeTab="7" xr2:uid="{00000000-000D-0000-FFFF-FFFF00000000}"/>
  </bookViews>
  <sheets>
    <sheet name="Capa" sheetId="14" r:id="rId1"/>
    <sheet name="Índice" sheetId="5" r:id="rId2"/>
    <sheet name="Histórico de versões" sheetId="16" r:id="rId3"/>
    <sheet name="1. Transformações Capital" sheetId="18" r:id="rId4"/>
    <sheet name="Step1 TMP_BCE_LT_INSTR_CAP" sheetId="29" r:id="rId5"/>
    <sheet name="Step2 BCE_LT_INSTR_CAP" sheetId="31" r:id="rId6"/>
    <sheet name="2. Tabelas Temporárias MOYR" sheetId="17" state="hidden" r:id="rId7"/>
    <sheet name="2. Tabelas Temporárias MOYRnew" sheetId="23" r:id="rId8"/>
    <sheet name="3.BCE_LT_INSTR_MIS" sheetId="22" r:id="rId9"/>
    <sheet name="4.BCE_LT_LGL_PRCDNG_STTS" sheetId="40" r:id="rId10"/>
    <sheet name="5.BCE_LT_CLLCTN_MD" sheetId="25" r:id="rId11"/>
    <sheet name="6.BCE_LT_FNNCL_STTMTS" sheetId="27" r:id="rId12"/>
    <sheet name="7.BCE_LT_SPRT_STAGE" sheetId="41" r:id="rId13"/>
    <sheet name="8.BCE_LT_SPRT_PRFM" sheetId="33" r:id="rId14"/>
    <sheet name="9.BCE_LT_SPRT_DFLT" sheetId="34" r:id="rId15"/>
    <sheet name="10.BCE_LT_SPRT_CNSTRCTN_STTS" sheetId="35" r:id="rId16"/>
    <sheet name="11.BCE_LT_SPRT_FRBRNC" sheetId="44" r:id="rId17"/>
    <sheet name="11.BCE_LT_SPRT_FRBRNCold" sheetId="43" state="hidden" r:id="rId18"/>
    <sheet name="12.BCE_LT_SPRT_FRBRNC" sheetId="36" state="hidden" r:id="rId19"/>
    <sheet name="Exemplo" sheetId="37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" localSheetId="3" hidden="1">'[1]NJ-CA-MA-CT_jun06'!#REF!</definedName>
    <definedName name="__123Graph_A" localSheetId="15" hidden="1">'[1]NJ-CA-MA-CT_jun06'!#REF!</definedName>
    <definedName name="__123Graph_A" localSheetId="16" hidden="1">'[1]NJ-CA-MA-CT_jun06'!#REF!</definedName>
    <definedName name="__123Graph_A" localSheetId="17" hidden="1">'[1]NJ-CA-MA-CT_jun06'!#REF!</definedName>
    <definedName name="__123Graph_A" localSheetId="18" hidden="1">'[1]NJ-CA-MA-CT_jun06'!#REF!</definedName>
    <definedName name="__123Graph_A" localSheetId="6" hidden="1">'[1]NJ-CA-MA-CT_jun06'!#REF!</definedName>
    <definedName name="__123Graph_A" localSheetId="7" hidden="1">'[1]NJ-CA-MA-CT_jun06'!#REF!</definedName>
    <definedName name="__123Graph_A" localSheetId="8" hidden="1">'[2]NJ-CA-MA-CT_jun06'!#REF!</definedName>
    <definedName name="__123Graph_A" localSheetId="9" hidden="1">'[1]NJ-CA-MA-CT_jun06'!#REF!</definedName>
    <definedName name="__123Graph_A" localSheetId="10" hidden="1">'[2]NJ-CA-MA-CT_jun06'!#REF!</definedName>
    <definedName name="__123Graph_A" localSheetId="11" hidden="1">'[2]NJ-CA-MA-CT_jun06'!#REF!</definedName>
    <definedName name="__123Graph_A" localSheetId="12" hidden="1">'[1]NJ-CA-MA-CT_jun06'!#REF!</definedName>
    <definedName name="__123Graph_A" localSheetId="13" hidden="1">'[1]NJ-CA-MA-CT_jun06'!#REF!</definedName>
    <definedName name="__123Graph_A" localSheetId="14" hidden="1">'[1]NJ-CA-MA-CT_jun06'!#REF!</definedName>
    <definedName name="__123Graph_A" localSheetId="2" hidden="1">'[1]NJ-CA-MA-CT_jun06'!#REF!</definedName>
    <definedName name="__123Graph_A" localSheetId="1" hidden="1">'[1]NJ-CA-MA-CT_jun06'!#REF!</definedName>
    <definedName name="__123Graph_A" localSheetId="4" hidden="1">'[1]NJ-CA-MA-CT_jun06'!#REF!</definedName>
    <definedName name="__123Graph_A" localSheetId="5" hidden="1">'[1]NJ-CA-MA-CT_jun06'!#REF!</definedName>
    <definedName name="__123Graph_A" hidden="1">'[1]NJ-CA-MA-CT_jun06'!#REF!</definedName>
    <definedName name="__123Graph_B" localSheetId="3" hidden="1">'[1]NJ-CA-MA-CT_jun06'!#REF!</definedName>
    <definedName name="__123Graph_B" localSheetId="15" hidden="1">'[1]NJ-CA-MA-CT_jun06'!#REF!</definedName>
    <definedName name="__123Graph_B" localSheetId="16" hidden="1">'[1]NJ-CA-MA-CT_jun06'!#REF!</definedName>
    <definedName name="__123Graph_B" localSheetId="17" hidden="1">'[1]NJ-CA-MA-CT_jun06'!#REF!</definedName>
    <definedName name="__123Graph_B" localSheetId="18" hidden="1">'[1]NJ-CA-MA-CT_jun06'!#REF!</definedName>
    <definedName name="__123Graph_B" localSheetId="6" hidden="1">'[1]NJ-CA-MA-CT_jun06'!#REF!</definedName>
    <definedName name="__123Graph_B" localSheetId="7" hidden="1">'[1]NJ-CA-MA-CT_jun06'!#REF!</definedName>
    <definedName name="__123Graph_B" localSheetId="8" hidden="1">'[2]NJ-CA-MA-CT_jun06'!#REF!</definedName>
    <definedName name="__123Graph_B" localSheetId="9" hidden="1">'[1]NJ-CA-MA-CT_jun06'!#REF!</definedName>
    <definedName name="__123Graph_B" localSheetId="10" hidden="1">'[2]NJ-CA-MA-CT_jun06'!#REF!</definedName>
    <definedName name="__123Graph_B" localSheetId="11" hidden="1">'[2]NJ-CA-MA-CT_jun06'!#REF!</definedName>
    <definedName name="__123Graph_B" localSheetId="12" hidden="1">'[1]NJ-CA-MA-CT_jun06'!#REF!</definedName>
    <definedName name="__123Graph_B" localSheetId="13" hidden="1">'[1]NJ-CA-MA-CT_jun06'!#REF!</definedName>
    <definedName name="__123Graph_B" localSheetId="14" hidden="1">'[1]NJ-CA-MA-CT_jun06'!#REF!</definedName>
    <definedName name="__123Graph_B" localSheetId="2" hidden="1">'[1]NJ-CA-MA-CT_jun06'!#REF!</definedName>
    <definedName name="__123Graph_B" localSheetId="1" hidden="1">'[1]NJ-CA-MA-CT_jun06'!#REF!</definedName>
    <definedName name="__123Graph_B" localSheetId="4" hidden="1">'[1]NJ-CA-MA-CT_jun06'!#REF!</definedName>
    <definedName name="__123Graph_B" localSheetId="5" hidden="1">'[1]NJ-CA-MA-CT_jun06'!#REF!</definedName>
    <definedName name="__123Graph_B" hidden="1">'[1]NJ-CA-MA-CT_jun06'!#REF!</definedName>
    <definedName name="__123Graph_X" localSheetId="3" hidden="1">'[1]NJ-CA-MA-CT_jun06'!#REF!</definedName>
    <definedName name="__123Graph_X" localSheetId="15" hidden="1">'[1]NJ-CA-MA-CT_jun06'!#REF!</definedName>
    <definedName name="__123Graph_X" localSheetId="16" hidden="1">'[1]NJ-CA-MA-CT_jun06'!#REF!</definedName>
    <definedName name="__123Graph_X" localSheetId="17" hidden="1">'[1]NJ-CA-MA-CT_jun06'!#REF!</definedName>
    <definedName name="__123Graph_X" localSheetId="18" hidden="1">'[1]NJ-CA-MA-CT_jun06'!#REF!</definedName>
    <definedName name="__123Graph_X" localSheetId="6" hidden="1">'[1]NJ-CA-MA-CT_jun06'!#REF!</definedName>
    <definedName name="__123Graph_X" localSheetId="7" hidden="1">'[1]NJ-CA-MA-CT_jun06'!#REF!</definedName>
    <definedName name="__123Graph_X" localSheetId="8" hidden="1">'[2]NJ-CA-MA-CT_jun06'!#REF!</definedName>
    <definedName name="__123Graph_X" localSheetId="9" hidden="1">'[1]NJ-CA-MA-CT_jun06'!#REF!</definedName>
    <definedName name="__123Graph_X" localSheetId="10" hidden="1">'[2]NJ-CA-MA-CT_jun06'!#REF!</definedName>
    <definedName name="__123Graph_X" localSheetId="11" hidden="1">'[2]NJ-CA-MA-CT_jun06'!#REF!</definedName>
    <definedName name="__123Graph_X" localSheetId="12" hidden="1">'[1]NJ-CA-MA-CT_jun06'!#REF!</definedName>
    <definedName name="__123Graph_X" localSheetId="13" hidden="1">'[1]NJ-CA-MA-CT_jun06'!#REF!</definedName>
    <definedName name="__123Graph_X" localSheetId="14" hidden="1">'[1]NJ-CA-MA-CT_jun06'!#REF!</definedName>
    <definedName name="__123Graph_X" localSheetId="2" hidden="1">'[1]NJ-CA-MA-CT_jun06'!#REF!</definedName>
    <definedName name="__123Graph_X" localSheetId="1" hidden="1">'[1]NJ-CA-MA-CT_jun06'!#REF!</definedName>
    <definedName name="__123Graph_X" localSheetId="4" hidden="1">'[1]NJ-CA-MA-CT_jun06'!#REF!</definedName>
    <definedName name="__123Graph_X" localSheetId="5" hidden="1">'[1]NJ-CA-MA-CT_jun06'!#REF!</definedName>
    <definedName name="__123Graph_X" hidden="1">'[1]NJ-CA-MA-CT_jun06'!#REF!</definedName>
    <definedName name="_xlnm._FilterDatabase" localSheetId="6" hidden="1">'2. Tabelas Temporárias MOYR'!$B$15:$O$72</definedName>
    <definedName name="_xlnm._FilterDatabase" localSheetId="7" hidden="1">'2. Tabelas Temporárias MOYRnew'!$B$18:$N$81</definedName>
    <definedName name="_xlnm._FilterDatabase" localSheetId="8" hidden="1">'3.BCE_LT_INSTR_MIS'!$B$34:$Q$42</definedName>
    <definedName name="_xlnm._FilterDatabase" localSheetId="9" hidden="1">'4.BCE_LT_LGL_PRCDNG_STTS'!$B$16:$M$92</definedName>
    <definedName name="_xlnm._FilterDatabase" localSheetId="10" hidden="1">'5.BCE_LT_CLLCTN_MD'!#REF!</definedName>
    <definedName name="_xlnm._FilterDatabase" localSheetId="11" hidden="1">'6.BCE_LT_FNNCL_STTMTS'!$B$22:$O$27</definedName>
    <definedName name="_xlnm._FilterDatabase" localSheetId="2" hidden="1">'Histórico de versões'!$B$7:$D$9</definedName>
    <definedName name="_xlnm._FilterDatabase" localSheetId="1" hidden="1">Índice!$B$7:$C$9</definedName>
    <definedName name="_xlnm._FilterDatabase" localSheetId="4" hidden="1">'Step1 TMP_BCE_LT_INSTR_CAP'!$B$35:$R$62</definedName>
    <definedName name="_xlnm._FilterDatabase" localSheetId="5" hidden="1">'Step2 BCE_LT_INSTR_CAP'!$A$32:$U$32</definedName>
    <definedName name="a" localSheetId="3" hidden="1">'[1]NJ-CA-MA-CT_jun06'!#REF!</definedName>
    <definedName name="a" localSheetId="15" hidden="1">'[1]NJ-CA-MA-CT_jun06'!#REF!</definedName>
    <definedName name="a" localSheetId="16" hidden="1">'[1]NJ-CA-MA-CT_jun06'!#REF!</definedName>
    <definedName name="a" localSheetId="17" hidden="1">'[1]NJ-CA-MA-CT_jun06'!#REF!</definedName>
    <definedName name="a" localSheetId="18" hidden="1">'[1]NJ-CA-MA-CT_jun06'!#REF!</definedName>
    <definedName name="a" localSheetId="6" hidden="1">'[1]NJ-CA-MA-CT_jun06'!#REF!</definedName>
    <definedName name="a" localSheetId="7" hidden="1">'[1]NJ-CA-MA-CT_jun06'!#REF!</definedName>
    <definedName name="a" localSheetId="8" hidden="1">'[2]NJ-CA-MA-CT_jun06'!#REF!</definedName>
    <definedName name="a" localSheetId="9" hidden="1">'[1]NJ-CA-MA-CT_jun06'!#REF!</definedName>
    <definedName name="a" localSheetId="10" hidden="1">'[2]NJ-CA-MA-CT_jun06'!#REF!</definedName>
    <definedName name="a" localSheetId="11" hidden="1">'[2]NJ-CA-MA-CT_jun06'!#REF!</definedName>
    <definedName name="a" localSheetId="12" hidden="1">'[1]NJ-CA-MA-CT_jun06'!#REF!</definedName>
    <definedName name="a" localSheetId="13" hidden="1">'[1]NJ-CA-MA-CT_jun06'!#REF!</definedName>
    <definedName name="a" localSheetId="14" hidden="1">'[1]NJ-CA-MA-CT_jun06'!#REF!</definedName>
    <definedName name="a" localSheetId="2" hidden="1">'[1]NJ-CA-MA-CT_jun06'!#REF!</definedName>
    <definedName name="a" localSheetId="1" hidden="1">'[1]NJ-CA-MA-CT_jun06'!#REF!</definedName>
    <definedName name="a" localSheetId="4" hidden="1">'[1]NJ-CA-MA-CT_jun06'!#REF!</definedName>
    <definedName name="a" localSheetId="5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15" hidden="1">'10.BCE_LT_SPRT_CNSTRCTN_STTS'!#REF!</definedName>
    <definedName name="AS2TickmarkLS" localSheetId="16" hidden="1">'11.BCE_LT_SPRT_FRBRNC'!#REF!</definedName>
    <definedName name="AS2TickmarkLS" localSheetId="17" hidden="1">'11.BCE_LT_SPRT_FRBRNCold'!#REF!</definedName>
    <definedName name="AS2TickmarkLS" localSheetId="18" hidden="1">'12.BCE_LT_SPRT_FRBRNC'!#REF!</definedName>
    <definedName name="AS2TickmarkLS" localSheetId="6" hidden="1">#REF!</definedName>
    <definedName name="AS2TickmarkLS" localSheetId="7" hidden="1">#REF!</definedName>
    <definedName name="AS2TickmarkLS" localSheetId="9" hidden="1">#REF!</definedName>
    <definedName name="AS2TickmarkLS" localSheetId="12" hidden="1">'7.BCE_LT_SPRT_STAGE'!#REF!</definedName>
    <definedName name="AS2TickmarkLS" localSheetId="13" hidden="1">'8.BCE_LT_SPRT_PRFM'!#REF!</definedName>
    <definedName name="AS2TickmarkLS" localSheetId="14" hidden="1">'9.BCE_LT_SPRT_DFLT'!#REF!</definedName>
    <definedName name="AS2TickmarkLS" localSheetId="0" hidden="1">#REF!</definedName>
    <definedName name="AS2TickmarkLS" hidden="1">#REF!</definedName>
    <definedName name="AS2VersionLS" hidden="1">300</definedName>
    <definedName name="b" localSheetId="15" hidden="1">'[1]NJ-CA-MA-CT_jun06'!#REF!</definedName>
    <definedName name="b" localSheetId="16" hidden="1">'[1]NJ-CA-MA-CT_jun06'!#REF!</definedName>
    <definedName name="b" localSheetId="17" hidden="1">'[1]NJ-CA-MA-CT_jun06'!#REF!</definedName>
    <definedName name="b" localSheetId="18" hidden="1">'[1]NJ-CA-MA-CT_jun06'!#REF!</definedName>
    <definedName name="b" localSheetId="6" hidden="1">'[1]NJ-CA-MA-CT_jun06'!#REF!</definedName>
    <definedName name="b" localSheetId="7" hidden="1">'[1]NJ-CA-MA-CT_jun06'!#REF!</definedName>
    <definedName name="b" localSheetId="8" hidden="1">'[2]NJ-CA-MA-CT_jun06'!#REF!</definedName>
    <definedName name="b" localSheetId="9" hidden="1">'[1]NJ-CA-MA-CT_jun06'!#REF!</definedName>
    <definedName name="b" localSheetId="10" hidden="1">'[2]NJ-CA-MA-CT_jun06'!#REF!</definedName>
    <definedName name="b" localSheetId="11" hidden="1">'[2]NJ-CA-MA-CT_jun06'!#REF!</definedName>
    <definedName name="b" localSheetId="12" hidden="1">'[1]NJ-CA-MA-CT_jun06'!#REF!</definedName>
    <definedName name="b" localSheetId="13" hidden="1">'[1]NJ-CA-MA-CT_jun06'!#REF!</definedName>
    <definedName name="b" localSheetId="14" hidden="1">'[1]NJ-CA-MA-CT_jun06'!#REF!</definedName>
    <definedName name="b" localSheetId="0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15" hidden="1">'[3]Carteira de Títulos'!#REF!</definedName>
    <definedName name="efdsafavc" localSheetId="16" hidden="1">'[3]Carteira de Títulos'!#REF!</definedName>
    <definedName name="efdsafavc" localSheetId="17" hidden="1">'[3]Carteira de Títulos'!#REF!</definedName>
    <definedName name="efdsafavc" localSheetId="18" hidden="1">'[3]Carteira de Títulos'!#REF!</definedName>
    <definedName name="efdsafavc" localSheetId="6" hidden="1">'[3]Carteira de Títulos'!#REF!</definedName>
    <definedName name="efdsafavc" localSheetId="7" hidden="1">'[3]Carteira de Títulos'!#REF!</definedName>
    <definedName name="efdsafavc" localSheetId="9" hidden="1">'[3]Carteira de Títulos'!#REF!</definedName>
    <definedName name="efdsafavc" localSheetId="12" hidden="1">'[3]Carteira de Títulos'!#REF!</definedName>
    <definedName name="efdsafavc" localSheetId="13" hidden="1">'[3]Carteira de Títulos'!#REF!</definedName>
    <definedName name="efdsafavc" localSheetId="14" hidden="1">'[3]Carteira de Títulos'!#REF!</definedName>
    <definedName name="efdsafavc" localSheetId="0" hidden="1">'[3]Carteira de Títulos'!#REF!</definedName>
    <definedName name="efdsafavc" hidden="1">'[3]Carteira de Títulos'!#REF!</definedName>
    <definedName name="Estados">[4]!Table7[Estados]</definedName>
    <definedName name="nm" localSheetId="3" hidden="1">'[5]Carteira 21'!#REF!</definedName>
    <definedName name="nm" localSheetId="15" hidden="1">'[5]Carteira 21'!#REF!</definedName>
    <definedName name="nm" localSheetId="16" hidden="1">'[5]Carteira 21'!#REF!</definedName>
    <definedName name="nm" localSheetId="17" hidden="1">'[5]Carteira 21'!#REF!</definedName>
    <definedName name="nm" localSheetId="18" hidden="1">'[5]Carteira 21'!#REF!</definedName>
    <definedName name="nm" localSheetId="6" hidden="1">'[5]Carteira 21'!#REF!</definedName>
    <definedName name="nm" localSheetId="7" hidden="1">'[5]Carteira 21'!#REF!</definedName>
    <definedName name="nm" localSheetId="8" hidden="1">'[6]Carteira 21'!#REF!</definedName>
    <definedName name="nm" localSheetId="9" hidden="1">'[5]Carteira 21'!#REF!</definedName>
    <definedName name="nm" localSheetId="10" hidden="1">'[6]Carteira 21'!#REF!</definedName>
    <definedName name="nm" localSheetId="11" hidden="1">'[6]Carteira 21'!#REF!</definedName>
    <definedName name="nm" localSheetId="12" hidden="1">'[5]Carteira 21'!#REF!</definedName>
    <definedName name="nm" localSheetId="13" hidden="1">'[5]Carteira 21'!#REF!</definedName>
    <definedName name="nm" localSheetId="14" hidden="1">'[5]Carteira 21'!#REF!</definedName>
    <definedName name="nm" localSheetId="0" hidden="1">'[5]Carteira 21'!#REF!</definedName>
    <definedName name="nm" localSheetId="2" hidden="1">'[5]Carteira 21'!#REF!</definedName>
    <definedName name="nm" localSheetId="1" hidden="1">'[5]Carteira 21'!#REF!</definedName>
    <definedName name="nm" localSheetId="4" hidden="1">'[5]Carteira 21'!#REF!</definedName>
    <definedName name="nm" localSheetId="5" hidden="1">'[5]Carteira 21'!#REF!</definedName>
    <definedName name="nm" hidden="1">'[5]Carteira 21'!#REF!</definedName>
    <definedName name="Pendências" localSheetId="15">[7]!Table6[Pendências]</definedName>
    <definedName name="Pendências" localSheetId="16">[7]!Table6[Pendências]</definedName>
    <definedName name="Pendências" localSheetId="17">[7]!Table6[Pendências]</definedName>
    <definedName name="Pendências" localSheetId="18">[7]!Table6[Pendências]</definedName>
    <definedName name="Pendências" localSheetId="6">[7]!Table6[Pendências]</definedName>
    <definedName name="Pendências" localSheetId="12">[7]!Table6[Pendências]</definedName>
    <definedName name="Pendências" localSheetId="13">[7]!Table6[Pendências]</definedName>
    <definedName name="Pendências" localSheetId="14">[7]!Table6[Pendências]</definedName>
    <definedName name="Pendências">[7]!Table6[Pendências]</definedName>
    <definedName name="XREF_COLUMN_1" localSheetId="3" hidden="1">'[8]Carteira 20'!#REF!</definedName>
    <definedName name="XREF_COLUMN_1" localSheetId="15" hidden="1">'[8]Carteira 20'!#REF!</definedName>
    <definedName name="XREF_COLUMN_1" localSheetId="16" hidden="1">'[8]Carteira 20'!#REF!</definedName>
    <definedName name="XREF_COLUMN_1" localSheetId="17" hidden="1">'[8]Carteira 20'!#REF!</definedName>
    <definedName name="XREF_COLUMN_1" localSheetId="18" hidden="1">'[8]Carteira 20'!#REF!</definedName>
    <definedName name="XREF_COLUMN_1" localSheetId="6" hidden="1">'[8]Carteira 20'!#REF!</definedName>
    <definedName name="XREF_COLUMN_1" localSheetId="7" hidden="1">'[8]Carteira 20'!#REF!</definedName>
    <definedName name="XREF_COLUMN_1" localSheetId="8" hidden="1">'[8]Carteira 20'!#REF!</definedName>
    <definedName name="XREF_COLUMN_1" localSheetId="9" hidden="1">'[8]Carteira 20'!#REF!</definedName>
    <definedName name="XREF_COLUMN_1" localSheetId="10" hidden="1">'[8]Carteira 20'!#REF!</definedName>
    <definedName name="XREF_COLUMN_1" localSheetId="11" hidden="1">'[8]Carteira 20'!#REF!</definedName>
    <definedName name="XREF_COLUMN_1" localSheetId="12" hidden="1">'[8]Carteira 20'!#REF!</definedName>
    <definedName name="XREF_COLUMN_1" localSheetId="13" hidden="1">'[8]Carteira 20'!#REF!</definedName>
    <definedName name="XREF_COLUMN_1" localSheetId="14" hidden="1">'[8]Carteira 20'!#REF!</definedName>
    <definedName name="XREF_COLUMN_1" localSheetId="0" hidden="1">'[8]Carteira 20'!#REF!</definedName>
    <definedName name="XREF_COLUMN_1" localSheetId="2" hidden="1">'[8]Carteira 20'!#REF!</definedName>
    <definedName name="XREF_COLUMN_1" localSheetId="1" hidden="1">'[8]Carteira 20'!#REF!</definedName>
    <definedName name="XREF_COLUMN_1" localSheetId="4" hidden="1">'[8]Carteira 20'!#REF!</definedName>
    <definedName name="XREF_COLUMN_1" localSheetId="5" hidden="1">'[8]Carteira 20'!#REF!</definedName>
    <definedName name="XREF_COLUMN_1" hidden="1">'[8]Carteira 20'!#REF!</definedName>
    <definedName name="XREF_COLUMN_2" localSheetId="3" hidden="1">'[5]Carteira 21'!#REF!</definedName>
    <definedName name="XREF_COLUMN_2" localSheetId="15" hidden="1">'[5]Carteira 21'!#REF!</definedName>
    <definedName name="XREF_COLUMN_2" localSheetId="16" hidden="1">'[5]Carteira 21'!#REF!</definedName>
    <definedName name="XREF_COLUMN_2" localSheetId="17" hidden="1">'[5]Carteira 21'!#REF!</definedName>
    <definedName name="XREF_COLUMN_2" localSheetId="18" hidden="1">'[5]Carteira 21'!#REF!</definedName>
    <definedName name="XREF_COLUMN_2" localSheetId="6" hidden="1">'[5]Carteira 21'!#REF!</definedName>
    <definedName name="XREF_COLUMN_2" localSheetId="7" hidden="1">'[5]Carteira 21'!#REF!</definedName>
    <definedName name="XREF_COLUMN_2" localSheetId="8" hidden="1">'[6]Carteira 21'!#REF!</definedName>
    <definedName name="XREF_COLUMN_2" localSheetId="9" hidden="1">'[5]Carteira 21'!#REF!</definedName>
    <definedName name="XREF_COLUMN_2" localSheetId="10" hidden="1">'[6]Carteira 21'!#REF!</definedName>
    <definedName name="XREF_COLUMN_2" localSheetId="11" hidden="1">'[6]Carteira 21'!#REF!</definedName>
    <definedName name="XREF_COLUMN_2" localSheetId="12" hidden="1">'[5]Carteira 21'!#REF!</definedName>
    <definedName name="XREF_COLUMN_2" localSheetId="13" hidden="1">'[5]Carteira 21'!#REF!</definedName>
    <definedName name="XREF_COLUMN_2" localSheetId="14" hidden="1">'[5]Carteira 21'!#REF!</definedName>
    <definedName name="XREF_COLUMN_2" localSheetId="0" hidden="1">'[5]Carteira 21'!#REF!</definedName>
    <definedName name="XREF_COLUMN_2" localSheetId="2" hidden="1">'[5]Carteira 21'!#REF!</definedName>
    <definedName name="XREF_COLUMN_2" localSheetId="1" hidden="1">'[5]Carteira 21'!#REF!</definedName>
    <definedName name="XREF_COLUMN_2" localSheetId="4" hidden="1">'[5]Carteira 21'!#REF!</definedName>
    <definedName name="XREF_COLUMN_2" localSheetId="5" hidden="1">'[5]Carteira 21'!#REF!</definedName>
    <definedName name="XREF_COLUMN_2" hidden="1">'[5]Carteira 21'!#REF!</definedName>
    <definedName name="XREF_COLUMN_3" localSheetId="3" hidden="1">'[5]Carteira 21'!#REF!</definedName>
    <definedName name="XREF_COLUMN_3" localSheetId="15" hidden="1">'[5]Carteira 21'!#REF!</definedName>
    <definedName name="XREF_COLUMN_3" localSheetId="16" hidden="1">'[5]Carteira 21'!#REF!</definedName>
    <definedName name="XREF_COLUMN_3" localSheetId="17" hidden="1">'[5]Carteira 21'!#REF!</definedName>
    <definedName name="XREF_COLUMN_3" localSheetId="18" hidden="1">'[5]Carteira 21'!#REF!</definedName>
    <definedName name="XREF_COLUMN_3" localSheetId="6" hidden="1">'[5]Carteira 21'!#REF!</definedName>
    <definedName name="XREF_COLUMN_3" localSheetId="7" hidden="1">'[5]Carteira 21'!#REF!</definedName>
    <definedName name="XREF_COLUMN_3" localSheetId="8" hidden="1">'[6]Carteira 21'!#REF!</definedName>
    <definedName name="XREF_COLUMN_3" localSheetId="9" hidden="1">'[5]Carteira 21'!#REF!</definedName>
    <definedName name="XREF_COLUMN_3" localSheetId="10" hidden="1">'[6]Carteira 21'!#REF!</definedName>
    <definedName name="XREF_COLUMN_3" localSheetId="11" hidden="1">'[6]Carteira 21'!#REF!</definedName>
    <definedName name="XREF_COLUMN_3" localSheetId="12" hidden="1">'[5]Carteira 21'!#REF!</definedName>
    <definedName name="XREF_COLUMN_3" localSheetId="13" hidden="1">'[5]Carteira 21'!#REF!</definedName>
    <definedName name="XREF_COLUMN_3" localSheetId="14" hidden="1">'[5]Carteira 21'!#REF!</definedName>
    <definedName name="XREF_COLUMN_3" localSheetId="0" hidden="1">'[5]Carteira 21'!#REF!</definedName>
    <definedName name="XREF_COLUMN_3" localSheetId="2" hidden="1">'[5]Carteira 21'!#REF!</definedName>
    <definedName name="XREF_COLUMN_3" localSheetId="1" hidden="1">'[5]Carteira 21'!#REF!</definedName>
    <definedName name="XREF_COLUMN_3" localSheetId="4" hidden="1">'[5]Carteira 21'!#REF!</definedName>
    <definedName name="XREF_COLUMN_3" localSheetId="5" hidden="1">'[5]Carteira 21'!#REF!</definedName>
    <definedName name="XREF_COLUMN_3" hidden="1">'[5]Carteira 21'!#REF!</definedName>
    <definedName name="XREF_COLUMN_4" localSheetId="3" hidden="1">'[3]Carteira de Títulos'!#REF!</definedName>
    <definedName name="XREF_COLUMN_4" localSheetId="15" hidden="1">'[3]Carteira de Títulos'!#REF!</definedName>
    <definedName name="XREF_COLUMN_4" localSheetId="16" hidden="1">'[3]Carteira de Títulos'!#REF!</definedName>
    <definedName name="XREF_COLUMN_4" localSheetId="17" hidden="1">'[3]Carteira de Títulos'!#REF!</definedName>
    <definedName name="XREF_COLUMN_4" localSheetId="18" hidden="1">'[3]Carteira de Títulos'!#REF!</definedName>
    <definedName name="XREF_COLUMN_4" localSheetId="6" hidden="1">'[3]Carteira de Títulos'!#REF!</definedName>
    <definedName name="XREF_COLUMN_4" localSheetId="7" hidden="1">'[3]Carteira de Títulos'!#REF!</definedName>
    <definedName name="XREF_COLUMN_4" localSheetId="8" hidden="1">'[3]Carteira de Títulos'!#REF!</definedName>
    <definedName name="XREF_COLUMN_4" localSheetId="9" hidden="1">'[3]Carteira de Títulos'!#REF!</definedName>
    <definedName name="XREF_COLUMN_4" localSheetId="10" hidden="1">'[3]Carteira de Títulos'!#REF!</definedName>
    <definedName name="XREF_COLUMN_4" localSheetId="11" hidden="1">'[3]Carteira de Títulos'!#REF!</definedName>
    <definedName name="XREF_COLUMN_4" localSheetId="12" hidden="1">'[3]Carteira de Títulos'!#REF!</definedName>
    <definedName name="XREF_COLUMN_4" localSheetId="13" hidden="1">'[3]Carteira de Títulos'!#REF!</definedName>
    <definedName name="XREF_COLUMN_4" localSheetId="14" hidden="1">'[3]Carteira de Títulos'!#REF!</definedName>
    <definedName name="XREF_COLUMN_4" localSheetId="0" hidden="1">'[3]Carteira de Títulos'!#REF!</definedName>
    <definedName name="XREF_COLUMN_4" localSheetId="2" hidden="1">'[3]Carteira de Títulos'!#REF!</definedName>
    <definedName name="XREF_COLUMN_4" localSheetId="1" hidden="1">'[3]Carteira de Títulos'!#REF!</definedName>
    <definedName name="XREF_COLUMN_4" localSheetId="4" hidden="1">'[3]Carteira de Títulos'!#REF!</definedName>
    <definedName name="XREF_COLUMN_4" localSheetId="5" hidden="1">'[3]Carteira de Títulos'!#REF!</definedName>
    <definedName name="XREF_COLUMN_4" hidden="1">'[3]Carteira de Títulos'!#REF!</definedName>
    <definedName name="XREF_COLUMN_5" localSheetId="3" hidden="1">'[3]Carteira de Títulos'!#REF!</definedName>
    <definedName name="XREF_COLUMN_5" localSheetId="15" hidden="1">'[3]Carteira de Títulos'!#REF!</definedName>
    <definedName name="XREF_COLUMN_5" localSheetId="16" hidden="1">'[3]Carteira de Títulos'!#REF!</definedName>
    <definedName name="XREF_COLUMN_5" localSheetId="17" hidden="1">'[3]Carteira de Títulos'!#REF!</definedName>
    <definedName name="XREF_COLUMN_5" localSheetId="18" hidden="1">'[3]Carteira de Títulos'!#REF!</definedName>
    <definedName name="XREF_COLUMN_5" localSheetId="6" hidden="1">'[3]Carteira de Títulos'!#REF!</definedName>
    <definedName name="XREF_COLUMN_5" localSheetId="7" hidden="1">'[3]Carteira de Títulos'!#REF!</definedName>
    <definedName name="XREF_COLUMN_5" localSheetId="8" hidden="1">'[3]Carteira de Títulos'!#REF!</definedName>
    <definedName name="XREF_COLUMN_5" localSheetId="9" hidden="1">'[3]Carteira de Títulos'!#REF!</definedName>
    <definedName name="XREF_COLUMN_5" localSheetId="10" hidden="1">'[3]Carteira de Títulos'!#REF!</definedName>
    <definedName name="XREF_COLUMN_5" localSheetId="11" hidden="1">'[3]Carteira de Títulos'!#REF!</definedName>
    <definedName name="XREF_COLUMN_5" localSheetId="12" hidden="1">'[3]Carteira de Títulos'!#REF!</definedName>
    <definedName name="XREF_COLUMN_5" localSheetId="13" hidden="1">'[3]Carteira de Títulos'!#REF!</definedName>
    <definedName name="XREF_COLUMN_5" localSheetId="14" hidden="1">'[3]Carteira de Títulos'!#REF!</definedName>
    <definedName name="XREF_COLUMN_5" localSheetId="0" hidden="1">'[3]Carteira de Títulos'!#REF!</definedName>
    <definedName name="XREF_COLUMN_5" localSheetId="2" hidden="1">'[3]Carteira de Títulos'!#REF!</definedName>
    <definedName name="XREF_COLUMN_5" localSheetId="1" hidden="1">'[3]Carteira de Títulos'!#REF!</definedName>
    <definedName name="XREF_COLUMN_5" localSheetId="4" hidden="1">'[3]Carteira de Títulos'!#REF!</definedName>
    <definedName name="XREF_COLUMN_5" localSheetId="5" hidden="1">'[3]Carteira de Títulos'!#REF!</definedName>
    <definedName name="XREF_COLUMN_5" hidden="1">'[3]Carteira de Títulos'!#REF!</definedName>
    <definedName name="XREF_COLUMN_7" localSheetId="15" hidden="1">'[5]Carteira 21'!#REF!</definedName>
    <definedName name="XREF_COLUMN_7" localSheetId="16" hidden="1">'[5]Carteira 21'!#REF!</definedName>
    <definedName name="XREF_COLUMN_7" localSheetId="17" hidden="1">'[5]Carteira 21'!#REF!</definedName>
    <definedName name="XREF_COLUMN_7" localSheetId="18" hidden="1">'[5]Carteira 21'!#REF!</definedName>
    <definedName name="XREF_COLUMN_7" localSheetId="6" hidden="1">'[5]Carteira 21'!#REF!</definedName>
    <definedName name="XREF_COLUMN_7" localSheetId="7" hidden="1">'[5]Carteira 21'!#REF!</definedName>
    <definedName name="XREF_COLUMN_7" localSheetId="8" hidden="1">'[6]Carteira 21'!#REF!</definedName>
    <definedName name="XREF_COLUMN_7" localSheetId="9" hidden="1">'[5]Carteira 21'!#REF!</definedName>
    <definedName name="XREF_COLUMN_7" localSheetId="10" hidden="1">'[6]Carteira 21'!#REF!</definedName>
    <definedName name="XREF_COLUMN_7" localSheetId="11" hidden="1">'[6]Carteira 21'!#REF!</definedName>
    <definedName name="XREF_COLUMN_7" localSheetId="12" hidden="1">'[5]Carteira 21'!#REF!</definedName>
    <definedName name="XREF_COLUMN_7" localSheetId="13" hidden="1">'[5]Carteira 21'!#REF!</definedName>
    <definedName name="XREF_COLUMN_7" localSheetId="14" hidden="1">'[5]Carteira 21'!#REF!</definedName>
    <definedName name="XREF_COLUMN_7" localSheetId="0" hidden="1">'[5]Carteira 21'!#REF!</definedName>
    <definedName name="XREF_COLUMN_7" localSheetId="2" hidden="1">'[5]Carteira 21'!#REF!</definedName>
    <definedName name="XREF_COLUMN_7" localSheetId="1" hidden="1">'[5]Carteira 21'!#REF!</definedName>
    <definedName name="XREF_COLUMN_7" localSheetId="4" hidden="1">'[5]Carteira 21'!#REF!</definedName>
    <definedName name="XREF_COLUMN_7" localSheetId="5" hidden="1">'[5]Carteira 21'!#REF!</definedName>
    <definedName name="XREF_COLUMN_7" hidden="1">'[5]Carteira 21'!#REF!</definedName>
    <definedName name="XRefColumnsCount" hidden="1">6</definedName>
    <definedName name="XRefCopy1" localSheetId="15" hidden="1">'[5]Carteira 21'!#REF!</definedName>
    <definedName name="XRefCopy1" localSheetId="16" hidden="1">'[5]Carteira 21'!#REF!</definedName>
    <definedName name="XRefCopy1" localSheetId="17" hidden="1">'[5]Carteira 21'!#REF!</definedName>
    <definedName name="XRefCopy1" localSheetId="18" hidden="1">'[5]Carteira 21'!#REF!</definedName>
    <definedName name="XRefCopy1" localSheetId="6" hidden="1">'[5]Carteira 21'!#REF!</definedName>
    <definedName name="XRefCopy1" localSheetId="7" hidden="1">'[5]Carteira 21'!#REF!</definedName>
    <definedName name="XRefCopy1" localSheetId="8" hidden="1">'[6]Carteira 21'!#REF!</definedName>
    <definedName name="XRefCopy1" localSheetId="9" hidden="1">'[5]Carteira 21'!#REF!</definedName>
    <definedName name="XRefCopy1" localSheetId="10" hidden="1">'[6]Carteira 21'!#REF!</definedName>
    <definedName name="XRefCopy1" localSheetId="11" hidden="1">'[6]Carteira 21'!#REF!</definedName>
    <definedName name="XRefCopy1" localSheetId="12" hidden="1">'[5]Carteira 21'!#REF!</definedName>
    <definedName name="XRefCopy1" localSheetId="13" hidden="1">'[5]Carteira 21'!#REF!</definedName>
    <definedName name="XRefCopy1" localSheetId="14" hidden="1">'[5]Carteira 21'!#REF!</definedName>
    <definedName name="XRefCopy1" localSheetId="0" hidden="1">'[5]Carteira 21'!#REF!</definedName>
    <definedName name="XRefCopy1" localSheetId="2" hidden="1">'[5]Carteira 21'!#REF!</definedName>
    <definedName name="XRefCopy1" localSheetId="1" hidden="1">'[5]Carteira 21'!#REF!</definedName>
    <definedName name="XRefCopy1" localSheetId="4" hidden="1">'[5]Carteira 21'!#REF!</definedName>
    <definedName name="XRefCopy1" localSheetId="5" hidden="1">'[5]Carteira 21'!#REF!</definedName>
    <definedName name="XRefCopy1" hidden="1">'[5]Carteira 21'!#REF!</definedName>
    <definedName name="XRefCopy10" localSheetId="15" hidden="1">'[5]Carteira 21'!#REF!</definedName>
    <definedName name="XRefCopy10" localSheetId="16" hidden="1">'[5]Carteira 21'!#REF!</definedName>
    <definedName name="XRefCopy10" localSheetId="17" hidden="1">'[5]Carteira 21'!#REF!</definedName>
    <definedName name="XRefCopy10" localSheetId="18" hidden="1">'[5]Carteira 21'!#REF!</definedName>
    <definedName name="XRefCopy10" localSheetId="6" hidden="1">'[5]Carteira 21'!#REF!</definedName>
    <definedName name="XRefCopy10" localSheetId="7" hidden="1">'[5]Carteira 21'!#REF!</definedName>
    <definedName name="XRefCopy10" localSheetId="8" hidden="1">'[6]Carteira 21'!#REF!</definedName>
    <definedName name="XRefCopy10" localSheetId="9" hidden="1">'[5]Carteira 21'!#REF!</definedName>
    <definedName name="XRefCopy10" localSheetId="10" hidden="1">'[6]Carteira 21'!#REF!</definedName>
    <definedName name="XRefCopy10" localSheetId="11" hidden="1">'[6]Carteira 21'!#REF!</definedName>
    <definedName name="XRefCopy10" localSheetId="12" hidden="1">'[5]Carteira 21'!#REF!</definedName>
    <definedName name="XRefCopy10" localSheetId="13" hidden="1">'[5]Carteira 21'!#REF!</definedName>
    <definedName name="XRefCopy10" localSheetId="14" hidden="1">'[5]Carteira 21'!#REF!</definedName>
    <definedName name="XRefCopy10" localSheetId="0" hidden="1">'[5]Carteira 21'!#REF!</definedName>
    <definedName name="XRefCopy10" localSheetId="2" hidden="1">'[5]Carteira 21'!#REF!</definedName>
    <definedName name="XRefCopy10" localSheetId="1" hidden="1">'[5]Carteira 21'!#REF!</definedName>
    <definedName name="XRefCopy10" localSheetId="4" hidden="1">'[5]Carteira 21'!#REF!</definedName>
    <definedName name="XRefCopy10" localSheetId="5" hidden="1">'[5]Carteira 21'!#REF!</definedName>
    <definedName name="XRefCopy10" hidden="1">'[5]Carteira 21'!#REF!</definedName>
    <definedName name="XRefCopy11" localSheetId="15" hidden="1">'[5]Carteira 21'!#REF!</definedName>
    <definedName name="XRefCopy11" localSheetId="16" hidden="1">'[5]Carteira 21'!#REF!</definedName>
    <definedName name="XRefCopy11" localSheetId="17" hidden="1">'[5]Carteira 21'!#REF!</definedName>
    <definedName name="XRefCopy11" localSheetId="18" hidden="1">'[5]Carteira 21'!#REF!</definedName>
    <definedName name="XRefCopy11" localSheetId="6" hidden="1">'[5]Carteira 21'!#REF!</definedName>
    <definedName name="XRefCopy11" localSheetId="7" hidden="1">'[5]Carteira 21'!#REF!</definedName>
    <definedName name="XRefCopy11" localSheetId="8" hidden="1">'[6]Carteira 21'!#REF!</definedName>
    <definedName name="XRefCopy11" localSheetId="9" hidden="1">'[5]Carteira 21'!#REF!</definedName>
    <definedName name="XRefCopy11" localSheetId="10" hidden="1">'[6]Carteira 21'!#REF!</definedName>
    <definedName name="XRefCopy11" localSheetId="11" hidden="1">'[6]Carteira 21'!#REF!</definedName>
    <definedName name="XRefCopy11" localSheetId="12" hidden="1">'[5]Carteira 21'!#REF!</definedName>
    <definedName name="XRefCopy11" localSheetId="13" hidden="1">'[5]Carteira 21'!#REF!</definedName>
    <definedName name="XRefCopy11" localSheetId="14" hidden="1">'[5]Carteira 21'!#REF!</definedName>
    <definedName name="XRefCopy11" localSheetId="0" hidden="1">'[5]Carteira 21'!#REF!</definedName>
    <definedName name="XRefCopy11" localSheetId="2" hidden="1">'[5]Carteira 21'!#REF!</definedName>
    <definedName name="XRefCopy11" localSheetId="1" hidden="1">'[5]Carteira 21'!#REF!</definedName>
    <definedName name="XRefCopy11" localSheetId="4" hidden="1">'[5]Carteira 21'!#REF!</definedName>
    <definedName name="XRefCopy11" localSheetId="5" hidden="1">'[5]Carteira 21'!#REF!</definedName>
    <definedName name="XRefCopy11" hidden="1">'[5]Carteira 21'!#REF!</definedName>
    <definedName name="XRefCopy11Row" localSheetId="3" hidden="1">#REF!</definedName>
    <definedName name="XRefCopy11Row" localSheetId="15" hidden="1">'10.BCE_LT_SPRT_CNSTRCTN_STTS'!#REF!</definedName>
    <definedName name="XRefCopy11Row" localSheetId="16" hidden="1">'11.BCE_LT_SPRT_FRBRNC'!#REF!</definedName>
    <definedName name="XRefCopy11Row" localSheetId="17" hidden="1">'11.BCE_LT_SPRT_FRBRNCold'!#REF!</definedName>
    <definedName name="XRefCopy11Row" localSheetId="18" hidden="1">'12.BCE_LT_SPRT_FRBRNC'!#REF!</definedName>
    <definedName name="XRefCopy11Row" localSheetId="6" hidden="1">#REF!</definedName>
    <definedName name="XRefCopy11Row" localSheetId="7" hidden="1">#REF!</definedName>
    <definedName name="XRefCopy11Row" localSheetId="8" hidden="1">#REF!</definedName>
    <definedName name="XRefCopy11Row" localSheetId="9" hidden="1">#REF!</definedName>
    <definedName name="XRefCopy11Row" localSheetId="10" hidden="1">#REF!</definedName>
    <definedName name="XRefCopy11Row" localSheetId="11" hidden="1">'6.BCE_LT_FNNCL_STTMTS'!#REF!</definedName>
    <definedName name="XRefCopy11Row" localSheetId="12" hidden="1">'7.BCE_LT_SPRT_STAGE'!#REF!</definedName>
    <definedName name="XRefCopy11Row" localSheetId="13" hidden="1">'8.BCE_LT_SPRT_PRFM'!#REF!</definedName>
    <definedName name="XRefCopy11Row" localSheetId="14" hidden="1">'9.BCE_LT_SPRT_DFLT'!#REF!</definedName>
    <definedName name="XRefCopy11Row" localSheetId="0" hidden="1">#REF!</definedName>
    <definedName name="XRefCopy11Row" localSheetId="2" hidden="1">#REF!</definedName>
    <definedName name="XRefCopy11Row" localSheetId="1" hidden="1">#REF!</definedName>
    <definedName name="XRefCopy11Row" localSheetId="4" hidden="1">#REF!</definedName>
    <definedName name="XRefCopy11Row" localSheetId="5" hidden="1">#REF!</definedName>
    <definedName name="XRefCopy11Row" hidden="1">#REF!</definedName>
    <definedName name="XRefCopy12" localSheetId="3" hidden="1">'[5]Carteira 21'!#REF!</definedName>
    <definedName name="XRefCopy12" localSheetId="15" hidden="1">'[5]Carteira 21'!#REF!</definedName>
    <definedName name="XRefCopy12" localSheetId="16" hidden="1">'[5]Carteira 21'!#REF!</definedName>
    <definedName name="XRefCopy12" localSheetId="17" hidden="1">'[5]Carteira 21'!#REF!</definedName>
    <definedName name="XRefCopy12" localSheetId="18" hidden="1">'[5]Carteira 21'!#REF!</definedName>
    <definedName name="XRefCopy12" localSheetId="6" hidden="1">'[5]Carteira 21'!#REF!</definedName>
    <definedName name="XRefCopy12" localSheetId="7" hidden="1">'[5]Carteira 21'!#REF!</definedName>
    <definedName name="XRefCopy12" localSheetId="8" hidden="1">'[6]Carteira 21'!#REF!</definedName>
    <definedName name="XRefCopy12" localSheetId="9" hidden="1">'[5]Carteira 21'!#REF!</definedName>
    <definedName name="XRefCopy12" localSheetId="10" hidden="1">'[6]Carteira 21'!#REF!</definedName>
    <definedName name="XRefCopy12" localSheetId="11" hidden="1">'[6]Carteira 21'!#REF!</definedName>
    <definedName name="XRefCopy12" localSheetId="12" hidden="1">'[5]Carteira 21'!#REF!</definedName>
    <definedName name="XRefCopy12" localSheetId="13" hidden="1">'[5]Carteira 21'!#REF!</definedName>
    <definedName name="XRefCopy12" localSheetId="14" hidden="1">'[5]Carteira 21'!#REF!</definedName>
    <definedName name="XRefCopy12" localSheetId="0" hidden="1">'[5]Carteira 21'!#REF!</definedName>
    <definedName name="XRefCopy12" localSheetId="2" hidden="1">'[5]Carteira 21'!#REF!</definedName>
    <definedName name="XRefCopy12" localSheetId="1" hidden="1">'[5]Carteira 21'!#REF!</definedName>
    <definedName name="XRefCopy12" localSheetId="4" hidden="1">'[5]Carteira 21'!#REF!</definedName>
    <definedName name="XRefCopy12" localSheetId="5" hidden="1">'[5]Carteira 21'!#REF!</definedName>
    <definedName name="XRefCopy12" hidden="1">'[5]Carteira 21'!#REF!</definedName>
    <definedName name="XRefCopy12Row" localSheetId="3" hidden="1">#REF!</definedName>
    <definedName name="XRefCopy12Row" localSheetId="15" hidden="1">'10.BCE_LT_SPRT_CNSTRCTN_STTS'!#REF!</definedName>
    <definedName name="XRefCopy12Row" localSheetId="16" hidden="1">'11.BCE_LT_SPRT_FRBRNC'!#REF!</definedName>
    <definedName name="XRefCopy12Row" localSheetId="17" hidden="1">'11.BCE_LT_SPRT_FRBRNCold'!#REF!</definedName>
    <definedName name="XRefCopy12Row" localSheetId="18" hidden="1">'12.BCE_LT_SPRT_FRBRNC'!#REF!</definedName>
    <definedName name="XRefCopy12Row" localSheetId="6" hidden="1">#REF!</definedName>
    <definedName name="XRefCopy12Row" localSheetId="7" hidden="1">#REF!</definedName>
    <definedName name="XRefCopy12Row" localSheetId="8" hidden="1">#REF!</definedName>
    <definedName name="XRefCopy12Row" localSheetId="9" hidden="1">#REF!</definedName>
    <definedName name="XRefCopy12Row" localSheetId="10" hidden="1">#REF!</definedName>
    <definedName name="XRefCopy12Row" localSheetId="11" hidden="1">'6.BCE_LT_FNNCL_STTMTS'!#REF!</definedName>
    <definedName name="XRefCopy12Row" localSheetId="12" hidden="1">'7.BCE_LT_SPRT_STAGE'!#REF!</definedName>
    <definedName name="XRefCopy12Row" localSheetId="13" hidden="1">'8.BCE_LT_SPRT_PRFM'!#REF!</definedName>
    <definedName name="XRefCopy12Row" localSheetId="14" hidden="1">'9.BCE_LT_SPRT_DFLT'!#REF!</definedName>
    <definedName name="XRefCopy12Row" localSheetId="0" hidden="1">#REF!</definedName>
    <definedName name="XRefCopy12Row" localSheetId="2" hidden="1">#REF!</definedName>
    <definedName name="XRefCopy12Row" localSheetId="1" hidden="1">#REF!</definedName>
    <definedName name="XRefCopy12Row" localSheetId="4" hidden="1">#REF!</definedName>
    <definedName name="XRefCopy12Row" localSheetId="5" hidden="1">#REF!</definedName>
    <definedName name="XRefCopy12Row" hidden="1">#REF!</definedName>
    <definedName name="XRefCopy13" localSheetId="3" hidden="1">'[5]Carteira 21'!#REF!</definedName>
    <definedName name="XRefCopy13" localSheetId="15" hidden="1">'[5]Carteira 21'!#REF!</definedName>
    <definedName name="XRefCopy13" localSheetId="16" hidden="1">'[5]Carteira 21'!#REF!</definedName>
    <definedName name="XRefCopy13" localSheetId="17" hidden="1">'[5]Carteira 21'!#REF!</definedName>
    <definedName name="XRefCopy13" localSheetId="18" hidden="1">'[5]Carteira 21'!#REF!</definedName>
    <definedName name="XRefCopy13" localSheetId="6" hidden="1">'[5]Carteira 21'!#REF!</definedName>
    <definedName name="XRefCopy13" localSheetId="7" hidden="1">'[5]Carteira 21'!#REF!</definedName>
    <definedName name="XRefCopy13" localSheetId="8" hidden="1">'[6]Carteira 21'!#REF!</definedName>
    <definedName name="XRefCopy13" localSheetId="9" hidden="1">'[5]Carteira 21'!#REF!</definedName>
    <definedName name="XRefCopy13" localSheetId="10" hidden="1">'[6]Carteira 21'!#REF!</definedName>
    <definedName name="XRefCopy13" localSheetId="11" hidden="1">'[6]Carteira 21'!#REF!</definedName>
    <definedName name="XRefCopy13" localSheetId="12" hidden="1">'[5]Carteira 21'!#REF!</definedName>
    <definedName name="XRefCopy13" localSheetId="13" hidden="1">'[5]Carteira 21'!#REF!</definedName>
    <definedName name="XRefCopy13" localSheetId="14" hidden="1">'[5]Carteira 21'!#REF!</definedName>
    <definedName name="XRefCopy13" localSheetId="0" hidden="1">'[5]Carteira 21'!#REF!</definedName>
    <definedName name="XRefCopy13" localSheetId="2" hidden="1">'[5]Carteira 21'!#REF!</definedName>
    <definedName name="XRefCopy13" localSheetId="1" hidden="1">'[5]Carteira 21'!#REF!</definedName>
    <definedName name="XRefCopy13" localSheetId="4" hidden="1">'[5]Carteira 21'!#REF!</definedName>
    <definedName name="XRefCopy13" localSheetId="5" hidden="1">'[5]Carteira 21'!#REF!</definedName>
    <definedName name="XRefCopy13" hidden="1">'[5]Carteira 21'!#REF!</definedName>
    <definedName name="XRefCopy13Row" localSheetId="3" hidden="1">[9]XREF!#REF!</definedName>
    <definedName name="XRefCopy13Row" localSheetId="15" hidden="1">[9]XREF!#REF!</definedName>
    <definedName name="XRefCopy13Row" localSheetId="16" hidden="1">[9]XREF!#REF!</definedName>
    <definedName name="XRefCopy13Row" localSheetId="17" hidden="1">[9]XREF!#REF!</definedName>
    <definedName name="XRefCopy13Row" localSheetId="18" hidden="1">[9]XREF!#REF!</definedName>
    <definedName name="XRefCopy13Row" localSheetId="6" hidden="1">[9]XREF!#REF!</definedName>
    <definedName name="XRefCopy13Row" localSheetId="7" hidden="1">[9]XREF!#REF!</definedName>
    <definedName name="XRefCopy13Row" localSheetId="8" hidden="1">[10]XREF!#REF!</definedName>
    <definedName name="XRefCopy13Row" localSheetId="9" hidden="1">[9]XREF!#REF!</definedName>
    <definedName name="XRefCopy13Row" localSheetId="10" hidden="1">[10]XREF!#REF!</definedName>
    <definedName name="XRefCopy13Row" localSheetId="11" hidden="1">[10]XREF!#REF!</definedName>
    <definedName name="XRefCopy13Row" localSheetId="12" hidden="1">[9]XREF!#REF!</definedName>
    <definedName name="XRefCopy13Row" localSheetId="13" hidden="1">[9]XREF!#REF!</definedName>
    <definedName name="XRefCopy13Row" localSheetId="14" hidden="1">[9]XREF!#REF!</definedName>
    <definedName name="XRefCopy13Row" localSheetId="0" hidden="1">[9]XREF!#REF!</definedName>
    <definedName name="XRefCopy13Row" localSheetId="2" hidden="1">[9]XREF!#REF!</definedName>
    <definedName name="XRefCopy13Row" localSheetId="1" hidden="1">[9]XREF!#REF!</definedName>
    <definedName name="XRefCopy13Row" localSheetId="4" hidden="1">[9]XREF!#REF!</definedName>
    <definedName name="XRefCopy13Row" localSheetId="5" hidden="1">[9]XREF!#REF!</definedName>
    <definedName name="XRefCopy13Row" hidden="1">[9]XREF!#REF!</definedName>
    <definedName name="XRefCopy14" localSheetId="15" hidden="1">'[8]Carteira 20'!#REF!</definedName>
    <definedName name="XRefCopy14" localSheetId="16" hidden="1">'[8]Carteira 20'!#REF!</definedName>
    <definedName name="XRefCopy14" localSheetId="17" hidden="1">'[8]Carteira 20'!#REF!</definedName>
    <definedName name="XRefCopy14" localSheetId="18" hidden="1">'[8]Carteira 20'!#REF!</definedName>
    <definedName name="XRefCopy14" localSheetId="6" hidden="1">'[8]Carteira 20'!#REF!</definedName>
    <definedName name="XRefCopy14" localSheetId="7" hidden="1">'[8]Carteira 20'!#REF!</definedName>
    <definedName name="XRefCopy14" localSheetId="8" hidden="1">'[8]Carteira 20'!#REF!</definedName>
    <definedName name="XRefCopy14" localSheetId="9" hidden="1">'[8]Carteira 20'!#REF!</definedName>
    <definedName name="XRefCopy14" localSheetId="10" hidden="1">'[8]Carteira 20'!#REF!</definedName>
    <definedName name="XRefCopy14" localSheetId="11" hidden="1">'[8]Carteira 20'!#REF!</definedName>
    <definedName name="XRefCopy14" localSheetId="12" hidden="1">'[8]Carteira 20'!#REF!</definedName>
    <definedName name="XRefCopy14" localSheetId="13" hidden="1">'[8]Carteira 20'!#REF!</definedName>
    <definedName name="XRefCopy14" localSheetId="14" hidden="1">'[8]Carteira 20'!#REF!</definedName>
    <definedName name="XRefCopy14" localSheetId="0" hidden="1">'[8]Carteira 20'!#REF!</definedName>
    <definedName name="XRefCopy14" localSheetId="2" hidden="1">'[8]Carteira 20'!#REF!</definedName>
    <definedName name="XRefCopy14" localSheetId="1" hidden="1">'[8]Carteira 20'!#REF!</definedName>
    <definedName name="XRefCopy14" localSheetId="4" hidden="1">'[8]Carteira 20'!#REF!</definedName>
    <definedName name="XRefCopy14" localSheetId="5" hidden="1">'[8]Carteira 20'!#REF!</definedName>
    <definedName name="XRefCopy14" hidden="1">'[8]Carteira 20'!#REF!</definedName>
    <definedName name="XRefCopy14Row" localSheetId="3" hidden="1">#REF!</definedName>
    <definedName name="XRefCopy14Row" localSheetId="15" hidden="1">'10.BCE_LT_SPRT_CNSTRCTN_STTS'!#REF!</definedName>
    <definedName name="XRefCopy14Row" localSheetId="16" hidden="1">'11.BCE_LT_SPRT_FRBRNC'!#REF!</definedName>
    <definedName name="XRefCopy14Row" localSheetId="17" hidden="1">'11.BCE_LT_SPRT_FRBRNCold'!#REF!</definedName>
    <definedName name="XRefCopy14Row" localSheetId="18" hidden="1">'12.BCE_LT_SPRT_FRBRNC'!#REF!</definedName>
    <definedName name="XRefCopy14Row" localSheetId="6" hidden="1">#REF!</definedName>
    <definedName name="XRefCopy14Row" localSheetId="7" hidden="1">#REF!</definedName>
    <definedName name="XRefCopy14Row" localSheetId="8" hidden="1">#REF!</definedName>
    <definedName name="XRefCopy14Row" localSheetId="9" hidden="1">#REF!</definedName>
    <definedName name="XRefCopy14Row" localSheetId="10" hidden="1">#REF!</definedName>
    <definedName name="XRefCopy14Row" localSheetId="11" hidden="1">'6.BCE_LT_FNNCL_STTMTS'!#REF!</definedName>
    <definedName name="XRefCopy14Row" localSheetId="12" hidden="1">'7.BCE_LT_SPRT_STAGE'!#REF!</definedName>
    <definedName name="XRefCopy14Row" localSheetId="13" hidden="1">'8.BCE_LT_SPRT_PRFM'!#REF!</definedName>
    <definedName name="XRefCopy14Row" localSheetId="14" hidden="1">'9.BCE_LT_SPRT_DFLT'!#REF!</definedName>
    <definedName name="XRefCopy14Row" localSheetId="0" hidden="1">#REF!</definedName>
    <definedName name="XRefCopy14Row" localSheetId="2" hidden="1">#REF!</definedName>
    <definedName name="XRefCopy14Row" localSheetId="1" hidden="1">#REF!</definedName>
    <definedName name="XRefCopy14Row" localSheetId="4" hidden="1">#REF!</definedName>
    <definedName name="XRefCopy14Row" localSheetId="5" hidden="1">#REF!</definedName>
    <definedName name="XRefCopy14Row" hidden="1">#REF!</definedName>
    <definedName name="XRefCopy15" localSheetId="3" hidden="1">'[5]Carteira 21'!#REF!</definedName>
    <definedName name="XRefCopy15" localSheetId="15" hidden="1">'[5]Carteira 21'!#REF!</definedName>
    <definedName name="XRefCopy15" localSheetId="16" hidden="1">'[5]Carteira 21'!#REF!</definedName>
    <definedName name="XRefCopy15" localSheetId="17" hidden="1">'[5]Carteira 21'!#REF!</definedName>
    <definedName name="XRefCopy15" localSheetId="18" hidden="1">'[5]Carteira 21'!#REF!</definedName>
    <definedName name="XRefCopy15" localSheetId="6" hidden="1">'[5]Carteira 21'!#REF!</definedName>
    <definedName name="XRefCopy15" localSheetId="7" hidden="1">'[5]Carteira 21'!#REF!</definedName>
    <definedName name="XRefCopy15" localSheetId="8" hidden="1">'[6]Carteira 21'!#REF!</definedName>
    <definedName name="XRefCopy15" localSheetId="9" hidden="1">'[5]Carteira 21'!#REF!</definedName>
    <definedName name="XRefCopy15" localSheetId="10" hidden="1">'[6]Carteira 21'!#REF!</definedName>
    <definedName name="XRefCopy15" localSheetId="11" hidden="1">'[6]Carteira 21'!#REF!</definedName>
    <definedName name="XRefCopy15" localSheetId="12" hidden="1">'[5]Carteira 21'!#REF!</definedName>
    <definedName name="XRefCopy15" localSheetId="13" hidden="1">'[5]Carteira 21'!#REF!</definedName>
    <definedName name="XRefCopy15" localSheetId="14" hidden="1">'[5]Carteira 21'!#REF!</definedName>
    <definedName name="XRefCopy15" localSheetId="0" hidden="1">'[5]Carteira 21'!#REF!</definedName>
    <definedName name="XRefCopy15" localSheetId="2" hidden="1">'[5]Carteira 21'!#REF!</definedName>
    <definedName name="XRefCopy15" localSheetId="1" hidden="1">'[5]Carteira 21'!#REF!</definedName>
    <definedName name="XRefCopy15" localSheetId="4" hidden="1">'[5]Carteira 21'!#REF!</definedName>
    <definedName name="XRefCopy15" localSheetId="5" hidden="1">'[5]Carteira 21'!#REF!</definedName>
    <definedName name="XRefCopy15" hidden="1">'[5]Carteira 21'!#REF!</definedName>
    <definedName name="XRefCopy15Row" localSheetId="3" hidden="1">#REF!</definedName>
    <definedName name="XRefCopy15Row" localSheetId="15" hidden="1">'10.BCE_LT_SPRT_CNSTRCTN_STTS'!#REF!</definedName>
    <definedName name="XRefCopy15Row" localSheetId="16" hidden="1">'11.BCE_LT_SPRT_FRBRNC'!#REF!</definedName>
    <definedName name="XRefCopy15Row" localSheetId="17" hidden="1">'11.BCE_LT_SPRT_FRBRNCold'!#REF!</definedName>
    <definedName name="XRefCopy15Row" localSheetId="18" hidden="1">'12.BCE_LT_SPRT_FRBRNC'!#REF!</definedName>
    <definedName name="XRefCopy15Row" localSheetId="6" hidden="1">#REF!</definedName>
    <definedName name="XRefCopy15Row" localSheetId="7" hidden="1">#REF!</definedName>
    <definedName name="XRefCopy15Row" localSheetId="8" hidden="1">#REF!</definedName>
    <definedName name="XRefCopy15Row" localSheetId="9" hidden="1">#REF!</definedName>
    <definedName name="XRefCopy15Row" localSheetId="10" hidden="1">#REF!</definedName>
    <definedName name="XRefCopy15Row" localSheetId="11" hidden="1">'6.BCE_LT_FNNCL_STTMTS'!#REF!</definedName>
    <definedName name="XRefCopy15Row" localSheetId="12" hidden="1">'7.BCE_LT_SPRT_STAGE'!#REF!</definedName>
    <definedName name="XRefCopy15Row" localSheetId="13" hidden="1">'8.BCE_LT_SPRT_PRFM'!#REF!</definedName>
    <definedName name="XRefCopy15Row" localSheetId="14" hidden="1">'9.BCE_LT_SPRT_DFLT'!#REF!</definedName>
    <definedName name="XRefCopy15Row" localSheetId="0" hidden="1">#REF!</definedName>
    <definedName name="XRefCopy15Row" localSheetId="2" hidden="1">#REF!</definedName>
    <definedName name="XRefCopy15Row" localSheetId="1" hidden="1">#REF!</definedName>
    <definedName name="XRefCopy15Row" localSheetId="4" hidden="1">#REF!</definedName>
    <definedName name="XRefCopy15Row" localSheetId="5" hidden="1">#REF!</definedName>
    <definedName name="XRefCopy15Row" hidden="1">#REF!</definedName>
    <definedName name="XRefCopy17Row" localSheetId="3" hidden="1">[9]XREF!#REF!</definedName>
    <definedName name="XRefCopy17Row" localSheetId="15" hidden="1">[9]XREF!#REF!</definedName>
    <definedName name="XRefCopy17Row" localSheetId="16" hidden="1">[9]XREF!#REF!</definedName>
    <definedName name="XRefCopy17Row" localSheetId="17" hidden="1">[9]XREF!#REF!</definedName>
    <definedName name="XRefCopy17Row" localSheetId="18" hidden="1">[9]XREF!#REF!</definedName>
    <definedName name="XRefCopy17Row" localSheetId="6" hidden="1">[9]XREF!#REF!</definedName>
    <definedName name="XRefCopy17Row" localSheetId="7" hidden="1">[9]XREF!#REF!</definedName>
    <definedName name="XRefCopy17Row" localSheetId="8" hidden="1">[10]XREF!#REF!</definedName>
    <definedName name="XRefCopy17Row" localSheetId="9" hidden="1">[9]XREF!#REF!</definedName>
    <definedName name="XRefCopy17Row" localSheetId="10" hidden="1">[10]XREF!#REF!</definedName>
    <definedName name="XRefCopy17Row" localSheetId="11" hidden="1">[10]XREF!#REF!</definedName>
    <definedName name="XRefCopy17Row" localSheetId="12" hidden="1">[9]XREF!#REF!</definedName>
    <definedName name="XRefCopy17Row" localSheetId="13" hidden="1">[9]XREF!#REF!</definedName>
    <definedName name="XRefCopy17Row" localSheetId="14" hidden="1">[9]XREF!#REF!</definedName>
    <definedName name="XRefCopy17Row" localSheetId="0" hidden="1">[9]XREF!#REF!</definedName>
    <definedName name="XRefCopy17Row" localSheetId="2" hidden="1">[9]XREF!#REF!</definedName>
    <definedName name="XRefCopy17Row" localSheetId="1" hidden="1">[9]XREF!#REF!</definedName>
    <definedName name="XRefCopy17Row" localSheetId="4" hidden="1">[9]XREF!#REF!</definedName>
    <definedName name="XRefCopy17Row" localSheetId="5" hidden="1">[9]XREF!#REF!</definedName>
    <definedName name="XRefCopy17Row" hidden="1">[9]XREF!#REF!</definedName>
    <definedName name="XRefCopy18Row" localSheetId="3" hidden="1">[9]XREF!#REF!</definedName>
    <definedName name="XRefCopy18Row" localSheetId="15" hidden="1">[9]XREF!#REF!</definedName>
    <definedName name="XRefCopy18Row" localSheetId="16" hidden="1">[9]XREF!#REF!</definedName>
    <definedName name="XRefCopy18Row" localSheetId="17" hidden="1">[9]XREF!#REF!</definedName>
    <definedName name="XRefCopy18Row" localSheetId="18" hidden="1">[9]XREF!#REF!</definedName>
    <definedName name="XRefCopy18Row" localSheetId="6" hidden="1">[9]XREF!#REF!</definedName>
    <definedName name="XRefCopy18Row" localSheetId="7" hidden="1">[9]XREF!#REF!</definedName>
    <definedName name="XRefCopy18Row" localSheetId="8" hidden="1">[10]XREF!#REF!</definedName>
    <definedName name="XRefCopy18Row" localSheetId="9" hidden="1">[9]XREF!#REF!</definedName>
    <definedName name="XRefCopy18Row" localSheetId="10" hidden="1">[10]XREF!#REF!</definedName>
    <definedName name="XRefCopy18Row" localSheetId="11" hidden="1">[10]XREF!#REF!</definedName>
    <definedName name="XRefCopy18Row" localSheetId="12" hidden="1">[9]XREF!#REF!</definedName>
    <definedName name="XRefCopy18Row" localSheetId="13" hidden="1">[9]XREF!#REF!</definedName>
    <definedName name="XRefCopy18Row" localSheetId="14" hidden="1">[9]XREF!#REF!</definedName>
    <definedName name="XRefCopy18Row" localSheetId="0" hidden="1">[9]XREF!#REF!</definedName>
    <definedName name="XRefCopy18Row" localSheetId="2" hidden="1">[9]XREF!#REF!</definedName>
    <definedName name="XRefCopy18Row" localSheetId="1" hidden="1">[9]XREF!#REF!</definedName>
    <definedName name="XRefCopy18Row" localSheetId="4" hidden="1">[9]XREF!#REF!</definedName>
    <definedName name="XRefCopy18Row" localSheetId="5" hidden="1">[9]XREF!#REF!</definedName>
    <definedName name="XRefCopy18Row" hidden="1">[9]XREF!#REF!</definedName>
    <definedName name="XRefCopy19Row" localSheetId="15" hidden="1">[9]XREF!#REF!</definedName>
    <definedName name="XRefCopy19Row" localSheetId="16" hidden="1">[9]XREF!#REF!</definedName>
    <definedName name="XRefCopy19Row" localSheetId="17" hidden="1">[9]XREF!#REF!</definedName>
    <definedName name="XRefCopy19Row" localSheetId="18" hidden="1">[9]XREF!#REF!</definedName>
    <definedName name="XRefCopy19Row" localSheetId="6" hidden="1">[9]XREF!#REF!</definedName>
    <definedName name="XRefCopy19Row" localSheetId="7" hidden="1">[9]XREF!#REF!</definedName>
    <definedName name="XRefCopy19Row" localSheetId="8" hidden="1">[10]XREF!#REF!</definedName>
    <definedName name="XRefCopy19Row" localSheetId="9" hidden="1">[9]XREF!#REF!</definedName>
    <definedName name="XRefCopy19Row" localSheetId="10" hidden="1">[10]XREF!#REF!</definedName>
    <definedName name="XRefCopy19Row" localSheetId="11" hidden="1">[10]XREF!#REF!</definedName>
    <definedName name="XRefCopy19Row" localSheetId="12" hidden="1">[9]XREF!#REF!</definedName>
    <definedName name="XRefCopy19Row" localSheetId="13" hidden="1">[9]XREF!#REF!</definedName>
    <definedName name="XRefCopy19Row" localSheetId="14" hidden="1">[9]XREF!#REF!</definedName>
    <definedName name="XRefCopy19Row" localSheetId="0" hidden="1">[9]XREF!#REF!</definedName>
    <definedName name="XRefCopy19Row" localSheetId="2" hidden="1">[9]XREF!#REF!</definedName>
    <definedName name="XRefCopy19Row" localSheetId="1" hidden="1">[9]XREF!#REF!</definedName>
    <definedName name="XRefCopy19Row" localSheetId="4" hidden="1">[9]XREF!#REF!</definedName>
    <definedName name="XRefCopy19Row" localSheetId="5" hidden="1">[9]XREF!#REF!</definedName>
    <definedName name="XRefCopy19Row" hidden="1">[9]XREF!#REF!</definedName>
    <definedName name="XRefCopy1Row" localSheetId="3" hidden="1">#REF!</definedName>
    <definedName name="XRefCopy1Row" localSheetId="15" hidden="1">'10.BCE_LT_SPRT_CNSTRCTN_STTS'!#REF!</definedName>
    <definedName name="XRefCopy1Row" localSheetId="16" hidden="1">'11.BCE_LT_SPRT_FRBRNC'!#REF!</definedName>
    <definedName name="XRefCopy1Row" localSheetId="17" hidden="1">'11.BCE_LT_SPRT_FRBRNCold'!#REF!</definedName>
    <definedName name="XRefCopy1Row" localSheetId="18" hidden="1">'12.BCE_LT_SPRT_FRBRNC'!#REF!</definedName>
    <definedName name="XRefCopy1Row" localSheetId="6" hidden="1">#REF!</definedName>
    <definedName name="XRefCopy1Row" localSheetId="7" hidden="1">#REF!</definedName>
    <definedName name="XRefCopy1Row" localSheetId="8" hidden="1">#REF!</definedName>
    <definedName name="XRefCopy1Row" localSheetId="9" hidden="1">#REF!</definedName>
    <definedName name="XRefCopy1Row" localSheetId="10" hidden="1">#REF!</definedName>
    <definedName name="XRefCopy1Row" localSheetId="11" hidden="1">'6.BCE_LT_FNNCL_STTMTS'!#REF!</definedName>
    <definedName name="XRefCopy1Row" localSheetId="12" hidden="1">'7.BCE_LT_SPRT_STAGE'!#REF!</definedName>
    <definedName name="XRefCopy1Row" localSheetId="13" hidden="1">'8.BCE_LT_SPRT_PRFM'!#REF!</definedName>
    <definedName name="XRefCopy1Row" localSheetId="14" hidden="1">'9.BCE_LT_SPRT_DFLT'!#REF!</definedName>
    <definedName name="XRefCopy1Row" localSheetId="0" hidden="1">#REF!</definedName>
    <definedName name="XRefCopy1Row" localSheetId="2" hidden="1">#REF!</definedName>
    <definedName name="XRefCopy1Row" localSheetId="1" hidden="1">#REF!</definedName>
    <definedName name="XRefCopy1Row" localSheetId="4" hidden="1">#REF!</definedName>
    <definedName name="XRefCopy1Row" localSheetId="5" hidden="1">#REF!</definedName>
    <definedName name="XRefCopy1Row" hidden="1">#REF!</definedName>
    <definedName name="XRefCopy2" localSheetId="3" hidden="1">'[8]Carteira 20'!#REF!</definedName>
    <definedName name="XRefCopy2" localSheetId="15" hidden="1">'[8]Carteira 20'!#REF!</definedName>
    <definedName name="XRefCopy2" localSheetId="16" hidden="1">'[8]Carteira 20'!#REF!</definedName>
    <definedName name="XRefCopy2" localSheetId="17" hidden="1">'[8]Carteira 20'!#REF!</definedName>
    <definedName name="XRefCopy2" localSheetId="18" hidden="1">'[8]Carteira 20'!#REF!</definedName>
    <definedName name="XRefCopy2" localSheetId="6" hidden="1">'[8]Carteira 20'!#REF!</definedName>
    <definedName name="XRefCopy2" localSheetId="7" hidden="1">'[8]Carteira 20'!#REF!</definedName>
    <definedName name="XRefCopy2" localSheetId="8" hidden="1">'[8]Carteira 20'!#REF!</definedName>
    <definedName name="XRefCopy2" localSheetId="9" hidden="1">'[8]Carteira 20'!#REF!</definedName>
    <definedName name="XRefCopy2" localSheetId="10" hidden="1">'[8]Carteira 20'!#REF!</definedName>
    <definedName name="XRefCopy2" localSheetId="11" hidden="1">'[8]Carteira 20'!#REF!</definedName>
    <definedName name="XRefCopy2" localSheetId="12" hidden="1">'[8]Carteira 20'!#REF!</definedName>
    <definedName name="XRefCopy2" localSheetId="13" hidden="1">'[8]Carteira 20'!#REF!</definedName>
    <definedName name="XRefCopy2" localSheetId="14" hidden="1">'[8]Carteira 20'!#REF!</definedName>
    <definedName name="XRefCopy2" localSheetId="0" hidden="1">'[8]Carteira 20'!#REF!</definedName>
    <definedName name="XRefCopy2" localSheetId="2" hidden="1">'[8]Carteira 20'!#REF!</definedName>
    <definedName name="XRefCopy2" localSheetId="1" hidden="1">'[8]Carteira 20'!#REF!</definedName>
    <definedName name="XRefCopy2" localSheetId="4" hidden="1">'[8]Carteira 20'!#REF!</definedName>
    <definedName name="XRefCopy2" localSheetId="5" hidden="1">'[8]Carteira 20'!#REF!</definedName>
    <definedName name="XRefCopy2" hidden="1">'[8]Carteira 20'!#REF!</definedName>
    <definedName name="XRefCopy20Row" localSheetId="3" hidden="1">[3]XREF!#REF!</definedName>
    <definedName name="XRefCopy20Row" localSheetId="15" hidden="1">[3]XREF!#REF!</definedName>
    <definedName name="XRefCopy20Row" localSheetId="16" hidden="1">[3]XREF!#REF!</definedName>
    <definedName name="XRefCopy20Row" localSheetId="17" hidden="1">[3]XREF!#REF!</definedName>
    <definedName name="XRefCopy20Row" localSheetId="18" hidden="1">[3]XREF!#REF!</definedName>
    <definedName name="XRefCopy20Row" localSheetId="6" hidden="1">[3]XREF!#REF!</definedName>
    <definedName name="XRefCopy20Row" localSheetId="7" hidden="1">[3]XREF!#REF!</definedName>
    <definedName name="XRefCopy20Row" localSheetId="8" hidden="1">[3]XREF!#REF!</definedName>
    <definedName name="XRefCopy20Row" localSheetId="9" hidden="1">[3]XREF!#REF!</definedName>
    <definedName name="XRefCopy20Row" localSheetId="10" hidden="1">[3]XREF!#REF!</definedName>
    <definedName name="XRefCopy20Row" localSheetId="11" hidden="1">[3]XREF!#REF!</definedName>
    <definedName name="XRefCopy20Row" localSheetId="12" hidden="1">[3]XREF!#REF!</definedName>
    <definedName name="XRefCopy20Row" localSheetId="13" hidden="1">[3]XREF!#REF!</definedName>
    <definedName name="XRefCopy20Row" localSheetId="14" hidden="1">[3]XREF!#REF!</definedName>
    <definedName name="XRefCopy20Row" localSheetId="0" hidden="1">[3]XREF!#REF!</definedName>
    <definedName name="XRefCopy20Row" localSheetId="2" hidden="1">[3]XREF!#REF!</definedName>
    <definedName name="XRefCopy20Row" localSheetId="1" hidden="1">[3]XREF!#REF!</definedName>
    <definedName name="XRefCopy20Row" localSheetId="4" hidden="1">[3]XREF!#REF!</definedName>
    <definedName name="XRefCopy20Row" localSheetId="5" hidden="1">[3]XREF!#REF!</definedName>
    <definedName name="XRefCopy20Row" hidden="1">[3]XREF!#REF!</definedName>
    <definedName name="XRefCopy24" localSheetId="3" hidden="1">'[3]Carteira de Títulos'!#REF!</definedName>
    <definedName name="XRefCopy24" localSheetId="15" hidden="1">'[3]Carteira de Títulos'!#REF!</definedName>
    <definedName name="XRefCopy24" localSheetId="16" hidden="1">'[3]Carteira de Títulos'!#REF!</definedName>
    <definedName name="XRefCopy24" localSheetId="17" hidden="1">'[3]Carteira de Títulos'!#REF!</definedName>
    <definedName name="XRefCopy24" localSheetId="18" hidden="1">'[3]Carteira de Títulos'!#REF!</definedName>
    <definedName name="XRefCopy24" localSheetId="6" hidden="1">'[3]Carteira de Títulos'!#REF!</definedName>
    <definedName name="XRefCopy24" localSheetId="7" hidden="1">'[3]Carteira de Títulos'!#REF!</definedName>
    <definedName name="XRefCopy24" localSheetId="8" hidden="1">'[3]Carteira de Títulos'!#REF!</definedName>
    <definedName name="XRefCopy24" localSheetId="9" hidden="1">'[3]Carteira de Títulos'!#REF!</definedName>
    <definedName name="XRefCopy24" localSheetId="10" hidden="1">'[3]Carteira de Títulos'!#REF!</definedName>
    <definedName name="XRefCopy24" localSheetId="11" hidden="1">'[3]Carteira de Títulos'!#REF!</definedName>
    <definedName name="XRefCopy24" localSheetId="12" hidden="1">'[3]Carteira de Títulos'!#REF!</definedName>
    <definedName name="XRefCopy24" localSheetId="13" hidden="1">'[3]Carteira de Títulos'!#REF!</definedName>
    <definedName name="XRefCopy24" localSheetId="14" hidden="1">'[3]Carteira de Títulos'!#REF!</definedName>
    <definedName name="XRefCopy24" localSheetId="0" hidden="1">'[3]Carteira de Títulos'!#REF!</definedName>
    <definedName name="XRefCopy24" localSheetId="2" hidden="1">'[3]Carteira de Títulos'!#REF!</definedName>
    <definedName name="XRefCopy24" localSheetId="1" hidden="1">'[3]Carteira de Títulos'!#REF!</definedName>
    <definedName name="XRefCopy24" localSheetId="4" hidden="1">'[3]Carteira de Títulos'!#REF!</definedName>
    <definedName name="XRefCopy24" localSheetId="5" hidden="1">'[3]Carteira de Títulos'!#REF!</definedName>
    <definedName name="XRefCopy24" hidden="1">'[3]Carteira de Títulos'!#REF!</definedName>
    <definedName name="XRefCopy24Row" localSheetId="15" hidden="1">[3]XREF!#REF!</definedName>
    <definedName name="XRefCopy24Row" localSheetId="16" hidden="1">[3]XREF!#REF!</definedName>
    <definedName name="XRefCopy24Row" localSheetId="17" hidden="1">[3]XREF!#REF!</definedName>
    <definedName name="XRefCopy24Row" localSheetId="18" hidden="1">[3]XREF!#REF!</definedName>
    <definedName name="XRefCopy24Row" localSheetId="6" hidden="1">[3]XREF!#REF!</definedName>
    <definedName name="XRefCopy24Row" localSheetId="7" hidden="1">[3]XREF!#REF!</definedName>
    <definedName name="XRefCopy24Row" localSheetId="8" hidden="1">[3]XREF!#REF!</definedName>
    <definedName name="XRefCopy24Row" localSheetId="9" hidden="1">[3]XREF!#REF!</definedName>
    <definedName name="XRefCopy24Row" localSheetId="10" hidden="1">[3]XREF!#REF!</definedName>
    <definedName name="XRefCopy24Row" localSheetId="11" hidden="1">[3]XREF!#REF!</definedName>
    <definedName name="XRefCopy24Row" localSheetId="12" hidden="1">[3]XREF!#REF!</definedName>
    <definedName name="XRefCopy24Row" localSheetId="13" hidden="1">[3]XREF!#REF!</definedName>
    <definedName name="XRefCopy24Row" localSheetId="14" hidden="1">[3]XREF!#REF!</definedName>
    <definedName name="XRefCopy24Row" localSheetId="0" hidden="1">[3]XREF!#REF!</definedName>
    <definedName name="XRefCopy24Row" localSheetId="2" hidden="1">[3]XREF!#REF!</definedName>
    <definedName name="XRefCopy24Row" localSheetId="1" hidden="1">[3]XREF!#REF!</definedName>
    <definedName name="XRefCopy24Row" localSheetId="4" hidden="1">[3]XREF!#REF!</definedName>
    <definedName name="XRefCopy24Row" localSheetId="5" hidden="1">[3]XREF!#REF!</definedName>
    <definedName name="XRefCopy24Row" hidden="1">[3]XREF!#REF!</definedName>
    <definedName name="XRefCopy25" localSheetId="15" hidden="1">'[3]Carteira de Títulos'!#REF!</definedName>
    <definedName name="XRefCopy25" localSheetId="16" hidden="1">'[3]Carteira de Títulos'!#REF!</definedName>
    <definedName name="XRefCopy25" localSheetId="17" hidden="1">'[3]Carteira de Títulos'!#REF!</definedName>
    <definedName name="XRefCopy25" localSheetId="18" hidden="1">'[3]Carteira de Títulos'!#REF!</definedName>
    <definedName name="XRefCopy25" localSheetId="6" hidden="1">'[3]Carteira de Títulos'!#REF!</definedName>
    <definedName name="XRefCopy25" localSheetId="7" hidden="1">'[3]Carteira de Títulos'!#REF!</definedName>
    <definedName name="XRefCopy25" localSheetId="8" hidden="1">'[3]Carteira de Títulos'!#REF!</definedName>
    <definedName name="XRefCopy25" localSheetId="9" hidden="1">'[3]Carteira de Títulos'!#REF!</definedName>
    <definedName name="XRefCopy25" localSheetId="10" hidden="1">'[3]Carteira de Títulos'!#REF!</definedName>
    <definedName name="XRefCopy25" localSheetId="11" hidden="1">'[3]Carteira de Títulos'!#REF!</definedName>
    <definedName name="XRefCopy25" localSheetId="12" hidden="1">'[3]Carteira de Títulos'!#REF!</definedName>
    <definedName name="XRefCopy25" localSheetId="13" hidden="1">'[3]Carteira de Títulos'!#REF!</definedName>
    <definedName name="XRefCopy25" localSheetId="14" hidden="1">'[3]Carteira de Títulos'!#REF!</definedName>
    <definedName name="XRefCopy25" localSheetId="0" hidden="1">'[3]Carteira de Títulos'!#REF!</definedName>
    <definedName name="XRefCopy25" localSheetId="2" hidden="1">'[3]Carteira de Títulos'!#REF!</definedName>
    <definedName name="XRefCopy25" localSheetId="1" hidden="1">'[3]Carteira de Títulos'!#REF!</definedName>
    <definedName name="XRefCopy25" localSheetId="4" hidden="1">'[3]Carteira de Títulos'!#REF!</definedName>
    <definedName name="XRefCopy25" localSheetId="5" hidden="1">'[3]Carteira de Títulos'!#REF!</definedName>
    <definedName name="XRefCopy25" hidden="1">'[3]Carteira de Títulos'!#REF!</definedName>
    <definedName name="XRefCopy25Row" localSheetId="15" hidden="1">[3]XREF!#REF!</definedName>
    <definedName name="XRefCopy25Row" localSheetId="16" hidden="1">[3]XREF!#REF!</definedName>
    <definedName name="XRefCopy25Row" localSheetId="17" hidden="1">[3]XREF!#REF!</definedName>
    <definedName name="XRefCopy25Row" localSheetId="18" hidden="1">[3]XREF!#REF!</definedName>
    <definedName name="XRefCopy25Row" localSheetId="6" hidden="1">[3]XREF!#REF!</definedName>
    <definedName name="XRefCopy25Row" localSheetId="7" hidden="1">[3]XREF!#REF!</definedName>
    <definedName name="XRefCopy25Row" localSheetId="8" hidden="1">[3]XREF!#REF!</definedName>
    <definedName name="XRefCopy25Row" localSheetId="9" hidden="1">[3]XREF!#REF!</definedName>
    <definedName name="XRefCopy25Row" localSheetId="10" hidden="1">[3]XREF!#REF!</definedName>
    <definedName name="XRefCopy25Row" localSheetId="11" hidden="1">[3]XREF!#REF!</definedName>
    <definedName name="XRefCopy25Row" localSheetId="12" hidden="1">[3]XREF!#REF!</definedName>
    <definedName name="XRefCopy25Row" localSheetId="13" hidden="1">[3]XREF!#REF!</definedName>
    <definedName name="XRefCopy25Row" localSheetId="14" hidden="1">[3]XREF!#REF!</definedName>
    <definedName name="XRefCopy25Row" localSheetId="0" hidden="1">[3]XREF!#REF!</definedName>
    <definedName name="XRefCopy25Row" localSheetId="2" hidden="1">[3]XREF!#REF!</definedName>
    <definedName name="XRefCopy25Row" localSheetId="1" hidden="1">[3]XREF!#REF!</definedName>
    <definedName name="XRefCopy25Row" localSheetId="4" hidden="1">[3]XREF!#REF!</definedName>
    <definedName name="XRefCopy25Row" localSheetId="5" hidden="1">[3]XREF!#REF!</definedName>
    <definedName name="XRefCopy25Row" hidden="1">[3]XREF!#REF!</definedName>
    <definedName name="XRefCopy2Row" localSheetId="15" hidden="1">[11]XREF!#REF!</definedName>
    <definedName name="XRefCopy2Row" localSheetId="16" hidden="1">[11]XREF!#REF!</definedName>
    <definedName name="XRefCopy2Row" localSheetId="17" hidden="1">[11]XREF!#REF!</definedName>
    <definedName name="XRefCopy2Row" localSheetId="18" hidden="1">[11]XREF!#REF!</definedName>
    <definedName name="XRefCopy2Row" localSheetId="6" hidden="1">[11]XREF!#REF!</definedName>
    <definedName name="XRefCopy2Row" localSheetId="7" hidden="1">[11]XREF!#REF!</definedName>
    <definedName name="XRefCopy2Row" localSheetId="8" hidden="1">[11]XREF!#REF!</definedName>
    <definedName name="XRefCopy2Row" localSheetId="9" hidden="1">[11]XREF!#REF!</definedName>
    <definedName name="XRefCopy2Row" localSheetId="10" hidden="1">[11]XREF!#REF!</definedName>
    <definedName name="XRefCopy2Row" localSheetId="11" hidden="1">[11]XREF!#REF!</definedName>
    <definedName name="XRefCopy2Row" localSheetId="12" hidden="1">[11]XREF!#REF!</definedName>
    <definedName name="XRefCopy2Row" localSheetId="13" hidden="1">[11]XREF!#REF!</definedName>
    <definedName name="XRefCopy2Row" localSheetId="14" hidden="1">[11]XREF!#REF!</definedName>
    <definedName name="XRefCopy2Row" localSheetId="0" hidden="1">[11]XREF!#REF!</definedName>
    <definedName name="XRefCopy2Row" localSheetId="2" hidden="1">[11]XREF!#REF!</definedName>
    <definedName name="XRefCopy2Row" localSheetId="1" hidden="1">[11]XREF!#REF!</definedName>
    <definedName name="XRefCopy2Row" localSheetId="4" hidden="1">[11]XREF!#REF!</definedName>
    <definedName name="XRefCopy2Row" localSheetId="5" hidden="1">[11]XREF!#REF!</definedName>
    <definedName name="XRefCopy2Row" hidden="1">[11]XREF!#REF!</definedName>
    <definedName name="XRefCopy3" localSheetId="15" hidden="1">'[5]Carteira 21'!#REF!</definedName>
    <definedName name="XRefCopy3" localSheetId="16" hidden="1">'[5]Carteira 21'!#REF!</definedName>
    <definedName name="XRefCopy3" localSheetId="17" hidden="1">'[5]Carteira 21'!#REF!</definedName>
    <definedName name="XRefCopy3" localSheetId="18" hidden="1">'[5]Carteira 21'!#REF!</definedName>
    <definedName name="XRefCopy3" localSheetId="6" hidden="1">'[5]Carteira 21'!#REF!</definedName>
    <definedName name="XRefCopy3" localSheetId="7" hidden="1">'[5]Carteira 21'!#REF!</definedName>
    <definedName name="XRefCopy3" localSheetId="8" hidden="1">'[6]Carteira 21'!#REF!</definedName>
    <definedName name="XRefCopy3" localSheetId="9" hidden="1">'[5]Carteira 21'!#REF!</definedName>
    <definedName name="XRefCopy3" localSheetId="10" hidden="1">'[6]Carteira 21'!#REF!</definedName>
    <definedName name="XRefCopy3" localSheetId="11" hidden="1">'[6]Carteira 21'!#REF!</definedName>
    <definedName name="XRefCopy3" localSheetId="12" hidden="1">'[5]Carteira 21'!#REF!</definedName>
    <definedName name="XRefCopy3" localSheetId="13" hidden="1">'[5]Carteira 21'!#REF!</definedName>
    <definedName name="XRefCopy3" localSheetId="14" hidden="1">'[5]Carteira 21'!#REF!</definedName>
    <definedName name="XRefCopy3" localSheetId="0" hidden="1">'[5]Carteira 21'!#REF!</definedName>
    <definedName name="XRefCopy3" localSheetId="2" hidden="1">'[5]Carteira 21'!#REF!</definedName>
    <definedName name="XRefCopy3" localSheetId="1" hidden="1">'[5]Carteira 21'!#REF!</definedName>
    <definedName name="XRefCopy3" localSheetId="4" hidden="1">'[5]Carteira 21'!#REF!</definedName>
    <definedName name="XRefCopy3" localSheetId="5" hidden="1">'[5]Carteira 21'!#REF!</definedName>
    <definedName name="XRefCopy3" hidden="1">'[5]Carteira 21'!#REF!</definedName>
    <definedName name="XRefCopy3Row" localSheetId="3" hidden="1">#REF!</definedName>
    <definedName name="XRefCopy3Row" localSheetId="15" hidden="1">'10.BCE_LT_SPRT_CNSTRCTN_STTS'!#REF!</definedName>
    <definedName name="XRefCopy3Row" localSheetId="16" hidden="1">'11.BCE_LT_SPRT_FRBRNC'!#REF!</definedName>
    <definedName name="XRefCopy3Row" localSheetId="17" hidden="1">'11.BCE_LT_SPRT_FRBRNCold'!#REF!</definedName>
    <definedName name="XRefCopy3Row" localSheetId="18" hidden="1">'12.BCE_LT_SPRT_FRBRNC'!#REF!</definedName>
    <definedName name="XRefCopy3Row" localSheetId="6" hidden="1">#REF!</definedName>
    <definedName name="XRefCopy3Row" localSheetId="7" hidden="1">#REF!</definedName>
    <definedName name="XRefCopy3Row" localSheetId="8" hidden="1">#REF!</definedName>
    <definedName name="XRefCopy3Row" localSheetId="9" hidden="1">#REF!</definedName>
    <definedName name="XRefCopy3Row" localSheetId="10" hidden="1">#REF!</definedName>
    <definedName name="XRefCopy3Row" localSheetId="11" hidden="1">'6.BCE_LT_FNNCL_STTMTS'!#REF!</definedName>
    <definedName name="XRefCopy3Row" localSheetId="12" hidden="1">'7.BCE_LT_SPRT_STAGE'!#REF!</definedName>
    <definedName name="XRefCopy3Row" localSheetId="13" hidden="1">'8.BCE_LT_SPRT_PRFM'!#REF!</definedName>
    <definedName name="XRefCopy3Row" localSheetId="14" hidden="1">'9.BCE_LT_SPRT_DFLT'!#REF!</definedName>
    <definedName name="XRefCopy3Row" localSheetId="0" hidden="1">#REF!</definedName>
    <definedName name="XRefCopy3Row" localSheetId="2" hidden="1">#REF!</definedName>
    <definedName name="XRefCopy3Row" localSheetId="1" hidden="1">#REF!</definedName>
    <definedName name="XRefCopy3Row" localSheetId="4" hidden="1">#REF!</definedName>
    <definedName name="XRefCopy3Row" localSheetId="5" hidden="1">#REF!</definedName>
    <definedName name="XRefCopy3Row" hidden="1">#REF!</definedName>
    <definedName name="XRefCopy4" localSheetId="3" hidden="1">'[5]Carteira 21'!#REF!</definedName>
    <definedName name="XRefCopy4" localSheetId="15" hidden="1">'[5]Carteira 21'!#REF!</definedName>
    <definedName name="XRefCopy4" localSheetId="16" hidden="1">'[5]Carteira 21'!#REF!</definedName>
    <definedName name="XRefCopy4" localSheetId="17" hidden="1">'[5]Carteira 21'!#REF!</definedName>
    <definedName name="XRefCopy4" localSheetId="18" hidden="1">'[5]Carteira 21'!#REF!</definedName>
    <definedName name="XRefCopy4" localSheetId="6" hidden="1">'[5]Carteira 21'!#REF!</definedName>
    <definedName name="XRefCopy4" localSheetId="7" hidden="1">'[5]Carteira 21'!#REF!</definedName>
    <definedName name="XRefCopy4" localSheetId="8" hidden="1">'[6]Carteira 21'!#REF!</definedName>
    <definedName name="XRefCopy4" localSheetId="9" hidden="1">'[5]Carteira 21'!#REF!</definedName>
    <definedName name="XRefCopy4" localSheetId="10" hidden="1">'[6]Carteira 21'!#REF!</definedName>
    <definedName name="XRefCopy4" localSheetId="11" hidden="1">'[6]Carteira 21'!#REF!</definedName>
    <definedName name="XRefCopy4" localSheetId="12" hidden="1">'[5]Carteira 21'!#REF!</definedName>
    <definedName name="XRefCopy4" localSheetId="13" hidden="1">'[5]Carteira 21'!#REF!</definedName>
    <definedName name="XRefCopy4" localSheetId="14" hidden="1">'[5]Carteira 21'!#REF!</definedName>
    <definedName name="XRefCopy4" localSheetId="0" hidden="1">'[5]Carteira 21'!#REF!</definedName>
    <definedName name="XRefCopy4" localSheetId="2" hidden="1">'[5]Carteira 21'!#REF!</definedName>
    <definedName name="XRefCopy4" localSheetId="1" hidden="1">'[5]Carteira 21'!#REF!</definedName>
    <definedName name="XRefCopy4" localSheetId="4" hidden="1">'[5]Carteira 21'!#REF!</definedName>
    <definedName name="XRefCopy4" localSheetId="5" hidden="1">'[5]Carteira 21'!#REF!</definedName>
    <definedName name="XRefCopy4" hidden="1">'[5]Carteira 21'!#REF!</definedName>
    <definedName name="XRefCopy4Row" localSheetId="3" hidden="1">[12]XREF!#REF!</definedName>
    <definedName name="XRefCopy4Row" localSheetId="15" hidden="1">[12]XREF!#REF!</definedName>
    <definedName name="XRefCopy4Row" localSheetId="16" hidden="1">[12]XREF!#REF!</definedName>
    <definedName name="XRefCopy4Row" localSheetId="17" hidden="1">[12]XREF!#REF!</definedName>
    <definedName name="XRefCopy4Row" localSheetId="18" hidden="1">[12]XREF!#REF!</definedName>
    <definedName name="XRefCopy4Row" localSheetId="6" hidden="1">[12]XREF!#REF!</definedName>
    <definedName name="XRefCopy4Row" localSheetId="7" hidden="1">[12]XREF!#REF!</definedName>
    <definedName name="XRefCopy4Row" localSheetId="8" hidden="1">[12]XREF!#REF!</definedName>
    <definedName name="XRefCopy4Row" localSheetId="9" hidden="1">[12]XREF!#REF!</definedName>
    <definedName name="XRefCopy4Row" localSheetId="10" hidden="1">[12]XREF!#REF!</definedName>
    <definedName name="XRefCopy4Row" localSheetId="11" hidden="1">[12]XREF!#REF!</definedName>
    <definedName name="XRefCopy4Row" localSheetId="12" hidden="1">[12]XREF!#REF!</definedName>
    <definedName name="XRefCopy4Row" localSheetId="13" hidden="1">[12]XREF!#REF!</definedName>
    <definedName name="XRefCopy4Row" localSheetId="14" hidden="1">[12]XREF!#REF!</definedName>
    <definedName name="XRefCopy4Row" localSheetId="0" hidden="1">[12]XREF!#REF!</definedName>
    <definedName name="XRefCopy4Row" localSheetId="2" hidden="1">[12]XREF!#REF!</definedName>
    <definedName name="XRefCopy4Row" localSheetId="1" hidden="1">[12]XREF!#REF!</definedName>
    <definedName name="XRefCopy4Row" localSheetId="4" hidden="1">[12]XREF!#REF!</definedName>
    <definedName name="XRefCopy4Row" localSheetId="5" hidden="1">[12]XREF!#REF!</definedName>
    <definedName name="XRefCopy4Row" hidden="1">[12]XREF!#REF!</definedName>
    <definedName name="XRefCopy6" hidden="1">[13]Eurodep_20!$C$18</definedName>
    <definedName name="XRefCopy7" localSheetId="16" hidden="1">'[8]Carteira 20'!#REF!</definedName>
    <definedName name="XRefCopy7" localSheetId="17" hidden="1">'[8]Carteira 20'!#REF!</definedName>
    <definedName name="XRefCopy7" hidden="1">'[8]Carteira 20'!#REF!</definedName>
    <definedName name="XRefCopy7Row" localSheetId="3" hidden="1">#REF!</definedName>
    <definedName name="XRefCopy7Row" localSheetId="15" hidden="1">'10.BCE_LT_SPRT_CNSTRCTN_STTS'!#REF!</definedName>
    <definedName name="XRefCopy7Row" localSheetId="16" hidden="1">'11.BCE_LT_SPRT_FRBRNC'!#REF!</definedName>
    <definedName name="XRefCopy7Row" localSheetId="17" hidden="1">'11.BCE_LT_SPRT_FRBRNCold'!#REF!</definedName>
    <definedName name="XRefCopy7Row" localSheetId="18" hidden="1">'12.BCE_LT_SPRT_FRBRNC'!#REF!</definedName>
    <definedName name="XRefCopy7Row" localSheetId="6" hidden="1">#REF!</definedName>
    <definedName name="XRefCopy7Row" localSheetId="7" hidden="1">#REF!</definedName>
    <definedName name="XRefCopy7Row" localSheetId="8" hidden="1">#REF!</definedName>
    <definedName name="XRefCopy7Row" localSheetId="9" hidden="1">#REF!</definedName>
    <definedName name="XRefCopy7Row" localSheetId="10" hidden="1">#REF!</definedName>
    <definedName name="XRefCopy7Row" localSheetId="11" hidden="1">'6.BCE_LT_FNNCL_STTMTS'!#REF!</definedName>
    <definedName name="XRefCopy7Row" localSheetId="12" hidden="1">'7.BCE_LT_SPRT_STAGE'!#REF!</definedName>
    <definedName name="XRefCopy7Row" localSheetId="13" hidden="1">'8.BCE_LT_SPRT_PRFM'!#REF!</definedName>
    <definedName name="XRefCopy7Row" localSheetId="14" hidden="1">'9.BCE_LT_SPRT_DFLT'!#REF!</definedName>
    <definedName name="XRefCopy7Row" localSheetId="0" hidden="1">#REF!</definedName>
    <definedName name="XRefCopy7Row" localSheetId="2" hidden="1">#REF!</definedName>
    <definedName name="XRefCopy7Row" localSheetId="1" hidden="1">#REF!</definedName>
    <definedName name="XRefCopy7Row" localSheetId="4" hidden="1">#REF!</definedName>
    <definedName name="XRefCopy7Row" localSheetId="5" hidden="1">#REF!</definedName>
    <definedName name="XRefCopy7Row" hidden="1">#REF!</definedName>
    <definedName name="XRefCopy8" localSheetId="3" hidden="1">'[8]Carteira 20'!#REF!</definedName>
    <definedName name="XRefCopy8" localSheetId="15" hidden="1">'[8]Carteira 20'!#REF!</definedName>
    <definedName name="XRefCopy8" localSheetId="16" hidden="1">'[8]Carteira 20'!#REF!</definedName>
    <definedName name="XRefCopy8" localSheetId="17" hidden="1">'[8]Carteira 20'!#REF!</definedName>
    <definedName name="XRefCopy8" localSheetId="18" hidden="1">'[8]Carteira 20'!#REF!</definedName>
    <definedName name="XRefCopy8" localSheetId="6" hidden="1">'[8]Carteira 20'!#REF!</definedName>
    <definedName name="XRefCopy8" localSheetId="7" hidden="1">'[8]Carteira 20'!#REF!</definedName>
    <definedName name="XRefCopy8" localSheetId="9" hidden="1">'[8]Carteira 20'!#REF!</definedName>
    <definedName name="XRefCopy8" localSheetId="12" hidden="1">'[8]Carteira 20'!#REF!</definedName>
    <definedName name="XRefCopy8" localSheetId="13" hidden="1">'[8]Carteira 20'!#REF!</definedName>
    <definedName name="XRefCopy8" localSheetId="14" hidden="1">'[8]Carteira 20'!#REF!</definedName>
    <definedName name="XRefCopy8" localSheetId="0" hidden="1">'[8]Carteira 20'!#REF!</definedName>
    <definedName name="XRefCopy8" hidden="1">'[8]Carteira 20'!#REF!</definedName>
    <definedName name="XRefCopy8Row" localSheetId="3" hidden="1">#REF!</definedName>
    <definedName name="XRefCopy8Row" localSheetId="15" hidden="1">'10.BCE_LT_SPRT_CNSTRCTN_STTS'!#REF!</definedName>
    <definedName name="XRefCopy8Row" localSheetId="16" hidden="1">'11.BCE_LT_SPRT_FRBRNC'!#REF!</definedName>
    <definedName name="XRefCopy8Row" localSheetId="17" hidden="1">'11.BCE_LT_SPRT_FRBRNCold'!#REF!</definedName>
    <definedName name="XRefCopy8Row" localSheetId="18" hidden="1">'12.BCE_LT_SPRT_FRBRNC'!#REF!</definedName>
    <definedName name="XRefCopy8Row" localSheetId="6" hidden="1">#REF!</definedName>
    <definedName name="XRefCopy8Row" localSheetId="7" hidden="1">#REF!</definedName>
    <definedName name="XRefCopy8Row" localSheetId="8" hidden="1">#REF!</definedName>
    <definedName name="XRefCopy8Row" localSheetId="9" hidden="1">#REF!</definedName>
    <definedName name="XRefCopy8Row" localSheetId="10" hidden="1">#REF!</definedName>
    <definedName name="XRefCopy8Row" localSheetId="11" hidden="1">'6.BCE_LT_FNNCL_STTMTS'!#REF!</definedName>
    <definedName name="XRefCopy8Row" localSheetId="12" hidden="1">'7.BCE_LT_SPRT_STAGE'!#REF!</definedName>
    <definedName name="XRefCopy8Row" localSheetId="13" hidden="1">'8.BCE_LT_SPRT_PRFM'!#REF!</definedName>
    <definedName name="XRefCopy8Row" localSheetId="14" hidden="1">'9.BCE_LT_SPRT_DFLT'!#REF!</definedName>
    <definedName name="XRefCopy8Row" localSheetId="0" hidden="1">#REF!</definedName>
    <definedName name="XRefCopy8Row" localSheetId="2" hidden="1">#REF!</definedName>
    <definedName name="XRefCopy8Row" localSheetId="1" hidden="1">#REF!</definedName>
    <definedName name="XRefCopy8Row" localSheetId="4" hidden="1">#REF!</definedName>
    <definedName name="XRefCopy8Row" localSheetId="5" hidden="1">#REF!</definedName>
    <definedName name="XRefCopy8Row" hidden="1">#REF!</definedName>
    <definedName name="XRefCopy9" localSheetId="3" hidden="1">'[5]Carteira 21'!#REF!</definedName>
    <definedName name="XRefCopy9" localSheetId="15" hidden="1">'[5]Carteira 21'!#REF!</definedName>
    <definedName name="XRefCopy9" localSheetId="16" hidden="1">'[5]Carteira 21'!#REF!</definedName>
    <definedName name="XRefCopy9" localSheetId="17" hidden="1">'[5]Carteira 21'!#REF!</definedName>
    <definedName name="XRefCopy9" localSheetId="18" hidden="1">'[5]Carteira 21'!#REF!</definedName>
    <definedName name="XRefCopy9" localSheetId="6" hidden="1">'[5]Carteira 21'!#REF!</definedName>
    <definedName name="XRefCopy9" localSheetId="7" hidden="1">'[5]Carteira 21'!#REF!</definedName>
    <definedName name="XRefCopy9" localSheetId="8" hidden="1">'[6]Carteira 21'!#REF!</definedName>
    <definedName name="XRefCopy9" localSheetId="9" hidden="1">'[5]Carteira 21'!#REF!</definedName>
    <definedName name="XRefCopy9" localSheetId="10" hidden="1">'[6]Carteira 21'!#REF!</definedName>
    <definedName name="XRefCopy9" localSheetId="11" hidden="1">'[6]Carteira 21'!#REF!</definedName>
    <definedName name="XRefCopy9" localSheetId="12" hidden="1">'[5]Carteira 21'!#REF!</definedName>
    <definedName name="XRefCopy9" localSheetId="13" hidden="1">'[5]Carteira 21'!#REF!</definedName>
    <definedName name="XRefCopy9" localSheetId="14" hidden="1">'[5]Carteira 21'!#REF!</definedName>
    <definedName name="XRefCopy9" localSheetId="0" hidden="1">'[5]Carteira 21'!#REF!</definedName>
    <definedName name="XRefCopy9" hidden="1">'[5]Carteira 21'!#REF!</definedName>
    <definedName name="XRefCopy99" localSheetId="3" hidden="1">'[5]Carteira 21'!#REF!</definedName>
    <definedName name="XRefCopy99" localSheetId="16" hidden="1">'[5]Carteira 21'!#REF!</definedName>
    <definedName name="XRefCopy99" localSheetId="17" hidden="1">'[5]Carteira 21'!#REF!</definedName>
    <definedName name="XRefCopy99" localSheetId="6" hidden="1">'[5]Carteira 21'!#REF!</definedName>
    <definedName name="XRefCopy99" localSheetId="7" hidden="1">'[5]Carteira 21'!#REF!</definedName>
    <definedName name="XRefCopy99" localSheetId="8" hidden="1">'[6]Carteira 21'!#REF!</definedName>
    <definedName name="XRefCopy99" localSheetId="9" hidden="1">'[5]Carteira 21'!#REF!</definedName>
    <definedName name="XRefCopy99" localSheetId="10" hidden="1">'[6]Carteira 21'!#REF!</definedName>
    <definedName name="XRefCopy99" localSheetId="11" hidden="1">'[6]Carteira 21'!#REF!</definedName>
    <definedName name="XRefCopy99" hidden="1">'[5]Carteira 21'!#REF!</definedName>
    <definedName name="XRefCopy9Row" hidden="1">[12]XREF!$8:$8</definedName>
    <definedName name="XRefCopyRangeCount" hidden="1">10</definedName>
    <definedName name="XRefPaste10" localSheetId="16" hidden="1">'[5]Carteira 21'!#REF!</definedName>
    <definedName name="XRefPaste10" localSheetId="17" hidden="1">'[5]Carteira 21'!#REF!</definedName>
    <definedName name="XRefPaste10" localSheetId="8" hidden="1">'[6]Carteira 21'!#REF!</definedName>
    <definedName name="XRefPaste10" localSheetId="10" hidden="1">'[6]Carteira 21'!#REF!</definedName>
    <definedName name="XRefPaste10" localSheetId="11" hidden="1">'[6]Carteira 21'!#REF!</definedName>
    <definedName name="XRefPaste10" hidden="1">'[5]Carteira 21'!#REF!</definedName>
    <definedName name="XRefPaste10Row" localSheetId="3" hidden="1">#REF!</definedName>
    <definedName name="XRefPaste10Row" localSheetId="15" hidden="1">'10.BCE_LT_SPRT_CNSTRCTN_STTS'!#REF!</definedName>
    <definedName name="XRefPaste10Row" localSheetId="16" hidden="1">'11.BCE_LT_SPRT_FRBRNC'!#REF!</definedName>
    <definedName name="XRefPaste10Row" localSheetId="17" hidden="1">'11.BCE_LT_SPRT_FRBRNCold'!#REF!</definedName>
    <definedName name="XRefPaste10Row" localSheetId="18" hidden="1">'12.BCE_LT_SPRT_FRBRNC'!#REF!</definedName>
    <definedName name="XRefPaste10Row" localSheetId="6" hidden="1">#REF!</definedName>
    <definedName name="XRefPaste10Row" localSheetId="7" hidden="1">#REF!</definedName>
    <definedName name="XRefPaste10Row" localSheetId="8" hidden="1">#REF!</definedName>
    <definedName name="XRefPaste10Row" localSheetId="9" hidden="1">#REF!</definedName>
    <definedName name="XRefPaste10Row" localSheetId="10" hidden="1">#REF!</definedName>
    <definedName name="XRefPaste10Row" localSheetId="11" hidden="1">'6.BCE_LT_FNNCL_STTMTS'!#REF!</definedName>
    <definedName name="XRefPaste10Row" localSheetId="12" hidden="1">'7.BCE_LT_SPRT_STAGE'!#REF!</definedName>
    <definedName name="XRefPaste10Row" localSheetId="13" hidden="1">'8.BCE_LT_SPRT_PRFM'!#REF!</definedName>
    <definedName name="XRefPaste10Row" localSheetId="14" hidden="1">'9.BCE_LT_SPRT_DFLT'!#REF!</definedName>
    <definedName name="XRefPaste10Row" localSheetId="0" hidden="1">#REF!</definedName>
    <definedName name="XRefPaste10Row" localSheetId="2" hidden="1">#REF!</definedName>
    <definedName name="XRefPaste10Row" localSheetId="1" hidden="1">#REF!</definedName>
    <definedName name="XRefPaste10Row" localSheetId="4" hidden="1">#REF!</definedName>
    <definedName name="XRefPaste10Row" localSheetId="5" hidden="1">#REF!</definedName>
    <definedName name="XRefPaste10Row" hidden="1">#REF!</definedName>
    <definedName name="XRefPaste11" localSheetId="3" hidden="1">'[8]Carteira 20'!#REF!</definedName>
    <definedName name="XRefPaste11" localSheetId="15" hidden="1">'[8]Carteira 20'!#REF!</definedName>
    <definedName name="XRefPaste11" localSheetId="16" hidden="1">'[8]Carteira 20'!#REF!</definedName>
    <definedName name="XRefPaste11" localSheetId="17" hidden="1">'[8]Carteira 20'!#REF!</definedName>
    <definedName name="XRefPaste11" localSheetId="18" hidden="1">'[8]Carteira 20'!#REF!</definedName>
    <definedName name="XRefPaste11" localSheetId="6" hidden="1">'[8]Carteira 20'!#REF!</definedName>
    <definedName name="XRefPaste11" localSheetId="7" hidden="1">'[8]Carteira 20'!#REF!</definedName>
    <definedName name="XRefPaste11" localSheetId="9" hidden="1">'[8]Carteira 20'!#REF!</definedName>
    <definedName name="XRefPaste11" localSheetId="12" hidden="1">'[8]Carteira 20'!#REF!</definedName>
    <definedName name="XRefPaste11" localSheetId="13" hidden="1">'[8]Carteira 20'!#REF!</definedName>
    <definedName name="XRefPaste11" localSheetId="14" hidden="1">'[8]Carteira 20'!#REF!</definedName>
    <definedName name="XRefPaste11" localSheetId="0" hidden="1">'[8]Carteira 20'!#REF!</definedName>
    <definedName name="XRefPaste11" hidden="1">'[8]Carteira 20'!#REF!</definedName>
    <definedName name="XRefPaste11Row" localSheetId="3" hidden="1">#REF!</definedName>
    <definedName name="XRefPaste11Row" localSheetId="15" hidden="1">'10.BCE_LT_SPRT_CNSTRCTN_STTS'!#REF!</definedName>
    <definedName name="XRefPaste11Row" localSheetId="16" hidden="1">'11.BCE_LT_SPRT_FRBRNC'!#REF!</definedName>
    <definedName name="XRefPaste11Row" localSheetId="17" hidden="1">'11.BCE_LT_SPRT_FRBRNCold'!#REF!</definedName>
    <definedName name="XRefPaste11Row" localSheetId="18" hidden="1">'12.BCE_LT_SPRT_FRBRNC'!#REF!</definedName>
    <definedName name="XRefPaste11Row" localSheetId="6" hidden="1">#REF!</definedName>
    <definedName name="XRefPaste11Row" localSheetId="7" hidden="1">#REF!</definedName>
    <definedName name="XRefPaste11Row" localSheetId="8" hidden="1">#REF!</definedName>
    <definedName name="XRefPaste11Row" localSheetId="9" hidden="1">#REF!</definedName>
    <definedName name="XRefPaste11Row" localSheetId="10" hidden="1">#REF!</definedName>
    <definedName name="XRefPaste11Row" localSheetId="11" hidden="1">'6.BCE_LT_FNNCL_STTMTS'!#REF!</definedName>
    <definedName name="XRefPaste11Row" localSheetId="12" hidden="1">'7.BCE_LT_SPRT_STAGE'!#REF!</definedName>
    <definedName name="XRefPaste11Row" localSheetId="13" hidden="1">'8.BCE_LT_SPRT_PRFM'!#REF!</definedName>
    <definedName name="XRefPaste11Row" localSheetId="14" hidden="1">'9.BCE_LT_SPRT_DFLT'!#REF!</definedName>
    <definedName name="XRefPaste11Row" localSheetId="0" hidden="1">#REF!</definedName>
    <definedName name="XRefPaste11Row" localSheetId="2" hidden="1">#REF!</definedName>
    <definedName name="XRefPaste11Row" localSheetId="1" hidden="1">#REF!</definedName>
    <definedName name="XRefPaste11Row" localSheetId="4" hidden="1">#REF!</definedName>
    <definedName name="XRefPaste11Row" localSheetId="5" hidden="1">#REF!</definedName>
    <definedName name="XRefPaste11Row" hidden="1">#REF!</definedName>
    <definedName name="XRefPaste12" localSheetId="3" hidden="1">'[8]Carteira 20'!#REF!</definedName>
    <definedName name="XRefPaste12" localSheetId="15" hidden="1">'[8]Carteira 20'!#REF!</definedName>
    <definedName name="XRefPaste12" localSheetId="16" hidden="1">'[8]Carteira 20'!#REF!</definedName>
    <definedName name="XRefPaste12" localSheetId="17" hidden="1">'[8]Carteira 20'!#REF!</definedName>
    <definedName name="XRefPaste12" localSheetId="18" hidden="1">'[8]Carteira 20'!#REF!</definedName>
    <definedName name="XRefPaste12" localSheetId="6" hidden="1">'[8]Carteira 20'!#REF!</definedName>
    <definedName name="XRefPaste12" localSheetId="7" hidden="1">'[8]Carteira 20'!#REF!</definedName>
    <definedName name="XRefPaste12" localSheetId="9" hidden="1">'[8]Carteira 20'!#REF!</definedName>
    <definedName name="XRefPaste12" localSheetId="12" hidden="1">'[8]Carteira 20'!#REF!</definedName>
    <definedName name="XRefPaste12" localSheetId="13" hidden="1">'[8]Carteira 20'!#REF!</definedName>
    <definedName name="XRefPaste12" localSheetId="14" hidden="1">'[8]Carteira 20'!#REF!</definedName>
    <definedName name="XRefPaste12" localSheetId="0" hidden="1">'[8]Carteira 20'!#REF!</definedName>
    <definedName name="XRefPaste12" hidden="1">'[8]Carteira 20'!#REF!</definedName>
    <definedName name="XRefPaste12Row" localSheetId="3" hidden="1">#REF!</definedName>
    <definedName name="XRefPaste12Row" localSheetId="15" hidden="1">'10.BCE_LT_SPRT_CNSTRCTN_STTS'!#REF!</definedName>
    <definedName name="XRefPaste12Row" localSheetId="16" hidden="1">'11.BCE_LT_SPRT_FRBRNC'!#REF!</definedName>
    <definedName name="XRefPaste12Row" localSheetId="17" hidden="1">'11.BCE_LT_SPRT_FRBRNCold'!#REF!</definedName>
    <definedName name="XRefPaste12Row" localSheetId="18" hidden="1">'12.BCE_LT_SPRT_FRBRNC'!#REF!</definedName>
    <definedName name="XRefPaste12Row" localSheetId="6" hidden="1">#REF!</definedName>
    <definedName name="XRefPaste12Row" localSheetId="7" hidden="1">#REF!</definedName>
    <definedName name="XRefPaste12Row" localSheetId="8" hidden="1">#REF!</definedName>
    <definedName name="XRefPaste12Row" localSheetId="9" hidden="1">#REF!</definedName>
    <definedName name="XRefPaste12Row" localSheetId="10" hidden="1">#REF!</definedName>
    <definedName name="XRefPaste12Row" localSheetId="11" hidden="1">'6.BCE_LT_FNNCL_STTMTS'!#REF!</definedName>
    <definedName name="XRefPaste12Row" localSheetId="12" hidden="1">'7.BCE_LT_SPRT_STAGE'!#REF!</definedName>
    <definedName name="XRefPaste12Row" localSheetId="13" hidden="1">'8.BCE_LT_SPRT_PRFM'!#REF!</definedName>
    <definedName name="XRefPaste12Row" localSheetId="14" hidden="1">'9.BCE_LT_SPRT_DFLT'!#REF!</definedName>
    <definedName name="XRefPaste12Row" localSheetId="0" hidden="1">#REF!</definedName>
    <definedName name="XRefPaste12Row" localSheetId="2" hidden="1">#REF!</definedName>
    <definedName name="XRefPaste12Row" localSheetId="1" hidden="1">#REF!</definedName>
    <definedName name="XRefPaste12Row" localSheetId="4" hidden="1">#REF!</definedName>
    <definedName name="XRefPaste12Row" localSheetId="5" hidden="1">#REF!</definedName>
    <definedName name="XRefPaste12Row" hidden="1">#REF!</definedName>
    <definedName name="XRefPaste13" localSheetId="3" hidden="1">'[5]Carteira 21'!#REF!</definedName>
    <definedName name="XRefPaste13" localSheetId="15" hidden="1">'[5]Carteira 21'!#REF!</definedName>
    <definedName name="XRefPaste13" localSheetId="16" hidden="1">'[5]Carteira 21'!#REF!</definedName>
    <definedName name="XRefPaste13" localSheetId="17" hidden="1">'[5]Carteira 21'!#REF!</definedName>
    <definedName name="XRefPaste13" localSheetId="18" hidden="1">'[5]Carteira 21'!#REF!</definedName>
    <definedName name="XRefPaste13" localSheetId="6" hidden="1">'[5]Carteira 21'!#REF!</definedName>
    <definedName name="XRefPaste13" localSheetId="7" hidden="1">'[5]Carteira 21'!#REF!</definedName>
    <definedName name="XRefPaste13" localSheetId="8" hidden="1">'[6]Carteira 21'!#REF!</definedName>
    <definedName name="XRefPaste13" localSheetId="9" hidden="1">'[5]Carteira 21'!#REF!</definedName>
    <definedName name="XRefPaste13" localSheetId="10" hidden="1">'[6]Carteira 21'!#REF!</definedName>
    <definedName name="XRefPaste13" localSheetId="11" hidden="1">'[6]Carteira 21'!#REF!</definedName>
    <definedName name="XRefPaste13" localSheetId="12" hidden="1">'[5]Carteira 21'!#REF!</definedName>
    <definedName name="XRefPaste13" localSheetId="13" hidden="1">'[5]Carteira 21'!#REF!</definedName>
    <definedName name="XRefPaste13" localSheetId="14" hidden="1">'[5]Carteira 21'!#REF!</definedName>
    <definedName name="XRefPaste13" localSheetId="0" hidden="1">'[5]Carteira 21'!#REF!</definedName>
    <definedName name="XRefPaste13" hidden="1">'[5]Carteira 21'!#REF!</definedName>
    <definedName name="XRefPaste13Row" localSheetId="3" hidden="1">#REF!</definedName>
    <definedName name="XRefPaste13Row" localSheetId="15" hidden="1">'10.BCE_LT_SPRT_CNSTRCTN_STTS'!#REF!</definedName>
    <definedName name="XRefPaste13Row" localSheetId="16" hidden="1">'11.BCE_LT_SPRT_FRBRNC'!#REF!</definedName>
    <definedName name="XRefPaste13Row" localSheetId="17" hidden="1">'11.BCE_LT_SPRT_FRBRNCold'!#REF!</definedName>
    <definedName name="XRefPaste13Row" localSheetId="18" hidden="1">'12.BCE_LT_SPRT_FRBRNC'!#REF!</definedName>
    <definedName name="XRefPaste13Row" localSheetId="6" hidden="1">#REF!</definedName>
    <definedName name="XRefPaste13Row" localSheetId="7" hidden="1">#REF!</definedName>
    <definedName name="XRefPaste13Row" localSheetId="8" hidden="1">#REF!</definedName>
    <definedName name="XRefPaste13Row" localSheetId="9" hidden="1">#REF!</definedName>
    <definedName name="XRefPaste13Row" localSheetId="10" hidden="1">#REF!</definedName>
    <definedName name="XRefPaste13Row" localSheetId="11" hidden="1">'6.BCE_LT_FNNCL_STTMTS'!#REF!</definedName>
    <definedName name="XRefPaste13Row" localSheetId="12" hidden="1">'7.BCE_LT_SPRT_STAGE'!#REF!</definedName>
    <definedName name="XRefPaste13Row" localSheetId="13" hidden="1">'8.BCE_LT_SPRT_PRFM'!#REF!</definedName>
    <definedName name="XRefPaste13Row" localSheetId="14" hidden="1">'9.BCE_LT_SPRT_DFLT'!#REF!</definedName>
    <definedName name="XRefPaste13Row" localSheetId="0" hidden="1">#REF!</definedName>
    <definedName name="XRefPaste13Row" localSheetId="2" hidden="1">#REF!</definedName>
    <definedName name="XRefPaste13Row" localSheetId="1" hidden="1">#REF!</definedName>
    <definedName name="XRefPaste13Row" localSheetId="4" hidden="1">#REF!</definedName>
    <definedName name="XRefPaste13Row" localSheetId="5" hidden="1">#REF!</definedName>
    <definedName name="XRefPaste13Row" hidden="1">#REF!</definedName>
    <definedName name="XRefPaste1Row" localSheetId="3" hidden="1">[11]XREF!#REF!</definedName>
    <definedName name="XRefPaste1Row" localSheetId="15" hidden="1">[11]XREF!#REF!</definedName>
    <definedName name="XRefPaste1Row" localSheetId="16" hidden="1">[11]XREF!#REF!</definedName>
    <definedName name="XRefPaste1Row" localSheetId="17" hidden="1">[11]XREF!#REF!</definedName>
    <definedName name="XRefPaste1Row" localSheetId="18" hidden="1">[11]XREF!#REF!</definedName>
    <definedName name="XRefPaste1Row" localSheetId="6" hidden="1">[11]XREF!#REF!</definedName>
    <definedName name="XRefPaste1Row" localSheetId="7" hidden="1">[11]XREF!#REF!</definedName>
    <definedName name="XRefPaste1Row" localSheetId="9" hidden="1">[11]XREF!#REF!</definedName>
    <definedName name="XRefPaste1Row" localSheetId="12" hidden="1">[11]XREF!#REF!</definedName>
    <definedName name="XRefPaste1Row" localSheetId="13" hidden="1">[11]XREF!#REF!</definedName>
    <definedName name="XRefPaste1Row" localSheetId="14" hidden="1">[11]XREF!#REF!</definedName>
    <definedName name="XRefPaste1Row" localSheetId="0" hidden="1">[11]XREF!#REF!</definedName>
    <definedName name="XRefPaste1Row" hidden="1">[11]XREF!#REF!</definedName>
    <definedName name="XRefPaste2" localSheetId="3" hidden="1">'[5]Carteira 21'!#REF!</definedName>
    <definedName name="XRefPaste2" localSheetId="16" hidden="1">'[5]Carteira 21'!#REF!</definedName>
    <definedName name="XRefPaste2" localSheetId="17" hidden="1">'[5]Carteira 21'!#REF!</definedName>
    <definedName name="XRefPaste2" localSheetId="6" hidden="1">'[5]Carteira 21'!#REF!</definedName>
    <definedName name="XRefPaste2" localSheetId="7" hidden="1">'[5]Carteira 21'!#REF!</definedName>
    <definedName name="XRefPaste2" localSheetId="8" hidden="1">'[6]Carteira 21'!#REF!</definedName>
    <definedName name="XRefPaste2" localSheetId="9" hidden="1">'[5]Carteira 21'!#REF!</definedName>
    <definedName name="XRefPaste2" localSheetId="10" hidden="1">'[6]Carteira 21'!#REF!</definedName>
    <definedName name="XRefPaste2" localSheetId="11" hidden="1">'[6]Carteira 21'!#REF!</definedName>
    <definedName name="XRefPaste2" hidden="1">'[5]Carteira 21'!#REF!</definedName>
    <definedName name="XRefPaste2Row" localSheetId="3" hidden="1">#REF!</definedName>
    <definedName name="XRefPaste2Row" localSheetId="15" hidden="1">'10.BCE_LT_SPRT_CNSTRCTN_STTS'!#REF!</definedName>
    <definedName name="XRefPaste2Row" localSheetId="16" hidden="1">'11.BCE_LT_SPRT_FRBRNC'!#REF!</definedName>
    <definedName name="XRefPaste2Row" localSheetId="17" hidden="1">'11.BCE_LT_SPRT_FRBRNCold'!#REF!</definedName>
    <definedName name="XRefPaste2Row" localSheetId="18" hidden="1">'12.BCE_LT_SPRT_FRBRNC'!#REF!</definedName>
    <definedName name="XRefPaste2Row" localSheetId="6" hidden="1">#REF!</definedName>
    <definedName name="XRefPaste2Row" localSheetId="7" hidden="1">#REF!</definedName>
    <definedName name="XRefPaste2Row" localSheetId="8" hidden="1">#REF!</definedName>
    <definedName name="XRefPaste2Row" localSheetId="9" hidden="1">#REF!</definedName>
    <definedName name="XRefPaste2Row" localSheetId="10" hidden="1">#REF!</definedName>
    <definedName name="XRefPaste2Row" localSheetId="11" hidden="1">'6.BCE_LT_FNNCL_STTMTS'!#REF!</definedName>
    <definedName name="XRefPaste2Row" localSheetId="12" hidden="1">'7.BCE_LT_SPRT_STAGE'!#REF!</definedName>
    <definedName name="XRefPaste2Row" localSheetId="13" hidden="1">'8.BCE_LT_SPRT_PRFM'!#REF!</definedName>
    <definedName name="XRefPaste2Row" localSheetId="14" hidden="1">'9.BCE_LT_SPRT_DFLT'!#REF!</definedName>
    <definedName name="XRefPaste2Row" localSheetId="0" hidden="1">#REF!</definedName>
    <definedName name="XRefPaste2Row" localSheetId="2" hidden="1">#REF!</definedName>
    <definedName name="XRefPaste2Row" localSheetId="1" hidden="1">#REF!</definedName>
    <definedName name="XRefPaste2Row" localSheetId="4" hidden="1">#REF!</definedName>
    <definedName name="XRefPaste2Row" localSheetId="5" hidden="1">#REF!</definedName>
    <definedName name="XRefPaste2Row" hidden="1">#REF!</definedName>
    <definedName name="XRefPaste3" localSheetId="3" hidden="1">'[5]Carteira 21'!#REF!</definedName>
    <definedName name="XRefPaste3" localSheetId="15" hidden="1">'[5]Carteira 21'!#REF!</definedName>
    <definedName name="XRefPaste3" localSheetId="16" hidden="1">'[5]Carteira 21'!#REF!</definedName>
    <definedName name="XRefPaste3" localSheetId="17" hidden="1">'[5]Carteira 21'!#REF!</definedName>
    <definedName name="XRefPaste3" localSheetId="18" hidden="1">'[5]Carteira 21'!#REF!</definedName>
    <definedName name="XRefPaste3" localSheetId="6" hidden="1">'[5]Carteira 21'!#REF!</definedName>
    <definedName name="XRefPaste3" localSheetId="7" hidden="1">'[5]Carteira 21'!#REF!</definedName>
    <definedName name="XRefPaste3" localSheetId="8" hidden="1">'[6]Carteira 21'!#REF!</definedName>
    <definedName name="XRefPaste3" localSheetId="9" hidden="1">'[5]Carteira 21'!#REF!</definedName>
    <definedName name="XRefPaste3" localSheetId="10" hidden="1">'[6]Carteira 21'!#REF!</definedName>
    <definedName name="XRefPaste3" localSheetId="11" hidden="1">'[6]Carteira 21'!#REF!</definedName>
    <definedName name="XRefPaste3" localSheetId="12" hidden="1">'[5]Carteira 21'!#REF!</definedName>
    <definedName name="XRefPaste3" localSheetId="13" hidden="1">'[5]Carteira 21'!#REF!</definedName>
    <definedName name="XRefPaste3" localSheetId="14" hidden="1">'[5]Carteira 21'!#REF!</definedName>
    <definedName name="XRefPaste3" localSheetId="0" hidden="1">'[5]Carteira 21'!#REF!</definedName>
    <definedName name="XRefPaste3" hidden="1">'[5]Carteira 21'!#REF!</definedName>
    <definedName name="XRefPaste3Row" localSheetId="3" hidden="1">#REF!</definedName>
    <definedName name="XRefPaste3Row" localSheetId="15" hidden="1">'10.BCE_LT_SPRT_CNSTRCTN_STTS'!#REF!</definedName>
    <definedName name="XRefPaste3Row" localSheetId="16" hidden="1">'11.BCE_LT_SPRT_FRBRNC'!#REF!</definedName>
    <definedName name="XRefPaste3Row" localSheetId="17" hidden="1">'11.BCE_LT_SPRT_FRBRNCold'!#REF!</definedName>
    <definedName name="XRefPaste3Row" localSheetId="18" hidden="1">'12.BCE_LT_SPRT_FRBRNC'!#REF!</definedName>
    <definedName name="XRefPaste3Row" localSheetId="6" hidden="1">#REF!</definedName>
    <definedName name="XRefPaste3Row" localSheetId="7" hidden="1">#REF!</definedName>
    <definedName name="XRefPaste3Row" localSheetId="8" hidden="1">#REF!</definedName>
    <definedName name="XRefPaste3Row" localSheetId="9" hidden="1">#REF!</definedName>
    <definedName name="XRefPaste3Row" localSheetId="10" hidden="1">#REF!</definedName>
    <definedName name="XRefPaste3Row" localSheetId="11" hidden="1">'6.BCE_LT_FNNCL_STTMTS'!#REF!</definedName>
    <definedName name="XRefPaste3Row" localSheetId="12" hidden="1">'7.BCE_LT_SPRT_STAGE'!#REF!</definedName>
    <definedName name="XRefPaste3Row" localSheetId="13" hidden="1">'8.BCE_LT_SPRT_PRFM'!#REF!</definedName>
    <definedName name="XRefPaste3Row" localSheetId="14" hidden="1">'9.BCE_LT_SPRT_DFLT'!#REF!</definedName>
    <definedName name="XRefPaste3Row" localSheetId="0" hidden="1">#REF!</definedName>
    <definedName name="XRefPaste3Row" localSheetId="2" hidden="1">#REF!</definedName>
    <definedName name="XRefPaste3Row" localSheetId="1" hidden="1">#REF!</definedName>
    <definedName name="XRefPaste3Row" localSheetId="4" hidden="1">#REF!</definedName>
    <definedName name="XRefPaste3Row" localSheetId="5" hidden="1">#REF!</definedName>
    <definedName name="XRefPaste3Row" hidden="1">#REF!</definedName>
    <definedName name="XRefPaste4" localSheetId="3" hidden="1">'[8]Carteira 20'!#REF!</definedName>
    <definedName name="XRefPaste4" localSheetId="15" hidden="1">'[8]Carteira 20'!#REF!</definedName>
    <definedName name="XRefPaste4" localSheetId="16" hidden="1">'[8]Carteira 20'!#REF!</definedName>
    <definedName name="XRefPaste4" localSheetId="17" hidden="1">'[8]Carteira 20'!#REF!</definedName>
    <definedName name="XRefPaste4" localSheetId="18" hidden="1">'[8]Carteira 20'!#REF!</definedName>
    <definedName name="XRefPaste4" localSheetId="6" hidden="1">'[8]Carteira 20'!#REF!</definedName>
    <definedName name="XRefPaste4" localSheetId="7" hidden="1">'[8]Carteira 20'!#REF!</definedName>
    <definedName name="XRefPaste4" localSheetId="9" hidden="1">'[8]Carteira 20'!#REF!</definedName>
    <definedName name="XRefPaste4" localSheetId="12" hidden="1">'[8]Carteira 20'!#REF!</definedName>
    <definedName name="XRefPaste4" localSheetId="13" hidden="1">'[8]Carteira 20'!#REF!</definedName>
    <definedName name="XRefPaste4" localSheetId="14" hidden="1">'[8]Carteira 20'!#REF!</definedName>
    <definedName name="XRefPaste4" localSheetId="0" hidden="1">'[8]Carteira 20'!#REF!</definedName>
    <definedName name="XRefPaste4" hidden="1">'[8]Carteira 20'!#REF!</definedName>
    <definedName name="XRefPaste4Row" hidden="1">[12]XREF!$3:$3</definedName>
    <definedName name="XRefPaste5Row" localSheetId="3" hidden="1">#REF!</definedName>
    <definedName name="XRefPaste5Row" localSheetId="15" hidden="1">'10.BCE_LT_SPRT_CNSTRCTN_STTS'!#REF!</definedName>
    <definedName name="XRefPaste5Row" localSheetId="16" hidden="1">'11.BCE_LT_SPRT_FRBRNC'!#REF!</definedName>
    <definedName name="XRefPaste5Row" localSheetId="17" hidden="1">'11.BCE_LT_SPRT_FRBRNCold'!#REF!</definedName>
    <definedName name="XRefPaste5Row" localSheetId="18" hidden="1">'12.BCE_LT_SPRT_FRBRNC'!#REF!</definedName>
    <definedName name="XRefPaste5Row" localSheetId="6" hidden="1">#REF!</definedName>
    <definedName name="XRefPaste5Row" localSheetId="7" hidden="1">#REF!</definedName>
    <definedName name="XRefPaste5Row" localSheetId="8" hidden="1">#REF!</definedName>
    <definedName name="XRefPaste5Row" localSheetId="9" hidden="1">#REF!</definedName>
    <definedName name="XRefPaste5Row" localSheetId="10" hidden="1">#REF!</definedName>
    <definedName name="XRefPaste5Row" localSheetId="11" hidden="1">'6.BCE_LT_FNNCL_STTMTS'!#REF!</definedName>
    <definedName name="XRefPaste5Row" localSheetId="12" hidden="1">'7.BCE_LT_SPRT_STAGE'!#REF!</definedName>
    <definedName name="XRefPaste5Row" localSheetId="13" hidden="1">'8.BCE_LT_SPRT_PRFM'!#REF!</definedName>
    <definedName name="XRefPaste5Row" localSheetId="14" hidden="1">'9.BCE_LT_SPRT_DFLT'!#REF!</definedName>
    <definedName name="XRefPaste5Row" localSheetId="0" hidden="1">#REF!</definedName>
    <definedName name="XRefPaste5Row" localSheetId="2" hidden="1">#REF!</definedName>
    <definedName name="XRefPaste5Row" localSheetId="1" hidden="1">#REF!</definedName>
    <definedName name="XRefPaste5Row" localSheetId="4" hidden="1">#REF!</definedName>
    <definedName name="XRefPaste5Row" localSheetId="5" hidden="1">#REF!</definedName>
    <definedName name="XRefPaste5Row" hidden="1">#REF!</definedName>
    <definedName name="XRefPaste6" hidden="1">[13]Eurodep_20!$W$18</definedName>
    <definedName name="XRefPaste6Row" hidden="1">[12]XREF!$6:$6</definedName>
    <definedName name="XRefPaste7Row" hidden="1">[12]XREF!$11:$11</definedName>
    <definedName name="XRefPaste8Row" localSheetId="3" hidden="1">#REF!</definedName>
    <definedName name="XRefPaste8Row" localSheetId="15" hidden="1">'10.BCE_LT_SPRT_CNSTRCTN_STTS'!#REF!</definedName>
    <definedName name="XRefPaste8Row" localSheetId="16" hidden="1">'11.BCE_LT_SPRT_FRBRNC'!#REF!</definedName>
    <definedName name="XRefPaste8Row" localSheetId="17" hidden="1">'11.BCE_LT_SPRT_FRBRNCold'!#REF!</definedName>
    <definedName name="XRefPaste8Row" localSheetId="18" hidden="1">'12.BCE_LT_SPRT_FRBRNC'!#REF!</definedName>
    <definedName name="XRefPaste8Row" localSheetId="6" hidden="1">#REF!</definedName>
    <definedName name="XRefPaste8Row" localSheetId="7" hidden="1">#REF!</definedName>
    <definedName name="XRefPaste8Row" localSheetId="8" hidden="1">#REF!</definedName>
    <definedName name="XRefPaste8Row" localSheetId="9" hidden="1">#REF!</definedName>
    <definedName name="XRefPaste8Row" localSheetId="10" hidden="1">#REF!</definedName>
    <definedName name="XRefPaste8Row" localSheetId="11" hidden="1">'6.BCE_LT_FNNCL_STTMTS'!#REF!</definedName>
    <definedName name="XRefPaste8Row" localSheetId="12" hidden="1">'7.BCE_LT_SPRT_STAGE'!#REF!</definedName>
    <definedName name="XRefPaste8Row" localSheetId="13" hidden="1">'8.BCE_LT_SPRT_PRFM'!#REF!</definedName>
    <definedName name="XRefPaste8Row" localSheetId="14" hidden="1">'9.BCE_LT_SPRT_DFLT'!#REF!</definedName>
    <definedName name="XRefPaste8Row" localSheetId="0" hidden="1">#REF!</definedName>
    <definedName name="XRefPaste8Row" localSheetId="2" hidden="1">#REF!</definedName>
    <definedName name="XRefPaste8Row" localSheetId="1" hidden="1">#REF!</definedName>
    <definedName name="XRefPaste8Row" localSheetId="4" hidden="1">#REF!</definedName>
    <definedName name="XRefPaste8Row" localSheetId="5" hidden="1">#REF!</definedName>
    <definedName name="XRefPaste8Row" hidden="1">#REF!</definedName>
    <definedName name="XRefPaste9" localSheetId="3" hidden="1">'[8]Carteira 20'!#REF!</definedName>
    <definedName name="XRefPaste9" localSheetId="15" hidden="1">'[8]Carteira 20'!#REF!</definedName>
    <definedName name="XRefPaste9" localSheetId="16" hidden="1">'[8]Carteira 20'!#REF!</definedName>
    <definedName name="XRefPaste9" localSheetId="17" hidden="1">'[8]Carteira 20'!#REF!</definedName>
    <definedName name="XRefPaste9" localSheetId="18" hidden="1">'[8]Carteira 20'!#REF!</definedName>
    <definedName name="XRefPaste9" localSheetId="6" hidden="1">'[8]Carteira 20'!#REF!</definedName>
    <definedName name="XRefPaste9" localSheetId="7" hidden="1">'[8]Carteira 20'!#REF!</definedName>
    <definedName name="XRefPaste9" localSheetId="9" hidden="1">'[8]Carteira 20'!#REF!</definedName>
    <definedName name="XRefPaste9" localSheetId="12" hidden="1">'[8]Carteira 20'!#REF!</definedName>
    <definedName name="XRefPaste9" localSheetId="13" hidden="1">'[8]Carteira 20'!#REF!</definedName>
    <definedName name="XRefPaste9" localSheetId="14" hidden="1">'[8]Carteira 20'!#REF!</definedName>
    <definedName name="XRefPaste9" localSheetId="0" hidden="1">'[8]Carteira 20'!#REF!</definedName>
    <definedName name="XRefPaste9" hidden="1">'[8]Carteira 20'!#REF!</definedName>
    <definedName name="XRefPaste9Row" localSheetId="3" hidden="1">#REF!</definedName>
    <definedName name="XRefPaste9Row" localSheetId="15" hidden="1">'10.BCE_LT_SPRT_CNSTRCTN_STTS'!#REF!</definedName>
    <definedName name="XRefPaste9Row" localSheetId="16" hidden="1">'11.BCE_LT_SPRT_FRBRNC'!#REF!</definedName>
    <definedName name="XRefPaste9Row" localSheetId="17" hidden="1">'11.BCE_LT_SPRT_FRBRNCold'!#REF!</definedName>
    <definedName name="XRefPaste9Row" localSheetId="18" hidden="1">'12.BCE_LT_SPRT_FRBRNC'!#REF!</definedName>
    <definedName name="XRefPaste9Row" localSheetId="6" hidden="1">#REF!</definedName>
    <definedName name="XRefPaste9Row" localSheetId="7" hidden="1">#REF!</definedName>
    <definedName name="XRefPaste9Row" localSheetId="8" hidden="1">#REF!</definedName>
    <definedName name="XRefPaste9Row" localSheetId="9" hidden="1">#REF!</definedName>
    <definedName name="XRefPaste9Row" localSheetId="10" hidden="1">#REF!</definedName>
    <definedName name="XRefPaste9Row" localSheetId="11" hidden="1">'6.BCE_LT_FNNCL_STTMTS'!#REF!</definedName>
    <definedName name="XRefPaste9Row" localSheetId="12" hidden="1">'7.BCE_LT_SPRT_STAGE'!#REF!</definedName>
    <definedName name="XRefPaste9Row" localSheetId="13" hidden="1">'8.BCE_LT_SPRT_PRFM'!#REF!</definedName>
    <definedName name="XRefPaste9Row" localSheetId="14" hidden="1">'9.BCE_LT_SPRT_DFLT'!#REF!</definedName>
    <definedName name="XRefPaste9Row" localSheetId="0" hidden="1">#REF!</definedName>
    <definedName name="XRefPaste9Row" localSheetId="2" hidden="1">#REF!</definedName>
    <definedName name="XRefPaste9Row" localSheetId="1" hidden="1">#REF!</definedName>
    <definedName name="XRefPaste9Row" localSheetId="4" hidden="1">#REF!</definedName>
    <definedName name="XRefPaste9Row" localSheetId="5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29" l="1"/>
  <c r="D80" i="29" s="1"/>
  <c r="D81" i="29" s="1"/>
  <c r="D82" i="29" s="1"/>
  <c r="D83" i="29" s="1"/>
  <c r="C34" i="33"/>
  <c r="C34" i="41"/>
  <c r="C31" i="36" l="1"/>
  <c r="C33" i="35"/>
  <c r="C30" i="34"/>
  <c r="D79" i="31" l="1"/>
  <c r="D80" i="31" s="1"/>
  <c r="D81" i="31" s="1"/>
  <c r="D82" i="31" s="1"/>
  <c r="D83" i="31" s="1"/>
  <c r="D84" i="31" s="1"/>
  <c r="D85" i="31" s="1"/>
  <c r="D46" i="31"/>
  <c r="D47" i="31" s="1"/>
  <c r="D48" i="31" s="1"/>
  <c r="D49" i="31" s="1"/>
  <c r="D50" i="31" s="1"/>
  <c r="D51" i="31" s="1"/>
  <c r="D52" i="31" s="1"/>
  <c r="D53" i="31" s="1"/>
  <c r="D54" i="31" s="1"/>
  <c r="D55" i="31" s="1"/>
  <c r="D56" i="31" s="1"/>
  <c r="D57" i="31" s="1"/>
  <c r="D58" i="31" s="1"/>
  <c r="D59" i="31" s="1"/>
  <c r="D60" i="31" s="1"/>
  <c r="D61" i="31" s="1"/>
  <c r="D62" i="31" s="1"/>
  <c r="D63" i="31" s="1"/>
  <c r="D64" i="31" s="1"/>
  <c r="D65" i="31" s="1"/>
  <c r="D66" i="31" s="1"/>
  <c r="D67" i="31" s="1"/>
  <c r="D68" i="31" s="1"/>
  <c r="D69" i="31" s="1"/>
  <c r="D70" i="31" s="1"/>
  <c r="D68" i="29"/>
  <c r="D69" i="29" s="1"/>
  <c r="D70" i="29" s="1"/>
  <c r="D71" i="29" s="1"/>
  <c r="D72" i="29" s="1"/>
  <c r="D73" i="29" s="1"/>
  <c r="D74" i="29" s="1"/>
  <c r="D75" i="29" s="1"/>
  <c r="D72" i="31" l="1"/>
  <c r="D73" i="31" s="1"/>
  <c r="D71" i="31"/>
  <c r="D91" i="31"/>
  <c r="D92" i="31" s="1"/>
  <c r="D93" i="31" s="1"/>
  <c r="D94" i="31" s="1"/>
  <c r="D95" i="31" s="1"/>
  <c r="D96" i="31" s="1"/>
  <c r="D97" i="31" s="1"/>
  <c r="D98" i="31" s="1"/>
  <c r="D99" i="31" s="1"/>
  <c r="D100" i="31" s="1"/>
  <c r="D101" i="31" s="1"/>
  <c r="D102" i="31" s="1"/>
  <c r="D103" i="31" s="1"/>
  <c r="D104" i="31" s="1"/>
  <c r="D105" i="31" s="1"/>
  <c r="D106" i="31" s="1"/>
  <c r="D107" i="31" s="1"/>
  <c r="D108" i="31" s="1"/>
  <c r="D109" i="31" s="1"/>
  <c r="D110" i="31" s="1"/>
  <c r="D111" i="31" s="1"/>
  <c r="D112" i="31" s="1"/>
  <c r="D113" i="31" s="1"/>
  <c r="D114" i="31" s="1"/>
  <c r="D115" i="31" s="1"/>
  <c r="D37" i="29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C31" i="29"/>
  <c r="C20" i="27"/>
  <c r="C28" i="22" l="1"/>
</calcChain>
</file>

<file path=xl/sharedStrings.xml><?xml version="1.0" encoding="utf-8"?>
<sst xmlns="http://schemas.openxmlformats.org/spreadsheetml/2006/main" count="4359" uniqueCount="880">
  <si>
    <t>BCE Loan Tape</t>
  </si>
  <si>
    <t>Tabelas temporárias</t>
  </si>
  <si>
    <t>Índice</t>
  </si>
  <si>
    <t>Tabela</t>
  </si>
  <si>
    <t>Descrição</t>
  </si>
  <si>
    <t>1. Transformações Capital</t>
  </si>
  <si>
    <t>Esquema explicativo de metolologia de tratamento de informação/ transformações de campos provenientes da área de Capital.</t>
  </si>
  <si>
    <t>Step 1 TMP_BCE_LT_CAP_INST_CP</t>
  </si>
  <si>
    <t>Tabela com informação proveniente da área de capital agregada pela chave de contratos da tabela de RWA's</t>
  </si>
  <si>
    <t>Step 2 BCE_LT_INSTR_CAP</t>
  </si>
  <si>
    <t>Tabela com informação proveniente da área de capital agregada pela chave de contratos do FINREP</t>
  </si>
  <si>
    <t>2. Tabelas temporárias MOYR</t>
  </si>
  <si>
    <t>3. Tabelas temporárias MIS</t>
  </si>
  <si>
    <t>4. Tabelas temporárias LGL_PRCDNG_STTS</t>
  </si>
  <si>
    <t>5. Tabelas temporárias CLLCTN_MD</t>
  </si>
  <si>
    <t>6. Tabelas temporárias FNNCL_STTMTS</t>
  </si>
  <si>
    <t>7. Tabela Suporte BCE_LT_SPRT_STAGE</t>
  </si>
  <si>
    <t>Histórico de alterações de stage</t>
  </si>
  <si>
    <t xml:space="preserve">8. Tabela Suporte BCE_LT_SPRT_PRFM </t>
  </si>
  <si>
    <t>Histórico de alterações de performing</t>
  </si>
  <si>
    <t>9. Tabela Suporte BCE_LT_SPRT_DFLT</t>
  </si>
  <si>
    <r>
      <t xml:space="preserve">Histórico de alterações de estado de </t>
    </r>
    <r>
      <rPr>
        <i/>
        <sz val="8"/>
        <rFont val="Arial"/>
        <family val="2"/>
      </rPr>
      <t>default</t>
    </r>
    <r>
      <rPr>
        <sz val="8"/>
        <rFont val="Arial"/>
        <family val="2"/>
      </rPr>
      <t xml:space="preserve"> segundo a nova definição de </t>
    </r>
    <r>
      <rPr>
        <i/>
        <sz val="8"/>
        <rFont val="Arial"/>
        <family val="2"/>
      </rPr>
      <t>Default</t>
    </r>
  </si>
  <si>
    <t>10. Tabela Suporte BCE_LT_SPRT_CNSTRCTN_STTS</t>
  </si>
  <si>
    <t>Histórico de alterações de estado de construção</t>
  </si>
  <si>
    <t>11. Tabela Suporte BCE_LT_SPRT_FRBRNCnew</t>
  </si>
  <si>
    <t>Histórico de alterações de situação de reestruturação</t>
  </si>
  <si>
    <t>Histórico de versões</t>
  </si>
  <si>
    <t>Versão</t>
  </si>
  <si>
    <t>Data</t>
  </si>
  <si>
    <t>V0.1</t>
  </si>
  <si>
    <t>Versão inicial</t>
  </si>
  <si>
    <r>
      <t xml:space="preserve">Alteração da parametrização de dftl_stts_instrmnt;
Adicionadas tabelas de parametrização moyr </t>
    </r>
    <r>
      <rPr>
        <i/>
        <sz val="8"/>
        <rFont val="Arial"/>
        <family val="2"/>
      </rPr>
      <t>sheet</t>
    </r>
    <r>
      <rPr>
        <sz val="8"/>
        <rFont val="Arial"/>
        <family val="2"/>
      </rPr>
      <t xml:space="preserve"> "Tabelas Temporárias MOYR"</t>
    </r>
  </si>
  <si>
    <t>Alteração à tabela TMP_BCE_LT_CAPITAL: campos EXTRNL_RTNG, EXTRNL_RTNG_PRVS, DT_EXTRNL_RTNG, EXTRNL_RTNG_NM</t>
  </si>
  <si>
    <t>Adição da sheet Step3 BCE_LT_INSTR_CAP
Adição do campo FLG_DEFAULT_INI na tabela TMP_BCE_LT_CAPITAL</t>
  </si>
  <si>
    <t>Adição da parametrização do campo PD_CRR_INCPTN e INTRNL_RTNG_INCPTN na sheet Step3 BCE_LT_INSTR_CAP</t>
  </si>
  <si>
    <t>Adição dos campos EAD_T1 e EAD_INCPTN nas sheets Step1, Step2 e Step3.</t>
  </si>
  <si>
    <t>Adição do campo RTNG_MTHD nas sheets Step1, Step2 e Step3.</t>
  </si>
  <si>
    <t>Eliminação de informação de rating externo e numero de clientes das tabelas de transformação de capital
Alteração de metodologia de cálculo e cruzamento de INTRNL_RTNG, INTRNL_RTNG_INCPTN, DT_INTRNL_RTNG, RTNG_MTHD</t>
  </si>
  <si>
    <t>Adição das tabelas temporárias BCE_LT_LGL_PRCDNG_STTS e BCE_LT_CLLCTN_MD</t>
  </si>
  <si>
    <t>Atualização da tabela temporária BCE_LT_CLLCTN_MD</t>
  </si>
  <si>
    <t>Atualização da tabela temporária BCE_LT_INSTR_MIS</t>
  </si>
  <si>
    <t>Atualização da tabela temporária BCE_LT_FNNCL_STTMTS</t>
  </si>
  <si>
    <t>Simplificação do processo de cálculo das tabelas temporárias de capital. 
As alterações efetuadas não têm impactos a nível de implementação à exceção do campo PD_CRR_RD_T1: para todos os calculos auxiliares deste campo é necessário utilizar uma data de referência igual a 1 ano antes (exemplo: os tradutores de chaves para a mesma chave finrep, podem resultar em diferentes chaves BDR ao longo do tempo)</t>
  </si>
  <si>
    <t>Atualização da tabela temporária BCE_LT_LGL_PRCDNG_STTS</t>
  </si>
  <si>
    <t>Atualização da tabela temporária BCE_LT_INSTR_CAP</t>
  </si>
  <si>
    <t>Atualização da tabela temporária BCE_LT_SPRT_DFLT</t>
  </si>
  <si>
    <t>Atualização da tabela temporária BCE_LT_CNSTRCTN_STTS</t>
  </si>
  <si>
    <t>Atualização das tabelas temporárias TMP_BCE_LT_INSTR_CAP e BCE_LT_INSTR_CAP adicionando o campo CRRLTN_CFFCNT.</t>
  </si>
  <si>
    <t>Alteração das tabelas 7.BCE_LT_SPRT_STAGE e 8.BCE_LT_SPRT_PRFM para passar a prever as alterações de stage em 2018 e 2019 presentes nas tabelas de IFRS9</t>
  </si>
  <si>
    <t>Reespecificação das tabelas de FRBRNC</t>
  </si>
  <si>
    <t>Alteração da fonte do campo CRRLTN_CFFCNT da tabela TMP_BCE_LT_INSTR_CAP para incluir apenas os registos reportados em IRB no COREP.</t>
  </si>
  <si>
    <t>1. Transformações de dados de Capital por contratos/clientes</t>
  </si>
  <si>
    <r>
      <t xml:space="preserve">1. Transformações de dados de Capital por contratos </t>
    </r>
    <r>
      <rPr>
        <sz val="10"/>
        <rFont val="Arial"/>
        <family val="2"/>
      </rPr>
      <t>- Step1 TMP_BCE_LT_INSTR_CAP &amp; TMP_BCE_LT_INSTR_CAP_T1</t>
    </r>
  </si>
  <si>
    <t>Descrição da tabela:</t>
  </si>
  <si>
    <t>Nestas tabelas são apresentadas as informação de capital/RWA's desagregadas pelas chaves das tabelas ct013_rwa_princ da data de referência e 1 ano antes: TMP_BCE_LT_INSTR_CAP e TMP_BCE_LT_INSTR_CAP_T1, respetivamente.</t>
  </si>
  <si>
    <t>Servirão para produzir as seguintes tabelas do Loan Tape: Instrument (contratos) e  Entity (clientes)</t>
  </si>
  <si>
    <r>
      <t xml:space="preserve">Informação sobre o </t>
    </r>
    <r>
      <rPr>
        <b/>
        <i/>
        <u/>
        <sz val="9"/>
        <color rgb="FFC00000"/>
        <rFont val="Arial"/>
        <family val="2"/>
      </rPr>
      <t>output</t>
    </r>
    <r>
      <rPr>
        <b/>
        <u/>
        <sz val="9"/>
        <color rgb="FFC00000"/>
        <rFont val="Arial"/>
        <family val="2"/>
      </rPr>
      <t>: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</si>
  <si>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cd_loan_tapes_bce.tmp_bce_lt_instr_cap</t>
    </r>
  </si>
  <si>
    <r>
      <rPr>
        <b/>
        <sz val="9"/>
        <color theme="1"/>
        <rFont val="Arial"/>
        <family val="2"/>
      </rPr>
      <t>Particionada</t>
    </r>
    <r>
      <rPr>
        <sz val="9"/>
        <color theme="1"/>
        <rFont val="Arial"/>
        <family val="2"/>
      </rPr>
      <t>: sim, por ref_date (data de processamento de fecho mensal)</t>
    </r>
  </si>
  <si>
    <r>
      <rPr>
        <b/>
        <sz val="9"/>
        <color theme="1"/>
        <rFont val="Arial"/>
        <family val="2"/>
      </rPr>
      <t>Chave primária</t>
    </r>
    <r>
      <rPr>
        <sz val="9"/>
        <color theme="1"/>
        <rFont val="Arial"/>
        <family val="2"/>
      </rPr>
      <t>: ID_CAPITAL_PERIMETROS, S1EMP, CONTRA1, NOME_PERIMETRO, CALENDARIO</t>
    </r>
  </si>
  <si>
    <t>Universo</t>
  </si>
  <si>
    <t>Filtrar ct013_rwa_princ pelas seguintes condições:</t>
  </si>
  <si>
    <t>1. subtipo_risco in (1.1; 1.2; 1.3; 1.4; 1.5; 1.6; 1.7; 1.8; 1.9; 1.13) - Regra aplicada através da tabela de parametrização LT803_CODIGOS_LT no campo RWA_MTHD</t>
  </si>
  <si>
    <t>2. flag_cons_cap = 1</t>
  </si>
  <si>
    <t>3. flag_conc_contab = 1</t>
  </si>
  <si>
    <t>4. exercicio = “REAL”.</t>
  </si>
  <si>
    <t>Fontes de informação</t>
  </si>
  <si>
    <t>1. cd_captools.ct013_rwa_princ</t>
  </si>
  <si>
    <t>2. cd_captools.ct014_rwa_irb</t>
  </si>
  <si>
    <t>3. cd_captools.ct015_rwa_std</t>
  </si>
  <si>
    <t>4. cd_captools.ct021_rwa_cli</t>
  </si>
  <si>
    <t>5. cd_captools.ct022_rwa_cto</t>
  </si>
  <si>
    <t>Total de campos</t>
  </si>
  <si>
    <t>1. Aprovisionamento dos campos para a data de referência</t>
  </si>
  <si>
    <t>TABLE_NAME</t>
  </si>
  <si>
    <t>COLUMN_NAME</t>
  </si>
  <si>
    <t>ORDER</t>
  </si>
  <si>
    <t>DATA_TYPE</t>
  </si>
  <si>
    <t>DESCRIPTION</t>
  </si>
  <si>
    <t>CHAVE</t>
  </si>
  <si>
    <t>PARTITION KEY</t>
  </si>
  <si>
    <t>Fonte</t>
  </si>
  <si>
    <t>Tabela / Ficheiro</t>
  </si>
  <si>
    <t>Campo</t>
  </si>
  <si>
    <t>Metodologia de Cálculo</t>
  </si>
  <si>
    <t>Metodologia de cruzamento</t>
  </si>
  <si>
    <t>Testes</t>
  </si>
  <si>
    <t>Status</t>
  </si>
  <si>
    <t>Data de envio para Validação</t>
  </si>
  <si>
    <t>Data de atualização</t>
  </si>
  <si>
    <t>Notas</t>
  </si>
  <si>
    <t>TMP_BCE_LT_INSTR_CAP</t>
  </si>
  <si>
    <t>REF_DATE</t>
  </si>
  <si>
    <t>STRING</t>
  </si>
  <si>
    <t>Data de referência</t>
  </si>
  <si>
    <t>Sim</t>
  </si>
  <si>
    <t>CD_CAPTOOLS</t>
  </si>
  <si>
    <t>CT013_RWA_PRINC</t>
  </si>
  <si>
    <t>N/A</t>
  </si>
  <si>
    <t>Done</t>
  </si>
  <si>
    <t>ID_CAPITAL_PERIMETROS</t>
  </si>
  <si>
    <t>Chave da tabela</t>
  </si>
  <si>
    <t>S1EMP</t>
  </si>
  <si>
    <t>Identificador de código de Empresa BDR</t>
  </si>
  <si>
    <t>CONTRA1</t>
  </si>
  <si>
    <t>Identificador de código de Contrato BDR</t>
  </si>
  <si>
    <t>RWA_MTHD</t>
  </si>
  <si>
    <t>Método de cálculo de capital</t>
  </si>
  <si>
    <t>CD_CAPTOOLS
CD_LOAN_TAPES_BCE</t>
  </si>
  <si>
    <t>CT013_RWA_PRINC
LT803_CODIGOS_LT</t>
  </si>
  <si>
    <t>SUBTIPO_RISCO
VALOR_LT</t>
  </si>
  <si>
    <t>1. Caso num contrato sejam atribuidos 2 VALOR_LT distintos então: '1' 
2. Caso contrário: VALOR_LT
WHERE CAMPO_LT = 'RWA_MTHD'
AND SUBTIPO_RISCO = VALOR_ORIGEM</t>
  </si>
  <si>
    <r>
      <rPr>
        <b/>
        <sz val="8"/>
        <color theme="1"/>
        <rFont val="Arial"/>
        <family val="2"/>
      </rPr>
      <t>1) Cruzar CT013_RWA_PRINC com a tabela de parametrização LT803_CODIGOS_LT de modo a obter os códigos permitidos na code list:</t>
    </r>
    <r>
      <rPr>
        <sz val="8"/>
        <color theme="1"/>
        <rFont val="Arial"/>
        <family val="2"/>
      </rPr>
      <t xml:space="preserve">
CT013_RWA_PRINC
LEFT JOIN
(SELECT * FROM LT803_CODIGOS_LT) 
ON SUBTIPO_RISCO = VALOR_ORIGEM</t>
    </r>
  </si>
  <si>
    <t>RWA</t>
  </si>
  <si>
    <t>DECIMAL (26,6)</t>
  </si>
  <si>
    <t>Somatório de RWA final</t>
  </si>
  <si>
    <t>RWA_FINAL</t>
  </si>
  <si>
    <t>SUM(RWA_FINAL)</t>
  </si>
  <si>
    <r>
      <t xml:space="preserve">a) Validação numa </t>
    </r>
    <r>
      <rPr>
        <i/>
        <sz val="8"/>
        <color theme="1"/>
        <rFont val="Arial"/>
        <family val="2"/>
      </rPr>
      <t>sample</t>
    </r>
    <r>
      <rPr>
        <sz val="8"/>
        <color theme="1"/>
        <rFont val="Arial"/>
        <family val="2"/>
      </rPr>
      <t xml:space="preserve">  dos valores de RWA que estão na CT013 e RWA que passaram para a BCE_LT_CAPITAL (vários contratos por linha)</t>
    </r>
  </si>
  <si>
    <t>EAD</t>
  </si>
  <si>
    <t>DECIMAL (23,6)</t>
  </si>
  <si>
    <t>Somatório de EAD bruta</t>
  </si>
  <si>
    <t>EAD_FINAL_BRUTA</t>
  </si>
  <si>
    <t>SUM(EAD_FINAL_BRUTA)</t>
  </si>
  <si>
    <r>
      <t xml:space="preserve">a) Validação numa </t>
    </r>
    <r>
      <rPr>
        <i/>
        <sz val="8"/>
        <color theme="1"/>
        <rFont val="Arial"/>
        <family val="2"/>
      </rPr>
      <t>sample</t>
    </r>
    <r>
      <rPr>
        <sz val="8"/>
        <color theme="1"/>
        <rFont val="Arial"/>
        <family val="2"/>
      </rPr>
      <t xml:space="preserve">  dos valores de EAD que estão na CT013 e EAD que passaram para a BCE_LT_CAPITAL (vários contratos por linha)</t>
    </r>
  </si>
  <si>
    <t>SPCLTV_LNDNG</t>
  </si>
  <si>
    <t>Financiamento especulativo de bens imóveis</t>
  </si>
  <si>
    <t>SEGMENTO_COREP_PREM</t>
  </si>
  <si>
    <t>DISTINCT(CASE WHEN SEGMENTO_COREP_PREM = 'S_11.0' THEN 'Y' ELSE 'N' END)</t>
  </si>
  <si>
    <t>a) Validação se os valores 'Y' se encontram apenas nos segmento_corep_prem = 'S_11.0' e todos os restantes segmentos apresentarem 'N'</t>
  </si>
  <si>
    <t>PD_CRR_RD</t>
  </si>
  <si>
    <t>DECIMAL (9,6)</t>
  </si>
  <si>
    <t xml:space="preserve">Probabilidade de incumprimento de acordo com o CRR </t>
  </si>
  <si>
    <t>CT014_RWA_IRB</t>
  </si>
  <si>
    <t>IN_PDINI</t>
  </si>
  <si>
    <t>DISTINCT (IN_PDINI/100)</t>
  </si>
  <si>
    <r>
      <rPr>
        <b/>
        <sz val="8"/>
        <color theme="1"/>
        <rFont val="Arial"/>
        <family val="2"/>
      </rPr>
      <t>1) Cruzar CT013_RWA_PRINC com a tabela CT014_RWA_IRB de modo a obter a informação de cálculo de capital em método IRB:</t>
    </r>
    <r>
      <rPr>
        <sz val="8"/>
        <color theme="1"/>
        <rFont val="Arial"/>
        <family val="2"/>
      </rPr>
      <t xml:space="preserve">
CT013_RWA_PRINC
LEFT JOIN
(SELECT * FROM  CT014_RWA_IRB) 
ON S1EMP = S1EMP
AND CONTRA1 = CONTRA1
AND BIENGAR1 = BIENGAR1
AND CATPREM_INICIAL = CATPREM_INICIAL
AND TIPOAJUS = TIPOAJUS
AND COD_SPV = COD_SPV
AND REF_DATE = REF_DATE</t>
    </r>
  </si>
  <si>
    <t>a) Validação da PD_CRR_RD que está na BCE_LT_CAPITAL com o que está na CT014 (in_pdini)
b) Validação dos valores de PD_CRR_RD divididos por 100</t>
  </si>
  <si>
    <t>LGD</t>
  </si>
  <si>
    <t>DECIMAL (17,6)</t>
  </si>
  <si>
    <t>LGD regulatória inicial</t>
  </si>
  <si>
    <t>LGDINICI</t>
  </si>
  <si>
    <t>1) Replicar passo 1) do campo PD_CRR_RD</t>
  </si>
  <si>
    <t>a) Validação da LGD que está na BCE_LT_CAPITAL com o que está na CT014 (lgdinici)
b) Validação dos valores de LGD divididos por 100</t>
  </si>
  <si>
    <t>CCF</t>
  </si>
  <si>
    <t>DECIMAL (13, 10)</t>
  </si>
  <si>
    <t>CCF aplicado a exposições extrapatrimoniais</t>
  </si>
  <si>
    <t>K2</t>
  </si>
  <si>
    <r>
      <rPr>
        <u/>
        <sz val="8"/>
        <rFont val="Arial"/>
        <family val="2"/>
      </rPr>
      <t>1. Caso num contrato sejam atribuidos 2 VALOR_LT distintos então</t>
    </r>
    <r>
      <rPr>
        <sz val="8"/>
        <rFont val="Arial"/>
        <family val="2"/>
      </rPr>
      <t xml:space="preserve">: MAX(K2/100) do registo onde VALOR_LT = '1'
</t>
    </r>
    <r>
      <rPr>
        <u/>
        <sz val="8"/>
        <rFont val="Arial"/>
        <family val="2"/>
      </rPr>
      <t>2. Caso contrário:</t>
    </r>
    <r>
      <rPr>
        <sz val="8"/>
        <rFont val="Arial"/>
        <family val="2"/>
      </rPr>
      <t xml:space="preserve"> MAX(K2/100)
WHERE CAMPO_LT = 'RWA_MTHD'
AND SUBTIPO_RISCO = VALOR_ORIGEM</t>
    </r>
  </si>
  <si>
    <t>1) Replicar passo 1) do campo RWA_MTHD</t>
  </si>
  <si>
    <t>a) Validação do CCF que está na BCE_LT_CAPITAL com o que está na CT013
b) Validação dos valores de CCF divididos por 100</t>
  </si>
  <si>
    <t>DPD</t>
  </si>
  <si>
    <t>DECIMAL (9,0)</t>
  </si>
  <si>
    <t>Dias de atraso de acordo com a ND (considerando os thresholds absolutos e relativos)</t>
  </si>
  <si>
    <t>DIAS_ATR</t>
  </si>
  <si>
    <t>DISTINCT(DIAS_ATR)</t>
  </si>
  <si>
    <t>a) Validação dos dados de DIAS_ATR por nível de aplicação (se nível de aplicação = 'CLI' então o DIAS_ATR deverá ser o da tabela JM_OUT_CLI_ND)</t>
  </si>
  <si>
    <r>
      <t xml:space="preserve">Para efeitos de testes anteriores a alterações no Data Lake: 
- Fonte de informação: </t>
    </r>
    <r>
      <rPr>
        <sz val="8"/>
        <color theme="1"/>
        <rFont val="Arial"/>
        <family val="2"/>
      </rPr>
      <t xml:space="preserve">JM_OUT_CTO_ND e JM_OUT_CLI_ND
</t>
    </r>
    <r>
      <rPr>
        <b/>
        <sz val="8"/>
        <color theme="1"/>
        <rFont val="Arial"/>
        <family val="2"/>
      </rPr>
      <t xml:space="preserve">- Metodologia de cálculo:
</t>
    </r>
    <r>
      <rPr>
        <sz val="8"/>
        <color theme="1"/>
        <rFont val="Arial"/>
        <family val="2"/>
      </rPr>
      <t xml:space="preserve">case when aplicacao_nd = 'cli' then dias_atr_cli
when aplicacao_nd = 'cto' then dias_atr_cto
else null end
</t>
    </r>
    <r>
      <rPr>
        <b/>
        <sz val="8"/>
        <color theme="1"/>
        <rFont val="Arial"/>
        <family val="2"/>
      </rPr>
      <t xml:space="preserve">
- Metodologia de cruzamento
</t>
    </r>
    <r>
      <rPr>
        <u/>
        <sz val="8"/>
        <color theme="1"/>
        <rFont val="Arial"/>
        <family val="2"/>
      </rPr>
      <t xml:space="preserve">Cruzamento com jm_out_cli_nd
</t>
    </r>
    <r>
      <rPr>
        <sz val="8"/>
        <color theme="1"/>
        <rFont val="Arial"/>
        <family val="2"/>
      </rPr>
      <t xml:space="preserve">(select distinct s1emp, idnumcli from tmp_bce_lt_capital where aplicacao_nd = 'cli' )
left join
(select distinct r9741_s1emp, r9741_idnumcli, r9741_dias_atr  from jm_out_cli_nd)
on r9741_s1emp = s1emp
and r9741_idnumcli = idnumcli 
</t>
    </r>
    <r>
      <rPr>
        <u/>
        <sz val="8"/>
        <color theme="1"/>
        <rFont val="Arial"/>
        <family val="2"/>
      </rPr>
      <t xml:space="preserve">Cruzamento com jm_out_cto_nd
</t>
    </r>
    <r>
      <rPr>
        <sz val="8"/>
        <color theme="1"/>
        <rFont val="Arial"/>
        <family val="2"/>
      </rPr>
      <t>(select s1emp, contra1 from tmp_bce_lt_capital where aplicacao_nd = 'cto')
left join
(select distinct r9739_s1emp, r9739_contra1, r9739_dias_atr  from jm_out_cto_nd)
on r9739_s1emp = s1emp
and r9739_contra1 = contra1</t>
    </r>
  </si>
  <si>
    <t>DT_DFLT_STTS_INSTRMNT</t>
  </si>
  <si>
    <t>Data de entrada em default de acordo com o primeiro critério aplicado (DPD ou UTP)</t>
  </si>
  <si>
    <t>FEC_DEF</t>
  </si>
  <si>
    <t>NVL(DISTINCT(FEC_DEF), REF_DATE)</t>
  </si>
  <si>
    <t>a) Validação dos dados de FEC_DEF por nível de aplicação (se nível de aplicação = 'CLI' então o FEC_DEF deverá ser o da tabela JM_OUT_CLI_ND)</t>
  </si>
  <si>
    <r>
      <t xml:space="preserve">Para efeitos de testes anteriores a alterações no Data Lake: 
- Fonte de informação: </t>
    </r>
    <r>
      <rPr>
        <sz val="8"/>
        <color theme="1"/>
        <rFont val="Arial"/>
        <family val="2"/>
      </rPr>
      <t xml:space="preserve">JM_OUT_CTO_ND e JM_OUT_CLI_ND
</t>
    </r>
    <r>
      <rPr>
        <b/>
        <sz val="8"/>
        <color theme="1"/>
        <rFont val="Arial"/>
        <family val="2"/>
      </rPr>
      <t xml:space="preserve">- Metodologia de cálculo:
</t>
    </r>
    <r>
      <rPr>
        <sz val="8"/>
        <color theme="1"/>
        <rFont val="Arial"/>
        <family val="2"/>
      </rPr>
      <t xml:space="preserve">case when aplicacao_nd = 'cli' then fec_def_cli
when aplicacao_nd = 'cto' then fec_def_cto
else null end
</t>
    </r>
    <r>
      <rPr>
        <b/>
        <sz val="8"/>
        <color theme="1"/>
        <rFont val="Arial"/>
        <family val="2"/>
      </rPr>
      <t xml:space="preserve">
- Metodologia de cruzamento
</t>
    </r>
    <r>
      <rPr>
        <u/>
        <sz val="8"/>
        <color theme="1"/>
        <rFont val="Arial"/>
        <family val="2"/>
      </rPr>
      <t>Cruzamento com jm_out_cli_nd</t>
    </r>
    <r>
      <rPr>
        <sz val="8"/>
        <color theme="1"/>
        <rFont val="Arial"/>
        <family val="2"/>
      </rPr>
      <t xml:space="preserve">
(select distinct s1emp, idnumcli from tmp_bce_lt_capital where aplicacao_nd = 'cli' )
left join
(select distinct r9741_s1emp, r9741_idnumcli, r9741_fec_def  from jm_out_cli_nd)
on r9741_s1emp = s1emp
and r9741_idnumcli = idnumcli
</t>
    </r>
    <r>
      <rPr>
        <u/>
        <sz val="8"/>
        <color theme="1"/>
        <rFont val="Arial"/>
        <family val="2"/>
      </rPr>
      <t xml:space="preserve">Cruzamento com jm_out_cto_nd
</t>
    </r>
    <r>
      <rPr>
        <sz val="8"/>
        <color theme="1"/>
        <rFont val="Arial"/>
        <family val="2"/>
      </rPr>
      <t>(select s1emp, contra1 from tmp_bce_lt_capital where aplicacao_nd = 'cto')
left join
(select distinct r9739_s1emp, r9739_contra1, r9739_fec_def  from jm_out_cto_nd)
on r9739_s1emp = s1emp
and r9739_contra1 = contra1</t>
    </r>
  </si>
  <si>
    <t>DFLT_STTS_INSTRMNT</t>
  </si>
  <si>
    <r>
      <t>Status</t>
    </r>
    <r>
      <rPr>
        <sz val="8"/>
        <rFont val="Arial"/>
        <family val="2"/>
      </rPr>
      <t xml:space="preserve"> de </t>
    </r>
    <r>
      <rPr>
        <i/>
        <sz val="8"/>
        <rFont val="Arial"/>
        <family val="2"/>
      </rPr>
      <t>default</t>
    </r>
    <r>
      <rPr>
        <sz val="8"/>
        <rFont val="Arial"/>
        <family val="2"/>
      </rPr>
      <t xml:space="preserve"> do instrumento</t>
    </r>
  </si>
  <si>
    <t>CT013_RWA_PRINC
CT015_RWA_STD
CT021_RWA_CLI
CT022_RWA_CTO
LT802_DFLT_STTS</t>
  </si>
  <si>
    <t>FLG_DEFAULT_INI
IND_DEF
DIAS_ATR
ORIGEM
ORIGENCT
UTP_CLI
GEST_SIT
DFLT_STTS</t>
  </si>
  <si>
    <r>
      <rPr>
        <u/>
        <sz val="8"/>
        <rFont val="Arial"/>
        <family val="2"/>
      </rPr>
      <t xml:space="preserve">1. Obtenção do campo DFLT_STTS (aplicar regras da tabela de parametrização LT802_DFLT_STTS respeitando o campo "Ordem"):
</t>
    </r>
    <r>
      <rPr>
        <sz val="8"/>
        <rFont val="Arial"/>
        <family val="2"/>
      </rPr>
      <t>DFLT_STTS_INSTRMNT
WHERE FLG_DEFAULT_INI = FLG_DEFAULT_INI
AND ORIGEM = ORIGEM
AND ORIGENCT = ORIGENCT
AND IND_DEF = IND_DEF
AND GEST_SIT = GEST_SIT
AND UTP_CLI = UTP_CLI
AND DIAS_ATR = DPD</t>
    </r>
  </si>
  <si>
    <r>
      <rPr>
        <b/>
        <sz val="8"/>
        <color theme="1"/>
        <rFont val="Arial"/>
        <family val="2"/>
      </rPr>
      <t xml:space="preserve">1) Cruzar CT013_RWA_PRINC com tabela CT015_RWA_STD de modo a obter os campos necessários para aplicar regras da tabela de parametrização:
</t>
    </r>
    <r>
      <rPr>
        <sz val="8"/>
        <color theme="1"/>
        <rFont val="Arial"/>
        <family val="2"/>
      </rPr>
      <t xml:space="preserve">CT013_RWA_PRINC
LEFT JOIN
(SELECT * FROM CT015_RWA_STD) 
ON S1EMP = S1EMP
AND CONTRA1 = CONTRA1
AND BIENGAR1 = BIENGAR1
AND IDNUMCLI = IDNUMCLI
AND TIP_MIT = TIP_MIT
AND CATPREM_INICIAL = CATPREM_INICIAL
AND TIPOAJUS = TIPOAJUS
AND COD_SPV = COD_SPV
AND REF_DATE = REF_DATE
2) Cruzar CT013_RWA_PRINC com tabela CT021_RWA_CLI de modo a obter os campos necessários para aplicar regras da tabela de parametrização:
LEFT JOIN
(SELECT * FROM CT021_RWA_CLI)
ON S1EMP = S1EMP
AND IDNUMCLI = IDNUMCLI
</t>
    </r>
    <r>
      <rPr>
        <b/>
        <sz val="8"/>
        <color theme="1"/>
        <rFont val="Arial"/>
        <family val="2"/>
      </rPr>
      <t xml:space="preserve">3) Cruzar CT013_RWA_PRINC com tabela CT022_RWA_CTO de modo a obter os campos necessários para aplicar regras da tabela de parametrização:
</t>
    </r>
    <r>
      <rPr>
        <sz val="8"/>
        <color theme="1"/>
        <rFont val="Arial"/>
        <family val="2"/>
      </rPr>
      <t>LEFT JOIN
(SELECT * FROM CT022_RWA_CTO) 
ON S1EMP = S1EMP
AND CONTRA1 = CONTRA1
4) Após obtenção dos campos auxiliares, aplicar regras da tabela de parametrização LT802_DFLT_STTS:
LEFT JOIN 
(SELECT * FROM LT802_DFLT_STTS) 
ON FLG_DEFAULT_INI = FLG_DEFAULT_INI
AND ORIGEM = ORIGEM
AND ORIGENCT = ORIGENCT
AND IND_DEF = IND_DEF
AND GEST_SIT = GEST_SIT
AND UTP_CLI = UTP_CLI
AND DIAS_ATR = DPD</t>
    </r>
  </si>
  <si>
    <t>INTRNL_RTNG</t>
  </si>
  <si>
    <t>DECIMAL(11,7)</t>
  </si>
  <si>
    <r>
      <t xml:space="preserve">Rating </t>
    </r>
    <r>
      <rPr>
        <sz val="8"/>
        <rFont val="Arial"/>
        <family val="2"/>
      </rPr>
      <t xml:space="preserve">interno do contrato à data de referência </t>
    </r>
  </si>
  <si>
    <t>CD_LOAN_TAPES_BCE</t>
  </si>
  <si>
    <t>A informação de rating no Banco é apenas calculada a nível de cliente.</t>
  </si>
  <si>
    <t>INTRNL_RTNG_PRVS</t>
  </si>
  <si>
    <r>
      <t xml:space="preserve">Rating </t>
    </r>
    <r>
      <rPr>
        <sz val="8"/>
        <rFont val="Arial"/>
        <family val="2"/>
      </rPr>
      <t>interno anterior</t>
    </r>
    <r>
      <rPr>
        <i/>
        <sz val="8"/>
        <rFont val="Arial"/>
        <family val="2"/>
      </rPr>
      <t xml:space="preserve"> </t>
    </r>
    <r>
      <rPr>
        <sz val="8"/>
        <rFont val="Arial"/>
        <family val="2"/>
      </rPr>
      <t>um ano antes da data de referência</t>
    </r>
  </si>
  <si>
    <t>CT021_RWA_CLI</t>
  </si>
  <si>
    <t>IDPUNSCO (1 ano antes da data de referência)</t>
  </si>
  <si>
    <t>DISTINCT(IDPUNSCO)
WHERE NOME_DIMENSAO = "CLASS_RATING"
AND TIPMODEL = VALOR_ORIGEM 
AND VALOR_LT = 1
Onde REF_DATE = 1 ano antes da data da referência</t>
  </si>
  <si>
    <t>1) Replicar passo 1) do campo INTRNL_RTNG (mas para 1 ano antes da data de referência)
2) Replicar passo 2) do campo INTRNL_RTNG</t>
  </si>
  <si>
    <t>DT_INTRNL_RTNG</t>
  </si>
  <si>
    <r>
      <t xml:space="preserve">Data de classificação do </t>
    </r>
    <r>
      <rPr>
        <i/>
        <sz val="8"/>
        <rFont val="Arial"/>
        <family val="2"/>
      </rPr>
      <t>rating</t>
    </r>
    <r>
      <rPr>
        <sz val="8"/>
        <rFont val="Arial"/>
        <family val="2"/>
      </rPr>
      <t xml:space="preserve"> interno à data de referência</t>
    </r>
  </si>
  <si>
    <r>
      <rPr>
        <b/>
        <sz val="8"/>
        <color theme="1"/>
        <rFont val="Arial"/>
        <family val="2"/>
      </rPr>
      <t xml:space="preserve">Para efeitos de testes anteriores a alterações no Data Lake: 
- Fonte de informação: </t>
    </r>
    <r>
      <rPr>
        <sz val="8"/>
        <color theme="1"/>
        <rFont val="Arial"/>
        <family val="2"/>
      </rPr>
      <t>JM_CAL_IN_CLI</t>
    </r>
    <r>
      <rPr>
        <b/>
        <sz val="8"/>
        <color theme="1"/>
        <rFont val="Arial"/>
        <family val="2"/>
      </rPr>
      <t xml:space="preserve">
- Metodologia de cálculo: </t>
    </r>
    <r>
      <rPr>
        <sz val="8"/>
        <color theme="1"/>
        <rFont val="Arial"/>
        <family val="2"/>
      </rPr>
      <t xml:space="preserve">
distinct (e9954_feccali)
</t>
    </r>
    <r>
      <rPr>
        <b/>
        <sz val="8"/>
        <color theme="1"/>
        <rFont val="Arial"/>
        <family val="2"/>
      </rPr>
      <t xml:space="preserve">- Metodologia de cruzamento: 
</t>
    </r>
    <r>
      <rPr>
        <sz val="8"/>
        <color theme="1"/>
        <rFont val="Arial"/>
        <family val="2"/>
      </rPr>
      <t>(select distinct s1emp, idnumcli from tmp_bce_lt_capital) as a
left join
(select s1emp, idnumcli, feccali
(select distinct e9954_s1emp as s1emp, e9954_idnumcli as idnumcli, e9954_tipmodel as tipmodel, e9954_feccali as feccali from ct021_rwa_cli) as b
inner join 
(select valor_campo_origem from LTXXX_PARAM_LT where nome_dimensao = "CLASS_RATING") c
on tipmodel = cast(valor_campo_origem as int)
) d
on cast(a.s1emp as int)= d.s1emp
and cast(a.idnumcli as int) = d.idnumcli</t>
    </r>
  </si>
  <si>
    <t>RTNG_MTHD</t>
  </si>
  <si>
    <r>
      <t xml:space="preserve">Nome do modelo de </t>
    </r>
    <r>
      <rPr>
        <i/>
        <sz val="8"/>
        <rFont val="Arial"/>
        <family val="2"/>
      </rPr>
      <t>rating</t>
    </r>
    <r>
      <rPr>
        <sz val="8"/>
        <rFont val="Arial"/>
        <family val="2"/>
      </rPr>
      <t xml:space="preserve"> interno</t>
    </r>
  </si>
  <si>
    <t>REF_DATE_INCPTN</t>
  </si>
  <si>
    <t>Data de referência correspondente à data de abertura do contrato na BDR</t>
  </si>
  <si>
    <t>CT022_RWA_CTO</t>
  </si>
  <si>
    <t>FECHAPER</t>
  </si>
  <si>
    <t>FROM_TIMESTAMP (LAST_DAY(FROM_UNIXTIME(UNIX_TIMESTAMP(FECHAPER, 'yyyyMMdd'), 'yyyy-MM-dd')), 'yyyy-MM-dd')</t>
  </si>
  <si>
    <t>1) Replicar passo 3) do campo DFLT_STTS_INSTRMNT</t>
  </si>
  <si>
    <t>RWA_MTHD_INCPTN</t>
  </si>
  <si>
    <t>Método de cálculo de capital à data de origem do contrato</t>
  </si>
  <si>
    <t>SUBTIPO_RISCO (à data de origem do contrato)
VALOR_LT</t>
  </si>
  <si>
    <t>1. Caso num contrato sejam atribuidos 2 VALOR_LT distintos então: '1' 
2. Caso contrário: VALOR_LT
WHERE CAMPO_LT = 'RWA_MTHD'
AND SUBTIPO_RISCO = VALOR_ORIGEM
Onde REF_DATE = 1 ano antes da data da referência</t>
  </si>
  <si>
    <r>
      <rPr>
        <b/>
        <sz val="8"/>
        <color theme="1"/>
        <rFont val="Arial"/>
        <family val="2"/>
      </rPr>
      <t xml:space="preserve">1) Cruzar CT013_RWA_PRINC com a tabela CT013_RWA_PRINC na data de referência = REF_DATE_INCPTN (se REF_DATE_INCPTN &gt;= '2019-09-30'):
</t>
    </r>
    <r>
      <rPr>
        <sz val="8"/>
        <color theme="1"/>
        <rFont val="Arial"/>
        <family val="2"/>
      </rPr>
      <t xml:space="preserve">CT013_RWA_PRINC
LEFT JOIN
(SELECT * FROM  CT013_RWA_PRINC) 
ON S1EMP = S1EMP
AND CONTRA1 = CONTRA1
</t>
    </r>
    <r>
      <rPr>
        <b/>
        <sz val="8"/>
        <color theme="1"/>
        <rFont val="Arial"/>
        <family val="2"/>
      </rPr>
      <t>2) Cruzar campo SUBTIPO_RISCO obtido no passo anterior com a tabela de parametrização LT803_CODIGOS_LT de modo a obter os códigos permitidos na code list:</t>
    </r>
    <r>
      <rPr>
        <sz val="8"/>
        <color theme="1"/>
        <rFont val="Arial"/>
        <family val="2"/>
      </rPr>
      <t xml:space="preserve">
LEFT JOIN
(SELECT * FROM LT803_CODIGOS_LT) 
ON SUBTIPO_RISCO = VALOR_ORIGEM</t>
    </r>
  </si>
  <si>
    <t>PD_CRR_INCPTN</t>
  </si>
  <si>
    <t>DECIMAL (38,6)</t>
  </si>
  <si>
    <t>Probabilidade de default  de acordo com o CRR à data de origem do contrato</t>
  </si>
  <si>
    <t>CT014_RWA_IRB
BDR_JM_CTO_AJ_REG</t>
  </si>
  <si>
    <t>IN_PDINI
09209_IN_PDINI</t>
  </si>
  <si>
    <r>
      <rPr>
        <u/>
        <sz val="8"/>
        <rFont val="Arial"/>
        <family val="2"/>
      </rPr>
      <t>1. Caso REF_DATE_INCPTN &gt;= '2019-09-30' então:</t>
    </r>
    <r>
      <rPr>
        <sz val="8"/>
        <rFont val="Arial"/>
        <family val="2"/>
      </rPr>
      <t xml:space="preserve"> DISTINCT(IN_PDINI/100) da tabela CT014_RWA_IRB
</t>
    </r>
    <r>
      <rPr>
        <u/>
        <sz val="8"/>
        <rFont val="Arial"/>
        <family val="2"/>
      </rPr>
      <t>2. Caso contrário</t>
    </r>
    <r>
      <rPr>
        <sz val="8"/>
        <rFont val="Arial"/>
        <family val="2"/>
      </rPr>
      <t xml:space="preserve"> DISTINCT(09209_IN_PDINI/100) da tabela BDR_JM_CTO_AJ_REG</t>
    </r>
  </si>
  <si>
    <r>
      <rPr>
        <b/>
        <sz val="8"/>
        <color theme="1"/>
        <rFont val="Arial"/>
        <family val="2"/>
      </rPr>
      <t xml:space="preserve">1.1) Cruzar CT013_RWA_PRINC com a tabela CT014_RWA_IRB na data de referência = REF_DATE_INCPTN (se REF_DATE_INCPTN &gt;= '2019-09-30'):
</t>
    </r>
    <r>
      <rPr>
        <sz val="8"/>
        <color theme="1"/>
        <rFont val="Arial"/>
        <family val="2"/>
      </rPr>
      <t xml:space="preserve">CT013_RWA_PRINC
LEFT JOIN 
(SELECT * FROM CT014_RWA_IRB)
ON S1EMP = S1EMP
AND CONTRA1 = CONTRA1
</t>
    </r>
    <r>
      <rPr>
        <b/>
        <sz val="8"/>
        <color theme="1"/>
        <rFont val="Arial"/>
        <family val="2"/>
      </rPr>
      <t>1.2) Cruzar CT013_RWA_PRINC com a tabela CT014_RWA_IRB na data de referência = REF_DATE_INCPTN (se REF_DATE_INCPTN &lt; '2019-09-30'):</t>
    </r>
    <r>
      <rPr>
        <sz val="8"/>
        <color theme="1"/>
        <rFont val="Arial"/>
        <family val="2"/>
      </rPr>
      <t xml:space="preserve">
CT013_RWA_PRINC
LEFT JOIN 
(SELECT * FROM BDR_JM_CTO_AJ_REG)
ON S1EMP = 09209_S1EMP
AND CONTRA1 = 09209_CONTRA1</t>
    </r>
  </si>
  <si>
    <r>
      <t xml:space="preserve">A data de 2019-09-30 foi a data de entrada em produção do campo IN_PDINI na ct014_rwa_irb.
</t>
    </r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Este campo não foi simulado pelo consumo excessivo de memória aquando do processamento.</t>
    </r>
  </si>
  <si>
    <t>EAD_INCPTN</t>
  </si>
  <si>
    <t>Somatório de EAD bruta à data de origem do contrato</t>
  </si>
  <si>
    <t>CT013_RWA_PRINC
BDR_JM_CTO_AJ_REG</t>
  </si>
  <si>
    <t>EAD_FINAL_BRUTA 
O9209_EADFINAL</t>
  </si>
  <si>
    <r>
      <rPr>
        <u/>
        <sz val="8"/>
        <rFont val="Arial"/>
        <family val="2"/>
      </rPr>
      <t>1. Caso REF_DATE_INCPTN &gt;= '2019-09-30' então:</t>
    </r>
    <r>
      <rPr>
        <sz val="8"/>
        <rFont val="Arial"/>
        <family val="2"/>
      </rPr>
      <t xml:space="preserve"> SUM(EAD_FINAL_BRUTA) da tabela CT013_RWA_FINAL
</t>
    </r>
    <r>
      <rPr>
        <u/>
        <sz val="8"/>
        <rFont val="Arial"/>
        <family val="2"/>
      </rPr>
      <t xml:space="preserve">2. Caso contrário </t>
    </r>
    <r>
      <rPr>
        <sz val="8"/>
        <rFont val="Arial"/>
        <family val="2"/>
      </rPr>
      <t>SUM(09209_EADFINAL) da tabela BDR_JM_CTO_AJ_REG</t>
    </r>
  </si>
  <si>
    <r>
      <rPr>
        <b/>
        <sz val="8"/>
        <color theme="1"/>
        <rFont val="Arial"/>
        <family val="2"/>
      </rPr>
      <t xml:space="preserve">1.1) Cruzar CT013_RWA_PRINC com a tabela CT013_RWA_PRINC na data de referência = REF_DATE_INCPTN (se REF_DATE_INCPTN &gt;= '2019-09-30'):
</t>
    </r>
    <r>
      <rPr>
        <sz val="8"/>
        <color theme="1"/>
        <rFont val="Arial"/>
        <family val="2"/>
      </rPr>
      <t xml:space="preserve">CT013_RWA_PRINC
LEFT JOIN 
(SELECT * FROM CT013_RWA_PRINC)
ON S1EMP = S1EMP
AND CONTRA1 = CONTRA1
</t>
    </r>
    <r>
      <rPr>
        <b/>
        <sz val="8"/>
        <color theme="1"/>
        <rFont val="Arial"/>
        <family val="2"/>
      </rPr>
      <t xml:space="preserve">1.2) Cruzar CT013_RWA_PRINC com a tabela CT013_RWA_PRINC na data de referência = REF_DATE_INCPTN (se REF_DATE_INCPTN &lt; '2019-09-30'):
</t>
    </r>
    <r>
      <rPr>
        <sz val="8"/>
        <color theme="1"/>
        <rFont val="Arial"/>
        <family val="2"/>
      </rPr>
      <t>CT013_RWA_PRINC
LEFT JOIN 
(SELECT * FROM BDR_JM_CTO_AJ_REG)
ON S1EMP = 09209_S1EMP
AND CONTRA1 = 09209_CONTRA1</t>
    </r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</si>
  <si>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Este campo não foi simulado pelo consumo excessivo de memória aquando do processamento.</t>
    </r>
  </si>
  <si>
    <t>INTRNL_RTNG_INCPTN</t>
  </si>
  <si>
    <t>Rating interno à data de inception</t>
  </si>
  <si>
    <t>CT021_RWA_CLI
BDR_JM_CAL_IN_CLI</t>
  </si>
  <si>
    <t>IDPUNSCO
E9954_IDPUNSCO</t>
  </si>
  <si>
    <r>
      <rPr>
        <u/>
        <sz val="8"/>
        <rFont val="Arial"/>
        <family val="2"/>
      </rPr>
      <t>1. Caso REF_DATE_INCPTN &gt;= '2021-05-31' então:</t>
    </r>
    <r>
      <rPr>
        <sz val="8"/>
        <rFont val="Arial"/>
        <family val="2"/>
      </rPr>
      <t xml:space="preserve"> DISTINCT(IDPUNSCO) da tabela CT021_RWA_CLI 
WHERE NOME_DIMENSAO = "CLASS_RATING"
AND TIPMODEL = VALOR_ORIGEM 
AND VALOR_LT = 1
</t>
    </r>
    <r>
      <rPr>
        <u/>
        <sz val="8"/>
        <rFont val="Arial"/>
        <family val="2"/>
      </rPr>
      <t>2. Caso contrário</t>
    </r>
    <r>
      <rPr>
        <sz val="8"/>
        <rFont val="Arial"/>
        <family val="2"/>
      </rPr>
      <t xml:space="preserve"> DISTINCT(E9954_IDPUNSCO) da tabela BDR_JM_CAL_IN_CL
WHERE E9954_TIPO IN (91, 93) 
AND NOME_DIMENSAO = "CLASS_RATING"
AND TIPMODEL = VALOR_ORIGEM 
AND VALOR_LT = 1</t>
    </r>
  </si>
  <si>
    <r>
      <rPr>
        <b/>
        <sz val="8"/>
        <color theme="1"/>
        <rFont val="Arial"/>
        <family val="2"/>
      </rPr>
      <t xml:space="preserve">1.1) Cruzar CT013_RWA_PRINC com a tabela CT021_RWA_CLI na data de referência = REF_DATE_INCPTN (se REF_DATE_INCPTN &gt;= '2021-05-31'):
</t>
    </r>
    <r>
      <rPr>
        <sz val="8"/>
        <color theme="1"/>
        <rFont val="Arial"/>
        <family val="2"/>
      </rPr>
      <t xml:space="preserve">CT013_RWA_PRINC
LEFT JOIN 
(SELECT * FROM CT021_RWA_CLI) 
ON S1EMP = S1EMP
 AND IDNUMCLI = IDNUMCLI
</t>
    </r>
    <r>
      <rPr>
        <b/>
        <sz val="8"/>
        <color theme="1"/>
        <rFont val="Arial"/>
        <family val="2"/>
      </rPr>
      <t>1.2) Cruzar CT013_RWA_PRINC com a tabela CT021_RWA_CLI na data de referência = REF_DATE_INCPTN (se REF_DATE_INCPTN &lt; '2021-05-31'):</t>
    </r>
    <r>
      <rPr>
        <sz val="8"/>
        <color theme="1"/>
        <rFont val="Arial"/>
        <family val="2"/>
      </rPr>
      <t xml:space="preserve">
CT013_RWA_PRINC
LEFT JOIN 
(SELECT * FROM BDR_JM_CAL_IN_CL) 
ON S1EMP = E9954_S1EMP
AND IDNUMCLI = E9954_IDNUMCLI
</t>
    </r>
    <r>
      <rPr>
        <b/>
        <sz val="8"/>
        <color theme="1"/>
        <rFont val="Arial"/>
        <family val="2"/>
      </rPr>
      <t>2) Replicar passo 2) do campo INTRNL_RTNG (dependendo no resultado dos passos 1.1) ou 1.2) calculados anteriormente)</t>
    </r>
  </si>
  <si>
    <r>
      <t xml:space="preserve">A data de 2021-05-31 foi a data de entrada em produção do campo IDPUNSCO na ct021_rwa_cli.
</t>
    </r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Este campo não foi simulado pelo consumo excessivo de memória aquando do processamento.</t>
    </r>
  </si>
  <si>
    <t>CRRLTN_CFFCNT</t>
  </si>
  <si>
    <t>Coeficiente de correlação</t>
  </si>
  <si>
    <t>BDR_JM_CTO_AJ_REG</t>
  </si>
  <si>
    <t>O9209_IMPORTE7</t>
  </si>
  <si>
    <t>(O9209_IMPORTE7 de CHAVE_1 * EAD de CHAVE_1)/SUM(EAD de CHAVE_2)
WHERE O9209_FINCALCU = 9 AND O9209_FLG_CORE = 1
Onde CHAVE_1 = CONCAT ( O9209_S1EMP, O9209_CONTRA1, O9209_BIENGAR1, O9209_CATPREMI, O9209_TIPOAJUS, O9209_COD_SPV)
CHAVE_2 = CONCAT (CONTRA1, S1EMP, ID_CAPITAL_PERIMETROS)</t>
  </si>
  <si>
    <r>
      <rPr>
        <b/>
        <sz val="8"/>
        <color theme="1"/>
        <rFont val="Arial"/>
        <family val="2"/>
      </rPr>
      <t>1) Cruzar CT013_RWA_PRINC com a tabela BDR_JM_CTO_AJ_REG:</t>
    </r>
    <r>
      <rPr>
        <sz val="8"/>
        <color theme="1"/>
        <rFont val="Arial"/>
        <family val="2"/>
      </rPr>
      <t xml:space="preserve">
CT013_RWA_PRINC
LEFT JOIN 
(SELECT * FROM BDR_JM_CTO_AJ_REG)
ON S1EMP = O9209_S1EMP
AND CONTRA1 = O9209_CONTRA1
AND BIENGAR1 = O9209_BIENGAR1
AND CATPREM_INICIAL = O9209_CATPREMI
AND TIPOAJUS = O9209_TIPOAJUS
AND COD_SPV = O9209_COD_SPV
AND REF_DATE = DATA_DATE_PART</t>
    </r>
  </si>
  <si>
    <t>Campo apenas será implementado na BDR a partir de novembro de 2022.</t>
  </si>
  <si>
    <t>NOME_PERIMETRO</t>
  </si>
  <si>
    <t>Nome do perimetro para o qual o ID_CAPITAL_PERIMETROS é reportado</t>
  </si>
  <si>
    <t>CT020_RWA_PER</t>
  </si>
  <si>
    <t>DISTINCT (NOME_PERIMETRO)</t>
  </si>
  <si>
    <t>Campo necessário para cruzar com perimetro em análise do universo de contratos de FINREP</t>
  </si>
  <si>
    <t>CALENDARIO</t>
  </si>
  <si>
    <t>Tipologia de calendário para o qual o ID_CAPITAL_PERIMETROS é reportado</t>
  </si>
  <si>
    <t>DISTINCT (CALENDARIO)</t>
  </si>
  <si>
    <t>1) Replicar passo 1) do campo NOME_PERIMETRO</t>
  </si>
  <si>
    <t>2. Aprovisionamento dos campos para 1 ano antes data de referência</t>
  </si>
  <si>
    <t>TMP_BCE_LT_INSTR_CAP_T1</t>
  </si>
  <si>
    <t>REF_DATE_T1</t>
  </si>
  <si>
    <t>1 ano antes da data de referência</t>
  </si>
  <si>
    <t>1 ano antes da data da referência</t>
  </si>
  <si>
    <t>ID_CAPITAL_PERIMETROS_T1</t>
  </si>
  <si>
    <t>Chave da tabela 1 ano antes da data de referência</t>
  </si>
  <si>
    <t>ID_CAPITAL_PERIMETROS
Onde REF_DATE = 1 ano antes da data da referência</t>
  </si>
  <si>
    <t>S1EMP_T1</t>
  </si>
  <si>
    <t>Identificador de código de Empresa BDR 1 ano antes da data de referência</t>
  </si>
  <si>
    <t>S1EMP
Onde REF_DATE = 1 ano antes da data da referência</t>
  </si>
  <si>
    <t>CONTRA1_T1</t>
  </si>
  <si>
    <t>Identificador de código de Contrato BDR 1 ano antes da data de referência</t>
  </si>
  <si>
    <t>CONTRA1
Onde REF_DATE = 1 ano antes da data da referência</t>
  </si>
  <si>
    <t>RWA_MTHD_T1</t>
  </si>
  <si>
    <t>Método de cálculo de capital 1 ano antes da data de referência</t>
  </si>
  <si>
    <t>1) Replicar passo 1) do campo RWA_MTHD (mas para 1 ano antes da data de referência)</t>
  </si>
  <si>
    <t>PD_CRR_RD_T1</t>
  </si>
  <si>
    <t>DECIMAL (13,10)</t>
  </si>
  <si>
    <t>Probabilidade de incumprimento de acordo com o CRR 1 ano antes da data de referência</t>
  </si>
  <si>
    <t>DISTINCT (IN_PDINI/100)
Onde REF_DATE = 1 ano antes da data da referência</t>
  </si>
  <si>
    <t>1) Replicar passo 1) do campo PD_CRR_RD (mas para 1 ano antes da data de referência)</t>
  </si>
  <si>
    <t>a) Validação da PD_CRR_RD_T1 que está na BCE_LT_CAPITAL com o que está na CT014 (in_pdini) 1 ano antes da data de referência</t>
  </si>
  <si>
    <t>EAD_T1</t>
  </si>
  <si>
    <t>Somatório de EAD bruta 1 ano antes da data de referência</t>
  </si>
  <si>
    <t>SUM(EAD_FINAL_BRUTA)
Onde REF_DATE = 1 ano antes da data da referência</t>
  </si>
  <si>
    <t>1) Replicar passo 1) do campo EAD (mas para 1 ano antes da data de referência)</t>
  </si>
  <si>
    <t>NOME_PERIMETRO_T1</t>
  </si>
  <si>
    <t>Nome do perimetro para o qual o ID_CAPITAL_PERIMETROS é reportado 1 ano antes da data de referência</t>
  </si>
  <si>
    <t>DISTINCT (NOME_PERIMETRO)
Onde REF_DATE = 1 ano antes da data da referência</t>
  </si>
  <si>
    <t>1) Replicar passo 1) do campo NOME_PERIMETRO (mas para 1 ano antes da data de referência)</t>
  </si>
  <si>
    <t>CALENDARIO_T1</t>
  </si>
  <si>
    <t>Tipologia de calendário para o qual o ID_CAPITAL_PERIMETROS é reportado 1 ano antes da data de referência</t>
  </si>
  <si>
    <t>DISTINCT (CALENDARIO)
Onde REF_DATE = 1 ano antes da data da referência</t>
  </si>
  <si>
    <t>3. Aprovisionamento dos campos para a data de origem dos contratos</t>
  </si>
  <si>
    <t>TMP_BCE_LT_INSTR_CAP_INCPTN</t>
  </si>
  <si>
    <r>
      <rPr>
        <b/>
        <sz val="8"/>
        <color rgb="FFFF0000"/>
        <rFont val="Arial"/>
        <family val="2"/>
      </rPr>
      <t xml:space="preserve">1) Cruzar CT013_RWA_PRINC com a tabela CT013_RWA_PRINC na data de referência = REF_DATE_INCPTN (se REF_DATE_INCPTN &gt;= '2019-09-30'):
</t>
    </r>
    <r>
      <rPr>
        <sz val="8"/>
        <color rgb="FFFF0000"/>
        <rFont val="Arial"/>
        <family val="2"/>
      </rPr>
      <t xml:space="preserve">CT013_RWA_PRINC
LEFT JOIN
(SELECT * FROM  CT013_RWA_PRINC) 
ON S1EMP = S1EMP
AND CONTRA1 = CONTRA1
</t>
    </r>
    <r>
      <rPr>
        <b/>
        <sz val="8"/>
        <color rgb="FFFF0000"/>
        <rFont val="Arial"/>
        <family val="2"/>
      </rPr>
      <t>2) Cruzar campo SUBTIPO_RISCO obtido no passo anterior com a tabela de parametrização LT803_CODIGOS_LT de modo a obter os códigos permitidos na code list:</t>
    </r>
    <r>
      <rPr>
        <sz val="8"/>
        <color rgb="FFFF0000"/>
        <rFont val="Arial"/>
        <family val="2"/>
      </rPr>
      <t xml:space="preserve">
LEFT JOIN
(SELECT * FROM LT803_CODIGOS_LT) 
ON SUBTIPO_RISCO = VALOR_ORIGEM</t>
    </r>
  </si>
  <si>
    <r>
      <t xml:space="preserve">1. Transformações de dados de Capital por contratos </t>
    </r>
    <r>
      <rPr>
        <sz val="10"/>
        <rFont val="Arial"/>
        <family val="2"/>
      </rPr>
      <t>- Step2 BCE_LT_INSTR_CAP</t>
    </r>
  </si>
  <si>
    <t>Nesta tabela é apresentada a informação de capital/RWA's agregada pela chave de contrato de FINREP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</si>
  <si>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cd_loan_tapes_bce.bce_lt_instr_cap</t>
    </r>
  </si>
  <si>
    <r>
      <rPr>
        <b/>
        <sz val="9"/>
        <color theme="1"/>
        <rFont val="Arial"/>
        <family val="2"/>
      </rPr>
      <t>Chave primária</t>
    </r>
    <r>
      <rPr>
        <sz val="9"/>
        <color theme="1"/>
        <rFont val="Arial"/>
        <family val="2"/>
      </rPr>
      <t>: CHAVE_FR, NOME_PERIMETRO, CALENDARIO</t>
    </r>
  </si>
  <si>
    <t>1. Todos os contratos identificados na tabela cd_loan_tapes_bce.lt002_instrument para o perímetro em análise;</t>
  </si>
  <si>
    <t>2. Saldos de contas que tenham uma correspondência com a matriz de contas com domínio de capital;</t>
  </si>
  <si>
    <t>3. Contratos que passem nos tradutores de chaves FINREP para chave MASTER e posteriormente para BDR.</t>
  </si>
  <si>
    <t>1. cd_loan_tapes_bce.lt001_univ_oper</t>
  </si>
  <si>
    <t>2. cd_loan_tapes_bce.tmp_bce_lt_capital</t>
  </si>
  <si>
    <t>3. cd_captools.ct805_matriz_cnt</t>
  </si>
  <si>
    <t>4. cd_captools.kt_chaves_finrep</t>
  </si>
  <si>
    <t>5. cd_captools.kt_chaves_bdr</t>
  </si>
  <si>
    <t>1. Filtro de contratos de chaves FINREP com matriz de contas de capital</t>
  </si>
  <si>
    <r>
      <rPr>
        <b/>
        <sz val="10"/>
        <color theme="1"/>
        <rFont val="Arial"/>
        <family val="2"/>
      </rPr>
      <t>Nota</t>
    </r>
    <r>
      <rPr>
        <sz val="10"/>
        <color theme="1"/>
        <rFont val="Arial"/>
        <family val="2"/>
      </rPr>
      <t>: Este processo deve ser efetuado por quantos perimetros forem executados</t>
    </r>
  </si>
  <si>
    <t>Status de simulaçao</t>
  </si>
  <si>
    <t>BCE_LT_INSTR_CAP_1</t>
  </si>
  <si>
    <t>CEMPRESA</t>
  </si>
  <si>
    <t>Identificador de código da empresa FINREP</t>
  </si>
  <si>
    <t>LT001_UNIV_OPER</t>
  </si>
  <si>
    <r>
      <rPr>
        <b/>
        <sz val="8"/>
        <color theme="1"/>
        <rFont val="Arial"/>
        <family val="2"/>
      </rPr>
      <t>1) Identificar os contratos do universo e para o perímetro em análise.</t>
    </r>
    <r>
      <rPr>
        <sz val="8"/>
        <color theme="1"/>
        <rFont val="Arial"/>
        <family val="2"/>
      </rPr>
      <t xml:space="preserve">
(SELECT * FROM LT001_UNIV_OPER) LT001
</t>
    </r>
    <r>
      <rPr>
        <b/>
        <sz val="8"/>
        <color theme="1"/>
        <rFont val="Arial"/>
        <family val="2"/>
      </rPr>
      <t>2) Cruzar contratos obtidos no passo anterior com as contas contabilísticas (dependente do perímetro em análise) e respetivos saldos na FR001_UNIV_SALDO</t>
    </r>
    <r>
      <rPr>
        <sz val="8"/>
        <color theme="1"/>
        <rFont val="Arial"/>
        <family val="2"/>
      </rPr>
      <t xml:space="preserve">
LEFT JOIN 
(SELECT * FROM FR001_UNIV_SALDO) FR001
ON CEMPRESA = CEMPRESA
AND CBALCAO = CBALCAO
AND CNUMECTA = CNUMECTA
AND ZDEPOSIT = ZDEPOSIT
</t>
    </r>
    <r>
      <rPr>
        <b/>
        <sz val="8"/>
        <color theme="1"/>
        <rFont val="Arial"/>
        <family val="2"/>
      </rPr>
      <t xml:space="preserve">3) Identificar as contas contabilísticas obtidas no passo anterior que são âmbito do domínio de capital e para o perímetro em análise através da CT805_MATRIZ_CNT
</t>
    </r>
    <r>
      <rPr>
        <sz val="8"/>
        <color theme="1"/>
        <rFont val="Arial"/>
        <family val="2"/>
      </rPr>
      <t>LEFT JOIN 
(SELECT * FROM CT805_MATRIZ_CNT) MATRIZ
ON FR001.</t>
    </r>
    <r>
      <rPr>
        <b/>
        <sz val="8"/>
        <color theme="1"/>
        <rFont val="Arial"/>
        <family val="2"/>
      </rPr>
      <t>[CONTA]</t>
    </r>
    <r>
      <rPr>
        <sz val="8"/>
        <color theme="1"/>
        <rFont val="Arial"/>
        <family val="2"/>
      </rPr>
      <t xml:space="preserve"> = MATRIZ.CONTA
</t>
    </r>
    <r>
      <rPr>
        <b/>
        <sz val="8"/>
        <color theme="1"/>
        <rFont val="Arial"/>
        <family val="2"/>
      </rPr>
      <t>4) Identificar as contas contabilisticas que são de ativo e extrapatrimonial (excluindo provisões) através do cruzamento com a tabela FR802_PL_CONTAS e respetiva tabela de parametrização:</t>
    </r>
    <r>
      <rPr>
        <sz val="8"/>
        <color theme="1"/>
        <rFont val="Arial"/>
        <family val="2"/>
      </rPr>
      <t xml:space="preserve">
LEFT JOIN
(SELECT * FROM FR802_PL_CONTAS) FR802
ON FR802.CONTA  = MATRIZ.CONTA
LEFT JOIN 
(SELECT * FROM TABELA_PARAMETRIZACAO_CONTAS_CAPITAL) PARAM
ON FR802.TIPO_CONTA = PARAM.TIPO_CONTA
AND FR802.CARTEIRA_CONTABILISTICA = PARAM.CARTEIRA_CONTABILISTICA
AND FR802.COMPOSICAO_VALOR = PARAM.COMPOSICAO_VALOR
AND FR802.BRUTO_IMPARIDADE = PARAM.BRUTO_IMPARIDADE
</t>
    </r>
  </si>
  <si>
    <t>A variável [CONTA] proveniente da tabela FR001_UNIVERSO_SALDO varia entre CCONTAB_FINAL_IFRS, CCONTAB_FINAL_ST_SGPS, CCONTAB_FINAL_SGPS_CONS, CCONTAB_FINAL_CARGABAL consoante o nome_perimetro calculado.
A variável [COD_PLANO] proveniente da tabela FR802_PL_CONTAS varia entre BST_IND, ST_SGPS_CONS, SGPS_CONSOLIDADO, CARGABAL consoante o nome_perimetro calculado.</t>
  </si>
  <si>
    <t>CBALCAO</t>
  </si>
  <si>
    <t>Identificador de código do balcao FINREP</t>
  </si>
  <si>
    <t>CNUMECTA</t>
  </si>
  <si>
    <t>Identificador de código do cnumecta FINREP</t>
  </si>
  <si>
    <t>ZDEPOSIT</t>
  </si>
  <si>
    <t>Identificador de código do zdeposit FINREP</t>
  </si>
  <si>
    <t>CHAVE_FR</t>
  </si>
  <si>
    <t>Identificador de código da chave FINREP</t>
  </si>
  <si>
    <t>CEMPRESA
CBALCAO
CNUMECTA
ZDEPOSIT</t>
  </si>
  <si>
    <r>
      <t xml:space="preserve">CONCAT (CEMPRESA, CBALCAO, CNUMECTA, ZDEPOSIT)
WHERE NOME_PERIMETRO = </t>
    </r>
    <r>
      <rPr>
        <i/>
        <sz val="8"/>
        <rFont val="Arial"/>
        <family val="2"/>
      </rPr>
      <t>Perímetro em análise</t>
    </r>
  </si>
  <si>
    <t>SALDO_CAPITAL</t>
  </si>
  <si>
    <t>DECIMAL(38,6)</t>
  </si>
  <si>
    <t>Somatório de saldo por contrato com contas de capital</t>
  </si>
  <si>
    <t>FR001_UNIV_SALDO</t>
  </si>
  <si>
    <t>MSALDO_FINAL
[CONTA] - Ver notas
[COD_PLANO] - Ver notas</t>
  </si>
  <si>
    <r>
      <t>NVL(SUM(MSALDO_FINAL),0)
WHERE FR001_UNIV_SALDO.</t>
    </r>
    <r>
      <rPr>
        <i/>
        <sz val="8"/>
        <rFont val="Arial"/>
        <family val="2"/>
      </rPr>
      <t>[CONTA]</t>
    </r>
    <r>
      <rPr>
        <sz val="8"/>
        <rFont val="Arial"/>
        <family val="2"/>
      </rPr>
      <t xml:space="preserve"> = CT805_MATRIZ_CNT.CONTA
AND DOMINIO = 'Capital'
AND NOME_PERIMETRO = </t>
    </r>
    <r>
      <rPr>
        <i/>
        <sz val="8"/>
        <rFont val="Arial"/>
        <family val="2"/>
      </rPr>
      <t>Perímetro em análise</t>
    </r>
    <r>
      <rPr>
        <sz val="8"/>
        <rFont val="Arial"/>
        <family val="2"/>
      </rPr>
      <t xml:space="preserve">
AND FR802_PL_CONTAS = [</t>
    </r>
    <r>
      <rPr>
        <i/>
        <sz val="8"/>
        <rFont val="Arial"/>
        <family val="2"/>
      </rPr>
      <t>COD_PLANO</t>
    </r>
    <r>
      <rPr>
        <sz val="8"/>
        <rFont val="Arial"/>
        <family val="2"/>
      </rPr>
      <t>]
AND PARAM.FLAG_SALDO_CAPITAL = 1</t>
    </r>
  </si>
  <si>
    <t>Nome do perimetro para o qual a chave FINREP é reportada</t>
  </si>
  <si>
    <t>2.1. Obtenção de relação de chaves FINREP e BDR (campos calculados sobre a data de referência)</t>
  </si>
  <si>
    <t>BCE_LT_INSTR_CAP_2</t>
  </si>
  <si>
    <r>
      <rPr>
        <b/>
        <sz val="8"/>
        <color theme="1"/>
        <rFont val="Arial"/>
        <family val="2"/>
      </rPr>
      <t xml:space="preserve">1) Cruzar BCE_LT_INSTR_CAP_1 com tradutor de chaves FINREP e BDR: 
</t>
    </r>
    <r>
      <rPr>
        <sz val="8"/>
        <color theme="1"/>
        <rFont val="Arial"/>
        <family val="2"/>
      </rPr>
      <t xml:space="preserve">BCE_LT_CAPITAL_1
LEFT JOIN
((SELECT * FROM KT_CHAVES_FINREP) 
INNER JOIN 
(SELECT * FROM KT_CHAVES_BDR)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BDR obtida no passo anterior com a tabela TMP_BCE_LT_INSTR_CAP para obter os campos pretendidos:</t>
    </r>
    <r>
      <rPr>
        <sz val="8"/>
        <color theme="1"/>
        <rFont val="Arial"/>
        <family val="2"/>
      </rPr>
      <t xml:space="preserve">
LEFT JOIN 
(SELECT * FROM TMP_BCE_LT_INSTR_CAP)
ON S1EMP = S1EMP
AND CONTRA1= CONTRA1</t>
    </r>
  </si>
  <si>
    <t>CHAVE_CAP</t>
  </si>
  <si>
    <t>Identificador de código da chave BDR</t>
  </si>
  <si>
    <t>CONCAT (S1EMP, CONTRA1)</t>
  </si>
  <si>
    <t>Somatório de saldo por contrato FINREP com contas de capital</t>
  </si>
  <si>
    <t>Identificador de código de ID_CAPITAL_PERIMETROS na BDR</t>
  </si>
  <si>
    <t>Método de cálculo de capital por contrato
(se o calculo for parcialmente efetuado por IRB, o método é IRB)</t>
  </si>
  <si>
    <t>Somatório de RWA final por contrato</t>
  </si>
  <si>
    <t>Somatório de EAD bruta por contrato</t>
  </si>
  <si>
    <t>Probabilidade de incumprimento de acordo com o CRR por contrato</t>
  </si>
  <si>
    <r>
      <t xml:space="preserve">PD_CRR_RD
</t>
    </r>
    <r>
      <rPr>
        <b/>
        <sz val="8"/>
        <rFont val="Arial"/>
        <family val="2"/>
      </rPr>
      <t>Valor Not Applicable: Caso uma CHAVE_FR tenha o SEGMENTO_COREP_PREM like 'I_4%' para todos as CHAVE_CAP.</t>
    </r>
  </si>
  <si>
    <t>CCF aplicado a exposições extrapatrimoniais por contrato</t>
  </si>
  <si>
    <t>INT</t>
  </si>
  <si>
    <t>Dias de atraso de acordo com a ND (considerando os thresholds absolutos e relativos) por contrato</t>
  </si>
  <si>
    <t>Data de entrada em default de acordo com o primeiro critério aplicado (DPD ou UTP) por contrato</t>
  </si>
  <si>
    <t>Status de default do instrumento</t>
  </si>
  <si>
    <t>Rating interno do contrato à data de referência (caso só o cliente tenha rating, o mesmo é replicado para os seus contratos)</t>
  </si>
  <si>
    <t>Rating interno anterior um ano antes da data de referência</t>
  </si>
  <si>
    <t>Data de classificação do rating interno à data de referência</t>
  </si>
  <si>
    <r>
      <t xml:space="preserve">PD_CRR_INCPTN
</t>
    </r>
    <r>
      <rPr>
        <b/>
        <sz val="8"/>
        <rFont val="Arial"/>
        <family val="2"/>
      </rPr>
      <t>Valor Not Applicable: Caso uma CHAVE_FR tenha o SEGMENTO_COREP_PREM like 'I_4%' para todos as CHAVE_CAP.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</si>
  <si>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Este campo não foi simulado pelo consumo excessivo de memória aquando do processamento.</t>
    </r>
  </si>
  <si>
    <t>2.2. Obtenção de relação de chaves FINREP e BDR (campos calculados sobre 1 ano antes da data de referência)</t>
  </si>
  <si>
    <t>BCE_LT_INSTR_CAP_2_T1</t>
  </si>
  <si>
    <r>
      <rPr>
        <b/>
        <sz val="8"/>
        <color theme="1"/>
        <rFont val="Arial"/>
        <family val="2"/>
      </rPr>
      <t xml:space="preserve">1) Cruzar BCE_LT_INSTR_CAP_1 com tradutor de chaves FINREP e BDR 1 ano antes da data de referência: 
</t>
    </r>
    <r>
      <rPr>
        <sz val="8"/>
        <color theme="1"/>
        <rFont val="Arial"/>
        <family val="2"/>
      </rPr>
      <t xml:space="preserve">BCE_LT_CAPITAL_1
LEFT JOIN
((SELECT * FROM KT_CHAVES_FINREP) 
INNER JOIN 
(SELECT * FROM KT_CHAVES_BDR)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BDR obtida no passo anterior com a tabela TMP_BCE_LT_INSTR_CAP_T1 para obter os campos pretendidos:</t>
    </r>
    <r>
      <rPr>
        <sz val="8"/>
        <color theme="1"/>
        <rFont val="Arial"/>
        <family val="2"/>
      </rPr>
      <t xml:space="preserve">
LEFT JOIN 
(SELECT * FROM TMP_BCE_LT_INSTR_CAP_T1)
ON S1EMP = S1EMP_T1
AND CONTRA1= CONTRA1_T1</t>
    </r>
  </si>
  <si>
    <t>CHAVE_CAP_T1</t>
  </si>
  <si>
    <t>CONCAT (S1EMP_T1, CONTRA1_T1)</t>
  </si>
  <si>
    <r>
      <t>PD_CRR_RD_T1</t>
    </r>
    <r>
      <rPr>
        <b/>
        <sz val="8"/>
        <rFont val="Arial"/>
        <family val="2"/>
      </rPr>
      <t xml:space="preserve">
Valor Not Applicable: Caso uma CHAVE_FR tenha o SEGMENTO_COREP_PREM like 'I_4%' para todos as CHAVE_CAP.</t>
    </r>
  </si>
  <si>
    <t>3. Tratamento de dados por CHAVE_FR</t>
  </si>
  <si>
    <t>BCE_LT_INSTR_CAP</t>
  </si>
  <si>
    <t>DISTINCT(CHAVE_FR)</t>
  </si>
  <si>
    <t>DISTINCT(RWA_MTHD)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'1'
4. Caso contrário RWA_MTHD</t>
  </si>
  <si>
    <r>
      <rPr>
        <b/>
        <sz val="8"/>
        <color theme="1"/>
        <rFont val="Arial"/>
        <family val="2"/>
      </rPr>
      <t>1) Cruzar tabela BCE_LT_INSTR_CAP_2 com CT013_RWA_PRINC de modo a obter campos necessários à escolha do valor a reportar na Loan Tape (aplicar este cruzamento no caso de se observarem registos duplicados por CHAVE_FR).</t>
    </r>
    <r>
      <rPr>
        <sz val="8"/>
        <color theme="1"/>
        <rFont val="Arial"/>
        <family val="2"/>
      </rPr>
      <t xml:space="preserve">
BCE_LT_INSTR_CAP_2
LEFT JOIN 
(SELECT * FROM CT013_RWA_PRINC ) 
ON ID_CAPITAL_PERIMETROS = ID_CAPITAL_PERIMETROS</t>
    </r>
  </si>
  <si>
    <t>Ver requisitos de tratamento de informação de Capital</t>
  </si>
  <si>
    <t>SUM(RWA * SALDO_CAPITAL / SUM(SALDO_CAPITAL de todas as CHAVE_CAP))</t>
  </si>
  <si>
    <t>SUM(EAD * SALDO_CAPITAL / SUM(SALDO_CAPITAL de todas as CHAVE_CAP))</t>
  </si>
  <si>
    <t>DISTINCT(SPCLTV_LNDNG)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SPCLTV_LNDNG onde RWA_MTHD = '1'
4. Se COUNT(DISTINCT SPCLTV_LNDNG) &gt; 1 então 'S'
5. Caso contrário SPCLTV_LNDNG</t>
  </si>
  <si>
    <r>
      <t xml:space="preserve">DISTINCT(PD_CRR_RD)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PD_CRR_RD onde RWA_MTHD = '1'
4. Caso contrário (PD_CRR_RD de CHAVE_CAP * EAD de CHAVE_CAP)/SUM(EAD de CHAVE_FR)
</t>
    </r>
    <r>
      <rPr>
        <b/>
        <sz val="8"/>
        <rFont val="Arial"/>
        <family val="2"/>
      </rPr>
      <t xml:space="preserve">Valor Not Applicable: </t>
    </r>
    <r>
      <rPr>
        <sz val="8"/>
        <rFont val="Arial"/>
        <family val="2"/>
      </rPr>
      <t>Caso uma CHAVE_FR tenha o SEGMENTO_COREP_PREM like 'I_4%' para todos as CHAVE_CAP.</t>
    </r>
  </si>
  <si>
    <r>
      <t xml:space="preserve">DISTINCT(PD_CRR_RD_T1)
Se duplicações de resultados por CHAVE_FR, então: 
1. Se CHAVE_FR com FLG_IDCTOORI in (1, 0) escolher CHAVE_CAP_1 onde FLG_IDCTOORI = 0 
2. Se CHAVE_FR com produtos de estruturas e diferente de estruturas (id_prod = 47) então escolher CHAVE_CAP_1 onde  id_prod &lt;&gt; 47 (diferente de estruturas) 
3. Se COUNT(DISTINCT RWA_MTHD) &gt; 1 então escolher PD_CRR_RD_T1 onde RWA_MTHD = '1'
4. Caso contrário (PD_CRR_RD1 de CHAVE_CAP_1 * EAD_T1 de CHAVE_CAP_1)/SUM(EAD_T1 de CHAVE_FR)
</t>
    </r>
    <r>
      <rPr>
        <b/>
        <sz val="8"/>
        <rFont val="Arial"/>
        <family val="2"/>
      </rPr>
      <t xml:space="preserve">Valor Not Applicable: </t>
    </r>
    <r>
      <rPr>
        <sz val="8"/>
        <rFont val="Arial"/>
        <family val="2"/>
      </rPr>
      <t>Caso uma CHAVE_FR tenha o SEGMENTO_COREP_PREM like 'I_4%' para todos as CHAVE_CAP_1.</t>
    </r>
  </si>
  <si>
    <r>
      <rPr>
        <b/>
        <sz val="8"/>
        <color theme="1"/>
        <rFont val="Arial"/>
        <family val="2"/>
      </rPr>
      <t xml:space="preserve">1) Cruzar tabela BCE_LT_INSTR_CAP_2_T1 com CT013_RWA_PRINC </t>
    </r>
    <r>
      <rPr>
        <b/>
        <u/>
        <sz val="8"/>
        <color theme="1"/>
        <rFont val="Arial"/>
        <family val="2"/>
      </rPr>
      <t>1 ano antes da data de referência</t>
    </r>
    <r>
      <rPr>
        <b/>
        <sz val="8"/>
        <color theme="1"/>
        <rFont val="Arial"/>
        <family val="2"/>
      </rPr>
      <t xml:space="preserve"> de modo a obter campos necessários à escolha do valor a reportar na Loan Tape (aplicar este cruzamento no caso de se observarem registos duplicados por CHAVE_FR).</t>
    </r>
    <r>
      <rPr>
        <sz val="8"/>
        <color theme="1"/>
        <rFont val="Arial"/>
        <family val="2"/>
      </rPr>
      <t xml:space="preserve">
BCE_LT_INSTR_CAP_2_T1
LEFT JOIN 
(SELECT * FROM CT013_RWA_PRINC ) 
ON ID_CAPITAL_PERIMETROS = ID_CAPITAL_PERIMETROS</t>
    </r>
  </si>
  <si>
    <t>DISTINCT(LGD)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LGD onde RWA_MTHD = '1'
4. Caso contrário (LGD de CHAVE_CAP * EAD de CHAVE_CAP)/SUM(EAD de CHAVE_FR)</t>
  </si>
  <si>
    <t>DISTINCT(CCF)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CCF onde RWA_MTHD = '1'
4. Caso contrário (CCF de CHAVE_CAP * EAD de CHAVE_CAP)/SUM(EAD de CHAVE_FR)</t>
  </si>
  <si>
    <t>DISTINCT(DPD)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DPD onde RWA_MTHD = '1'
4. Caso contrário MAX(DPD)</t>
  </si>
  <si>
    <t>DISTINCT(DT_DFLT_STTS_INSTRMNT)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DT_DFLT_STTS_INSTRMNT onde RWA_MTHD = '1'
4. Caso contrário MIN(DT_DFLT_STTS_INSTRMNT)</t>
  </si>
  <si>
    <t>DISTINCT(DFLT_STTS_INSTRMNT)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DFLT_STTS_INSTRMNT onde RWA_MTHD = '1'
4. Se COUNT(DISTINCT DFLT_STTS_INSTRMNT) &gt; 1 então '18'
5. Caso contrário DFLT_STTS_INSTRMNT
No ponto 4, a contagem deverá ser feita após o union all dos seguintes universos:
1. Tratamento de clientes com mais do que 1 status de default: sobre este universo, desconsiderar sttus de default '14' (not in default)
2. Tratamento de clientes com apenas 1 status de default: sobre este universo trazer o status direto</t>
  </si>
  <si>
    <t>DISTINCT(INTRNL_RTNG)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INTRNL_RTNG onde RWA_MTHD = '1'
4. Caso contrário MIN(INTRNL_RTNG)</t>
  </si>
  <si>
    <t>DISTINCT(INTRNL_RTNG_PRVS)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INTRNL_RTNG_PRVS onde RWA_MTHD = '1'
4. Caso contrário MIN(INTRNL_RTNG_PRVS)</t>
  </si>
  <si>
    <t>DISTINCT(DT_INTRNL_RTNG)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DT_INTRNL_RTNG onde RWA_MTHD = '1'
4. Caso contrário DT_INTRNL_RTNG do INTRNL_RTNG escolhido</t>
  </si>
  <si>
    <t>DISTINCT(PD_CRR_INCPTN)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PD_CRR_INCPTN onde RWA_MTHD = '1'
4. Caso contrário (PD_CRR_INCPTN de CHAVE_CAP * EAD_INCPTN de CHAVE_CAP)/SUM(EAD_INCPTN de CHAVE_FR)
Valor Not Applicable: Caso uma CHAVE_FR tenha o SEGMENTO_COREP_PREM like 'I_4%' para todos as CHAVE_CAP.</t>
  </si>
  <si>
    <t>DISTINCT(INTRNL_RTNG_INCPTN)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INTRNL_RTNG_INCPTN onde RWA_MTHD = '1'
4. Caso contrário MIN(INTRNL_RTNG_INCPTN)</t>
  </si>
  <si>
    <t>DISTINCT(RTNG_MTHD)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RTNG_MTHD onde RWA_MTHD = '1'
4. Caso contrário MIN(RTNG_MTHD)</t>
  </si>
  <si>
    <t>DISTINCT(RWA_MTHD_T1)
Se duplicações de resultados por CHAVE_FR, então: 
1. Se CHAVE_FR com FLG_IDCTOORI in (1, 0) escolher CHAVE_CAP_T1 onde FLG_IDCTOORI = 0 
2. Se CHAVE_FR com produtos de estruturas e diferente de estruturas (id_prod = 47) então escolher CHAVE_CAP_T1 onde  id_prod &lt;&gt; 47 (diferente de estruturas)
3. Se COUNT(DISTINCT RWA_MTHD_T1) &gt; 1 então '1'
4. Caso contrário RWA_MTHD_T1</t>
  </si>
  <si>
    <t>1) Replicar passo 1) do campo PD_CRR_RD_T1</t>
  </si>
  <si>
    <t>DISTINCT(RWA_MTHD_INCPTN)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RWA_MTHD_INCPTN) &gt; 1 então '1'
4. Caso contrário RWA_MTHD_INCPTN</t>
  </si>
  <si>
    <t>DISTINCT(CRRLTN_CFFCNT)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PD_CRR_RD onde RWA_MTHD = '1'
4. Caso contrário (CRRLTN_CFFCNT de CHAVE_CAP * EAD de CHAVE_CAP)/SUM(EAD de CHAVE_FR)</t>
  </si>
  <si>
    <t>HTIMEST</t>
  </si>
  <si>
    <t>Dia e hora de execução do registo</t>
  </si>
  <si>
    <t>Calculado</t>
  </si>
  <si>
    <t>FROM_UNIXTIME (UNIX_TIMESTAMP())</t>
  </si>
  <si>
    <t>STEP 1 - Tratamento das fontes de informação</t>
  </si>
  <si>
    <t xml:space="preserve">Informação de capital vencido na moeda local à data de referência, assim como o histórico dos 12 meses anteriores </t>
  </si>
  <si>
    <t>todo o histórico</t>
  </si>
  <si>
    <t>cd_captools.moyr1060 ; cd_captools.cambios</t>
  </si>
  <si>
    <t>Data Type_Origem</t>
  </si>
  <si>
    <t>TMP_BCE_LT_MOYR60</t>
  </si>
  <si>
    <t>Identificador de código de Empresa DL</t>
  </si>
  <si>
    <t>Y</t>
  </si>
  <si>
    <t>DL_CT</t>
  </si>
  <si>
    <t>MOYR1060</t>
  </si>
  <si>
    <t>MOYR1N60_CEMPRESA</t>
  </si>
  <si>
    <t>(MOYR1060
WHERE MOYR1N60_CSUBCART &lt;&gt; 'A' 
AND MOYR1N60_CSUBPROD &lt;&gt; 'MOR' 
AND MOYR1N60_CGRUPOIC NOT IN ('31','91')
INNER JOIN
MAX(DATA_DATE_PART) AS DATA_DATE_PART  FROM MOYR1060
WHERE DATA_DATE_PART BETWEEN REF_DATE-12MESES AND REF_DATE
GROUP BY ANO_MES
ON DATA_DATE_PART)
LEFT JOIN
(CAMBIOS 
WHERE ZSEQCAMB = 99 AND CTBCAMB = 'F' AND CMARCA = 'BT' AND CDIVISA = '0'
INNER JOIN
MAX(DATA_DATE_PART) AS DATA_DATE_PART  FROM CAMBIOS 
WHERE DATA_DATE_PART BETWEEN REF_DATE-12MESES AND REF_DATE
GROUP BY ANO_MES
ON DATA_DATE_PART)
ON CMOEDA AND ANO_MES
GROUP BY CMEPRESA, CBALCAO, CNMECTA, ZDEPOSIT, DATA_DATE_PART</t>
  </si>
  <si>
    <t>Identificador de código de Balcao DL</t>
  </si>
  <si>
    <t>MOYR1N60_CBALCAO</t>
  </si>
  <si>
    <t>Identificador de código de Conta DL</t>
  </si>
  <si>
    <t>MOYR1N60_CNUMECTA</t>
  </si>
  <si>
    <t>Identificador de código de Contrato DL</t>
  </si>
  <si>
    <t>MOYR1N60_ZDEPOSIT</t>
  </si>
  <si>
    <t>DATA_DATE_PART</t>
  </si>
  <si>
    <t>Data de Referência</t>
  </si>
  <si>
    <t>CAPITAL_VENCIDO</t>
  </si>
  <si>
    <t>DECIMAL</t>
  </si>
  <si>
    <t>Capital vencido</t>
  </si>
  <si>
    <t xml:space="preserve">MOYR1060
CAMBIOS </t>
  </si>
  <si>
    <t>MOYR1N60_MSLDIRR; TCMBME</t>
  </si>
  <si>
    <t>SUM (MOYR1N60_MSLDIRR / TCMBME)</t>
  </si>
  <si>
    <t>DECIMAL (20,2)
DECIMAL (12,6)</t>
  </si>
  <si>
    <t xml:space="preserve">Informação de juros vencidos na moeda local à data de referência, assim como o histórico dos 12 meses anteriores </t>
  </si>
  <si>
    <t>cd_captools.moyr1061 ;  cd_captools.cambios</t>
  </si>
  <si>
    <t>TMP_BCE_LT_MOYR61</t>
  </si>
  <si>
    <t>JUROS_VENCIDOS</t>
  </si>
  <si>
    <t>Juros vencido</t>
  </si>
  <si>
    <t xml:space="preserve">MOYR1061
CAMBIOS </t>
  </si>
  <si>
    <t>MOYR1N60_MSLDIRR 
TCMBME</t>
  </si>
  <si>
    <t>(MOYR1061
WHERE MOYR1N60_CSUBCART &lt;&gt; 'A'  AND MOYR1N60_CSUBPROD &lt;&gt; 'MOR'  AND MOYR1N60_CGRUPOIC NOT IN ('31','91)
AND NOT ( MOYR1N60_CNATURIC = 'I' AND (MOYR1N60_CSUBPROD &lt;&gt; 'MOR' AND MOYR1N60_CLASRISC NOT IN ('0','1') AND MOYR1N60_CODPROV IN ('090','***','111','')))
AND NOT (MOYR1N60_CNATURIC  IN ('D','M','S') AND MOYR1N60_CLASRISC NOT IN ('0','1'))
INNER JOIN
MAX(DATA_DATE_PART) AS DATA_DATE_PART  FROM MOYR1061
WHERE DATA_DATE_PART BETWEEN REF_DATE-12MESES AND REF_DATE
GROUP BY ANO_MES
ON DATA_DATE_PART)
LEFT JOIN
(CAMBIOS 
WHERE ZSEQCAMB = 99 AND CTBCAMB = 'F' AND CMARCA = 'BT' AND CDIVISA = '0'
INNER JOIN
MAX(DATA_DATE_PART) AS DATA_DATE_PART  FROM CAMBIOS 
WHERE DATA_DATE_PART BETWEEN REF_DATE-12MESES AND REF_DATE
GROUP BY ANO_MES
ON DATA_DATE_PART)
ON CMOEDA AND ANO_MES
GROUP BY CMEPRESA, CBALCAO, CNMECTA, ZDEPOSIT, DATA_DATE_PART</t>
  </si>
  <si>
    <t>MOYR1061</t>
  </si>
  <si>
    <t>Informação de capital e juros vencidos na moeda local à data de referência, assim como o histórico dos 12 meses anteriores para IFIC</t>
  </si>
  <si>
    <t>cd_captools.ct622_moyr_ific</t>
  </si>
  <si>
    <t>TMP_BCE_LT_MOYR_IFIC</t>
  </si>
  <si>
    <t>VENCIDO</t>
  </si>
  <si>
    <t>DECIMAL (17,2)</t>
  </si>
  <si>
    <t>Capital e juros vencido</t>
  </si>
  <si>
    <t>CT622_MOYR_IFIC</t>
  </si>
  <si>
    <t>VENCIDO_CTRVLR</t>
  </si>
  <si>
    <t>SUM (VENCIDO_CTRVLR)</t>
  </si>
  <si>
    <t>(CT622_MOYR_IFIC
INNER JOIN
MAX(REF_DATE) AS REF_DATE FROM CT622_MOYR_IFIC
WHERE REF_DATE BETWEEN REF_DATE-12MESES AND REF_DATE
GROUP BY ANO_MES
ON REF_DATE)
GROUP BY  CBALCAO, CNMECTA, ZDEPOSIT, REF_DATE</t>
  </si>
  <si>
    <t>NVL(cempresa, 0089)</t>
  </si>
  <si>
    <t xml:space="preserve">STEP 2 - Criação da tabela final </t>
  </si>
  <si>
    <t>Informação de capital e juros vencidos na moeda local à data de referência, assim como o histórico dos 12 meses anteriores para o universo do banco</t>
  </si>
  <si>
    <t xml:space="preserve">tmp_bce_lt_moyr60 ; tmp_bce_lt_moyr61 ; tmp_bce_lt_moyr_ific </t>
  </si>
  <si>
    <t>TMP_BCE_LT_MOYR</t>
  </si>
  <si>
    <t>DL_LT_BCE</t>
  </si>
  <si>
    <t xml:space="preserve">TMP_BCE_LT_MOYR60 AS 60
TMP_BCE_LT_MOYR61 AS 61
TMP_BCE_LT_MOYR_IFIC AS IFIC
</t>
  </si>
  <si>
    <t>DATA_DATE_PART
REF_DATE</t>
  </si>
  <si>
    <t>CASE WHEN 60.CAPITAL_VENCIDO IS NULL THEN 61.JUROS_VENCIDOS
WHEN  61.JUROS_VENCIDOS IS NULL THEN  60.CAPITAL_VENCIDO
WHEN 60.CAPITAL_VENCIDO IS NULL  AND 61.JUROS_VENCIDOS IS NULL THEN IFIC.VENCIDO
ELSE (60.CAPITAL_VENCIDO + 61.JUROS_VENCIDOS)</t>
  </si>
  <si>
    <t xml:space="preserve">TMP_BCE_LT_MOYR60
FULL OUTRER JOIN
TMP_BCE_LT_MOYR61
ON CEMPRESA, CBALCAO, CNUMECTA, ZDEPOSIT, DATA_DATE_PART
TMP_BCE_LT_MOYR_IFIC
ON CEMPRESA, CBALCAO, CNUMECTA, ZDEPOSIT, DATA_DATE_PART
</t>
  </si>
  <si>
    <t xml:space="preserve">CASE WHEN 60.CEMPRESA IS NOT NULL THEN 60.CEMPRESA
WHEN 60.CEMPRESA IS NULL AND 61.CEMPRESA IS NOT NULL THEN 61.CEMPRESA
ELSE IFIC.CEMPRESA
</t>
  </si>
  <si>
    <t>TMP_BCE_LT_MOYR60
FULL OUTRER JOIN
TMP_BCE_LT_MOYR61
ON CEMPRESA, CBALCAO, CNUMECTA, ZDEPOSIT, DATA_DATE_PART
TMP_BCE_LT_MOYR_IFIC
ON CEMPRESA, CBALCAO, CNUMECTA, ZDEPOSIT, DATA_DATE_PART</t>
  </si>
  <si>
    <t xml:space="preserve">CASE WHEN 60.CBALCAO IS NOT NULL THEN 60.CBALCAO
WHEN 60.CBALCAO IS NULL AND 61.CBALCAO IS NOT NULL THEN 61.CBALCAO
ELSE IFIC.CBALCAO
</t>
  </si>
  <si>
    <t xml:space="preserve">CASE WHEN 60.CNUMECTA IS NOT NULL THEN 60.CNUMECTA
WHEN 60.CNUMECTA IS NULL AND 61.CNUMECTA IS NOT NULL THEN 61.CNUMECTA
ELSE IFIC.CNUMECTA
</t>
  </si>
  <si>
    <t xml:space="preserve">CASE WHEN 60.ZDEPOSIT IS NOT NULL THEN 60.ZDEPOSIT
WHEN 60.ZDEPOSIT IS NULL AND 61.ZDEPOSIT IS NOT NULL THEN 61.ZDEPOSIT
ELSE IFIC.ZDEPOSIT
</t>
  </si>
  <si>
    <t>ARRRS_INSTRMNT</t>
  </si>
  <si>
    <t>CAPITAL_VENCIDO
JUROS_VENCIDOS
VENCIDO</t>
  </si>
  <si>
    <t xml:space="preserve">CASE WHEN 60.DATA_DATE_PART IS NOT NULL THEN 60.DATA_DATE_PART
WHEN 60.DATA_DATE_PART IS NULL AND 61.DATA_DATE_PART IS NOT NULL THEN 61.DATA_DATE_PART
ELSE IFIC.REF_DATE
</t>
  </si>
  <si>
    <r>
      <rPr>
        <b/>
        <sz val="10"/>
        <color theme="1"/>
        <rFont val="Arial"/>
        <family val="2"/>
      </rPr>
      <t>Nota:</t>
    </r>
    <r>
      <rPr>
        <sz val="10"/>
        <color theme="1"/>
        <rFont val="Arial"/>
        <family val="2"/>
      </rPr>
      <t xml:space="preserve"> A variável ANO_MES representa o Ano e o Mês da DATA_DATE_PART. Esta variável é utilizada uma vez que as tabelas têm informação para datas diferentes de final de mês.</t>
    </r>
  </si>
  <si>
    <t>Informação de histórico de capital vencido na moeda local e dias em atraso à data de referência</t>
  </si>
  <si>
    <t>MOYR1060
INNER JOIN
(SELECT MAX(DATA_DATE_PART) AS DATA_DATE_PART  FROM MOYR1060
GROUP BY ANO_MES)
ON DATA_DATE_PART
GROUP BY CMEPRESA, CBALCAO, CNMECTA, ZDEPOSIT, DATA_DATE_PART</t>
  </si>
  <si>
    <t>DIAS_INCUMP</t>
  </si>
  <si>
    <t>Dias de incumprimento</t>
  </si>
  <si>
    <t>MOYR1N60_DINICONT; DATA_DATE_PART</t>
  </si>
  <si>
    <t>DATEDIFF(DATA_DATE_PART,MOYR1N60_DINICONT)</t>
  </si>
  <si>
    <t>SUM(MOYR1N60_MSLDIRR / TCMBME)</t>
  </si>
  <si>
    <t>(MOYR1060
WHERE MOYR1N60_CSUBCART &lt;&gt; 'A' 
AND MOYR1N60_CSUBPROD &lt;&gt; 'MOR' 
AND MOYR1N60_CGRUPOIC NOT IN ('31','91')
INNER JOIN
MAX(DATA_DATE_PART) AS DATA_DATE_PART  FROM MOYR1060
GROUP BY ANO_MES
ON DATA_DATE_PART)
LEFT JOIN
(CAMBIOS 
WHERE ZSEQCAMB = 99 AND CTBCAMB = 'F' AND CMARCA = 'BT' AND CDIVISA = '0'
INNER JOIN
MAX(DATA_DATE_PART) AS DATA_DATE_PART  FROM CAMBIOS 
GROUP BY ANO_MES
ON DATA_DATE_PART)
ON CMOEDA AND ANO_MES
GROUP BY CMEPRESA, CBALCAO, CNMECTA, ZDEPOSIT, DATA_DATE_PART,  CAPITAL_VENCIDO</t>
  </si>
  <si>
    <t>Informação de histórico de juros vencidos na moeda local e dias em atraso à data de referência</t>
  </si>
  <si>
    <t xml:space="preserve"> </t>
  </si>
  <si>
    <t>MOYR1061
INNER JOIN
(SELECT MAX(DATA_DATE_PART) AS DATA_DATE_PART  FROM MOYR1061
GROUP BY ANO_MES)
ON DATA_DATE_PART
GROUP BY CMEPRESA, CBALCAO, CNMECTA, ZDEPOSIT, DATA_DATE_PART</t>
  </si>
  <si>
    <t>(MOYR1061
WHERE MOYR1N60_CSUBCART &lt;&gt; 'A'  AND MOYR1N60_CSUBPROD &lt;&gt; 'MOR'  AND MOYR1N60_CGRUPOIC NOT IN ('31','91)
AND NOT ( MOYR1N60_CNATURIC = 'I' AND (MOYR1N60_CSUBPROD &lt;&gt; 'MOR' AND MOYR1N60_CLASRISC NOT IN ('0','1') AND MOYR1N60_CODPROV IN ('090','***','111','')))
AND NOT (MOYR1N60_CNATURIC  IN ('D','M','S') AND MOYR1N60_CLASRISC NOT IN ('0','1'))
INNER JOIN
MAX(DATA_DATE_PART) AS DATA_DATE_PART  FROM MOYR1061
GROUP BY ANO_MES
ON DATA_DATE_PART)
LEFT JOIN
(CAMBIOS 
WHERE ZSEQCAMB = 99 AND CTBCAMB = 'F' AND CMARCA = 'BT' AND CDIVISA = '0'
INNER JOIN
MAX(DATA_DATE_PART) AS DATA_DATE_PART  FROM CAMBIOS 
GROUP BY ANO_MES
ON DATA_DATE_PART)
ON CMOEDA AND ANO_MES
GROUP BY CMEPRESA, CBALCAO, CNMECTA, ZDEPOSIT, DATA_DATE_PART, JUROS_VENCIDOS</t>
  </si>
  <si>
    <t>Informação de histórico de capital e juros vencidos na moeda local e dias em atraso à data de referência para IFIC</t>
  </si>
  <si>
    <t xml:space="preserve">CT622_MOYR_IFIC
INNER JOIN
(SELECT MAX(REF_DATE) AS REF_DATE FROM CT622_MOYR_IFIC
GROUP BY ANO_MES
ON REF_DATE)
GROUP BY  CBALCAO, CNMECTA, ZDEPOSIT, REF_DATE
</t>
  </si>
  <si>
    <t>DT_INCUMP; REF_DATE</t>
  </si>
  <si>
    <t>DATEDIFF(REF_DATE,DT_INCUMP)</t>
  </si>
  <si>
    <t>SUM(VENCIDO_CTRVLR)</t>
  </si>
  <si>
    <t>Informação de histórico de capital e juros vencidos na moeda local, assim como os dias em atraso à data de referência para o universo do banco</t>
  </si>
  <si>
    <t>TMP_BCE_LT_MOYR60 AS 60
TMP_BCE_LT_MOYR61 AS 61
TMP_BCE_LT_MOYR_IFIC AS IFIC</t>
  </si>
  <si>
    <t>CASE WHEN 60.CEMPRESA IS NOT NULL THEN 60.CEMPRESA
WHEN 60.CEMPRESA IS NULL AND 61.CEMPRESA IS NOT NULL THEN 61.CEMPRESA
ELSE IFIC.CEMPRESA</t>
  </si>
  <si>
    <t>TMP_BCE_LT_MOYR60
FULL OUTRER JOIN
TMP_BCE_LT_MOYR61
ON CEMPRESA, CBALCAO, CNUMECTA, ZDEPOSIT, DATA_DATE_PART
FULL OUTRER JOIN
TMP_BCE_LT_MOYR_IFIC
ON CEMPRESA, CBALCAO, CNUMECTA, ZDEPOSIT, DATA_DATE_PART</t>
  </si>
  <si>
    <t>CASE WHEN 60.CBALCAO IS NOT NULL THEN 60.CBALCAO
WHEN 60.CBALCAO IS NULL AND 61.CBALCAO IS NOT NULL THEN 61.CBALCAO
ELSE IFIC.CBALCAO</t>
  </si>
  <si>
    <t>CASE WHEN 60.CNUMECTA IS NOT NULL THEN 60.CNUMECTA
WHEN 60.CNUMECTA IS NULL AND 61.CNUMECTA IS NOT NULL THEN 61.CNUMECTA
ELSE IFIC.CNUMECTA</t>
  </si>
  <si>
    <t>CASE WHEN 60.ZDEPOSIT IS NOT NULL THEN 60.ZDEPOSIT
WHEN 60.ZDEPOSIT IS NULL AND 61.ZDEPOSIT IS NOT NULL THEN 61.ZDEPOSIT
ELSE IFIC.ZDEPOSIT</t>
  </si>
  <si>
    <t>CASE WHEN (60.DIAS_INCUMP &gt; 61.DIAS_INCUMP) AND (60.DIAS_INCUMP &gt; IFIC.DIAS_INCUMP) THEN 60.DIAS_INCUMP
WHEN  (60.DIAS_INCUMP &lt; 61.DIAS_INCUMP) AND (61.DIAS_INCMUP &gt; IFIC.DIAS_INCUMP) THEN  61.DIAS_INCUMP
ELSE IFIC.DIAS_INCUMP</t>
  </si>
  <si>
    <t>TMP_BCE_LT_MOYR60
FULL OUTER JOIN
TMP_BCE_LT_MOYR61
ON CEMPRESA, CBALCAO, CNUMECTA, ZDEPOSIT, DATA_DATE_PART
FULL OUTER JOIN
TMP_BCE_LT_MOYR_IFIC
ON CEMPRESA, CBALCAO, CNUMECTA, ZDEPOSIT, DATA_DATE_PART</t>
  </si>
  <si>
    <t>CASE WHEN 60.DATA_DATE_PART IS NOT NULL THEN 60.DATA_DATE_PART
WHEN 60.DATA_DATE_PART IS NULL AND 61.DATA_DATE_PART IS NOT NULL THEN 61.DATA_DATE_PART
ELSE IFIC.REF_DATE</t>
  </si>
  <si>
    <t>3. Transformações de dados de Risco por contratos (Tabela BCE_LT_INSTR_MIS)</t>
  </si>
  <si>
    <t>Nesta tabela é apresentada a informação da responsabilidade, proveniente de riscos, agregada pela chave de contrato de FINREP.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</si>
  <si>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cd_loan_tapes_bce.bce_lt_instr_mis</t>
    </r>
  </si>
  <si>
    <r>
      <rPr>
        <b/>
        <sz val="9"/>
        <color theme="1"/>
        <rFont val="Arial"/>
        <family val="2"/>
      </rPr>
      <t>Chave primária</t>
    </r>
    <r>
      <rPr>
        <sz val="9"/>
        <color theme="1"/>
        <rFont val="Arial"/>
        <family val="2"/>
      </rPr>
      <t>: CHAVE_FR, NOME_PERIMETRO</t>
    </r>
  </si>
  <si>
    <t>1. Todos os contratos identificados na tabela cd_loan_tapes_bce.lt001_univ_oper para o perímetro em análise;</t>
  </si>
  <si>
    <t>3. Contratos que passem nos tradutores de chaves FINREP para chave MASTER e posteriormente para MIS.</t>
  </si>
  <si>
    <t>2. cd_captools.ct805_matriz_cnt</t>
  </si>
  <si>
    <t>3. cd_captools.kt_chaves_finrep</t>
  </si>
  <si>
    <t>4. cd_captools.kt_chaves_mis</t>
  </si>
  <si>
    <t>5. cd_captools.rstf101_det_cnt_rsc</t>
  </si>
  <si>
    <t>6. cd_riscos.crv004xa1_cli_contrato_prop</t>
  </si>
  <si>
    <r>
      <rPr>
        <b/>
        <sz val="10"/>
        <color theme="1"/>
        <rFont val="Arial"/>
        <family val="2"/>
      </rPr>
      <t>Nota</t>
    </r>
    <r>
      <rPr>
        <sz val="10"/>
        <color theme="1"/>
        <rFont val="Arial"/>
        <family val="2"/>
      </rPr>
      <t>: Este processo deve ser efetuado por quantos perímetros forem executados</t>
    </r>
  </si>
  <si>
    <t>Status de simulação</t>
  </si>
  <si>
    <r>
      <rPr>
        <b/>
        <sz val="8"/>
        <color theme="1"/>
        <rFont val="Arial"/>
        <family val="2"/>
      </rPr>
      <t>1) Identificar os contratos do universo e para o perímetro em análise.</t>
    </r>
    <r>
      <rPr>
        <sz val="8"/>
        <color theme="1"/>
        <rFont val="Arial"/>
        <family val="2"/>
      </rPr>
      <t xml:space="preserve">
(SELECT * FROM LT001_UNIV_OPER) LT001
</t>
    </r>
    <r>
      <rPr>
        <b/>
        <sz val="8"/>
        <color theme="1"/>
        <rFont val="Arial"/>
        <family val="2"/>
      </rPr>
      <t>2) Cruzar contratos obtidos no passo anterior com as contas contabilísticas (dependente do perímetro em análise) e respetivos saldos na FR001_UNIV_SALDO</t>
    </r>
    <r>
      <rPr>
        <sz val="8"/>
        <color theme="1"/>
        <rFont val="Arial"/>
        <family val="2"/>
      </rPr>
      <t xml:space="preserve">
LEFT JOIN 
(SELECT * FROM FR001_UNIV_SALDO) FR001
ON CEMPRESA = CEMPRESA
AND CBALCAO = CBALCAO
AND CNUMECTA = CNUMECTA
AND ZDEPOSIT = ZDEPOSIT
</t>
    </r>
    <r>
      <rPr>
        <b/>
        <sz val="8"/>
        <color theme="1"/>
        <rFont val="Arial"/>
        <family val="2"/>
      </rPr>
      <t xml:space="preserve">3) Identificar as contas contabilísticas obtidas no passo anterior que são âmbito do domínio de capital e para o perímetro em análise através da CT805_MATRIZ_CNT
</t>
    </r>
    <r>
      <rPr>
        <sz val="8"/>
        <color theme="1"/>
        <rFont val="Arial"/>
        <family val="2"/>
      </rPr>
      <t>LEFT JOIN 
(SELECT * FROM CT805_MATRIZ_CNT) MATRIZ
ON FR001.</t>
    </r>
    <r>
      <rPr>
        <b/>
        <sz val="8"/>
        <color theme="1"/>
        <rFont val="Arial"/>
        <family val="2"/>
      </rPr>
      <t>[CONTA]</t>
    </r>
    <r>
      <rPr>
        <sz val="8"/>
        <color theme="1"/>
        <rFont val="Arial"/>
        <family val="2"/>
      </rPr>
      <t xml:space="preserve"> = MATRIZ.CONTA</t>
    </r>
  </si>
  <si>
    <t>A variável [CONTA] proveniente da tabela FR001_UNIVERSO_SALDO varia entre CCONTAB_FINAL_PCSB, CCONTAB_FINAL_IFRS, CCONTAB_FINAL_ST_SGPS, CCONTAB_FINAL_SGPS_CONS, CCONTAB_FINAL_CARGABAL consoante o nome_perimetro calculado.</t>
  </si>
  <si>
    <t>Identificador de código do balcão FINREP</t>
  </si>
  <si>
    <t>FR001_UNIV_SALDO
CT805_MATRIZ_CNT</t>
  </si>
  <si>
    <t>MSALDO_FINAL
[CONTA] - Ver notas</t>
  </si>
  <si>
    <r>
      <t>SUM(ABS(MSALDO_FINAL))
WHERE FR001_UNIV_SALDO.</t>
    </r>
    <r>
      <rPr>
        <i/>
        <sz val="8"/>
        <rFont val="Arial"/>
        <family val="2"/>
      </rPr>
      <t>[CONTA]</t>
    </r>
    <r>
      <rPr>
        <sz val="8"/>
        <rFont val="Arial"/>
        <family val="2"/>
      </rPr>
      <t xml:space="preserve"> = CT805_MATRIZ_CNT.CONTA
AND DOMINIO = 'Capital'
AND NOME_PERIMETRO = </t>
    </r>
    <r>
      <rPr>
        <i/>
        <sz val="8"/>
        <rFont val="Arial"/>
        <family val="2"/>
      </rPr>
      <t>Perímetro em análise</t>
    </r>
  </si>
  <si>
    <t>Nome do perímetro para o qual a chave FINREP é reportada</t>
  </si>
  <si>
    <t>2.1 Obtenção de relação de chaves FINREP e RISCO para a tabela RSTF</t>
  </si>
  <si>
    <t>BCE_LT_INSTR_MIS_1</t>
  </si>
  <si>
    <r>
      <rPr>
        <b/>
        <sz val="8"/>
        <color theme="1"/>
        <rFont val="Arial"/>
        <family val="2"/>
      </rPr>
      <t>1) Cruzar BCE_LT_INSTR_MIS_1 com tradutor de chaves FINREP e MIS: 
BCE_LT_INSTR_MIS_1</t>
    </r>
    <r>
      <rPr>
        <sz val="8"/>
        <color theme="1"/>
        <rFont val="Arial"/>
        <family val="2"/>
      </rPr>
      <t xml:space="preserve">
LEFT JOIN
((SELECT * FROM KT_CHAVES_FINREP) 
INNER JOIN 
(SELECT * FROM KT_CHAVES_MIS)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MIS obtida no passo anterior com a tabela RSTF101_DET_CNT_RSC para obter os campos pretendidos:</t>
    </r>
    <r>
      <rPr>
        <sz val="8"/>
        <color theme="1"/>
        <rFont val="Arial"/>
        <family val="2"/>
      </rPr>
      <t xml:space="preserve">
LEFT JOIN 
(SELECT * FROM RSTF101_DET_CNT_RSC)
ON CEMPCTA = CEMPRESA
AND TRIM(CONCAT(CKBALCAO,CKNUMCTA)) = CASE WHEN TRIM(cconta) ='#' then '000000000000000'  ELSE TRIM(cconta) END
AND ZDEPOSIT_MIS = CREFERENCIA </t>
    </r>
  </si>
  <si>
    <t>CEMPRESA_MIS</t>
  </si>
  <si>
    <t>Identificador de código da empresa em Risco</t>
  </si>
  <si>
    <t>RSTF101_DET_CNT_RSC</t>
  </si>
  <si>
    <t>CCONTA_MIS</t>
  </si>
  <si>
    <t>Identificador de código da conta em Risco</t>
  </si>
  <si>
    <t>CCONTA</t>
  </si>
  <si>
    <t>CREFERENCIA_MIS</t>
  </si>
  <si>
    <t>Identificador de código da referência em Risco</t>
  </si>
  <si>
    <t>CREFERENCIA</t>
  </si>
  <si>
    <t>VINICIAL_EMPRESTIMO</t>
  </si>
  <si>
    <t>Valor do empréstimo</t>
  </si>
  <si>
    <t>MAX(VINICIAL_EMPRESTIMO)</t>
  </si>
  <si>
    <t>2.2 Obtenção de relação de chaves FINREP e RISCO para a tabela CRV004XA1</t>
  </si>
  <si>
    <t>BCE_LT_INSTR_MIS_2</t>
  </si>
  <si>
    <t>Por iniciar</t>
  </si>
  <si>
    <t>CRV004XA1_CLI_CONTRATO_PROP</t>
  </si>
  <si>
    <t>VTOT_CREDITO_CONTRATADO</t>
  </si>
  <si>
    <t>Valor inicial do empréstimo contratado</t>
  </si>
  <si>
    <t>MAX(VTOT_CREDITO_CONTRATADO)</t>
  </si>
  <si>
    <t>BCE_LT_INSTR_MIS</t>
  </si>
  <si>
    <t>SUM(VINICIAL_EMPRESTIMO * SALDO_CAPITAL / SUM(SALDO_CAPITAL de todas as chaves MIS))</t>
  </si>
  <si>
    <t>SUM(VTOT_CREDITO_CONTRATADO * SALDO_CAPITAL / SUM(SALDO_CAPITAL de todas as chaves MIS))</t>
  </si>
  <si>
    <t>Nome do perímetro para o qual o ID_CAPITAL_PERIMETROS é reportado</t>
  </si>
  <si>
    <t>4. Tabelas Temporárias de  Procedimentos Legais</t>
  </si>
  <si>
    <t>Informação de Processos de Insolvência e Processos Legais Externos.</t>
  </si>
  <si>
    <t>1. cd_riscos.ret01_procrec</t>
  </si>
  <si>
    <t>2. cd_riscos.ret03_contrato</t>
  </si>
  <si>
    <t>3. cd_riscos.tct43_fasesacc</t>
  </si>
  <si>
    <t>TMP_BCE_LT_BKNRPTCY</t>
  </si>
  <si>
    <t>ZANOPROC</t>
  </si>
  <si>
    <t>BIGINT</t>
  </si>
  <si>
    <t>Identificador de ano do processo</t>
  </si>
  <si>
    <t>CD_RISCOS</t>
  </si>
  <si>
    <t>RET03_CONTRATO</t>
  </si>
  <si>
    <r>
      <rPr>
        <b/>
        <sz val="8"/>
        <color theme="1"/>
        <rFont val="Arial"/>
        <family val="2"/>
      </rPr>
      <t>1) Identificar ano e nº processo por contrato master</t>
    </r>
    <r>
      <rPr>
        <sz val="8"/>
        <color theme="1"/>
        <rFont val="Arial"/>
        <family val="2"/>
      </rPr>
      <t xml:space="preserve">
(SELECT  * FROM RET03_CONTRATO) RET03 
</t>
    </r>
    <r>
      <rPr>
        <b/>
        <sz val="8"/>
        <color theme="1"/>
        <rFont val="Arial"/>
        <family val="2"/>
      </rPr>
      <t>2) Identificar quais os processos obtidos no passo anterior estão activos e em insolvência</t>
    </r>
    <r>
      <rPr>
        <sz val="8"/>
        <color theme="1"/>
        <rFont val="Arial"/>
        <family val="2"/>
      </rPr>
      <t xml:space="preserve"> 
INNER JOIN
(SELECT * FROM RET01_PROCREC) RET01
ON (RET01.ZANOPROC=RET03.ZANOPROC 
AND RET01.ZPROC=RET03.ZPROC)
</t>
    </r>
    <r>
      <rPr>
        <b/>
        <sz val="8"/>
        <color theme="1"/>
        <rFont val="Arial"/>
        <family val="2"/>
      </rPr>
      <t xml:space="preserve">3) Identificar a data de início mínima cujo processo judicial está não findo
</t>
    </r>
    <r>
      <rPr>
        <sz val="8"/>
        <color theme="1"/>
        <rFont val="Arial"/>
        <family val="2"/>
      </rPr>
      <t>INNER JOIN
(SELECT  * FROM TCT43_FASESACC) TCT43
ON (TCT43.ZANOPROC=RET01.ZANOPROC 
AND TCT43.ZPROC=RET01.ZPROC)</t>
    </r>
  </si>
  <si>
    <t>ZPROC</t>
  </si>
  <si>
    <t>Identificador de número do processo</t>
  </si>
  <si>
    <t>CKBALCAO</t>
  </si>
  <si>
    <t>Identificador de código do balcão MASTER</t>
  </si>
  <si>
    <t>CKNUMCTA</t>
  </si>
  <si>
    <t>Identificador de código conta MASTER</t>
  </si>
  <si>
    <t>Identificador de código do zdeposit MASTER</t>
  </si>
  <si>
    <t>DT_LGL_PRCDNG</t>
  </si>
  <si>
    <t>Data de início do processo</t>
  </si>
  <si>
    <t>TCT43_FASESACC</t>
  </si>
  <si>
    <t>DINICIO</t>
  </si>
  <si>
    <t>MIN(DINICIO)
WHERE TRIM(CAST(CFASPROC AS STRING)) &lt;&gt; '56'</t>
  </si>
  <si>
    <t>ORIGEM</t>
  </si>
  <si>
    <t>Tipologia de Processo</t>
  </si>
  <si>
    <t>RET01_PROCREC</t>
  </si>
  <si>
    <t>CTIPPROC</t>
  </si>
  <si>
    <t>CASE WHEN CTIPPROC = '002' THEN 'BANKRUPTCY'
WHEN CTIPPROC IN ('003', '004', '005', '006', '007', '008') THEN 'EXTRNL_LGL'
WHERE CESTADO = '1'
AND CTIPPROC in ( '002', '003', '004', '005', '006', '007', '008')</t>
  </si>
  <si>
    <t>Informação de Outros Processos Legais.</t>
  </si>
  <si>
    <t>1. cd_captools.rit29_sitproc</t>
  </si>
  <si>
    <t>4. cd_riscos.rit30_evecontr</t>
  </si>
  <si>
    <t>TMP_BCE_LT_OTHER_LGL</t>
  </si>
  <si>
    <r>
      <rPr>
        <b/>
        <sz val="8"/>
        <color theme="1"/>
        <rFont val="Arial"/>
        <family val="2"/>
      </rPr>
      <t xml:space="preserve">1) Identificar os eventos PERSI associados ao cliente
</t>
    </r>
    <r>
      <rPr>
        <sz val="8"/>
        <color theme="1"/>
        <rFont val="Arial"/>
        <family val="2"/>
      </rPr>
      <t xml:space="preserve">(SELECT * FROM RIT29_SITPROC) RIT29
</t>
    </r>
    <r>
      <rPr>
        <b/>
        <sz val="8"/>
        <color theme="1"/>
        <rFont val="Arial"/>
        <family val="2"/>
      </rPr>
      <t xml:space="preserve">2) Identificar os processos/ contratos activos apurados no passo anterior
INNER JOIN
</t>
    </r>
    <r>
      <rPr>
        <sz val="8"/>
        <color theme="1"/>
        <rFont val="Arial"/>
        <family val="2"/>
      </rPr>
      <t xml:space="preserve">(SELECT * FROM RIT30_EVECONTR) RIT30
ON (RIT29.ZCLIGRUPO=RIT30.ZCLIGRUPO
AND RIT29.CINFPROC=RIT30.CINFPROC
AND RIT29.ZSEQUEN= RIT30.ZSEQUEN)
</t>
    </r>
    <r>
      <rPr>
        <b/>
        <sz val="8"/>
        <color theme="1"/>
        <rFont val="Arial"/>
        <family val="2"/>
      </rPr>
      <t xml:space="preserve">3) Identificar ano e nº processo por contrato master apurado no passo anterior
</t>
    </r>
    <r>
      <rPr>
        <sz val="8"/>
        <color theme="1"/>
        <rFont val="Arial"/>
        <family val="2"/>
      </rPr>
      <t xml:space="preserve">INNER JOIN
(SELECT * FROM RET03_CONTRATO) RET03 
ON (RIT30.CKBALCAO = RET03.CKBALCAO
AND RIT30.CKNUMCTA = RET03.CKNUMCTA
AND RIT30.ZDEPOSIT = RET03.ZDEPOSIT)
</t>
    </r>
    <r>
      <rPr>
        <b/>
        <sz val="8"/>
        <color theme="1"/>
        <rFont val="Arial"/>
        <family val="2"/>
      </rPr>
      <t xml:space="preserve">4) Identificar a data de início mínima cujo processo judicial está não findo
</t>
    </r>
    <r>
      <rPr>
        <sz val="8"/>
        <color theme="1"/>
        <rFont val="Arial"/>
        <family val="2"/>
      </rPr>
      <t>INNER JOIN
(SELECT * FROM TCT43_FASEACC) TCT43  
ON (TCT43.ZANOPROC=RET03.ZANOPROC 
AND TCT43.ZPROC=RET03.ZPROC)</t>
    </r>
  </si>
  <si>
    <t>CKBALCAO
WHERE RIT29.CEVENTO = 'CIPE'
AND RIT30.DFIM = '9999-12-31'</t>
  </si>
  <si>
    <t>CKNUMCTA
WHERE RIT29.CEVENTO = 'CIPE'
AND RIT30.DFIM = '9999-12-31'</t>
  </si>
  <si>
    <t>ZDEPOSIT
WHERE RIT29.CEVENTO = 'CIPE'
AND RIT30.DFIM = '9999-12-31'</t>
  </si>
  <si>
    <t>OTHER_LGL</t>
  </si>
  <si>
    <t>Informação de Processos Legais Internos.</t>
  </si>
  <si>
    <t>5. cd_captools.tct09_opercn</t>
  </si>
  <si>
    <t>6. cd_riscos.tct27_anexo_pri</t>
  </si>
  <si>
    <t>TMP_BCE_LT_INTRNL_LGL</t>
  </si>
  <si>
    <t>TCT09_OPERCN</t>
  </si>
  <si>
    <t>ZANOPROC
WHERE TCT09.ISITUAC = '1'
AND TCT27.ISITUAC = '1'</t>
  </si>
  <si>
    <r>
      <rPr>
        <b/>
        <sz val="8"/>
        <color theme="1"/>
        <rFont val="Arial"/>
        <family val="2"/>
      </rPr>
      <t xml:space="preserve">1) Identificar ano e nº de processo por contrato/ operação
</t>
    </r>
    <r>
      <rPr>
        <sz val="8"/>
        <color theme="1"/>
        <rFont val="Arial"/>
        <family val="2"/>
      </rPr>
      <t xml:space="preserve">(SELECT * FROM TCT09_OPERCN) TCT09
</t>
    </r>
    <r>
      <rPr>
        <b/>
        <sz val="8"/>
        <color theme="1"/>
        <rFont val="Arial"/>
        <family val="2"/>
      </rPr>
      <t xml:space="preserve">2) Identificar se o anexo principal associado aos contratos está activo
</t>
    </r>
    <r>
      <rPr>
        <sz val="8"/>
        <color theme="1"/>
        <rFont val="Arial"/>
        <family val="2"/>
      </rPr>
      <t xml:space="preserve">INNER JOIN
(SELECT * FROM TCT27_ANEXOPRI ) TCT27
ON (TCT09.ZANOPROC=TCT27.ZANOPROC 
AND TCT09.ZPROC=TCT27.ZPROC)
</t>
    </r>
    <r>
      <rPr>
        <b/>
        <sz val="8"/>
        <color theme="1"/>
        <rFont val="Arial"/>
        <family val="2"/>
      </rPr>
      <t xml:space="preserve">3) Identificar a data de início mínima cujo processo judicial está não findo
</t>
    </r>
    <r>
      <rPr>
        <sz val="8"/>
        <color theme="1"/>
        <rFont val="Arial"/>
        <family val="2"/>
      </rPr>
      <t>INNER JOIN
(SELECT * FROM TCT43_FASEACC) TCT43
ON (TCT43.ZANOPROC=TCT27.ZANOPROC 
AND TCT43.ZPROC=TCT27.ZPROC)</t>
    </r>
  </si>
  <si>
    <t>ZPROC
WHERE TCT09.ISITUAC = '1'
AND TCT27.ISITUAC = '1'</t>
  </si>
  <si>
    <t>INTRNL_LGL</t>
  </si>
  <si>
    <t>Informação de agregação de informação de contratos e clientes por procedimento legal</t>
  </si>
  <si>
    <t>1.tmp_bce_lt_bknrptcy</t>
  </si>
  <si>
    <t>2.tmp_bce_lt_other_lgl</t>
  </si>
  <si>
    <t>3.tmp_bce_lt_intrnl_lgl</t>
  </si>
  <si>
    <t>4. cd_riscos.ret02_inpri</t>
  </si>
  <si>
    <t>5. cd_clientes.cl001_interv_cto</t>
  </si>
  <si>
    <t>BCE_LT_LGL_PRCDNG_STTS</t>
  </si>
  <si>
    <t>TMP_BCE_LT_BKNRPTCY
TMP_BCE_LT_OTHER_LGL
TMP_BCE_LT_INTRNL_LGL</t>
  </si>
  <si>
    <r>
      <rPr>
        <b/>
        <sz val="8"/>
        <rFont val="Arial"/>
        <family val="2"/>
      </rPr>
      <t>1º Cruzar universo de processos de insolvência, execuções externas e  PERSI com intervenientes da RET02:</t>
    </r>
    <r>
      <rPr>
        <sz val="8"/>
        <rFont val="Arial"/>
        <family val="2"/>
      </rPr>
      <t xml:space="preserve"> 
(SELECT * FROM TMP_BCE_LT_BKNRPTCY
UNION ALL
SELECT * TMP_BCE_LT_OTHER_LGL)
LEFT JOIN
(SELECT * FROM RET02_INTPRI)
ON ZANOPROC, ZPROC)
</t>
    </r>
    <r>
      <rPr>
        <b/>
        <sz val="8"/>
        <rFont val="Arial"/>
        <family val="2"/>
      </rPr>
      <t xml:space="preserve">2ª juntar informação de processos anteriores com o cruzamento do universo de processos de execuções internas com intervenientes da CL001
</t>
    </r>
    <r>
      <rPr>
        <sz val="8"/>
        <rFont val="Arial"/>
        <family val="2"/>
      </rPr>
      <t>UNION ALL
(SELECT * FROM TMP_BCE_LT_INTRNL_LGL
LEFT JOIN
SELECT * FROM CL001_INTERV_CTO
ON CKBALCAO = CBALCAO
AND CKNUMCTA = CNUMECTA
AND ZDEPOSIT = ZDEPOSIT)</t>
    </r>
  </si>
  <si>
    <t>ZCLIENTE</t>
  </si>
  <si>
    <t>Identificador de número de cliente</t>
  </si>
  <si>
    <t>CD_RISCOS
CD_CLIENTES</t>
  </si>
  <si>
    <t>RET02_INTPRI
CL001_INTERV_CTO</t>
  </si>
  <si>
    <t>LGL_PRCDNG_STTS</t>
  </si>
  <si>
    <t>Estado de procedimento legal</t>
  </si>
  <si>
    <t>CASE WHEN ORIGEM = 'BANKRUPTCY'  THEN '3'
WHEN ORIGEM = 'OTHER_LGL' THEN '4'
WHEN ORIGEM IN ('INTRNL_LGL', 'EXTRNL_LGL') THEN '2'</t>
  </si>
  <si>
    <t>Nome de perímetro</t>
  </si>
  <si>
    <t>5. Parametrização do campo CLLCTN_MD (BCE_LT_CLLCTN_MD)</t>
  </si>
  <si>
    <t>Nesta tabela é apresentada a informação de operações e clientes com operações de execução ativas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</si>
  <si>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CD_LOAN_TAPES_BCE.BCE_LT_CLLCTN_MD</t>
    </r>
  </si>
  <si>
    <t>STEP 1 - Tratamento do universo de processos de execuções internas e externas (HARD COLLECTION)</t>
  </si>
  <si>
    <t>BCE_LT_CLLCTN_MD_EXT</t>
  </si>
  <si>
    <t>ZANOPROC
WHERE CESTADO = '1'</t>
  </si>
  <si>
    <r>
      <rPr>
        <b/>
        <sz val="8"/>
        <rFont val="Arial"/>
        <family val="2"/>
      </rPr>
      <t xml:space="preserve">1) Identificar os processos e contratos de execuções externas
</t>
    </r>
    <r>
      <rPr>
        <sz val="8"/>
        <rFont val="Arial"/>
        <family val="2"/>
      </rPr>
      <t xml:space="preserve">(SELECT * FROM RET03_CONTRATO) RET03
</t>
    </r>
    <r>
      <rPr>
        <b/>
        <sz val="8"/>
        <rFont val="Arial"/>
        <family val="2"/>
      </rPr>
      <t xml:space="preserve">2) Identificar os processos ativos:
</t>
    </r>
    <r>
      <rPr>
        <sz val="8"/>
        <rFont val="Arial"/>
        <family val="2"/>
      </rPr>
      <t>INNER JOIN 
(SELECT * FROM RET01_PROCREC) RET01
ON RET03.ZANOPROC = RET01.ZANOPROC
AND RET03.ZPROC = RET01.ZPROC</t>
    </r>
  </si>
  <si>
    <t>ZPROC
WHERE CESTADO = '1'</t>
  </si>
  <si>
    <t>CKBALCAO
WHERE CESTADO = '1'</t>
  </si>
  <si>
    <t>CKNUMCTA
WHERE CESTADO = '1'</t>
  </si>
  <si>
    <t>ZDEPOSIT
WHERE CESTADO = '1'</t>
  </si>
  <si>
    <t>Tipologia de Processo Interno ou Externo</t>
  </si>
  <si>
    <t>-</t>
  </si>
  <si>
    <t>'EXTERNO'</t>
  </si>
  <si>
    <t>BCE_LT_CLLCTN_MD_INT</t>
  </si>
  <si>
    <t>ZANOPROC
WHERE TCT09.ISITUAC = '1'
AND TCT04.ISITUAC = '1'</t>
  </si>
  <si>
    <r>
      <rPr>
        <b/>
        <sz val="8"/>
        <rFont val="Arial"/>
        <family val="2"/>
      </rPr>
      <t xml:space="preserve">1) Identificar os processos e contratos de execuções internas
</t>
    </r>
    <r>
      <rPr>
        <sz val="8"/>
        <rFont val="Arial"/>
        <family val="2"/>
      </rPr>
      <t xml:space="preserve">(SELECT * FROM TCT09_OPERCN) TCT09
</t>
    </r>
    <r>
      <rPr>
        <b/>
        <sz val="8"/>
        <rFont val="Arial"/>
        <family val="2"/>
      </rPr>
      <t xml:space="preserve">2) Identificar os processos ativos:
</t>
    </r>
    <r>
      <rPr>
        <sz val="8"/>
        <rFont val="Arial"/>
        <family val="2"/>
      </rPr>
      <t>INNER JOIN 
(SELECT * FROM TCT04_PROCESSO) TCT04
ON TCT09.ZANOPROC = TCT04.ZANOPROC
AND TCT09.ZPROC = TCT04.ZPROC</t>
    </r>
  </si>
  <si>
    <t>ZPROC
WHERE TCT09.ISITUAC = '1'
AND TCT04.ISITUAC = '1'</t>
  </si>
  <si>
    <t>CKBALCAO
WHERE TCT09.ISITUAC = '1'
AND TCT04.ISITUAC = '1'</t>
  </si>
  <si>
    <t>CKNUMCTA
WHERE TCT09.ISITUAC = '1'
AND TCT04.ISITUAC = '1'</t>
  </si>
  <si>
    <t>ZDEPOSIT
WHERE TCT09.ISITUAC = '1'
AND TCT04.ISITUAC = '1'</t>
  </si>
  <si>
    <t>'INTERNO'</t>
  </si>
  <si>
    <t>BCE_LT_CLLCTN_MD_1</t>
  </si>
  <si>
    <t>BCE_LT_CLLCTN_MD_INT
BCE_LT_CLLCTN_MD_EXT</t>
  </si>
  <si>
    <r>
      <rPr>
        <b/>
        <sz val="8"/>
        <rFont val="Arial"/>
        <family val="2"/>
      </rPr>
      <t xml:space="preserve">1) União dos universos de processos internos e externos
</t>
    </r>
    <r>
      <rPr>
        <sz val="8"/>
        <rFont val="Arial"/>
        <family val="2"/>
      </rPr>
      <t>SELECT * FROM BCE_LT_CLLCTN_MD_INT
UNION ALL
SELECT * FROM BCE_LT_CLLCTN_MD_EXT</t>
    </r>
  </si>
  <si>
    <t>STEP 2 - Tratamento da informação dos processos de execuções internas e externas (HARD COLLECTION)</t>
  </si>
  <si>
    <t>BCE_LT_CLLCTN_MD_2</t>
  </si>
  <si>
    <r>
      <rPr>
        <b/>
        <sz val="8"/>
        <rFont val="Arial"/>
        <family val="2"/>
      </rPr>
      <t xml:space="preserve">1) Identificar os processos e contratos de execuções 
</t>
    </r>
    <r>
      <rPr>
        <sz val="8"/>
        <rFont val="Arial"/>
        <family val="2"/>
      </rPr>
      <t xml:space="preserve">(SELECT * FROM BCE_LT_CLLCTN_MD_1) TMP1
</t>
    </r>
    <r>
      <rPr>
        <b/>
        <sz val="8"/>
        <rFont val="Arial"/>
        <family val="2"/>
      </rPr>
      <t xml:space="preserve">2) Identificar os numeros de processos que estão na localização fisica do Advogado e estão ativos:
</t>
    </r>
    <r>
      <rPr>
        <sz val="8"/>
        <rFont val="Arial"/>
        <family val="2"/>
      </rPr>
      <t xml:space="preserve">INNER JOIN 
(SELECT * FROM TCT28_CTRLFPRO) TCT28
ON TMP1.ZANOPROC = TCT28.ZANOPROC
AND TMP1.ZPROC = TCT28.ZPROC
</t>
    </r>
    <r>
      <rPr>
        <b/>
        <sz val="8"/>
        <rFont val="Arial"/>
        <family val="2"/>
      </rPr>
      <t xml:space="preserve">3) Identificar os anexos ativos dos processos obtidos no passo anterior:
</t>
    </r>
    <r>
      <rPr>
        <sz val="8"/>
        <rFont val="Arial"/>
        <family val="2"/>
      </rPr>
      <t xml:space="preserve">INNER JOIN 
(SELECT * FROM TCT27_ANEXOPRI) TCT27
ON TCT27.ZANOPROC = TCT28.ZANOPROC
AND TCT27.ZPROC = TCT28.ZPROC
</t>
    </r>
    <r>
      <rPr>
        <b/>
        <sz val="8"/>
        <rFont val="Arial"/>
        <family val="2"/>
      </rPr>
      <t xml:space="preserve">4) Identificar a data de petição inicial válida dos anexos obtidos no passo anterior:
</t>
    </r>
    <r>
      <rPr>
        <sz val="8"/>
        <rFont val="Arial"/>
        <family val="2"/>
      </rPr>
      <t xml:space="preserve">INNER JOIN 
(SELECT * FROM TCT51_ACCAOJUD) TCT51
ON TCT51.ZANOPROC = TCT27.ZANOPROC
AND TCT51.ZPROC = TCT27.ZPROC
AND TCT51.ZANEXO = TCT27.ZANEXO
</t>
    </r>
    <r>
      <rPr>
        <b/>
        <sz val="8"/>
        <rFont val="Arial"/>
        <family val="2"/>
      </rPr>
      <t xml:space="preserve">5) Identificar os anexos mais recentes e cuja fase processual seja não finda:
</t>
    </r>
    <r>
      <rPr>
        <sz val="8"/>
        <rFont val="Arial"/>
        <family val="2"/>
      </rPr>
      <t xml:space="preserve">INNER JOIN 
(SELECT * FROM TCT43_FASEACC) TCT43
ON TCT51.ZANOPROC = TCT43.ZANOPROC
AND TCT51.ZPROC = TCT43.ZPROC
AND TCT51.ZANEXO = TCT43.ZANEXO
</t>
    </r>
  </si>
  <si>
    <t>DT_EXECUCAO</t>
  </si>
  <si>
    <t>Data de petição inicial</t>
  </si>
  <si>
    <t>DENTRADA</t>
  </si>
  <si>
    <t>DENTRADA
WHERE TCT28.IDESTINO IN (2, 4)
AND TCT28.ICODACC = 'I'
AND TCT27.ISITUAC = '1'
AND TCT51.DENTRADA &lt;&gt; '0001-01-01'
AND TCT43.DINICIO = MAX(TCT43.DINICIO por ZPROC, ZANOPROC e ZANEXO)
AND TRIM(CAST(TCT43.CFASPROC AS STRING)) NOT INT ('56','65')</t>
  </si>
  <si>
    <t>VALOR_LT</t>
  </si>
  <si>
    <t>Valor da Code List do campo CLLCTN_MD</t>
  </si>
  <si>
    <t>'1'</t>
  </si>
  <si>
    <t>STEP 3 - Tratamento da informação de clientes dos processos de execuções internas e externas (HARD COLLECTION)</t>
  </si>
  <si>
    <t>BCE_LT_CLLCTN_MD_3</t>
  </si>
  <si>
    <r>
      <t xml:space="preserve">1º Cruzar universo de processos de insolvência, execuções externas e  PERSI com intervenientes da RET02: 
</t>
    </r>
    <r>
      <rPr>
        <sz val="8"/>
        <rFont val="Arial"/>
        <family val="2"/>
      </rPr>
      <t xml:space="preserve">((SELECT * FROM BCE_LT_CLLCTN_MD_2
WHERE ORIGEM = 'EXTERNO') EXT
LEFT JOIN
(SELECT * FROM RET02_INTPRI)
ON ZANOPROC, ZPROC)
</t>
    </r>
    <r>
      <rPr>
        <b/>
        <sz val="8"/>
        <rFont val="Arial"/>
        <family val="2"/>
      </rPr>
      <t xml:space="preserve">
2ª juntar informação de processos anteriores com o cruzamento do universo de processos de execuções internas com intervenientes da CL001
</t>
    </r>
    <r>
      <rPr>
        <sz val="8"/>
        <rFont val="Arial"/>
        <family val="2"/>
      </rPr>
      <t>UNION ALL
((SELECT * FROM BCE_LT_CLLCTN_MD_2
WHERE ORIGEM = 'INTERNO') INT
LEFT JOIN
(SELECT * FROM CL001_INTERV_CTO)
ON CKBALCAO = CBALCAO
AND CKNUMCTA = CNUMECTA
AND ZDEPOSIT = ZDEPOSIT)</t>
    </r>
  </si>
  <si>
    <t>Identificador de código de cliente</t>
  </si>
  <si>
    <t>LPAD(CAST(ZCLIENTE AS STRING), 10, '0')</t>
  </si>
  <si>
    <t>STEP 4 - Tratamento da informação processos de execuções de imóveis (SOFT COLLECTION)</t>
  </si>
  <si>
    <t>BCE_LT_CLLCTN_MD_4</t>
  </si>
  <si>
    <t>IVT01_IMOVEIS</t>
  </si>
  <si>
    <t>ZANOPROC
WHERE CESTADIMO NOT IN ('EX', 'VE')
AND CTIPADJUD = 'D'</t>
  </si>
  <si>
    <t>ZPROC
WHERE CESTADIMO NOT IN ('EX', 'VE')
AND CTIPADJUD = 'D'</t>
  </si>
  <si>
    <t>ZCLIENTE
WHERE CESTADIMO NOT IN ('EX', 'VE')
AND CTIPADJUD = 'D'</t>
  </si>
  <si>
    <t>'IVT01'</t>
  </si>
  <si>
    <t>CTIPADJUD</t>
  </si>
  <si>
    <t>DADJUDIC
WHERE CESTADIMO NOT IN ('EX', 'VE')
AND CTIPADJUD = 'D'</t>
  </si>
  <si>
    <t>'2'</t>
  </si>
  <si>
    <t>STEP 5 - Criação da tabela de suporte final</t>
  </si>
  <si>
    <t>BCE_LT_CLLCTN_MD</t>
  </si>
  <si>
    <t>BCE_LT_CLLCTN_MD_3
BCE_LT_CLLCTN_MD_4</t>
  </si>
  <si>
    <r>
      <t xml:space="preserve">1) União dos universos de processos hard e soft
</t>
    </r>
    <r>
      <rPr>
        <sz val="8"/>
        <rFont val="Arial"/>
        <family val="2"/>
      </rPr>
      <t>SELECT * FROM BCE_LT_CLLCTN_MD_3
UNION ALL
SELECT * FROM BCE_LT_CLLCTN_MD_4</t>
    </r>
  </si>
  <si>
    <t>DT_RFRNC</t>
  </si>
  <si>
    <t>6. Parametrização dos campos relativos a Demonstrações Financeiras (BCE_LT_FNNCL_STTMTS)</t>
  </si>
  <si>
    <t>Nesta tabela é apresentada a informação de balanço e de demonstração de resultados, proveniente do MAGIC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</si>
  <si>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CD_LOAN_TAPES_BCE.BCE_LT_FNNCL_STTMTS</t>
    </r>
  </si>
  <si>
    <t>Universo das tabelas fonte</t>
  </si>
  <si>
    <t>1. cd_riscos.rsv176sa1_balanco</t>
  </si>
  <si>
    <t>2.cd_riscos.rsv177sa1_dem_result</t>
  </si>
  <si>
    <t>BCE_LT_FNNCL_STTMTS</t>
  </si>
  <si>
    <t>CCLIGRUPO</t>
  </si>
  <si>
    <t>Código de cliente real</t>
  </si>
  <si>
    <t>RSV177SA1_DEM_RESULT
RSV176SA1_BALANCO</t>
  </si>
  <si>
    <t>CASE WHEN BL.CCLIGRUPO IS NULL THEN DR.CCLIGRUPO ELSE BL.CCLIGRUPO</t>
  </si>
  <si>
    <t>(SELECT ROW_NUMBER() OVER (PARTITION BY CCLIGRUPO
                                                                ORDER BY DANO DESC, CGESTOR DESC, DFIM DESC) AS ORDEM, *
(SELECT CCLIGRUPO, DANO, CGESTOR, DFIM, CPERIODO, ITIP_INF 
FROM RSV177SA1_DEM_RESULT
WHERE  CPERIODO = '212' 
AND ITIP_INF = 'I'
AND DATA_DATE_PART &lt;= DT_RFRNC
AND DANO &lt;= SUBSTR(DT_RFRNC,1,4)) BL
FULL OUTER JOIN 
(SELECT CCLIGRUPO, DANO, CGESTOR, DFIM, CPERIODO, ITIP_INF, 
FROM RSV176SA1_BALANCO
WHERE  CPERIODO = '212' 
AND ITIP_INF = 'I'
AND DATA_DATE_PART &lt;= DT_RFRNC
AND DANO &lt;= SUBSTR(DT_RFRNC,1,4)) DR
ON BL.CCLIGRUPO = DR.CCLIGRUPO 
AND BL.DANO = DR.DANO 
AND BL.CGESTOR = DR.CGESTOR
AND BL.CPERIODO = DR.CPERIODO
AND BL.ITIP_INF = DR.ITIP_INF )
WHERE ORDEM = 1</t>
  </si>
  <si>
    <t>DANO</t>
  </si>
  <si>
    <t>Ano das Demonstrações Financeiras</t>
  </si>
  <si>
    <t>CASE WHEN BL.DANO IS NULL THEN DR.DANO ELSE BL.DANO</t>
  </si>
  <si>
    <t>CGESTOR</t>
  </si>
  <si>
    <t>Código do gestor comercial do cliente</t>
  </si>
  <si>
    <t>CASE WHEN BL.CGESTOR IS NULL THEN DR.CGESTOR ELSE BL.CGESTOR</t>
  </si>
  <si>
    <t>DFIM</t>
  </si>
  <si>
    <t xml:space="preserve">Data de fim de reporte </t>
  </si>
  <si>
    <t>CASE WHEN BL.DFIM IS NULL THEN DR.DFIM ELSE BL.DFIM</t>
  </si>
  <si>
    <t>CPERIODO</t>
  </si>
  <si>
    <t>Código do período. O primeiro algarismo define a periodicidade (1 - dias; 2 - meses; 3 - anos) os seguintes definem o nº de dias/ meses / anos</t>
  </si>
  <si>
    <t>CASE WHEN BL.CPERIODO IS NULL THEN DR.CPERIODO ELSE BL.CPERIODO</t>
  </si>
  <si>
    <t>ITIP_INF</t>
  </si>
  <si>
    <t>Código de tipologia de informação (individual/ consolidada)</t>
  </si>
  <si>
    <t>CASE WHEN BL.ITIP_INF IS NULL THEN DR.ITIP_INF ELSE BL.ITIP_INF</t>
  </si>
  <si>
    <t>7. Tabela Suporte bce_lt_sprt_stage - histórico de alterações de stage</t>
  </si>
  <si>
    <t>Nesta tabela é apresentada a informação de histórico com as alterações de stage sequenciais no âmbito da IFRS9, para os contratos vivos à data de referencia, desde a entrada em vigor da regulação referida (01/01/2018).</t>
  </si>
  <si>
    <t>Descrição do processo:</t>
  </si>
  <si>
    <t>As alterações de stage encontram-se em 2 fontes distintas:</t>
  </si>
  <si>
    <t>Deve ser criada uma tabela temporárária com os registos de ambas as fontes, para o universo de contratos vivos, sob a qual deverá ser corrido o processo:</t>
  </si>
  <si>
    <r>
      <rPr>
        <b/>
        <u/>
        <sz val="9"/>
        <color theme="1"/>
        <rFont val="Arial"/>
        <family val="2"/>
      </rPr>
      <t xml:space="preserve">Step 2: </t>
    </r>
    <r>
      <rPr>
        <sz val="9"/>
        <color theme="1"/>
        <rFont val="Arial"/>
        <family val="2"/>
      </rPr>
      <t xml:space="preserve"> Definição do universo da tabela  fr004_cto.</t>
    </r>
  </si>
  <si>
    <r>
      <rPr>
        <b/>
        <u/>
        <sz val="9"/>
        <color theme="1"/>
        <rFont val="Arial"/>
        <family val="2"/>
      </rPr>
      <t xml:space="preserve">Step 3: </t>
    </r>
    <r>
      <rPr>
        <sz val="9"/>
        <color theme="1"/>
        <rFont val="Arial"/>
        <family val="2"/>
      </rPr>
      <t xml:space="preserve"> Definição do universo total, agregando os dois universos definidos nos </t>
    </r>
    <r>
      <rPr>
        <i/>
        <sz val="9"/>
        <color theme="1"/>
        <rFont val="Arial"/>
        <family val="2"/>
      </rPr>
      <t>steps</t>
    </r>
    <r>
      <rPr>
        <sz val="9"/>
        <color theme="1"/>
        <rFont val="Arial"/>
        <family val="2"/>
      </rPr>
      <t xml:space="preserve"> anteriores.</t>
    </r>
  </si>
  <si>
    <r>
      <rPr>
        <b/>
        <u/>
        <sz val="9"/>
        <color theme="1"/>
        <rFont val="Arial"/>
        <family val="2"/>
      </rPr>
      <t xml:space="preserve">Step 4: </t>
    </r>
    <r>
      <rPr>
        <sz val="9"/>
        <color theme="1"/>
        <rFont val="Arial"/>
        <family val="2"/>
      </rPr>
      <t xml:space="preserve"> Cáculo das alterações de stage para cada </t>
    </r>
    <r>
      <rPr>
        <b/>
        <sz val="9"/>
        <color theme="1"/>
        <rFont val="Arial"/>
        <family val="2"/>
      </rPr>
      <t>instrmnt_id</t>
    </r>
    <r>
      <rPr>
        <sz val="9"/>
        <color theme="1"/>
        <rFont val="Arial"/>
        <family val="2"/>
      </rPr>
      <t xml:space="preserve"> ao longo do tempo, com uma identificação do nº da alteração (coluna "NR").  Deve existir um registo para cada </t>
    </r>
    <r>
      <rPr>
        <b/>
        <sz val="9"/>
        <color theme="1"/>
        <rFont val="Arial"/>
        <family val="2"/>
      </rPr>
      <t>alteração de stage</t>
    </r>
    <r>
      <rPr>
        <sz val="9"/>
        <color theme="1"/>
        <rFont val="Arial"/>
        <family val="2"/>
      </rPr>
      <t>, i.e., sempre que o stage seja diferente do registo do mês anterior.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</si>
  <si>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cd_loan_tapes_bce.bce_lt_sprt_stage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</si>
  <si>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ref_date (a avaliar durante a fase de desenvolvimento) 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</si>
  <si>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instrmnt_id, ref_date</t>
    </r>
  </si>
  <si>
    <t>cd_loan_tapes_bce.lt001_univ_oper</t>
  </si>
  <si>
    <t>1. cd_captools.fr004_cto</t>
  </si>
  <si>
    <t>3. cd_captools.imcatf046_flag_fecho</t>
  </si>
  <si>
    <t>Metodologia de cruzamento *</t>
  </si>
  <si>
    <t>BCE_LT_SPRT_STAGE</t>
  </si>
  <si>
    <t>INSTRMNT_ID</t>
  </si>
  <si>
    <t xml:space="preserve">Chave do contrato </t>
  </si>
  <si>
    <t>FR004_CTO</t>
  </si>
  <si>
    <t>INSTRUMENT_ID</t>
  </si>
  <si>
    <t>CONCAT(CEMPRESA, CBALCAO, CNUMECTA, ZDEPOSIT)</t>
  </si>
  <si>
    <t>STAGE</t>
  </si>
  <si>
    <t>Estado de imparidade</t>
  </si>
  <si>
    <t>CD_CAPTOOLS
BU_IFRS9</t>
  </si>
  <si>
    <t>STAGE_ATUAL
STAGE</t>
  </si>
  <si>
    <t>NR</t>
  </si>
  <si>
    <t>Número sequencial de alterações de stage para um contrato (enésima alteração)</t>
  </si>
  <si>
    <t xml:space="preserve">NR + 1 </t>
  </si>
  <si>
    <t>Data de referência dos dados</t>
  </si>
  <si>
    <t>REF_DATE
CMES</t>
  </si>
  <si>
    <t>* código utilizado para simulação</t>
  </si>
  <si>
    <t>Exemplo de contratos:</t>
  </si>
  <si>
    <t>31000000000000000262304820016000</t>
  </si>
  <si>
    <t>2018-10-31</t>
  </si>
  <si>
    <t>3100000000000000599904831271800</t>
  </si>
  <si>
    <t>2018-01-31</t>
  </si>
  <si>
    <t>2018-05-31</t>
  </si>
  <si>
    <t>2018-06-30</t>
  </si>
  <si>
    <t>31000000000000000962304840364310</t>
  </si>
  <si>
    <t>8. Tabela Suporte bce_lt_sprt_prfm - histórico de alterações de performing</t>
  </si>
  <si>
    <t>Nesta tabela é apresentada a informação de histórico com as alterações de performing sequenciais no âmbito da IFRS9, desde a entrada em vigor da regulação referida (01/01/2018).</t>
  </si>
  <si>
    <t>As alterações de performing derivam do stage, que se encontram em 2 fontes distintas:</t>
  </si>
  <si>
    <r>
      <rPr>
        <b/>
        <u/>
        <sz val="9"/>
        <color theme="1"/>
        <rFont val="Arial"/>
        <family val="2"/>
      </rPr>
      <t xml:space="preserve">Step 4: </t>
    </r>
    <r>
      <rPr>
        <sz val="9"/>
        <color theme="1"/>
        <rFont val="Arial"/>
        <family val="2"/>
      </rPr>
      <t xml:space="preserve"> Cáculo das alterações de stage para cada </t>
    </r>
    <r>
      <rPr>
        <b/>
        <sz val="9"/>
        <color theme="1"/>
        <rFont val="Arial"/>
        <family val="2"/>
      </rPr>
      <t>instrmnt_id</t>
    </r>
    <r>
      <rPr>
        <sz val="9"/>
        <color theme="1"/>
        <rFont val="Arial"/>
        <family val="2"/>
      </rPr>
      <t xml:space="preserve"> ao longo do tempo, com uma identificação do nº da alteração (coluna "NR").  Deve existir um registo para cada </t>
    </r>
    <r>
      <rPr>
        <b/>
        <sz val="9"/>
        <color theme="1"/>
        <rFont val="Arial"/>
        <family val="2"/>
      </rPr>
      <t>alteração de performing</t>
    </r>
    <r>
      <rPr>
        <sz val="9"/>
        <color theme="1"/>
        <rFont val="Arial"/>
        <family val="2"/>
      </rPr>
      <t>, i.e., sempre que o performing seja diferente do registo do mês anterior.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</si>
  <si>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cd_loan_tapes_bce.bce_lt_sprt_prfm</t>
    </r>
  </si>
  <si>
    <r>
      <rPr>
        <b/>
        <sz val="9"/>
        <color theme="1"/>
        <rFont val="Arial"/>
        <family val="2"/>
      </rPr>
      <t>Chave primária:</t>
    </r>
    <r>
      <rPr>
        <sz val="9"/>
        <color theme="1"/>
        <rFont val="Arial"/>
        <family val="2"/>
      </rPr>
      <t xml:space="preserve"> instrmnt_id, ref_date</t>
    </r>
  </si>
  <si>
    <t>BCE_LT_SPRT_PRFM</t>
  </si>
  <si>
    <t>PRFRMNG_STTS</t>
  </si>
  <si>
    <t>Estado de performing</t>
  </si>
  <si>
    <t>.</t>
  </si>
  <si>
    <t>9. Tabela Suporte bce_lt_sprt_dflt - histórico de alterações de estado de default</t>
  </si>
  <si>
    <r>
      <t xml:space="preserve">Nesta tabela é apresentada a informação de histórico com as alterações de estado de default sequenciais no âmbito da nova definição de default., desde a entrada em produção no Data Lake (na tabela ct013_rwa_priinc) : </t>
    </r>
    <r>
      <rPr>
        <sz val="9"/>
        <rFont val="Arial"/>
        <family val="2"/>
      </rPr>
      <t>2021-04-30.</t>
    </r>
  </si>
  <si>
    <r>
      <t xml:space="preserve">A tabela deve ser processada pela primeira vez para todos os contratos do </t>
    </r>
    <r>
      <rPr>
        <b/>
        <sz val="9"/>
        <color theme="1"/>
        <rFont val="Arial"/>
        <family val="2"/>
      </rPr>
      <t xml:space="preserve">universo de contabilidade vivos desde </t>
    </r>
    <r>
      <rPr>
        <b/>
        <sz val="9"/>
        <rFont val="Arial"/>
        <family val="2"/>
      </rPr>
      <t>2021-04-30</t>
    </r>
    <r>
      <rPr>
        <sz val="9"/>
        <color theme="1"/>
        <rFont val="Arial"/>
        <family val="2"/>
      </rPr>
      <t xml:space="preserve">, este processo implica a execução dos </t>
    </r>
    <r>
      <rPr>
        <i/>
        <sz val="9"/>
        <color theme="1"/>
        <rFont val="Arial"/>
        <family val="2"/>
      </rPr>
      <t>scripts</t>
    </r>
    <r>
      <rPr>
        <sz val="9"/>
        <color theme="1"/>
        <rFont val="Arial"/>
        <family val="2"/>
      </rPr>
      <t xml:space="preserve"> de forma iterativa por data de referência.</t>
    </r>
  </si>
  <si>
    <r>
      <t xml:space="preserve">Após o primeiro processamento, deve ocorrer um processamento mensal para identificar novos contratos e/ ou novas alterações de estado de </t>
    </r>
    <r>
      <rPr>
        <i/>
        <sz val="9"/>
        <color theme="1"/>
        <rFont val="Arial"/>
        <family val="2"/>
      </rPr>
      <t>default</t>
    </r>
    <r>
      <rPr>
        <sz val="9"/>
        <color theme="1"/>
        <rFont val="Arial"/>
        <family val="2"/>
      </rPr>
      <t>.</t>
    </r>
  </si>
  <si>
    <r>
      <rPr>
        <b/>
        <u/>
        <sz val="9"/>
        <color theme="1"/>
        <rFont val="Arial"/>
        <family val="2"/>
      </rPr>
      <t xml:space="preserve">Step 1: </t>
    </r>
    <r>
      <rPr>
        <sz val="9"/>
        <color theme="1"/>
        <rFont val="Arial"/>
        <family val="2"/>
      </rPr>
      <t xml:space="preserve"> Deve ser inserido um novo registo sempre que existam novos contratos, i.e., quando o </t>
    </r>
    <r>
      <rPr>
        <b/>
        <sz val="9"/>
        <color theme="1"/>
        <rFont val="Arial"/>
        <family val="2"/>
      </rPr>
      <t xml:space="preserve">instrmnt_id </t>
    </r>
    <r>
      <rPr>
        <sz val="9"/>
        <color theme="1"/>
        <rFont val="Arial"/>
        <family val="2"/>
      </rPr>
      <t>não existe na tabela. Neste caso, a coluna "NR" deve ser preenchida com "1", de forma a identificar a sua entrada como sendo a primeira entrada do respetivo contrato.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</si>
  <si>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 ser inserido um novo registo sempre que exista uma alteração de </t>
    </r>
    <r>
      <rPr>
        <b/>
        <sz val="9"/>
        <color theme="1"/>
        <rFont val="Arial"/>
        <family val="2"/>
      </rPr>
      <t>estado de default</t>
    </r>
    <r>
      <rPr>
        <sz val="9"/>
        <color theme="1"/>
        <rFont val="Arial"/>
        <family val="2"/>
      </rPr>
      <t xml:space="preserve"> para os contratos existentes na tabela, i.e., sempre que o </t>
    </r>
    <r>
      <rPr>
        <b/>
        <sz val="9"/>
        <color theme="1"/>
        <rFont val="Arial"/>
        <family val="2"/>
      </rPr>
      <t>estado de default</t>
    </r>
    <r>
      <rPr>
        <sz val="9"/>
        <color theme="1"/>
        <rFont val="Arial"/>
        <family val="2"/>
      </rPr>
      <t xml:space="preserve"> seja diferente do último registo do contrato presente na tabela. Neste caso, a coluna "NR" deve ser preenchida com o NR atual +1 </t>
    </r>
  </si>
  <si>
    <t>de forma a identificar a entrada do novo registo como sendo a enésima alteração de estado de default do contrato.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</si>
  <si>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cd_loan_tapes_bce.bce_lt_sprt_dflt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</si>
  <si>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dt_dflt_stts_instrmnt, nome_perimetro e calendario (a avaliar durante a fase de desenvolvimento)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</si>
  <si>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instrmnt_id, dflt_stts_instrmnt, nome_perimetro, calendario</t>
    </r>
  </si>
  <si>
    <t>lt002_instrument</t>
  </si>
  <si>
    <t>1. Tabela temporária BCE_LT_INSTR_CAP</t>
  </si>
  <si>
    <t>BCE_LT_SPRT_DFLT</t>
  </si>
  <si>
    <r>
      <rPr>
        <b/>
        <sz val="8"/>
        <color theme="1"/>
        <rFont val="Arial"/>
        <family val="2"/>
      </rPr>
      <t xml:space="preserve">--------------- INSERIR NOVOS CONTRATOS --------------- 
</t>
    </r>
    <r>
      <rPr>
        <sz val="8"/>
        <color theme="1"/>
        <rFont val="Arial"/>
        <family val="2"/>
      </rPr>
      <t xml:space="preserve">
INSERT INTO CD_LOAN_TAPES_BCE.BCE_LT_SPRT_DFLT
SELECT CHAVE_FR AS INSTRMNT_ID, DFLT_STTS_INSTRMNT, 1 AS NR, DT_DFLT_STTS_INSTRMNT, NOME_PERIMETRO, CALENDARIO FROM 
</t>
    </r>
    <r>
      <rPr>
        <u/>
        <sz val="8"/>
        <color theme="1"/>
        <rFont val="Arial"/>
        <family val="2"/>
      </rPr>
      <t xml:space="preserve">-- 1) Identificar novos contratos </t>
    </r>
    <r>
      <rPr>
        <sz val="8"/>
        <color theme="1"/>
        <rFont val="Arial"/>
        <family val="2"/>
      </rPr>
      <t xml:space="preserve">
(SELECT B.* FROM 
	(SELECT DISTINCT INSTRMNT_ID, NOME_PERIMETRO, CALENDARIO FROM CD_LOAN_TAPES_BCE.BCE_LT_SPRT_DFLT) A 
	FULL OUTER JOIN
	(SELECT CHAVE_FR, DFLT_STTS_INSTRMNT, DT_DFLT_STTS_INSTRMNT, NOME_PERIMETRO, CALENDARIO FROM CD_LOAN_TAPES_BCE.BCE_LT_INSTR_CAP) B
	 ON INSTRMNT_ID = CHAVE_FR
		AND NOME_PERIMETRO 
		AND CALENDARIO
 WHERE A.INSTRMNT_ID IS NULL 
	AND A.NOME_PERIMETRO IS NULL 
	AND A.CALENDARIO IS NULL
) C
;
</t>
    </r>
    <r>
      <rPr>
        <b/>
        <sz val="8"/>
        <color theme="1"/>
        <rFont val="Arial"/>
        <family val="2"/>
      </rPr>
      <t xml:space="preserve">--------------- INSERIR ALTERAÇÕES --------------- 
</t>
    </r>
    <r>
      <rPr>
        <sz val="8"/>
        <color theme="1"/>
        <rFont val="Arial"/>
        <family val="2"/>
      </rPr>
      <t xml:space="preserve">
INSERT INTO CD_LOAN_TAPES_BCE.BCE_LT_SPRT_DFLT
SELECT AA.CHAVE_FR AS INSTRMNT_ID, AA.DFLT_STTS_INSTRMNT, CAST(BB.NR + 1 AS INT) AS NR, AA.DT_DFLT_STTS_INSTRMNT, AA.NOME_PERIMETRO, AA.CALENDARIO FROM
</t>
    </r>
    <r>
      <rPr>
        <u/>
        <sz val="8"/>
        <color theme="1"/>
        <rFont val="Arial"/>
        <family val="2"/>
      </rPr>
      <t>-- 1) Identificar estado de default atual por contrato, nome_perimetro e calendario</t>
    </r>
    <r>
      <rPr>
        <sz val="8"/>
        <color theme="1"/>
        <rFont val="Arial"/>
        <family val="2"/>
      </rPr>
      <t xml:space="preserve">
	(SELECT CHAVE_FR, DFLT_STTS_INSTRMNT, DT_DFLT_STTS_INSTRMNT, NOME_PERIMETRO, CALENDARIO FROM CD_LOAN_TAPES_BCE.BCE_LT_INSTR_CAP 
	WHERE REF_DATE = '${date}') AA
	INNER JOIN
</t>
    </r>
    <r>
      <rPr>
        <u/>
        <sz val="8"/>
        <color theme="1"/>
        <rFont val="Arial"/>
        <family val="2"/>
      </rPr>
      <t xml:space="preserve">--- 2) Identificar a última entrada na tabela BCE_LT_SPRT_DFLT por contrato , nome_perimetro, calendario
</t>
    </r>
    <r>
      <rPr>
        <sz val="8"/>
        <color theme="1"/>
        <rFont val="Arial"/>
        <family val="2"/>
      </rPr>
      <t xml:space="preserve">	(SELECT B.* FROM	
		(SELECT INSTRMNT_ID, NOME_PERIMETRO, CALENDARIO, MAX(NR) AS MAX_NR
				FROM  CD_LOAN_TAPES_BCE.BCE_LT_SPRT_DFLT GROUP BY INSTRMNT_ID, NOME_PERIMETRO, CALENDARIO) A
		INNER JOIN
		(SELECT INSTRMNT_ID, DFLT_STTS_INSTRMNT, NR, DT_DFLT_STTS_INSTRMNT NOME_PERIMETRO, CALENDARIO 
				FROM  CD_LOAN_TAPES_BCE.BCE_LT_SPRT_DFLT ) B
				WHERE NR = MAX_NR
		ON INSTRMNT_ID AND NOME_PERIMETRO AND CALENDARIO
		) BB 
	ON INSTRMNT_ID = CHAVE_FR AND NOME_PERIMETRO AND CALENDARIO
</t>
    </r>
    <r>
      <rPr>
        <u/>
        <sz val="8"/>
        <color theme="1"/>
        <rFont val="Arial"/>
        <family val="2"/>
      </rPr>
      <t>--- 3) Identificar novas alterações de estado de default por contrato, nome_perimetro e calendario</t>
    </r>
    <r>
      <rPr>
        <sz val="8"/>
        <color theme="1"/>
        <rFont val="Arial"/>
        <family val="2"/>
      </rPr>
      <t xml:space="preserve">
	WHERE AA.DFLT_STTS_INSTRMNT &lt;&gt; BB.DFLT_STTS_INSTRMNT;</t>
    </r>
  </si>
  <si>
    <t>Estado de Default do contrato</t>
  </si>
  <si>
    <t>Número sequencial de alterações de estado de default para um contrato (enésima alteração)</t>
  </si>
  <si>
    <t>CASE WHEN DFLT_STTS_INSTRMNT = '14' AND NR &gt;1 THEN REF_DATE da data de processamento da nova alteração de estado (caso exista) 
WHEN DFLT_STTS_INSTRMNT [NR] &lt;&gt; DFLT_STTS_INSTRMNT [NR - 1] AND DT_DFLT_STTS_INSTRMNT [NR] &lt;= DT_DFLT_STTS_INSTRMNT [NR - 1] THEN REF_DATE da data de processamento da nova alteração de estado (caso exista) 
ELSE DT_DFLT_STTS_INSTRMNT
NOTA: 
[NR]: Default status /Data de default status mais recente
[NR - 1]: Default status / Data de default status anterior</t>
  </si>
  <si>
    <t>10. Tabela Suporte bce_lt_sprt_cnstrctn_stts - histórico de alterações de estado de construção</t>
  </si>
  <si>
    <r>
      <t>Nesta tabela é apresentada a informação de histórico com as alterações de estado de construção sequenciais no âmbito da definição de estado de construção</t>
    </r>
    <r>
      <rPr>
        <sz val="9"/>
        <rFont val="Arial"/>
        <family val="2"/>
      </rPr>
      <t>.</t>
    </r>
  </si>
  <si>
    <r>
      <t>A tabela deve ser processada pela primeira vez para todas as garantias do universo de garantias hipotecárias desde a implementação do modelo consolidado de garantias no</t>
    </r>
    <r>
      <rPr>
        <i/>
        <sz val="9"/>
        <color theme="1"/>
        <rFont val="Arial"/>
        <family val="2"/>
      </rPr>
      <t xml:space="preserve"> data lake</t>
    </r>
    <r>
      <rPr>
        <sz val="9"/>
        <color theme="1"/>
        <rFont val="Arial"/>
        <family val="2"/>
      </rPr>
      <t xml:space="preserve"> (</t>
    </r>
    <r>
      <rPr>
        <sz val="9"/>
        <color rgb="FFFF0000"/>
        <rFont val="Arial"/>
        <family val="2"/>
      </rPr>
      <t>data a definir).</t>
    </r>
    <r>
      <rPr>
        <sz val="9"/>
        <rFont val="Arial"/>
        <family val="2"/>
      </rPr>
      <t xml:space="preserve"> Est</t>
    </r>
    <r>
      <rPr>
        <sz val="9"/>
        <color theme="1"/>
        <rFont val="Arial"/>
        <family val="2"/>
      </rPr>
      <t xml:space="preserve">e processo implica a execução dos </t>
    </r>
    <r>
      <rPr>
        <i/>
        <sz val="9"/>
        <color theme="1"/>
        <rFont val="Arial"/>
        <family val="2"/>
      </rPr>
      <t>scripts</t>
    </r>
    <r>
      <rPr>
        <sz val="9"/>
        <color theme="1"/>
        <rFont val="Arial"/>
        <family val="2"/>
      </rPr>
      <t xml:space="preserve"> de forma iterativa por data de referência.</t>
    </r>
  </si>
  <si>
    <t>Após o primeiro processamento, deve ocorrer um processamento mensal para identificar novas garantias e/ ou novas alterações de estado de construção.</t>
  </si>
  <si>
    <r>
      <rPr>
        <b/>
        <u/>
        <sz val="9"/>
        <color theme="1"/>
        <rFont val="Arial"/>
        <family val="2"/>
      </rPr>
      <t xml:space="preserve">Step 1: </t>
    </r>
    <r>
      <rPr>
        <sz val="9"/>
        <color theme="1"/>
        <rFont val="Arial"/>
        <family val="2"/>
      </rPr>
      <t xml:space="preserve"> Deve ser inserido um novo registo sempre que existam novas garantias, i.e., quando o </t>
    </r>
    <r>
      <rPr>
        <b/>
        <sz val="9"/>
        <color theme="1"/>
        <rFont val="Arial"/>
        <family val="2"/>
      </rPr>
      <t xml:space="preserve">prtctn_id </t>
    </r>
    <r>
      <rPr>
        <sz val="9"/>
        <color theme="1"/>
        <rFont val="Arial"/>
        <family val="2"/>
      </rPr>
      <t>não existe na tabela. Neste caso, a coluna "NR" deve ser preenchida com "1", de forma a identificar a sua entrada como sendo a primeira entrada da respetiva garantia.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</si>
  <si>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 ser inserido um novo registo sempre que exista uma alteração de </t>
    </r>
    <r>
      <rPr>
        <b/>
        <sz val="9"/>
        <color theme="1"/>
        <rFont val="Arial"/>
        <family val="2"/>
      </rPr>
      <t>estado de construção</t>
    </r>
    <r>
      <rPr>
        <sz val="9"/>
        <color theme="1"/>
        <rFont val="Arial"/>
        <family val="2"/>
      </rPr>
      <t xml:space="preserve"> para as garantias existentes na tabela, i.e., sempre que o </t>
    </r>
    <r>
      <rPr>
        <b/>
        <sz val="9"/>
        <color theme="1"/>
        <rFont val="Arial"/>
        <family val="2"/>
      </rPr>
      <t>estado de construção</t>
    </r>
    <r>
      <rPr>
        <sz val="9"/>
        <color theme="1"/>
        <rFont val="Arial"/>
        <family val="2"/>
      </rPr>
      <t xml:space="preserve"> seja diferente do último registo da garantia presente na tabela. Neste caso, a coluna "NR" deve ser preenchida com o NR atual +1 </t>
    </r>
  </si>
  <si>
    <t>de forma a identificar a entrada do novo registo como sendo a enésima alteração de estado de construção.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</si>
  <si>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cd_loan_tapes_bce.bce_lt_sprt_cnstrctn_stts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</si>
  <si>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davalia (a avaliar durante a fase de desenvolvimento)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</si>
  <si>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prtctn_id, cnstrctn_stts</t>
    </r>
  </si>
  <si>
    <t>lt004_protection</t>
  </si>
  <si>
    <t>gt009_bens_imov</t>
  </si>
  <si>
    <t>gt008_trz_gt_imv</t>
  </si>
  <si>
    <t>gt002_grnt_prc</t>
  </si>
  <si>
    <t xml:space="preserve">gt001_trz_rsp_gt </t>
  </si>
  <si>
    <t xml:space="preserve">lt821_cnstrctn_stts </t>
  </si>
  <si>
    <t>Schema</t>
  </si>
  <si>
    <t>BCE_LT_SPRT_CNSTRCTN_STTS</t>
  </si>
  <si>
    <t>PRTCTN_ID</t>
  </si>
  <si>
    <t>Chave da garantia</t>
  </si>
  <si>
    <t>CD_GARANTIAS</t>
  </si>
  <si>
    <t>GT009_BENS_IMOV</t>
  </si>
  <si>
    <t>CONCAT("I_", CKBALBEM, "_",CKCTABEM, "_", CKREFBEM)</t>
  </si>
  <si>
    <t>--------------- INSERIR NOVOS CONTRATOS --------------- 
INSERT INTO CD_LOAN_TAPES_BCE.BCE_LT_SPRT_CNSTRCTN_STTS
SELECT PRTCTN_ID, CNSTRCTN_STTS, 1 AS NR, DAVALIA FROM 
-- 1) Identificar novos contratos 
(SELECT B.* FROM 
	(SELECT DISTINCT PRTCTN_ID FROM CD_LOAN_TAPES_BCE.BCE_LT_SPRT_CNSTRCTN_STTS) A 
	FULL OUTER JOIN
(SELECT DISTINCT CONCAT(CKBALBEM, CKCTABEM, ZBEM) AS PRTCTN_ID, CNSTRCTN_STTS, DAVALIA FROM
	(SELECT CKBALBEM, CKCTABEM, ZBEM, PERC_OBRA, DAVALIA FROM CD_GARANTIAS.GT009_BENS_IMOV WHERE REF_DATE = '${date}') GT009
	INNER JOIN 
	(SELECT CKBALCAO, CKNUMCTA, COMP_ID_GAR, CKBALBEM, CKCTABEM, ZBEM FROM CD_GARANTIAS.GT008_TRZ_GT_IMOV WHERE REF_DATE = '${date}') GT008
	ON CONCAT(GT009.CKBALBEM, GT009.CKCTABEM,GT009.ZBEM) = CONCAT(GT008.CKBALBEM, GT008.CKCTABEM, GT008.ZBEM)
	INNER JOIN 
	(SELECT CKBALCAO, CKNUMCTA, COMP_ID_GAR, CFINALID FROM CD_GARANTIAS.GT001_TRZ_RSP_GT WHERE REF_DATE = '${date}') GT001 
	ON CONCAT(GT008.CKBALCAO, GT008.CKNUMCTA, GT008.COMP_ID_GAR) = CONCAT(GT001.CKBALCAO,GT001.CKNUMCTA, GT001.COMP_ID_GAR)
	INNER JOIN
	(SELECT CNSTRCTN_STTS FROM LT821_CNSTRCTN_STTS ) PARAM
	ON GT001.CFINALIDAD=PARAM.CFINALIDADE
	AND GT009.PERC_OBRA=PARAM.PERC_OBRA
                AND GT009.PREALCONS=PARAM.PREALCONS
) B
	ON A.PRTCTN.ID=B.PRTCTN_ID
 WHERE A.PRTCTN_ID IS NULL 
) C
;
--------------- INSERIR ALTERAÇÕES --------------- 
INSERT INTO CD_LOAN_TAPES_BCE.BCE_LT_SPRT_CNSTRCTN_STTS
SELECT AA.PRTCTN_ID, AA.CNSTRCTN_STTS, CAST(BB.NR + 1 AS INT) AS NR, AA.DAVALIA FROM
-- 1) Identificar estado de default atual por contrato, nome_perimetro e calendario
	(SELECT DISTINCT CONCAT(CKBALBEM, CKCTABEM, ZBEM) AS PRTCTN_ID, CNSTRCTN_STTS, DAVALIA FROM
	(SELECT CKBALBEM, CKCTABEM, ZBEM, PERC_OBRA, DAVALIA FROM CD_GARANTIAS.GT009_BENS_IMOV WHERE REF_DATE = '${date}') GT009
	INNER JOIN 
	(SELECT CKBALCAO, CKNUMCTA, COMP_ID_GAR, CKBALBEM, CKCTABEM, ZBEM FROM CD_GARANTIAS.GT008_TRZ_GT_IMOV WHERE REF_DATE = '${date}') GT008
	ON CONCAT(GT009.CKBALBEM, GT009.CKCTABEM,GT009.ZBEM) = CONCAT(GT008.CKBALBEM, GT008.CKCTABEM, GT008.ZBEM)
	INNER JOIN 
	(SELECT CKBALCAO, CKNUMCTA, COMP_ID_GAR, CFINALID FROM CD_GARANTIAS.GT001_TRZ_RSP_GT WHERE REF_DATE = '${date}') GT001 
	ON CONCAT(GT008.CKBALCAO, GT008.CKNUMCTA, GT008.COMP_ID_GAR) = CONCAT(GT001.CKBALCAO,GT001.CKNUMCTA, GT001.COMP_ID_GAR)
	INNER JOIN
	(SELECT CNSTRCTN_STTS FROM LT821_CNSTRCTN_STTS ) PARAM
	ON GT001.CFINALIDAD=PARAM.CFINALIDADE
	AND GT009.PERC_OBRA=PARAM.PERC_OBRA
                AND GT009.PREALCONS=PARAM.PREALCONS) AA
	INNER JOIN
--- 2) Identificar a última entrada na tabela BCE_LT_SPRT_DFLT por contrato , nome_perimetro, calendario
	(SELECT B.* FROM	
		(SELECT PRTCTN_ID, MAX(NR) AS MAX_NR
				FROM  CD_LOAN_TAPES_BCE.BCE_LT_SPRT_DT_CNSTRCTN_STTS GROUP BY PRTCTN_ID) A
		INNER JOIN
		(SELECT PRTCTN_ID, CNSTRCTN_STTS, NR, DAVALIA 
				FROM  CD_LOAN_TAPES_BCE.BCE_LT_SPRT_DT_CNSTRCTN_STTS ) B
				WHERE NR = MAX_NR
		ON PRTCTN_ID
		) BB 
	ON BB.PRTCTN_ID = AA.PRTCTN_ID
--- 3) Identificar novas alterações de estado de default por contrato, nome_perimetro e calendario
	WHERE AA.CNSTRCTN_STTS &lt;&gt; BB.CNSTRCTN_STTS;</t>
  </si>
  <si>
    <t>CNSTRCTN_STTS</t>
  </si>
  <si>
    <t>Estado de Construção</t>
  </si>
  <si>
    <t>CD_GARANTIAS
CD_LOAN_TAPES_BCE</t>
  </si>
  <si>
    <t>GT001_TRZ_RSP_GT
GT008_TRZ_GT_IMOV
GT009_BENS_IMOV
LT821_CNSTRCTN_STTS</t>
  </si>
  <si>
    <t>Aplicar metodologia refletida na coluna de metodologia de cruzamento para calcular o campo CNSTRCTN_STTS.
Caso um bem tenha mais do que uma finalidade: aplicar a parametrização por ORDEM, desde que, pelo menos um bem cumpra as regras da mesma.</t>
  </si>
  <si>
    <t>Número sequencial de alterações de estado de construção para uma garantia (enésima alteração)</t>
  </si>
  <si>
    <t>DAVALIA</t>
  </si>
  <si>
    <t>Data do Estado de Construção</t>
  </si>
  <si>
    <r>
      <t xml:space="preserve">12.Tabela Suporte bce_lt_sprt_frbrnc - histórico de alterações de </t>
    </r>
    <r>
      <rPr>
        <b/>
        <i/>
        <sz val="10"/>
        <rFont val="Arial"/>
        <family val="2"/>
      </rPr>
      <t>status</t>
    </r>
    <r>
      <rPr>
        <b/>
        <sz val="10"/>
        <rFont val="Arial"/>
        <family val="2"/>
      </rPr>
      <t xml:space="preserve"> de reestruturação</t>
    </r>
  </si>
  <si>
    <r>
      <t xml:space="preserve">Nesta tabela é apresentada a informação de histórico com as alterações sequenciais no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reestruturação.</t>
    </r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</si>
  <si>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Criar tabela auxiliar com todos os contratos que no seu </t>
    </r>
    <r>
      <rPr>
        <b/>
        <sz val="9"/>
        <color theme="1"/>
        <rFont val="Arial"/>
        <family val="2"/>
      </rPr>
      <t>histórico</t>
    </r>
    <r>
      <rPr>
        <sz val="9"/>
        <color theme="1"/>
        <rFont val="Arial"/>
        <family val="2"/>
      </rPr>
      <t xml:space="preserve"> alteraram o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"reestruturado" para "não reestuturado"</t>
    </r>
  </si>
  <si>
    <r>
      <rPr>
        <b/>
        <sz val="9"/>
        <color theme="1"/>
        <rFont val="Arial"/>
        <family val="2"/>
      </rPr>
      <t xml:space="preserve">      </t>
    </r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Criar tabela de registo com todas as alterações de </t>
    </r>
    <r>
      <rPr>
        <b/>
        <sz val="9"/>
        <color theme="1"/>
        <rFont val="Arial"/>
        <family val="2"/>
      </rPr>
      <t xml:space="preserve">reestruturação </t>
    </r>
    <r>
      <rPr>
        <sz val="9"/>
        <color theme="1"/>
        <rFont val="Arial"/>
        <family val="2"/>
      </rPr>
      <t>para os contratos vivos na data de referência</t>
    </r>
  </si>
  <si>
    <r>
      <rPr>
        <b/>
        <sz val="9"/>
        <color theme="1"/>
        <rFont val="Arial"/>
        <family val="2"/>
      </rPr>
      <t>CD_LOAN_TAPES</t>
    </r>
    <r>
      <rPr>
        <sz val="9"/>
        <color theme="1"/>
        <rFont val="Arial"/>
        <family val="2"/>
      </rPr>
      <t xml:space="preserve">: </t>
    </r>
  </si>
  <si>
    <r>
      <rPr>
        <sz val="9"/>
        <color theme="1"/>
        <rFont val="Arial"/>
        <family val="2"/>
      </rPr>
      <t xml:space="preserve">1. </t>
    </r>
    <r>
      <rPr>
        <sz val="9"/>
        <color theme="8"/>
        <rFont val="Arial"/>
        <family val="2"/>
      </rPr>
      <t>FICHEIRO_REESTRUTURADOS_0822</t>
    </r>
  </si>
  <si>
    <r>
      <t xml:space="preserve">STEP 1 - Tabela auxiliar de contratos que alteraram o </t>
    </r>
    <r>
      <rPr>
        <b/>
        <i/>
        <u/>
        <sz val="10"/>
        <color theme="1"/>
        <rFont val="Arial"/>
        <family val="2"/>
      </rPr>
      <t>status</t>
    </r>
    <r>
      <rPr>
        <b/>
        <u/>
        <sz val="10"/>
        <color theme="1"/>
        <rFont val="Arial"/>
        <family val="2"/>
      </rPr>
      <t xml:space="preserve"> de "reestruturado" para "não reestruturado"</t>
    </r>
  </si>
  <si>
    <r>
      <t xml:space="preserve">Nesta tabela é apresentada a informação histórica dos contratos que alteraram o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"reestruturado" para "não reestruturado".</t>
    </r>
  </si>
  <si>
    <r>
      <t xml:space="preserve">A criação desta tabela implica a execução do </t>
    </r>
    <r>
      <rPr>
        <i/>
        <sz val="9"/>
        <color theme="1"/>
        <rFont val="Arial"/>
        <family val="2"/>
      </rPr>
      <t>script</t>
    </r>
    <r>
      <rPr>
        <sz val="9"/>
        <color theme="1"/>
        <rFont val="Arial"/>
        <family val="2"/>
      </rPr>
      <t xml:space="preserve"> de forma iterativa por data de referência com o objetivo de obter o </t>
    </r>
    <r>
      <rPr>
        <i/>
        <sz val="9"/>
        <color theme="1"/>
        <rFont val="Arial"/>
        <family val="2"/>
      </rPr>
      <t>stock</t>
    </r>
    <r>
      <rPr>
        <sz val="9"/>
        <color theme="1"/>
        <rFont val="Arial"/>
        <family val="2"/>
      </rPr>
      <t xml:space="preserve"> de todas as alterações para "não reestruturado" ao longo do tempo, este processamento, deve ocorrer mensalmente.</t>
    </r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</si>
  <si>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Deve ser inserido um novo registo sempre que um contrato deixe estar em situação de reestruturado, quando em comparação com o mês anterior, i.e., quando o registo </t>
    </r>
    <r>
      <rPr>
        <b/>
        <sz val="9"/>
        <color theme="1"/>
        <rFont val="Arial"/>
        <family val="2"/>
      </rPr>
      <t xml:space="preserve">deixe de existir </t>
    </r>
    <r>
      <rPr>
        <sz val="9"/>
        <color theme="1"/>
        <rFont val="Arial"/>
        <family val="2"/>
      </rPr>
      <t>na tabela fonte (</t>
    </r>
    <r>
      <rPr>
        <sz val="9"/>
        <color theme="8"/>
        <rFont val="Arial"/>
        <family val="2"/>
      </rPr>
      <t>FICHEIRO_REESTRUTURADOS_0822</t>
    </r>
    <r>
      <rPr>
        <sz val="9"/>
        <color theme="1"/>
        <rFont val="Arial"/>
        <family val="2"/>
      </rPr>
      <t>) à data do processamento.</t>
    </r>
  </si>
  <si>
    <r>
      <t>cd_captools.</t>
    </r>
    <r>
      <rPr>
        <sz val="9"/>
        <color theme="8"/>
        <rFont val="Arial"/>
        <family val="2"/>
      </rPr>
      <t>FICHEIRO_REESTRUTURADOS_0822</t>
    </r>
  </si>
  <si>
    <t>BCE_LT_SPRT_FRBRNC_8</t>
  </si>
  <si>
    <t>CONTRCT_ID</t>
  </si>
  <si>
    <t>Chave do contrato</t>
  </si>
  <si>
    <t>FICHEIRO_REESTRUTURADOS_0822</t>
  </si>
  <si>
    <t>CCONTA
ZDEPOSIT</t>
  </si>
  <si>
    <r>
      <t xml:space="preserve">CONCAT(CEMPRESA_FR, CBALCAO_FR, CNUMECTA_FR, ZDEPOSIT_FR) AS CONTRCT_ID
</t>
    </r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Devem ser utilizadas a tabelas de tradutores chaves kt_chaves_mis e kt_chaves_finrep para aprovisionar a chave dos contratos em chave FINREP</t>
    </r>
  </si>
  <si>
    <t>1. Para cada data de processamento, cruzar tabela dos reestruturados ativos na data de referência, com a tabela dos reestruturados ativos na data de referência do mês anterior (FICHEIRO_REESTRUTURADOS_0822)
  (SELECT concat(conta, zdeposit) AS cntrct_id, 
   FROM bu_captools_work.ficheiro_reestruturados_0822
   WHERE DATA_DATE_PART = '${ref_date}'
   ) uni
RIGHT JOIN
  (SELECT concat(conta, zdeposit) AS cntrct_id, 
   FROM bu_captools_work.ficheiro_reestruturados_0822
   WHERE  substr(cast(add_months('${ref_date}',-1) as string),1,10)
   ) frbrnc 
ON uni.cntrct_id=frbrnc.cntrct_id</t>
  </si>
  <si>
    <t>SITUACAO_DIF_RENEGOCIACAO</t>
  </si>
  <si>
    <r>
      <rPr>
        <i/>
        <sz val="8"/>
        <color theme="1"/>
        <rFont val="Arial"/>
        <family val="2"/>
      </rPr>
      <t>Status</t>
    </r>
    <r>
      <rPr>
        <sz val="8"/>
        <color theme="1"/>
        <rFont val="Arial"/>
        <family val="2"/>
      </rPr>
      <t xml:space="preserve"> de reestruturação</t>
    </r>
  </si>
  <si>
    <t>DATA_INICIO</t>
  </si>
  <si>
    <r>
      <t xml:space="preserve">Data de início do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de não reestruturação</t>
    </r>
  </si>
  <si>
    <r>
      <t xml:space="preserve">${REF_DATE} AS DATA_INICIO 
</t>
    </r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esta data deve ficar estática assim que a linha for criada i.e. não deverá alterar com novos processamentos</t>
    </r>
  </si>
  <si>
    <r>
      <t xml:space="preserve">${REF_DATE} AS DATA_DATE_PART
</t>
    </r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esta data deve ficar estática assim que a linha for criada i.e. não deverá alterar com novos processamentos</t>
    </r>
  </si>
  <si>
    <r>
      <t xml:space="preserve">STEP 2 - Tabela com alterações de </t>
    </r>
    <r>
      <rPr>
        <b/>
        <i/>
        <u/>
        <sz val="10"/>
        <color theme="1"/>
        <rFont val="Arial"/>
        <family val="2"/>
      </rPr>
      <t>status</t>
    </r>
    <r>
      <rPr>
        <b/>
        <u/>
        <sz val="10"/>
        <color theme="1"/>
        <rFont val="Arial"/>
        <family val="2"/>
      </rPr>
      <t xml:space="preserve"> de reestruturação</t>
    </r>
  </si>
  <si>
    <r>
      <rPr>
        <b/>
        <sz val="9"/>
        <color theme="1"/>
        <rFont val="Arial"/>
        <family val="2"/>
      </rPr>
      <t xml:space="preserve">      </t>
    </r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Deve ser identificado o universo com o registo histórico de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reestruturação através da </t>
    </r>
    <r>
      <rPr>
        <b/>
        <sz val="9"/>
        <color theme="1"/>
        <rFont val="Arial"/>
        <family val="2"/>
      </rPr>
      <t>união</t>
    </r>
    <r>
      <rPr>
        <sz val="9"/>
        <color theme="1"/>
        <rFont val="Arial"/>
        <family val="2"/>
      </rPr>
      <t xml:space="preserve"> da tabela auxiliar descrita no </t>
    </r>
    <r>
      <rPr>
        <u/>
        <sz val="9"/>
        <color theme="1"/>
        <rFont val="Arial"/>
        <family val="2"/>
      </rPr>
      <t>Step 1</t>
    </r>
    <r>
      <rPr>
        <sz val="9"/>
        <color theme="1"/>
        <rFont val="Arial"/>
        <family val="2"/>
      </rPr>
      <t xml:space="preserve"> com a tabela fonte (</t>
    </r>
    <r>
      <rPr>
        <sz val="9"/>
        <color theme="8"/>
        <rFont val="Arial"/>
        <family val="2"/>
      </rPr>
      <t>FICHEIRO_REESTRUTURADOS_822</t>
    </r>
    <r>
      <rPr>
        <sz val="9"/>
        <color theme="1"/>
        <rFont val="Arial"/>
        <family val="2"/>
      </rPr>
      <t xml:space="preserve">).
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</si>
  <si>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Devem ser identificados todos os registos que evidenciem uma </t>
    </r>
    <r>
      <rPr>
        <b/>
        <sz val="9"/>
        <color theme="1"/>
        <rFont val="Arial"/>
        <family val="2"/>
      </rPr>
      <t>alteração</t>
    </r>
    <r>
      <rPr>
        <sz val="9"/>
        <color theme="1"/>
        <rFont val="Arial"/>
        <family val="2"/>
      </rPr>
      <t xml:space="preserve"> de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reestruturação para datas de referência sequenciais, e </t>
    </r>
    <r>
      <rPr>
        <b/>
        <sz val="9"/>
        <color theme="1"/>
        <rFont val="Arial"/>
        <family val="2"/>
      </rPr>
      <t>descartados</t>
    </r>
    <r>
      <rPr>
        <sz val="9"/>
        <color theme="1"/>
        <rFont val="Arial"/>
        <family val="2"/>
      </rPr>
      <t xml:space="preserve"> todos aqueles que não o façam.</t>
    </r>
  </si>
  <si>
    <r>
      <rPr>
        <b/>
        <u/>
        <sz val="9"/>
        <color theme="1"/>
        <rFont val="Arial"/>
        <family val="2"/>
      </rPr>
      <t xml:space="preserve">Step 3: </t>
    </r>
    <r>
      <rPr>
        <sz val="9"/>
        <color theme="1"/>
        <rFont val="Arial"/>
        <family val="2"/>
      </rPr>
      <t xml:space="preserve"> Criar uma identificação do nº da alteração (coluna "NR").  Deve existir um registo para cada </t>
    </r>
    <r>
      <rPr>
        <b/>
        <sz val="9"/>
        <color theme="1"/>
        <rFont val="Arial"/>
        <family val="2"/>
      </rPr>
      <t xml:space="preserve">alteração de </t>
    </r>
    <r>
      <rPr>
        <i/>
        <sz val="9"/>
        <color theme="1"/>
        <rFont val="Arial"/>
        <family val="2"/>
      </rPr>
      <t>status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 xml:space="preserve">de reestruturado i.e., sempre que o status de reestruturado seja </t>
    </r>
    <r>
      <rPr>
        <b/>
        <sz val="9"/>
        <color theme="1"/>
        <rFont val="Arial"/>
        <family val="2"/>
      </rPr>
      <t>diferente</t>
    </r>
    <r>
      <rPr>
        <sz val="9"/>
        <color theme="1"/>
        <rFont val="Arial"/>
        <family val="2"/>
      </rPr>
      <t xml:space="preserve"> do registo do mês anterior.</t>
    </r>
  </si>
  <si>
    <r>
      <t>cd_captools.</t>
    </r>
    <r>
      <rPr>
        <sz val="9"/>
        <color theme="8"/>
        <rFont val="Arial"/>
        <family val="2"/>
      </rPr>
      <t xml:space="preserve">FICHEIRO_REESTRUTURADOS_0822 </t>
    </r>
  </si>
  <si>
    <t>cd_loan_tapes_bce.bce_lt_sprt_frbrnc_8</t>
  </si>
  <si>
    <r>
      <t xml:space="preserve">Metodologia de cruzamento </t>
    </r>
    <r>
      <rPr>
        <b/>
        <sz val="12"/>
        <color theme="0"/>
        <rFont val="Arial"/>
        <family val="2"/>
      </rPr>
      <t>*</t>
    </r>
  </si>
  <si>
    <t>BCE_LT_SPRT_FRBRNC</t>
  </si>
  <si>
    <r>
      <t xml:space="preserve">CONCAT(CEMPRESA_FR, CBALCAO_FR, CNUMECTA_FR, ZDEPOSIT_FR) AS CONTRCT_ID
</t>
    </r>
    <r>
      <rPr>
        <b/>
        <sz val="8"/>
        <color theme="1"/>
        <rFont val="Arial"/>
        <family val="2"/>
      </rPr>
      <t>Nota: Devem ser utilizadas a tabelas de tradutores chaves kt_chaves_mis e kt_chaves_finrep para aprovisionar a chave dos contratos em chave FINREP</t>
    </r>
  </si>
  <si>
    <r>
      <rPr>
        <b/>
        <sz val="8"/>
        <color theme="1"/>
        <rFont val="Arial"/>
        <family val="2"/>
      </rPr>
      <t>--------------- Criação da tabela Final ---------------</t>
    </r>
    <r>
      <rPr>
        <sz val="8"/>
        <color theme="1"/>
        <rFont val="Arial"/>
        <family val="2"/>
      </rPr>
      <t xml:space="preserve">
SELECT CNTRCT_ID, situacao_dif_renegociacao as FRBRNC_STTS_INSTRMNT, DATA_INICIO, NR, DATA_DATE_PART AS REF_DATE FROM 
(SELECT ROW_NUMBER () OVER (PARTITION BY CNTRCT_ID
                                  ORDER BY DATA_DATE_PART ASC) AS NR, 
                                  LG.* FROM
  -------- Tabela com alterações das situações de reestruturado  --------
(SELECT lag(situacao_dif_renegociacao,1,'0') OVER (PARTITION BY cntrct_id
                                  ORDER BY DATA_DATE_PART ASC) AS lag_1, 
                                  reest.* FROM
(
  -------- Tabela com universo de reestruturados ativos à data_date_part e informação histórica para os mesmos --------
(SELECT uni.cntrct_id as cntrct_id,
       situacao_dif_renegociacao,
       DATA_INICIO,
       data_date_part
FROM
(SELECT concat(conta, zdeposit) AS cntrct_id
   FROM bu_captools_work.ficheiro_reestruturados_0822
   WHERE DATA_DATE_PART = '${ref_date}'
   ) uni
LEFT JOIN
  (SELECT DISTINCT concat(conta, zdeposit) AS cntrct_id,
          situacao_dif_renegociacao, DATA_INICIO,
          data_date_part
   FROM bu_captools_work.ficheiro_reestruturados_0822 ---- NÃO FILTRAR por data date_part de forma a ter o histórico dos contratos
            ) frbrnc 
ON uni.cntrct_id = frbrnc.cntrct_id)
union all
  -------- Tabela auxiliar com universo de contratos que deixaram de ser reestruturados --------
(SELECT DISTINCT cntrct_id,
       situacao_dif_renegociacao,
       DATA_INICIO,
       data_date_part
       bu_captools_work.bce_lt_sprt_frbrnc_8 ) 
) reest
) LG 
where lag_1 &lt;&gt; situacao_dif_renegociacao ) RK</t>
    </r>
  </si>
  <si>
    <t>FRBRNC_STTS_INSTRMNT</t>
  </si>
  <si>
    <t>SITUACAO_DIF_RENEGOCIACAO AS FRBRNC_STTS_INSTRMNT</t>
  </si>
  <si>
    <r>
      <t xml:space="preserve">Data de início do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de reestruturação</t>
    </r>
  </si>
  <si>
    <r>
      <t xml:space="preserve">Número sequencial de alterações deo </t>
    </r>
    <r>
      <rPr>
        <i/>
        <sz val="8"/>
        <color theme="1"/>
        <rFont val="Arial"/>
        <family val="2"/>
      </rPr>
      <t>status</t>
    </r>
    <r>
      <rPr>
        <sz val="8"/>
        <color theme="1"/>
        <rFont val="Arial"/>
        <family val="2"/>
      </rPr>
      <t xml:space="preserve"> de reestruturação para um contrato (enésima alteração)</t>
    </r>
  </si>
  <si>
    <t>DATA_DATE_PART AS REF_DATE</t>
  </si>
  <si>
    <t>*  código utilizado para simulação</t>
  </si>
  <si>
    <t>Nesta tabela é apresentada a informação de histórico com as alterações de estado de reestruturações</t>
  </si>
  <si>
    <r>
      <t xml:space="preserve">A tabela deve ser processada pela primeira vez para todos os contratos do universo de contabilidade vivos desde 2018, este processo implica a execução dos </t>
    </r>
    <r>
      <rPr>
        <i/>
        <sz val="9"/>
        <color theme="1"/>
        <rFont val="Arial"/>
        <family val="2"/>
      </rPr>
      <t>scripts</t>
    </r>
    <r>
      <rPr>
        <sz val="9"/>
        <color theme="1"/>
        <rFont val="Arial"/>
        <family val="2"/>
      </rPr>
      <t xml:space="preserve"> de forma iterativa por data de referência.</t>
    </r>
  </si>
  <si>
    <t>Após o primeiro processamento, deve ocorrer um processamento mensal para identificar novos contratos e/ ou novas alterações de reestruturados.</t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</si>
  <si>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Deve ser inserido um novo registo sempre que existam novos contratos, i.e., quando o </t>
    </r>
    <r>
      <rPr>
        <b/>
        <sz val="9"/>
        <color theme="1"/>
        <rFont val="Arial"/>
        <family val="2"/>
      </rPr>
      <t>instrmnt_dst e instrmnt_ori</t>
    </r>
    <r>
      <rPr>
        <sz val="9"/>
        <color theme="1"/>
        <rFont val="Arial"/>
        <family val="2"/>
      </rPr>
      <t xml:space="preserve"> não existam na tabela. Neste caso, a coluna "NR" deve ser preenchida com "1", de forma a identificar a sua entrada como sendo a primeira entrada do respetivo contrato.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</si>
  <si>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 ser inserido um novo registo sempre que exista uma alteração de </t>
    </r>
    <r>
      <rPr>
        <b/>
        <sz val="9"/>
        <color theme="1"/>
        <rFont val="Arial"/>
        <family val="2"/>
      </rPr>
      <t xml:space="preserve">reestruturado </t>
    </r>
    <r>
      <rPr>
        <sz val="9"/>
        <color theme="1"/>
        <rFont val="Arial"/>
        <family val="2"/>
      </rPr>
      <t xml:space="preserve"> para os contratos existentes na tabela, i.e., sempre que o </t>
    </r>
    <r>
      <rPr>
        <b/>
        <i/>
        <sz val="9"/>
        <color theme="1"/>
        <rFont val="Arial"/>
        <family val="2"/>
      </rPr>
      <t>forbearence</t>
    </r>
    <r>
      <rPr>
        <b/>
        <sz val="9"/>
        <color theme="1"/>
        <rFont val="Arial"/>
        <family val="2"/>
      </rPr>
      <t xml:space="preserve"> </t>
    </r>
    <r>
      <rPr>
        <b/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seja diferente do último registo do contrato presente na tabela. Neste caso, a coluna "NR" deve ser preenchida com o NR atual +1 </t>
    </r>
  </si>
  <si>
    <r>
      <t xml:space="preserve">de forma a identificar a entrada do novo registo como sendo a enésima alteração de </t>
    </r>
    <r>
      <rPr>
        <i/>
        <sz val="9"/>
        <color theme="1"/>
        <rFont val="Arial"/>
        <family val="2"/>
      </rPr>
      <t>forbearence</t>
    </r>
    <r>
      <rPr>
        <sz val="9"/>
        <color theme="1"/>
        <rFont val="Arial"/>
        <family val="2"/>
      </rPr>
      <t xml:space="preserve"> do contrato.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</si>
  <si>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cd_loan_tapes_bce.bce_lt_sprt_frbrnc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</si>
  <si>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dt_frbrnc_stts (a avaliar durante a fase de desenvolvimento)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</si>
  <si>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instrmnt_dst, instrmnt_org, frbrnc_stts_instrmnt</t>
    </r>
  </si>
  <si>
    <t>1. BCE_LT_INSTR_FRBRNC</t>
  </si>
  <si>
    <t>2. BCE_LT_INSTR_FRBRNC_FIM</t>
  </si>
  <si>
    <t>INSTRMNT_DST</t>
  </si>
  <si>
    <t>Chave do contrato destino</t>
  </si>
  <si>
    <t>BCE_LT_INSTR_FRBRNC</t>
  </si>
  <si>
    <t>CEMPRESA_DST
CCONTA_DST
ZDEPOSIT_DST</t>
  </si>
  <si>
    <t>CONCAT(CEMPRESA_DST, CCONTA_DST, ZDEPOSIT_DST)</t>
  </si>
  <si>
    <r>
      <rPr>
        <b/>
        <sz val="8"/>
        <color theme="1"/>
        <rFont val="Arial"/>
        <family val="2"/>
      </rPr>
      <t xml:space="preserve">--------------- INSERIR NOVOS CONTRATOS --------------- 
</t>
    </r>
    <r>
      <rPr>
        <sz val="8"/>
        <color theme="1"/>
        <rFont val="Arial"/>
        <family val="2"/>
      </rPr>
      <t xml:space="preserve">
INSERT INTO CD_LOAN_TAPES_BCE.BCE_LT_SPRT_FRBRNC
SELECT * FROM 
</t>
    </r>
    <r>
      <rPr>
        <u/>
        <sz val="8"/>
        <color theme="1"/>
        <rFont val="Arial"/>
        <family val="2"/>
      </rPr>
      <t xml:space="preserve">-- 1) Identificar novos contratos </t>
    </r>
    <r>
      <rPr>
        <sz val="8"/>
        <color theme="1"/>
        <rFont val="Arial"/>
        <family val="2"/>
      </rPr>
      <t xml:space="preserve">
(SELECT B.* FROM 
	(SELECT DISTINCT CONCAT(CEMPRESA_DST, CCONTA_DTS, ZDEPOSIT_DST) AS INSTRMNT_DST, CONCAT(CEMPRESA_ORI, CCONTA_ORI, ZDEPOSIT_ORI) AS  INSTRMNT_ORI FROM CD_LOAN_TAPES_BCE.BCE_LT_SPRT_FRBRNC) A 
	FULL OUTER JOIN
	(SELECT CONCAT(CEMPRESA_DT, CCONTA_DST, ZDEPOSIT_DST) AS  INSTRMNT_DST, CONCAT(CEMPRESA_ORI, CCONTA_ORI, ZDEPOSIT_ORI) AS  INSTRMNT_ORI, FRBRNC_STTS_INSTRMNT, DINIREEC_DST AS DT_FRBRNC_STTS, DINIREEC_DST, DFIMREEC_DST FROM CD_LOAN_TAPES_BCE.BCE_LT_INSTR_FRBRNC) B
	 ON A
 WHERE A.INSTRMNT_DST IS NULL AND A.INSTRMNT_ORG  IS NULL
) C
;
</t>
    </r>
    <r>
      <rPr>
        <b/>
        <sz val="8"/>
        <color theme="1"/>
        <rFont val="Arial"/>
        <family val="2"/>
      </rPr>
      <t xml:space="preserve">--------------- INSERIR ALTERAÇÕES --------------- 
</t>
    </r>
    <r>
      <rPr>
        <sz val="8"/>
        <color theme="1"/>
        <rFont val="Arial"/>
        <family val="2"/>
      </rPr>
      <t xml:space="preserve">
INSERT INTO CD_LOAN_TAPES_BCE.BCE_LT_SPRT_FRBRNC
SELECT * FROM
</t>
    </r>
    <r>
      <rPr>
        <u/>
        <sz val="8"/>
        <color theme="1"/>
        <rFont val="Arial"/>
        <family val="2"/>
      </rPr>
      <t>-- 1) Identificar status de reestruturado atual por contrato</t>
    </r>
    <r>
      <rPr>
        <sz val="8"/>
        <color theme="1"/>
        <rFont val="Arial"/>
        <family val="2"/>
      </rPr>
      <t xml:space="preserve">
	(SELECT CONCAT(CEMPRESA_DST, CCONTA_DTS, ZDEPOSIT_DST) AS INSTRMNT_DST, CONCAT(CEMPRESA_ORI, CCONTA_ORI, ZDEPOSIT_ORI) AS  INSTRMNT_ORI, FRBRNC_STTS_INSTRMNT, DINIREC_DST, DFIMREC_DST FROM CD_LOAN_TAPES_BCE.BCE_LT_INSTR_FRBRNC 
	WHERE REF_DATE = '${date}') AA
	INNER JOIN
-- 2) Identificar reestruturações que terminaram ou foram anuladas
	(SELECT CONCAT(CEMPRESA_DST, CCONTA_DTS, ZDEPOSIT_DST) AS INSTRMNT_DST, CONCAT(CEMPRESA_ORI, CCONTA_ORI, ZDEPOSIT_ORI) AS  INSTRMNT_ORI, FRBRNC_STTS_INSTRMNT, DINIREC_DST, DFIMREC_DST  FROM CD_LOAN_TAPES_BCE.BCE_LT_INSTR_FRBRNC_FIM 
	WHERE REF_DATE = '${date}') BB
	INNER JOIN
</t>
    </r>
    <r>
      <rPr>
        <u/>
        <sz val="8"/>
        <color theme="1"/>
        <rFont val="Arial"/>
        <family val="2"/>
      </rPr>
      <t xml:space="preserve">--- 2) Identificar a última entrada na tabela BCE_LT_SPRT_FRBRNC por contrato 
</t>
    </r>
    <r>
      <rPr>
        <sz val="8"/>
        <color theme="1"/>
        <rFont val="Arial"/>
        <family val="2"/>
      </rPr>
      <t xml:space="preserve">	(SELECT B.* FROM	
		(SELECT INSTRMNT_DST, INSTRMNT_ORG, MAX(NR) AS MAX_NR
				FROM  CD_LOAN_TAPES_BCE.BCE_LT_SPRT_FRBRNC GROUP BY INSTRMNT_DST, INSTRMNT_ORG) A
		INNER JOIN
		(SELECT INSTRMNT_DST, INSTRMNT_ORI, FRBRNC_STTS_INSTRMNT, NR, DT_FRBRNC_STTS
				FROM  CD_LOAN_TAPES_BCE.BCE_LT_SPRT_FRBRNC ) B
				WHERE NR = MAX_NR
		ON INSTRMNT_DST = INSTRMNT_DST AND NSTRMNT_ORG = INSTRMNT_ORG
		) CC 
	ON INSTRMNT_DST = INSTRMNT_DST AND NSTRMNT_ORI = INSTRMNT_ORI
+M34</t>
    </r>
  </si>
  <si>
    <t>INSTRMNT_ORI</t>
  </si>
  <si>
    <t>Chave do contrato origem</t>
  </si>
  <si>
    <t>CEMPRESA_ORI
CCONTA_ORI
ZDEPOSIT_ORI</t>
  </si>
  <si>
    <t>CONCAT(CEMPRESA_ORI, CCONTA_ORI, ZDEPOSIT_ORI)</t>
  </si>
  <si>
    <t>BCE_LT_INSTR_FRBRNC
BCE_LT_INSTR_FRBRNC_FIM</t>
  </si>
  <si>
    <r>
      <rPr>
        <u/>
        <sz val="8"/>
        <color theme="1"/>
        <rFont val="Arial"/>
        <family val="2"/>
      </rPr>
      <t xml:space="preserve">1) Novos contratos:
</t>
    </r>
    <r>
      <rPr>
        <sz val="8"/>
        <color theme="1"/>
        <rFont val="Arial"/>
        <family val="2"/>
      </rPr>
      <t>FRBRNC_STTS_INSTRMNT</t>
    </r>
    <r>
      <rPr>
        <u/>
        <sz val="8"/>
        <color theme="1"/>
        <rFont val="Arial"/>
        <family val="2"/>
      </rPr>
      <t xml:space="preserve">
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>:</t>
    </r>
    <r>
      <rPr>
        <sz val="8"/>
        <color theme="1"/>
        <rFont val="Arial"/>
        <family val="2"/>
      </rPr>
      <t xml:space="preserve">
CASE WHEN CC.FRBRNC_STTS_INSTRMNT &lt;&gt;  AA.FRBRNC_STTS_INSTRMNT AND CC.FRBRNC_STTS_INSTRMNT = BB.FRBRNC_STTS_INSTRMNT THEN AA.FRBRNC_STTS_INSTRMNT 
           WHEN CC.FRBRNC_STTS_INSTRMNT = BB.FRBRNC_STTS_INSTRMNT AND AA.FRBRNC_STTS_INSTRMNT IS NULL THEN 8 
           WHEN CC.FRBRNC_STTS_INSTRMNT &lt;&gt; AA.FRBRNC_STTS_INSTRMNT AND BB.FRBRNC_STTS_INSTRMNT IS NULL THEN AA.FRBRNC_STTS_INSTRMNT</t>
    </r>
  </si>
  <si>
    <t>DT_FRBRNC_STTS</t>
  </si>
  <si>
    <t>DINIREEC_DST
DFIMREEC_DST 
FRBRNC_STTS_INSTRMNT</t>
  </si>
  <si>
    <r>
      <rPr>
        <u/>
        <sz val="8"/>
        <color theme="1"/>
        <rFont val="Arial"/>
        <family val="2"/>
      </rPr>
      <t>1) Novos contratos:</t>
    </r>
    <r>
      <rPr>
        <sz val="8"/>
        <color theme="1"/>
        <rFont val="Arial"/>
        <family val="2"/>
      </rPr>
      <t xml:space="preserve">
DINIREEC_DST as DT_FRBRNC_STTS
</t>
    </r>
    <r>
      <rPr>
        <u/>
        <sz val="8"/>
        <color theme="1"/>
        <rFont val="Arial"/>
        <family val="2"/>
      </rPr>
      <t xml:space="preserve">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>:</t>
    </r>
    <r>
      <rPr>
        <sz val="8"/>
        <color theme="1"/>
        <rFont val="Arial"/>
        <family val="2"/>
      </rPr>
      <t xml:space="preserve">
CASE WHEN CC.FRBRNC_STTS_INSTRMNT &lt;&gt;  AA.FRBRNC_STTS_INSTRMNT AND CC.FRBRNC_STTS_INSTRMNT = BB.FRBRNC_STTS_INSTRMNT THEN BB.DFIMREEC_DST 
           WHEN CC.FRBRNC_STTS_INSTRMNT = BB.FRBRNC_STTS_INSTRMNT AND AA.FRBRNC_STTS_INSTRMNT IS NULL THEN BB.DFIMREEC_DST
           WHEN CC.FRBRNC_STTS_INSTRMNT  &lt;&gt;  AA.FRBRNC_STTS_INSTRMNT AND BB.FRBRNC_STTS_INSTRMNT IS NULL AA.DINIREEC_DST
END AS DT_FRBRNC_STTS </t>
    </r>
  </si>
  <si>
    <t>DINIREC</t>
  </si>
  <si>
    <t>Data de início da solução de reestruturação</t>
  </si>
  <si>
    <t>DINIREC_DST
FRBRNC_STTS_INSTRMNT</t>
  </si>
  <si>
    <r>
      <rPr>
        <u/>
        <sz val="8"/>
        <color theme="1"/>
        <rFont val="Arial"/>
        <family val="2"/>
      </rPr>
      <t>1) Novos contratos:</t>
    </r>
    <r>
      <rPr>
        <sz val="8"/>
        <color theme="1"/>
        <rFont val="Arial"/>
        <family val="2"/>
      </rPr>
      <t xml:space="preserve">
DINIREC_DST
</t>
    </r>
    <r>
      <rPr>
        <u/>
        <sz val="8"/>
        <color theme="1"/>
        <rFont val="Arial"/>
        <family val="2"/>
      </rPr>
      <t xml:space="preserve">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>:</t>
    </r>
    <r>
      <rPr>
        <sz val="8"/>
        <color theme="1"/>
        <rFont val="Arial"/>
        <family val="2"/>
      </rPr>
      <t xml:space="preserve">
CASE WHEN CC.FRBRNC_STTS_INSTRMNT &lt;&gt;  AA.FRBRNC_STTS_INSTRMNT AND CC.FRBRNC_STTS_INSTRMNT = BB.FRBRNC_STTS_INSTRMNT THEN AA.DINIREEC_DST
           WHEN CC.FRBRNC_STTS_INSTRMNT = BB.FRBRNC_STTS_INSTRMNT AND AA.FRBRNC_STTS_INSTRMNT IS NULL THEN BB.DINIREEC_DST 
          WHEN CC.FRBRNC_STTS_INSTRMNT  &lt;&gt;  AA.FRBRNC_STTS_INSTRMNT AND BB.FRBRNC_STTS_INSTRMNT IS NULL AA.DINIREEC_DST</t>
    </r>
  </si>
  <si>
    <t>DFIMREC</t>
  </si>
  <si>
    <t>Data de fim da solução de reestruturação</t>
  </si>
  <si>
    <t>DFIMREC_DST
FRBRNC_STTS_INSTRMNT</t>
  </si>
  <si>
    <r>
      <rPr>
        <u/>
        <sz val="8"/>
        <color theme="1"/>
        <rFont val="Arial"/>
        <family val="2"/>
      </rPr>
      <t>1) Novos contratos:</t>
    </r>
    <r>
      <rPr>
        <sz val="8"/>
        <color theme="1"/>
        <rFont val="Arial"/>
        <family val="2"/>
      </rPr>
      <t xml:space="preserve">
DFIMREC_DST
</t>
    </r>
    <r>
      <rPr>
        <u/>
        <sz val="8"/>
        <color theme="1"/>
        <rFont val="Arial"/>
        <family val="2"/>
      </rPr>
      <t xml:space="preserve">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 xml:space="preserve">:
</t>
    </r>
    <r>
      <rPr>
        <sz val="8"/>
        <color theme="1"/>
        <rFont val="Arial"/>
        <family val="2"/>
      </rPr>
      <t>CASE WHEN CC.FRBRNC_STTS_INSTRMNT &lt;&gt;  AA.FRBRNC_STTS_INSTRMNT AND CC.FRBRNC_STTS_INSTRMNT = BB.FRBRNC_STTS_INSTRMNT THEN AA.DIFIMREEC_DST
           WHEN CC.FRBRNC_STTS_INSTRMNT = BB.FRBRNC_STTS_INSTRMNT AND AA.FRBRNC_STTS_INSTRMNT IS NULL THEN BB.DIFIMREEC_DST 
           WHEN CC.FRBRNC_STTS_INSTRMNT  &lt;&gt; AA.FRBRNC_STTS_INSTRMNT AND BB.FRBRNC_STTS_INSTRMNT IS NULL AA.DIFIMREEC_DST</t>
    </r>
  </si>
  <si>
    <t>1 AS NR</t>
  </si>
  <si>
    <t>BCE_LT_SPRT_FRBRNC CC</t>
  </si>
  <si>
    <t>TABELA DE STATUS ATUAL AA</t>
  </si>
  <si>
    <t>TABELA STATUS FIM BB</t>
  </si>
  <si>
    <t>INSTRMNT_DST_ORI</t>
  </si>
  <si>
    <t xml:space="preserve"> DINIREEC_DST</t>
  </si>
  <si>
    <t>DFIMREEC_DST</t>
  </si>
  <si>
    <t>NSERT INTO CD_LOAN_TAPES_BCE.BCE_LT_SPRT_FRBRNC
SELECT INSTRMNT_ID, 
AA.FRBRNC_STTS_INSTRMNT, 
CAST(BB.NR + 1 AS INT) AS NR, 
CASE WHEN AA.DT_FRBRNC_STTS_INSTRMNT = '9999-12-31' THEN BB.DT_FRBRNC_STTS_INSTRMNT
           WHEN AA.DT_FRBRNC_STTS_INSTRMNT &lt;&gt; N38'9999-12-31'
NZSOLCRE 
FROM
-- 1) Identificar status de reestruturado atual por contrato
	(SELECT INSTRMNT_ID, FRBRNC_STTS_INSTRMNT, DT_FRBRNC_STTS,  NZSOLCRE  FROM CD_LOAN_TAPES_BCE.BCE_LT_INSTR_FRBRNC 
	WHERE REF_DATE = '${date}') AA
	INNER JOIN
-- 2) Identificar status de reestruturado atual por contrato
	(SELECT INSTRMNT_ID, FRBRNC_STTS_INSTRMNT, DT_FRBRNC_STTS,  NZSOLCRE  FROM CD_LOAN_TAPES_BCE.BCE_LT_INSTR_FRBRNC 
	WHERE REF_DATE = '${date}') AA
	INNER JOIN
--- 2) Identificar a última entrada na tabela BCE_LT_SPRT_FRBRNC por contrato 
	(SELECT B.* FROM	
		(SELECT INSTRMNT_ID, NZSOLCRE, MAX(NR) AS MAX_NR
				FROM  CD_LOAN_TAPES_BCE.BCE_LT_SPRT_FRBRNC GROUP BY INSTRMNT_ID, NZSOLCRE) A
		INNER JOIN
		(SELECT INSTRMNT_ID, FRBRNC_STTS_INSTRMNT, NR, DT_FRBRNC_STTS,  NZSOLCRE
				FROM  CD_LOAN_TAPES_BCE.BCE_LT_SPRT_FRBRNC ) B
				WHERE NR = MAX_NR
		ON INSTRMNT_ID = INSTRMNT_ID
		) BB 
	ON INSTRMNT_ID = INSTRMNT_ID
--- 3) Identificar novas alterações de status de reestruturado 
	WHERE (AA.FRBRNC_STTS_INSTRMNT &lt;&gt; BB.FRBRNC_STTS_INSTRMNT AND AA.NZSOLCRE &lt;&gt; NZSOLCRE)
                               AA.NZSOLCRE = NZSOLCRE AND AA.FRBRNC_STTS_INSTRMNT &lt;&gt; BB.FRBRNC_STTS_INSTRMNT )</t>
  </si>
  <si>
    <t>AAAAAA</t>
  </si>
  <si>
    <t>BBBBBB</t>
  </si>
  <si>
    <t>CCCCCC</t>
  </si>
  <si>
    <t>DDDDDD</t>
  </si>
  <si>
    <t>FR004_UNIV_CTO</t>
  </si>
  <si>
    <t>REF_DATE
WHERE REF_DATE&gt;= '2023-07-31'
AND REF_DATE &lt;={data de referência em análise}</t>
  </si>
  <si>
    <t xml:space="preserve">CEMPRESA, CBALCAO, CNUMECTA, ZDEPOSIT
</t>
  </si>
  <si>
    <t>CONCAT(CEMPRESA, CBALCAO, CNUMECTA, ZDEPOSIT)
WHERE REF_DATE&gt;= '2023-07-31'
AND REF_DATE &lt;={data de referência em análise}</t>
  </si>
  <si>
    <t>CASE WHEN situacao_diferiment_reneg = '001' THEN '4' 
                    WHEN situacao_diferiment_reneg = '002' THEN '5' 
                    WHEN situacao_diferiment_reneg = '003' THEN '3' 
                    WHEN situacao_diferiment_reneg = '004' THEN '9'
                    WHEN situacao_diferiment_reneg IS NULL THEN '8'
                    END AS FRBRNC_STTS_INSTRMNT
WHERE REF_DATE&gt;= '2023-07-31'
AND REF_DATE &lt;={data de referência em análise}</t>
  </si>
  <si>
    <t xml:space="preserve">DATA_INICIO
</t>
  </si>
  <si>
    <t>CASE WHEN data_inicio IS NULL THEN ref_date 
                    ELSE data_inicio
                    END AS DT_STTS
WHERE REF_DATE&gt;= '2023-07-31'
AND REF_DATE &lt;={data de referência em análise}</t>
  </si>
  <si>
    <t xml:space="preserve">REF_DATE
</t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</si>
  <si>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Definição do universo da tabela  fr004_cto.</t>
    </r>
  </si>
  <si>
    <r>
      <rPr>
        <b/>
        <u/>
        <sz val="9"/>
        <color theme="1"/>
        <rFont val="Arial"/>
        <family val="2"/>
      </rPr>
      <t xml:space="preserve">Step 2: </t>
    </r>
    <r>
      <rPr>
        <sz val="9"/>
        <color theme="1"/>
        <rFont val="Arial"/>
        <family val="2"/>
      </rPr>
      <t xml:space="preserve"> Cáculo das alterações de estado de reestruturação para cada </t>
    </r>
    <r>
      <rPr>
        <b/>
        <sz val="9"/>
        <color theme="1"/>
        <rFont val="Arial"/>
        <family val="2"/>
      </rPr>
      <t>instrmnt_id</t>
    </r>
    <r>
      <rPr>
        <sz val="9"/>
        <color theme="1"/>
        <rFont val="Arial"/>
        <family val="2"/>
      </rPr>
      <t xml:space="preserve"> ao longo do tempo, com uma identificação do nº da alteração (coluna "NR").  Deve existir um registo para cada </t>
    </r>
    <r>
      <rPr>
        <b/>
        <sz val="9"/>
        <color theme="1"/>
        <rFont val="Arial"/>
        <family val="2"/>
      </rPr>
      <t>alteração de forbearance</t>
    </r>
    <r>
      <rPr>
        <sz val="9"/>
        <color theme="1"/>
        <rFont val="Arial"/>
        <family val="2"/>
      </rPr>
      <t>, i.e., sempre que o forbearance seja diferente do registo do mês anterior.</t>
    </r>
  </si>
  <si>
    <t>SELECT * FROM 
(SELECT ROW_NUMBER () OVER (PARTITION BY CHAVE_FR     ORDER BY DT_STTS ASC) AS NR,   LG.* 
FROM
    (SELECT lag(FRBRNC_STTS_INSTRMNT,1,'0') OVER (PARTITION BY chave_fr ORDER BY DT_STTS ASC) AS lag_1,  uni.* 
FROM
  (SELECT CHAVE_FR,
               CASE WHEN situacao_diferiment_reneg = '001' THEN '4' 
                    WHEN situacao_diferiment_reneg = '002' THEN '5' 
                    WHEN situacao_diferiment_reneg = '003' THEN '3' 
                    WHEN situacao_diferiment_reneg = '004' THEN '9'
                    WHEN situacao_diferiment_reneg IS NULL THEN '8'
                    END AS FRBRNC_STTS_INSTRMNT,
                CASE WHEN data_inicio IS NULL THEN ref_date 
                    ELSE data_inicio
                    END AS DT_STTS,
                data_inicio,
                ref_date
         FROM
        (SELECT concat(cempresa, cbalcao, cnumecta, zdeposit) AS chave_fr,
                  situacao_diferiment_reneg,
                  data_inicio,
                  ref_date
           FROM cd_captools.fr004_cto
           WHERE ref_date &gt;= '2023-07-31'
             AND ref_date &lt;= '${ref_date}'
           GROUP BY concat(cempresa, cbalcao, cnumecta, zdeposit),
                    situacao_diferiment_reneg,
                    data_inicio,
                    ref_date) fr4 )uni
    ) LG 
where lag_1 &lt;&gt; FRBRNC_STTS_INSTRMNT 
) RK</t>
  </si>
  <si>
    <r>
      <t xml:space="preserve">11.Tabela Suporte bce_lt_sprt_frbrnc - histórico de alterações de </t>
    </r>
    <r>
      <rPr>
        <b/>
        <i/>
        <sz val="10"/>
        <rFont val="Arial"/>
        <family val="2"/>
      </rPr>
      <t>status</t>
    </r>
    <r>
      <rPr>
        <b/>
        <sz val="10"/>
        <rFont val="Arial"/>
        <family val="2"/>
      </rPr>
      <t xml:space="preserve"> de reestruturação</t>
    </r>
  </si>
  <si>
    <t>Perda esperada</t>
  </si>
  <si>
    <t>TPERDIDA</t>
  </si>
  <si>
    <t>DISTINCT TPERDIDA</t>
  </si>
  <si>
    <t>EXPCTD_LSS_CRR</t>
  </si>
  <si>
    <t>DISTINCT(EXPCTD_LSS_CRR)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CCF onde RWA_MTHD = '1'
4. Caso contrário (CCF de CHAVE_CAP * EAD de CHAVE_CAP)/SUM(EAD de CHAVE_FR)</t>
  </si>
  <si>
    <t xml:space="preserve">RWA </t>
  </si>
  <si>
    <t>2. bu_ifrs9.ifrs9_out_staging_8_7</t>
  </si>
  <si>
    <t>FR004_CTO
ifrs9_out_staging_8_7</t>
  </si>
  <si>
    <t>Fonte 1: Alterações de stage até 30-11-2022, inclusive, têm como fonte a tabela ifrs9_out_staging_8_7.</t>
  </si>
  <si>
    <r>
      <t>Fonte 2:</t>
    </r>
    <r>
      <rPr>
        <sz val="9"/>
        <color theme="1"/>
        <rFont val="Arial"/>
        <family val="2"/>
      </rPr>
      <t xml:space="preserve"> Alterações de stage após 31-12-2022, inclusivé, têm como fonte a tabela</t>
    </r>
    <r>
      <rPr>
        <b/>
        <sz val="9"/>
        <color theme="1"/>
        <rFont val="Arial"/>
        <family val="2"/>
      </rPr>
      <t xml:space="preserve"> fr004_cto.</t>
    </r>
  </si>
  <si>
    <r>
      <rPr>
        <b/>
        <sz val="8"/>
        <color theme="1"/>
        <rFont val="Arial"/>
        <family val="2"/>
      </rPr>
      <t>1) Registos com ref_date entre [2022-12-31; ref_date] :</t>
    </r>
    <r>
      <rPr>
        <sz val="8"/>
        <color theme="1"/>
        <rFont val="Arial"/>
        <family val="2"/>
      </rPr>
      <t xml:space="preserve">
FR004.REF_DATE
</t>
    </r>
    <r>
      <rPr>
        <b/>
        <sz val="8"/>
        <color theme="1"/>
        <rFont val="Arial"/>
        <family val="2"/>
      </rPr>
      <t>2) Registos com ref_date até 2022-11-30:</t>
    </r>
    <r>
      <rPr>
        <sz val="8"/>
        <color theme="1"/>
        <rFont val="Arial"/>
        <family val="2"/>
      </rPr>
      <t xml:space="preserve">
SUBSTR(CAST(LAST_DAY(CONCAT(SUBSTR(IFRS9.CMES,1,4),'-',SUBSTR(IFRS9.CMES,5,2),'-01') AS STRING) 1,10) AS REF_DATE</t>
    </r>
  </si>
  <si>
    <t>2023-11-30</t>
  </si>
  <si>
    <t>2025-01-31</t>
  </si>
  <si>
    <t>2024-01-31</t>
  </si>
  <si>
    <t>2023-10-31</t>
  </si>
  <si>
    <t>Lisboa, 27 de setembro de 2024</t>
  </si>
  <si>
    <r>
      <rPr>
        <b/>
        <sz val="8"/>
        <color theme="1"/>
        <rFont val="Arial"/>
        <family val="2"/>
      </rPr>
      <t>1) Registos com ref_date entre [2022-12-31; ref_date] :</t>
    </r>
    <r>
      <rPr>
        <sz val="8"/>
        <color theme="1"/>
        <rFont val="Arial"/>
        <family val="2"/>
      </rPr>
      <t xml:space="preserve">
FR004.REF_DATE
</t>
    </r>
    <r>
      <rPr>
        <b/>
        <sz val="8"/>
        <color theme="1"/>
        <rFont val="Arial"/>
        <family val="2"/>
      </rPr>
      <t>2) Registos com ref_date 2022-11-30:</t>
    </r>
    <r>
      <rPr>
        <sz val="8"/>
        <color theme="1"/>
        <rFont val="Arial"/>
        <family val="2"/>
      </rPr>
      <t xml:space="preserve">
SUBSTR(CAST(LAST_DAY(CONCAT(SUBSTR(IFRS9.CMES,1,4),'-',SUBSTR(IFRS9.CMES,5,2),'-01') AS STRING) 1,10) AS REF_DATE</t>
    </r>
  </si>
  <si>
    <t>2024-10-31</t>
  </si>
  <si>
    <t>2024-12-31</t>
  </si>
  <si>
    <t>«</t>
  </si>
  <si>
    <r>
      <rPr>
        <b/>
        <sz val="8"/>
        <color theme="1"/>
        <rFont val="Arial"/>
        <family val="2"/>
      </rPr>
      <t>1) Cruzar BCE_LT_INSTR_MIS_1 com tradutor de chaves FINREP e MIS: 
BCE_LT_INSTR_MIS_1</t>
    </r>
    <r>
      <rPr>
        <sz val="8"/>
        <color theme="1"/>
        <rFont val="Arial"/>
        <family val="2"/>
      </rPr>
      <t xml:space="preserve">
LEFT JOIN
((SELECT * FROM KT_CHAVES_FINREP) 
INNER JOIN 
(SELECT * FROM KT_CHAVES_MIS)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MIS obtida no passo anterior com a tabela CRV004XA1_CLI_CONTRATO_PROP para obter os campos pretendidos:</t>
    </r>
    <r>
      <rPr>
        <sz val="8"/>
        <color theme="1"/>
        <rFont val="Arial"/>
        <family val="2"/>
      </rPr>
      <t xml:space="preserve">
LEFT JOIN 
(SELECT * FROM CRV004XA1_CLI_CONTRATO_PROP)
ON TRIM(CONCAT(CKBALCAO,CKNUMCTA)) = CASE WHEN TRIM(cconta) ='#' then '000000000000000'  ELSE TRIM(cconta) END
AND ZDEPOSIT_MIS = CREFERENCIA </t>
    </r>
  </si>
  <si>
    <t>--------------------------------------------------------------------------------------------------------------------
-----------------------------------------  DEFINIÇÃO DE UNIVERSOS  -----------------------------------------
---------------------------------------------------------------------------------------------------------------------
--- UNIVERSO IFRS9
create table bu_captools_work.bce_lt_tmp_prfm_1  as  
SELECT DISTINCT uni.chave_fr,
       case when stage_atual in ('1','2') then '11' when stage_atual = '3' then '1' end as prfrmng_stts,
       substr(cast(last_day(ref_date) AS string),1,10) AS ref_date
FROM
  (SELECT concat(cempresa, cbalcao, cnumecta, zdeposit) AS chave_fr
   FROM cd_captools.fr004_cto
   WHERE REF_DATE = '${ref_date}'  ) uni  --- CONTRATOS VIVOS
LEFT JOIN
  (SELECT CONCAT(CEMPRESA_FR,CBALCAO_FR,CNUMECTA_FR, ZDEPOSIT_FR) AS CHAVE_FR,
          CONTRACT_ID
   FROM
     (SELECT *
      FROM cd_captools.kt_chaves_finrep
      WHERE ref_date = '${ref_date}') KT_FR
   LEFT JOIN
     (SELECT *
      FROM cd_captools.kt_chaves_ifrs9
      WHERE ref_date = '${ref_date}') KT_IMP 
   ON CONCAT(KT_FR.CEMPRESA, KT_FR.CBALCAO, KT_FR.CNUMECTA, KT_FR.ZDEPOSIT) = CONCAT(KT_IMP.CEMPRESA,KT_IMP.CBALCAO,KT_IMP.CNUMECTA,KT_IMP.ZDEPOSIT)
   GROUP BY CONCAT(CEMPRESA_FR,CBALCAO_FR,CNUMECTA_FR, ZDEPOSIT_FR),
            CONTRACT_ID) KT    --- TRADUTOR
ON KT.CHAVE_FR = uni.chave_fr
INNER JOIN
  (SELECT contract_id,
          stage,
          cmes,
          cast(cast(stage AS int) AS string) AS stage_atual,
          concat(substr(cmes,1,4),'-',substr(cmes,5,2),'-01') AS ref_date
   FROM
     (SELECT contract_id,
             NVL(stage,3) AS STAGE,
             exec_id_part
      FROM bu_ifrs9.ifrs9_out_staging_8_7) a
   INNER JOIN
     (SELECT cmes,
             exec_id_part
      FROM cd_captools.imcatf046_flag_fecho
      WHERE cmes BETWEEN '201801' AND '202211')b 
   ON a.exec_id_part = b.exec_id_part) ifrs    --- INFORMAÇÃO DE STAGE
ON KT.contract_id = ifrs.contract_id;
--- UNIVERSO FR004
create table bu_captools_work.bce_lt_tmp_prfm_2 as 
SELECT uni.chave_fr,
       case when stage_atual in ('1','2') then '11' when stage_atual = '3' then '1' end as prfrmng_stts,
       ref_date
FROM
  (SELECT concat(cempresa, cbalcao, cnumecta, zdeposit) AS chave_fr
   FROM cd_captools.fr004_cto
   WHERE REF_DATE = '${ref_date}') uni  --- CONTRATOS VIVOS
LEFT JOIN
  (SELECT concat(cempresa, cbalcao, cnumecta, zdeposit) AS chave_fr,
          stage_atual,
          ref_date
   FROM cd_captools.fr004_cto
   WHERE ref_date &gt;= '2022-12-31'
     AND ref_date &lt;= '${ref_date}'
   GROUP BY concat(cempresa, cbalcao, cnumecta, zdeposit),
            stage_atual,
            ref_date) fr4  --- INFORMAÇÃO DE STAGE
ON uni.chave_fr = fr4.chave_fr;
--------------------------------------------------------------------------------------------------------------------
-------------------------------------  TABELA ALTERAÇÃO DE STAGES  ---------------------------------------
---------------------------------------------------------------------------------------------------------------------
create table bu_captools_work.bce_lt_tmp_stage_final as 
SELECT * FROM 
(SELECT ROW_NUMBER () OVER (PARTITION BY CHAVE_FR
                                  ORDER BY REF_DATE ASC) AS NR, 
                                  LG.* FROM
(SELECT lag(prfrmng_stts,1,'0') OVER (PARTITION BY chave_fr
                                  ORDER BY REF_DATE ASC) AS lag_1, 
                                  uni.* FROM
(select * from bu_captools_work.bce_lt_tmp_prfm_1
union all
select * from bu_captools_work.bce_lt_tmp_prfm_2
) uni
) LG 
where lag_1 &lt;&gt; prfrmng_stts ) RK</t>
  </si>
  <si>
    <r>
      <rPr>
        <b/>
        <sz val="8"/>
        <color theme="1"/>
        <rFont val="Arial"/>
        <family val="2"/>
      </rPr>
      <t>1) Registos com ref_date entre [2022-12-31; ref_date]:</t>
    </r>
    <r>
      <rPr>
        <sz val="8"/>
        <color theme="1"/>
        <rFont val="Arial"/>
        <family val="2"/>
      </rPr>
      <t xml:space="preserve">
CASE WHEN FR004.STAGE_ATUAL IN ('1','2') THEN '11' WHEN FR004.STAGE_ATUAL = '3' THEN '1' ELSE '99999999999' END AS PRFRMNG_STTS
2) Registos com ref_date até 2022-11-30:
2.1) NVL(stage,3) AS STAGE
</t>
    </r>
    <r>
      <rPr>
        <b/>
        <sz val="8"/>
        <color theme="1"/>
        <rFont val="Arial"/>
        <family val="2"/>
      </rPr>
      <t xml:space="preserve">2.2) </t>
    </r>
    <r>
      <rPr>
        <sz val="8"/>
        <color theme="1"/>
        <rFont val="Arial"/>
        <family val="2"/>
      </rPr>
      <t xml:space="preserve">CASE WHEN IFRS9.STAGE IN ('1','2') THEN '11' WHEN  IFRS9.STAGE = '3' THEN '1' 
ELSE '99999999999' END AS PRFRMNG_STTS
</t>
    </r>
  </si>
  <si>
    <r>
      <rPr>
        <b/>
        <u/>
        <sz val="9"/>
        <color theme="1"/>
        <rFont val="Arial"/>
        <family val="2"/>
      </rPr>
      <t xml:space="preserve">Step 1: </t>
    </r>
    <r>
      <rPr>
        <sz val="9"/>
        <color theme="1"/>
        <rFont val="Arial"/>
        <family val="2"/>
      </rPr>
      <t xml:space="preserve"> Definição do universo da tabela ifrs9_out_staging_8_7. Tratamento dos NULL's para o campo STAGE populando com o valor de 3.</t>
    </r>
  </si>
  <si>
    <r>
      <rPr>
        <b/>
        <u/>
        <sz val="9"/>
        <color theme="1"/>
        <rFont val="Arial"/>
        <family val="2"/>
      </rPr>
      <t>Step 1</t>
    </r>
    <r>
      <rPr>
        <sz val="9"/>
        <color theme="1"/>
        <rFont val="Arial"/>
        <family val="2"/>
      </rPr>
      <t>:  Definição do universo da tabela ifrs9_out_staging_8_7. Tratamento dos NULL's para o campo STAGE populando com o valor de 3.</t>
    </r>
  </si>
  <si>
    <r>
      <rPr>
        <b/>
        <sz val="8"/>
        <color theme="1"/>
        <rFont val="Arial"/>
        <family val="2"/>
      </rPr>
      <t>1) Registos com ref_date entre [2022-12-31; ref_date]:</t>
    </r>
    <r>
      <rPr>
        <sz val="8"/>
        <color theme="1"/>
        <rFont val="Arial"/>
        <family val="2"/>
      </rPr>
      <t xml:space="preserve">
FR004.STAGE_ATUAL
2) Registos com ref_date até 2022-11-30:
NVL(IFRS9.STAGE,3) AS STAGE_ATUAL </t>
    </r>
  </si>
  <si>
    <t>--------------------------------------------------------------------------------------------------------------------
-----------------------------------------  DEFINIÇÃO DE UNIVERSOS  -----------------------------------------
---------------------------------------------------------------------------------------------------------------------
--- UNIVERSO IFRS9
create table bu_captools_work.bce_lt_tmp_stage_1 as  
SELECT uni.chave_fr,
       stage_atual,
       substr(cast(last_day(ref_date) AS string),1,10) AS ref_date
FROM
  (SELECT concat(cempresa, cbalcao, cnumecta, zdeposit) AS chave_fr
   FROM cd_captools.fr004_cto
   WHERE REF_DATE = '${ref_date}'  ) uni  --- CONTRATOS VIVOS
LEFT JOIN
  (SELECT CONCAT(CEMPRESA_FR,CBALCAO_FR,CNUMECTA_FR, ZDEPOSIT_FR) AS CHAVE_FR,
          CONTRACT_ID
   FROM
     (SELECT *
      FROM cd_captools.kt_chaves_finrep
      WHERE ref_date = '${ref_date}') KT_FR
   LEFT JOIN
     (SELECT *
      FROM cd_captools.kt_chaves_ifrs9
      WHERE ref_date = '${ref_date}') KT_IMP 
   ON CONCAT(KT_FR.CEMPRESA, KT_FR.CBALCAO, KT_FR.CNUMECTA, KT_FR.ZDEPOSIT) = CONCAT(KT_IMP.CEMPRESA,KT_IMP.CBALCAO,KT_IMP.CNUMECTA,KT_IMP.ZDEPOSIT)
   GROUP BY CONCAT(CEMPRESA_FR,CBALCAO_FR,CNUMECTA_FR, ZDEPOSIT_FR),
            CONTRACT_ID) KT    --- TRADUTOR
ON KT.CHAVE_FR = uni.chave_fr
INNER JOIN
  (SELECT contract_id,
          stage,
          cmes,
          cast(cast(stage AS int) AS string) AS stage_atual,
          concat(substr(cmes,1,4),'-',substr(cmes,5,2),'-01') AS ref_date
   FROM
     (SELECT contract_id,
             NVL(stage,3),
             exec_id_part
      FROM bu_ifrs9.ifrs9_out_staging_8_7) a
   INNER JOIN
     (SELECT cmes,
             exec_id_part
      FROM cd_captools.imcatf046_flag_fecho
      WHERE cmes BETWEEN '201801' AND '202211')b 
   ON a.exec_id_part = b.exec_id_part) ifrs    --- INFORMAÇÃO DE STAGE
ON KT.contract_id = ifrs.contract_id;
--- UNIVERSO FR004
create table bu_captools_work.bce_lt_tmp_stage_2 as 
SELECT uni.chave_fr,
       stage_atual,
       ref_date
FROM
  (SELECT concat(cempresa, cbalcao, cnumecta, zdeposit) AS chave_fr
   FROM cd_captools.fr004_cto
   WHERE REF_DATE = '${ref_date}') uni  --- CONTRATOS VIVOS
LEFT JOIN
  (SELECT concat(cempresa, cbalcao, cnumecta, zdeposit) AS chave_fr,
          stage_atual,
          ref_date
   FROM cd_captools.fr004_cto
   WHERE ref_date &gt;= '2022-12-31'
     AND ref_date &lt;= '${ref_date}'
   GROUP BY concat(cempresa, cbalcao, cnumecta, zdeposit),
            stage_atual,
            ref_date) fr4  --- INFORMAÇÃO DE STAGE
ON uni.chave_fr = fr4.chave_fr;
--------------------------------------------------------------------------------------------------------------------
-------------------------------------  TABELA ALTERAÇÃO DE STAGES  ---------------------------------------
---------------------------------------------------------------------------------------------------------------------
create table bu_captools_work.bce_lt_tmp_stage_final as 
SELECT * FROM 
(SELECT ROW_NUMBER () OVER (PARTITION BY CHAVE_FR
                                  ORDER BY REF_DATE ASC) AS NR, 
                                  LG.* FROM
(SELECT lag(stage_atual,1,'0') OVER (PARTITION BY chave_fr
                                  ORDER BY REF_DATE ASC) AS lag_1, 
                                  uni.* FROM
(select * from bu_captools_work.bce_lt_tmp_stage_1
union all
select * from bu_captools_work.bce_lt_tmp_stage_2
) uni
) LG 
where lag_1 &lt;&gt; stage_atual ) RK</t>
  </si>
  <si>
    <t>Adição de tratamento na tabela BCE_LT_SPRT_PRFM  e BCE_LT_SPRT_STAGE onde nas tabelas IFRS9 para os casos em que o STAGE está a NULL passam a ser reportados como STAGE 3</t>
  </si>
  <si>
    <t>1) Cruzar tabela CT013_RWA_PRINC com a tabela CT020_RWA_PER de modo a obter informação sobre o perimetro de cada contrato em âmbito de capital:
CT013_RWA_PRINC
INNER JOIN
(SELECT * FROM CT020_RWA_PER) 
ON ID_CAPITAL_PERIMETROS = ID_CAPITAL_PERIMETROS
2) Para o nome_perimetro = 'Individual IDComb '
Se a REF_DATE &lt; '30-04-2025' deve ser utilizado o perímetro 'Individual Corporativo' na CT020
Se a REF_DATE &gt;= '30-04-2025' deve ser utilizado o perímetro 'Individual IDComb' na CT020</t>
  </si>
  <si>
    <t>Adição de tratamento na tabela TMP_BCE_LT_INSTR_CAP onde para o perímetro Individual IDComb a CT020 deve ser filtrada pelo perímetro Individual Corporativo quando a data de referência (REF_DATE) for anterior a 30 de abril de 2025. A partir dessa data (inclusive), deve ser filtrada pelo perímetro Individual IDComb.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</si>
</sst>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theme="1"/>
      <name val="Neo sans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8"/>
      <color theme="1"/>
      <name val="Arial"/>
      <family val="2"/>
    </font>
    <font>
      <b/>
      <u/>
      <sz val="9"/>
      <color rgb="FFC00000"/>
      <name val="Arial"/>
      <family val="2"/>
    </font>
    <font>
      <sz val="9"/>
      <color theme="1"/>
      <name val="Arial"/>
      <family val="2"/>
    </font>
    <font>
      <b/>
      <i/>
      <u/>
      <sz val="9"/>
      <color rgb="FFC00000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i/>
      <sz val="8"/>
      <color rgb="FF00B050"/>
      <name val="Arial"/>
      <family val="2"/>
    </font>
    <font>
      <sz val="38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4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C0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8"/>
      <name val="Arial"/>
      <family val="2"/>
    </font>
    <font>
      <b/>
      <u/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10"/>
      <name val="Arial"/>
      <family val="2"/>
    </font>
    <font>
      <b/>
      <i/>
      <sz val="9"/>
      <color theme="1"/>
      <name val="Arial"/>
      <family val="2"/>
    </font>
    <font>
      <i/>
      <u/>
      <sz val="8"/>
      <color theme="1"/>
      <name val="Arial"/>
      <family val="2"/>
    </font>
    <font>
      <b/>
      <i/>
      <sz val="8"/>
      <color theme="0" tint="-0.34998626667073579"/>
      <name val="Arial"/>
      <family val="2"/>
    </font>
    <font>
      <sz val="8"/>
      <color theme="8"/>
      <name val="Arial"/>
      <family val="2"/>
    </font>
    <font>
      <sz val="9"/>
      <color theme="8"/>
      <name val="Arial"/>
      <family val="2"/>
    </font>
    <font>
      <b/>
      <i/>
      <u/>
      <sz val="10"/>
      <color theme="1"/>
      <name val="Arial"/>
      <family val="2"/>
    </font>
    <font>
      <u/>
      <sz val="9"/>
      <color theme="1"/>
      <name val="Arial"/>
      <family val="2"/>
    </font>
    <font>
      <b/>
      <sz val="12"/>
      <color theme="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sz val="8"/>
      <color rgb="FFFF0000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i/>
      <sz val="8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 style="medium">
        <color rgb="FF666666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25" fillId="0" borderId="0"/>
  </cellStyleXfs>
  <cellXfs count="229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/>
    </xf>
    <xf numFmtId="9" fontId="6" fillId="0" borderId="1" xfId="1" quotePrefix="1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5" fillId="2" borderId="1" xfId="0" quotePrefix="1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2" fontId="8" fillId="0" borderId="0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17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left" vertical="center" inden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/>
    </xf>
    <xf numFmtId="0" fontId="6" fillId="0" borderId="1" xfId="0" quotePrefix="1" applyFont="1" applyBorder="1" applyAlignment="1">
      <alignment horizontal="left" vertical="center" wrapText="1" indent="2"/>
    </xf>
    <xf numFmtId="0" fontId="12" fillId="0" borderId="0" xfId="2" applyFont="1"/>
    <xf numFmtId="0" fontId="24" fillId="0" borderId="0" xfId="0" applyFont="1" applyAlignment="1">
      <alignment horizontal="left" vertical="center" readingOrder="1"/>
    </xf>
    <xf numFmtId="0" fontId="25" fillId="0" borderId="0" xfId="3"/>
    <xf numFmtId="0" fontId="26" fillId="0" borderId="0" xfId="2" applyFont="1" applyAlignment="1">
      <alignment vertical="center"/>
    </xf>
    <xf numFmtId="0" fontId="27" fillId="0" borderId="0" xfId="2" applyFont="1" applyAlignment="1">
      <alignment horizontal="right" vertical="center"/>
    </xf>
    <xf numFmtId="0" fontId="28" fillId="0" borderId="0" xfId="2" applyFont="1"/>
    <xf numFmtId="0" fontId="29" fillId="0" borderId="0" xfId="2" applyFont="1" applyAlignment="1">
      <alignment horizontal="right"/>
    </xf>
    <xf numFmtId="0" fontId="30" fillId="0" borderId="0" xfId="2" applyFont="1"/>
    <xf numFmtId="0" fontId="31" fillId="0" borderId="0" xfId="2" applyFont="1" applyAlignment="1">
      <alignment horizontal="right"/>
    </xf>
    <xf numFmtId="0" fontId="32" fillId="0" borderId="0" xfId="2" applyFont="1"/>
    <xf numFmtId="0" fontId="33" fillId="0" borderId="0" xfId="2" applyFont="1" applyAlignment="1">
      <alignment horizontal="right"/>
    </xf>
    <xf numFmtId="0" fontId="34" fillId="0" borderId="0" xfId="2" applyFont="1"/>
    <xf numFmtId="0" fontId="35" fillId="0" borderId="0" xfId="2" applyFont="1" applyAlignment="1">
      <alignment horizontal="right"/>
    </xf>
    <xf numFmtId="0" fontId="36" fillId="0" borderId="0" xfId="2" applyFont="1" applyAlignment="1">
      <alignment horizontal="right"/>
    </xf>
    <xf numFmtId="0" fontId="37" fillId="0" borderId="0" xfId="0" applyFont="1" applyAlignment="1">
      <alignment horizontal="left" vertical="center" readingOrder="1"/>
    </xf>
    <xf numFmtId="14" fontId="6" fillId="0" borderId="1" xfId="0" quotePrefix="1" applyNumberFormat="1" applyFont="1" applyBorder="1" applyAlignment="1">
      <alignment horizontal="left" vertical="center" wrapText="1" indent="2"/>
    </xf>
    <xf numFmtId="0" fontId="38" fillId="0" borderId="0" xfId="0" applyFont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2" borderId="0" xfId="0" quotePrefix="1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5" fillId="0" borderId="4" xfId="0" quotePrefix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vertical="center"/>
    </xf>
    <xf numFmtId="0" fontId="6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0" borderId="0" xfId="0" quotePrefix="1" applyFont="1" applyAlignment="1">
      <alignment horizontal="left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40" fillId="0" borderId="0" xfId="0" applyFont="1"/>
    <xf numFmtId="14" fontId="6" fillId="0" borderId="1" xfId="0" applyNumberFormat="1" applyFont="1" applyBorder="1" applyAlignment="1">
      <alignment horizontal="left" vertical="center" wrapText="1" indent="2"/>
    </xf>
    <xf numFmtId="0" fontId="41" fillId="6" borderId="0" xfId="0" applyFont="1" applyFill="1" applyAlignment="1">
      <alignment vertical="center"/>
    </xf>
    <xf numFmtId="14" fontId="6" fillId="5" borderId="4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quotePrefix="1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42" fillId="6" borderId="0" xfId="0" applyFont="1" applyFill="1" applyAlignment="1">
      <alignment vertical="center"/>
    </xf>
    <xf numFmtId="0" fontId="42" fillId="6" borderId="0" xfId="0" applyFont="1" applyFill="1" applyAlignment="1">
      <alignment horizontal="left" vertical="center" indent="1"/>
    </xf>
    <xf numFmtId="0" fontId="20" fillId="6" borderId="0" xfId="0" applyFont="1" applyFill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readingOrder="1"/>
    </xf>
    <xf numFmtId="0" fontId="0" fillId="0" borderId="0" xfId="0" applyAlignment="1">
      <alignment vertical="top"/>
    </xf>
    <xf numFmtId="0" fontId="4" fillId="3" borderId="0" xfId="0" applyFont="1" applyFill="1" applyAlignment="1">
      <alignment vertical="top"/>
    </xf>
    <xf numFmtId="0" fontId="21" fillId="3" borderId="1" xfId="0" applyFont="1" applyFill="1" applyBorder="1" applyAlignment="1">
      <alignment horizontal="center" vertical="top" wrapText="1"/>
    </xf>
    <xf numFmtId="0" fontId="6" fillId="0" borderId="1" xfId="0" quotePrefix="1" applyFont="1" applyBorder="1" applyAlignment="1">
      <alignment horizontal="left" vertical="top" wrapText="1"/>
    </xf>
    <xf numFmtId="0" fontId="46" fillId="0" borderId="0" xfId="0" applyFont="1" applyAlignment="1">
      <alignment vertical="center"/>
    </xf>
    <xf numFmtId="0" fontId="18" fillId="0" borderId="0" xfId="0" applyFont="1"/>
    <xf numFmtId="0" fontId="6" fillId="0" borderId="1" xfId="0" applyFont="1" applyBorder="1" applyAlignment="1">
      <alignment vertical="center" wrapText="1"/>
    </xf>
    <xf numFmtId="0" fontId="47" fillId="0" borderId="0" xfId="0" applyFont="1"/>
    <xf numFmtId="0" fontId="48" fillId="0" borderId="0" xfId="0" applyFont="1"/>
    <xf numFmtId="14" fontId="0" fillId="0" borderId="0" xfId="0" applyNumberFormat="1"/>
    <xf numFmtId="0" fontId="49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8" fillId="6" borderId="0" xfId="0" applyFont="1" applyFill="1" applyAlignment="1">
      <alignment horizontal="left" vertical="center" indent="2"/>
    </xf>
    <xf numFmtId="0" fontId="0" fillId="0" borderId="0" xfId="0" applyAlignment="1">
      <alignment horizontal="left" vertical="top" wrapText="1"/>
    </xf>
    <xf numFmtId="0" fontId="0" fillId="5" borderId="0" xfId="0" applyFill="1"/>
    <xf numFmtId="14" fontId="0" fillId="5" borderId="0" xfId="0" applyNumberFormat="1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1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56" fillId="0" borderId="4" xfId="0" applyFont="1" applyBorder="1" applyAlignment="1">
      <alignment horizontal="center" vertical="center" wrapText="1"/>
    </xf>
    <xf numFmtId="0" fontId="51" fillId="6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/>
    </xf>
    <xf numFmtId="0" fontId="0" fillId="0" borderId="1" xfId="0" applyBorder="1"/>
    <xf numFmtId="0" fontId="49" fillId="4" borderId="1" xfId="0" applyFont="1" applyFill="1" applyBorder="1" applyAlignment="1">
      <alignment horizontal="center"/>
    </xf>
    <xf numFmtId="0" fontId="0" fillId="0" borderId="1" xfId="0" quotePrefix="1" applyBorder="1"/>
    <xf numFmtId="0" fontId="0" fillId="0" borderId="2" xfId="0" quotePrefix="1" applyBorder="1" applyAlignment="1">
      <alignment horizontal="left" vertical="center"/>
    </xf>
    <xf numFmtId="14" fontId="4" fillId="0" borderId="1" xfId="0" quotePrefix="1" applyNumberFormat="1" applyFont="1" applyBorder="1" applyAlignment="1">
      <alignment horizontal="center" vertical="center" wrapText="1"/>
    </xf>
    <xf numFmtId="14" fontId="6" fillId="8" borderId="4" xfId="0" applyNumberFormat="1" applyFont="1" applyFill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57" fillId="0" borderId="1" xfId="0" applyFont="1" applyBorder="1" applyAlignment="1">
      <alignment vertical="center"/>
    </xf>
    <xf numFmtId="0" fontId="52" fillId="6" borderId="0" xfId="0" applyFont="1" applyFill="1" applyAlignment="1">
      <alignment horizontal="left" vertical="center" indent="1"/>
    </xf>
    <xf numFmtId="0" fontId="57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8" fillId="6" borderId="0" xfId="0" applyFont="1" applyFill="1" applyAlignment="1">
      <alignment vertical="center" wrapText="1"/>
    </xf>
    <xf numFmtId="9" fontId="6" fillId="0" borderId="1" xfId="1" applyFont="1" applyFill="1" applyBorder="1" applyAlignment="1">
      <alignment horizontal="left" vertical="center" wrapText="1"/>
    </xf>
    <xf numFmtId="0" fontId="62" fillId="0" borderId="1" xfId="0" quotePrefix="1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 readingOrder="1"/>
    </xf>
    <xf numFmtId="0" fontId="63" fillId="2" borderId="1" xfId="0" applyFont="1" applyFill="1" applyBorder="1" applyAlignment="1">
      <alignment horizontal="left" vertical="center" wrapText="1" readingOrder="1"/>
    </xf>
    <xf numFmtId="0" fontId="63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vertical="center" wrapText="1"/>
    </xf>
    <xf numFmtId="0" fontId="63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vertical="top" wrapText="1"/>
    </xf>
    <xf numFmtId="0" fontId="63" fillId="2" borderId="1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vertical="center"/>
    </xf>
    <xf numFmtId="0" fontId="63" fillId="2" borderId="1" xfId="0" applyFont="1" applyFill="1" applyBorder="1" applyAlignment="1">
      <alignment horizontal="left" vertical="top" wrapText="1"/>
    </xf>
    <xf numFmtId="0" fontId="62" fillId="0" borderId="1" xfId="0" applyFont="1" applyBorder="1" applyAlignment="1">
      <alignment vertical="top" wrapText="1"/>
    </xf>
    <xf numFmtId="0" fontId="63" fillId="0" borderId="1" xfId="0" applyFont="1" applyBorder="1" applyAlignment="1">
      <alignment vertical="center"/>
    </xf>
    <xf numFmtId="0" fontId="64" fillId="0" borderId="4" xfId="0" applyFont="1" applyBorder="1" applyAlignment="1">
      <alignment horizontal="center" vertical="center" wrapText="1"/>
    </xf>
    <xf numFmtId="14" fontId="63" fillId="0" borderId="4" xfId="0" applyNumberFormat="1" applyFont="1" applyBorder="1" applyAlignment="1">
      <alignment horizontal="center" vertical="center" wrapText="1"/>
    </xf>
    <xf numFmtId="0" fontId="2" fillId="0" borderId="0" xfId="2" applyFont="1"/>
    <xf numFmtId="0" fontId="2" fillId="0" borderId="5" xfId="2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top"/>
    </xf>
    <xf numFmtId="0" fontId="6" fillId="0" borderId="9" xfId="0" applyFont="1" applyBorder="1" applyAlignment="1">
      <alignment vertical="top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vertical="top" wrapText="1"/>
    </xf>
    <xf numFmtId="14" fontId="65" fillId="0" borderId="4" xfId="0" applyNumberFormat="1" applyFont="1" applyBorder="1" applyAlignment="1">
      <alignment horizontal="center" vertical="center" wrapText="1"/>
    </xf>
    <xf numFmtId="0" fontId="67" fillId="0" borderId="1" xfId="0" applyFont="1" applyBorder="1" applyAlignment="1">
      <alignment vertical="center"/>
    </xf>
    <xf numFmtId="0" fontId="68" fillId="0" borderId="1" xfId="0" quotePrefix="1" applyFont="1" applyBorder="1" applyAlignment="1">
      <alignment horizontal="left" vertical="center" wrapText="1"/>
    </xf>
    <xf numFmtId="0" fontId="65" fillId="2" borderId="1" xfId="0" quotePrefix="1" applyFont="1" applyFill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 readingOrder="1"/>
    </xf>
    <xf numFmtId="0" fontId="65" fillId="0" borderId="1" xfId="0" applyFont="1" applyBorder="1" applyAlignment="1">
      <alignment horizontal="left" vertical="center" wrapText="1" readingOrder="1"/>
    </xf>
    <xf numFmtId="0" fontId="65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vertical="center" wrapText="1"/>
    </xf>
    <xf numFmtId="0" fontId="70" fillId="0" borderId="4" xfId="0" applyFont="1" applyBorder="1" applyAlignment="1">
      <alignment horizontal="center" vertical="center" wrapText="1"/>
    </xf>
    <xf numFmtId="14" fontId="65" fillId="5" borderId="4" xfId="0" applyNumberFormat="1" applyFont="1" applyFill="1" applyBorder="1" applyAlignment="1">
      <alignment horizontal="center" vertical="center" wrapText="1"/>
    </xf>
    <xf numFmtId="0" fontId="67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1" fillId="0" borderId="0" xfId="2" applyFont="1"/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0" fillId="0" borderId="2" xfId="0" applyBorder="1" applyAlignment="1">
      <alignment wrapText="1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0" fillId="0" borderId="2" xfId="0" quotePrefix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8" fillId="6" borderId="0" xfId="0" applyFont="1" applyFill="1" applyAlignment="1">
      <alignment horizontal="left" vertical="center" wrapText="1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</cellXfs>
  <cellStyles count="4">
    <cellStyle name="Normal" xfId="0" builtinId="0"/>
    <cellStyle name="Normal 2 2 3 4" xfId="2" xr:uid="{00000000-0005-0000-0000-000001000000}"/>
    <cellStyle name="Normal 3 5 4" xfId="3" xr:uid="{00000000-0005-0000-0000-000002000000}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9B9"/>
      <color rgb="FFB4C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79261</xdr:colOff>
      <xdr:row>12</xdr:row>
      <xdr:rowOff>48645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25677478-3391-40D6-AB24-67F97A4F0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101" y="2753745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187767</xdr:rowOff>
    </xdr:from>
    <xdr:to>
      <xdr:col>1</xdr:col>
      <xdr:colOff>954672</xdr:colOff>
      <xdr:row>1</xdr:row>
      <xdr:rowOff>364167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57C9E516-4AA4-47CA-9C5A-0DC6D9056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7"/>
          <a:ext cx="1072803" cy="17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156188</xdr:colOff>
      <xdr:row>1</xdr:row>
      <xdr:rowOff>187767</xdr:rowOff>
    </xdr:from>
    <xdr:to>
      <xdr:col>1</xdr:col>
      <xdr:colOff>954668</xdr:colOff>
      <xdr:row>1</xdr:row>
      <xdr:rowOff>360357</xdr:rowOff>
    </xdr:to>
    <xdr:pic>
      <xdr:nvPicPr>
        <xdr:cNvPr id="7" name="Gráfico 10">
          <a:extLst>
            <a:ext uri="{FF2B5EF4-FFF2-40B4-BE49-F238E27FC236}">
              <a16:creationId xmlns:a16="http://schemas.microsoft.com/office/drawing/2014/main" id="{8BA5B4D6-FA9A-479A-97C9-12B16F1CF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8" y="378267"/>
          <a:ext cx="1072800" cy="17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56189" y="382501"/>
    <xdr:ext cx="1072800" cy="176400"/>
    <xdr:pic>
      <xdr:nvPicPr>
        <xdr:cNvPr id="23" name="Gráfico 10">
          <a:extLst>
            <a:ext uri="{FF2B5EF4-FFF2-40B4-BE49-F238E27FC236}">
              <a16:creationId xmlns:a16="http://schemas.microsoft.com/office/drawing/2014/main" id="{4752221A-61AC-4A35-85C6-0EF6A9468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82501"/>
          <a:ext cx="1072800" cy="176400"/>
        </a:xfrm>
        <a:prstGeom prst="rect">
          <a:avLst/>
        </a:prstGeom>
      </xdr:spPr>
    </xdr:pic>
    <xdr:clientData/>
  </xdr:absoluteAnchor>
  <xdr:twoCellAnchor>
    <xdr:from>
      <xdr:col>2</xdr:col>
      <xdr:colOff>2672468</xdr:colOff>
      <xdr:row>22</xdr:row>
      <xdr:rowOff>56764</xdr:rowOff>
    </xdr:from>
    <xdr:to>
      <xdr:col>3</xdr:col>
      <xdr:colOff>2204335</xdr:colOff>
      <xdr:row>25</xdr:row>
      <xdr:rowOff>22898</xdr:rowOff>
    </xdr:to>
    <xdr:sp macro="" textlink="">
      <xdr:nvSpPr>
        <xdr:cNvPr id="89" name="Rectangle 3">
          <a:extLst>
            <a:ext uri="{FF2B5EF4-FFF2-40B4-BE49-F238E27FC236}">
              <a16:creationId xmlns:a16="http://schemas.microsoft.com/office/drawing/2014/main" id="{CCDD123B-CC05-49DB-9100-73A139EC99D0}"/>
            </a:ext>
          </a:extLst>
        </xdr:cNvPr>
        <xdr:cNvSpPr/>
      </xdr:nvSpPr>
      <xdr:spPr>
        <a:xfrm>
          <a:off x="4592708" y="4323964"/>
          <a:ext cx="3006587" cy="537634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2: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Criação de </a:t>
          </a:r>
        </a:p>
        <a:p>
          <a:pPr algn="ctr"/>
          <a:endParaRPr lang="pt-PT" sz="10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TMP_BCE_INSTR_CAP</a:t>
          </a:r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2683898</xdr:colOff>
      <xdr:row>29</xdr:row>
      <xdr:rowOff>15318</xdr:rowOff>
    </xdr:from>
    <xdr:to>
      <xdr:col>3</xdr:col>
      <xdr:colOff>2192905</xdr:colOff>
      <xdr:row>36</xdr:row>
      <xdr:rowOff>9525</xdr:rowOff>
    </xdr:to>
    <xdr:sp macro="" textlink="">
      <xdr:nvSpPr>
        <xdr:cNvPr id="90" name="Rectangle 4">
          <a:extLst>
            <a:ext uri="{FF2B5EF4-FFF2-40B4-BE49-F238E27FC236}">
              <a16:creationId xmlns:a16="http://schemas.microsoft.com/office/drawing/2014/main" id="{E4C90A62-98B6-4BDF-9FBF-042D816716E5}"/>
            </a:ext>
          </a:extLst>
        </xdr:cNvPr>
        <xdr:cNvSpPr/>
      </xdr:nvSpPr>
      <xdr:spPr>
        <a:xfrm>
          <a:off x="4604138" y="5616018"/>
          <a:ext cx="2983727" cy="1327707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3: </a:t>
          </a:r>
          <a:r>
            <a:rPr lang="pt-PT" sz="10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Criação de 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BCE_LT_INSTR_CAP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PT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Tratamento de informação: </a:t>
          </a:r>
        </a:p>
        <a:p>
          <a:pPr algn="ctr"/>
          <a:r>
            <a:rPr lang="pt-PT" sz="1000" b="0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Relações</a:t>
          </a:r>
          <a:r>
            <a:rPr lang="pt-PT" sz="1000" b="0" u="sng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Chave Finrep - Capital</a:t>
          </a:r>
        </a:p>
        <a:p>
          <a:pPr algn="ctr"/>
          <a:endParaRPr lang="pt-PT" sz="1000" b="0" u="sng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PT" sz="1000" b="0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Objetivo</a:t>
          </a:r>
          <a:r>
            <a:rPr lang="pt-PT" sz="1000" b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pt-PT" sz="1000" b="0" u="non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Converter granularidade dos contratos de capital com a </a:t>
          </a:r>
          <a:r>
            <a:rPr lang="pt-PT" sz="1000" b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chave FINREP</a:t>
          </a:r>
        </a:p>
      </xdr:txBody>
    </xdr:sp>
    <xdr:clientData/>
  </xdr:twoCellAnchor>
  <xdr:twoCellAnchor>
    <xdr:from>
      <xdr:col>3</xdr:col>
      <xdr:colOff>2683933</xdr:colOff>
      <xdr:row>25</xdr:row>
      <xdr:rowOff>68988</xdr:rowOff>
    </xdr:from>
    <xdr:to>
      <xdr:col>3</xdr:col>
      <xdr:colOff>5681132</xdr:colOff>
      <xdr:row>28</xdr:row>
      <xdr:rowOff>152530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E372E29-6AEA-4F8A-B250-9DCD5831ADDF}"/>
            </a:ext>
          </a:extLst>
        </xdr:cNvPr>
        <xdr:cNvSpPr/>
      </xdr:nvSpPr>
      <xdr:spPr>
        <a:xfrm>
          <a:off x="8078893" y="4907688"/>
          <a:ext cx="2997199" cy="655042"/>
        </a:xfrm>
        <a:prstGeom prst="rect">
          <a:avLst/>
        </a:prstGeom>
        <a:solidFill>
          <a:srgbClr val="FFB9B9"/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Cruzamento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com tradutores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KT_CHAVES_FINREP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/ KT_CHAVES_BDR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 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Matriz de contas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Capital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CT805_MATRIZ_CNT</a:t>
          </a:r>
        </a:p>
      </xdr:txBody>
    </xdr:sp>
    <xdr:clientData/>
  </xdr:twoCellAnchor>
  <xdr:twoCellAnchor>
    <xdr:from>
      <xdr:col>3</xdr:col>
      <xdr:colOff>701042</xdr:colOff>
      <xdr:row>25</xdr:row>
      <xdr:rowOff>22898</xdr:rowOff>
    </xdr:from>
    <xdr:to>
      <xdr:col>3</xdr:col>
      <xdr:colOff>701042</xdr:colOff>
      <xdr:row>29</xdr:row>
      <xdr:rowOff>15318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3CA70D-C9EE-441E-9112-0A148CAFE169}"/>
            </a:ext>
          </a:extLst>
        </xdr:cNvPr>
        <xdr:cNvCxnSpPr>
          <a:stCxn id="89" idx="2"/>
          <a:endCxn id="90" idx="0"/>
        </xdr:cNvCxnSpPr>
      </xdr:nvCxnSpPr>
      <xdr:spPr>
        <a:xfrm>
          <a:off x="6096002" y="4861598"/>
          <a:ext cx="0" cy="75442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698502</xdr:colOff>
      <xdr:row>18</xdr:row>
      <xdr:rowOff>189029</xdr:rowOff>
    </xdr:from>
    <xdr:to>
      <xdr:col>3</xdr:col>
      <xdr:colOff>701042</xdr:colOff>
      <xdr:row>22</xdr:row>
      <xdr:rowOff>56764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A56457-16B3-4FF0-878D-234BCE312AFE}"/>
            </a:ext>
          </a:extLst>
        </xdr:cNvPr>
        <xdr:cNvCxnSpPr>
          <a:cxnSpLocks/>
          <a:endCxn id="89" idx="0"/>
        </xdr:cNvCxnSpPr>
      </xdr:nvCxnSpPr>
      <xdr:spPr>
        <a:xfrm>
          <a:off x="6093462" y="3694229"/>
          <a:ext cx="2540" cy="629735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2678183</xdr:colOff>
      <xdr:row>39</xdr:row>
      <xdr:rowOff>137273</xdr:rowOff>
    </xdr:from>
    <xdr:to>
      <xdr:col>3</xdr:col>
      <xdr:colOff>2198620</xdr:colOff>
      <xdr:row>43</xdr:row>
      <xdr:rowOff>177975</xdr:rowOff>
    </xdr:to>
    <xdr:sp macro="" textlink="">
      <xdr:nvSpPr>
        <xdr:cNvPr id="91" name="Rectangle 8">
          <a:extLst>
            <a:ext uri="{FF2B5EF4-FFF2-40B4-BE49-F238E27FC236}">
              <a16:creationId xmlns:a16="http://schemas.microsoft.com/office/drawing/2014/main" id="{BB0C0B31-8C13-46D3-8B5D-C8FD456D551B}"/>
            </a:ext>
          </a:extLst>
        </xdr:cNvPr>
        <xdr:cNvSpPr/>
      </xdr:nvSpPr>
      <xdr:spPr>
        <a:xfrm>
          <a:off x="4598423" y="7642973"/>
          <a:ext cx="2995157" cy="802702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4.1: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Ligação de informação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PT" sz="10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Tabela INSTRUMENT do Loan Tape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PT" sz="1000" b="0" u="sng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000" b="0" u="sng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</a:t>
          </a:r>
          <a:r>
            <a:rPr lang="pt-PT" sz="10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Após tratamento</a:t>
          </a:r>
          <a:r>
            <a:rPr lang="pt-PT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informação no Step 3, cruzamento direto com tabela INSTRUMENT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701043</xdr:colOff>
      <xdr:row>27</xdr:row>
      <xdr:rowOff>15508</xdr:rowOff>
    </xdr:from>
    <xdr:to>
      <xdr:col>3</xdr:col>
      <xdr:colOff>2683934</xdr:colOff>
      <xdr:row>29</xdr:row>
      <xdr:rowOff>15317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E2BA7E12-C246-464A-AA73-FFD936600CEA}"/>
            </a:ext>
          </a:extLst>
        </xdr:cNvPr>
        <xdr:cNvCxnSpPr>
          <a:stCxn id="6" idx="1"/>
          <a:endCxn id="90" idx="0"/>
        </xdr:cNvCxnSpPr>
      </xdr:nvCxnSpPr>
      <xdr:spPr>
        <a:xfrm rot="10800000" flipV="1">
          <a:off x="6096003" y="5235208"/>
          <a:ext cx="1982891" cy="380809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816492</xdr:colOff>
      <xdr:row>11</xdr:row>
      <xdr:rowOff>135288</xdr:rowOff>
    </xdr:from>
    <xdr:to>
      <xdr:col>2</xdr:col>
      <xdr:colOff>2377958</xdr:colOff>
      <xdr:row>13</xdr:row>
      <xdr:rowOff>107726</xdr:rowOff>
    </xdr:to>
    <xdr:sp macro="" textlink="">
      <xdr:nvSpPr>
        <xdr:cNvPr id="44" name="Rectangle 10">
          <a:extLst>
            <a:ext uri="{FF2B5EF4-FFF2-40B4-BE49-F238E27FC236}">
              <a16:creationId xmlns:a16="http://schemas.microsoft.com/office/drawing/2014/main" id="{A9A0CEAA-DA5B-438D-AA83-D02DB95FCD9F}"/>
            </a:ext>
          </a:extLst>
        </xdr:cNvPr>
        <xdr:cNvSpPr/>
      </xdr:nvSpPr>
      <xdr:spPr>
        <a:xfrm>
          <a:off x="1092717" y="2306988"/>
          <a:ext cx="3209291" cy="353438"/>
        </a:xfrm>
        <a:prstGeom prst="rect">
          <a:avLst/>
        </a:prstGeom>
        <a:noFill/>
        <a:ln w="9525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Filtro de Universo de Capital</a:t>
          </a:r>
        </a:p>
      </xdr:txBody>
    </xdr:sp>
    <xdr:clientData/>
  </xdr:twoCellAnchor>
  <xdr:twoCellAnchor>
    <xdr:from>
      <xdr:col>1</xdr:col>
      <xdr:colOff>820302</xdr:colOff>
      <xdr:row>18</xdr:row>
      <xdr:rowOff>15710</xdr:rowOff>
    </xdr:from>
    <xdr:to>
      <xdr:col>2</xdr:col>
      <xdr:colOff>2381768</xdr:colOff>
      <xdr:row>19</xdr:row>
      <xdr:rowOff>176744</xdr:rowOff>
    </xdr:to>
    <xdr:sp macro="" textlink="">
      <xdr:nvSpPr>
        <xdr:cNvPr id="45" name="Rectangle 11">
          <a:extLst>
            <a:ext uri="{FF2B5EF4-FFF2-40B4-BE49-F238E27FC236}">
              <a16:creationId xmlns:a16="http://schemas.microsoft.com/office/drawing/2014/main" id="{5BBA9451-A568-454B-B094-649779B8C645}"/>
            </a:ext>
          </a:extLst>
        </xdr:cNvPr>
        <xdr:cNvSpPr/>
      </xdr:nvSpPr>
      <xdr:spPr>
        <a:xfrm>
          <a:off x="1094622" y="3520910"/>
          <a:ext cx="3207386" cy="351534"/>
        </a:xfrm>
        <a:prstGeom prst="rect">
          <a:avLst/>
        </a:prstGeom>
        <a:noFill/>
        <a:ln w="9525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Agrupação de informação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por contrato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Capital</a:t>
          </a:r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2672468</xdr:colOff>
      <xdr:row>7</xdr:row>
      <xdr:rowOff>33865</xdr:rowOff>
    </xdr:from>
    <xdr:to>
      <xdr:col>3</xdr:col>
      <xdr:colOff>2204335</xdr:colOff>
      <xdr:row>11</xdr:row>
      <xdr:rowOff>67733</xdr:rowOff>
    </xdr:to>
    <xdr:sp macro="" textlink="">
      <xdr:nvSpPr>
        <xdr:cNvPr id="88" name="Rectangle 12">
          <a:extLst>
            <a:ext uri="{FF2B5EF4-FFF2-40B4-BE49-F238E27FC236}">
              <a16:creationId xmlns:a16="http://schemas.microsoft.com/office/drawing/2014/main" id="{F42C3398-E742-45D8-A02D-3B5A3B73604A}"/>
            </a:ext>
          </a:extLst>
        </xdr:cNvPr>
        <xdr:cNvSpPr/>
      </xdr:nvSpPr>
      <xdr:spPr>
        <a:xfrm>
          <a:off x="4592708" y="1443565"/>
          <a:ext cx="3006587" cy="795868"/>
        </a:xfrm>
        <a:prstGeom prst="rect">
          <a:avLst/>
        </a:prstGeom>
        <a:solidFill>
          <a:srgbClr val="FFB9B9"/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Fontes de informação de Capital: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CT013_RWA_PRINC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CT014_RWA_IRB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CT022_RWA_CTO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CT021_RWA_CLI</a:t>
          </a:r>
        </a:p>
      </xdr:txBody>
    </xdr:sp>
    <xdr:clientData/>
  </xdr:twoCellAnchor>
  <xdr:twoCellAnchor>
    <xdr:from>
      <xdr:col>3</xdr:col>
      <xdr:colOff>701042</xdr:colOff>
      <xdr:row>11</xdr:row>
      <xdr:rowOff>67733</xdr:rowOff>
    </xdr:from>
    <xdr:to>
      <xdr:col>3</xdr:col>
      <xdr:colOff>701042</xdr:colOff>
      <xdr:row>22</xdr:row>
      <xdr:rowOff>56764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2AEECA0-789C-4416-BBFC-38D9FFB16E55}"/>
            </a:ext>
          </a:extLst>
        </xdr:cNvPr>
        <xdr:cNvCxnSpPr>
          <a:cxnSpLocks/>
          <a:stCxn id="88" idx="2"/>
          <a:endCxn id="89" idx="0"/>
        </xdr:cNvCxnSpPr>
      </xdr:nvCxnSpPr>
      <xdr:spPr>
        <a:xfrm>
          <a:off x="6096002" y="2239433"/>
          <a:ext cx="0" cy="2084531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820302</xdr:colOff>
      <xdr:row>14</xdr:row>
      <xdr:rowOff>171701</xdr:rowOff>
    </xdr:from>
    <xdr:to>
      <xdr:col>2</xdr:col>
      <xdr:colOff>2381768</xdr:colOff>
      <xdr:row>16</xdr:row>
      <xdr:rowOff>142235</xdr:rowOff>
    </xdr:to>
    <xdr:sp macro="" textlink="">
      <xdr:nvSpPr>
        <xdr:cNvPr id="43" name="Rectangle 14">
          <a:extLst>
            <a:ext uri="{FF2B5EF4-FFF2-40B4-BE49-F238E27FC236}">
              <a16:creationId xmlns:a16="http://schemas.microsoft.com/office/drawing/2014/main" id="{4759960A-D570-4D17-9D9B-63F8366DF33C}"/>
            </a:ext>
          </a:extLst>
        </xdr:cNvPr>
        <xdr:cNvSpPr/>
      </xdr:nvSpPr>
      <xdr:spPr>
        <a:xfrm>
          <a:off x="1094622" y="2914901"/>
          <a:ext cx="3207386" cy="351534"/>
        </a:xfrm>
        <a:prstGeom prst="rect">
          <a:avLst/>
        </a:prstGeom>
        <a:noFill/>
        <a:ln w="9525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Aplicação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parametrizações</a:t>
          </a:r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2381768</xdr:colOff>
      <xdr:row>19</xdr:row>
      <xdr:rowOff>977</xdr:rowOff>
    </xdr:from>
    <xdr:to>
      <xdr:col>3</xdr:col>
      <xdr:colOff>701042</xdr:colOff>
      <xdr:row>22</xdr:row>
      <xdr:rowOff>56764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605A21F0-C397-4A43-BCE0-689B5481FDE0}"/>
            </a:ext>
          </a:extLst>
        </xdr:cNvPr>
        <xdr:cNvCxnSpPr>
          <a:stCxn id="45" idx="3"/>
          <a:endCxn id="89" idx="0"/>
        </xdr:cNvCxnSpPr>
      </xdr:nvCxnSpPr>
      <xdr:spPr>
        <a:xfrm>
          <a:off x="4302008" y="3696677"/>
          <a:ext cx="1793994" cy="627287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2381768</xdr:colOff>
      <xdr:row>15</xdr:row>
      <xdr:rowOff>156968</xdr:rowOff>
    </xdr:from>
    <xdr:to>
      <xdr:col>3</xdr:col>
      <xdr:colOff>701042</xdr:colOff>
      <xdr:row>22</xdr:row>
      <xdr:rowOff>56764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B0BEEF17-D048-40F2-B3CD-BF39D1271FC4}"/>
            </a:ext>
          </a:extLst>
        </xdr:cNvPr>
        <xdr:cNvCxnSpPr>
          <a:cxnSpLocks/>
          <a:stCxn id="43" idx="3"/>
          <a:endCxn id="89" idx="0"/>
        </xdr:cNvCxnSpPr>
      </xdr:nvCxnSpPr>
      <xdr:spPr>
        <a:xfrm>
          <a:off x="4302008" y="3090668"/>
          <a:ext cx="1793994" cy="1233296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2377958</xdr:colOff>
      <xdr:row>12</xdr:row>
      <xdr:rowOff>121507</xdr:rowOff>
    </xdr:from>
    <xdr:to>
      <xdr:col>3</xdr:col>
      <xdr:colOff>701042</xdr:colOff>
      <xdr:row>22</xdr:row>
      <xdr:rowOff>56764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331C2F93-1E41-4BE5-8B24-35FB1E35EEBE}"/>
            </a:ext>
          </a:extLst>
        </xdr:cNvPr>
        <xdr:cNvCxnSpPr>
          <a:cxnSpLocks/>
          <a:stCxn id="44" idx="3"/>
          <a:endCxn id="89" idx="0"/>
        </xdr:cNvCxnSpPr>
      </xdr:nvCxnSpPr>
      <xdr:spPr>
        <a:xfrm>
          <a:off x="4298198" y="2483707"/>
          <a:ext cx="1797804" cy="1840257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2677230</xdr:colOff>
      <xdr:row>48</xdr:row>
      <xdr:rowOff>135368</xdr:rowOff>
    </xdr:from>
    <xdr:to>
      <xdr:col>3</xdr:col>
      <xdr:colOff>2199572</xdr:colOff>
      <xdr:row>52</xdr:row>
      <xdr:rowOff>174165</xdr:rowOff>
    </xdr:to>
    <xdr:sp macro="" textlink="">
      <xdr:nvSpPr>
        <xdr:cNvPr id="92" name="Rectangle 18">
          <a:extLst>
            <a:ext uri="{FF2B5EF4-FFF2-40B4-BE49-F238E27FC236}">
              <a16:creationId xmlns:a16="http://schemas.microsoft.com/office/drawing/2014/main" id="{84F0F956-86B3-491D-8CE2-9AE7FD6572F7}"/>
            </a:ext>
          </a:extLst>
        </xdr:cNvPr>
        <xdr:cNvSpPr/>
      </xdr:nvSpPr>
      <xdr:spPr>
        <a:xfrm>
          <a:off x="4597470" y="9355568"/>
          <a:ext cx="2997062" cy="800797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4.2: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Ligação de informação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PT" sz="10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Tabela ENTITY do Loan Tape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PT" sz="1000" b="0" u="sng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000" b="0" u="sng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</a:t>
          </a:r>
          <a:r>
            <a:rPr lang="pt-PT" sz="10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Após tratamento</a:t>
          </a:r>
          <a:r>
            <a:rPr lang="pt-PT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informação no Step 3, cruzamento direto com tabela ENTITY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701041</xdr:colOff>
      <xdr:row>43</xdr:row>
      <xdr:rowOff>177975</xdr:rowOff>
    </xdr:from>
    <xdr:to>
      <xdr:col>3</xdr:col>
      <xdr:colOff>701042</xdr:colOff>
      <xdr:row>48</xdr:row>
      <xdr:rowOff>135368</xdr:rowOff>
    </xdr:to>
    <xdr:cxnSp macro="">
      <xdr:nvCxnSpPr>
        <xdr:cNvPr id="65" name="Straight Arrow Connector 21">
          <a:extLst>
            <a:ext uri="{FF2B5EF4-FFF2-40B4-BE49-F238E27FC236}">
              <a16:creationId xmlns:a16="http://schemas.microsoft.com/office/drawing/2014/main" id="{281E8EA0-4CC6-42BA-BE0C-305FF6572DA1}"/>
            </a:ext>
          </a:extLst>
        </xdr:cNvPr>
        <xdr:cNvCxnSpPr>
          <a:stCxn id="91" idx="2"/>
          <a:endCxn id="92" idx="0"/>
        </xdr:cNvCxnSpPr>
      </xdr:nvCxnSpPr>
      <xdr:spPr>
        <a:xfrm flipH="1">
          <a:off x="6096001" y="8445675"/>
          <a:ext cx="1" cy="909893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701042</xdr:colOff>
      <xdr:row>36</xdr:row>
      <xdr:rowOff>9525</xdr:rowOff>
    </xdr:from>
    <xdr:to>
      <xdr:col>3</xdr:col>
      <xdr:colOff>701042</xdr:colOff>
      <xdr:row>39</xdr:row>
      <xdr:rowOff>137273</xdr:rowOff>
    </xdr:to>
    <xdr:cxnSp macro="">
      <xdr:nvCxnSpPr>
        <xdr:cNvPr id="72" name="Straight Arrow Connector 23">
          <a:extLst>
            <a:ext uri="{FF2B5EF4-FFF2-40B4-BE49-F238E27FC236}">
              <a16:creationId xmlns:a16="http://schemas.microsoft.com/office/drawing/2014/main" id="{2792A555-8BB1-46EB-BAC6-B1C8C25B52C2}"/>
            </a:ext>
          </a:extLst>
        </xdr:cNvPr>
        <xdr:cNvCxnSpPr>
          <a:stCxn id="90" idx="2"/>
          <a:endCxn id="91" idx="0"/>
        </xdr:cNvCxnSpPr>
      </xdr:nvCxnSpPr>
      <xdr:spPr>
        <a:xfrm>
          <a:off x="6096002" y="6943725"/>
          <a:ext cx="0" cy="699248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954672</xdr:colOff>
      <xdr:row>1</xdr:row>
      <xdr:rowOff>361523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4AE8FFED-CD48-44A0-9AFE-04AF0159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74708" cy="1775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187767</xdr:rowOff>
    </xdr:from>
    <xdr:to>
      <xdr:col>1</xdr:col>
      <xdr:colOff>954672</xdr:colOff>
      <xdr:row>1</xdr:row>
      <xdr:rowOff>360357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AA930D06-D72A-4C9B-A562-7AF794C3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7"/>
          <a:ext cx="1072803" cy="176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70</xdr:row>
      <xdr:rowOff>161925</xdr:rowOff>
    </xdr:from>
    <xdr:to>
      <xdr:col>10</xdr:col>
      <xdr:colOff>1160642</xdr:colOff>
      <xdr:row>82</xdr:row>
      <xdr:rowOff>84668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1D6240C-F581-485B-95A4-215243DADBB6}"/>
            </a:ext>
          </a:extLst>
        </xdr:cNvPr>
        <xdr:cNvGrpSpPr/>
      </xdr:nvGrpSpPr>
      <xdr:grpSpPr>
        <a:xfrm>
          <a:off x="3095625" y="13296900"/>
          <a:ext cx="11257142" cy="2246843"/>
          <a:chOff x="419100" y="13106400"/>
          <a:chExt cx="11304767" cy="224684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3A43811-489F-4C47-8ACF-7812CFBD0E3F}"/>
              </a:ext>
            </a:extLst>
          </xdr:cNvPr>
          <xdr:cNvSpPr/>
        </xdr:nvSpPr>
        <xdr:spPr>
          <a:xfrm>
            <a:off x="419100" y="13925899"/>
            <a:ext cx="2913242" cy="676275"/>
          </a:xfrm>
          <a:prstGeom prst="rect">
            <a:avLst/>
          </a:prstGeom>
          <a:solidFill>
            <a:srgbClr val="FFB9B9"/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Fontes de informação MOYR:</a:t>
            </a:r>
          </a:p>
          <a:p>
            <a:pPr algn="ctr"/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MOYR1060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MOYR1061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CT622_MOYR_IFIC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F400494-C965-4BFB-85B9-3967BE58AE15}"/>
              </a:ext>
            </a:extLst>
          </xdr:cNvPr>
          <xdr:cNvSpPr/>
        </xdr:nvSpPr>
        <xdr:spPr>
          <a:xfrm>
            <a:off x="4410075" y="13106400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TABELA1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informação e histórico capital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TMP_BCE_LT_MOYR60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885719C-D8CD-4B9A-A42B-60E81791A4EA}"/>
              </a:ext>
            </a:extLst>
          </xdr:cNvPr>
          <xdr:cNvSpPr/>
        </xdr:nvSpPr>
        <xdr:spPr>
          <a:xfrm>
            <a:off x="4410075" y="13993102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TABELA2 -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juros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TMP_BCE_LT_MOYR61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4D67A37-6493-44A0-BFEC-B468565B8D41}"/>
              </a:ext>
            </a:extLst>
          </xdr:cNvPr>
          <xdr:cNvSpPr/>
        </xdr:nvSpPr>
        <xdr:spPr>
          <a:xfrm>
            <a:off x="4410075" y="14811375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TABELA3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IFIC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TMP_BCE_LT_MOYR_IFIC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7" name="Connector: Elbow 6">
            <a:extLst>
              <a:ext uri="{FF2B5EF4-FFF2-40B4-BE49-F238E27FC236}">
                <a16:creationId xmlns:a16="http://schemas.microsoft.com/office/drawing/2014/main" id="{7BF8CFB8-36CB-422B-88E4-7B37C70EF07F}"/>
              </a:ext>
            </a:extLst>
          </xdr:cNvPr>
          <xdr:cNvCxnSpPr>
            <a:stCxn id="3" idx="3"/>
            <a:endCxn id="4" idx="1"/>
          </xdr:cNvCxnSpPr>
        </xdr:nvCxnSpPr>
        <xdr:spPr>
          <a:xfrm flipV="1">
            <a:off x="3332342" y="13377334"/>
            <a:ext cx="1077733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or: Elbow 7">
            <a:extLst>
              <a:ext uri="{FF2B5EF4-FFF2-40B4-BE49-F238E27FC236}">
                <a16:creationId xmlns:a16="http://schemas.microsoft.com/office/drawing/2014/main" id="{0068CF03-296B-44B4-9874-1640FA3EB89D}"/>
              </a:ext>
            </a:extLst>
          </xdr:cNvPr>
          <xdr:cNvCxnSpPr>
            <a:stCxn id="3" idx="3"/>
            <a:endCxn id="6" idx="1"/>
          </xdr:cNvCxnSpPr>
        </xdr:nvCxnSpPr>
        <xdr:spPr>
          <a:xfrm>
            <a:off x="3332342" y="14264037"/>
            <a:ext cx="1077733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or: Elbow 8">
            <a:extLst>
              <a:ext uri="{FF2B5EF4-FFF2-40B4-BE49-F238E27FC236}">
                <a16:creationId xmlns:a16="http://schemas.microsoft.com/office/drawing/2014/main" id="{63695D0B-9921-4E42-B0F6-1479A3AAC5E8}"/>
              </a:ext>
            </a:extLst>
          </xdr:cNvPr>
          <xdr:cNvCxnSpPr>
            <a:stCxn id="4" idx="3"/>
            <a:endCxn id="10" idx="1"/>
          </xdr:cNvCxnSpPr>
        </xdr:nvCxnSpPr>
        <xdr:spPr>
          <a:xfrm>
            <a:off x="7650075" y="13377334"/>
            <a:ext cx="1160550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4B7B603-E9D6-4C8F-BD1D-8697C027C3D1}"/>
              </a:ext>
            </a:extLst>
          </xdr:cNvPr>
          <xdr:cNvSpPr/>
        </xdr:nvSpPr>
        <xdr:spPr>
          <a:xfrm>
            <a:off x="8810625" y="13858875"/>
            <a:ext cx="2913242" cy="810323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TABELA4 -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Agregação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da informação das diferentes fontes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</a:t>
            </a:r>
          </a:p>
          <a:p>
            <a:pPr algn="ctr"/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1" name="Connector: Elbow 10">
            <a:extLst>
              <a:ext uri="{FF2B5EF4-FFF2-40B4-BE49-F238E27FC236}">
                <a16:creationId xmlns:a16="http://schemas.microsoft.com/office/drawing/2014/main" id="{0EE2C370-84F4-4660-9437-A522209F977A}"/>
              </a:ext>
            </a:extLst>
          </xdr:cNvPr>
          <xdr:cNvCxnSpPr>
            <a:stCxn id="6" idx="3"/>
            <a:endCxn id="10" idx="1"/>
          </xdr:cNvCxnSpPr>
        </xdr:nvCxnSpPr>
        <xdr:spPr>
          <a:xfrm flipV="1">
            <a:off x="7650075" y="14264037"/>
            <a:ext cx="1160550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236717</xdr:colOff>
      <xdr:row>76</xdr:row>
      <xdr:rowOff>138461</xdr:rowOff>
    </xdr:from>
    <xdr:to>
      <xdr:col>5</xdr:col>
      <xdr:colOff>1314450</xdr:colOff>
      <xdr:row>76</xdr:row>
      <xdr:rowOff>138462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63A5E42-72C6-49A2-A88D-AA6C6F596683}"/>
            </a:ext>
          </a:extLst>
        </xdr:cNvPr>
        <xdr:cNvCxnSpPr>
          <a:stCxn id="3" idx="3"/>
          <a:endCxn id="5" idx="1"/>
        </xdr:cNvCxnSpPr>
      </xdr:nvCxnSpPr>
      <xdr:spPr>
        <a:xfrm flipV="1">
          <a:off x="6008867" y="14454536"/>
          <a:ext cx="1077733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1220700</xdr:colOff>
      <xdr:row>76</xdr:row>
      <xdr:rowOff>138461</xdr:rowOff>
    </xdr:from>
    <xdr:to>
      <xdr:col>8</xdr:col>
      <xdr:colOff>1000125</xdr:colOff>
      <xdr:row>76</xdr:row>
      <xdr:rowOff>138462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502E569-3634-4FE5-9D70-EA402BD0BA73}"/>
            </a:ext>
          </a:extLst>
        </xdr:cNvPr>
        <xdr:cNvCxnSpPr>
          <a:stCxn id="5" idx="3"/>
          <a:endCxn id="10" idx="1"/>
        </xdr:cNvCxnSpPr>
      </xdr:nvCxnSpPr>
      <xdr:spPr>
        <a:xfrm>
          <a:off x="10326600" y="14454536"/>
          <a:ext cx="1160550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</xdr:colOff>
      <xdr:row>1</xdr:row>
      <xdr:rowOff>142875</xdr:rowOff>
    </xdr:from>
    <xdr:to>
      <xdr:col>1</xdr:col>
      <xdr:colOff>865579</xdr:colOff>
      <xdr:row>1</xdr:row>
      <xdr:rowOff>328060</xdr:rowOff>
    </xdr:to>
    <xdr:pic>
      <xdr:nvPicPr>
        <xdr:cNvPr id="14" name="Gráfico 10">
          <a:extLst>
            <a:ext uri="{FF2B5EF4-FFF2-40B4-BE49-F238E27FC236}">
              <a16:creationId xmlns:a16="http://schemas.microsoft.com/office/drawing/2014/main" id="{8984D730-9286-45B6-80B1-762E33175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333375"/>
          <a:ext cx="1056079" cy="1851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79</xdr:row>
      <xdr:rowOff>161925</xdr:rowOff>
    </xdr:from>
    <xdr:to>
      <xdr:col>10</xdr:col>
      <xdr:colOff>1160642</xdr:colOff>
      <xdr:row>91</xdr:row>
      <xdr:rowOff>84668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5274534-35F5-4081-93E1-BE420EB1FDE9}"/>
            </a:ext>
          </a:extLst>
        </xdr:cNvPr>
        <xdr:cNvGrpSpPr/>
      </xdr:nvGrpSpPr>
      <xdr:grpSpPr>
        <a:xfrm>
          <a:off x="3097742" y="20217342"/>
          <a:ext cx="11609567" cy="2251076"/>
          <a:chOff x="419100" y="13106400"/>
          <a:chExt cx="11304767" cy="224684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C2CEF9F-E884-4AAD-A8FA-70A35D255ADE}"/>
              </a:ext>
            </a:extLst>
          </xdr:cNvPr>
          <xdr:cNvSpPr/>
        </xdr:nvSpPr>
        <xdr:spPr>
          <a:xfrm>
            <a:off x="419100" y="13925899"/>
            <a:ext cx="2913242" cy="676275"/>
          </a:xfrm>
          <a:prstGeom prst="rect">
            <a:avLst/>
          </a:prstGeom>
          <a:solidFill>
            <a:srgbClr val="FFB9B9"/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Fontes de informação MOYR:</a:t>
            </a:r>
          </a:p>
          <a:p>
            <a:pPr algn="ctr"/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MOYR1060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MOYR1061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CT622_MOYR_IFIC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31EDDCB-A72D-4732-80D8-73AE7E0B805A}"/>
              </a:ext>
            </a:extLst>
          </xdr:cNvPr>
          <xdr:cNvSpPr/>
        </xdr:nvSpPr>
        <xdr:spPr>
          <a:xfrm>
            <a:off x="4410075" y="13106400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TABELA1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informação e histórico capital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TMP_BCE_LT_MOYR60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26F64C3-16F5-4A28-BCF0-68DAEF114D77}"/>
              </a:ext>
            </a:extLst>
          </xdr:cNvPr>
          <xdr:cNvSpPr/>
        </xdr:nvSpPr>
        <xdr:spPr>
          <a:xfrm>
            <a:off x="4410075" y="13993102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TABELA2 -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juros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TMP_BCE_LT_MOYR61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01F27DD-CFE0-4075-8912-36E1A9363D6F}"/>
              </a:ext>
            </a:extLst>
          </xdr:cNvPr>
          <xdr:cNvSpPr/>
        </xdr:nvSpPr>
        <xdr:spPr>
          <a:xfrm>
            <a:off x="4410075" y="14811375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TABELA3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IFIC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TMP_BCE_LT_MOYR_IFIC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7" name="Connector: Elbow 6">
            <a:extLst>
              <a:ext uri="{FF2B5EF4-FFF2-40B4-BE49-F238E27FC236}">
                <a16:creationId xmlns:a16="http://schemas.microsoft.com/office/drawing/2014/main" id="{9F471EE5-78DC-43F0-9A38-76B58E19BD91}"/>
              </a:ext>
            </a:extLst>
          </xdr:cNvPr>
          <xdr:cNvCxnSpPr>
            <a:stCxn id="3" idx="3"/>
            <a:endCxn id="4" idx="1"/>
          </xdr:cNvCxnSpPr>
        </xdr:nvCxnSpPr>
        <xdr:spPr>
          <a:xfrm flipV="1">
            <a:off x="3332342" y="13377334"/>
            <a:ext cx="1077733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or: Elbow 7">
            <a:extLst>
              <a:ext uri="{FF2B5EF4-FFF2-40B4-BE49-F238E27FC236}">
                <a16:creationId xmlns:a16="http://schemas.microsoft.com/office/drawing/2014/main" id="{C47B9F80-8E45-4E7D-933D-81FF024ADA74}"/>
              </a:ext>
            </a:extLst>
          </xdr:cNvPr>
          <xdr:cNvCxnSpPr>
            <a:stCxn id="3" idx="3"/>
            <a:endCxn id="6" idx="1"/>
          </xdr:cNvCxnSpPr>
        </xdr:nvCxnSpPr>
        <xdr:spPr>
          <a:xfrm>
            <a:off x="3332342" y="14264037"/>
            <a:ext cx="1077733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or: Elbow 8">
            <a:extLst>
              <a:ext uri="{FF2B5EF4-FFF2-40B4-BE49-F238E27FC236}">
                <a16:creationId xmlns:a16="http://schemas.microsoft.com/office/drawing/2014/main" id="{C2745D1C-31A4-40E3-91B9-BCD4674EEF40}"/>
              </a:ext>
            </a:extLst>
          </xdr:cNvPr>
          <xdr:cNvCxnSpPr>
            <a:stCxn id="4" idx="3"/>
            <a:endCxn id="10" idx="1"/>
          </xdr:cNvCxnSpPr>
        </xdr:nvCxnSpPr>
        <xdr:spPr>
          <a:xfrm>
            <a:off x="7650075" y="13377334"/>
            <a:ext cx="1160550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D3A6644C-99FF-4AE1-B230-ADAE89A5BB6F}"/>
              </a:ext>
            </a:extLst>
          </xdr:cNvPr>
          <xdr:cNvSpPr/>
        </xdr:nvSpPr>
        <xdr:spPr>
          <a:xfrm>
            <a:off x="8810625" y="13858875"/>
            <a:ext cx="2913242" cy="810323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TABELA4 -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Agregação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da informação das diferentes fontes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</a:t>
            </a:r>
          </a:p>
          <a:p>
            <a:pPr algn="ctr"/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1" name="Connector: Elbow 10">
            <a:extLst>
              <a:ext uri="{FF2B5EF4-FFF2-40B4-BE49-F238E27FC236}">
                <a16:creationId xmlns:a16="http://schemas.microsoft.com/office/drawing/2014/main" id="{1DCCC4A4-FC5D-4103-A31A-7F3194CC9B25}"/>
              </a:ext>
            </a:extLst>
          </xdr:cNvPr>
          <xdr:cNvCxnSpPr>
            <a:stCxn id="6" idx="3"/>
            <a:endCxn id="10" idx="1"/>
          </xdr:cNvCxnSpPr>
        </xdr:nvCxnSpPr>
        <xdr:spPr>
          <a:xfrm flipV="1">
            <a:off x="7650075" y="14264037"/>
            <a:ext cx="1160550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236717</xdr:colOff>
      <xdr:row>85</xdr:row>
      <xdr:rowOff>138461</xdr:rowOff>
    </xdr:from>
    <xdr:to>
      <xdr:col>5</xdr:col>
      <xdr:colOff>1314450</xdr:colOff>
      <xdr:row>85</xdr:row>
      <xdr:rowOff>138462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CCDB636-EFD9-4E24-842E-99FFFAD70EA3}"/>
            </a:ext>
          </a:extLst>
        </xdr:cNvPr>
        <xdr:cNvCxnSpPr>
          <a:stCxn id="3" idx="3"/>
          <a:endCxn id="5" idx="1"/>
        </xdr:cNvCxnSpPr>
      </xdr:nvCxnSpPr>
      <xdr:spPr>
        <a:xfrm flipV="1">
          <a:off x="6008867" y="14635511"/>
          <a:ext cx="1077733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27563</xdr:colOff>
      <xdr:row>85</xdr:row>
      <xdr:rowOff>142800</xdr:rowOff>
    </xdr:from>
    <xdr:to>
      <xdr:col>8</xdr:col>
      <xdr:colOff>1261972</xdr:colOff>
      <xdr:row>85</xdr:row>
      <xdr:rowOff>142801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226F67C-066A-4494-8D49-B43A45624DAA}"/>
            </a:ext>
          </a:extLst>
        </xdr:cNvPr>
        <xdr:cNvCxnSpPr>
          <a:stCxn id="5" idx="3"/>
          <a:endCxn id="10" idx="1"/>
        </xdr:cNvCxnSpPr>
      </xdr:nvCxnSpPr>
      <xdr:spPr>
        <a:xfrm>
          <a:off x="10843730" y="20843800"/>
          <a:ext cx="1234409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188595</xdr:rowOff>
    </xdr:from>
    <xdr:to>
      <xdr:col>1</xdr:col>
      <xdr:colOff>950880</xdr:colOff>
      <xdr:row>1</xdr:row>
      <xdr:rowOff>361185</xdr:rowOff>
    </xdr:to>
    <xdr:pic>
      <xdr:nvPicPr>
        <xdr:cNvPr id="37" name="Gráfico 10">
          <a:extLst>
            <a:ext uri="{FF2B5EF4-FFF2-40B4-BE49-F238E27FC236}">
              <a16:creationId xmlns:a16="http://schemas.microsoft.com/office/drawing/2014/main" id="{C17A91C5-6FE6-4650-8B69-76CB9F6E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79095"/>
          <a:ext cx="1072800" cy="176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954672</xdr:colOff>
      <xdr:row>1</xdr:row>
      <xdr:rowOff>360358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BA3BAB81-CFD1-4ADA-8D2F-026B645A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72803" cy="176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188595</xdr:rowOff>
    </xdr:from>
    <xdr:to>
      <xdr:col>1</xdr:col>
      <xdr:colOff>950880</xdr:colOff>
      <xdr:row>1</xdr:row>
      <xdr:rowOff>364995</xdr:rowOff>
    </xdr:to>
    <xdr:pic>
      <xdr:nvPicPr>
        <xdr:cNvPr id="14" name="Gráfico 10">
          <a:extLst>
            <a:ext uri="{FF2B5EF4-FFF2-40B4-BE49-F238E27FC236}">
              <a16:creationId xmlns:a16="http://schemas.microsoft.com/office/drawing/2014/main" id="{0A5BD1E7-E9B2-4350-93C7-9C53D18D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79095"/>
          <a:ext cx="1072800" cy="1725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187767</xdr:rowOff>
    </xdr:from>
    <xdr:to>
      <xdr:col>1</xdr:col>
      <xdr:colOff>954672</xdr:colOff>
      <xdr:row>1</xdr:row>
      <xdr:rowOff>360357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9375193C-B2DE-4533-A0FF-B2A9EDA36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7"/>
          <a:ext cx="1072803" cy="176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954669</xdr:colOff>
      <xdr:row>1</xdr:row>
      <xdr:rowOff>365333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7564D234-1DCC-4BBB-B08E-BC060D78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72800" cy="1775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151344</xdr:colOff>
      <xdr:row>1</xdr:row>
      <xdr:rowOff>191558</xdr:rowOff>
    </xdr:from>
    <xdr:to>
      <xdr:col>1</xdr:col>
      <xdr:colOff>949824</xdr:colOff>
      <xdr:row>1</xdr:row>
      <xdr:rowOff>360338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8B63A3D8-E687-4F37-A202-5178AB10C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344" y="382058"/>
          <a:ext cx="1065180" cy="1687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363090</xdr:rowOff>
    </xdr:to>
    <xdr:pic>
      <xdr:nvPicPr>
        <xdr:cNvPr id="34" name="Gráfico 10">
          <a:extLst>
            <a:ext uri="{FF2B5EF4-FFF2-40B4-BE49-F238E27FC236}">
              <a16:creationId xmlns:a16="http://schemas.microsoft.com/office/drawing/2014/main" id="{622BA450-0767-42CC-9183-B88A9E2E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359280</xdr:rowOff>
    </xdr:to>
    <xdr:pic>
      <xdr:nvPicPr>
        <xdr:cNvPr id="45" name="Gráfico 10">
          <a:extLst>
            <a:ext uri="{FF2B5EF4-FFF2-40B4-BE49-F238E27FC236}">
              <a16:creationId xmlns:a16="http://schemas.microsoft.com/office/drawing/2014/main" id="{62A28280-E7B4-4F61-8756-010C0098B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359280</xdr:rowOff>
    </xdr:to>
    <xdr:pic>
      <xdr:nvPicPr>
        <xdr:cNvPr id="29" name="Gráfico 10">
          <a:extLst>
            <a:ext uri="{FF2B5EF4-FFF2-40B4-BE49-F238E27FC236}">
              <a16:creationId xmlns:a16="http://schemas.microsoft.com/office/drawing/2014/main" id="{272DC27C-2873-4C15-BEC8-A5772C78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1076293</xdr:colOff>
      <xdr:row>1</xdr:row>
      <xdr:rowOff>168780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D8CD2943-3671-4303-A1A1-44912A54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4320" y="190500"/>
          <a:ext cx="1076293" cy="1687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1076293</xdr:colOff>
      <xdr:row>1</xdr:row>
      <xdr:rowOff>168780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3E148EE2-690E-49DD-9B58-C6C44613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9400" y="190500"/>
          <a:ext cx="1076293" cy="1687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359280</xdr:rowOff>
    </xdr:to>
    <xdr:pic>
      <xdr:nvPicPr>
        <xdr:cNvPr id="57" name="Gráfico 10">
          <a:extLst>
            <a:ext uri="{FF2B5EF4-FFF2-40B4-BE49-F238E27FC236}">
              <a16:creationId xmlns:a16="http://schemas.microsoft.com/office/drawing/2014/main" id="{166C0B24-F4E9-4D6F-9950-4A263AFF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856B7F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sites/BSPilar3ESG/Shared%20Documents/General/07.%20Entreg&#225;veis%20Dez23/Worksheet%20in%205215%20Carteira%20de%20T&#237;tul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BSLoanTapeBCE/Shared%20Documents/General/03.%20Loan%20Tape/02.%20Documenta&#231;&#227;o%20Trabalho/02.%20Especifica&#231;&#227;o/Enviado%20a%20IT/20250624/Especifica&#231;&#227;o%20-%20BCE%20Loan%20Tape%20v10.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80A929\5221%20Carteira%20de%20Titulos%20_%2031.12.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BSLoanTapeBCE/Shared%20Documents/General/03.%20Loan%20Tape/02.%20Documenta&#231;&#227;o%20Trabalho/02.%20Especifica&#231;&#227;o/Enviado%20a%20IT/20250624/Especifica&#231;&#227;o%20-%20BCE%20Loan%20Tape%20v6.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2BD4D9\5520%20An&#225;lise%20da%20Carteira%20Pr&#243;pria%20de%20T&#237;tulos%20a%2031-12-2004_BS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550%20Participa&#231;&#245;es%20financeiras%20BSP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550%20Detalhe%20das%20participa&#231;&#245;es%20financeira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ntity"/>
      <sheetName val="Instrument"/>
      <sheetName val="Protection"/>
      <sheetName val="Instr_Protection"/>
      <sheetName val="Instr_Entity"/>
      <sheetName val="EF - Code List"/>
      <sheetName val="Code List"/>
      <sheetName val="Sheet1"/>
      <sheetName val="Tabelas AUX"/>
      <sheetName val="Especificação - BCE Loan Tape 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ntity"/>
      <sheetName val="Instrument"/>
      <sheetName val="Protection"/>
      <sheetName val="Instr_Protection"/>
      <sheetName val="Instr_Entity"/>
      <sheetName val="Code List"/>
      <sheetName val="EF - Code List"/>
      <sheetName val="TMP"/>
      <sheetName val="Data validation"/>
      <sheetName val="Especificação - BCE Loan Tape 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  <sheetName val="Nota 10 _2004_M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  <pageSetUpPr autoPageBreaks="0"/>
  </sheetPr>
  <dimension ref="A1:P46"/>
  <sheetViews>
    <sheetView showGridLines="0" zoomScale="80" zoomScaleNormal="80" workbookViewId="0"/>
  </sheetViews>
  <sheetFormatPr defaultColWidth="0" defaultRowHeight="0" customHeight="1" zeroHeight="1"/>
  <cols>
    <col min="1" max="1" width="3.5703125" style="49" customWidth="1"/>
    <col min="2" max="14" width="9.42578125" style="49" customWidth="1"/>
    <col min="15" max="15" width="8.5703125" style="49" customWidth="1"/>
    <col min="16" max="16" width="5.5703125" style="49" customWidth="1"/>
    <col min="17" max="16384" width="9.42578125" style="49" hidden="1"/>
  </cols>
  <sheetData>
    <row r="1" spans="2:9" ht="28.5" customHeight="1">
      <c r="B1" s="166"/>
      <c r="C1" s="166"/>
      <c r="D1" s="166"/>
      <c r="E1" s="166"/>
      <c r="F1" s="166"/>
      <c r="G1" s="166"/>
      <c r="H1" s="166"/>
      <c r="I1" s="166"/>
    </row>
    <row r="2" spans="2:9" ht="12.75">
      <c r="B2" s="166"/>
      <c r="C2" s="166"/>
      <c r="D2" s="166"/>
      <c r="E2" s="166"/>
      <c r="F2" s="166"/>
      <c r="G2" s="166"/>
      <c r="H2" s="166"/>
      <c r="I2" s="166"/>
    </row>
    <row r="3" spans="2:9" ht="12.75">
      <c r="B3" s="166"/>
      <c r="C3" s="166"/>
      <c r="D3" s="166"/>
      <c r="E3" s="166"/>
      <c r="F3" s="166"/>
      <c r="G3" s="166"/>
      <c r="H3" s="166"/>
      <c r="I3" s="166"/>
    </row>
    <row r="4" spans="2:9" ht="47.25">
      <c r="B4" s="50" t="s">
        <v>0</v>
      </c>
      <c r="C4" s="166"/>
      <c r="D4" s="166"/>
      <c r="E4" s="166"/>
      <c r="F4" s="166"/>
      <c r="G4" s="166"/>
      <c r="H4" s="166"/>
      <c r="I4" s="166"/>
    </row>
    <row r="5" spans="2:9" ht="18">
      <c r="B5" s="63" t="s">
        <v>1</v>
      </c>
      <c r="C5" s="166"/>
      <c r="D5" s="166"/>
      <c r="E5" s="166"/>
      <c r="F5" s="166"/>
      <c r="G5" s="166"/>
      <c r="H5" s="166"/>
      <c r="I5" s="166"/>
    </row>
    <row r="6" spans="2:9" ht="13.5" thickBot="1">
      <c r="B6" s="167"/>
      <c r="C6" s="167"/>
      <c r="D6" s="167"/>
      <c r="E6" s="167"/>
      <c r="F6" s="167"/>
      <c r="G6" s="167"/>
      <c r="H6" s="167"/>
      <c r="I6" s="167"/>
    </row>
    <row r="7" spans="2:9" ht="15">
      <c r="B7" s="166"/>
      <c r="C7" s="166"/>
      <c r="D7" s="166"/>
      <c r="E7" s="166"/>
      <c r="F7" s="51"/>
      <c r="G7" s="166"/>
      <c r="H7" s="166"/>
      <c r="I7" s="166"/>
    </row>
    <row r="8" spans="2:9" ht="12.75">
      <c r="B8" s="192" t="s">
        <v>865</v>
      </c>
      <c r="C8" s="166"/>
      <c r="D8" s="166"/>
      <c r="E8" s="166"/>
      <c r="F8" s="166"/>
      <c r="G8" s="166"/>
      <c r="H8" s="166"/>
      <c r="I8" s="166"/>
    </row>
    <row r="9" spans="2:9" ht="12.75">
      <c r="B9" s="166"/>
      <c r="C9" s="166"/>
      <c r="D9" s="166"/>
      <c r="E9" s="166"/>
      <c r="F9" s="166"/>
      <c r="G9" s="166"/>
      <c r="H9" s="166"/>
      <c r="I9" s="166"/>
    </row>
    <row r="10" spans="2:9" ht="12.75">
      <c r="B10" s="166"/>
      <c r="C10" s="166"/>
      <c r="D10" s="166"/>
      <c r="E10" s="166"/>
      <c r="F10" s="166"/>
      <c r="G10" s="166"/>
      <c r="H10" s="166"/>
      <c r="I10" s="166"/>
    </row>
    <row r="11" spans="2:9" ht="12.75">
      <c r="B11" s="166"/>
      <c r="C11" s="166"/>
      <c r="D11" s="166"/>
      <c r="E11" s="166"/>
      <c r="F11" s="166"/>
      <c r="G11" s="166"/>
      <c r="H11" s="166"/>
      <c r="I11" s="166"/>
    </row>
    <row r="12" spans="2:9" ht="13.5" customHeight="1">
      <c r="B12" s="166"/>
      <c r="C12" s="166"/>
      <c r="D12" s="166"/>
      <c r="E12" s="166"/>
      <c r="F12" s="166"/>
      <c r="G12" s="166"/>
      <c r="H12" s="166"/>
      <c r="I12" s="166"/>
    </row>
    <row r="13" spans="2:9" ht="12.75">
      <c r="B13" s="166"/>
      <c r="C13" s="166"/>
      <c r="D13" s="166"/>
      <c r="E13" s="166"/>
      <c r="F13" s="166"/>
      <c r="G13" s="166"/>
      <c r="H13" s="166"/>
      <c r="I13" s="166"/>
    </row>
    <row r="14" spans="2:9" ht="12.75">
      <c r="B14" s="166"/>
      <c r="C14" s="166"/>
      <c r="D14" s="166"/>
      <c r="E14" s="166"/>
      <c r="F14" s="166"/>
      <c r="G14" s="166"/>
      <c r="H14" s="166"/>
      <c r="I14" s="166"/>
    </row>
    <row r="15" spans="2:9" ht="12.75">
      <c r="B15" s="166"/>
      <c r="C15" s="166"/>
      <c r="D15" s="166"/>
      <c r="E15" s="166"/>
      <c r="F15" s="166"/>
      <c r="G15" s="166"/>
      <c r="H15" s="166"/>
      <c r="I15" s="166"/>
    </row>
    <row r="16" spans="2:9" ht="12.75">
      <c r="B16" s="166"/>
      <c r="C16" s="166"/>
      <c r="D16" s="166"/>
      <c r="E16" s="166"/>
      <c r="F16" s="166"/>
      <c r="G16" s="166"/>
      <c r="H16" s="166"/>
      <c r="I16" s="166"/>
    </row>
    <row r="17" spans="13:15" s="52" customFormat="1" ht="13.5" customHeight="1">
      <c r="O17" s="53"/>
    </row>
    <row r="18" spans="13:15" s="54" customFormat="1" ht="13.5" customHeight="1">
      <c r="O18" s="55"/>
    </row>
    <row r="19" spans="13:15" ht="12.75">
      <c r="M19" s="166"/>
      <c r="N19" s="166"/>
      <c r="O19" s="56"/>
    </row>
    <row r="20" spans="13:15" ht="12.75">
      <c r="M20" s="166"/>
      <c r="N20" s="166"/>
      <c r="O20" s="56"/>
    </row>
    <row r="21" spans="13:15" ht="15.75">
      <c r="M21" s="166"/>
      <c r="N21" s="166"/>
      <c r="O21" s="57"/>
    </row>
    <row r="22" spans="13:15" ht="12.75">
      <c r="M22" s="166"/>
      <c r="N22" s="166"/>
      <c r="O22" s="58"/>
    </row>
    <row r="23" spans="13:15" ht="12.75">
      <c r="M23" s="166"/>
      <c r="N23" s="166"/>
      <c r="O23" s="58"/>
    </row>
    <row r="24" spans="13:15" ht="15.75">
      <c r="M24" s="166"/>
      <c r="N24" s="166"/>
      <c r="O24" s="59"/>
    </row>
    <row r="25" spans="13:15" ht="12.75">
      <c r="M25" s="166"/>
      <c r="N25" s="166"/>
      <c r="O25" s="56"/>
    </row>
    <row r="26" spans="13:15" ht="12.75">
      <c r="M26" s="166"/>
      <c r="N26" s="166"/>
      <c r="O26" s="56"/>
    </row>
    <row r="27" spans="13:15" ht="12.75">
      <c r="M27" s="166"/>
      <c r="N27" s="166"/>
      <c r="O27" s="56"/>
    </row>
    <row r="28" spans="13:15" ht="12.75">
      <c r="M28" s="166"/>
      <c r="N28" s="166"/>
      <c r="O28" s="56"/>
    </row>
    <row r="29" spans="13:15" ht="12.75">
      <c r="M29" s="166"/>
      <c r="N29" s="166"/>
      <c r="O29" s="56"/>
    </row>
    <row r="30" spans="13:15" ht="12.75">
      <c r="M30" s="166"/>
      <c r="N30" s="166"/>
      <c r="O30" s="56"/>
    </row>
    <row r="31" spans="13:15" ht="12.75">
      <c r="M31" s="166"/>
      <c r="N31" s="166"/>
      <c r="O31" s="56"/>
    </row>
    <row r="32" spans="13:15" ht="12.75">
      <c r="M32" s="60"/>
      <c r="N32" s="61"/>
      <c r="O32" s="62"/>
    </row>
    <row r="33" ht="12.75"/>
    <row r="34" ht="12.75" hidden="1"/>
    <row r="35" ht="12.75" hidden="1"/>
    <row r="36" ht="12.75" hidden="1"/>
    <row r="37" ht="12.75" hidden="1"/>
    <row r="38" ht="12.75" hidden="1"/>
    <row r="39" ht="12.75" hidden="1"/>
    <row r="40" ht="12.75" hidden="1"/>
    <row r="41" ht="12.75" hidden="1"/>
    <row r="42" ht="12.75" hidden="1"/>
    <row r="43" ht="12.75" hidden="1"/>
    <row r="44" ht="12.75" hidden="1"/>
    <row r="45" ht="12.75" hidden="1"/>
    <row r="46" ht="12.75" customHeight="1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  <pageSetUpPr autoPageBreaks="0"/>
  </sheetPr>
  <dimension ref="A2:D28"/>
  <sheetViews>
    <sheetView showGridLines="0" zoomScaleNormal="100" workbookViewId="0">
      <pane ySplit="3" topLeftCell="A11" activePane="bottomLeft" state="frozen"/>
      <selection activeCell="A6" sqref="A6"/>
      <selection pane="bottomLeft" activeCell="A4" sqref="A4"/>
    </sheetView>
  </sheetViews>
  <sheetFormatPr defaultColWidth="0" defaultRowHeight="15" customHeight="1"/>
  <cols>
    <col min="1" max="1" width="4" style="1" customWidth="1"/>
    <col min="2" max="2" width="50.5703125" style="1" customWidth="1"/>
    <col min="3" max="3" width="82.42578125" bestFit="1" customWidth="1"/>
    <col min="4" max="4" width="3.5703125" style="1" customWidth="1"/>
    <col min="5" max="16384" width="8.5703125" hidden="1"/>
  </cols>
  <sheetData>
    <row r="2" spans="1:4" ht="34.5" customHeight="1">
      <c r="C2" s="2"/>
    </row>
    <row r="3" spans="1:4" ht="2.25" customHeight="1">
      <c r="A3" s="3"/>
      <c r="B3" s="3"/>
      <c r="C3" s="4"/>
      <c r="D3" s="3"/>
    </row>
    <row r="4" spans="1:4" ht="15" customHeight="1">
      <c r="C4" s="1"/>
    </row>
    <row r="5" spans="1:4" s="24" customFormat="1" ht="15" customHeight="1">
      <c r="A5" s="168"/>
      <c r="B5" s="27" t="s">
        <v>2</v>
      </c>
      <c r="C5" s="169"/>
      <c r="D5" s="168"/>
    </row>
    <row r="6" spans="1:4" s="24" customFormat="1" ht="15" customHeight="1">
      <c r="A6" s="168"/>
      <c r="B6" s="168"/>
      <c r="C6" s="168"/>
      <c r="D6" s="168"/>
    </row>
    <row r="7" spans="1:4" s="1" customFormat="1">
      <c r="B7" s="5" t="s">
        <v>3</v>
      </c>
      <c r="C7" s="5" t="s">
        <v>4</v>
      </c>
    </row>
    <row r="8" spans="1:4" s="1" customFormat="1" ht="20.85" customHeight="1">
      <c r="B8" s="6" t="s">
        <v>5</v>
      </c>
      <c r="C8" s="26" t="s">
        <v>6</v>
      </c>
    </row>
    <row r="9" spans="1:4" s="1" customFormat="1" ht="20.85" customHeight="1">
      <c r="B9" s="48" t="s">
        <v>7</v>
      </c>
      <c r="C9" s="26" t="s">
        <v>8</v>
      </c>
    </row>
    <row r="10" spans="1:4" s="1" customFormat="1" ht="20.85" customHeight="1">
      <c r="B10" s="48" t="s">
        <v>9</v>
      </c>
      <c r="C10" s="26" t="s">
        <v>10</v>
      </c>
    </row>
    <row r="11" spans="1:4" s="1" customFormat="1" ht="20.85" customHeight="1">
      <c r="B11" s="6" t="s">
        <v>11</v>
      </c>
      <c r="C11" s="26"/>
    </row>
    <row r="12" spans="1:4" s="1" customFormat="1" ht="20.85" customHeight="1">
      <c r="A12" s="14"/>
      <c r="B12" s="6" t="s">
        <v>12</v>
      </c>
      <c r="C12" s="26"/>
    </row>
    <row r="13" spans="1:4" s="1" customFormat="1" ht="20.85" customHeight="1">
      <c r="A13" s="14"/>
      <c r="B13" s="6" t="s">
        <v>13</v>
      </c>
      <c r="C13" s="26"/>
    </row>
    <row r="14" spans="1:4" s="1" customFormat="1" ht="20.85" customHeight="1">
      <c r="A14" s="14"/>
      <c r="B14" s="6" t="s">
        <v>14</v>
      </c>
      <c r="C14" s="26"/>
    </row>
    <row r="15" spans="1:4" s="1" customFormat="1" ht="20.85" customHeight="1">
      <c r="A15" s="14"/>
      <c r="B15" s="6" t="s">
        <v>15</v>
      </c>
      <c r="C15" s="26"/>
    </row>
    <row r="16" spans="1:4" s="1" customFormat="1">
      <c r="A16" s="14"/>
      <c r="B16" s="6" t="s">
        <v>16</v>
      </c>
      <c r="C16" s="26" t="s">
        <v>17</v>
      </c>
    </row>
    <row r="17" spans="1:3" s="1" customFormat="1">
      <c r="A17" s="14"/>
      <c r="B17" s="6" t="s">
        <v>18</v>
      </c>
      <c r="C17" s="26" t="s">
        <v>19</v>
      </c>
    </row>
    <row r="18" spans="1:3" s="1" customFormat="1" ht="15" customHeight="1">
      <c r="B18" s="6" t="s">
        <v>20</v>
      </c>
      <c r="C18" s="26" t="s">
        <v>21</v>
      </c>
    </row>
    <row r="19" spans="1:3" s="1" customFormat="1">
      <c r="B19" s="6" t="s">
        <v>22</v>
      </c>
      <c r="C19" s="26" t="s">
        <v>23</v>
      </c>
    </row>
    <row r="20" spans="1:3" s="1" customFormat="1">
      <c r="B20" s="6" t="s">
        <v>24</v>
      </c>
      <c r="C20" s="26" t="s">
        <v>25</v>
      </c>
    </row>
    <row r="21" spans="1:3" s="1" customFormat="1">
      <c r="C21"/>
    </row>
    <row r="22" spans="1:3" s="1" customFormat="1" ht="15" customHeight="1">
      <c r="C22"/>
    </row>
    <row r="23" spans="1:3" s="1" customFormat="1" ht="15" customHeight="1">
      <c r="C23"/>
    </row>
    <row r="24" spans="1:3" s="1" customFormat="1" ht="15" customHeight="1">
      <c r="C24"/>
    </row>
    <row r="25" spans="1:3" s="1" customFormat="1" ht="15" customHeight="1">
      <c r="C25"/>
    </row>
    <row r="26" spans="1:3" s="1" customFormat="1" ht="15" customHeight="1">
      <c r="C26"/>
    </row>
    <row r="27" spans="1:3" s="1" customFormat="1" ht="15" customHeight="1">
      <c r="C27"/>
    </row>
    <row r="28" spans="1:3" s="1" customFormat="1" ht="23.25" customHeight="1">
      <c r="C28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  <pageSetUpPr autoPageBreaks="0"/>
  </sheetPr>
  <dimension ref="A2:E38"/>
  <sheetViews>
    <sheetView showGridLines="0" zoomScaleNormal="100" workbookViewId="0">
      <pane ySplit="3" topLeftCell="A28" activePane="bottomLeft" state="frozen"/>
      <selection activeCell="A6" sqref="A6"/>
      <selection pane="bottomLeft" activeCell="D38" sqref="D38"/>
    </sheetView>
  </sheetViews>
  <sheetFormatPr defaultColWidth="0" defaultRowHeight="15" customHeight="1"/>
  <cols>
    <col min="1" max="1" width="4" style="1" customWidth="1"/>
    <col min="2" max="3" width="30.5703125" style="1" customWidth="1"/>
    <col min="4" max="4" width="82.42578125" bestFit="1" customWidth="1"/>
    <col min="5" max="5" width="3.5703125" style="1" customWidth="1"/>
    <col min="6" max="16384" width="8.5703125" hidden="1"/>
  </cols>
  <sheetData>
    <row r="2" spans="1:5" ht="34.5" customHeight="1">
      <c r="D2" s="2"/>
    </row>
    <row r="3" spans="1:5" ht="2.25" customHeight="1">
      <c r="A3" s="3"/>
      <c r="B3" s="3"/>
      <c r="C3" s="3"/>
      <c r="D3" s="4"/>
      <c r="E3" s="3"/>
    </row>
    <row r="4" spans="1:5" ht="15" customHeight="1">
      <c r="D4" s="1"/>
    </row>
    <row r="5" spans="1:5" s="24" customFormat="1" ht="15" customHeight="1">
      <c r="A5" s="168"/>
      <c r="B5" s="27" t="s">
        <v>26</v>
      </c>
      <c r="C5" s="25"/>
      <c r="D5" s="169"/>
      <c r="E5" s="168"/>
    </row>
    <row r="6" spans="1:5" s="24" customFormat="1" ht="15" customHeight="1">
      <c r="A6" s="168"/>
      <c r="B6" s="168"/>
      <c r="C6" s="168"/>
      <c r="D6" s="168"/>
      <c r="E6" s="168"/>
    </row>
    <row r="7" spans="1:5" s="1" customFormat="1">
      <c r="B7" s="5" t="s">
        <v>27</v>
      </c>
      <c r="C7" s="5" t="s">
        <v>28</v>
      </c>
      <c r="D7" s="5" t="s">
        <v>4</v>
      </c>
    </row>
    <row r="8" spans="1:5" s="1" customFormat="1" ht="20.85" customHeight="1">
      <c r="B8" s="48" t="s">
        <v>29</v>
      </c>
      <c r="C8" s="64">
        <v>44313</v>
      </c>
      <c r="D8" s="26" t="s">
        <v>30</v>
      </c>
    </row>
    <row r="9" spans="1:5" s="1" customFormat="1" ht="20.85" customHeight="1">
      <c r="B9" s="48" t="s">
        <v>29</v>
      </c>
      <c r="C9" s="64">
        <v>44316</v>
      </c>
      <c r="D9" s="26" t="s">
        <v>31</v>
      </c>
    </row>
    <row r="10" spans="1:5" s="1" customFormat="1" ht="20.85" customHeight="1">
      <c r="B10" s="48" t="s">
        <v>29</v>
      </c>
      <c r="C10" s="64">
        <v>44323</v>
      </c>
      <c r="D10" s="26" t="s">
        <v>32</v>
      </c>
    </row>
    <row r="11" spans="1:5" s="1" customFormat="1" ht="20.85" customHeight="1">
      <c r="B11" s="48" t="s">
        <v>29</v>
      </c>
      <c r="C11" s="64">
        <v>44330</v>
      </c>
      <c r="D11" s="26" t="s">
        <v>33</v>
      </c>
    </row>
    <row r="12" spans="1:5" s="1" customFormat="1" ht="20.85" customHeight="1">
      <c r="B12" s="48" t="s">
        <v>29</v>
      </c>
      <c r="C12" s="89">
        <v>44343</v>
      </c>
      <c r="D12" s="26" t="s">
        <v>34</v>
      </c>
    </row>
    <row r="13" spans="1:5" s="1" customFormat="1" ht="20.85" customHeight="1">
      <c r="B13" s="48" t="s">
        <v>29</v>
      </c>
      <c r="C13" s="89">
        <v>44343</v>
      </c>
      <c r="D13" s="26" t="s">
        <v>35</v>
      </c>
    </row>
    <row r="14" spans="1:5" s="1" customFormat="1" ht="20.85" customHeight="1">
      <c r="B14" s="48" t="s">
        <v>29</v>
      </c>
      <c r="C14" s="89">
        <v>44399</v>
      </c>
      <c r="D14" s="26" t="s">
        <v>36</v>
      </c>
    </row>
    <row r="15" spans="1:5" s="1" customFormat="1" ht="20.85" customHeight="1">
      <c r="B15" s="48" t="s">
        <v>29</v>
      </c>
      <c r="C15" s="89">
        <v>44419</v>
      </c>
      <c r="D15" s="26" t="s">
        <v>37</v>
      </c>
    </row>
    <row r="16" spans="1:5" s="1" customFormat="1" ht="20.85" customHeight="1">
      <c r="A16" s="14"/>
      <c r="B16" s="48" t="s">
        <v>29</v>
      </c>
      <c r="C16" s="89">
        <v>44540</v>
      </c>
      <c r="D16" s="26" t="s">
        <v>38</v>
      </c>
    </row>
    <row r="17" spans="1:4" s="1" customFormat="1" ht="20.85" customHeight="1">
      <c r="A17" s="14"/>
      <c r="B17" s="48" t="s">
        <v>29</v>
      </c>
      <c r="C17" s="89">
        <v>44550</v>
      </c>
      <c r="D17" s="26" t="s">
        <v>39</v>
      </c>
    </row>
    <row r="18" spans="1:4" s="1" customFormat="1" ht="20.85" customHeight="1">
      <c r="A18" s="14"/>
      <c r="B18" s="48" t="s">
        <v>29</v>
      </c>
      <c r="C18" s="89">
        <v>44606</v>
      </c>
      <c r="D18" s="26" t="s">
        <v>40</v>
      </c>
    </row>
    <row r="19" spans="1:4" s="1" customFormat="1" ht="20.85" customHeight="1">
      <c r="A19" s="14"/>
      <c r="B19" s="48" t="s">
        <v>29</v>
      </c>
      <c r="C19" s="89">
        <v>44610</v>
      </c>
      <c r="D19" s="26" t="s">
        <v>41</v>
      </c>
    </row>
    <row r="20" spans="1:4" s="1" customFormat="1" ht="56.25">
      <c r="A20" s="14"/>
      <c r="B20" s="48" t="s">
        <v>29</v>
      </c>
      <c r="C20" s="89">
        <v>44613</v>
      </c>
      <c r="D20" s="26" t="s">
        <v>42</v>
      </c>
    </row>
    <row r="21" spans="1:4" s="1" customFormat="1">
      <c r="A21" s="14"/>
      <c r="B21" s="48" t="s">
        <v>29</v>
      </c>
      <c r="C21" s="89">
        <v>37310</v>
      </c>
      <c r="D21" s="26" t="s">
        <v>43</v>
      </c>
    </row>
    <row r="22" spans="1:4" s="1" customFormat="1">
      <c r="A22" s="14"/>
      <c r="B22" s="48" t="s">
        <v>29</v>
      </c>
      <c r="C22" s="89">
        <v>44637</v>
      </c>
      <c r="D22" s="26" t="s">
        <v>39</v>
      </c>
    </row>
    <row r="23" spans="1:4" s="1" customFormat="1">
      <c r="A23" s="14"/>
      <c r="B23" s="48" t="s">
        <v>29</v>
      </c>
      <c r="C23" s="89">
        <v>44651</v>
      </c>
      <c r="D23" s="26" t="s">
        <v>44</v>
      </c>
    </row>
    <row r="24" spans="1:4" s="1" customFormat="1" ht="15" customHeight="1">
      <c r="B24" s="48" t="s">
        <v>29</v>
      </c>
      <c r="C24" s="89">
        <v>44658</v>
      </c>
      <c r="D24" s="26" t="s">
        <v>45</v>
      </c>
    </row>
    <row r="25" spans="1:4" s="1" customFormat="1">
      <c r="B25" s="48" t="s">
        <v>29</v>
      </c>
      <c r="C25" s="89">
        <v>44714</v>
      </c>
      <c r="D25" s="26" t="s">
        <v>39</v>
      </c>
    </row>
    <row r="26" spans="1:4" s="1" customFormat="1">
      <c r="B26" s="48" t="s">
        <v>29</v>
      </c>
      <c r="C26" s="89">
        <v>44736</v>
      </c>
      <c r="D26" s="26" t="s">
        <v>46</v>
      </c>
    </row>
    <row r="27" spans="1:4" s="1" customFormat="1">
      <c r="B27" s="48" t="s">
        <v>29</v>
      </c>
      <c r="C27" s="89">
        <v>44742</v>
      </c>
      <c r="D27" s="26" t="s">
        <v>43</v>
      </c>
    </row>
    <row r="28" spans="1:4" s="1" customFormat="1">
      <c r="B28" s="48" t="s">
        <v>29</v>
      </c>
      <c r="C28" s="89">
        <v>44778</v>
      </c>
      <c r="D28" s="26" t="s">
        <v>39</v>
      </c>
    </row>
    <row r="29" spans="1:4" s="1" customFormat="1">
      <c r="B29" s="48" t="s">
        <v>29</v>
      </c>
      <c r="C29" s="89">
        <v>44799</v>
      </c>
      <c r="D29" s="26" t="s">
        <v>40</v>
      </c>
    </row>
    <row r="30" spans="1:4" s="1" customFormat="1" ht="22.5">
      <c r="B30" s="48" t="s">
        <v>29</v>
      </c>
      <c r="C30" s="89">
        <v>44806</v>
      </c>
      <c r="D30" s="26" t="s">
        <v>47</v>
      </c>
    </row>
    <row r="31" spans="1:4" s="1" customFormat="1" ht="22.5">
      <c r="B31" s="48" t="s">
        <v>29</v>
      </c>
      <c r="C31" s="89">
        <v>44813</v>
      </c>
      <c r="D31" s="26" t="s">
        <v>48</v>
      </c>
    </row>
    <row r="32" spans="1:4" s="1" customFormat="1" ht="15" customHeight="1">
      <c r="B32" s="48" t="s">
        <v>29</v>
      </c>
      <c r="C32" s="89">
        <v>44813</v>
      </c>
      <c r="D32" s="26" t="s">
        <v>48</v>
      </c>
    </row>
    <row r="33" spans="2:4" s="1" customFormat="1" ht="15" customHeight="1">
      <c r="B33" s="48" t="s">
        <v>29</v>
      </c>
      <c r="C33" s="89">
        <v>44827</v>
      </c>
      <c r="D33" s="143" t="s">
        <v>39</v>
      </c>
    </row>
    <row r="34" spans="2:4" s="1" customFormat="1" ht="15" customHeight="1">
      <c r="B34" s="48" t="s">
        <v>29</v>
      </c>
      <c r="C34" s="89">
        <v>44834</v>
      </c>
      <c r="D34" s="143" t="s">
        <v>39</v>
      </c>
    </row>
    <row r="35" spans="2:4" s="1" customFormat="1" ht="15" customHeight="1">
      <c r="B35" s="48" t="s">
        <v>29</v>
      </c>
      <c r="C35" s="89">
        <v>44209</v>
      </c>
      <c r="D35" s="150" t="s">
        <v>49</v>
      </c>
    </row>
    <row r="36" spans="2:4" s="1" customFormat="1" ht="15" customHeight="1">
      <c r="B36" s="48" t="s">
        <v>29</v>
      </c>
      <c r="C36" s="89">
        <v>45035</v>
      </c>
      <c r="D36" s="150" t="s">
        <v>50</v>
      </c>
    </row>
    <row r="37" spans="2:4" s="1" customFormat="1" ht="22.5">
      <c r="B37" s="48" t="s">
        <v>29</v>
      </c>
      <c r="C37" s="89">
        <v>45833</v>
      </c>
      <c r="D37" s="150" t="s">
        <v>877</v>
      </c>
    </row>
    <row r="38" spans="2:4" ht="15" customHeight="1">
      <c r="B38" s="48" t="s">
        <v>29</v>
      </c>
      <c r="C38" s="89">
        <v>45915</v>
      </c>
      <c r="D38" s="150" t="s">
        <v>879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/>
    <pageSetUpPr autoPageBreaks="0"/>
  </sheetPr>
  <dimension ref="A2:I46"/>
  <sheetViews>
    <sheetView showGridLines="0" zoomScale="88" zoomScaleNormal="100" workbookViewId="0">
      <pane ySplit="6" topLeftCell="A25" activePane="bottomLeft" state="frozen"/>
      <selection activeCell="A6" sqref="A6"/>
      <selection pane="bottomLeft" activeCell="D40" sqref="D40"/>
    </sheetView>
  </sheetViews>
  <sheetFormatPr defaultColWidth="0" defaultRowHeight="15" customHeight="1"/>
  <cols>
    <col min="1" max="1" width="4" customWidth="1"/>
    <col min="2" max="2" width="24" bestFit="1" customWidth="1"/>
    <col min="3" max="3" width="50.5703125" customWidth="1"/>
    <col min="4" max="4" width="100.5703125" customWidth="1"/>
    <col min="5" max="5" width="3.5703125" customWidth="1"/>
    <col min="6" max="9" width="0" hidden="1" customWidth="1"/>
    <col min="10" max="16384" width="8.5703125" hidden="1"/>
  </cols>
  <sheetData>
    <row r="2" spans="1:5" ht="34.5" customHeight="1"/>
    <row r="3" spans="1:5" ht="2.25" customHeight="1">
      <c r="A3" s="4"/>
      <c r="B3" s="4"/>
      <c r="C3" s="4"/>
      <c r="D3" s="4"/>
      <c r="E3" s="4"/>
    </row>
    <row r="5" spans="1:5" s="24" customFormat="1" ht="15" customHeight="1">
      <c r="A5" s="168"/>
      <c r="B5" s="33" t="s">
        <v>51</v>
      </c>
      <c r="C5" s="34"/>
      <c r="D5" s="34"/>
      <c r="E5" s="170"/>
    </row>
    <row r="31" spans="3:3" ht="15" customHeight="1">
      <c r="C31" s="87"/>
    </row>
    <row r="34" spans="3:4" ht="15" customHeight="1">
      <c r="C34" s="88"/>
    </row>
    <row r="35" spans="3:4" ht="15" customHeight="1">
      <c r="D35" s="35"/>
    </row>
    <row r="36" spans="3:4" ht="15" customHeight="1">
      <c r="D36" s="35"/>
    </row>
    <row r="46" spans="3:4" ht="15" customHeight="1">
      <c r="D46" s="3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autoPageBreaks="0"/>
  </sheetPr>
  <dimension ref="A2:Y104"/>
  <sheetViews>
    <sheetView showGridLines="0" topLeftCell="G54" zoomScale="80" zoomScaleNormal="90" workbookViewId="0">
      <selection activeCell="P61" sqref="P61"/>
    </sheetView>
  </sheetViews>
  <sheetFormatPr defaultColWidth="0" defaultRowHeight="15" customHeight="1"/>
  <cols>
    <col min="1" max="1" width="4" style="1" customWidth="1"/>
    <col min="2" max="2" width="26.5703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06" bestFit="1" customWidth="1"/>
    <col min="12" max="13" width="50.5703125" style="1" customWidth="1"/>
    <col min="14" max="14" width="60.5703125" style="1" hidden="1" customWidth="1"/>
    <col min="15" max="17" width="26.42578125" style="1" customWidth="1"/>
    <col min="18" max="18" width="60.5703125" style="1" customWidth="1"/>
    <col min="19" max="19" width="3.5703125" style="1" customWidth="1"/>
    <col min="20" max="20" width="8.5703125" hidden="1" customWidth="1"/>
    <col min="21" max="25" width="0" hidden="1" customWidth="1"/>
    <col min="26" max="16384" width="8.5703125" hidden="1"/>
  </cols>
  <sheetData>
    <row r="2" spans="1:19" ht="34.5" customHeight="1">
      <c r="C2" s="2"/>
    </row>
    <row r="3" spans="1:19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107"/>
      <c r="L3" s="3"/>
      <c r="M3" s="3"/>
      <c r="N3" s="3"/>
      <c r="O3" s="3"/>
      <c r="P3" s="3"/>
      <c r="Q3" s="3"/>
      <c r="R3" s="3"/>
      <c r="S3" s="3"/>
    </row>
    <row r="4" spans="1:19" ht="15" customHeight="1">
      <c r="C4" s="1"/>
    </row>
    <row r="5" spans="1:19" s="24" customFormat="1" ht="15" customHeight="1">
      <c r="A5" s="168"/>
      <c r="B5" s="33" t="s">
        <v>52</v>
      </c>
      <c r="C5" s="34"/>
      <c r="D5" s="34"/>
      <c r="E5" s="171"/>
      <c r="F5" s="171"/>
      <c r="G5" s="171"/>
      <c r="H5" s="171"/>
      <c r="I5" s="171"/>
      <c r="J5" s="171"/>
      <c r="K5" s="172"/>
      <c r="L5" s="171"/>
      <c r="M5" s="171"/>
      <c r="N5" s="171"/>
      <c r="O5" s="171"/>
      <c r="P5" s="171"/>
      <c r="Q5" s="171"/>
      <c r="R5" s="171"/>
      <c r="S5" s="170"/>
    </row>
    <row r="6" spans="1:19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73"/>
      <c r="L6" s="168"/>
      <c r="M6" s="168"/>
      <c r="N6" s="168"/>
      <c r="O6" s="168"/>
      <c r="P6" s="168"/>
      <c r="Q6" s="168"/>
      <c r="R6" s="168"/>
      <c r="S6" s="168"/>
    </row>
    <row r="7" spans="1:19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5"/>
      <c r="L7" s="174"/>
      <c r="M7" s="174"/>
      <c r="N7" s="174"/>
      <c r="O7" s="174"/>
      <c r="P7" s="174"/>
      <c r="Q7" s="174"/>
      <c r="R7" s="174"/>
      <c r="S7" s="168"/>
    </row>
    <row r="8" spans="1:19" s="24" customFormat="1" ht="15" customHeight="1">
      <c r="A8" s="168"/>
      <c r="B8" s="37" t="s">
        <v>54</v>
      </c>
      <c r="C8" s="174"/>
      <c r="D8" s="174"/>
      <c r="E8" s="174"/>
      <c r="F8" s="174"/>
      <c r="G8" s="174"/>
      <c r="H8" s="174"/>
      <c r="I8" s="174"/>
      <c r="J8" s="174"/>
      <c r="K8" s="175"/>
      <c r="L8" s="174"/>
      <c r="M8" s="174"/>
      <c r="N8" s="174"/>
      <c r="O8" s="174"/>
      <c r="P8" s="174"/>
      <c r="Q8" s="174"/>
      <c r="R8" s="174"/>
      <c r="S8" s="168"/>
    </row>
    <row r="9" spans="1:19" s="24" customFormat="1" ht="15" customHeight="1">
      <c r="A9" s="168"/>
      <c r="B9" s="37" t="s">
        <v>55</v>
      </c>
      <c r="C9" s="174"/>
      <c r="D9" s="174"/>
      <c r="E9" s="174"/>
      <c r="F9" s="174"/>
      <c r="G9" s="174"/>
      <c r="H9" s="174"/>
      <c r="I9" s="174"/>
      <c r="J9" s="174"/>
      <c r="K9" s="175"/>
      <c r="L9" s="174"/>
      <c r="M9" s="174"/>
      <c r="N9" s="174"/>
      <c r="O9" s="174"/>
      <c r="P9" s="174"/>
      <c r="Q9" s="174"/>
      <c r="R9" s="174"/>
      <c r="S9" s="168"/>
    </row>
    <row r="10" spans="1:19" s="24" customFormat="1" ht="5.0999999999999996" customHeight="1">
      <c r="A10" s="168"/>
      <c r="B10" s="37"/>
      <c r="C10" s="174"/>
      <c r="D10" s="174"/>
      <c r="E10" s="174"/>
      <c r="F10" s="174"/>
      <c r="G10" s="174"/>
      <c r="H10" s="174"/>
      <c r="I10" s="174"/>
      <c r="J10" s="174"/>
      <c r="K10" s="175"/>
      <c r="L10" s="174"/>
      <c r="M10" s="174"/>
      <c r="N10" s="174"/>
      <c r="O10" s="174"/>
      <c r="P10" s="174"/>
      <c r="Q10" s="174"/>
      <c r="R10" s="174"/>
      <c r="S10" s="168"/>
    </row>
    <row r="11" spans="1:19" s="24" customFormat="1" ht="15" customHeight="1">
      <c r="A11" s="168"/>
      <c r="B11" s="36" t="s">
        <v>56</v>
      </c>
      <c r="C11" s="174"/>
      <c r="D11" s="174"/>
      <c r="E11" s="174"/>
      <c r="F11" s="174"/>
      <c r="G11" s="174"/>
      <c r="H11" s="174"/>
      <c r="I11" s="174"/>
      <c r="J11" s="174"/>
      <c r="K11" s="175"/>
      <c r="L11" s="174"/>
      <c r="M11" s="174"/>
      <c r="N11" s="174"/>
      <c r="O11" s="174"/>
      <c r="P11" s="174"/>
      <c r="Q11" s="174"/>
      <c r="R11" s="174"/>
      <c r="S11" s="168"/>
    </row>
    <row r="12" spans="1:19" s="24" customFormat="1" ht="15" customHeight="1">
      <c r="A12" s="168"/>
      <c r="B12" s="37" t="s">
        <v>57</v>
      </c>
      <c r="C12" s="174"/>
      <c r="D12" s="174"/>
      <c r="E12" s="174"/>
      <c r="F12" s="174"/>
      <c r="G12" s="174"/>
      <c r="H12" s="174"/>
      <c r="I12" s="174"/>
      <c r="J12" s="174"/>
      <c r="K12" s="175"/>
      <c r="L12" s="174"/>
      <c r="M12" s="174"/>
      <c r="N12" s="174"/>
      <c r="O12" s="174"/>
      <c r="P12" s="174"/>
      <c r="Q12" s="174"/>
      <c r="R12" s="174"/>
      <c r="S12" s="168"/>
    </row>
    <row r="13" spans="1:19" s="24" customFormat="1" ht="15" customHeight="1">
      <c r="A13" s="168"/>
      <c r="B13" s="37" t="s">
        <v>58</v>
      </c>
      <c r="C13" s="174"/>
      <c r="D13" s="174"/>
      <c r="E13" s="174"/>
      <c r="F13" s="174"/>
      <c r="G13" s="174"/>
      <c r="H13" s="174"/>
      <c r="I13" s="174"/>
      <c r="J13" s="174"/>
      <c r="K13" s="175"/>
      <c r="L13" s="174"/>
      <c r="M13" s="174"/>
      <c r="N13" s="174"/>
      <c r="O13" s="174"/>
      <c r="P13" s="174"/>
      <c r="Q13" s="174"/>
      <c r="R13" s="174"/>
      <c r="S13" s="168"/>
    </row>
    <row r="14" spans="1:19" s="24" customFormat="1" ht="15" customHeight="1">
      <c r="A14" s="168"/>
      <c r="B14" s="37" t="s">
        <v>59</v>
      </c>
      <c r="C14" s="174"/>
      <c r="D14" s="174"/>
      <c r="E14" s="174"/>
      <c r="F14" s="174"/>
      <c r="G14" s="174"/>
      <c r="H14" s="174"/>
      <c r="I14" s="174"/>
      <c r="J14" s="174"/>
      <c r="K14" s="175"/>
      <c r="L14" s="174"/>
      <c r="M14" s="174"/>
      <c r="N14" s="174"/>
      <c r="O14" s="174"/>
      <c r="P14" s="174"/>
      <c r="Q14" s="174"/>
      <c r="R14" s="174"/>
      <c r="S14" s="168"/>
    </row>
    <row r="15" spans="1:19" s="24" customFormat="1" ht="5.0999999999999996" customHeight="1">
      <c r="A15" s="168"/>
      <c r="B15" s="37"/>
      <c r="C15" s="174"/>
      <c r="D15" s="174"/>
      <c r="E15" s="174"/>
      <c r="F15" s="174"/>
      <c r="G15" s="174"/>
      <c r="H15" s="174"/>
      <c r="I15" s="174"/>
      <c r="J15" s="174"/>
      <c r="K15" s="175"/>
      <c r="L15" s="174"/>
      <c r="M15" s="174"/>
      <c r="N15" s="174"/>
      <c r="O15" s="174"/>
      <c r="P15" s="174"/>
      <c r="Q15" s="174"/>
      <c r="R15" s="174"/>
      <c r="S15" s="168"/>
    </row>
    <row r="16" spans="1:19" s="24" customFormat="1" ht="15" customHeight="1">
      <c r="A16" s="168"/>
      <c r="B16" s="36" t="s">
        <v>60</v>
      </c>
      <c r="C16" s="174"/>
      <c r="D16" s="174"/>
      <c r="E16" s="174"/>
      <c r="F16" s="174"/>
      <c r="G16" s="174"/>
      <c r="H16" s="174"/>
      <c r="I16" s="174"/>
      <c r="J16" s="174"/>
      <c r="K16" s="175"/>
      <c r="L16" s="174"/>
      <c r="M16" s="174"/>
      <c r="N16" s="174"/>
      <c r="O16" s="174"/>
      <c r="P16" s="174"/>
      <c r="Q16" s="174"/>
      <c r="R16" s="174"/>
      <c r="S16" s="168"/>
    </row>
    <row r="17" spans="1:19" s="24" customFormat="1" ht="15" customHeight="1">
      <c r="A17" s="168"/>
      <c r="B17" s="98" t="s">
        <v>61</v>
      </c>
      <c r="C17" s="174"/>
      <c r="D17" s="174"/>
      <c r="E17" s="174"/>
      <c r="F17" s="174"/>
      <c r="G17" s="174"/>
      <c r="H17" s="174"/>
      <c r="I17" s="174"/>
      <c r="J17" s="174"/>
      <c r="K17" s="175"/>
      <c r="L17" s="174"/>
      <c r="M17" s="174"/>
      <c r="N17" s="174"/>
      <c r="O17" s="174"/>
      <c r="P17" s="174"/>
      <c r="Q17" s="174"/>
      <c r="R17" s="174"/>
      <c r="S17" s="168"/>
    </row>
    <row r="18" spans="1:19" s="24" customFormat="1" ht="15" customHeight="1">
      <c r="A18" s="168"/>
      <c r="B18" s="38" t="s">
        <v>62</v>
      </c>
      <c r="C18" s="174"/>
      <c r="D18" s="174"/>
      <c r="E18" s="174"/>
      <c r="F18" s="174"/>
      <c r="G18" s="174"/>
      <c r="H18" s="174"/>
      <c r="I18" s="174"/>
      <c r="J18" s="174"/>
      <c r="K18" s="175"/>
      <c r="L18" s="174"/>
      <c r="M18" s="174"/>
      <c r="N18" s="174"/>
      <c r="O18" s="174"/>
      <c r="P18" s="174"/>
      <c r="Q18" s="174"/>
      <c r="R18" s="174"/>
      <c r="S18" s="168"/>
    </row>
    <row r="19" spans="1:19" s="24" customFormat="1" ht="15" customHeight="1">
      <c r="A19" s="168"/>
      <c r="B19" s="38" t="s">
        <v>63</v>
      </c>
      <c r="C19" s="174"/>
      <c r="D19" s="174"/>
      <c r="E19" s="174"/>
      <c r="F19" s="174"/>
      <c r="G19" s="174"/>
      <c r="H19" s="174"/>
      <c r="I19" s="174"/>
      <c r="J19" s="174"/>
      <c r="K19" s="175"/>
      <c r="L19" s="174"/>
      <c r="M19" s="174"/>
      <c r="N19" s="174"/>
      <c r="O19" s="174"/>
      <c r="P19" s="174"/>
      <c r="Q19" s="174"/>
      <c r="R19" s="174"/>
      <c r="S19" s="168"/>
    </row>
    <row r="20" spans="1:19" s="24" customFormat="1" ht="15" customHeight="1">
      <c r="A20" s="168"/>
      <c r="B20" s="38" t="s">
        <v>64</v>
      </c>
      <c r="C20" s="174"/>
      <c r="D20" s="174"/>
      <c r="E20" s="174"/>
      <c r="F20" s="174"/>
      <c r="G20" s="174"/>
      <c r="H20" s="174"/>
      <c r="I20" s="174"/>
      <c r="J20" s="174"/>
      <c r="K20" s="175"/>
      <c r="L20" s="174"/>
      <c r="M20" s="174"/>
      <c r="N20" s="174"/>
      <c r="O20" s="174"/>
      <c r="P20" s="174"/>
      <c r="Q20" s="174"/>
      <c r="R20" s="174"/>
      <c r="S20" s="168"/>
    </row>
    <row r="21" spans="1:19" s="24" customFormat="1" ht="15" customHeight="1">
      <c r="A21" s="168"/>
      <c r="B21" s="38" t="s">
        <v>65</v>
      </c>
      <c r="C21" s="174"/>
      <c r="D21" s="174"/>
      <c r="E21" s="174"/>
      <c r="F21" s="174"/>
      <c r="G21" s="174"/>
      <c r="H21" s="174"/>
      <c r="I21" s="174"/>
      <c r="J21" s="174"/>
      <c r="K21" s="175"/>
      <c r="L21" s="174"/>
      <c r="M21" s="174"/>
      <c r="N21" s="174"/>
      <c r="O21" s="174"/>
      <c r="P21" s="174"/>
      <c r="Q21" s="174"/>
      <c r="R21" s="174"/>
      <c r="S21" s="168"/>
    </row>
    <row r="22" spans="1:19" s="24" customFormat="1" ht="5.0999999999999996" customHeight="1">
      <c r="A22" s="168"/>
      <c r="B22" s="37"/>
      <c r="C22" s="174"/>
      <c r="D22" s="174"/>
      <c r="E22" s="174"/>
      <c r="F22" s="174"/>
      <c r="G22" s="174"/>
      <c r="H22" s="174"/>
      <c r="I22" s="174"/>
      <c r="J22" s="174"/>
      <c r="K22" s="175"/>
      <c r="L22" s="174"/>
      <c r="M22" s="174"/>
      <c r="N22" s="174"/>
      <c r="O22" s="174"/>
      <c r="P22" s="174"/>
      <c r="Q22" s="174"/>
      <c r="R22" s="174"/>
      <c r="S22" s="168"/>
    </row>
    <row r="23" spans="1:19" s="24" customFormat="1" ht="15" customHeight="1">
      <c r="A23" s="168"/>
      <c r="B23" s="36" t="s">
        <v>66</v>
      </c>
      <c r="C23" s="174"/>
      <c r="D23" s="174"/>
      <c r="E23" s="174"/>
      <c r="F23" s="174"/>
      <c r="G23" s="174"/>
      <c r="H23" s="174"/>
      <c r="I23" s="174"/>
      <c r="J23" s="174"/>
      <c r="K23" s="175"/>
      <c r="L23" s="174"/>
      <c r="M23" s="174"/>
      <c r="N23" s="174"/>
      <c r="O23" s="174"/>
      <c r="P23" s="174"/>
      <c r="Q23" s="174"/>
      <c r="R23" s="174"/>
      <c r="S23" s="168"/>
    </row>
    <row r="24" spans="1:19" s="24" customFormat="1" ht="15" customHeight="1">
      <c r="A24" s="168"/>
      <c r="B24" s="38" t="s">
        <v>67</v>
      </c>
      <c r="C24" s="174"/>
      <c r="D24" s="174"/>
      <c r="E24" s="174"/>
      <c r="F24" s="174"/>
      <c r="G24" s="174"/>
      <c r="H24" s="174"/>
      <c r="I24" s="174"/>
      <c r="J24" s="174"/>
      <c r="K24" s="175"/>
      <c r="L24" s="174"/>
      <c r="M24" s="174"/>
      <c r="N24" s="174"/>
      <c r="O24" s="174"/>
      <c r="P24" s="174"/>
      <c r="Q24" s="174"/>
      <c r="R24" s="174"/>
      <c r="S24" s="168"/>
    </row>
    <row r="25" spans="1:19" s="24" customFormat="1" ht="15" customHeight="1">
      <c r="A25" s="168"/>
      <c r="B25" s="38" t="s">
        <v>68</v>
      </c>
      <c r="C25" s="174"/>
      <c r="D25" s="174"/>
      <c r="E25" s="174"/>
      <c r="F25" s="174"/>
      <c r="G25" s="174"/>
      <c r="H25" s="174"/>
      <c r="I25" s="174"/>
      <c r="J25" s="174"/>
      <c r="K25" s="175"/>
      <c r="L25" s="174"/>
      <c r="M25" s="174"/>
      <c r="N25" s="174"/>
      <c r="O25" s="174"/>
      <c r="P25" s="174"/>
      <c r="Q25" s="174"/>
      <c r="R25" s="174"/>
      <c r="S25" s="168"/>
    </row>
    <row r="26" spans="1:19" s="24" customFormat="1" ht="15" customHeight="1">
      <c r="A26" s="168"/>
      <c r="B26" s="38" t="s">
        <v>69</v>
      </c>
      <c r="C26" s="174"/>
      <c r="D26" s="174"/>
      <c r="E26" s="174"/>
      <c r="F26" s="174"/>
      <c r="G26" s="174"/>
      <c r="H26" s="174"/>
      <c r="I26" s="174"/>
      <c r="J26" s="174"/>
      <c r="K26" s="175"/>
      <c r="L26" s="174"/>
      <c r="M26" s="174"/>
      <c r="N26" s="174"/>
      <c r="O26" s="174"/>
      <c r="P26" s="174"/>
      <c r="Q26" s="174"/>
      <c r="R26" s="174"/>
      <c r="S26" s="168"/>
    </row>
    <row r="27" spans="1:19" s="24" customFormat="1" ht="15" customHeight="1">
      <c r="A27" s="168"/>
      <c r="B27" s="38" t="s">
        <v>70</v>
      </c>
      <c r="C27" s="174"/>
      <c r="D27" s="174"/>
      <c r="E27" s="174"/>
      <c r="F27" s="174"/>
      <c r="G27" s="174"/>
      <c r="H27" s="174"/>
      <c r="I27" s="174"/>
      <c r="J27" s="174"/>
      <c r="K27" s="175"/>
      <c r="L27" s="174"/>
      <c r="M27" s="174"/>
      <c r="N27" s="174"/>
      <c r="O27" s="174"/>
      <c r="P27" s="174"/>
      <c r="Q27" s="174"/>
      <c r="R27" s="174"/>
      <c r="S27" s="168"/>
    </row>
    <row r="28" spans="1:19" s="24" customFormat="1" ht="15" customHeight="1">
      <c r="A28" s="168"/>
      <c r="B28" s="38" t="s">
        <v>71</v>
      </c>
      <c r="C28" s="174"/>
      <c r="D28" s="174"/>
      <c r="E28" s="174"/>
      <c r="F28" s="174"/>
      <c r="G28" s="174"/>
      <c r="H28" s="174"/>
      <c r="I28" s="174"/>
      <c r="J28" s="174"/>
      <c r="K28" s="175"/>
      <c r="L28" s="174"/>
      <c r="M28" s="174"/>
      <c r="N28" s="174"/>
      <c r="O28" s="174"/>
      <c r="P28" s="174"/>
      <c r="Q28" s="174"/>
      <c r="R28" s="174"/>
      <c r="S28" s="168"/>
    </row>
    <row r="29" spans="1:19" s="24" customFormat="1" ht="5.0999999999999996" customHeight="1">
      <c r="A29" s="168"/>
      <c r="B29" s="37"/>
      <c r="C29" s="174"/>
      <c r="D29" s="174"/>
      <c r="E29" s="174"/>
      <c r="F29" s="174"/>
      <c r="G29" s="174"/>
      <c r="H29" s="174"/>
      <c r="I29" s="174"/>
      <c r="J29" s="174"/>
      <c r="K29" s="175"/>
      <c r="L29" s="174"/>
      <c r="M29" s="174"/>
      <c r="N29" s="174"/>
      <c r="O29" s="174"/>
      <c r="P29" s="174"/>
      <c r="Q29" s="174"/>
      <c r="R29" s="174"/>
      <c r="S29" s="168"/>
    </row>
    <row r="30" spans="1:19" s="24" customFormat="1" ht="1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73"/>
      <c r="L30" s="168"/>
      <c r="M30" s="168"/>
      <c r="N30" s="168"/>
      <c r="O30" s="168"/>
      <c r="P30" s="168"/>
      <c r="Q30" s="168"/>
      <c r="R30" s="168"/>
      <c r="S30" s="168"/>
    </row>
    <row r="31" spans="1:19" s="24" customFormat="1" ht="15" customHeight="1">
      <c r="A31" s="168"/>
      <c r="B31" s="25" t="s">
        <v>72</v>
      </c>
      <c r="C31" s="169">
        <f>COUNTA(C36:C52)</f>
        <v>17</v>
      </c>
      <c r="D31" s="168"/>
      <c r="E31" s="168"/>
      <c r="F31" s="168"/>
      <c r="G31" s="168"/>
      <c r="H31" s="168"/>
      <c r="I31" s="168"/>
      <c r="J31" s="168"/>
      <c r="K31" s="173"/>
      <c r="L31" s="168"/>
      <c r="M31" s="168"/>
      <c r="N31" s="168"/>
      <c r="O31" s="168"/>
      <c r="P31" s="168"/>
      <c r="Q31" s="168"/>
      <c r="R31" s="168"/>
      <c r="S31" s="168"/>
    </row>
    <row r="32" spans="1:19" s="24" customFormat="1" ht="1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73"/>
      <c r="L32" s="168"/>
      <c r="M32" s="168"/>
      <c r="N32" s="168"/>
      <c r="O32" s="168"/>
      <c r="P32" s="168"/>
      <c r="Q32" s="168"/>
      <c r="R32" s="168"/>
      <c r="S32" s="168"/>
    </row>
    <row r="33" spans="1:19" s="24" customFormat="1" ht="15" customHeight="1">
      <c r="A33" s="168"/>
      <c r="B33" s="84" t="s">
        <v>73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</row>
    <row r="34" spans="1:19" s="24" customFormat="1" ht="5.0999999999999996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</row>
    <row r="35" spans="1:19" s="1" customFormat="1" ht="15" customHeight="1"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79</v>
      </c>
      <c r="H35" s="5" t="s">
        <v>80</v>
      </c>
      <c r="I35" s="39" t="s">
        <v>81</v>
      </c>
      <c r="J35" s="40" t="s">
        <v>82</v>
      </c>
      <c r="K35" s="108" t="s">
        <v>83</v>
      </c>
      <c r="L35" s="39" t="s">
        <v>84</v>
      </c>
      <c r="M35" s="39" t="s">
        <v>85</v>
      </c>
      <c r="N35" s="39" t="s">
        <v>86</v>
      </c>
      <c r="O35" s="41" t="s">
        <v>87</v>
      </c>
      <c r="P35" s="39" t="s">
        <v>88</v>
      </c>
      <c r="Q35" s="39" t="s">
        <v>89</v>
      </c>
      <c r="R35" s="39" t="s">
        <v>90</v>
      </c>
    </row>
    <row r="36" spans="1:19" s="1" customFormat="1" ht="20.85" customHeight="1">
      <c r="B36" s="6" t="s">
        <v>91</v>
      </c>
      <c r="C36" s="6" t="s">
        <v>92</v>
      </c>
      <c r="D36" s="8">
        <v>1</v>
      </c>
      <c r="E36" s="9" t="s">
        <v>93</v>
      </c>
      <c r="F36" s="9" t="s">
        <v>94</v>
      </c>
      <c r="G36" s="10" t="s">
        <v>95</v>
      </c>
      <c r="H36" s="10" t="s">
        <v>95</v>
      </c>
      <c r="I36" s="11" t="s">
        <v>96</v>
      </c>
      <c r="J36" s="12" t="s">
        <v>97</v>
      </c>
      <c r="K36" s="109" t="s">
        <v>92</v>
      </c>
      <c r="L36" s="104" t="s">
        <v>92</v>
      </c>
      <c r="M36" s="102" t="s">
        <v>98</v>
      </c>
      <c r="N36" s="11" t="s">
        <v>98</v>
      </c>
      <c r="O36" s="42" t="s">
        <v>99</v>
      </c>
      <c r="P36" s="83">
        <v>44295</v>
      </c>
      <c r="Q36" s="83">
        <v>44364</v>
      </c>
      <c r="R36" s="11" t="s">
        <v>98</v>
      </c>
    </row>
    <row r="37" spans="1:19" s="1" customFormat="1" ht="20.85" customHeight="1">
      <c r="B37" s="6" t="s">
        <v>91</v>
      </c>
      <c r="C37" s="6" t="s">
        <v>100</v>
      </c>
      <c r="D37" s="8">
        <f t="shared" ref="D37:D59" si="0">D36+1</f>
        <v>2</v>
      </c>
      <c r="E37" s="9" t="s">
        <v>93</v>
      </c>
      <c r="F37" s="9" t="s">
        <v>101</v>
      </c>
      <c r="G37" s="10" t="s">
        <v>95</v>
      </c>
      <c r="H37" s="10"/>
      <c r="I37" s="11" t="s">
        <v>96</v>
      </c>
      <c r="J37" s="12" t="s">
        <v>97</v>
      </c>
      <c r="K37" s="109" t="s">
        <v>100</v>
      </c>
      <c r="L37" s="104" t="s">
        <v>100</v>
      </c>
      <c r="M37" s="102" t="s">
        <v>98</v>
      </c>
      <c r="N37" s="11" t="s">
        <v>98</v>
      </c>
      <c r="O37" s="42" t="s">
        <v>99</v>
      </c>
      <c r="P37" s="83">
        <v>44295</v>
      </c>
      <c r="Q37" s="83">
        <v>44364</v>
      </c>
      <c r="R37" s="11" t="s">
        <v>98</v>
      </c>
    </row>
    <row r="38" spans="1:19" s="1" customFormat="1" ht="20.85" customHeight="1">
      <c r="B38" s="6" t="s">
        <v>91</v>
      </c>
      <c r="C38" s="6" t="s">
        <v>102</v>
      </c>
      <c r="D38" s="8">
        <f t="shared" si="0"/>
        <v>3</v>
      </c>
      <c r="E38" s="9" t="s">
        <v>93</v>
      </c>
      <c r="F38" s="9" t="s">
        <v>103</v>
      </c>
      <c r="G38" s="10" t="s">
        <v>95</v>
      </c>
      <c r="H38" s="10"/>
      <c r="I38" s="11" t="s">
        <v>96</v>
      </c>
      <c r="J38" s="12" t="s">
        <v>97</v>
      </c>
      <c r="K38" s="109" t="s">
        <v>102</v>
      </c>
      <c r="L38" s="104" t="s">
        <v>102</v>
      </c>
      <c r="M38" s="102" t="s">
        <v>98</v>
      </c>
      <c r="N38" s="11" t="s">
        <v>98</v>
      </c>
      <c r="O38" s="42" t="s">
        <v>99</v>
      </c>
      <c r="P38" s="83">
        <v>44295</v>
      </c>
      <c r="Q38" s="83">
        <v>44364</v>
      </c>
      <c r="R38" s="11" t="s">
        <v>98</v>
      </c>
    </row>
    <row r="39" spans="1:19" s="1" customFormat="1" ht="20.85" customHeight="1">
      <c r="B39" s="6" t="s">
        <v>91</v>
      </c>
      <c r="C39" s="6" t="s">
        <v>104</v>
      </c>
      <c r="D39" s="8">
        <f t="shared" si="0"/>
        <v>4</v>
      </c>
      <c r="E39" s="9" t="s">
        <v>93</v>
      </c>
      <c r="F39" s="9" t="s">
        <v>105</v>
      </c>
      <c r="G39" s="10" t="s">
        <v>95</v>
      </c>
      <c r="H39" s="10"/>
      <c r="I39" s="11" t="s">
        <v>96</v>
      </c>
      <c r="J39" s="12" t="s">
        <v>97</v>
      </c>
      <c r="K39" s="109" t="s">
        <v>104</v>
      </c>
      <c r="L39" s="104" t="s">
        <v>104</v>
      </c>
      <c r="M39" s="102" t="s">
        <v>98</v>
      </c>
      <c r="N39" s="11" t="s">
        <v>98</v>
      </c>
      <c r="O39" s="42" t="s">
        <v>99</v>
      </c>
      <c r="P39" s="83">
        <v>44295</v>
      </c>
      <c r="Q39" s="83">
        <v>44364</v>
      </c>
      <c r="R39" s="11" t="s">
        <v>98</v>
      </c>
    </row>
    <row r="40" spans="1:19" s="1" customFormat="1" ht="20.85" customHeight="1">
      <c r="B40" s="6" t="s">
        <v>91</v>
      </c>
      <c r="C40" s="7" t="s">
        <v>106</v>
      </c>
      <c r="D40" s="8">
        <f t="shared" si="0"/>
        <v>5</v>
      </c>
      <c r="E40" s="9" t="s">
        <v>93</v>
      </c>
      <c r="F40" s="9" t="s">
        <v>107</v>
      </c>
      <c r="G40" s="10"/>
      <c r="H40" s="10"/>
      <c r="I40" s="19" t="s">
        <v>108</v>
      </c>
      <c r="J40" s="12" t="s">
        <v>109</v>
      </c>
      <c r="K40" s="99" t="s">
        <v>110</v>
      </c>
      <c r="L40" s="99" t="s">
        <v>111</v>
      </c>
      <c r="M40" s="100" t="s">
        <v>112</v>
      </c>
      <c r="N40" s="11" t="s">
        <v>98</v>
      </c>
      <c r="O40" s="42" t="s">
        <v>99</v>
      </c>
      <c r="P40" s="83">
        <v>44295</v>
      </c>
      <c r="Q40" s="83">
        <v>44364</v>
      </c>
      <c r="R40" s="11" t="s">
        <v>98</v>
      </c>
    </row>
    <row r="41" spans="1:19" s="1" customFormat="1" ht="20.85" customHeight="1">
      <c r="B41" s="6" t="s">
        <v>91</v>
      </c>
      <c r="C41" s="7" t="s">
        <v>113</v>
      </c>
      <c r="D41" s="8">
        <f t="shared" si="0"/>
        <v>6</v>
      </c>
      <c r="E41" s="9" t="s">
        <v>114</v>
      </c>
      <c r="F41" s="9" t="s">
        <v>115</v>
      </c>
      <c r="G41" s="10"/>
      <c r="H41" s="10"/>
      <c r="I41" s="11" t="s">
        <v>96</v>
      </c>
      <c r="J41" s="12" t="s">
        <v>97</v>
      </c>
      <c r="K41" s="99" t="s">
        <v>116</v>
      </c>
      <c r="L41" s="99" t="s">
        <v>117</v>
      </c>
      <c r="M41" s="102" t="s">
        <v>98</v>
      </c>
      <c r="N41" s="19" t="s">
        <v>118</v>
      </c>
      <c r="O41" s="42" t="s">
        <v>99</v>
      </c>
      <c r="P41" s="83">
        <v>44295</v>
      </c>
      <c r="Q41" s="83">
        <v>44364</v>
      </c>
      <c r="R41" s="11" t="s">
        <v>98</v>
      </c>
    </row>
    <row r="42" spans="1:19" s="1" customFormat="1" ht="20.85" customHeight="1">
      <c r="B42" s="6" t="s">
        <v>91</v>
      </c>
      <c r="C42" s="7" t="s">
        <v>119</v>
      </c>
      <c r="D42" s="8">
        <f t="shared" si="0"/>
        <v>7</v>
      </c>
      <c r="E42" s="9" t="s">
        <v>120</v>
      </c>
      <c r="F42" s="9" t="s">
        <v>121</v>
      </c>
      <c r="G42" s="10"/>
      <c r="H42" s="10"/>
      <c r="I42" s="11" t="s">
        <v>96</v>
      </c>
      <c r="J42" s="12" t="s">
        <v>97</v>
      </c>
      <c r="K42" s="99" t="s">
        <v>122</v>
      </c>
      <c r="L42" s="99" t="s">
        <v>123</v>
      </c>
      <c r="M42" s="102" t="s">
        <v>98</v>
      </c>
      <c r="N42" s="19" t="s">
        <v>124</v>
      </c>
      <c r="O42" s="42" t="s">
        <v>99</v>
      </c>
      <c r="P42" s="83">
        <v>44295</v>
      </c>
      <c r="Q42" s="83">
        <v>44364</v>
      </c>
      <c r="R42" s="11" t="s">
        <v>98</v>
      </c>
    </row>
    <row r="43" spans="1:19" s="1" customFormat="1" ht="20.85" customHeight="1">
      <c r="B43" s="6" t="s">
        <v>91</v>
      </c>
      <c r="C43" s="7" t="s">
        <v>125</v>
      </c>
      <c r="D43" s="8">
        <f t="shared" si="0"/>
        <v>8</v>
      </c>
      <c r="E43" s="9" t="s">
        <v>93</v>
      </c>
      <c r="F43" s="9" t="s">
        <v>126</v>
      </c>
      <c r="G43" s="10"/>
      <c r="H43" s="10"/>
      <c r="I43" s="11" t="s">
        <v>96</v>
      </c>
      <c r="J43" s="12" t="s">
        <v>97</v>
      </c>
      <c r="K43" s="99" t="s">
        <v>127</v>
      </c>
      <c r="L43" s="104" t="s">
        <v>128</v>
      </c>
      <c r="M43" s="102" t="s">
        <v>98</v>
      </c>
      <c r="N43" s="19" t="s">
        <v>129</v>
      </c>
      <c r="O43" s="42" t="s">
        <v>99</v>
      </c>
      <c r="P43" s="83">
        <v>44295</v>
      </c>
      <c r="Q43" s="83">
        <v>44364</v>
      </c>
      <c r="R43" s="11" t="s">
        <v>98</v>
      </c>
    </row>
    <row r="44" spans="1:19" s="1" customFormat="1" ht="20.85" customHeight="1">
      <c r="B44" s="6" t="s">
        <v>91</v>
      </c>
      <c r="C44" s="7" t="s">
        <v>130</v>
      </c>
      <c r="D44" s="8">
        <f t="shared" si="0"/>
        <v>9</v>
      </c>
      <c r="E44" s="9" t="s">
        <v>131</v>
      </c>
      <c r="F44" s="9" t="s">
        <v>132</v>
      </c>
      <c r="G44" s="10"/>
      <c r="H44" s="10"/>
      <c r="I44" s="11" t="s">
        <v>96</v>
      </c>
      <c r="J44" s="12" t="s">
        <v>133</v>
      </c>
      <c r="K44" s="105" t="s">
        <v>134</v>
      </c>
      <c r="L44" s="99" t="s">
        <v>135</v>
      </c>
      <c r="M44" s="100" t="s">
        <v>136</v>
      </c>
      <c r="N44" s="19" t="s">
        <v>137</v>
      </c>
      <c r="O44" s="42" t="s">
        <v>99</v>
      </c>
      <c r="P44" s="83">
        <v>44295</v>
      </c>
      <c r="Q44" s="83">
        <v>44364</v>
      </c>
      <c r="R44" s="11" t="s">
        <v>98</v>
      </c>
    </row>
    <row r="45" spans="1:19" s="1" customFormat="1" ht="20.85" customHeight="1">
      <c r="B45" s="6" t="s">
        <v>91</v>
      </c>
      <c r="C45" s="12" t="s">
        <v>138</v>
      </c>
      <c r="D45" s="8">
        <f t="shared" si="0"/>
        <v>10</v>
      </c>
      <c r="E45" s="9" t="s">
        <v>139</v>
      </c>
      <c r="F45" s="9" t="s">
        <v>140</v>
      </c>
      <c r="G45" s="10"/>
      <c r="H45" s="10"/>
      <c r="I45" s="11" t="s">
        <v>96</v>
      </c>
      <c r="J45" s="12" t="s">
        <v>133</v>
      </c>
      <c r="K45" s="99" t="s">
        <v>141</v>
      </c>
      <c r="L45" s="99" t="s">
        <v>135</v>
      </c>
      <c r="M45" s="103" t="s">
        <v>142</v>
      </c>
      <c r="N45" s="19" t="s">
        <v>143</v>
      </c>
      <c r="O45" s="42" t="s">
        <v>99</v>
      </c>
      <c r="P45" s="83">
        <v>44295</v>
      </c>
      <c r="Q45" s="83">
        <v>44364</v>
      </c>
      <c r="R45" s="11" t="s">
        <v>98</v>
      </c>
    </row>
    <row r="46" spans="1:19" s="1" customFormat="1" ht="20.85" customHeight="1">
      <c r="B46" s="6" t="s">
        <v>91</v>
      </c>
      <c r="C46" s="7" t="s">
        <v>144</v>
      </c>
      <c r="D46" s="8">
        <f t="shared" si="0"/>
        <v>11</v>
      </c>
      <c r="E46" s="9" t="s">
        <v>145</v>
      </c>
      <c r="F46" s="9" t="s">
        <v>146</v>
      </c>
      <c r="G46" s="10"/>
      <c r="H46" s="10"/>
      <c r="I46" s="11" t="s">
        <v>96</v>
      </c>
      <c r="J46" s="12" t="s">
        <v>97</v>
      </c>
      <c r="K46" s="99" t="s">
        <v>147</v>
      </c>
      <c r="L46" s="99" t="s">
        <v>148</v>
      </c>
      <c r="M46" s="103" t="s">
        <v>149</v>
      </c>
      <c r="N46" s="19" t="s">
        <v>150</v>
      </c>
      <c r="O46" s="42" t="s">
        <v>99</v>
      </c>
      <c r="P46" s="83">
        <v>44295</v>
      </c>
      <c r="Q46" s="83">
        <v>44364</v>
      </c>
      <c r="R46" s="11" t="s">
        <v>98</v>
      </c>
    </row>
    <row r="47" spans="1:19" s="1" customFormat="1" ht="20.85" customHeight="1">
      <c r="B47" s="6" t="s">
        <v>91</v>
      </c>
      <c r="C47" s="21" t="s">
        <v>151</v>
      </c>
      <c r="D47" s="8">
        <f t="shared" si="0"/>
        <v>12</v>
      </c>
      <c r="E47" s="9" t="s">
        <v>152</v>
      </c>
      <c r="F47" s="22" t="s">
        <v>153</v>
      </c>
      <c r="G47" s="10"/>
      <c r="H47" s="10"/>
      <c r="I47" s="11" t="s">
        <v>96</v>
      </c>
      <c r="J47" s="12" t="s">
        <v>97</v>
      </c>
      <c r="K47" s="99" t="s">
        <v>154</v>
      </c>
      <c r="L47" s="99" t="s">
        <v>155</v>
      </c>
      <c r="M47" s="102" t="s">
        <v>98</v>
      </c>
      <c r="N47" s="23" t="s">
        <v>156</v>
      </c>
      <c r="O47" s="42" t="s">
        <v>99</v>
      </c>
      <c r="P47" s="83">
        <v>44295</v>
      </c>
      <c r="Q47" s="83">
        <v>44364</v>
      </c>
      <c r="R47" s="28" t="s">
        <v>157</v>
      </c>
    </row>
    <row r="48" spans="1:19" s="1" customFormat="1" ht="20.85" customHeight="1">
      <c r="B48" s="6" t="s">
        <v>91</v>
      </c>
      <c r="C48" s="21" t="s">
        <v>158</v>
      </c>
      <c r="D48" s="8">
        <f t="shared" si="0"/>
        <v>13</v>
      </c>
      <c r="E48" s="9" t="s">
        <v>93</v>
      </c>
      <c r="F48" s="22" t="s">
        <v>159</v>
      </c>
      <c r="G48" s="10"/>
      <c r="H48" s="10"/>
      <c r="I48" s="11" t="s">
        <v>96</v>
      </c>
      <c r="J48" s="12" t="s">
        <v>97</v>
      </c>
      <c r="K48" s="99" t="s">
        <v>160</v>
      </c>
      <c r="L48" s="99" t="s">
        <v>161</v>
      </c>
      <c r="M48" s="102" t="s">
        <v>98</v>
      </c>
      <c r="N48" s="23" t="s">
        <v>162</v>
      </c>
      <c r="O48" s="42" t="s">
        <v>99</v>
      </c>
      <c r="P48" s="83">
        <v>44295</v>
      </c>
      <c r="Q48" s="83">
        <v>44364</v>
      </c>
      <c r="R48" s="28" t="s">
        <v>163</v>
      </c>
    </row>
    <row r="49" spans="1:19" s="1" customFormat="1" ht="20.85" customHeight="1">
      <c r="B49" s="6" t="s">
        <v>91</v>
      </c>
      <c r="C49" s="12" t="s">
        <v>164</v>
      </c>
      <c r="D49" s="8">
        <f t="shared" si="0"/>
        <v>14</v>
      </c>
      <c r="E49" s="9" t="s">
        <v>93</v>
      </c>
      <c r="F49" s="20" t="s">
        <v>165</v>
      </c>
      <c r="G49" s="10"/>
      <c r="H49" s="10"/>
      <c r="I49" s="12" t="s">
        <v>108</v>
      </c>
      <c r="J49" s="99" t="s">
        <v>166</v>
      </c>
      <c r="K49" s="99" t="s">
        <v>167</v>
      </c>
      <c r="L49" s="99" t="s">
        <v>168</v>
      </c>
      <c r="M49" s="100" t="s">
        <v>169</v>
      </c>
      <c r="N49" s="11"/>
      <c r="O49" s="42" t="s">
        <v>99</v>
      </c>
      <c r="P49" s="83">
        <v>44295</v>
      </c>
      <c r="Q49" s="83">
        <v>44596</v>
      </c>
      <c r="R49" s="11" t="s">
        <v>98</v>
      </c>
    </row>
    <row r="50" spans="1:19" s="1" customFormat="1" ht="20.85" customHeight="1">
      <c r="B50" s="6" t="s">
        <v>91</v>
      </c>
      <c r="C50" s="12" t="s">
        <v>170</v>
      </c>
      <c r="D50" s="8">
        <f t="shared" si="0"/>
        <v>15</v>
      </c>
      <c r="E50" s="9" t="s">
        <v>171</v>
      </c>
      <c r="F50" s="20" t="s">
        <v>172</v>
      </c>
      <c r="G50" s="10"/>
      <c r="H50" s="10"/>
      <c r="I50" s="19" t="s">
        <v>584</v>
      </c>
      <c r="J50" s="19" t="s">
        <v>584</v>
      </c>
      <c r="K50" s="12" t="s">
        <v>584</v>
      </c>
      <c r="L50" s="12" t="s">
        <v>584</v>
      </c>
      <c r="M50" s="12" t="s">
        <v>584</v>
      </c>
      <c r="N50" s="11"/>
      <c r="O50" s="42" t="s">
        <v>99</v>
      </c>
      <c r="P50" s="83">
        <v>44295</v>
      </c>
      <c r="Q50" s="83">
        <v>45198</v>
      </c>
      <c r="R50" s="11" t="s">
        <v>174</v>
      </c>
    </row>
    <row r="51" spans="1:19" s="1" customFormat="1" ht="20.85" customHeight="1">
      <c r="B51" s="6" t="s">
        <v>91</v>
      </c>
      <c r="C51" s="12" t="s">
        <v>175</v>
      </c>
      <c r="D51" s="8">
        <f t="shared" si="0"/>
        <v>16</v>
      </c>
      <c r="E51" s="9" t="s">
        <v>171</v>
      </c>
      <c r="F51" s="20" t="s">
        <v>176</v>
      </c>
      <c r="G51" s="10"/>
      <c r="H51" s="10"/>
      <c r="I51" s="19" t="s">
        <v>96</v>
      </c>
      <c r="J51" s="19" t="s">
        <v>177</v>
      </c>
      <c r="K51" s="99" t="s">
        <v>178</v>
      </c>
      <c r="L51" s="99" t="s">
        <v>179</v>
      </c>
      <c r="M51" s="103" t="s">
        <v>180</v>
      </c>
      <c r="N51" s="11"/>
      <c r="O51" s="42" t="s">
        <v>99</v>
      </c>
      <c r="P51" s="83">
        <v>44295</v>
      </c>
      <c r="Q51" s="91">
        <v>44419</v>
      </c>
      <c r="R51" s="11" t="s">
        <v>174</v>
      </c>
    </row>
    <row r="52" spans="1:19" s="1" customFormat="1" ht="20.85" customHeight="1">
      <c r="B52" s="6" t="s">
        <v>91</v>
      </c>
      <c r="C52" s="12" t="s">
        <v>181</v>
      </c>
      <c r="D52" s="8">
        <f t="shared" si="0"/>
        <v>17</v>
      </c>
      <c r="E52" s="12" t="s">
        <v>93</v>
      </c>
      <c r="F52" s="9" t="s">
        <v>182</v>
      </c>
      <c r="G52" s="10"/>
      <c r="H52" s="10"/>
      <c r="I52" s="19" t="s">
        <v>584</v>
      </c>
      <c r="J52" s="19" t="s">
        <v>584</v>
      </c>
      <c r="K52" s="12" t="s">
        <v>584</v>
      </c>
      <c r="L52" s="12" t="s">
        <v>584</v>
      </c>
      <c r="M52" s="12" t="s">
        <v>584</v>
      </c>
      <c r="N52" s="11"/>
      <c r="O52" s="42" t="s">
        <v>99</v>
      </c>
      <c r="P52" s="83">
        <v>44295</v>
      </c>
      <c r="Q52" s="91">
        <v>44419</v>
      </c>
      <c r="R52" s="19" t="s">
        <v>183</v>
      </c>
    </row>
    <row r="53" spans="1:19" s="1" customFormat="1" ht="20.85" customHeight="1">
      <c r="B53" s="6" t="s">
        <v>91</v>
      </c>
      <c r="C53" s="12" t="s">
        <v>184</v>
      </c>
      <c r="D53" s="8">
        <f t="shared" si="0"/>
        <v>18</v>
      </c>
      <c r="E53" s="9" t="s">
        <v>93</v>
      </c>
      <c r="F53" s="9" t="s">
        <v>185</v>
      </c>
      <c r="G53" s="10"/>
      <c r="H53" s="10"/>
      <c r="I53" s="19" t="s">
        <v>584</v>
      </c>
      <c r="J53" s="19" t="s">
        <v>584</v>
      </c>
      <c r="K53" s="12" t="s">
        <v>584</v>
      </c>
      <c r="L53" s="12" t="s">
        <v>584</v>
      </c>
      <c r="M53" s="12" t="s">
        <v>584</v>
      </c>
      <c r="N53" s="11"/>
      <c r="O53" s="42" t="s">
        <v>99</v>
      </c>
      <c r="P53" s="83">
        <v>44400</v>
      </c>
      <c r="Q53" s="91">
        <v>44419</v>
      </c>
      <c r="R53" s="11" t="s">
        <v>174</v>
      </c>
    </row>
    <row r="54" spans="1:19" s="1" customFormat="1" ht="20.85" customHeight="1">
      <c r="B54" s="151" t="s">
        <v>91</v>
      </c>
      <c r="C54" s="152" t="s">
        <v>186</v>
      </c>
      <c r="D54" s="153">
        <f t="shared" si="0"/>
        <v>19</v>
      </c>
      <c r="E54" s="154" t="s">
        <v>93</v>
      </c>
      <c r="F54" s="154" t="s">
        <v>187</v>
      </c>
      <c r="G54" s="159"/>
      <c r="H54" s="159"/>
      <c r="I54" s="160" t="s">
        <v>96</v>
      </c>
      <c r="J54" s="152" t="s">
        <v>188</v>
      </c>
      <c r="K54" s="157" t="s">
        <v>189</v>
      </c>
      <c r="L54" s="161" t="s">
        <v>190</v>
      </c>
      <c r="M54" s="162" t="s">
        <v>191</v>
      </c>
      <c r="N54" s="163"/>
      <c r="O54" s="164" t="s">
        <v>99</v>
      </c>
      <c r="P54" s="165">
        <v>44355</v>
      </c>
      <c r="Q54" s="165">
        <v>44364</v>
      </c>
      <c r="R54" s="163" t="s">
        <v>98</v>
      </c>
    </row>
    <row r="55" spans="1:19" s="1" customFormat="1" ht="20.85" customHeight="1">
      <c r="B55" s="6" t="s">
        <v>91</v>
      </c>
      <c r="C55" s="12" t="s">
        <v>192</v>
      </c>
      <c r="D55" s="8">
        <f t="shared" si="0"/>
        <v>20</v>
      </c>
      <c r="E55" s="16" t="s">
        <v>93</v>
      </c>
      <c r="F55" s="9" t="s">
        <v>193</v>
      </c>
      <c r="G55" s="10"/>
      <c r="H55" s="10"/>
      <c r="I55" s="19" t="s">
        <v>108</v>
      </c>
      <c r="J55" s="12" t="s">
        <v>109</v>
      </c>
      <c r="K55" s="99" t="s">
        <v>194</v>
      </c>
      <c r="L55" s="99" t="s">
        <v>195</v>
      </c>
      <c r="M55" s="100" t="s">
        <v>196</v>
      </c>
      <c r="N55" s="11"/>
      <c r="O55" s="42"/>
      <c r="P55" s="83"/>
      <c r="Q55" s="91">
        <v>44613</v>
      </c>
      <c r="R55" s="11" t="s">
        <v>98</v>
      </c>
    </row>
    <row r="56" spans="1:19" s="1" customFormat="1" ht="20.85" customHeight="1">
      <c r="B56" s="6" t="s">
        <v>91</v>
      </c>
      <c r="C56" s="15" t="s">
        <v>197</v>
      </c>
      <c r="D56" s="8">
        <f t="shared" si="0"/>
        <v>21</v>
      </c>
      <c r="E56" s="11" t="s">
        <v>198</v>
      </c>
      <c r="F56" s="9" t="s">
        <v>199</v>
      </c>
      <c r="G56" s="10"/>
      <c r="H56" s="10"/>
      <c r="I56" s="18" t="s">
        <v>96</v>
      </c>
      <c r="J56" s="66" t="s">
        <v>200</v>
      </c>
      <c r="K56" s="104" t="s">
        <v>201</v>
      </c>
      <c r="L56" s="104" t="s">
        <v>202</v>
      </c>
      <c r="M56" s="101" t="s">
        <v>203</v>
      </c>
      <c r="N56" s="19"/>
      <c r="O56" s="42" t="s">
        <v>99</v>
      </c>
      <c r="P56" s="83">
        <v>44355</v>
      </c>
      <c r="Q56" s="83">
        <v>44364</v>
      </c>
      <c r="R56" s="19" t="s">
        <v>204</v>
      </c>
    </row>
    <row r="57" spans="1:19" s="1" customFormat="1" ht="20.85" customHeight="1">
      <c r="B57" s="6" t="s">
        <v>91</v>
      </c>
      <c r="C57" s="7" t="s">
        <v>205</v>
      </c>
      <c r="D57" s="8">
        <f t="shared" si="0"/>
        <v>22</v>
      </c>
      <c r="E57" s="9" t="s">
        <v>120</v>
      </c>
      <c r="F57" s="9" t="s">
        <v>206</v>
      </c>
      <c r="G57" s="10"/>
      <c r="H57" s="10"/>
      <c r="I57" s="18" t="s">
        <v>96</v>
      </c>
      <c r="J57" s="12" t="s">
        <v>207</v>
      </c>
      <c r="K57" s="99" t="s">
        <v>208</v>
      </c>
      <c r="L57" s="104" t="s">
        <v>209</v>
      </c>
      <c r="M57" s="101" t="s">
        <v>210</v>
      </c>
      <c r="N57" s="19" t="s">
        <v>124</v>
      </c>
      <c r="O57" s="42" t="s">
        <v>99</v>
      </c>
      <c r="P57" s="83">
        <v>44355</v>
      </c>
      <c r="Q57" s="83">
        <v>44364</v>
      </c>
      <c r="R57" s="19" t="s">
        <v>211</v>
      </c>
    </row>
    <row r="58" spans="1:19" s="1" customFormat="1" ht="20.85" customHeight="1">
      <c r="B58" s="6" t="s">
        <v>91</v>
      </c>
      <c r="C58" s="15" t="s">
        <v>212</v>
      </c>
      <c r="D58" s="8">
        <f t="shared" si="0"/>
        <v>23</v>
      </c>
      <c r="E58" s="9" t="s">
        <v>93</v>
      </c>
      <c r="F58" s="9" t="s">
        <v>213</v>
      </c>
      <c r="G58" s="10"/>
      <c r="H58" s="10"/>
      <c r="I58" s="19" t="s">
        <v>96</v>
      </c>
      <c r="J58" s="66" t="s">
        <v>214</v>
      </c>
      <c r="K58" s="104" t="s">
        <v>215</v>
      </c>
      <c r="L58" s="104" t="s">
        <v>216</v>
      </c>
      <c r="M58" s="101" t="s">
        <v>217</v>
      </c>
      <c r="N58" s="19"/>
      <c r="O58" s="42" t="s">
        <v>99</v>
      </c>
      <c r="P58" s="83">
        <v>44355</v>
      </c>
      <c r="Q58" s="91">
        <v>44419</v>
      </c>
      <c r="R58" s="19" t="s">
        <v>218</v>
      </c>
    </row>
    <row r="59" spans="1:19" s="1" customFormat="1" ht="20.85" customHeight="1">
      <c r="B59" s="6" t="s">
        <v>91</v>
      </c>
      <c r="C59" s="15" t="s">
        <v>219</v>
      </c>
      <c r="D59" s="8">
        <f t="shared" si="0"/>
        <v>24</v>
      </c>
      <c r="E59" s="11" t="s">
        <v>198</v>
      </c>
      <c r="F59" s="9" t="s">
        <v>220</v>
      </c>
      <c r="G59" s="10"/>
      <c r="H59" s="10"/>
      <c r="I59" s="18" t="s">
        <v>96</v>
      </c>
      <c r="J59" s="66" t="s">
        <v>221</v>
      </c>
      <c r="K59" s="104" t="s">
        <v>222</v>
      </c>
      <c r="L59" s="104" t="s">
        <v>223</v>
      </c>
      <c r="M59" s="101" t="s">
        <v>224</v>
      </c>
      <c r="N59" s="19"/>
      <c r="O59" s="42"/>
      <c r="P59" s="83"/>
      <c r="Q59" s="83">
        <v>44806</v>
      </c>
      <c r="R59" s="19" t="s">
        <v>225</v>
      </c>
    </row>
    <row r="60" spans="1:19" s="1" customFormat="1" ht="20.85" customHeight="1">
      <c r="B60" s="6" t="s">
        <v>91</v>
      </c>
      <c r="C60" s="15" t="s">
        <v>853</v>
      </c>
      <c r="D60" s="8">
        <f>D59+1</f>
        <v>25</v>
      </c>
      <c r="E60" s="11" t="s">
        <v>198</v>
      </c>
      <c r="F60" s="9" t="s">
        <v>850</v>
      </c>
      <c r="G60" s="10"/>
      <c r="H60" s="10"/>
      <c r="I60" s="18" t="s">
        <v>96</v>
      </c>
      <c r="J60" s="177" t="s">
        <v>133</v>
      </c>
      <c r="K60" s="104" t="s">
        <v>851</v>
      </c>
      <c r="L60" s="104" t="s">
        <v>852</v>
      </c>
      <c r="M60" s="178" t="s">
        <v>149</v>
      </c>
      <c r="N60" s="19"/>
      <c r="O60" s="42" t="s">
        <v>99</v>
      </c>
      <c r="P60" s="83">
        <v>45317</v>
      </c>
      <c r="Q60" s="179">
        <v>45316</v>
      </c>
      <c r="R60" s="180" t="s">
        <v>98</v>
      </c>
    </row>
    <row r="61" spans="1:19" s="1" customFormat="1" ht="20.85" customHeight="1">
      <c r="B61" s="6" t="s">
        <v>91</v>
      </c>
      <c r="C61" s="32" t="s">
        <v>226</v>
      </c>
      <c r="D61" s="8">
        <f>D60+1</f>
        <v>26</v>
      </c>
      <c r="E61" s="9" t="s">
        <v>93</v>
      </c>
      <c r="F61" s="9" t="s">
        <v>227</v>
      </c>
      <c r="G61" s="10" t="s">
        <v>95</v>
      </c>
      <c r="H61" s="8"/>
      <c r="I61" s="18" t="s">
        <v>96</v>
      </c>
      <c r="J61" s="12" t="s">
        <v>228</v>
      </c>
      <c r="K61" s="105" t="s">
        <v>226</v>
      </c>
      <c r="L61" s="105" t="s">
        <v>229</v>
      </c>
      <c r="M61" s="103" t="s">
        <v>878</v>
      </c>
      <c r="N61" s="19"/>
      <c r="O61" s="42"/>
      <c r="P61" s="83">
        <v>45915</v>
      </c>
      <c r="Q61" s="83">
        <v>44364</v>
      </c>
      <c r="R61" s="19" t="s">
        <v>230</v>
      </c>
    </row>
    <row r="62" spans="1:19" s="1" customFormat="1" ht="20.85" customHeight="1">
      <c r="B62" s="6" t="s">
        <v>91</v>
      </c>
      <c r="C62" s="32" t="s">
        <v>231</v>
      </c>
      <c r="D62" s="8">
        <f>D61+1</f>
        <v>27</v>
      </c>
      <c r="E62" s="9" t="s">
        <v>93</v>
      </c>
      <c r="F62" s="9" t="s">
        <v>232</v>
      </c>
      <c r="G62" s="10" t="s">
        <v>95</v>
      </c>
      <c r="H62" s="8"/>
      <c r="I62" s="18" t="s">
        <v>96</v>
      </c>
      <c r="J62" s="12" t="s">
        <v>228</v>
      </c>
      <c r="K62" s="105" t="s">
        <v>231</v>
      </c>
      <c r="L62" s="105" t="s">
        <v>233</v>
      </c>
      <c r="M62" s="103" t="s">
        <v>234</v>
      </c>
      <c r="N62" s="19"/>
      <c r="O62" s="42" t="s">
        <v>99</v>
      </c>
      <c r="P62" s="83">
        <v>44295</v>
      </c>
      <c r="Q62" s="83">
        <v>44364</v>
      </c>
      <c r="R62" s="19" t="s">
        <v>230</v>
      </c>
    </row>
    <row r="63" spans="1:19" s="1" customFormat="1" ht="15" customHeight="1">
      <c r="A63" s="14"/>
      <c r="C63"/>
      <c r="K63" s="106"/>
    </row>
    <row r="64" spans="1:19" s="24" customFormat="1" ht="15" customHeight="1">
      <c r="A64" s="168"/>
      <c r="B64" s="84" t="s">
        <v>235</v>
      </c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</row>
    <row r="65" spans="1:19" s="24" customFormat="1" ht="5.0999999999999996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</row>
    <row r="66" spans="1:19" s="1" customFormat="1">
      <c r="B66" s="5" t="s">
        <v>74</v>
      </c>
      <c r="C66" s="5" t="s">
        <v>75</v>
      </c>
      <c r="D66" s="5" t="s">
        <v>76</v>
      </c>
      <c r="E66" s="5" t="s">
        <v>77</v>
      </c>
      <c r="F66" s="5" t="s">
        <v>78</v>
      </c>
      <c r="G66" s="5" t="s">
        <v>79</v>
      </c>
      <c r="H66" s="5" t="s">
        <v>80</v>
      </c>
      <c r="I66" s="39" t="s">
        <v>81</v>
      </c>
      <c r="J66" s="40" t="s">
        <v>82</v>
      </c>
      <c r="K66" s="108" t="s">
        <v>83</v>
      </c>
      <c r="L66" s="39" t="s">
        <v>84</v>
      </c>
      <c r="M66" s="39" t="s">
        <v>85</v>
      </c>
      <c r="N66" s="39" t="s">
        <v>86</v>
      </c>
      <c r="O66" s="41" t="s">
        <v>87</v>
      </c>
      <c r="P66" s="39" t="s">
        <v>88</v>
      </c>
      <c r="Q66" s="39" t="s">
        <v>89</v>
      </c>
      <c r="R66" s="39" t="s">
        <v>90</v>
      </c>
    </row>
    <row r="67" spans="1:19" s="1" customFormat="1" ht="20.85" customHeight="1">
      <c r="B67" s="6" t="s">
        <v>236</v>
      </c>
      <c r="C67" s="6" t="s">
        <v>237</v>
      </c>
      <c r="D67" s="8">
        <v>1</v>
      </c>
      <c r="E67" s="9" t="s">
        <v>93</v>
      </c>
      <c r="F67" s="9" t="s">
        <v>238</v>
      </c>
      <c r="G67" s="10" t="s">
        <v>95</v>
      </c>
      <c r="H67" s="10" t="s">
        <v>95</v>
      </c>
      <c r="I67" s="11" t="s">
        <v>96</v>
      </c>
      <c r="J67" s="12" t="s">
        <v>97</v>
      </c>
      <c r="K67" s="109" t="s">
        <v>92</v>
      </c>
      <c r="L67" s="104" t="s">
        <v>239</v>
      </c>
      <c r="M67" s="102" t="s">
        <v>98</v>
      </c>
      <c r="N67" s="11" t="s">
        <v>98</v>
      </c>
      <c r="O67" s="42" t="s">
        <v>99</v>
      </c>
      <c r="P67" s="83">
        <v>44295</v>
      </c>
      <c r="Q67" s="91">
        <v>44613</v>
      </c>
      <c r="R67" s="11" t="s">
        <v>98</v>
      </c>
    </row>
    <row r="68" spans="1:19" s="1" customFormat="1" ht="20.85" customHeight="1">
      <c r="B68" s="6" t="s">
        <v>236</v>
      </c>
      <c r="C68" s="6" t="s">
        <v>240</v>
      </c>
      <c r="D68" s="8">
        <f t="shared" ref="D68:D75" si="1">D67+1</f>
        <v>2</v>
      </c>
      <c r="E68" s="9" t="s">
        <v>93</v>
      </c>
      <c r="F68" s="9" t="s">
        <v>241</v>
      </c>
      <c r="G68" s="10" t="s">
        <v>95</v>
      </c>
      <c r="H68" s="10"/>
      <c r="I68" s="11" t="s">
        <v>96</v>
      </c>
      <c r="J68" s="12" t="s">
        <v>97</v>
      </c>
      <c r="K68" s="109" t="s">
        <v>100</v>
      </c>
      <c r="L68" s="104" t="s">
        <v>242</v>
      </c>
      <c r="M68" s="102" t="s">
        <v>98</v>
      </c>
      <c r="N68" s="11" t="s">
        <v>98</v>
      </c>
      <c r="O68" s="42" t="s">
        <v>99</v>
      </c>
      <c r="P68" s="83">
        <v>44295</v>
      </c>
      <c r="Q68" s="91">
        <v>44613</v>
      </c>
      <c r="R68" s="11" t="s">
        <v>98</v>
      </c>
    </row>
    <row r="69" spans="1:19" s="1" customFormat="1" ht="20.85" customHeight="1">
      <c r="B69" s="6" t="s">
        <v>236</v>
      </c>
      <c r="C69" s="6" t="s">
        <v>243</v>
      </c>
      <c r="D69" s="8">
        <f t="shared" si="1"/>
        <v>3</v>
      </c>
      <c r="E69" s="9" t="s">
        <v>93</v>
      </c>
      <c r="F69" s="9" t="s">
        <v>244</v>
      </c>
      <c r="G69" s="10" t="s">
        <v>95</v>
      </c>
      <c r="H69" s="10"/>
      <c r="I69" s="11" t="s">
        <v>96</v>
      </c>
      <c r="J69" s="12" t="s">
        <v>97</v>
      </c>
      <c r="K69" s="109" t="s">
        <v>102</v>
      </c>
      <c r="L69" s="104" t="s">
        <v>245</v>
      </c>
      <c r="M69" s="102" t="s">
        <v>98</v>
      </c>
      <c r="N69" s="11" t="s">
        <v>98</v>
      </c>
      <c r="O69" s="42" t="s">
        <v>99</v>
      </c>
      <c r="P69" s="83">
        <v>44295</v>
      </c>
      <c r="Q69" s="91">
        <v>44613</v>
      </c>
      <c r="R69" s="11" t="s">
        <v>98</v>
      </c>
    </row>
    <row r="70" spans="1:19" s="1" customFormat="1" ht="20.85" customHeight="1">
      <c r="B70" s="6" t="s">
        <v>236</v>
      </c>
      <c r="C70" s="6" t="s">
        <v>246</v>
      </c>
      <c r="D70" s="8">
        <f t="shared" si="1"/>
        <v>4</v>
      </c>
      <c r="E70" s="9" t="s">
        <v>93</v>
      </c>
      <c r="F70" s="9" t="s">
        <v>247</v>
      </c>
      <c r="G70" s="10" t="s">
        <v>95</v>
      </c>
      <c r="H70" s="10"/>
      <c r="I70" s="11" t="s">
        <v>96</v>
      </c>
      <c r="J70" s="12" t="s">
        <v>97</v>
      </c>
      <c r="K70" s="109" t="s">
        <v>104</v>
      </c>
      <c r="L70" s="104" t="s">
        <v>248</v>
      </c>
      <c r="M70" s="102" t="s">
        <v>98</v>
      </c>
      <c r="N70" s="11" t="s">
        <v>98</v>
      </c>
      <c r="O70" s="42" t="s">
        <v>99</v>
      </c>
      <c r="P70" s="83">
        <v>44295</v>
      </c>
      <c r="Q70" s="91">
        <v>44613</v>
      </c>
      <c r="R70" s="11" t="s">
        <v>98</v>
      </c>
    </row>
    <row r="71" spans="1:19" s="1" customFormat="1" ht="20.85" customHeight="1">
      <c r="B71" s="6" t="s">
        <v>236</v>
      </c>
      <c r="C71" s="7" t="s">
        <v>249</v>
      </c>
      <c r="D71" s="8">
        <f t="shared" si="1"/>
        <v>5</v>
      </c>
      <c r="E71" s="9" t="s">
        <v>93</v>
      </c>
      <c r="F71" s="9" t="s">
        <v>250</v>
      </c>
      <c r="G71" s="10"/>
      <c r="H71" s="10"/>
      <c r="I71" s="19" t="s">
        <v>108</v>
      </c>
      <c r="J71" s="12" t="s">
        <v>109</v>
      </c>
      <c r="K71" s="99" t="s">
        <v>110</v>
      </c>
      <c r="L71" s="99" t="s">
        <v>195</v>
      </c>
      <c r="M71" s="103" t="s">
        <v>251</v>
      </c>
      <c r="N71" s="11" t="s">
        <v>98</v>
      </c>
      <c r="O71" s="42" t="s">
        <v>99</v>
      </c>
      <c r="P71" s="83">
        <v>44295</v>
      </c>
      <c r="Q71" s="91">
        <v>44613</v>
      </c>
      <c r="R71" s="11" t="s">
        <v>98</v>
      </c>
    </row>
    <row r="72" spans="1:19" s="1" customFormat="1" ht="20.85" customHeight="1">
      <c r="B72" s="6" t="s">
        <v>236</v>
      </c>
      <c r="C72" s="7" t="s">
        <v>252</v>
      </c>
      <c r="D72" s="8">
        <f t="shared" si="1"/>
        <v>6</v>
      </c>
      <c r="E72" s="12" t="s">
        <v>253</v>
      </c>
      <c r="F72" s="9" t="s">
        <v>254</v>
      </c>
      <c r="G72" s="10"/>
      <c r="H72" s="10"/>
      <c r="I72" s="11" t="s">
        <v>96</v>
      </c>
      <c r="J72" s="12" t="s">
        <v>133</v>
      </c>
      <c r="K72" s="99" t="s">
        <v>134</v>
      </c>
      <c r="L72" s="99" t="s">
        <v>255</v>
      </c>
      <c r="M72" s="103" t="s">
        <v>256</v>
      </c>
      <c r="N72" s="19" t="s">
        <v>257</v>
      </c>
      <c r="O72" s="42" t="s">
        <v>99</v>
      </c>
      <c r="P72" s="83">
        <v>44295</v>
      </c>
      <c r="Q72" s="91">
        <v>44613</v>
      </c>
      <c r="R72" s="11" t="s">
        <v>98</v>
      </c>
    </row>
    <row r="73" spans="1:19" s="1" customFormat="1" ht="20.85" customHeight="1">
      <c r="B73" s="6" t="s">
        <v>236</v>
      </c>
      <c r="C73" s="7" t="s">
        <v>258</v>
      </c>
      <c r="D73" s="8">
        <f t="shared" si="1"/>
        <v>7</v>
      </c>
      <c r="E73" s="9" t="s">
        <v>120</v>
      </c>
      <c r="F73" s="9" t="s">
        <v>259</v>
      </c>
      <c r="G73" s="10"/>
      <c r="H73" s="10"/>
      <c r="I73" s="11" t="s">
        <v>96</v>
      </c>
      <c r="J73" s="12" t="s">
        <v>97</v>
      </c>
      <c r="K73" s="99" t="s">
        <v>122</v>
      </c>
      <c r="L73" s="99" t="s">
        <v>260</v>
      </c>
      <c r="M73" s="103" t="s">
        <v>261</v>
      </c>
      <c r="N73" s="19" t="s">
        <v>124</v>
      </c>
      <c r="O73" s="42" t="s">
        <v>99</v>
      </c>
      <c r="P73" s="83">
        <v>44355</v>
      </c>
      <c r="Q73" s="91">
        <v>44613</v>
      </c>
      <c r="R73" s="11" t="s">
        <v>98</v>
      </c>
    </row>
    <row r="74" spans="1:19" s="1" customFormat="1" ht="20.85" customHeight="1">
      <c r="B74" s="6" t="s">
        <v>236</v>
      </c>
      <c r="C74" s="32" t="s">
        <v>262</v>
      </c>
      <c r="D74" s="8">
        <f t="shared" si="1"/>
        <v>8</v>
      </c>
      <c r="E74" s="9" t="s">
        <v>93</v>
      </c>
      <c r="F74" s="9" t="s">
        <v>263</v>
      </c>
      <c r="G74" s="10" t="s">
        <v>95</v>
      </c>
      <c r="H74" s="8"/>
      <c r="I74" s="18" t="s">
        <v>96</v>
      </c>
      <c r="J74" s="12" t="s">
        <v>228</v>
      </c>
      <c r="K74" s="105" t="s">
        <v>226</v>
      </c>
      <c r="L74" s="105" t="s">
        <v>264</v>
      </c>
      <c r="M74" s="103" t="s">
        <v>265</v>
      </c>
      <c r="N74" s="19"/>
      <c r="O74" s="42" t="s">
        <v>99</v>
      </c>
      <c r="P74" s="83">
        <v>44295</v>
      </c>
      <c r="Q74" s="91">
        <v>44613</v>
      </c>
      <c r="R74" s="19" t="s">
        <v>230</v>
      </c>
    </row>
    <row r="75" spans="1:19" s="1" customFormat="1" ht="20.85" customHeight="1">
      <c r="B75" s="6" t="s">
        <v>236</v>
      </c>
      <c r="C75" s="32" t="s">
        <v>266</v>
      </c>
      <c r="D75" s="8">
        <f t="shared" si="1"/>
        <v>9</v>
      </c>
      <c r="E75" s="9" t="s">
        <v>93</v>
      </c>
      <c r="F75" s="9" t="s">
        <v>267</v>
      </c>
      <c r="G75" s="10" t="s">
        <v>95</v>
      </c>
      <c r="H75" s="8"/>
      <c r="I75" s="18" t="s">
        <v>96</v>
      </c>
      <c r="J75" s="12" t="s">
        <v>228</v>
      </c>
      <c r="K75" s="105" t="s">
        <v>231</v>
      </c>
      <c r="L75" s="105" t="s">
        <v>268</v>
      </c>
      <c r="M75" s="103" t="s">
        <v>265</v>
      </c>
      <c r="N75" s="19"/>
      <c r="O75" s="42" t="s">
        <v>99</v>
      </c>
      <c r="P75" s="83">
        <v>44295</v>
      </c>
      <c r="Q75" s="91">
        <v>44613</v>
      </c>
      <c r="R75" s="19" t="s">
        <v>230</v>
      </c>
    </row>
    <row r="77" spans="1:19" s="24" customFormat="1" ht="15" customHeight="1">
      <c r="A77" s="168"/>
      <c r="B77" s="84" t="s">
        <v>269</v>
      </c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</row>
    <row r="78" spans="1:19" s="24" customFormat="1" ht="5.0999999999999996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</row>
    <row r="79" spans="1:19" s="1" customFormat="1" ht="20.85" customHeight="1">
      <c r="B79" s="6" t="s">
        <v>270</v>
      </c>
      <c r="C79" s="12" t="s">
        <v>186</v>
      </c>
      <c r="D79" s="8">
        <f t="shared" ref="D79:D83" si="2">D78+1</f>
        <v>1</v>
      </c>
      <c r="E79" s="16" t="s">
        <v>93</v>
      </c>
      <c r="F79" s="16" t="s">
        <v>187</v>
      </c>
      <c r="G79" s="17"/>
      <c r="H79" s="17"/>
      <c r="I79" s="18" t="s">
        <v>96</v>
      </c>
      <c r="J79" s="12" t="s">
        <v>188</v>
      </c>
      <c r="K79" s="99" t="s">
        <v>189</v>
      </c>
      <c r="L79" s="104" t="s">
        <v>190</v>
      </c>
      <c r="M79" s="103" t="s">
        <v>191</v>
      </c>
      <c r="N79" s="11"/>
      <c r="O79" s="42" t="s">
        <v>99</v>
      </c>
      <c r="P79" s="83">
        <v>44355</v>
      </c>
      <c r="Q79" s="83">
        <v>44364</v>
      </c>
      <c r="R79" s="11" t="s">
        <v>98</v>
      </c>
    </row>
    <row r="80" spans="1:19" s="1" customFormat="1" ht="20.85" customHeight="1">
      <c r="B80" s="151" t="s">
        <v>270</v>
      </c>
      <c r="C80" s="152" t="s">
        <v>192</v>
      </c>
      <c r="D80" s="153">
        <f t="shared" si="2"/>
        <v>2</v>
      </c>
      <c r="E80" s="154" t="s">
        <v>93</v>
      </c>
      <c r="F80" s="153" t="s">
        <v>193</v>
      </c>
      <c r="G80" s="155"/>
      <c r="H80" s="155"/>
      <c r="I80" s="156" t="s">
        <v>108</v>
      </c>
      <c r="J80" s="152" t="s">
        <v>109</v>
      </c>
      <c r="K80" s="157" t="s">
        <v>194</v>
      </c>
      <c r="L80" s="157" t="s">
        <v>195</v>
      </c>
      <c r="M80" s="158" t="s">
        <v>271</v>
      </c>
      <c r="N80" s="11"/>
      <c r="O80" s="42"/>
      <c r="P80" s="83"/>
      <c r="Q80" s="91">
        <v>44613</v>
      </c>
      <c r="R80" s="11" t="s">
        <v>98</v>
      </c>
    </row>
    <row r="81" spans="1:18" s="1" customFormat="1" ht="20.85" customHeight="1">
      <c r="B81" s="6" t="s">
        <v>270</v>
      </c>
      <c r="C81" s="15" t="s">
        <v>197</v>
      </c>
      <c r="D81" s="8">
        <f t="shared" si="2"/>
        <v>3</v>
      </c>
      <c r="E81" s="11" t="s">
        <v>198</v>
      </c>
      <c r="F81" s="9" t="s">
        <v>199</v>
      </c>
      <c r="G81" s="10"/>
      <c r="H81" s="10"/>
      <c r="I81" s="18" t="s">
        <v>96</v>
      </c>
      <c r="J81" s="66" t="s">
        <v>200</v>
      </c>
      <c r="K81" s="104" t="s">
        <v>201</v>
      </c>
      <c r="L81" s="104" t="s">
        <v>202</v>
      </c>
      <c r="M81" s="101" t="s">
        <v>203</v>
      </c>
      <c r="N81" s="19"/>
      <c r="O81" s="42" t="s">
        <v>99</v>
      </c>
      <c r="P81" s="83">
        <v>44355</v>
      </c>
      <c r="Q81" s="83">
        <v>44364</v>
      </c>
      <c r="R81" s="19" t="s">
        <v>204</v>
      </c>
    </row>
    <row r="82" spans="1:18" s="1" customFormat="1" ht="20.85" customHeight="1">
      <c r="B82" s="6" t="s">
        <v>270</v>
      </c>
      <c r="C82" s="7" t="s">
        <v>205</v>
      </c>
      <c r="D82" s="8">
        <f t="shared" si="2"/>
        <v>4</v>
      </c>
      <c r="E82" s="9" t="s">
        <v>120</v>
      </c>
      <c r="F82" s="9" t="s">
        <v>206</v>
      </c>
      <c r="G82" s="10"/>
      <c r="H82" s="10"/>
      <c r="I82" s="18" t="s">
        <v>96</v>
      </c>
      <c r="J82" s="12" t="s">
        <v>207</v>
      </c>
      <c r="K82" s="99" t="s">
        <v>208</v>
      </c>
      <c r="L82" s="104" t="s">
        <v>209</v>
      </c>
      <c r="M82" s="101" t="s">
        <v>210</v>
      </c>
      <c r="N82" s="19" t="s">
        <v>124</v>
      </c>
      <c r="O82" s="42" t="s">
        <v>99</v>
      </c>
      <c r="P82" s="83">
        <v>44355</v>
      </c>
      <c r="Q82" s="83">
        <v>44364</v>
      </c>
      <c r="R82" s="19" t="s">
        <v>211</v>
      </c>
    </row>
    <row r="83" spans="1:18" s="1" customFormat="1" ht="20.85" customHeight="1">
      <c r="B83" s="6" t="s">
        <v>270</v>
      </c>
      <c r="C83" s="15" t="s">
        <v>212</v>
      </c>
      <c r="D83" s="8">
        <f t="shared" si="2"/>
        <v>5</v>
      </c>
      <c r="E83" s="9" t="s">
        <v>93</v>
      </c>
      <c r="F83" s="9" t="s">
        <v>213</v>
      </c>
      <c r="G83" s="10"/>
      <c r="H83" s="10"/>
      <c r="I83" s="19" t="s">
        <v>96</v>
      </c>
      <c r="J83" s="66" t="s">
        <v>214</v>
      </c>
      <c r="K83" s="104" t="s">
        <v>215</v>
      </c>
      <c r="L83" s="104" t="s">
        <v>216</v>
      </c>
      <c r="M83" s="101" t="s">
        <v>217</v>
      </c>
      <c r="N83" s="19"/>
      <c r="O83" s="42" t="s">
        <v>99</v>
      </c>
      <c r="P83" s="83">
        <v>44355</v>
      </c>
      <c r="Q83" s="91">
        <v>44419</v>
      </c>
      <c r="R83" s="19" t="s">
        <v>218</v>
      </c>
    </row>
    <row r="89" spans="1:18" s="1" customFormat="1" ht="15" customHeight="1">
      <c r="A89" s="14"/>
      <c r="C89"/>
      <c r="K89" s="106"/>
    </row>
    <row r="90" spans="1:18" s="1" customFormat="1">
      <c r="A90" s="14"/>
      <c r="C90"/>
      <c r="K90" s="106"/>
    </row>
    <row r="91" spans="1:18" s="1" customFormat="1">
      <c r="A91" s="14"/>
      <c r="C91"/>
      <c r="K91" s="106"/>
    </row>
    <row r="92" spans="1:18" s="1" customFormat="1">
      <c r="A92" s="14"/>
      <c r="C92"/>
      <c r="K92" s="106"/>
    </row>
    <row r="93" spans="1:18" s="1" customFormat="1">
      <c r="A93" s="14"/>
      <c r="C93"/>
      <c r="K93" s="106"/>
    </row>
    <row r="94" spans="1:18" s="1" customFormat="1" ht="15" customHeight="1">
      <c r="C94"/>
      <c r="K94" s="106"/>
    </row>
    <row r="95" spans="1:18" s="1" customFormat="1">
      <c r="C95"/>
      <c r="K95" s="106"/>
    </row>
    <row r="96" spans="1:18" s="1" customFormat="1">
      <c r="C96"/>
      <c r="K96" s="106"/>
    </row>
    <row r="97" spans="3:11" s="1" customFormat="1">
      <c r="C97"/>
      <c r="K97" s="106"/>
    </row>
    <row r="98" spans="3:11" s="1" customFormat="1" ht="15" customHeight="1">
      <c r="C98"/>
      <c r="K98" s="106"/>
    </row>
    <row r="99" spans="3:11" s="1" customFormat="1" ht="15" customHeight="1">
      <c r="C99"/>
      <c r="K99" s="106"/>
    </row>
    <row r="100" spans="3:11" s="1" customFormat="1" ht="15" customHeight="1">
      <c r="C100"/>
      <c r="K100" s="106"/>
    </row>
    <row r="101" spans="3:11" s="1" customFormat="1" ht="15" customHeight="1">
      <c r="C101"/>
      <c r="K101" s="106"/>
    </row>
    <row r="102" spans="3:11" s="1" customFormat="1" ht="15" customHeight="1">
      <c r="C102"/>
      <c r="K102" s="106"/>
    </row>
    <row r="103" spans="3:11" s="1" customFormat="1" ht="15" customHeight="1">
      <c r="C103"/>
      <c r="K103" s="106"/>
    </row>
    <row r="104" spans="3:11" s="1" customFormat="1" ht="23.25" customHeight="1">
      <c r="C104"/>
      <c r="K104" s="106"/>
    </row>
  </sheetData>
  <autoFilter ref="B35:R62" xr:uid="{00000000-0009-0000-0000-000004000000}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autoPageBreaks="0"/>
  </sheetPr>
  <dimension ref="A2:U130"/>
  <sheetViews>
    <sheetView showGridLines="0" topLeftCell="M1" zoomScale="66" zoomScaleNormal="100" workbookViewId="0">
      <pane ySplit="6" topLeftCell="A71" activePane="bottomLeft" state="frozen"/>
      <selection activeCell="A6" sqref="A6"/>
      <selection pane="bottomLeft" activeCell="M74" sqref="M74"/>
    </sheetView>
  </sheetViews>
  <sheetFormatPr defaultColWidth="0" defaultRowHeight="15" custom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9" width="20.5703125" style="1" customWidth="1"/>
    <col min="10" max="10" width="25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7" width="26.42578125" style="1" customWidth="1"/>
    <col min="18" max="18" width="60.5703125" style="1" customWidth="1"/>
    <col min="19" max="19" width="3.5703125" style="1" customWidth="1"/>
    <col min="20" max="21" width="0" hidden="1" customWidth="1"/>
    <col min="22" max="16384" width="8.5703125" hidden="1"/>
  </cols>
  <sheetData>
    <row r="2" spans="1:19" ht="34.5" customHeight="1">
      <c r="C2" s="2"/>
    </row>
    <row r="3" spans="1:19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>
      <c r="C4" s="1"/>
    </row>
    <row r="5" spans="1:19" s="24" customFormat="1" ht="15" customHeight="1">
      <c r="A5" s="168"/>
      <c r="B5" s="33" t="s">
        <v>272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0"/>
    </row>
    <row r="6" spans="1:19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</row>
    <row r="7" spans="1:19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68"/>
    </row>
    <row r="8" spans="1:19" s="24" customFormat="1" ht="15" customHeight="1">
      <c r="A8" s="168"/>
      <c r="B8" s="37" t="s">
        <v>273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68"/>
    </row>
    <row r="9" spans="1:19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68"/>
    </row>
    <row r="10" spans="1:19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68"/>
    </row>
    <row r="11" spans="1:19" s="24" customFormat="1" ht="15" customHeight="1">
      <c r="A11" s="168"/>
      <c r="B11" s="37" t="s">
        <v>274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68"/>
    </row>
    <row r="12" spans="1:19" s="24" customFormat="1" ht="15" customHeight="1">
      <c r="A12" s="168"/>
      <c r="B12" s="37" t="s">
        <v>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68"/>
    </row>
    <row r="13" spans="1:19" s="24" customFormat="1" ht="15" customHeight="1">
      <c r="A13" s="168"/>
      <c r="B13" s="37" t="s">
        <v>275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68"/>
    </row>
    <row r="14" spans="1:19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68"/>
    </row>
    <row r="15" spans="1:19" s="24" customFormat="1" ht="15" customHeight="1">
      <c r="A15" s="168"/>
      <c r="B15" s="36" t="s">
        <v>60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68"/>
    </row>
    <row r="16" spans="1:19" s="24" customFormat="1" ht="15" customHeight="1">
      <c r="A16" s="168"/>
      <c r="B16" s="38" t="s">
        <v>276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0"/>
    </row>
    <row r="17" spans="1:19" s="24" customFormat="1" ht="15" customHeight="1">
      <c r="A17" s="168"/>
      <c r="B17" s="38" t="s">
        <v>277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0"/>
    </row>
    <row r="18" spans="1:19" s="24" customFormat="1" ht="15" customHeight="1">
      <c r="A18" s="168"/>
      <c r="B18" s="38" t="s">
        <v>278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0"/>
    </row>
    <row r="19" spans="1:19" s="24" customFormat="1" ht="5.0999999999999996" customHeight="1">
      <c r="A19" s="168"/>
      <c r="B19" s="37" t="s">
        <v>869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68"/>
    </row>
    <row r="20" spans="1:19" s="24" customFormat="1" ht="15" customHeight="1">
      <c r="A20" s="168"/>
      <c r="B20" s="36" t="s">
        <v>66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68"/>
    </row>
    <row r="21" spans="1:19" s="24" customFormat="1" ht="15" customHeight="1">
      <c r="A21" s="168"/>
      <c r="B21" s="38" t="s">
        <v>279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68"/>
    </row>
    <row r="22" spans="1:19" s="24" customFormat="1" ht="15" customHeight="1">
      <c r="A22" s="168"/>
      <c r="B22" s="38" t="s">
        <v>280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68"/>
    </row>
    <row r="23" spans="1:19" s="24" customFormat="1" ht="15" customHeight="1">
      <c r="A23" s="168"/>
      <c r="B23" s="38" t="s">
        <v>281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68"/>
    </row>
    <row r="24" spans="1:19" s="24" customFormat="1" ht="15" customHeight="1">
      <c r="A24" s="168"/>
      <c r="B24" s="38" t="s">
        <v>282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68"/>
    </row>
    <row r="25" spans="1:19" s="24" customFormat="1" ht="15" customHeight="1">
      <c r="A25" s="168"/>
      <c r="B25" s="38" t="s">
        <v>283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68"/>
    </row>
    <row r="26" spans="1:19" s="24" customFormat="1" ht="15" customHeight="1">
      <c r="A26" s="168"/>
      <c r="B26" s="37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68"/>
    </row>
    <row r="27" spans="1:19" s="24" customFormat="1" ht="1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</row>
    <row r="28" spans="1:19" s="24" customFormat="1" ht="15" customHeight="1">
      <c r="A28" s="168"/>
      <c r="B28" s="84" t="s">
        <v>284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</row>
    <row r="29" spans="1:19" s="24" customFormat="1" ht="5.0999999999999996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</row>
    <row r="30" spans="1:19" s="24" customFormat="1" ht="15" customHeight="1">
      <c r="A30" s="168"/>
      <c r="B30" s="168" t="s">
        <v>285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</row>
    <row r="31" spans="1:19" s="24" customFormat="1" ht="15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</row>
    <row r="32" spans="1:19" s="1" customFormat="1" ht="15" customHeight="1"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79</v>
      </c>
      <c r="H32" s="5" t="s">
        <v>80</v>
      </c>
      <c r="I32" s="39" t="s">
        <v>81</v>
      </c>
      <c r="J32" s="40" t="s">
        <v>82</v>
      </c>
      <c r="K32" s="39" t="s">
        <v>83</v>
      </c>
      <c r="L32" s="39" t="s">
        <v>84</v>
      </c>
      <c r="M32" s="39" t="s">
        <v>85</v>
      </c>
      <c r="N32" s="39" t="s">
        <v>86</v>
      </c>
      <c r="O32" s="41" t="s">
        <v>286</v>
      </c>
      <c r="P32" s="39" t="s">
        <v>88</v>
      </c>
      <c r="Q32" s="39" t="s">
        <v>89</v>
      </c>
      <c r="R32" s="39" t="s">
        <v>90</v>
      </c>
    </row>
    <row r="33" spans="1:19" s="1" customFormat="1" ht="20.85" customHeight="1">
      <c r="B33" s="6" t="s">
        <v>287</v>
      </c>
      <c r="C33" s="6" t="s">
        <v>288</v>
      </c>
      <c r="D33" s="8">
        <v>1</v>
      </c>
      <c r="E33" s="9" t="s">
        <v>93</v>
      </c>
      <c r="F33" s="9" t="s">
        <v>289</v>
      </c>
      <c r="G33" s="10" t="s">
        <v>95</v>
      </c>
      <c r="H33" s="10"/>
      <c r="I33" s="19" t="s">
        <v>173</v>
      </c>
      <c r="J33" s="12" t="s">
        <v>290</v>
      </c>
      <c r="K33" s="6" t="s">
        <v>288</v>
      </c>
      <c r="L33" s="7" t="s">
        <v>288</v>
      </c>
      <c r="M33" s="193" t="s">
        <v>291</v>
      </c>
      <c r="N33" s="19"/>
      <c r="O33" s="42" t="s">
        <v>99</v>
      </c>
      <c r="P33" s="42"/>
      <c r="Q33" s="83">
        <v>44404</v>
      </c>
      <c r="R33" s="193" t="s">
        <v>292</v>
      </c>
    </row>
    <row r="34" spans="1:19" s="1" customFormat="1" ht="20.85" customHeight="1">
      <c r="B34" s="6" t="s">
        <v>287</v>
      </c>
      <c r="C34" s="6" t="s">
        <v>293</v>
      </c>
      <c r="D34" s="8">
        <v>2</v>
      </c>
      <c r="E34" s="9" t="s">
        <v>93</v>
      </c>
      <c r="F34" s="9" t="s">
        <v>294</v>
      </c>
      <c r="G34" s="10" t="s">
        <v>95</v>
      </c>
      <c r="H34" s="10"/>
      <c r="I34" s="19" t="s">
        <v>173</v>
      </c>
      <c r="J34" s="12" t="s">
        <v>290</v>
      </c>
      <c r="K34" s="6" t="s">
        <v>293</v>
      </c>
      <c r="L34" s="7" t="s">
        <v>293</v>
      </c>
      <c r="M34" s="194"/>
      <c r="N34" s="19"/>
      <c r="O34" s="42" t="s">
        <v>99</v>
      </c>
      <c r="P34" s="42"/>
      <c r="Q34" s="83">
        <v>44404</v>
      </c>
      <c r="R34" s="194"/>
    </row>
    <row r="35" spans="1:19" s="1" customFormat="1" ht="20.85" customHeight="1">
      <c r="B35" s="6" t="s">
        <v>287</v>
      </c>
      <c r="C35" s="6" t="s">
        <v>295</v>
      </c>
      <c r="D35" s="8">
        <v>3</v>
      </c>
      <c r="E35" s="9" t="s">
        <v>93</v>
      </c>
      <c r="F35" s="9" t="s">
        <v>296</v>
      </c>
      <c r="G35" s="10" t="s">
        <v>95</v>
      </c>
      <c r="H35" s="10"/>
      <c r="I35" s="19" t="s">
        <v>173</v>
      </c>
      <c r="J35" s="12" t="s">
        <v>290</v>
      </c>
      <c r="K35" s="6" t="s">
        <v>295</v>
      </c>
      <c r="L35" s="7" t="s">
        <v>295</v>
      </c>
      <c r="M35" s="194"/>
      <c r="N35" s="19"/>
      <c r="O35" s="42" t="s">
        <v>99</v>
      </c>
      <c r="P35" s="42"/>
      <c r="Q35" s="83">
        <v>44404</v>
      </c>
      <c r="R35" s="194"/>
    </row>
    <row r="36" spans="1:19" s="1" customFormat="1" ht="20.85" customHeight="1">
      <c r="B36" s="6" t="s">
        <v>287</v>
      </c>
      <c r="C36" s="32" t="s">
        <v>297</v>
      </c>
      <c r="D36" s="8">
        <v>4</v>
      </c>
      <c r="E36" s="9" t="s">
        <v>93</v>
      </c>
      <c r="F36" s="9" t="s">
        <v>298</v>
      </c>
      <c r="G36" s="10" t="s">
        <v>95</v>
      </c>
      <c r="H36" s="10"/>
      <c r="I36" s="19" t="s">
        <v>173</v>
      </c>
      <c r="J36" s="12" t="s">
        <v>290</v>
      </c>
      <c r="K36" s="32" t="s">
        <v>297</v>
      </c>
      <c r="L36" s="12" t="s">
        <v>297</v>
      </c>
      <c r="M36" s="194"/>
      <c r="N36" s="30"/>
      <c r="O36" s="42" t="s">
        <v>99</v>
      </c>
      <c r="P36" s="42"/>
      <c r="Q36" s="83">
        <v>44404</v>
      </c>
      <c r="R36" s="194"/>
    </row>
    <row r="37" spans="1:19" s="1" customFormat="1" ht="20.85" customHeight="1">
      <c r="B37" s="6" t="s">
        <v>287</v>
      </c>
      <c r="C37" s="12" t="s">
        <v>299</v>
      </c>
      <c r="D37" s="8">
        <v>5</v>
      </c>
      <c r="E37" s="9" t="s">
        <v>93</v>
      </c>
      <c r="F37" s="9" t="s">
        <v>300</v>
      </c>
      <c r="G37" s="10"/>
      <c r="H37" s="10"/>
      <c r="I37" s="19" t="s">
        <v>173</v>
      </c>
      <c r="J37" s="12" t="s">
        <v>290</v>
      </c>
      <c r="K37" s="7" t="s">
        <v>301</v>
      </c>
      <c r="L37" s="12" t="s">
        <v>302</v>
      </c>
      <c r="M37" s="194"/>
      <c r="N37" s="19"/>
      <c r="O37" s="42" t="s">
        <v>99</v>
      </c>
      <c r="P37" s="42"/>
      <c r="Q37" s="83">
        <v>44404</v>
      </c>
      <c r="R37" s="194"/>
    </row>
    <row r="38" spans="1:19" s="1" customFormat="1" ht="90">
      <c r="B38" s="6" t="s">
        <v>287</v>
      </c>
      <c r="C38" s="12" t="s">
        <v>303</v>
      </c>
      <c r="D38" s="8">
        <v>6</v>
      </c>
      <c r="E38" s="9" t="s">
        <v>304</v>
      </c>
      <c r="F38" s="9" t="s">
        <v>305</v>
      </c>
      <c r="G38" s="10"/>
      <c r="H38" s="10"/>
      <c r="I38" s="19" t="s">
        <v>96</v>
      </c>
      <c r="J38" s="12" t="s">
        <v>306</v>
      </c>
      <c r="K38" s="12" t="s">
        <v>307</v>
      </c>
      <c r="L38" s="12" t="s">
        <v>308</v>
      </c>
      <c r="M38" s="194"/>
      <c r="N38" s="19"/>
      <c r="O38" s="42" t="s">
        <v>99</v>
      </c>
      <c r="P38" s="42"/>
      <c r="Q38" s="83">
        <v>44650</v>
      </c>
      <c r="R38" s="194"/>
    </row>
    <row r="39" spans="1:19" s="1" customFormat="1" ht="20.85" customHeight="1">
      <c r="B39" s="6" t="s">
        <v>287</v>
      </c>
      <c r="C39" s="32" t="s">
        <v>92</v>
      </c>
      <c r="D39" s="8">
        <v>7</v>
      </c>
      <c r="E39" s="9" t="s">
        <v>93</v>
      </c>
      <c r="F39" s="9" t="s">
        <v>94</v>
      </c>
      <c r="G39" s="10" t="s">
        <v>95</v>
      </c>
      <c r="H39" s="10" t="s">
        <v>95</v>
      </c>
      <c r="I39" s="19" t="s">
        <v>173</v>
      </c>
      <c r="J39" s="12" t="s">
        <v>290</v>
      </c>
      <c r="K39" s="32" t="s">
        <v>92</v>
      </c>
      <c r="L39" s="12" t="s">
        <v>92</v>
      </c>
      <c r="M39" s="194"/>
      <c r="N39" s="19"/>
      <c r="O39" s="42" t="s">
        <v>99</v>
      </c>
      <c r="P39" s="42"/>
      <c r="Q39" s="83">
        <v>44404</v>
      </c>
      <c r="R39" s="194"/>
    </row>
    <row r="40" spans="1:19" s="1" customFormat="1" ht="20.85" customHeight="1">
      <c r="B40" s="6" t="s">
        <v>287</v>
      </c>
      <c r="C40" s="32" t="s">
        <v>226</v>
      </c>
      <c r="D40" s="8">
        <v>8</v>
      </c>
      <c r="E40" s="9" t="s">
        <v>93</v>
      </c>
      <c r="F40" s="9" t="s">
        <v>309</v>
      </c>
      <c r="G40" s="10" t="s">
        <v>95</v>
      </c>
      <c r="H40" s="10" t="s">
        <v>95</v>
      </c>
      <c r="I40" s="19" t="s">
        <v>173</v>
      </c>
      <c r="J40" s="12" t="s">
        <v>290</v>
      </c>
      <c r="K40" s="32" t="s">
        <v>226</v>
      </c>
      <c r="L40" s="12" t="s">
        <v>226</v>
      </c>
      <c r="M40" s="195"/>
      <c r="N40" s="19"/>
      <c r="O40" s="42" t="s">
        <v>99</v>
      </c>
      <c r="P40" s="42"/>
      <c r="Q40" s="83">
        <v>44404</v>
      </c>
      <c r="R40" s="195"/>
    </row>
    <row r="41" spans="1:19" s="1" customFormat="1">
      <c r="B41" s="43"/>
      <c r="C41" s="85"/>
      <c r="D41" s="45"/>
      <c r="E41" s="46"/>
      <c r="F41" s="46"/>
      <c r="G41" s="68"/>
      <c r="H41" s="68"/>
      <c r="I41" s="47"/>
      <c r="J41" s="44"/>
      <c r="K41" s="85"/>
      <c r="L41" s="44"/>
      <c r="M41" s="86"/>
      <c r="N41" s="47"/>
      <c r="O41" s="71"/>
      <c r="P41" s="71"/>
      <c r="Q41" s="71"/>
      <c r="R41" s="69"/>
    </row>
    <row r="42" spans="1:19" s="24" customFormat="1" ht="15" customHeight="1">
      <c r="A42" s="168"/>
      <c r="B42" s="84" t="s">
        <v>310</v>
      </c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</row>
    <row r="43" spans="1:19" s="24" customFormat="1" ht="1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</row>
    <row r="44" spans="1:19" s="1" customFormat="1" ht="15" customHeight="1">
      <c r="B44" s="5" t="s">
        <v>74</v>
      </c>
      <c r="C44" s="5" t="s">
        <v>75</v>
      </c>
      <c r="D44" s="5" t="s">
        <v>76</v>
      </c>
      <c r="E44" s="5" t="s">
        <v>77</v>
      </c>
      <c r="F44" s="5" t="s">
        <v>78</v>
      </c>
      <c r="G44" s="5" t="s">
        <v>79</v>
      </c>
      <c r="H44" s="5" t="s">
        <v>80</v>
      </c>
      <c r="I44" s="39" t="s">
        <v>81</v>
      </c>
      <c r="J44" s="40" t="s">
        <v>82</v>
      </c>
      <c r="K44" s="39" t="s">
        <v>83</v>
      </c>
      <c r="L44" s="39" t="s">
        <v>84</v>
      </c>
      <c r="M44" s="39" t="s">
        <v>85</v>
      </c>
      <c r="N44" s="39" t="s">
        <v>86</v>
      </c>
      <c r="O44" s="41" t="s">
        <v>286</v>
      </c>
      <c r="P44" s="39" t="s">
        <v>88</v>
      </c>
      <c r="Q44" s="39" t="s">
        <v>89</v>
      </c>
      <c r="R44" s="39" t="s">
        <v>90</v>
      </c>
    </row>
    <row r="45" spans="1:19" s="1" customFormat="1" ht="20.85" customHeight="1">
      <c r="B45" s="6" t="s">
        <v>311</v>
      </c>
      <c r="C45" s="32" t="s">
        <v>92</v>
      </c>
      <c r="D45" s="8">
        <v>1</v>
      </c>
      <c r="E45" s="9" t="s">
        <v>93</v>
      </c>
      <c r="F45" s="9" t="s">
        <v>94</v>
      </c>
      <c r="G45" s="10" t="s">
        <v>95</v>
      </c>
      <c r="H45" s="10" t="s">
        <v>95</v>
      </c>
      <c r="I45" s="19" t="s">
        <v>173</v>
      </c>
      <c r="J45" s="12" t="s">
        <v>287</v>
      </c>
      <c r="K45" s="12" t="s">
        <v>92</v>
      </c>
      <c r="L45" s="12" t="s">
        <v>92</v>
      </c>
      <c r="M45" s="196" t="s">
        <v>312</v>
      </c>
      <c r="N45" s="19"/>
      <c r="O45" s="42" t="s">
        <v>99</v>
      </c>
      <c r="P45" s="42"/>
      <c r="Q45" s="83">
        <v>44364</v>
      </c>
      <c r="R45" s="11" t="s">
        <v>98</v>
      </c>
    </row>
    <row r="46" spans="1:19" s="1" customFormat="1" ht="20.85" customHeight="1">
      <c r="B46" s="6" t="s">
        <v>311</v>
      </c>
      <c r="C46" s="32" t="s">
        <v>299</v>
      </c>
      <c r="D46" s="8">
        <f>D45+1</f>
        <v>2</v>
      </c>
      <c r="E46" s="9" t="s">
        <v>93</v>
      </c>
      <c r="F46" s="9" t="s">
        <v>300</v>
      </c>
      <c r="G46" s="10" t="s">
        <v>95</v>
      </c>
      <c r="H46" s="10"/>
      <c r="I46" s="19" t="s">
        <v>173</v>
      </c>
      <c r="J46" s="12" t="s">
        <v>287</v>
      </c>
      <c r="K46" s="12" t="s">
        <v>299</v>
      </c>
      <c r="L46" s="12" t="s">
        <v>299</v>
      </c>
      <c r="M46" s="197"/>
      <c r="N46" s="19"/>
      <c r="O46" s="42" t="s">
        <v>99</v>
      </c>
      <c r="P46" s="42"/>
      <c r="Q46" s="83">
        <v>44364</v>
      </c>
      <c r="R46" s="11" t="s">
        <v>98</v>
      </c>
    </row>
    <row r="47" spans="1:19" s="1" customFormat="1" ht="20.85" customHeight="1">
      <c r="B47" s="6" t="s">
        <v>311</v>
      </c>
      <c r="C47" s="32" t="s">
        <v>313</v>
      </c>
      <c r="D47" s="8">
        <f t="shared" ref="D47:D73" si="0">D46+1</f>
        <v>3</v>
      </c>
      <c r="E47" s="9" t="s">
        <v>93</v>
      </c>
      <c r="F47" s="9" t="s">
        <v>314</v>
      </c>
      <c r="G47" s="10" t="s">
        <v>95</v>
      </c>
      <c r="H47" s="10"/>
      <c r="I47" s="19" t="s">
        <v>173</v>
      </c>
      <c r="J47" s="12" t="s">
        <v>91</v>
      </c>
      <c r="K47" s="12" t="s">
        <v>313</v>
      </c>
      <c r="L47" s="12" t="s">
        <v>315</v>
      </c>
      <c r="M47" s="197"/>
      <c r="N47" s="19"/>
      <c r="O47" s="42" t="s">
        <v>99</v>
      </c>
      <c r="P47" s="42"/>
      <c r="Q47" s="83">
        <v>44364</v>
      </c>
      <c r="R47" s="11" t="s">
        <v>98</v>
      </c>
    </row>
    <row r="48" spans="1:19" s="1" customFormat="1" ht="20.85" customHeight="1">
      <c r="B48" s="6" t="s">
        <v>311</v>
      </c>
      <c r="C48" s="12" t="s">
        <v>303</v>
      </c>
      <c r="D48" s="8">
        <f t="shared" si="0"/>
        <v>4</v>
      </c>
      <c r="E48" s="9" t="s">
        <v>304</v>
      </c>
      <c r="F48" s="9" t="s">
        <v>316</v>
      </c>
      <c r="G48" s="10"/>
      <c r="H48" s="10"/>
      <c r="I48" s="19" t="s">
        <v>173</v>
      </c>
      <c r="J48" s="12" t="s">
        <v>287</v>
      </c>
      <c r="K48" s="12" t="s">
        <v>303</v>
      </c>
      <c r="L48" s="12" t="s">
        <v>303</v>
      </c>
      <c r="M48" s="197"/>
      <c r="N48" s="19"/>
      <c r="O48" s="42" t="s">
        <v>99</v>
      </c>
      <c r="P48" s="42"/>
      <c r="Q48" s="83">
        <v>44364</v>
      </c>
      <c r="R48" s="11" t="s">
        <v>98</v>
      </c>
    </row>
    <row r="49" spans="2:18" s="1" customFormat="1" ht="20.85" customHeight="1">
      <c r="B49" s="6" t="s">
        <v>311</v>
      </c>
      <c r="C49" s="7" t="s">
        <v>102</v>
      </c>
      <c r="D49" s="8">
        <f t="shared" si="0"/>
        <v>5</v>
      </c>
      <c r="E49" s="9" t="s">
        <v>93</v>
      </c>
      <c r="F49" s="9" t="s">
        <v>103</v>
      </c>
      <c r="G49" s="10"/>
      <c r="H49" s="10"/>
      <c r="I49" s="19" t="s">
        <v>173</v>
      </c>
      <c r="J49" s="12" t="s">
        <v>91</v>
      </c>
      <c r="K49" s="12" t="s">
        <v>102</v>
      </c>
      <c r="L49" s="12" t="s">
        <v>102</v>
      </c>
      <c r="M49" s="197"/>
      <c r="N49" s="19"/>
      <c r="O49" s="42" t="s">
        <v>99</v>
      </c>
      <c r="P49" s="42"/>
      <c r="Q49" s="83">
        <v>44364</v>
      </c>
      <c r="R49" s="11" t="s">
        <v>98</v>
      </c>
    </row>
    <row r="50" spans="2:18" s="1" customFormat="1" ht="20.85" customHeight="1">
      <c r="B50" s="6" t="s">
        <v>311</v>
      </c>
      <c r="C50" s="7" t="s">
        <v>104</v>
      </c>
      <c r="D50" s="8">
        <f t="shared" si="0"/>
        <v>6</v>
      </c>
      <c r="E50" s="9" t="s">
        <v>93</v>
      </c>
      <c r="F50" s="9" t="s">
        <v>105</v>
      </c>
      <c r="G50" s="10"/>
      <c r="H50" s="10"/>
      <c r="I50" s="19" t="s">
        <v>173</v>
      </c>
      <c r="J50" s="12" t="s">
        <v>91</v>
      </c>
      <c r="K50" s="12" t="s">
        <v>104</v>
      </c>
      <c r="L50" s="12" t="s">
        <v>104</v>
      </c>
      <c r="M50" s="197"/>
      <c r="N50" s="19"/>
      <c r="O50" s="42" t="s">
        <v>99</v>
      </c>
      <c r="P50" s="42"/>
      <c r="Q50" s="83">
        <v>44364</v>
      </c>
      <c r="R50" s="11" t="s">
        <v>98</v>
      </c>
    </row>
    <row r="51" spans="2:18" s="1" customFormat="1" ht="20.85" customHeight="1">
      <c r="B51" s="6" t="s">
        <v>311</v>
      </c>
      <c r="C51" s="7" t="s">
        <v>100</v>
      </c>
      <c r="D51" s="8">
        <f t="shared" si="0"/>
        <v>7</v>
      </c>
      <c r="E51" s="9" t="s">
        <v>93</v>
      </c>
      <c r="F51" s="9" t="s">
        <v>317</v>
      </c>
      <c r="G51" s="10"/>
      <c r="H51" s="10"/>
      <c r="I51" s="19" t="s">
        <v>173</v>
      </c>
      <c r="J51" s="12" t="s">
        <v>91</v>
      </c>
      <c r="K51" s="12" t="s">
        <v>100</v>
      </c>
      <c r="L51" s="12" t="s">
        <v>100</v>
      </c>
      <c r="M51" s="197"/>
      <c r="N51" s="19"/>
      <c r="O51" s="42" t="s">
        <v>99</v>
      </c>
      <c r="P51" s="42"/>
      <c r="Q51" s="83">
        <v>44364</v>
      </c>
      <c r="R51" s="11" t="s">
        <v>98</v>
      </c>
    </row>
    <row r="52" spans="2:18" s="1" customFormat="1" ht="20.85" customHeight="1">
      <c r="B52" s="6" t="s">
        <v>311</v>
      </c>
      <c r="C52" s="12" t="s">
        <v>106</v>
      </c>
      <c r="D52" s="8">
        <f t="shared" si="0"/>
        <v>8</v>
      </c>
      <c r="E52" s="9" t="s">
        <v>93</v>
      </c>
      <c r="F52" s="9" t="s">
        <v>318</v>
      </c>
      <c r="G52" s="10"/>
      <c r="H52" s="10"/>
      <c r="I52" s="19" t="s">
        <v>173</v>
      </c>
      <c r="J52" s="12" t="s">
        <v>91</v>
      </c>
      <c r="K52" s="12" t="s">
        <v>106</v>
      </c>
      <c r="L52" s="12" t="s">
        <v>106</v>
      </c>
      <c r="M52" s="197"/>
      <c r="N52" s="19"/>
      <c r="O52" s="42" t="s">
        <v>99</v>
      </c>
      <c r="P52" s="42"/>
      <c r="Q52" s="83">
        <v>44364</v>
      </c>
      <c r="R52" s="11" t="s">
        <v>98</v>
      </c>
    </row>
    <row r="53" spans="2:18" s="1" customFormat="1" ht="20.85" customHeight="1">
      <c r="B53" s="6" t="s">
        <v>311</v>
      </c>
      <c r="C53" s="12" t="s">
        <v>855</v>
      </c>
      <c r="D53" s="8">
        <f t="shared" si="0"/>
        <v>9</v>
      </c>
      <c r="E53" s="9" t="s">
        <v>304</v>
      </c>
      <c r="F53" s="9" t="s">
        <v>319</v>
      </c>
      <c r="G53" s="10"/>
      <c r="H53" s="10"/>
      <c r="I53" s="19" t="s">
        <v>173</v>
      </c>
      <c r="J53" s="12" t="s">
        <v>91</v>
      </c>
      <c r="K53" s="12" t="s">
        <v>113</v>
      </c>
      <c r="L53" s="12" t="s">
        <v>113</v>
      </c>
      <c r="M53" s="197"/>
      <c r="N53" s="19"/>
      <c r="O53" s="42" t="s">
        <v>99</v>
      </c>
      <c r="P53" s="42"/>
      <c r="Q53" s="83">
        <v>44364</v>
      </c>
      <c r="R53" s="11" t="s">
        <v>98</v>
      </c>
    </row>
    <row r="54" spans="2:18" s="1" customFormat="1" ht="20.85" customHeight="1">
      <c r="B54" s="6" t="s">
        <v>311</v>
      </c>
      <c r="C54" s="12" t="s">
        <v>119</v>
      </c>
      <c r="D54" s="8">
        <f t="shared" si="0"/>
        <v>10</v>
      </c>
      <c r="E54" s="9" t="s">
        <v>304</v>
      </c>
      <c r="F54" s="9" t="s">
        <v>320</v>
      </c>
      <c r="G54" s="10"/>
      <c r="H54" s="10"/>
      <c r="I54" s="19" t="s">
        <v>173</v>
      </c>
      <c r="J54" s="12" t="s">
        <v>91</v>
      </c>
      <c r="K54" s="12" t="s">
        <v>119</v>
      </c>
      <c r="L54" s="12" t="s">
        <v>119</v>
      </c>
      <c r="M54" s="197"/>
      <c r="N54" s="19"/>
      <c r="O54" s="42" t="s">
        <v>99</v>
      </c>
      <c r="P54" s="42"/>
      <c r="Q54" s="83">
        <v>44364</v>
      </c>
      <c r="R54" s="11" t="s">
        <v>98</v>
      </c>
    </row>
    <row r="55" spans="2:18" s="1" customFormat="1" ht="20.85" customHeight="1">
      <c r="B55" s="6" t="s">
        <v>311</v>
      </c>
      <c r="C55" s="12" t="s">
        <v>125</v>
      </c>
      <c r="D55" s="8">
        <f t="shared" si="0"/>
        <v>11</v>
      </c>
      <c r="E55" s="9" t="s">
        <v>93</v>
      </c>
      <c r="F55" s="9" t="s">
        <v>126</v>
      </c>
      <c r="G55" s="10"/>
      <c r="H55" s="10"/>
      <c r="I55" s="19" t="s">
        <v>173</v>
      </c>
      <c r="J55" s="12" t="s">
        <v>91</v>
      </c>
      <c r="K55" s="12" t="s">
        <v>125</v>
      </c>
      <c r="L55" s="12" t="s">
        <v>125</v>
      </c>
      <c r="M55" s="197"/>
      <c r="N55" s="19"/>
      <c r="O55" s="42" t="s">
        <v>99</v>
      </c>
      <c r="P55" s="42"/>
      <c r="Q55" s="83">
        <v>44364</v>
      </c>
      <c r="R55" s="11" t="s">
        <v>98</v>
      </c>
    </row>
    <row r="56" spans="2:18" s="1" customFormat="1" ht="20.85" customHeight="1">
      <c r="B56" s="6" t="s">
        <v>311</v>
      </c>
      <c r="C56" s="12" t="s">
        <v>130</v>
      </c>
      <c r="D56" s="8">
        <f t="shared" si="0"/>
        <v>12</v>
      </c>
      <c r="E56" s="9" t="s">
        <v>304</v>
      </c>
      <c r="F56" s="9" t="s">
        <v>321</v>
      </c>
      <c r="G56" s="10"/>
      <c r="H56" s="10"/>
      <c r="I56" s="19" t="s">
        <v>173</v>
      </c>
      <c r="J56" s="12" t="s">
        <v>91</v>
      </c>
      <c r="K56" s="12" t="s">
        <v>130</v>
      </c>
      <c r="L56" s="12" t="s">
        <v>322</v>
      </c>
      <c r="M56" s="197"/>
      <c r="N56" s="19"/>
      <c r="O56" s="42" t="s">
        <v>99</v>
      </c>
      <c r="P56" s="42"/>
      <c r="Q56" s="83">
        <v>44509</v>
      </c>
      <c r="R56" s="11" t="s">
        <v>98</v>
      </c>
    </row>
    <row r="57" spans="2:18" s="1" customFormat="1" ht="20.85" customHeight="1">
      <c r="B57" s="6" t="s">
        <v>311</v>
      </c>
      <c r="C57" s="12" t="s">
        <v>138</v>
      </c>
      <c r="D57" s="8">
        <f t="shared" si="0"/>
        <v>13</v>
      </c>
      <c r="E57" s="9" t="s">
        <v>304</v>
      </c>
      <c r="F57" s="9" t="s">
        <v>140</v>
      </c>
      <c r="G57" s="10"/>
      <c r="H57" s="10"/>
      <c r="I57" s="19" t="s">
        <v>173</v>
      </c>
      <c r="J57" s="12" t="s">
        <v>91</v>
      </c>
      <c r="K57" s="12" t="s">
        <v>138</v>
      </c>
      <c r="L57" s="12" t="s">
        <v>138</v>
      </c>
      <c r="M57" s="197"/>
      <c r="N57" s="19"/>
      <c r="O57" s="42" t="s">
        <v>99</v>
      </c>
      <c r="P57" s="42"/>
      <c r="Q57" s="83">
        <v>44364</v>
      </c>
      <c r="R57" s="11" t="s">
        <v>98</v>
      </c>
    </row>
    <row r="58" spans="2:18" s="1" customFormat="1" ht="20.85" customHeight="1">
      <c r="B58" s="6" t="s">
        <v>311</v>
      </c>
      <c r="C58" s="12" t="s">
        <v>144</v>
      </c>
      <c r="D58" s="8">
        <f t="shared" si="0"/>
        <v>14</v>
      </c>
      <c r="E58" s="9" t="s">
        <v>304</v>
      </c>
      <c r="F58" s="9" t="s">
        <v>323</v>
      </c>
      <c r="G58" s="10"/>
      <c r="H58" s="10"/>
      <c r="I58" s="19" t="s">
        <v>173</v>
      </c>
      <c r="J58" s="12" t="s">
        <v>91</v>
      </c>
      <c r="K58" s="12" t="s">
        <v>144</v>
      </c>
      <c r="L58" s="12" t="s">
        <v>144</v>
      </c>
      <c r="M58" s="197"/>
      <c r="N58" s="19"/>
      <c r="O58" s="42" t="s">
        <v>99</v>
      </c>
      <c r="P58" s="42"/>
      <c r="Q58" s="83">
        <v>44364</v>
      </c>
      <c r="R58" s="11" t="s">
        <v>98</v>
      </c>
    </row>
    <row r="59" spans="2:18" s="1" customFormat="1" ht="20.85" customHeight="1">
      <c r="B59" s="6" t="s">
        <v>311</v>
      </c>
      <c r="C59" s="12" t="s">
        <v>151</v>
      </c>
      <c r="D59" s="8">
        <f t="shared" si="0"/>
        <v>15</v>
      </c>
      <c r="E59" s="9" t="s">
        <v>324</v>
      </c>
      <c r="F59" s="9" t="s">
        <v>325</v>
      </c>
      <c r="G59" s="10"/>
      <c r="H59" s="10"/>
      <c r="I59" s="19" t="s">
        <v>173</v>
      </c>
      <c r="J59" s="12" t="s">
        <v>91</v>
      </c>
      <c r="K59" s="12" t="s">
        <v>151</v>
      </c>
      <c r="L59" s="12" t="s">
        <v>151</v>
      </c>
      <c r="M59" s="197"/>
      <c r="N59" s="19"/>
      <c r="O59" s="42" t="s">
        <v>99</v>
      </c>
      <c r="P59" s="42"/>
      <c r="Q59" s="83">
        <v>44364</v>
      </c>
      <c r="R59" s="11" t="s">
        <v>98</v>
      </c>
    </row>
    <row r="60" spans="2:18" s="1" customFormat="1" ht="20.85" customHeight="1">
      <c r="B60" s="6" t="s">
        <v>311</v>
      </c>
      <c r="C60" s="12" t="s">
        <v>158</v>
      </c>
      <c r="D60" s="8">
        <f t="shared" si="0"/>
        <v>16</v>
      </c>
      <c r="E60" s="9" t="s">
        <v>93</v>
      </c>
      <c r="F60" s="9" t="s">
        <v>326</v>
      </c>
      <c r="G60" s="10"/>
      <c r="H60" s="10"/>
      <c r="I60" s="19" t="s">
        <v>173</v>
      </c>
      <c r="J60" s="12" t="s">
        <v>91</v>
      </c>
      <c r="K60" s="12" t="s">
        <v>158</v>
      </c>
      <c r="L60" s="12" t="s">
        <v>158</v>
      </c>
      <c r="M60" s="197"/>
      <c r="N60" s="19"/>
      <c r="O60" s="42" t="s">
        <v>99</v>
      </c>
      <c r="P60" s="42"/>
      <c r="Q60" s="83">
        <v>44364</v>
      </c>
      <c r="R60" s="11" t="s">
        <v>98</v>
      </c>
    </row>
    <row r="61" spans="2:18" s="1" customFormat="1" ht="20.85" customHeight="1">
      <c r="B61" s="6" t="s">
        <v>311</v>
      </c>
      <c r="C61" s="12" t="s">
        <v>164</v>
      </c>
      <c r="D61" s="8">
        <f t="shared" si="0"/>
        <v>17</v>
      </c>
      <c r="E61" s="9" t="s">
        <v>93</v>
      </c>
      <c r="F61" s="9" t="s">
        <v>327</v>
      </c>
      <c r="G61" s="10"/>
      <c r="H61" s="10"/>
      <c r="I61" s="19" t="s">
        <v>173</v>
      </c>
      <c r="J61" s="12" t="s">
        <v>91</v>
      </c>
      <c r="K61" s="12" t="s">
        <v>164</v>
      </c>
      <c r="L61" s="12" t="s">
        <v>164</v>
      </c>
      <c r="M61" s="197"/>
      <c r="N61" s="19"/>
      <c r="O61" s="42" t="s">
        <v>99</v>
      </c>
      <c r="P61" s="42"/>
      <c r="Q61" s="83">
        <v>44364</v>
      </c>
      <c r="R61" s="11" t="s">
        <v>98</v>
      </c>
    </row>
    <row r="62" spans="2:18" s="1" customFormat="1" ht="20.85" customHeight="1">
      <c r="B62" s="6" t="s">
        <v>311</v>
      </c>
      <c r="C62" s="12" t="s">
        <v>170</v>
      </c>
      <c r="D62" s="8">
        <f t="shared" si="0"/>
        <v>18</v>
      </c>
      <c r="E62" s="9" t="s">
        <v>93</v>
      </c>
      <c r="F62" s="9" t="s">
        <v>328</v>
      </c>
      <c r="G62" s="10"/>
      <c r="H62" s="10"/>
      <c r="I62" s="19" t="s">
        <v>173</v>
      </c>
      <c r="J62" s="12" t="s">
        <v>91</v>
      </c>
      <c r="K62" s="12" t="s">
        <v>170</v>
      </c>
      <c r="L62" s="12" t="s">
        <v>170</v>
      </c>
      <c r="M62" s="197"/>
      <c r="N62" s="19"/>
      <c r="O62" s="42" t="s">
        <v>99</v>
      </c>
      <c r="P62" s="42"/>
      <c r="Q62" s="83">
        <v>44364</v>
      </c>
      <c r="R62" s="11" t="s">
        <v>98</v>
      </c>
    </row>
    <row r="63" spans="2:18" s="1" customFormat="1" ht="20.85" customHeight="1">
      <c r="B63" s="6" t="s">
        <v>311</v>
      </c>
      <c r="C63" s="12" t="s">
        <v>175</v>
      </c>
      <c r="D63" s="8">
        <f t="shared" si="0"/>
        <v>19</v>
      </c>
      <c r="E63" s="9" t="s">
        <v>93</v>
      </c>
      <c r="F63" s="9" t="s">
        <v>329</v>
      </c>
      <c r="G63" s="10"/>
      <c r="H63" s="10"/>
      <c r="I63" s="19" t="s">
        <v>173</v>
      </c>
      <c r="J63" s="12" t="s">
        <v>91</v>
      </c>
      <c r="K63" s="12" t="s">
        <v>175</v>
      </c>
      <c r="L63" s="12" t="s">
        <v>175</v>
      </c>
      <c r="M63" s="197"/>
      <c r="N63" s="19"/>
      <c r="O63" s="42" t="s">
        <v>99</v>
      </c>
      <c r="P63" s="42"/>
      <c r="Q63" s="83">
        <v>44364</v>
      </c>
      <c r="R63" s="11" t="s">
        <v>98</v>
      </c>
    </row>
    <row r="64" spans="2:18" s="1" customFormat="1" ht="20.85" customHeight="1">
      <c r="B64" s="6" t="s">
        <v>311</v>
      </c>
      <c r="C64" s="12" t="s">
        <v>181</v>
      </c>
      <c r="D64" s="8">
        <f t="shared" si="0"/>
        <v>20</v>
      </c>
      <c r="E64" s="9" t="s">
        <v>93</v>
      </c>
      <c r="F64" s="9" t="s">
        <v>330</v>
      </c>
      <c r="G64" s="10"/>
      <c r="H64" s="10"/>
      <c r="I64" s="19" t="s">
        <v>173</v>
      </c>
      <c r="J64" s="12" t="s">
        <v>91</v>
      </c>
      <c r="K64" s="12" t="s">
        <v>181</v>
      </c>
      <c r="L64" s="12" t="s">
        <v>181</v>
      </c>
      <c r="M64" s="197"/>
      <c r="N64" s="19"/>
      <c r="O64" s="42" t="s">
        <v>99</v>
      </c>
      <c r="P64" s="42"/>
      <c r="Q64" s="83">
        <v>44364</v>
      </c>
      <c r="R64" s="11" t="s">
        <v>98</v>
      </c>
    </row>
    <row r="65" spans="1:19" s="1" customFormat="1" ht="20.85" customHeight="1">
      <c r="B65" s="6" t="s">
        <v>311</v>
      </c>
      <c r="C65" s="15" t="s">
        <v>197</v>
      </c>
      <c r="D65" s="8">
        <f t="shared" si="0"/>
        <v>21</v>
      </c>
      <c r="E65" s="11" t="s">
        <v>198</v>
      </c>
      <c r="F65" s="9" t="s">
        <v>199</v>
      </c>
      <c r="G65" s="10"/>
      <c r="H65" s="10"/>
      <c r="I65" s="19" t="s">
        <v>173</v>
      </c>
      <c r="J65" s="12" t="s">
        <v>91</v>
      </c>
      <c r="K65" s="13" t="s">
        <v>197</v>
      </c>
      <c r="L65" s="13" t="s">
        <v>331</v>
      </c>
      <c r="M65" s="197"/>
      <c r="N65" s="19"/>
      <c r="O65" s="42" t="s">
        <v>99</v>
      </c>
      <c r="P65" s="42"/>
      <c r="Q65" s="83">
        <v>44509</v>
      </c>
      <c r="R65" s="19" t="s">
        <v>332</v>
      </c>
    </row>
    <row r="66" spans="1:19" s="1" customFormat="1" ht="20.85" customHeight="1">
      <c r="B66" s="6" t="s">
        <v>311</v>
      </c>
      <c r="C66" s="15" t="s">
        <v>205</v>
      </c>
      <c r="D66" s="8">
        <f t="shared" si="0"/>
        <v>22</v>
      </c>
      <c r="E66" s="11" t="s">
        <v>198</v>
      </c>
      <c r="F66" s="9" t="s">
        <v>206</v>
      </c>
      <c r="G66" s="10"/>
      <c r="H66" s="10"/>
      <c r="I66" s="19" t="s">
        <v>173</v>
      </c>
      <c r="J66" s="12" t="s">
        <v>91</v>
      </c>
      <c r="K66" s="13" t="s">
        <v>205</v>
      </c>
      <c r="L66" s="13" t="s">
        <v>205</v>
      </c>
      <c r="M66" s="197"/>
      <c r="N66" s="19"/>
      <c r="O66" s="42" t="s">
        <v>99</v>
      </c>
      <c r="P66" s="42"/>
      <c r="Q66" s="83">
        <v>44364</v>
      </c>
      <c r="R66" s="19" t="s">
        <v>332</v>
      </c>
    </row>
    <row r="67" spans="1:19" s="1" customFormat="1" ht="20.85" customHeight="1">
      <c r="B67" s="6" t="s">
        <v>311</v>
      </c>
      <c r="C67" s="15" t="s">
        <v>212</v>
      </c>
      <c r="D67" s="8">
        <f t="shared" si="0"/>
        <v>23</v>
      </c>
      <c r="E67" s="9" t="s">
        <v>93</v>
      </c>
      <c r="F67" s="9" t="s">
        <v>213</v>
      </c>
      <c r="G67" s="10"/>
      <c r="H67" s="10"/>
      <c r="I67" s="19" t="s">
        <v>173</v>
      </c>
      <c r="J67" s="12" t="s">
        <v>91</v>
      </c>
      <c r="K67" s="13" t="s">
        <v>212</v>
      </c>
      <c r="L67" s="13" t="s">
        <v>212</v>
      </c>
      <c r="M67" s="197"/>
      <c r="N67" s="19"/>
      <c r="O67" s="42" t="s">
        <v>99</v>
      </c>
      <c r="P67" s="42"/>
      <c r="Q67" s="83">
        <v>44364</v>
      </c>
      <c r="R67" s="19" t="s">
        <v>211</v>
      </c>
    </row>
    <row r="68" spans="1:19" s="1" customFormat="1" ht="20.85" customHeight="1">
      <c r="B68" s="6" t="s">
        <v>311</v>
      </c>
      <c r="C68" s="15" t="s">
        <v>184</v>
      </c>
      <c r="D68" s="8">
        <f t="shared" si="0"/>
        <v>24</v>
      </c>
      <c r="E68" s="9" t="s">
        <v>93</v>
      </c>
      <c r="F68" s="9" t="s">
        <v>185</v>
      </c>
      <c r="G68" s="10"/>
      <c r="H68" s="10"/>
      <c r="I68" s="19" t="s">
        <v>173</v>
      </c>
      <c r="J68" s="12" t="s">
        <v>91</v>
      </c>
      <c r="K68" s="13" t="s">
        <v>184</v>
      </c>
      <c r="L68" s="13" t="s">
        <v>184</v>
      </c>
      <c r="M68" s="197"/>
      <c r="N68" s="19"/>
      <c r="O68" s="42" t="s">
        <v>99</v>
      </c>
      <c r="P68" s="42"/>
      <c r="Q68" s="83">
        <v>44399</v>
      </c>
      <c r="R68" s="11" t="s">
        <v>98</v>
      </c>
    </row>
    <row r="69" spans="1:19" s="1" customFormat="1" ht="20.85" customHeight="1">
      <c r="B69" s="6" t="s">
        <v>311</v>
      </c>
      <c r="C69" s="7" t="s">
        <v>192</v>
      </c>
      <c r="D69" s="8">
        <f t="shared" si="0"/>
        <v>25</v>
      </c>
      <c r="E69" s="9" t="s">
        <v>93</v>
      </c>
      <c r="F69" s="9" t="s">
        <v>193</v>
      </c>
      <c r="G69" s="10"/>
      <c r="H69" s="10"/>
      <c r="I69" s="19" t="s">
        <v>173</v>
      </c>
      <c r="J69" s="12" t="s">
        <v>91</v>
      </c>
      <c r="K69" s="7" t="s">
        <v>192</v>
      </c>
      <c r="L69" s="7" t="s">
        <v>192</v>
      </c>
      <c r="M69" s="197"/>
      <c r="N69" s="19"/>
      <c r="O69" s="42"/>
      <c r="P69" s="42"/>
      <c r="Q69" s="91">
        <v>44613</v>
      </c>
      <c r="R69" s="11" t="s">
        <v>98</v>
      </c>
    </row>
    <row r="70" spans="1:19" s="1" customFormat="1" ht="20.85" customHeight="1">
      <c r="B70" s="6" t="s">
        <v>311</v>
      </c>
      <c r="C70" s="15" t="s">
        <v>219</v>
      </c>
      <c r="D70" s="8">
        <f t="shared" si="0"/>
        <v>26</v>
      </c>
      <c r="E70" s="9" t="s">
        <v>93</v>
      </c>
      <c r="F70" s="9" t="s">
        <v>220</v>
      </c>
      <c r="G70" s="10"/>
      <c r="H70" s="10"/>
      <c r="I70" s="19" t="s">
        <v>173</v>
      </c>
      <c r="J70" s="12" t="s">
        <v>91</v>
      </c>
      <c r="K70" s="15" t="s">
        <v>219</v>
      </c>
      <c r="L70" s="15" t="s">
        <v>219</v>
      </c>
      <c r="M70" s="197"/>
      <c r="N70" s="19"/>
      <c r="O70" s="42"/>
      <c r="P70" s="42"/>
      <c r="Q70" s="91">
        <v>44806</v>
      </c>
      <c r="R70" s="11" t="s">
        <v>98</v>
      </c>
    </row>
    <row r="71" spans="1:19" s="1" customFormat="1" ht="20.85" customHeight="1">
      <c r="B71" s="181" t="s">
        <v>311</v>
      </c>
      <c r="C71" s="182" t="s">
        <v>853</v>
      </c>
      <c r="D71" s="183">
        <f>D70+1</f>
        <v>27</v>
      </c>
      <c r="E71" s="184" t="s">
        <v>93</v>
      </c>
      <c r="F71" s="184" t="s">
        <v>850</v>
      </c>
      <c r="G71" s="185"/>
      <c r="H71" s="185"/>
      <c r="I71" s="186" t="s">
        <v>173</v>
      </c>
      <c r="J71" s="177" t="s">
        <v>91</v>
      </c>
      <c r="K71" s="182" t="s">
        <v>853</v>
      </c>
      <c r="L71" s="182" t="s">
        <v>853</v>
      </c>
      <c r="M71" s="197"/>
      <c r="N71" s="186"/>
      <c r="O71" s="187" t="s">
        <v>99</v>
      </c>
      <c r="P71" s="187"/>
      <c r="Q71" s="188">
        <v>45317</v>
      </c>
      <c r="R71" s="180" t="s">
        <v>98</v>
      </c>
    </row>
    <row r="72" spans="1:19" s="1" customFormat="1" ht="20.85" customHeight="1">
      <c r="B72" s="6" t="s">
        <v>311</v>
      </c>
      <c r="C72" s="32" t="s">
        <v>226</v>
      </c>
      <c r="D72" s="8">
        <f>D70+1</f>
        <v>27</v>
      </c>
      <c r="E72" s="9" t="s">
        <v>93</v>
      </c>
      <c r="F72" s="9" t="s">
        <v>227</v>
      </c>
      <c r="G72" s="10" t="s">
        <v>95</v>
      </c>
      <c r="H72" s="10" t="s">
        <v>95</v>
      </c>
      <c r="I72" s="19" t="s">
        <v>173</v>
      </c>
      <c r="J72" s="12" t="s">
        <v>91</v>
      </c>
      <c r="K72" s="12" t="s">
        <v>226</v>
      </c>
      <c r="L72" s="12" t="s">
        <v>226</v>
      </c>
      <c r="M72" s="197"/>
      <c r="N72" s="19"/>
      <c r="O72" s="42" t="s">
        <v>99</v>
      </c>
      <c r="P72" s="42"/>
      <c r="Q72" s="83">
        <v>44364</v>
      </c>
      <c r="R72" s="11" t="s">
        <v>98</v>
      </c>
    </row>
    <row r="73" spans="1:19" s="1" customFormat="1" ht="20.85" customHeight="1">
      <c r="B73" s="6" t="s">
        <v>311</v>
      </c>
      <c r="C73" s="32" t="s">
        <v>231</v>
      </c>
      <c r="D73" s="8">
        <f t="shared" si="0"/>
        <v>28</v>
      </c>
      <c r="E73" s="9" t="s">
        <v>93</v>
      </c>
      <c r="F73" s="9" t="s">
        <v>232</v>
      </c>
      <c r="G73" s="10" t="s">
        <v>95</v>
      </c>
      <c r="H73" s="10" t="s">
        <v>95</v>
      </c>
      <c r="I73" s="19" t="s">
        <v>173</v>
      </c>
      <c r="J73" s="12" t="s">
        <v>91</v>
      </c>
      <c r="K73" s="12" t="s">
        <v>231</v>
      </c>
      <c r="L73" s="12" t="s">
        <v>231</v>
      </c>
      <c r="M73" s="198"/>
      <c r="N73" s="19"/>
      <c r="O73" s="42" t="s">
        <v>99</v>
      </c>
      <c r="P73" s="42"/>
      <c r="Q73" s="83">
        <v>44364</v>
      </c>
      <c r="R73" s="11" t="s">
        <v>98</v>
      </c>
    </row>
    <row r="74" spans="1:19" s="24" customFormat="1" ht="1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</row>
    <row r="75" spans="1:19" s="24" customFormat="1" ht="15" customHeight="1">
      <c r="A75" s="168"/>
      <c r="B75" s="84" t="s">
        <v>333</v>
      </c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</row>
    <row r="76" spans="1:19" s="24" customFormat="1" ht="1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</row>
    <row r="77" spans="1:19" s="1" customFormat="1" ht="15" customHeight="1">
      <c r="B77" s="5" t="s">
        <v>74</v>
      </c>
      <c r="C77" s="5" t="s">
        <v>75</v>
      </c>
      <c r="D77" s="5" t="s">
        <v>76</v>
      </c>
      <c r="E77" s="5" t="s">
        <v>77</v>
      </c>
      <c r="F77" s="5" t="s">
        <v>78</v>
      </c>
      <c r="G77" s="5" t="s">
        <v>79</v>
      </c>
      <c r="H77" s="5" t="s">
        <v>80</v>
      </c>
      <c r="I77" s="39" t="s">
        <v>81</v>
      </c>
      <c r="J77" s="40" t="s">
        <v>82</v>
      </c>
      <c r="K77" s="39" t="s">
        <v>83</v>
      </c>
      <c r="L77" s="39" t="s">
        <v>84</v>
      </c>
      <c r="M77" s="39" t="s">
        <v>85</v>
      </c>
      <c r="N77" s="39" t="s">
        <v>86</v>
      </c>
      <c r="O77" s="41" t="s">
        <v>286</v>
      </c>
      <c r="P77" s="39" t="s">
        <v>88</v>
      </c>
      <c r="Q77" s="39" t="s">
        <v>89</v>
      </c>
      <c r="R77" s="39" t="s">
        <v>90</v>
      </c>
    </row>
    <row r="78" spans="1:19" s="1" customFormat="1" ht="20.85" customHeight="1">
      <c r="B78" s="6" t="s">
        <v>334</v>
      </c>
      <c r="C78" s="32" t="s">
        <v>237</v>
      </c>
      <c r="D78" s="8">
        <v>1</v>
      </c>
      <c r="E78" s="9" t="s">
        <v>93</v>
      </c>
      <c r="F78" s="9" t="s">
        <v>238</v>
      </c>
      <c r="G78" s="10" t="s">
        <v>95</v>
      </c>
      <c r="H78" s="10" t="s">
        <v>95</v>
      </c>
      <c r="I78" s="19" t="s">
        <v>173</v>
      </c>
      <c r="J78" s="12" t="s">
        <v>236</v>
      </c>
      <c r="K78" s="12" t="s">
        <v>237</v>
      </c>
      <c r="L78" s="12" t="s">
        <v>237</v>
      </c>
      <c r="M78" s="196" t="s">
        <v>335</v>
      </c>
      <c r="N78" s="19"/>
      <c r="O78" s="42" t="s">
        <v>99</v>
      </c>
      <c r="P78" s="42"/>
      <c r="Q78" s="91">
        <v>44613</v>
      </c>
      <c r="R78" s="11" t="s">
        <v>98</v>
      </c>
    </row>
    <row r="79" spans="1:19" s="1" customFormat="1" ht="20.85" customHeight="1">
      <c r="B79" s="6" t="s">
        <v>334</v>
      </c>
      <c r="C79" s="32" t="s">
        <v>299</v>
      </c>
      <c r="D79" s="8">
        <f>D78+1</f>
        <v>2</v>
      </c>
      <c r="E79" s="9" t="s">
        <v>93</v>
      </c>
      <c r="F79" s="9" t="s">
        <v>300</v>
      </c>
      <c r="G79" s="10" t="s">
        <v>95</v>
      </c>
      <c r="H79" s="10"/>
      <c r="I79" s="19" t="s">
        <v>173</v>
      </c>
      <c r="J79" s="12" t="s">
        <v>287</v>
      </c>
      <c r="K79" s="12" t="s">
        <v>299</v>
      </c>
      <c r="L79" s="12" t="s">
        <v>299</v>
      </c>
      <c r="M79" s="197"/>
      <c r="N79" s="19"/>
      <c r="O79" s="42" t="s">
        <v>99</v>
      </c>
      <c r="P79" s="42"/>
      <c r="Q79" s="91">
        <v>44613</v>
      </c>
      <c r="R79" s="11" t="s">
        <v>98</v>
      </c>
    </row>
    <row r="80" spans="1:19" s="1" customFormat="1" ht="20.85" customHeight="1">
      <c r="B80" s="6" t="s">
        <v>334</v>
      </c>
      <c r="C80" s="32" t="s">
        <v>336</v>
      </c>
      <c r="D80" s="8">
        <f t="shared" ref="D80:D85" si="1">D79+1</f>
        <v>3</v>
      </c>
      <c r="E80" s="9" t="s">
        <v>93</v>
      </c>
      <c r="F80" s="9" t="s">
        <v>314</v>
      </c>
      <c r="G80" s="10" t="s">
        <v>95</v>
      </c>
      <c r="H80" s="10"/>
      <c r="I80" s="19" t="s">
        <v>173</v>
      </c>
      <c r="J80" s="12" t="s">
        <v>236</v>
      </c>
      <c r="K80" s="12" t="s">
        <v>336</v>
      </c>
      <c r="L80" s="12" t="s">
        <v>337</v>
      </c>
      <c r="M80" s="197"/>
      <c r="N80" s="19"/>
      <c r="O80" s="42" t="s">
        <v>99</v>
      </c>
      <c r="P80" s="42"/>
      <c r="Q80" s="91">
        <v>44613</v>
      </c>
      <c r="R80" s="11" t="s">
        <v>98</v>
      </c>
    </row>
    <row r="81" spans="1:19" s="1" customFormat="1" ht="20.85" customHeight="1">
      <c r="B81" s="6" t="s">
        <v>334</v>
      </c>
      <c r="C81" s="12" t="s">
        <v>252</v>
      </c>
      <c r="D81" s="8">
        <f t="shared" si="1"/>
        <v>4</v>
      </c>
      <c r="E81" s="9" t="s">
        <v>304</v>
      </c>
      <c r="F81" s="9" t="s">
        <v>254</v>
      </c>
      <c r="G81" s="10"/>
      <c r="H81" s="10"/>
      <c r="I81" s="19" t="s">
        <v>173</v>
      </c>
      <c r="J81" s="12" t="s">
        <v>236</v>
      </c>
      <c r="K81" s="12" t="s">
        <v>252</v>
      </c>
      <c r="L81" s="12" t="s">
        <v>338</v>
      </c>
      <c r="M81" s="197"/>
      <c r="N81" s="19"/>
      <c r="O81" s="42" t="s">
        <v>99</v>
      </c>
      <c r="P81" s="42"/>
      <c r="Q81" s="91">
        <v>44613</v>
      </c>
      <c r="R81" s="11" t="s">
        <v>98</v>
      </c>
    </row>
    <row r="82" spans="1:19" s="1" customFormat="1" ht="20.85" customHeight="1">
      <c r="B82" s="6" t="s">
        <v>334</v>
      </c>
      <c r="C82" s="7" t="s">
        <v>258</v>
      </c>
      <c r="D82" s="8">
        <f t="shared" si="1"/>
        <v>5</v>
      </c>
      <c r="E82" s="9" t="s">
        <v>304</v>
      </c>
      <c r="F82" s="9" t="s">
        <v>259</v>
      </c>
      <c r="G82" s="10"/>
      <c r="H82" s="10"/>
      <c r="I82" s="19" t="s">
        <v>173</v>
      </c>
      <c r="J82" s="12" t="s">
        <v>236</v>
      </c>
      <c r="K82" s="12" t="s">
        <v>258</v>
      </c>
      <c r="L82" s="12" t="s">
        <v>258</v>
      </c>
      <c r="M82" s="197"/>
      <c r="N82" s="19"/>
      <c r="O82" s="42" t="s">
        <v>99</v>
      </c>
      <c r="P82" s="42"/>
      <c r="Q82" s="91">
        <v>44613</v>
      </c>
      <c r="R82" s="11" t="s">
        <v>98</v>
      </c>
    </row>
    <row r="83" spans="1:19" s="1" customFormat="1" ht="20.85" customHeight="1">
      <c r="B83" s="6" t="s">
        <v>334</v>
      </c>
      <c r="C83" s="7" t="s">
        <v>249</v>
      </c>
      <c r="D83" s="8">
        <f t="shared" si="1"/>
        <v>6</v>
      </c>
      <c r="E83" s="9" t="s">
        <v>93</v>
      </c>
      <c r="F83" s="9" t="s">
        <v>250</v>
      </c>
      <c r="G83" s="10"/>
      <c r="H83" s="10"/>
      <c r="I83" s="19" t="s">
        <v>173</v>
      </c>
      <c r="J83" s="12" t="s">
        <v>236</v>
      </c>
      <c r="K83" s="7" t="s">
        <v>249</v>
      </c>
      <c r="L83" s="7" t="s">
        <v>249</v>
      </c>
      <c r="M83" s="197"/>
      <c r="N83" s="19"/>
      <c r="O83" s="42"/>
      <c r="P83" s="42"/>
      <c r="Q83" s="91">
        <v>44613</v>
      </c>
      <c r="R83" s="11" t="s">
        <v>98</v>
      </c>
    </row>
    <row r="84" spans="1:19" s="1" customFormat="1" ht="20.85" customHeight="1">
      <c r="B84" s="6" t="s">
        <v>334</v>
      </c>
      <c r="C84" s="32" t="s">
        <v>262</v>
      </c>
      <c r="D84" s="8">
        <f t="shared" si="1"/>
        <v>7</v>
      </c>
      <c r="E84" s="9" t="s">
        <v>93</v>
      </c>
      <c r="F84" s="9" t="s">
        <v>227</v>
      </c>
      <c r="G84" s="10" t="s">
        <v>95</v>
      </c>
      <c r="H84" s="10" t="s">
        <v>95</v>
      </c>
      <c r="I84" s="19" t="s">
        <v>173</v>
      </c>
      <c r="J84" s="12" t="s">
        <v>236</v>
      </c>
      <c r="K84" s="12" t="s">
        <v>262</v>
      </c>
      <c r="L84" s="12" t="s">
        <v>262</v>
      </c>
      <c r="M84" s="197"/>
      <c r="N84" s="19"/>
      <c r="O84" s="42" t="s">
        <v>99</v>
      </c>
      <c r="P84" s="42"/>
      <c r="Q84" s="91">
        <v>44613</v>
      </c>
      <c r="R84" s="11" t="s">
        <v>98</v>
      </c>
    </row>
    <row r="85" spans="1:19" s="1" customFormat="1" ht="20.85" customHeight="1">
      <c r="B85" s="6" t="s">
        <v>334</v>
      </c>
      <c r="C85" s="32" t="s">
        <v>266</v>
      </c>
      <c r="D85" s="8">
        <f t="shared" si="1"/>
        <v>8</v>
      </c>
      <c r="E85" s="9" t="s">
        <v>93</v>
      </c>
      <c r="F85" s="9" t="s">
        <v>232</v>
      </c>
      <c r="G85" s="10" t="s">
        <v>95</v>
      </c>
      <c r="H85" s="10" t="s">
        <v>95</v>
      </c>
      <c r="I85" s="19" t="s">
        <v>173</v>
      </c>
      <c r="J85" s="12" t="s">
        <v>236</v>
      </c>
      <c r="K85" s="12" t="s">
        <v>266</v>
      </c>
      <c r="L85" s="12" t="s">
        <v>266</v>
      </c>
      <c r="M85" s="198"/>
      <c r="N85" s="19"/>
      <c r="O85" s="42" t="s">
        <v>99</v>
      </c>
      <c r="P85" s="42"/>
      <c r="Q85" s="91">
        <v>44613</v>
      </c>
      <c r="R85" s="11" t="s">
        <v>98</v>
      </c>
    </row>
    <row r="86" spans="1:19" s="1" customFormat="1">
      <c r="B86" s="43"/>
      <c r="C86" s="44"/>
      <c r="D86" s="45"/>
      <c r="E86" s="44"/>
      <c r="F86" s="46"/>
      <c r="G86" s="45"/>
      <c r="H86" s="45"/>
      <c r="I86" s="47"/>
      <c r="J86" s="44"/>
      <c r="K86" s="45"/>
      <c r="L86" s="45"/>
      <c r="M86" s="45"/>
      <c r="N86" s="47"/>
      <c r="O86" s="31"/>
      <c r="P86" s="31"/>
      <c r="Q86" s="31"/>
      <c r="R86" s="47"/>
    </row>
    <row r="87" spans="1:19" s="24" customFormat="1" ht="15" customHeight="1">
      <c r="A87" s="168"/>
      <c r="B87" s="84" t="s">
        <v>339</v>
      </c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</row>
    <row r="88" spans="1:19" s="1" customFormat="1" ht="5.0999999999999996" customHeight="1">
      <c r="B88" s="43"/>
      <c r="C88" s="44"/>
      <c r="D88" s="45"/>
      <c r="E88" s="44"/>
      <c r="F88" s="46"/>
      <c r="G88" s="45"/>
      <c r="H88" s="45"/>
      <c r="I88" s="47"/>
      <c r="J88" s="44"/>
      <c r="K88" s="45"/>
      <c r="L88" s="45"/>
      <c r="M88" s="45"/>
      <c r="N88" s="47"/>
      <c r="O88" s="31"/>
      <c r="P88" s="31"/>
      <c r="Q88" s="31"/>
      <c r="R88" s="47"/>
    </row>
    <row r="89" spans="1:19" s="1" customFormat="1" ht="15" customHeight="1">
      <c r="B89" s="5" t="s">
        <v>74</v>
      </c>
      <c r="C89" s="5" t="s">
        <v>75</v>
      </c>
      <c r="D89" s="5" t="s">
        <v>76</v>
      </c>
      <c r="E89" s="5" t="s">
        <v>77</v>
      </c>
      <c r="F89" s="5" t="s">
        <v>78</v>
      </c>
      <c r="G89" s="5" t="s">
        <v>79</v>
      </c>
      <c r="H89" s="5" t="s">
        <v>80</v>
      </c>
      <c r="I89" s="39" t="s">
        <v>81</v>
      </c>
      <c r="J89" s="40" t="s">
        <v>82</v>
      </c>
      <c r="K89" s="39" t="s">
        <v>83</v>
      </c>
      <c r="L89" s="39" t="s">
        <v>84</v>
      </c>
      <c r="M89" s="39" t="s">
        <v>85</v>
      </c>
      <c r="N89" s="39" t="s">
        <v>86</v>
      </c>
      <c r="O89" s="41" t="s">
        <v>286</v>
      </c>
      <c r="P89" s="39" t="s">
        <v>88</v>
      </c>
      <c r="Q89" s="39" t="s">
        <v>89</v>
      </c>
      <c r="R89" s="39" t="s">
        <v>90</v>
      </c>
    </row>
    <row r="90" spans="1:19" s="1" customFormat="1" ht="20.85" customHeight="1">
      <c r="B90" s="6" t="s">
        <v>340</v>
      </c>
      <c r="C90" s="32" t="s">
        <v>299</v>
      </c>
      <c r="D90" s="8">
        <v>1</v>
      </c>
      <c r="E90" s="9" t="s">
        <v>93</v>
      </c>
      <c r="F90" s="9" t="s">
        <v>300</v>
      </c>
      <c r="G90" s="10" t="s">
        <v>95</v>
      </c>
      <c r="H90" s="10"/>
      <c r="I90" s="19" t="s">
        <v>173</v>
      </c>
      <c r="J90" s="12" t="s">
        <v>311</v>
      </c>
      <c r="K90" s="12" t="s">
        <v>299</v>
      </c>
      <c r="L90" s="12" t="s">
        <v>341</v>
      </c>
      <c r="M90" s="66" t="s">
        <v>98</v>
      </c>
      <c r="N90" s="19"/>
      <c r="O90" s="42" t="s">
        <v>99</v>
      </c>
      <c r="P90" s="42"/>
      <c r="Q90" s="83">
        <v>44364</v>
      </c>
      <c r="R90" s="11" t="s">
        <v>98</v>
      </c>
    </row>
    <row r="91" spans="1:19" s="1" customFormat="1" ht="112.5">
      <c r="B91" s="6" t="s">
        <v>340</v>
      </c>
      <c r="C91" s="12" t="s">
        <v>106</v>
      </c>
      <c r="D91" s="8">
        <f>D90+1</f>
        <v>2</v>
      </c>
      <c r="E91" s="9" t="s">
        <v>93</v>
      </c>
      <c r="F91" s="9" t="s">
        <v>318</v>
      </c>
      <c r="G91" s="10"/>
      <c r="H91" s="10"/>
      <c r="I91" s="19" t="s">
        <v>173</v>
      </c>
      <c r="J91" s="12" t="s">
        <v>311</v>
      </c>
      <c r="K91" s="12" t="s">
        <v>106</v>
      </c>
      <c r="L91" s="12" t="s">
        <v>342</v>
      </c>
      <c r="M91" s="66" t="s">
        <v>343</v>
      </c>
      <c r="N91" s="19"/>
      <c r="O91" s="42" t="s">
        <v>99</v>
      </c>
      <c r="P91" s="42"/>
      <c r="Q91" s="83">
        <v>44364</v>
      </c>
      <c r="R91" s="19" t="s">
        <v>344</v>
      </c>
    </row>
    <row r="92" spans="1:19" s="1" customFormat="1" ht="22.5">
      <c r="B92" s="6" t="s">
        <v>340</v>
      </c>
      <c r="C92" s="12" t="s">
        <v>113</v>
      </c>
      <c r="D92" s="8">
        <f t="shared" ref="D92:D110" si="2">D91+1</f>
        <v>3</v>
      </c>
      <c r="E92" s="9" t="s">
        <v>304</v>
      </c>
      <c r="F92" s="9" t="s">
        <v>319</v>
      </c>
      <c r="G92" s="10"/>
      <c r="H92" s="10"/>
      <c r="I92" s="19" t="s">
        <v>173</v>
      </c>
      <c r="J92" s="12" t="s">
        <v>311</v>
      </c>
      <c r="K92" s="12" t="s">
        <v>113</v>
      </c>
      <c r="L92" s="7" t="s">
        <v>345</v>
      </c>
      <c r="M92" s="66" t="s">
        <v>98</v>
      </c>
      <c r="N92" s="19"/>
      <c r="O92" s="42" t="s">
        <v>99</v>
      </c>
      <c r="P92" s="42"/>
      <c r="Q92" s="83">
        <v>44364</v>
      </c>
      <c r="R92" s="19" t="s">
        <v>344</v>
      </c>
    </row>
    <row r="93" spans="1:19" s="1" customFormat="1" ht="20.85" customHeight="1">
      <c r="B93" s="6" t="s">
        <v>340</v>
      </c>
      <c r="C93" s="12" t="s">
        <v>119</v>
      </c>
      <c r="D93" s="8">
        <f t="shared" si="2"/>
        <v>4</v>
      </c>
      <c r="E93" s="9" t="s">
        <v>304</v>
      </c>
      <c r="F93" s="9" t="s">
        <v>320</v>
      </c>
      <c r="G93" s="10"/>
      <c r="H93" s="10"/>
      <c r="I93" s="19" t="s">
        <v>173</v>
      </c>
      <c r="J93" s="12" t="s">
        <v>311</v>
      </c>
      <c r="K93" s="12" t="s">
        <v>119</v>
      </c>
      <c r="L93" s="7" t="s">
        <v>346</v>
      </c>
      <c r="M93" s="66" t="s">
        <v>98</v>
      </c>
      <c r="N93" s="19"/>
      <c r="O93" s="42" t="s">
        <v>99</v>
      </c>
      <c r="P93" s="42"/>
      <c r="Q93" s="83">
        <v>44364</v>
      </c>
      <c r="R93" s="19" t="s">
        <v>344</v>
      </c>
    </row>
    <row r="94" spans="1:19" s="1" customFormat="1" ht="20.85" customHeight="1">
      <c r="B94" s="6" t="s">
        <v>340</v>
      </c>
      <c r="C94" s="12" t="s">
        <v>125</v>
      </c>
      <c r="D94" s="8">
        <f t="shared" si="2"/>
        <v>5</v>
      </c>
      <c r="E94" s="9" t="s">
        <v>93</v>
      </c>
      <c r="F94" s="9" t="s">
        <v>126</v>
      </c>
      <c r="G94" s="10"/>
      <c r="H94" s="10"/>
      <c r="I94" s="19" t="s">
        <v>173</v>
      </c>
      <c r="J94" s="12" t="s">
        <v>311</v>
      </c>
      <c r="K94" s="12" t="s">
        <v>125</v>
      </c>
      <c r="L94" s="12" t="s">
        <v>347</v>
      </c>
      <c r="M94" s="103" t="s">
        <v>149</v>
      </c>
      <c r="N94" s="19"/>
      <c r="O94" s="42" t="s">
        <v>99</v>
      </c>
      <c r="P94" s="42"/>
      <c r="Q94" s="83">
        <v>44364</v>
      </c>
      <c r="R94" s="19" t="s">
        <v>344</v>
      </c>
    </row>
    <row r="95" spans="1:19" s="1" customFormat="1" ht="20.85" customHeight="1">
      <c r="B95" s="6" t="s">
        <v>340</v>
      </c>
      <c r="C95" s="12" t="s">
        <v>130</v>
      </c>
      <c r="D95" s="8">
        <f t="shared" si="2"/>
        <v>6</v>
      </c>
      <c r="E95" s="9" t="s">
        <v>304</v>
      </c>
      <c r="F95" s="9" t="s">
        <v>321</v>
      </c>
      <c r="G95" s="10"/>
      <c r="H95" s="10"/>
      <c r="I95" s="19" t="s">
        <v>173</v>
      </c>
      <c r="J95" s="12" t="s">
        <v>311</v>
      </c>
      <c r="K95" s="12" t="s">
        <v>130</v>
      </c>
      <c r="L95" s="12" t="s">
        <v>348</v>
      </c>
      <c r="M95" s="103" t="s">
        <v>149</v>
      </c>
      <c r="N95" s="19"/>
      <c r="O95" s="42" t="s">
        <v>99</v>
      </c>
      <c r="P95" s="42"/>
      <c r="Q95" s="83">
        <v>44509</v>
      </c>
      <c r="R95" s="19" t="s">
        <v>344</v>
      </c>
    </row>
    <row r="96" spans="1:19" s="1" customFormat="1" ht="170.1" customHeight="1">
      <c r="B96" s="6" t="s">
        <v>340</v>
      </c>
      <c r="C96" s="12" t="s">
        <v>252</v>
      </c>
      <c r="D96" s="8">
        <f t="shared" si="2"/>
        <v>7</v>
      </c>
      <c r="E96" s="9" t="s">
        <v>304</v>
      </c>
      <c r="F96" s="9" t="s">
        <v>254</v>
      </c>
      <c r="G96" s="10"/>
      <c r="H96" s="10"/>
      <c r="I96" s="19" t="s">
        <v>173</v>
      </c>
      <c r="J96" s="12" t="s">
        <v>334</v>
      </c>
      <c r="K96" s="12" t="s">
        <v>252</v>
      </c>
      <c r="L96" s="12" t="s">
        <v>349</v>
      </c>
      <c r="M96" s="66" t="s">
        <v>350</v>
      </c>
      <c r="N96" s="19"/>
      <c r="O96" s="42" t="s">
        <v>99</v>
      </c>
      <c r="P96" s="42"/>
      <c r="Q96" s="91">
        <v>44613</v>
      </c>
      <c r="R96" s="19" t="s">
        <v>344</v>
      </c>
    </row>
    <row r="97" spans="2:18" s="1" customFormat="1" ht="20.85" customHeight="1">
      <c r="B97" s="6" t="s">
        <v>340</v>
      </c>
      <c r="C97" s="12" t="s">
        <v>138</v>
      </c>
      <c r="D97" s="8">
        <f t="shared" si="2"/>
        <v>8</v>
      </c>
      <c r="E97" s="9" t="s">
        <v>304</v>
      </c>
      <c r="F97" s="9" t="s">
        <v>140</v>
      </c>
      <c r="G97" s="10"/>
      <c r="H97" s="10"/>
      <c r="I97" s="19" t="s">
        <v>173</v>
      </c>
      <c r="J97" s="12" t="s">
        <v>311</v>
      </c>
      <c r="K97" s="12" t="s">
        <v>138</v>
      </c>
      <c r="L97" s="12" t="s">
        <v>351</v>
      </c>
      <c r="M97" s="103" t="s">
        <v>149</v>
      </c>
      <c r="N97" s="19"/>
      <c r="O97" s="42" t="s">
        <v>99</v>
      </c>
      <c r="P97" s="42"/>
      <c r="Q97" s="83">
        <v>44364</v>
      </c>
      <c r="R97" s="19" t="s">
        <v>344</v>
      </c>
    </row>
    <row r="98" spans="2:18" s="1" customFormat="1" ht="20.85" customHeight="1">
      <c r="B98" s="6" t="s">
        <v>340</v>
      </c>
      <c r="C98" s="12" t="s">
        <v>144</v>
      </c>
      <c r="D98" s="8">
        <f t="shared" si="2"/>
        <v>9</v>
      </c>
      <c r="E98" s="9" t="s">
        <v>304</v>
      </c>
      <c r="F98" s="9" t="s">
        <v>323</v>
      </c>
      <c r="G98" s="10"/>
      <c r="H98" s="10"/>
      <c r="I98" s="19" t="s">
        <v>173</v>
      </c>
      <c r="J98" s="12" t="s">
        <v>311</v>
      </c>
      <c r="K98" s="12" t="s">
        <v>144</v>
      </c>
      <c r="L98" s="12" t="s">
        <v>352</v>
      </c>
      <c r="M98" s="103" t="s">
        <v>149</v>
      </c>
      <c r="N98" s="19"/>
      <c r="O98" s="42" t="s">
        <v>99</v>
      </c>
      <c r="P98" s="42"/>
      <c r="Q98" s="83">
        <v>44385</v>
      </c>
      <c r="R98" s="19" t="s">
        <v>344</v>
      </c>
    </row>
    <row r="99" spans="2:18" s="1" customFormat="1" ht="20.85" customHeight="1">
      <c r="B99" s="6" t="s">
        <v>340</v>
      </c>
      <c r="C99" s="12" t="s">
        <v>151</v>
      </c>
      <c r="D99" s="8">
        <f t="shared" si="2"/>
        <v>10</v>
      </c>
      <c r="E99" s="9" t="s">
        <v>324</v>
      </c>
      <c r="F99" s="9" t="s">
        <v>325</v>
      </c>
      <c r="G99" s="10"/>
      <c r="H99" s="10"/>
      <c r="I99" s="19" t="s">
        <v>173</v>
      </c>
      <c r="J99" s="12" t="s">
        <v>311</v>
      </c>
      <c r="K99" s="12" t="s">
        <v>151</v>
      </c>
      <c r="L99" s="12" t="s">
        <v>353</v>
      </c>
      <c r="M99" s="103" t="s">
        <v>149</v>
      </c>
      <c r="N99" s="19"/>
      <c r="O99" s="42" t="s">
        <v>99</v>
      </c>
      <c r="P99" s="42"/>
      <c r="Q99" s="83">
        <v>44364</v>
      </c>
      <c r="R99" s="19" t="s">
        <v>344</v>
      </c>
    </row>
    <row r="100" spans="2:18" s="1" customFormat="1" ht="20.85" customHeight="1">
      <c r="B100" s="6" t="s">
        <v>340</v>
      </c>
      <c r="C100" s="12" t="s">
        <v>158</v>
      </c>
      <c r="D100" s="8">
        <f t="shared" si="2"/>
        <v>11</v>
      </c>
      <c r="E100" s="9" t="s">
        <v>93</v>
      </c>
      <c r="F100" s="9" t="s">
        <v>326</v>
      </c>
      <c r="G100" s="10"/>
      <c r="H100" s="10"/>
      <c r="I100" s="19" t="s">
        <v>173</v>
      </c>
      <c r="J100" s="12" t="s">
        <v>311</v>
      </c>
      <c r="K100" s="12" t="s">
        <v>158</v>
      </c>
      <c r="L100" s="12" t="s">
        <v>354</v>
      </c>
      <c r="M100" s="103" t="s">
        <v>149</v>
      </c>
      <c r="N100" s="19"/>
      <c r="O100" s="42" t="s">
        <v>99</v>
      </c>
      <c r="P100" s="42"/>
      <c r="Q100" s="83">
        <v>44364</v>
      </c>
      <c r="R100" s="19" t="s">
        <v>344</v>
      </c>
    </row>
    <row r="101" spans="2:18" s="1" customFormat="1" ht="20.85" customHeight="1">
      <c r="B101" s="6" t="s">
        <v>340</v>
      </c>
      <c r="C101" s="12" t="s">
        <v>164</v>
      </c>
      <c r="D101" s="8">
        <f t="shared" si="2"/>
        <v>12</v>
      </c>
      <c r="E101" s="9" t="s">
        <v>93</v>
      </c>
      <c r="F101" s="9" t="s">
        <v>327</v>
      </c>
      <c r="G101" s="10"/>
      <c r="H101" s="10"/>
      <c r="I101" s="19" t="s">
        <v>173</v>
      </c>
      <c r="J101" s="12" t="s">
        <v>311</v>
      </c>
      <c r="K101" s="12" t="s">
        <v>164</v>
      </c>
      <c r="L101" s="190" t="s">
        <v>355</v>
      </c>
      <c r="M101" s="103" t="s">
        <v>149</v>
      </c>
      <c r="N101" s="19"/>
      <c r="O101" s="42" t="s">
        <v>99</v>
      </c>
      <c r="P101" s="42"/>
      <c r="Q101" s="83">
        <v>44364</v>
      </c>
      <c r="R101" s="19" t="s">
        <v>344</v>
      </c>
    </row>
    <row r="102" spans="2:18" s="1" customFormat="1" ht="20.85" customHeight="1">
      <c r="B102" s="6" t="s">
        <v>340</v>
      </c>
      <c r="C102" s="12" t="s">
        <v>170</v>
      </c>
      <c r="D102" s="8">
        <f t="shared" si="2"/>
        <v>13</v>
      </c>
      <c r="E102" s="9" t="s">
        <v>93</v>
      </c>
      <c r="F102" s="9" t="s">
        <v>328</v>
      </c>
      <c r="G102" s="10"/>
      <c r="H102" s="10"/>
      <c r="I102" s="19" t="s">
        <v>173</v>
      </c>
      <c r="J102" s="12" t="s">
        <v>311</v>
      </c>
      <c r="K102" s="12" t="s">
        <v>170</v>
      </c>
      <c r="L102" s="12" t="s">
        <v>356</v>
      </c>
      <c r="M102" s="103" t="s">
        <v>149</v>
      </c>
      <c r="N102" s="19"/>
      <c r="O102" s="42" t="s">
        <v>99</v>
      </c>
      <c r="P102" s="42"/>
      <c r="Q102" s="83">
        <v>44364</v>
      </c>
      <c r="R102" s="19" t="s">
        <v>344</v>
      </c>
    </row>
    <row r="103" spans="2:18" s="1" customFormat="1" ht="20.85" customHeight="1">
      <c r="B103" s="6" t="s">
        <v>340</v>
      </c>
      <c r="C103" s="12" t="s">
        <v>175</v>
      </c>
      <c r="D103" s="8">
        <f t="shared" si="2"/>
        <v>14</v>
      </c>
      <c r="E103" s="9" t="s">
        <v>93</v>
      </c>
      <c r="F103" s="9" t="s">
        <v>329</v>
      </c>
      <c r="G103" s="10"/>
      <c r="H103" s="10"/>
      <c r="I103" s="19" t="s">
        <v>173</v>
      </c>
      <c r="J103" s="12" t="s">
        <v>311</v>
      </c>
      <c r="K103" s="12" t="s">
        <v>175</v>
      </c>
      <c r="L103" s="12" t="s">
        <v>357</v>
      </c>
      <c r="M103" s="103" t="s">
        <v>149</v>
      </c>
      <c r="N103" s="19"/>
      <c r="O103" s="42" t="s">
        <v>99</v>
      </c>
      <c r="P103" s="42"/>
      <c r="Q103" s="83">
        <v>44364</v>
      </c>
      <c r="R103" s="19" t="s">
        <v>344</v>
      </c>
    </row>
    <row r="104" spans="2:18" s="1" customFormat="1" ht="20.85" customHeight="1">
      <c r="B104" s="6" t="s">
        <v>340</v>
      </c>
      <c r="C104" s="12" t="s">
        <v>181</v>
      </c>
      <c r="D104" s="8">
        <f t="shared" si="2"/>
        <v>15</v>
      </c>
      <c r="E104" s="9" t="s">
        <v>93</v>
      </c>
      <c r="F104" s="9" t="s">
        <v>330</v>
      </c>
      <c r="G104" s="10"/>
      <c r="H104" s="10"/>
      <c r="I104" s="19" t="s">
        <v>173</v>
      </c>
      <c r="J104" s="12" t="s">
        <v>311</v>
      </c>
      <c r="K104" s="12" t="s">
        <v>181</v>
      </c>
      <c r="L104" s="12" t="s">
        <v>358</v>
      </c>
      <c r="M104" s="103" t="s">
        <v>149</v>
      </c>
      <c r="N104" s="19"/>
      <c r="O104" s="42" t="s">
        <v>99</v>
      </c>
      <c r="P104" s="42"/>
      <c r="Q104" s="83">
        <v>44364</v>
      </c>
      <c r="R104" s="19" t="s">
        <v>344</v>
      </c>
    </row>
    <row r="105" spans="2:18" s="1" customFormat="1" ht="20.85" customHeight="1">
      <c r="B105" s="6" t="s">
        <v>340</v>
      </c>
      <c r="C105" s="15" t="s">
        <v>197</v>
      </c>
      <c r="D105" s="8">
        <f t="shared" si="2"/>
        <v>16</v>
      </c>
      <c r="E105" s="11" t="s">
        <v>198</v>
      </c>
      <c r="F105" s="9" t="s">
        <v>199</v>
      </c>
      <c r="G105" s="10"/>
      <c r="H105" s="10"/>
      <c r="I105" s="19" t="s">
        <v>173</v>
      </c>
      <c r="J105" s="12" t="s">
        <v>311</v>
      </c>
      <c r="K105" s="15" t="s">
        <v>197</v>
      </c>
      <c r="L105" s="12" t="s">
        <v>359</v>
      </c>
      <c r="M105" s="103" t="s">
        <v>149</v>
      </c>
      <c r="N105" s="19"/>
      <c r="O105" s="42" t="s">
        <v>99</v>
      </c>
      <c r="P105" s="42"/>
      <c r="Q105" s="83">
        <v>44509</v>
      </c>
      <c r="R105" s="19" t="s">
        <v>332</v>
      </c>
    </row>
    <row r="106" spans="2:18" s="1" customFormat="1" ht="20.85" customHeight="1">
      <c r="B106" s="6" t="s">
        <v>340</v>
      </c>
      <c r="C106" s="15" t="s">
        <v>212</v>
      </c>
      <c r="D106" s="8">
        <f t="shared" si="2"/>
        <v>17</v>
      </c>
      <c r="E106" s="9" t="s">
        <v>93</v>
      </c>
      <c r="F106" s="9" t="s">
        <v>213</v>
      </c>
      <c r="G106" s="10"/>
      <c r="H106" s="10"/>
      <c r="I106" s="19" t="s">
        <v>173</v>
      </c>
      <c r="J106" s="12" t="s">
        <v>311</v>
      </c>
      <c r="K106" s="15" t="s">
        <v>212</v>
      </c>
      <c r="L106" s="12" t="s">
        <v>360</v>
      </c>
      <c r="M106" s="103" t="s">
        <v>149</v>
      </c>
      <c r="N106" s="19"/>
      <c r="O106" s="42" t="s">
        <v>99</v>
      </c>
      <c r="P106" s="42"/>
      <c r="Q106" s="83">
        <v>44364</v>
      </c>
      <c r="R106" s="19" t="s">
        <v>211</v>
      </c>
    </row>
    <row r="107" spans="2:18" s="1" customFormat="1" ht="20.85" customHeight="1">
      <c r="B107" s="6" t="s">
        <v>340</v>
      </c>
      <c r="C107" s="15" t="s">
        <v>184</v>
      </c>
      <c r="D107" s="8">
        <f t="shared" si="2"/>
        <v>18</v>
      </c>
      <c r="E107" s="9" t="s">
        <v>93</v>
      </c>
      <c r="F107" s="9" t="s">
        <v>185</v>
      </c>
      <c r="G107" s="10"/>
      <c r="H107" s="10"/>
      <c r="I107" s="19" t="s">
        <v>173</v>
      </c>
      <c r="J107" s="12" t="s">
        <v>311</v>
      </c>
      <c r="K107" s="15" t="s">
        <v>184</v>
      </c>
      <c r="L107" s="12" t="s">
        <v>361</v>
      </c>
      <c r="M107" s="103" t="s">
        <v>149</v>
      </c>
      <c r="N107" s="19"/>
      <c r="O107" s="42" t="s">
        <v>99</v>
      </c>
      <c r="P107" s="42"/>
      <c r="Q107" s="83">
        <v>44399</v>
      </c>
      <c r="R107" s="66" t="s">
        <v>98</v>
      </c>
    </row>
    <row r="108" spans="2:18" s="1" customFormat="1" ht="20.85" customHeight="1">
      <c r="B108" s="6" t="s">
        <v>340</v>
      </c>
      <c r="C108" s="12" t="s">
        <v>249</v>
      </c>
      <c r="D108" s="8">
        <f t="shared" si="2"/>
        <v>19</v>
      </c>
      <c r="E108" s="9" t="s">
        <v>93</v>
      </c>
      <c r="F108" s="9" t="s">
        <v>250</v>
      </c>
      <c r="G108" s="10"/>
      <c r="H108" s="10"/>
      <c r="I108" s="19" t="s">
        <v>173</v>
      </c>
      <c r="J108" s="12" t="s">
        <v>334</v>
      </c>
      <c r="K108" s="12" t="s">
        <v>249</v>
      </c>
      <c r="L108" s="12" t="s">
        <v>362</v>
      </c>
      <c r="M108" s="103" t="s">
        <v>363</v>
      </c>
      <c r="N108" s="19"/>
      <c r="O108" s="42" t="s">
        <v>99</v>
      </c>
      <c r="P108" s="42"/>
      <c r="Q108" s="83">
        <v>44613</v>
      </c>
      <c r="R108" s="66" t="s">
        <v>98</v>
      </c>
    </row>
    <row r="109" spans="2:18" s="1" customFormat="1" ht="20.85" customHeight="1">
      <c r="B109" s="6" t="s">
        <v>340</v>
      </c>
      <c r="C109" s="12" t="s">
        <v>192</v>
      </c>
      <c r="D109" s="8">
        <f t="shared" si="2"/>
        <v>20</v>
      </c>
      <c r="E109" s="9" t="s">
        <v>93</v>
      </c>
      <c r="F109" s="9" t="s">
        <v>193</v>
      </c>
      <c r="G109" s="10"/>
      <c r="H109" s="10"/>
      <c r="I109" s="19" t="s">
        <v>173</v>
      </c>
      <c r="J109" s="12" t="s">
        <v>311</v>
      </c>
      <c r="K109" s="12" t="s">
        <v>192</v>
      </c>
      <c r="L109" s="12" t="s">
        <v>364</v>
      </c>
      <c r="M109" s="103" t="s">
        <v>149</v>
      </c>
      <c r="N109" s="19"/>
      <c r="O109" s="42" t="s">
        <v>99</v>
      </c>
      <c r="P109" s="42"/>
      <c r="Q109" s="83">
        <v>44613</v>
      </c>
      <c r="R109" s="66" t="s">
        <v>98</v>
      </c>
    </row>
    <row r="110" spans="2:18" s="1" customFormat="1" ht="20.85" customHeight="1">
      <c r="B110" s="6" t="s">
        <v>340</v>
      </c>
      <c r="C110" s="15" t="s">
        <v>219</v>
      </c>
      <c r="D110" s="8">
        <f t="shared" si="2"/>
        <v>21</v>
      </c>
      <c r="E110" s="9" t="s">
        <v>93</v>
      </c>
      <c r="F110" s="9" t="s">
        <v>220</v>
      </c>
      <c r="G110" s="10"/>
      <c r="H110" s="10"/>
      <c r="I110" s="19" t="s">
        <v>173</v>
      </c>
      <c r="J110" s="12" t="s">
        <v>311</v>
      </c>
      <c r="K110" s="15" t="s">
        <v>219</v>
      </c>
      <c r="L110" s="15" t="s">
        <v>365</v>
      </c>
      <c r="M110" s="103" t="s">
        <v>149</v>
      </c>
      <c r="N110" s="19"/>
      <c r="O110" s="42" t="s">
        <v>99</v>
      </c>
      <c r="P110" s="42"/>
      <c r="Q110" s="142">
        <v>45050</v>
      </c>
      <c r="R110" s="66" t="s">
        <v>98</v>
      </c>
    </row>
    <row r="111" spans="2:18" s="1" customFormat="1" ht="20.85" customHeight="1">
      <c r="B111" s="181" t="s">
        <v>340</v>
      </c>
      <c r="C111" s="182" t="s">
        <v>853</v>
      </c>
      <c r="D111" s="183">
        <f>D110+1</f>
        <v>22</v>
      </c>
      <c r="E111" s="184" t="s">
        <v>93</v>
      </c>
      <c r="F111" s="184" t="s">
        <v>850</v>
      </c>
      <c r="G111" s="185"/>
      <c r="H111" s="185"/>
      <c r="I111" s="186" t="s">
        <v>173</v>
      </c>
      <c r="J111" s="177" t="s">
        <v>311</v>
      </c>
      <c r="K111" s="182" t="s">
        <v>853</v>
      </c>
      <c r="L111" s="177" t="s">
        <v>854</v>
      </c>
      <c r="M111" s="178" t="s">
        <v>149</v>
      </c>
      <c r="N111" s="186"/>
      <c r="O111" s="187" t="s">
        <v>99</v>
      </c>
      <c r="P111" s="187"/>
      <c r="Q111" s="179">
        <v>45316</v>
      </c>
      <c r="R111" s="189" t="s">
        <v>98</v>
      </c>
    </row>
    <row r="112" spans="2:18" s="1" customFormat="1" ht="20.85" customHeight="1">
      <c r="B112" s="6" t="s">
        <v>340</v>
      </c>
      <c r="C112" s="32" t="s">
        <v>366</v>
      </c>
      <c r="D112" s="8">
        <f>D111+1</f>
        <v>23</v>
      </c>
      <c r="E112" s="9" t="s">
        <v>93</v>
      </c>
      <c r="F112" s="9" t="s">
        <v>367</v>
      </c>
      <c r="G112" s="10" t="s">
        <v>95</v>
      </c>
      <c r="H112" s="10" t="s">
        <v>95</v>
      </c>
      <c r="I112" s="19" t="s">
        <v>368</v>
      </c>
      <c r="J112" s="19" t="s">
        <v>368</v>
      </c>
      <c r="K112" s="12" t="s">
        <v>366</v>
      </c>
      <c r="L112" s="12" t="s">
        <v>369</v>
      </c>
      <c r="M112" s="66" t="s">
        <v>98</v>
      </c>
      <c r="N112" s="19"/>
      <c r="O112" s="42" t="s">
        <v>99</v>
      </c>
      <c r="P112" s="42"/>
      <c r="Q112" s="83">
        <v>44364</v>
      </c>
      <c r="R112" s="66" t="s">
        <v>98</v>
      </c>
    </row>
    <row r="113" spans="1:18" s="1" customFormat="1" ht="20.85" customHeight="1">
      <c r="B113" s="6" t="s">
        <v>340</v>
      </c>
      <c r="C113" s="32" t="s">
        <v>92</v>
      </c>
      <c r="D113" s="8">
        <f>D112+1</f>
        <v>24</v>
      </c>
      <c r="E113" s="9" t="s">
        <v>93</v>
      </c>
      <c r="F113" s="9" t="s">
        <v>94</v>
      </c>
      <c r="G113" s="10" t="s">
        <v>95</v>
      </c>
      <c r="H113" s="10" t="s">
        <v>95</v>
      </c>
      <c r="I113" s="19" t="s">
        <v>173</v>
      </c>
      <c r="J113" s="12" t="s">
        <v>311</v>
      </c>
      <c r="K113" s="12" t="s">
        <v>92</v>
      </c>
      <c r="L113" s="12" t="s">
        <v>92</v>
      </c>
      <c r="M113" s="66" t="s">
        <v>98</v>
      </c>
      <c r="N113" s="19"/>
      <c r="O113" s="42" t="s">
        <v>99</v>
      </c>
      <c r="P113" s="42"/>
      <c r="Q113" s="83">
        <v>44364</v>
      </c>
      <c r="R113" s="66" t="s">
        <v>98</v>
      </c>
    </row>
    <row r="114" spans="1:18" s="1" customFormat="1" ht="20.85" customHeight="1">
      <c r="B114" s="6" t="s">
        <v>340</v>
      </c>
      <c r="C114" s="32" t="s">
        <v>226</v>
      </c>
      <c r="D114" s="8">
        <f>D113+1</f>
        <v>25</v>
      </c>
      <c r="E114" s="9" t="s">
        <v>93</v>
      </c>
      <c r="F114" s="9" t="s">
        <v>227</v>
      </c>
      <c r="G114" s="10" t="s">
        <v>95</v>
      </c>
      <c r="H114" s="10" t="s">
        <v>95</v>
      </c>
      <c r="I114" s="19" t="s">
        <v>173</v>
      </c>
      <c r="J114" s="12" t="s">
        <v>311</v>
      </c>
      <c r="K114" s="12" t="s">
        <v>226</v>
      </c>
      <c r="L114" s="12" t="s">
        <v>226</v>
      </c>
      <c r="M114" s="66" t="s">
        <v>98</v>
      </c>
      <c r="N114" s="19"/>
      <c r="O114" s="42" t="s">
        <v>99</v>
      </c>
      <c r="P114" s="42"/>
      <c r="Q114" s="83">
        <v>44364</v>
      </c>
      <c r="R114" s="66" t="s">
        <v>98</v>
      </c>
    </row>
    <row r="115" spans="1:18" s="1" customFormat="1" ht="20.85" customHeight="1">
      <c r="B115" s="6" t="s">
        <v>340</v>
      </c>
      <c r="C115" s="32" t="s">
        <v>231</v>
      </c>
      <c r="D115" s="8">
        <f>D114+1</f>
        <v>26</v>
      </c>
      <c r="E115" s="9" t="s">
        <v>93</v>
      </c>
      <c r="F115" s="9" t="s">
        <v>232</v>
      </c>
      <c r="G115" s="10" t="s">
        <v>95</v>
      </c>
      <c r="H115" s="10" t="s">
        <v>95</v>
      </c>
      <c r="I115" s="19" t="s">
        <v>173</v>
      </c>
      <c r="J115" s="12" t="s">
        <v>311</v>
      </c>
      <c r="K115" s="12" t="s">
        <v>231</v>
      </c>
      <c r="L115" s="12" t="s">
        <v>231</v>
      </c>
      <c r="M115" s="66" t="s">
        <v>98</v>
      </c>
      <c r="N115" s="19"/>
      <c r="O115" s="42" t="s">
        <v>99</v>
      </c>
      <c r="P115" s="42"/>
      <c r="Q115" s="83">
        <v>44364</v>
      </c>
      <c r="R115" s="66" t="s">
        <v>98</v>
      </c>
    </row>
    <row r="116" spans="1:18" s="1" customFormat="1">
      <c r="A116" s="14"/>
      <c r="C116"/>
    </row>
    <row r="117" spans="1:18" s="1" customFormat="1">
      <c r="A117" s="14"/>
      <c r="C117"/>
    </row>
    <row r="118" spans="1:18" s="1" customFormat="1">
      <c r="A118" s="14"/>
      <c r="C118"/>
    </row>
    <row r="119" spans="1:18" s="1" customFormat="1">
      <c r="A119" s="14"/>
      <c r="C119"/>
    </row>
    <row r="120" spans="1:18" s="1" customFormat="1" ht="15" customHeight="1">
      <c r="C120"/>
    </row>
    <row r="121" spans="1:18" s="1" customFormat="1">
      <c r="C121"/>
    </row>
    <row r="122" spans="1:18" s="1" customFormat="1">
      <c r="C122"/>
    </row>
    <row r="123" spans="1:18" s="1" customFormat="1">
      <c r="C123"/>
    </row>
    <row r="124" spans="1:18" s="1" customFormat="1" ht="15" customHeight="1">
      <c r="C124"/>
    </row>
    <row r="125" spans="1:18" s="1" customFormat="1" ht="15" customHeight="1">
      <c r="C125"/>
    </row>
    <row r="126" spans="1:18" s="1" customFormat="1" ht="15" customHeight="1">
      <c r="C126"/>
    </row>
    <row r="127" spans="1:18" s="1" customFormat="1" ht="15" customHeight="1">
      <c r="C127"/>
    </row>
    <row r="128" spans="1:18" s="1" customFormat="1" ht="15" customHeight="1">
      <c r="C128"/>
    </row>
    <row r="129" spans="3:3" s="1" customFormat="1" ht="15" customHeight="1">
      <c r="C129"/>
    </row>
    <row r="130" spans="3:3" s="1" customFormat="1" ht="23.25" customHeight="1">
      <c r="C130"/>
    </row>
  </sheetData>
  <autoFilter ref="A32:U32" xr:uid="{00000000-0001-0000-0500-000000000000}"/>
  <mergeCells count="4">
    <mergeCell ref="M33:M40"/>
    <mergeCell ref="R33:R40"/>
    <mergeCell ref="M45:M73"/>
    <mergeCell ref="M78:M85"/>
  </mergeCells>
  <conditionalFormatting sqref="O86:Q86">
    <cfRule type="cellIs" dxfId="14" priority="31" operator="equal">
      <formula>"Por Iniciar"</formula>
    </cfRule>
    <cfRule type="cellIs" dxfId="13" priority="32" operator="equal">
      <formula>"Em Curso"</formula>
    </cfRule>
    <cfRule type="cellIs" dxfId="12" priority="33" operator="equal">
      <formula>"Concluído"</formula>
    </cfRule>
  </conditionalFormatting>
  <conditionalFormatting sqref="O88:Q88">
    <cfRule type="cellIs" dxfId="11" priority="25" operator="equal">
      <formula>"Por Iniciar"</formula>
    </cfRule>
    <cfRule type="cellIs" dxfId="10" priority="26" operator="equal">
      <formula>"Em Curso"</formula>
    </cfRule>
    <cfRule type="cellIs" dxfId="9" priority="27" operator="equal">
      <formula>"Concluído"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0"/>
    <pageSetUpPr autoPageBreaks="0"/>
  </sheetPr>
  <dimension ref="A1:Q91"/>
  <sheetViews>
    <sheetView showGridLines="0" zoomScaleNormal="100" workbookViewId="0">
      <pane ySplit="6" topLeftCell="A7" activePane="bottomLeft" state="frozen"/>
      <selection pane="bottomLeft" activeCell="G23" sqref="G23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10.5703125" style="1" customWidth="1"/>
    <col min="6" max="6" width="29.42578125" style="1" bestFit="1" customWidth="1"/>
    <col min="7" max="10" width="20.5703125" style="1" customWidth="1"/>
    <col min="11" max="11" width="18.42578125" style="1" bestFit="1" customWidth="1"/>
    <col min="12" max="12" width="43.42578125" style="1" bestFit="1" customWidth="1"/>
    <col min="13" max="13" width="17.5703125" style="1" bestFit="1" customWidth="1"/>
    <col min="14" max="14" width="101.5703125" style="1" customWidth="1"/>
    <col min="15" max="15" width="26.42578125" style="1" customWidth="1"/>
    <col min="16" max="16" width="3.5703125" style="1" customWidth="1"/>
    <col min="17" max="17" width="8.5703125" hidden="1" customWidth="1"/>
    <col min="18" max="20" width="0" hidden="1" customWidth="1"/>
  </cols>
  <sheetData>
    <row r="1" spans="1:16" ht="15" customHeight="1"/>
    <row r="2" spans="1:16" ht="34.5" customHeight="1">
      <c r="C2" s="2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1"/>
    </row>
    <row r="5" spans="1:16" s="24" customFormat="1" ht="15" customHeight="1">
      <c r="A5" s="168"/>
      <c r="B5" s="33" t="s">
        <v>11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16" s="24" customFormat="1" ht="15" customHeight="1">
      <c r="A7" s="168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</row>
    <row r="8" spans="1:16" s="24" customFormat="1" ht="15" customHeight="1">
      <c r="A8" s="168"/>
      <c r="B8" s="65" t="s">
        <v>370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</row>
    <row r="9" spans="1:16" s="24" customFormat="1" ht="15" customHeight="1">
      <c r="A9" s="168"/>
      <c r="B9" s="36" t="s">
        <v>53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68"/>
    </row>
    <row r="10" spans="1:16" s="24" customFormat="1" ht="15" customHeight="1">
      <c r="A10" s="168"/>
      <c r="B10" s="38" t="s">
        <v>371</v>
      </c>
      <c r="C10" s="174"/>
      <c r="D10" s="174"/>
      <c r="E10" s="174"/>
      <c r="F10" s="174"/>
      <c r="G10" s="90" t="s">
        <v>372</v>
      </c>
      <c r="H10" s="174"/>
      <c r="I10" s="174"/>
      <c r="J10" s="174"/>
      <c r="K10" s="174"/>
      <c r="L10" s="174"/>
      <c r="M10" s="174"/>
      <c r="N10" s="174"/>
      <c r="O10" s="174"/>
      <c r="P10" s="168"/>
    </row>
    <row r="11" spans="1:16" s="24" customFormat="1" ht="15" customHeight="1">
      <c r="A11" s="168"/>
      <c r="B11" s="38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68"/>
    </row>
    <row r="12" spans="1:16" s="24" customFormat="1" ht="15" customHeight="1">
      <c r="A12" s="168"/>
      <c r="B12" s="36" t="s">
        <v>66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68"/>
    </row>
    <row r="13" spans="1:16" s="24" customFormat="1" ht="15" customHeight="1">
      <c r="A13" s="168"/>
      <c r="B13" s="38" t="s">
        <v>373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68"/>
    </row>
    <row r="14" spans="1:16" s="24" customFormat="1" ht="15" customHeight="1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</row>
    <row r="15" spans="1:16" s="1" customFormat="1"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  <c r="I15" s="39" t="s">
        <v>81</v>
      </c>
      <c r="J15" s="40" t="s">
        <v>82</v>
      </c>
      <c r="K15" s="39" t="s">
        <v>83</v>
      </c>
      <c r="L15" s="39" t="s">
        <v>84</v>
      </c>
      <c r="M15" s="39" t="s">
        <v>374</v>
      </c>
      <c r="N15" s="39" t="s">
        <v>85</v>
      </c>
      <c r="O15" s="41" t="s">
        <v>87</v>
      </c>
    </row>
    <row r="16" spans="1:16" s="1" customFormat="1" ht="14.85" customHeight="1">
      <c r="B16" s="6" t="s">
        <v>375</v>
      </c>
      <c r="C16" s="6" t="s">
        <v>288</v>
      </c>
      <c r="D16" s="8">
        <v>1</v>
      </c>
      <c r="E16" s="11" t="s">
        <v>93</v>
      </c>
      <c r="F16" s="9" t="s">
        <v>376</v>
      </c>
      <c r="G16" s="10" t="s">
        <v>377</v>
      </c>
      <c r="H16" s="10"/>
      <c r="I16" s="11" t="s">
        <v>378</v>
      </c>
      <c r="J16" s="66" t="s">
        <v>379</v>
      </c>
      <c r="K16" s="13" t="s">
        <v>380</v>
      </c>
      <c r="L16" s="13" t="s">
        <v>380</v>
      </c>
      <c r="M16" s="11" t="s">
        <v>93</v>
      </c>
      <c r="N16" s="19" t="s">
        <v>381</v>
      </c>
      <c r="O16" s="42" t="s">
        <v>99</v>
      </c>
    </row>
    <row r="17" spans="1:16" s="1" customFormat="1" ht="14.85" customHeight="1">
      <c r="B17" s="6" t="s">
        <v>375</v>
      </c>
      <c r="C17" s="6" t="s">
        <v>293</v>
      </c>
      <c r="D17" s="8">
        <v>2</v>
      </c>
      <c r="E17" s="11" t="s">
        <v>93</v>
      </c>
      <c r="F17" s="9" t="s">
        <v>382</v>
      </c>
      <c r="G17" s="10" t="s">
        <v>377</v>
      </c>
      <c r="H17" s="10"/>
      <c r="I17" s="11" t="s">
        <v>378</v>
      </c>
      <c r="J17" s="66" t="s">
        <v>379</v>
      </c>
      <c r="K17" s="13" t="s">
        <v>383</v>
      </c>
      <c r="L17" s="13" t="s">
        <v>383</v>
      </c>
      <c r="M17" s="11" t="s">
        <v>93</v>
      </c>
      <c r="N17" s="19" t="s">
        <v>381</v>
      </c>
      <c r="O17" s="42" t="s">
        <v>99</v>
      </c>
    </row>
    <row r="18" spans="1:16" s="1" customFormat="1" ht="14.85" customHeight="1">
      <c r="B18" s="6" t="s">
        <v>375</v>
      </c>
      <c r="C18" s="6" t="s">
        <v>295</v>
      </c>
      <c r="D18" s="8">
        <v>3</v>
      </c>
      <c r="E18" s="11" t="s">
        <v>93</v>
      </c>
      <c r="F18" s="9" t="s">
        <v>384</v>
      </c>
      <c r="G18" s="10" t="s">
        <v>377</v>
      </c>
      <c r="H18" s="10"/>
      <c r="I18" s="11" t="s">
        <v>378</v>
      </c>
      <c r="J18" s="66" t="s">
        <v>379</v>
      </c>
      <c r="K18" s="13" t="s">
        <v>385</v>
      </c>
      <c r="L18" s="13" t="s">
        <v>385</v>
      </c>
      <c r="M18" s="11" t="s">
        <v>93</v>
      </c>
      <c r="N18" s="19" t="s">
        <v>381</v>
      </c>
      <c r="O18" s="42" t="s">
        <v>99</v>
      </c>
    </row>
    <row r="19" spans="1:16" s="1" customFormat="1" ht="14.85" customHeight="1">
      <c r="B19" s="6" t="s">
        <v>375</v>
      </c>
      <c r="C19" s="29" t="s">
        <v>297</v>
      </c>
      <c r="D19" s="8">
        <v>4</v>
      </c>
      <c r="E19" s="11" t="s">
        <v>93</v>
      </c>
      <c r="F19" s="9" t="s">
        <v>386</v>
      </c>
      <c r="G19" s="10" t="s">
        <v>377</v>
      </c>
      <c r="H19" s="10"/>
      <c r="I19" s="11" t="s">
        <v>378</v>
      </c>
      <c r="J19" s="66" t="s">
        <v>379</v>
      </c>
      <c r="K19" s="13" t="s">
        <v>387</v>
      </c>
      <c r="L19" s="13" t="s">
        <v>387</v>
      </c>
      <c r="M19" s="11" t="s">
        <v>93</v>
      </c>
      <c r="N19" s="19" t="s">
        <v>381</v>
      </c>
      <c r="O19" s="42" t="s">
        <v>99</v>
      </c>
    </row>
    <row r="20" spans="1:16" s="1" customFormat="1" ht="14.85" customHeight="1">
      <c r="B20" s="6" t="s">
        <v>375</v>
      </c>
      <c r="C20" s="6" t="s">
        <v>388</v>
      </c>
      <c r="D20" s="8">
        <v>5</v>
      </c>
      <c r="E20" s="11" t="s">
        <v>93</v>
      </c>
      <c r="F20" s="9" t="s">
        <v>389</v>
      </c>
      <c r="G20" s="10"/>
      <c r="H20" s="10" t="s">
        <v>377</v>
      </c>
      <c r="I20" s="11" t="s">
        <v>378</v>
      </c>
      <c r="J20" s="66" t="s">
        <v>379</v>
      </c>
      <c r="K20" s="13" t="s">
        <v>388</v>
      </c>
      <c r="L20" s="13" t="s">
        <v>388</v>
      </c>
      <c r="M20" s="11" t="s">
        <v>93</v>
      </c>
      <c r="N20" s="19" t="s">
        <v>381</v>
      </c>
      <c r="O20" s="42" t="s">
        <v>99</v>
      </c>
    </row>
    <row r="21" spans="1:16" s="1" customFormat="1" ht="14.85" customHeight="1">
      <c r="B21" s="6" t="s">
        <v>375</v>
      </c>
      <c r="C21" s="6" t="s">
        <v>390</v>
      </c>
      <c r="D21" s="8">
        <v>7</v>
      </c>
      <c r="E21" s="9" t="s">
        <v>391</v>
      </c>
      <c r="F21" s="9" t="s">
        <v>392</v>
      </c>
      <c r="G21" s="10"/>
      <c r="H21" s="10"/>
      <c r="I21" s="11" t="s">
        <v>378</v>
      </c>
      <c r="J21" s="12" t="s">
        <v>393</v>
      </c>
      <c r="K21" s="7" t="s">
        <v>394</v>
      </c>
      <c r="L21" s="13" t="s">
        <v>395</v>
      </c>
      <c r="M21" s="19" t="s">
        <v>396</v>
      </c>
      <c r="N21" s="19" t="s">
        <v>381</v>
      </c>
      <c r="O21" s="42" t="s">
        <v>99</v>
      </c>
    </row>
    <row r="22" spans="1:16" s="1" customFormat="1" ht="14.85" customHeight="1">
      <c r="B22" s="43"/>
      <c r="C22" s="67"/>
      <c r="D22" s="45"/>
      <c r="E22" s="46"/>
      <c r="F22" s="46"/>
      <c r="G22" s="68"/>
      <c r="H22" s="68"/>
      <c r="I22" s="69"/>
      <c r="J22" s="47"/>
      <c r="K22" s="70"/>
      <c r="L22" s="70"/>
      <c r="M22" s="69"/>
      <c r="N22" s="47"/>
      <c r="O22" s="71"/>
    </row>
    <row r="23" spans="1:16" s="24" customFormat="1" ht="15" customHeight="1">
      <c r="A23" s="168"/>
      <c r="B23" s="65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16" s="24" customFormat="1" ht="15" customHeight="1">
      <c r="A24" s="168"/>
      <c r="B24" s="36" t="s">
        <v>53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5" customHeight="1">
      <c r="A25" s="168"/>
      <c r="B25" s="38" t="s">
        <v>397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68"/>
    </row>
    <row r="26" spans="1:16" s="24" customFormat="1" ht="15" customHeight="1">
      <c r="A26" s="168"/>
      <c r="B26" s="38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68"/>
    </row>
    <row r="27" spans="1:16" s="24" customFormat="1" ht="15" customHeight="1">
      <c r="A27" s="168"/>
      <c r="B27" s="36" t="s">
        <v>66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68"/>
    </row>
    <row r="28" spans="1:16" s="24" customFormat="1" ht="15" customHeight="1">
      <c r="A28" s="168"/>
      <c r="B28" s="38" t="s">
        <v>398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68"/>
    </row>
    <row r="29" spans="1:16" s="24" customFormat="1" ht="1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</row>
    <row r="30" spans="1:16" s="1" customFormat="1"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78</v>
      </c>
      <c r="G30" s="5" t="s">
        <v>79</v>
      </c>
      <c r="H30" s="5" t="s">
        <v>80</v>
      </c>
      <c r="I30" s="39" t="s">
        <v>81</v>
      </c>
      <c r="J30" s="40" t="s">
        <v>82</v>
      </c>
      <c r="K30" s="39" t="s">
        <v>83</v>
      </c>
      <c r="L30" s="39" t="s">
        <v>84</v>
      </c>
      <c r="M30" s="39" t="s">
        <v>374</v>
      </c>
      <c r="N30" s="39" t="s">
        <v>85</v>
      </c>
      <c r="O30" s="41" t="s">
        <v>87</v>
      </c>
    </row>
    <row r="31" spans="1:16" s="1" customFormat="1" ht="14.85" customHeight="1">
      <c r="B31" s="72" t="s">
        <v>399</v>
      </c>
      <c r="C31" s="72" t="s">
        <v>400</v>
      </c>
      <c r="D31" s="73">
        <v>1</v>
      </c>
      <c r="E31" s="9" t="s">
        <v>391</v>
      </c>
      <c r="F31" s="9" t="s">
        <v>401</v>
      </c>
      <c r="G31" s="74"/>
      <c r="H31" s="74"/>
      <c r="I31" s="11" t="s">
        <v>378</v>
      </c>
      <c r="J31" s="12" t="s">
        <v>402</v>
      </c>
      <c r="K31" s="7" t="s">
        <v>403</v>
      </c>
      <c r="L31" s="75" t="s">
        <v>395</v>
      </c>
      <c r="M31" s="19" t="s">
        <v>396</v>
      </c>
      <c r="N31" s="19" t="s">
        <v>404</v>
      </c>
      <c r="O31" s="42" t="s">
        <v>99</v>
      </c>
    </row>
    <row r="32" spans="1:16" s="1" customFormat="1" ht="14.85" customHeight="1">
      <c r="B32" s="6" t="s">
        <v>399</v>
      </c>
      <c r="C32" s="6" t="s">
        <v>388</v>
      </c>
      <c r="D32" s="8">
        <v>2</v>
      </c>
      <c r="E32" s="11" t="s">
        <v>93</v>
      </c>
      <c r="F32" s="9" t="s">
        <v>389</v>
      </c>
      <c r="G32" s="10"/>
      <c r="H32" s="10" t="s">
        <v>377</v>
      </c>
      <c r="I32" s="11" t="s">
        <v>378</v>
      </c>
      <c r="J32" s="66" t="s">
        <v>405</v>
      </c>
      <c r="K32" s="13" t="s">
        <v>388</v>
      </c>
      <c r="L32" s="13" t="s">
        <v>388</v>
      </c>
      <c r="M32" s="11" t="s">
        <v>93</v>
      </c>
      <c r="N32" s="19" t="s">
        <v>404</v>
      </c>
      <c r="O32" s="42" t="s">
        <v>99</v>
      </c>
    </row>
    <row r="33" spans="1:16" s="1" customFormat="1" ht="14.85" customHeight="1">
      <c r="B33" s="6" t="s">
        <v>399</v>
      </c>
      <c r="C33" s="6" t="s">
        <v>288</v>
      </c>
      <c r="D33" s="8">
        <v>3</v>
      </c>
      <c r="E33" s="11" t="s">
        <v>93</v>
      </c>
      <c r="F33" s="9" t="s">
        <v>376</v>
      </c>
      <c r="G33" s="10" t="s">
        <v>377</v>
      </c>
      <c r="H33" s="10"/>
      <c r="I33" s="11" t="s">
        <v>378</v>
      </c>
      <c r="J33" s="66" t="s">
        <v>405</v>
      </c>
      <c r="K33" s="13" t="s">
        <v>380</v>
      </c>
      <c r="L33" s="13" t="s">
        <v>380</v>
      </c>
      <c r="M33" s="11" t="s">
        <v>93</v>
      </c>
      <c r="N33" s="19" t="s">
        <v>404</v>
      </c>
      <c r="O33" s="42" t="s">
        <v>99</v>
      </c>
    </row>
    <row r="34" spans="1:16" s="1" customFormat="1" ht="14.85" customHeight="1">
      <c r="B34" s="6" t="s">
        <v>399</v>
      </c>
      <c r="C34" s="6" t="s">
        <v>293</v>
      </c>
      <c r="D34" s="8">
        <v>4</v>
      </c>
      <c r="E34" s="11" t="s">
        <v>93</v>
      </c>
      <c r="F34" s="9" t="s">
        <v>382</v>
      </c>
      <c r="G34" s="10" t="s">
        <v>377</v>
      </c>
      <c r="H34" s="10"/>
      <c r="I34" s="11" t="s">
        <v>378</v>
      </c>
      <c r="J34" s="66" t="s">
        <v>405</v>
      </c>
      <c r="K34" s="13" t="s">
        <v>383</v>
      </c>
      <c r="L34" s="13" t="s">
        <v>383</v>
      </c>
      <c r="M34" s="11" t="s">
        <v>93</v>
      </c>
      <c r="N34" s="19" t="s">
        <v>404</v>
      </c>
      <c r="O34" s="42" t="s">
        <v>99</v>
      </c>
    </row>
    <row r="35" spans="1:16" s="1" customFormat="1" ht="14.85" customHeight="1">
      <c r="B35" s="6" t="s">
        <v>399</v>
      </c>
      <c r="C35" s="6" t="s">
        <v>295</v>
      </c>
      <c r="D35" s="8">
        <v>5</v>
      </c>
      <c r="E35" s="11" t="s">
        <v>93</v>
      </c>
      <c r="F35" s="9" t="s">
        <v>384</v>
      </c>
      <c r="G35" s="10" t="s">
        <v>377</v>
      </c>
      <c r="H35" s="10"/>
      <c r="I35" s="11" t="s">
        <v>378</v>
      </c>
      <c r="J35" s="66" t="s">
        <v>405</v>
      </c>
      <c r="K35" s="13" t="s">
        <v>385</v>
      </c>
      <c r="L35" s="13" t="s">
        <v>385</v>
      </c>
      <c r="M35" s="11" t="s">
        <v>93</v>
      </c>
      <c r="N35" s="19" t="s">
        <v>404</v>
      </c>
      <c r="O35" s="42" t="s">
        <v>99</v>
      </c>
    </row>
    <row r="36" spans="1:16" s="1" customFormat="1" ht="14.85" customHeight="1">
      <c r="B36" s="6" t="s">
        <v>399</v>
      </c>
      <c r="C36" s="29" t="s">
        <v>297</v>
      </c>
      <c r="D36" s="8">
        <v>6</v>
      </c>
      <c r="E36" s="11" t="s">
        <v>93</v>
      </c>
      <c r="F36" s="9" t="s">
        <v>386</v>
      </c>
      <c r="G36" s="10" t="s">
        <v>377</v>
      </c>
      <c r="H36" s="10"/>
      <c r="I36" s="11" t="s">
        <v>378</v>
      </c>
      <c r="J36" s="66" t="s">
        <v>405</v>
      </c>
      <c r="K36" s="13" t="s">
        <v>387</v>
      </c>
      <c r="L36" s="13" t="s">
        <v>387</v>
      </c>
      <c r="M36" s="11" t="s">
        <v>93</v>
      </c>
      <c r="N36" s="19" t="s">
        <v>404</v>
      </c>
      <c r="O36" s="42" t="s">
        <v>99</v>
      </c>
    </row>
    <row r="37" spans="1:16" s="1" customFormat="1" ht="14.85" customHeight="1">
      <c r="B37" s="43"/>
      <c r="C37" s="67"/>
      <c r="D37" s="45"/>
      <c r="E37" s="46"/>
      <c r="F37" s="46"/>
      <c r="G37" s="68"/>
      <c r="H37" s="68"/>
      <c r="I37" s="69"/>
      <c r="J37" s="47"/>
      <c r="K37" s="70"/>
      <c r="L37" s="70"/>
      <c r="M37" s="69"/>
      <c r="N37" s="47"/>
      <c r="O37" s="71"/>
    </row>
    <row r="38" spans="1:16" s="1" customFormat="1" ht="14.85" customHeight="1">
      <c r="B38" s="65"/>
      <c r="C38" s="67"/>
      <c r="D38" s="45"/>
      <c r="E38" s="46"/>
      <c r="F38" s="46"/>
      <c r="G38" s="68"/>
      <c r="H38" s="68"/>
      <c r="I38" s="69"/>
      <c r="J38" s="47"/>
      <c r="K38" s="70"/>
      <c r="L38" s="70"/>
      <c r="M38" s="69"/>
      <c r="N38" s="47"/>
      <c r="O38" s="71"/>
    </row>
    <row r="39" spans="1:16" s="24" customFormat="1" ht="15" customHeight="1">
      <c r="A39" s="168"/>
      <c r="B39" s="36" t="s">
        <v>53</v>
      </c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68"/>
    </row>
    <row r="40" spans="1:16" s="24" customFormat="1" ht="15" customHeight="1">
      <c r="A40" s="168"/>
      <c r="B40" s="38" t="s">
        <v>406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68"/>
    </row>
    <row r="41" spans="1:16" s="24" customFormat="1" ht="15" customHeight="1">
      <c r="A41" s="168"/>
      <c r="B41" s="38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68"/>
    </row>
    <row r="42" spans="1:16" s="24" customFormat="1" ht="15" customHeight="1">
      <c r="A42" s="168"/>
      <c r="B42" s="36" t="s">
        <v>66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68"/>
    </row>
    <row r="43" spans="1:16" s="24" customFormat="1" ht="15" customHeight="1">
      <c r="A43" s="168"/>
      <c r="B43" s="38" t="s">
        <v>407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68"/>
    </row>
    <row r="44" spans="1:16" s="24" customFormat="1" ht="1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</row>
    <row r="45" spans="1:16" s="1" customFormat="1">
      <c r="B45" s="5" t="s">
        <v>74</v>
      </c>
      <c r="C45" s="5" t="s">
        <v>75</v>
      </c>
      <c r="D45" s="5" t="s">
        <v>76</v>
      </c>
      <c r="E45" s="5" t="s">
        <v>77</v>
      </c>
      <c r="F45" s="5" t="s">
        <v>78</v>
      </c>
      <c r="G45" s="5" t="s">
        <v>79</v>
      </c>
      <c r="H45" s="5" t="s">
        <v>80</v>
      </c>
      <c r="I45" s="39" t="s">
        <v>81</v>
      </c>
      <c r="J45" s="40" t="s">
        <v>82</v>
      </c>
      <c r="K45" s="39" t="s">
        <v>83</v>
      </c>
      <c r="L45" s="39" t="s">
        <v>84</v>
      </c>
      <c r="M45" s="39" t="s">
        <v>374</v>
      </c>
      <c r="N45" s="39" t="s">
        <v>85</v>
      </c>
      <c r="O45" s="41" t="s">
        <v>87</v>
      </c>
    </row>
    <row r="46" spans="1:16" s="1" customFormat="1" ht="14.85" customHeight="1">
      <c r="B46" s="72" t="s">
        <v>408</v>
      </c>
      <c r="C46" s="72" t="s">
        <v>409</v>
      </c>
      <c r="D46" s="73">
        <v>1</v>
      </c>
      <c r="E46" s="19" t="s">
        <v>410</v>
      </c>
      <c r="F46" s="9" t="s">
        <v>411</v>
      </c>
      <c r="G46" s="74"/>
      <c r="H46" s="74"/>
      <c r="I46" s="11" t="s">
        <v>378</v>
      </c>
      <c r="J46" s="76" t="s">
        <v>412</v>
      </c>
      <c r="K46" s="77" t="s">
        <v>413</v>
      </c>
      <c r="L46" s="75" t="s">
        <v>414</v>
      </c>
      <c r="M46" s="19" t="s">
        <v>410</v>
      </c>
      <c r="N46" s="19" t="s">
        <v>415</v>
      </c>
      <c r="O46" s="42" t="s">
        <v>99</v>
      </c>
    </row>
    <row r="47" spans="1:16" s="1" customFormat="1" ht="14.85" customHeight="1">
      <c r="B47" s="72" t="s">
        <v>408</v>
      </c>
      <c r="C47" s="6" t="s">
        <v>92</v>
      </c>
      <c r="D47" s="8">
        <v>2</v>
      </c>
      <c r="E47" s="11" t="s">
        <v>93</v>
      </c>
      <c r="F47" s="9" t="s">
        <v>389</v>
      </c>
      <c r="G47" s="10"/>
      <c r="H47" s="10" t="s">
        <v>377</v>
      </c>
      <c r="I47" s="11" t="s">
        <v>378</v>
      </c>
      <c r="J47" s="12" t="s">
        <v>412</v>
      </c>
      <c r="K47" s="13" t="s">
        <v>92</v>
      </c>
      <c r="L47" s="13" t="s">
        <v>92</v>
      </c>
      <c r="M47" s="11" t="s">
        <v>93</v>
      </c>
      <c r="N47" s="19" t="s">
        <v>415</v>
      </c>
      <c r="O47" s="42" t="s">
        <v>99</v>
      </c>
    </row>
    <row r="48" spans="1:16" s="1" customFormat="1" ht="14.85" customHeight="1">
      <c r="B48" s="72" t="s">
        <v>408</v>
      </c>
      <c r="C48" s="6" t="s">
        <v>288</v>
      </c>
      <c r="D48" s="8">
        <v>3</v>
      </c>
      <c r="E48" s="11" t="s">
        <v>93</v>
      </c>
      <c r="F48" s="9" t="s">
        <v>376</v>
      </c>
      <c r="G48" s="10" t="s">
        <v>377</v>
      </c>
      <c r="H48" s="10"/>
      <c r="I48" s="11" t="s">
        <v>378</v>
      </c>
      <c r="J48" s="12" t="s">
        <v>412</v>
      </c>
      <c r="K48" s="15" t="s">
        <v>288</v>
      </c>
      <c r="L48" s="78" t="s">
        <v>416</v>
      </c>
      <c r="M48" s="11" t="s">
        <v>93</v>
      </c>
      <c r="N48" s="19" t="s">
        <v>415</v>
      </c>
      <c r="O48" s="42" t="s">
        <v>99</v>
      </c>
    </row>
    <row r="49" spans="1:16" s="1" customFormat="1" ht="14.85" customHeight="1">
      <c r="B49" s="72" t="s">
        <v>408</v>
      </c>
      <c r="C49" s="6" t="s">
        <v>293</v>
      </c>
      <c r="D49" s="8">
        <v>4</v>
      </c>
      <c r="E49" s="11" t="s">
        <v>93</v>
      </c>
      <c r="F49" s="9" t="s">
        <v>382</v>
      </c>
      <c r="G49" s="10" t="s">
        <v>377</v>
      </c>
      <c r="H49" s="10"/>
      <c r="I49" s="11" t="s">
        <v>378</v>
      </c>
      <c r="J49" s="12" t="s">
        <v>412</v>
      </c>
      <c r="K49" s="13" t="s">
        <v>293</v>
      </c>
      <c r="L49" s="13" t="s">
        <v>293</v>
      </c>
      <c r="M49" s="11" t="s">
        <v>93</v>
      </c>
      <c r="N49" s="19" t="s">
        <v>415</v>
      </c>
      <c r="O49" s="42" t="s">
        <v>99</v>
      </c>
    </row>
    <row r="50" spans="1:16" s="1" customFormat="1" ht="14.85" customHeight="1">
      <c r="B50" s="72" t="s">
        <v>408</v>
      </c>
      <c r="C50" s="6" t="s">
        <v>295</v>
      </c>
      <c r="D50" s="8">
        <v>5</v>
      </c>
      <c r="E50" s="11" t="s">
        <v>93</v>
      </c>
      <c r="F50" s="9" t="s">
        <v>384</v>
      </c>
      <c r="G50" s="10" t="s">
        <v>377</v>
      </c>
      <c r="H50" s="10"/>
      <c r="I50" s="11" t="s">
        <v>378</v>
      </c>
      <c r="J50" s="12" t="s">
        <v>412</v>
      </c>
      <c r="K50" s="13" t="s">
        <v>295</v>
      </c>
      <c r="L50" s="13" t="s">
        <v>295</v>
      </c>
      <c r="M50" s="11" t="s">
        <v>93</v>
      </c>
      <c r="N50" s="19" t="s">
        <v>415</v>
      </c>
      <c r="O50" s="42" t="s">
        <v>99</v>
      </c>
    </row>
    <row r="51" spans="1:16" s="1" customFormat="1" ht="14.85" customHeight="1">
      <c r="B51" s="6" t="s">
        <v>408</v>
      </c>
      <c r="C51" s="29" t="s">
        <v>297</v>
      </c>
      <c r="D51" s="8">
        <v>6</v>
      </c>
      <c r="E51" s="11" t="s">
        <v>93</v>
      </c>
      <c r="F51" s="9" t="s">
        <v>386</v>
      </c>
      <c r="G51" s="10" t="s">
        <v>377</v>
      </c>
      <c r="H51" s="10"/>
      <c r="I51" s="11" t="s">
        <v>378</v>
      </c>
      <c r="J51" s="12" t="s">
        <v>412</v>
      </c>
      <c r="K51" s="13" t="s">
        <v>297</v>
      </c>
      <c r="L51" s="13" t="s">
        <v>297</v>
      </c>
      <c r="M51" s="11" t="s">
        <v>93</v>
      </c>
      <c r="N51" s="19" t="s">
        <v>415</v>
      </c>
      <c r="O51" s="42" t="s">
        <v>99</v>
      </c>
    </row>
    <row r="52" spans="1:16" s="24" customFormat="1" ht="1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</row>
    <row r="53" spans="1:16" s="24" customFormat="1" ht="15" customHeight="1">
      <c r="A53" s="168"/>
      <c r="B53" s="65" t="s">
        <v>417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</row>
    <row r="54" spans="1:16" s="24" customFormat="1" ht="15" customHeight="1">
      <c r="A54" s="168"/>
      <c r="B54" s="36" t="s">
        <v>53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68"/>
    </row>
    <row r="55" spans="1:16" s="24" customFormat="1" ht="15" customHeight="1">
      <c r="A55" s="168"/>
      <c r="B55" s="38" t="s">
        <v>418</v>
      </c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68"/>
    </row>
    <row r="56" spans="1:16" s="24" customFormat="1" ht="15" customHeight="1">
      <c r="A56" s="168"/>
      <c r="B56" s="38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68"/>
    </row>
    <row r="57" spans="1:16" s="24" customFormat="1" ht="15" customHeight="1">
      <c r="A57" s="168"/>
      <c r="B57" s="36" t="s">
        <v>66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68"/>
    </row>
    <row r="58" spans="1:16" s="24" customFormat="1" ht="15" customHeight="1">
      <c r="A58" s="168"/>
      <c r="B58" s="38" t="s">
        <v>419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68"/>
    </row>
    <row r="59" spans="1:16" s="24" customFormat="1" ht="1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</row>
    <row r="60" spans="1:16" s="1" customFormat="1">
      <c r="B60" s="5" t="s">
        <v>74</v>
      </c>
      <c r="C60" s="5" t="s">
        <v>75</v>
      </c>
      <c r="D60" s="5" t="s">
        <v>76</v>
      </c>
      <c r="E60" s="5" t="s">
        <v>77</v>
      </c>
      <c r="F60" s="5" t="s">
        <v>78</v>
      </c>
      <c r="G60" s="5" t="s">
        <v>79</v>
      </c>
      <c r="H60" s="5" t="s">
        <v>80</v>
      </c>
      <c r="I60" s="39" t="s">
        <v>81</v>
      </c>
      <c r="J60" s="40" t="s">
        <v>82</v>
      </c>
      <c r="K60" s="39" t="s">
        <v>83</v>
      </c>
      <c r="L60" s="39" t="s">
        <v>84</v>
      </c>
      <c r="M60" s="39" t="s">
        <v>374</v>
      </c>
      <c r="N60" s="39" t="s">
        <v>85</v>
      </c>
      <c r="O60" s="41" t="s">
        <v>87</v>
      </c>
    </row>
    <row r="61" spans="1:16" s="1" customFormat="1" ht="16.5" customHeight="1">
      <c r="B61" s="72" t="s">
        <v>420</v>
      </c>
      <c r="C61" s="6" t="s">
        <v>388</v>
      </c>
      <c r="D61" s="73">
        <v>1</v>
      </c>
      <c r="E61" s="9" t="s">
        <v>391</v>
      </c>
      <c r="F61" s="9" t="s">
        <v>389</v>
      </c>
      <c r="G61" s="74"/>
      <c r="H61" s="74" t="s">
        <v>377</v>
      </c>
      <c r="I61" s="11" t="s">
        <v>421</v>
      </c>
      <c r="J61" s="76" t="s">
        <v>422</v>
      </c>
      <c r="K61" s="77" t="s">
        <v>423</v>
      </c>
      <c r="L61" s="75" t="s">
        <v>424</v>
      </c>
      <c r="M61" s="9" t="s">
        <v>391</v>
      </c>
      <c r="N61" s="19" t="s">
        <v>425</v>
      </c>
      <c r="O61" s="42" t="s">
        <v>99</v>
      </c>
    </row>
    <row r="62" spans="1:16" s="1" customFormat="1" ht="14.85" customHeight="1">
      <c r="B62" s="72" t="s">
        <v>420</v>
      </c>
      <c r="C62" s="6" t="s">
        <v>288</v>
      </c>
      <c r="D62" s="8">
        <v>2</v>
      </c>
      <c r="E62" s="11" t="s">
        <v>93</v>
      </c>
      <c r="F62" s="9" t="s">
        <v>376</v>
      </c>
      <c r="G62" s="10" t="s">
        <v>377</v>
      </c>
      <c r="H62" s="10"/>
      <c r="I62" s="11" t="s">
        <v>421</v>
      </c>
      <c r="J62" s="76" t="s">
        <v>422</v>
      </c>
      <c r="K62" s="77" t="s">
        <v>288</v>
      </c>
      <c r="L62" s="75" t="s">
        <v>426</v>
      </c>
      <c r="M62" s="11" t="s">
        <v>93</v>
      </c>
      <c r="N62" s="19" t="s">
        <v>427</v>
      </c>
      <c r="O62" s="42" t="s">
        <v>99</v>
      </c>
    </row>
    <row r="63" spans="1:16" s="1" customFormat="1" ht="14.85" customHeight="1">
      <c r="B63" s="72" t="s">
        <v>420</v>
      </c>
      <c r="C63" s="6" t="s">
        <v>293</v>
      </c>
      <c r="D63" s="8">
        <v>3</v>
      </c>
      <c r="E63" s="11" t="s">
        <v>93</v>
      </c>
      <c r="F63" s="9" t="s">
        <v>382</v>
      </c>
      <c r="G63" s="10" t="s">
        <v>377</v>
      </c>
      <c r="H63" s="10"/>
      <c r="I63" s="11" t="s">
        <v>421</v>
      </c>
      <c r="J63" s="76" t="s">
        <v>422</v>
      </c>
      <c r="K63" s="77" t="s">
        <v>293</v>
      </c>
      <c r="L63" s="75" t="s">
        <v>428</v>
      </c>
      <c r="M63" s="11" t="s">
        <v>93</v>
      </c>
      <c r="N63" s="19" t="s">
        <v>427</v>
      </c>
      <c r="O63" s="42" t="s">
        <v>99</v>
      </c>
    </row>
    <row r="64" spans="1:16" s="1" customFormat="1" ht="14.85" customHeight="1">
      <c r="B64" s="72" t="s">
        <v>420</v>
      </c>
      <c r="C64" s="6" t="s">
        <v>295</v>
      </c>
      <c r="D64" s="8">
        <v>4</v>
      </c>
      <c r="E64" s="11" t="s">
        <v>93</v>
      </c>
      <c r="F64" s="9" t="s">
        <v>384</v>
      </c>
      <c r="G64" s="10" t="s">
        <v>377</v>
      </c>
      <c r="H64" s="10"/>
      <c r="I64" s="11" t="s">
        <v>421</v>
      </c>
      <c r="J64" s="76" t="s">
        <v>422</v>
      </c>
      <c r="K64" s="77" t="s">
        <v>295</v>
      </c>
      <c r="L64" s="75" t="s">
        <v>429</v>
      </c>
      <c r="M64" s="11" t="s">
        <v>93</v>
      </c>
      <c r="N64" s="19" t="s">
        <v>427</v>
      </c>
      <c r="O64" s="42" t="s">
        <v>99</v>
      </c>
    </row>
    <row r="65" spans="1:15" s="1" customFormat="1" ht="14.85" customHeight="1">
      <c r="B65" s="72" t="s">
        <v>420</v>
      </c>
      <c r="C65" s="6" t="s">
        <v>297</v>
      </c>
      <c r="D65" s="8">
        <v>5</v>
      </c>
      <c r="E65" s="11" t="s">
        <v>93</v>
      </c>
      <c r="F65" s="9" t="s">
        <v>386</v>
      </c>
      <c r="G65" s="10" t="s">
        <v>377</v>
      </c>
      <c r="H65" s="10"/>
      <c r="I65" s="11" t="s">
        <v>421</v>
      </c>
      <c r="J65" s="76" t="s">
        <v>422</v>
      </c>
      <c r="K65" s="77" t="s">
        <v>297</v>
      </c>
      <c r="L65" s="75" t="s">
        <v>430</v>
      </c>
      <c r="M65" s="11" t="s">
        <v>93</v>
      </c>
      <c r="N65" s="19" t="s">
        <v>427</v>
      </c>
      <c r="O65" s="42" t="s">
        <v>99</v>
      </c>
    </row>
    <row r="66" spans="1:15" s="1" customFormat="1" ht="14.85" customHeight="1">
      <c r="B66" s="72" t="s">
        <v>420</v>
      </c>
      <c r="C66" s="6" t="s">
        <v>431</v>
      </c>
      <c r="D66" s="8">
        <v>6</v>
      </c>
      <c r="E66" s="11" t="s">
        <v>93</v>
      </c>
      <c r="F66" s="9" t="s">
        <v>411</v>
      </c>
      <c r="G66" s="10"/>
      <c r="H66" s="10"/>
      <c r="I66" s="11" t="s">
        <v>421</v>
      </c>
      <c r="J66" s="76" t="s">
        <v>422</v>
      </c>
      <c r="K66" s="13" t="s">
        <v>432</v>
      </c>
      <c r="L66" s="75" t="s">
        <v>433</v>
      </c>
      <c r="M66" s="11" t="s">
        <v>93</v>
      </c>
      <c r="N66" s="19" t="s">
        <v>427</v>
      </c>
      <c r="O66" s="42" t="s">
        <v>99</v>
      </c>
    </row>
    <row r="67" spans="1:15" s="1" customFormat="1" ht="16.5" customHeight="1">
      <c r="B67" s="79"/>
      <c r="C67" s="79"/>
      <c r="D67" s="79"/>
      <c r="E67" s="79"/>
      <c r="F67" s="79"/>
      <c r="G67" s="68"/>
      <c r="H67" s="80"/>
      <c r="I67" s="81"/>
      <c r="J67" s="47"/>
      <c r="K67" s="82"/>
      <c r="L67" s="82"/>
      <c r="M67" s="81"/>
      <c r="N67" s="47"/>
      <c r="O67" s="71"/>
    </row>
    <row r="68" spans="1:15" s="1" customFormat="1" ht="16.5" customHeight="1">
      <c r="B68" s="79"/>
      <c r="C68" s="79"/>
      <c r="D68" s="79"/>
      <c r="E68" s="79"/>
      <c r="F68" s="79"/>
      <c r="G68" s="68"/>
      <c r="H68" s="80"/>
      <c r="I68" s="81"/>
      <c r="J68" s="47"/>
      <c r="K68" s="82"/>
      <c r="L68" s="82"/>
      <c r="M68" s="81"/>
      <c r="N68" s="47"/>
      <c r="O68" s="71"/>
    </row>
    <row r="69" spans="1:15" s="1" customFormat="1" ht="16.5" customHeight="1">
      <c r="B69" s="79"/>
      <c r="C69" s="79"/>
      <c r="D69" s="79"/>
      <c r="E69" s="79"/>
      <c r="F69" s="79"/>
      <c r="G69" s="68"/>
      <c r="H69" s="80"/>
      <c r="I69" s="81"/>
      <c r="J69" s="47"/>
      <c r="K69" s="82"/>
      <c r="L69" s="82"/>
      <c r="M69" s="81"/>
      <c r="N69" s="47"/>
      <c r="O69" s="71"/>
    </row>
    <row r="70" spans="1:15" s="1" customFormat="1" ht="16.5" customHeight="1">
      <c r="B70" s="79"/>
      <c r="C70" s="79"/>
      <c r="D70" s="79"/>
      <c r="E70" s="79"/>
      <c r="F70" s="79"/>
      <c r="G70" s="68"/>
      <c r="H70" s="80"/>
      <c r="I70" s="81"/>
      <c r="J70" s="47"/>
      <c r="K70" s="82"/>
      <c r="L70" s="82"/>
      <c r="M70" s="81"/>
      <c r="N70" s="47"/>
      <c r="O70" s="71"/>
    </row>
    <row r="71" spans="1:15" s="1" customFormat="1" ht="16.5" customHeight="1">
      <c r="B71" s="79"/>
      <c r="C71" s="79"/>
      <c r="D71" s="79"/>
      <c r="E71" s="79"/>
      <c r="F71" s="79"/>
      <c r="G71" s="68"/>
      <c r="H71" s="80"/>
      <c r="I71" s="81"/>
      <c r="J71" s="47"/>
      <c r="K71" s="82"/>
      <c r="L71" s="82"/>
      <c r="M71" s="81"/>
      <c r="N71" s="47"/>
      <c r="O71" s="71"/>
    </row>
    <row r="72" spans="1:15" s="1" customFormat="1" ht="16.5" customHeight="1">
      <c r="B72" s="79"/>
      <c r="C72" s="79"/>
      <c r="D72" s="79"/>
      <c r="E72" s="79"/>
      <c r="F72" s="79"/>
      <c r="G72" s="68"/>
      <c r="H72" s="80"/>
      <c r="I72" s="81"/>
      <c r="J72" s="47"/>
      <c r="K72" s="82"/>
      <c r="L72" s="82"/>
      <c r="M72" s="81"/>
      <c r="N72" s="47"/>
      <c r="O72" s="71"/>
    </row>
    <row r="73" spans="1:15" s="1" customFormat="1">
      <c r="A73" s="14"/>
      <c r="C73"/>
    </row>
    <row r="74" spans="1:15" s="1" customFormat="1">
      <c r="A74" s="14"/>
      <c r="C74"/>
    </row>
    <row r="75" spans="1:15" s="1" customFormat="1" ht="15" customHeight="1">
      <c r="C75"/>
    </row>
    <row r="76" spans="1:15" s="1" customFormat="1">
      <c r="C76"/>
    </row>
    <row r="77" spans="1:15" s="1" customFormat="1">
      <c r="C77"/>
    </row>
    <row r="78" spans="1:15" s="1" customFormat="1">
      <c r="C78"/>
    </row>
    <row r="79" spans="1:15" s="1" customFormat="1" ht="15" customHeight="1">
      <c r="C79"/>
    </row>
    <row r="80" spans="1:15" s="1" customFormat="1" ht="15" customHeight="1">
      <c r="C80"/>
    </row>
    <row r="81" spans="3:3" s="1" customFormat="1" ht="15" customHeight="1">
      <c r="C81"/>
    </row>
    <row r="82" spans="3:3" s="1" customFormat="1" ht="15" customHeight="1">
      <c r="C82"/>
    </row>
    <row r="83" spans="3:3" s="1" customFormat="1" ht="15" customHeight="1">
      <c r="C83"/>
    </row>
    <row r="84" spans="3:3" s="1" customFormat="1" ht="15" customHeight="1">
      <c r="C84"/>
    </row>
    <row r="85" spans="3:3" s="1" customFormat="1" ht="23.25" hidden="1" customHeight="1">
      <c r="C85"/>
    </row>
    <row r="86" spans="3:3" ht="15" customHeight="1"/>
    <row r="87" spans="3:3" ht="15" customHeight="1"/>
    <row r="88" spans="3:3" ht="15" customHeight="1"/>
    <row r="89" spans="3:3" ht="15" customHeight="1"/>
    <row r="90" spans="3:3" ht="15" customHeight="1"/>
    <row r="91" spans="3:3" ht="15" customHeight="1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0"/>
    <pageSetUpPr autoPageBreaks="0"/>
  </sheetPr>
  <dimension ref="A1:Q109"/>
  <sheetViews>
    <sheetView showGridLines="0" tabSelected="1" zoomScale="90" zoomScaleNormal="90" workbookViewId="0">
      <pane ySplit="6" topLeftCell="A37" activePane="bottomLeft" state="frozen"/>
      <selection activeCell="A6" sqref="A6"/>
      <selection pane="bottomLeft" activeCell="J40" sqref="J40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10.5703125" style="1" customWidth="1"/>
    <col min="6" max="6" width="29.42578125" style="1" bestFit="1" customWidth="1"/>
    <col min="7" max="9" width="20.5703125" style="1" customWidth="1"/>
    <col min="10" max="10" width="25.5703125" style="1" customWidth="1"/>
    <col min="11" max="11" width="18.42578125" style="1" bestFit="1" customWidth="1"/>
    <col min="12" max="13" width="50.5703125" style="1" customWidth="1"/>
    <col min="14" max="14" width="26.42578125" style="1" customWidth="1"/>
    <col min="15" max="15" width="3.5703125" style="1" customWidth="1"/>
    <col min="16" max="17" width="8.5703125" hidden="1" customWidth="1"/>
    <col min="18" max="19" width="0" hidden="1" customWidth="1"/>
  </cols>
  <sheetData>
    <row r="1" spans="1:15" ht="15" customHeight="1"/>
    <row r="2" spans="1:15" ht="34.5" customHeight="1">
      <c r="C2" s="2"/>
    </row>
    <row r="3" spans="1:15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customHeight="1">
      <c r="C4" s="1"/>
    </row>
    <row r="5" spans="1:15" s="24" customFormat="1" ht="15" customHeight="1">
      <c r="A5" s="168"/>
      <c r="B5" s="33" t="s">
        <v>11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0"/>
    </row>
    <row r="6" spans="1:15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</row>
    <row r="7" spans="1:15" s="24" customFormat="1" ht="5.0999999999999996" customHeight="1">
      <c r="A7" s="168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</row>
    <row r="8" spans="1:15" s="24" customFormat="1" ht="5.0999999999999996" customHeight="1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</row>
    <row r="9" spans="1:15" s="24" customFormat="1" ht="21" customHeight="1">
      <c r="A9" s="168"/>
      <c r="B9" s="168" t="s">
        <v>434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</row>
    <row r="10" spans="1:15" s="24" customFormat="1" ht="5.0999999999999996" customHeight="1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</row>
    <row r="11" spans="1:15" s="24" customFormat="1" ht="15" customHeight="1">
      <c r="A11" s="168"/>
      <c r="B11" s="65" t="s">
        <v>370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</row>
    <row r="12" spans="1:15" s="24" customFormat="1" ht="15" customHeight="1">
      <c r="A12" s="168"/>
      <c r="B12" s="36" t="s">
        <v>53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68"/>
    </row>
    <row r="13" spans="1:15" s="24" customFormat="1" ht="15" customHeight="1">
      <c r="A13" s="168"/>
      <c r="B13" s="38" t="s">
        <v>435</v>
      </c>
      <c r="C13" s="174"/>
      <c r="D13" s="174"/>
      <c r="E13" s="174"/>
      <c r="F13" s="174"/>
      <c r="G13" s="90"/>
      <c r="H13" s="174"/>
      <c r="I13" s="174"/>
      <c r="J13" s="174"/>
      <c r="K13" s="174"/>
      <c r="L13" s="174"/>
      <c r="M13" s="174"/>
      <c r="N13" s="174"/>
      <c r="O13" s="168"/>
    </row>
    <row r="14" spans="1:15" s="24" customFormat="1" ht="5.0999999999999996" customHeight="1">
      <c r="A14" s="168"/>
      <c r="B14" s="38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68"/>
    </row>
    <row r="15" spans="1:15" s="24" customFormat="1" ht="15" customHeight="1">
      <c r="A15" s="168"/>
      <c r="B15" s="36" t="s">
        <v>66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68"/>
    </row>
    <row r="16" spans="1:15" s="24" customFormat="1" ht="15" customHeight="1">
      <c r="A16" s="168"/>
      <c r="B16" s="38" t="s">
        <v>373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68"/>
    </row>
    <row r="17" spans="1:15" s="24" customFormat="1" ht="15" customHeight="1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</row>
    <row r="18" spans="1:15" s="1" customFormat="1" ht="15" customHeight="1"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78</v>
      </c>
      <c r="G18" s="5" t="s">
        <v>79</v>
      </c>
      <c r="H18" s="5" t="s">
        <v>80</v>
      </c>
      <c r="I18" s="39" t="s">
        <v>81</v>
      </c>
      <c r="J18" s="40" t="s">
        <v>82</v>
      </c>
      <c r="K18" s="39" t="s">
        <v>83</v>
      </c>
      <c r="L18" s="39" t="s">
        <v>84</v>
      </c>
      <c r="M18" s="39" t="s">
        <v>85</v>
      </c>
      <c r="N18" s="41" t="s">
        <v>87</v>
      </c>
    </row>
    <row r="19" spans="1:15" s="1" customFormat="1" ht="20.85" customHeight="1">
      <c r="B19" s="6" t="s">
        <v>375</v>
      </c>
      <c r="C19" s="6" t="s">
        <v>288</v>
      </c>
      <c r="D19" s="8">
        <v>1</v>
      </c>
      <c r="E19" s="11" t="s">
        <v>93</v>
      </c>
      <c r="F19" s="9" t="s">
        <v>376</v>
      </c>
      <c r="G19" s="10" t="s">
        <v>377</v>
      </c>
      <c r="H19" s="10"/>
      <c r="I19" s="11" t="s">
        <v>378</v>
      </c>
      <c r="J19" s="66" t="s">
        <v>379</v>
      </c>
      <c r="K19" s="13" t="s">
        <v>380</v>
      </c>
      <c r="L19" s="13" t="s">
        <v>380</v>
      </c>
      <c r="M19" s="19" t="s">
        <v>436</v>
      </c>
      <c r="N19" s="42" t="s">
        <v>99</v>
      </c>
    </row>
    <row r="20" spans="1:15" s="1" customFormat="1" ht="20.85" customHeight="1">
      <c r="B20" s="6" t="s">
        <v>375</v>
      </c>
      <c r="C20" s="6" t="s">
        <v>293</v>
      </c>
      <c r="D20" s="8">
        <v>2</v>
      </c>
      <c r="E20" s="11" t="s">
        <v>93</v>
      </c>
      <c r="F20" s="9" t="s">
        <v>382</v>
      </c>
      <c r="G20" s="10" t="s">
        <v>377</v>
      </c>
      <c r="H20" s="10"/>
      <c r="I20" s="11" t="s">
        <v>378</v>
      </c>
      <c r="J20" s="66" t="s">
        <v>379</v>
      </c>
      <c r="K20" s="13" t="s">
        <v>383</v>
      </c>
      <c r="L20" s="13" t="s">
        <v>383</v>
      </c>
      <c r="M20" s="19" t="s">
        <v>436</v>
      </c>
      <c r="N20" s="42" t="s">
        <v>99</v>
      </c>
    </row>
    <row r="21" spans="1:15" s="1" customFormat="1" ht="20.85" customHeight="1">
      <c r="B21" s="6" t="s">
        <v>375</v>
      </c>
      <c r="C21" s="6" t="s">
        <v>295</v>
      </c>
      <c r="D21" s="8">
        <v>3</v>
      </c>
      <c r="E21" s="11" t="s">
        <v>93</v>
      </c>
      <c r="F21" s="9" t="s">
        <v>384</v>
      </c>
      <c r="G21" s="10" t="s">
        <v>377</v>
      </c>
      <c r="H21" s="10"/>
      <c r="I21" s="11" t="s">
        <v>378</v>
      </c>
      <c r="J21" s="66" t="s">
        <v>379</v>
      </c>
      <c r="K21" s="13" t="s">
        <v>385</v>
      </c>
      <c r="L21" s="13" t="s">
        <v>385</v>
      </c>
      <c r="M21" s="19" t="s">
        <v>436</v>
      </c>
      <c r="N21" s="42" t="s">
        <v>99</v>
      </c>
    </row>
    <row r="22" spans="1:15" s="1" customFormat="1" ht="20.85" customHeight="1">
      <c r="B22" s="6" t="s">
        <v>375</v>
      </c>
      <c r="C22" s="29" t="s">
        <v>297</v>
      </c>
      <c r="D22" s="8">
        <v>4</v>
      </c>
      <c r="E22" s="11" t="s">
        <v>93</v>
      </c>
      <c r="F22" s="9" t="s">
        <v>386</v>
      </c>
      <c r="G22" s="10" t="s">
        <v>377</v>
      </c>
      <c r="H22" s="10"/>
      <c r="I22" s="11" t="s">
        <v>378</v>
      </c>
      <c r="J22" s="66" t="s">
        <v>379</v>
      </c>
      <c r="K22" s="13" t="s">
        <v>387</v>
      </c>
      <c r="L22" s="13" t="s">
        <v>387</v>
      </c>
      <c r="M22" s="19" t="s">
        <v>436</v>
      </c>
      <c r="N22" s="42" t="s">
        <v>99</v>
      </c>
    </row>
    <row r="23" spans="1:15" s="1" customFormat="1" ht="20.85" customHeight="1">
      <c r="B23" s="6" t="s">
        <v>375</v>
      </c>
      <c r="C23" s="6" t="s">
        <v>388</v>
      </c>
      <c r="D23" s="8">
        <v>5</v>
      </c>
      <c r="E23" s="11" t="s">
        <v>93</v>
      </c>
      <c r="F23" s="9" t="s">
        <v>389</v>
      </c>
      <c r="G23" s="10"/>
      <c r="H23" s="10" t="s">
        <v>377</v>
      </c>
      <c r="I23" s="11" t="s">
        <v>378</v>
      </c>
      <c r="J23" s="66" t="s">
        <v>379</v>
      </c>
      <c r="K23" s="13" t="s">
        <v>388</v>
      </c>
      <c r="L23" s="13" t="s">
        <v>388</v>
      </c>
      <c r="M23" s="19" t="s">
        <v>436</v>
      </c>
      <c r="N23" s="42" t="s">
        <v>99</v>
      </c>
    </row>
    <row r="24" spans="1:15" s="1" customFormat="1" ht="20.85" customHeight="1">
      <c r="B24" s="6" t="s">
        <v>375</v>
      </c>
      <c r="C24" s="6" t="s">
        <v>437</v>
      </c>
      <c r="D24" s="8">
        <v>6</v>
      </c>
      <c r="E24" s="11" t="s">
        <v>324</v>
      </c>
      <c r="F24" s="9" t="s">
        <v>438</v>
      </c>
      <c r="G24" s="10"/>
      <c r="H24" s="10"/>
      <c r="I24" s="11" t="s">
        <v>378</v>
      </c>
      <c r="J24" s="66" t="s">
        <v>379</v>
      </c>
      <c r="K24" s="13" t="s">
        <v>439</v>
      </c>
      <c r="L24" s="13" t="s">
        <v>440</v>
      </c>
      <c r="M24" s="19" t="s">
        <v>436</v>
      </c>
      <c r="N24" s="42" t="s">
        <v>99</v>
      </c>
    </row>
    <row r="25" spans="1:15" s="1" customFormat="1" ht="20.85" customHeight="1">
      <c r="B25" s="6" t="s">
        <v>375</v>
      </c>
      <c r="C25" s="6" t="s">
        <v>390</v>
      </c>
      <c r="D25" s="8">
        <v>7</v>
      </c>
      <c r="E25" s="9" t="s">
        <v>391</v>
      </c>
      <c r="F25" s="9" t="s">
        <v>392</v>
      </c>
      <c r="G25" s="10"/>
      <c r="H25" s="10"/>
      <c r="I25" s="11" t="s">
        <v>378</v>
      </c>
      <c r="J25" s="12" t="s">
        <v>393</v>
      </c>
      <c r="K25" s="7" t="s">
        <v>394</v>
      </c>
      <c r="L25" s="13" t="s">
        <v>441</v>
      </c>
      <c r="M25" s="19" t="s">
        <v>442</v>
      </c>
      <c r="N25" s="42" t="s">
        <v>99</v>
      </c>
    </row>
    <row r="26" spans="1:15" s="1" customFormat="1" ht="14.85" customHeight="1">
      <c r="B26" s="43"/>
      <c r="C26" s="67"/>
      <c r="D26" s="45"/>
      <c r="E26" s="46"/>
      <c r="F26" s="46"/>
      <c r="G26" s="68"/>
      <c r="H26" s="68"/>
      <c r="I26" s="69"/>
      <c r="J26" s="47"/>
      <c r="K26" s="70"/>
      <c r="L26" s="70"/>
      <c r="M26" s="47"/>
      <c r="N26" s="71"/>
    </row>
    <row r="27" spans="1:15" s="24" customFormat="1" ht="15" customHeight="1">
      <c r="A27" s="168"/>
      <c r="B27" s="65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</row>
    <row r="28" spans="1:15" s="24" customFormat="1" ht="15" customHeight="1">
      <c r="A28" s="168"/>
      <c r="B28" s="36" t="s">
        <v>53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68"/>
    </row>
    <row r="29" spans="1:15" s="24" customFormat="1" ht="15" customHeight="1">
      <c r="A29" s="168"/>
      <c r="B29" s="38" t="s">
        <v>443</v>
      </c>
      <c r="C29" s="174"/>
      <c r="D29" s="174"/>
      <c r="E29" s="174"/>
      <c r="F29" s="174"/>
      <c r="G29" s="90"/>
      <c r="H29" s="174"/>
      <c r="I29" s="174"/>
      <c r="J29" s="174"/>
      <c r="K29" s="174"/>
      <c r="L29" s="174"/>
      <c r="M29" s="174"/>
      <c r="N29" s="174"/>
      <c r="O29" s="168"/>
    </row>
    <row r="30" spans="1:15" s="24" customFormat="1" ht="15" customHeight="1">
      <c r="A30" s="168"/>
      <c r="B30" s="38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 t="s">
        <v>444</v>
      </c>
      <c r="N30" s="174"/>
      <c r="O30" s="168"/>
    </row>
    <row r="31" spans="1:15" s="24" customFormat="1" ht="15" customHeight="1">
      <c r="A31" s="168"/>
      <c r="B31" s="36" t="s">
        <v>66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68"/>
    </row>
    <row r="32" spans="1:15" s="24" customFormat="1" ht="15" customHeight="1">
      <c r="A32" s="168"/>
      <c r="B32" s="38" t="s">
        <v>398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68"/>
    </row>
    <row r="33" spans="1:15" s="24" customFormat="1" ht="1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</row>
    <row r="34" spans="1:15" s="1" customFormat="1" ht="15" customHeight="1"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78</v>
      </c>
      <c r="G34" s="5" t="s">
        <v>79</v>
      </c>
      <c r="H34" s="5" t="s">
        <v>80</v>
      </c>
      <c r="I34" s="39" t="s">
        <v>81</v>
      </c>
      <c r="J34" s="40" t="s">
        <v>82</v>
      </c>
      <c r="K34" s="39" t="s">
        <v>83</v>
      </c>
      <c r="L34" s="39" t="s">
        <v>84</v>
      </c>
      <c r="M34" s="39" t="s">
        <v>85</v>
      </c>
      <c r="N34" s="41" t="s">
        <v>87</v>
      </c>
    </row>
    <row r="35" spans="1:15" s="1" customFormat="1" ht="20.85" customHeight="1">
      <c r="B35" s="6" t="s">
        <v>399</v>
      </c>
      <c r="C35" s="6" t="s">
        <v>288</v>
      </c>
      <c r="D35" s="8">
        <v>1</v>
      </c>
      <c r="E35" s="11" t="s">
        <v>93</v>
      </c>
      <c r="F35" s="9" t="s">
        <v>376</v>
      </c>
      <c r="G35" s="10" t="s">
        <v>377</v>
      </c>
      <c r="H35" s="10"/>
      <c r="I35" s="11" t="s">
        <v>378</v>
      </c>
      <c r="J35" s="66" t="s">
        <v>405</v>
      </c>
      <c r="K35" s="13" t="s">
        <v>380</v>
      </c>
      <c r="L35" s="13" t="s">
        <v>380</v>
      </c>
      <c r="M35" s="19" t="s">
        <v>445</v>
      </c>
      <c r="N35" s="42" t="s">
        <v>99</v>
      </c>
    </row>
    <row r="36" spans="1:15" s="1" customFormat="1" ht="20.85" customHeight="1">
      <c r="B36" s="6" t="s">
        <v>399</v>
      </c>
      <c r="C36" s="6" t="s">
        <v>293</v>
      </c>
      <c r="D36" s="8">
        <v>2</v>
      </c>
      <c r="E36" s="11" t="s">
        <v>93</v>
      </c>
      <c r="F36" s="9" t="s">
        <v>382</v>
      </c>
      <c r="G36" s="10" t="s">
        <v>377</v>
      </c>
      <c r="H36" s="10"/>
      <c r="I36" s="11" t="s">
        <v>378</v>
      </c>
      <c r="J36" s="66" t="s">
        <v>405</v>
      </c>
      <c r="K36" s="13" t="s">
        <v>383</v>
      </c>
      <c r="L36" s="13" t="s">
        <v>383</v>
      </c>
      <c r="M36" s="19" t="s">
        <v>445</v>
      </c>
      <c r="N36" s="42" t="s">
        <v>99</v>
      </c>
    </row>
    <row r="37" spans="1:15" s="1" customFormat="1" ht="20.85" customHeight="1">
      <c r="B37" s="6" t="s">
        <v>399</v>
      </c>
      <c r="C37" s="6" t="s">
        <v>295</v>
      </c>
      <c r="D37" s="8">
        <v>3</v>
      </c>
      <c r="E37" s="11" t="s">
        <v>93</v>
      </c>
      <c r="F37" s="9" t="s">
        <v>384</v>
      </c>
      <c r="G37" s="10" t="s">
        <v>377</v>
      </c>
      <c r="H37" s="10"/>
      <c r="I37" s="11" t="s">
        <v>378</v>
      </c>
      <c r="J37" s="66" t="s">
        <v>405</v>
      </c>
      <c r="K37" s="13" t="s">
        <v>385</v>
      </c>
      <c r="L37" s="13" t="s">
        <v>385</v>
      </c>
      <c r="M37" s="19" t="s">
        <v>445</v>
      </c>
      <c r="N37" s="42" t="s">
        <v>99</v>
      </c>
    </row>
    <row r="38" spans="1:15" s="1" customFormat="1" ht="20.85" customHeight="1">
      <c r="B38" s="6" t="s">
        <v>399</v>
      </c>
      <c r="C38" s="29" t="s">
        <v>297</v>
      </c>
      <c r="D38" s="8">
        <v>4</v>
      </c>
      <c r="E38" s="11" t="s">
        <v>93</v>
      </c>
      <c r="F38" s="9" t="s">
        <v>386</v>
      </c>
      <c r="G38" s="10" t="s">
        <v>377</v>
      </c>
      <c r="H38" s="10"/>
      <c r="I38" s="11" t="s">
        <v>378</v>
      </c>
      <c r="J38" s="66" t="s">
        <v>405</v>
      </c>
      <c r="K38" s="13" t="s">
        <v>387</v>
      </c>
      <c r="L38" s="13" t="s">
        <v>387</v>
      </c>
      <c r="M38" s="19" t="s">
        <v>445</v>
      </c>
      <c r="N38" s="42" t="s">
        <v>99</v>
      </c>
    </row>
    <row r="39" spans="1:15" s="1" customFormat="1" ht="20.85" customHeight="1">
      <c r="B39" s="6" t="s">
        <v>399</v>
      </c>
      <c r="C39" s="6" t="s">
        <v>388</v>
      </c>
      <c r="D39" s="8">
        <v>5</v>
      </c>
      <c r="E39" s="11" t="s">
        <v>93</v>
      </c>
      <c r="F39" s="9" t="s">
        <v>389</v>
      </c>
      <c r="G39" s="10"/>
      <c r="H39" s="10" t="s">
        <v>377</v>
      </c>
      <c r="I39" s="11" t="s">
        <v>378</v>
      </c>
      <c r="J39" s="66" t="s">
        <v>405</v>
      </c>
      <c r="K39" s="13" t="s">
        <v>388</v>
      </c>
      <c r="L39" s="13" t="s">
        <v>388</v>
      </c>
      <c r="M39" s="19" t="s">
        <v>445</v>
      </c>
      <c r="N39" s="42" t="s">
        <v>99</v>
      </c>
    </row>
    <row r="40" spans="1:15" s="1" customFormat="1" ht="20.85" customHeight="1">
      <c r="B40" s="6" t="s">
        <v>399</v>
      </c>
      <c r="C40" s="6" t="s">
        <v>437</v>
      </c>
      <c r="D40" s="8">
        <v>6</v>
      </c>
      <c r="E40" s="11" t="s">
        <v>324</v>
      </c>
      <c r="F40" s="9" t="s">
        <v>438</v>
      </c>
      <c r="G40" s="10"/>
      <c r="H40" s="10"/>
      <c r="I40" s="11" t="s">
        <v>378</v>
      </c>
      <c r="J40" s="66" t="s">
        <v>405</v>
      </c>
      <c r="K40" s="13" t="s">
        <v>439</v>
      </c>
      <c r="L40" s="13" t="s">
        <v>440</v>
      </c>
      <c r="M40" s="19" t="s">
        <v>445</v>
      </c>
      <c r="N40" s="42" t="s">
        <v>99</v>
      </c>
    </row>
    <row r="41" spans="1:15" s="1" customFormat="1" ht="20.85" customHeight="1">
      <c r="B41" s="6" t="s">
        <v>399</v>
      </c>
      <c r="C41" s="72" t="s">
        <v>400</v>
      </c>
      <c r="D41" s="73">
        <v>7</v>
      </c>
      <c r="E41" s="9" t="s">
        <v>391</v>
      </c>
      <c r="F41" s="9" t="s">
        <v>401</v>
      </c>
      <c r="G41" s="74"/>
      <c r="H41" s="74"/>
      <c r="I41" s="11" t="s">
        <v>378</v>
      </c>
      <c r="J41" s="12" t="s">
        <v>402</v>
      </c>
      <c r="K41" s="7" t="s">
        <v>403</v>
      </c>
      <c r="L41" s="75" t="s">
        <v>441</v>
      </c>
      <c r="M41" s="19" t="s">
        <v>446</v>
      </c>
      <c r="N41" s="42" t="s">
        <v>99</v>
      </c>
    </row>
    <row r="42" spans="1:15" ht="15" customHeight="1"/>
    <row r="43" spans="1:15" s="1" customFormat="1" ht="14.85" customHeight="1">
      <c r="B43" s="65"/>
      <c r="C43" s="67"/>
      <c r="D43" s="45"/>
      <c r="E43" s="46"/>
      <c r="F43" s="46"/>
      <c r="G43" s="68"/>
      <c r="H43" s="68"/>
      <c r="I43" s="69"/>
      <c r="J43" s="47"/>
      <c r="K43" s="70"/>
      <c r="L43" s="70"/>
      <c r="M43" s="47"/>
      <c r="N43" s="71"/>
    </row>
    <row r="44" spans="1:15" s="24" customFormat="1" ht="15" customHeight="1">
      <c r="A44" s="168"/>
      <c r="B44" s="36" t="s">
        <v>53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68"/>
    </row>
    <row r="45" spans="1:15" s="24" customFormat="1" ht="15" customHeight="1">
      <c r="A45" s="168"/>
      <c r="B45" s="38" t="s">
        <v>447</v>
      </c>
      <c r="C45" s="174"/>
      <c r="D45" s="174"/>
      <c r="E45" s="174"/>
      <c r="F45" s="174"/>
      <c r="G45" s="90"/>
      <c r="H45" s="174"/>
      <c r="I45" s="174"/>
      <c r="J45" s="174"/>
      <c r="K45" s="174"/>
      <c r="L45" s="174"/>
      <c r="M45" s="174"/>
      <c r="N45" s="174"/>
      <c r="O45" s="168"/>
    </row>
    <row r="46" spans="1:15" s="24" customFormat="1" ht="15" customHeight="1">
      <c r="A46" s="168"/>
      <c r="B46" s="38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68"/>
    </row>
    <row r="47" spans="1:15" s="24" customFormat="1" ht="15" customHeight="1">
      <c r="A47" s="168"/>
      <c r="B47" s="36" t="s">
        <v>66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68"/>
    </row>
    <row r="48" spans="1:15" s="24" customFormat="1" ht="15" customHeight="1">
      <c r="A48" s="168"/>
      <c r="B48" s="38" t="s">
        <v>407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68"/>
    </row>
    <row r="49" spans="1:15" s="24" customFormat="1" ht="1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</row>
    <row r="50" spans="1:15" s="1" customFormat="1">
      <c r="B50" s="5" t="s">
        <v>74</v>
      </c>
      <c r="C50" s="5" t="s">
        <v>75</v>
      </c>
      <c r="D50" s="5" t="s">
        <v>76</v>
      </c>
      <c r="E50" s="5" t="s">
        <v>77</v>
      </c>
      <c r="F50" s="5" t="s">
        <v>78</v>
      </c>
      <c r="G50" s="5" t="s">
        <v>79</v>
      </c>
      <c r="H50" s="5" t="s">
        <v>80</v>
      </c>
      <c r="I50" s="39" t="s">
        <v>81</v>
      </c>
      <c r="J50" s="40" t="s">
        <v>82</v>
      </c>
      <c r="K50" s="39" t="s">
        <v>83</v>
      </c>
      <c r="L50" s="39" t="s">
        <v>84</v>
      </c>
      <c r="M50" s="39" t="s">
        <v>85</v>
      </c>
      <c r="N50" s="41" t="s">
        <v>87</v>
      </c>
    </row>
    <row r="51" spans="1:15" s="1" customFormat="1" ht="20.85" customHeight="1">
      <c r="B51" s="72" t="s">
        <v>408</v>
      </c>
      <c r="C51" s="6" t="s">
        <v>288</v>
      </c>
      <c r="D51" s="8">
        <v>1</v>
      </c>
      <c r="E51" s="11" t="s">
        <v>93</v>
      </c>
      <c r="F51" s="9" t="s">
        <v>376</v>
      </c>
      <c r="G51" s="10" t="s">
        <v>377</v>
      </c>
      <c r="H51" s="10"/>
      <c r="I51" s="11" t="s">
        <v>378</v>
      </c>
      <c r="J51" s="12" t="s">
        <v>412</v>
      </c>
      <c r="K51" s="15" t="s">
        <v>288</v>
      </c>
      <c r="L51" s="78" t="s">
        <v>416</v>
      </c>
      <c r="M51" s="19" t="s">
        <v>448</v>
      </c>
      <c r="N51" s="42" t="s">
        <v>99</v>
      </c>
    </row>
    <row r="52" spans="1:15" s="1" customFormat="1" ht="20.85" customHeight="1">
      <c r="B52" s="72" t="s">
        <v>408</v>
      </c>
      <c r="C52" s="6" t="s">
        <v>293</v>
      </c>
      <c r="D52" s="8">
        <v>2</v>
      </c>
      <c r="E52" s="11" t="s">
        <v>93</v>
      </c>
      <c r="F52" s="9" t="s">
        <v>382</v>
      </c>
      <c r="G52" s="10" t="s">
        <v>377</v>
      </c>
      <c r="H52" s="10"/>
      <c r="I52" s="11" t="s">
        <v>378</v>
      </c>
      <c r="J52" s="12" t="s">
        <v>412</v>
      </c>
      <c r="K52" s="13" t="s">
        <v>293</v>
      </c>
      <c r="L52" s="13" t="s">
        <v>293</v>
      </c>
      <c r="M52" s="19" t="s">
        <v>448</v>
      </c>
      <c r="N52" s="42" t="s">
        <v>99</v>
      </c>
    </row>
    <row r="53" spans="1:15" s="1" customFormat="1" ht="20.85" customHeight="1">
      <c r="B53" s="72" t="s">
        <v>408</v>
      </c>
      <c r="C53" s="6" t="s">
        <v>295</v>
      </c>
      <c r="D53" s="8">
        <v>3</v>
      </c>
      <c r="E53" s="11" t="s">
        <v>93</v>
      </c>
      <c r="F53" s="9" t="s">
        <v>384</v>
      </c>
      <c r="G53" s="10" t="s">
        <v>377</v>
      </c>
      <c r="H53" s="10"/>
      <c r="I53" s="11" t="s">
        <v>378</v>
      </c>
      <c r="J53" s="12" t="s">
        <v>412</v>
      </c>
      <c r="K53" s="13" t="s">
        <v>295</v>
      </c>
      <c r="L53" s="13" t="s">
        <v>295</v>
      </c>
      <c r="M53" s="19" t="s">
        <v>448</v>
      </c>
      <c r="N53" s="42" t="s">
        <v>99</v>
      </c>
    </row>
    <row r="54" spans="1:15" s="1" customFormat="1" ht="20.85" customHeight="1">
      <c r="B54" s="6" t="s">
        <v>408</v>
      </c>
      <c r="C54" s="29" t="s">
        <v>297</v>
      </c>
      <c r="D54" s="8">
        <v>4</v>
      </c>
      <c r="E54" s="11" t="s">
        <v>93</v>
      </c>
      <c r="F54" s="9" t="s">
        <v>386</v>
      </c>
      <c r="G54" s="10" t="s">
        <v>377</v>
      </c>
      <c r="H54" s="10"/>
      <c r="I54" s="11" t="s">
        <v>378</v>
      </c>
      <c r="J54" s="12" t="s">
        <v>412</v>
      </c>
      <c r="K54" s="13" t="s">
        <v>297</v>
      </c>
      <c r="L54" s="13" t="s">
        <v>297</v>
      </c>
      <c r="M54" s="19" t="s">
        <v>448</v>
      </c>
      <c r="N54" s="42" t="s">
        <v>99</v>
      </c>
    </row>
    <row r="55" spans="1:15" s="1" customFormat="1" ht="20.85" customHeight="1">
      <c r="B55" s="72" t="s">
        <v>408</v>
      </c>
      <c r="C55" s="6" t="s">
        <v>92</v>
      </c>
      <c r="D55" s="8">
        <v>5</v>
      </c>
      <c r="E55" s="11" t="s">
        <v>93</v>
      </c>
      <c r="F55" s="9" t="s">
        <v>389</v>
      </c>
      <c r="G55" s="10"/>
      <c r="H55" s="10" t="s">
        <v>377</v>
      </c>
      <c r="I55" s="11" t="s">
        <v>378</v>
      </c>
      <c r="J55" s="12" t="s">
        <v>412</v>
      </c>
      <c r="K55" s="13" t="s">
        <v>92</v>
      </c>
      <c r="L55" s="13" t="s">
        <v>92</v>
      </c>
      <c r="M55" s="19" t="s">
        <v>448</v>
      </c>
      <c r="N55" s="42" t="s">
        <v>99</v>
      </c>
    </row>
    <row r="56" spans="1:15" s="1" customFormat="1" ht="20.85" customHeight="1">
      <c r="B56" s="72" t="s">
        <v>408</v>
      </c>
      <c r="C56" s="6" t="s">
        <v>437</v>
      </c>
      <c r="D56" s="8">
        <v>6</v>
      </c>
      <c r="E56" s="11" t="s">
        <v>324</v>
      </c>
      <c r="F56" s="9" t="s">
        <v>438</v>
      </c>
      <c r="G56" s="10"/>
      <c r="H56" s="10"/>
      <c r="I56" s="11" t="s">
        <v>378</v>
      </c>
      <c r="J56" s="12" t="s">
        <v>412</v>
      </c>
      <c r="K56" s="75" t="s">
        <v>449</v>
      </c>
      <c r="L56" s="13" t="s">
        <v>450</v>
      </c>
      <c r="M56" s="19" t="s">
        <v>448</v>
      </c>
      <c r="N56" s="42" t="s">
        <v>99</v>
      </c>
    </row>
    <row r="57" spans="1:15" s="1" customFormat="1" ht="20.85" customHeight="1">
      <c r="B57" s="72" t="s">
        <v>408</v>
      </c>
      <c r="C57" s="72" t="s">
        <v>409</v>
      </c>
      <c r="D57" s="73">
        <v>7</v>
      </c>
      <c r="E57" s="19" t="s">
        <v>410</v>
      </c>
      <c r="F57" s="9" t="s">
        <v>411</v>
      </c>
      <c r="G57" s="74"/>
      <c r="H57" s="74"/>
      <c r="I57" s="11" t="s">
        <v>378</v>
      </c>
      <c r="J57" s="76" t="s">
        <v>412</v>
      </c>
      <c r="K57" s="77" t="s">
        <v>413</v>
      </c>
      <c r="L57" s="75" t="s">
        <v>451</v>
      </c>
      <c r="M57" s="19" t="s">
        <v>448</v>
      </c>
      <c r="N57" s="42" t="s">
        <v>99</v>
      </c>
    </row>
    <row r="58" spans="1:15" ht="15" customHeight="1"/>
    <row r="59" spans="1:15" ht="15" customHeight="1"/>
    <row r="60" spans="1:15" s="24" customFormat="1" ht="1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</row>
    <row r="61" spans="1:15" s="24" customFormat="1" ht="15" customHeight="1">
      <c r="A61" s="168"/>
      <c r="B61" s="65" t="s">
        <v>417</v>
      </c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</row>
    <row r="62" spans="1:15" s="24" customFormat="1" ht="15" customHeight="1">
      <c r="A62" s="168"/>
      <c r="B62" s="36" t="s">
        <v>53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68"/>
    </row>
    <row r="63" spans="1:15" s="24" customFormat="1" ht="15" customHeight="1">
      <c r="A63" s="168"/>
      <c r="B63" s="38" t="s">
        <v>452</v>
      </c>
      <c r="C63" s="174"/>
      <c r="D63" s="174"/>
      <c r="E63" s="174"/>
      <c r="F63" s="174"/>
      <c r="G63" s="90"/>
      <c r="H63" s="174"/>
      <c r="I63" s="174"/>
      <c r="J63" s="174"/>
      <c r="K63" s="174"/>
      <c r="L63" s="174"/>
      <c r="M63" s="174"/>
      <c r="N63" s="174"/>
      <c r="O63" s="168"/>
    </row>
    <row r="64" spans="1:15" s="24" customFormat="1" ht="15" customHeight="1">
      <c r="A64" s="168"/>
      <c r="B64" s="38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68"/>
    </row>
    <row r="65" spans="1:15" s="24" customFormat="1" ht="15" customHeight="1">
      <c r="A65" s="168"/>
      <c r="B65" s="36" t="s">
        <v>66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68"/>
    </row>
    <row r="66" spans="1:15" s="24" customFormat="1" ht="15" customHeight="1">
      <c r="A66" s="168"/>
      <c r="B66" s="38" t="s">
        <v>419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68"/>
    </row>
    <row r="67" spans="1:15" s="24" customFormat="1" ht="1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</row>
    <row r="68" spans="1:15" s="1" customFormat="1">
      <c r="B68" s="5" t="s">
        <v>74</v>
      </c>
      <c r="C68" s="5" t="s">
        <v>75</v>
      </c>
      <c r="D68" s="5" t="s">
        <v>76</v>
      </c>
      <c r="E68" s="5" t="s">
        <v>77</v>
      </c>
      <c r="F68" s="5" t="s">
        <v>78</v>
      </c>
      <c r="G68" s="5" t="s">
        <v>79</v>
      </c>
      <c r="H68" s="5" t="s">
        <v>80</v>
      </c>
      <c r="I68" s="39" t="s">
        <v>81</v>
      </c>
      <c r="J68" s="40" t="s">
        <v>82</v>
      </c>
      <c r="K68" s="39" t="s">
        <v>83</v>
      </c>
      <c r="L68" s="39" t="s">
        <v>84</v>
      </c>
      <c r="M68" s="39" t="s">
        <v>85</v>
      </c>
      <c r="N68" s="41" t="s">
        <v>87</v>
      </c>
    </row>
    <row r="69" spans="1:15" s="1" customFormat="1" ht="50.1" customHeight="1">
      <c r="B69" s="72" t="s">
        <v>420</v>
      </c>
      <c r="C69" s="6" t="s">
        <v>288</v>
      </c>
      <c r="D69" s="8">
        <v>1</v>
      </c>
      <c r="E69" s="11" t="s">
        <v>93</v>
      </c>
      <c r="F69" s="9" t="s">
        <v>376</v>
      </c>
      <c r="G69" s="10" t="s">
        <v>377</v>
      </c>
      <c r="H69" s="10"/>
      <c r="I69" s="11" t="s">
        <v>421</v>
      </c>
      <c r="J69" s="76" t="s">
        <v>453</v>
      </c>
      <c r="K69" s="77" t="s">
        <v>288</v>
      </c>
      <c r="L69" s="75" t="s">
        <v>454</v>
      </c>
      <c r="M69" s="19" t="s">
        <v>455</v>
      </c>
      <c r="N69" s="42" t="s">
        <v>99</v>
      </c>
    </row>
    <row r="70" spans="1:15" s="1" customFormat="1" ht="50.1" customHeight="1">
      <c r="B70" s="72" t="s">
        <v>420</v>
      </c>
      <c r="C70" s="6" t="s">
        <v>293</v>
      </c>
      <c r="D70" s="8">
        <v>2</v>
      </c>
      <c r="E70" s="11" t="s">
        <v>93</v>
      </c>
      <c r="F70" s="9" t="s">
        <v>382</v>
      </c>
      <c r="G70" s="10" t="s">
        <v>377</v>
      </c>
      <c r="H70" s="10"/>
      <c r="I70" s="11" t="s">
        <v>421</v>
      </c>
      <c r="J70" s="76" t="s">
        <v>453</v>
      </c>
      <c r="K70" s="77" t="s">
        <v>293</v>
      </c>
      <c r="L70" s="75" t="s">
        <v>456</v>
      </c>
      <c r="M70" s="19" t="s">
        <v>455</v>
      </c>
      <c r="N70" s="42" t="s">
        <v>99</v>
      </c>
    </row>
    <row r="71" spans="1:15" s="1" customFormat="1" ht="50.1" customHeight="1">
      <c r="B71" s="72" t="s">
        <v>420</v>
      </c>
      <c r="C71" s="6" t="s">
        <v>295</v>
      </c>
      <c r="D71" s="8">
        <v>3</v>
      </c>
      <c r="E71" s="11" t="s">
        <v>93</v>
      </c>
      <c r="F71" s="9" t="s">
        <v>384</v>
      </c>
      <c r="G71" s="10" t="s">
        <v>377</v>
      </c>
      <c r="H71" s="10"/>
      <c r="I71" s="11" t="s">
        <v>421</v>
      </c>
      <c r="J71" s="76" t="s">
        <v>453</v>
      </c>
      <c r="K71" s="77" t="s">
        <v>295</v>
      </c>
      <c r="L71" s="75" t="s">
        <v>457</v>
      </c>
      <c r="M71" s="19" t="s">
        <v>455</v>
      </c>
      <c r="N71" s="42" t="s">
        <v>99</v>
      </c>
    </row>
    <row r="72" spans="1:15" s="1" customFormat="1" ht="50.1" customHeight="1">
      <c r="B72" s="72" t="s">
        <v>420</v>
      </c>
      <c r="C72" s="6" t="s">
        <v>297</v>
      </c>
      <c r="D72" s="8">
        <v>4</v>
      </c>
      <c r="E72" s="11" t="s">
        <v>93</v>
      </c>
      <c r="F72" s="9" t="s">
        <v>386</v>
      </c>
      <c r="G72" s="10" t="s">
        <v>377</v>
      </c>
      <c r="H72" s="10"/>
      <c r="I72" s="11" t="s">
        <v>421</v>
      </c>
      <c r="J72" s="76" t="s">
        <v>453</v>
      </c>
      <c r="K72" s="77" t="s">
        <v>297</v>
      </c>
      <c r="L72" s="75" t="s">
        <v>458</v>
      </c>
      <c r="M72" s="19" t="s">
        <v>455</v>
      </c>
      <c r="N72" s="42" t="s">
        <v>99</v>
      </c>
    </row>
    <row r="73" spans="1:15" s="1" customFormat="1" ht="123.75">
      <c r="B73" s="72" t="s">
        <v>420</v>
      </c>
      <c r="C73" s="6" t="s">
        <v>388</v>
      </c>
      <c r="D73" s="73">
        <v>5</v>
      </c>
      <c r="E73" s="9" t="s">
        <v>391</v>
      </c>
      <c r="F73" s="9" t="s">
        <v>389</v>
      </c>
      <c r="G73" s="74"/>
      <c r="H73" s="74" t="s">
        <v>377</v>
      </c>
      <c r="I73" s="11" t="s">
        <v>421</v>
      </c>
      <c r="J73" s="76" t="s">
        <v>453</v>
      </c>
      <c r="K73" s="77" t="s">
        <v>423</v>
      </c>
      <c r="L73" s="75" t="s">
        <v>424</v>
      </c>
      <c r="M73" s="19" t="s">
        <v>455</v>
      </c>
      <c r="N73" s="42" t="s">
        <v>99</v>
      </c>
    </row>
    <row r="74" spans="1:15" s="1" customFormat="1" ht="46.35" customHeight="1">
      <c r="B74" s="72" t="s">
        <v>420</v>
      </c>
      <c r="C74" s="6" t="s">
        <v>437</v>
      </c>
      <c r="D74" s="8">
        <v>6</v>
      </c>
      <c r="E74" s="11" t="s">
        <v>391</v>
      </c>
      <c r="F74" s="9" t="s">
        <v>438</v>
      </c>
      <c r="G74" s="10"/>
      <c r="H74" s="10"/>
      <c r="I74" s="11" t="s">
        <v>378</v>
      </c>
      <c r="J74" s="76" t="s">
        <v>453</v>
      </c>
      <c r="K74" s="77" t="s">
        <v>437</v>
      </c>
      <c r="L74" s="75" t="s">
        <v>459</v>
      </c>
      <c r="M74" s="19" t="s">
        <v>460</v>
      </c>
      <c r="N74" s="42" t="s">
        <v>99</v>
      </c>
    </row>
    <row r="75" spans="1:15" s="1" customFormat="1" ht="65.099999999999994" customHeight="1">
      <c r="B75" s="72" t="s">
        <v>420</v>
      </c>
      <c r="C75" s="6" t="s">
        <v>431</v>
      </c>
      <c r="D75" s="8">
        <v>7</v>
      </c>
      <c r="E75" s="11" t="s">
        <v>93</v>
      </c>
      <c r="F75" s="9" t="s">
        <v>411</v>
      </c>
      <c r="G75" s="10"/>
      <c r="H75" s="10"/>
      <c r="I75" s="11" t="s">
        <v>421</v>
      </c>
      <c r="J75" s="76" t="s">
        <v>453</v>
      </c>
      <c r="K75" s="13" t="s">
        <v>432</v>
      </c>
      <c r="L75" s="75" t="s">
        <v>461</v>
      </c>
      <c r="M75" s="19" t="s">
        <v>455</v>
      </c>
      <c r="N75" s="42" t="s">
        <v>99</v>
      </c>
    </row>
    <row r="76" spans="1:15" s="1" customFormat="1" ht="16.5" customHeight="1">
      <c r="B76" s="79"/>
      <c r="C76" s="79"/>
      <c r="D76" s="79"/>
      <c r="E76" s="79"/>
      <c r="F76" s="79"/>
      <c r="G76" s="68"/>
      <c r="H76" s="80"/>
      <c r="I76" s="81"/>
      <c r="J76" s="47"/>
      <c r="K76" s="82"/>
      <c r="L76" s="82"/>
      <c r="M76" s="47"/>
      <c r="N76" s="71"/>
    </row>
    <row r="77" spans="1:15" s="1" customFormat="1" ht="16.5" customHeight="1">
      <c r="B77" s="79"/>
      <c r="C77" s="79"/>
      <c r="D77" s="79"/>
      <c r="E77" s="79"/>
      <c r="F77" s="79"/>
      <c r="G77" s="68"/>
      <c r="H77" s="80"/>
      <c r="I77" s="81"/>
      <c r="J77" s="47"/>
      <c r="K77" s="82"/>
      <c r="L77" s="82"/>
      <c r="M77" s="47"/>
      <c r="N77" s="71"/>
    </row>
    <row r="78" spans="1:15" s="1" customFormat="1" ht="16.5" customHeight="1">
      <c r="B78" s="79"/>
      <c r="C78" s="79"/>
      <c r="D78" s="79"/>
      <c r="E78" s="79"/>
      <c r="F78" s="79"/>
      <c r="G78" s="68"/>
      <c r="H78" s="80"/>
      <c r="I78" s="81"/>
      <c r="J78" s="47"/>
      <c r="K78" s="82"/>
      <c r="L78" s="82"/>
      <c r="M78" s="47"/>
      <c r="N78" s="71"/>
    </row>
    <row r="79" spans="1:15" s="1" customFormat="1" ht="16.5" customHeight="1">
      <c r="B79" s="79"/>
      <c r="C79" s="79"/>
      <c r="D79" s="79"/>
      <c r="E79" s="79"/>
      <c r="F79" s="79"/>
      <c r="G79" s="68"/>
      <c r="H79" s="80"/>
      <c r="I79" s="81"/>
      <c r="J79" s="47"/>
      <c r="K79" s="82"/>
      <c r="L79" s="82"/>
      <c r="M79" s="47"/>
      <c r="N79" s="71"/>
    </row>
    <row r="80" spans="1:15" s="1" customFormat="1" ht="16.5" customHeight="1">
      <c r="B80" s="79"/>
      <c r="C80" s="79"/>
      <c r="D80" s="79"/>
      <c r="E80" s="79"/>
      <c r="F80" s="79"/>
      <c r="G80" s="68"/>
      <c r="H80" s="80"/>
      <c r="I80" s="81"/>
      <c r="J80" s="47"/>
      <c r="K80" s="82"/>
      <c r="L80" s="82"/>
      <c r="M80" s="47"/>
      <c r="N80" s="71"/>
    </row>
    <row r="81" spans="1:16" s="1" customFormat="1" ht="16.5" customHeight="1">
      <c r="B81" s="79"/>
      <c r="C81" s="79"/>
      <c r="D81" s="79"/>
      <c r="E81" s="79"/>
      <c r="F81" s="79"/>
      <c r="G81" s="68"/>
      <c r="H81" s="80"/>
      <c r="I81" s="81"/>
      <c r="J81" s="47"/>
      <c r="K81" s="82"/>
      <c r="L81" s="82"/>
      <c r="M81" s="47"/>
      <c r="N81" s="71"/>
    </row>
    <row r="82" spans="1:16" s="1" customFormat="1">
      <c r="A82" s="14"/>
      <c r="C82"/>
    </row>
    <row r="83" spans="1:16" s="1" customFormat="1">
      <c r="A83" s="14"/>
      <c r="C83"/>
    </row>
    <row r="84" spans="1:16" s="1" customFormat="1" ht="15" customHeight="1">
      <c r="C84"/>
    </row>
    <row r="85" spans="1:16" s="1" customFormat="1">
      <c r="C85"/>
    </row>
    <row r="86" spans="1:16" s="1" customFormat="1">
      <c r="C86"/>
    </row>
    <row r="87" spans="1:16" s="1" customFormat="1">
      <c r="C87"/>
    </row>
    <row r="88" spans="1:16" s="1" customFormat="1" ht="15" customHeight="1">
      <c r="C88"/>
    </row>
    <row r="89" spans="1:16" s="1" customFormat="1" ht="15" customHeight="1">
      <c r="C89"/>
    </row>
    <row r="90" spans="1:16" s="1" customFormat="1" ht="15" customHeight="1">
      <c r="C90"/>
    </row>
    <row r="91" spans="1:16" s="1" customFormat="1" ht="15" customHeight="1">
      <c r="C91"/>
    </row>
    <row r="92" spans="1:16" s="1" customFormat="1" ht="15" customHeight="1">
      <c r="C92"/>
    </row>
    <row r="93" spans="1:16" s="1" customFormat="1" ht="15" customHeight="1">
      <c r="C93"/>
    </row>
    <row r="94" spans="1:16" s="1" customFormat="1" ht="23.25" hidden="1" customHeight="1">
      <c r="C94"/>
    </row>
    <row r="95" spans="1:16" s="1" customFormat="1" ht="15" customHeight="1">
      <c r="C95"/>
      <c r="P95"/>
    </row>
    <row r="96" spans="1:16" s="1" customFormat="1" ht="15" customHeight="1">
      <c r="C96"/>
      <c r="P96"/>
    </row>
    <row r="97" spans="3:16" s="1" customFormat="1" ht="15" customHeight="1">
      <c r="C97"/>
      <c r="P97"/>
    </row>
    <row r="98" spans="3:16" s="1" customFormat="1" ht="15" customHeight="1">
      <c r="C98"/>
      <c r="P98"/>
    </row>
    <row r="99" spans="3:16" s="1" customFormat="1" ht="15" customHeight="1">
      <c r="C99"/>
      <c r="P99"/>
    </row>
    <row r="100" spans="3:16" ht="15" customHeight="1"/>
    <row r="101" spans="3:16" ht="15" customHeight="1"/>
    <row r="102" spans="3:16" ht="15" customHeight="1"/>
    <row r="103" spans="3:16" ht="15" customHeight="1"/>
    <row r="104" spans="3:16" ht="15" customHeight="1"/>
    <row r="105" spans="3:16" ht="15" customHeight="1"/>
    <row r="106" spans="3:16" ht="15" customHeight="1"/>
    <row r="107" spans="3:16" ht="15" customHeight="1"/>
    <row r="108" spans="3:16" ht="15" customHeight="1"/>
    <row r="109" spans="3:16" ht="15" customHeight="1"/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/>
    <pageSetUpPr autoPageBreaks="0"/>
  </sheetPr>
  <dimension ref="A2:T95"/>
  <sheetViews>
    <sheetView showGridLines="0" zoomScale="65" zoomScaleNormal="100" workbookViewId="0">
      <pane ySplit="6" topLeftCell="A51" activePane="bottomLeft" state="frozen"/>
      <selection activeCell="A6" sqref="A6"/>
      <selection pane="bottomLeft" activeCell="M47" sqref="M47:M55"/>
    </sheetView>
  </sheetViews>
  <sheetFormatPr defaultColWidth="0" defaultRowHeight="15" custom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6" width="26.42578125" style="1" customWidth="1"/>
    <col min="17" max="17" width="19.42578125" style="1" bestFit="1" customWidth="1"/>
    <col min="18" max="18" width="3.5703125" style="1" customWidth="1"/>
    <col min="19" max="20" width="0" hidden="1" customWidth="1"/>
    <col min="21" max="16384" width="8.5703125" hidden="1"/>
  </cols>
  <sheetData>
    <row r="2" spans="1:18" ht="34.5" customHeight="1">
      <c r="C2" s="2"/>
    </row>
    <row r="3" spans="1:18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>
      <c r="C4" s="1"/>
    </row>
    <row r="5" spans="1:18" s="24" customFormat="1" ht="15" customHeight="1">
      <c r="A5" s="168"/>
      <c r="B5" s="33" t="s">
        <v>462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0"/>
    </row>
    <row r="6" spans="1:18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</row>
    <row r="7" spans="1:18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68"/>
    </row>
    <row r="8" spans="1:18" s="24" customFormat="1" ht="15" customHeight="1">
      <c r="A8" s="168"/>
      <c r="B8" s="37" t="s">
        <v>463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68"/>
    </row>
    <row r="9" spans="1:18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68"/>
    </row>
    <row r="10" spans="1:18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68"/>
    </row>
    <row r="11" spans="1:18" s="24" customFormat="1" ht="15" customHeight="1">
      <c r="A11" s="168"/>
      <c r="B11" s="37" t="s">
        <v>464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68"/>
    </row>
    <row r="12" spans="1:18" s="24" customFormat="1" ht="15" customHeight="1">
      <c r="A12" s="168"/>
      <c r="B12" s="37" t="s">
        <v>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68"/>
    </row>
    <row r="13" spans="1:18" s="24" customFormat="1" ht="15" customHeight="1">
      <c r="A13" s="168"/>
      <c r="B13" s="37" t="s">
        <v>465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68"/>
    </row>
    <row r="14" spans="1:18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68"/>
    </row>
    <row r="15" spans="1:18" s="24" customFormat="1" ht="15" customHeight="1">
      <c r="A15" s="168"/>
      <c r="B15" s="36" t="s">
        <v>60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68"/>
    </row>
    <row r="16" spans="1:18" s="24" customFormat="1" ht="15" customHeight="1">
      <c r="A16" s="168"/>
      <c r="B16" s="38" t="s">
        <v>466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68"/>
    </row>
    <row r="17" spans="1:18" s="24" customFormat="1" ht="15" customHeight="1">
      <c r="A17" s="168"/>
      <c r="B17" s="38" t="s">
        <v>277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68"/>
    </row>
    <row r="18" spans="1:18" s="24" customFormat="1" ht="15" customHeight="1">
      <c r="A18" s="168"/>
      <c r="B18" s="38" t="s">
        <v>467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68"/>
    </row>
    <row r="19" spans="1:18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68"/>
    </row>
    <row r="20" spans="1:18" s="24" customFormat="1" ht="15" customHeight="1">
      <c r="A20" s="168"/>
      <c r="B20" s="36" t="s">
        <v>66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68"/>
    </row>
    <row r="21" spans="1:18" s="24" customFormat="1" ht="15" customHeight="1">
      <c r="A21" s="168"/>
      <c r="B21" s="38" t="s">
        <v>279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68"/>
    </row>
    <row r="22" spans="1:18" s="24" customFormat="1" ht="15" customHeight="1">
      <c r="A22" s="168"/>
      <c r="B22" s="38" t="s">
        <v>468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68"/>
    </row>
    <row r="23" spans="1:18" s="24" customFormat="1" ht="15" customHeight="1">
      <c r="A23" s="168"/>
      <c r="B23" s="38" t="s">
        <v>469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68"/>
    </row>
    <row r="24" spans="1:18" s="24" customFormat="1" ht="15" customHeight="1">
      <c r="A24" s="168"/>
      <c r="B24" s="38" t="s">
        <v>470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68"/>
    </row>
    <row r="25" spans="1:18" s="24" customFormat="1" ht="15" customHeight="1">
      <c r="A25" s="168"/>
      <c r="B25" s="38" t="s">
        <v>471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68"/>
    </row>
    <row r="26" spans="1:18" s="24" customFormat="1" ht="15" customHeight="1">
      <c r="A26" s="168"/>
      <c r="B26" s="38" t="s">
        <v>472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68"/>
    </row>
    <row r="27" spans="1:18" s="24" customFormat="1" ht="1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</row>
    <row r="28" spans="1:18" s="24" customFormat="1" ht="15" customHeight="1">
      <c r="A28" s="168"/>
      <c r="B28" s="25" t="s">
        <v>72</v>
      </c>
      <c r="C28" s="169">
        <f>COUNTA(C74:C79)</f>
        <v>6</v>
      </c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</row>
    <row r="29" spans="1:18" s="24" customFormat="1" ht="1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</row>
    <row r="30" spans="1:18" s="24" customFormat="1" ht="15" customHeight="1">
      <c r="A30" s="168"/>
      <c r="B30" s="84" t="s">
        <v>284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</row>
    <row r="31" spans="1:18" s="24" customFormat="1" ht="5.0999999999999996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</row>
    <row r="32" spans="1:18" s="24" customFormat="1" ht="15" customHeight="1">
      <c r="A32" s="168"/>
      <c r="B32" s="168" t="s">
        <v>473</v>
      </c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</row>
    <row r="33" spans="1:18" s="24" customFormat="1" ht="1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</row>
    <row r="34" spans="1:18" s="1" customFormat="1" ht="15" customHeight="1"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78</v>
      </c>
      <c r="G34" s="5" t="s">
        <v>79</v>
      </c>
      <c r="H34" s="5" t="s">
        <v>80</v>
      </c>
      <c r="I34" s="39" t="s">
        <v>81</v>
      </c>
      <c r="J34" s="40" t="s">
        <v>82</v>
      </c>
      <c r="K34" s="39" t="s">
        <v>83</v>
      </c>
      <c r="L34" s="39" t="s">
        <v>84</v>
      </c>
      <c r="M34" s="39" t="s">
        <v>85</v>
      </c>
      <c r="N34" s="39" t="s">
        <v>86</v>
      </c>
      <c r="O34" s="41" t="s">
        <v>474</v>
      </c>
      <c r="P34" s="39" t="s">
        <v>89</v>
      </c>
      <c r="Q34" s="39" t="s">
        <v>90</v>
      </c>
      <c r="R34" s="168"/>
    </row>
    <row r="35" spans="1:18" s="1" customFormat="1" ht="20.85" customHeight="1">
      <c r="B35" s="6" t="s">
        <v>287</v>
      </c>
      <c r="C35" s="6" t="s">
        <v>288</v>
      </c>
      <c r="D35" s="8">
        <v>1</v>
      </c>
      <c r="E35" s="9" t="s">
        <v>93</v>
      </c>
      <c r="F35" s="9" t="s">
        <v>289</v>
      </c>
      <c r="G35" s="10" t="s">
        <v>95</v>
      </c>
      <c r="H35" s="10"/>
      <c r="I35" s="19" t="s">
        <v>173</v>
      </c>
      <c r="J35" s="12" t="s">
        <v>290</v>
      </c>
      <c r="K35" s="6" t="s">
        <v>288</v>
      </c>
      <c r="L35" s="7" t="s">
        <v>288</v>
      </c>
      <c r="M35" s="193" t="s">
        <v>475</v>
      </c>
      <c r="N35" s="19"/>
      <c r="O35" s="42" t="s">
        <v>99</v>
      </c>
      <c r="P35" s="83">
        <v>44404</v>
      </c>
      <c r="Q35" s="193" t="s">
        <v>476</v>
      </c>
      <c r="R35" s="168"/>
    </row>
    <row r="36" spans="1:18" s="1" customFormat="1" ht="20.85" customHeight="1">
      <c r="B36" s="6" t="s">
        <v>287</v>
      </c>
      <c r="C36" s="6" t="s">
        <v>293</v>
      </c>
      <c r="D36" s="8">
        <v>3</v>
      </c>
      <c r="E36" s="9" t="s">
        <v>93</v>
      </c>
      <c r="F36" s="9" t="s">
        <v>477</v>
      </c>
      <c r="G36" s="10" t="s">
        <v>95</v>
      </c>
      <c r="H36" s="10"/>
      <c r="I36" s="19" t="s">
        <v>173</v>
      </c>
      <c r="J36" s="12" t="s">
        <v>290</v>
      </c>
      <c r="K36" s="6" t="s">
        <v>293</v>
      </c>
      <c r="L36" s="7" t="s">
        <v>293</v>
      </c>
      <c r="M36" s="194"/>
      <c r="N36" s="19"/>
      <c r="O36" s="42" t="s">
        <v>99</v>
      </c>
      <c r="P36" s="83">
        <v>44404</v>
      </c>
      <c r="Q36" s="194"/>
      <c r="R36" s="168"/>
    </row>
    <row r="37" spans="1:18" s="1" customFormat="1" ht="20.85" customHeight="1">
      <c r="B37" s="6" t="s">
        <v>287</v>
      </c>
      <c r="C37" s="6" t="s">
        <v>295</v>
      </c>
      <c r="D37" s="8">
        <v>4</v>
      </c>
      <c r="E37" s="9" t="s">
        <v>93</v>
      </c>
      <c r="F37" s="9" t="s">
        <v>296</v>
      </c>
      <c r="G37" s="10" t="s">
        <v>95</v>
      </c>
      <c r="H37" s="10"/>
      <c r="I37" s="19" t="s">
        <v>173</v>
      </c>
      <c r="J37" s="12" t="s">
        <v>290</v>
      </c>
      <c r="K37" s="6" t="s">
        <v>295</v>
      </c>
      <c r="L37" s="7" t="s">
        <v>295</v>
      </c>
      <c r="M37" s="194"/>
      <c r="N37" s="19"/>
      <c r="O37" s="42" t="s">
        <v>99</v>
      </c>
      <c r="P37" s="83">
        <v>44404</v>
      </c>
      <c r="Q37" s="194"/>
      <c r="R37" s="168"/>
    </row>
    <row r="38" spans="1:18" s="1" customFormat="1" ht="20.85" customHeight="1">
      <c r="B38" s="6" t="s">
        <v>287</v>
      </c>
      <c r="C38" s="32" t="s">
        <v>297</v>
      </c>
      <c r="D38" s="8">
        <v>5</v>
      </c>
      <c r="E38" s="9" t="s">
        <v>93</v>
      </c>
      <c r="F38" s="9" t="s">
        <v>298</v>
      </c>
      <c r="G38" s="10" t="s">
        <v>95</v>
      </c>
      <c r="H38" s="10"/>
      <c r="I38" s="19" t="s">
        <v>173</v>
      </c>
      <c r="J38" s="12" t="s">
        <v>290</v>
      </c>
      <c r="K38" s="32" t="s">
        <v>297</v>
      </c>
      <c r="L38" s="12" t="s">
        <v>297</v>
      </c>
      <c r="M38" s="194"/>
      <c r="N38" s="30"/>
      <c r="O38" s="42" t="s">
        <v>99</v>
      </c>
      <c r="P38" s="83">
        <v>44404</v>
      </c>
      <c r="Q38" s="194"/>
      <c r="R38" s="168"/>
    </row>
    <row r="39" spans="1:18" s="1" customFormat="1" ht="45">
      <c r="B39" s="6" t="s">
        <v>287</v>
      </c>
      <c r="C39" s="12" t="s">
        <v>299</v>
      </c>
      <c r="D39" s="8">
        <v>6</v>
      </c>
      <c r="E39" s="9" t="s">
        <v>93</v>
      </c>
      <c r="F39" s="9" t="s">
        <v>300</v>
      </c>
      <c r="G39" s="10"/>
      <c r="H39" s="10"/>
      <c r="I39" s="19" t="s">
        <v>173</v>
      </c>
      <c r="J39" s="12" t="s">
        <v>290</v>
      </c>
      <c r="K39" s="7" t="s">
        <v>301</v>
      </c>
      <c r="L39" s="12" t="s">
        <v>302</v>
      </c>
      <c r="M39" s="194"/>
      <c r="N39" s="19"/>
      <c r="O39" s="42" t="s">
        <v>99</v>
      </c>
      <c r="P39" s="83">
        <v>44606</v>
      </c>
      <c r="Q39" s="194"/>
      <c r="R39" s="168"/>
    </row>
    <row r="40" spans="1:18" s="1" customFormat="1" ht="56.25">
      <c r="B40" s="6" t="s">
        <v>287</v>
      </c>
      <c r="C40" s="12" t="s">
        <v>303</v>
      </c>
      <c r="D40" s="8">
        <v>7</v>
      </c>
      <c r="E40" s="9" t="s">
        <v>304</v>
      </c>
      <c r="F40" s="9" t="s">
        <v>305</v>
      </c>
      <c r="G40" s="10"/>
      <c r="H40" s="10"/>
      <c r="I40" s="19" t="s">
        <v>96</v>
      </c>
      <c r="J40" s="12" t="s">
        <v>478</v>
      </c>
      <c r="K40" s="12" t="s">
        <v>479</v>
      </c>
      <c r="L40" s="12" t="s">
        <v>480</v>
      </c>
      <c r="M40" s="194"/>
      <c r="N40" s="19"/>
      <c r="O40" s="42" t="s">
        <v>99</v>
      </c>
      <c r="P40" s="83">
        <v>44606</v>
      </c>
      <c r="Q40" s="194"/>
      <c r="R40" s="168"/>
    </row>
    <row r="41" spans="1:18" s="1" customFormat="1" ht="20.85" customHeight="1">
      <c r="B41" s="6" t="s">
        <v>287</v>
      </c>
      <c r="C41" s="32" t="s">
        <v>92</v>
      </c>
      <c r="D41" s="8">
        <v>8</v>
      </c>
      <c r="E41" s="9" t="s">
        <v>93</v>
      </c>
      <c r="F41" s="9" t="s">
        <v>94</v>
      </c>
      <c r="G41" s="10" t="s">
        <v>95</v>
      </c>
      <c r="H41" s="10" t="s">
        <v>95</v>
      </c>
      <c r="I41" s="19" t="s">
        <v>173</v>
      </c>
      <c r="J41" s="12" t="s">
        <v>290</v>
      </c>
      <c r="K41" s="32" t="s">
        <v>92</v>
      </c>
      <c r="L41" s="12" t="s">
        <v>92</v>
      </c>
      <c r="M41" s="194"/>
      <c r="N41" s="19"/>
      <c r="O41" s="42"/>
      <c r="P41" s="83">
        <v>44404</v>
      </c>
      <c r="Q41" s="194"/>
      <c r="R41" s="168"/>
    </row>
    <row r="42" spans="1:18" s="1" customFormat="1" ht="20.85" customHeight="1">
      <c r="B42" s="6" t="s">
        <v>287</v>
      </c>
      <c r="C42" s="32" t="s">
        <v>226</v>
      </c>
      <c r="D42" s="8">
        <v>9</v>
      </c>
      <c r="E42" s="9" t="s">
        <v>93</v>
      </c>
      <c r="F42" s="9" t="s">
        <v>481</v>
      </c>
      <c r="G42" s="10" t="s">
        <v>95</v>
      </c>
      <c r="H42" s="10" t="s">
        <v>95</v>
      </c>
      <c r="I42" s="19" t="s">
        <v>173</v>
      </c>
      <c r="J42" s="12" t="s">
        <v>290</v>
      </c>
      <c r="K42" s="32" t="s">
        <v>226</v>
      </c>
      <c r="L42" s="12" t="s">
        <v>226</v>
      </c>
      <c r="M42" s="195"/>
      <c r="N42" s="19"/>
      <c r="O42" s="42" t="s">
        <v>99</v>
      </c>
      <c r="P42" s="83">
        <v>44404</v>
      </c>
      <c r="Q42" s="195"/>
      <c r="R42" s="168"/>
    </row>
    <row r="43" spans="1:18" s="1" customFormat="1">
      <c r="B43" s="43"/>
      <c r="C43" s="85"/>
      <c r="D43" s="45"/>
      <c r="E43" s="46"/>
      <c r="F43" s="46"/>
      <c r="G43" s="68"/>
      <c r="H43" s="68"/>
      <c r="I43" s="47"/>
      <c r="J43" s="44"/>
      <c r="K43" s="85"/>
      <c r="L43" s="44"/>
      <c r="M43" s="86"/>
      <c r="N43" s="47"/>
      <c r="O43" s="71"/>
      <c r="P43" s="71"/>
      <c r="Q43" s="69"/>
      <c r="R43" s="168"/>
    </row>
    <row r="44" spans="1:18" s="24" customFormat="1" ht="15" customHeight="1">
      <c r="A44" s="168"/>
      <c r="B44" s="84" t="s">
        <v>482</v>
      </c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</row>
    <row r="45" spans="1:18" s="1" customFormat="1" ht="5.0999999999999996" customHeight="1">
      <c r="B45" s="43"/>
      <c r="C45" s="44"/>
      <c r="D45" s="45"/>
      <c r="E45" s="44"/>
      <c r="F45" s="46"/>
      <c r="G45" s="45"/>
      <c r="H45" s="45"/>
      <c r="I45" s="47"/>
      <c r="J45" s="44"/>
      <c r="K45" s="45"/>
      <c r="L45" s="45"/>
      <c r="M45" s="45"/>
      <c r="N45" s="47"/>
      <c r="O45" s="31"/>
      <c r="P45" s="31"/>
      <c r="Q45" s="47"/>
    </row>
    <row r="46" spans="1:18" s="1" customFormat="1">
      <c r="B46" s="5" t="s">
        <v>74</v>
      </c>
      <c r="C46" s="5" t="s">
        <v>75</v>
      </c>
      <c r="D46" s="5" t="s">
        <v>76</v>
      </c>
      <c r="E46" s="5" t="s">
        <v>77</v>
      </c>
      <c r="F46" s="5" t="s">
        <v>78</v>
      </c>
      <c r="G46" s="5" t="s">
        <v>79</v>
      </c>
      <c r="H46" s="5" t="s">
        <v>80</v>
      </c>
      <c r="I46" s="39" t="s">
        <v>81</v>
      </c>
      <c r="J46" s="40" t="s">
        <v>82</v>
      </c>
      <c r="K46" s="39" t="s">
        <v>83</v>
      </c>
      <c r="L46" s="39" t="s">
        <v>84</v>
      </c>
      <c r="M46" s="95" t="s">
        <v>85</v>
      </c>
      <c r="N46" s="39" t="s">
        <v>86</v>
      </c>
      <c r="O46" s="41" t="s">
        <v>474</v>
      </c>
      <c r="P46" s="39" t="s">
        <v>89</v>
      </c>
      <c r="Q46" s="39" t="s">
        <v>90</v>
      </c>
    </row>
    <row r="47" spans="1:18" s="1" customFormat="1" ht="15" customHeight="1">
      <c r="B47" s="6" t="s">
        <v>483</v>
      </c>
      <c r="C47" s="32" t="s">
        <v>92</v>
      </c>
      <c r="D47" s="8">
        <v>1</v>
      </c>
      <c r="E47" s="9" t="s">
        <v>93</v>
      </c>
      <c r="F47" s="9" t="s">
        <v>94</v>
      </c>
      <c r="G47" s="10" t="s">
        <v>95</v>
      </c>
      <c r="H47" s="10" t="s">
        <v>95</v>
      </c>
      <c r="I47" s="19" t="s">
        <v>173</v>
      </c>
      <c r="J47" s="12" t="s">
        <v>287</v>
      </c>
      <c r="K47" s="12" t="s">
        <v>92</v>
      </c>
      <c r="L47" s="92" t="s">
        <v>92</v>
      </c>
      <c r="M47" s="196" t="s">
        <v>484</v>
      </c>
      <c r="N47" s="94"/>
      <c r="O47" s="42" t="s">
        <v>99</v>
      </c>
      <c r="P47" s="42"/>
      <c r="Q47" s="11" t="s">
        <v>98</v>
      </c>
    </row>
    <row r="48" spans="1:18" s="1" customFormat="1" ht="20.85" customHeight="1">
      <c r="B48" s="6" t="s">
        <v>483</v>
      </c>
      <c r="C48" s="6" t="s">
        <v>288</v>
      </c>
      <c r="D48" s="8">
        <v>2</v>
      </c>
      <c r="E48" s="9" t="s">
        <v>93</v>
      </c>
      <c r="F48" s="9" t="s">
        <v>289</v>
      </c>
      <c r="G48" s="10" t="s">
        <v>95</v>
      </c>
      <c r="H48" s="10"/>
      <c r="I48" s="19" t="s">
        <v>173</v>
      </c>
      <c r="J48" s="12" t="s">
        <v>287</v>
      </c>
      <c r="K48" s="12" t="s">
        <v>288</v>
      </c>
      <c r="L48" s="92" t="s">
        <v>288</v>
      </c>
      <c r="M48" s="197"/>
      <c r="N48" s="94"/>
      <c r="O48" s="42" t="s">
        <v>99</v>
      </c>
      <c r="P48" s="42"/>
      <c r="Q48" s="11" t="s">
        <v>98</v>
      </c>
    </row>
    <row r="49" spans="1:18" s="1" customFormat="1">
      <c r="B49" s="6" t="s">
        <v>483</v>
      </c>
      <c r="C49" s="32" t="s">
        <v>299</v>
      </c>
      <c r="D49" s="8">
        <v>4</v>
      </c>
      <c r="E49" s="9" t="s">
        <v>93</v>
      </c>
      <c r="F49" s="9" t="s">
        <v>300</v>
      </c>
      <c r="G49" s="10" t="s">
        <v>95</v>
      </c>
      <c r="H49" s="10"/>
      <c r="I49" s="19" t="s">
        <v>173</v>
      </c>
      <c r="J49" s="12" t="s">
        <v>287</v>
      </c>
      <c r="K49" s="12" t="s">
        <v>299</v>
      </c>
      <c r="L49" s="92" t="s">
        <v>299</v>
      </c>
      <c r="M49" s="197"/>
      <c r="N49" s="94"/>
      <c r="O49" s="42" t="s">
        <v>99</v>
      </c>
      <c r="P49" s="42"/>
      <c r="Q49" s="11" t="s">
        <v>98</v>
      </c>
    </row>
    <row r="50" spans="1:18" s="1" customFormat="1">
      <c r="B50" s="6" t="s">
        <v>483</v>
      </c>
      <c r="C50" s="7" t="s">
        <v>303</v>
      </c>
      <c r="D50" s="8">
        <v>5</v>
      </c>
      <c r="E50" s="9" t="s">
        <v>304</v>
      </c>
      <c r="F50" s="9" t="s">
        <v>316</v>
      </c>
      <c r="G50" s="10"/>
      <c r="H50" s="10"/>
      <c r="I50" s="19" t="s">
        <v>173</v>
      </c>
      <c r="J50" s="12" t="s">
        <v>287</v>
      </c>
      <c r="K50" s="12" t="s">
        <v>303</v>
      </c>
      <c r="L50" s="92" t="s">
        <v>303</v>
      </c>
      <c r="M50" s="197"/>
      <c r="N50" s="94"/>
      <c r="O50" s="42" t="s">
        <v>99</v>
      </c>
      <c r="P50" s="42"/>
      <c r="Q50" s="11" t="s">
        <v>98</v>
      </c>
    </row>
    <row r="51" spans="1:18" s="1" customFormat="1">
      <c r="B51" s="6" t="s">
        <v>483</v>
      </c>
      <c r="C51" s="6" t="s">
        <v>485</v>
      </c>
      <c r="D51" s="8">
        <v>6</v>
      </c>
      <c r="E51" s="9" t="s">
        <v>93</v>
      </c>
      <c r="F51" s="9" t="s">
        <v>486</v>
      </c>
      <c r="G51" s="10" t="s">
        <v>95</v>
      </c>
      <c r="H51" s="10"/>
      <c r="I51" s="19" t="s">
        <v>96</v>
      </c>
      <c r="J51" s="12" t="s">
        <v>487</v>
      </c>
      <c r="K51" s="7" t="s">
        <v>288</v>
      </c>
      <c r="L51" s="93" t="s">
        <v>288</v>
      </c>
      <c r="M51" s="197"/>
      <c r="N51" s="94"/>
      <c r="O51" s="42" t="s">
        <v>99</v>
      </c>
      <c r="P51" s="42"/>
      <c r="Q51" s="11" t="s">
        <v>98</v>
      </c>
    </row>
    <row r="52" spans="1:18" s="1" customFormat="1">
      <c r="B52" s="6" t="s">
        <v>483</v>
      </c>
      <c r="C52" s="6" t="s">
        <v>488</v>
      </c>
      <c r="D52" s="8">
        <v>7</v>
      </c>
      <c r="E52" s="9" t="s">
        <v>93</v>
      </c>
      <c r="F52" s="9" t="s">
        <v>489</v>
      </c>
      <c r="G52" s="10" t="s">
        <v>95</v>
      </c>
      <c r="H52" s="10"/>
      <c r="I52" s="19" t="s">
        <v>96</v>
      </c>
      <c r="J52" s="12" t="s">
        <v>487</v>
      </c>
      <c r="K52" s="7" t="s">
        <v>490</v>
      </c>
      <c r="L52" s="93" t="s">
        <v>490</v>
      </c>
      <c r="M52" s="197"/>
      <c r="N52" s="94"/>
      <c r="O52" s="42" t="s">
        <v>99</v>
      </c>
      <c r="P52" s="42"/>
      <c r="Q52" s="11" t="s">
        <v>98</v>
      </c>
    </row>
    <row r="53" spans="1:18" s="1" customFormat="1">
      <c r="B53" s="6" t="s">
        <v>483</v>
      </c>
      <c r="C53" s="6" t="s">
        <v>491</v>
      </c>
      <c r="D53" s="8">
        <v>8</v>
      </c>
      <c r="E53" s="9" t="s">
        <v>93</v>
      </c>
      <c r="F53" s="9" t="s">
        <v>492</v>
      </c>
      <c r="G53" s="10" t="s">
        <v>95</v>
      </c>
      <c r="H53" s="10"/>
      <c r="I53" s="19" t="s">
        <v>96</v>
      </c>
      <c r="J53" s="12" t="s">
        <v>487</v>
      </c>
      <c r="K53" s="7" t="s">
        <v>493</v>
      </c>
      <c r="L53" s="93" t="s">
        <v>493</v>
      </c>
      <c r="M53" s="197"/>
      <c r="N53" s="94"/>
      <c r="O53" s="42" t="s">
        <v>99</v>
      </c>
      <c r="P53" s="42"/>
      <c r="Q53" s="11" t="s">
        <v>98</v>
      </c>
    </row>
    <row r="54" spans="1:18" s="1" customFormat="1">
      <c r="B54" s="6" t="s">
        <v>483</v>
      </c>
      <c r="C54" s="7" t="s">
        <v>494</v>
      </c>
      <c r="D54" s="8">
        <v>9</v>
      </c>
      <c r="E54" s="9" t="s">
        <v>304</v>
      </c>
      <c r="F54" s="9" t="s">
        <v>495</v>
      </c>
      <c r="G54" s="10"/>
      <c r="H54" s="10"/>
      <c r="I54" s="19" t="s">
        <v>96</v>
      </c>
      <c r="J54" s="12" t="s">
        <v>487</v>
      </c>
      <c r="K54" s="7" t="s">
        <v>494</v>
      </c>
      <c r="L54" s="93" t="s">
        <v>496</v>
      </c>
      <c r="M54" s="197"/>
      <c r="N54" s="94"/>
      <c r="O54" s="42" t="s">
        <v>99</v>
      </c>
      <c r="P54" s="83">
        <v>44606</v>
      </c>
      <c r="Q54" s="11" t="s">
        <v>98</v>
      </c>
    </row>
    <row r="55" spans="1:18" s="1" customFormat="1">
      <c r="B55" s="6" t="s">
        <v>483</v>
      </c>
      <c r="C55" s="32" t="s">
        <v>226</v>
      </c>
      <c r="D55" s="8">
        <v>11</v>
      </c>
      <c r="E55" s="9" t="s">
        <v>93</v>
      </c>
      <c r="F55" s="9" t="s">
        <v>481</v>
      </c>
      <c r="G55" s="10" t="s">
        <v>95</v>
      </c>
      <c r="H55" s="10" t="s">
        <v>95</v>
      </c>
      <c r="I55" s="19" t="s">
        <v>173</v>
      </c>
      <c r="J55" s="12" t="s">
        <v>287</v>
      </c>
      <c r="K55" s="7" t="s">
        <v>226</v>
      </c>
      <c r="L55" s="93" t="s">
        <v>226</v>
      </c>
      <c r="M55" s="198"/>
      <c r="N55" s="94"/>
      <c r="O55" s="42" t="s">
        <v>99</v>
      </c>
      <c r="P55" s="42"/>
      <c r="Q55" s="11" t="s">
        <v>98</v>
      </c>
    </row>
    <row r="56" spans="1:18" s="1" customFormat="1">
      <c r="B56" s="43"/>
      <c r="C56" s="85"/>
      <c r="D56" s="45"/>
      <c r="E56" s="46"/>
      <c r="F56" s="46"/>
      <c r="G56" s="68"/>
      <c r="H56" s="68"/>
      <c r="I56" s="47"/>
      <c r="J56" s="44"/>
      <c r="K56" s="82"/>
      <c r="L56" s="82"/>
      <c r="M56" s="133"/>
      <c r="N56" s="47"/>
      <c r="O56" s="71"/>
      <c r="P56" s="71"/>
      <c r="Q56" s="69"/>
    </row>
    <row r="57" spans="1:18" s="1" customFormat="1">
      <c r="B57" s="43"/>
      <c r="C57" s="85"/>
      <c r="D57" s="45"/>
      <c r="E57" s="46"/>
      <c r="F57" s="46"/>
      <c r="G57" s="68"/>
      <c r="H57" s="68"/>
      <c r="I57" s="47"/>
      <c r="J57" s="44"/>
      <c r="K57" s="82"/>
      <c r="L57" s="82"/>
      <c r="M57" s="133"/>
      <c r="N57" s="47"/>
      <c r="O57" s="71"/>
      <c r="P57" s="71"/>
      <c r="Q57" s="69"/>
    </row>
    <row r="58" spans="1:18" s="24" customFormat="1" ht="15" customHeight="1">
      <c r="A58" s="168"/>
      <c r="B58" s="84" t="s">
        <v>497</v>
      </c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</row>
    <row r="59" spans="1:18" s="1" customFormat="1" ht="5.0999999999999996" customHeight="1">
      <c r="B59" s="43"/>
      <c r="C59" s="44"/>
      <c r="D59" s="45"/>
      <c r="E59" s="44"/>
      <c r="F59" s="46"/>
      <c r="G59" s="45"/>
      <c r="H59" s="45"/>
      <c r="I59" s="47"/>
      <c r="J59" s="44"/>
      <c r="K59" s="45"/>
      <c r="L59" s="45"/>
      <c r="M59" s="45"/>
      <c r="N59" s="47"/>
      <c r="O59" s="31"/>
      <c r="P59" s="31"/>
      <c r="Q59" s="47"/>
    </row>
    <row r="60" spans="1:18" s="1" customFormat="1">
      <c r="B60" s="5" t="s">
        <v>74</v>
      </c>
      <c r="C60" s="5" t="s">
        <v>75</v>
      </c>
      <c r="D60" s="5" t="s">
        <v>76</v>
      </c>
      <c r="E60" s="5" t="s">
        <v>77</v>
      </c>
      <c r="F60" s="5" t="s">
        <v>78</v>
      </c>
      <c r="G60" s="5" t="s">
        <v>79</v>
      </c>
      <c r="H60" s="5" t="s">
        <v>80</v>
      </c>
      <c r="I60" s="39" t="s">
        <v>81</v>
      </c>
      <c r="J60" s="40" t="s">
        <v>82</v>
      </c>
      <c r="K60" s="39" t="s">
        <v>83</v>
      </c>
      <c r="L60" s="39" t="s">
        <v>84</v>
      </c>
      <c r="M60" s="95" t="s">
        <v>85</v>
      </c>
      <c r="N60" s="39" t="s">
        <v>86</v>
      </c>
      <c r="O60" s="41" t="s">
        <v>474</v>
      </c>
      <c r="P60" s="39" t="s">
        <v>89</v>
      </c>
      <c r="Q60" s="39" t="s">
        <v>90</v>
      </c>
    </row>
    <row r="61" spans="1:18" s="1" customFormat="1" ht="15" customHeight="1">
      <c r="B61" s="6" t="s">
        <v>498</v>
      </c>
      <c r="C61" s="32" t="s">
        <v>92</v>
      </c>
      <c r="D61" s="8">
        <v>1</v>
      </c>
      <c r="E61" s="9" t="s">
        <v>93</v>
      </c>
      <c r="F61" s="9" t="s">
        <v>94</v>
      </c>
      <c r="G61" s="10" t="s">
        <v>95</v>
      </c>
      <c r="H61" s="10" t="s">
        <v>95</v>
      </c>
      <c r="I61" s="19" t="s">
        <v>173</v>
      </c>
      <c r="J61" s="12" t="s">
        <v>287</v>
      </c>
      <c r="K61" s="12" t="s">
        <v>92</v>
      </c>
      <c r="L61" s="92" t="s">
        <v>92</v>
      </c>
      <c r="M61" s="196" t="s">
        <v>870</v>
      </c>
      <c r="N61" s="94"/>
      <c r="O61" s="134" t="s">
        <v>499</v>
      </c>
      <c r="P61" s="83">
        <v>44799</v>
      </c>
      <c r="Q61" s="11" t="s">
        <v>98</v>
      </c>
    </row>
    <row r="62" spans="1:18" s="1" customFormat="1" ht="20.85" customHeight="1">
      <c r="B62" s="6" t="s">
        <v>498</v>
      </c>
      <c r="C62" s="6" t="s">
        <v>288</v>
      </c>
      <c r="D62" s="8">
        <v>2</v>
      </c>
      <c r="E62" s="9" t="s">
        <v>93</v>
      </c>
      <c r="F62" s="9" t="s">
        <v>289</v>
      </c>
      <c r="G62" s="10" t="s">
        <v>95</v>
      </c>
      <c r="H62" s="10"/>
      <c r="I62" s="19" t="s">
        <v>173</v>
      </c>
      <c r="J62" s="12" t="s">
        <v>287</v>
      </c>
      <c r="K62" s="12" t="s">
        <v>288</v>
      </c>
      <c r="L62" s="92" t="s">
        <v>288</v>
      </c>
      <c r="M62" s="197"/>
      <c r="N62" s="94"/>
      <c r="O62" s="134" t="s">
        <v>499</v>
      </c>
      <c r="P62" s="83">
        <v>44799</v>
      </c>
      <c r="Q62" s="11" t="s">
        <v>98</v>
      </c>
    </row>
    <row r="63" spans="1:18" s="1" customFormat="1">
      <c r="B63" s="6" t="s">
        <v>498</v>
      </c>
      <c r="C63" s="32" t="s">
        <v>299</v>
      </c>
      <c r="D63" s="8">
        <v>4</v>
      </c>
      <c r="E63" s="9" t="s">
        <v>93</v>
      </c>
      <c r="F63" s="9" t="s">
        <v>300</v>
      </c>
      <c r="G63" s="10" t="s">
        <v>95</v>
      </c>
      <c r="H63" s="10"/>
      <c r="I63" s="19" t="s">
        <v>173</v>
      </c>
      <c r="J63" s="12" t="s">
        <v>287</v>
      </c>
      <c r="K63" s="12" t="s">
        <v>299</v>
      </c>
      <c r="L63" s="92" t="s">
        <v>299</v>
      </c>
      <c r="M63" s="197"/>
      <c r="N63" s="94"/>
      <c r="O63" s="134" t="s">
        <v>499</v>
      </c>
      <c r="P63" s="83">
        <v>44799</v>
      </c>
      <c r="Q63" s="11" t="s">
        <v>98</v>
      </c>
    </row>
    <row r="64" spans="1:18" s="1" customFormat="1">
      <c r="B64" s="6" t="s">
        <v>498</v>
      </c>
      <c r="C64" s="7" t="s">
        <v>303</v>
      </c>
      <c r="D64" s="8">
        <v>5</v>
      </c>
      <c r="E64" s="9" t="s">
        <v>304</v>
      </c>
      <c r="F64" s="9" t="s">
        <v>316</v>
      </c>
      <c r="G64" s="10"/>
      <c r="H64" s="10"/>
      <c r="I64" s="19" t="s">
        <v>173</v>
      </c>
      <c r="J64" s="12" t="s">
        <v>287</v>
      </c>
      <c r="K64" s="12" t="s">
        <v>303</v>
      </c>
      <c r="L64" s="92" t="s">
        <v>303</v>
      </c>
      <c r="M64" s="197"/>
      <c r="N64" s="94"/>
      <c r="O64" s="134" t="s">
        <v>499</v>
      </c>
      <c r="P64" s="83">
        <v>44799</v>
      </c>
      <c r="Q64" s="11" t="s">
        <v>98</v>
      </c>
    </row>
    <row r="65" spans="1:18" s="1" customFormat="1" ht="22.5">
      <c r="B65" s="6" t="s">
        <v>498</v>
      </c>
      <c r="C65" s="6" t="s">
        <v>488</v>
      </c>
      <c r="D65" s="8">
        <v>7</v>
      </c>
      <c r="E65" s="9" t="s">
        <v>93</v>
      </c>
      <c r="F65" s="9" t="s">
        <v>489</v>
      </c>
      <c r="G65" s="10" t="s">
        <v>95</v>
      </c>
      <c r="H65" s="10"/>
      <c r="I65" s="19" t="s">
        <v>96</v>
      </c>
      <c r="J65" s="12" t="s">
        <v>500</v>
      </c>
      <c r="K65" s="7" t="s">
        <v>490</v>
      </c>
      <c r="L65" s="93" t="s">
        <v>490</v>
      </c>
      <c r="M65" s="197"/>
      <c r="N65" s="94"/>
      <c r="O65" s="134" t="s">
        <v>499</v>
      </c>
      <c r="P65" s="83">
        <v>44799</v>
      </c>
      <c r="Q65" s="11" t="s">
        <v>98</v>
      </c>
    </row>
    <row r="66" spans="1:18" s="1" customFormat="1" ht="22.5">
      <c r="B66" s="6" t="s">
        <v>498</v>
      </c>
      <c r="C66" s="6" t="s">
        <v>491</v>
      </c>
      <c r="D66" s="8">
        <v>8</v>
      </c>
      <c r="E66" s="9" t="s">
        <v>93</v>
      </c>
      <c r="F66" s="9" t="s">
        <v>492</v>
      </c>
      <c r="G66" s="10" t="s">
        <v>95</v>
      </c>
      <c r="H66" s="10"/>
      <c r="I66" s="19" t="s">
        <v>96</v>
      </c>
      <c r="J66" s="12" t="s">
        <v>500</v>
      </c>
      <c r="K66" s="7" t="s">
        <v>493</v>
      </c>
      <c r="L66" s="93" t="s">
        <v>493</v>
      </c>
      <c r="M66" s="197"/>
      <c r="N66" s="94"/>
      <c r="O66" s="134" t="s">
        <v>499</v>
      </c>
      <c r="P66" s="83">
        <v>44799</v>
      </c>
      <c r="Q66" s="11" t="s">
        <v>98</v>
      </c>
    </row>
    <row r="67" spans="1:18" s="1" customFormat="1" ht="22.5">
      <c r="B67" s="6" t="s">
        <v>498</v>
      </c>
      <c r="C67" s="7" t="s">
        <v>501</v>
      </c>
      <c r="D67" s="8">
        <v>9</v>
      </c>
      <c r="E67" s="9" t="s">
        <v>304</v>
      </c>
      <c r="F67" s="9" t="s">
        <v>502</v>
      </c>
      <c r="G67" s="10"/>
      <c r="H67" s="10"/>
      <c r="I67" s="19" t="s">
        <v>96</v>
      </c>
      <c r="J67" s="12" t="s">
        <v>500</v>
      </c>
      <c r="K67" s="19" t="s">
        <v>501</v>
      </c>
      <c r="L67" s="93" t="s">
        <v>503</v>
      </c>
      <c r="M67" s="197"/>
      <c r="N67" s="94"/>
      <c r="O67" s="134" t="s">
        <v>499</v>
      </c>
      <c r="P67" s="83">
        <v>44799</v>
      </c>
      <c r="Q67" s="11" t="s">
        <v>98</v>
      </c>
    </row>
    <row r="68" spans="1:18" s="1" customFormat="1">
      <c r="B68" s="6" t="s">
        <v>498</v>
      </c>
      <c r="C68" s="32" t="s">
        <v>226</v>
      </c>
      <c r="D68" s="8">
        <v>11</v>
      </c>
      <c r="E68" s="9" t="s">
        <v>93</v>
      </c>
      <c r="F68" s="9" t="s">
        <v>481</v>
      </c>
      <c r="G68" s="10" t="s">
        <v>95</v>
      </c>
      <c r="H68" s="10" t="s">
        <v>95</v>
      </c>
      <c r="I68" s="19" t="s">
        <v>173</v>
      </c>
      <c r="J68" s="12" t="s">
        <v>287</v>
      </c>
      <c r="K68" s="7" t="s">
        <v>226</v>
      </c>
      <c r="L68" s="93" t="s">
        <v>226</v>
      </c>
      <c r="M68" s="198"/>
      <c r="N68" s="94"/>
      <c r="O68" s="134" t="s">
        <v>499</v>
      </c>
      <c r="P68" s="83">
        <v>44799</v>
      </c>
      <c r="Q68" s="11" t="s">
        <v>98</v>
      </c>
    </row>
    <row r="69" spans="1:18" s="1" customFormat="1">
      <c r="B69" s="43"/>
      <c r="C69" s="85"/>
      <c r="D69" s="45"/>
      <c r="E69" s="46"/>
      <c r="F69" s="46"/>
      <c r="G69" s="68"/>
      <c r="H69" s="68"/>
      <c r="I69" s="47"/>
      <c r="J69" s="44"/>
      <c r="K69" s="82"/>
      <c r="L69" s="82"/>
      <c r="M69" s="133"/>
      <c r="N69" s="47"/>
      <c r="O69" s="71"/>
      <c r="P69" s="71"/>
      <c r="Q69" s="69"/>
    </row>
    <row r="70" spans="1:18" s="1" customFormat="1">
      <c r="B70" s="43"/>
      <c r="C70" s="85"/>
      <c r="D70" s="45"/>
      <c r="E70" s="46"/>
      <c r="F70" s="46"/>
      <c r="G70" s="68"/>
      <c r="H70" s="68"/>
      <c r="I70" s="47"/>
      <c r="J70" s="44"/>
      <c r="K70" s="82"/>
      <c r="L70" s="82"/>
      <c r="M70" s="133"/>
      <c r="N70" s="47"/>
      <c r="O70" s="71"/>
      <c r="P70" s="71"/>
      <c r="Q70" s="69"/>
    </row>
    <row r="71" spans="1:18" s="24" customFormat="1" ht="15" customHeight="1">
      <c r="A71" s="168"/>
      <c r="B71" s="84" t="s">
        <v>339</v>
      </c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</row>
    <row r="72" spans="1:18" s="1" customFormat="1" ht="5.0999999999999996" customHeight="1">
      <c r="B72" s="43"/>
      <c r="C72" s="44"/>
      <c r="D72" s="45"/>
      <c r="E72" s="44"/>
      <c r="F72" s="46"/>
      <c r="G72" s="45"/>
      <c r="H72" s="45"/>
      <c r="I72" s="47"/>
      <c r="J72" s="44"/>
      <c r="K72" s="45"/>
      <c r="L72" s="45"/>
      <c r="M72" s="45"/>
      <c r="N72" s="47"/>
      <c r="O72" s="31"/>
      <c r="P72" s="31"/>
      <c r="Q72" s="47"/>
    </row>
    <row r="73" spans="1:18" s="1" customFormat="1">
      <c r="B73" s="5" t="s">
        <v>74</v>
      </c>
      <c r="C73" s="5" t="s">
        <v>75</v>
      </c>
      <c r="D73" s="5" t="s">
        <v>76</v>
      </c>
      <c r="E73" s="5" t="s">
        <v>77</v>
      </c>
      <c r="F73" s="5" t="s">
        <v>78</v>
      </c>
      <c r="G73" s="5" t="s">
        <v>79</v>
      </c>
      <c r="H73" s="5" t="s">
        <v>80</v>
      </c>
      <c r="I73" s="39" t="s">
        <v>81</v>
      </c>
      <c r="J73" s="40" t="s">
        <v>82</v>
      </c>
      <c r="K73" s="39" t="s">
        <v>83</v>
      </c>
      <c r="L73" s="39" t="s">
        <v>84</v>
      </c>
      <c r="M73" s="39" t="s">
        <v>85</v>
      </c>
      <c r="N73" s="39" t="s">
        <v>86</v>
      </c>
      <c r="O73" s="41" t="s">
        <v>474</v>
      </c>
      <c r="P73" s="39" t="s">
        <v>89</v>
      </c>
      <c r="Q73" s="39" t="s">
        <v>90</v>
      </c>
    </row>
    <row r="74" spans="1:18" s="1" customFormat="1">
      <c r="B74" s="6" t="s">
        <v>504</v>
      </c>
      <c r="C74" s="32" t="s">
        <v>299</v>
      </c>
      <c r="D74" s="8">
        <v>2</v>
      </c>
      <c r="E74" s="9" t="s">
        <v>93</v>
      </c>
      <c r="F74" s="9" t="s">
        <v>300</v>
      </c>
      <c r="G74" s="10" t="s">
        <v>95</v>
      </c>
      <c r="H74" s="10"/>
      <c r="I74" s="19" t="s">
        <v>173</v>
      </c>
      <c r="J74" s="12" t="s">
        <v>483</v>
      </c>
      <c r="K74" s="12" t="s">
        <v>299</v>
      </c>
      <c r="L74" s="12" t="s">
        <v>299</v>
      </c>
      <c r="M74" s="66" t="s">
        <v>98</v>
      </c>
      <c r="N74" s="19"/>
      <c r="O74" s="42" t="s">
        <v>99</v>
      </c>
      <c r="P74" s="42"/>
      <c r="Q74" s="11" t="s">
        <v>98</v>
      </c>
    </row>
    <row r="75" spans="1:18" s="1" customFormat="1" ht="22.5">
      <c r="B75" s="6" t="s">
        <v>504</v>
      </c>
      <c r="C75" s="7" t="s">
        <v>494</v>
      </c>
      <c r="D75" s="8">
        <v>4</v>
      </c>
      <c r="E75" s="9" t="s">
        <v>304</v>
      </c>
      <c r="F75" s="9" t="s">
        <v>495</v>
      </c>
      <c r="G75" s="10"/>
      <c r="H75" s="10"/>
      <c r="I75" s="19" t="s">
        <v>173</v>
      </c>
      <c r="J75" s="12" t="s">
        <v>483</v>
      </c>
      <c r="K75" s="7" t="s">
        <v>494</v>
      </c>
      <c r="L75" s="7" t="s">
        <v>505</v>
      </c>
      <c r="M75" s="66" t="s">
        <v>98</v>
      </c>
      <c r="N75" s="19"/>
      <c r="O75" s="42" t="s">
        <v>99</v>
      </c>
      <c r="P75" s="83">
        <v>44606</v>
      </c>
      <c r="Q75" s="11" t="s">
        <v>98</v>
      </c>
    </row>
    <row r="76" spans="1:18" s="1" customFormat="1" ht="22.5">
      <c r="B76" s="6" t="s">
        <v>504</v>
      </c>
      <c r="C76" s="7" t="s">
        <v>501</v>
      </c>
      <c r="D76" s="8">
        <v>5</v>
      </c>
      <c r="E76" s="9" t="s">
        <v>304</v>
      </c>
      <c r="F76" s="9" t="s">
        <v>502</v>
      </c>
      <c r="G76" s="10"/>
      <c r="H76" s="10"/>
      <c r="I76" s="19" t="s">
        <v>173</v>
      </c>
      <c r="J76" s="12" t="s">
        <v>498</v>
      </c>
      <c r="K76" s="7" t="s">
        <v>501</v>
      </c>
      <c r="L76" s="7" t="s">
        <v>506</v>
      </c>
      <c r="M76" s="66" t="s">
        <v>98</v>
      </c>
      <c r="N76" s="19"/>
      <c r="O76" s="134" t="s">
        <v>499</v>
      </c>
      <c r="P76" s="83">
        <v>44799</v>
      </c>
      <c r="Q76" s="11" t="s">
        <v>98</v>
      </c>
    </row>
    <row r="77" spans="1:18" s="1" customFormat="1" ht="22.5">
      <c r="B77" s="6" t="s">
        <v>504</v>
      </c>
      <c r="C77" s="32" t="s">
        <v>226</v>
      </c>
      <c r="D77" s="8">
        <v>6</v>
      </c>
      <c r="E77" s="9" t="s">
        <v>93</v>
      </c>
      <c r="F77" s="9" t="s">
        <v>507</v>
      </c>
      <c r="G77" s="10" t="s">
        <v>95</v>
      </c>
      <c r="H77" s="10" t="s">
        <v>95</v>
      </c>
      <c r="I77" s="19" t="s">
        <v>173</v>
      </c>
      <c r="J77" s="12" t="s">
        <v>483</v>
      </c>
      <c r="K77" s="12" t="s">
        <v>226</v>
      </c>
      <c r="L77" s="12" t="s">
        <v>226</v>
      </c>
      <c r="M77" s="66" t="s">
        <v>98</v>
      </c>
      <c r="N77" s="19"/>
      <c r="O77" s="42" t="s">
        <v>99</v>
      </c>
      <c r="P77" s="42"/>
      <c r="Q77" s="11" t="s">
        <v>98</v>
      </c>
    </row>
    <row r="78" spans="1:18" s="1" customFormat="1">
      <c r="B78" s="6" t="s">
        <v>504</v>
      </c>
      <c r="C78" s="32" t="s">
        <v>366</v>
      </c>
      <c r="D78" s="8">
        <v>7</v>
      </c>
      <c r="E78" s="9" t="s">
        <v>93</v>
      </c>
      <c r="F78" s="9" t="s">
        <v>367</v>
      </c>
      <c r="G78" s="10" t="s">
        <v>95</v>
      </c>
      <c r="H78" s="10" t="s">
        <v>95</v>
      </c>
      <c r="I78" s="19" t="s">
        <v>368</v>
      </c>
      <c r="J78" s="19" t="s">
        <v>368</v>
      </c>
      <c r="K78" s="12" t="s">
        <v>366</v>
      </c>
      <c r="L78" s="12" t="s">
        <v>369</v>
      </c>
      <c r="M78" s="66" t="s">
        <v>98</v>
      </c>
      <c r="N78" s="19"/>
      <c r="O78" s="42" t="s">
        <v>99</v>
      </c>
      <c r="P78" s="42"/>
      <c r="Q78" s="11" t="s">
        <v>98</v>
      </c>
    </row>
    <row r="79" spans="1:18" s="1" customFormat="1" ht="14.85" customHeight="1">
      <c r="B79" s="6" t="s">
        <v>504</v>
      </c>
      <c r="C79" s="32" t="s">
        <v>92</v>
      </c>
      <c r="D79" s="8">
        <v>8</v>
      </c>
      <c r="E79" s="9" t="s">
        <v>93</v>
      </c>
      <c r="F79" s="9" t="s">
        <v>94</v>
      </c>
      <c r="G79" s="10" t="s">
        <v>95</v>
      </c>
      <c r="H79" s="10" t="s">
        <v>95</v>
      </c>
      <c r="I79" s="19" t="s">
        <v>173</v>
      </c>
      <c r="J79" s="12" t="s">
        <v>483</v>
      </c>
      <c r="K79" s="12" t="s">
        <v>92</v>
      </c>
      <c r="L79" s="12" t="s">
        <v>92</v>
      </c>
      <c r="M79" s="66" t="s">
        <v>98</v>
      </c>
      <c r="N79" s="19"/>
      <c r="O79" s="42" t="s">
        <v>99</v>
      </c>
      <c r="P79" s="42"/>
      <c r="Q79" s="11" t="s">
        <v>98</v>
      </c>
    </row>
    <row r="80" spans="1:18" s="1" customFormat="1" ht="15" customHeight="1">
      <c r="A80" s="14"/>
      <c r="C80"/>
    </row>
    <row r="82" spans="1:3" s="1" customFormat="1">
      <c r="A82" s="14"/>
      <c r="C82"/>
    </row>
    <row r="83" spans="1:3" s="1" customFormat="1">
      <c r="A83" s="14"/>
      <c r="C83"/>
    </row>
    <row r="84" spans="1:3" s="1" customFormat="1">
      <c r="A84" s="14"/>
      <c r="C84"/>
    </row>
    <row r="85" spans="1:3" s="1" customFormat="1" ht="15" customHeight="1">
      <c r="C85"/>
    </row>
    <row r="86" spans="1:3" s="1" customFormat="1">
      <c r="C86"/>
    </row>
    <row r="87" spans="1:3" s="1" customFormat="1">
      <c r="C87"/>
    </row>
    <row r="88" spans="1:3" s="1" customFormat="1">
      <c r="C88"/>
    </row>
    <row r="89" spans="1:3" s="1" customFormat="1" ht="15" customHeight="1">
      <c r="C89"/>
    </row>
    <row r="90" spans="1:3" s="1" customFormat="1" ht="15" customHeight="1">
      <c r="C90"/>
    </row>
    <row r="91" spans="1:3" s="1" customFormat="1" ht="15" customHeight="1">
      <c r="C91"/>
    </row>
    <row r="92" spans="1:3" s="1" customFormat="1" ht="15" customHeight="1">
      <c r="C92"/>
    </row>
    <row r="93" spans="1:3" s="1" customFormat="1" ht="15" customHeight="1">
      <c r="C93"/>
    </row>
    <row r="94" spans="1:3" s="1" customFormat="1" ht="15" customHeight="1">
      <c r="C94"/>
    </row>
    <row r="95" spans="1:3" s="1" customFormat="1" ht="23.25" customHeight="1">
      <c r="C95"/>
    </row>
  </sheetData>
  <autoFilter ref="B34:Q42" xr:uid="{00000000-0009-0000-0000-000008000000}"/>
  <mergeCells count="4">
    <mergeCell ref="M35:M42"/>
    <mergeCell ref="M47:M55"/>
    <mergeCell ref="Q35:Q42"/>
    <mergeCell ref="M61:M68"/>
  </mergeCells>
  <conditionalFormatting sqref="O45:P45">
    <cfRule type="cellIs" dxfId="8" priority="1" operator="equal">
      <formula>"Por Iniciar"</formula>
    </cfRule>
    <cfRule type="cellIs" dxfId="7" priority="2" operator="equal">
      <formula>"Em Curso"</formula>
    </cfRule>
    <cfRule type="cellIs" dxfId="6" priority="3" operator="equal">
      <formula>"Concluído"</formula>
    </cfRule>
  </conditionalFormatting>
  <conditionalFormatting sqref="O59:P59">
    <cfRule type="cellIs" dxfId="5" priority="7" operator="equal">
      <formula>"Por Iniciar"</formula>
    </cfRule>
    <cfRule type="cellIs" dxfId="4" priority="8" operator="equal">
      <formula>"Em Curso"</formula>
    </cfRule>
    <cfRule type="cellIs" dxfId="3" priority="9" operator="equal">
      <formula>"Concluído"</formula>
    </cfRule>
  </conditionalFormatting>
  <conditionalFormatting sqref="O72:P72">
    <cfRule type="cellIs" dxfId="2" priority="37" operator="equal">
      <formula>"Por Iniciar"</formula>
    </cfRule>
    <cfRule type="cellIs" dxfId="1" priority="38" operator="equal">
      <formula>"Em Curso"</formula>
    </cfRule>
    <cfRule type="cellIs" dxfId="0" priority="39" operator="equal">
      <formula>"Concluído"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/>
    <pageSetUpPr autoPageBreaks="0"/>
  </sheetPr>
  <dimension ref="A1:P160"/>
  <sheetViews>
    <sheetView showGridLines="0" zoomScale="79" zoomScaleNormal="100" workbookViewId="0">
      <pane ySplit="6" topLeftCell="A54" activePane="bottomLeft" state="frozen"/>
      <selection activeCell="A6" sqref="A6"/>
      <selection pane="bottomLeft" activeCell="M76" sqref="M76:M83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10.5703125" style="1" customWidth="1"/>
    <col min="6" max="6" width="29.42578125" style="1" bestFit="1" customWidth="1"/>
    <col min="7" max="9" width="20.5703125" style="1" customWidth="1"/>
    <col min="10" max="10" width="25.5703125" style="1" customWidth="1"/>
    <col min="11" max="11" width="18.42578125" style="1" bestFit="1" customWidth="1"/>
    <col min="12" max="13" width="50.5703125" style="1" customWidth="1"/>
    <col min="14" max="14" width="3.5703125" style="1" customWidth="1"/>
    <col min="15" max="16" width="8.5703125" hidden="1" customWidth="1"/>
    <col min="17" max="18" width="0" hidden="1" customWidth="1"/>
  </cols>
  <sheetData>
    <row r="1" spans="1:14" ht="15" customHeight="1"/>
    <row r="2" spans="1:14" ht="34.5" customHeight="1">
      <c r="C2" s="2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C4" s="1"/>
    </row>
    <row r="5" spans="1:14" s="24" customFormat="1" ht="15" customHeight="1">
      <c r="A5" s="168"/>
      <c r="B5" s="33" t="s">
        <v>508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65" t="s">
        <v>370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</row>
    <row r="8" spans="1:14" s="24" customFormat="1" ht="15" customHeight="1">
      <c r="A8" s="168"/>
      <c r="B8" s="36" t="s">
        <v>53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15" customHeight="1">
      <c r="A9" s="168"/>
      <c r="B9" s="38" t="s">
        <v>509</v>
      </c>
      <c r="C9" s="174"/>
      <c r="D9" s="174"/>
      <c r="E9" s="174"/>
      <c r="F9" s="174"/>
      <c r="G9" s="90"/>
      <c r="H9" s="174"/>
      <c r="I9" s="174"/>
      <c r="J9" s="174"/>
      <c r="K9" s="174"/>
      <c r="L9" s="174"/>
      <c r="M9" s="174"/>
      <c r="N9" s="168"/>
    </row>
    <row r="10" spans="1:14" s="24" customFormat="1" ht="5.0999999999999996" customHeight="1">
      <c r="A10" s="168"/>
      <c r="B10" s="38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36" t="s">
        <v>66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38" t="s">
        <v>510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38" t="s">
        <v>511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15" customHeight="1">
      <c r="A14" s="168"/>
      <c r="B14" s="38" t="s">
        <v>512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</row>
    <row r="16" spans="1:14" s="1" customFormat="1" ht="15" customHeight="1"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5" t="s">
        <v>79</v>
      </c>
      <c r="H16" s="5" t="s">
        <v>80</v>
      </c>
      <c r="I16" s="39" t="s">
        <v>81</v>
      </c>
      <c r="J16" s="40" t="s">
        <v>82</v>
      </c>
      <c r="K16" s="39" t="s">
        <v>83</v>
      </c>
      <c r="L16" s="39" t="s">
        <v>84</v>
      </c>
      <c r="M16" s="39" t="s">
        <v>85</v>
      </c>
    </row>
    <row r="17" spans="1:14" s="1" customFormat="1" ht="20.85" customHeight="1">
      <c r="B17" s="6" t="s">
        <v>513</v>
      </c>
      <c r="C17" s="6" t="s">
        <v>514</v>
      </c>
      <c r="D17" s="8">
        <v>1</v>
      </c>
      <c r="E17" s="11" t="s">
        <v>515</v>
      </c>
      <c r="F17" s="9" t="s">
        <v>516</v>
      </c>
      <c r="G17" s="10" t="s">
        <v>377</v>
      </c>
      <c r="H17" s="10"/>
      <c r="I17" s="11" t="s">
        <v>517</v>
      </c>
      <c r="J17" s="66" t="s">
        <v>518</v>
      </c>
      <c r="K17" s="13" t="s">
        <v>514</v>
      </c>
      <c r="L17" s="13" t="s">
        <v>514</v>
      </c>
      <c r="M17" s="193" t="s">
        <v>519</v>
      </c>
    </row>
    <row r="18" spans="1:14" s="1" customFormat="1" ht="20.85" customHeight="1">
      <c r="B18" s="6" t="s">
        <v>513</v>
      </c>
      <c r="C18" s="6" t="s">
        <v>520</v>
      </c>
      <c r="D18" s="8">
        <v>2</v>
      </c>
      <c r="E18" s="11" t="s">
        <v>515</v>
      </c>
      <c r="F18" s="9" t="s">
        <v>521</v>
      </c>
      <c r="G18" s="10" t="s">
        <v>377</v>
      </c>
      <c r="H18" s="10"/>
      <c r="I18" s="11" t="s">
        <v>517</v>
      </c>
      <c r="J18" s="66" t="s">
        <v>518</v>
      </c>
      <c r="K18" s="13" t="s">
        <v>520</v>
      </c>
      <c r="L18" s="13" t="s">
        <v>520</v>
      </c>
      <c r="M18" s="194"/>
    </row>
    <row r="19" spans="1:14" s="1" customFormat="1" ht="20.85" customHeight="1">
      <c r="B19" s="6" t="s">
        <v>513</v>
      </c>
      <c r="C19" s="6" t="s">
        <v>522</v>
      </c>
      <c r="D19" s="8">
        <v>3</v>
      </c>
      <c r="E19" s="11" t="s">
        <v>93</v>
      </c>
      <c r="F19" s="9" t="s">
        <v>523</v>
      </c>
      <c r="G19" s="10" t="s">
        <v>377</v>
      </c>
      <c r="H19" s="10"/>
      <c r="I19" s="11" t="s">
        <v>517</v>
      </c>
      <c r="J19" s="66" t="s">
        <v>518</v>
      </c>
      <c r="K19" s="13" t="s">
        <v>522</v>
      </c>
      <c r="L19" s="13" t="s">
        <v>522</v>
      </c>
      <c r="M19" s="194"/>
    </row>
    <row r="20" spans="1:14" s="1" customFormat="1" ht="20.85" customHeight="1">
      <c r="B20" s="6" t="s">
        <v>513</v>
      </c>
      <c r="C20" s="29" t="s">
        <v>524</v>
      </c>
      <c r="D20" s="8">
        <v>4</v>
      </c>
      <c r="E20" s="11" t="s">
        <v>93</v>
      </c>
      <c r="F20" s="9" t="s">
        <v>525</v>
      </c>
      <c r="G20" s="10" t="s">
        <v>377</v>
      </c>
      <c r="H20" s="10"/>
      <c r="I20" s="11" t="s">
        <v>517</v>
      </c>
      <c r="J20" s="66" t="s">
        <v>518</v>
      </c>
      <c r="K20" s="13" t="s">
        <v>524</v>
      </c>
      <c r="L20" s="13" t="s">
        <v>524</v>
      </c>
      <c r="M20" s="194"/>
    </row>
    <row r="21" spans="1:14" s="1" customFormat="1" ht="20.85" customHeight="1">
      <c r="B21" s="6" t="s">
        <v>513</v>
      </c>
      <c r="C21" s="6" t="s">
        <v>297</v>
      </c>
      <c r="D21" s="8">
        <v>5</v>
      </c>
      <c r="E21" s="11" t="s">
        <v>93</v>
      </c>
      <c r="F21" s="9" t="s">
        <v>526</v>
      </c>
      <c r="G21" s="10" t="s">
        <v>377</v>
      </c>
      <c r="H21" s="10"/>
      <c r="I21" s="11" t="s">
        <v>517</v>
      </c>
      <c r="J21" s="66" t="s">
        <v>518</v>
      </c>
      <c r="K21" s="13" t="s">
        <v>297</v>
      </c>
      <c r="L21" s="13" t="s">
        <v>297</v>
      </c>
      <c r="M21" s="194"/>
    </row>
    <row r="22" spans="1:14" s="1" customFormat="1" ht="20.85" customHeight="1">
      <c r="B22" s="6" t="s">
        <v>513</v>
      </c>
      <c r="C22" s="6" t="s">
        <v>527</v>
      </c>
      <c r="D22" s="8">
        <v>6</v>
      </c>
      <c r="E22" s="11" t="s">
        <v>93</v>
      </c>
      <c r="F22" s="9" t="s">
        <v>528</v>
      </c>
      <c r="G22" s="10"/>
      <c r="H22" s="10"/>
      <c r="I22" s="11" t="s">
        <v>517</v>
      </c>
      <c r="J22" s="66" t="s">
        <v>529</v>
      </c>
      <c r="K22" s="13" t="s">
        <v>530</v>
      </c>
      <c r="L22" s="13" t="s">
        <v>531</v>
      </c>
      <c r="M22" s="194"/>
    </row>
    <row r="23" spans="1:14" s="1" customFormat="1" ht="20.85" customHeight="1">
      <c r="B23" s="6" t="s">
        <v>513</v>
      </c>
      <c r="C23" s="6" t="s">
        <v>532</v>
      </c>
      <c r="D23" s="8">
        <v>7</v>
      </c>
      <c r="E23" s="11" t="s">
        <v>93</v>
      </c>
      <c r="F23" s="9" t="s">
        <v>533</v>
      </c>
      <c r="G23" s="10"/>
      <c r="H23" s="10"/>
      <c r="I23" s="11" t="s">
        <v>517</v>
      </c>
      <c r="J23" s="12" t="s">
        <v>534</v>
      </c>
      <c r="K23" s="12" t="s">
        <v>535</v>
      </c>
      <c r="L23" s="13" t="s">
        <v>536</v>
      </c>
      <c r="M23" s="195"/>
    </row>
    <row r="24" spans="1:14" s="1" customFormat="1" ht="14.85" customHeight="1">
      <c r="B24" s="43"/>
      <c r="C24" s="67"/>
      <c r="D24" s="45"/>
      <c r="E24" s="46"/>
      <c r="F24" s="46"/>
      <c r="G24" s="68"/>
      <c r="H24" s="68"/>
      <c r="I24" s="69"/>
      <c r="J24" s="47"/>
      <c r="K24" s="70"/>
      <c r="L24" s="70"/>
      <c r="M24" s="47"/>
    </row>
    <row r="25" spans="1:14" s="24" customFormat="1" ht="15" customHeight="1">
      <c r="A25" s="168"/>
      <c r="B25" s="65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</row>
    <row r="26" spans="1:14" s="24" customFormat="1" ht="15" customHeight="1">
      <c r="A26" s="168"/>
      <c r="B26" s="36" t="s">
        <v>53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24" customFormat="1" ht="15" customHeight="1">
      <c r="A27" s="168"/>
      <c r="B27" s="38" t="s">
        <v>537</v>
      </c>
      <c r="C27" s="174"/>
      <c r="D27" s="174"/>
      <c r="E27" s="174"/>
      <c r="F27" s="174"/>
      <c r="G27" s="90"/>
      <c r="H27" s="174"/>
      <c r="I27" s="174"/>
      <c r="J27" s="174"/>
      <c r="K27" s="174"/>
      <c r="L27" s="174"/>
      <c r="M27" s="174"/>
      <c r="N27" s="168"/>
    </row>
    <row r="28" spans="1:14" s="24" customFormat="1" ht="5.0999999999999996" customHeight="1">
      <c r="A28" s="168"/>
      <c r="B28" s="38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24" customFormat="1" ht="15" customHeight="1">
      <c r="A29" s="168"/>
      <c r="B29" s="36" t="s">
        <v>66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8"/>
    </row>
    <row r="30" spans="1:14" s="24" customFormat="1" ht="15" customHeight="1">
      <c r="A30" s="168"/>
      <c r="B30" s="38" t="s">
        <v>538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68"/>
    </row>
    <row r="31" spans="1:14" s="24" customFormat="1" ht="15" customHeight="1">
      <c r="A31" s="168"/>
      <c r="B31" s="38" t="s">
        <v>511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68"/>
    </row>
    <row r="32" spans="1:14" s="24" customFormat="1" ht="15" customHeight="1">
      <c r="A32" s="168"/>
      <c r="B32" s="38" t="s">
        <v>512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68"/>
    </row>
    <row r="33" spans="1:14" s="24" customFormat="1" ht="15" customHeight="1">
      <c r="A33" s="168"/>
      <c r="B33" s="38" t="s">
        <v>539</v>
      </c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68"/>
    </row>
    <row r="34" spans="1:14" s="24" customFormat="1" ht="1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</row>
    <row r="35" spans="1:14" s="1" customFormat="1" ht="15" customHeight="1"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79</v>
      </c>
      <c r="H35" s="5" t="s">
        <v>80</v>
      </c>
      <c r="I35" s="39" t="s">
        <v>81</v>
      </c>
      <c r="J35" s="40" t="s">
        <v>82</v>
      </c>
      <c r="K35" s="39" t="s">
        <v>83</v>
      </c>
      <c r="L35" s="39" t="s">
        <v>84</v>
      </c>
      <c r="M35" s="39" t="s">
        <v>85</v>
      </c>
    </row>
    <row r="36" spans="1:14" s="1" customFormat="1" ht="20.85" customHeight="1">
      <c r="B36" s="6" t="s">
        <v>540</v>
      </c>
      <c r="C36" s="6" t="s">
        <v>514</v>
      </c>
      <c r="D36" s="8">
        <v>1</v>
      </c>
      <c r="E36" s="11" t="s">
        <v>324</v>
      </c>
      <c r="F36" s="9" t="s">
        <v>516</v>
      </c>
      <c r="G36" s="10" t="s">
        <v>377</v>
      </c>
      <c r="H36" s="10"/>
      <c r="I36" s="11" t="s">
        <v>517</v>
      </c>
      <c r="J36" s="66" t="s">
        <v>518</v>
      </c>
      <c r="K36" s="13" t="s">
        <v>514</v>
      </c>
      <c r="L36" s="13" t="s">
        <v>514</v>
      </c>
      <c r="M36" s="193" t="s">
        <v>541</v>
      </c>
    </row>
    <row r="37" spans="1:14" s="1" customFormat="1" ht="20.85" customHeight="1">
      <c r="B37" s="6" t="s">
        <v>540</v>
      </c>
      <c r="C37" s="6" t="s">
        <v>520</v>
      </c>
      <c r="D37" s="8">
        <v>2</v>
      </c>
      <c r="E37" s="11" t="s">
        <v>324</v>
      </c>
      <c r="F37" s="9" t="s">
        <v>521</v>
      </c>
      <c r="G37" s="10" t="s">
        <v>377</v>
      </c>
      <c r="H37" s="10"/>
      <c r="I37" s="11" t="s">
        <v>517</v>
      </c>
      <c r="J37" s="66" t="s">
        <v>518</v>
      </c>
      <c r="K37" s="13" t="s">
        <v>520</v>
      </c>
      <c r="L37" s="13" t="s">
        <v>520</v>
      </c>
      <c r="M37" s="194"/>
    </row>
    <row r="38" spans="1:14" s="1" customFormat="1" ht="20.85" customHeight="1">
      <c r="B38" s="6" t="s">
        <v>540</v>
      </c>
      <c r="C38" s="6" t="s">
        <v>522</v>
      </c>
      <c r="D38" s="8">
        <v>3</v>
      </c>
      <c r="E38" s="11" t="s">
        <v>93</v>
      </c>
      <c r="F38" s="9" t="s">
        <v>523</v>
      </c>
      <c r="G38" s="10"/>
      <c r="H38" s="10"/>
      <c r="I38" s="11" t="s">
        <v>517</v>
      </c>
      <c r="J38" s="66" t="s">
        <v>518</v>
      </c>
      <c r="K38" s="13" t="s">
        <v>522</v>
      </c>
      <c r="L38" s="13" t="s">
        <v>542</v>
      </c>
      <c r="M38" s="194"/>
    </row>
    <row r="39" spans="1:14" s="1" customFormat="1" ht="20.85" customHeight="1">
      <c r="B39" s="6" t="s">
        <v>540</v>
      </c>
      <c r="C39" s="29" t="s">
        <v>524</v>
      </c>
      <c r="D39" s="8">
        <v>4</v>
      </c>
      <c r="E39" s="11" t="s">
        <v>93</v>
      </c>
      <c r="F39" s="9" t="s">
        <v>525</v>
      </c>
      <c r="G39" s="10"/>
      <c r="H39" s="10"/>
      <c r="I39" s="11" t="s">
        <v>517</v>
      </c>
      <c r="J39" s="66" t="s">
        <v>518</v>
      </c>
      <c r="K39" s="13" t="s">
        <v>524</v>
      </c>
      <c r="L39" s="13" t="s">
        <v>543</v>
      </c>
      <c r="M39" s="194"/>
    </row>
    <row r="40" spans="1:14" s="1" customFormat="1" ht="20.85" customHeight="1">
      <c r="B40" s="6" t="s">
        <v>540</v>
      </c>
      <c r="C40" s="6" t="s">
        <v>297</v>
      </c>
      <c r="D40" s="8">
        <v>5</v>
      </c>
      <c r="E40" s="11" t="s">
        <v>93</v>
      </c>
      <c r="F40" s="9" t="s">
        <v>526</v>
      </c>
      <c r="G40" s="10"/>
      <c r="H40" s="10"/>
      <c r="I40" s="11" t="s">
        <v>517</v>
      </c>
      <c r="J40" s="66" t="s">
        <v>518</v>
      </c>
      <c r="K40" s="13" t="s">
        <v>297</v>
      </c>
      <c r="L40" s="13" t="s">
        <v>544</v>
      </c>
      <c r="M40" s="194"/>
    </row>
    <row r="41" spans="1:14" s="1" customFormat="1" ht="20.85" customHeight="1">
      <c r="B41" s="6" t="s">
        <v>540</v>
      </c>
      <c r="C41" s="6" t="s">
        <v>527</v>
      </c>
      <c r="D41" s="8">
        <v>6</v>
      </c>
      <c r="E41" s="11" t="s">
        <v>93</v>
      </c>
      <c r="F41" s="9" t="s">
        <v>528</v>
      </c>
      <c r="G41" s="10"/>
      <c r="H41" s="10"/>
      <c r="I41" s="11" t="s">
        <v>517</v>
      </c>
      <c r="J41" s="66" t="s">
        <v>529</v>
      </c>
      <c r="K41" s="13" t="s">
        <v>530</v>
      </c>
      <c r="L41" s="13" t="s">
        <v>531</v>
      </c>
      <c r="M41" s="195"/>
    </row>
    <row r="42" spans="1:14" s="1" customFormat="1" ht="20.85" customHeight="1">
      <c r="B42" s="6" t="s">
        <v>540</v>
      </c>
      <c r="C42" s="6" t="s">
        <v>532</v>
      </c>
      <c r="D42" s="8">
        <v>7</v>
      </c>
      <c r="E42" s="11" t="s">
        <v>93</v>
      </c>
      <c r="F42" s="9" t="s">
        <v>533</v>
      </c>
      <c r="G42" s="10"/>
      <c r="H42" s="10"/>
      <c r="I42" s="11" t="s">
        <v>98</v>
      </c>
      <c r="J42" s="12" t="s">
        <v>98</v>
      </c>
      <c r="K42" s="12" t="s">
        <v>98</v>
      </c>
      <c r="L42" s="13" t="s">
        <v>545</v>
      </c>
      <c r="M42" s="19" t="s">
        <v>98</v>
      </c>
    </row>
    <row r="43" spans="1:14" s="1" customFormat="1" ht="14.85" customHeight="1">
      <c r="B43" s="43"/>
      <c r="C43" s="67"/>
      <c r="D43" s="45"/>
      <c r="E43" s="46"/>
      <c r="F43" s="46"/>
      <c r="G43" s="68"/>
      <c r="H43" s="68"/>
      <c r="I43" s="69"/>
      <c r="J43" s="47"/>
      <c r="K43" s="70"/>
      <c r="L43" s="70"/>
      <c r="M43" s="47"/>
    </row>
    <row r="44" spans="1:14" s="24" customFormat="1" ht="15" customHeight="1">
      <c r="A44" s="168"/>
      <c r="B44" s="65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</row>
    <row r="45" spans="1:14" s="24" customFormat="1" ht="15" customHeight="1">
      <c r="A45" s="168"/>
      <c r="B45" s="36" t="s">
        <v>53</v>
      </c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68"/>
    </row>
    <row r="46" spans="1:14" s="24" customFormat="1" ht="15" customHeight="1">
      <c r="A46" s="168"/>
      <c r="B46" s="38" t="s">
        <v>546</v>
      </c>
      <c r="C46" s="174"/>
      <c r="D46" s="174"/>
      <c r="E46" s="174"/>
      <c r="F46" s="174"/>
      <c r="G46" s="90"/>
      <c r="H46" s="174"/>
      <c r="I46" s="174"/>
      <c r="J46" s="174"/>
      <c r="K46" s="174"/>
      <c r="L46" s="174"/>
      <c r="M46" s="174"/>
      <c r="N46" s="168"/>
    </row>
    <row r="47" spans="1:14" s="24" customFormat="1" ht="5.0999999999999996" customHeight="1">
      <c r="A47" s="168"/>
      <c r="B47" s="38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68"/>
    </row>
    <row r="48" spans="1:14" s="24" customFormat="1" ht="15" customHeight="1">
      <c r="A48" s="168"/>
      <c r="B48" s="36" t="s">
        <v>66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68"/>
    </row>
    <row r="49" spans="1:14" s="24" customFormat="1" ht="15" customHeight="1">
      <c r="A49" s="168"/>
      <c r="B49" s="38" t="s">
        <v>547</v>
      </c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68"/>
    </row>
    <row r="50" spans="1:14" s="24" customFormat="1" ht="15" customHeight="1">
      <c r="A50" s="168"/>
      <c r="B50" s="38" t="s">
        <v>548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68"/>
    </row>
    <row r="51" spans="1:14" s="24" customFormat="1" ht="15" customHeight="1">
      <c r="A51" s="168"/>
      <c r="B51" s="38" t="s">
        <v>512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68"/>
    </row>
    <row r="52" spans="1:14" s="24" customFormat="1" ht="15" customHeight="1">
      <c r="A52" s="168"/>
      <c r="B52" s="38" t="s">
        <v>539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68"/>
    </row>
    <row r="53" spans="1:14" s="24" customFormat="1" ht="1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</row>
    <row r="54" spans="1:14" s="1" customFormat="1" ht="15" customHeight="1">
      <c r="B54" s="5" t="s">
        <v>74</v>
      </c>
      <c r="C54" s="5" t="s">
        <v>75</v>
      </c>
      <c r="D54" s="5" t="s">
        <v>76</v>
      </c>
      <c r="E54" s="5" t="s">
        <v>77</v>
      </c>
      <c r="F54" s="5" t="s">
        <v>78</v>
      </c>
      <c r="G54" s="5" t="s">
        <v>79</v>
      </c>
      <c r="H54" s="5" t="s">
        <v>80</v>
      </c>
      <c r="I54" s="39" t="s">
        <v>81</v>
      </c>
      <c r="J54" s="40" t="s">
        <v>82</v>
      </c>
      <c r="K54" s="39" t="s">
        <v>83</v>
      </c>
      <c r="L54" s="39" t="s">
        <v>84</v>
      </c>
      <c r="M54" s="39" t="s">
        <v>85</v>
      </c>
    </row>
    <row r="55" spans="1:14" s="1" customFormat="1" ht="20.85" customHeight="1">
      <c r="B55" s="6" t="s">
        <v>549</v>
      </c>
      <c r="C55" s="6" t="s">
        <v>514</v>
      </c>
      <c r="D55" s="8">
        <v>1</v>
      </c>
      <c r="E55" s="11" t="s">
        <v>515</v>
      </c>
      <c r="F55" s="9" t="s">
        <v>516</v>
      </c>
      <c r="G55" s="10" t="s">
        <v>377</v>
      </c>
      <c r="H55" s="10"/>
      <c r="I55" s="11" t="s">
        <v>96</v>
      </c>
      <c r="J55" s="66" t="s">
        <v>550</v>
      </c>
      <c r="K55" s="13" t="s">
        <v>514</v>
      </c>
      <c r="L55" s="13" t="s">
        <v>551</v>
      </c>
      <c r="M55" s="193" t="s">
        <v>552</v>
      </c>
    </row>
    <row r="56" spans="1:14" s="1" customFormat="1" ht="20.85" customHeight="1">
      <c r="B56" s="6" t="s">
        <v>549</v>
      </c>
      <c r="C56" s="6" t="s">
        <v>520</v>
      </c>
      <c r="D56" s="8">
        <v>2</v>
      </c>
      <c r="E56" s="11" t="s">
        <v>515</v>
      </c>
      <c r="F56" s="9" t="s">
        <v>521</v>
      </c>
      <c r="G56" s="10" t="s">
        <v>377</v>
      </c>
      <c r="H56" s="10"/>
      <c r="I56" s="11" t="s">
        <v>96</v>
      </c>
      <c r="J56" s="66" t="s">
        <v>550</v>
      </c>
      <c r="K56" s="13" t="s">
        <v>520</v>
      </c>
      <c r="L56" s="13" t="s">
        <v>553</v>
      </c>
      <c r="M56" s="194"/>
    </row>
    <row r="57" spans="1:14" s="1" customFormat="1" ht="20.85" customHeight="1">
      <c r="B57" s="6" t="s">
        <v>549</v>
      </c>
      <c r="C57" s="6" t="s">
        <v>522</v>
      </c>
      <c r="D57" s="8">
        <v>3</v>
      </c>
      <c r="E57" s="11" t="s">
        <v>93</v>
      </c>
      <c r="F57" s="9" t="s">
        <v>523</v>
      </c>
      <c r="G57" s="10"/>
      <c r="H57" s="10"/>
      <c r="I57" s="11" t="s">
        <v>96</v>
      </c>
      <c r="J57" s="66" t="s">
        <v>550</v>
      </c>
      <c r="K57" s="13" t="s">
        <v>522</v>
      </c>
      <c r="L57" s="13" t="s">
        <v>522</v>
      </c>
      <c r="M57" s="194"/>
    </row>
    <row r="58" spans="1:14" s="1" customFormat="1" ht="20.85" customHeight="1">
      <c r="B58" s="6" t="s">
        <v>549</v>
      </c>
      <c r="C58" s="29" t="s">
        <v>524</v>
      </c>
      <c r="D58" s="8">
        <v>4</v>
      </c>
      <c r="E58" s="11" t="s">
        <v>93</v>
      </c>
      <c r="F58" s="9" t="s">
        <v>525</v>
      </c>
      <c r="G58" s="10"/>
      <c r="H58" s="10"/>
      <c r="I58" s="11" t="s">
        <v>96</v>
      </c>
      <c r="J58" s="66" t="s">
        <v>550</v>
      </c>
      <c r="K58" s="13" t="s">
        <v>524</v>
      </c>
      <c r="L58" s="13" t="s">
        <v>524</v>
      </c>
      <c r="M58" s="194"/>
    </row>
    <row r="59" spans="1:14" s="1" customFormat="1" ht="20.85" customHeight="1">
      <c r="B59" s="6" t="s">
        <v>549</v>
      </c>
      <c r="C59" s="6" t="s">
        <v>297</v>
      </c>
      <c r="D59" s="8">
        <v>5</v>
      </c>
      <c r="E59" s="11" t="s">
        <v>93</v>
      </c>
      <c r="F59" s="9" t="s">
        <v>526</v>
      </c>
      <c r="G59" s="10"/>
      <c r="H59" s="10"/>
      <c r="I59" s="11" t="s">
        <v>96</v>
      </c>
      <c r="J59" s="66" t="s">
        <v>550</v>
      </c>
      <c r="K59" s="13" t="s">
        <v>297</v>
      </c>
      <c r="L59" s="13" t="s">
        <v>297</v>
      </c>
      <c r="M59" s="194"/>
    </row>
    <row r="60" spans="1:14" s="1" customFormat="1" ht="20.85" customHeight="1">
      <c r="B60" s="6" t="s">
        <v>549</v>
      </c>
      <c r="C60" s="6" t="s">
        <v>527</v>
      </c>
      <c r="D60" s="8">
        <v>6</v>
      </c>
      <c r="E60" s="11" t="s">
        <v>93</v>
      </c>
      <c r="F60" s="9" t="s">
        <v>528</v>
      </c>
      <c r="G60" s="10"/>
      <c r="H60" s="10"/>
      <c r="I60" s="11" t="s">
        <v>517</v>
      </c>
      <c r="J60" s="66" t="s">
        <v>529</v>
      </c>
      <c r="K60" s="13" t="s">
        <v>530</v>
      </c>
      <c r="L60" s="13" t="s">
        <v>531</v>
      </c>
      <c r="M60" s="195"/>
    </row>
    <row r="61" spans="1:14" s="1" customFormat="1" ht="20.85" customHeight="1">
      <c r="B61" s="6" t="s">
        <v>549</v>
      </c>
      <c r="C61" s="6" t="s">
        <v>532</v>
      </c>
      <c r="D61" s="8">
        <v>7</v>
      </c>
      <c r="E61" s="11" t="s">
        <v>93</v>
      </c>
      <c r="F61" s="9" t="s">
        <v>533</v>
      </c>
      <c r="G61" s="10"/>
      <c r="H61" s="10"/>
      <c r="I61" s="11" t="s">
        <v>98</v>
      </c>
      <c r="J61" s="12" t="s">
        <v>98</v>
      </c>
      <c r="K61" s="12" t="s">
        <v>98</v>
      </c>
      <c r="L61" s="13" t="s">
        <v>554</v>
      </c>
      <c r="M61" s="19" t="s">
        <v>98</v>
      </c>
    </row>
    <row r="62" spans="1:14" s="1" customFormat="1" ht="14.85" customHeight="1">
      <c r="B62" s="43"/>
      <c r="C62" s="67"/>
      <c r="D62" s="45"/>
      <c r="E62" s="46"/>
      <c r="F62" s="46"/>
      <c r="G62" s="68"/>
      <c r="H62" s="68"/>
      <c r="I62" s="69"/>
      <c r="J62" s="47"/>
      <c r="K62" s="70"/>
      <c r="L62" s="70"/>
      <c r="M62" s="47"/>
    </row>
    <row r="63" spans="1:14" s="24" customFormat="1" ht="1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</row>
    <row r="64" spans="1:14" s="24" customFormat="1" ht="15" customHeight="1">
      <c r="A64" s="168"/>
      <c r="B64" s="65" t="s">
        <v>417</v>
      </c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</row>
    <row r="65" spans="1:14" s="24" customFormat="1" ht="15" customHeight="1">
      <c r="A65" s="168"/>
      <c r="B65" s="36" t="s">
        <v>53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68"/>
    </row>
    <row r="66" spans="1:14" s="24" customFormat="1" ht="15" customHeight="1">
      <c r="A66" s="168"/>
      <c r="B66" s="38" t="s">
        <v>555</v>
      </c>
      <c r="C66" s="174"/>
      <c r="D66" s="174"/>
      <c r="E66" s="174"/>
      <c r="F66" s="174"/>
      <c r="G66" s="90"/>
      <c r="H66" s="174"/>
      <c r="I66" s="174"/>
      <c r="J66" s="174"/>
      <c r="K66" s="174"/>
      <c r="L66" s="174"/>
      <c r="M66" s="174"/>
      <c r="N66" s="168"/>
    </row>
    <row r="67" spans="1:14" s="24" customFormat="1" ht="15" customHeight="1">
      <c r="A67" s="168"/>
      <c r="B67" s="38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68"/>
    </row>
    <row r="68" spans="1:14" s="24" customFormat="1" ht="15" customHeight="1">
      <c r="A68" s="168"/>
      <c r="B68" s="36" t="s">
        <v>66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68"/>
    </row>
    <row r="69" spans="1:14" s="24" customFormat="1" ht="15" customHeight="1">
      <c r="A69" s="168"/>
      <c r="B69" s="38" t="s">
        <v>556</v>
      </c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68"/>
    </row>
    <row r="70" spans="1:14" s="24" customFormat="1" ht="15" customHeight="1">
      <c r="A70" s="168"/>
      <c r="B70" s="38" t="s">
        <v>557</v>
      </c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68"/>
    </row>
    <row r="71" spans="1:14" s="24" customFormat="1" ht="15" customHeight="1">
      <c r="A71" s="168"/>
      <c r="B71" s="38" t="s">
        <v>558</v>
      </c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68"/>
    </row>
    <row r="72" spans="1:14" s="24" customFormat="1" ht="15" customHeight="1">
      <c r="A72" s="168"/>
      <c r="B72" s="38" t="s">
        <v>559</v>
      </c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68"/>
    </row>
    <row r="73" spans="1:14" s="24" customFormat="1" ht="15" customHeight="1">
      <c r="A73" s="168"/>
      <c r="B73" s="38" t="s">
        <v>560</v>
      </c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68"/>
    </row>
    <row r="74" spans="1:14" s="24" customFormat="1" ht="1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</row>
    <row r="75" spans="1:14" s="1" customFormat="1">
      <c r="B75" s="5" t="s">
        <v>74</v>
      </c>
      <c r="C75" s="5" t="s">
        <v>75</v>
      </c>
      <c r="D75" s="5" t="s">
        <v>76</v>
      </c>
      <c r="E75" s="5" t="s">
        <v>77</v>
      </c>
      <c r="F75" s="5" t="s">
        <v>78</v>
      </c>
      <c r="G75" s="5" t="s">
        <v>79</v>
      </c>
      <c r="H75" s="5" t="s">
        <v>80</v>
      </c>
      <c r="I75" s="39" t="s">
        <v>81</v>
      </c>
      <c r="J75" s="40" t="s">
        <v>82</v>
      </c>
      <c r="K75" s="39" t="s">
        <v>83</v>
      </c>
      <c r="L75" s="39" t="s">
        <v>84</v>
      </c>
      <c r="M75" s="39" t="s">
        <v>85</v>
      </c>
    </row>
    <row r="76" spans="1:14" s="1" customFormat="1" ht="20.85" customHeight="1">
      <c r="B76" s="72" t="s">
        <v>561</v>
      </c>
      <c r="C76" s="6" t="s">
        <v>514</v>
      </c>
      <c r="D76" s="8">
        <v>1</v>
      </c>
      <c r="E76" s="11" t="s">
        <v>515</v>
      </c>
      <c r="F76" s="9" t="s">
        <v>516</v>
      </c>
      <c r="G76" s="10" t="s">
        <v>377</v>
      </c>
      <c r="H76" s="10"/>
      <c r="I76" s="19" t="s">
        <v>173</v>
      </c>
      <c r="J76" s="76" t="s">
        <v>562</v>
      </c>
      <c r="K76" s="77" t="s">
        <v>514</v>
      </c>
      <c r="L76" s="75" t="s">
        <v>514</v>
      </c>
      <c r="M76" s="199" t="s">
        <v>563</v>
      </c>
    </row>
    <row r="77" spans="1:14" s="1" customFormat="1" ht="20.85" customHeight="1">
      <c r="B77" s="72" t="s">
        <v>561</v>
      </c>
      <c r="C77" s="6" t="s">
        <v>520</v>
      </c>
      <c r="D77" s="8">
        <v>2</v>
      </c>
      <c r="E77" s="11" t="s">
        <v>515</v>
      </c>
      <c r="F77" s="9" t="s">
        <v>521</v>
      </c>
      <c r="G77" s="10" t="s">
        <v>377</v>
      </c>
      <c r="H77" s="10"/>
      <c r="I77" s="19" t="s">
        <v>173</v>
      </c>
      <c r="J77" s="76" t="s">
        <v>562</v>
      </c>
      <c r="K77" s="77" t="s">
        <v>520</v>
      </c>
      <c r="L77" s="77" t="s">
        <v>520</v>
      </c>
      <c r="M77" s="200"/>
    </row>
    <row r="78" spans="1:14" s="1" customFormat="1" ht="20.85" customHeight="1">
      <c r="B78" s="72" t="s">
        <v>561</v>
      </c>
      <c r="C78" s="6" t="s">
        <v>522</v>
      </c>
      <c r="D78" s="8">
        <v>3</v>
      </c>
      <c r="E78" s="11" t="s">
        <v>93</v>
      </c>
      <c r="F78" s="9" t="s">
        <v>523</v>
      </c>
      <c r="G78" s="10"/>
      <c r="H78" s="10"/>
      <c r="I78" s="19" t="s">
        <v>173</v>
      </c>
      <c r="J78" s="76" t="s">
        <v>562</v>
      </c>
      <c r="K78" s="77" t="s">
        <v>522</v>
      </c>
      <c r="L78" s="77" t="s">
        <v>522</v>
      </c>
      <c r="M78" s="200"/>
    </row>
    <row r="79" spans="1:14" s="1" customFormat="1" ht="20.85" customHeight="1">
      <c r="B79" s="72" t="s">
        <v>561</v>
      </c>
      <c r="C79" s="132" t="s">
        <v>524</v>
      </c>
      <c r="D79" s="8">
        <v>4</v>
      </c>
      <c r="E79" s="11" t="s">
        <v>93</v>
      </c>
      <c r="F79" s="9" t="s">
        <v>525</v>
      </c>
      <c r="G79" s="10"/>
      <c r="H79" s="10"/>
      <c r="I79" s="19" t="s">
        <v>173</v>
      </c>
      <c r="J79" s="76" t="s">
        <v>562</v>
      </c>
      <c r="K79" s="77" t="s">
        <v>524</v>
      </c>
      <c r="L79" s="77" t="s">
        <v>524</v>
      </c>
      <c r="M79" s="200"/>
    </row>
    <row r="80" spans="1:14" s="1" customFormat="1" ht="20.85" customHeight="1">
      <c r="B80" s="72" t="s">
        <v>561</v>
      </c>
      <c r="C80" s="6" t="s">
        <v>297</v>
      </c>
      <c r="D80" s="73">
        <v>5</v>
      </c>
      <c r="E80" s="11" t="s">
        <v>93</v>
      </c>
      <c r="F80" s="9" t="s">
        <v>526</v>
      </c>
      <c r="G80" s="74"/>
      <c r="H80" s="74"/>
      <c r="I80" s="19" t="s">
        <v>173</v>
      </c>
      <c r="J80" s="76" t="s">
        <v>562</v>
      </c>
      <c r="K80" s="77" t="s">
        <v>297</v>
      </c>
      <c r="L80" s="77" t="s">
        <v>524</v>
      </c>
      <c r="M80" s="200"/>
    </row>
    <row r="81" spans="1:16" s="1" customFormat="1" ht="20.85" customHeight="1">
      <c r="B81" s="72" t="s">
        <v>561</v>
      </c>
      <c r="C81" s="6" t="s">
        <v>564</v>
      </c>
      <c r="D81" s="8">
        <v>6</v>
      </c>
      <c r="E81" s="11" t="s">
        <v>93</v>
      </c>
      <c r="F81" s="9" t="s">
        <v>565</v>
      </c>
      <c r="G81" s="10"/>
      <c r="H81" s="10"/>
      <c r="I81" s="19" t="s">
        <v>566</v>
      </c>
      <c r="J81" s="76" t="s">
        <v>567</v>
      </c>
      <c r="K81" s="77" t="s">
        <v>564</v>
      </c>
      <c r="L81" s="77" t="s">
        <v>564</v>
      </c>
      <c r="M81" s="200"/>
    </row>
    <row r="82" spans="1:16" s="1" customFormat="1" ht="20.85" customHeight="1">
      <c r="B82" s="72" t="s">
        <v>561</v>
      </c>
      <c r="C82" s="6" t="s">
        <v>527</v>
      </c>
      <c r="D82" s="8">
        <v>7</v>
      </c>
      <c r="E82" s="11" t="s">
        <v>93</v>
      </c>
      <c r="F82" s="9" t="s">
        <v>528</v>
      </c>
      <c r="G82" s="10"/>
      <c r="H82" s="10"/>
      <c r="I82" s="19" t="s">
        <v>173</v>
      </c>
      <c r="J82" s="76" t="s">
        <v>562</v>
      </c>
      <c r="K82" s="13" t="s">
        <v>527</v>
      </c>
      <c r="L82" s="75" t="s">
        <v>527</v>
      </c>
      <c r="M82" s="200"/>
    </row>
    <row r="83" spans="1:16" s="1" customFormat="1" ht="20.85" customHeight="1">
      <c r="B83" s="72" t="s">
        <v>561</v>
      </c>
      <c r="C83" s="6" t="s">
        <v>568</v>
      </c>
      <c r="D83" s="8">
        <v>8</v>
      </c>
      <c r="E83" s="11" t="s">
        <v>93</v>
      </c>
      <c r="F83" s="9" t="s">
        <v>569</v>
      </c>
      <c r="G83" s="10"/>
      <c r="H83" s="10"/>
      <c r="I83" s="19" t="s">
        <v>173</v>
      </c>
      <c r="J83" s="76" t="s">
        <v>562</v>
      </c>
      <c r="K83" s="13" t="s">
        <v>532</v>
      </c>
      <c r="L83" s="75" t="s">
        <v>570</v>
      </c>
      <c r="M83" s="201"/>
    </row>
    <row r="84" spans="1:16" s="1" customFormat="1">
      <c r="B84" s="72" t="s">
        <v>561</v>
      </c>
      <c r="C84" s="32" t="s">
        <v>226</v>
      </c>
      <c r="D84" s="8">
        <v>9</v>
      </c>
      <c r="E84" s="9" t="s">
        <v>93</v>
      </c>
      <c r="F84" s="9" t="s">
        <v>571</v>
      </c>
      <c r="G84" s="10" t="s">
        <v>95</v>
      </c>
      <c r="H84" s="10" t="s">
        <v>95</v>
      </c>
      <c r="I84" s="19" t="s">
        <v>98</v>
      </c>
      <c r="J84" s="12" t="s">
        <v>98</v>
      </c>
      <c r="K84" s="12" t="s">
        <v>226</v>
      </c>
      <c r="L84" s="12" t="s">
        <v>226</v>
      </c>
      <c r="M84" s="66" t="s">
        <v>98</v>
      </c>
      <c r="O84" s="42"/>
      <c r="P84" s="11" t="s">
        <v>98</v>
      </c>
    </row>
    <row r="85" spans="1:16" s="1" customFormat="1" ht="20.85" customHeight="1">
      <c r="B85" s="72" t="s">
        <v>561</v>
      </c>
      <c r="C85" s="32" t="s">
        <v>366</v>
      </c>
      <c r="D85" s="8">
        <v>10</v>
      </c>
      <c r="E85" s="9" t="s">
        <v>93</v>
      </c>
      <c r="F85" s="9" t="s">
        <v>367</v>
      </c>
      <c r="G85" s="10" t="s">
        <v>95</v>
      </c>
      <c r="H85" s="10" t="s">
        <v>95</v>
      </c>
      <c r="I85" s="19" t="s">
        <v>368</v>
      </c>
      <c r="J85" s="19" t="s">
        <v>368</v>
      </c>
      <c r="K85" s="12" t="s">
        <v>366</v>
      </c>
      <c r="L85" s="12" t="s">
        <v>369</v>
      </c>
      <c r="M85" s="66" t="s">
        <v>98</v>
      </c>
      <c r="O85" s="42"/>
      <c r="P85" s="11" t="s">
        <v>98</v>
      </c>
    </row>
    <row r="86" spans="1:16" s="1" customFormat="1" ht="20.85" customHeight="1">
      <c r="B86" s="72" t="s">
        <v>561</v>
      </c>
      <c r="C86" s="32" t="s">
        <v>92</v>
      </c>
      <c r="D86" s="8">
        <v>11</v>
      </c>
      <c r="E86" s="9" t="s">
        <v>93</v>
      </c>
      <c r="F86" s="9" t="s">
        <v>94</v>
      </c>
      <c r="G86" s="10" t="s">
        <v>95</v>
      </c>
      <c r="H86" s="10" t="s">
        <v>95</v>
      </c>
      <c r="I86" s="19" t="s">
        <v>98</v>
      </c>
      <c r="J86" s="12" t="s">
        <v>98</v>
      </c>
      <c r="K86" s="12" t="s">
        <v>98</v>
      </c>
      <c r="L86" s="12" t="s">
        <v>98</v>
      </c>
      <c r="M86" s="66" t="s">
        <v>98</v>
      </c>
      <c r="O86" s="42"/>
      <c r="P86" s="11" t="s">
        <v>98</v>
      </c>
    </row>
    <row r="87" spans="1:16" s="1" customFormat="1" ht="16.5" customHeight="1">
      <c r="B87" s="79"/>
      <c r="C87" s="79"/>
      <c r="D87" s="79"/>
      <c r="E87" s="79"/>
      <c r="F87" s="79"/>
      <c r="G87" s="68"/>
      <c r="H87" s="80"/>
      <c r="I87" s="81"/>
      <c r="J87" s="47"/>
      <c r="K87" s="82"/>
      <c r="L87" s="82"/>
      <c r="M87" s="47"/>
    </row>
    <row r="88" spans="1:16" s="1" customFormat="1" ht="16.5" customHeight="1">
      <c r="B88" s="79"/>
      <c r="C88" s="79"/>
      <c r="D88" s="79"/>
      <c r="E88" s="79"/>
      <c r="F88" s="79"/>
      <c r="G88" s="68"/>
      <c r="H88" s="80"/>
      <c r="I88" s="81"/>
      <c r="J88" s="47"/>
      <c r="K88" s="82"/>
      <c r="L88" s="82"/>
      <c r="M88" s="47"/>
    </row>
    <row r="89" spans="1:16" s="1" customFormat="1" ht="16.5" customHeight="1">
      <c r="B89" s="79"/>
      <c r="C89" s="79"/>
      <c r="D89" s="79"/>
      <c r="E89" s="79"/>
      <c r="F89" s="79"/>
      <c r="G89" s="68"/>
      <c r="H89" s="80"/>
      <c r="I89" s="81"/>
      <c r="J89" s="47"/>
      <c r="K89" s="82"/>
      <c r="L89" s="82"/>
      <c r="M89" s="47"/>
    </row>
    <row r="90" spans="1:16" s="1" customFormat="1" ht="16.5" customHeight="1">
      <c r="B90" s="79"/>
      <c r="C90" s="79"/>
      <c r="D90" s="79"/>
      <c r="E90" s="79"/>
      <c r="F90" s="79"/>
      <c r="G90" s="68"/>
      <c r="H90" s="80"/>
      <c r="I90" s="81"/>
      <c r="J90" s="47"/>
      <c r="K90" s="82"/>
      <c r="L90" s="82"/>
      <c r="M90" s="47"/>
    </row>
    <row r="91" spans="1:16" s="1" customFormat="1" ht="16.5" customHeight="1">
      <c r="B91" s="79"/>
      <c r="C91" s="79"/>
      <c r="D91" s="79"/>
      <c r="E91" s="79"/>
      <c r="F91" s="79"/>
      <c r="G91" s="68"/>
      <c r="H91" s="80"/>
      <c r="I91" s="81"/>
      <c r="J91" s="47"/>
      <c r="K91" s="82"/>
      <c r="L91" s="82"/>
      <c r="M91" s="47"/>
    </row>
    <row r="92" spans="1:16" s="1" customFormat="1" ht="16.5" customHeight="1">
      <c r="B92" s="79"/>
      <c r="C92" s="79"/>
      <c r="D92" s="79"/>
      <c r="E92" s="79"/>
      <c r="F92" s="79"/>
      <c r="G92" s="68"/>
      <c r="H92" s="80"/>
      <c r="I92" s="81"/>
      <c r="J92" s="47"/>
      <c r="K92" s="82"/>
      <c r="L92" s="82"/>
      <c r="M92" s="47"/>
    </row>
    <row r="93" spans="1:16" s="1" customFormat="1">
      <c r="A93" s="14"/>
      <c r="C93"/>
    </row>
    <row r="94" spans="1:16" s="1" customFormat="1">
      <c r="A94" s="14"/>
      <c r="C94"/>
    </row>
    <row r="95" spans="1:16" s="1" customFormat="1" ht="15" customHeight="1">
      <c r="C95"/>
    </row>
    <row r="96" spans="1:16" s="1" customFormat="1">
      <c r="C96"/>
    </row>
    <row r="97" spans="3:16" s="1" customFormat="1">
      <c r="C97"/>
    </row>
    <row r="98" spans="3:16" s="1" customFormat="1">
      <c r="C98"/>
    </row>
    <row r="99" spans="3:16" s="1" customFormat="1" ht="15" customHeight="1">
      <c r="C99"/>
    </row>
    <row r="100" spans="3:16" s="1" customFormat="1" ht="15" customHeight="1">
      <c r="C100"/>
    </row>
    <row r="101" spans="3:16" s="1" customFormat="1" ht="15" customHeight="1">
      <c r="C101"/>
    </row>
    <row r="102" spans="3:16" s="1" customFormat="1" ht="15" customHeight="1">
      <c r="C102"/>
    </row>
    <row r="103" spans="3:16" s="1" customFormat="1" ht="15" customHeight="1">
      <c r="C103"/>
    </row>
    <row r="104" spans="3:16" s="1" customFormat="1" ht="15" customHeight="1">
      <c r="C104"/>
    </row>
    <row r="105" spans="3:16" s="1" customFormat="1" ht="23.25" hidden="1" customHeight="1">
      <c r="C105"/>
    </row>
    <row r="106" spans="3:16" s="1" customFormat="1" ht="15" customHeight="1">
      <c r="C106"/>
      <c r="O106"/>
    </row>
    <row r="107" spans="3:16" s="1" customFormat="1" ht="15" customHeight="1">
      <c r="C107"/>
      <c r="O107"/>
    </row>
    <row r="108" spans="3:16" s="1" customFormat="1" ht="15" customHeight="1">
      <c r="C108"/>
      <c r="O108"/>
    </row>
    <row r="109" spans="3:16" s="1" customFormat="1" ht="15" customHeight="1">
      <c r="C109"/>
      <c r="O109"/>
    </row>
    <row r="110" spans="3:16" s="1" customFormat="1" ht="15" customHeight="1">
      <c r="C110"/>
      <c r="O110"/>
    </row>
    <row r="111" spans="3:16" ht="15" customHeight="1"/>
    <row r="112" spans="3:16" s="1" customFormat="1" ht="15" customHeight="1">
      <c r="C112"/>
      <c r="O112"/>
      <c r="P112"/>
    </row>
    <row r="113" spans="3:16" s="1" customFormat="1" ht="15" customHeight="1">
      <c r="C113"/>
      <c r="O113"/>
      <c r="P113"/>
    </row>
    <row r="114" spans="3:16" s="1" customFormat="1" ht="15" customHeight="1">
      <c r="C114"/>
      <c r="O114"/>
      <c r="P114"/>
    </row>
    <row r="115" spans="3:16" s="1" customFormat="1" ht="15" customHeight="1">
      <c r="C115"/>
      <c r="O115"/>
      <c r="P115"/>
    </row>
    <row r="116" spans="3:16" s="1" customFormat="1" ht="15" customHeight="1">
      <c r="C116"/>
      <c r="O116"/>
      <c r="P116"/>
    </row>
    <row r="117" spans="3:16" s="1" customFormat="1" ht="15" customHeight="1">
      <c r="C117"/>
      <c r="O117"/>
      <c r="P117"/>
    </row>
    <row r="118" spans="3:16" s="1" customFormat="1" ht="15" customHeight="1">
      <c r="C118"/>
      <c r="O118"/>
      <c r="P118"/>
    </row>
    <row r="119" spans="3:16" s="1" customFormat="1" ht="15" customHeight="1">
      <c r="C119"/>
      <c r="O119"/>
      <c r="P119"/>
    </row>
    <row r="120" spans="3:16" s="1" customFormat="1" ht="15" customHeight="1">
      <c r="C120"/>
      <c r="O120"/>
      <c r="P120"/>
    </row>
    <row r="121" spans="3:16" ht="15" customHeight="1"/>
    <row r="122" spans="3:16" ht="15" customHeight="1"/>
    <row r="123" spans="3:16" ht="15" customHeight="1"/>
    <row r="124" spans="3:16" ht="15" customHeight="1"/>
    <row r="125" spans="3:16" ht="15" customHeight="1"/>
    <row r="126" spans="3:16" ht="15" customHeight="1"/>
    <row r="127" spans="3:16" ht="15" customHeight="1"/>
    <row r="128" spans="3:16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</sheetData>
  <mergeCells count="4">
    <mergeCell ref="M36:M41"/>
    <mergeCell ref="M55:M60"/>
    <mergeCell ref="M17:M23"/>
    <mergeCell ref="M76:M8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0"/>
    <pageSetUpPr autoPageBreaks="0"/>
  </sheetPr>
  <dimension ref="A2:R101"/>
  <sheetViews>
    <sheetView showGridLines="0" zoomScaleNormal="100" workbookViewId="0">
      <pane ySplit="6" topLeftCell="A69" activePane="bottomLeft" state="frozen"/>
      <selection activeCell="A6" sqref="A6"/>
      <selection pane="bottomLeft" activeCell="C85" sqref="C85"/>
    </sheetView>
  </sheetViews>
  <sheetFormatPr defaultColWidth="0" defaultRowHeight="15" custom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5" width="15" style="1" bestFit="1" customWidth="1"/>
    <col min="16" max="16" width="2.5703125" customWidth="1"/>
    <col min="17" max="18" width="0" hidden="1" customWidth="1"/>
    <col min="19" max="16384" width="8.5703125" hidden="1"/>
  </cols>
  <sheetData>
    <row r="2" spans="1:16" ht="34.5" customHeight="1">
      <c r="C2" s="2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1"/>
    </row>
    <row r="5" spans="1:16" s="24" customFormat="1" ht="15" customHeight="1">
      <c r="A5" s="168"/>
      <c r="B5" s="33" t="s">
        <v>572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70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0"/>
    </row>
    <row r="8" spans="1:16" s="24" customFormat="1" ht="15" customHeight="1">
      <c r="A8" s="168"/>
      <c r="B8" s="37" t="s">
        <v>573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0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0"/>
    </row>
    <row r="10" spans="1:16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0"/>
    </row>
    <row r="11" spans="1:16" s="24" customFormat="1" ht="15" customHeight="1">
      <c r="A11" s="168"/>
      <c r="B11" s="37" t="s">
        <v>574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0"/>
    </row>
    <row r="12" spans="1:16" s="24" customFormat="1" ht="5.0999999999999996" customHeight="1">
      <c r="A12" s="168"/>
      <c r="B12" s="37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0"/>
    </row>
    <row r="13" spans="1:16" s="24" customFormat="1" ht="15" customHeight="1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70"/>
    </row>
    <row r="14" spans="1:16" s="24" customFormat="1" ht="15" customHeight="1">
      <c r="A14" s="168"/>
      <c r="B14" s="65" t="s">
        <v>575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70"/>
      <c r="P14" s="170"/>
    </row>
    <row r="15" spans="1:16" s="1" customFormat="1" ht="16.5" customHeight="1">
      <c r="B15" s="79"/>
      <c r="C15" s="79"/>
      <c r="D15" s="79"/>
      <c r="E15" s="79"/>
      <c r="F15" s="79"/>
      <c r="G15" s="68"/>
      <c r="H15" s="80"/>
      <c r="I15" s="81"/>
      <c r="J15" s="47"/>
      <c r="K15" s="82"/>
      <c r="L15" s="82"/>
      <c r="M15" s="47"/>
      <c r="N15" s="71"/>
    </row>
    <row r="16" spans="1:16" s="1" customFormat="1" ht="15" customHeight="1"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5" t="s">
        <v>79</v>
      </c>
      <c r="H16" s="5" t="s">
        <v>80</v>
      </c>
      <c r="I16" s="39" t="s">
        <v>81</v>
      </c>
      <c r="J16" s="40" t="s">
        <v>82</v>
      </c>
      <c r="K16" s="39" t="s">
        <v>83</v>
      </c>
      <c r="L16" s="39" t="s">
        <v>84</v>
      </c>
      <c r="M16" s="39" t="s">
        <v>85</v>
      </c>
    </row>
    <row r="17" spans="1:13" s="1" customFormat="1" ht="20.85" customHeight="1">
      <c r="B17" s="6" t="s">
        <v>576</v>
      </c>
      <c r="C17" s="6" t="s">
        <v>514</v>
      </c>
      <c r="D17" s="8">
        <v>1</v>
      </c>
      <c r="E17" s="11" t="s">
        <v>515</v>
      </c>
      <c r="F17" s="9" t="s">
        <v>516</v>
      </c>
      <c r="G17" s="10" t="s">
        <v>95</v>
      </c>
      <c r="H17" s="10"/>
      <c r="I17" s="11" t="s">
        <v>517</v>
      </c>
      <c r="J17" s="66" t="s">
        <v>518</v>
      </c>
      <c r="K17" s="13" t="s">
        <v>514</v>
      </c>
      <c r="L17" s="13" t="s">
        <v>577</v>
      </c>
      <c r="M17" s="207" t="s">
        <v>578</v>
      </c>
    </row>
    <row r="18" spans="1:13" s="1" customFormat="1" ht="20.85" customHeight="1">
      <c r="B18" s="6" t="s">
        <v>576</v>
      </c>
      <c r="C18" s="6" t="s">
        <v>520</v>
      </c>
      <c r="D18" s="8">
        <v>2</v>
      </c>
      <c r="E18" s="11" t="s">
        <v>515</v>
      </c>
      <c r="F18" s="9" t="s">
        <v>521</v>
      </c>
      <c r="G18" s="10" t="s">
        <v>95</v>
      </c>
      <c r="H18" s="10"/>
      <c r="I18" s="11" t="s">
        <v>517</v>
      </c>
      <c r="J18" s="66" t="s">
        <v>518</v>
      </c>
      <c r="K18" s="13" t="s">
        <v>520</v>
      </c>
      <c r="L18" s="13" t="s">
        <v>579</v>
      </c>
      <c r="M18" s="208"/>
    </row>
    <row r="19" spans="1:13" s="1" customFormat="1" ht="20.85" customHeight="1">
      <c r="B19" s="6" t="s">
        <v>576</v>
      </c>
      <c r="C19" s="6" t="s">
        <v>522</v>
      </c>
      <c r="D19" s="8">
        <v>3</v>
      </c>
      <c r="E19" s="11" t="s">
        <v>93</v>
      </c>
      <c r="F19" s="9" t="s">
        <v>523</v>
      </c>
      <c r="G19" s="10" t="s">
        <v>95</v>
      </c>
      <c r="H19" s="10"/>
      <c r="I19" s="11" t="s">
        <v>517</v>
      </c>
      <c r="J19" s="66" t="s">
        <v>518</v>
      </c>
      <c r="K19" s="13" t="s">
        <v>522</v>
      </c>
      <c r="L19" s="13" t="s">
        <v>580</v>
      </c>
      <c r="M19" s="208"/>
    </row>
    <row r="20" spans="1:13" s="1" customFormat="1" ht="20.85" customHeight="1">
      <c r="B20" s="6" t="s">
        <v>576</v>
      </c>
      <c r="C20" s="29" t="s">
        <v>524</v>
      </c>
      <c r="D20" s="8">
        <v>4</v>
      </c>
      <c r="E20" s="11" t="s">
        <v>93</v>
      </c>
      <c r="F20" s="9" t="s">
        <v>525</v>
      </c>
      <c r="G20" s="10" t="s">
        <v>95</v>
      </c>
      <c r="H20" s="10"/>
      <c r="I20" s="11" t="s">
        <v>517</v>
      </c>
      <c r="J20" s="66" t="s">
        <v>518</v>
      </c>
      <c r="K20" s="13" t="s">
        <v>524</v>
      </c>
      <c r="L20" s="13" t="s">
        <v>581</v>
      </c>
      <c r="M20" s="208"/>
    </row>
    <row r="21" spans="1:13" s="1" customFormat="1" ht="20.85" customHeight="1">
      <c r="B21" s="6" t="s">
        <v>576</v>
      </c>
      <c r="C21" s="6" t="s">
        <v>297</v>
      </c>
      <c r="D21" s="8">
        <v>5</v>
      </c>
      <c r="E21" s="11" t="s">
        <v>93</v>
      </c>
      <c r="F21" s="9" t="s">
        <v>526</v>
      </c>
      <c r="G21" s="10" t="s">
        <v>95</v>
      </c>
      <c r="H21" s="10"/>
      <c r="I21" s="11" t="s">
        <v>517</v>
      </c>
      <c r="J21" s="66" t="s">
        <v>518</v>
      </c>
      <c r="K21" s="13" t="s">
        <v>297</v>
      </c>
      <c r="L21" s="13" t="s">
        <v>582</v>
      </c>
      <c r="M21" s="208"/>
    </row>
    <row r="22" spans="1:13" s="1" customFormat="1" ht="20.85" customHeight="1">
      <c r="B22" s="6" t="s">
        <v>576</v>
      </c>
      <c r="C22" s="7" t="s">
        <v>532</v>
      </c>
      <c r="D22" s="8">
        <v>6</v>
      </c>
      <c r="E22" s="11" t="s">
        <v>93</v>
      </c>
      <c r="F22" s="9" t="s">
        <v>583</v>
      </c>
      <c r="G22" s="10"/>
      <c r="H22" s="10"/>
      <c r="I22" s="19" t="s">
        <v>368</v>
      </c>
      <c r="J22" s="19" t="s">
        <v>368</v>
      </c>
      <c r="K22" s="12" t="s">
        <v>584</v>
      </c>
      <c r="L22" s="15" t="s">
        <v>585</v>
      </c>
      <c r="M22" s="209"/>
    </row>
    <row r="23" spans="1:13" s="1" customFormat="1" ht="14.85" customHeight="1">
      <c r="B23" s="43"/>
      <c r="C23" s="67"/>
      <c r="D23" s="45"/>
      <c r="E23" s="46"/>
      <c r="F23" s="46"/>
      <c r="G23" s="68"/>
      <c r="H23" s="68"/>
      <c r="I23" s="69"/>
      <c r="J23" s="47"/>
      <c r="K23" s="70"/>
      <c r="L23" s="70"/>
      <c r="M23" s="47"/>
    </row>
    <row r="24" spans="1:13" s="1" customFormat="1" ht="15" customHeight="1">
      <c r="B24" s="5" t="s">
        <v>74</v>
      </c>
      <c r="C24" s="5" t="s">
        <v>75</v>
      </c>
      <c r="D24" s="5" t="s">
        <v>76</v>
      </c>
      <c r="E24" s="5" t="s">
        <v>77</v>
      </c>
      <c r="F24" s="5" t="s">
        <v>78</v>
      </c>
      <c r="G24" s="5" t="s">
        <v>79</v>
      </c>
      <c r="H24" s="5" t="s">
        <v>80</v>
      </c>
      <c r="I24" s="39" t="s">
        <v>81</v>
      </c>
      <c r="J24" s="40" t="s">
        <v>82</v>
      </c>
      <c r="K24" s="39" t="s">
        <v>83</v>
      </c>
      <c r="L24" s="39" t="s">
        <v>84</v>
      </c>
      <c r="M24" s="39" t="s">
        <v>85</v>
      </c>
    </row>
    <row r="25" spans="1:13" s="1" customFormat="1" ht="30" customHeight="1">
      <c r="B25" s="6" t="s">
        <v>586</v>
      </c>
      <c r="C25" s="6" t="s">
        <v>514</v>
      </c>
      <c r="D25" s="8">
        <v>1</v>
      </c>
      <c r="E25" s="11" t="s">
        <v>515</v>
      </c>
      <c r="F25" s="9" t="s">
        <v>516</v>
      </c>
      <c r="G25" s="10" t="s">
        <v>95</v>
      </c>
      <c r="H25" s="10"/>
      <c r="I25" s="11" t="s">
        <v>517</v>
      </c>
      <c r="J25" s="66" t="s">
        <v>550</v>
      </c>
      <c r="K25" s="13" t="s">
        <v>514</v>
      </c>
      <c r="L25" s="13" t="s">
        <v>587</v>
      </c>
      <c r="M25" s="207" t="s">
        <v>588</v>
      </c>
    </row>
    <row r="26" spans="1:13" s="1" customFormat="1" ht="30" customHeight="1">
      <c r="B26" s="6" t="s">
        <v>586</v>
      </c>
      <c r="C26" s="6" t="s">
        <v>520</v>
      </c>
      <c r="D26" s="8">
        <v>2</v>
      </c>
      <c r="E26" s="11" t="s">
        <v>515</v>
      </c>
      <c r="F26" s="9" t="s">
        <v>521</v>
      </c>
      <c r="G26" s="10" t="s">
        <v>95</v>
      </c>
      <c r="H26" s="10"/>
      <c r="I26" s="11" t="s">
        <v>517</v>
      </c>
      <c r="J26" s="66" t="s">
        <v>550</v>
      </c>
      <c r="K26" s="13" t="s">
        <v>520</v>
      </c>
      <c r="L26" s="13" t="s">
        <v>589</v>
      </c>
      <c r="M26" s="208"/>
    </row>
    <row r="27" spans="1:13" s="1" customFormat="1" ht="30" customHeight="1">
      <c r="B27" s="6" t="s">
        <v>586</v>
      </c>
      <c r="C27" s="6" t="s">
        <v>522</v>
      </c>
      <c r="D27" s="8">
        <v>3</v>
      </c>
      <c r="E27" s="11" t="s">
        <v>93</v>
      </c>
      <c r="F27" s="9" t="s">
        <v>523</v>
      </c>
      <c r="G27" s="10" t="s">
        <v>95</v>
      </c>
      <c r="H27" s="10"/>
      <c r="I27" s="11" t="s">
        <v>517</v>
      </c>
      <c r="J27" s="66" t="s">
        <v>550</v>
      </c>
      <c r="K27" s="13" t="s">
        <v>522</v>
      </c>
      <c r="L27" s="13" t="s">
        <v>590</v>
      </c>
      <c r="M27" s="208"/>
    </row>
    <row r="28" spans="1:13" s="1" customFormat="1" ht="30" customHeight="1">
      <c r="B28" s="6" t="s">
        <v>586</v>
      </c>
      <c r="C28" s="29" t="s">
        <v>524</v>
      </c>
      <c r="D28" s="8">
        <v>4</v>
      </c>
      <c r="E28" s="11" t="s">
        <v>93</v>
      </c>
      <c r="F28" s="9" t="s">
        <v>525</v>
      </c>
      <c r="G28" s="10" t="s">
        <v>95</v>
      </c>
      <c r="H28" s="10"/>
      <c r="I28" s="11" t="s">
        <v>517</v>
      </c>
      <c r="J28" s="66" t="s">
        <v>550</v>
      </c>
      <c r="K28" s="13" t="s">
        <v>524</v>
      </c>
      <c r="L28" s="13" t="s">
        <v>591</v>
      </c>
      <c r="M28" s="208"/>
    </row>
    <row r="29" spans="1:13" s="1" customFormat="1" ht="30" customHeight="1">
      <c r="B29" s="6" t="s">
        <v>586</v>
      </c>
      <c r="C29" s="6" t="s">
        <v>297</v>
      </c>
      <c r="D29" s="8">
        <v>5</v>
      </c>
      <c r="E29" s="11" t="s">
        <v>93</v>
      </c>
      <c r="F29" s="9" t="s">
        <v>526</v>
      </c>
      <c r="G29" s="10" t="s">
        <v>95</v>
      </c>
      <c r="H29" s="10"/>
      <c r="I29" s="11" t="s">
        <v>517</v>
      </c>
      <c r="J29" s="66" t="s">
        <v>550</v>
      </c>
      <c r="K29" s="13" t="s">
        <v>297</v>
      </c>
      <c r="L29" s="13" t="s">
        <v>592</v>
      </c>
      <c r="M29" s="208"/>
    </row>
    <row r="30" spans="1:13" s="1" customFormat="1" ht="20.85" customHeight="1">
      <c r="B30" s="6" t="s">
        <v>586</v>
      </c>
      <c r="C30" s="7" t="s">
        <v>532</v>
      </c>
      <c r="D30" s="8">
        <v>6</v>
      </c>
      <c r="E30" s="11" t="s">
        <v>93</v>
      </c>
      <c r="F30" s="9" t="s">
        <v>533</v>
      </c>
      <c r="G30" s="10"/>
      <c r="H30" s="10"/>
      <c r="I30" s="19" t="s">
        <v>368</v>
      </c>
      <c r="J30" s="19" t="s">
        <v>368</v>
      </c>
      <c r="K30" s="12" t="s">
        <v>584</v>
      </c>
      <c r="L30" s="15" t="s">
        <v>593</v>
      </c>
      <c r="M30" s="209"/>
    </row>
    <row r="31" spans="1:13" s="1" customFormat="1">
      <c r="A31" s="14"/>
      <c r="C31"/>
    </row>
    <row r="32" spans="1:13" s="1" customFormat="1" ht="15" customHeight="1"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79</v>
      </c>
      <c r="H32" s="5" t="s">
        <v>80</v>
      </c>
      <c r="I32" s="39" t="s">
        <v>81</v>
      </c>
      <c r="J32" s="40" t="s">
        <v>82</v>
      </c>
      <c r="K32" s="39" t="s">
        <v>83</v>
      </c>
      <c r="L32" s="39" t="s">
        <v>84</v>
      </c>
      <c r="M32" s="39" t="s">
        <v>85</v>
      </c>
    </row>
    <row r="33" spans="1:14" s="1" customFormat="1" ht="20.85" customHeight="1">
      <c r="B33" s="6" t="s">
        <v>594</v>
      </c>
      <c r="C33" s="6" t="s">
        <v>514</v>
      </c>
      <c r="D33" s="8">
        <v>1</v>
      </c>
      <c r="E33" s="11" t="s">
        <v>515</v>
      </c>
      <c r="F33" s="9" t="s">
        <v>516</v>
      </c>
      <c r="G33" s="10" t="s">
        <v>95</v>
      </c>
      <c r="H33" s="10"/>
      <c r="I33" s="11" t="s">
        <v>173</v>
      </c>
      <c r="J33" s="66" t="s">
        <v>595</v>
      </c>
      <c r="K33" s="13" t="s">
        <v>514</v>
      </c>
      <c r="L33" s="13" t="s">
        <v>514</v>
      </c>
      <c r="M33" s="204" t="s">
        <v>596</v>
      </c>
    </row>
    <row r="34" spans="1:14" s="1" customFormat="1" ht="20.85" customHeight="1">
      <c r="B34" s="6" t="s">
        <v>594</v>
      </c>
      <c r="C34" s="6" t="s">
        <v>520</v>
      </c>
      <c r="D34" s="8">
        <v>2</v>
      </c>
      <c r="E34" s="11" t="s">
        <v>515</v>
      </c>
      <c r="F34" s="9" t="s">
        <v>521</v>
      </c>
      <c r="G34" s="10" t="s">
        <v>95</v>
      </c>
      <c r="H34" s="10"/>
      <c r="I34" s="11" t="s">
        <v>173</v>
      </c>
      <c r="J34" s="66" t="s">
        <v>595</v>
      </c>
      <c r="K34" s="13" t="s">
        <v>520</v>
      </c>
      <c r="L34" s="13" t="s">
        <v>520</v>
      </c>
      <c r="M34" s="205"/>
    </row>
    <row r="35" spans="1:14" s="1" customFormat="1" ht="20.85" customHeight="1">
      <c r="B35" s="6" t="s">
        <v>594</v>
      </c>
      <c r="C35" s="6" t="s">
        <v>522</v>
      </c>
      <c r="D35" s="8">
        <v>3</v>
      </c>
      <c r="E35" s="11" t="s">
        <v>93</v>
      </c>
      <c r="F35" s="9" t="s">
        <v>523</v>
      </c>
      <c r="G35" s="10" t="s">
        <v>95</v>
      </c>
      <c r="H35" s="10"/>
      <c r="I35" s="11" t="s">
        <v>173</v>
      </c>
      <c r="J35" s="66" t="s">
        <v>595</v>
      </c>
      <c r="K35" s="13" t="s">
        <v>522</v>
      </c>
      <c r="L35" s="13" t="s">
        <v>522</v>
      </c>
      <c r="M35" s="205"/>
    </row>
    <row r="36" spans="1:14" s="1" customFormat="1" ht="20.85" customHeight="1">
      <c r="B36" s="6" t="s">
        <v>594</v>
      </c>
      <c r="C36" s="29" t="s">
        <v>524</v>
      </c>
      <c r="D36" s="8">
        <v>4</v>
      </c>
      <c r="E36" s="11" t="s">
        <v>93</v>
      </c>
      <c r="F36" s="9" t="s">
        <v>525</v>
      </c>
      <c r="G36" s="10" t="s">
        <v>95</v>
      </c>
      <c r="H36" s="10"/>
      <c r="I36" s="11" t="s">
        <v>173</v>
      </c>
      <c r="J36" s="66" t="s">
        <v>595</v>
      </c>
      <c r="K36" s="13" t="s">
        <v>524</v>
      </c>
      <c r="L36" s="13" t="s">
        <v>524</v>
      </c>
      <c r="M36" s="205"/>
    </row>
    <row r="37" spans="1:14" s="1" customFormat="1" ht="20.85" customHeight="1">
      <c r="B37" s="6" t="s">
        <v>594</v>
      </c>
      <c r="C37" s="6" t="s">
        <v>297</v>
      </c>
      <c r="D37" s="8">
        <v>5</v>
      </c>
      <c r="E37" s="11" t="s">
        <v>93</v>
      </c>
      <c r="F37" s="9" t="s">
        <v>526</v>
      </c>
      <c r="G37" s="10" t="s">
        <v>95</v>
      </c>
      <c r="H37" s="10"/>
      <c r="I37" s="11" t="s">
        <v>173</v>
      </c>
      <c r="J37" s="66" t="s">
        <v>595</v>
      </c>
      <c r="K37" s="13" t="s">
        <v>297</v>
      </c>
      <c r="L37" s="13" t="s">
        <v>297</v>
      </c>
      <c r="M37" s="205"/>
    </row>
    <row r="38" spans="1:14" s="1" customFormat="1" ht="20.85" customHeight="1">
      <c r="B38" s="6" t="s">
        <v>594</v>
      </c>
      <c r="C38" s="7" t="s">
        <v>532</v>
      </c>
      <c r="D38" s="8">
        <v>6</v>
      </c>
      <c r="E38" s="11" t="s">
        <v>93</v>
      </c>
      <c r="F38" s="9" t="s">
        <v>533</v>
      </c>
      <c r="G38" s="10"/>
      <c r="H38" s="10"/>
      <c r="I38" s="11" t="s">
        <v>173</v>
      </c>
      <c r="J38" s="66" t="s">
        <v>595</v>
      </c>
      <c r="K38" s="7" t="s">
        <v>532</v>
      </c>
      <c r="L38" s="7" t="s">
        <v>532</v>
      </c>
      <c r="M38" s="206"/>
    </row>
    <row r="39" spans="1:14" s="1" customFormat="1">
      <c r="A39" s="14"/>
      <c r="C39"/>
    </row>
    <row r="40" spans="1:14" s="24" customFormat="1" ht="15" customHeight="1">
      <c r="A40" s="168"/>
      <c r="B40" s="65" t="s">
        <v>597</v>
      </c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</row>
    <row r="41" spans="1:14" s="1" customFormat="1" ht="16.5" customHeight="1">
      <c r="B41" s="79"/>
      <c r="C41" s="79"/>
      <c r="D41" s="79"/>
      <c r="E41" s="79"/>
      <c r="F41" s="79"/>
      <c r="G41" s="68"/>
      <c r="H41" s="80"/>
      <c r="I41" s="81"/>
      <c r="J41" s="47"/>
      <c r="K41" s="82"/>
      <c r="L41" s="82"/>
      <c r="M41" s="47"/>
      <c r="N41" s="71"/>
    </row>
    <row r="42" spans="1:14" s="1" customFormat="1" ht="15" customHeight="1">
      <c r="B42" s="5" t="s">
        <v>74</v>
      </c>
      <c r="C42" s="5" t="s">
        <v>75</v>
      </c>
      <c r="D42" s="5" t="s">
        <v>76</v>
      </c>
      <c r="E42" s="5" t="s">
        <v>77</v>
      </c>
      <c r="F42" s="5" t="s">
        <v>78</v>
      </c>
      <c r="G42" s="5" t="s">
        <v>79</v>
      </c>
      <c r="H42" s="5" t="s">
        <v>80</v>
      </c>
      <c r="I42" s="39" t="s">
        <v>81</v>
      </c>
      <c r="J42" s="40" t="s">
        <v>82</v>
      </c>
      <c r="K42" s="39" t="s">
        <v>83</v>
      </c>
      <c r="L42" s="39" t="s">
        <v>84</v>
      </c>
      <c r="M42" s="39" t="s">
        <v>85</v>
      </c>
    </row>
    <row r="43" spans="1:14" s="1" customFormat="1" ht="20.85" customHeight="1">
      <c r="B43" s="6" t="s">
        <v>598</v>
      </c>
      <c r="C43" s="6" t="s">
        <v>514</v>
      </c>
      <c r="D43" s="8">
        <v>1</v>
      </c>
      <c r="E43" s="11" t="s">
        <v>515</v>
      </c>
      <c r="F43" s="9" t="s">
        <v>516</v>
      </c>
      <c r="G43" s="10" t="s">
        <v>95</v>
      </c>
      <c r="H43" s="10"/>
      <c r="I43" s="11" t="s">
        <v>173</v>
      </c>
      <c r="J43" s="66" t="s">
        <v>594</v>
      </c>
      <c r="K43" s="13" t="s">
        <v>514</v>
      </c>
      <c r="L43" s="13" t="s">
        <v>514</v>
      </c>
      <c r="M43" s="203" t="s">
        <v>599</v>
      </c>
    </row>
    <row r="44" spans="1:14" s="1" customFormat="1" ht="20.85" customHeight="1">
      <c r="B44" s="6" t="s">
        <v>598</v>
      </c>
      <c r="C44" s="6" t="s">
        <v>520</v>
      </c>
      <c r="D44" s="8">
        <v>2</v>
      </c>
      <c r="E44" s="11" t="s">
        <v>515</v>
      </c>
      <c r="F44" s="9" t="s">
        <v>521</v>
      </c>
      <c r="G44" s="10" t="s">
        <v>95</v>
      </c>
      <c r="H44" s="10"/>
      <c r="I44" s="11" t="s">
        <v>173</v>
      </c>
      <c r="J44" s="66" t="s">
        <v>594</v>
      </c>
      <c r="K44" s="13" t="s">
        <v>520</v>
      </c>
      <c r="L44" s="13" t="s">
        <v>520</v>
      </c>
      <c r="M44" s="203"/>
    </row>
    <row r="45" spans="1:14" s="1" customFormat="1" ht="20.85" customHeight="1">
      <c r="B45" s="6" t="s">
        <v>598</v>
      </c>
      <c r="C45" s="6" t="s">
        <v>522</v>
      </c>
      <c r="D45" s="8">
        <v>3</v>
      </c>
      <c r="E45" s="11" t="s">
        <v>93</v>
      </c>
      <c r="F45" s="9" t="s">
        <v>523</v>
      </c>
      <c r="G45" s="10" t="s">
        <v>95</v>
      </c>
      <c r="H45" s="10"/>
      <c r="I45" s="11" t="s">
        <v>173</v>
      </c>
      <c r="J45" s="66" t="s">
        <v>594</v>
      </c>
      <c r="K45" s="13" t="s">
        <v>522</v>
      </c>
      <c r="L45" s="13" t="s">
        <v>522</v>
      </c>
      <c r="M45" s="203"/>
    </row>
    <row r="46" spans="1:14" s="1" customFormat="1" ht="20.85" customHeight="1">
      <c r="B46" s="6" t="s">
        <v>598</v>
      </c>
      <c r="C46" s="29" t="s">
        <v>524</v>
      </c>
      <c r="D46" s="8">
        <v>4</v>
      </c>
      <c r="E46" s="11" t="s">
        <v>93</v>
      </c>
      <c r="F46" s="9" t="s">
        <v>525</v>
      </c>
      <c r="G46" s="10" t="s">
        <v>95</v>
      </c>
      <c r="H46" s="10"/>
      <c r="I46" s="11" t="s">
        <v>173</v>
      </c>
      <c r="J46" s="66" t="s">
        <v>594</v>
      </c>
      <c r="K46" s="13" t="s">
        <v>524</v>
      </c>
      <c r="L46" s="13" t="s">
        <v>524</v>
      </c>
      <c r="M46" s="203"/>
    </row>
    <row r="47" spans="1:14" s="1" customFormat="1" ht="20.85" customHeight="1">
      <c r="B47" s="6" t="s">
        <v>598</v>
      </c>
      <c r="C47" s="6" t="s">
        <v>297</v>
      </c>
      <c r="D47" s="8">
        <v>5</v>
      </c>
      <c r="E47" s="11" t="s">
        <v>93</v>
      </c>
      <c r="F47" s="9" t="s">
        <v>526</v>
      </c>
      <c r="G47" s="10" t="s">
        <v>95</v>
      </c>
      <c r="H47" s="10"/>
      <c r="I47" s="11" t="s">
        <v>173</v>
      </c>
      <c r="J47" s="66" t="s">
        <v>594</v>
      </c>
      <c r="K47" s="13" t="s">
        <v>297</v>
      </c>
      <c r="L47" s="13" t="s">
        <v>297</v>
      </c>
      <c r="M47" s="203"/>
    </row>
    <row r="48" spans="1:14" s="1" customFormat="1" ht="20.85" customHeight="1">
      <c r="B48" s="6" t="s">
        <v>598</v>
      </c>
      <c r="C48" s="7" t="s">
        <v>532</v>
      </c>
      <c r="D48" s="8">
        <v>6</v>
      </c>
      <c r="E48" s="11" t="s">
        <v>93</v>
      </c>
      <c r="F48" s="9" t="s">
        <v>533</v>
      </c>
      <c r="G48" s="10"/>
      <c r="H48" s="10"/>
      <c r="I48" s="11" t="s">
        <v>173</v>
      </c>
      <c r="J48" s="66" t="s">
        <v>594</v>
      </c>
      <c r="K48" s="7" t="s">
        <v>532</v>
      </c>
      <c r="L48" s="7" t="s">
        <v>532</v>
      </c>
      <c r="M48" s="203"/>
    </row>
    <row r="49" spans="1:14" s="1" customFormat="1" ht="101.25">
      <c r="B49" s="6" t="s">
        <v>598</v>
      </c>
      <c r="C49" s="7" t="s">
        <v>600</v>
      </c>
      <c r="D49" s="8">
        <v>7</v>
      </c>
      <c r="E49" s="11" t="s">
        <v>93</v>
      </c>
      <c r="F49" s="9" t="s">
        <v>601</v>
      </c>
      <c r="G49" s="10"/>
      <c r="H49" s="10"/>
      <c r="I49" s="11"/>
      <c r="J49" s="66"/>
      <c r="K49" s="7" t="s">
        <v>602</v>
      </c>
      <c r="L49" s="7" t="s">
        <v>603</v>
      </c>
      <c r="M49" s="203"/>
    </row>
    <row r="50" spans="1:14" s="1" customFormat="1" ht="20.85" customHeight="1">
      <c r="B50" s="6" t="s">
        <v>598</v>
      </c>
      <c r="C50" s="7" t="s">
        <v>604</v>
      </c>
      <c r="D50" s="8">
        <v>8</v>
      </c>
      <c r="E50" s="11" t="s">
        <v>93</v>
      </c>
      <c r="F50" s="9" t="s">
        <v>605</v>
      </c>
      <c r="G50" s="10"/>
      <c r="H50" s="10"/>
      <c r="I50" s="19" t="s">
        <v>368</v>
      </c>
      <c r="J50" s="19" t="s">
        <v>368</v>
      </c>
      <c r="K50" s="7" t="s">
        <v>584</v>
      </c>
      <c r="L50" s="15" t="s">
        <v>606</v>
      </c>
      <c r="M50" s="203"/>
    </row>
    <row r="51" spans="1:14" s="1" customFormat="1">
      <c r="A51" s="14"/>
      <c r="C51"/>
    </row>
    <row r="52" spans="1:14" s="24" customFormat="1" ht="15" customHeight="1">
      <c r="A52" s="168"/>
      <c r="B52" s="65" t="s">
        <v>607</v>
      </c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</row>
    <row r="53" spans="1:14" s="1" customFormat="1" ht="16.5" customHeight="1">
      <c r="B53" s="79"/>
      <c r="C53" s="79"/>
      <c r="D53" s="79"/>
      <c r="E53" s="79"/>
      <c r="F53" s="79"/>
      <c r="G53" s="68"/>
      <c r="H53" s="80"/>
      <c r="I53" s="81"/>
      <c r="J53" s="47"/>
      <c r="K53" s="82"/>
      <c r="L53" s="82"/>
      <c r="M53" s="47"/>
      <c r="N53" s="71"/>
    </row>
    <row r="54" spans="1:14" s="1" customFormat="1" ht="15" customHeight="1">
      <c r="B54" s="5" t="s">
        <v>74</v>
      </c>
      <c r="C54" s="5" t="s">
        <v>75</v>
      </c>
      <c r="D54" s="5" t="s">
        <v>76</v>
      </c>
      <c r="E54" s="5" t="s">
        <v>77</v>
      </c>
      <c r="F54" s="5" t="s">
        <v>78</v>
      </c>
      <c r="G54" s="5" t="s">
        <v>79</v>
      </c>
      <c r="H54" s="5" t="s">
        <v>80</v>
      </c>
      <c r="I54" s="39" t="s">
        <v>81</v>
      </c>
      <c r="J54" s="40" t="s">
        <v>82</v>
      </c>
      <c r="K54" s="39" t="s">
        <v>83</v>
      </c>
      <c r="L54" s="39" t="s">
        <v>84</v>
      </c>
      <c r="M54" s="39" t="s">
        <v>85</v>
      </c>
    </row>
    <row r="55" spans="1:14" s="1" customFormat="1" ht="20.85" customHeight="1">
      <c r="B55" s="6" t="s">
        <v>608</v>
      </c>
      <c r="C55" s="6" t="s">
        <v>514</v>
      </c>
      <c r="D55" s="8">
        <v>1</v>
      </c>
      <c r="E55" s="11" t="s">
        <v>515</v>
      </c>
      <c r="F55" s="9" t="s">
        <v>516</v>
      </c>
      <c r="G55" s="10" t="s">
        <v>95</v>
      </c>
      <c r="H55" s="10"/>
      <c r="I55" s="11" t="s">
        <v>173</v>
      </c>
      <c r="J55" s="66" t="s">
        <v>598</v>
      </c>
      <c r="K55" s="13" t="s">
        <v>514</v>
      </c>
      <c r="L55" s="13" t="s">
        <v>514</v>
      </c>
      <c r="M55" s="202" t="s">
        <v>609</v>
      </c>
    </row>
    <row r="56" spans="1:14" s="1" customFormat="1" ht="20.85" customHeight="1">
      <c r="B56" s="6" t="s">
        <v>608</v>
      </c>
      <c r="C56" s="6" t="s">
        <v>520</v>
      </c>
      <c r="D56" s="8">
        <v>2</v>
      </c>
      <c r="E56" s="11" t="s">
        <v>515</v>
      </c>
      <c r="F56" s="9" t="s">
        <v>521</v>
      </c>
      <c r="G56" s="10" t="s">
        <v>95</v>
      </c>
      <c r="H56" s="10"/>
      <c r="I56" s="11" t="s">
        <v>173</v>
      </c>
      <c r="J56" s="66" t="s">
        <v>598</v>
      </c>
      <c r="K56" s="13" t="s">
        <v>520</v>
      </c>
      <c r="L56" s="13" t="s">
        <v>520</v>
      </c>
      <c r="M56" s="203"/>
    </row>
    <row r="57" spans="1:14" s="1" customFormat="1" ht="20.85" customHeight="1">
      <c r="B57" s="6" t="s">
        <v>608</v>
      </c>
      <c r="C57" s="6" t="s">
        <v>522</v>
      </c>
      <c r="D57" s="8">
        <v>3</v>
      </c>
      <c r="E57" s="11" t="s">
        <v>93</v>
      </c>
      <c r="F57" s="9" t="s">
        <v>523</v>
      </c>
      <c r="G57" s="10" t="s">
        <v>95</v>
      </c>
      <c r="H57" s="10"/>
      <c r="I57" s="11" t="s">
        <v>173</v>
      </c>
      <c r="J57" s="66" t="s">
        <v>598</v>
      </c>
      <c r="K57" s="13" t="s">
        <v>522</v>
      </c>
      <c r="L57" s="13" t="s">
        <v>522</v>
      </c>
      <c r="M57" s="203"/>
    </row>
    <row r="58" spans="1:14" s="1" customFormat="1" ht="20.85" customHeight="1">
      <c r="B58" s="6" t="s">
        <v>608</v>
      </c>
      <c r="C58" s="29" t="s">
        <v>524</v>
      </c>
      <c r="D58" s="8">
        <v>4</v>
      </c>
      <c r="E58" s="11" t="s">
        <v>93</v>
      </c>
      <c r="F58" s="9" t="s">
        <v>525</v>
      </c>
      <c r="G58" s="10" t="s">
        <v>95</v>
      </c>
      <c r="H58" s="10"/>
      <c r="I58" s="11" t="s">
        <v>173</v>
      </c>
      <c r="J58" s="66" t="s">
        <v>598</v>
      </c>
      <c r="K58" s="13" t="s">
        <v>524</v>
      </c>
      <c r="L58" s="13" t="s">
        <v>524</v>
      </c>
      <c r="M58" s="203"/>
    </row>
    <row r="59" spans="1:14" s="1" customFormat="1" ht="20.85" customHeight="1">
      <c r="B59" s="6" t="s">
        <v>608</v>
      </c>
      <c r="C59" s="6" t="s">
        <v>297</v>
      </c>
      <c r="D59" s="8">
        <v>5</v>
      </c>
      <c r="E59" s="11" t="s">
        <v>93</v>
      </c>
      <c r="F59" s="9" t="s">
        <v>526</v>
      </c>
      <c r="G59" s="10" t="s">
        <v>95</v>
      </c>
      <c r="H59" s="10"/>
      <c r="I59" s="11" t="s">
        <v>173</v>
      </c>
      <c r="J59" s="66" t="s">
        <v>598</v>
      </c>
      <c r="K59" s="13" t="s">
        <v>297</v>
      </c>
      <c r="L59" s="13" t="s">
        <v>297</v>
      </c>
      <c r="M59" s="203"/>
    </row>
    <row r="60" spans="1:14" s="1" customFormat="1" ht="20.85" customHeight="1">
      <c r="B60" s="6" t="s">
        <v>608</v>
      </c>
      <c r="C60" s="6" t="s">
        <v>564</v>
      </c>
      <c r="D60" s="8">
        <v>6</v>
      </c>
      <c r="E60" s="11" t="s">
        <v>93</v>
      </c>
      <c r="F60" s="9" t="s">
        <v>610</v>
      </c>
      <c r="G60" s="10"/>
      <c r="H60" s="10"/>
      <c r="I60" s="19" t="s">
        <v>566</v>
      </c>
      <c r="J60" s="76" t="s">
        <v>567</v>
      </c>
      <c r="K60" s="77" t="s">
        <v>564</v>
      </c>
      <c r="L60" s="77" t="s">
        <v>611</v>
      </c>
      <c r="M60" s="203"/>
    </row>
    <row r="61" spans="1:14" s="1" customFormat="1" ht="20.85" customHeight="1">
      <c r="B61" s="6" t="s">
        <v>608</v>
      </c>
      <c r="C61" s="7" t="s">
        <v>532</v>
      </c>
      <c r="D61" s="8">
        <v>7</v>
      </c>
      <c r="E61" s="11" t="s">
        <v>93</v>
      </c>
      <c r="F61" s="9" t="s">
        <v>533</v>
      </c>
      <c r="G61" s="10"/>
      <c r="H61" s="10"/>
      <c r="I61" s="11" t="s">
        <v>173</v>
      </c>
      <c r="J61" s="66" t="s">
        <v>598</v>
      </c>
      <c r="K61" s="7" t="s">
        <v>532</v>
      </c>
      <c r="L61" s="7" t="s">
        <v>532</v>
      </c>
      <c r="M61" s="203"/>
    </row>
    <row r="62" spans="1:14" s="1" customFormat="1" ht="20.85" customHeight="1">
      <c r="B62" s="6" t="s">
        <v>608</v>
      </c>
      <c r="C62" s="7" t="s">
        <v>600</v>
      </c>
      <c r="D62" s="8">
        <v>8</v>
      </c>
      <c r="E62" s="11" t="s">
        <v>93</v>
      </c>
      <c r="F62" s="9" t="s">
        <v>601</v>
      </c>
      <c r="G62" s="10"/>
      <c r="H62" s="10"/>
      <c r="I62" s="11" t="s">
        <v>173</v>
      </c>
      <c r="J62" s="66" t="s">
        <v>598</v>
      </c>
      <c r="K62" s="7" t="s">
        <v>600</v>
      </c>
      <c r="L62" s="7" t="s">
        <v>600</v>
      </c>
      <c r="M62" s="203"/>
    </row>
    <row r="63" spans="1:14" s="1" customFormat="1" ht="20.85" customHeight="1">
      <c r="B63" s="6" t="s">
        <v>608</v>
      </c>
      <c r="C63" s="7" t="s">
        <v>604</v>
      </c>
      <c r="D63" s="8">
        <v>9</v>
      </c>
      <c r="E63" s="11" t="s">
        <v>93</v>
      </c>
      <c r="F63" s="9" t="s">
        <v>605</v>
      </c>
      <c r="G63" s="10"/>
      <c r="H63" s="10"/>
      <c r="I63" s="11" t="s">
        <v>173</v>
      </c>
      <c r="J63" s="66" t="s">
        <v>598</v>
      </c>
      <c r="K63" s="7" t="s">
        <v>604</v>
      </c>
      <c r="L63" s="7" t="s">
        <v>604</v>
      </c>
      <c r="M63" s="203"/>
    </row>
    <row r="64" spans="1:14" s="1" customFormat="1" ht="15" customHeight="1">
      <c r="C64"/>
    </row>
    <row r="65" spans="1:14" s="24" customFormat="1" ht="15" customHeight="1">
      <c r="A65" s="168"/>
      <c r="B65" s="65" t="s">
        <v>612</v>
      </c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</row>
    <row r="66" spans="1:14" s="1" customFormat="1" ht="16.5" customHeight="1">
      <c r="B66" s="79"/>
      <c r="C66" s="79"/>
      <c r="D66" s="79"/>
      <c r="E66" s="79"/>
      <c r="F66" s="79"/>
      <c r="G66" s="68"/>
      <c r="H66" s="80"/>
      <c r="I66" s="81"/>
      <c r="J66" s="47"/>
      <c r="K66" s="82"/>
      <c r="L66" s="82"/>
      <c r="M66" s="47"/>
      <c r="N66" s="71"/>
    </row>
    <row r="67" spans="1:14" s="1" customFormat="1" ht="15" customHeight="1">
      <c r="B67" s="5" t="s">
        <v>74</v>
      </c>
      <c r="C67" s="5" t="s">
        <v>75</v>
      </c>
      <c r="D67" s="5" t="s">
        <v>76</v>
      </c>
      <c r="E67" s="5" t="s">
        <v>77</v>
      </c>
      <c r="F67" s="5" t="s">
        <v>78</v>
      </c>
      <c r="G67" s="5" t="s">
        <v>79</v>
      </c>
      <c r="H67" s="5" t="s">
        <v>80</v>
      </c>
      <c r="I67" s="39" t="s">
        <v>81</v>
      </c>
      <c r="J67" s="40" t="s">
        <v>82</v>
      </c>
      <c r="K67" s="39" t="s">
        <v>83</v>
      </c>
      <c r="L67" s="39" t="s">
        <v>84</v>
      </c>
      <c r="M67" s="39" t="s">
        <v>85</v>
      </c>
    </row>
    <row r="68" spans="1:14" s="1" customFormat="1" ht="30" customHeight="1">
      <c r="B68" s="6" t="s">
        <v>613</v>
      </c>
      <c r="C68" s="6" t="s">
        <v>514</v>
      </c>
      <c r="D68" s="8">
        <v>1</v>
      </c>
      <c r="E68" s="11" t="s">
        <v>515</v>
      </c>
      <c r="F68" s="9" t="s">
        <v>516</v>
      </c>
      <c r="G68" s="10" t="s">
        <v>95</v>
      </c>
      <c r="H68" s="10"/>
      <c r="I68" s="19" t="s">
        <v>517</v>
      </c>
      <c r="J68" s="12" t="s">
        <v>614</v>
      </c>
      <c r="K68" s="13" t="s">
        <v>514</v>
      </c>
      <c r="L68" s="13" t="s">
        <v>615</v>
      </c>
      <c r="M68" s="13" t="s">
        <v>584</v>
      </c>
    </row>
    <row r="69" spans="1:14" s="1" customFormat="1" ht="30" customHeight="1">
      <c r="B69" s="6" t="s">
        <v>613</v>
      </c>
      <c r="C69" s="6" t="s">
        <v>520</v>
      </c>
      <c r="D69" s="8">
        <v>2</v>
      </c>
      <c r="E69" s="11" t="s">
        <v>515</v>
      </c>
      <c r="F69" s="9" t="s">
        <v>521</v>
      </c>
      <c r="G69" s="10" t="s">
        <v>95</v>
      </c>
      <c r="H69" s="10"/>
      <c r="I69" s="19" t="s">
        <v>517</v>
      </c>
      <c r="J69" s="12" t="s">
        <v>614</v>
      </c>
      <c r="K69" s="13" t="s">
        <v>520</v>
      </c>
      <c r="L69" s="13" t="s">
        <v>616</v>
      </c>
      <c r="M69" s="13" t="s">
        <v>584</v>
      </c>
    </row>
    <row r="70" spans="1:14" s="1" customFormat="1" ht="20.85" customHeight="1">
      <c r="B70" s="6" t="s">
        <v>613</v>
      </c>
      <c r="C70" s="6" t="s">
        <v>522</v>
      </c>
      <c r="D70" s="8">
        <v>3</v>
      </c>
      <c r="E70" s="11" t="s">
        <v>93</v>
      </c>
      <c r="F70" s="9" t="s">
        <v>523</v>
      </c>
      <c r="G70" s="10" t="s">
        <v>95</v>
      </c>
      <c r="H70" s="10"/>
      <c r="I70" s="19" t="s">
        <v>584</v>
      </c>
      <c r="J70" s="19" t="s">
        <v>584</v>
      </c>
      <c r="K70" s="19" t="s">
        <v>584</v>
      </c>
      <c r="L70" s="19" t="s">
        <v>584</v>
      </c>
      <c r="M70" s="13" t="s">
        <v>584</v>
      </c>
    </row>
    <row r="71" spans="1:14" s="1" customFormat="1" ht="20.85" customHeight="1">
      <c r="B71" s="6" t="s">
        <v>613</v>
      </c>
      <c r="C71" s="29" t="s">
        <v>524</v>
      </c>
      <c r="D71" s="8">
        <v>4</v>
      </c>
      <c r="E71" s="11" t="s">
        <v>93</v>
      </c>
      <c r="F71" s="9" t="s">
        <v>525</v>
      </c>
      <c r="G71" s="10" t="s">
        <v>95</v>
      </c>
      <c r="H71" s="10"/>
      <c r="I71" s="19" t="s">
        <v>584</v>
      </c>
      <c r="J71" s="19" t="s">
        <v>584</v>
      </c>
      <c r="K71" s="19" t="s">
        <v>584</v>
      </c>
      <c r="L71" s="19" t="s">
        <v>584</v>
      </c>
      <c r="M71" s="13" t="s">
        <v>584</v>
      </c>
    </row>
    <row r="72" spans="1:14" s="1" customFormat="1" ht="20.85" customHeight="1">
      <c r="B72" s="6" t="s">
        <v>613</v>
      </c>
      <c r="C72" s="6" t="s">
        <v>297</v>
      </c>
      <c r="D72" s="8">
        <v>5</v>
      </c>
      <c r="E72" s="11" t="s">
        <v>93</v>
      </c>
      <c r="F72" s="9" t="s">
        <v>526</v>
      </c>
      <c r="G72" s="10" t="s">
        <v>95</v>
      </c>
      <c r="H72" s="10"/>
      <c r="I72" s="19" t="s">
        <v>584</v>
      </c>
      <c r="J72" s="19" t="s">
        <v>584</v>
      </c>
      <c r="K72" s="19" t="s">
        <v>584</v>
      </c>
      <c r="L72" s="19" t="s">
        <v>584</v>
      </c>
      <c r="M72" s="13" t="s">
        <v>584</v>
      </c>
    </row>
    <row r="73" spans="1:14" s="1" customFormat="1" ht="30" customHeight="1">
      <c r="B73" s="6" t="s">
        <v>613</v>
      </c>
      <c r="C73" s="6" t="s">
        <v>564</v>
      </c>
      <c r="D73" s="8">
        <v>6</v>
      </c>
      <c r="E73" s="11" t="s">
        <v>93</v>
      </c>
      <c r="F73" s="9" t="s">
        <v>610</v>
      </c>
      <c r="G73" s="10"/>
      <c r="H73" s="10"/>
      <c r="I73" s="19" t="s">
        <v>517</v>
      </c>
      <c r="J73" s="12" t="s">
        <v>614</v>
      </c>
      <c r="K73" s="77" t="s">
        <v>564</v>
      </c>
      <c r="L73" s="77" t="s">
        <v>617</v>
      </c>
      <c r="M73" s="13" t="s">
        <v>584</v>
      </c>
    </row>
    <row r="74" spans="1:14" s="1" customFormat="1" ht="20.85" customHeight="1">
      <c r="B74" s="6" t="s">
        <v>613</v>
      </c>
      <c r="C74" s="7" t="s">
        <v>532</v>
      </c>
      <c r="D74" s="8">
        <v>7</v>
      </c>
      <c r="E74" s="11" t="s">
        <v>93</v>
      </c>
      <c r="F74" s="9" t="s">
        <v>533</v>
      </c>
      <c r="G74" s="10"/>
      <c r="H74" s="10"/>
      <c r="I74" s="19" t="s">
        <v>368</v>
      </c>
      <c r="J74" s="19" t="s">
        <v>368</v>
      </c>
      <c r="K74" s="19" t="s">
        <v>584</v>
      </c>
      <c r="L74" s="7" t="s">
        <v>618</v>
      </c>
      <c r="M74" s="13" t="s">
        <v>584</v>
      </c>
    </row>
    <row r="75" spans="1:14" s="1" customFormat="1" ht="30" customHeight="1">
      <c r="B75" s="6" t="s">
        <v>613</v>
      </c>
      <c r="C75" s="7" t="s">
        <v>600</v>
      </c>
      <c r="D75" s="8">
        <v>8</v>
      </c>
      <c r="E75" s="11" t="s">
        <v>93</v>
      </c>
      <c r="F75" s="9" t="s">
        <v>601</v>
      </c>
      <c r="G75" s="10"/>
      <c r="H75" s="10"/>
      <c r="I75" s="19" t="s">
        <v>517</v>
      </c>
      <c r="J75" s="12" t="s">
        <v>614</v>
      </c>
      <c r="K75" s="7" t="s">
        <v>619</v>
      </c>
      <c r="L75" s="12" t="s">
        <v>620</v>
      </c>
      <c r="M75" s="13" t="s">
        <v>584</v>
      </c>
    </row>
    <row r="76" spans="1:14" s="1" customFormat="1" ht="20.85" customHeight="1">
      <c r="B76" s="6" t="s">
        <v>613</v>
      </c>
      <c r="C76" s="7" t="s">
        <v>604</v>
      </c>
      <c r="D76" s="8">
        <v>9</v>
      </c>
      <c r="E76" s="11" t="s">
        <v>93</v>
      </c>
      <c r="F76" s="9" t="s">
        <v>605</v>
      </c>
      <c r="G76" s="10"/>
      <c r="H76" s="10"/>
      <c r="I76" s="19" t="s">
        <v>368</v>
      </c>
      <c r="J76" s="19" t="s">
        <v>368</v>
      </c>
      <c r="K76" s="19" t="s">
        <v>584</v>
      </c>
      <c r="L76" s="7" t="s">
        <v>621</v>
      </c>
      <c r="M76" s="13" t="s">
        <v>584</v>
      </c>
    </row>
    <row r="77" spans="1:14" s="1" customFormat="1">
      <c r="C77"/>
    </row>
    <row r="78" spans="1:14" s="24" customFormat="1" ht="15" customHeight="1">
      <c r="A78" s="168"/>
      <c r="B78" s="65" t="s">
        <v>622</v>
      </c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</row>
    <row r="79" spans="1:14" s="1" customFormat="1" ht="16.5" customHeight="1">
      <c r="B79" s="79"/>
      <c r="C79" s="79"/>
      <c r="D79" s="79"/>
      <c r="E79" s="79"/>
      <c r="F79" s="79"/>
      <c r="G79" s="68"/>
      <c r="H79" s="80"/>
      <c r="I79" s="81"/>
      <c r="J79" s="47"/>
      <c r="K79" s="82"/>
      <c r="L79" s="82"/>
      <c r="M79" s="47"/>
      <c r="N79" s="71"/>
    </row>
    <row r="80" spans="1:14" s="1" customFormat="1" ht="15" customHeight="1">
      <c r="B80" s="5" t="s">
        <v>74</v>
      </c>
      <c r="C80" s="5" t="s">
        <v>75</v>
      </c>
      <c r="D80" s="5" t="s">
        <v>76</v>
      </c>
      <c r="E80" s="5" t="s">
        <v>77</v>
      </c>
      <c r="F80" s="5" t="s">
        <v>78</v>
      </c>
      <c r="G80" s="5" t="s">
        <v>79</v>
      </c>
      <c r="H80" s="5" t="s">
        <v>80</v>
      </c>
      <c r="I80" s="39" t="s">
        <v>81</v>
      </c>
      <c r="J80" s="40" t="s">
        <v>82</v>
      </c>
      <c r="K80" s="39" t="s">
        <v>83</v>
      </c>
      <c r="L80" s="39" t="s">
        <v>84</v>
      </c>
      <c r="M80" s="39" t="s">
        <v>85</v>
      </c>
    </row>
    <row r="81" spans="2:13" s="1" customFormat="1" ht="20.85" customHeight="1">
      <c r="B81" s="6" t="s">
        <v>623</v>
      </c>
      <c r="C81" s="6" t="s">
        <v>514</v>
      </c>
      <c r="D81" s="8">
        <v>1</v>
      </c>
      <c r="E81" s="11" t="s">
        <v>515</v>
      </c>
      <c r="F81" s="9" t="s">
        <v>516</v>
      </c>
      <c r="G81" s="10" t="s">
        <v>95</v>
      </c>
      <c r="H81" s="10"/>
      <c r="I81" s="11" t="s">
        <v>173</v>
      </c>
      <c r="J81" s="66" t="s">
        <v>624</v>
      </c>
      <c r="K81" s="13" t="s">
        <v>514</v>
      </c>
      <c r="L81" s="13" t="s">
        <v>514</v>
      </c>
      <c r="M81" s="202" t="s">
        <v>625</v>
      </c>
    </row>
    <row r="82" spans="2:13" s="1" customFormat="1" ht="20.85" customHeight="1">
      <c r="B82" s="6" t="s">
        <v>623</v>
      </c>
      <c r="C82" s="6" t="s">
        <v>520</v>
      </c>
      <c r="D82" s="8">
        <v>2</v>
      </c>
      <c r="E82" s="11" t="s">
        <v>515</v>
      </c>
      <c r="F82" s="9" t="s">
        <v>521</v>
      </c>
      <c r="G82" s="10" t="s">
        <v>95</v>
      </c>
      <c r="H82" s="10"/>
      <c r="I82" s="11" t="s">
        <v>173</v>
      </c>
      <c r="J82" s="66" t="s">
        <v>624</v>
      </c>
      <c r="K82" s="13" t="s">
        <v>520</v>
      </c>
      <c r="L82" s="13" t="s">
        <v>520</v>
      </c>
      <c r="M82" s="203"/>
    </row>
    <row r="83" spans="2:13" s="1" customFormat="1" ht="20.85" customHeight="1">
      <c r="B83" s="6" t="s">
        <v>623</v>
      </c>
      <c r="C83" s="6" t="s">
        <v>522</v>
      </c>
      <c r="D83" s="8">
        <v>3</v>
      </c>
      <c r="E83" s="11" t="s">
        <v>93</v>
      </c>
      <c r="F83" s="9" t="s">
        <v>523</v>
      </c>
      <c r="G83" s="10" t="s">
        <v>95</v>
      </c>
      <c r="H83" s="10"/>
      <c r="I83" s="11" t="s">
        <v>173</v>
      </c>
      <c r="J83" s="66" t="s">
        <v>624</v>
      </c>
      <c r="K83" s="19" t="s">
        <v>522</v>
      </c>
      <c r="L83" s="19" t="s">
        <v>522</v>
      </c>
      <c r="M83" s="203"/>
    </row>
    <row r="84" spans="2:13" s="1" customFormat="1" ht="20.85" customHeight="1">
      <c r="B84" s="6" t="s">
        <v>623</v>
      </c>
      <c r="C84" s="29" t="s">
        <v>524</v>
      </c>
      <c r="D84" s="8">
        <v>4</v>
      </c>
      <c r="E84" s="11" t="s">
        <v>93</v>
      </c>
      <c r="F84" s="9" t="s">
        <v>525</v>
      </c>
      <c r="G84" s="10" t="s">
        <v>95</v>
      </c>
      <c r="H84" s="10"/>
      <c r="I84" s="11" t="s">
        <v>173</v>
      </c>
      <c r="J84" s="66" t="s">
        <v>624</v>
      </c>
      <c r="K84" s="19" t="s">
        <v>524</v>
      </c>
      <c r="L84" s="19" t="s">
        <v>524</v>
      </c>
      <c r="M84" s="203"/>
    </row>
    <row r="85" spans="2:13" s="1" customFormat="1" ht="20.85" customHeight="1">
      <c r="B85" s="6" t="s">
        <v>623</v>
      </c>
      <c r="C85" s="6" t="s">
        <v>297</v>
      </c>
      <c r="D85" s="8">
        <v>5</v>
      </c>
      <c r="E85" s="11" t="s">
        <v>93</v>
      </c>
      <c r="F85" s="9" t="s">
        <v>526</v>
      </c>
      <c r="G85" s="10" t="s">
        <v>95</v>
      </c>
      <c r="H85" s="10"/>
      <c r="I85" s="11" t="s">
        <v>173</v>
      </c>
      <c r="J85" s="66" t="s">
        <v>624</v>
      </c>
      <c r="K85" s="19" t="s">
        <v>297</v>
      </c>
      <c r="L85" s="19" t="s">
        <v>297</v>
      </c>
      <c r="M85" s="203"/>
    </row>
    <row r="86" spans="2:13" s="1" customFormat="1" ht="20.85" customHeight="1">
      <c r="B86" s="6" t="s">
        <v>623</v>
      </c>
      <c r="C86" s="6" t="s">
        <v>564</v>
      </c>
      <c r="D86" s="8">
        <v>6</v>
      </c>
      <c r="E86" s="11" t="s">
        <v>93</v>
      </c>
      <c r="F86" s="9" t="s">
        <v>610</v>
      </c>
      <c r="G86" s="10"/>
      <c r="H86" s="10"/>
      <c r="I86" s="11" t="s">
        <v>173</v>
      </c>
      <c r="J86" s="66" t="s">
        <v>624</v>
      </c>
      <c r="K86" s="77" t="s">
        <v>564</v>
      </c>
      <c r="L86" s="77" t="s">
        <v>564</v>
      </c>
      <c r="M86" s="203"/>
    </row>
    <row r="87" spans="2:13" s="1" customFormat="1" ht="20.85" customHeight="1">
      <c r="B87" s="6" t="s">
        <v>623</v>
      </c>
      <c r="C87" s="7" t="s">
        <v>532</v>
      </c>
      <c r="D87" s="8">
        <v>7</v>
      </c>
      <c r="E87" s="11" t="s">
        <v>93</v>
      </c>
      <c r="F87" s="9" t="s">
        <v>533</v>
      </c>
      <c r="G87" s="10"/>
      <c r="H87" s="10"/>
      <c r="I87" s="11" t="s">
        <v>173</v>
      </c>
      <c r="J87" s="66" t="s">
        <v>624</v>
      </c>
      <c r="K87" s="19" t="s">
        <v>532</v>
      </c>
      <c r="L87" s="19" t="s">
        <v>532</v>
      </c>
      <c r="M87" s="203"/>
    </row>
    <row r="88" spans="2:13" s="1" customFormat="1" ht="20.85" customHeight="1">
      <c r="B88" s="6" t="s">
        <v>623</v>
      </c>
      <c r="C88" s="7" t="s">
        <v>600</v>
      </c>
      <c r="D88" s="8">
        <v>8</v>
      </c>
      <c r="E88" s="11" t="s">
        <v>93</v>
      </c>
      <c r="F88" s="9" t="s">
        <v>601</v>
      </c>
      <c r="G88" s="10"/>
      <c r="H88" s="10"/>
      <c r="I88" s="11" t="s">
        <v>173</v>
      </c>
      <c r="J88" s="66" t="s">
        <v>624</v>
      </c>
      <c r="K88" s="7" t="s">
        <v>600</v>
      </c>
      <c r="L88" s="7" t="s">
        <v>600</v>
      </c>
      <c r="M88" s="203"/>
    </row>
    <row r="89" spans="2:13" s="1" customFormat="1" ht="20.85" customHeight="1">
      <c r="B89" s="6" t="s">
        <v>623</v>
      </c>
      <c r="C89" s="7" t="s">
        <v>604</v>
      </c>
      <c r="D89" s="8">
        <v>9</v>
      </c>
      <c r="E89" s="11" t="s">
        <v>93</v>
      </c>
      <c r="F89" s="9" t="s">
        <v>605</v>
      </c>
      <c r="G89" s="10"/>
      <c r="H89" s="10"/>
      <c r="I89" s="11" t="s">
        <v>173</v>
      </c>
      <c r="J89" s="66" t="s">
        <v>624</v>
      </c>
      <c r="K89" s="19" t="s">
        <v>604</v>
      </c>
      <c r="L89" s="19" t="s">
        <v>604</v>
      </c>
      <c r="M89" s="203"/>
    </row>
    <row r="90" spans="2:13" s="1" customFormat="1">
      <c r="B90" s="6" t="s">
        <v>623</v>
      </c>
      <c r="C90" s="32" t="s">
        <v>226</v>
      </c>
      <c r="D90" s="8">
        <v>10</v>
      </c>
      <c r="E90" s="9" t="s">
        <v>93</v>
      </c>
      <c r="F90" s="9" t="s">
        <v>571</v>
      </c>
      <c r="G90" s="10" t="s">
        <v>95</v>
      </c>
      <c r="H90" s="10" t="s">
        <v>95</v>
      </c>
      <c r="I90" s="19" t="s">
        <v>98</v>
      </c>
      <c r="J90" s="12" t="s">
        <v>98</v>
      </c>
      <c r="K90" s="12" t="s">
        <v>226</v>
      </c>
      <c r="L90" s="12" t="s">
        <v>226</v>
      </c>
      <c r="M90" s="66" t="s">
        <v>98</v>
      </c>
    </row>
    <row r="91" spans="2:13" s="1" customFormat="1" ht="20.85" customHeight="1">
      <c r="B91" s="6" t="s">
        <v>623</v>
      </c>
      <c r="C91" s="32" t="s">
        <v>366</v>
      </c>
      <c r="D91" s="8">
        <v>11</v>
      </c>
      <c r="E91" s="9" t="s">
        <v>93</v>
      </c>
      <c r="F91" s="9" t="s">
        <v>367</v>
      </c>
      <c r="G91" s="10" t="s">
        <v>95</v>
      </c>
      <c r="H91" s="10" t="s">
        <v>95</v>
      </c>
      <c r="I91" s="19" t="s">
        <v>368</v>
      </c>
      <c r="J91" s="19" t="s">
        <v>368</v>
      </c>
      <c r="K91" s="12" t="s">
        <v>366</v>
      </c>
      <c r="L91" s="12" t="s">
        <v>369</v>
      </c>
      <c r="M91" s="66" t="s">
        <v>98</v>
      </c>
    </row>
    <row r="92" spans="2:13" s="1" customFormat="1" ht="20.85" customHeight="1">
      <c r="B92" s="6" t="s">
        <v>623</v>
      </c>
      <c r="C92" s="32" t="s">
        <v>92</v>
      </c>
      <c r="D92" s="8">
        <v>12</v>
      </c>
      <c r="E92" s="9" t="s">
        <v>93</v>
      </c>
      <c r="F92" s="9" t="s">
        <v>94</v>
      </c>
      <c r="G92" s="10" t="s">
        <v>95</v>
      </c>
      <c r="H92" s="10" t="s">
        <v>95</v>
      </c>
      <c r="I92" s="19" t="s">
        <v>98</v>
      </c>
      <c r="J92" s="12" t="s">
        <v>98</v>
      </c>
      <c r="K92" s="12" t="s">
        <v>626</v>
      </c>
      <c r="L92" s="12" t="s">
        <v>626</v>
      </c>
      <c r="M92" s="66" t="s">
        <v>98</v>
      </c>
    </row>
    <row r="93" spans="2:13" s="1" customFormat="1">
      <c r="C93"/>
    </row>
    <row r="94" spans="2:13" s="1" customFormat="1">
      <c r="C94"/>
    </row>
    <row r="95" spans="2:13" s="1" customFormat="1" ht="15" customHeight="1">
      <c r="C95"/>
    </row>
    <row r="96" spans="2:13" s="1" customFormat="1" ht="15" customHeight="1">
      <c r="C96"/>
    </row>
    <row r="97" spans="3:3" s="1" customFormat="1" ht="15" customHeight="1">
      <c r="C97"/>
    </row>
    <row r="98" spans="3:3" s="1" customFormat="1" ht="15" customHeight="1">
      <c r="C98"/>
    </row>
    <row r="99" spans="3:3" s="1" customFormat="1" ht="15" customHeight="1">
      <c r="C99"/>
    </row>
    <row r="100" spans="3:3" s="1" customFormat="1" ht="15" customHeight="1">
      <c r="C100"/>
    </row>
    <row r="101" spans="3:3" s="1" customFormat="1" ht="23.25" customHeight="1">
      <c r="C101"/>
    </row>
  </sheetData>
  <mergeCells count="6">
    <mergeCell ref="M81:M89"/>
    <mergeCell ref="M33:M38"/>
    <mergeCell ref="M43:M50"/>
    <mergeCell ref="M55:M63"/>
    <mergeCell ref="M17:M22"/>
    <mergeCell ref="M25:M3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/>
    <pageSetUpPr autoPageBreaks="0"/>
  </sheetPr>
  <dimension ref="A1:R50"/>
  <sheetViews>
    <sheetView showGridLines="0" zoomScale="90" zoomScaleNormal="90" workbookViewId="0">
      <pane ySplit="6" topLeftCell="A7" activePane="bottomLeft" state="frozen"/>
      <selection activeCell="A6" sqref="A6"/>
      <selection pane="bottomLeft" activeCell="A25" sqref="A25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5" width="15" style="1" bestFit="1" customWidth="1"/>
    <col min="16" max="16" width="8.5703125" customWidth="1"/>
    <col min="17" max="18" width="0" hidden="1" customWidth="1"/>
    <col min="19" max="16384" width="8.5703125" hidden="1"/>
  </cols>
  <sheetData>
    <row r="1" spans="1:16" ht="15" customHeight="1"/>
    <row r="2" spans="1:16" ht="34.5" customHeight="1">
      <c r="C2" s="2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1"/>
    </row>
    <row r="5" spans="1:16" s="24" customFormat="1" ht="15" customHeight="1">
      <c r="A5" s="168"/>
      <c r="B5" s="33" t="s">
        <v>627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70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0"/>
    </row>
    <row r="8" spans="1:16" s="24" customFormat="1" ht="15" customHeight="1">
      <c r="A8" s="168"/>
      <c r="B8" s="96" t="s">
        <v>628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0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0"/>
    </row>
    <row r="10" spans="1:16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0"/>
    </row>
    <row r="11" spans="1:16" s="24" customFormat="1" ht="15" customHeight="1">
      <c r="A11" s="168"/>
      <c r="B11" s="37" t="s">
        <v>629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0"/>
    </row>
    <row r="12" spans="1:16" s="24" customFormat="1" ht="15" customHeight="1">
      <c r="A12" s="168"/>
      <c r="B12" s="36" t="s">
        <v>60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0"/>
    </row>
    <row r="13" spans="1:16" s="24" customFormat="1" ht="15" customHeight="1">
      <c r="A13" s="168"/>
      <c r="B13" s="96" t="s">
        <v>630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0"/>
    </row>
    <row r="14" spans="1:16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0"/>
    </row>
    <row r="15" spans="1:16" s="24" customFormat="1" ht="15" customHeight="1">
      <c r="A15" s="168"/>
      <c r="B15" s="36" t="s">
        <v>66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0"/>
    </row>
    <row r="16" spans="1:16" s="24" customFormat="1" ht="15" customHeight="1">
      <c r="A16" s="168"/>
      <c r="B16" s="97" t="s">
        <v>631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0"/>
    </row>
    <row r="17" spans="1:15" s="24" customFormat="1" ht="15" customHeight="1">
      <c r="A17" s="168"/>
      <c r="B17" s="97" t="s">
        <v>632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</row>
    <row r="18" spans="1:15" s="24" customFormat="1" ht="15" customHeight="1">
      <c r="A18" s="168"/>
      <c r="B18" s="37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</row>
    <row r="19" spans="1:15" s="24" customFormat="1" ht="1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</row>
    <row r="20" spans="1:15" s="24" customFormat="1" ht="15" customHeight="1">
      <c r="A20" s="168"/>
      <c r="B20" s="25" t="s">
        <v>72</v>
      </c>
      <c r="C20" s="169">
        <f>COUNTA(C23:C28)</f>
        <v>6</v>
      </c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</row>
    <row r="21" spans="1:15" s="24" customFormat="1" ht="15" customHeight="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</row>
    <row r="22" spans="1:15" s="1" customFormat="1" ht="15" customHeight="1">
      <c r="B22" s="5" t="s">
        <v>74</v>
      </c>
      <c r="C22" s="5" t="s">
        <v>75</v>
      </c>
      <c r="D22" s="5" t="s">
        <v>76</v>
      </c>
      <c r="E22" s="5" t="s">
        <v>77</v>
      </c>
      <c r="F22" s="5" t="s">
        <v>78</v>
      </c>
      <c r="G22" s="5" t="s">
        <v>79</v>
      </c>
      <c r="H22" s="5" t="s">
        <v>80</v>
      </c>
      <c r="I22" s="39" t="s">
        <v>81</v>
      </c>
      <c r="J22" s="40" t="s">
        <v>82</v>
      </c>
      <c r="K22" s="39" t="s">
        <v>83</v>
      </c>
      <c r="L22" s="39" t="s">
        <v>84</v>
      </c>
      <c r="M22" s="39" t="s">
        <v>85</v>
      </c>
      <c r="N22" s="39" t="s">
        <v>86</v>
      </c>
      <c r="O22" s="39" t="s">
        <v>89</v>
      </c>
    </row>
    <row r="23" spans="1:15" s="1" customFormat="1" ht="20.85" customHeight="1">
      <c r="B23" s="6" t="s">
        <v>633</v>
      </c>
      <c r="C23" s="6" t="s">
        <v>634</v>
      </c>
      <c r="D23" s="8"/>
      <c r="E23" s="9" t="s">
        <v>93</v>
      </c>
      <c r="F23" s="9" t="s">
        <v>635</v>
      </c>
      <c r="G23" s="10" t="s">
        <v>95</v>
      </c>
      <c r="H23" s="10"/>
      <c r="I23" s="19" t="s">
        <v>517</v>
      </c>
      <c r="J23" s="12" t="s">
        <v>636</v>
      </c>
      <c r="K23" s="7" t="s">
        <v>634</v>
      </c>
      <c r="L23" s="7" t="s">
        <v>637</v>
      </c>
      <c r="M23" s="210" t="s">
        <v>638</v>
      </c>
      <c r="N23" s="19"/>
      <c r="O23" s="83">
        <v>44645</v>
      </c>
    </row>
    <row r="24" spans="1:15" s="1" customFormat="1" ht="20.85" customHeight="1">
      <c r="B24" s="6" t="s">
        <v>633</v>
      </c>
      <c r="C24" s="6" t="s">
        <v>639</v>
      </c>
      <c r="D24" s="8"/>
      <c r="E24" s="9" t="s">
        <v>93</v>
      </c>
      <c r="F24" s="9" t="s">
        <v>640</v>
      </c>
      <c r="G24" s="10" t="s">
        <v>95</v>
      </c>
      <c r="H24" s="10"/>
      <c r="I24" s="19" t="s">
        <v>517</v>
      </c>
      <c r="J24" s="12" t="s">
        <v>636</v>
      </c>
      <c r="K24" s="7" t="s">
        <v>639</v>
      </c>
      <c r="L24" s="7" t="s">
        <v>641</v>
      </c>
      <c r="M24" s="211"/>
      <c r="N24" s="19"/>
      <c r="O24" s="83">
        <v>44645</v>
      </c>
    </row>
    <row r="25" spans="1:15" s="1" customFormat="1" ht="20.85" customHeight="1">
      <c r="B25" s="6" t="s">
        <v>633</v>
      </c>
      <c r="C25" s="6" t="s">
        <v>642</v>
      </c>
      <c r="D25" s="8"/>
      <c r="E25" s="9" t="s">
        <v>93</v>
      </c>
      <c r="F25" s="9" t="s">
        <v>643</v>
      </c>
      <c r="G25" s="10" t="s">
        <v>95</v>
      </c>
      <c r="H25" s="10"/>
      <c r="I25" s="19" t="s">
        <v>517</v>
      </c>
      <c r="J25" s="12" t="s">
        <v>636</v>
      </c>
      <c r="K25" s="7" t="s">
        <v>642</v>
      </c>
      <c r="L25" s="7" t="s">
        <v>644</v>
      </c>
      <c r="M25" s="211"/>
      <c r="N25" s="19"/>
      <c r="O25" s="83">
        <v>44645</v>
      </c>
    </row>
    <row r="26" spans="1:15" s="1" customFormat="1" ht="20.85" customHeight="1">
      <c r="B26" s="6" t="s">
        <v>633</v>
      </c>
      <c r="C26" s="6" t="s">
        <v>645</v>
      </c>
      <c r="D26" s="8"/>
      <c r="E26" s="9" t="s">
        <v>93</v>
      </c>
      <c r="F26" s="9" t="s">
        <v>646</v>
      </c>
      <c r="G26" s="10" t="s">
        <v>95</v>
      </c>
      <c r="H26" s="10"/>
      <c r="I26" s="19" t="s">
        <v>517</v>
      </c>
      <c r="J26" s="12" t="s">
        <v>636</v>
      </c>
      <c r="K26" s="7" t="s">
        <v>645</v>
      </c>
      <c r="L26" s="7" t="s">
        <v>647</v>
      </c>
      <c r="M26" s="211"/>
      <c r="N26" s="19"/>
      <c r="O26" s="83">
        <v>44645</v>
      </c>
    </row>
    <row r="27" spans="1:15" s="1" customFormat="1" ht="20.85" customHeight="1">
      <c r="B27" s="6" t="s">
        <v>633</v>
      </c>
      <c r="C27" s="6" t="s">
        <v>648</v>
      </c>
      <c r="D27" s="8"/>
      <c r="E27" s="9" t="s">
        <v>93</v>
      </c>
      <c r="F27" s="9" t="s">
        <v>649</v>
      </c>
      <c r="G27" s="10" t="s">
        <v>95</v>
      </c>
      <c r="H27" s="10"/>
      <c r="I27" s="19" t="s">
        <v>517</v>
      </c>
      <c r="J27" s="12" t="s">
        <v>636</v>
      </c>
      <c r="K27" s="12" t="s">
        <v>648</v>
      </c>
      <c r="L27" s="7" t="s">
        <v>650</v>
      </c>
      <c r="M27" s="211"/>
      <c r="N27" s="19"/>
      <c r="O27" s="83">
        <v>44645</v>
      </c>
    </row>
    <row r="28" spans="1:15" s="1" customFormat="1" ht="20.85" customHeight="1">
      <c r="B28" s="6" t="s">
        <v>633</v>
      </c>
      <c r="C28" s="6" t="s">
        <v>651</v>
      </c>
      <c r="D28" s="8"/>
      <c r="E28" s="9" t="s">
        <v>93</v>
      </c>
      <c r="F28" s="9" t="s">
        <v>652</v>
      </c>
      <c r="G28" s="10" t="s">
        <v>95</v>
      </c>
      <c r="H28" s="10"/>
      <c r="I28" s="19" t="s">
        <v>517</v>
      </c>
      <c r="J28" s="12" t="s">
        <v>636</v>
      </c>
      <c r="K28" s="12" t="s">
        <v>651</v>
      </c>
      <c r="L28" s="7" t="s">
        <v>653</v>
      </c>
      <c r="M28" s="212"/>
      <c r="N28" s="19"/>
      <c r="O28" s="83">
        <v>44645</v>
      </c>
    </row>
    <row r="29" spans="1:15" s="1" customFormat="1" ht="15" customHeight="1">
      <c r="C29"/>
    </row>
    <row r="30" spans="1:15" s="1" customFormat="1" ht="23.25" customHeight="1">
      <c r="C30"/>
    </row>
    <row r="31" spans="1:15" ht="15" customHeight="1"/>
    <row r="32" spans="1:1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M23:M28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P54"/>
  <sheetViews>
    <sheetView showGridLines="0" workbookViewId="0">
      <pane ySplit="5" topLeftCell="A10" activePane="bottomLeft" state="frozen"/>
      <selection activeCell="A6" sqref="A6"/>
      <selection pane="bottomLeft" activeCell="F38" sqref="F38"/>
    </sheetView>
  </sheetViews>
  <sheetFormatPr defaultColWidth="0" defaultRowHeight="15" customHeight="1" zero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25.42578125" customWidth="1"/>
    <col min="15" max="15" width="14.42578125" customWidth="1"/>
    <col min="16" max="16" width="4" customWidth="1"/>
    <col min="17" max="17" width="8.5703125" hidden="1" customWidth="1"/>
    <col min="18" max="16384" width="8.5703125" hidden="1"/>
  </cols>
  <sheetData>
    <row r="1" spans="1:16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24" customFormat="1" ht="15" customHeight="1">
      <c r="A5" s="168"/>
      <c r="B5" s="33" t="s">
        <v>654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68"/>
    </row>
    <row r="8" spans="1:16" s="24" customFormat="1" ht="15" customHeight="1">
      <c r="A8" s="168"/>
      <c r="B8" s="37" t="s">
        <v>655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68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68"/>
    </row>
    <row r="10" spans="1:16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68"/>
    </row>
    <row r="11" spans="1:16" s="24" customFormat="1" ht="15" customHeight="1">
      <c r="A11" s="168"/>
      <c r="B11" s="37" t="s">
        <v>657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68"/>
    </row>
    <row r="12" spans="1:16" s="24" customFormat="1" ht="15" customHeight="1">
      <c r="A12" s="168"/>
      <c r="B12" s="135" t="s">
        <v>858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68"/>
    </row>
    <row r="13" spans="1:16" s="24" customFormat="1" ht="15" customHeight="1">
      <c r="A13" s="168"/>
      <c r="B13" s="135" t="s">
        <v>859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68"/>
    </row>
    <row r="14" spans="1:16" s="24" customFormat="1" ht="15" customHeight="1">
      <c r="A14" s="168"/>
      <c r="B14" s="37" t="s">
        <v>658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68"/>
    </row>
    <row r="15" spans="1:16" s="24" customFormat="1" ht="15" customHeight="1">
      <c r="A15" s="168"/>
      <c r="B15" s="119" t="s">
        <v>874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68"/>
    </row>
    <row r="16" spans="1:16" s="24" customFormat="1" ht="15" customHeight="1">
      <c r="A16" s="168"/>
      <c r="B16" s="119" t="s">
        <v>659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68"/>
    </row>
    <row r="17" spans="1:16" s="24" customFormat="1" ht="15" customHeight="1">
      <c r="A17" s="168"/>
      <c r="B17" s="119" t="s">
        <v>660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68"/>
    </row>
    <row r="18" spans="1:16" s="24" customFormat="1" ht="15" customHeight="1">
      <c r="A18" s="168"/>
      <c r="B18" s="119" t="s">
        <v>661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68"/>
    </row>
    <row r="19" spans="1:16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68"/>
    </row>
    <row r="20" spans="1:16" s="24" customFormat="1" ht="15" customHeight="1">
      <c r="A20" s="168"/>
      <c r="B20" s="36" t="s">
        <v>56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68"/>
    </row>
    <row r="21" spans="1:16" s="24" customFormat="1" ht="15" customHeight="1">
      <c r="A21" s="168"/>
      <c r="B21" s="37" t="s">
        <v>662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68"/>
    </row>
    <row r="22" spans="1:16" s="24" customFormat="1" ht="15" customHeight="1">
      <c r="A22" s="168"/>
      <c r="B22" s="96" t="s">
        <v>663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68"/>
    </row>
    <row r="23" spans="1:16" s="24" customFormat="1" ht="15" customHeight="1">
      <c r="A23" s="168"/>
      <c r="B23" s="37" t="s">
        <v>664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68"/>
    </row>
    <row r="24" spans="1:16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5" customHeight="1">
      <c r="A25" s="168"/>
      <c r="B25" s="36" t="s">
        <v>60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68"/>
    </row>
    <row r="26" spans="1:16" s="24" customFormat="1" ht="15" customHeight="1">
      <c r="A26" s="168"/>
      <c r="B26" s="37" t="s">
        <v>665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68"/>
    </row>
    <row r="27" spans="1:16" s="24" customFormat="1" ht="5.0999999999999996" customHeight="1">
      <c r="A27" s="168"/>
      <c r="B27" s="37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68"/>
    </row>
    <row r="28" spans="1:16" s="24" customFormat="1" ht="15" customHeight="1">
      <c r="A28" s="168"/>
      <c r="B28" s="36" t="s">
        <v>66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68"/>
    </row>
    <row r="29" spans="1:16" s="24" customFormat="1" ht="15" customHeight="1">
      <c r="A29" s="168"/>
      <c r="B29" s="38" t="s">
        <v>666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68"/>
    </row>
    <row r="30" spans="1:16" s="24" customFormat="1" ht="15" customHeight="1">
      <c r="A30" s="168"/>
      <c r="B30" s="38" t="s">
        <v>856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68"/>
    </row>
    <row r="31" spans="1:16" s="24" customFormat="1" ht="15" customHeight="1">
      <c r="A31" s="168"/>
      <c r="B31" s="38" t="s">
        <v>667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68"/>
    </row>
    <row r="32" spans="1:16" s="24" customFormat="1" ht="15" customHeight="1">
      <c r="A32" s="168"/>
      <c r="B32" s="3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68"/>
    </row>
    <row r="33" spans="1:16" s="24" customFormat="1" ht="12.75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</row>
    <row r="34" spans="1:16" s="24" customFormat="1" ht="12.75">
      <c r="A34" s="168"/>
      <c r="B34" s="25" t="s">
        <v>72</v>
      </c>
      <c r="C34" s="169">
        <f>COUNTA(C37:C40)</f>
        <v>4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</row>
    <row r="35" spans="1:16" s="24" customFormat="1" ht="12.75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</row>
    <row r="36" spans="1:16" s="110" customFormat="1" ht="15" customHeight="1">
      <c r="B36" s="5" t="s">
        <v>74</v>
      </c>
      <c r="C36" s="5" t="s">
        <v>75</v>
      </c>
      <c r="D36" s="5" t="s">
        <v>76</v>
      </c>
      <c r="E36" s="5" t="s">
        <v>77</v>
      </c>
      <c r="F36" s="5" t="s">
        <v>78</v>
      </c>
      <c r="G36" s="5" t="s">
        <v>79</v>
      </c>
      <c r="H36" s="5" t="s">
        <v>80</v>
      </c>
      <c r="I36" s="39" t="s">
        <v>81</v>
      </c>
      <c r="J36" s="40" t="s">
        <v>82</v>
      </c>
      <c r="K36" s="39" t="s">
        <v>83</v>
      </c>
      <c r="L36" s="39" t="s">
        <v>84</v>
      </c>
      <c r="M36" s="39" t="s">
        <v>668</v>
      </c>
      <c r="N36" s="39" t="s">
        <v>89</v>
      </c>
      <c r="O36" s="41" t="s">
        <v>87</v>
      </c>
    </row>
    <row r="37" spans="1:16" s="111" customFormat="1" ht="20.100000000000001" customHeight="1">
      <c r="B37" s="129" t="s">
        <v>669</v>
      </c>
      <c r="C37" s="11" t="s">
        <v>670</v>
      </c>
      <c r="D37" s="11">
        <v>1</v>
      </c>
      <c r="E37" s="11" t="s">
        <v>93</v>
      </c>
      <c r="F37" s="11" t="s">
        <v>671</v>
      </c>
      <c r="G37" s="11" t="s">
        <v>95</v>
      </c>
      <c r="H37" s="11"/>
      <c r="I37" s="11" t="s">
        <v>96</v>
      </c>
      <c r="J37" s="11" t="s">
        <v>672</v>
      </c>
      <c r="K37" s="11" t="s">
        <v>673</v>
      </c>
      <c r="L37" s="11" t="s">
        <v>674</v>
      </c>
      <c r="M37" s="213" t="s">
        <v>876</v>
      </c>
      <c r="N37" s="141">
        <v>45562</v>
      </c>
      <c r="O37" s="42" t="s">
        <v>99</v>
      </c>
    </row>
    <row r="38" spans="1:16" s="111" customFormat="1" ht="20.100000000000001" customHeight="1">
      <c r="B38" s="129" t="s">
        <v>669</v>
      </c>
      <c r="C38" s="11" t="s">
        <v>675</v>
      </c>
      <c r="D38" s="11">
        <v>2</v>
      </c>
      <c r="E38" s="11" t="s">
        <v>93</v>
      </c>
      <c r="F38" s="11" t="s">
        <v>676</v>
      </c>
      <c r="G38" s="11"/>
      <c r="H38" s="11"/>
      <c r="I38" s="19" t="s">
        <v>677</v>
      </c>
      <c r="J38" s="19" t="s">
        <v>857</v>
      </c>
      <c r="K38" s="19" t="s">
        <v>678</v>
      </c>
      <c r="L38" s="19" t="s">
        <v>875</v>
      </c>
      <c r="M38" s="214"/>
      <c r="N38" s="141">
        <v>45562</v>
      </c>
      <c r="O38" s="42" t="s">
        <v>99</v>
      </c>
    </row>
    <row r="39" spans="1:16" s="111" customFormat="1" ht="20.100000000000001" customHeight="1">
      <c r="B39" s="129" t="s">
        <v>669</v>
      </c>
      <c r="C39" s="11" t="s">
        <v>679</v>
      </c>
      <c r="D39" s="11">
        <v>3</v>
      </c>
      <c r="E39" s="11" t="s">
        <v>324</v>
      </c>
      <c r="F39" s="11" t="s">
        <v>680</v>
      </c>
      <c r="G39" s="11"/>
      <c r="H39" s="11"/>
      <c r="I39" s="11"/>
      <c r="J39" s="11"/>
      <c r="K39" s="11" t="s">
        <v>584</v>
      </c>
      <c r="L39" s="11" t="s">
        <v>681</v>
      </c>
      <c r="M39" s="214"/>
      <c r="N39" s="141">
        <v>45562</v>
      </c>
      <c r="O39" s="42" t="s">
        <v>99</v>
      </c>
    </row>
    <row r="40" spans="1:16" s="111" customFormat="1" ht="20.100000000000001" customHeight="1">
      <c r="B40" s="129" t="s">
        <v>669</v>
      </c>
      <c r="C40" s="11" t="s">
        <v>92</v>
      </c>
      <c r="D40" s="11">
        <v>4</v>
      </c>
      <c r="E40" s="11" t="s">
        <v>93</v>
      </c>
      <c r="F40" s="11" t="s">
        <v>682</v>
      </c>
      <c r="G40" s="11" t="s">
        <v>95</v>
      </c>
      <c r="H40" s="11" t="s">
        <v>95</v>
      </c>
      <c r="I40" s="19" t="s">
        <v>677</v>
      </c>
      <c r="J40" s="19" t="s">
        <v>857</v>
      </c>
      <c r="K40" s="19" t="s">
        <v>683</v>
      </c>
      <c r="L40" s="19" t="s">
        <v>860</v>
      </c>
      <c r="M40" s="215"/>
      <c r="N40" s="141">
        <v>45562</v>
      </c>
      <c r="O40" s="42" t="s">
        <v>99</v>
      </c>
    </row>
    <row r="41" spans="1:16"/>
    <row r="42" spans="1:16">
      <c r="B42" s="69" t="s">
        <v>684</v>
      </c>
    </row>
    <row r="43" spans="1:16">
      <c r="B43" s="136" t="s">
        <v>685</v>
      </c>
    </row>
    <row r="44" spans="1:16">
      <c r="B44" s="138" t="s">
        <v>670</v>
      </c>
      <c r="C44" s="138" t="s">
        <v>675</v>
      </c>
      <c r="D44" s="138" t="s">
        <v>679</v>
      </c>
      <c r="E44" s="138" t="s">
        <v>92</v>
      </c>
    </row>
    <row r="45" spans="1:16">
      <c r="B45" s="216" t="s">
        <v>686</v>
      </c>
      <c r="C45" s="137">
        <v>3</v>
      </c>
      <c r="D45" s="137">
        <v>1</v>
      </c>
      <c r="E45" s="139" t="s">
        <v>687</v>
      </c>
    </row>
    <row r="46" spans="1:16">
      <c r="B46" s="217"/>
      <c r="C46" s="137">
        <v>2</v>
      </c>
      <c r="D46" s="137">
        <v>2</v>
      </c>
      <c r="E46" s="139" t="s">
        <v>864</v>
      </c>
      <c r="F46" s="191"/>
    </row>
    <row r="47" spans="1:16">
      <c r="B47" s="217"/>
      <c r="C47" s="137">
        <v>3</v>
      </c>
      <c r="D47" s="137">
        <v>3</v>
      </c>
      <c r="E47" s="139" t="s">
        <v>863</v>
      </c>
      <c r="F47" s="191"/>
    </row>
    <row r="48" spans="1:16">
      <c r="B48" s="218"/>
      <c r="C48" s="137">
        <v>2</v>
      </c>
      <c r="D48" s="137">
        <v>4</v>
      </c>
      <c r="E48" s="139" t="s">
        <v>862</v>
      </c>
      <c r="F48" s="191"/>
    </row>
    <row r="49" spans="2:5" ht="15" customHeight="1">
      <c r="B49" s="216" t="s">
        <v>688</v>
      </c>
      <c r="C49" s="137">
        <v>1</v>
      </c>
      <c r="D49" s="137">
        <v>1</v>
      </c>
      <c r="E49" s="139" t="s">
        <v>689</v>
      </c>
    </row>
    <row r="50" spans="2:5" ht="15" customHeight="1">
      <c r="B50" s="217"/>
      <c r="C50" s="137">
        <v>2</v>
      </c>
      <c r="D50" s="137">
        <v>2</v>
      </c>
      <c r="E50" s="139" t="s">
        <v>690</v>
      </c>
    </row>
    <row r="51" spans="2:5" ht="15" customHeight="1">
      <c r="B51" s="218"/>
      <c r="C51" s="137">
        <v>1</v>
      </c>
      <c r="D51" s="137">
        <v>3</v>
      </c>
      <c r="E51" s="139" t="s">
        <v>691</v>
      </c>
    </row>
    <row r="52" spans="2:5" ht="15" customHeight="1">
      <c r="B52" s="139" t="s">
        <v>692</v>
      </c>
      <c r="C52" s="137">
        <v>1</v>
      </c>
      <c r="D52" s="137">
        <v>1</v>
      </c>
      <c r="E52" s="139" t="s">
        <v>861</v>
      </c>
    </row>
    <row r="53" spans="2:5" ht="15" customHeight="1"/>
    <row r="54" spans="2:5" ht="15" customHeight="1"/>
  </sheetData>
  <mergeCells count="3">
    <mergeCell ref="M37:M40"/>
    <mergeCell ref="B45:B48"/>
    <mergeCell ref="B49:B51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P102"/>
  <sheetViews>
    <sheetView showGridLines="0" workbookViewId="0">
      <pane ySplit="5" topLeftCell="A6" activePane="bottomLeft" state="frozen"/>
      <selection activeCell="A6" sqref="A6"/>
      <selection pane="bottomLeft" activeCell="B5" sqref="B5"/>
    </sheetView>
  </sheetViews>
  <sheetFormatPr defaultColWidth="0" defaultRowHeight="15" custom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26.5703125" customWidth="1"/>
    <col min="15" max="15" width="14.42578125" customWidth="1"/>
    <col min="16" max="16" width="4" customWidth="1"/>
    <col min="17" max="17" width="8.5703125" hidden="1" customWidth="1"/>
    <col min="18" max="16384" width="8.5703125" hidden="1"/>
  </cols>
  <sheetData>
    <row r="1" spans="1:16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24" customFormat="1" ht="15" customHeight="1">
      <c r="A5" s="168"/>
      <c r="B5" s="33" t="s">
        <v>693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68"/>
    </row>
    <row r="8" spans="1:16" s="24" customFormat="1" ht="15" customHeight="1">
      <c r="A8" s="168"/>
      <c r="B8" s="37" t="s">
        <v>694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68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68"/>
    </row>
    <row r="10" spans="1:16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68"/>
    </row>
    <row r="11" spans="1:16" s="24" customFormat="1" ht="15" customHeight="1">
      <c r="A11" s="168"/>
      <c r="B11" s="37" t="s">
        <v>695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68"/>
    </row>
    <row r="12" spans="1:16" s="24" customFormat="1" ht="15" customHeight="1">
      <c r="A12" s="168"/>
      <c r="B12" s="135" t="s">
        <v>858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68"/>
    </row>
    <row r="13" spans="1:16" s="24" customFormat="1" ht="15" customHeight="1">
      <c r="A13" s="168"/>
      <c r="B13" s="135" t="s">
        <v>859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68"/>
    </row>
    <row r="14" spans="1:16" s="24" customFormat="1" ht="15" customHeight="1">
      <c r="A14" s="168"/>
      <c r="B14" s="37" t="s">
        <v>658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68"/>
    </row>
    <row r="15" spans="1:16" s="24" customFormat="1" ht="15" customHeight="1">
      <c r="A15" s="168"/>
      <c r="B15" s="119" t="s">
        <v>873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68"/>
    </row>
    <row r="16" spans="1:16" s="24" customFormat="1" ht="15" customHeight="1">
      <c r="A16" s="168"/>
      <c r="B16" s="119" t="s">
        <v>659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68"/>
    </row>
    <row r="17" spans="1:16" s="24" customFormat="1" ht="15" customHeight="1">
      <c r="A17" s="168"/>
      <c r="B17" s="119" t="s">
        <v>660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68"/>
    </row>
    <row r="18" spans="1:16" s="24" customFormat="1" ht="15" customHeight="1">
      <c r="A18" s="168"/>
      <c r="B18" s="119" t="s">
        <v>696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68"/>
    </row>
    <row r="19" spans="1:16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68"/>
    </row>
    <row r="20" spans="1:16" s="24" customFormat="1" ht="15" customHeight="1">
      <c r="A20" s="168"/>
      <c r="B20" s="36" t="s">
        <v>56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68"/>
    </row>
    <row r="21" spans="1:16" s="24" customFormat="1" ht="15" customHeight="1">
      <c r="A21" s="168"/>
      <c r="B21" s="37" t="s">
        <v>697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68"/>
    </row>
    <row r="22" spans="1:16" s="24" customFormat="1" ht="15" customHeight="1">
      <c r="A22" s="168"/>
      <c r="B22" s="96" t="s">
        <v>663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68"/>
    </row>
    <row r="23" spans="1:16" s="24" customFormat="1" ht="15" customHeight="1">
      <c r="A23" s="168"/>
      <c r="B23" s="37" t="s">
        <v>698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68"/>
    </row>
    <row r="24" spans="1:16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5" customHeight="1">
      <c r="A25" s="168"/>
      <c r="B25" s="36" t="s">
        <v>60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68"/>
    </row>
    <row r="26" spans="1:16" s="24" customFormat="1" ht="15" customHeight="1">
      <c r="A26" s="168"/>
      <c r="B26" s="37" t="s">
        <v>665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68"/>
    </row>
    <row r="27" spans="1:16" s="24" customFormat="1" ht="5.0999999999999996" customHeight="1">
      <c r="A27" s="168"/>
      <c r="B27" s="37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68"/>
    </row>
    <row r="28" spans="1:16" s="24" customFormat="1" ht="15" customHeight="1">
      <c r="A28" s="168"/>
      <c r="B28" s="36" t="s">
        <v>66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68"/>
    </row>
    <row r="29" spans="1:16" s="24" customFormat="1" ht="15" customHeight="1">
      <c r="A29" s="168"/>
      <c r="B29" s="38" t="s">
        <v>666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68"/>
    </row>
    <row r="30" spans="1:16" s="24" customFormat="1" ht="15" customHeight="1">
      <c r="A30" s="168"/>
      <c r="B30" s="38" t="s">
        <v>856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68"/>
    </row>
    <row r="31" spans="1:16" s="24" customFormat="1" ht="15" customHeight="1">
      <c r="A31" s="168"/>
      <c r="B31" s="38" t="s">
        <v>667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68"/>
    </row>
    <row r="32" spans="1:16" s="24" customFormat="1" ht="15" customHeight="1">
      <c r="A32" s="168"/>
      <c r="B32" s="3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68"/>
    </row>
    <row r="33" spans="1:16" s="24" customFormat="1" ht="12.75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</row>
    <row r="34" spans="1:16" s="24" customFormat="1" ht="12.75">
      <c r="A34" s="168"/>
      <c r="B34" s="25" t="s">
        <v>72</v>
      </c>
      <c r="C34" s="169">
        <f>COUNTA(C37:C72)</f>
        <v>11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</row>
    <row r="35" spans="1:16" s="24" customFormat="1" ht="12.75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</row>
    <row r="36" spans="1:16" s="110" customFormat="1" ht="15" customHeight="1">
      <c r="B36" s="5" t="s">
        <v>74</v>
      </c>
      <c r="C36" s="5" t="s">
        <v>75</v>
      </c>
      <c r="D36" s="5" t="s">
        <v>76</v>
      </c>
      <c r="E36" s="5" t="s">
        <v>77</v>
      </c>
      <c r="F36" s="5" t="s">
        <v>78</v>
      </c>
      <c r="G36" s="5" t="s">
        <v>79</v>
      </c>
      <c r="H36" s="5" t="s">
        <v>80</v>
      </c>
      <c r="I36" s="39" t="s">
        <v>81</v>
      </c>
      <c r="J36" s="40" t="s">
        <v>82</v>
      </c>
      <c r="K36" s="39" t="s">
        <v>83</v>
      </c>
      <c r="L36" s="39" t="s">
        <v>84</v>
      </c>
      <c r="M36" s="39" t="s">
        <v>668</v>
      </c>
      <c r="N36" s="39" t="s">
        <v>89</v>
      </c>
      <c r="O36" s="41" t="s">
        <v>87</v>
      </c>
    </row>
    <row r="37" spans="1:16" s="111" customFormat="1" ht="20.100000000000001" customHeight="1">
      <c r="B37" s="129" t="s">
        <v>699</v>
      </c>
      <c r="C37" s="11" t="s">
        <v>670</v>
      </c>
      <c r="D37" s="11">
        <v>1</v>
      </c>
      <c r="E37" s="11" t="s">
        <v>93</v>
      </c>
      <c r="F37" s="11" t="s">
        <v>671</v>
      </c>
      <c r="G37" s="11" t="s">
        <v>95</v>
      </c>
      <c r="H37" s="11"/>
      <c r="I37" s="11" t="s">
        <v>96</v>
      </c>
      <c r="J37" s="11" t="s">
        <v>672</v>
      </c>
      <c r="K37" s="11" t="s">
        <v>673</v>
      </c>
      <c r="L37" s="11" t="s">
        <v>674</v>
      </c>
      <c r="M37" s="213" t="s">
        <v>871</v>
      </c>
      <c r="N37" s="141">
        <v>45826</v>
      </c>
      <c r="O37" s="42" t="s">
        <v>99</v>
      </c>
    </row>
    <row r="38" spans="1:16" s="111" customFormat="1" ht="20.100000000000001" customHeight="1">
      <c r="B38" s="129" t="s">
        <v>699</v>
      </c>
      <c r="C38" s="11" t="s">
        <v>700</v>
      </c>
      <c r="D38" s="11">
        <v>2</v>
      </c>
      <c r="E38" s="11" t="s">
        <v>93</v>
      </c>
      <c r="F38" s="11" t="s">
        <v>701</v>
      </c>
      <c r="G38" s="11"/>
      <c r="H38" s="11"/>
      <c r="I38" s="19" t="s">
        <v>677</v>
      </c>
      <c r="J38" s="19" t="s">
        <v>857</v>
      </c>
      <c r="K38" s="19" t="s">
        <v>678</v>
      </c>
      <c r="L38" s="19" t="s">
        <v>872</v>
      </c>
      <c r="M38" s="214"/>
      <c r="N38" s="141">
        <v>45826</v>
      </c>
      <c r="O38" s="42" t="s">
        <v>99</v>
      </c>
    </row>
    <row r="39" spans="1:16" s="111" customFormat="1" ht="20.100000000000001" customHeight="1">
      <c r="B39" s="129" t="s">
        <v>699</v>
      </c>
      <c r="C39" s="11" t="s">
        <v>679</v>
      </c>
      <c r="D39" s="11">
        <v>3</v>
      </c>
      <c r="E39" s="11" t="s">
        <v>324</v>
      </c>
      <c r="F39" s="11" t="s">
        <v>680</v>
      </c>
      <c r="G39" s="11"/>
      <c r="H39" s="11"/>
      <c r="I39" s="11"/>
      <c r="J39" s="11"/>
      <c r="K39" s="11" t="s">
        <v>584</v>
      </c>
      <c r="L39" s="11" t="s">
        <v>681</v>
      </c>
      <c r="M39" s="214"/>
      <c r="N39" s="141">
        <v>45826</v>
      </c>
      <c r="O39" s="42" t="s">
        <v>99</v>
      </c>
    </row>
    <row r="40" spans="1:16" s="111" customFormat="1" ht="20.100000000000001" customHeight="1">
      <c r="B40" s="129" t="s">
        <v>699</v>
      </c>
      <c r="C40" s="11" t="s">
        <v>92</v>
      </c>
      <c r="D40" s="11">
        <v>4</v>
      </c>
      <c r="E40" s="11" t="s">
        <v>93</v>
      </c>
      <c r="F40" s="11" t="s">
        <v>682</v>
      </c>
      <c r="G40" s="11" t="s">
        <v>95</v>
      </c>
      <c r="H40" s="11" t="s">
        <v>95</v>
      </c>
      <c r="I40" s="19" t="s">
        <v>677</v>
      </c>
      <c r="J40" s="19" t="s">
        <v>857</v>
      </c>
      <c r="K40" s="19" t="s">
        <v>683</v>
      </c>
      <c r="L40" s="19" t="s">
        <v>866</v>
      </c>
      <c r="M40" s="215"/>
      <c r="N40" s="141">
        <v>45826</v>
      </c>
      <c r="O40" s="42" t="s">
        <v>99</v>
      </c>
    </row>
    <row r="41" spans="1:16"/>
    <row r="42" spans="1:16">
      <c r="B42" s="69" t="s">
        <v>684</v>
      </c>
    </row>
    <row r="43" spans="1:16" ht="15" customHeight="1">
      <c r="B43" s="136" t="s">
        <v>685</v>
      </c>
    </row>
    <row r="44" spans="1:16" ht="15" customHeight="1">
      <c r="B44" s="138" t="s">
        <v>670</v>
      </c>
      <c r="C44" s="138" t="s">
        <v>700</v>
      </c>
      <c r="D44" s="138" t="s">
        <v>679</v>
      </c>
      <c r="E44" s="138" t="s">
        <v>92</v>
      </c>
    </row>
    <row r="45" spans="1:16" ht="15" customHeight="1">
      <c r="B45" s="216" t="s">
        <v>686</v>
      </c>
      <c r="C45" s="137">
        <v>1</v>
      </c>
      <c r="D45" s="137">
        <v>1</v>
      </c>
      <c r="E45" s="139" t="s">
        <v>687</v>
      </c>
    </row>
    <row r="46" spans="1:16" ht="15" customHeight="1">
      <c r="B46" s="217"/>
      <c r="C46" s="137">
        <v>11</v>
      </c>
      <c r="D46" s="137">
        <v>2</v>
      </c>
      <c r="E46" s="139" t="s">
        <v>867</v>
      </c>
    </row>
    <row r="47" spans="1:16" ht="15" customHeight="1">
      <c r="B47" s="217"/>
      <c r="C47" s="137">
        <v>1</v>
      </c>
      <c r="D47" s="137">
        <v>3</v>
      </c>
      <c r="E47" s="139" t="s">
        <v>863</v>
      </c>
    </row>
    <row r="48" spans="1:16" ht="15" customHeight="1">
      <c r="B48" s="218"/>
      <c r="C48" s="137">
        <v>11</v>
      </c>
      <c r="D48" s="137">
        <v>4</v>
      </c>
      <c r="E48" s="139" t="s">
        <v>868</v>
      </c>
    </row>
    <row r="49" spans="2:5" ht="15" customHeight="1">
      <c r="B49" s="140" t="s">
        <v>688</v>
      </c>
      <c r="C49" s="137">
        <v>11</v>
      </c>
      <c r="D49" s="137">
        <v>1</v>
      </c>
      <c r="E49" s="139" t="s">
        <v>689</v>
      </c>
    </row>
    <row r="50" spans="2:5" ht="15" customHeight="1">
      <c r="B50" s="139" t="s">
        <v>692</v>
      </c>
      <c r="C50" s="137">
        <v>11</v>
      </c>
      <c r="D50" s="137">
        <v>1</v>
      </c>
      <c r="E50" s="139" t="s">
        <v>861</v>
      </c>
    </row>
    <row r="102" spans="11:11" ht="15" customHeight="1">
      <c r="K102" t="s">
        <v>702</v>
      </c>
    </row>
  </sheetData>
  <mergeCells count="2">
    <mergeCell ref="M37:M40"/>
    <mergeCell ref="B45:B48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N38"/>
  <sheetViews>
    <sheetView showGridLines="0" workbookViewId="0">
      <pane ySplit="5" topLeftCell="A6" activePane="bottomLeft" state="frozen"/>
      <selection activeCell="A6" sqref="A6"/>
      <selection pane="bottomLeft" activeCell="C37" sqref="C37"/>
    </sheetView>
  </sheetViews>
  <sheetFormatPr defaultColWidth="8.5703125" defaultRowHeight="15" custom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4" customWidth="1"/>
    <col min="15" max="16" width="0" hidden="1" customWidth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24" customFormat="1" ht="15" customHeight="1">
      <c r="A5" s="168"/>
      <c r="B5" s="33" t="s">
        <v>703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24" customFormat="1" ht="15" customHeight="1">
      <c r="A8" s="168"/>
      <c r="B8" s="37" t="s">
        <v>704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37" t="s">
        <v>705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37" t="s">
        <v>706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119" t="s">
        <v>707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15" customHeight="1">
      <c r="A14" s="168"/>
      <c r="B14" s="119" t="s">
        <v>708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38" t="s">
        <v>709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24" customFormat="1" ht="5.0999999999999996" customHeight="1">
      <c r="A16" s="168"/>
      <c r="B16" s="37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24" customFormat="1" ht="15" customHeight="1">
      <c r="A17" s="168"/>
      <c r="B17" s="36" t="s">
        <v>56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24" customFormat="1" ht="15" customHeight="1">
      <c r="A18" s="168"/>
      <c r="B18" s="37" t="s">
        <v>710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68"/>
    </row>
    <row r="19" spans="1:14" s="24" customFormat="1" ht="15" customHeight="1">
      <c r="A19" s="168"/>
      <c r="B19" s="96" t="s">
        <v>711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8"/>
    </row>
    <row r="20" spans="1:14" s="24" customFormat="1" ht="15" customHeight="1">
      <c r="A20" s="168"/>
      <c r="B20" s="37" t="s">
        <v>712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68"/>
    </row>
    <row r="21" spans="1:14" s="24" customFormat="1" ht="5.0999999999999996" customHeight="1">
      <c r="A21" s="168"/>
      <c r="B21" s="37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68"/>
    </row>
    <row r="22" spans="1:14" s="24" customFormat="1" ht="15" customHeight="1">
      <c r="A22" s="168"/>
      <c r="B22" s="36" t="s">
        <v>60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68"/>
    </row>
    <row r="23" spans="1:14" s="24" customFormat="1" ht="15" customHeight="1">
      <c r="A23" s="168"/>
      <c r="B23" s="37" t="s">
        <v>713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68"/>
    </row>
    <row r="24" spans="1:14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68"/>
    </row>
    <row r="25" spans="1:14" s="24" customFormat="1" ht="15" customHeight="1">
      <c r="A25" s="168"/>
      <c r="B25" s="36" t="s">
        <v>66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68"/>
    </row>
    <row r="26" spans="1:14" s="24" customFormat="1" ht="15" customHeight="1">
      <c r="A26" s="168"/>
      <c r="B26" s="38" t="s">
        <v>714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24" customFormat="1" ht="15" customHeight="1">
      <c r="A27" s="168"/>
      <c r="B27" s="38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/>
    </row>
    <row r="28" spans="1:14" s="24" customFormat="1" ht="15" customHeight="1">
      <c r="A28" s="168"/>
      <c r="B28" s="37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24" customFormat="1" ht="12.75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</row>
    <row r="30" spans="1:14" s="24" customFormat="1" ht="12.75">
      <c r="A30" s="168"/>
      <c r="B30" s="25" t="s">
        <v>72</v>
      </c>
      <c r="C30" s="169">
        <f>COUNTA(C33:C72)</f>
        <v>6</v>
      </c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</row>
    <row r="31" spans="1:14" s="24" customFormat="1" ht="12.75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</row>
    <row r="32" spans="1:14" s="110" customFormat="1" ht="15" customHeight="1"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79</v>
      </c>
      <c r="H32" s="5" t="s">
        <v>80</v>
      </c>
      <c r="I32" s="39" t="s">
        <v>81</v>
      </c>
      <c r="J32" s="40" t="s">
        <v>82</v>
      </c>
      <c r="K32" s="39" t="s">
        <v>83</v>
      </c>
      <c r="L32" s="39" t="s">
        <v>84</v>
      </c>
      <c r="M32" s="39" t="s">
        <v>85</v>
      </c>
    </row>
    <row r="33" spans="2:13" s="111" customFormat="1" ht="20.100000000000001" customHeight="1">
      <c r="B33" s="129" t="s">
        <v>715</v>
      </c>
      <c r="C33" s="11" t="s">
        <v>670</v>
      </c>
      <c r="D33" s="11">
        <v>1</v>
      </c>
      <c r="E33" s="11" t="s">
        <v>93</v>
      </c>
      <c r="F33" s="11" t="s">
        <v>671</v>
      </c>
      <c r="G33" s="11" t="s">
        <v>95</v>
      </c>
      <c r="H33" s="11"/>
      <c r="I33" s="19" t="s">
        <v>421</v>
      </c>
      <c r="J33" s="11" t="s">
        <v>340</v>
      </c>
      <c r="K33" s="11" t="s">
        <v>299</v>
      </c>
      <c r="L33" s="11" t="s">
        <v>299</v>
      </c>
      <c r="M33" s="219" t="s">
        <v>716</v>
      </c>
    </row>
    <row r="34" spans="2:13" s="111" customFormat="1" ht="20.100000000000001" customHeight="1">
      <c r="B34" s="129" t="s">
        <v>715</v>
      </c>
      <c r="C34" s="11" t="s">
        <v>164</v>
      </c>
      <c r="D34" s="11">
        <v>2</v>
      </c>
      <c r="E34" s="11" t="s">
        <v>93</v>
      </c>
      <c r="F34" s="11" t="s">
        <v>717</v>
      </c>
      <c r="G34" s="11"/>
      <c r="H34" s="11"/>
      <c r="I34" s="19" t="s">
        <v>421</v>
      </c>
      <c r="J34" s="11" t="s">
        <v>340</v>
      </c>
      <c r="K34" s="11" t="s">
        <v>164</v>
      </c>
      <c r="L34" s="11" t="s">
        <v>164</v>
      </c>
      <c r="M34" s="220"/>
    </row>
    <row r="35" spans="2:13" s="111" customFormat="1" ht="20.100000000000001" customHeight="1">
      <c r="B35" s="129" t="s">
        <v>715</v>
      </c>
      <c r="C35" s="11" t="s">
        <v>679</v>
      </c>
      <c r="D35" s="11">
        <v>3</v>
      </c>
      <c r="E35" s="11" t="s">
        <v>324</v>
      </c>
      <c r="F35" s="19" t="s">
        <v>718</v>
      </c>
      <c r="G35" s="11"/>
      <c r="H35" s="11"/>
      <c r="I35" s="11"/>
      <c r="J35" s="11"/>
      <c r="K35" s="11" t="s">
        <v>584</v>
      </c>
      <c r="L35" s="11" t="s">
        <v>679</v>
      </c>
      <c r="M35" s="220"/>
    </row>
    <row r="36" spans="2:13" s="111" customFormat="1" ht="20.100000000000001" customHeight="1">
      <c r="B36" s="129" t="s">
        <v>715</v>
      </c>
      <c r="C36" s="11" t="s">
        <v>158</v>
      </c>
      <c r="D36" s="11">
        <v>4</v>
      </c>
      <c r="E36" s="11" t="s">
        <v>93</v>
      </c>
      <c r="F36" s="9" t="s">
        <v>326</v>
      </c>
      <c r="G36" s="11" t="s">
        <v>95</v>
      </c>
      <c r="H36" s="11" t="s">
        <v>95</v>
      </c>
      <c r="I36" s="19" t="s">
        <v>421</v>
      </c>
      <c r="J36" s="11" t="s">
        <v>340</v>
      </c>
      <c r="K36" s="11" t="s">
        <v>158</v>
      </c>
      <c r="L36" s="19" t="s">
        <v>719</v>
      </c>
      <c r="M36" s="220"/>
    </row>
    <row r="37" spans="2:13" s="111" customFormat="1" ht="20.100000000000001" customHeight="1">
      <c r="B37" s="129" t="s">
        <v>715</v>
      </c>
      <c r="C37" s="11" t="s">
        <v>226</v>
      </c>
      <c r="D37" s="11">
        <v>5</v>
      </c>
      <c r="E37" s="11" t="s">
        <v>93</v>
      </c>
      <c r="F37" s="11" t="s">
        <v>227</v>
      </c>
      <c r="G37" s="11" t="s">
        <v>95</v>
      </c>
      <c r="H37" s="11" t="s">
        <v>95</v>
      </c>
      <c r="I37" s="19" t="s">
        <v>421</v>
      </c>
      <c r="J37" s="11" t="s">
        <v>340</v>
      </c>
      <c r="K37" s="11" t="s">
        <v>226</v>
      </c>
      <c r="L37" s="11" t="s">
        <v>226</v>
      </c>
      <c r="M37" s="220"/>
    </row>
    <row r="38" spans="2:13" s="111" customFormat="1" ht="20.100000000000001" customHeight="1">
      <c r="B38" s="129" t="s">
        <v>715</v>
      </c>
      <c r="C38" s="11" t="s">
        <v>231</v>
      </c>
      <c r="D38" s="11">
        <v>6</v>
      </c>
      <c r="E38" s="11" t="s">
        <v>93</v>
      </c>
      <c r="F38" s="11" t="s">
        <v>232</v>
      </c>
      <c r="G38" s="11" t="s">
        <v>95</v>
      </c>
      <c r="H38" s="11" t="s">
        <v>95</v>
      </c>
      <c r="I38" s="19" t="s">
        <v>421</v>
      </c>
      <c r="J38" s="11" t="s">
        <v>340</v>
      </c>
      <c r="K38" s="11" t="s">
        <v>231</v>
      </c>
      <c r="L38" s="11" t="s">
        <v>231</v>
      </c>
      <c r="M38" s="220"/>
    </row>
  </sheetData>
  <mergeCells count="1">
    <mergeCell ref="M33:M3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N39"/>
  <sheetViews>
    <sheetView showGridLines="0" topLeftCell="B1" workbookViewId="0">
      <pane ySplit="5" topLeftCell="A30" activePane="bottomLeft" state="frozen"/>
      <selection activeCell="K100" sqref="K100"/>
      <selection pane="bottomLeft" activeCell="C36" sqref="C36"/>
    </sheetView>
  </sheetViews>
  <sheetFormatPr defaultColWidth="8.5703125" defaultRowHeight="15" custom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4" customWidth="1"/>
    <col min="15" max="16" width="0" hidden="1" customWidth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24" customFormat="1" ht="15" customHeight="1">
      <c r="A5" s="168"/>
      <c r="B5" s="33" t="s">
        <v>720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24" customFormat="1" ht="15" customHeight="1">
      <c r="A8" s="168"/>
      <c r="B8" s="37" t="s">
        <v>721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37" t="s">
        <v>722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37" t="s">
        <v>723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119" t="s">
        <v>724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15" customHeight="1">
      <c r="A14" s="168"/>
      <c r="B14" s="119" t="s">
        <v>725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38" t="s">
        <v>726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24" customFormat="1" ht="5.0999999999999996" customHeight="1">
      <c r="A16" s="168"/>
      <c r="B16" s="37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24" customFormat="1" ht="15" customHeight="1">
      <c r="A17" s="168"/>
      <c r="B17" s="36" t="s">
        <v>56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24" customFormat="1" ht="15" customHeight="1">
      <c r="A18" s="168"/>
      <c r="B18" s="37" t="s">
        <v>727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68"/>
    </row>
    <row r="19" spans="1:14" s="24" customFormat="1" ht="15" customHeight="1">
      <c r="A19" s="168"/>
      <c r="B19" s="96" t="s">
        <v>728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8"/>
    </row>
    <row r="20" spans="1:14" s="24" customFormat="1" ht="15" customHeight="1">
      <c r="A20" s="168"/>
      <c r="B20" s="37" t="s">
        <v>729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68"/>
    </row>
    <row r="21" spans="1:14" s="24" customFormat="1" ht="5.0999999999999996" customHeight="1">
      <c r="A21" s="168"/>
      <c r="B21" s="37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68"/>
    </row>
    <row r="22" spans="1:14" s="24" customFormat="1" ht="15" customHeight="1">
      <c r="A22" s="168"/>
      <c r="B22" s="36" t="s">
        <v>60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68"/>
    </row>
    <row r="23" spans="1:14" s="24" customFormat="1" ht="15" customHeight="1">
      <c r="A23" s="168"/>
      <c r="B23" s="37" t="s">
        <v>730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68"/>
    </row>
    <row r="24" spans="1:14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68"/>
    </row>
    <row r="25" spans="1:14" s="24" customFormat="1" ht="15" customHeight="1">
      <c r="A25" s="168"/>
      <c r="B25" s="36" t="s">
        <v>66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68"/>
    </row>
    <row r="26" spans="1:14" s="24" customFormat="1" ht="15" customHeight="1">
      <c r="A26" s="168"/>
      <c r="B26" s="38" t="s">
        <v>731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24" customFormat="1" ht="15" customHeight="1">
      <c r="A27" s="168"/>
      <c r="B27" s="38" t="s">
        <v>732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/>
    </row>
    <row r="28" spans="1:14" s="24" customFormat="1" ht="15" customHeight="1">
      <c r="A28" s="168"/>
      <c r="B28" s="38" t="s">
        <v>733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24" customFormat="1" ht="15" customHeight="1">
      <c r="A29" s="168"/>
      <c r="B29" s="38" t="s">
        <v>734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8"/>
    </row>
    <row r="30" spans="1:14" s="24" customFormat="1" ht="15" customHeight="1">
      <c r="A30" s="168"/>
      <c r="B30" s="38" t="s">
        <v>735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68"/>
    </row>
    <row r="31" spans="1:14" s="24" customFormat="1" ht="15" customHeight="1">
      <c r="A31" s="168"/>
      <c r="B31" s="37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68"/>
    </row>
    <row r="32" spans="1:14" s="24" customFormat="1" ht="12.75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</row>
    <row r="33" spans="1:14" s="24" customFormat="1" ht="12.75">
      <c r="A33" s="168"/>
      <c r="B33" s="25" t="s">
        <v>72</v>
      </c>
      <c r="C33" s="169">
        <f>COUNTA(C36:C73)</f>
        <v>4</v>
      </c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</row>
    <row r="34" spans="1:14" s="24" customFormat="1" ht="12.75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</row>
    <row r="35" spans="1:14" s="110" customFormat="1" ht="15" customHeight="1"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79</v>
      </c>
      <c r="H35" s="5" t="s">
        <v>80</v>
      </c>
      <c r="I35" s="39" t="s">
        <v>736</v>
      </c>
      <c r="J35" s="40" t="s">
        <v>82</v>
      </c>
      <c r="K35" s="39" t="s">
        <v>83</v>
      </c>
      <c r="L35" s="39" t="s">
        <v>84</v>
      </c>
      <c r="M35" s="39" t="s">
        <v>85</v>
      </c>
    </row>
    <row r="36" spans="1:14" s="111" customFormat="1" ht="20.100000000000001" customHeight="1">
      <c r="B36" s="129" t="s">
        <v>737</v>
      </c>
      <c r="C36" s="11" t="s">
        <v>738</v>
      </c>
      <c r="D36" s="11">
        <v>1</v>
      </c>
      <c r="E36" s="11" t="s">
        <v>93</v>
      </c>
      <c r="F36" s="11" t="s">
        <v>739</v>
      </c>
      <c r="G36" s="11" t="s">
        <v>95</v>
      </c>
      <c r="H36" s="11"/>
      <c r="I36" s="112" t="s">
        <v>740</v>
      </c>
      <c r="J36" s="130" t="s">
        <v>741</v>
      </c>
      <c r="K36" s="130" t="s">
        <v>738</v>
      </c>
      <c r="L36" s="130" t="s">
        <v>742</v>
      </c>
      <c r="M36" s="221" t="s">
        <v>743</v>
      </c>
    </row>
    <row r="37" spans="1:14" s="111" customFormat="1" ht="20.100000000000001" customHeight="1">
      <c r="B37" s="129" t="s">
        <v>737</v>
      </c>
      <c r="C37" s="11" t="s">
        <v>744</v>
      </c>
      <c r="D37" s="11">
        <v>2</v>
      </c>
      <c r="E37" s="11" t="s">
        <v>93</v>
      </c>
      <c r="F37" s="11" t="s">
        <v>745</v>
      </c>
      <c r="G37" s="11"/>
      <c r="H37" s="11"/>
      <c r="I37" s="112" t="s">
        <v>746</v>
      </c>
      <c r="J37" s="112" t="s">
        <v>747</v>
      </c>
      <c r="K37" s="130" t="s">
        <v>744</v>
      </c>
      <c r="L37" s="112" t="s">
        <v>748</v>
      </c>
      <c r="M37" s="222"/>
    </row>
    <row r="38" spans="1:14" s="111" customFormat="1" ht="20.100000000000001" customHeight="1">
      <c r="B38" s="129" t="s">
        <v>737</v>
      </c>
      <c r="C38" s="11" t="s">
        <v>679</v>
      </c>
      <c r="D38" s="11">
        <v>3</v>
      </c>
      <c r="E38" s="11" t="s">
        <v>324</v>
      </c>
      <c r="F38" s="19" t="s">
        <v>749</v>
      </c>
      <c r="G38" s="11"/>
      <c r="H38" s="11"/>
      <c r="I38" s="130" t="s">
        <v>584</v>
      </c>
      <c r="J38" s="130" t="s">
        <v>584</v>
      </c>
      <c r="K38" s="130" t="s">
        <v>584</v>
      </c>
      <c r="L38" s="130" t="s">
        <v>679</v>
      </c>
      <c r="M38" s="222"/>
    </row>
    <row r="39" spans="1:14" s="111" customFormat="1" ht="20.100000000000001" customHeight="1">
      <c r="B39" s="129" t="s">
        <v>737</v>
      </c>
      <c r="C39" s="11" t="s">
        <v>750</v>
      </c>
      <c r="D39" s="11">
        <v>4</v>
      </c>
      <c r="E39" s="11" t="s">
        <v>93</v>
      </c>
      <c r="F39" s="9" t="s">
        <v>751</v>
      </c>
      <c r="G39" s="11" t="s">
        <v>95</v>
      </c>
      <c r="H39" s="11" t="s">
        <v>95</v>
      </c>
      <c r="I39" s="112" t="s">
        <v>740</v>
      </c>
      <c r="J39" s="130" t="s">
        <v>741</v>
      </c>
      <c r="K39" s="130" t="s">
        <v>750</v>
      </c>
      <c r="L39" s="130" t="s">
        <v>750</v>
      </c>
      <c r="M39" s="222"/>
    </row>
  </sheetData>
  <mergeCells count="1">
    <mergeCell ref="M36:M39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BC35-8CA7-41B5-99E9-E737EB03FDCD}">
  <dimension ref="A1:Q82"/>
  <sheetViews>
    <sheetView showGridLines="0" zoomScale="80" zoomScaleNormal="80" workbookViewId="0">
      <pane ySplit="5" topLeftCell="A26" activePane="bottomLeft" state="frozen"/>
      <selection activeCell="A6" sqref="A6"/>
      <selection pane="bottomLeft" activeCell="C32" sqref="C32"/>
    </sheetView>
  </sheetViews>
  <sheetFormatPr defaultColWidth="0" defaultRowHeight="15" customHeight="1" zeroHeight="1"/>
  <cols>
    <col min="1" max="1" width="4" customWidth="1"/>
    <col min="2" max="2" width="23.42578125" customWidth="1"/>
    <col min="3" max="3" width="42.5703125" customWidth="1"/>
    <col min="4" max="4" width="15.5703125" customWidth="1"/>
    <col min="5" max="5" width="12.42578125" bestFit="1" customWidth="1"/>
    <col min="6" max="6" width="41" customWidth="1"/>
    <col min="7" max="11" width="25.5703125" customWidth="1"/>
    <col min="12" max="13" width="50.5703125" customWidth="1"/>
    <col min="14" max="14" width="5.5703125" bestFit="1" customWidth="1"/>
    <col min="15" max="16" width="0" hidden="1" customWidth="1"/>
    <col min="17" max="17" width="8.5703125" customWidth="1"/>
    <col min="18" max="16384" width="8.5703125" hidden="1"/>
  </cols>
  <sheetData>
    <row r="1" spans="1:16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s="24" customFormat="1" ht="15" customHeight="1">
      <c r="A5" s="168"/>
      <c r="B5" s="33" t="s">
        <v>849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6" s="24" customFormat="1" ht="15" customHeight="1">
      <c r="A8" s="168"/>
      <c r="B8" s="37" t="s">
        <v>753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6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6" s="24" customFormat="1" ht="15" customHeight="1">
      <c r="A11" s="168"/>
      <c r="B11" s="119" t="s">
        <v>846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6" s="24" customFormat="1" ht="15" customHeight="1">
      <c r="A12" s="168"/>
      <c r="B12" s="119" t="s">
        <v>847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6" s="24" customFormat="1" ht="5.0999999999999996" customHeight="1">
      <c r="A13" s="168"/>
      <c r="B13" s="119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6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68"/>
    </row>
    <row r="15" spans="1:16" s="24" customFormat="1" ht="15" customHeight="1">
      <c r="A15" s="168"/>
      <c r="B15" s="36" t="s">
        <v>56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68"/>
    </row>
    <row r="16" spans="1:16" s="24" customFormat="1" ht="15" customHeight="1">
      <c r="A16" s="168"/>
      <c r="B16" s="37" t="s">
        <v>798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68"/>
    </row>
    <row r="17" spans="1:16" s="24" customFormat="1" ht="15" customHeight="1">
      <c r="A17" s="168"/>
      <c r="B17" s="96" t="s">
        <v>663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68"/>
    </row>
    <row r="18" spans="1:16" s="24" customFormat="1" ht="15" customHeight="1">
      <c r="A18" s="168"/>
      <c r="B18" s="37" t="s">
        <v>698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68"/>
    </row>
    <row r="19" spans="1:16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68"/>
    </row>
    <row r="20" spans="1:16" s="24" customFormat="1" ht="15" customHeight="1">
      <c r="A20" s="168"/>
      <c r="B20" s="36" t="s">
        <v>60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68"/>
    </row>
    <row r="21" spans="1:16" s="24" customFormat="1" ht="15" customHeight="1">
      <c r="A21" s="168"/>
      <c r="B21" s="37" t="s">
        <v>665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68"/>
    </row>
    <row r="22" spans="1:16" s="24" customFormat="1" ht="5.0999999999999996" customHeight="1">
      <c r="A22" s="168"/>
      <c r="B22" s="37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68"/>
    </row>
    <row r="23" spans="1:16" s="24" customFormat="1" ht="15" customHeight="1">
      <c r="A23" s="168"/>
      <c r="B23" s="36" t="s">
        <v>66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68"/>
    </row>
    <row r="24" spans="1:16" s="24" customFormat="1" ht="15" customHeight="1">
      <c r="A24" s="168"/>
      <c r="B24" s="38" t="s">
        <v>666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2.75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</row>
    <row r="26" spans="1:16" ht="15" customHeight="1"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</row>
    <row r="27" spans="1:16" ht="15" customHeight="1">
      <c r="B27" s="5" t="s">
        <v>74</v>
      </c>
      <c r="C27" s="5" t="s">
        <v>75</v>
      </c>
      <c r="D27" s="5" t="s">
        <v>76</v>
      </c>
      <c r="E27" s="5" t="s">
        <v>77</v>
      </c>
      <c r="F27" s="5" t="s">
        <v>78</v>
      </c>
      <c r="G27" s="5" t="s">
        <v>79</v>
      </c>
      <c r="H27" s="5" t="s">
        <v>80</v>
      </c>
      <c r="I27" s="39" t="s">
        <v>81</v>
      </c>
      <c r="J27" s="40" t="s">
        <v>82</v>
      </c>
      <c r="K27" s="39" t="s">
        <v>83</v>
      </c>
      <c r="L27" s="39" t="s">
        <v>84</v>
      </c>
      <c r="M27" s="39" t="s">
        <v>85</v>
      </c>
      <c r="N27" s="41" t="s">
        <v>87</v>
      </c>
    </row>
    <row r="28" spans="1:16" ht="15" customHeight="1">
      <c r="B28" s="6" t="s">
        <v>783</v>
      </c>
      <c r="C28" s="6" t="s">
        <v>670</v>
      </c>
      <c r="D28" s="11">
        <v>1</v>
      </c>
      <c r="E28" s="11" t="s">
        <v>93</v>
      </c>
      <c r="F28" s="11" t="s">
        <v>765</v>
      </c>
      <c r="G28" s="11" t="s">
        <v>95</v>
      </c>
      <c r="H28" s="11"/>
      <c r="I28" s="19" t="s">
        <v>96</v>
      </c>
      <c r="J28" s="130" t="s">
        <v>838</v>
      </c>
      <c r="K28" s="100" t="s">
        <v>840</v>
      </c>
      <c r="L28" s="100" t="s">
        <v>841</v>
      </c>
      <c r="M28" s="219" t="s">
        <v>848</v>
      </c>
      <c r="N28" s="42"/>
    </row>
    <row r="29" spans="1:16" ht="15" customHeight="1">
      <c r="B29" s="6" t="s">
        <v>783</v>
      </c>
      <c r="C29" s="6" t="s">
        <v>786</v>
      </c>
      <c r="D29" s="11">
        <v>2</v>
      </c>
      <c r="E29" s="11" t="s">
        <v>93</v>
      </c>
      <c r="F29" s="19" t="s">
        <v>771</v>
      </c>
      <c r="G29" s="11"/>
      <c r="H29" s="11"/>
      <c r="I29" s="19" t="s">
        <v>96</v>
      </c>
      <c r="J29" s="130" t="s">
        <v>838</v>
      </c>
      <c r="K29" s="176" t="s">
        <v>770</v>
      </c>
      <c r="L29" s="176" t="s">
        <v>842</v>
      </c>
      <c r="M29" s="223"/>
      <c r="N29" s="42"/>
    </row>
    <row r="30" spans="1:16" ht="15" customHeight="1">
      <c r="B30" s="6" t="s">
        <v>783</v>
      </c>
      <c r="C30" s="6" t="s">
        <v>815</v>
      </c>
      <c r="D30" s="11">
        <v>3</v>
      </c>
      <c r="E30" s="11" t="s">
        <v>93</v>
      </c>
      <c r="F30" s="9" t="s">
        <v>788</v>
      </c>
      <c r="G30" s="11"/>
      <c r="H30" s="11"/>
      <c r="I30" s="19" t="s">
        <v>96</v>
      </c>
      <c r="J30" s="130" t="s">
        <v>838</v>
      </c>
      <c r="K30" s="100" t="s">
        <v>843</v>
      </c>
      <c r="L30" s="100" t="s">
        <v>844</v>
      </c>
      <c r="M30" s="223"/>
      <c r="N30" s="42"/>
    </row>
    <row r="31" spans="1:16" ht="15" customHeight="1">
      <c r="B31" s="6" t="s">
        <v>783</v>
      </c>
      <c r="C31" s="6" t="s">
        <v>92</v>
      </c>
      <c r="D31" s="11">
        <v>4</v>
      </c>
      <c r="E31" s="11" t="s">
        <v>93</v>
      </c>
      <c r="F31" s="11" t="s">
        <v>682</v>
      </c>
      <c r="G31" s="11" t="s">
        <v>95</v>
      </c>
      <c r="H31" s="11" t="s">
        <v>95</v>
      </c>
      <c r="I31" s="19" t="s">
        <v>96</v>
      </c>
      <c r="J31" s="130" t="s">
        <v>838</v>
      </c>
      <c r="K31" s="100" t="s">
        <v>845</v>
      </c>
      <c r="L31" s="100" t="s">
        <v>839</v>
      </c>
      <c r="M31" s="223"/>
      <c r="N31" s="42"/>
    </row>
    <row r="32" spans="1:16" ht="15" customHeight="1">
      <c r="B32" s="43"/>
      <c r="C32" s="43"/>
      <c r="D32" s="69"/>
      <c r="E32" s="69"/>
      <c r="F32" s="69"/>
      <c r="G32" s="69"/>
      <c r="H32" s="69"/>
      <c r="I32" s="47"/>
      <c r="J32" s="147"/>
      <c r="K32" s="47"/>
      <c r="L32" s="47"/>
      <c r="M32" s="148"/>
      <c r="N32" s="71"/>
    </row>
    <row r="33" spans="2:14" ht="15" customHeight="1">
      <c r="B33" s="43"/>
      <c r="C33" s="43"/>
      <c r="D33" s="69"/>
      <c r="E33" s="69"/>
      <c r="F33" s="69"/>
      <c r="G33" s="69"/>
      <c r="H33" s="69"/>
      <c r="I33" s="47"/>
      <c r="J33" s="147"/>
      <c r="K33" s="47"/>
      <c r="L33" s="47"/>
      <c r="M33" s="148"/>
      <c r="N33" s="71"/>
    </row>
    <row r="34" spans="2:14" ht="15" customHeight="1"/>
    <row r="35" spans="2:14" ht="15" customHeight="1"/>
    <row r="36" spans="2:14" ht="15" customHeight="1"/>
    <row r="37" spans="2:14" ht="15" hidden="1" customHeight="1">
      <c r="B37" s="116"/>
      <c r="C37" s="116"/>
    </row>
    <row r="38" spans="2:14" ht="310.5" hidden="1" customHeight="1">
      <c r="B38" s="120"/>
      <c r="C38" s="118"/>
    </row>
    <row r="39" spans="2:14" ht="15" customHeight="1"/>
    <row r="40" spans="2:14" ht="15" customHeight="1"/>
    <row r="41" spans="2:14" ht="15" customHeight="1"/>
    <row r="42" spans="2:14" ht="15" customHeight="1"/>
    <row r="43" spans="2:14" ht="15" customHeight="1"/>
    <row r="44" spans="2:14" ht="15" customHeight="1"/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8" ht="15" customHeight="1"/>
    <row r="79" ht="15" customHeight="1"/>
    <row r="80" ht="15" customHeight="1"/>
    <row r="81" ht="15" customHeight="1"/>
    <row r="82" ht="15" customHeight="1"/>
  </sheetData>
  <mergeCells count="1">
    <mergeCell ref="M28:M31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70"/>
  <sheetViews>
    <sheetView showGridLines="0" zoomScale="80" zoomScaleNormal="80" workbookViewId="0">
      <pane ySplit="5" topLeftCell="A6" activePane="bottomLeft" state="frozen"/>
      <selection activeCell="A6" sqref="A6"/>
      <selection pane="bottomLeft" activeCell="B11" sqref="B11"/>
    </sheetView>
  </sheetViews>
  <sheetFormatPr defaultColWidth="0" defaultRowHeight="15" customHeight="1" zeroHeight="1"/>
  <cols>
    <col min="1" max="1" width="4" customWidth="1"/>
    <col min="2" max="2" width="23.42578125" customWidth="1"/>
    <col min="3" max="3" width="42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5.5703125" bestFit="1" customWidth="1"/>
    <col min="15" max="16" width="0" hidden="1" customWidth="1"/>
    <col min="17" max="17" width="8.5703125" customWidth="1"/>
    <col min="18" max="16384" width="8.5703125" hidden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24" customFormat="1" ht="15" customHeight="1">
      <c r="A5" s="168"/>
      <c r="B5" s="33" t="s">
        <v>752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24" customFormat="1" ht="15" customHeight="1">
      <c r="A8" s="168"/>
      <c r="B8" s="37" t="s">
        <v>753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119" t="s">
        <v>754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224" t="s">
        <v>755</v>
      </c>
      <c r="C12" s="224"/>
      <c r="D12" s="224"/>
      <c r="E12" s="224"/>
      <c r="F12" s="22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224"/>
      <c r="C13" s="224"/>
      <c r="D13" s="224"/>
      <c r="E13" s="224"/>
      <c r="F13" s="22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36" t="s">
        <v>66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24" customFormat="1" ht="15" customHeight="1">
      <c r="A16" s="168"/>
      <c r="B16" s="37" t="s">
        <v>756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24" customFormat="1" ht="15" customHeight="1">
      <c r="A17" s="168"/>
      <c r="B17" s="146" t="s">
        <v>757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24" customFormat="1" ht="12.75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</row>
    <row r="19" spans="1:14" ht="15" customHeight="1">
      <c r="B19" s="65" t="s">
        <v>758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</row>
    <row r="20" spans="1:14" ht="15" customHeight="1">
      <c r="B20" s="36" t="s">
        <v>53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</row>
    <row r="21" spans="1:14" ht="15" customHeight="1">
      <c r="B21" s="38" t="s">
        <v>759</v>
      </c>
      <c r="C21" s="174"/>
      <c r="D21" s="174"/>
      <c r="E21" s="174"/>
      <c r="F21" s="174"/>
      <c r="G21" s="90"/>
      <c r="H21" s="174"/>
      <c r="I21" s="174"/>
      <c r="J21" s="174"/>
      <c r="K21" s="174"/>
      <c r="L21" s="174"/>
      <c r="M21" s="174"/>
      <c r="N21" s="174"/>
    </row>
    <row r="22" spans="1:14" ht="15" customHeight="1">
      <c r="B22" s="38" t="s">
        <v>760</v>
      </c>
      <c r="C22" s="174"/>
      <c r="D22" s="174"/>
      <c r="E22" s="174"/>
      <c r="F22" s="174"/>
      <c r="G22" s="90"/>
      <c r="H22" s="174"/>
      <c r="I22" s="174"/>
      <c r="J22" s="174"/>
      <c r="K22" s="174"/>
      <c r="L22" s="174"/>
      <c r="M22" s="174"/>
      <c r="N22" s="174"/>
    </row>
    <row r="23" spans="1:14" ht="15" customHeight="1">
      <c r="B23" s="37"/>
      <c r="C23" s="174"/>
      <c r="D23" s="174"/>
      <c r="E23" s="174"/>
      <c r="F23" s="174"/>
      <c r="G23" s="90"/>
      <c r="H23" s="174"/>
      <c r="I23" s="174"/>
      <c r="J23" s="174"/>
      <c r="K23" s="174"/>
      <c r="L23" s="174"/>
      <c r="M23" s="174"/>
      <c r="N23" s="174"/>
    </row>
    <row r="24" spans="1:14" ht="15" customHeight="1">
      <c r="B24" s="36" t="s">
        <v>656</v>
      </c>
      <c r="C24" s="174"/>
      <c r="D24" s="174"/>
      <c r="E24" s="174"/>
      <c r="F24" s="174"/>
      <c r="G24" s="90"/>
      <c r="H24" s="174"/>
      <c r="I24" s="174"/>
      <c r="J24" s="174"/>
      <c r="K24" s="174"/>
      <c r="L24" s="174"/>
      <c r="M24" s="174"/>
      <c r="N24" s="174"/>
    </row>
    <row r="25" spans="1:14" s="24" customFormat="1" ht="15" customHeight="1">
      <c r="A25" s="168"/>
      <c r="B25" s="119" t="s">
        <v>761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</row>
    <row r="26" spans="1:14" ht="15" customHeight="1">
      <c r="B26" s="38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</row>
    <row r="27" spans="1:14" ht="15" customHeight="1">
      <c r="B27" s="36" t="s">
        <v>66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</row>
    <row r="28" spans="1:14" ht="15" customHeight="1">
      <c r="B28" s="38" t="s">
        <v>762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</row>
    <row r="29" spans="1:14" ht="15" customHeight="1"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</row>
    <row r="30" spans="1:14" ht="15" customHeight="1"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78</v>
      </c>
      <c r="G30" s="5" t="s">
        <v>79</v>
      </c>
      <c r="H30" s="5" t="s">
        <v>80</v>
      </c>
      <c r="I30" s="39" t="s">
        <v>81</v>
      </c>
      <c r="J30" s="40" t="s">
        <v>82</v>
      </c>
      <c r="K30" s="39" t="s">
        <v>83</v>
      </c>
      <c r="L30" s="39" t="s">
        <v>84</v>
      </c>
      <c r="M30" s="39" t="s">
        <v>85</v>
      </c>
      <c r="N30" s="41" t="s">
        <v>87</v>
      </c>
    </row>
    <row r="31" spans="1:14" ht="15" customHeight="1">
      <c r="B31" s="6" t="s">
        <v>763</v>
      </c>
      <c r="C31" s="6" t="s">
        <v>764</v>
      </c>
      <c r="D31" s="11">
        <v>1</v>
      </c>
      <c r="E31" s="11" t="s">
        <v>93</v>
      </c>
      <c r="F31" s="11" t="s">
        <v>765</v>
      </c>
      <c r="G31" s="11" t="s">
        <v>95</v>
      </c>
      <c r="H31" s="11"/>
      <c r="I31" s="19" t="s">
        <v>96</v>
      </c>
      <c r="J31" s="145" t="s">
        <v>766</v>
      </c>
      <c r="K31" s="19" t="s">
        <v>767</v>
      </c>
      <c r="L31" s="19" t="s">
        <v>768</v>
      </c>
      <c r="M31" s="219" t="s">
        <v>769</v>
      </c>
      <c r="N31" s="42"/>
    </row>
    <row r="32" spans="1:14" ht="15" customHeight="1">
      <c r="B32" s="6" t="s">
        <v>763</v>
      </c>
      <c r="C32" s="6" t="s">
        <v>770</v>
      </c>
      <c r="D32" s="11">
        <v>2</v>
      </c>
      <c r="E32" s="11" t="s">
        <v>93</v>
      </c>
      <c r="F32" s="19" t="s">
        <v>771</v>
      </c>
      <c r="G32" s="11"/>
      <c r="H32" s="11"/>
      <c r="I32" s="19" t="s">
        <v>96</v>
      </c>
      <c r="J32" s="145" t="s">
        <v>766</v>
      </c>
      <c r="K32" s="144" t="s">
        <v>770</v>
      </c>
      <c r="L32" s="144" t="s">
        <v>770</v>
      </c>
      <c r="M32" s="223"/>
      <c r="N32" s="42"/>
    </row>
    <row r="33" spans="1:14" ht="15" customHeight="1">
      <c r="B33" s="6" t="s">
        <v>763</v>
      </c>
      <c r="C33" s="6" t="s">
        <v>772</v>
      </c>
      <c r="D33" s="11">
        <v>3</v>
      </c>
      <c r="E33" s="11" t="s">
        <v>93</v>
      </c>
      <c r="F33" s="9" t="s">
        <v>773</v>
      </c>
      <c r="G33" s="11"/>
      <c r="H33" s="11"/>
      <c r="I33" s="19" t="s">
        <v>96</v>
      </c>
      <c r="J33" s="145" t="s">
        <v>766</v>
      </c>
      <c r="K33" s="19" t="s">
        <v>772</v>
      </c>
      <c r="L33" s="19" t="s">
        <v>774</v>
      </c>
      <c r="M33" s="223"/>
      <c r="N33" s="42"/>
    </row>
    <row r="34" spans="1:14" ht="15" customHeight="1">
      <c r="B34" s="6" t="s">
        <v>763</v>
      </c>
      <c r="C34" s="6" t="s">
        <v>388</v>
      </c>
      <c r="D34" s="11">
        <v>4</v>
      </c>
      <c r="E34" s="11" t="s">
        <v>93</v>
      </c>
      <c r="F34" s="11" t="s">
        <v>682</v>
      </c>
      <c r="G34" s="11" t="s">
        <v>95</v>
      </c>
      <c r="H34" s="11" t="s">
        <v>95</v>
      </c>
      <c r="I34" s="19" t="s">
        <v>96</v>
      </c>
      <c r="J34" s="145" t="s">
        <v>766</v>
      </c>
      <c r="K34" s="19" t="s">
        <v>388</v>
      </c>
      <c r="L34" s="19" t="s">
        <v>775</v>
      </c>
      <c r="M34" s="223"/>
      <c r="N34" s="42"/>
    </row>
    <row r="35" spans="1:14" ht="15" customHeight="1">
      <c r="B35" s="43"/>
      <c r="C35" s="43"/>
      <c r="D35" s="69"/>
      <c r="E35" s="69"/>
      <c r="F35" s="69"/>
      <c r="G35" s="69"/>
      <c r="H35" s="69"/>
      <c r="I35" s="47"/>
      <c r="J35" s="147"/>
      <c r="K35" s="47"/>
      <c r="L35" s="47"/>
      <c r="M35" s="148"/>
      <c r="N35" s="71"/>
    </row>
    <row r="36" spans="1:14" ht="15" customHeight="1">
      <c r="B36" s="43"/>
      <c r="C36" s="43"/>
      <c r="D36" s="69"/>
      <c r="E36" s="69"/>
      <c r="F36" s="69"/>
      <c r="G36" s="69"/>
      <c r="H36" s="69"/>
      <c r="I36" s="47"/>
      <c r="J36" s="147"/>
      <c r="K36" s="47"/>
      <c r="L36" s="47"/>
      <c r="M36" s="148"/>
      <c r="N36" s="71"/>
    </row>
    <row r="37" spans="1:14" ht="15" customHeight="1">
      <c r="B37" s="65" t="s">
        <v>776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</row>
    <row r="38" spans="1:14" ht="15" customHeight="1">
      <c r="B38" s="36" t="s">
        <v>53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</row>
    <row r="39" spans="1:14" ht="15" customHeight="1">
      <c r="B39" s="38" t="s">
        <v>753</v>
      </c>
      <c r="C39" s="174"/>
      <c r="D39" s="174"/>
      <c r="E39" s="174"/>
      <c r="F39" s="174"/>
      <c r="G39" s="90"/>
      <c r="H39" s="174"/>
      <c r="I39" s="174"/>
      <c r="J39" s="174"/>
      <c r="K39" s="174"/>
      <c r="L39" s="174"/>
      <c r="M39" s="174"/>
      <c r="N39" s="174"/>
    </row>
    <row r="40" spans="1:14" ht="15" customHeight="1">
      <c r="B40" s="38"/>
      <c r="C40" s="174"/>
      <c r="D40" s="174"/>
      <c r="E40" s="174"/>
      <c r="F40" s="174"/>
      <c r="G40" s="90"/>
      <c r="H40" s="174"/>
      <c r="I40" s="174"/>
      <c r="J40" s="174"/>
      <c r="K40" s="174"/>
      <c r="L40" s="174"/>
      <c r="M40" s="174"/>
      <c r="N40" s="174"/>
    </row>
    <row r="41" spans="1:14" ht="15" customHeight="1">
      <c r="B41" s="36" t="s">
        <v>656</v>
      </c>
      <c r="C41" s="174"/>
      <c r="D41" s="174"/>
      <c r="E41" s="174"/>
      <c r="F41" s="174"/>
      <c r="G41" s="90"/>
      <c r="H41" s="174"/>
      <c r="I41" s="174"/>
      <c r="J41" s="174"/>
      <c r="K41" s="174"/>
      <c r="L41" s="174"/>
      <c r="M41" s="174"/>
      <c r="N41" s="174"/>
    </row>
    <row r="42" spans="1:14" s="24" customFormat="1" ht="15" customHeight="1">
      <c r="A42" s="168"/>
      <c r="B42" s="37" t="s">
        <v>777</v>
      </c>
      <c r="C42" s="149"/>
      <c r="D42" s="149"/>
      <c r="E42" s="149"/>
      <c r="F42" s="149"/>
      <c r="G42" s="174"/>
      <c r="H42" s="174"/>
      <c r="I42" s="174"/>
      <c r="J42" s="174"/>
      <c r="K42" s="174"/>
      <c r="L42" s="174"/>
      <c r="M42" s="174"/>
      <c r="N42" s="168"/>
    </row>
    <row r="43" spans="1:14" s="24" customFormat="1" ht="15" customHeight="1">
      <c r="A43" s="168"/>
      <c r="B43" s="119" t="s">
        <v>778</v>
      </c>
      <c r="C43" s="149"/>
      <c r="D43" s="149"/>
      <c r="E43" s="149"/>
      <c r="F43" s="149"/>
      <c r="G43" s="174"/>
      <c r="H43" s="174"/>
      <c r="I43" s="174"/>
      <c r="J43" s="174"/>
      <c r="K43" s="174"/>
      <c r="L43" s="174"/>
      <c r="M43" s="174"/>
      <c r="N43" s="168"/>
    </row>
    <row r="44" spans="1:14" ht="15" customHeight="1">
      <c r="B44" s="119" t="s">
        <v>779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</row>
    <row r="45" spans="1:14" ht="15" customHeight="1">
      <c r="B45" s="119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</row>
    <row r="46" spans="1:14" ht="15" customHeight="1">
      <c r="B46" s="36" t="s">
        <v>66</v>
      </c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</row>
    <row r="47" spans="1:14" ht="15" customHeight="1">
      <c r="B47" s="38" t="s">
        <v>780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</row>
    <row r="48" spans="1:14" ht="15" customHeight="1">
      <c r="B48" s="38" t="s">
        <v>781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</row>
    <row r="49" spans="2:14" ht="15" customHeight="1">
      <c r="B49" s="43"/>
      <c r="C49" s="43"/>
      <c r="D49" s="45"/>
      <c r="E49" s="46"/>
      <c r="F49" s="46"/>
      <c r="G49" s="68"/>
      <c r="H49" s="68"/>
      <c r="I49" s="69"/>
      <c r="J49" s="44"/>
      <c r="K49" s="82"/>
      <c r="L49" s="70"/>
      <c r="M49" s="47"/>
      <c r="N49" s="71"/>
    </row>
    <row r="50" spans="2:14" ht="15" customHeight="1">
      <c r="B50" s="5" t="s">
        <v>74</v>
      </c>
      <c r="C50" s="5" t="s">
        <v>75</v>
      </c>
      <c r="D50" s="5" t="s">
        <v>76</v>
      </c>
      <c r="E50" s="5" t="s">
        <v>77</v>
      </c>
      <c r="F50" s="5" t="s">
        <v>78</v>
      </c>
      <c r="G50" s="5" t="s">
        <v>79</v>
      </c>
      <c r="H50" s="5" t="s">
        <v>80</v>
      </c>
      <c r="I50" s="39" t="s">
        <v>81</v>
      </c>
      <c r="J50" s="40" t="s">
        <v>82</v>
      </c>
      <c r="K50" s="39" t="s">
        <v>83</v>
      </c>
      <c r="L50" s="39" t="s">
        <v>84</v>
      </c>
      <c r="M50" s="39" t="s">
        <v>782</v>
      </c>
      <c r="N50" s="41" t="s">
        <v>87</v>
      </c>
    </row>
    <row r="51" spans="2:14" ht="15" customHeight="1">
      <c r="B51" s="129" t="s">
        <v>783</v>
      </c>
      <c r="C51" s="6" t="s">
        <v>764</v>
      </c>
      <c r="D51" s="11">
        <v>1</v>
      </c>
      <c r="E51" s="11" t="s">
        <v>93</v>
      </c>
      <c r="F51" s="11" t="s">
        <v>765</v>
      </c>
      <c r="G51" s="11" t="s">
        <v>95</v>
      </c>
      <c r="H51" s="11"/>
      <c r="I51" s="19" t="s">
        <v>96</v>
      </c>
      <c r="J51" s="145" t="s">
        <v>766</v>
      </c>
      <c r="K51" s="19" t="s">
        <v>767</v>
      </c>
      <c r="L51" s="19" t="s">
        <v>784</v>
      </c>
      <c r="M51" s="219" t="s">
        <v>785</v>
      </c>
      <c r="N51" s="42"/>
    </row>
    <row r="52" spans="2:14" ht="15" customHeight="1">
      <c r="B52" s="129" t="s">
        <v>783</v>
      </c>
      <c r="C52" s="6" t="s">
        <v>786</v>
      </c>
      <c r="D52" s="11">
        <v>2</v>
      </c>
      <c r="E52" s="11" t="s">
        <v>93</v>
      </c>
      <c r="F52" s="19" t="s">
        <v>771</v>
      </c>
      <c r="G52" s="11"/>
      <c r="H52" s="11"/>
      <c r="I52" s="19" t="s">
        <v>96</v>
      </c>
      <c r="J52" s="145" t="s">
        <v>766</v>
      </c>
      <c r="K52" s="144" t="s">
        <v>770</v>
      </c>
      <c r="L52" s="144" t="s">
        <v>787</v>
      </c>
      <c r="M52" s="220"/>
      <c r="N52" s="42"/>
    </row>
    <row r="53" spans="2:14" ht="15" customHeight="1">
      <c r="B53" s="129" t="s">
        <v>783</v>
      </c>
      <c r="C53" s="6" t="s">
        <v>772</v>
      </c>
      <c r="D53" s="11">
        <v>3</v>
      </c>
      <c r="E53" s="11" t="s">
        <v>93</v>
      </c>
      <c r="F53" s="9" t="s">
        <v>788</v>
      </c>
      <c r="G53" s="11"/>
      <c r="H53" s="11"/>
      <c r="I53" s="19" t="s">
        <v>96</v>
      </c>
      <c r="J53" s="145" t="s">
        <v>766</v>
      </c>
      <c r="K53" s="19" t="s">
        <v>772</v>
      </c>
      <c r="L53" s="19" t="s">
        <v>772</v>
      </c>
      <c r="M53" s="220"/>
      <c r="N53" s="42"/>
    </row>
    <row r="54" spans="2:14" ht="15" customHeight="1">
      <c r="B54" s="129" t="s">
        <v>783</v>
      </c>
      <c r="C54" s="6" t="s">
        <v>679</v>
      </c>
      <c r="D54" s="11">
        <v>4</v>
      </c>
      <c r="E54" s="11" t="s">
        <v>93</v>
      </c>
      <c r="F54" s="11" t="s">
        <v>789</v>
      </c>
      <c r="G54" s="11"/>
      <c r="H54" s="11"/>
      <c r="I54" s="11" t="s">
        <v>584</v>
      </c>
      <c r="J54" s="11" t="s">
        <v>584</v>
      </c>
      <c r="K54" s="11" t="s">
        <v>584</v>
      </c>
      <c r="L54" s="11" t="s">
        <v>681</v>
      </c>
      <c r="M54" s="220"/>
      <c r="N54" s="42"/>
    </row>
    <row r="55" spans="2:14" ht="15" customHeight="1">
      <c r="B55" s="129" t="s">
        <v>783</v>
      </c>
      <c r="C55" s="6" t="s">
        <v>92</v>
      </c>
      <c r="D55" s="11">
        <v>5</v>
      </c>
      <c r="E55" s="11" t="s">
        <v>93</v>
      </c>
      <c r="F55" s="11" t="s">
        <v>682</v>
      </c>
      <c r="G55" s="11" t="s">
        <v>95</v>
      </c>
      <c r="H55" s="11" t="s">
        <v>95</v>
      </c>
      <c r="I55" s="19" t="s">
        <v>96</v>
      </c>
      <c r="J55" s="145" t="s">
        <v>766</v>
      </c>
      <c r="K55" s="19" t="s">
        <v>388</v>
      </c>
      <c r="L55" s="19" t="s">
        <v>790</v>
      </c>
      <c r="M55" s="220"/>
      <c r="N55" s="42"/>
    </row>
    <row r="56" spans="2:14" ht="15" customHeight="1">
      <c r="C56" s="115"/>
      <c r="E56" s="115"/>
    </row>
    <row r="57" spans="2:14" ht="15" customHeight="1">
      <c r="B57" s="69" t="s">
        <v>791</v>
      </c>
    </row>
    <row r="58" spans="2:14" ht="15" customHeight="1"/>
    <row r="59" spans="2:14" ht="15" hidden="1" customHeight="1">
      <c r="F59" s="117"/>
    </row>
    <row r="69" spans="2:3" ht="15" hidden="1" customHeight="1">
      <c r="B69" s="116"/>
      <c r="C69" s="116"/>
    </row>
    <row r="70" spans="2:3" ht="310.5" hidden="1" customHeight="1">
      <c r="B70" s="120"/>
      <c r="C70" s="118"/>
    </row>
  </sheetData>
  <mergeCells count="3">
    <mergeCell ref="B12:F13"/>
    <mergeCell ref="M31:M34"/>
    <mergeCell ref="M51:M5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N89"/>
  <sheetViews>
    <sheetView showGridLines="0" zoomScaleNormal="100" workbookViewId="0">
      <pane ySplit="5" topLeftCell="A15" activePane="bottomLeft" state="frozen"/>
      <selection activeCell="L37" sqref="L37"/>
      <selection pane="bottomLeft" activeCell="L37" sqref="L37"/>
    </sheetView>
  </sheetViews>
  <sheetFormatPr defaultColWidth="8.5703125" defaultRowHeight="15" customHeight="1" zeroHeight="1"/>
  <cols>
    <col min="1" max="1" width="4" customWidth="1"/>
    <col min="2" max="2" width="23.42578125" customWidth="1"/>
    <col min="3" max="3" width="42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4" customWidth="1"/>
    <col min="15" max="16" width="0" hidden="1" customWidth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13" customFormat="1" ht="15" customHeight="1">
      <c r="A5" s="168"/>
      <c r="B5" s="33" t="s">
        <v>752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113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113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113" customFormat="1" ht="15" customHeight="1">
      <c r="A8" s="168"/>
      <c r="B8" s="37" t="s">
        <v>792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113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113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113" customFormat="1" ht="15" customHeight="1">
      <c r="A11" s="168"/>
      <c r="B11" s="37" t="s">
        <v>793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113" customFormat="1" ht="15" customHeight="1">
      <c r="A12" s="168"/>
      <c r="B12" s="37" t="s">
        <v>794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113" customFormat="1" ht="15" customHeight="1">
      <c r="A13" s="168"/>
      <c r="B13" s="119" t="s">
        <v>795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113" customFormat="1" ht="15" customHeight="1">
      <c r="A14" s="168"/>
      <c r="B14" s="119" t="s">
        <v>796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113" customFormat="1" ht="15" customHeight="1">
      <c r="A15" s="168"/>
      <c r="B15" s="38" t="s">
        <v>797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113" customFormat="1" ht="5.0999999999999996" customHeight="1">
      <c r="A16" s="168"/>
      <c r="B16" s="37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113" customFormat="1" ht="15" customHeight="1">
      <c r="A17" s="168"/>
      <c r="B17" s="36" t="s">
        <v>56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113" customFormat="1" ht="15" customHeight="1">
      <c r="A18" s="168"/>
      <c r="B18" s="37" t="s">
        <v>798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68"/>
    </row>
    <row r="19" spans="1:14" s="113" customFormat="1" ht="15" customHeight="1">
      <c r="A19" s="168"/>
      <c r="B19" s="96" t="s">
        <v>799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8"/>
    </row>
    <row r="20" spans="1:14" s="113" customFormat="1" ht="15" customHeight="1">
      <c r="A20" s="168"/>
      <c r="B20" s="37" t="s">
        <v>800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68"/>
    </row>
    <row r="21" spans="1:14" s="113" customFormat="1" ht="5.0999999999999996" customHeight="1">
      <c r="A21" s="168"/>
      <c r="B21" s="37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68"/>
    </row>
    <row r="22" spans="1:14" s="113" customFormat="1" ht="15" customHeight="1">
      <c r="A22" s="168"/>
      <c r="B22" s="36" t="s">
        <v>60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68"/>
    </row>
    <row r="23" spans="1:14" s="113" customFormat="1" ht="15" customHeight="1">
      <c r="A23" s="168"/>
      <c r="B23" s="96" t="s">
        <v>630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68"/>
    </row>
    <row r="24" spans="1:14" s="113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68"/>
    </row>
    <row r="25" spans="1:14" s="113" customFormat="1" ht="15" customHeight="1">
      <c r="A25" s="168"/>
      <c r="B25" s="36" t="s">
        <v>66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68"/>
    </row>
    <row r="26" spans="1:14" s="113" customFormat="1" ht="15" customHeight="1">
      <c r="A26" s="168"/>
      <c r="B26" s="37" t="s">
        <v>756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113" customFormat="1" ht="15" customHeight="1">
      <c r="A27" s="168"/>
      <c r="B27" s="38" t="s">
        <v>801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/>
    </row>
    <row r="28" spans="1:14" s="113" customFormat="1" ht="15" customHeight="1">
      <c r="A28" s="168"/>
      <c r="B28" s="38" t="s">
        <v>802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113" customFormat="1" ht="15" customHeight="1">
      <c r="A29" s="168"/>
      <c r="B29" s="37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8"/>
    </row>
    <row r="30" spans="1:14" s="113" customFormat="1" ht="12.75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</row>
    <row r="31" spans="1:14" s="113" customFormat="1" ht="12.75">
      <c r="A31" s="168"/>
      <c r="B31" s="25" t="s">
        <v>72</v>
      </c>
      <c r="C31" s="169">
        <f>COUNTA(C34:C81)</f>
        <v>7</v>
      </c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</row>
    <row r="32" spans="1:14" s="113" customFormat="1" ht="12.75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</row>
    <row r="33" spans="2:13" s="110" customFormat="1" ht="15" customHeight="1">
      <c r="B33" s="5" t="s">
        <v>74</v>
      </c>
      <c r="C33" s="5" t="s">
        <v>75</v>
      </c>
      <c r="D33" s="5" t="s">
        <v>76</v>
      </c>
      <c r="E33" s="5" t="s">
        <v>77</v>
      </c>
      <c r="F33" s="5" t="s">
        <v>78</v>
      </c>
      <c r="G33" s="5" t="s">
        <v>79</v>
      </c>
      <c r="H33" s="5" t="s">
        <v>80</v>
      </c>
      <c r="I33" s="39" t="s">
        <v>81</v>
      </c>
      <c r="J33" s="40" t="s">
        <v>82</v>
      </c>
      <c r="K33" s="39" t="s">
        <v>83</v>
      </c>
      <c r="L33" s="39" t="s">
        <v>84</v>
      </c>
      <c r="M33" s="39" t="s">
        <v>85</v>
      </c>
    </row>
    <row r="34" spans="2:13" s="114" customFormat="1" ht="20.100000000000001" customHeight="1">
      <c r="B34" s="129" t="s">
        <v>783</v>
      </c>
      <c r="C34" s="6" t="s">
        <v>803</v>
      </c>
      <c r="D34" s="11">
        <v>1</v>
      </c>
      <c r="E34" s="11" t="s">
        <v>93</v>
      </c>
      <c r="F34" s="11" t="s">
        <v>804</v>
      </c>
      <c r="G34" s="11" t="s">
        <v>95</v>
      </c>
      <c r="H34" s="11"/>
      <c r="I34" s="19" t="s">
        <v>96</v>
      </c>
      <c r="J34" s="11" t="s">
        <v>805</v>
      </c>
      <c r="K34" s="19" t="s">
        <v>806</v>
      </c>
      <c r="L34" s="11" t="s">
        <v>807</v>
      </c>
      <c r="M34" s="219" t="s">
        <v>808</v>
      </c>
    </row>
    <row r="35" spans="2:13" s="114" customFormat="1" ht="20.100000000000001" customHeight="1">
      <c r="B35" s="129" t="s">
        <v>783</v>
      </c>
      <c r="C35" s="6" t="s">
        <v>809</v>
      </c>
      <c r="D35" s="11">
        <v>2</v>
      </c>
      <c r="E35" s="11" t="s">
        <v>93</v>
      </c>
      <c r="F35" s="11" t="s">
        <v>810</v>
      </c>
      <c r="G35" s="11" t="s">
        <v>95</v>
      </c>
      <c r="H35" s="11"/>
      <c r="I35" s="19" t="s">
        <v>96</v>
      </c>
      <c r="J35" s="11" t="s">
        <v>805</v>
      </c>
      <c r="K35" s="19" t="s">
        <v>811</v>
      </c>
      <c r="L35" s="11" t="s">
        <v>812</v>
      </c>
      <c r="M35" s="220"/>
    </row>
    <row r="36" spans="2:13" s="114" customFormat="1" ht="20.100000000000001" customHeight="1">
      <c r="B36" s="129" t="s">
        <v>783</v>
      </c>
      <c r="C36" s="7" t="s">
        <v>786</v>
      </c>
      <c r="D36" s="11">
        <v>3</v>
      </c>
      <c r="E36" s="11" t="s">
        <v>93</v>
      </c>
      <c r="F36" s="19" t="s">
        <v>771</v>
      </c>
      <c r="G36" s="11"/>
      <c r="H36" s="11"/>
      <c r="I36" s="11"/>
      <c r="J36" s="19" t="s">
        <v>813</v>
      </c>
      <c r="K36" s="19" t="s">
        <v>786</v>
      </c>
      <c r="L36" s="19" t="s">
        <v>814</v>
      </c>
      <c r="M36" s="220"/>
    </row>
    <row r="37" spans="2:13" s="114" customFormat="1" ht="20.100000000000001" customHeight="1">
      <c r="B37" s="129" t="s">
        <v>783</v>
      </c>
      <c r="C37" s="7" t="s">
        <v>815</v>
      </c>
      <c r="D37" s="11">
        <v>4</v>
      </c>
      <c r="E37" s="11" t="s">
        <v>93</v>
      </c>
      <c r="F37" s="9" t="s">
        <v>788</v>
      </c>
      <c r="G37" s="11"/>
      <c r="H37" s="11"/>
      <c r="I37" s="19"/>
      <c r="J37" s="19" t="s">
        <v>813</v>
      </c>
      <c r="K37" s="19" t="s">
        <v>816</v>
      </c>
      <c r="L37" s="19" t="s">
        <v>817</v>
      </c>
      <c r="M37" s="220"/>
    </row>
    <row r="38" spans="2:13" s="114" customFormat="1" ht="20.100000000000001" customHeight="1">
      <c r="B38" s="129" t="s">
        <v>783</v>
      </c>
      <c r="C38" s="7" t="s">
        <v>818</v>
      </c>
      <c r="D38" s="11">
        <v>5</v>
      </c>
      <c r="E38" s="11" t="s">
        <v>93</v>
      </c>
      <c r="F38" s="11" t="s">
        <v>819</v>
      </c>
      <c r="G38" s="11"/>
      <c r="H38" s="11"/>
      <c r="I38" s="19"/>
      <c r="J38" s="19" t="s">
        <v>813</v>
      </c>
      <c r="K38" s="19" t="s">
        <v>820</v>
      </c>
      <c r="L38" s="19" t="s">
        <v>821</v>
      </c>
      <c r="M38" s="220"/>
    </row>
    <row r="39" spans="2:13" s="114" customFormat="1" ht="20.100000000000001" customHeight="1">
      <c r="B39" s="129" t="s">
        <v>783</v>
      </c>
      <c r="C39" s="7" t="s">
        <v>822</v>
      </c>
      <c r="D39" s="11">
        <v>6</v>
      </c>
      <c r="E39" s="11" t="s">
        <v>93</v>
      </c>
      <c r="F39" s="11" t="s">
        <v>823</v>
      </c>
      <c r="G39" s="11"/>
      <c r="H39" s="11"/>
      <c r="I39" s="19"/>
      <c r="J39" s="19" t="s">
        <v>813</v>
      </c>
      <c r="K39" s="19" t="s">
        <v>824</v>
      </c>
      <c r="L39" s="19" t="s">
        <v>825</v>
      </c>
      <c r="M39" s="220"/>
    </row>
    <row r="40" spans="2:13" ht="20.100000000000001" customHeight="1">
      <c r="B40" s="129" t="s">
        <v>783</v>
      </c>
      <c r="C40" s="7" t="s">
        <v>679</v>
      </c>
      <c r="D40" s="11">
        <v>7</v>
      </c>
      <c r="E40" s="11" t="s">
        <v>324</v>
      </c>
      <c r="F40" s="131" t="s">
        <v>718</v>
      </c>
      <c r="G40" s="131"/>
      <c r="H40" s="131"/>
      <c r="I40" s="130" t="s">
        <v>584</v>
      </c>
      <c r="J40" s="130" t="s">
        <v>584</v>
      </c>
      <c r="K40" s="130" t="s">
        <v>584</v>
      </c>
      <c r="L40" s="11" t="s">
        <v>826</v>
      </c>
      <c r="M40" s="131"/>
    </row>
    <row r="41" spans="2:13" ht="15" customHeight="1">
      <c r="C41" s="116"/>
    </row>
    <row r="42" spans="2:13" ht="15" customHeight="1">
      <c r="C42" s="116"/>
    </row>
    <row r="43" spans="2:13" ht="15" customHeight="1">
      <c r="C43" s="116"/>
    </row>
    <row r="44" spans="2:13" ht="15" customHeight="1">
      <c r="C44" s="116"/>
    </row>
    <row r="45" spans="2:13" ht="15" customHeight="1"/>
    <row r="46" spans="2:13" ht="15" customHeight="1"/>
    <row r="47" spans="2:13" ht="15" customHeight="1"/>
    <row r="48" spans="2:13" ht="15" hidden="1" customHeight="1">
      <c r="B48" s="116"/>
      <c r="C48" s="116"/>
      <c r="D48" s="116"/>
      <c r="E48" s="116"/>
    </row>
    <row r="49" spans="3:6" ht="15" hidden="1" customHeight="1">
      <c r="C49" s="115"/>
      <c r="E49" s="115"/>
    </row>
    <row r="50" spans="3:6" ht="15" hidden="1" customHeight="1">
      <c r="C50" s="115"/>
      <c r="E50" s="115"/>
    </row>
    <row r="51" spans="3:6" ht="15" hidden="1" customHeight="1">
      <c r="C51" s="115"/>
      <c r="E51" s="115"/>
    </row>
    <row r="63" spans="3:6" ht="15" hidden="1" customHeight="1">
      <c r="F63" s="117"/>
    </row>
    <row r="74" spans="6:6" ht="15" hidden="1" customHeight="1">
      <c r="F74" s="117"/>
    </row>
    <row r="88" spans="2:3" ht="15" hidden="1" customHeight="1">
      <c r="B88" s="116"/>
      <c r="C88" s="116"/>
    </row>
    <row r="89" spans="2:3" ht="310.5" hidden="1" customHeight="1">
      <c r="B89" s="120"/>
      <c r="C89" s="118"/>
    </row>
  </sheetData>
  <mergeCells count="1">
    <mergeCell ref="M34:M3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D22"/>
  <sheetViews>
    <sheetView workbookViewId="0">
      <selection activeCell="K100" sqref="K100"/>
    </sheetView>
  </sheetViews>
  <sheetFormatPr defaultRowHeight="15"/>
  <cols>
    <col min="1" max="1" width="18.42578125" bestFit="1" customWidth="1"/>
    <col min="2" max="2" width="22.5703125" bestFit="1" customWidth="1"/>
    <col min="3" max="3" width="15.5703125" bestFit="1" customWidth="1"/>
    <col min="4" max="5" width="13.5703125" bestFit="1" customWidth="1"/>
    <col min="6" max="6" width="10.5703125" bestFit="1" customWidth="1"/>
    <col min="8" max="8" width="18.5703125" bestFit="1" customWidth="1"/>
    <col min="9" max="9" width="23.42578125" bestFit="1" customWidth="1"/>
    <col min="10" max="10" width="13.5703125" bestFit="1" customWidth="1"/>
    <col min="11" max="11" width="14" bestFit="1" customWidth="1"/>
    <col min="13" max="13" width="18.5703125" bestFit="1" customWidth="1"/>
    <col min="14" max="14" width="23.42578125" bestFit="1" customWidth="1"/>
    <col min="15" max="15" width="13.5703125" bestFit="1" customWidth="1"/>
    <col min="16" max="16" width="14" bestFit="1" customWidth="1"/>
    <col min="17" max="17" width="3.42578125" bestFit="1" customWidth="1"/>
    <col min="20" max="30" width="14.42578125" style="87" customWidth="1"/>
  </cols>
  <sheetData>
    <row r="1" spans="1:30">
      <c r="A1" s="225" t="s">
        <v>827</v>
      </c>
      <c r="B1" s="225"/>
      <c r="C1" s="225"/>
      <c r="D1" s="225"/>
      <c r="E1" s="225"/>
      <c r="F1" s="225"/>
      <c r="H1" s="225" t="s">
        <v>828</v>
      </c>
      <c r="I1" s="225"/>
      <c r="J1" s="225"/>
      <c r="K1" s="225"/>
      <c r="M1" s="225" t="s">
        <v>829</v>
      </c>
      <c r="N1" s="225"/>
      <c r="O1" s="225"/>
      <c r="P1" s="225"/>
    </row>
    <row r="2" spans="1:30">
      <c r="A2" s="116" t="s">
        <v>830</v>
      </c>
      <c r="B2" s="116" t="s">
        <v>786</v>
      </c>
      <c r="C2" s="116" t="s">
        <v>815</v>
      </c>
      <c r="D2" s="116" t="s">
        <v>831</v>
      </c>
      <c r="E2" s="116" t="s">
        <v>832</v>
      </c>
      <c r="F2" s="116" t="s">
        <v>679</v>
      </c>
      <c r="H2" s="116" t="s">
        <v>830</v>
      </c>
      <c r="I2" s="116" t="s">
        <v>786</v>
      </c>
      <c r="J2" s="116" t="s">
        <v>831</v>
      </c>
      <c r="K2" s="116" t="s">
        <v>832</v>
      </c>
      <c r="M2" s="116" t="s">
        <v>830</v>
      </c>
      <c r="N2" s="116" t="s">
        <v>786</v>
      </c>
      <c r="O2" s="116" t="s">
        <v>831</v>
      </c>
      <c r="P2" s="116" t="s">
        <v>832</v>
      </c>
      <c r="Q2" s="116"/>
      <c r="T2" s="226" t="s">
        <v>833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</row>
    <row r="3" spans="1:30">
      <c r="A3" t="s">
        <v>834</v>
      </c>
      <c r="B3">
        <v>5</v>
      </c>
      <c r="C3" s="115">
        <v>44562</v>
      </c>
      <c r="D3" s="115">
        <v>44562</v>
      </c>
      <c r="E3" s="115">
        <v>2958465</v>
      </c>
      <c r="F3">
        <v>1</v>
      </c>
      <c r="H3" s="121" t="s">
        <v>834</v>
      </c>
      <c r="I3" s="121">
        <v>5</v>
      </c>
      <c r="J3" s="122">
        <v>44562</v>
      </c>
      <c r="K3" s="122">
        <v>44621</v>
      </c>
      <c r="M3" s="121" t="s">
        <v>834</v>
      </c>
      <c r="N3" s="121">
        <v>4</v>
      </c>
      <c r="O3" s="122">
        <v>44563</v>
      </c>
      <c r="P3" s="122">
        <v>44623</v>
      </c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</row>
    <row r="4" spans="1:30">
      <c r="A4" s="121" t="s">
        <v>834</v>
      </c>
      <c r="B4" s="121">
        <v>4</v>
      </c>
      <c r="C4" s="122">
        <v>44594</v>
      </c>
      <c r="D4" s="122">
        <v>44594</v>
      </c>
      <c r="E4" s="122">
        <v>2958465</v>
      </c>
      <c r="F4" s="121">
        <v>2</v>
      </c>
      <c r="H4" s="123" t="s">
        <v>835</v>
      </c>
      <c r="I4" s="123">
        <v>3</v>
      </c>
      <c r="J4" s="124">
        <v>44562</v>
      </c>
      <c r="K4" s="124">
        <v>2958465</v>
      </c>
      <c r="L4" s="115"/>
      <c r="M4" s="125" t="s">
        <v>836</v>
      </c>
      <c r="N4" s="125">
        <v>3</v>
      </c>
      <c r="O4" s="126">
        <v>44562</v>
      </c>
      <c r="P4" s="126">
        <v>44655</v>
      </c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</row>
    <row r="5" spans="1:30">
      <c r="A5" s="123" t="s">
        <v>835</v>
      </c>
      <c r="B5" s="123">
        <v>3</v>
      </c>
      <c r="C5" s="124">
        <v>44562</v>
      </c>
      <c r="D5" s="124">
        <v>44562</v>
      </c>
      <c r="E5" s="124">
        <v>2958465</v>
      </c>
      <c r="F5" s="123">
        <v>1</v>
      </c>
      <c r="H5" s="127" t="s">
        <v>837</v>
      </c>
      <c r="I5" s="127">
        <v>9</v>
      </c>
      <c r="J5" s="128">
        <v>44594</v>
      </c>
      <c r="K5" s="128">
        <v>2958465</v>
      </c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</row>
    <row r="6" spans="1:30">
      <c r="A6" s="125" t="s">
        <v>836</v>
      </c>
      <c r="B6" s="125">
        <v>3</v>
      </c>
      <c r="C6" s="126">
        <v>44562</v>
      </c>
      <c r="D6" s="126">
        <v>44562</v>
      </c>
      <c r="E6" s="126">
        <v>2958465</v>
      </c>
      <c r="F6" s="125">
        <v>1</v>
      </c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</row>
    <row r="7" spans="1:30">
      <c r="A7" s="127" t="s">
        <v>837</v>
      </c>
      <c r="B7" s="127">
        <v>4</v>
      </c>
      <c r="C7" s="128">
        <v>44562</v>
      </c>
      <c r="D7" s="128">
        <v>44562</v>
      </c>
      <c r="E7" s="128">
        <v>2958465</v>
      </c>
      <c r="F7" s="127">
        <v>1</v>
      </c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</row>
    <row r="8" spans="1:30"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</row>
    <row r="9" spans="1:30"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</row>
    <row r="10" spans="1:30"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</row>
    <row r="11" spans="1:30"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</row>
    <row r="12" spans="1:30"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</row>
    <row r="13" spans="1:30">
      <c r="A13" s="228" t="s">
        <v>827</v>
      </c>
      <c r="B13" s="228"/>
      <c r="C13" s="228"/>
      <c r="D13" s="228"/>
      <c r="E13" s="228"/>
      <c r="F13" s="228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</row>
    <row r="14" spans="1:30">
      <c r="A14" s="116" t="s">
        <v>830</v>
      </c>
      <c r="B14" s="116" t="s">
        <v>786</v>
      </c>
      <c r="C14" s="116" t="s">
        <v>815</v>
      </c>
      <c r="D14" s="116" t="s">
        <v>831</v>
      </c>
      <c r="E14" s="116" t="s">
        <v>832</v>
      </c>
      <c r="F14" s="116" t="s">
        <v>679</v>
      </c>
    </row>
    <row r="15" spans="1:30">
      <c r="A15" t="s">
        <v>834</v>
      </c>
      <c r="B15">
        <v>5</v>
      </c>
      <c r="C15" s="115">
        <v>44562</v>
      </c>
      <c r="D15" s="115">
        <v>44562</v>
      </c>
      <c r="E15" s="115">
        <v>2958465</v>
      </c>
      <c r="F15">
        <v>1</v>
      </c>
    </row>
    <row r="16" spans="1:30">
      <c r="A16" s="121" t="s">
        <v>834</v>
      </c>
      <c r="B16" s="121">
        <v>4</v>
      </c>
      <c r="C16" s="122">
        <v>44594</v>
      </c>
      <c r="D16" s="122">
        <v>44594</v>
      </c>
      <c r="E16" s="122">
        <v>2958465</v>
      </c>
      <c r="F16" s="121">
        <v>2</v>
      </c>
    </row>
    <row r="17" spans="1:6">
      <c r="A17" s="121" t="s">
        <v>834</v>
      </c>
      <c r="B17" s="121">
        <v>5</v>
      </c>
      <c r="C17" s="122">
        <v>44623</v>
      </c>
      <c r="D17" s="122">
        <v>44562</v>
      </c>
      <c r="E17" s="122">
        <v>2958465</v>
      </c>
      <c r="F17" s="121">
        <v>3</v>
      </c>
    </row>
    <row r="18" spans="1:6">
      <c r="A18" s="123" t="s">
        <v>835</v>
      </c>
      <c r="B18" s="123">
        <v>3</v>
      </c>
      <c r="C18" s="124">
        <v>44562</v>
      </c>
      <c r="D18" s="124">
        <v>44562</v>
      </c>
      <c r="E18" s="124">
        <v>2958465</v>
      </c>
      <c r="F18" s="123">
        <v>1</v>
      </c>
    </row>
    <row r="19" spans="1:6">
      <c r="A19" s="125" t="s">
        <v>836</v>
      </c>
      <c r="B19" s="125">
        <v>3</v>
      </c>
      <c r="C19" s="126">
        <v>44562</v>
      </c>
      <c r="D19" s="126">
        <v>44562</v>
      </c>
      <c r="E19" s="126">
        <v>2958465</v>
      </c>
      <c r="F19" s="125">
        <v>1</v>
      </c>
    </row>
    <row r="20" spans="1:6">
      <c r="A20" s="125" t="s">
        <v>836</v>
      </c>
      <c r="B20" s="125">
        <v>8</v>
      </c>
      <c r="C20" s="126">
        <v>44655</v>
      </c>
      <c r="D20" s="126">
        <v>44562</v>
      </c>
      <c r="E20" s="126">
        <v>44655</v>
      </c>
      <c r="F20" s="125">
        <v>2</v>
      </c>
    </row>
    <row r="21" spans="1:6">
      <c r="A21" s="127" t="s">
        <v>837</v>
      </c>
      <c r="B21" s="127">
        <v>4</v>
      </c>
      <c r="C21" s="128">
        <v>44562</v>
      </c>
      <c r="D21" s="128">
        <v>44562</v>
      </c>
      <c r="E21" s="128">
        <v>2958465</v>
      </c>
      <c r="F21" s="127">
        <v>1</v>
      </c>
    </row>
    <row r="22" spans="1:6">
      <c r="A22" s="127" t="s">
        <v>837</v>
      </c>
      <c r="B22" s="127">
        <v>9</v>
      </c>
      <c r="C22" s="128">
        <v>44594</v>
      </c>
      <c r="D22" s="128">
        <v>44594</v>
      </c>
      <c r="E22" s="128">
        <v>2958465</v>
      </c>
      <c r="F22" s="127">
        <v>2</v>
      </c>
    </row>
  </sheetData>
  <mergeCells count="5">
    <mergeCell ref="M1:P1"/>
    <mergeCell ref="T2:AD13"/>
    <mergeCell ref="A1:F1"/>
    <mergeCell ref="H1:K1"/>
    <mergeCell ref="A13:F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D0D08-E461-436D-B4AB-2E4A570FFDA4}"/>
</file>

<file path=customXml/itemProps2.xml><?xml version="1.0" encoding="utf-8"?>
<ds:datastoreItem xmlns:ds="http://schemas.openxmlformats.org/officeDocument/2006/customXml" ds:itemID="{4A287AA0-8AC6-40A7-90AF-EB36024D6EA8}">
  <ds:schemaRefs>
    <ds:schemaRef ds:uri="7b1ec8e5-5652-48eb-8550-a56a35f5f817"/>
    <ds:schemaRef ds:uri="http://purl.org/dc/dcmitype/"/>
    <ds:schemaRef ds:uri="http://schemas.microsoft.com/sharepoint/v3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9b50dc7-8f72-473c-8b7e-4a8c46ecad32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4B61FB1-024C-45B0-B4D0-E0F82EE86A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Capa</vt:lpstr>
      <vt:lpstr>Índice</vt:lpstr>
      <vt:lpstr>Histórico de versões</vt:lpstr>
      <vt:lpstr>1. Transformações Capital</vt:lpstr>
      <vt:lpstr>Step1 TMP_BCE_LT_INSTR_CAP</vt:lpstr>
      <vt:lpstr>Step2 BCE_LT_INSTR_CAP</vt:lpstr>
      <vt:lpstr>2. Tabelas Temporárias MOYR</vt:lpstr>
      <vt:lpstr>2. Tabelas Temporárias MOYRnew</vt:lpstr>
      <vt:lpstr>3.BCE_LT_INSTR_MIS</vt:lpstr>
      <vt:lpstr>4.BCE_LT_LGL_PRCDNG_STTS</vt:lpstr>
      <vt:lpstr>5.BCE_LT_CLLCTN_MD</vt:lpstr>
      <vt:lpstr>6.BCE_LT_FNNCL_STTMTS</vt:lpstr>
      <vt:lpstr>7.BCE_LT_SPRT_STAGE</vt:lpstr>
      <vt:lpstr>8.BCE_LT_SPRT_PRFM</vt:lpstr>
      <vt:lpstr>9.BCE_LT_SPRT_DFLT</vt:lpstr>
      <vt:lpstr>10.BCE_LT_SPRT_CNSTRCTN_STTS</vt:lpstr>
      <vt:lpstr>11.BCE_LT_SPRT_FRBRNC</vt:lpstr>
      <vt:lpstr>11.BCE_LT_SPRT_FRBRNCold</vt:lpstr>
      <vt:lpstr>12.BCE_LT_SPRT_FRBRNC</vt:lpstr>
      <vt:lpstr>Exemplo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Ahmad, Nadia Genebra</dc:creator>
  <cp:keywords/>
  <dc:description/>
  <cp:lastModifiedBy>Hugo Alexandre Redondo Reia</cp:lastModifiedBy>
  <cp:revision/>
  <dcterms:created xsi:type="dcterms:W3CDTF">2021-04-01T12:12:22Z</dcterms:created>
  <dcterms:modified xsi:type="dcterms:W3CDTF">2025-10-15T11:29:32Z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2022-11-25T10:03:27Z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098f4012-f245-4fe4-a7f7-ace2c7e6e1ec</vt:lpwstr>
  </property>
  <property fmtid="{D5CDD505-2E9C-101B-9397-08002B2CF9AE}" pid="9" name="MSIP_Label_41b88ec2-a72b-4523-9e84-0458a1764731_ContentBits">
    <vt:lpwstr>0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