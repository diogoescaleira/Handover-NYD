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ntandernet.sharepoint.com/sites/BSTestesBail-In/Shared Documents/Geral/04. Entregáveis/20251118/"/>
    </mc:Choice>
  </mc:AlternateContent>
  <xr:revisionPtr revIDLastSave="27" documentId="8_{590F36CD-89ED-4F40-AAD7-6CE3E58C6094}" xr6:coauthVersionLast="47" xr6:coauthVersionMax="47" xr10:uidLastSave="{F46B6FC2-D5F3-4348-B35E-47CE96369CED}"/>
  <bookViews>
    <workbookView xWindow="-120" yWindow="-16320" windowWidth="29040" windowHeight="15720" tabRatio="541" firstSheet="1" activeTab="3" xr2:uid="{00000000-000D-0000-FFFF-FFFF00000000}"/>
  </bookViews>
  <sheets>
    <sheet name="Accounting Check" sheetId="21" r:id="rId1"/>
    <sheet name="Summary SRB" sheetId="20" r:id="rId2"/>
    <sheet name="B9900" sheetId="1" r:id="rId3"/>
    <sheet name="B0200" sheetId="5" r:id="rId4"/>
    <sheet name="B9000" sheetId="15" r:id="rId5"/>
    <sheet name="V_Level 1" sheetId="18" r:id="rId6"/>
    <sheet name="V_Level 2" sheetId="19" r:id="rId7"/>
    <sheet name="BST individual BS Oct25" sheetId="23" r:id="rId8"/>
    <sheet name="Lists" sheetId="6" state="hidden" r:id="rId9"/>
    <sheet name="ISO 4217" sheetId="16" state="hidden" r:id="rId10"/>
    <sheet name="ISO 3166" sheetId="17" state="hidden" r:id="rId11"/>
    <sheet name="Inventory" sheetId="22" r:id="rId12"/>
  </sheets>
  <externalReferences>
    <externalReference r:id="rId13"/>
  </externalReferences>
  <definedNames>
    <definedName name="_xlnm._FilterDatabase" localSheetId="3" hidden="1">'B0200'!$A$1:$EZ$3</definedName>
    <definedName name="_xlnm._FilterDatabase" localSheetId="4" hidden="1">'B9000'!$L$4:$P$14</definedName>
    <definedName name="_xlnm._FilterDatabase" localSheetId="11" hidden="1">Inventory!$A$4:$AO$34</definedName>
    <definedName name="_xlnm._FilterDatabase" localSheetId="10" hidden="1">'ISO 3166'!$A$1:$L$1</definedName>
    <definedName name="_xlnm._FilterDatabase" localSheetId="5" hidden="1">'V_Level 1'!$B$4:$U$44</definedName>
    <definedName name="_xlnm._FilterDatabase" localSheetId="6" hidden="1">'V_Level 2'!$A$3:$U$43</definedName>
    <definedName name="_ftnref1_50">'[1]Table 39_'!#REF!</definedName>
    <definedName name="_ftnref1_51">'[1]Table 39_'!#REF!</definedName>
    <definedName name="_ftref1_50">'[1]Table 39_'!#REF!</definedName>
    <definedName name="Carlos">#REF!</definedName>
    <definedName name="DataPointIDs">#REF!</definedName>
    <definedName name="DataPointTooltips">#REF!</definedName>
    <definedName name="DBName">#REF!</definedName>
    <definedName name="dsa">#REF!</definedName>
    <definedName name="F20.04">#REF!</definedName>
    <definedName name="F20.04ES">#REF!</definedName>
    <definedName name="F20.06">#REF!</definedName>
    <definedName name="F20.061">#REF!</definedName>
    <definedName name="F20.062">#REF!</definedName>
    <definedName name="fdsg">'[1]Table 39_'!#REF!</definedName>
    <definedName name="ho">#REF!</definedName>
    <definedName name="JedenRadekPodSestavou">#REF!</definedName>
    <definedName name="JedenRadekPodSestavou_11">#REF!</definedName>
    <definedName name="JedenRadekPodSestavou_2">#REF!</definedName>
    <definedName name="JedenRadekPodSestavou_28">#REF!</definedName>
    <definedName name="JedenRadekVedleSestavy">#REF!</definedName>
    <definedName name="JedenRadekVedleSestavy_11">#REF!</definedName>
    <definedName name="JedenRadekVedleSestavy_2">#REF!</definedName>
    <definedName name="JedenRadekVedleSestavy_28">#REF!</definedName>
    <definedName name="MaxOblastTabulky">#REF!</definedName>
    <definedName name="MaxOblastTabulky_11">#REF!</definedName>
    <definedName name="MaxOblastTabulky_2">#REF!</definedName>
    <definedName name="MaxOblastTabulky_28">#REF!</definedName>
    <definedName name="myData">OFFSET(#REF!,0,0,MATCH("*",#REF!,-1),6)</definedName>
    <definedName name="myFilterSelection">#REF!</definedName>
    <definedName name="myPivotTable">#REF!</definedName>
    <definedName name="myPivotTableStart">#REF!</definedName>
    <definedName name="OblastDat2">#REF!</definedName>
    <definedName name="OblastDat2_11">#REF!</definedName>
    <definedName name="OblastDat2_2">#REF!</definedName>
    <definedName name="OblastDat2_28">#REF!</definedName>
    <definedName name="OblastNadpisuRadku">#REF!</definedName>
    <definedName name="OblastNadpisuRadku_11">#REF!</definedName>
    <definedName name="OblastNadpisuRadku_2">#REF!</definedName>
    <definedName name="OblastNadpisuRadku_28">#REF!</definedName>
    <definedName name="OblastNadpisuSloupcu">#REF!</definedName>
    <definedName name="OblastNadpisuSloupcu_11">#REF!</definedName>
    <definedName name="OblastNadpisuSloupcu_2">#REF!</definedName>
    <definedName name="OblastNadpisuSloupcu_28">#REF!</definedName>
    <definedName name="OLE_LINK11" localSheetId="7">'BST individual BS Oct25'!#REF!</definedName>
    <definedName name="_xlnm.Print_Area" localSheetId="7">'BST individual BS Oct25'!$A$1:$O$42</definedName>
    <definedName name="_xlnm.Print_Area" localSheetId="11">Inventory!$A$4:$Y$5</definedName>
    <definedName name="Print_Area_MI">#REF!</definedName>
    <definedName name="Print_Area_MI_11">#REF!</definedName>
    <definedName name="Print_Area_MI_2">#REF!</definedName>
    <definedName name="Print_Area_MI_28">#REF!</definedName>
    <definedName name="_xlnm.Print_Titles" localSheetId="11">Inventory!$C:$G,Inventory!$2:$5</definedName>
    <definedName name="Print_Titles_MI">#REF!</definedName>
    <definedName name="Print_Titles_MI_11">#REF!</definedName>
    <definedName name="Print_Titles_MI_2">#REF!</definedName>
    <definedName name="Print_Titles_MI_28">#REF!</definedName>
    <definedName name="rfgf">'[1]Table 39_'!#REF!</definedName>
    <definedName name="Template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21" l="1"/>
  <c r="G7" i="21"/>
  <c r="G6" i="21"/>
  <c r="G5" i="21"/>
  <c r="AQ11" i="5"/>
  <c r="K10" i="22" l="1"/>
  <c r="K9" i="22"/>
  <c r="K8" i="22"/>
  <c r="I12" i="22"/>
  <c r="DX11" i="5" l="1"/>
  <c r="ED7" i="5"/>
  <c r="AS9" i="5" l="1"/>
  <c r="AS6" i="5"/>
  <c r="AS7" i="5"/>
  <c r="AS5" i="5"/>
  <c r="AD10" i="22"/>
  <c r="AB10" i="22"/>
  <c r="AD9" i="22" l="1"/>
  <c r="AD8" i="22"/>
  <c r="AD32" i="22"/>
  <c r="AD31" i="22"/>
  <c r="AD30" i="22"/>
  <c r="AH24" i="22"/>
  <c r="AI24" i="22" s="1"/>
  <c r="AJ24" i="22" s="1"/>
  <c r="AH23" i="22"/>
  <c r="AI23" i="22" s="1"/>
  <c r="AJ23" i="22" s="1"/>
  <c r="AH17" i="22"/>
  <c r="AI17" i="22" s="1"/>
  <c r="AJ17" i="22" s="1"/>
  <c r="AH16" i="22"/>
  <c r="AI16" i="22" s="1"/>
  <c r="AD16" i="22" s="1"/>
  <c r="F7" i="21"/>
  <c r="AB32" i="22"/>
  <c r="AB31" i="22"/>
  <c r="AB30" i="22"/>
  <c r="AB24" i="22"/>
  <c r="AB23" i="22"/>
  <c r="AB17" i="22"/>
  <c r="AB16" i="22"/>
  <c r="AB9" i="22"/>
  <c r="AB8" i="22"/>
  <c r="F5" i="21" s="1"/>
  <c r="F6" i="21" l="1"/>
  <c r="I6" i="21" s="1"/>
  <c r="F8" i="21"/>
  <c r="I5" i="21"/>
  <c r="AJ16" i="22"/>
  <c r="AD17" i="22"/>
  <c r="AD24" i="22"/>
  <c r="AD23" i="22"/>
  <c r="B40" i="19"/>
  <c r="I8" i="21" l="1"/>
  <c r="J6" i="21"/>
  <c r="K6" i="21" s="1"/>
  <c r="J5" i="21"/>
  <c r="K5" i="21" s="1"/>
  <c r="J8" i="21"/>
  <c r="K8" i="21" s="1"/>
  <c r="DB6" i="5"/>
  <c r="DB7" i="5"/>
  <c r="DB8" i="5"/>
  <c r="DB9" i="5"/>
  <c r="DB10" i="5"/>
  <c r="DB11" i="5"/>
  <c r="DB12" i="5"/>
  <c r="DB5" i="5"/>
  <c r="EO5" i="5"/>
  <c r="J7" i="21" l="1"/>
  <c r="K7" i="21" s="1"/>
  <c r="DB3" i="5"/>
  <c r="I7" i="21"/>
  <c r="EF5" i="5"/>
  <c r="EF6" i="5"/>
  <c r="EF7" i="5"/>
  <c r="EF8" i="5"/>
  <c r="EF9" i="5"/>
  <c r="EF10" i="5"/>
  <c r="EF11" i="5"/>
  <c r="EF12" i="5"/>
  <c r="EE6" i="5"/>
  <c r="EE7" i="5"/>
  <c r="EE8" i="5"/>
  <c r="EE9" i="5"/>
  <c r="EE10" i="5"/>
  <c r="EE11" i="5"/>
  <c r="EE12" i="5"/>
  <c r="EE5" i="5"/>
  <c r="EJ6" i="5"/>
  <c r="EJ7" i="5"/>
  <c r="EJ8" i="5"/>
  <c r="EJ9" i="5"/>
  <c r="EJ10" i="5"/>
  <c r="EJ11" i="5"/>
  <c r="EJ12" i="5"/>
  <c r="EJ5" i="5"/>
  <c r="EH6" i="5"/>
  <c r="EH7" i="5"/>
  <c r="EH8" i="5"/>
  <c r="EH9" i="5"/>
  <c r="EH10" i="5"/>
  <c r="EH11" i="5"/>
  <c r="EH12" i="5"/>
  <c r="EH5" i="5"/>
  <c r="DP5" i="5"/>
  <c r="DR5" i="5"/>
  <c r="DP6" i="5"/>
  <c r="DP7" i="5"/>
  <c r="DP8" i="5"/>
  <c r="DP9" i="5"/>
  <c r="DP10" i="5"/>
  <c r="DP11" i="5"/>
  <c r="DP12" i="5"/>
  <c r="DO5" i="5"/>
  <c r="DO6" i="5"/>
  <c r="DO7" i="5"/>
  <c r="DO8" i="5"/>
  <c r="DO9" i="5"/>
  <c r="DO10" i="5"/>
  <c r="DO11" i="5"/>
  <c r="DO12" i="5"/>
  <c r="DA6" i="5"/>
  <c r="DA7" i="5"/>
  <c r="DA8" i="5"/>
  <c r="DA9" i="5"/>
  <c r="DA10" i="5"/>
  <c r="DA11" i="5"/>
  <c r="DA12" i="5"/>
  <c r="DA5" i="5"/>
  <c r="CZ5" i="5"/>
  <c r="DY10" i="5"/>
  <c r="L8" i="15"/>
  <c r="M8" i="15"/>
  <c r="N8" i="15"/>
  <c r="O8" i="15"/>
  <c r="P8" i="15"/>
  <c r="L9" i="15"/>
  <c r="M9" i="15"/>
  <c r="N9" i="15"/>
  <c r="O9" i="15"/>
  <c r="P9" i="15"/>
  <c r="L10" i="15"/>
  <c r="M10" i="15"/>
  <c r="N10" i="15"/>
  <c r="O10" i="15"/>
  <c r="P10" i="15"/>
  <c r="L11" i="15"/>
  <c r="M11" i="15"/>
  <c r="N11" i="15"/>
  <c r="O11" i="15"/>
  <c r="P11" i="15"/>
  <c r="L12" i="15"/>
  <c r="M12" i="15"/>
  <c r="N12" i="15"/>
  <c r="O12" i="15"/>
  <c r="P12" i="15"/>
  <c r="L13" i="15"/>
  <c r="M13" i="15"/>
  <c r="N13" i="15"/>
  <c r="O13" i="15"/>
  <c r="P13" i="15"/>
  <c r="EA5" i="5"/>
  <c r="EA6" i="5"/>
  <c r="EA7" i="5"/>
  <c r="EA8" i="5"/>
  <c r="EA9" i="5"/>
  <c r="EA10" i="5"/>
  <c r="EA11" i="5"/>
  <c r="EA12" i="5"/>
  <c r="DL8" i="5"/>
  <c r="CU5" i="5"/>
  <c r="DW6" i="5"/>
  <c r="DW7" i="5"/>
  <c r="DW8" i="5"/>
  <c r="DW9" i="5"/>
  <c r="DW10" i="5"/>
  <c r="DW11" i="5"/>
  <c r="DW12" i="5"/>
  <c r="DW5" i="5"/>
  <c r="DX6" i="5"/>
  <c r="DX7" i="5"/>
  <c r="DX8" i="5"/>
  <c r="DX9" i="5"/>
  <c r="DX10" i="5"/>
  <c r="DX12" i="5"/>
  <c r="DX5" i="5"/>
  <c r="DX3" i="5" l="1"/>
  <c r="DW3" i="5"/>
  <c r="DA3" i="5"/>
  <c r="DO3" i="5"/>
  <c r="EA3" i="5"/>
  <c r="DP3" i="5"/>
  <c r="EH3" i="5"/>
  <c r="EJ3" i="5"/>
  <c r="EE3" i="5"/>
  <c r="EF3" i="5"/>
  <c r="CD8" i="5"/>
  <c r="CE8" i="5"/>
  <c r="CF8" i="5"/>
  <c r="CG8" i="5"/>
  <c r="CH8" i="5"/>
  <c r="CI8" i="5"/>
  <c r="CJ8" i="5"/>
  <c r="CK8" i="5"/>
  <c r="CL8" i="5"/>
  <c r="CM8" i="5"/>
  <c r="CN8" i="5"/>
  <c r="CO8" i="5"/>
  <c r="CP8" i="5"/>
  <c r="CQ8" i="5"/>
  <c r="CR8" i="5"/>
  <c r="CS8" i="5"/>
  <c r="CT8" i="5"/>
  <c r="CU8" i="5"/>
  <c r="CV8" i="5"/>
  <c r="CW8" i="5"/>
  <c r="CX8" i="5"/>
  <c r="CY8" i="5"/>
  <c r="CZ8" i="5"/>
  <c r="DC8" i="5"/>
  <c r="DD8" i="5"/>
  <c r="DE8" i="5"/>
  <c r="DF8" i="5"/>
  <c r="DG8" i="5"/>
  <c r="DH8" i="5"/>
  <c r="DI8" i="5"/>
  <c r="DJ8" i="5"/>
  <c r="DK8" i="5"/>
  <c r="DM8" i="5"/>
  <c r="DN8" i="5"/>
  <c r="DQ8" i="5"/>
  <c r="DR8" i="5"/>
  <c r="DS8" i="5"/>
  <c r="DT8" i="5"/>
  <c r="DU8" i="5"/>
  <c r="DV8" i="5"/>
  <c r="DY8" i="5"/>
  <c r="DZ8" i="5"/>
  <c r="EB8" i="5"/>
  <c r="EC8" i="5"/>
  <c r="ED8" i="5"/>
  <c r="EG8" i="5"/>
  <c r="EI8" i="5"/>
  <c r="EK8" i="5"/>
  <c r="EL8" i="5"/>
  <c r="EM8" i="5"/>
  <c r="EN8" i="5"/>
  <c r="EO8" i="5"/>
  <c r="EP8" i="5"/>
  <c r="EQ8" i="5"/>
  <c r="ER8" i="5"/>
  <c r="ES8" i="5"/>
  <c r="ET8" i="5"/>
  <c r="EU8" i="5"/>
  <c r="EV8" i="5"/>
  <c r="EW8" i="5"/>
  <c r="EX8" i="5"/>
  <c r="EY8" i="5"/>
  <c r="EZ8" i="5"/>
  <c r="CD9" i="5"/>
  <c r="CE9" i="5"/>
  <c r="CF9" i="5"/>
  <c r="CG9" i="5"/>
  <c r="CH9" i="5"/>
  <c r="CI9" i="5"/>
  <c r="CJ9" i="5"/>
  <c r="CK9" i="5"/>
  <c r="CL9" i="5"/>
  <c r="CM9" i="5"/>
  <c r="CN9" i="5"/>
  <c r="CO9" i="5"/>
  <c r="CP9" i="5"/>
  <c r="CQ9" i="5"/>
  <c r="CR9" i="5"/>
  <c r="CS9" i="5"/>
  <c r="CT9" i="5"/>
  <c r="CU9" i="5"/>
  <c r="CV9" i="5"/>
  <c r="CW9" i="5"/>
  <c r="CX9" i="5"/>
  <c r="CY9" i="5"/>
  <c r="CZ9" i="5"/>
  <c r="DC9" i="5"/>
  <c r="DD9" i="5"/>
  <c r="DE9" i="5"/>
  <c r="DF9" i="5"/>
  <c r="DG9" i="5"/>
  <c r="DH9" i="5"/>
  <c r="DI9" i="5"/>
  <c r="DJ9" i="5"/>
  <c r="DK9" i="5"/>
  <c r="DL9" i="5"/>
  <c r="DM9" i="5"/>
  <c r="DN9" i="5"/>
  <c r="DQ9" i="5"/>
  <c r="DR9" i="5"/>
  <c r="DS9" i="5"/>
  <c r="DT9" i="5"/>
  <c r="DU9" i="5"/>
  <c r="DV9" i="5"/>
  <c r="DY9" i="5"/>
  <c r="DZ9" i="5"/>
  <c r="EB9" i="5"/>
  <c r="EC9" i="5"/>
  <c r="ED9" i="5"/>
  <c r="EG9" i="5"/>
  <c r="EI9" i="5"/>
  <c r="EK9" i="5"/>
  <c r="EL9" i="5"/>
  <c r="EM9" i="5"/>
  <c r="EN9" i="5"/>
  <c r="EO9" i="5"/>
  <c r="EP9" i="5"/>
  <c r="EQ9" i="5"/>
  <c r="ER9" i="5"/>
  <c r="ES9" i="5"/>
  <c r="ET9" i="5"/>
  <c r="EU9" i="5"/>
  <c r="EV9" i="5"/>
  <c r="EW9" i="5"/>
  <c r="EX9" i="5"/>
  <c r="EY9" i="5"/>
  <c r="EZ9" i="5"/>
  <c r="CD10" i="5"/>
  <c r="CE10" i="5"/>
  <c r="CF10" i="5"/>
  <c r="CG10" i="5"/>
  <c r="CH10" i="5"/>
  <c r="CI10" i="5"/>
  <c r="CJ10" i="5"/>
  <c r="CK10" i="5"/>
  <c r="CL10" i="5"/>
  <c r="CM10" i="5"/>
  <c r="CN10" i="5"/>
  <c r="CO10" i="5"/>
  <c r="CP10" i="5"/>
  <c r="CQ10" i="5"/>
  <c r="CR10" i="5"/>
  <c r="CS10" i="5"/>
  <c r="CT10" i="5"/>
  <c r="CU10" i="5"/>
  <c r="CV10" i="5"/>
  <c r="CW10" i="5"/>
  <c r="CX10" i="5"/>
  <c r="CY10" i="5"/>
  <c r="CZ10" i="5"/>
  <c r="DC10" i="5"/>
  <c r="DD10" i="5"/>
  <c r="DE10" i="5"/>
  <c r="DF10" i="5"/>
  <c r="DG10" i="5"/>
  <c r="DH10" i="5"/>
  <c r="DI10" i="5"/>
  <c r="DJ10" i="5"/>
  <c r="DK10" i="5"/>
  <c r="DL10" i="5"/>
  <c r="DM10" i="5"/>
  <c r="DN10" i="5"/>
  <c r="DQ10" i="5"/>
  <c r="DR10" i="5"/>
  <c r="DS10" i="5"/>
  <c r="DT10" i="5"/>
  <c r="DU10" i="5"/>
  <c r="DV10" i="5"/>
  <c r="DZ10" i="5"/>
  <c r="EB10" i="5"/>
  <c r="EC10" i="5"/>
  <c r="ED10" i="5"/>
  <c r="EG10" i="5"/>
  <c r="EI10" i="5"/>
  <c r="EK10" i="5"/>
  <c r="EL10" i="5"/>
  <c r="EM10" i="5"/>
  <c r="EN10" i="5"/>
  <c r="EO10" i="5"/>
  <c r="EP10" i="5"/>
  <c r="EQ10" i="5"/>
  <c r="ER10" i="5"/>
  <c r="ES10" i="5"/>
  <c r="ET10" i="5"/>
  <c r="EU10" i="5"/>
  <c r="EV10" i="5"/>
  <c r="EW10" i="5"/>
  <c r="EX10" i="5"/>
  <c r="EY10" i="5"/>
  <c r="EZ10" i="5"/>
  <c r="CD11" i="5"/>
  <c r="CE11" i="5"/>
  <c r="CF11" i="5"/>
  <c r="CG11" i="5"/>
  <c r="CH11" i="5"/>
  <c r="CI11" i="5"/>
  <c r="CJ11" i="5"/>
  <c r="CK11" i="5"/>
  <c r="CL11" i="5"/>
  <c r="CM11" i="5"/>
  <c r="CN11" i="5"/>
  <c r="CO11" i="5"/>
  <c r="CP11" i="5"/>
  <c r="CQ11" i="5"/>
  <c r="CR11" i="5"/>
  <c r="CS11" i="5"/>
  <c r="CT11" i="5"/>
  <c r="CU11" i="5"/>
  <c r="CV11" i="5"/>
  <c r="CW11" i="5"/>
  <c r="CX11" i="5"/>
  <c r="CY11" i="5"/>
  <c r="CZ11" i="5"/>
  <c r="DC11" i="5"/>
  <c r="DD11" i="5"/>
  <c r="DE11" i="5"/>
  <c r="DF11" i="5"/>
  <c r="DG11" i="5"/>
  <c r="DH11" i="5"/>
  <c r="DI11" i="5"/>
  <c r="DJ11" i="5"/>
  <c r="DK11" i="5"/>
  <c r="DL11" i="5"/>
  <c r="DM11" i="5"/>
  <c r="DN11" i="5"/>
  <c r="DQ11" i="5"/>
  <c r="DR11" i="5"/>
  <c r="DS11" i="5"/>
  <c r="DT11" i="5"/>
  <c r="DU11" i="5"/>
  <c r="DV11" i="5"/>
  <c r="DY11" i="5"/>
  <c r="DZ11" i="5"/>
  <c r="EB11" i="5"/>
  <c r="EC11" i="5"/>
  <c r="ED11" i="5"/>
  <c r="EG11" i="5"/>
  <c r="EI11" i="5"/>
  <c r="EK11" i="5"/>
  <c r="EL11" i="5"/>
  <c r="EM11" i="5"/>
  <c r="EN11" i="5"/>
  <c r="EO11" i="5"/>
  <c r="EP11" i="5"/>
  <c r="EQ11" i="5"/>
  <c r="ER11" i="5"/>
  <c r="ES11" i="5"/>
  <c r="ET11" i="5"/>
  <c r="EU11" i="5"/>
  <c r="EV11" i="5"/>
  <c r="EW11" i="5"/>
  <c r="EX11" i="5"/>
  <c r="EY11" i="5"/>
  <c r="EZ11" i="5"/>
  <c r="CD12" i="5"/>
  <c r="CE12" i="5"/>
  <c r="CF12" i="5"/>
  <c r="CG12" i="5"/>
  <c r="CH12" i="5"/>
  <c r="CI12" i="5"/>
  <c r="CJ12" i="5"/>
  <c r="CK12" i="5"/>
  <c r="CL12" i="5"/>
  <c r="CM12" i="5"/>
  <c r="CN12" i="5"/>
  <c r="CO12" i="5"/>
  <c r="CP12" i="5"/>
  <c r="CQ12" i="5"/>
  <c r="CR12" i="5"/>
  <c r="CS12" i="5"/>
  <c r="CT12" i="5"/>
  <c r="CU12" i="5"/>
  <c r="CV12" i="5"/>
  <c r="CW12" i="5"/>
  <c r="CX12" i="5"/>
  <c r="CY12" i="5"/>
  <c r="CZ12" i="5"/>
  <c r="DC12" i="5"/>
  <c r="DD12" i="5"/>
  <c r="DE12" i="5"/>
  <c r="DF12" i="5"/>
  <c r="DG12" i="5"/>
  <c r="DH12" i="5"/>
  <c r="DI12" i="5"/>
  <c r="DJ12" i="5"/>
  <c r="DK12" i="5"/>
  <c r="DL12" i="5"/>
  <c r="DM12" i="5"/>
  <c r="DN12" i="5"/>
  <c r="DQ12" i="5"/>
  <c r="DR12" i="5"/>
  <c r="DS12" i="5"/>
  <c r="DT12" i="5"/>
  <c r="DU12" i="5"/>
  <c r="DV12" i="5"/>
  <c r="DY12" i="5"/>
  <c r="DZ12" i="5"/>
  <c r="EB12" i="5"/>
  <c r="EC12" i="5"/>
  <c r="ED12" i="5"/>
  <c r="EG12" i="5"/>
  <c r="EI12" i="5"/>
  <c r="EK12" i="5"/>
  <c r="EL12" i="5"/>
  <c r="EM12" i="5"/>
  <c r="EN12" i="5"/>
  <c r="EO12" i="5"/>
  <c r="EP12" i="5"/>
  <c r="EQ12" i="5"/>
  <c r="ER12" i="5"/>
  <c r="ES12" i="5"/>
  <c r="ET12" i="5"/>
  <c r="EU12" i="5"/>
  <c r="EV12" i="5"/>
  <c r="EW12" i="5"/>
  <c r="EX12" i="5"/>
  <c r="EY12" i="5"/>
  <c r="EZ12" i="5"/>
  <c r="CD5" i="5" l="1"/>
  <c r="P6" i="15"/>
  <c r="P7" i="15"/>
  <c r="P5" i="15"/>
  <c r="P3" i="15" s="1"/>
  <c r="L6" i="15"/>
  <c r="M6" i="15"/>
  <c r="N6" i="15"/>
  <c r="O6" i="15"/>
  <c r="L5" i="15"/>
  <c r="L3" i="15" s="1"/>
  <c r="M5" i="15"/>
  <c r="N5" i="15"/>
  <c r="N3" i="15" s="1"/>
  <c r="O5" i="15"/>
  <c r="L7" i="15"/>
  <c r="M7" i="15"/>
  <c r="N7" i="15"/>
  <c r="O7" i="15"/>
  <c r="O3" i="15" l="1"/>
  <c r="M42" i="19" s="1"/>
  <c r="M3" i="15"/>
  <c r="M40" i="19" s="1"/>
  <c r="M43" i="19"/>
  <c r="M41" i="19"/>
  <c r="T43" i="19"/>
  <c r="R43" i="19"/>
  <c r="O41" i="19"/>
  <c r="T41" i="19"/>
  <c r="R41" i="19"/>
  <c r="T40" i="19"/>
  <c r="M44" i="18"/>
  <c r="O44" i="18"/>
  <c r="T44" i="18"/>
  <c r="R44" i="18"/>
  <c r="O43" i="19"/>
  <c r="ER6" i="5"/>
  <c r="ER7" i="5"/>
  <c r="ER5" i="5"/>
  <c r="EP6" i="5"/>
  <c r="EP7" i="5"/>
  <c r="EP5" i="5"/>
  <c r="EO7" i="5"/>
  <c r="EO6" i="5"/>
  <c r="EL6" i="5"/>
  <c r="EL7" i="5"/>
  <c r="EL5" i="5"/>
  <c r="EK6" i="5"/>
  <c r="EK7" i="5"/>
  <c r="EK5" i="5"/>
  <c r="EI6" i="5"/>
  <c r="EI7" i="5"/>
  <c r="EI5" i="5"/>
  <c r="EG6" i="5"/>
  <c r="EG7" i="5"/>
  <c r="EG5" i="5"/>
  <c r="ED6" i="5"/>
  <c r="ED5" i="5"/>
  <c r="EC6" i="5"/>
  <c r="EC7" i="5"/>
  <c r="EC5" i="5"/>
  <c r="DZ6" i="5"/>
  <c r="DZ7" i="5"/>
  <c r="DZ5" i="5"/>
  <c r="DY6" i="5"/>
  <c r="DY7" i="5"/>
  <c r="DY5" i="5"/>
  <c r="DT6" i="5"/>
  <c r="DT7" i="5"/>
  <c r="DT5" i="5"/>
  <c r="DR6" i="5"/>
  <c r="DR7" i="5"/>
  <c r="DQ6" i="5"/>
  <c r="DQ7" i="5"/>
  <c r="DQ5" i="5"/>
  <c r="DM6" i="5"/>
  <c r="DM7" i="5"/>
  <c r="DM5" i="5"/>
  <c r="DL6" i="5"/>
  <c r="DL7" i="5"/>
  <c r="DL5" i="5"/>
  <c r="DK7" i="5"/>
  <c r="DK6" i="5"/>
  <c r="DK5" i="5"/>
  <c r="DJ6" i="5"/>
  <c r="DJ7" i="5"/>
  <c r="DJ5" i="5"/>
  <c r="DI6" i="5"/>
  <c r="DI7" i="5"/>
  <c r="DI5" i="5"/>
  <c r="DH6" i="5"/>
  <c r="DH7" i="5"/>
  <c r="DH5" i="5"/>
  <c r="DG6" i="5"/>
  <c r="DG7" i="5"/>
  <c r="DG5" i="5"/>
  <c r="DG3" i="5" s="1"/>
  <c r="DF6" i="5"/>
  <c r="DF7" i="5"/>
  <c r="DF5" i="5"/>
  <c r="DE6" i="5"/>
  <c r="DE7" i="5"/>
  <c r="DE5" i="5"/>
  <c r="DD6" i="5"/>
  <c r="DD7" i="5"/>
  <c r="DD5" i="5"/>
  <c r="CZ6" i="5"/>
  <c r="CZ7" i="5"/>
  <c r="CI6" i="5"/>
  <c r="CI7" i="5"/>
  <c r="CI5" i="5"/>
  <c r="CH6" i="5"/>
  <c r="CH7" i="5"/>
  <c r="CH5" i="5"/>
  <c r="CW6" i="5"/>
  <c r="CW7" i="5"/>
  <c r="CW5" i="5"/>
  <c r="CU6" i="5"/>
  <c r="CU7" i="5"/>
  <c r="CT7" i="5"/>
  <c r="CT5" i="5"/>
  <c r="CT6" i="5"/>
  <c r="CM6" i="5"/>
  <c r="CN6" i="5"/>
  <c r="CO6" i="5"/>
  <c r="CP6" i="5"/>
  <c r="CQ6" i="5"/>
  <c r="CM7" i="5"/>
  <c r="CN7" i="5"/>
  <c r="CO7" i="5"/>
  <c r="CP7" i="5"/>
  <c r="CQ7" i="5"/>
  <c r="CQ5" i="5"/>
  <c r="CN5" i="5"/>
  <c r="CM5" i="5"/>
  <c r="CL5" i="5"/>
  <c r="CJ6" i="5"/>
  <c r="CJ7" i="5"/>
  <c r="CJ5" i="5"/>
  <c r="CK6" i="5"/>
  <c r="CK7" i="5"/>
  <c r="CK5" i="5"/>
  <c r="B43" i="19"/>
  <c r="B42" i="19"/>
  <c r="B41" i="19"/>
  <c r="B39" i="19"/>
  <c r="B38" i="19"/>
  <c r="B37" i="19"/>
  <c r="B36" i="19"/>
  <c r="B35" i="19"/>
  <c r="B34" i="19"/>
  <c r="B33" i="19"/>
  <c r="B32" i="19"/>
  <c r="B31" i="19"/>
  <c r="B30" i="19"/>
  <c r="B29" i="19"/>
  <c r="B28" i="19"/>
  <c r="B27" i="19"/>
  <c r="B26" i="19"/>
  <c r="B25" i="19"/>
  <c r="B24" i="19"/>
  <c r="B23" i="19"/>
  <c r="B22" i="19"/>
  <c r="B21" i="19"/>
  <c r="B20" i="19"/>
  <c r="B19" i="19"/>
  <c r="B18" i="19"/>
  <c r="B17" i="19"/>
  <c r="B16" i="19"/>
  <c r="B15" i="19"/>
  <c r="B14" i="19"/>
  <c r="B13" i="19"/>
  <c r="B12" i="19"/>
  <c r="B11" i="19"/>
  <c r="B10" i="19"/>
  <c r="B9" i="19"/>
  <c r="B8" i="19"/>
  <c r="B7" i="19"/>
  <c r="B6" i="19"/>
  <c r="B5" i="19"/>
  <c r="B4" i="19"/>
  <c r="EY6" i="5"/>
  <c r="EY7" i="5"/>
  <c r="EY5" i="5"/>
  <c r="EW6" i="5"/>
  <c r="EW7" i="5"/>
  <c r="EW5" i="5"/>
  <c r="EU6" i="5"/>
  <c r="EU7" i="5"/>
  <c r="EU5" i="5"/>
  <c r="EM5" i="5"/>
  <c r="EM6" i="5"/>
  <c r="EM7" i="5"/>
  <c r="DS5" i="5"/>
  <c r="DU5" i="5"/>
  <c r="DV5" i="5"/>
  <c r="EB5" i="5"/>
  <c r="EN5" i="5"/>
  <c r="EQ5" i="5"/>
  <c r="ES5" i="5"/>
  <c r="ET5" i="5"/>
  <c r="EV5" i="5"/>
  <c r="EX5" i="5"/>
  <c r="EZ5" i="5"/>
  <c r="DS6" i="5"/>
  <c r="DU6" i="5"/>
  <c r="DV6" i="5"/>
  <c r="EB6" i="5"/>
  <c r="EN6" i="5"/>
  <c r="EQ6" i="5"/>
  <c r="ES6" i="5"/>
  <c r="ET6" i="5"/>
  <c r="EV6" i="5"/>
  <c r="EX6" i="5"/>
  <c r="EZ6" i="5"/>
  <c r="CX7" i="5"/>
  <c r="CG6" i="5"/>
  <c r="CE5" i="5"/>
  <c r="CF5" i="5"/>
  <c r="CG5" i="5"/>
  <c r="CO5" i="5"/>
  <c r="CP5" i="5"/>
  <c r="CR5" i="5"/>
  <c r="CS5" i="5"/>
  <c r="CV5" i="5"/>
  <c r="CX5" i="5"/>
  <c r="CY5" i="5"/>
  <c r="DC5" i="5"/>
  <c r="DN5" i="5"/>
  <c r="CD6" i="5"/>
  <c r="CE6" i="5"/>
  <c r="CF6" i="5"/>
  <c r="CL6" i="5"/>
  <c r="CR6" i="5"/>
  <c r="CS6" i="5"/>
  <c r="CV6" i="5"/>
  <c r="CX6" i="5"/>
  <c r="CY6" i="5"/>
  <c r="DC6" i="5"/>
  <c r="DN6" i="5"/>
  <c r="EZ7" i="5"/>
  <c r="EX7" i="5"/>
  <c r="EV7" i="5"/>
  <c r="ET7" i="5"/>
  <c r="ES7" i="5"/>
  <c r="EQ7" i="5"/>
  <c r="EN7" i="5"/>
  <c r="O42" i="19" l="1"/>
  <c r="L42" i="19" s="1"/>
  <c r="P42" i="19" s="1"/>
  <c r="EO3" i="5"/>
  <c r="ER3" i="5"/>
  <c r="DK3" i="5"/>
  <c r="CO3" i="5"/>
  <c r="L43" i="19"/>
  <c r="P43" i="19" s="1"/>
  <c r="R42" i="19"/>
  <c r="T42" i="19"/>
  <c r="EC3" i="5"/>
  <c r="CI3" i="5"/>
  <c r="DR3" i="5"/>
  <c r="CJ3" i="5"/>
  <c r="DE3" i="5"/>
  <c r="DI3" i="5"/>
  <c r="DM3" i="5"/>
  <c r="DY3" i="5"/>
  <c r="R40" i="19"/>
  <c r="Q40" i="19" s="1"/>
  <c r="U40" i="19" s="1"/>
  <c r="O40" i="19"/>
  <c r="DF3" i="5"/>
  <c r="DJ3" i="5"/>
  <c r="DQ3" i="5"/>
  <c r="CP3" i="5"/>
  <c r="DZ3" i="5"/>
  <c r="CQ3" i="5"/>
  <c r="CM3" i="5"/>
  <c r="CZ3" i="5"/>
  <c r="DT3" i="5"/>
  <c r="ED3" i="5"/>
  <c r="EL3" i="5"/>
  <c r="CN3" i="5"/>
  <c r="EM3" i="5"/>
  <c r="CK3" i="5"/>
  <c r="CU3" i="5"/>
  <c r="DD3" i="5"/>
  <c r="DH3" i="5"/>
  <c r="DL3" i="5"/>
  <c r="CT3" i="5"/>
  <c r="CX3" i="5"/>
  <c r="CW3" i="5"/>
  <c r="CH3" i="5"/>
  <c r="L41" i="19"/>
  <c r="P41" i="19" s="1"/>
  <c r="EK3" i="5"/>
  <c r="EP3" i="5"/>
  <c r="ET3" i="5"/>
  <c r="EQ3" i="5"/>
  <c r="EV3" i="5"/>
  <c r="ES3" i="5"/>
  <c r="EY3" i="5"/>
  <c r="EI3" i="5"/>
  <c r="EN3" i="5"/>
  <c r="EU3" i="5"/>
  <c r="EZ3" i="5"/>
  <c r="EX3" i="5"/>
  <c r="EW3" i="5"/>
  <c r="EG3" i="5"/>
  <c r="L44" i="18"/>
  <c r="D7" i="20" s="1"/>
  <c r="Q44" i="18"/>
  <c r="S44" i="18" s="1"/>
  <c r="Q43" i="19"/>
  <c r="U43" i="19" s="1"/>
  <c r="Q41" i="19"/>
  <c r="U41" i="19" s="1"/>
  <c r="N43" i="19"/>
  <c r="EB7" i="5"/>
  <c r="EB3" i="5" s="1"/>
  <c r="DV7" i="5"/>
  <c r="DV3" i="5" s="1"/>
  <c r="DU7" i="5"/>
  <c r="DU3" i="5" s="1"/>
  <c r="DS7" i="5"/>
  <c r="DS3" i="5" s="1"/>
  <c r="CL7" i="5"/>
  <c r="CL3" i="5" s="1"/>
  <c r="CD7" i="5"/>
  <c r="CD3" i="5" s="1"/>
  <c r="DN7" i="5"/>
  <c r="DN3" i="5" s="1"/>
  <c r="DC7" i="5"/>
  <c r="DC3" i="5" s="1"/>
  <c r="CY7" i="5"/>
  <c r="CY3" i="5" s="1"/>
  <c r="CV7" i="5"/>
  <c r="CV3" i="5" s="1"/>
  <c r="CS7" i="5"/>
  <c r="CS3" i="5" s="1"/>
  <c r="CR7" i="5"/>
  <c r="CR3" i="5" s="1"/>
  <c r="CG7" i="5"/>
  <c r="CG3" i="5" s="1"/>
  <c r="CF7" i="5"/>
  <c r="CF3" i="5" s="1"/>
  <c r="Q42" i="19" l="1"/>
  <c r="S42" i="19" s="1"/>
  <c r="L40" i="19"/>
  <c r="N40" i="19" s="1"/>
  <c r="N41" i="19"/>
  <c r="S40" i="19"/>
  <c r="N42" i="19"/>
  <c r="E10" i="20" s="1"/>
  <c r="U44" i="18"/>
  <c r="S41" i="19"/>
  <c r="P44" i="18"/>
  <c r="N44" i="18"/>
  <c r="E7" i="20" s="1"/>
  <c r="F7" i="20" s="1"/>
  <c r="S43" i="19"/>
  <c r="CE7" i="5"/>
  <c r="CE3" i="5" s="1"/>
  <c r="U42" i="19" l="1"/>
  <c r="D10" i="20"/>
  <c r="P40" i="19"/>
  <c r="F10" i="20"/>
  <c r="T18" i="19" l="1"/>
  <c r="R18" i="19"/>
  <c r="O18" i="19"/>
  <c r="M18" i="19"/>
  <c r="L18" i="19" l="1"/>
  <c r="P18" i="19" s="1"/>
  <c r="Q18" i="19"/>
  <c r="S18" i="19" s="1"/>
  <c r="N18" i="19" l="1"/>
  <c r="U18" i="19"/>
  <c r="T38" i="19"/>
  <c r="O36" i="19"/>
  <c r="O21" i="19"/>
  <c r="O31" i="19"/>
  <c r="M29" i="19"/>
  <c r="M22" i="19"/>
  <c r="R22" i="19"/>
  <c r="O35" i="19"/>
  <c r="O20" i="19"/>
  <c r="R24" i="19"/>
  <c r="M21" i="19"/>
  <c r="T29" i="19"/>
  <c r="R21" i="19"/>
  <c r="T32" i="19"/>
  <c r="T30" i="19"/>
  <c r="R34" i="19"/>
  <c r="T31" i="19"/>
  <c r="T21" i="19"/>
  <c r="M36" i="19"/>
  <c r="M28" i="19"/>
  <c r="R35" i="19"/>
  <c r="M19" i="19"/>
  <c r="O24" i="19"/>
  <c r="R39" i="19"/>
  <c r="R38" i="19"/>
  <c r="O32" i="19"/>
  <c r="R26" i="19"/>
  <c r="O26" i="19"/>
  <c r="T28" i="19"/>
  <c r="T33" i="19"/>
  <c r="O23" i="19"/>
  <c r="R32" i="19"/>
  <c r="O39" i="19"/>
  <c r="M35" i="19"/>
  <c r="O19" i="19"/>
  <c r="T24" i="19"/>
  <c r="R37" i="19"/>
  <c r="T25" i="19"/>
  <c r="R36" i="19"/>
  <c r="O34" i="19"/>
  <c r="T19" i="19"/>
  <c r="O37" i="19"/>
  <c r="T23" i="19"/>
  <c r="R31" i="19"/>
  <c r="O28" i="19"/>
  <c r="R19" i="19"/>
  <c r="O33" i="19"/>
  <c r="T35" i="19"/>
  <c r="T39" i="19"/>
  <c r="M33" i="19"/>
  <c r="O22" i="19"/>
  <c r="M34" i="19"/>
  <c r="R27" i="19"/>
  <c r="O29" i="19"/>
  <c r="R28" i="19"/>
  <c r="M39" i="19"/>
  <c r="T34" i="19"/>
  <c r="O25" i="19"/>
  <c r="T20" i="19"/>
  <c r="R25" i="19"/>
  <c r="T27" i="19"/>
  <c r="T37" i="19"/>
  <c r="T36" i="19"/>
  <c r="M31" i="19"/>
  <c r="M27" i="19"/>
  <c r="M20" i="19"/>
  <c r="M25" i="19"/>
  <c r="R30" i="19"/>
  <c r="O30" i="19"/>
  <c r="M26" i="19"/>
  <c r="O38" i="19"/>
  <c r="R23" i="19"/>
  <c r="M23" i="19"/>
  <c r="R20" i="19"/>
  <c r="O27" i="19"/>
  <c r="T26" i="19"/>
  <c r="M37" i="19"/>
  <c r="T22" i="19"/>
  <c r="M38" i="19"/>
  <c r="R29" i="19"/>
  <c r="R33" i="19"/>
  <c r="M30" i="19"/>
  <c r="M32" i="19"/>
  <c r="M24" i="19"/>
  <c r="L31" i="19" l="1"/>
  <c r="N31" i="19" s="1"/>
  <c r="Q29" i="19"/>
  <c r="S29" i="19" s="1"/>
  <c r="Q38" i="19"/>
  <c r="S38" i="19" s="1"/>
  <c r="L23" i="19"/>
  <c r="P23" i="19" s="1"/>
  <c r="Q23" i="19"/>
  <c r="U23" i="19" s="1"/>
  <c r="L21" i="19"/>
  <c r="N21" i="19" s="1"/>
  <c r="Q36" i="19"/>
  <c r="S36" i="19" s="1"/>
  <c r="Q19" i="19"/>
  <c r="S19" i="19" s="1"/>
  <c r="L36" i="19"/>
  <c r="P36" i="19" s="1"/>
  <c r="Q27" i="19"/>
  <c r="S27" i="19" s="1"/>
  <c r="L39" i="19"/>
  <c r="P39" i="19" s="1"/>
  <c r="L25" i="19"/>
  <c r="N25" i="19" s="1"/>
  <c r="L20" i="19"/>
  <c r="N20" i="19" s="1"/>
  <c r="L37" i="19"/>
  <c r="N37" i="19" s="1"/>
  <c r="L33" i="19"/>
  <c r="P33" i="19" s="1"/>
  <c r="Q35" i="19"/>
  <c r="S35" i="19" s="1"/>
  <c r="L26" i="19"/>
  <c r="P26" i="19" s="1"/>
  <c r="Q33" i="19"/>
  <c r="U33" i="19" s="1"/>
  <c r="L19" i="19"/>
  <c r="P19" i="19" s="1"/>
  <c r="L24" i="19"/>
  <c r="P24" i="19" s="1"/>
  <c r="L32" i="19"/>
  <c r="N32" i="19" s="1"/>
  <c r="Q22" i="19"/>
  <c r="S22" i="19" s="1"/>
  <c r="L38" i="19"/>
  <c r="N38" i="19" s="1"/>
  <c r="L27" i="19"/>
  <c r="P27" i="19" s="1"/>
  <c r="L34" i="19"/>
  <c r="N34" i="19" s="1"/>
  <c r="Q32" i="19"/>
  <c r="U32" i="19" s="1"/>
  <c r="Q24" i="19"/>
  <c r="U24" i="19" s="1"/>
  <c r="Q39" i="19"/>
  <c r="U39" i="19" s="1"/>
  <c r="Q20" i="19"/>
  <c r="S20" i="19" s="1"/>
  <c r="Q30" i="19"/>
  <c r="S30" i="19" s="1"/>
  <c r="L22" i="19"/>
  <c r="N22" i="19" s="1"/>
  <c r="Q37" i="19"/>
  <c r="U37" i="19" s="1"/>
  <c r="L29" i="19"/>
  <c r="P29" i="19" s="1"/>
  <c r="Q31" i="19"/>
  <c r="U31" i="19" s="1"/>
  <c r="L28" i="19"/>
  <c r="N28" i="19" s="1"/>
  <c r="L35" i="19"/>
  <c r="P35" i="19" s="1"/>
  <c r="Q34" i="19"/>
  <c r="U34" i="19" s="1"/>
  <c r="Q25" i="19"/>
  <c r="U25" i="19" s="1"/>
  <c r="L30" i="19"/>
  <c r="P30" i="19" s="1"/>
  <c r="Q28" i="19"/>
  <c r="U28" i="19" s="1"/>
  <c r="Q21" i="19"/>
  <c r="S21" i="19" s="1"/>
  <c r="Q26" i="19"/>
  <c r="U26" i="19" s="1"/>
  <c r="P31" i="19" l="1"/>
  <c r="U29" i="19"/>
  <c r="U38" i="19"/>
  <c r="U36" i="19"/>
  <c r="N23" i="19"/>
  <c r="P20" i="19"/>
  <c r="P25" i="19"/>
  <c r="S23" i="19"/>
  <c r="U27" i="19"/>
  <c r="P21" i="19"/>
  <c r="N36" i="19"/>
  <c r="U19" i="19"/>
  <c r="P34" i="19"/>
  <c r="U35" i="19"/>
  <c r="N33" i="19"/>
  <c r="P37" i="19"/>
  <c r="N39" i="19"/>
  <c r="S33" i="19"/>
  <c r="S32" i="19"/>
  <c r="N26" i="19"/>
  <c r="N19" i="19"/>
  <c r="S34" i="19"/>
  <c r="P32" i="19"/>
  <c r="U21" i="19"/>
  <c r="N27" i="19"/>
  <c r="P28" i="19"/>
  <c r="S39" i="19"/>
  <c r="U22" i="19"/>
  <c r="S26" i="19"/>
  <c r="P38" i="19"/>
  <c r="N24" i="19"/>
  <c r="S24" i="19"/>
  <c r="U20" i="19"/>
  <c r="N35" i="19"/>
  <c r="N30" i="19"/>
  <c r="P22" i="19"/>
  <c r="S37" i="19"/>
  <c r="N29" i="19"/>
  <c r="S25" i="19"/>
  <c r="U30" i="19"/>
  <c r="S28" i="19"/>
  <c r="S31" i="19"/>
  <c r="T4" i="19"/>
  <c r="M19" i="18"/>
  <c r="T12" i="18"/>
  <c r="T41" i="18"/>
  <c r="T17" i="18"/>
  <c r="O32" i="18"/>
  <c r="T6" i="18"/>
  <c r="T25" i="18"/>
  <c r="T29" i="18"/>
  <c r="O39" i="18"/>
  <c r="O6" i="18"/>
  <c r="T42" i="18"/>
  <c r="T5" i="19"/>
  <c r="T9" i="19"/>
  <c r="O11" i="19"/>
  <c r="O5" i="19"/>
  <c r="T8" i="19"/>
  <c r="T43" i="18"/>
  <c r="O37" i="18"/>
  <c r="O18" i="18"/>
  <c r="T18" i="18"/>
  <c r="T7" i="18"/>
  <c r="O24" i="18"/>
  <c r="T28" i="18"/>
  <c r="O6" i="19"/>
  <c r="T10" i="19"/>
  <c r="T34" i="18"/>
  <c r="O12" i="19"/>
  <c r="O38" i="18"/>
  <c r="T21" i="18"/>
  <c r="O43" i="18"/>
  <c r="O14" i="19"/>
  <c r="R38" i="18"/>
  <c r="T32" i="18"/>
  <c r="O41" i="18"/>
  <c r="R36" i="18"/>
  <c r="R10" i="19"/>
  <c r="R33" i="18"/>
  <c r="R15" i="19"/>
  <c r="T37" i="18"/>
  <c r="T14" i="19"/>
  <c r="T27" i="18"/>
  <c r="T5" i="18"/>
  <c r="M30" i="18"/>
  <c r="O34" i="18"/>
  <c r="O4" i="19"/>
  <c r="T16" i="19"/>
  <c r="O35" i="18"/>
  <c r="T11" i="18"/>
  <c r="T9" i="18"/>
  <c r="O28" i="18"/>
  <c r="O31" i="18"/>
  <c r="M22" i="18"/>
  <c r="O13" i="19"/>
  <c r="M31" i="18"/>
  <c r="R5" i="19"/>
  <c r="M43" i="18"/>
  <c r="T35" i="18"/>
  <c r="R18" i="18"/>
  <c r="M38" i="18"/>
  <c r="T12" i="19"/>
  <c r="R35" i="18"/>
  <c r="M10" i="19"/>
  <c r="M27" i="18"/>
  <c r="M6" i="18"/>
  <c r="T22" i="18"/>
  <c r="T38" i="18"/>
  <c r="M10" i="18"/>
  <c r="O30" i="18"/>
  <c r="R31" i="18"/>
  <c r="M12" i="18"/>
  <c r="O16" i="19"/>
  <c r="T16" i="18"/>
  <c r="M20" i="18"/>
  <c r="M5" i="19"/>
  <c r="R27" i="18"/>
  <c r="T24" i="18"/>
  <c r="O42" i="18"/>
  <c r="R14" i="18"/>
  <c r="T40" i="18"/>
  <c r="T13" i="19"/>
  <c r="O16" i="18"/>
  <c r="T30" i="18"/>
  <c r="M28" i="18"/>
  <c r="R17" i="18"/>
  <c r="R8" i="19"/>
  <c r="R17" i="19"/>
  <c r="M7" i="19"/>
  <c r="R13" i="18"/>
  <c r="O13" i="18"/>
  <c r="M6" i="19"/>
  <c r="M41" i="18"/>
  <c r="O10" i="18"/>
  <c r="R30" i="18"/>
  <c r="R16" i="18"/>
  <c r="M37" i="18"/>
  <c r="M36" i="18"/>
  <c r="R25" i="18"/>
  <c r="T26" i="18"/>
  <c r="O19" i="18"/>
  <c r="O15" i="19"/>
  <c r="M24" i="18"/>
  <c r="O9" i="19"/>
  <c r="M13" i="18"/>
  <c r="R10" i="18"/>
  <c r="T8" i="18"/>
  <c r="T14" i="18"/>
  <c r="O7" i="19"/>
  <c r="O8" i="19"/>
  <c r="R37" i="18"/>
  <c r="O10" i="19"/>
  <c r="T33" i="18"/>
  <c r="R28" i="18"/>
  <c r="O29" i="18"/>
  <c r="O11" i="18"/>
  <c r="O21" i="18"/>
  <c r="O23" i="18"/>
  <c r="O15" i="18"/>
  <c r="T36" i="18"/>
  <c r="O17" i="18"/>
  <c r="M25" i="18"/>
  <c r="R12" i="19"/>
  <c r="R19" i="18"/>
  <c r="M35" i="18"/>
  <c r="O33" i="18"/>
  <c r="M18" i="18"/>
  <c r="M8" i="18"/>
  <c r="R42" i="18"/>
  <c r="M15" i="19"/>
  <c r="T7" i="19"/>
  <c r="R34" i="18"/>
  <c r="M17" i="18"/>
  <c r="R32" i="18"/>
  <c r="O27" i="18"/>
  <c r="R9" i="19"/>
  <c r="T15" i="19"/>
  <c r="R39" i="18"/>
  <c r="T39" i="18"/>
  <c r="O22" i="18"/>
  <c r="M11" i="19"/>
  <c r="M33" i="18"/>
  <c r="T20" i="18"/>
  <c r="R20" i="18"/>
  <c r="O26" i="18"/>
  <c r="R7" i="18"/>
  <c r="R6" i="18"/>
  <c r="M11" i="18"/>
  <c r="M29" i="18"/>
  <c r="R41" i="18"/>
  <c r="M16" i="18"/>
  <c r="O17" i="19"/>
  <c r="R8" i="18"/>
  <c r="R9" i="18"/>
  <c r="R4" i="19"/>
  <c r="R24" i="18"/>
  <c r="M12" i="19"/>
  <c r="M39" i="18"/>
  <c r="R5" i="18"/>
  <c r="R14" i="19"/>
  <c r="R13" i="19"/>
  <c r="M17" i="19"/>
  <c r="M9" i="18"/>
  <c r="M7" i="18"/>
  <c r="M42" i="18"/>
  <c r="M4" i="19"/>
  <c r="M14" i="18"/>
  <c r="O25" i="18"/>
  <c r="M8" i="19"/>
  <c r="R6" i="19"/>
  <c r="M21" i="18"/>
  <c r="M13" i="19"/>
  <c r="R12" i="18"/>
  <c r="O36" i="18"/>
  <c r="O7" i="18"/>
  <c r="R22" i="18"/>
  <c r="R7" i="19"/>
  <c r="M34" i="18"/>
  <c r="T19" i="18"/>
  <c r="O40" i="18"/>
  <c r="T31" i="18"/>
  <c r="T13" i="18"/>
  <c r="O12" i="18"/>
  <c r="O9" i="18"/>
  <c r="O5" i="18"/>
  <c r="T17" i="19"/>
  <c r="O8" i="18"/>
  <c r="M9" i="19"/>
  <c r="T10" i="18"/>
  <c r="R23" i="18"/>
  <c r="O20" i="18"/>
  <c r="R21" i="18"/>
  <c r="R40" i="18"/>
  <c r="T11" i="19"/>
  <c r="M32" i="18"/>
  <c r="M23" i="18"/>
  <c r="M15" i="18"/>
  <c r="T6" i="19"/>
  <c r="O14" i="18"/>
  <c r="R11" i="19"/>
  <c r="R15" i="18"/>
  <c r="T15" i="18"/>
  <c r="M5" i="18"/>
  <c r="M40" i="18"/>
  <c r="R16" i="19"/>
  <c r="T23" i="18"/>
  <c r="M14" i="19"/>
  <c r="R29" i="18"/>
  <c r="R11" i="18"/>
  <c r="M16" i="19"/>
  <c r="M26" i="18"/>
  <c r="R26" i="18"/>
  <c r="R43" i="18"/>
  <c r="L9" i="19" l="1"/>
  <c r="P9" i="19" s="1"/>
  <c r="L6" i="18"/>
  <c r="L16" i="19"/>
  <c r="P16" i="19" s="1"/>
  <c r="Q28" i="18"/>
  <c r="S28" i="18" s="1"/>
  <c r="Q11" i="18"/>
  <c r="S11" i="18" s="1"/>
  <c r="L5" i="19"/>
  <c r="P5" i="19" s="1"/>
  <c r="Q36" i="18"/>
  <c r="U36" i="18" s="1"/>
  <c r="Q4" i="19"/>
  <c r="U4" i="19" s="1"/>
  <c r="Q41" i="18"/>
  <c r="S41" i="18" s="1"/>
  <c r="L41" i="18"/>
  <c r="P41" i="18" s="1"/>
  <c r="L18" i="18"/>
  <c r="N18" i="18" s="1"/>
  <c r="L14" i="19"/>
  <c r="N14" i="19" s="1"/>
  <c r="Q5" i="18"/>
  <c r="U5" i="18" s="1"/>
  <c r="Q6" i="18"/>
  <c r="S6" i="18" s="1"/>
  <c r="Q25" i="18"/>
  <c r="S25" i="18" s="1"/>
  <c r="L37" i="18"/>
  <c r="N37" i="18" s="1"/>
  <c r="L42" i="18"/>
  <c r="N42" i="18" s="1"/>
  <c r="L40" i="18"/>
  <c r="N40" i="18" s="1"/>
  <c r="L13" i="18"/>
  <c r="P13" i="18" s="1"/>
  <c r="L4" i="19"/>
  <c r="N4" i="19" s="1"/>
  <c r="L29" i="18"/>
  <c r="P29" i="18" s="1"/>
  <c r="L21" i="18"/>
  <c r="P21" i="18" s="1"/>
  <c r="L39" i="18"/>
  <c r="N39" i="18" s="1"/>
  <c r="L15" i="18"/>
  <c r="P15" i="18" s="1"/>
  <c r="L13" i="19"/>
  <c r="P13" i="19" s="1"/>
  <c r="Q32" i="18"/>
  <c r="U32" i="18" s="1"/>
  <c r="Q7" i="18"/>
  <c r="U7" i="18" s="1"/>
  <c r="Q31" i="18"/>
  <c r="S31" i="18" s="1"/>
  <c r="Q16" i="19"/>
  <c r="S16" i="19" s="1"/>
  <c r="L43" i="18"/>
  <c r="N43" i="18" s="1"/>
  <c r="Q42" i="18"/>
  <c r="S42" i="18" s="1"/>
  <c r="Q9" i="18"/>
  <c r="S9" i="18" s="1"/>
  <c r="Q7" i="19"/>
  <c r="U7" i="19" s="1"/>
  <c r="L6" i="19"/>
  <c r="N6" i="19" s="1"/>
  <c r="L26" i="18"/>
  <c r="N26" i="18" s="1"/>
  <c r="L38" i="18"/>
  <c r="N38" i="18" s="1"/>
  <c r="Q9" i="19"/>
  <c r="S9" i="19" s="1"/>
  <c r="Q6" i="19"/>
  <c r="S6" i="19" s="1"/>
  <c r="Q18" i="18"/>
  <c r="U18" i="18" s="1"/>
  <c r="Q8" i="19"/>
  <c r="S8" i="19" s="1"/>
  <c r="Q17" i="18"/>
  <c r="U17" i="18" s="1"/>
  <c r="Q37" i="18"/>
  <c r="U37" i="18" s="1"/>
  <c r="Q19" i="18"/>
  <c r="S19" i="18" s="1"/>
  <c r="L12" i="19"/>
  <c r="N12" i="19" s="1"/>
  <c r="L7" i="19"/>
  <c r="N7" i="19" s="1"/>
  <c r="L28" i="18"/>
  <c r="N28" i="18" s="1"/>
  <c r="Q24" i="18"/>
  <c r="U24" i="18" s="1"/>
  <c r="Q34" i="18"/>
  <c r="S34" i="18" s="1"/>
  <c r="Q30" i="18"/>
  <c r="U30" i="18" s="1"/>
  <c r="Q27" i="18"/>
  <c r="U27" i="18" s="1"/>
  <c r="L30" i="18"/>
  <c r="P30" i="18" s="1"/>
  <c r="Q12" i="18"/>
  <c r="S12" i="18" s="1"/>
  <c r="L15" i="19"/>
  <c r="P15" i="19" s="1"/>
  <c r="L8" i="19"/>
  <c r="P8" i="19" s="1"/>
  <c r="L10" i="19"/>
  <c r="L11" i="19"/>
  <c r="P11" i="19" s="1"/>
  <c r="L14" i="18"/>
  <c r="P14" i="18" s="1"/>
  <c r="L25" i="18"/>
  <c r="N25" i="18" s="1"/>
  <c r="L5" i="18"/>
  <c r="N5" i="18" s="1"/>
  <c r="Q20" i="18"/>
  <c r="U20" i="18" s="1"/>
  <c r="L7" i="18"/>
  <c r="N7" i="18" s="1"/>
  <c r="L10" i="18"/>
  <c r="P10" i="18" s="1"/>
  <c r="L8" i="18"/>
  <c r="P8" i="18" s="1"/>
  <c r="Q10" i="18"/>
  <c r="S10" i="18" s="1"/>
  <c r="Q29" i="18"/>
  <c r="U29" i="18" s="1"/>
  <c r="L34" i="18"/>
  <c r="N34" i="18" s="1"/>
  <c r="L17" i="18"/>
  <c r="P17" i="18" s="1"/>
  <c r="N6" i="18"/>
  <c r="L22" i="18"/>
  <c r="P22" i="18" s="1"/>
  <c r="L36" i="18"/>
  <c r="P36" i="18" s="1"/>
  <c r="L12" i="18"/>
  <c r="P12" i="18" s="1"/>
  <c r="L16" i="18"/>
  <c r="P16" i="18" s="1"/>
  <c r="L35" i="18"/>
  <c r="P35" i="18" s="1"/>
  <c r="L9" i="18"/>
  <c r="P9" i="18" s="1"/>
  <c r="P6" i="18"/>
  <c r="Q13" i="19"/>
  <c r="U13" i="19" s="1"/>
  <c r="Q12" i="19"/>
  <c r="S12" i="19" s="1"/>
  <c r="L17" i="19"/>
  <c r="N17" i="19" s="1"/>
  <c r="Q14" i="19"/>
  <c r="U14" i="19" s="1"/>
  <c r="Q23" i="18"/>
  <c r="U23" i="18" s="1"/>
  <c r="Q17" i="19"/>
  <c r="U17" i="19" s="1"/>
  <c r="Q38" i="18"/>
  <c r="U38" i="18" s="1"/>
  <c r="Q15" i="18"/>
  <c r="U15" i="18" s="1"/>
  <c r="Q11" i="19"/>
  <c r="U11" i="19" s="1"/>
  <c r="Q16" i="18"/>
  <c r="U16" i="18" s="1"/>
  <c r="Q15" i="19"/>
  <c r="U15" i="19" s="1"/>
  <c r="Q26" i="18"/>
  <c r="U26" i="18" s="1"/>
  <c r="L32" i="18"/>
  <c r="P32" i="18" s="1"/>
  <c r="Q21" i="18"/>
  <c r="U21" i="18" s="1"/>
  <c r="L20" i="18"/>
  <c r="N20" i="18" s="1"/>
  <c r="L31" i="18"/>
  <c r="N31" i="18" s="1"/>
  <c r="L19" i="18"/>
  <c r="N19" i="18" s="1"/>
  <c r="L11" i="18"/>
  <c r="P11" i="18" s="1"/>
  <c r="L33" i="18"/>
  <c r="P33" i="18" s="1"/>
  <c r="Q13" i="18"/>
  <c r="U13" i="18" s="1"/>
  <c r="Q14" i="18"/>
  <c r="U14" i="18" s="1"/>
  <c r="L27" i="18"/>
  <c r="P27" i="18" s="1"/>
  <c r="Q8" i="18"/>
  <c r="U8" i="18" s="1"/>
  <c r="Q39" i="18"/>
  <c r="U39" i="18" s="1"/>
  <c r="Q33" i="18"/>
  <c r="S33" i="18" s="1"/>
  <c r="L23" i="18"/>
  <c r="P23" i="18" s="1"/>
  <c r="Q40" i="18"/>
  <c r="U40" i="18" s="1"/>
  <c r="Q22" i="18"/>
  <c r="S22" i="18" s="1"/>
  <c r="L24" i="18"/>
  <c r="P24" i="18" s="1"/>
  <c r="Q35" i="18"/>
  <c r="U35" i="18" s="1"/>
  <c r="Q5" i="19"/>
  <c r="S5" i="19" s="1"/>
  <c r="Q10" i="19"/>
  <c r="S10" i="19" s="1"/>
  <c r="Q43" i="18"/>
  <c r="S43" i="18" s="1"/>
  <c r="N9" i="19" l="1"/>
  <c r="U11" i="18"/>
  <c r="U28" i="18"/>
  <c r="N16" i="19"/>
  <c r="N5" i="19"/>
  <c r="N15" i="18"/>
  <c r="S36" i="18"/>
  <c r="P18" i="18"/>
  <c r="P39" i="18"/>
  <c r="S4" i="19"/>
  <c r="U6" i="18"/>
  <c r="P37" i="18"/>
  <c r="P42" i="18"/>
  <c r="P14" i="19"/>
  <c r="U41" i="18"/>
  <c r="S5" i="18"/>
  <c r="N13" i="18"/>
  <c r="N41" i="18"/>
  <c r="U25" i="18"/>
  <c r="N21" i="18"/>
  <c r="P40" i="18"/>
  <c r="S32" i="18"/>
  <c r="P26" i="18"/>
  <c r="N29" i="18"/>
  <c r="P4" i="19"/>
  <c r="P7" i="19"/>
  <c r="P43" i="18"/>
  <c r="U31" i="18"/>
  <c r="S7" i="18"/>
  <c r="P6" i="19"/>
  <c r="U42" i="18"/>
  <c r="N13" i="19"/>
  <c r="S7" i="19"/>
  <c r="U16" i="19"/>
  <c r="U9" i="19"/>
  <c r="U6" i="19"/>
  <c r="U9" i="18"/>
  <c r="P25" i="18"/>
  <c r="N14" i="18"/>
  <c r="S30" i="18"/>
  <c r="U10" i="18"/>
  <c r="S24" i="18"/>
  <c r="U12" i="18"/>
  <c r="S29" i="18"/>
  <c r="S18" i="18"/>
  <c r="N12" i="18"/>
  <c r="N17" i="18"/>
  <c r="P38" i="18"/>
  <c r="N10" i="18"/>
  <c r="S21" i="18"/>
  <c r="S17" i="18"/>
  <c r="S17" i="19"/>
  <c r="U19" i="18"/>
  <c r="P28" i="18"/>
  <c r="N15" i="19"/>
  <c r="S37" i="18"/>
  <c r="D8" i="20"/>
  <c r="U8" i="19"/>
  <c r="S15" i="19"/>
  <c r="S23" i="18"/>
  <c r="P12" i="19"/>
  <c r="N10" i="19"/>
  <c r="P10" i="19"/>
  <c r="S38" i="18"/>
  <c r="U34" i="18"/>
  <c r="S14" i="19"/>
  <c r="D9" i="20"/>
  <c r="S27" i="18"/>
  <c r="N30" i="18"/>
  <c r="S20" i="18"/>
  <c r="N8" i="19"/>
  <c r="N36" i="18"/>
  <c r="P5" i="18"/>
  <c r="N11" i="19"/>
  <c r="P7" i="18"/>
  <c r="P34" i="18"/>
  <c r="N35" i="18"/>
  <c r="N22" i="18"/>
  <c r="S16" i="18"/>
  <c r="P20" i="18"/>
  <c r="N24" i="18"/>
  <c r="N16" i="18"/>
  <c r="N9" i="18"/>
  <c r="N8" i="18"/>
  <c r="U12" i="19"/>
  <c r="P17" i="19"/>
  <c r="U5" i="19"/>
  <c r="U10" i="19"/>
  <c r="S13" i="19"/>
  <c r="S11" i="19"/>
  <c r="S15" i="18"/>
  <c r="D5" i="20"/>
  <c r="U43" i="18"/>
  <c r="D6" i="20"/>
  <c r="U22" i="18"/>
  <c r="P19" i="18"/>
  <c r="S26" i="18"/>
  <c r="S14" i="18"/>
  <c r="S35" i="18"/>
  <c r="S40" i="18"/>
  <c r="P31" i="18"/>
  <c r="U33" i="18"/>
  <c r="S39" i="18"/>
  <c r="N27" i="18"/>
  <c r="S13" i="18"/>
  <c r="N11" i="18"/>
  <c r="N32" i="18"/>
  <c r="N23" i="18"/>
  <c r="N33" i="18"/>
  <c r="S8" i="18"/>
  <c r="E9" i="20" l="1"/>
  <c r="F9" i="20" s="1"/>
  <c r="E8" i="20"/>
  <c r="F8" i="20" s="1"/>
  <c r="E6" i="20"/>
  <c r="F6" i="20" s="1"/>
  <c r="E5" i="20"/>
  <c r="F5" i="2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Carlos Miguel Alves Marques</author>
  </authors>
  <commentList>
    <comment ref="X4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Assegurar que as emissões que não têm valor de cupão anterior estão a zero nesta coluna
</t>
        </r>
      </text>
    </comment>
  </commentList>
</comments>
</file>

<file path=xl/sharedStrings.xml><?xml version="1.0" encoding="utf-8"?>
<sst xmlns="http://schemas.openxmlformats.org/spreadsheetml/2006/main" count="4876" uniqueCount="2642">
  <si>
    <t>Row number</t>
  </si>
  <si>
    <t xml:space="preserve">Insolvency ranking </t>
  </si>
  <si>
    <t>Category</t>
  </si>
  <si>
    <t>Counterparty type</t>
  </si>
  <si>
    <t>Relevant amount for Bail-in/WDC</t>
  </si>
  <si>
    <t>0010</t>
  </si>
  <si>
    <t>0020</t>
  </si>
  <si>
    <t>0030</t>
  </si>
  <si>
    <t>0040</t>
  </si>
  <si>
    <t>0060</t>
  </si>
  <si>
    <t>Name of Legal Entity</t>
  </si>
  <si>
    <t>LEI of Legal Entity</t>
  </si>
  <si>
    <t>Country of incorporation</t>
  </si>
  <si>
    <t>Name of the ultimate parent entity</t>
  </si>
  <si>
    <t>LEI of the ultimate parent entity</t>
  </si>
  <si>
    <t>Name of the Resolution Entity</t>
  </si>
  <si>
    <t>LEI of the Resolution Entity</t>
  </si>
  <si>
    <t>Reporting entity type</t>
  </si>
  <si>
    <t>Reference date</t>
  </si>
  <si>
    <t>Reported currency</t>
  </si>
  <si>
    <t>EUR exchange rate</t>
  </si>
  <si>
    <t>0070</t>
  </si>
  <si>
    <t>0080</t>
  </si>
  <si>
    <t>0090</t>
  </si>
  <si>
    <t xml:space="preserve">Requirements for Non-Resolution Entities </t>
  </si>
  <si>
    <t>Unique internal identification number</t>
  </si>
  <si>
    <t>Unique identification number (known to the counterparty)</t>
  </si>
  <si>
    <t>Type of the unique identifier (known to the counterparty)</t>
  </si>
  <si>
    <t>Original amount issued in EUR</t>
  </si>
  <si>
    <t>Original amount issued in foreign currency</t>
  </si>
  <si>
    <r>
      <t>Contract currency</t>
    </r>
    <r>
      <rPr>
        <sz val="8"/>
        <color rgb="FFFF0000"/>
        <rFont val="Calibri"/>
        <family val="2"/>
      </rPr>
      <t xml:space="preserve"> </t>
    </r>
  </si>
  <si>
    <t>Outstanding principal amount</t>
  </si>
  <si>
    <t xml:space="preserve">Portion of instrument or liability held by the reporting entity </t>
  </si>
  <si>
    <t xml:space="preserve">Accrued interest </t>
  </si>
  <si>
    <t>Applicable fees and charges</t>
  </si>
  <si>
    <t xml:space="preserve">Outstanding amount </t>
  </si>
  <si>
    <t>Nature of the liability</t>
  </si>
  <si>
    <t>Nature of the liability (if other)</t>
  </si>
  <si>
    <t>Structurally subordinated</t>
  </si>
  <si>
    <t>Contractual subordination</t>
  </si>
  <si>
    <t>Bail-in cascade</t>
  </si>
  <si>
    <t>Date of issuance</t>
  </si>
  <si>
    <t xml:space="preserve">Date of the next interest payment </t>
  </si>
  <si>
    <t>Date of the next (partial) redemption payment</t>
  </si>
  <si>
    <t xml:space="preserve">Earliest redemption date </t>
  </si>
  <si>
    <t>Legal maturity</t>
  </si>
  <si>
    <t>Governing law</t>
  </si>
  <si>
    <t>Bail-in recognition clause</t>
  </si>
  <si>
    <t>Zero-Coupon</t>
  </si>
  <si>
    <t>Structured product</t>
  </si>
  <si>
    <t>Guaranteed minimum repayment amount of the structured product</t>
  </si>
  <si>
    <t>Fair value of the structured product</t>
  </si>
  <si>
    <t>Not covered and not preferential deposit</t>
  </si>
  <si>
    <t>Not covered but preferential deposit</t>
  </si>
  <si>
    <t>Covered portion of eligible deposits</t>
  </si>
  <si>
    <t>Secured/Unsecured</t>
  </si>
  <si>
    <r>
      <t>Amount of pledge</t>
    </r>
    <r>
      <rPr>
        <sz val="8"/>
        <color theme="1"/>
        <rFont val="Calibri"/>
        <family val="2"/>
        <scheme val="minor"/>
      </rPr>
      <t>,</t>
    </r>
    <r>
      <rPr>
        <b/>
        <sz val="11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lien or collateral</t>
    </r>
  </si>
  <si>
    <t>Amount of the uncollateralized part</t>
  </si>
  <si>
    <t>Internal identification number of the pledge, lien or collateral/collateral pool</t>
  </si>
  <si>
    <t>Type of the collateral</t>
  </si>
  <si>
    <t>Type of the collateral (if other)</t>
  </si>
  <si>
    <t>Trading method</t>
  </si>
  <si>
    <t>Denomination / Nominal value per security in EUR</t>
  </si>
  <si>
    <t>Denomination / Nominal value per security in original currency</t>
  </si>
  <si>
    <t>Number of securities outstanding not held by the reporting entity</t>
  </si>
  <si>
    <t>Number of securities outstanding held by the reporting entity</t>
  </si>
  <si>
    <t>Accrued interest per security</t>
  </si>
  <si>
    <t>Fees and charges per security</t>
  </si>
  <si>
    <t>Fair value per security</t>
  </si>
  <si>
    <t>Principal amount of the global note in EUR</t>
  </si>
  <si>
    <t>Principal amount of the global note in original currency</t>
  </si>
  <si>
    <t>Nature of the global note</t>
  </si>
  <si>
    <t>Current pool factor</t>
  </si>
  <si>
    <t xml:space="preserve">Central securities depository </t>
  </si>
  <si>
    <t>Central securities depository (LEI)</t>
  </si>
  <si>
    <t>Central securities depository name (if other)</t>
  </si>
  <si>
    <t>(Mandated) paying agent</t>
  </si>
  <si>
    <t>(Mandated) paying agent (LEI)</t>
  </si>
  <si>
    <t>Trading venue</t>
  </si>
  <si>
    <r>
      <t>Trading venue</t>
    </r>
    <r>
      <rPr>
        <sz val="8"/>
        <rFont val="Calibri"/>
        <family val="2"/>
        <scheme val="minor"/>
      </rPr>
      <t xml:space="preserve"> (LEI)</t>
    </r>
  </si>
  <si>
    <t>Registrar for information about creditors/holders</t>
  </si>
  <si>
    <t>Registrar for information about creditors/holders (LEI)</t>
  </si>
  <si>
    <t>National Numbering Agency</t>
  </si>
  <si>
    <t>National Numbering Agency (LEI)</t>
  </si>
  <si>
    <t>Common Depository</t>
  </si>
  <si>
    <t>Common Depository (LEI)</t>
  </si>
  <si>
    <t>Common Service Provider</t>
  </si>
  <si>
    <t>Common Service Provider (LEI)</t>
  </si>
  <si>
    <t>Type of own funds at individual level</t>
  </si>
  <si>
    <t>Eligible amount for own funds at individual level</t>
  </si>
  <si>
    <t>Type of own funds at consolidated level</t>
  </si>
  <si>
    <t>Eligible amount for own funds at consolidated level</t>
  </si>
  <si>
    <t>Amount of the security interest provided</t>
  </si>
  <si>
    <t>Security interest provider (Name)</t>
  </si>
  <si>
    <t>Security interest provider (LEI)</t>
  </si>
  <si>
    <t xml:space="preserve">Type of security interest provided by a third party </t>
  </si>
  <si>
    <t>Collateral for an asset position</t>
  </si>
  <si>
    <t>Carrying amount IFRS</t>
  </si>
  <si>
    <t>Balance sheet item according to IFRS</t>
  </si>
  <si>
    <t>Carrying amount national GAAP</t>
  </si>
  <si>
    <t>Balance sheet item at Resolution entity level according to national GAAP</t>
  </si>
  <si>
    <t>Instrument/liability is issued to or bought by an existing shareholder that is not part of the same resolution group</t>
  </si>
  <si>
    <t>Instrument/liability meets the requirements of Art. 21(7a) SRMR</t>
  </si>
  <si>
    <t>0100</t>
  </si>
  <si>
    <t>0110</t>
  </si>
  <si>
    <t>0120</t>
  </si>
  <si>
    <t>0130</t>
  </si>
  <si>
    <t>0140</t>
  </si>
  <si>
    <t>0141</t>
  </si>
  <si>
    <t>0160</t>
  </si>
  <si>
    <t>0162</t>
  </si>
  <si>
    <t>0170</t>
  </si>
  <si>
    <t>0180</t>
  </si>
  <si>
    <t>0200</t>
  </si>
  <si>
    <t>0210</t>
  </si>
  <si>
    <t>0220</t>
  </si>
  <si>
    <t>0230</t>
  </si>
  <si>
    <t>0250</t>
  </si>
  <si>
    <t>0260</t>
  </si>
  <si>
    <t>0270</t>
  </si>
  <si>
    <t>0300</t>
  </si>
  <si>
    <t>0310</t>
  </si>
  <si>
    <t>0320</t>
  </si>
  <si>
    <t>0330</t>
  </si>
  <si>
    <t>0350</t>
  </si>
  <si>
    <t>0351</t>
  </si>
  <si>
    <t>0370</t>
  </si>
  <si>
    <t>0390</t>
  </si>
  <si>
    <t>0391</t>
  </si>
  <si>
    <t>0400</t>
  </si>
  <si>
    <t>0440</t>
  </si>
  <si>
    <t>0530</t>
  </si>
  <si>
    <t>0540</t>
  </si>
  <si>
    <t>0550</t>
  </si>
  <si>
    <t>0560</t>
  </si>
  <si>
    <t>0590</t>
  </si>
  <si>
    <t>0610</t>
  </si>
  <si>
    <t>0620</t>
  </si>
  <si>
    <t>5000</t>
  </si>
  <si>
    <t>5010</t>
  </si>
  <si>
    <t>0031</t>
  </si>
  <si>
    <t>Type of guarantee</t>
  </si>
  <si>
    <r>
      <t>Type of protection value</t>
    </r>
    <r>
      <rPr>
        <sz val="9"/>
        <color rgb="FF000000"/>
        <rFont val="Cambria"/>
        <family val="1"/>
      </rPr>
      <t xml:space="preserve"> </t>
    </r>
  </si>
  <si>
    <t>Protection valuation approach</t>
  </si>
  <si>
    <t>Tab of origin</t>
  </si>
  <si>
    <t>Counterparty within the resolution group</t>
  </si>
  <si>
    <t>Counterparty name</t>
  </si>
  <si>
    <t>Counterparty identifier (preferably LEI)</t>
  </si>
  <si>
    <t>Type of counterparty identifier</t>
  </si>
  <si>
    <t>Internal identifier of the counterparty</t>
  </si>
  <si>
    <t>Country of the counterparty</t>
  </si>
  <si>
    <t>0011</t>
  </si>
  <si>
    <t>Boolean</t>
  </si>
  <si>
    <t xml:space="preserve">Instrument or liability within the resolution group </t>
  </si>
  <si>
    <t>Zero coupon bond</t>
  </si>
  <si>
    <t xml:space="preserve">Trading method </t>
  </si>
  <si>
    <t>Counterparty Type</t>
  </si>
  <si>
    <t xml:space="preserve">Type of own funds </t>
  </si>
  <si>
    <t>ISDA Protocol Resolution Stay – reporting entity</t>
  </si>
  <si>
    <t>Recognition Resolution Stay of the counterparty</t>
  </si>
  <si>
    <t>MBDT tab</t>
  </si>
  <si>
    <t>Resolution Entity</t>
  </si>
  <si>
    <t>Covered deposits (BRRD art. 44/2/a)</t>
  </si>
  <si>
    <t>Intragroup and intra-resolution group</t>
  </si>
  <si>
    <t>Registered Bond</t>
  </si>
  <si>
    <t>Yes, supported by Legal Opinion</t>
  </si>
  <si>
    <t>ZCB issued at discount</t>
  </si>
  <si>
    <t>Non-structured/Vanilla</t>
  </si>
  <si>
    <t>Secured</t>
  </si>
  <si>
    <t>Real estate</t>
  </si>
  <si>
    <t xml:space="preserve">Nominal </t>
  </si>
  <si>
    <t>NGN</t>
  </si>
  <si>
    <t>Households</t>
  </si>
  <si>
    <t>T2 in phase-out</t>
  </si>
  <si>
    <t>Lien</t>
  </si>
  <si>
    <t>010 Financial liabilities held for trading</t>
  </si>
  <si>
    <t>Yes - ISDA Universal Protocol</t>
  </si>
  <si>
    <t>Issuance</t>
  </si>
  <si>
    <t>Notional amount</t>
  </si>
  <si>
    <t>Mark-to-market valuation</t>
  </si>
  <si>
    <t>B0200</t>
  </si>
  <si>
    <t>Non-Resolution Entity</t>
  </si>
  <si>
    <t>Secured liabilities - collateralized part (BRRD art. 44/2/b)</t>
  </si>
  <si>
    <t>Intragroup but not intra-resolution group</t>
  </si>
  <si>
    <t>Bearer Bond</t>
  </si>
  <si>
    <t>Yes, not supported by Legal Opinion</t>
  </si>
  <si>
    <t>ZCB not issued at discount</t>
  </si>
  <si>
    <t>Structured</t>
  </si>
  <si>
    <t>Unsecured</t>
  </si>
  <si>
    <t>Ships</t>
  </si>
  <si>
    <t xml:space="preserve">Unit </t>
  </si>
  <si>
    <t>CGN</t>
  </si>
  <si>
    <t>Micro &amp; SME</t>
  </si>
  <si>
    <t>Grandfathered T2</t>
  </si>
  <si>
    <t>Guarantee</t>
  </si>
  <si>
    <t>070 Financial liabilities at fair value through profit or loss</t>
  </si>
  <si>
    <t>Yes - ISDA JMP Module</t>
  </si>
  <si>
    <t>Counterparty</t>
  </si>
  <si>
    <t>Fair value</t>
  </si>
  <si>
    <t>Counterparty estimation</t>
  </si>
  <si>
    <t>B0300</t>
  </si>
  <si>
    <t>Client liabilities, if protected in insolvency (BRRD art. 44/2/c)</t>
  </si>
  <si>
    <t>No</t>
  </si>
  <si>
    <t>Borrower Note Loan</t>
  </si>
  <si>
    <t>No ZCB</t>
  </si>
  <si>
    <t>Other non-standard terms</t>
  </si>
  <si>
    <t>Aircraft</t>
  </si>
  <si>
    <t xml:space="preserve">Not applicable </t>
  </si>
  <si>
    <t>Not applicable</t>
  </si>
  <si>
    <t>Corporates</t>
  </si>
  <si>
    <t>Fully Compliant T2</t>
  </si>
  <si>
    <t>Surety</t>
  </si>
  <si>
    <t>110 Financial liabilities at amortized cost</t>
  </si>
  <si>
    <t>Yes - Other</t>
  </si>
  <si>
    <t>Yes - Other Agreement for resolution stay recognition</t>
  </si>
  <si>
    <t>Unlimited</t>
  </si>
  <si>
    <t>Market value</t>
  </si>
  <si>
    <t>Creditor valuation</t>
  </si>
  <si>
    <t>B0400</t>
  </si>
  <si>
    <t>Fiduciary liabilities, if protected in insolvency (BRRD art. 44/2/d)</t>
  </si>
  <si>
    <t>Certificate of Deposit / Commercial paper</t>
  </si>
  <si>
    <t>Aggregated</t>
  </si>
  <si>
    <t>Only structured coupon</t>
  </si>
  <si>
    <t>Financial</t>
  </si>
  <si>
    <t>Institutions</t>
  </si>
  <si>
    <t>Partially (A)T1 and T2</t>
  </si>
  <si>
    <t>Guarantee obligation</t>
  </si>
  <si>
    <t>280 Other liabilities</t>
  </si>
  <si>
    <t>Other types of guarantee than issuance guarantees, counterparty guarantees and unlimited guarantees</t>
  </si>
  <si>
    <t>Long-term sustainable value</t>
  </si>
  <si>
    <t>Third party valuation</t>
  </si>
  <si>
    <t>B0500</t>
  </si>
  <si>
    <t>Institution liabilities &lt; 7 days (BRRD art. 44/2/e)</t>
  </si>
  <si>
    <t>Title of ownership</t>
  </si>
  <si>
    <t>Other</t>
  </si>
  <si>
    <t>Other financial corporations</t>
  </si>
  <si>
    <t>Grandfathered AT1</t>
  </si>
  <si>
    <t>300 Total equity</t>
  </si>
  <si>
    <t>No resolution stay recognition</t>
  </si>
  <si>
    <t>Other protection value</t>
  </si>
  <si>
    <t>System (operator) and CCP liabilities &lt; 7 days (BRRD art. 44/2/f)</t>
  </si>
  <si>
    <t>Cash account/saving account</t>
  </si>
  <si>
    <t>Insurance firms &amp; pension funds</t>
  </si>
  <si>
    <t>Fully Compliant AT1</t>
  </si>
  <si>
    <t>Employee liabilities (BRRD art. 44/2/g/i)</t>
  </si>
  <si>
    <t>Term deposit</t>
  </si>
  <si>
    <t>Government, central banks &amp; supranationals</t>
  </si>
  <si>
    <t>CET1</t>
  </si>
  <si>
    <t>Critical service liabilities (BRRD art. 44/2/g/ii)</t>
  </si>
  <si>
    <t>Loan</t>
  </si>
  <si>
    <t>Non identified, listed on an exchange platform</t>
  </si>
  <si>
    <t>Tax and social security authorities liabilities, if preferred (BRRD art. 44/2/g/iii)</t>
  </si>
  <si>
    <t xml:space="preserve">Bill of exchange </t>
  </si>
  <si>
    <t>Non identified, not listed on an exchange platform</t>
  </si>
  <si>
    <t>DGS liabilities (BRRD art. 44/2/g/iv)</t>
  </si>
  <si>
    <t>Liabilities towards other entities of the resolution group (BRRD art. 44/2/h)</t>
  </si>
  <si>
    <t>Liabilities eligible for bail-in</t>
  </si>
  <si>
    <t>Other equity items</t>
  </si>
  <si>
    <t>v_1_0001</t>
  </si>
  <si>
    <t>v_1_0002</t>
  </si>
  <si>
    <t>v_1_0003</t>
  </si>
  <si>
    <t>v_1_0004</t>
  </si>
  <si>
    <t>v_1_0005</t>
  </si>
  <si>
    <t>v_1_0006</t>
  </si>
  <si>
    <t>v_1_0007</t>
  </si>
  <si>
    <t>v_1_0008</t>
  </si>
  <si>
    <t>v_1_0009</t>
  </si>
  <si>
    <t>v_1_0010</t>
  </si>
  <si>
    <t>v_1_0011</t>
  </si>
  <si>
    <t>v_1_0012</t>
  </si>
  <si>
    <t>v_1_0013</t>
  </si>
  <si>
    <t>v_1_0014</t>
  </si>
  <si>
    <t>v_1_0015</t>
  </si>
  <si>
    <t>v_1_0016</t>
  </si>
  <si>
    <t>v_1_0017</t>
  </si>
  <si>
    <t>v_1_0018</t>
  </si>
  <si>
    <t>v_1_0019</t>
  </si>
  <si>
    <t>v_1_0020</t>
  </si>
  <si>
    <t>v_1_0021</t>
  </si>
  <si>
    <t>v_1_0022</t>
  </si>
  <si>
    <t>v_1_0023</t>
  </si>
  <si>
    <t>v_1_0024</t>
  </si>
  <si>
    <t>v_1_0025</t>
  </si>
  <si>
    <t>v_1_0026</t>
  </si>
  <si>
    <t>v_1_0027</t>
  </si>
  <si>
    <t>v_1_0028</t>
  </si>
  <si>
    <t>v_1_0029</t>
  </si>
  <si>
    <t>v_1_0030</t>
  </si>
  <si>
    <t>v_1_0031</t>
  </si>
  <si>
    <t>v_1_0032</t>
  </si>
  <si>
    <t>v_1_0033</t>
  </si>
  <si>
    <t>v_1_0034</t>
  </si>
  <si>
    <t>v_1_0035</t>
  </si>
  <si>
    <t>v_1_0036</t>
  </si>
  <si>
    <t>v_1_0037</t>
  </si>
  <si>
    <t>v_1_0038</t>
  </si>
  <si>
    <t>v_1_0039</t>
  </si>
  <si>
    <t>OK</t>
  </si>
  <si>
    <t>v_1_0056</t>
  </si>
  <si>
    <t>v_2_0001</t>
  </si>
  <si>
    <t>v_2_0003</t>
  </si>
  <si>
    <t>v_2_0004</t>
  </si>
  <si>
    <t>v_2_0005</t>
  </si>
  <si>
    <t>v_2_0006</t>
  </si>
  <si>
    <t>v_2_0007</t>
  </si>
  <si>
    <t>v_2_0008</t>
  </si>
  <si>
    <t>v_2_0009</t>
  </si>
  <si>
    <t>v_2_0011</t>
  </si>
  <si>
    <t>v_2_0012</t>
  </si>
  <si>
    <t>v_2_0013</t>
  </si>
  <si>
    <t>v_2_0014</t>
  </si>
  <si>
    <t>v_2_0015</t>
  </si>
  <si>
    <t>v_2_0016</t>
  </si>
  <si>
    <t>v_2_0017</t>
  </si>
  <si>
    <t>v_2_0018</t>
  </si>
  <si>
    <t>v_2_0019</t>
  </si>
  <si>
    <t>v_2_0020</t>
  </si>
  <si>
    <t>v_2_0021</t>
  </si>
  <si>
    <t>v_2_0022</t>
  </si>
  <si>
    <t>v_2_0023</t>
  </si>
  <si>
    <t>v_2_0024</t>
  </si>
  <si>
    <t>v_2_0025</t>
  </si>
  <si>
    <t>v_2_0026</t>
  </si>
  <si>
    <t>v_2_0027</t>
  </si>
  <si>
    <t>v_2_0028</t>
  </si>
  <si>
    <t>v_2_0029</t>
  </si>
  <si>
    <t>v_2_0030</t>
  </si>
  <si>
    <t>v_2_0031</t>
  </si>
  <si>
    <t>v_2_0032</t>
  </si>
  <si>
    <t>v_2_0033</t>
  </si>
  <si>
    <t>v_2_0034</t>
  </si>
  <si>
    <t>v_2_0035</t>
  </si>
  <si>
    <t>v_2_0036</t>
  </si>
  <si>
    <t>v_2_0037</t>
  </si>
  <si>
    <t>v_2_0038</t>
  </si>
  <si>
    <t>List one: Currency, fund and precious metal codes</t>
  </si>
  <si>
    <t>Published:</t>
  </si>
  <si>
    <t xml:space="preserve"> </t>
  </si>
  <si>
    <t>ENTITY</t>
  </si>
  <si>
    <t>Currency</t>
  </si>
  <si>
    <t>Alphabetic Code</t>
  </si>
  <si>
    <t>Numeric Code</t>
  </si>
  <si>
    <t>Minor unit</t>
  </si>
  <si>
    <t>Fund</t>
  </si>
  <si>
    <t>AFGHANISTAN</t>
  </si>
  <si>
    <t>Afghani</t>
  </si>
  <si>
    <t>AFN</t>
  </si>
  <si>
    <t>971</t>
  </si>
  <si>
    <t>2</t>
  </si>
  <si>
    <t>ÅLAND ISLANDS</t>
  </si>
  <si>
    <t>Euro</t>
  </si>
  <si>
    <t>EUR</t>
  </si>
  <si>
    <t>978</t>
  </si>
  <si>
    <t>ALBANIA</t>
  </si>
  <si>
    <t>Lek</t>
  </si>
  <si>
    <t>ALL</t>
  </si>
  <si>
    <t>008</t>
  </si>
  <si>
    <t>ALGERIA</t>
  </si>
  <si>
    <t>Algerian Dinar</t>
  </si>
  <si>
    <t>DZD</t>
  </si>
  <si>
    <t>012</t>
  </si>
  <si>
    <t>AMERICAN SAMOA</t>
  </si>
  <si>
    <t>US Dollar</t>
  </si>
  <si>
    <t>USD</t>
  </si>
  <si>
    <t>840</t>
  </si>
  <si>
    <t>ANDORRA</t>
  </si>
  <si>
    <t>ANGOLA</t>
  </si>
  <si>
    <t>Kwanza</t>
  </si>
  <si>
    <t>AOA</t>
  </si>
  <si>
    <t>973</t>
  </si>
  <si>
    <t>ANGUILLA</t>
  </si>
  <si>
    <t>East Caribbean Dollar</t>
  </si>
  <si>
    <t>XCD</t>
  </si>
  <si>
    <t>951</t>
  </si>
  <si>
    <t>ANTARCTICA</t>
  </si>
  <si>
    <t>No universal currency</t>
  </si>
  <si>
    <t>ANTIGUA AND BARBUDA</t>
  </si>
  <si>
    <t>ARAB MONETARY FUND</t>
  </si>
  <si>
    <t>Arab Accounting Dinar</t>
  </si>
  <si>
    <t>XAD</t>
  </si>
  <si>
    <t>396</t>
  </si>
  <si>
    <t>ARGENTINA</t>
  </si>
  <si>
    <t>Argentine Peso</t>
  </si>
  <si>
    <t>ARS</t>
  </si>
  <si>
    <t>032</t>
  </si>
  <si>
    <t>ARMENIA</t>
  </si>
  <si>
    <t>Armenian Dram</t>
  </si>
  <si>
    <t>AMD</t>
  </si>
  <si>
    <t>051</t>
  </si>
  <si>
    <t>ARUBA</t>
  </si>
  <si>
    <t>Aruban Florin</t>
  </si>
  <si>
    <t>AWG</t>
  </si>
  <si>
    <t>533</t>
  </si>
  <si>
    <t>AUSTRALIA</t>
  </si>
  <si>
    <t>Australian Dollar</t>
  </si>
  <si>
    <t>AUD</t>
  </si>
  <si>
    <t>036</t>
  </si>
  <si>
    <t>AUSTRIA</t>
  </si>
  <si>
    <t>AZERBAIJAN</t>
  </si>
  <si>
    <t>Azerbaijan Manat</t>
  </si>
  <si>
    <t>AZN</t>
  </si>
  <si>
    <t>944</t>
  </si>
  <si>
    <t>BAHAMAS (THE)</t>
  </si>
  <si>
    <t>Bahamian Dollar</t>
  </si>
  <si>
    <t>BSD</t>
  </si>
  <si>
    <t>044</t>
  </si>
  <si>
    <t>BAHRAIN</t>
  </si>
  <si>
    <t>Bahraini Dinar</t>
  </si>
  <si>
    <t>BHD</t>
  </si>
  <si>
    <t>048</t>
  </si>
  <si>
    <t>3</t>
  </si>
  <si>
    <t>BANGLADESH</t>
  </si>
  <si>
    <t>Taka</t>
  </si>
  <si>
    <t>BDT</t>
  </si>
  <si>
    <t>050</t>
  </si>
  <si>
    <t>BARBADOS</t>
  </si>
  <si>
    <t>Barbados Dollar</t>
  </si>
  <si>
    <t>BBD</t>
  </si>
  <si>
    <t>052</t>
  </si>
  <si>
    <t>BELARUS</t>
  </si>
  <si>
    <t>Belarusian Ruble</t>
  </si>
  <si>
    <t>BYN</t>
  </si>
  <si>
    <t>933</t>
  </si>
  <si>
    <t>BELGIUM</t>
  </si>
  <si>
    <t>BELIZE</t>
  </si>
  <si>
    <t>Belize Dollar</t>
  </si>
  <si>
    <t>BZD</t>
  </si>
  <si>
    <t>084</t>
  </si>
  <si>
    <t>BENIN</t>
  </si>
  <si>
    <t>CFA Franc BCEAO</t>
  </si>
  <si>
    <t>XOF</t>
  </si>
  <si>
    <t>952</t>
  </si>
  <si>
    <t>0</t>
  </si>
  <si>
    <t>BERMUDA</t>
  </si>
  <si>
    <t>Bermudian Dollar</t>
  </si>
  <si>
    <t>BMD</t>
  </si>
  <si>
    <t>060</t>
  </si>
  <si>
    <t>BHUTAN</t>
  </si>
  <si>
    <t>Indian Rupee</t>
  </si>
  <si>
    <t>INR</t>
  </si>
  <si>
    <t>356</t>
  </si>
  <si>
    <t>Ngultrum</t>
  </si>
  <si>
    <t>BTN</t>
  </si>
  <si>
    <t>064</t>
  </si>
  <si>
    <t>BOLIVIA (PLURINATIONAL STATE OF)</t>
  </si>
  <si>
    <t>Boliviano</t>
  </si>
  <si>
    <t>BOB</t>
  </si>
  <si>
    <t>068</t>
  </si>
  <si>
    <t>Mvdol</t>
  </si>
  <si>
    <t>BOV</t>
  </si>
  <si>
    <t>984</t>
  </si>
  <si>
    <t>BONAIRE, SINT EUSTATIUS AND SABA</t>
  </si>
  <si>
    <t>BOSNIA AND HERZEGOVINA</t>
  </si>
  <si>
    <t>Convertible Mark</t>
  </si>
  <si>
    <t>BAM</t>
  </si>
  <si>
    <t>977</t>
  </si>
  <si>
    <t>BOTSWANA</t>
  </si>
  <si>
    <t>Pula</t>
  </si>
  <si>
    <t>BWP</t>
  </si>
  <si>
    <t>072</t>
  </si>
  <si>
    <t>BOUVET ISLAND</t>
  </si>
  <si>
    <t>Norwegian Krone</t>
  </si>
  <si>
    <t>NOK</t>
  </si>
  <si>
    <t>578</t>
  </si>
  <si>
    <t>BRAZIL</t>
  </si>
  <si>
    <t>Brazilian Real</t>
  </si>
  <si>
    <t>BRL</t>
  </si>
  <si>
    <t>986</t>
  </si>
  <si>
    <t>BRITISH INDIAN OCEAN TERRITORY (THE)</t>
  </si>
  <si>
    <t>BRUNEI DARUSSALAM</t>
  </si>
  <si>
    <t>Brunei Dollar</t>
  </si>
  <si>
    <t>BND</t>
  </si>
  <si>
    <t>096</t>
  </si>
  <si>
    <t>BULGARIA</t>
  </si>
  <si>
    <t>Bulgarian Lev</t>
  </si>
  <si>
    <t>BGN</t>
  </si>
  <si>
    <t>975</t>
  </si>
  <si>
    <t>BURKINA FASO</t>
  </si>
  <si>
    <t>BURUNDI</t>
  </si>
  <si>
    <t>Burundi Franc</t>
  </si>
  <si>
    <t>BIF</t>
  </si>
  <si>
    <t>108</t>
  </si>
  <si>
    <t>CABO VERDE</t>
  </si>
  <si>
    <t>Cabo Verde Escudo</t>
  </si>
  <si>
    <t>CVE</t>
  </si>
  <si>
    <t>132</t>
  </si>
  <si>
    <t>CAMBODIA</t>
  </si>
  <si>
    <t>Riel</t>
  </si>
  <si>
    <t>KHR</t>
  </si>
  <si>
    <t>116</t>
  </si>
  <si>
    <t>CAMEROON</t>
  </si>
  <si>
    <t>CFA Franc BEAC</t>
  </si>
  <si>
    <t>XAF</t>
  </si>
  <si>
    <t>950</t>
  </si>
  <si>
    <t>CANADA</t>
  </si>
  <si>
    <t>Canadian Dollar</t>
  </si>
  <si>
    <t>CAD</t>
  </si>
  <si>
    <t>124</t>
  </si>
  <si>
    <t>CAYMAN ISLANDS (THE)</t>
  </si>
  <si>
    <t>Cayman Islands Dollar</t>
  </si>
  <si>
    <t>KYD</t>
  </si>
  <si>
    <t>136</t>
  </si>
  <si>
    <t>CENTRAL AFRICAN REPUBLIC (THE)</t>
  </si>
  <si>
    <t>CHAD</t>
  </si>
  <si>
    <t>CHILE</t>
  </si>
  <si>
    <t>Chilean Peso</t>
  </si>
  <si>
    <t>CLP</t>
  </si>
  <si>
    <t>152</t>
  </si>
  <si>
    <t>Unidad de Fomento</t>
  </si>
  <si>
    <t>CLF</t>
  </si>
  <si>
    <t>990</t>
  </si>
  <si>
    <t>4</t>
  </si>
  <si>
    <t>CHINA</t>
  </si>
  <si>
    <t>Yuan Renminbi</t>
  </si>
  <si>
    <t>CNY</t>
  </si>
  <si>
    <t>156</t>
  </si>
  <si>
    <t>CHRISTMAS ISLAND</t>
  </si>
  <si>
    <t>COCOS (KEELING) ISLANDS (THE)</t>
  </si>
  <si>
    <t>COLOMBIA</t>
  </si>
  <si>
    <t>Colombian Peso</t>
  </si>
  <si>
    <t>COP</t>
  </si>
  <si>
    <t>170</t>
  </si>
  <si>
    <t>Unidad de Valor Real</t>
  </si>
  <si>
    <t>COU</t>
  </si>
  <si>
    <t>970</t>
  </si>
  <si>
    <t>COMOROS (THE)</t>
  </si>
  <si>
    <t xml:space="preserve">Comorian Franc </t>
  </si>
  <si>
    <t>KMF</t>
  </si>
  <si>
    <t>174</t>
  </si>
  <si>
    <t>CONGO (THE DEMOCRATIC REPUBLIC OF THE)</t>
  </si>
  <si>
    <t>Congolese Franc</t>
  </si>
  <si>
    <t>CDF</t>
  </si>
  <si>
    <t>976</t>
  </si>
  <si>
    <t>CONGO (THE)</t>
  </si>
  <si>
    <t>COOK ISLANDS (THE)</t>
  </si>
  <si>
    <t>New Zealand Dollar</t>
  </si>
  <si>
    <t>NZD</t>
  </si>
  <si>
    <t>554</t>
  </si>
  <si>
    <t>COSTA RICA</t>
  </si>
  <si>
    <t>Costa Rican Colon</t>
  </si>
  <si>
    <t>CRC</t>
  </si>
  <si>
    <t>188</t>
  </si>
  <si>
    <t>CÔTE D'IVOIRE</t>
  </si>
  <si>
    <t>CROATIA</t>
  </si>
  <si>
    <t>CUBA</t>
  </si>
  <si>
    <t>Cuban Peso</t>
  </si>
  <si>
    <t>CUP</t>
  </si>
  <si>
    <t>192</t>
  </si>
  <si>
    <t>CURAÇAO</t>
  </si>
  <si>
    <t>Caribbean Guilder</t>
  </si>
  <si>
    <t>XCG</t>
  </si>
  <si>
    <t>532</t>
  </si>
  <si>
    <t>CYPRUS</t>
  </si>
  <si>
    <t>CZECHIA</t>
  </si>
  <si>
    <t>Czech Koruna</t>
  </si>
  <si>
    <t>CZK</t>
  </si>
  <si>
    <t>203</t>
  </si>
  <si>
    <t>DENMARK</t>
  </si>
  <si>
    <t>Danish Krone</t>
  </si>
  <si>
    <t>DKK</t>
  </si>
  <si>
    <t>208</t>
  </si>
  <si>
    <t>DJIBOUTI</t>
  </si>
  <si>
    <t>Djibouti Franc</t>
  </si>
  <si>
    <t>DJF</t>
  </si>
  <si>
    <t>262</t>
  </si>
  <si>
    <t>DOMINICA</t>
  </si>
  <si>
    <t>DOMINICAN REPUBLIC (THE)</t>
  </si>
  <si>
    <t>Dominican Peso</t>
  </si>
  <si>
    <t>DOP</t>
  </si>
  <si>
    <t>214</t>
  </si>
  <si>
    <t>ECUADOR</t>
  </si>
  <si>
    <t>EGYPT</t>
  </si>
  <si>
    <t>Egyptian Pound</t>
  </si>
  <si>
    <t>EGP</t>
  </si>
  <si>
    <t>818</t>
  </si>
  <si>
    <t>EL SALVADOR</t>
  </si>
  <si>
    <t>El Salvador Colon</t>
  </si>
  <si>
    <t>SVC</t>
  </si>
  <si>
    <t>222</t>
  </si>
  <si>
    <t>EQUATORIAL GUINEA</t>
  </si>
  <si>
    <t>ERITREA</t>
  </si>
  <si>
    <t>Nakfa</t>
  </si>
  <si>
    <t>ERN</t>
  </si>
  <si>
    <t>232</t>
  </si>
  <si>
    <t>ESTONIA</t>
  </si>
  <si>
    <t>ESWATINI</t>
  </si>
  <si>
    <t>Lilangeni</t>
  </si>
  <si>
    <t>SZL</t>
  </si>
  <si>
    <t>748</t>
  </si>
  <si>
    <t>ETHIOPIA</t>
  </si>
  <si>
    <t>Ethiopian Birr</t>
  </si>
  <si>
    <t>ETB</t>
  </si>
  <si>
    <t>230</t>
  </si>
  <si>
    <t>EUROPEAN UNION</t>
  </si>
  <si>
    <t>FALKLAND ISLANDS (THE) [MALVINAS]</t>
  </si>
  <si>
    <t>Falkland Islands Pound</t>
  </si>
  <si>
    <t>FKP</t>
  </si>
  <si>
    <t>238</t>
  </si>
  <si>
    <t>FAROE ISLANDS (THE)</t>
  </si>
  <si>
    <t>FIJI</t>
  </si>
  <si>
    <t>Fiji Dollar</t>
  </si>
  <si>
    <t>FJD</t>
  </si>
  <si>
    <t>242</t>
  </si>
  <si>
    <t>FINLAND</t>
  </si>
  <si>
    <t>FRANCE</t>
  </si>
  <si>
    <t>FRENCH GUIANA</t>
  </si>
  <si>
    <t>FRENCH POLYNESIA</t>
  </si>
  <si>
    <t>CFP Franc</t>
  </si>
  <si>
    <t>XPF</t>
  </si>
  <si>
    <t>953</t>
  </si>
  <si>
    <t>FRENCH SOUTHERN TERRITORIES (THE)</t>
  </si>
  <si>
    <t>GABON</t>
  </si>
  <si>
    <t>GAMBIA (THE)</t>
  </si>
  <si>
    <t>Dalasi</t>
  </si>
  <si>
    <t>GMD</t>
  </si>
  <si>
    <t>270</t>
  </si>
  <si>
    <t>GEORGIA</t>
  </si>
  <si>
    <t>Lari</t>
  </si>
  <si>
    <t>GEL</t>
  </si>
  <si>
    <t>981</t>
  </si>
  <si>
    <t>GERMANY</t>
  </si>
  <si>
    <t>GHANA</t>
  </si>
  <si>
    <t>Ghana Cedi</t>
  </si>
  <si>
    <t>GHS</t>
  </si>
  <si>
    <t>936</t>
  </si>
  <si>
    <t>GIBRALTAR</t>
  </si>
  <si>
    <t>Gibraltar Pound</t>
  </si>
  <si>
    <t>GIP</t>
  </si>
  <si>
    <t>292</t>
  </si>
  <si>
    <t>GREECE</t>
  </si>
  <si>
    <t>GREENLAND</t>
  </si>
  <si>
    <t>GRENADA</t>
  </si>
  <si>
    <t>GUADELOUPE</t>
  </si>
  <si>
    <t>GUAM</t>
  </si>
  <si>
    <t>GUATEMALA</t>
  </si>
  <si>
    <t>Quetzal</t>
  </si>
  <si>
    <t>GTQ</t>
  </si>
  <si>
    <t>320</t>
  </si>
  <si>
    <t>GUERNSEY</t>
  </si>
  <si>
    <t>Pound Sterling</t>
  </si>
  <si>
    <t>GBP</t>
  </si>
  <si>
    <t>826</t>
  </si>
  <si>
    <t>GUINEA</t>
  </si>
  <si>
    <t>Guinean Franc</t>
  </si>
  <si>
    <t>GNF</t>
  </si>
  <si>
    <t>324</t>
  </si>
  <si>
    <t>GUINEA-BISSAU</t>
  </si>
  <si>
    <t>GUYANA</t>
  </si>
  <si>
    <t>Guyana Dollar</t>
  </si>
  <si>
    <t>GYD</t>
  </si>
  <si>
    <t>328</t>
  </si>
  <si>
    <t>HAITI</t>
  </si>
  <si>
    <t>Gourde</t>
  </si>
  <si>
    <t>HTG</t>
  </si>
  <si>
    <t>332</t>
  </si>
  <si>
    <t>HEARD ISLAND AND McDONALD ISLANDS</t>
  </si>
  <si>
    <t>HOLY SEE (THE)</t>
  </si>
  <si>
    <t>HONDURAS</t>
  </si>
  <si>
    <t>Lempira</t>
  </si>
  <si>
    <t>HNL</t>
  </si>
  <si>
    <t>340</t>
  </si>
  <si>
    <t>HONG KONG</t>
  </si>
  <si>
    <t>Hong Kong Dollar</t>
  </si>
  <si>
    <t>HKD</t>
  </si>
  <si>
    <t>344</t>
  </si>
  <si>
    <t>HUNGARY</t>
  </si>
  <si>
    <t>Forint</t>
  </si>
  <si>
    <t>HUF</t>
  </si>
  <si>
    <t>348</t>
  </si>
  <si>
    <t>ICELAND</t>
  </si>
  <si>
    <t>Iceland Krona</t>
  </si>
  <si>
    <t>ISK</t>
  </si>
  <si>
    <t>352</t>
  </si>
  <si>
    <t>INDIA</t>
  </si>
  <si>
    <t>INDONESIA</t>
  </si>
  <si>
    <t>Rupiah</t>
  </si>
  <si>
    <t>IDR</t>
  </si>
  <si>
    <t>360</t>
  </si>
  <si>
    <t>INTERNATIONAL MONETARY FUND (IMF) </t>
  </si>
  <si>
    <t>SDR (Special Drawing Right)</t>
  </si>
  <si>
    <t>XDR</t>
  </si>
  <si>
    <t>960</t>
  </si>
  <si>
    <t>N.A.</t>
  </si>
  <si>
    <t>IRAN (ISLAMIC REPUBLIC OF)</t>
  </si>
  <si>
    <t>Iranian Rial</t>
  </si>
  <si>
    <t>IRR</t>
  </si>
  <si>
    <t>364</t>
  </si>
  <si>
    <t>IRAQ</t>
  </si>
  <si>
    <t>Iraqi Dinar</t>
  </si>
  <si>
    <t>IQD</t>
  </si>
  <si>
    <t>368</t>
  </si>
  <si>
    <t>IRELAND</t>
  </si>
  <si>
    <t>ISLE OF MAN</t>
  </si>
  <si>
    <t>ISRAEL</t>
  </si>
  <si>
    <t>New Israeli Sheqel</t>
  </si>
  <si>
    <t>ILS</t>
  </si>
  <si>
    <t>376</t>
  </si>
  <si>
    <t>ITALY</t>
  </si>
  <si>
    <t>JAMAICA</t>
  </si>
  <si>
    <t>Jamaican Dollar</t>
  </si>
  <si>
    <t>JMD</t>
  </si>
  <si>
    <t>388</t>
  </si>
  <si>
    <t>JAPAN</t>
  </si>
  <si>
    <t>Yen</t>
  </si>
  <si>
    <t>JPY</t>
  </si>
  <si>
    <t>392</t>
  </si>
  <si>
    <t>JERSEY</t>
  </si>
  <si>
    <t>JORDAN</t>
  </si>
  <si>
    <t>Jordanian Dinar</t>
  </si>
  <si>
    <t>JOD</t>
  </si>
  <si>
    <t>400</t>
  </si>
  <si>
    <t>KAZAKHSTAN</t>
  </si>
  <si>
    <t>Tenge</t>
  </si>
  <si>
    <t>KZT</t>
  </si>
  <si>
    <t>398</t>
  </si>
  <si>
    <t>KENYA</t>
  </si>
  <si>
    <t>Kenyan Shilling</t>
  </si>
  <si>
    <t>KES</t>
  </si>
  <si>
    <t>404</t>
  </si>
  <si>
    <t>KIRIBATI</t>
  </si>
  <si>
    <t>KOREA (THE DEMOCRATIC PEOPLE’S REPUBLIC OF)</t>
  </si>
  <si>
    <t>North Korean Won</t>
  </si>
  <si>
    <t>KPW</t>
  </si>
  <si>
    <t>408</t>
  </si>
  <si>
    <t>KOREA (THE REPUBLIC OF)</t>
  </si>
  <si>
    <t>Won</t>
  </si>
  <si>
    <t>KRW</t>
  </si>
  <si>
    <t>410</t>
  </si>
  <si>
    <t>KUWAIT</t>
  </si>
  <si>
    <t>Kuwaiti Dinar</t>
  </si>
  <si>
    <t>KWD</t>
  </si>
  <si>
    <t>414</t>
  </si>
  <si>
    <t>KYRGYZSTAN</t>
  </si>
  <si>
    <t>Som</t>
  </si>
  <si>
    <t>KGS</t>
  </si>
  <si>
    <t>417</t>
  </si>
  <si>
    <t>LAO PEOPLE’S DEMOCRATIC REPUBLIC (THE)</t>
  </si>
  <si>
    <t>Lao Kip</t>
  </si>
  <si>
    <t>LAK</t>
  </si>
  <si>
    <t>418</t>
  </si>
  <si>
    <t>LATVIA</t>
  </si>
  <si>
    <t>LEBANON</t>
  </si>
  <si>
    <t>Lebanese Pound</t>
  </si>
  <si>
    <t>LBP</t>
  </si>
  <si>
    <t>422</t>
  </si>
  <si>
    <t>LESOTHO</t>
  </si>
  <si>
    <t>Loti</t>
  </si>
  <si>
    <t>LSL</t>
  </si>
  <si>
    <t>426</t>
  </si>
  <si>
    <t>Rand</t>
  </si>
  <si>
    <t>ZAR</t>
  </si>
  <si>
    <t>710</t>
  </si>
  <si>
    <t>LIBERIA</t>
  </si>
  <si>
    <t>Liberian Dollar</t>
  </si>
  <si>
    <t>LRD</t>
  </si>
  <si>
    <t>430</t>
  </si>
  <si>
    <t>LIBYA</t>
  </si>
  <si>
    <t>Libyan Dinar</t>
  </si>
  <si>
    <t>LYD</t>
  </si>
  <si>
    <t>434</t>
  </si>
  <si>
    <t>LIECHTENSTEIN</t>
  </si>
  <si>
    <t>Swiss Franc</t>
  </si>
  <si>
    <t>CHF</t>
  </si>
  <si>
    <t>756</t>
  </si>
  <si>
    <t>LITHUANIA</t>
  </si>
  <si>
    <t>LUXEMBOURG</t>
  </si>
  <si>
    <t>MACAO</t>
  </si>
  <si>
    <t>Pataca</t>
  </si>
  <si>
    <t>MOP</t>
  </si>
  <si>
    <t>446</t>
  </si>
  <si>
    <t>MADAGASCAR</t>
  </si>
  <si>
    <t>Malagasy Ariary</t>
  </si>
  <si>
    <t>MGA</t>
  </si>
  <si>
    <t>969</t>
  </si>
  <si>
    <t>MALAWI</t>
  </si>
  <si>
    <t>Malawi Kwacha</t>
  </si>
  <si>
    <t>MWK</t>
  </si>
  <si>
    <t>454</t>
  </si>
  <si>
    <t>MALAYSIA</t>
  </si>
  <si>
    <t>Malaysian Ringgit</t>
  </si>
  <si>
    <t>MYR</t>
  </si>
  <si>
    <t>458</t>
  </si>
  <si>
    <t>MALDIVES</t>
  </si>
  <si>
    <t>Rufiyaa</t>
  </si>
  <si>
    <t>MVR</t>
  </si>
  <si>
    <t>462</t>
  </si>
  <si>
    <t>MALI</t>
  </si>
  <si>
    <t>MALTA</t>
  </si>
  <si>
    <t>MARSHALL ISLANDS (THE)</t>
  </si>
  <si>
    <t>MARTINIQUE</t>
  </si>
  <si>
    <t>MAURITANIA</t>
  </si>
  <si>
    <t>Ouguiya</t>
  </si>
  <si>
    <t>MRU</t>
  </si>
  <si>
    <t>929</t>
  </si>
  <si>
    <t>MAURITIUS</t>
  </si>
  <si>
    <t>Mauritius Rupee</t>
  </si>
  <si>
    <t>MUR</t>
  </si>
  <si>
    <t>480</t>
  </si>
  <si>
    <t>MAYOTTE</t>
  </si>
  <si>
    <t>MEMBER COUNTRIES OF THE AFRICAN DEVELOPMENT BANK GROUP</t>
  </si>
  <si>
    <t>ADB Unit of Account</t>
  </si>
  <si>
    <t>XUA</t>
  </si>
  <si>
    <t>965</t>
  </si>
  <si>
    <t>MEXICO</t>
  </si>
  <si>
    <t>Mexican Peso</t>
  </si>
  <si>
    <t>MXN</t>
  </si>
  <si>
    <t>484</t>
  </si>
  <si>
    <t>Mexican Unidad de Inversion (UDI)</t>
  </si>
  <si>
    <t>MXV</t>
  </si>
  <si>
    <t>979</t>
  </si>
  <si>
    <t>MICRONESIA (FEDERATED STATES OF)</t>
  </si>
  <si>
    <t>MOLDOVA (THE REPUBLIC OF)</t>
  </si>
  <si>
    <t>Moldovan Leu</t>
  </si>
  <si>
    <t>MDL</t>
  </si>
  <si>
    <t>498</t>
  </si>
  <si>
    <t>MONACO</t>
  </si>
  <si>
    <t>MONGOLIA</t>
  </si>
  <si>
    <t>Tugrik</t>
  </si>
  <si>
    <t>MNT</t>
  </si>
  <si>
    <t>496</t>
  </si>
  <si>
    <t>MONTENEGRO</t>
  </si>
  <si>
    <t>MONTSERRAT</t>
  </si>
  <si>
    <t>MOROCCO</t>
  </si>
  <si>
    <t>Moroccan Dirham</t>
  </si>
  <si>
    <t>MAD</t>
  </si>
  <si>
    <t>504</t>
  </si>
  <si>
    <t>MOZAMBIQUE</t>
  </si>
  <si>
    <t>Mozambique Metical</t>
  </si>
  <si>
    <t>MZN</t>
  </si>
  <si>
    <t>943</t>
  </si>
  <si>
    <t>MYANMAR</t>
  </si>
  <si>
    <t>Kyat</t>
  </si>
  <si>
    <t>MMK</t>
  </si>
  <si>
    <t>104</t>
  </si>
  <si>
    <t>NAMIBIA</t>
  </si>
  <si>
    <t>Namibia Dollar</t>
  </si>
  <si>
    <t>NAD</t>
  </si>
  <si>
    <t>516</t>
  </si>
  <si>
    <t>NAURU</t>
  </si>
  <si>
    <t>NEPAL</t>
  </si>
  <si>
    <t>Nepalese Rupee</t>
  </si>
  <si>
    <t>NPR</t>
  </si>
  <si>
    <t>524</t>
  </si>
  <si>
    <t>NETHERLANDS (THE)</t>
  </si>
  <si>
    <t>NEW CALEDONIA</t>
  </si>
  <si>
    <t>NEW ZEALAND</t>
  </si>
  <si>
    <t>NICARAGUA</t>
  </si>
  <si>
    <t>Cordoba Oro</t>
  </si>
  <si>
    <t>NIO</t>
  </si>
  <si>
    <t>558</t>
  </si>
  <si>
    <t>NIGER (THE)</t>
  </si>
  <si>
    <t>NIGERIA</t>
  </si>
  <si>
    <t>Naira</t>
  </si>
  <si>
    <t>566</t>
  </si>
  <si>
    <t>NIUE</t>
  </si>
  <si>
    <t>NORFOLK ISLAND</t>
  </si>
  <si>
    <t>NORTH MACEDONIA</t>
  </si>
  <si>
    <t>Denar</t>
  </si>
  <si>
    <t>MKD</t>
  </si>
  <si>
    <t>807</t>
  </si>
  <si>
    <t>NORTHERN MARIANA ISLANDS (THE)</t>
  </si>
  <si>
    <t>NORWAY</t>
  </si>
  <si>
    <t>OMAN</t>
  </si>
  <si>
    <t>Rial Omani</t>
  </si>
  <si>
    <t>OMR</t>
  </si>
  <si>
    <t>512</t>
  </si>
  <si>
    <t>PAKISTAN</t>
  </si>
  <si>
    <t>Pakistan Rupee</t>
  </si>
  <si>
    <t>PKR</t>
  </si>
  <si>
    <t>586</t>
  </si>
  <si>
    <t>PALAU</t>
  </si>
  <si>
    <t>PALESTINE, STATE OF</t>
  </si>
  <si>
    <t>PANAMA</t>
  </si>
  <si>
    <t>Balboa</t>
  </si>
  <si>
    <t>PAB</t>
  </si>
  <si>
    <t>590</t>
  </si>
  <si>
    <t>PAPUA NEW GUINEA</t>
  </si>
  <si>
    <t>Kina</t>
  </si>
  <si>
    <t>PGK</t>
  </si>
  <si>
    <t>598</t>
  </si>
  <si>
    <t>PARAGUAY</t>
  </si>
  <si>
    <t>Guarani</t>
  </si>
  <si>
    <t>PYG</t>
  </si>
  <si>
    <t>600</t>
  </si>
  <si>
    <t>PERU</t>
  </si>
  <si>
    <t>Sol</t>
  </si>
  <si>
    <t>PEN</t>
  </si>
  <si>
    <t>604</t>
  </si>
  <si>
    <t>PHILIPPINES (THE)</t>
  </si>
  <si>
    <t>Philippine Peso</t>
  </si>
  <si>
    <t>PHP</t>
  </si>
  <si>
    <t>608</t>
  </si>
  <si>
    <t>PITCAIRN</t>
  </si>
  <si>
    <t>POLAND</t>
  </si>
  <si>
    <t>Zloty</t>
  </si>
  <si>
    <t>PLN</t>
  </si>
  <si>
    <t>985</t>
  </si>
  <si>
    <t>PORTUGAL</t>
  </si>
  <si>
    <t>PUERTO RICO</t>
  </si>
  <si>
    <t>QATAR</t>
  </si>
  <si>
    <t>Qatari Rial</t>
  </si>
  <si>
    <t>QAR</t>
  </si>
  <si>
    <t>634</t>
  </si>
  <si>
    <t>RÉUNION</t>
  </si>
  <si>
    <t>ROMANIA</t>
  </si>
  <si>
    <t>Romanian Leu</t>
  </si>
  <si>
    <t>RON</t>
  </si>
  <si>
    <t>946</t>
  </si>
  <si>
    <t>RUSSIAN FEDERATION (THE)</t>
  </si>
  <si>
    <t>Russian Ruble</t>
  </si>
  <si>
    <t>RUB</t>
  </si>
  <si>
    <t>643</t>
  </si>
  <si>
    <t>RWANDA</t>
  </si>
  <si>
    <t>Rwanda Franc</t>
  </si>
  <si>
    <t>RWF</t>
  </si>
  <si>
    <t>646</t>
  </si>
  <si>
    <t>SAINT BARTHÉLEMY</t>
  </si>
  <si>
    <t>SAINT HELENA, ASCENSION AND TRISTAN DA CUNHA</t>
  </si>
  <si>
    <t>Saint Helena Pound</t>
  </si>
  <si>
    <t>SHP</t>
  </si>
  <si>
    <t>654</t>
  </si>
  <si>
    <t>SAINT KITTS AND NEVIS</t>
  </si>
  <si>
    <t>SAINT LUCIA</t>
  </si>
  <si>
    <t>SAINT MARTIN (FRENCH PART)</t>
  </si>
  <si>
    <t>SAINT PIERRE AND MIQUELON</t>
  </si>
  <si>
    <t>SAINT VINCENT AND THE GRENADINES</t>
  </si>
  <si>
    <t>SAMOA</t>
  </si>
  <si>
    <t>Tala</t>
  </si>
  <si>
    <t>WST</t>
  </si>
  <si>
    <t>882</t>
  </si>
  <si>
    <t>SAN MARINO</t>
  </si>
  <si>
    <t>SAO TOME AND PRINCIPE</t>
  </si>
  <si>
    <t>Dobra</t>
  </si>
  <si>
    <t>STN</t>
  </si>
  <si>
    <t>930</t>
  </si>
  <si>
    <t>SAUDI ARABIA</t>
  </si>
  <si>
    <t>Saudi Riyal</t>
  </si>
  <si>
    <t>SAR</t>
  </si>
  <si>
    <t>682</t>
  </si>
  <si>
    <t>SENEGAL</t>
  </si>
  <si>
    <t>SERBIA</t>
  </si>
  <si>
    <t>Serbian Dinar</t>
  </si>
  <si>
    <t>RSD</t>
  </si>
  <si>
    <t>941</t>
  </si>
  <si>
    <t>SEYCHELLES</t>
  </si>
  <si>
    <t>Seychelles Rupee</t>
  </si>
  <si>
    <t>SCR</t>
  </si>
  <si>
    <t>690</t>
  </si>
  <si>
    <t>SIERRA LEONE</t>
  </si>
  <si>
    <t>Leone</t>
  </si>
  <si>
    <t>SLE</t>
  </si>
  <si>
    <t>925</t>
  </si>
  <si>
    <t>SINGAPORE</t>
  </si>
  <si>
    <t>Singapore Dollar</t>
  </si>
  <si>
    <t>SGD</t>
  </si>
  <si>
    <t>702</t>
  </si>
  <si>
    <t>SINT MAARTEN (DUTCH PART)</t>
  </si>
  <si>
    <t>SISTEMA UNITARIO DE COMPENSACION REGIONAL DE PAGOS "SUCRE"</t>
  </si>
  <si>
    <t>Sucre</t>
  </si>
  <si>
    <t>XSU</t>
  </si>
  <si>
    <t>994</t>
  </si>
  <si>
    <t>SLOVAKIA</t>
  </si>
  <si>
    <t>SLOVENIA</t>
  </si>
  <si>
    <t>SOLOMON ISLANDS</t>
  </si>
  <si>
    <t>Solomon Islands Dollar</t>
  </si>
  <si>
    <t>SBD</t>
  </si>
  <si>
    <t>090</t>
  </si>
  <si>
    <t>SOMALIA</t>
  </si>
  <si>
    <t>Somali Shilling</t>
  </si>
  <si>
    <t>SOS</t>
  </si>
  <si>
    <t>706</t>
  </si>
  <si>
    <t>SOUTH AFRICA</t>
  </si>
  <si>
    <t>SOUTH GEORGIA AND THE SOUTH SANDWICH ISLANDS</t>
  </si>
  <si>
    <t>SOUTH SUDAN</t>
  </si>
  <si>
    <t>South Sudanese Pound</t>
  </si>
  <si>
    <t>SSP</t>
  </si>
  <si>
    <t>728</t>
  </si>
  <si>
    <t>SPAIN</t>
  </si>
  <si>
    <t>SRI LANKA</t>
  </si>
  <si>
    <t>Sri Lanka Rupee</t>
  </si>
  <si>
    <t>LKR</t>
  </si>
  <si>
    <t>144</t>
  </si>
  <si>
    <t>SUDAN (THE)</t>
  </si>
  <si>
    <t>Sudanese Pound</t>
  </si>
  <si>
    <t>SDG</t>
  </si>
  <si>
    <t>938</t>
  </si>
  <si>
    <t>SURINAME</t>
  </si>
  <si>
    <t>Surinam Dollar</t>
  </si>
  <si>
    <t>SRD</t>
  </si>
  <si>
    <t>968</t>
  </si>
  <si>
    <t>SVALBARD AND JAN MAYEN</t>
  </si>
  <si>
    <t>SWEDEN</t>
  </si>
  <si>
    <t>Swedish Krona</t>
  </si>
  <si>
    <t>SEK</t>
  </si>
  <si>
    <t>752</t>
  </si>
  <si>
    <t>SWITZERLAND</t>
  </si>
  <si>
    <t>WIR Euro</t>
  </si>
  <si>
    <t>CHE</t>
  </si>
  <si>
    <t>947</t>
  </si>
  <si>
    <t>WIR Franc</t>
  </si>
  <si>
    <t>CHW</t>
  </si>
  <si>
    <t>948</t>
  </si>
  <si>
    <t>SYRIAN ARAB REPUBLIC</t>
  </si>
  <si>
    <t>Syrian Pound</t>
  </si>
  <si>
    <t>SYP</t>
  </si>
  <si>
    <t>760</t>
  </si>
  <si>
    <t>TAIWAN (PROVINCE OF CHINA)</t>
  </si>
  <si>
    <t>New Taiwan Dollar</t>
  </si>
  <si>
    <t>TWD</t>
  </si>
  <si>
    <t>901</t>
  </si>
  <si>
    <t>TAJIKISTAN</t>
  </si>
  <si>
    <t>Somoni</t>
  </si>
  <si>
    <t>TJS</t>
  </si>
  <si>
    <t>972</t>
  </si>
  <si>
    <t>TANZANIA, UNITED REPUBLIC OF</t>
  </si>
  <si>
    <t>Tanzanian Shilling</t>
  </si>
  <si>
    <t>TZS</t>
  </si>
  <si>
    <t>834</t>
  </si>
  <si>
    <t>THAILAND</t>
  </si>
  <si>
    <t>Baht</t>
  </si>
  <si>
    <t>THB</t>
  </si>
  <si>
    <t>764</t>
  </si>
  <si>
    <t>TIMOR-LESTE</t>
  </si>
  <si>
    <t>TOGO</t>
  </si>
  <si>
    <t>TOKELAU</t>
  </si>
  <si>
    <t>TONGA</t>
  </si>
  <si>
    <t>Pa’anga</t>
  </si>
  <si>
    <t>TOP</t>
  </si>
  <si>
    <t>776</t>
  </si>
  <si>
    <t>TRINIDAD AND TOBAGO</t>
  </si>
  <si>
    <t>Trinidad and Tobago Dollar</t>
  </si>
  <si>
    <t>TTD</t>
  </si>
  <si>
    <t>780</t>
  </si>
  <si>
    <t>TUNISIA</t>
  </si>
  <si>
    <t>Tunisian Dinar</t>
  </si>
  <si>
    <t>TND</t>
  </si>
  <si>
    <t>788</t>
  </si>
  <si>
    <t>TÜRKİYE</t>
  </si>
  <si>
    <t>Turkish Lira</t>
  </si>
  <si>
    <t>TRY</t>
  </si>
  <si>
    <t>949</t>
  </si>
  <si>
    <t>TURKMENISTAN</t>
  </si>
  <si>
    <t>Turkmenistan New Manat</t>
  </si>
  <si>
    <t>TMT</t>
  </si>
  <si>
    <t>934</t>
  </si>
  <si>
    <t>TURKS AND CAICOS ISLANDS (THE)</t>
  </si>
  <si>
    <t>TUVALU</t>
  </si>
  <si>
    <t>UGANDA</t>
  </si>
  <si>
    <t>Uganda Shilling</t>
  </si>
  <si>
    <t>UGX</t>
  </si>
  <si>
    <t>800</t>
  </si>
  <si>
    <t>UKRAINE</t>
  </si>
  <si>
    <t>Hryvnia</t>
  </si>
  <si>
    <t>UAH</t>
  </si>
  <si>
    <t>980</t>
  </si>
  <si>
    <t>UNITED ARAB EMIRATES (THE)</t>
  </si>
  <si>
    <t>UAE Dirham</t>
  </si>
  <si>
    <t>AED</t>
  </si>
  <si>
    <t>784</t>
  </si>
  <si>
    <t>UNITED KINGDOM OF GREAT BRITAIN AND NORTHERN IRELAND (THE)</t>
  </si>
  <si>
    <t>UNITED STATES MINOR OUTLYING ISLANDS (THE)</t>
  </si>
  <si>
    <t>UNITED STATES OF AMERICA (THE)</t>
  </si>
  <si>
    <t>US Dollar (Next day)</t>
  </si>
  <si>
    <t>USN</t>
  </si>
  <si>
    <t>997</t>
  </si>
  <si>
    <t>URUGUAY</t>
  </si>
  <si>
    <t>Peso Uruguayo</t>
  </si>
  <si>
    <t>UYU</t>
  </si>
  <si>
    <t>858</t>
  </si>
  <si>
    <t>Uruguay Peso en Unidades Indexadas (UI)</t>
  </si>
  <si>
    <t>UYI</t>
  </si>
  <si>
    <t>940</t>
  </si>
  <si>
    <t>Unidad Previsional</t>
  </si>
  <si>
    <t>UYW</t>
  </si>
  <si>
    <t>927</t>
  </si>
  <si>
    <t>UZBEKISTAN</t>
  </si>
  <si>
    <t>Uzbekistan Sum</t>
  </si>
  <si>
    <t>UZS</t>
  </si>
  <si>
    <t>860</t>
  </si>
  <si>
    <t>VANUATU</t>
  </si>
  <si>
    <t>Vatu</t>
  </si>
  <si>
    <t>VUV</t>
  </si>
  <si>
    <t>548</t>
  </si>
  <si>
    <t>VENEZUELA (BOLIVARIAN REPUBLIC OF)</t>
  </si>
  <si>
    <t>Bolívar Soberano</t>
  </si>
  <si>
    <t>VES</t>
  </si>
  <si>
    <t>928</t>
  </si>
  <si>
    <t>VED</t>
  </si>
  <si>
    <t>926</t>
  </si>
  <si>
    <t>VIET NAM</t>
  </si>
  <si>
    <t>Dong</t>
  </si>
  <si>
    <t>VND</t>
  </si>
  <si>
    <t>704</t>
  </si>
  <si>
    <t>VIRGIN ISLANDS (BRITISH)</t>
  </si>
  <si>
    <t>VIRGIN ISLANDS (U.S.)</t>
  </si>
  <si>
    <t>WALLIS AND FUTUNA</t>
  </si>
  <si>
    <t>WESTERN SAHARA</t>
  </si>
  <si>
    <t>YEMEN</t>
  </si>
  <si>
    <t>Yemeni Rial</t>
  </si>
  <si>
    <t>YER</t>
  </si>
  <si>
    <t>886</t>
  </si>
  <si>
    <t>ZAMBIA</t>
  </si>
  <si>
    <t>Zambian Kwacha</t>
  </si>
  <si>
    <t>ZMW</t>
  </si>
  <si>
    <t>967</t>
  </si>
  <si>
    <t>ZIMBABWE</t>
  </si>
  <si>
    <t>Zimbabwe Gold</t>
  </si>
  <si>
    <t>ZWG</t>
  </si>
  <si>
    <t>924</t>
  </si>
  <si>
    <t>ZZ01_Bond Markets Unit European_EURCO</t>
  </si>
  <si>
    <t>Bond Markets Unit European Composite Unit (EURCO)</t>
  </si>
  <si>
    <t>XBA</t>
  </si>
  <si>
    <t>955</t>
  </si>
  <si>
    <t>ZZ02_Bond Markets Unit European_EMU-6</t>
  </si>
  <si>
    <t>Bond Markets Unit European Monetary Unit (E.M.U.-6)</t>
  </si>
  <si>
    <t>XBB</t>
  </si>
  <si>
    <t>956</t>
  </si>
  <si>
    <t>ZZ03_Bond Markets Unit European_EUA-9</t>
  </si>
  <si>
    <t>Bond Markets Unit European Unit of Account 9 (E.U.A.-9)</t>
  </si>
  <si>
    <t>XBC</t>
  </si>
  <si>
    <t>957</t>
  </si>
  <si>
    <t>ZZ04_Bond Markets Unit European_EUA-17</t>
  </si>
  <si>
    <t>Bond Markets Unit European Unit of Account 17 (E.U.A.-17)</t>
  </si>
  <si>
    <t>XBD</t>
  </si>
  <si>
    <t>958</t>
  </si>
  <si>
    <t>ZZ06_Testing_Code</t>
  </si>
  <si>
    <t>Codes specifically reserved for testing purposes</t>
  </si>
  <si>
    <t>XTS</t>
  </si>
  <si>
    <t>963</t>
  </si>
  <si>
    <t>ZZ07_No_Currency</t>
  </si>
  <si>
    <t>The codes assigned for transactions where no currency is involved</t>
  </si>
  <si>
    <t>XXX</t>
  </si>
  <si>
    <t>999</t>
  </si>
  <si>
    <t>ZZ08_Gold</t>
  </si>
  <si>
    <t>Gold</t>
  </si>
  <si>
    <t>XAU</t>
  </si>
  <si>
    <t>959</t>
  </si>
  <si>
    <t>ZZ09_Palladium</t>
  </si>
  <si>
    <t>Palladium</t>
  </si>
  <si>
    <t>XPD</t>
  </si>
  <si>
    <t>964</t>
  </si>
  <si>
    <t>ZZ10_Platinum</t>
  </si>
  <si>
    <t>Platinum</t>
  </si>
  <si>
    <t>XPT</t>
  </si>
  <si>
    <t>962</t>
  </si>
  <si>
    <t>ZZ11_Silver</t>
  </si>
  <si>
    <t>Silver</t>
  </si>
  <si>
    <t>XAG</t>
  </si>
  <si>
    <t>961</t>
  </si>
  <si>
    <t>name</t>
  </si>
  <si>
    <t>alpha-2</t>
  </si>
  <si>
    <t>alpha-3</t>
  </si>
  <si>
    <t>country-code</t>
  </si>
  <si>
    <t>iso_3166-2</t>
  </si>
  <si>
    <t>region</t>
  </si>
  <si>
    <t>sub-region</t>
  </si>
  <si>
    <t>intermediate-region</t>
  </si>
  <si>
    <t>region-code</t>
  </si>
  <si>
    <t>sub-region-code</t>
  </si>
  <si>
    <t>intermediate-region-code</t>
  </si>
  <si>
    <t>Afghanistan</t>
  </si>
  <si>
    <t>AF</t>
  </si>
  <si>
    <t>AFG</t>
  </si>
  <si>
    <t>ISO 3166-2:AF</t>
  </si>
  <si>
    <t>Asia</t>
  </si>
  <si>
    <t>Southern Asia</t>
  </si>
  <si>
    <t>Ã…land Islands</t>
  </si>
  <si>
    <t>AX</t>
  </si>
  <si>
    <t>ALA</t>
  </si>
  <si>
    <t>ISO 3166-2:AX</t>
  </si>
  <si>
    <t>Europe</t>
  </si>
  <si>
    <t>Northern Europe</t>
  </si>
  <si>
    <t>Albania</t>
  </si>
  <si>
    <t>AL</t>
  </si>
  <si>
    <t>ALB</t>
  </si>
  <si>
    <t>ISO 3166-2:AL</t>
  </si>
  <si>
    <t>Southern Europe</t>
  </si>
  <si>
    <t>Algeria</t>
  </si>
  <si>
    <t>DZ</t>
  </si>
  <si>
    <t>DZA</t>
  </si>
  <si>
    <t>ISO 3166-2:DZ</t>
  </si>
  <si>
    <t>Africa</t>
  </si>
  <si>
    <t>Northern Africa</t>
  </si>
  <si>
    <t>American Samoa</t>
  </si>
  <si>
    <t>AS</t>
  </si>
  <si>
    <t>ASM</t>
  </si>
  <si>
    <t>ISO 3166-2:AS</t>
  </si>
  <si>
    <t>Oceania</t>
  </si>
  <si>
    <t>Polynesia</t>
  </si>
  <si>
    <t>Andorra</t>
  </si>
  <si>
    <t>AD</t>
  </si>
  <si>
    <t>AND</t>
  </si>
  <si>
    <t>ISO 3166-2:AD</t>
  </si>
  <si>
    <t>Angola</t>
  </si>
  <si>
    <t>AO</t>
  </si>
  <si>
    <t>AGO</t>
  </si>
  <si>
    <t>ISO 3166-2:AO</t>
  </si>
  <si>
    <t>Sub-Saharan Africa</t>
  </si>
  <si>
    <t>Middle Africa</t>
  </si>
  <si>
    <t>Anguilla</t>
  </si>
  <si>
    <t>AI</t>
  </si>
  <si>
    <t>AIA</t>
  </si>
  <si>
    <t>ISO 3166-2:AI</t>
  </si>
  <si>
    <t>Americas</t>
  </si>
  <si>
    <t>Latin America and the Caribbean</t>
  </si>
  <si>
    <t>Caribbean</t>
  </si>
  <si>
    <t>Antarctica</t>
  </si>
  <si>
    <t>AQ</t>
  </si>
  <si>
    <t>ATA</t>
  </si>
  <si>
    <t>ISO 3166-2:AQ</t>
  </si>
  <si>
    <t>Antigua and Barbuda</t>
  </si>
  <si>
    <t>AG</t>
  </si>
  <si>
    <t>ATG</t>
  </si>
  <si>
    <t>ISO 3166-2:AG</t>
  </si>
  <si>
    <t>Argentina</t>
  </si>
  <si>
    <t>AR</t>
  </si>
  <si>
    <t>ARG</t>
  </si>
  <si>
    <t>ISO 3166-2:AR</t>
  </si>
  <si>
    <t>South America</t>
  </si>
  <si>
    <t>Armenia</t>
  </si>
  <si>
    <t>AM</t>
  </si>
  <si>
    <t>ARM</t>
  </si>
  <si>
    <t>ISO 3166-2:AM</t>
  </si>
  <si>
    <t>Western Asia</t>
  </si>
  <si>
    <t>Aruba</t>
  </si>
  <si>
    <t>AW</t>
  </si>
  <si>
    <t>ABW</t>
  </si>
  <si>
    <t>ISO 3166-2:AW</t>
  </si>
  <si>
    <t>Australia</t>
  </si>
  <si>
    <t>AU</t>
  </si>
  <si>
    <t>AUS</t>
  </si>
  <si>
    <t>ISO 3166-2:AU</t>
  </si>
  <si>
    <t>Australia and New Zealand</t>
  </si>
  <si>
    <t>Austria</t>
  </si>
  <si>
    <t>AT</t>
  </si>
  <si>
    <t>AUT</t>
  </si>
  <si>
    <t>ISO 3166-2:AT</t>
  </si>
  <si>
    <t>Western Europe</t>
  </si>
  <si>
    <t>Azerbaijan</t>
  </si>
  <si>
    <t>AZ</t>
  </si>
  <si>
    <t>AZE</t>
  </si>
  <si>
    <t>ISO 3166-2:AZ</t>
  </si>
  <si>
    <t>Bahamas</t>
  </si>
  <si>
    <t>BS</t>
  </si>
  <si>
    <t>BHS</t>
  </si>
  <si>
    <t>ISO 3166-2:BS</t>
  </si>
  <si>
    <t>Bahrain</t>
  </si>
  <si>
    <t>BH</t>
  </si>
  <si>
    <t>BHR</t>
  </si>
  <si>
    <t>ISO 3166-2:BH</t>
  </si>
  <si>
    <t>Bangladesh</t>
  </si>
  <si>
    <t>BD</t>
  </si>
  <si>
    <t>BGD</t>
  </si>
  <si>
    <t>ISO 3166-2:BD</t>
  </si>
  <si>
    <t>Barbados</t>
  </si>
  <si>
    <t>BB</t>
  </si>
  <si>
    <t>BRB</t>
  </si>
  <si>
    <t>ISO 3166-2:BB</t>
  </si>
  <si>
    <t>Belarus</t>
  </si>
  <si>
    <t>BY</t>
  </si>
  <si>
    <t>BLR</t>
  </si>
  <si>
    <t>ISO 3166-2:BY</t>
  </si>
  <si>
    <t>Eastern Europe</t>
  </si>
  <si>
    <t>Belgium</t>
  </si>
  <si>
    <t>BE</t>
  </si>
  <si>
    <t>BEL</t>
  </si>
  <si>
    <t>ISO 3166-2:BE</t>
  </si>
  <si>
    <t>Belize</t>
  </si>
  <si>
    <t>BZ</t>
  </si>
  <si>
    <t>BLZ</t>
  </si>
  <si>
    <t>ISO 3166-2:BZ</t>
  </si>
  <si>
    <t>Central America</t>
  </si>
  <si>
    <t>Benin</t>
  </si>
  <si>
    <t>BJ</t>
  </si>
  <si>
    <t>BEN</t>
  </si>
  <si>
    <t>ISO 3166-2:BJ</t>
  </si>
  <si>
    <t>Western Africa</t>
  </si>
  <si>
    <t>Bermuda</t>
  </si>
  <si>
    <t>BM</t>
  </si>
  <si>
    <t>BMU</t>
  </si>
  <si>
    <t>ISO 3166-2:BM</t>
  </si>
  <si>
    <t>Northern America</t>
  </si>
  <si>
    <t>Bhutan</t>
  </si>
  <si>
    <t>BT</t>
  </si>
  <si>
    <t>ISO 3166-2:BT</t>
  </si>
  <si>
    <t>Bolivia</t>
  </si>
  <si>
    <t>BO</t>
  </si>
  <si>
    <t>BOL</t>
  </si>
  <si>
    <t>ISO 3166-2:BO</t>
  </si>
  <si>
    <t>Bonaire</t>
  </si>
  <si>
    <t>BQ</t>
  </si>
  <si>
    <t>BES</t>
  </si>
  <si>
    <t>ISO 3166-2:BQ</t>
  </si>
  <si>
    <t>Bosnia and Herzegovina</t>
  </si>
  <si>
    <t>BA</t>
  </si>
  <si>
    <t>BIH</t>
  </si>
  <si>
    <t>ISO 3166-2:BA</t>
  </si>
  <si>
    <t>Botswana</t>
  </si>
  <si>
    <t>BW</t>
  </si>
  <si>
    <t>BWA</t>
  </si>
  <si>
    <t>ISO 3166-2:BW</t>
  </si>
  <si>
    <t>Southern Africa</t>
  </si>
  <si>
    <t>Bouvet Island</t>
  </si>
  <si>
    <t>BV</t>
  </si>
  <si>
    <t>BVT</t>
  </si>
  <si>
    <t>ISO 3166-2:BV</t>
  </si>
  <si>
    <t>Brazil</t>
  </si>
  <si>
    <t>BR</t>
  </si>
  <si>
    <t>BRA</t>
  </si>
  <si>
    <t>ISO 3166-2:BR</t>
  </si>
  <si>
    <t>British Indian Ocean Territory</t>
  </si>
  <si>
    <t>IO</t>
  </si>
  <si>
    <t>IOT</t>
  </si>
  <si>
    <t>ISO 3166-2:IO</t>
  </si>
  <si>
    <t>Eastern Africa</t>
  </si>
  <si>
    <t>Brunei Darussalam</t>
  </si>
  <si>
    <t>BN</t>
  </si>
  <si>
    <t>BRN</t>
  </si>
  <si>
    <t>ISO 3166-2:BN</t>
  </si>
  <si>
    <t>South-eastern Asia</t>
  </si>
  <si>
    <t>Bulgaria</t>
  </si>
  <si>
    <t>BG</t>
  </si>
  <si>
    <t>BGR</t>
  </si>
  <si>
    <t>ISO 3166-2:BG</t>
  </si>
  <si>
    <t>Burkina Faso</t>
  </si>
  <si>
    <t>BF</t>
  </si>
  <si>
    <t>BFA</t>
  </si>
  <si>
    <t>ISO 3166-2:BF</t>
  </si>
  <si>
    <t>Burundi</t>
  </si>
  <si>
    <t>BI</t>
  </si>
  <si>
    <t>BDI</t>
  </si>
  <si>
    <t>ISO 3166-2:BI</t>
  </si>
  <si>
    <t>Cabo Verde</t>
  </si>
  <si>
    <t>CV</t>
  </si>
  <si>
    <t>CPV</t>
  </si>
  <si>
    <t>ISO 3166-2:CV</t>
  </si>
  <si>
    <t>Cambodia</t>
  </si>
  <si>
    <t>KH</t>
  </si>
  <si>
    <t>KHM</t>
  </si>
  <si>
    <t>ISO 3166-2:KH</t>
  </si>
  <si>
    <t>Cameroon</t>
  </si>
  <si>
    <t>CM</t>
  </si>
  <si>
    <t>CMR</t>
  </si>
  <si>
    <t>ISO 3166-2:CM</t>
  </si>
  <si>
    <t>Canada</t>
  </si>
  <si>
    <t>CA</t>
  </si>
  <si>
    <t>CAN</t>
  </si>
  <si>
    <t>ISO 3166-2:CA</t>
  </si>
  <si>
    <t>Cayman Islands</t>
  </si>
  <si>
    <t>KY</t>
  </si>
  <si>
    <t>CYM</t>
  </si>
  <si>
    <t>ISO 3166-2:KY</t>
  </si>
  <si>
    <t>Central African Republic</t>
  </si>
  <si>
    <t>CF</t>
  </si>
  <si>
    <t>CAF</t>
  </si>
  <si>
    <t>ISO 3166-2:CF</t>
  </si>
  <si>
    <t>Chad</t>
  </si>
  <si>
    <t>TD</t>
  </si>
  <si>
    <t>TCD</t>
  </si>
  <si>
    <t>ISO 3166-2:TD</t>
  </si>
  <si>
    <t>Chile</t>
  </si>
  <si>
    <t>CL</t>
  </si>
  <si>
    <t>CHL</t>
  </si>
  <si>
    <t>ISO 3166-2:CL</t>
  </si>
  <si>
    <t>China</t>
  </si>
  <si>
    <t>CN</t>
  </si>
  <si>
    <t>CHN</t>
  </si>
  <si>
    <t>ISO 3166-2:CN</t>
  </si>
  <si>
    <t>Eastern Asia</t>
  </si>
  <si>
    <t>Christmas Island</t>
  </si>
  <si>
    <t>CX</t>
  </si>
  <si>
    <t>CXR</t>
  </si>
  <si>
    <t>ISO 3166-2:CX</t>
  </si>
  <si>
    <t>Cocos (Keeling) Islands</t>
  </si>
  <si>
    <t>CC</t>
  </si>
  <si>
    <t>CCK</t>
  </si>
  <si>
    <t>ISO 3166-2:CC</t>
  </si>
  <si>
    <t>Colombia</t>
  </si>
  <si>
    <t>CO</t>
  </si>
  <si>
    <t>COL</t>
  </si>
  <si>
    <t>ISO 3166-2:CO</t>
  </si>
  <si>
    <t>Comoros</t>
  </si>
  <si>
    <t>KM</t>
  </si>
  <si>
    <t>COM</t>
  </si>
  <si>
    <t>ISO 3166-2:KM</t>
  </si>
  <si>
    <t>Congo</t>
  </si>
  <si>
    <t>CG</t>
  </si>
  <si>
    <t>COG</t>
  </si>
  <si>
    <t>ISO 3166-2:CG</t>
  </si>
  <si>
    <t>CD</t>
  </si>
  <si>
    <t>COD</t>
  </si>
  <si>
    <t>ISO 3166-2:CD</t>
  </si>
  <si>
    <t>Cook Islands</t>
  </si>
  <si>
    <t>CK</t>
  </si>
  <si>
    <t>COK</t>
  </si>
  <si>
    <t>ISO 3166-2:CK</t>
  </si>
  <si>
    <t>Costa Rica</t>
  </si>
  <si>
    <t>CR</t>
  </si>
  <si>
    <t>CRI</t>
  </si>
  <si>
    <t>ISO 3166-2:CR</t>
  </si>
  <si>
    <t>CÃ´te d'Ivoire</t>
  </si>
  <si>
    <t>CI</t>
  </si>
  <si>
    <t>CIV</t>
  </si>
  <si>
    <t>ISO 3166-2:CI</t>
  </si>
  <si>
    <t>Croatia</t>
  </si>
  <si>
    <t>HR</t>
  </si>
  <si>
    <t>HRV</t>
  </si>
  <si>
    <t>ISO 3166-2:HR</t>
  </si>
  <si>
    <t>Cuba</t>
  </si>
  <si>
    <t>CU</t>
  </si>
  <si>
    <t>CUB</t>
  </si>
  <si>
    <t>ISO 3166-2:CU</t>
  </si>
  <si>
    <t>CuraÃ§ao</t>
  </si>
  <si>
    <t>CW</t>
  </si>
  <si>
    <t>CUW</t>
  </si>
  <si>
    <t>ISO 3166-2:CW</t>
  </si>
  <si>
    <t>Cyprus</t>
  </si>
  <si>
    <t>CY</t>
  </si>
  <si>
    <t>CYP</t>
  </si>
  <si>
    <t>ISO 3166-2:CY</t>
  </si>
  <si>
    <t>Czechia</t>
  </si>
  <si>
    <t>CZ</t>
  </si>
  <si>
    <t>CZE</t>
  </si>
  <si>
    <t>ISO 3166-2:CZ</t>
  </si>
  <si>
    <t>Denmark</t>
  </si>
  <si>
    <t>DK</t>
  </si>
  <si>
    <t>DNK</t>
  </si>
  <si>
    <t>ISO 3166-2:DK</t>
  </si>
  <si>
    <t>Djibouti</t>
  </si>
  <si>
    <t>DJ</t>
  </si>
  <si>
    <t>DJI</t>
  </si>
  <si>
    <t>ISO 3166-2:DJ</t>
  </si>
  <si>
    <t>Dominica</t>
  </si>
  <si>
    <t>DM</t>
  </si>
  <si>
    <t>DMA</t>
  </si>
  <si>
    <t>ISO 3166-2:DM</t>
  </si>
  <si>
    <t>Dominican Republic</t>
  </si>
  <si>
    <t>DO</t>
  </si>
  <si>
    <t>DOM</t>
  </si>
  <si>
    <t>ISO 3166-2:DO</t>
  </si>
  <si>
    <t>Ecuador</t>
  </si>
  <si>
    <t>EC</t>
  </si>
  <si>
    <t>ECU</t>
  </si>
  <si>
    <t>ISO 3166-2:EC</t>
  </si>
  <si>
    <t>Egypt</t>
  </si>
  <si>
    <t>EG</t>
  </si>
  <si>
    <t>EGY</t>
  </si>
  <si>
    <t>ISO 3166-2:EG</t>
  </si>
  <si>
    <t>El Salvador</t>
  </si>
  <si>
    <t>SV</t>
  </si>
  <si>
    <t>SLV</t>
  </si>
  <si>
    <t>ISO 3166-2:SV</t>
  </si>
  <si>
    <t>Equatorial Guinea</t>
  </si>
  <si>
    <t>GQ</t>
  </si>
  <si>
    <t>GNQ</t>
  </si>
  <si>
    <t>ISO 3166-2:GQ</t>
  </si>
  <si>
    <t>Eritrea</t>
  </si>
  <si>
    <t>ER</t>
  </si>
  <si>
    <t>ERI</t>
  </si>
  <si>
    <t>ISO 3166-2:ER</t>
  </si>
  <si>
    <t>Estonia</t>
  </si>
  <si>
    <t>EE</t>
  </si>
  <si>
    <t>EST</t>
  </si>
  <si>
    <t>ISO 3166-2:EE</t>
  </si>
  <si>
    <t>Eswatini</t>
  </si>
  <si>
    <t>SZ</t>
  </si>
  <si>
    <t>SWZ</t>
  </si>
  <si>
    <t>ISO 3166-2:SZ</t>
  </si>
  <si>
    <t>Ethiopia</t>
  </si>
  <si>
    <t>ET</t>
  </si>
  <si>
    <t>ETH</t>
  </si>
  <si>
    <t>ISO 3166-2:ET</t>
  </si>
  <si>
    <t>Falkland Islands (Malvinas)</t>
  </si>
  <si>
    <t>FK</t>
  </si>
  <si>
    <t>FLK</t>
  </si>
  <si>
    <t>ISO 3166-2:FK</t>
  </si>
  <si>
    <t>Faroe Islands</t>
  </si>
  <si>
    <t>FO</t>
  </si>
  <si>
    <t>FRO</t>
  </si>
  <si>
    <t>ISO 3166-2:FO</t>
  </si>
  <si>
    <t>Fiji</t>
  </si>
  <si>
    <t>FJ</t>
  </si>
  <si>
    <t>FJI</t>
  </si>
  <si>
    <t>ISO 3166-2:FJ</t>
  </si>
  <si>
    <t>Melanesia</t>
  </si>
  <si>
    <t>Finland</t>
  </si>
  <si>
    <t>FI</t>
  </si>
  <si>
    <t>FIN</t>
  </si>
  <si>
    <t>ISO 3166-2:FI</t>
  </si>
  <si>
    <t>France</t>
  </si>
  <si>
    <t>FR</t>
  </si>
  <si>
    <t>FRA</t>
  </si>
  <si>
    <t>ISO 3166-2:FR</t>
  </si>
  <si>
    <t>French Guiana</t>
  </si>
  <si>
    <t>GF</t>
  </si>
  <si>
    <t>GUF</t>
  </si>
  <si>
    <t>ISO 3166-2:GF</t>
  </si>
  <si>
    <t>French Polynesia</t>
  </si>
  <si>
    <t>PF</t>
  </si>
  <si>
    <t>PYF</t>
  </si>
  <si>
    <t>ISO 3166-2:PF</t>
  </si>
  <si>
    <t>French Southern Territories</t>
  </si>
  <si>
    <t>TF</t>
  </si>
  <si>
    <t>ATF</t>
  </si>
  <si>
    <t>ISO 3166-2:TF</t>
  </si>
  <si>
    <t>Gabon</t>
  </si>
  <si>
    <t>GA</t>
  </si>
  <si>
    <t>GAB</t>
  </si>
  <si>
    <t>ISO 3166-2:GA</t>
  </si>
  <si>
    <t>Gambia</t>
  </si>
  <si>
    <t>GM</t>
  </si>
  <si>
    <t>GMB</t>
  </si>
  <si>
    <t>ISO 3166-2:GM</t>
  </si>
  <si>
    <t>Georgia</t>
  </si>
  <si>
    <t>GE</t>
  </si>
  <si>
    <t>GEO</t>
  </si>
  <si>
    <t>ISO 3166-2:GE</t>
  </si>
  <si>
    <t>Germany</t>
  </si>
  <si>
    <t>DE</t>
  </si>
  <si>
    <t>DEU</t>
  </si>
  <si>
    <t>ISO 3166-2:DE</t>
  </si>
  <si>
    <t>Ghana</t>
  </si>
  <si>
    <t>GH</t>
  </si>
  <si>
    <t>GHA</t>
  </si>
  <si>
    <t>ISO 3166-2:GH</t>
  </si>
  <si>
    <t>Gibraltar</t>
  </si>
  <si>
    <t>GI</t>
  </si>
  <si>
    <t>GIB</t>
  </si>
  <si>
    <t>ISO 3166-2:GI</t>
  </si>
  <si>
    <t>Greece</t>
  </si>
  <si>
    <t>GR</t>
  </si>
  <si>
    <t>GRC</t>
  </si>
  <si>
    <t>ISO 3166-2:GR</t>
  </si>
  <si>
    <t>Greenland</t>
  </si>
  <si>
    <t>GL</t>
  </si>
  <si>
    <t>GRL</t>
  </si>
  <si>
    <t>ISO 3166-2:GL</t>
  </si>
  <si>
    <t>Grenada</t>
  </si>
  <si>
    <t>GD</t>
  </si>
  <si>
    <t>GRD</t>
  </si>
  <si>
    <t>ISO 3166-2:GD</t>
  </si>
  <si>
    <t>Guadeloupe</t>
  </si>
  <si>
    <t>GP</t>
  </si>
  <si>
    <t>GLP</t>
  </si>
  <si>
    <t>ISO 3166-2:GP</t>
  </si>
  <si>
    <t>Guam</t>
  </si>
  <si>
    <t>GU</t>
  </si>
  <si>
    <t>GUM</t>
  </si>
  <si>
    <t>ISO 3166-2:GU</t>
  </si>
  <si>
    <t>Micronesia</t>
  </si>
  <si>
    <t>Guatemala</t>
  </si>
  <si>
    <t>GT</t>
  </si>
  <si>
    <t>GTM</t>
  </si>
  <si>
    <t>ISO 3166-2:GT</t>
  </si>
  <si>
    <t>Guernsey</t>
  </si>
  <si>
    <t>GG</t>
  </si>
  <si>
    <t>GGY</t>
  </si>
  <si>
    <t>ISO 3166-2:GG</t>
  </si>
  <si>
    <t>Guinea</t>
  </si>
  <si>
    <t>GN</t>
  </si>
  <si>
    <t>GIN</t>
  </si>
  <si>
    <t>ISO 3166-2:GN</t>
  </si>
  <si>
    <t>Guinea-Bissau</t>
  </si>
  <si>
    <t>GW</t>
  </si>
  <si>
    <t>GNB</t>
  </si>
  <si>
    <t>ISO 3166-2:GW</t>
  </si>
  <si>
    <t>Guyana</t>
  </si>
  <si>
    <t>GY</t>
  </si>
  <si>
    <t>GUY</t>
  </si>
  <si>
    <t>ISO 3166-2:GY</t>
  </si>
  <si>
    <t>Haiti</t>
  </si>
  <si>
    <t>HT</t>
  </si>
  <si>
    <t>HTI</t>
  </si>
  <si>
    <t>ISO 3166-2:HT</t>
  </si>
  <si>
    <t>Heard Island and McDonald Islands</t>
  </si>
  <si>
    <t>HM</t>
  </si>
  <si>
    <t>HMD</t>
  </si>
  <si>
    <t>ISO 3166-2:HM</t>
  </si>
  <si>
    <t>Holy See</t>
  </si>
  <si>
    <t>VA</t>
  </si>
  <si>
    <t>VAT</t>
  </si>
  <si>
    <t>ISO 3166-2:VA</t>
  </si>
  <si>
    <t>Honduras</t>
  </si>
  <si>
    <t>HN</t>
  </si>
  <si>
    <t>HND</t>
  </si>
  <si>
    <t>ISO 3166-2:HN</t>
  </si>
  <si>
    <t>Hong Kong</t>
  </si>
  <si>
    <t>HK</t>
  </si>
  <si>
    <t>HKG</t>
  </si>
  <si>
    <t>ISO 3166-2:HK</t>
  </si>
  <si>
    <t>Hungary</t>
  </si>
  <si>
    <t>HU</t>
  </si>
  <si>
    <t>HUN</t>
  </si>
  <si>
    <t>ISO 3166-2:HU</t>
  </si>
  <si>
    <t>Iceland</t>
  </si>
  <si>
    <t>IS</t>
  </si>
  <si>
    <t>ISL</t>
  </si>
  <si>
    <t>ISO 3166-2:IS</t>
  </si>
  <si>
    <t>India</t>
  </si>
  <si>
    <t>IN</t>
  </si>
  <si>
    <t>IND</t>
  </si>
  <si>
    <t>ISO 3166-2:IN</t>
  </si>
  <si>
    <t>Indonesia</t>
  </si>
  <si>
    <t>ID</t>
  </si>
  <si>
    <t>IDN</t>
  </si>
  <si>
    <t>ISO 3166-2:ID</t>
  </si>
  <si>
    <t>Iran</t>
  </si>
  <si>
    <t>IR</t>
  </si>
  <si>
    <t>IRN</t>
  </si>
  <si>
    <t>ISO 3166-2:IR</t>
  </si>
  <si>
    <t>Iraq</t>
  </si>
  <si>
    <t>IQ</t>
  </si>
  <si>
    <t>IRQ</t>
  </si>
  <si>
    <t>ISO 3166-2:IQ</t>
  </si>
  <si>
    <t>Ireland</t>
  </si>
  <si>
    <t>IE</t>
  </si>
  <si>
    <t>IRL</t>
  </si>
  <si>
    <t>ISO 3166-2:IE</t>
  </si>
  <si>
    <t>Isle of Man</t>
  </si>
  <si>
    <t>IM</t>
  </si>
  <si>
    <t>IMN</t>
  </si>
  <si>
    <t>ISO 3166-2:IM</t>
  </si>
  <si>
    <t>Israel</t>
  </si>
  <si>
    <t>IL</t>
  </si>
  <si>
    <t>ISR</t>
  </si>
  <si>
    <t>ISO 3166-2:IL</t>
  </si>
  <si>
    <t>Italy</t>
  </si>
  <si>
    <t>IT</t>
  </si>
  <si>
    <t>ITA</t>
  </si>
  <si>
    <t>ISO 3166-2:IT</t>
  </si>
  <si>
    <t>Jamaica</t>
  </si>
  <si>
    <t>JM</t>
  </si>
  <si>
    <t>JAM</t>
  </si>
  <si>
    <t>ISO 3166-2:JM</t>
  </si>
  <si>
    <t>Japan</t>
  </si>
  <si>
    <t>JP</t>
  </si>
  <si>
    <t>JPN</t>
  </si>
  <si>
    <t>ISO 3166-2:JP</t>
  </si>
  <si>
    <t>Jersey</t>
  </si>
  <si>
    <t>JE</t>
  </si>
  <si>
    <t>JEY</t>
  </si>
  <si>
    <t>ISO 3166-2:JE</t>
  </si>
  <si>
    <t>Jordan</t>
  </si>
  <si>
    <t>JO</t>
  </si>
  <si>
    <t>JOR</t>
  </si>
  <si>
    <t>ISO 3166-2:JO</t>
  </si>
  <si>
    <t>Kazakhstan</t>
  </si>
  <si>
    <t>KZ</t>
  </si>
  <si>
    <t>KAZ</t>
  </si>
  <si>
    <t>ISO 3166-2:KZ</t>
  </si>
  <si>
    <t>Central Asia</t>
  </si>
  <si>
    <t>Kenya</t>
  </si>
  <si>
    <t>KE</t>
  </si>
  <si>
    <t>KEN</t>
  </si>
  <si>
    <t>ISO 3166-2:KE</t>
  </si>
  <si>
    <t>Kiribati</t>
  </si>
  <si>
    <t>KI</t>
  </si>
  <si>
    <t>KIR</t>
  </si>
  <si>
    <t>ISO 3166-2:KI</t>
  </si>
  <si>
    <t>Korea</t>
  </si>
  <si>
    <t>KP</t>
  </si>
  <si>
    <t>PRK</t>
  </si>
  <si>
    <t>ISO 3166-2:KP</t>
  </si>
  <si>
    <t>KR</t>
  </si>
  <si>
    <t>KOR</t>
  </si>
  <si>
    <t>ISO 3166-2:KR</t>
  </si>
  <si>
    <t>Kuwait</t>
  </si>
  <si>
    <t>KW</t>
  </si>
  <si>
    <t>KWT</t>
  </si>
  <si>
    <t>ISO 3166-2:KW</t>
  </si>
  <si>
    <t>Kyrgyzstan</t>
  </si>
  <si>
    <t>KG</t>
  </si>
  <si>
    <t>KGZ</t>
  </si>
  <si>
    <t>ISO 3166-2:KG</t>
  </si>
  <si>
    <t>Lao People's Democratic Republic</t>
  </si>
  <si>
    <t>LA</t>
  </si>
  <si>
    <t>LAO</t>
  </si>
  <si>
    <t>ISO 3166-2:LA</t>
  </si>
  <si>
    <t>Latvia</t>
  </si>
  <si>
    <t>LV</t>
  </si>
  <si>
    <t>LVA</t>
  </si>
  <si>
    <t>ISO 3166-2:LV</t>
  </si>
  <si>
    <t>Lebanon</t>
  </si>
  <si>
    <t>LB</t>
  </si>
  <si>
    <t>LBN</t>
  </si>
  <si>
    <t>ISO 3166-2:LB</t>
  </si>
  <si>
    <t>Lesotho</t>
  </si>
  <si>
    <t>LS</t>
  </si>
  <si>
    <t>LSO</t>
  </si>
  <si>
    <t>ISO 3166-2:LS</t>
  </si>
  <si>
    <t>Liberia</t>
  </si>
  <si>
    <t>LR</t>
  </si>
  <si>
    <t>LBR</t>
  </si>
  <si>
    <t>ISO 3166-2:LR</t>
  </si>
  <si>
    <t>Libya</t>
  </si>
  <si>
    <t>LY</t>
  </si>
  <si>
    <t>LBY</t>
  </si>
  <si>
    <t>ISO 3166-2:LY</t>
  </si>
  <si>
    <t>Liechtenstein</t>
  </si>
  <si>
    <t>LI</t>
  </si>
  <si>
    <t>LIE</t>
  </si>
  <si>
    <t>ISO 3166-2:LI</t>
  </si>
  <si>
    <t>Lithuania</t>
  </si>
  <si>
    <t>LT</t>
  </si>
  <si>
    <t>LTU</t>
  </si>
  <si>
    <t>ISO 3166-2:LT</t>
  </si>
  <si>
    <t>Luxembourg</t>
  </si>
  <si>
    <t>LU</t>
  </si>
  <si>
    <t>LUX</t>
  </si>
  <si>
    <t>ISO 3166-2:LU</t>
  </si>
  <si>
    <t>Macao</t>
  </si>
  <si>
    <t>MO</t>
  </si>
  <si>
    <t>MAC</t>
  </si>
  <si>
    <t>ISO 3166-2:MO</t>
  </si>
  <si>
    <t>Madagascar</t>
  </si>
  <si>
    <t>MG</t>
  </si>
  <si>
    <t>MDG</t>
  </si>
  <si>
    <t>ISO 3166-2:MG</t>
  </si>
  <si>
    <t>Malawi</t>
  </si>
  <si>
    <t>MW</t>
  </si>
  <si>
    <t>MWI</t>
  </si>
  <si>
    <t>ISO 3166-2:MW</t>
  </si>
  <si>
    <t>Malaysia</t>
  </si>
  <si>
    <t>MY</t>
  </si>
  <si>
    <t>MYS</t>
  </si>
  <si>
    <t>ISO 3166-2:MY</t>
  </si>
  <si>
    <t>Maldives</t>
  </si>
  <si>
    <t>MV</t>
  </si>
  <si>
    <t>MDV</t>
  </si>
  <si>
    <t>ISO 3166-2:MV</t>
  </si>
  <si>
    <t>Mali</t>
  </si>
  <si>
    <t>ML</t>
  </si>
  <si>
    <t>MLI</t>
  </si>
  <si>
    <t>ISO 3166-2:ML</t>
  </si>
  <si>
    <t>Malta</t>
  </si>
  <si>
    <t>MT</t>
  </si>
  <si>
    <t>MLT</t>
  </si>
  <si>
    <t>ISO 3166-2:MT</t>
  </si>
  <si>
    <t>Marshall Islands</t>
  </si>
  <si>
    <t>MH</t>
  </si>
  <si>
    <t>MHL</t>
  </si>
  <si>
    <t>ISO 3166-2:MH</t>
  </si>
  <si>
    <t>Martinique</t>
  </si>
  <si>
    <t>MQ</t>
  </si>
  <si>
    <t>MTQ</t>
  </si>
  <si>
    <t>ISO 3166-2:MQ</t>
  </si>
  <si>
    <t>Mauritania</t>
  </si>
  <si>
    <t>MR</t>
  </si>
  <si>
    <t>MRT</t>
  </si>
  <si>
    <t>ISO 3166-2:MR</t>
  </si>
  <si>
    <t>Mauritius</t>
  </si>
  <si>
    <t>MU</t>
  </si>
  <si>
    <t>MUS</t>
  </si>
  <si>
    <t>ISO 3166-2:MU</t>
  </si>
  <si>
    <t>Mayotte</t>
  </si>
  <si>
    <t>YT</t>
  </si>
  <si>
    <t>MYT</t>
  </si>
  <si>
    <t>ISO 3166-2:YT</t>
  </si>
  <si>
    <t>Mexico</t>
  </si>
  <si>
    <t>MX</t>
  </si>
  <si>
    <t>MEX</t>
  </si>
  <si>
    <t>ISO 3166-2:MX</t>
  </si>
  <si>
    <t>FM</t>
  </si>
  <si>
    <t>FSM</t>
  </si>
  <si>
    <t>ISO 3166-2:FM</t>
  </si>
  <si>
    <t>Moldova</t>
  </si>
  <si>
    <t>MD</t>
  </si>
  <si>
    <t>MDA</t>
  </si>
  <si>
    <t>ISO 3166-2:MD</t>
  </si>
  <si>
    <t>Monaco</t>
  </si>
  <si>
    <t>MC</t>
  </si>
  <si>
    <t>MCO</t>
  </si>
  <si>
    <t>ISO 3166-2:MC</t>
  </si>
  <si>
    <t>Mongolia</t>
  </si>
  <si>
    <t>MN</t>
  </si>
  <si>
    <t>MNG</t>
  </si>
  <si>
    <t>ISO 3166-2:MN</t>
  </si>
  <si>
    <t>Montenegro</t>
  </si>
  <si>
    <t>ME</t>
  </si>
  <si>
    <t>MNE</t>
  </si>
  <si>
    <t>ISO 3166-2:ME</t>
  </si>
  <si>
    <t>Montserrat</t>
  </si>
  <si>
    <t>MS</t>
  </si>
  <si>
    <t>MSR</t>
  </si>
  <si>
    <t>ISO 3166-2:MS</t>
  </si>
  <si>
    <t>Morocco</t>
  </si>
  <si>
    <t>MA</t>
  </si>
  <si>
    <t>MAR</t>
  </si>
  <si>
    <t>ISO 3166-2:MA</t>
  </si>
  <si>
    <t>Mozambique</t>
  </si>
  <si>
    <t>MZ</t>
  </si>
  <si>
    <t>MOZ</t>
  </si>
  <si>
    <t>ISO 3166-2:MZ</t>
  </si>
  <si>
    <t>Myanmar</t>
  </si>
  <si>
    <t>MM</t>
  </si>
  <si>
    <t>MMR</t>
  </si>
  <si>
    <t>ISO 3166-2:MM</t>
  </si>
  <si>
    <t>Namibia</t>
  </si>
  <si>
    <t>NA</t>
  </si>
  <si>
    <t>NAM</t>
  </si>
  <si>
    <t>ISO 3166-2:NA</t>
  </si>
  <si>
    <t>Nauru</t>
  </si>
  <si>
    <t>NR</t>
  </si>
  <si>
    <t>NRU</t>
  </si>
  <si>
    <t>ISO 3166-2:NR</t>
  </si>
  <si>
    <t>Nepal</t>
  </si>
  <si>
    <t>NP</t>
  </si>
  <si>
    <t>NPL</t>
  </si>
  <si>
    <t>ISO 3166-2:NP</t>
  </si>
  <si>
    <t>Netherlands</t>
  </si>
  <si>
    <t>NL</t>
  </si>
  <si>
    <t>NLD</t>
  </si>
  <si>
    <t>ISO 3166-2:NL</t>
  </si>
  <si>
    <t>New Caledonia</t>
  </si>
  <si>
    <t>NC</t>
  </si>
  <si>
    <t>NCL</t>
  </si>
  <si>
    <t>ISO 3166-2:NC</t>
  </si>
  <si>
    <t>New Zealand</t>
  </si>
  <si>
    <t>NZ</t>
  </si>
  <si>
    <t>NZL</t>
  </si>
  <si>
    <t>ISO 3166-2:NZ</t>
  </si>
  <si>
    <t>Nicaragua</t>
  </si>
  <si>
    <t>NI</t>
  </si>
  <si>
    <t>NIC</t>
  </si>
  <si>
    <t>ISO 3166-2:NI</t>
  </si>
  <si>
    <t>Niger</t>
  </si>
  <si>
    <t>NE</t>
  </si>
  <si>
    <t>NER</t>
  </si>
  <si>
    <t>ISO 3166-2:NE</t>
  </si>
  <si>
    <t>Nigeria</t>
  </si>
  <si>
    <t>NG</t>
  </si>
  <si>
    <t>NGA</t>
  </si>
  <si>
    <t>ISO 3166-2:NG</t>
  </si>
  <si>
    <t>Niue</t>
  </si>
  <si>
    <t>NU</t>
  </si>
  <si>
    <t>NIU</t>
  </si>
  <si>
    <t>ISO 3166-2:NU</t>
  </si>
  <si>
    <t>Norfolk Island</t>
  </si>
  <si>
    <t>NF</t>
  </si>
  <si>
    <t>NFK</t>
  </si>
  <si>
    <t>ISO 3166-2:NF</t>
  </si>
  <si>
    <t>North Macedonia</t>
  </si>
  <si>
    <t>MK</t>
  </si>
  <si>
    <t>ISO 3166-2:MK</t>
  </si>
  <si>
    <t>Northern Mariana Islands</t>
  </si>
  <si>
    <t>MP</t>
  </si>
  <si>
    <t>MNP</t>
  </si>
  <si>
    <t>ISO 3166-2:MP</t>
  </si>
  <si>
    <t>Norway</t>
  </si>
  <si>
    <t>NO</t>
  </si>
  <si>
    <t>NOR</t>
  </si>
  <si>
    <t>ISO 3166-2:NO</t>
  </si>
  <si>
    <t>Oman</t>
  </si>
  <si>
    <t>OM</t>
  </si>
  <si>
    <t>OMN</t>
  </si>
  <si>
    <t>ISO 3166-2:OM</t>
  </si>
  <si>
    <t>Pakistan</t>
  </si>
  <si>
    <t>PK</t>
  </si>
  <si>
    <t>PAK</t>
  </si>
  <si>
    <t>ISO 3166-2:PK</t>
  </si>
  <si>
    <t>Palau</t>
  </si>
  <si>
    <t>PW</t>
  </si>
  <si>
    <t>PLW</t>
  </si>
  <si>
    <t>ISO 3166-2:PW</t>
  </si>
  <si>
    <t>Palestine</t>
  </si>
  <si>
    <t>PS</t>
  </si>
  <si>
    <t>PSE</t>
  </si>
  <si>
    <t>ISO 3166-2:PS</t>
  </si>
  <si>
    <t>Panama</t>
  </si>
  <si>
    <t>PA</t>
  </si>
  <si>
    <t>PAN</t>
  </si>
  <si>
    <t>ISO 3166-2:PA</t>
  </si>
  <si>
    <t>Papua New Guinea</t>
  </si>
  <si>
    <t>PG</t>
  </si>
  <si>
    <t>PNG</t>
  </si>
  <si>
    <t>ISO 3166-2:PG</t>
  </si>
  <si>
    <t>Paraguay</t>
  </si>
  <si>
    <t>PY</t>
  </si>
  <si>
    <t>PRY</t>
  </si>
  <si>
    <t>ISO 3166-2:PY</t>
  </si>
  <si>
    <t>Peru</t>
  </si>
  <si>
    <t>PE</t>
  </si>
  <si>
    <t>PER</t>
  </si>
  <si>
    <t>ISO 3166-2:PE</t>
  </si>
  <si>
    <t>Philippines</t>
  </si>
  <si>
    <t>PH</t>
  </si>
  <si>
    <t>PHL</t>
  </si>
  <si>
    <t>ISO 3166-2:PH</t>
  </si>
  <si>
    <t>Pitcairn</t>
  </si>
  <si>
    <t>PN</t>
  </si>
  <si>
    <t>PCN</t>
  </si>
  <si>
    <t>ISO 3166-2:PN</t>
  </si>
  <si>
    <t>Poland</t>
  </si>
  <si>
    <t>PL</t>
  </si>
  <si>
    <t>POL</t>
  </si>
  <si>
    <t>ISO 3166-2:PL</t>
  </si>
  <si>
    <t>Portugal</t>
  </si>
  <si>
    <t>PT</t>
  </si>
  <si>
    <t>PRT</t>
  </si>
  <si>
    <t>ISO 3166-2:PT</t>
  </si>
  <si>
    <t>Puerto Rico</t>
  </si>
  <si>
    <t>PR</t>
  </si>
  <si>
    <t>PRI</t>
  </si>
  <si>
    <t>ISO 3166-2:PR</t>
  </si>
  <si>
    <t>Qatar</t>
  </si>
  <si>
    <t>QA</t>
  </si>
  <si>
    <t>QAT</t>
  </si>
  <si>
    <t>ISO 3166-2:QA</t>
  </si>
  <si>
    <t>RÃ©union</t>
  </si>
  <si>
    <t>RE</t>
  </si>
  <si>
    <t>REU</t>
  </si>
  <si>
    <t>ISO 3166-2:RE</t>
  </si>
  <si>
    <t>Romania</t>
  </si>
  <si>
    <t>RO</t>
  </si>
  <si>
    <t>ROU</t>
  </si>
  <si>
    <t>ISO 3166-2:RO</t>
  </si>
  <si>
    <t>Russian Federation</t>
  </si>
  <si>
    <t>RU</t>
  </si>
  <si>
    <t>RUS</t>
  </si>
  <si>
    <t>ISO 3166-2:RU</t>
  </si>
  <si>
    <t>Rwanda</t>
  </si>
  <si>
    <t>RW</t>
  </si>
  <si>
    <t>RWA</t>
  </si>
  <si>
    <t>ISO 3166-2:RW</t>
  </si>
  <si>
    <t>Saint BarthÃ©lemy</t>
  </si>
  <si>
    <t>BL</t>
  </si>
  <si>
    <t>BLM</t>
  </si>
  <si>
    <t>ISO 3166-2:BL</t>
  </si>
  <si>
    <t>Saint Helena</t>
  </si>
  <si>
    <t>SH</t>
  </si>
  <si>
    <t>SHN</t>
  </si>
  <si>
    <t>ISO 3166-2:SH</t>
  </si>
  <si>
    <t>Saint Kitts and Nevis</t>
  </si>
  <si>
    <t>KN</t>
  </si>
  <si>
    <t>KNA</t>
  </si>
  <si>
    <t>ISO 3166-2:KN</t>
  </si>
  <si>
    <t>Saint Lucia</t>
  </si>
  <si>
    <t>LC</t>
  </si>
  <si>
    <t>LCA</t>
  </si>
  <si>
    <t>ISO 3166-2:LC</t>
  </si>
  <si>
    <t>Saint Martin (French part)</t>
  </si>
  <si>
    <t>MF</t>
  </si>
  <si>
    <t>MAF</t>
  </si>
  <si>
    <t>ISO 3166-2:MF</t>
  </si>
  <si>
    <t>Saint Pierre and Miquelon</t>
  </si>
  <si>
    <t>PM</t>
  </si>
  <si>
    <t>SPM</t>
  </si>
  <si>
    <t>ISO 3166-2:PM</t>
  </si>
  <si>
    <t>Saint Vincent and the Grenadines</t>
  </si>
  <si>
    <t>VC</t>
  </si>
  <si>
    <t>VCT</t>
  </si>
  <si>
    <t>ISO 3166-2:VC</t>
  </si>
  <si>
    <t>Samoa</t>
  </si>
  <si>
    <t>WS</t>
  </si>
  <si>
    <t>WSM</t>
  </si>
  <si>
    <t>ISO 3166-2:WS</t>
  </si>
  <si>
    <t>San Marino</t>
  </si>
  <si>
    <t>SM</t>
  </si>
  <si>
    <t>SMR</t>
  </si>
  <si>
    <t>ISO 3166-2:SM</t>
  </si>
  <si>
    <t>Sao Tome and Principe</t>
  </si>
  <si>
    <t>ST</t>
  </si>
  <si>
    <t>STP</t>
  </si>
  <si>
    <t>ISO 3166-2:ST</t>
  </si>
  <si>
    <t>Saudi Arabia</t>
  </si>
  <si>
    <t>SA</t>
  </si>
  <si>
    <t>SAU</t>
  </si>
  <si>
    <t>ISO 3166-2:SA</t>
  </si>
  <si>
    <t>Senegal</t>
  </si>
  <si>
    <t>SN</t>
  </si>
  <si>
    <t>SEN</t>
  </si>
  <si>
    <t>ISO 3166-2:SN</t>
  </si>
  <si>
    <t>Serbia</t>
  </si>
  <si>
    <t>RS</t>
  </si>
  <si>
    <t>SRB</t>
  </si>
  <si>
    <t>ISO 3166-2:RS</t>
  </si>
  <si>
    <t>Seychelles</t>
  </si>
  <si>
    <t>SC</t>
  </si>
  <si>
    <t>SYC</t>
  </si>
  <si>
    <t>ISO 3166-2:SC</t>
  </si>
  <si>
    <t>Sierra Leone</t>
  </si>
  <si>
    <t>SL</t>
  </si>
  <si>
    <t>ISO 3166-2:SL</t>
  </si>
  <si>
    <t>Singapore</t>
  </si>
  <si>
    <t>SG</t>
  </si>
  <si>
    <t>SGP</t>
  </si>
  <si>
    <t>ISO 3166-2:SG</t>
  </si>
  <si>
    <t>Sint Maarten (Dutch part)</t>
  </si>
  <si>
    <t>SX</t>
  </si>
  <si>
    <t>SXM</t>
  </si>
  <si>
    <t>ISO 3166-2:SX</t>
  </si>
  <si>
    <t>Slovakia</t>
  </si>
  <si>
    <t>SK</t>
  </si>
  <si>
    <t>SVK</t>
  </si>
  <si>
    <t>ISO 3166-2:SK</t>
  </si>
  <si>
    <t>Slovenia</t>
  </si>
  <si>
    <t>SI</t>
  </si>
  <si>
    <t>SVN</t>
  </si>
  <si>
    <t>ISO 3166-2:SI</t>
  </si>
  <si>
    <t>Solomon Islands</t>
  </si>
  <si>
    <t>SB</t>
  </si>
  <si>
    <t>SLB</t>
  </si>
  <si>
    <t>ISO 3166-2:SB</t>
  </si>
  <si>
    <t>Somalia</t>
  </si>
  <si>
    <t>SO</t>
  </si>
  <si>
    <t>SOM</t>
  </si>
  <si>
    <t>ISO 3166-2:SO</t>
  </si>
  <si>
    <t>South Africa</t>
  </si>
  <si>
    <t>ZA</t>
  </si>
  <si>
    <t>ZAF</t>
  </si>
  <si>
    <t>ISO 3166-2:ZA</t>
  </si>
  <si>
    <t>South Georgia and the South Sandwich Islands</t>
  </si>
  <si>
    <t>GS</t>
  </si>
  <si>
    <t>SGS</t>
  </si>
  <si>
    <t>ISO 3166-2:GS</t>
  </si>
  <si>
    <t>South Sudan</t>
  </si>
  <si>
    <t>SS</t>
  </si>
  <si>
    <t>SSD</t>
  </si>
  <si>
    <t>ISO 3166-2:SS</t>
  </si>
  <si>
    <t>Spain</t>
  </si>
  <si>
    <t>ES</t>
  </si>
  <si>
    <t>ESP</t>
  </si>
  <si>
    <t>ISO 3166-2:ES</t>
  </si>
  <si>
    <t>Sri Lanka</t>
  </si>
  <si>
    <t>LK</t>
  </si>
  <si>
    <t>LKA</t>
  </si>
  <si>
    <t>ISO 3166-2:LK</t>
  </si>
  <si>
    <t>Sudan</t>
  </si>
  <si>
    <t>SD</t>
  </si>
  <si>
    <t>SDN</t>
  </si>
  <si>
    <t>ISO 3166-2:SD</t>
  </si>
  <si>
    <t>Suriname</t>
  </si>
  <si>
    <t>SR</t>
  </si>
  <si>
    <t>SUR</t>
  </si>
  <si>
    <t>ISO 3166-2:SR</t>
  </si>
  <si>
    <t>Svalbard and Jan Mayen</t>
  </si>
  <si>
    <t>SJ</t>
  </si>
  <si>
    <t>SJM</t>
  </si>
  <si>
    <t>ISO 3166-2:SJ</t>
  </si>
  <si>
    <t>Sweden</t>
  </si>
  <si>
    <t>SE</t>
  </si>
  <si>
    <t>SWE</t>
  </si>
  <si>
    <t>ISO 3166-2:SE</t>
  </si>
  <si>
    <t>Switzerland</t>
  </si>
  <si>
    <t>CH</t>
  </si>
  <si>
    <t>ISO 3166-2:CH</t>
  </si>
  <si>
    <t>Syrian Arab Republic</t>
  </si>
  <si>
    <t>SY</t>
  </si>
  <si>
    <t>SYR</t>
  </si>
  <si>
    <t>ISO 3166-2:SY</t>
  </si>
  <si>
    <t>Taiwan</t>
  </si>
  <si>
    <t>TW</t>
  </si>
  <si>
    <t>TWN</t>
  </si>
  <si>
    <t>ISO 3166-2:TW</t>
  </si>
  <si>
    <t>Tajikistan</t>
  </si>
  <si>
    <t>TJ</t>
  </si>
  <si>
    <t>TJK</t>
  </si>
  <si>
    <t>ISO 3166-2:TJ</t>
  </si>
  <si>
    <t>Tanzania</t>
  </si>
  <si>
    <t>TZ</t>
  </si>
  <si>
    <t>TZA</t>
  </si>
  <si>
    <t>ISO 3166-2:TZ</t>
  </si>
  <si>
    <t>Thailand</t>
  </si>
  <si>
    <t>TH</t>
  </si>
  <si>
    <t>THA</t>
  </si>
  <si>
    <t>ISO 3166-2:TH</t>
  </si>
  <si>
    <t>Timor-Leste</t>
  </si>
  <si>
    <t>TL</t>
  </si>
  <si>
    <t>TLS</t>
  </si>
  <si>
    <t>ISO 3166-2:TL</t>
  </si>
  <si>
    <t>Togo</t>
  </si>
  <si>
    <t>TG</t>
  </si>
  <si>
    <t>TGO</t>
  </si>
  <si>
    <t>ISO 3166-2:TG</t>
  </si>
  <si>
    <t>Tokelau</t>
  </si>
  <si>
    <t>TK</t>
  </si>
  <si>
    <t>TKL</t>
  </si>
  <si>
    <t>ISO 3166-2:TK</t>
  </si>
  <si>
    <t>Tonga</t>
  </si>
  <si>
    <t>TO</t>
  </si>
  <si>
    <t>TON</t>
  </si>
  <si>
    <t>ISO 3166-2:TO</t>
  </si>
  <si>
    <t>Trinidad and Tobago</t>
  </si>
  <si>
    <t>TT</t>
  </si>
  <si>
    <t>TTO</t>
  </si>
  <si>
    <t>ISO 3166-2:TT</t>
  </si>
  <si>
    <t>Tunisia</t>
  </si>
  <si>
    <t>TN</t>
  </si>
  <si>
    <t>TUN</t>
  </si>
  <si>
    <t>ISO 3166-2:TN</t>
  </si>
  <si>
    <t>TÃ¼rkiye</t>
  </si>
  <si>
    <t>TR</t>
  </si>
  <si>
    <t>TUR</t>
  </si>
  <si>
    <t>ISO 3166-2:TR</t>
  </si>
  <si>
    <t>Turkmenistan</t>
  </si>
  <si>
    <t>TM</t>
  </si>
  <si>
    <t>TKM</t>
  </si>
  <si>
    <t>ISO 3166-2:TM</t>
  </si>
  <si>
    <t>Turks and Caicos Islands</t>
  </si>
  <si>
    <t>TC</t>
  </si>
  <si>
    <t>TCA</t>
  </si>
  <si>
    <t>ISO 3166-2:TC</t>
  </si>
  <si>
    <t>Tuvalu</t>
  </si>
  <si>
    <t>TV</t>
  </si>
  <si>
    <t>TUV</t>
  </si>
  <si>
    <t>ISO 3166-2:TV</t>
  </si>
  <si>
    <t>Uganda</t>
  </si>
  <si>
    <t>UG</t>
  </si>
  <si>
    <t>UGA</t>
  </si>
  <si>
    <t>ISO 3166-2:UG</t>
  </si>
  <si>
    <t>Ukraine</t>
  </si>
  <si>
    <t>UA</t>
  </si>
  <si>
    <t>UKR</t>
  </si>
  <si>
    <t>ISO 3166-2:UA</t>
  </si>
  <si>
    <t>United Arab Emirates</t>
  </si>
  <si>
    <t>AE</t>
  </si>
  <si>
    <t>ARE</t>
  </si>
  <si>
    <t>ISO 3166-2:AE</t>
  </si>
  <si>
    <t>United Kingdom of Great Britain and Northern Ireland</t>
  </si>
  <si>
    <t>GB</t>
  </si>
  <si>
    <t>GBR</t>
  </si>
  <si>
    <t>ISO 3166-2:GB</t>
  </si>
  <si>
    <t>United States of America</t>
  </si>
  <si>
    <t>US</t>
  </si>
  <si>
    <t>USA</t>
  </si>
  <si>
    <t>ISO 3166-2:US</t>
  </si>
  <si>
    <t>United States Minor Outlying Islands</t>
  </si>
  <si>
    <t>UM</t>
  </si>
  <si>
    <t>UMI</t>
  </si>
  <si>
    <t>ISO 3166-2:UM</t>
  </si>
  <si>
    <t>Uruguay</t>
  </si>
  <si>
    <t>UY</t>
  </si>
  <si>
    <t>URY</t>
  </si>
  <si>
    <t>ISO 3166-2:UY</t>
  </si>
  <si>
    <t>Uzbekistan</t>
  </si>
  <si>
    <t>UZ</t>
  </si>
  <si>
    <t>UZB</t>
  </si>
  <si>
    <t>ISO 3166-2:UZ</t>
  </si>
  <si>
    <t>Vanuatu</t>
  </si>
  <si>
    <t>VU</t>
  </si>
  <si>
    <t>VUT</t>
  </si>
  <si>
    <t>ISO 3166-2:VU</t>
  </si>
  <si>
    <t>Venezuela</t>
  </si>
  <si>
    <t>VE</t>
  </si>
  <si>
    <t>VEN</t>
  </si>
  <si>
    <t>ISO 3166-2:VE</t>
  </si>
  <si>
    <t>Viet Nam</t>
  </si>
  <si>
    <t>VN</t>
  </si>
  <si>
    <t>VNM</t>
  </si>
  <si>
    <t>ISO 3166-2:VN</t>
  </si>
  <si>
    <t>Virgin Islands (British)</t>
  </si>
  <si>
    <t>VG</t>
  </si>
  <si>
    <t>VGB</t>
  </si>
  <si>
    <t>ISO 3166-2:VG</t>
  </si>
  <si>
    <t>Virgin Islands (U.S.)</t>
  </si>
  <si>
    <t>VI</t>
  </si>
  <si>
    <t>VIR</t>
  </si>
  <si>
    <t>ISO 3166-2:VI</t>
  </si>
  <si>
    <t>Wallis and Futuna</t>
  </si>
  <si>
    <t>WF</t>
  </si>
  <si>
    <t>WLF</t>
  </si>
  <si>
    <t>ISO 3166-2:WF</t>
  </si>
  <si>
    <t>Western Sahara</t>
  </si>
  <si>
    <t>EH</t>
  </si>
  <si>
    <t>ESH</t>
  </si>
  <si>
    <t>ISO 3166-2:EH</t>
  </si>
  <si>
    <t>Yemen</t>
  </si>
  <si>
    <t>YE</t>
  </si>
  <si>
    <t>YEM</t>
  </si>
  <si>
    <t>ISO 3166-2:YE</t>
  </si>
  <si>
    <t>Zambia</t>
  </si>
  <si>
    <t>ZM</t>
  </si>
  <si>
    <t>ZMB</t>
  </si>
  <si>
    <t>ISO 3166-2:ZM</t>
  </si>
  <si>
    <t>Zimbabwe</t>
  </si>
  <si>
    <t>ZW</t>
  </si>
  <si>
    <t>ZWE</t>
  </si>
  <si>
    <t>ISO 3166-2:ZW</t>
  </si>
  <si>
    <t>ISIN</t>
  </si>
  <si>
    <t>TRUE</t>
  </si>
  <si>
    <t>FALSE</t>
  </si>
  <si>
    <t>0001</t>
  </si>
  <si>
    <t>Level 2</t>
  </si>
  <si>
    <t>Level 1</t>
  </si>
  <si>
    <t>MBDT - Level 1 Validation Rules: completeness checks.</t>
  </si>
  <si>
    <t>Check ID</t>
  </si>
  <si>
    <t>Tab</t>
  </si>
  <si>
    <t>Data point (Row/Column)</t>
  </si>
  <si>
    <t>Data point (Label)</t>
  </si>
  <si>
    <t>Data point type</t>
  </si>
  <si>
    <t>High severity (i.e the validation rule should in general not be breached)</t>
  </si>
  <si>
    <t>Warning only (i.e. the validation rule can be breached in certain cases)</t>
  </si>
  <si>
    <t>Prerequisite / Dependency</t>
  </si>
  <si>
    <t>Explanation</t>
  </si>
  <si>
    <t>B02.00</t>
  </si>
  <si>
    <t>X</t>
  </si>
  <si>
    <t xml:space="preserve">Test for missing values. </t>
  </si>
  <si>
    <t>Missing value. The field must be reported.</t>
  </si>
  <si>
    <t>Test for missing values.</t>
  </si>
  <si>
    <t xml:space="preserve">Contract Currency </t>
  </si>
  <si>
    <t>Rule applicable if c0250 = ("Non-Structured/Vanilla" OR "Other non-standard terms")</t>
  </si>
  <si>
    <t>Missing value. The field must be reported for non-structured liabilities.</t>
  </si>
  <si>
    <t>Rule applicable if c0250 = ("Structured" OR "Only structured coupon")</t>
  </si>
  <si>
    <t xml:space="preserve">Missing value (warning only). For structured liabilities, the field has to be reported if the information exists. </t>
  </si>
  <si>
    <t>Portion of instrument or liability held by the reporting entity</t>
  </si>
  <si>
    <t>Rule applicable only if c0040 = "ISIN"</t>
  </si>
  <si>
    <t>Missing value. The field must be reported for securities.</t>
  </si>
  <si>
    <t>Rule applicable if c0250 = ("Non-Structured" OR "Other non-standard terms") AND c0240 != "ZCB issued at discount"</t>
  </si>
  <si>
    <t>Missing value. For non-structured liabilities that are not zero coupon bonds issued at discount, this field must be reported.</t>
  </si>
  <si>
    <t>Rule applicable only if c0250 != ("Structured" OR "Only structured coupon")</t>
  </si>
  <si>
    <t xml:space="preserve">Missing value (warning only). For structured liabilities, the field  has to be reported if the information exists. </t>
  </si>
  <si>
    <t>Missing value. For non-structured liabilities, this field must be reported.</t>
  </si>
  <si>
    <t>Rule applicable only if c0140 = "Other".</t>
  </si>
  <si>
    <t>Missing value. The field must be reported if option "Other" has been selected in c0140.</t>
  </si>
  <si>
    <t>Rule applicable if c0250 = ("Non-Structured/Vanilla" OR "Other non-standard terms") AND c0240 != "ZCB issued at discount"</t>
  </si>
  <si>
    <t>Missing value. For non-structured liabilities that are not zero coupon bonds issued at discount, this field is must be reported.</t>
  </si>
  <si>
    <t>Missing value (warning only). For structured liabilities, this field should  be reported only if the information exists..</t>
  </si>
  <si>
    <t>Missing value (warning only).  This field needs to be reported if the information exists.</t>
  </si>
  <si>
    <t>Rule applicable if c0140 != "Cash account/saving account".</t>
  </si>
  <si>
    <t>Missing value.For liabilities other than of the type "Cash account/savings account, the field must be reported.</t>
  </si>
  <si>
    <t>Rule applicable only if c0250 = ("Structured" OR "Structured coupon only")</t>
  </si>
  <si>
    <t>Missing value (warning only). For structured liabilities, this field should  be reported if the information exists..</t>
  </si>
  <si>
    <t>Missing value. The field must be reported for structured products.</t>
  </si>
  <si>
    <t>Rule applicable only if c0280 = "TRUE" or c0290 = "TRUE".</t>
  </si>
  <si>
    <t>Missing value. The field must be reported for eligible deposits. If the value is zero, "0" should be entered.</t>
  </si>
  <si>
    <t>Amount of pledge, lien or collateral based on the current internal valuation</t>
  </si>
  <si>
    <t>Rule applicable only if c0310 = "Secured"</t>
  </si>
  <si>
    <t>Missing value. The field must be reported for secured products. If the value is zero, "0" should be entered.</t>
  </si>
  <si>
    <t>Missing value. The field must be reported for secured products.</t>
  </si>
  <si>
    <t>Rule applicable only if c0350 = "Other"</t>
  </si>
  <si>
    <t>Missing value (warning). The field should be reported if c0350 = "Other".</t>
  </si>
  <si>
    <t>Rule applicable only if c0040 = "ISIN" and c0360 = "Nominal"</t>
  </si>
  <si>
    <t>Missing value. The field must be reported for securities with trading-method = "Nominal".</t>
  </si>
  <si>
    <t>Rule applicable only if c0040 = "ISIN" and c0360 = "Unit"</t>
  </si>
  <si>
    <t>Missing value (warning only). The field should be reported for securities with trading-method = "Unit" if the information exists.</t>
  </si>
  <si>
    <t>Rule applicable only if c0040 = "ISIN".</t>
  </si>
  <si>
    <t>Missing value. The field must be reported when c0040 = "ISIN". If the value is zero, "0" must be entered.</t>
  </si>
  <si>
    <t>Missing value. The field must be reported for securities. If the value is zero, "0" must be entered.</t>
  </si>
  <si>
    <t>Rule applicable if c0040 = "ISIN",  c0250 = ("Non-Structured/Vanilla" OR "Other non-standard terms) AND c0240 != "ZCB issued at discount"</t>
  </si>
  <si>
    <t>Missing value. The field must be reported for non-structured securities that are not zero coupon bonds issued at discount.</t>
  </si>
  <si>
    <t>Rule applicable if c0040 = "ISIN",  c0250 != ("Structured" OR "Only structured coupon")</t>
  </si>
  <si>
    <t>Missing value (warning only). This field must be reported for structured securities if the information exists.</t>
  </si>
  <si>
    <t>Missing value (warning only). The field must be reported if the information exists, i.e. the entity reports in IFRS.</t>
  </si>
  <si>
    <t>if {B99.00;c0060} = "Non-Resolution Entity"</t>
  </si>
  <si>
    <t>Missing value. The field must be reported for Non-Resolution Entities.</t>
  </si>
  <si>
    <t>B90.00</t>
  </si>
  <si>
    <t xml:space="preserve">Counterparty within the resolution group </t>
  </si>
  <si>
    <t>Level 2 Validation Rules: internal consistency checks.</t>
  </si>
  <si>
    <t>Type of test</t>
  </si>
  <si>
    <t>Prerequisites</t>
  </si>
  <si>
    <t>The field must have the characteristics of an ISIN, e.g., max. 12 characters and start with 2 letters signifying the ISO country code.</t>
  </si>
  <si>
    <t>c0040 = "ISIN"</t>
  </si>
  <si>
    <t>If the ID is an ISIN (c0030 = "ISIN"), then the ID reported in c0020 must have the characteristics of an ISIN, e.g. 12 characters and start with 2 letters signifying the ISO country code.</t>
  </si>
  <si>
    <t>0003</t>
  </si>
  <si>
    <t>Check if the reported field respect the 3-letters ISO 4217 code.</t>
  </si>
  <si>
    <t>c0020 ≠ (NCNP OR NCBP)</t>
  </si>
  <si>
    <t>Currencies must be reported using the 3-letters ISO 4217 code.</t>
  </si>
  <si>
    <t>0004</t>
  </si>
  <si>
    <t>Check if the reported field is higher than 0.</t>
  </si>
  <si>
    <t>The reported amount must in general be positive.</t>
  </si>
  <si>
    <t>0005</t>
  </si>
  <si>
    <t>Check if the reported field is higher than or equal 0.</t>
  </si>
  <si>
    <t>The reported amount must be positive or zero.</t>
  </si>
  <si>
    <t>0006</t>
  </si>
  <si>
    <t xml:space="preserve">Check if the reported field is higher than or equal 0. </t>
  </si>
  <si>
    <t xml:space="preserve">The reported amount should be positive or zero. However, negative accrued interests are in principle allowed, if duly justified by the reporting entity. </t>
  </si>
  <si>
    <t>0007</t>
  </si>
  <si>
    <t>The reported amount should be in general positive or zero.</t>
  </si>
  <si>
    <t>0008</t>
  </si>
  <si>
    <t>The reported amount should be positive.</t>
  </si>
  <si>
    <t>0009</t>
  </si>
  <si>
    <t>Check if the reported field is equal to c0080 + c0100 + c0110.</t>
  </si>
  <si>
    <t>The reported amount should be equal to: c0080 + c0100 + c0110.</t>
  </si>
  <si>
    <t>Check if the reported field is equal to of: max{0, c0120 - c0300 - c0320}.</t>
  </si>
  <si>
    <t>c0250 = ("Non-structured/Vanilla" OR "Other non-standard terms") &amp; c0240 != "ZCB issued at discount"</t>
  </si>
  <si>
    <t>The reported amount should be equal to: c0120 - c0300 - c0320, besides for Zero Coupon Bonds for which specific provisions may apply.</t>
  </si>
  <si>
    <t>0012</t>
  </si>
  <si>
    <t>Check if the reported field is either equal to max(0, c0270 - c0300 - c0320) OR equal to max(0, c0120 - c0300 - c0320)</t>
  </si>
  <si>
    <t>c0250 = ( "Structured" OR "Structured coupon only")</t>
  </si>
  <si>
    <t>For structured products, the reported amount should be equal to: (c0270 - c0300 - c0320) if the fair value is used to support the determination of the relevant amount for bail-in, OR (c0120 - c0300 - c0320) if not.</t>
  </si>
  <si>
    <t>0013</t>
  </si>
  <si>
    <t>Drop down values must be respected.</t>
  </si>
  <si>
    <t>The drop down values must be respected.</t>
  </si>
  <si>
    <t>0014</t>
  </si>
  <si>
    <t>Numeric integer values from 1 onwards must be reported.</t>
  </si>
  <si>
    <t>Numeric values from 1 onwards must be reported.</t>
  </si>
  <si>
    <t>0015</t>
  </si>
  <si>
    <t>The reported value must be a date (yyyy-mm-gg).</t>
  </si>
  <si>
    <t>(c0020 ≠ "NCNP" OR "NCBP")</t>
  </si>
  <si>
    <t>0016</t>
  </si>
  <si>
    <t>The reported value must be before the Date of the next (partial) redemption payment (c0190) and the earliest redemption date (c0200).</t>
  </si>
  <si>
    <t>(c0190 or c0200) are reported &amp; (c0020 ≠ "NCNP" OR "NCBP")</t>
  </si>
  <si>
    <t>0017</t>
  </si>
  <si>
    <t>0018</t>
  </si>
  <si>
    <t>The reported value must be after the reference date reported in B99.00 (c0070).</t>
  </si>
  <si>
    <t>{B99.00;c0070} is reported &amp; (c0020 ≠ "NCNP" OR "NCBP")</t>
  </si>
  <si>
    <t>0019</t>
  </si>
  <si>
    <t>0021</t>
  </si>
  <si>
    <t>0022</t>
  </si>
  <si>
    <t>0023</t>
  </si>
  <si>
    <t>Check if the reported field respects the ISO 3166-1 alpha-2 code or 3166-2</t>
  </si>
  <si>
    <t>Governing law must be reported using the ISO 3166-1 alpha-2 code.</t>
  </si>
  <si>
    <t>0024</t>
  </si>
  <si>
    <t>0025</t>
  </si>
  <si>
    <t>0026</t>
  </si>
  <si>
    <t>0027</t>
  </si>
  <si>
    <t>Check if the reported field is equal to: max(0,c0120 - c0320.)</t>
  </si>
  <si>
    <t>c0310 = "Secured" &amp; c0250 = ( "Non-structured/Vanilla"OR "Other non-standard terms") AND c0240 !="ZCB issued at discount"</t>
  </si>
  <si>
    <t>The reported field should be equal to: c0120 - c0320.</t>
  </si>
  <si>
    <t>0028</t>
  </si>
  <si>
    <t>Check if the reported field is either max(0, c0270 - c0320) or max (0, c0120 - c0320)</t>
  </si>
  <si>
    <t>c0310 = "Secured" &amp; c0250 = ("Structured" OR "Only structured coupon")</t>
  </si>
  <si>
    <t>The reported field should be equal to (c0270 - c0320) if the fair value is used, or equal to (c0120 - c0320) otherwise</t>
  </si>
  <si>
    <t>0029</t>
  </si>
  <si>
    <t>"Not applicable" must be reported.</t>
  </si>
  <si>
    <t>c0310 = "Unsecured"</t>
  </si>
  <si>
    <t>The field must be "Not applicable" if c0310 is unsecured.</t>
  </si>
  <si>
    <t>0032</t>
  </si>
  <si>
    <t>0033</t>
  </si>
  <si>
    <t>The reported amount should be positive or zero.</t>
  </si>
  <si>
    <t>0034</t>
  </si>
  <si>
    <t>0035</t>
  </si>
  <si>
    <t xml:space="preserve">Eligible amount for own funds at consolidated level </t>
  </si>
  <si>
    <t>0036</t>
  </si>
  <si>
    <t>0037</t>
  </si>
  <si>
    <t>0038</t>
  </si>
  <si>
    <t>x</t>
  </si>
  <si>
    <t>0059</t>
  </si>
  <si>
    <t>Check if the reported field respects the ISO 3166-1 alpha-2 code.</t>
  </si>
  <si>
    <t>c0080 ≠ "XX" OR "99"</t>
  </si>
  <si>
    <t>The field must be reported using the ISO 3166-1 alpha-2 code.</t>
  </si>
  <si>
    <t>0061</t>
  </si>
  <si>
    <t>Check if the reported field is  equal 0.</t>
  </si>
  <si>
    <t>c0030 ≠ "No"</t>
  </si>
  <si>
    <t>Positive values are allowed in case intragroup liabilities do not meet the conditions set forth in article 44(2)h BRRD and should be duly justified by the reporting entity</t>
  </si>
  <si>
    <t>KO</t>
  </si>
  <si>
    <t>v_2_0058</t>
  </si>
  <si>
    <t>v_2_0059</t>
  </si>
  <si>
    <t>v_2_0060</t>
  </si>
  <si>
    <t>v_2_0061</t>
  </si>
  <si>
    <t>Total</t>
  </si>
  <si>
    <t>Total Registros</t>
  </si>
  <si>
    <t>Registros</t>
  </si>
  <si>
    <t>Porcentaje</t>
  </si>
  <si>
    <t>Amount</t>
  </si>
  <si>
    <t>Total registros</t>
  </si>
  <si>
    <t>5493006QMFDDMYWIAM13</t>
  </si>
  <si>
    <t>2026-06-09</t>
  </si>
  <si>
    <t>CNH</t>
  </si>
  <si>
    <t>2024-02-22</t>
  </si>
  <si>
    <t>2026-06-03</t>
  </si>
  <si>
    <t>XX</t>
  </si>
  <si>
    <t>Yuan chino extraterritorial</t>
  </si>
  <si>
    <t>Type of test
(missing values means "not applicable" or "not available")</t>
  </si>
  <si>
    <t xml:space="preserve">   B0200</t>
  </si>
  <si>
    <t xml:space="preserve">   B9000</t>
  </si>
  <si>
    <t>Numeric: Integer</t>
  </si>
  <si>
    <t>String: Free text</t>
  </si>
  <si>
    <t>String: Free text, but fixed values for specific items</t>
  </si>
  <si>
    <t>String: 3-letters ISO 4217</t>
  </si>
  <si>
    <t>Numeric: 2 decimals</t>
  </si>
  <si>
    <t>String: Drop-down</t>
  </si>
  <si>
    <t>String: Fixed values</t>
  </si>
  <si>
    <t>Date: yyyy-mm-dd</t>
  </si>
  <si>
    <t>String: ISO 3166-1 alpha 2 / ISO 3166-2</t>
  </si>
  <si>
    <t>Numeric: 4 decimals</t>
  </si>
  <si>
    <t>String: TRUE / FALSE boolean</t>
  </si>
  <si>
    <t xml:space="preserve">String: ISO 3166-1 </t>
  </si>
  <si>
    <t>Bucket</t>
  </si>
  <si>
    <t>#</t>
  </si>
  <si>
    <t>Instruments</t>
  </si>
  <si>
    <t>15Nov24</t>
  </si>
  <si>
    <t>Status</t>
  </si>
  <si>
    <t>Justificacion</t>
  </si>
  <si>
    <t>Common Equity Tier 1</t>
  </si>
  <si>
    <t>Additional Tier 1 Instruments</t>
  </si>
  <si>
    <t>Subordinated debt (Tier 2)</t>
  </si>
  <si>
    <t>Senior Non-preferred debt</t>
  </si>
  <si>
    <t>31641600000000000PTBSREOM0028000</t>
  </si>
  <si>
    <t>PTBSREOM0028</t>
  </si>
  <si>
    <t>2016-09-28</t>
  </si>
  <si>
    <t>2026-10-06</t>
  </si>
  <si>
    <t>0001-01-01</t>
  </si>
  <si>
    <t>Nominal</t>
  </si>
  <si>
    <t>7599</t>
  </si>
  <si>
    <t>INTERBOLSA_PT</t>
  </si>
  <si>
    <t>529900LG70TCAGWCXT47</t>
  </si>
  <si>
    <t>BANCO SANTANDER TOTTA S,A,</t>
  </si>
  <si>
    <t>549300URJH9VSI58CS32</t>
  </si>
  <si>
    <t>31641600000000000PTSTOEOM0021000</t>
  </si>
  <si>
    <t>PTSTOEOM0021</t>
  </si>
  <si>
    <t>2022-06-01</t>
  </si>
  <si>
    <t>2027-06-03</t>
  </si>
  <si>
    <t>6000</t>
  </si>
  <si>
    <t>31641600000000000PTSTOFOM0004000</t>
  </si>
  <si>
    <t>PTSTOFOM0004</t>
  </si>
  <si>
    <t>2022-06-07</t>
  </si>
  <si>
    <t>2027-06-09</t>
  </si>
  <si>
    <t>2000</t>
  </si>
  <si>
    <t>31641600000000000PTSTOGOM0003000</t>
  </si>
  <si>
    <t>PTSTOGOM0003</t>
  </si>
  <si>
    <t>3000</t>
  </si>
  <si>
    <t>31641600000000000PTSTOHOM0002000</t>
  </si>
  <si>
    <t>PTSTOHOM0002</t>
  </si>
  <si>
    <t>2024-07-30</t>
  </si>
  <si>
    <t>2026-07-30</t>
  </si>
  <si>
    <t>2030-07-30</t>
  </si>
  <si>
    <t>31641600005800007PTBSRDOM0037000</t>
  </si>
  <si>
    <t>PTBSRDOM0037</t>
  </si>
  <si>
    <t>2025-05-29</t>
  </si>
  <si>
    <t>31641600005800007PTCPP0AM0007000</t>
  </si>
  <si>
    <t>PTCPP0AM0007</t>
  </si>
  <si>
    <t>1992-01-05</t>
  </si>
  <si>
    <t>Unit</t>
  </si>
  <si>
    <t>6326736</t>
  </si>
  <si>
    <t>31641600005800007PTSTOCOM0007000</t>
  </si>
  <si>
    <t>PTSTOCOM0007</t>
  </si>
  <si>
    <t>2021-01-14</t>
  </si>
  <si>
    <t>4000</t>
  </si>
  <si>
    <t>BANCO SANTANDER SA</t>
  </si>
  <si>
    <t>LEI</t>
  </si>
  <si>
    <t>0000003686</t>
  </si>
  <si>
    <t>99</t>
  </si>
  <si>
    <t>Banco Santander Totta, SA</t>
  </si>
  <si>
    <t>Banco Santander, S.A.</t>
  </si>
  <si>
    <t>2029-07-30</t>
  </si>
  <si>
    <t>30Oct24</t>
  </si>
  <si>
    <t>Outros Instrumentos de Capital</t>
  </si>
  <si>
    <t>31.6030</t>
  </si>
  <si>
    <t>TOTAL PCI</t>
  </si>
  <si>
    <t>V</t>
  </si>
  <si>
    <t>OB.SANTANDER TOTTA/2025-EUR500M FIX RATE PERP</t>
  </si>
  <si>
    <t>6205</t>
  </si>
  <si>
    <t>OB.SANTANDER TOTTA SGPS SA ADIC TIER 1 PERPET</t>
  </si>
  <si>
    <t>OB.SANTANDER TOTTA SGPS SA TIER 1 PERPETUAL</t>
  </si>
  <si>
    <t>6030 - Ot. Instrumentos de Capital</t>
  </si>
  <si>
    <t>Outras Obrigações</t>
  </si>
  <si>
    <t>31.3411199</t>
  </si>
  <si>
    <t>Actual/Ãctual</t>
  </si>
  <si>
    <t>F</t>
  </si>
  <si>
    <t>OB.SANTANDER TOTTA SGPS 4.063% 30/07/2030</t>
  </si>
  <si>
    <t>251019910</t>
  </si>
  <si>
    <t>OB.SANT TOTTA SGPS 3,078% 2028/06/03</t>
  </si>
  <si>
    <t>341119 - OUTRAS OBRIGAÇÕES</t>
  </si>
  <si>
    <t/>
  </si>
  <si>
    <t>Actual/365</t>
  </si>
  <si>
    <t>Empréstimos Subordinados</t>
  </si>
  <si>
    <t>31.60190</t>
  </si>
  <si>
    <t>OB.OB.SANTANDER TOTTA SGPS 4.714%  2032/06/09</t>
  </si>
  <si>
    <t>OB.BANCO SANTANDER TOTTA SA 7.5% 06/10/2026</t>
  </si>
  <si>
    <t>251019900</t>
  </si>
  <si>
    <t>60190 - EMPRÉSTIMOS SUBORDINADOS</t>
  </si>
  <si>
    <t>Compra Carteira Propria</t>
  </si>
  <si>
    <t>Base Cálculo</t>
  </si>
  <si>
    <t>Mês</t>
  </si>
  <si>
    <t>Acumulado Mês Anterior</t>
  </si>
  <si>
    <t>Juros Mensualizados</t>
  </si>
  <si>
    <t>Conta IFRS</t>
  </si>
  <si>
    <t>Taxa Cupão</t>
  </si>
  <si>
    <t>Data Fim Cupão</t>
  </si>
  <si>
    <t>Data Inicio Cupão</t>
  </si>
  <si>
    <t>Dias total cupão</t>
  </si>
  <si>
    <t>Minimo Garantido Operação Periodo</t>
  </si>
  <si>
    <t>Spread</t>
  </si>
  <si>
    <t>Taxa F/V</t>
  </si>
  <si>
    <t>Data Reembolso</t>
  </si>
  <si>
    <t>Data Inicio Emissão</t>
  </si>
  <si>
    <t>Quantidade</t>
  </si>
  <si>
    <t>Valor Nominal</t>
  </si>
  <si>
    <t>Montante Emissão (EUR)</t>
  </si>
  <si>
    <t>Moeda</t>
  </si>
  <si>
    <t xml:space="preserve">Titulos </t>
  </si>
  <si>
    <t>Cód.Titulo</t>
  </si>
  <si>
    <t>Estrutura</t>
  </si>
  <si>
    <t>EMP</t>
  </si>
  <si>
    <t>EMISSÕES PRÓPRIAS - BST</t>
  </si>
  <si>
    <t xml:space="preserve">   Total Passivo + Capital Próprio</t>
  </si>
  <si>
    <t xml:space="preserve">   Total do Ativo</t>
  </si>
  <si>
    <t xml:space="preserve">   Total Capital Próprio</t>
  </si>
  <si>
    <t>Dividendos antecipados</t>
  </si>
  <si>
    <t>Resultado Individual do periodo</t>
  </si>
  <si>
    <t>Ativos não correntes detidos para venda</t>
  </si>
  <si>
    <t>(Ações próprias)</t>
  </si>
  <si>
    <t>Outros ativos</t>
  </si>
  <si>
    <t>Outras reservas e resultados transitados</t>
  </si>
  <si>
    <t>Ativos por impostos</t>
  </si>
  <si>
    <t>Reservas por rendimento integral acumulado</t>
  </si>
  <si>
    <t>Ativos intangíveis</t>
  </si>
  <si>
    <t>Outros instrumentos de capital</t>
  </si>
  <si>
    <t>Outros ativos tangíveis</t>
  </si>
  <si>
    <t>Prémios de emissão</t>
  </si>
  <si>
    <t>Propriedades de investimento</t>
  </si>
  <si>
    <t>Capital</t>
  </si>
  <si>
    <t>Investimentos em associadas</t>
  </si>
  <si>
    <t>Capital Próprio</t>
  </si>
  <si>
    <t>Correções de valor em ativos inseridos em operações de cobertura</t>
  </si>
  <si>
    <t>Derivados de cobertura</t>
  </si>
  <si>
    <t xml:space="preserve">   Total do Passivo</t>
  </si>
  <si>
    <t>Investimentos detidos até à maturidade</t>
  </si>
  <si>
    <t>Outros passivos</t>
  </si>
  <si>
    <t xml:space="preserve">    Outros saldos a receber</t>
  </si>
  <si>
    <t>Instrumentos representativos de capital reembolsáveis</t>
  </si>
  <si>
    <t xml:space="preserve">    Crédito concedido</t>
  </si>
  <si>
    <t>Passivos por impostos</t>
  </si>
  <si>
    <t xml:space="preserve">    Títulos de dívida</t>
  </si>
  <si>
    <t>Provisões</t>
  </si>
  <si>
    <t xml:space="preserve">    Aplicações em instituições de crédito</t>
  </si>
  <si>
    <t>Correções de valor em passivos inseridos em operações de cobertura</t>
  </si>
  <si>
    <t>Ativos financeiros ao custo amortizado</t>
  </si>
  <si>
    <t>Outros passivos financeiros</t>
  </si>
  <si>
    <t>Passivos financeiros associados a ativos transferidos</t>
  </si>
  <si>
    <t>Responsabilidades representadas por títulos</t>
  </si>
  <si>
    <t xml:space="preserve">    Instrumentos de capital</t>
  </si>
  <si>
    <t>Recursos de clientes e outros empréstimos</t>
  </si>
  <si>
    <t>Recursos de outras instituições de crédito</t>
  </si>
  <si>
    <t>Outros ativos financeiros ao justo valor através de outro rendimento integral</t>
  </si>
  <si>
    <t>Recursos de bancos centrais</t>
  </si>
  <si>
    <t>Ativos financeiros contabilizados pelo justo valor através dos resultados</t>
  </si>
  <si>
    <t>Passivos financeiros ao custo amortizado</t>
  </si>
  <si>
    <t>Outros ativos financeiros obrigatoriamente ao justo valor através de resultados</t>
  </si>
  <si>
    <t>Passivos financeiros obrigatóriamente ao justo valor através de resultados</t>
  </si>
  <si>
    <t>Ativos financeiros detidos para negociação</t>
  </si>
  <si>
    <t>Passivos financeiros detidos para negociação</t>
  </si>
  <si>
    <t>Disponibilidades em outras instituições de crédito</t>
  </si>
  <si>
    <t>Caixa e disponibilidades em bancos centrais</t>
  </si>
  <si>
    <t>31-10-2025</t>
  </si>
  <si>
    <t>PASSIVO E CAPITAL PRÓPRIO</t>
  </si>
  <si>
    <t>líquido</t>
  </si>
  <si>
    <t>e amortizações</t>
  </si>
  <si>
    <t>amortizações</t>
  </si>
  <si>
    <t>ATIVO</t>
  </si>
  <si>
    <t>Valor</t>
  </si>
  <si>
    <t>Imparidade</t>
  </si>
  <si>
    <t>imparidade e</t>
  </si>
  <si>
    <t>Valor antes de</t>
  </si>
  <si>
    <t>(Montantes expressos em Euros)</t>
  </si>
  <si>
    <t>BALANÇO INDIVIDUAL EM 31 DE OUTUBRO DE 2025</t>
  </si>
  <si>
    <t>BANCO SANTANDER TOTTA, S.A.</t>
  </si>
  <si>
    <t>Acao Ordinaria Banco Santander Totta, S.A.</t>
  </si>
  <si>
    <t>Prémios Emisão</t>
  </si>
  <si>
    <t>Ranking Insolvencia</t>
  </si>
  <si>
    <t>Δ %</t>
  </si>
  <si>
    <t>Δ Abs</t>
  </si>
  <si>
    <t>Accounting</t>
  </si>
  <si>
    <t>Ações Proprias</t>
  </si>
  <si>
    <t>Outstanding amount 
14 Nov 25</t>
  </si>
  <si>
    <t>Outstanding amount 
Oct 25</t>
  </si>
  <si>
    <t>Accrued interest</t>
  </si>
  <si>
    <t>Total # Controls</t>
  </si>
  <si>
    <t>Controls KO &gt; 1%</t>
  </si>
  <si>
    <t>Comments</t>
  </si>
  <si>
    <t>Controls not designed for Non resolution entities?</t>
  </si>
  <si>
    <t>2099-01-31</t>
  </si>
  <si>
    <t>Summary of controls</t>
  </si>
  <si>
    <t>Validations</t>
  </si>
  <si>
    <r>
      <rPr>
        <b/>
        <sz val="10"/>
        <color theme="0"/>
        <rFont val="Santander Text"/>
        <family val="2"/>
      </rPr>
      <t>Dias Corridos</t>
    </r>
    <r>
      <rPr>
        <b/>
        <sz val="10"/>
        <color theme="6" tint="-0.249977111117893"/>
        <rFont val="Santander Text"/>
        <family val="2"/>
      </rPr>
      <t xml:space="preserve"> </t>
    </r>
  </si>
  <si>
    <t>CAPITAL</t>
  </si>
  <si>
    <t>Total Capital</t>
  </si>
  <si>
    <t>c0010</t>
  </si>
  <si>
    <t>c0020</t>
  </si>
  <si>
    <t>c0030</t>
  </si>
  <si>
    <t>c0040</t>
  </si>
  <si>
    <t>c0041</t>
  </si>
  <si>
    <t>c0050</t>
  </si>
  <si>
    <t>c0051</t>
  </si>
  <si>
    <t>c0060</t>
  </si>
  <si>
    <t>c0070</t>
  </si>
  <si>
    <t>c0080</t>
  </si>
  <si>
    <t>c0090</t>
  </si>
  <si>
    <t>c0100</t>
  </si>
  <si>
    <t>c0110</t>
  </si>
  <si>
    <t>c0120</t>
  </si>
  <si>
    <t>c0130</t>
  </si>
  <si>
    <t>c0140</t>
  </si>
  <si>
    <t>c0141</t>
  </si>
  <si>
    <t>c0150</t>
  </si>
  <si>
    <t>c0160</t>
  </si>
  <si>
    <t>c0161</t>
  </si>
  <si>
    <t>c0162</t>
  </si>
  <si>
    <t>c0170</t>
  </si>
  <si>
    <t>c0180</t>
  </si>
  <si>
    <t>c0190</t>
  </si>
  <si>
    <t>c0200</t>
  </si>
  <si>
    <t>c0210</t>
  </si>
  <si>
    <t>c0220</t>
  </si>
  <si>
    <t>c0230</t>
  </si>
  <si>
    <t>c0240</t>
  </si>
  <si>
    <t>c0250</t>
  </si>
  <si>
    <t>c0260</t>
  </si>
  <si>
    <t>c0270</t>
  </si>
  <si>
    <t>c0280</t>
  </si>
  <si>
    <t>c0290</t>
  </si>
  <si>
    <t>c0300</t>
  </si>
  <si>
    <t>c0310</t>
  </si>
  <si>
    <t>c0320</t>
  </si>
  <si>
    <t>c0330</t>
  </si>
  <si>
    <t>c0340</t>
  </si>
  <si>
    <t>c0350</t>
  </si>
  <si>
    <t>c0351</t>
  </si>
  <si>
    <t>c0360</t>
  </si>
  <si>
    <t>c0370</t>
  </si>
  <si>
    <t>c0380</t>
  </si>
  <si>
    <t>c0390</t>
  </si>
  <si>
    <t>c0391</t>
  </si>
  <si>
    <t>c0400</t>
  </si>
  <si>
    <t>c0410</t>
  </si>
  <si>
    <t>c0420</t>
  </si>
  <si>
    <t>c0430</t>
  </si>
  <si>
    <t>c0431</t>
  </si>
  <si>
    <t>c0440</t>
  </si>
  <si>
    <t>c0450</t>
  </si>
  <si>
    <t>c0460</t>
  </si>
  <si>
    <t>c0461</t>
  </si>
  <si>
    <t>c0462</t>
  </si>
  <si>
    <t>c0470</t>
  </si>
  <si>
    <t>c0471</t>
  </si>
  <si>
    <t>c0480</t>
  </si>
  <si>
    <t>c0481</t>
  </si>
  <si>
    <t>c0490</t>
  </si>
  <si>
    <t>c0491</t>
  </si>
  <si>
    <t>c0500</t>
  </si>
  <si>
    <t>c0501</t>
  </si>
  <si>
    <t>c0510</t>
  </si>
  <si>
    <t>c0511</t>
  </si>
  <si>
    <t>c0520</t>
  </si>
  <si>
    <t>c0521</t>
  </si>
  <si>
    <t>c0530</t>
  </si>
  <si>
    <t>c0540</t>
  </si>
  <si>
    <t>c0550</t>
  </si>
  <si>
    <t>c0560</t>
  </si>
  <si>
    <t>c0570</t>
  </si>
  <si>
    <t>c0580</t>
  </si>
  <si>
    <t>c0581</t>
  </si>
  <si>
    <t>c0590</t>
  </si>
  <si>
    <t>c0600</t>
  </si>
  <si>
    <t>c0610</t>
  </si>
  <si>
    <t>c0620</t>
  </si>
  <si>
    <t>c0630</t>
  </si>
  <si>
    <t>c0640</t>
  </si>
  <si>
    <t>c5000</t>
  </si>
  <si>
    <t>c5010</t>
  </si>
  <si>
    <t>c0011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</si>
</sst>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-* #,##0.00_-;\-* #,##0.00_-;_-* &quot;-&quot;??_-;_-@_-"/>
    <numFmt numFmtId="164" formatCode="0.0000"/>
    <numFmt numFmtId="165" formatCode="0.000000000"/>
    <numFmt numFmtId="166" formatCode="yyyy\-mm\-dd\ hh:mm:ss"/>
    <numFmt numFmtId="167" formatCode="[$-409]mmmm\ d\,\ yyyy;@"/>
    <numFmt numFmtId="168" formatCode="yyyy\-mm\-dd;@"/>
    <numFmt numFmtId="169" formatCode="_-* #,##0_-;\-* #,##0_-;_-* &quot;-&quot;??_-;_-@_-"/>
    <numFmt numFmtId="170" formatCode="[$-816]d\-mmm\-yy;@"/>
    <numFmt numFmtId="171" formatCode="0.0000%"/>
    <numFmt numFmtId="172" formatCode="_(* #,##0.00_);_(* \(#,##0.00\);_(* &quot;-&quot;??_);_(@_)"/>
    <numFmt numFmtId="173" formatCode="[$-816]d/mmm/yy;@"/>
    <numFmt numFmtId="174" formatCode="_-* #,##0.00\ _€_-;\-* #,##0.00\ _€_-;_-* &quot;-&quot;??\ _€_-;_-@_-"/>
    <numFmt numFmtId="175" formatCode="#,##0;\(#,##0\);\-"/>
    <numFmt numFmtId="176" formatCode="#.##0;\ \(#.##0\)"/>
    <numFmt numFmtId="177" formatCode="#,###;\ \(#,###\);\-"/>
  </numFmts>
  <fonts count="75">
    <font>
      <sz val="11"/>
      <color theme="1"/>
      <name val="Calibri"/>
      <family val="2"/>
      <scheme val="minor"/>
    </font>
    <font>
      <sz val="10"/>
      <color theme="1"/>
      <name val="Santander Text"/>
      <family val="2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</font>
    <font>
      <sz val="8"/>
      <color rgb="FFFFFFFF"/>
      <name val="Calibri"/>
      <family val="2"/>
    </font>
    <font>
      <sz val="8"/>
      <color rgb="FFFF0000"/>
      <name val="Calibri"/>
      <family val="2"/>
    </font>
    <font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</font>
    <font>
      <sz val="9"/>
      <color rgb="FF000000"/>
      <name val="Cambria"/>
      <family val="1"/>
    </font>
    <font>
      <sz val="8"/>
      <color theme="1"/>
      <name val="Calibri"/>
      <family val="2"/>
    </font>
    <font>
      <b/>
      <sz val="8"/>
      <color rgb="FFFFFFFF"/>
      <name val="Calibri"/>
      <family val="2"/>
    </font>
    <font>
      <b/>
      <sz val="10"/>
      <name val="Calibri"/>
      <family val="2"/>
    </font>
    <font>
      <b/>
      <sz val="10"/>
      <color rgb="FF000000"/>
      <name val="Calibri"/>
      <family val="2"/>
    </font>
    <font>
      <sz val="8"/>
      <color theme="1"/>
      <name val="Verdana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1"/>
      <name val="Calibri"/>
      <family val="2"/>
      <scheme val="minor"/>
    </font>
    <font>
      <b/>
      <sz val="8"/>
      <name val="Calibri"/>
      <family val="2"/>
    </font>
    <font>
      <sz val="8"/>
      <name val="Verdana"/>
      <family val="2"/>
    </font>
    <font>
      <sz val="8"/>
      <color theme="0" tint="-0.14999847407452621"/>
      <name val="Verdana"/>
      <family val="2"/>
    </font>
    <font>
      <sz val="11"/>
      <name val="Calibri"/>
      <family val="2"/>
    </font>
    <font>
      <sz val="8"/>
      <color rgb="FF000000"/>
      <name val="Calibri"/>
      <family val="2"/>
    </font>
    <font>
      <sz val="9"/>
      <color theme="1"/>
      <name val="Calibri"/>
      <family val="2"/>
      <scheme val="minor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9"/>
      <color rgb="FF9C0006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theme="1"/>
      <name val="Santander Text"/>
      <family val="2"/>
    </font>
    <font>
      <b/>
      <sz val="10"/>
      <color theme="0"/>
      <name val="Santander Text"/>
      <family val="2"/>
    </font>
    <font>
      <b/>
      <sz val="10"/>
      <color theme="1"/>
      <name val="Santander Text"/>
      <family val="2"/>
    </font>
    <font>
      <sz val="10"/>
      <color theme="0"/>
      <name val="Santander Text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sz val="9"/>
      <color indexed="81"/>
      <name val="Tahoma"/>
      <family val="2"/>
    </font>
    <font>
      <sz val="8"/>
      <name val="Bookman"/>
    </font>
    <font>
      <b/>
      <sz val="11"/>
      <name val="Arial"/>
      <family val="2"/>
    </font>
    <font>
      <b/>
      <u/>
      <sz val="8"/>
      <name val="Arial"/>
      <family val="2"/>
    </font>
    <font>
      <b/>
      <u/>
      <sz val="11"/>
      <name val="Arial"/>
      <family val="2"/>
    </font>
    <font>
      <b/>
      <sz val="11"/>
      <color theme="0"/>
      <name val="Santander Text"/>
      <family val="2"/>
    </font>
    <font>
      <sz val="10"/>
      <color theme="1"/>
      <name val="Santander Totta"/>
    </font>
    <font>
      <b/>
      <sz val="10"/>
      <color theme="0"/>
      <name val="Santander Totta"/>
    </font>
    <font>
      <b/>
      <sz val="10"/>
      <color theme="0" tint="-4.9989318521683403E-2"/>
      <name val="Santander Totta"/>
    </font>
    <font>
      <b/>
      <sz val="10"/>
      <color rgb="FF00B050"/>
      <name val="Santander Totta"/>
    </font>
    <font>
      <b/>
      <sz val="12"/>
      <color rgb="FFFF0000"/>
      <name val="Santander Totta"/>
    </font>
    <font>
      <b/>
      <sz val="12"/>
      <color rgb="FFFF0000"/>
      <name val="Santander Text"/>
      <family val="2"/>
    </font>
    <font>
      <b/>
      <sz val="10"/>
      <color indexed="9"/>
      <name val="Santander Text"/>
      <family val="2"/>
    </font>
    <font>
      <b/>
      <sz val="10"/>
      <name val="Santander Text"/>
      <family val="2"/>
    </font>
    <font>
      <sz val="10"/>
      <name val="Santander Text"/>
      <family val="2"/>
    </font>
    <font>
      <sz val="10"/>
      <color indexed="12"/>
      <name val="Santander Text"/>
      <family val="2"/>
    </font>
    <font>
      <b/>
      <i/>
      <sz val="10"/>
      <name val="Santander Text"/>
      <family val="2"/>
    </font>
    <font>
      <b/>
      <i/>
      <sz val="10"/>
      <color indexed="10"/>
      <name val="Santander Text"/>
      <family val="2"/>
    </font>
    <font>
      <b/>
      <sz val="10"/>
      <color theme="6" tint="-0.249977111117893"/>
      <name val="Santander Text"/>
      <family val="2"/>
    </font>
    <font>
      <b/>
      <sz val="10"/>
      <color theme="6" tint="0.79998168889431442"/>
      <name val="Santander Text"/>
      <family val="2"/>
    </font>
    <font>
      <b/>
      <sz val="10"/>
      <color indexed="12"/>
      <name val="Santander Text"/>
      <family val="2"/>
    </font>
    <font>
      <i/>
      <sz val="10"/>
      <color indexed="9"/>
      <name val="Santander Text"/>
      <family val="2"/>
    </font>
    <font>
      <sz val="10"/>
      <color indexed="9"/>
      <name val="Santander Text"/>
      <family val="2"/>
    </font>
    <font>
      <b/>
      <i/>
      <sz val="10"/>
      <color indexed="9"/>
      <name val="Santander Text"/>
      <family val="2"/>
    </font>
    <font>
      <i/>
      <sz val="10"/>
      <name val="Santander Text"/>
      <family val="2"/>
    </font>
    <font>
      <sz val="10"/>
      <color indexed="10"/>
      <name val="Santander Text"/>
      <family val="2"/>
    </font>
    <font>
      <b/>
      <sz val="10"/>
      <color indexed="8"/>
      <name val="Santander Text"/>
      <family val="2"/>
    </font>
    <font>
      <b/>
      <sz val="10"/>
      <color indexed="17"/>
      <name val="Santander Text"/>
      <family val="2"/>
    </font>
  </fonts>
  <fills count="22">
    <fill>
      <patternFill patternType="none"/>
    </fill>
    <fill>
      <patternFill patternType="gray125"/>
    </fill>
    <fill>
      <patternFill patternType="solid">
        <fgColor rgb="FFEBE7E7"/>
      </patternFill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0" tint="-0.249977111117893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0"/>
      </bottom>
      <diagonal/>
    </border>
    <border>
      <left/>
      <right style="thin">
        <color auto="1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36"/>
      </bottom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10"/>
      </bottom>
      <diagonal/>
    </border>
    <border>
      <left/>
      <right/>
      <top/>
      <bottom style="thin">
        <color indexed="64"/>
      </bottom>
      <diagonal/>
    </border>
  </borders>
  <cellStyleXfs count="13">
    <xf numFmtId="0" fontId="0" fillId="0" borderId="0"/>
    <xf numFmtId="0" fontId="9" fillId="0" borderId="0"/>
    <xf numFmtId="0" fontId="10" fillId="0" borderId="0"/>
    <xf numFmtId="9" fontId="9" fillId="0" borderId="0" applyFont="0" applyFill="0" applyBorder="0" applyAlignment="0" applyProtection="0"/>
    <xf numFmtId="43" fontId="34" fillId="0" borderId="0" applyFont="0" applyFill="0" applyBorder="0" applyAlignment="0" applyProtection="0"/>
    <xf numFmtId="0" fontId="34" fillId="0" borderId="0"/>
    <xf numFmtId="43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8" fillId="0" borderId="0"/>
    <xf numFmtId="43" fontId="38" fillId="0" borderId="0" applyFont="0" applyFill="0" applyBorder="0" applyAlignment="0" applyProtection="0"/>
    <xf numFmtId="0" fontId="43" fillId="0" borderId="0"/>
    <xf numFmtId="172" fontId="43" fillId="0" borderId="0" applyFont="0" applyFill="0" applyBorder="0" applyAlignment="0" applyProtection="0"/>
    <xf numFmtId="0" fontId="48" fillId="0" borderId="0"/>
  </cellStyleXfs>
  <cellXfs count="404">
    <xf numFmtId="0" fontId="0" fillId="0" borderId="0" xfId="0"/>
    <xf numFmtId="0" fontId="0" fillId="3" borderId="0" xfId="0" applyFill="1"/>
    <xf numFmtId="0" fontId="6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vertical="center"/>
    </xf>
    <xf numFmtId="0" fontId="12" fillId="0" borderId="0" xfId="0" applyFont="1" applyAlignment="1">
      <alignment horizontal="center" vertical="center" wrapText="1"/>
    </xf>
    <xf numFmtId="0" fontId="0" fillId="0" borderId="0" xfId="0" quotePrefix="1"/>
    <xf numFmtId="0" fontId="2" fillId="0" borderId="0" xfId="0" applyFont="1"/>
    <xf numFmtId="16" fontId="7" fillId="3" borderId="0" xfId="0" quotePrefix="1" applyNumberFormat="1" applyFont="1" applyFill="1" applyAlignment="1">
      <alignment horizontal="center" vertical="center"/>
    </xf>
    <xf numFmtId="16" fontId="6" fillId="3" borderId="0" xfId="0" quotePrefix="1" applyNumberFormat="1" applyFont="1" applyFill="1" applyAlignment="1">
      <alignment horizontal="center" vertical="center"/>
    </xf>
    <xf numFmtId="17" fontId="6" fillId="3" borderId="0" xfId="0" quotePrefix="1" applyNumberFormat="1" applyFont="1" applyFill="1" applyAlignment="1">
      <alignment horizontal="center" vertical="center"/>
    </xf>
    <xf numFmtId="16" fontId="6" fillId="3" borderId="0" xfId="0" applyNumberFormat="1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" fontId="7" fillId="0" borderId="0" xfId="0" quotePrefix="1" applyNumberFormat="1" applyFont="1" applyAlignment="1">
      <alignment horizontal="center" vertical="center"/>
    </xf>
    <xf numFmtId="16" fontId="6" fillId="0" borderId="0" xfId="0" quotePrefix="1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7" fontId="6" fillId="0" borderId="0" xfId="0" quotePrefix="1" applyNumberFormat="1" applyFont="1" applyAlignment="1">
      <alignment horizontal="center" vertical="center"/>
    </xf>
    <xf numFmtId="16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16" fillId="4" borderId="9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6" fillId="4" borderId="9" xfId="0" quotePrefix="1" applyFont="1" applyFill="1" applyBorder="1" applyAlignment="1">
      <alignment horizontal="center" vertical="center" wrapText="1"/>
    </xf>
    <xf numFmtId="0" fontId="16" fillId="4" borderId="0" xfId="0" quotePrefix="1" applyFont="1" applyFill="1" applyAlignment="1">
      <alignment horizontal="center" vertical="center" wrapText="1"/>
    </xf>
    <xf numFmtId="0" fontId="19" fillId="0" borderId="1" xfId="0" applyFont="1" applyBorder="1" applyAlignment="1">
      <alignment horizontal="left" vertical="center"/>
    </xf>
    <xf numFmtId="0" fontId="22" fillId="0" borderId="0" xfId="0" applyFont="1" applyAlignment="1">
      <alignment horizontal="left"/>
    </xf>
    <xf numFmtId="0" fontId="21" fillId="0" borderId="0" xfId="0" applyFont="1"/>
    <xf numFmtId="167" fontId="23" fillId="0" borderId="0" xfId="0" applyNumberFormat="1" applyFont="1" applyAlignment="1">
      <alignment horizontal="left"/>
    </xf>
    <xf numFmtId="168" fontId="0" fillId="0" borderId="0" xfId="0" applyNumberFormat="1" applyAlignment="1">
      <alignment vertical="top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  <xf numFmtId="0" fontId="24" fillId="5" borderId="4" xfId="0" applyFont="1" applyFill="1" applyBorder="1" applyAlignment="1">
      <alignment horizontal="left" vertical="top" wrapText="1"/>
    </xf>
    <xf numFmtId="0" fontId="24" fillId="5" borderId="4" xfId="0" applyFont="1" applyFill="1" applyBorder="1" applyAlignment="1">
      <alignment horizontal="center" vertical="top" wrapText="1"/>
    </xf>
    <xf numFmtId="49" fontId="24" fillId="5" borderId="4" xfId="0" applyNumberFormat="1" applyFont="1" applyFill="1" applyBorder="1" applyAlignment="1">
      <alignment horizontal="center" vertical="top" wrapText="1"/>
    </xf>
    <xf numFmtId="0" fontId="24" fillId="5" borderId="1" xfId="0" applyFont="1" applyFill="1" applyBorder="1" applyAlignment="1">
      <alignment horizontal="center" vertical="top" wrapText="1"/>
    </xf>
    <xf numFmtId="0" fontId="24" fillId="5" borderId="5" xfId="0" applyFont="1" applyFill="1" applyBorder="1" applyAlignment="1">
      <alignment horizontal="center" vertical="top" wrapText="1"/>
    </xf>
    <xf numFmtId="49" fontId="22" fillId="3" borderId="3" xfId="0" applyNumberFormat="1" applyFont="1" applyFill="1" applyBorder="1" applyAlignment="1">
      <alignment vertical="top" wrapText="1"/>
    </xf>
    <xf numFmtId="49" fontId="22" fillId="3" borderId="4" xfId="0" applyNumberFormat="1" applyFont="1" applyFill="1" applyBorder="1" applyAlignment="1">
      <alignment vertical="top" wrapText="1"/>
    </xf>
    <xf numFmtId="49" fontId="22" fillId="3" borderId="4" xfId="0" applyNumberFormat="1" applyFont="1" applyFill="1" applyBorder="1" applyAlignment="1">
      <alignment horizontal="center" vertical="top" wrapText="1"/>
    </xf>
    <xf numFmtId="49" fontId="22" fillId="3" borderId="1" xfId="0" applyNumberFormat="1" applyFont="1" applyFill="1" applyBorder="1" applyAlignment="1">
      <alignment vertical="top" wrapText="1"/>
    </xf>
    <xf numFmtId="0" fontId="25" fillId="3" borderId="4" xfId="0" applyFont="1" applyFill="1" applyBorder="1" applyAlignment="1">
      <alignment vertical="top" wrapText="1"/>
    </xf>
    <xf numFmtId="0" fontId="25" fillId="3" borderId="4" xfId="0" applyFont="1" applyFill="1" applyBorder="1" applyAlignment="1">
      <alignment horizontal="center" vertical="top" wrapText="1"/>
    </xf>
    <xf numFmtId="49" fontId="25" fillId="3" borderId="4" xfId="0" applyNumberFormat="1" applyFont="1" applyFill="1" applyBorder="1" applyAlignment="1">
      <alignment horizontal="center" vertical="top" wrapText="1"/>
    </xf>
    <xf numFmtId="0" fontId="0" fillId="0" borderId="4" xfId="0" applyBorder="1"/>
    <xf numFmtId="49" fontId="23" fillId="3" borderId="3" xfId="0" applyNumberFormat="1" applyFont="1" applyFill="1" applyBorder="1" applyAlignment="1">
      <alignment vertical="top" wrapText="1"/>
    </xf>
    <xf numFmtId="49" fontId="22" fillId="3" borderId="1" xfId="0" applyNumberFormat="1" applyFont="1" applyFill="1" applyBorder="1" applyAlignment="1">
      <alignment horizontal="center" vertical="top" wrapText="1"/>
    </xf>
    <xf numFmtId="49" fontId="23" fillId="3" borderId="3" xfId="0" applyNumberFormat="1" applyFont="1" applyFill="1" applyBorder="1" applyAlignment="1">
      <alignment vertical="top"/>
    </xf>
    <xf numFmtId="49" fontId="22" fillId="0" borderId="3" xfId="0" applyNumberFormat="1" applyFont="1" applyBorder="1" applyAlignment="1">
      <alignment vertical="top"/>
    </xf>
    <xf numFmtId="49" fontId="22" fillId="0" borderId="4" xfId="0" applyNumberFormat="1" applyFont="1" applyBorder="1" applyAlignment="1">
      <alignment vertical="top" wrapText="1"/>
    </xf>
    <xf numFmtId="49" fontId="22" fillId="0" borderId="4" xfId="0" applyNumberFormat="1" applyFont="1" applyBorder="1" applyAlignment="1">
      <alignment horizontal="center" vertical="top" wrapText="1"/>
    </xf>
    <xf numFmtId="49" fontId="22" fillId="3" borderId="11" xfId="0" applyNumberFormat="1" applyFont="1" applyFill="1" applyBorder="1" applyAlignment="1">
      <alignment horizontal="center" vertical="top" wrapText="1"/>
    </xf>
    <xf numFmtId="49" fontId="22" fillId="3" borderId="11" xfId="0" applyNumberFormat="1" applyFont="1" applyFill="1" applyBorder="1" applyAlignment="1">
      <alignment vertical="top" wrapText="1"/>
    </xf>
    <xf numFmtId="49" fontId="22" fillId="3" borderId="12" xfId="0" applyNumberFormat="1" applyFont="1" applyFill="1" applyBorder="1" applyAlignment="1">
      <alignment vertical="top" wrapText="1"/>
    </xf>
    <xf numFmtId="49" fontId="22" fillId="3" borderId="10" xfId="0" applyNumberFormat="1" applyFont="1" applyFill="1" applyBorder="1" applyAlignment="1">
      <alignment vertical="top" wrapText="1"/>
    </xf>
    <xf numFmtId="49" fontId="22" fillId="3" borderId="10" xfId="0" applyNumberFormat="1" applyFont="1" applyFill="1" applyBorder="1" applyAlignment="1">
      <alignment horizontal="center" vertical="top" wrapText="1"/>
    </xf>
    <xf numFmtId="49" fontId="22" fillId="3" borderId="13" xfId="0" applyNumberFormat="1" applyFont="1" applyFill="1" applyBorder="1" applyAlignment="1">
      <alignment vertical="top" wrapText="1"/>
    </xf>
    <xf numFmtId="49" fontId="22" fillId="3" borderId="14" xfId="0" applyNumberFormat="1" applyFont="1" applyFill="1" applyBorder="1" applyAlignment="1">
      <alignment vertical="top" wrapText="1"/>
    </xf>
    <xf numFmtId="49" fontId="22" fillId="3" borderId="14" xfId="0" applyNumberFormat="1" applyFont="1" applyFill="1" applyBorder="1" applyAlignment="1">
      <alignment horizontal="center" vertical="top" wrapText="1"/>
    </xf>
    <xf numFmtId="49" fontId="22" fillId="3" borderId="15" xfId="0" applyNumberFormat="1" applyFont="1" applyFill="1" applyBorder="1" applyAlignment="1">
      <alignment vertical="top" wrapText="1"/>
    </xf>
    <xf numFmtId="49" fontId="22" fillId="3" borderId="16" xfId="0" applyNumberFormat="1" applyFont="1" applyFill="1" applyBorder="1" applyAlignment="1">
      <alignment vertical="top" wrapText="1"/>
    </xf>
    <xf numFmtId="49" fontId="22" fillId="3" borderId="16" xfId="0" applyNumberFormat="1" applyFont="1" applyFill="1" applyBorder="1" applyAlignment="1">
      <alignment horizontal="center" vertical="top" wrapText="1"/>
    </xf>
    <xf numFmtId="49" fontId="22" fillId="3" borderId="17" xfId="0" applyNumberFormat="1" applyFont="1" applyFill="1" applyBorder="1" applyAlignment="1">
      <alignment horizontal="center" vertical="top" wrapText="1"/>
    </xf>
    <xf numFmtId="49" fontId="22" fillId="3" borderId="17" xfId="0" applyNumberFormat="1" applyFont="1" applyFill="1" applyBorder="1" applyAlignment="1">
      <alignment vertical="top" wrapText="1"/>
    </xf>
    <xf numFmtId="0" fontId="0" fillId="0" borderId="0" xfId="0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49" fontId="26" fillId="0" borderId="1" xfId="0" applyNumberFormat="1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vertical="center"/>
    </xf>
    <xf numFmtId="0" fontId="12" fillId="0" borderId="2" xfId="0" applyFont="1" applyBorder="1" applyAlignment="1">
      <alignment vertical="center" wrapText="1"/>
    </xf>
    <xf numFmtId="0" fontId="19" fillId="10" borderId="1" xfId="0" applyFont="1" applyFill="1" applyBorder="1" applyAlignment="1">
      <alignment vertical="center" wrapText="1"/>
    </xf>
    <xf numFmtId="0" fontId="19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left" vertical="center" wrapText="1"/>
    </xf>
    <xf numFmtId="0" fontId="12" fillId="0" borderId="0" xfId="0" applyFont="1" applyAlignment="1">
      <alignment vertical="center"/>
    </xf>
    <xf numFmtId="0" fontId="19" fillId="0" borderId="0" xfId="0" applyFont="1"/>
    <xf numFmtId="0" fontId="29" fillId="0" borderId="0" xfId="0" quotePrefix="1" applyFont="1"/>
    <xf numFmtId="0" fontId="19" fillId="3" borderId="1" xfId="0" applyFont="1" applyFill="1" applyBorder="1" applyAlignment="1">
      <alignment horizontal="left" vertical="center"/>
    </xf>
    <xf numFmtId="0" fontId="19" fillId="3" borderId="1" xfId="0" applyFont="1" applyFill="1" applyBorder="1" applyAlignment="1">
      <alignment horizontal="left" vertical="center" wrapText="1"/>
    </xf>
    <xf numFmtId="49" fontId="27" fillId="9" borderId="1" xfId="0" applyNumberFormat="1" applyFont="1" applyFill="1" applyBorder="1" applyAlignment="1">
      <alignment horizontal="center" vertical="center" wrapText="1"/>
    </xf>
    <xf numFmtId="0" fontId="27" fillId="9" borderId="1" xfId="0" applyFont="1" applyFill="1" applyBorder="1" applyAlignment="1">
      <alignment horizontal="center" vertical="center" wrapText="1"/>
    </xf>
    <xf numFmtId="0" fontId="27" fillId="8" borderId="1" xfId="0" applyFont="1" applyFill="1" applyBorder="1" applyAlignment="1">
      <alignment horizontal="center" vertical="center" wrapText="1"/>
    </xf>
    <xf numFmtId="0" fontId="0" fillId="9" borderId="19" xfId="0" applyFill="1" applyBorder="1" applyAlignment="1">
      <alignment horizontal="center" vertical="center"/>
    </xf>
    <xf numFmtId="0" fontId="27" fillId="9" borderId="19" xfId="0" applyFont="1" applyFill="1" applyBorder="1" applyAlignment="1">
      <alignment horizontal="center" vertical="center" wrapText="1"/>
    </xf>
    <xf numFmtId="0" fontId="27" fillId="8" borderId="19" xfId="0" applyFont="1" applyFill="1" applyBorder="1" applyAlignment="1">
      <alignment horizontal="center" vertical="center"/>
    </xf>
    <xf numFmtId="0" fontId="19" fillId="0" borderId="20" xfId="0" applyFont="1" applyBorder="1" applyAlignment="1">
      <alignment horizontal="center" vertical="center" wrapText="1"/>
    </xf>
    <xf numFmtId="0" fontId="28" fillId="11" borderId="19" xfId="0" applyFont="1" applyFill="1" applyBorder="1" applyAlignment="1">
      <alignment vertical="center" wrapText="1"/>
    </xf>
    <xf numFmtId="0" fontId="28" fillId="11" borderId="20" xfId="0" applyFont="1" applyFill="1" applyBorder="1" applyAlignment="1">
      <alignment vertical="center" wrapText="1"/>
    </xf>
    <xf numFmtId="0" fontId="19" fillId="9" borderId="20" xfId="0" applyFont="1" applyFill="1" applyBorder="1" applyAlignment="1">
      <alignment vertical="center" wrapText="1"/>
    </xf>
    <xf numFmtId="0" fontId="28" fillId="9" borderId="20" xfId="0" applyFont="1" applyFill="1" applyBorder="1" applyAlignment="1">
      <alignment vertical="center" wrapText="1"/>
    </xf>
    <xf numFmtId="0" fontId="12" fillId="0" borderId="0" xfId="0" applyFont="1" applyAlignment="1">
      <alignment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9" borderId="21" xfId="0" applyFont="1" applyFill="1" applyBorder="1" applyAlignment="1">
      <alignment vertical="center" wrapText="1"/>
    </xf>
    <xf numFmtId="0" fontId="28" fillId="11" borderId="20" xfId="0" applyFont="1" applyFill="1" applyBorder="1" applyAlignment="1">
      <alignment horizontal="left" vertical="center" wrapText="1"/>
    </xf>
    <xf numFmtId="0" fontId="28" fillId="11" borderId="20" xfId="0" applyFont="1" applyFill="1" applyBorder="1" applyAlignment="1">
      <alignment horizontal="left" vertical="center"/>
    </xf>
    <xf numFmtId="0" fontId="19" fillId="9" borderId="20" xfId="0" applyFont="1" applyFill="1" applyBorder="1" applyAlignment="1">
      <alignment horizontal="left" vertical="center"/>
    </xf>
    <xf numFmtId="0" fontId="0" fillId="0" borderId="22" xfId="0" applyBorder="1"/>
    <xf numFmtId="0" fontId="19" fillId="10" borderId="4" xfId="0" applyFont="1" applyFill="1" applyBorder="1" applyAlignment="1">
      <alignment vertical="center" wrapText="1"/>
    </xf>
    <xf numFmtId="0" fontId="0" fillId="0" borderId="23" xfId="0" applyBorder="1"/>
    <xf numFmtId="0" fontId="26" fillId="0" borderId="24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 wrapText="1"/>
    </xf>
    <xf numFmtId="49" fontId="31" fillId="7" borderId="6" xfId="0" applyNumberFormat="1" applyFont="1" applyFill="1" applyBorder="1" applyAlignment="1">
      <alignment horizontal="left" vertical="center" wrapText="1"/>
    </xf>
    <xf numFmtId="49" fontId="31" fillId="7" borderId="7" xfId="0" applyNumberFormat="1" applyFont="1" applyFill="1" applyBorder="1" applyAlignment="1">
      <alignment horizontal="left" vertical="center" wrapText="1"/>
    </xf>
    <xf numFmtId="49" fontId="31" fillId="7" borderId="7" xfId="0" applyNumberFormat="1" applyFont="1" applyFill="1" applyBorder="1" applyAlignment="1">
      <alignment horizontal="left" vertical="center"/>
    </xf>
    <xf numFmtId="166" fontId="31" fillId="7" borderId="7" xfId="0" applyNumberFormat="1" applyFont="1" applyFill="1" applyBorder="1" applyAlignment="1">
      <alignment horizontal="left" vertical="center"/>
    </xf>
    <xf numFmtId="164" fontId="31" fillId="7" borderId="8" xfId="0" applyNumberFormat="1" applyFont="1" applyFill="1" applyBorder="1" applyAlignment="1">
      <alignment horizontal="left" vertical="center"/>
    </xf>
    <xf numFmtId="49" fontId="31" fillId="5" borderId="7" xfId="0" applyNumberFormat="1" applyFont="1" applyFill="1" applyBorder="1" applyAlignment="1">
      <alignment horizontal="left" vertical="center"/>
    </xf>
    <xf numFmtId="49" fontId="33" fillId="13" borderId="3" xfId="0" applyNumberFormat="1" applyFont="1" applyFill="1" applyBorder="1" applyAlignment="1">
      <alignment vertical="top" wrapText="1"/>
    </xf>
    <xf numFmtId="49" fontId="33" fillId="13" borderId="4" xfId="0" applyNumberFormat="1" applyFont="1" applyFill="1" applyBorder="1" applyAlignment="1">
      <alignment vertical="top" wrapText="1"/>
    </xf>
    <xf numFmtId="49" fontId="33" fillId="13" borderId="4" xfId="0" applyNumberFormat="1" applyFont="1" applyFill="1" applyBorder="1" applyAlignment="1">
      <alignment horizontal="center" vertical="top" wrapText="1"/>
    </xf>
    <xf numFmtId="49" fontId="33" fillId="13" borderId="27" xfId="0" applyNumberFormat="1" applyFont="1" applyFill="1" applyBorder="1" applyAlignment="1">
      <alignment horizontal="center" vertical="top" wrapText="1"/>
    </xf>
    <xf numFmtId="49" fontId="22" fillId="13" borderId="27" xfId="0" applyNumberFormat="1" applyFont="1" applyFill="1" applyBorder="1" applyAlignment="1">
      <alignment vertical="top" wrapText="1"/>
    </xf>
    <xf numFmtId="0" fontId="0" fillId="13" borderId="0" xfId="0" applyFill="1"/>
    <xf numFmtId="0" fontId="28" fillId="11" borderId="20" xfId="0" applyFont="1" applyFill="1" applyBorder="1" applyAlignment="1">
      <alignment horizontal="center" vertical="center" wrapText="1"/>
    </xf>
    <xf numFmtId="0" fontId="35" fillId="0" borderId="19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10" fontId="35" fillId="0" borderId="20" xfId="0" applyNumberFormat="1" applyFont="1" applyBorder="1" applyAlignment="1">
      <alignment horizontal="center" vertical="center"/>
    </xf>
    <xf numFmtId="0" fontId="35" fillId="0" borderId="20" xfId="0" applyFont="1" applyBorder="1" applyAlignment="1">
      <alignment horizontal="center" vertical="center"/>
    </xf>
    <xf numFmtId="43" fontId="35" fillId="0" borderId="20" xfId="4" applyFont="1" applyBorder="1" applyAlignment="1">
      <alignment horizontal="center" vertical="center"/>
    </xf>
    <xf numFmtId="43" fontId="35" fillId="0" borderId="20" xfId="4" applyFont="1" applyBorder="1" applyAlignment="1">
      <alignment horizontal="right" vertical="center"/>
    </xf>
    <xf numFmtId="0" fontId="36" fillId="14" borderId="4" xfId="0" applyFont="1" applyFill="1" applyBorder="1" applyAlignment="1">
      <alignment horizontal="center" vertical="center"/>
    </xf>
    <xf numFmtId="0" fontId="36" fillId="14" borderId="1" xfId="0" applyFont="1" applyFill="1" applyBorder="1" applyAlignment="1">
      <alignment horizontal="center" vertical="center"/>
    </xf>
    <xf numFmtId="0" fontId="37" fillId="14" borderId="24" xfId="0" applyFont="1" applyFill="1" applyBorder="1" applyAlignment="1">
      <alignment horizontal="center" vertical="center"/>
    </xf>
    <xf numFmtId="49" fontId="32" fillId="0" borderId="19" xfId="0" applyNumberFormat="1" applyFont="1" applyBorder="1" applyAlignment="1">
      <alignment horizontal="center" vertical="center"/>
    </xf>
    <xf numFmtId="0" fontId="32" fillId="0" borderId="19" xfId="0" applyFont="1" applyBorder="1" applyAlignment="1">
      <alignment horizontal="center" vertical="center"/>
    </xf>
    <xf numFmtId="0" fontId="39" fillId="0" borderId="0" xfId="0" applyFont="1" applyAlignment="1">
      <alignment horizontal="center"/>
    </xf>
    <xf numFmtId="2" fontId="39" fillId="0" borderId="0" xfId="0" applyNumberFormat="1" applyFont="1" applyAlignment="1">
      <alignment horizontal="center"/>
    </xf>
    <xf numFmtId="164" fontId="39" fillId="0" borderId="0" xfId="0" applyNumberFormat="1" applyFont="1" applyAlignment="1">
      <alignment horizontal="center"/>
    </xf>
    <xf numFmtId="165" fontId="39" fillId="0" borderId="0" xfId="0" applyNumberFormat="1" applyFont="1" applyAlignment="1">
      <alignment horizontal="center"/>
    </xf>
    <xf numFmtId="4" fontId="39" fillId="0" borderId="0" xfId="0" applyNumberFormat="1" applyFont="1" applyAlignment="1">
      <alignment horizontal="center"/>
    </xf>
    <xf numFmtId="14" fontId="39" fillId="0" borderId="0" xfId="0" applyNumberFormat="1" applyFont="1" applyAlignment="1">
      <alignment horizontal="center"/>
    </xf>
    <xf numFmtId="0" fontId="44" fillId="0" borderId="0" xfId="12" applyFont="1"/>
    <xf numFmtId="0" fontId="44" fillId="0" borderId="0" xfId="12" applyFont="1" applyAlignment="1">
      <alignment horizontal="center"/>
    </xf>
    <xf numFmtId="175" fontId="45" fillId="0" borderId="38" xfId="12" applyNumberFormat="1" applyFont="1" applyBorder="1" applyAlignment="1">
      <alignment horizontal="right"/>
    </xf>
    <xf numFmtId="176" fontId="45" fillId="0" borderId="0" xfId="12" applyNumberFormat="1" applyFont="1"/>
    <xf numFmtId="0" fontId="45" fillId="0" borderId="0" xfId="12" applyFont="1"/>
    <xf numFmtId="3" fontId="45" fillId="0" borderId="0" xfId="12" applyNumberFormat="1" applyFont="1"/>
    <xf numFmtId="175" fontId="44" fillId="0" borderId="0" xfId="12" applyNumberFormat="1" applyFont="1" applyAlignment="1">
      <alignment horizontal="right"/>
    </xf>
    <xf numFmtId="176" fontId="44" fillId="0" borderId="0" xfId="12" applyNumberFormat="1" applyFont="1"/>
    <xf numFmtId="3" fontId="44" fillId="0" borderId="0" xfId="12" applyNumberFormat="1" applyFont="1"/>
    <xf numFmtId="3" fontId="44" fillId="0" borderId="2" xfId="12" applyNumberFormat="1" applyFont="1" applyBorder="1"/>
    <xf numFmtId="0" fontId="44" fillId="0" borderId="0" xfId="12" applyFont="1" applyAlignment="1">
      <alignment horizontal="left"/>
    </xf>
    <xf numFmtId="177" fontId="44" fillId="0" borderId="0" xfId="12" applyNumberFormat="1" applyFont="1"/>
    <xf numFmtId="175" fontId="44" fillId="0" borderId="23" xfId="12" applyNumberFormat="1" applyFont="1" applyBorder="1" applyAlignment="1">
      <alignment horizontal="right"/>
    </xf>
    <xf numFmtId="176" fontId="46" fillId="0" borderId="0" xfId="12" applyNumberFormat="1" applyFont="1" applyAlignment="1">
      <alignment horizontal="left" indent="2"/>
    </xf>
    <xf numFmtId="14" fontId="45" fillId="0" borderId="2" xfId="12" applyNumberFormat="1" applyFont="1" applyBorder="1" applyAlignment="1">
      <alignment horizontal="center"/>
    </xf>
    <xf numFmtId="49" fontId="45" fillId="0" borderId="2" xfId="12" applyNumberFormat="1" applyFont="1" applyBorder="1" applyAlignment="1">
      <alignment horizontal="center"/>
    </xf>
    <xf numFmtId="0" fontId="45" fillId="0" borderId="0" xfId="12" applyFont="1" applyAlignment="1">
      <alignment horizontal="center"/>
    </xf>
    <xf numFmtId="0" fontId="45" fillId="0" borderId="2" xfId="12" applyFont="1" applyBorder="1" applyAlignment="1">
      <alignment horizontal="center"/>
    </xf>
    <xf numFmtId="2" fontId="45" fillId="0" borderId="2" xfId="12" applyNumberFormat="1" applyFont="1" applyBorder="1" applyAlignment="1">
      <alignment horizontal="center"/>
    </xf>
    <xf numFmtId="2" fontId="45" fillId="0" borderId="0" xfId="12" applyNumberFormat="1" applyFont="1" applyAlignment="1">
      <alignment horizontal="center"/>
    </xf>
    <xf numFmtId="49" fontId="45" fillId="0" borderId="2" xfId="12" applyNumberFormat="1" applyFont="1" applyBorder="1"/>
    <xf numFmtId="49" fontId="45" fillId="0" borderId="2" xfId="12" applyNumberFormat="1" applyFont="1" applyBorder="1" applyAlignment="1">
      <alignment horizontal="center" wrapText="1"/>
    </xf>
    <xf numFmtId="14" fontId="45" fillId="0" borderId="2" xfId="12" applyNumberFormat="1" applyFont="1" applyBorder="1" applyAlignment="1">
      <alignment horizontal="center" wrapText="1"/>
    </xf>
    <xf numFmtId="49" fontId="45" fillId="0" borderId="2" xfId="12" applyNumberFormat="1" applyFont="1" applyBorder="1" applyAlignment="1">
      <alignment wrapText="1"/>
    </xf>
    <xf numFmtId="0" fontId="49" fillId="0" borderId="0" xfId="12" applyFont="1"/>
    <xf numFmtId="0" fontId="49" fillId="0" borderId="0" xfId="12" applyFont="1" applyAlignment="1">
      <alignment horizontal="left"/>
    </xf>
    <xf numFmtId="0" fontId="50" fillId="0" borderId="0" xfId="12" applyFont="1"/>
    <xf numFmtId="0" fontId="51" fillId="0" borderId="0" xfId="12" applyFont="1"/>
    <xf numFmtId="0" fontId="51" fillId="0" borderId="0" xfId="12" applyFont="1" applyAlignment="1">
      <alignment horizontal="left"/>
    </xf>
    <xf numFmtId="0" fontId="52" fillId="12" borderId="24" xfId="0" applyFont="1" applyFill="1" applyBorder="1" applyAlignment="1">
      <alignment horizontal="center" vertical="center"/>
    </xf>
    <xf numFmtId="0" fontId="1" fillId="0" borderId="0" xfId="0" applyFont="1"/>
    <xf numFmtId="0" fontId="41" fillId="0" borderId="0" xfId="0" applyFont="1" applyAlignment="1">
      <alignment vertical="center"/>
    </xf>
    <xf numFmtId="0" fontId="41" fillId="10" borderId="24" xfId="0" applyFont="1" applyFill="1" applyBorder="1" applyAlignment="1">
      <alignment horizontal="center" vertical="center"/>
    </xf>
    <xf numFmtId="10" fontId="41" fillId="10" borderId="24" xfId="0" applyNumberFormat="1" applyFont="1" applyFill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10" fontId="1" fillId="0" borderId="24" xfId="0" applyNumberFormat="1" applyFont="1" applyBorder="1" applyAlignment="1">
      <alignment horizontal="center" vertical="center"/>
    </xf>
    <xf numFmtId="4" fontId="0" fillId="0" borderId="0" xfId="0" applyNumberFormat="1"/>
    <xf numFmtId="0" fontId="1" fillId="0" borderId="0" xfId="0" applyFont="1" applyAlignment="1">
      <alignment vertical="center"/>
    </xf>
    <xf numFmtId="0" fontId="42" fillId="12" borderId="24" xfId="0" applyFont="1" applyFill="1" applyBorder="1" applyAlignment="1">
      <alignment horizontal="left" vertical="center"/>
    </xf>
    <xf numFmtId="0" fontId="42" fillId="12" borderId="24" xfId="0" applyFont="1" applyFill="1" applyBorder="1" applyAlignment="1">
      <alignment vertical="center"/>
    </xf>
    <xf numFmtId="0" fontId="53" fillId="0" borderId="0" xfId="5" applyFont="1" applyAlignment="1">
      <alignment vertical="center"/>
    </xf>
    <xf numFmtId="0" fontId="54" fillId="15" borderId="20" xfId="5" applyFont="1" applyFill="1" applyBorder="1" applyAlignment="1">
      <alignment vertical="center"/>
    </xf>
    <xf numFmtId="16" fontId="54" fillId="16" borderId="20" xfId="5" quotePrefix="1" applyNumberFormat="1" applyFont="1" applyFill="1" applyBorder="1" applyAlignment="1">
      <alignment horizontal="center" vertical="center"/>
    </xf>
    <xf numFmtId="0" fontId="55" fillId="17" borderId="20" xfId="5" applyFont="1" applyFill="1" applyBorder="1" applyAlignment="1">
      <alignment horizontal="center" vertical="center"/>
    </xf>
    <xf numFmtId="0" fontId="53" fillId="10" borderId="20" xfId="5" applyFont="1" applyFill="1" applyBorder="1" applyAlignment="1">
      <alignment horizontal="center" vertical="center"/>
    </xf>
    <xf numFmtId="0" fontId="53" fillId="0" borderId="20" xfId="5" applyFont="1" applyBorder="1" applyAlignment="1">
      <alignment vertical="center"/>
    </xf>
    <xf numFmtId="169" fontId="53" fillId="0" borderId="20" xfId="6" applyNumberFormat="1" applyFont="1" applyBorder="1" applyAlignment="1">
      <alignment vertical="center"/>
    </xf>
    <xf numFmtId="3" fontId="53" fillId="0" borderId="20" xfId="6" applyNumberFormat="1" applyFont="1" applyBorder="1" applyAlignment="1">
      <alignment vertical="center"/>
    </xf>
    <xf numFmtId="10" fontId="53" fillId="0" borderId="20" xfId="7" applyNumberFormat="1" applyFont="1" applyBorder="1" applyAlignment="1">
      <alignment horizontal="center" vertical="center"/>
    </xf>
    <xf numFmtId="10" fontId="56" fillId="0" borderId="20" xfId="7" applyNumberFormat="1" applyFont="1" applyBorder="1" applyAlignment="1">
      <alignment horizontal="center" vertical="center"/>
    </xf>
    <xf numFmtId="10" fontId="53" fillId="0" borderId="20" xfId="7" applyNumberFormat="1" applyFont="1" applyBorder="1" applyAlignment="1">
      <alignment horizontal="left" vertical="center"/>
    </xf>
    <xf numFmtId="169" fontId="53" fillId="0" borderId="0" xfId="5" applyNumberFormat="1" applyFont="1" applyAlignment="1">
      <alignment vertical="center"/>
    </xf>
    <xf numFmtId="0" fontId="55" fillId="12" borderId="20" xfId="5" applyFont="1" applyFill="1" applyBorder="1" applyAlignment="1">
      <alignment horizontal="center" vertical="center"/>
    </xf>
    <xf numFmtId="0" fontId="55" fillId="18" borderId="20" xfId="5" applyFont="1" applyFill="1" applyBorder="1" applyAlignment="1">
      <alignment horizontal="center" vertical="center"/>
    </xf>
    <xf numFmtId="0" fontId="55" fillId="19" borderId="20" xfId="5" applyFont="1" applyFill="1" applyBorder="1" applyAlignment="1">
      <alignment horizontal="center" vertical="center"/>
    </xf>
    <xf numFmtId="0" fontId="53" fillId="0" borderId="0" xfId="0" applyFont="1" applyAlignment="1">
      <alignment vertical="center" wrapText="1"/>
    </xf>
    <xf numFmtId="16" fontId="54" fillId="15" borderId="20" xfId="5" quotePrefix="1" applyNumberFormat="1" applyFont="1" applyFill="1" applyBorder="1" applyAlignment="1">
      <alignment horizontal="center" vertical="center"/>
    </xf>
    <xf numFmtId="0" fontId="57" fillId="0" borderId="0" xfId="5" applyFont="1" applyAlignment="1">
      <alignment vertical="center"/>
    </xf>
    <xf numFmtId="0" fontId="58" fillId="0" borderId="0" xfId="0" applyFont="1" applyAlignment="1">
      <alignment vertical="center"/>
    </xf>
    <xf numFmtId="0" fontId="52" fillId="12" borderId="24" xfId="0" applyFont="1" applyFill="1" applyBorder="1" applyAlignment="1">
      <alignment vertical="center"/>
    </xf>
    <xf numFmtId="0" fontId="39" fillId="0" borderId="0" xfId="0" applyFont="1" applyAlignment="1">
      <alignment vertical="center"/>
    </xf>
    <xf numFmtId="0" fontId="59" fillId="20" borderId="37" xfId="10" applyFont="1" applyFill="1" applyBorder="1" applyAlignment="1" applyProtection="1">
      <alignment horizontal="center" vertical="center" wrapText="1"/>
      <protection locked="0"/>
    </xf>
    <xf numFmtId="0" fontId="60" fillId="0" borderId="0" xfId="10" applyFont="1" applyAlignment="1" applyProtection="1">
      <alignment horizontal="left" vertical="center"/>
      <protection locked="0"/>
    </xf>
    <xf numFmtId="0" fontId="60" fillId="0" borderId="0" xfId="10" applyFont="1" applyAlignment="1" applyProtection="1">
      <alignment horizontal="center" vertical="center"/>
      <protection locked="0"/>
    </xf>
    <xf numFmtId="0" fontId="61" fillId="0" borderId="0" xfId="10" applyFont="1" applyAlignment="1" applyProtection="1">
      <alignment horizontal="center" vertical="center"/>
      <protection locked="0"/>
    </xf>
    <xf numFmtId="0" fontId="61" fillId="0" borderId="0" xfId="10" applyFont="1" applyAlignment="1" applyProtection="1">
      <alignment vertical="center"/>
      <protection locked="0"/>
    </xf>
    <xf numFmtId="0" fontId="61" fillId="0" borderId="0" xfId="10" applyFont="1" applyAlignment="1" applyProtection="1">
      <alignment horizontal="left" vertical="center"/>
      <protection locked="0"/>
    </xf>
    <xf numFmtId="0" fontId="60" fillId="0" borderId="0" xfId="10" applyFont="1" applyAlignment="1" applyProtection="1">
      <alignment vertical="center"/>
      <protection locked="0"/>
    </xf>
    <xf numFmtId="4" fontId="61" fillId="0" borderId="0" xfId="10" applyNumberFormat="1" applyFont="1" applyAlignment="1" applyProtection="1">
      <alignment horizontal="center" vertical="center"/>
      <protection locked="0"/>
    </xf>
    <xf numFmtId="171" fontId="62" fillId="0" borderId="0" xfId="10" applyNumberFormat="1" applyFont="1" applyAlignment="1" applyProtection="1">
      <alignment horizontal="center" vertical="center"/>
      <protection locked="0"/>
    </xf>
    <xf numFmtId="170" fontId="62" fillId="0" borderId="0" xfId="10" applyNumberFormat="1" applyFont="1" applyAlignment="1" applyProtection="1">
      <alignment horizontal="center" vertical="center"/>
      <protection locked="0"/>
    </xf>
    <xf numFmtId="3" fontId="61" fillId="0" borderId="0" xfId="10" applyNumberFormat="1" applyFont="1" applyAlignment="1" applyProtection="1">
      <alignment horizontal="center" vertical="center"/>
      <protection locked="0"/>
    </xf>
    <xf numFmtId="3" fontId="60" fillId="0" borderId="0" xfId="10" applyNumberFormat="1" applyFont="1" applyAlignment="1" applyProtection="1">
      <alignment horizontal="center" vertical="center"/>
      <protection locked="0"/>
    </xf>
    <xf numFmtId="174" fontId="61" fillId="0" borderId="0" xfId="10" applyNumberFormat="1" applyFont="1" applyAlignment="1" applyProtection="1">
      <alignment vertical="center"/>
      <protection locked="0"/>
    </xf>
    <xf numFmtId="14" fontId="61" fillId="0" borderId="0" xfId="10" applyNumberFormat="1" applyFont="1" applyAlignment="1" applyProtection="1">
      <alignment vertical="center"/>
      <protection locked="0"/>
    </xf>
    <xf numFmtId="15" fontId="60" fillId="0" borderId="0" xfId="10" applyNumberFormat="1" applyFont="1" applyAlignment="1" applyProtection="1">
      <alignment horizontal="left" vertical="center"/>
      <protection locked="0"/>
    </xf>
    <xf numFmtId="15" fontId="60" fillId="0" borderId="0" xfId="10" applyNumberFormat="1" applyFont="1" applyAlignment="1" applyProtection="1">
      <alignment horizontal="center" vertical="center"/>
      <protection locked="0"/>
    </xf>
    <xf numFmtId="14" fontId="60" fillId="0" borderId="0" xfId="10" applyNumberFormat="1" applyFont="1" applyAlignment="1" applyProtection="1">
      <alignment vertical="center"/>
      <protection locked="0"/>
    </xf>
    <xf numFmtId="4" fontId="61" fillId="0" borderId="0" xfId="10" applyNumberFormat="1" applyFont="1" applyAlignment="1" applyProtection="1">
      <alignment vertical="center"/>
      <protection locked="0"/>
    </xf>
    <xf numFmtId="10" fontId="60" fillId="0" borderId="0" xfId="10" applyNumberFormat="1" applyFont="1" applyAlignment="1" applyProtection="1">
      <alignment vertical="center"/>
      <protection locked="0"/>
    </xf>
    <xf numFmtId="171" fontId="60" fillId="0" borderId="0" xfId="10" applyNumberFormat="1" applyFont="1" applyAlignment="1" applyProtection="1">
      <alignment vertical="center"/>
      <protection locked="0"/>
    </xf>
    <xf numFmtId="170" fontId="60" fillId="0" borderId="0" xfId="10" applyNumberFormat="1" applyFont="1" applyAlignment="1" applyProtection="1">
      <alignment vertical="center"/>
      <protection locked="0"/>
    </xf>
    <xf numFmtId="1" fontId="60" fillId="0" borderId="0" xfId="10" applyNumberFormat="1" applyFont="1" applyAlignment="1" applyProtection="1">
      <alignment vertical="center"/>
      <protection locked="0"/>
    </xf>
    <xf numFmtId="3" fontId="60" fillId="0" borderId="0" xfId="10" applyNumberFormat="1" applyFont="1" applyAlignment="1" applyProtection="1">
      <alignment vertical="center"/>
      <protection locked="0"/>
    </xf>
    <xf numFmtId="4" fontId="60" fillId="0" borderId="0" xfId="10" applyNumberFormat="1" applyFont="1" applyAlignment="1" applyProtection="1">
      <alignment vertical="center"/>
      <protection locked="0"/>
    </xf>
    <xf numFmtId="172" fontId="60" fillId="0" borderId="0" xfId="11" applyFont="1" applyFill="1" applyAlignment="1" applyProtection="1">
      <alignment vertical="center"/>
      <protection locked="0"/>
    </xf>
    <xf numFmtId="174" fontId="60" fillId="0" borderId="0" xfId="10" applyNumberFormat="1" applyFont="1" applyAlignment="1" applyProtection="1">
      <alignment vertical="center"/>
      <protection locked="0"/>
    </xf>
    <xf numFmtId="15" fontId="63" fillId="0" borderId="0" xfId="10" applyNumberFormat="1" applyFont="1" applyAlignment="1" applyProtection="1">
      <alignment horizontal="left" vertical="center"/>
      <protection locked="0"/>
    </xf>
    <xf numFmtId="15" fontId="63" fillId="0" borderId="0" xfId="10" applyNumberFormat="1" applyFont="1" applyAlignment="1" applyProtection="1">
      <alignment horizontal="center" vertical="center"/>
      <protection locked="0"/>
    </xf>
    <xf numFmtId="1" fontId="61" fillId="0" borderId="0" xfId="10" applyNumberFormat="1" applyFont="1"/>
    <xf numFmtId="15" fontId="64" fillId="0" borderId="0" xfId="10" applyNumberFormat="1" applyFont="1" applyAlignment="1" applyProtection="1">
      <alignment horizontal="left" vertical="center"/>
      <protection locked="0"/>
    </xf>
    <xf numFmtId="15" fontId="63" fillId="0" borderId="0" xfId="10" applyNumberFormat="1" applyFont="1" applyAlignment="1" applyProtection="1">
      <alignment vertical="center"/>
      <protection locked="0"/>
    </xf>
    <xf numFmtId="0" fontId="63" fillId="0" borderId="0" xfId="10" applyFont="1" applyAlignment="1" applyProtection="1">
      <alignment vertical="center"/>
      <protection locked="0"/>
    </xf>
    <xf numFmtId="10" fontId="62" fillId="0" borderId="0" xfId="10" applyNumberFormat="1" applyFont="1" applyAlignment="1" applyProtection="1">
      <alignment horizontal="center" vertical="center"/>
      <protection locked="0"/>
    </xf>
    <xf numFmtId="172" fontId="60" fillId="0" borderId="0" xfId="11" applyFont="1" applyFill="1" applyAlignment="1" applyProtection="1">
      <alignment horizontal="center" vertical="center"/>
      <protection locked="0"/>
    </xf>
    <xf numFmtId="4" fontId="60" fillId="0" borderId="0" xfId="10" applyNumberFormat="1" applyFont="1" applyAlignment="1" applyProtection="1">
      <alignment horizontal="center" vertical="center"/>
      <protection locked="0"/>
    </xf>
    <xf numFmtId="171" fontId="59" fillId="20" borderId="37" xfId="10" applyNumberFormat="1" applyFont="1" applyFill="1" applyBorder="1" applyAlignment="1" applyProtection="1">
      <alignment horizontal="center" vertical="center" wrapText="1"/>
      <protection locked="0"/>
    </xf>
    <xf numFmtId="0" fontId="66" fillId="20" borderId="37" xfId="10" applyFont="1" applyFill="1" applyBorder="1" applyAlignment="1" applyProtection="1">
      <alignment horizontal="center" vertical="center" wrapText="1"/>
      <protection locked="0"/>
    </xf>
    <xf numFmtId="0" fontId="60" fillId="0" borderId="0" xfId="10" applyFont="1" applyAlignment="1" applyProtection="1">
      <alignment horizontal="left" vertical="center" wrapText="1"/>
      <protection locked="0"/>
    </xf>
    <xf numFmtId="0" fontId="60" fillId="0" borderId="0" xfId="10" applyFont="1" applyAlignment="1" applyProtection="1">
      <alignment horizontal="center" vertical="center" wrapText="1"/>
      <protection locked="0"/>
    </xf>
    <xf numFmtId="172" fontId="60" fillId="0" borderId="0" xfId="11" applyFont="1" applyFill="1" applyBorder="1" applyAlignment="1" applyProtection="1">
      <alignment horizontal="center" vertical="center" wrapText="1"/>
      <protection locked="0"/>
    </xf>
    <xf numFmtId="10" fontId="67" fillId="0" borderId="0" xfId="10" applyNumberFormat="1" applyFont="1" applyAlignment="1" applyProtection="1">
      <alignment horizontal="center" vertical="center" wrapText="1"/>
      <protection locked="0"/>
    </xf>
    <xf numFmtId="171" fontId="60" fillId="0" borderId="0" xfId="10" applyNumberFormat="1" applyFont="1" applyAlignment="1" applyProtection="1">
      <alignment horizontal="center" vertical="center" wrapText="1"/>
      <protection locked="0"/>
    </xf>
    <xf numFmtId="170" fontId="67" fillId="0" borderId="0" xfId="10" applyNumberFormat="1" applyFont="1" applyAlignment="1" applyProtection="1">
      <alignment horizontal="center" vertical="center" wrapText="1"/>
      <protection locked="0"/>
    </xf>
    <xf numFmtId="171" fontId="67" fillId="0" borderId="0" xfId="10" applyNumberFormat="1" applyFont="1" applyAlignment="1" applyProtection="1">
      <alignment horizontal="center" vertical="center" wrapText="1"/>
      <protection locked="0"/>
    </xf>
    <xf numFmtId="3" fontId="60" fillId="0" borderId="0" xfId="10" applyNumberFormat="1" applyFont="1" applyAlignment="1" applyProtection="1">
      <alignment horizontal="center" vertical="center" wrapText="1"/>
      <protection locked="0"/>
    </xf>
    <xf numFmtId="0" fontId="63" fillId="0" borderId="0" xfId="10" applyFont="1" applyAlignment="1" applyProtection="1">
      <alignment horizontal="center" vertical="center" wrapText="1"/>
      <protection locked="0"/>
    </xf>
    <xf numFmtId="0" fontId="61" fillId="0" borderId="23" xfId="10" applyFont="1" applyBorder="1" applyAlignment="1" applyProtection="1">
      <alignment horizontal="left" vertical="center"/>
      <protection locked="0"/>
    </xf>
    <xf numFmtId="0" fontId="61" fillId="0" borderId="23" xfId="10" applyFont="1" applyBorder="1" applyAlignment="1" applyProtection="1">
      <alignment horizontal="center" vertical="center"/>
      <protection locked="0"/>
    </xf>
    <xf numFmtId="0" fontId="61" fillId="0" borderId="23" xfId="10" applyFont="1" applyBorder="1" applyAlignment="1" applyProtection="1">
      <alignment vertical="center"/>
      <protection locked="0"/>
    </xf>
    <xf numFmtId="4" fontId="61" fillId="0" borderId="23" xfId="10" applyNumberFormat="1" applyFont="1" applyBorder="1" applyAlignment="1" applyProtection="1">
      <alignment horizontal="center" vertical="center"/>
      <protection locked="0"/>
    </xf>
    <xf numFmtId="3" fontId="61" fillId="0" borderId="23" xfId="10" applyNumberFormat="1" applyFont="1" applyBorder="1" applyAlignment="1" applyProtection="1">
      <alignment horizontal="center" vertical="center"/>
      <protection locked="0"/>
    </xf>
    <xf numFmtId="173" fontId="61" fillId="0" borderId="23" xfId="10" applyNumberFormat="1" applyFont="1" applyBorder="1" applyAlignment="1" applyProtection="1">
      <alignment horizontal="center" vertical="center"/>
      <protection locked="0"/>
    </xf>
    <xf numFmtId="10" fontId="61" fillId="0" borderId="23" xfId="10" applyNumberFormat="1" applyFont="1" applyBorder="1" applyAlignment="1" applyProtection="1">
      <alignment horizontal="center" vertical="center"/>
      <protection locked="0"/>
    </xf>
    <xf numFmtId="171" fontId="61" fillId="0" borderId="23" xfId="10" applyNumberFormat="1" applyFont="1" applyBorder="1" applyAlignment="1" applyProtection="1">
      <alignment horizontal="center" vertical="center"/>
      <protection locked="0"/>
    </xf>
    <xf numFmtId="170" fontId="61" fillId="0" borderId="23" xfId="10" applyNumberFormat="1" applyFont="1" applyBorder="1" applyAlignment="1" applyProtection="1">
      <alignment horizontal="center" vertical="center"/>
      <protection locked="0"/>
    </xf>
    <xf numFmtId="4" fontId="61" fillId="0" borderId="23" xfId="10" applyNumberFormat="1" applyFont="1" applyBorder="1" applyAlignment="1" applyProtection="1">
      <alignment horizontal="right" vertical="center"/>
      <protection locked="0"/>
    </xf>
    <xf numFmtId="0" fontId="61" fillId="0" borderId="23" xfId="10" quotePrefix="1" applyFont="1" applyBorder="1" applyAlignment="1" applyProtection="1">
      <alignment horizontal="center" vertical="center"/>
      <protection locked="0"/>
    </xf>
    <xf numFmtId="0" fontId="59" fillId="20" borderId="32" xfId="10" applyFont="1" applyFill="1" applyBorder="1" applyAlignment="1" applyProtection="1">
      <alignment horizontal="left" vertical="center"/>
      <protection locked="0"/>
    </xf>
    <xf numFmtId="0" fontId="59" fillId="20" borderId="32" xfId="10" applyFont="1" applyFill="1" applyBorder="1" applyAlignment="1" applyProtection="1">
      <alignment horizontal="center" vertical="center"/>
      <protection locked="0"/>
    </xf>
    <xf numFmtId="0" fontId="68" fillId="20" borderId="32" xfId="10" applyFont="1" applyFill="1" applyBorder="1" applyAlignment="1" applyProtection="1">
      <alignment horizontal="center" vertical="center"/>
      <protection locked="0"/>
    </xf>
    <xf numFmtId="0" fontId="68" fillId="20" borderId="32" xfId="10" applyFont="1" applyFill="1" applyBorder="1" applyAlignment="1" applyProtection="1">
      <alignment vertical="center"/>
      <protection locked="0"/>
    </xf>
    <xf numFmtId="0" fontId="68" fillId="20" borderId="32" xfId="10" applyFont="1" applyFill="1" applyBorder="1" applyAlignment="1" applyProtection="1">
      <alignment horizontal="left" vertical="center"/>
      <protection locked="0"/>
    </xf>
    <xf numFmtId="4" fontId="68" fillId="20" borderId="32" xfId="10" applyNumberFormat="1" applyFont="1" applyFill="1" applyBorder="1" applyAlignment="1" applyProtection="1">
      <alignment horizontal="center" vertical="center"/>
      <protection locked="0"/>
    </xf>
    <xf numFmtId="0" fontId="68" fillId="20" borderId="33" xfId="10" applyFont="1" applyFill="1" applyBorder="1" applyAlignment="1" applyProtection="1">
      <alignment horizontal="center" vertical="center"/>
      <protection locked="0"/>
    </xf>
    <xf numFmtId="170" fontId="68" fillId="20" borderId="32" xfId="10" applyNumberFormat="1" applyFont="1" applyFill="1" applyBorder="1" applyAlignment="1" applyProtection="1">
      <alignment horizontal="center" vertical="center"/>
      <protection locked="0"/>
    </xf>
    <xf numFmtId="10" fontId="68" fillId="20" borderId="32" xfId="10" applyNumberFormat="1" applyFont="1" applyFill="1" applyBorder="1" applyAlignment="1" applyProtection="1">
      <alignment horizontal="center" vertical="center"/>
      <protection locked="0"/>
    </xf>
    <xf numFmtId="171" fontId="68" fillId="20" borderId="32" xfId="10" applyNumberFormat="1" applyFont="1" applyFill="1" applyBorder="1" applyAlignment="1" applyProtection="1">
      <alignment horizontal="center" vertical="center"/>
      <protection locked="0"/>
    </xf>
    <xf numFmtId="3" fontId="68" fillId="20" borderId="32" xfId="10" applyNumberFormat="1" applyFont="1" applyFill="1" applyBorder="1" applyAlignment="1" applyProtection="1">
      <alignment horizontal="center" vertical="center"/>
      <protection locked="0"/>
    </xf>
    <xf numFmtId="3" fontId="70" fillId="20" borderId="31" xfId="10" applyNumberFormat="1" applyFont="1" applyFill="1" applyBorder="1" applyAlignment="1" applyProtection="1">
      <alignment horizontal="center" vertical="center"/>
      <protection locked="0"/>
    </xf>
    <xf numFmtId="4" fontId="68" fillId="20" borderId="31" xfId="10" applyNumberFormat="1" applyFont="1" applyFill="1" applyBorder="1" applyAlignment="1" applyProtection="1">
      <alignment horizontal="center" vertical="center"/>
      <protection locked="0"/>
    </xf>
    <xf numFmtId="4" fontId="69" fillId="20" borderId="32" xfId="10" applyNumberFormat="1" applyFont="1" applyFill="1" applyBorder="1" applyAlignment="1" applyProtection="1">
      <alignment horizontal="center" vertical="center"/>
      <protection locked="0"/>
    </xf>
    <xf numFmtId="4" fontId="68" fillId="20" borderId="32" xfId="10" applyNumberFormat="1" applyFont="1" applyFill="1" applyBorder="1" applyAlignment="1" applyProtection="1">
      <alignment vertical="center"/>
      <protection locked="0"/>
    </xf>
    <xf numFmtId="0" fontId="71" fillId="0" borderId="0" xfId="10" applyFont="1" applyAlignment="1" applyProtection="1">
      <alignment vertical="center"/>
      <protection locked="0"/>
    </xf>
    <xf numFmtId="171" fontId="61" fillId="0" borderId="0" xfId="10" applyNumberFormat="1" applyFont="1" applyAlignment="1" applyProtection="1">
      <alignment vertical="center"/>
      <protection locked="0"/>
    </xf>
    <xf numFmtId="173" fontId="60" fillId="0" borderId="36" xfId="10" applyNumberFormat="1" applyFont="1" applyBorder="1" applyAlignment="1" applyProtection="1">
      <alignment horizontal="center" vertical="center"/>
      <protection locked="0"/>
    </xf>
    <xf numFmtId="170" fontId="60" fillId="0" borderId="36" xfId="10" applyNumberFormat="1" applyFont="1" applyBorder="1" applyAlignment="1" applyProtection="1">
      <alignment horizontal="center" vertical="center"/>
      <protection locked="0"/>
    </xf>
    <xf numFmtId="170" fontId="61" fillId="0" borderId="0" xfId="10" applyNumberFormat="1" applyFont="1" applyAlignment="1" applyProtection="1">
      <alignment vertical="center"/>
      <protection locked="0"/>
    </xf>
    <xf numFmtId="0" fontId="61" fillId="0" borderId="34" xfId="10" applyFont="1" applyBorder="1" applyAlignment="1" applyProtection="1">
      <alignment horizontal="left" vertical="center"/>
      <protection locked="0"/>
    </xf>
    <xf numFmtId="0" fontId="61" fillId="0" borderId="34" xfId="10" applyFont="1" applyBorder="1" applyAlignment="1" applyProtection="1">
      <alignment horizontal="center" vertical="center"/>
      <protection locked="0"/>
    </xf>
    <xf numFmtId="0" fontId="61" fillId="0" borderId="34" xfId="10" applyFont="1" applyBorder="1" applyAlignment="1" applyProtection="1">
      <alignment vertical="center"/>
      <protection locked="0"/>
    </xf>
    <xf numFmtId="4" fontId="61" fillId="0" borderId="34" xfId="10" applyNumberFormat="1" applyFont="1" applyBorder="1" applyAlignment="1" applyProtection="1">
      <alignment horizontal="center" vertical="center"/>
      <protection locked="0"/>
    </xf>
    <xf numFmtId="3" fontId="61" fillId="0" borderId="34" xfId="10" applyNumberFormat="1" applyFont="1" applyBorder="1" applyAlignment="1" applyProtection="1">
      <alignment horizontal="center" vertical="center"/>
      <protection locked="0"/>
    </xf>
    <xf numFmtId="173" fontId="61" fillId="0" borderId="34" xfId="10" applyNumberFormat="1" applyFont="1" applyBorder="1" applyAlignment="1" applyProtection="1">
      <alignment horizontal="center" vertical="center"/>
      <protection locked="0"/>
    </xf>
    <xf numFmtId="10" fontId="61" fillId="0" borderId="34" xfId="10" applyNumberFormat="1" applyFont="1" applyBorder="1" applyAlignment="1" applyProtection="1">
      <alignment horizontal="center" vertical="center"/>
      <protection locked="0"/>
    </xf>
    <xf numFmtId="171" fontId="61" fillId="0" borderId="34" xfId="10" applyNumberFormat="1" applyFont="1" applyBorder="1" applyAlignment="1" applyProtection="1">
      <alignment horizontal="center" vertical="center"/>
      <protection locked="0"/>
    </xf>
    <xf numFmtId="170" fontId="61" fillId="0" borderId="34" xfId="10" applyNumberFormat="1" applyFont="1" applyBorder="1" applyAlignment="1" applyProtection="1">
      <alignment horizontal="center" vertical="center"/>
      <protection locked="0"/>
    </xf>
    <xf numFmtId="4" fontId="61" fillId="0" borderId="34" xfId="10" applyNumberFormat="1" applyFont="1" applyBorder="1" applyAlignment="1" applyProtection="1">
      <alignment horizontal="right" vertical="center"/>
      <protection locked="0"/>
    </xf>
    <xf numFmtId="0" fontId="61" fillId="0" borderId="34" xfId="10" quotePrefix="1" applyFont="1" applyBorder="1" applyAlignment="1" applyProtection="1">
      <alignment horizontal="center" vertical="center"/>
      <protection locked="0"/>
    </xf>
    <xf numFmtId="170" fontId="61" fillId="0" borderId="0" xfId="10" applyNumberFormat="1" applyFont="1" applyAlignment="1" applyProtection="1">
      <alignment horizontal="center" vertical="center"/>
      <protection locked="0"/>
    </xf>
    <xf numFmtId="0" fontId="61" fillId="0" borderId="0" xfId="10" applyFont="1" applyAlignment="1" applyProtection="1">
      <alignment horizontal="right" vertical="center"/>
      <protection locked="0"/>
    </xf>
    <xf numFmtId="4" fontId="61" fillId="0" borderId="0" xfId="10" applyNumberFormat="1" applyFont="1" applyAlignment="1" applyProtection="1">
      <alignment horizontal="right" vertical="center"/>
      <protection locked="0"/>
    </xf>
    <xf numFmtId="4" fontId="71" fillId="0" borderId="0" xfId="10" applyNumberFormat="1" applyFont="1" applyAlignment="1" applyProtection="1">
      <alignment horizontal="right" vertical="center"/>
      <protection locked="0"/>
    </xf>
    <xf numFmtId="0" fontId="59" fillId="12" borderId="0" xfId="10" applyFont="1" applyFill="1" applyAlignment="1" applyProtection="1">
      <alignment horizontal="left" vertical="center"/>
      <protection locked="0"/>
    </xf>
    <xf numFmtId="0" fontId="59" fillId="12" borderId="0" xfId="10" applyFont="1" applyFill="1" applyAlignment="1" applyProtection="1">
      <alignment horizontal="center" vertical="center"/>
      <protection locked="0"/>
    </xf>
    <xf numFmtId="0" fontId="59" fillId="20" borderId="0" xfId="10" applyFont="1" applyFill="1" applyAlignment="1" applyProtection="1">
      <alignment horizontal="left" vertical="center"/>
      <protection locked="0"/>
    </xf>
    <xf numFmtId="3" fontId="59" fillId="12" borderId="0" xfId="10" quotePrefix="1" applyNumberFormat="1" applyFont="1" applyFill="1" applyAlignment="1" applyProtection="1">
      <alignment horizontal="left" vertical="center"/>
      <protection locked="0"/>
    </xf>
    <xf numFmtId="4" fontId="59" fillId="12" borderId="0" xfId="10" applyNumberFormat="1" applyFont="1" applyFill="1" applyAlignment="1" applyProtection="1">
      <alignment horizontal="center" vertical="center"/>
      <protection locked="0"/>
    </xf>
    <xf numFmtId="4" fontId="59" fillId="12" borderId="35" xfId="10" applyNumberFormat="1" applyFont="1" applyFill="1" applyBorder="1" applyAlignment="1" applyProtection="1">
      <alignment horizontal="center" vertical="center"/>
      <protection locked="0"/>
    </xf>
    <xf numFmtId="4" fontId="59" fillId="12" borderId="0" xfId="10" applyNumberFormat="1" applyFont="1" applyFill="1" applyAlignment="1" applyProtection="1">
      <alignment horizontal="right" vertical="center"/>
      <protection locked="0"/>
    </xf>
    <xf numFmtId="14" fontId="69" fillId="12" borderId="0" xfId="10" applyNumberFormat="1" applyFont="1" applyFill="1" applyAlignment="1" applyProtection="1">
      <alignment horizontal="center" vertical="center"/>
      <protection locked="0"/>
    </xf>
    <xf numFmtId="10" fontId="69" fillId="12" borderId="0" xfId="10" applyNumberFormat="1" applyFont="1" applyFill="1" applyAlignment="1" applyProtection="1">
      <alignment horizontal="center" vertical="center"/>
      <protection locked="0"/>
    </xf>
    <xf numFmtId="171" fontId="59" fillId="12" borderId="0" xfId="10" applyNumberFormat="1" applyFont="1" applyFill="1" applyAlignment="1" applyProtection="1">
      <alignment horizontal="center" vertical="center"/>
      <protection locked="0"/>
    </xf>
    <xf numFmtId="14" fontId="59" fillId="12" borderId="0" xfId="10" applyNumberFormat="1" applyFont="1" applyFill="1" applyAlignment="1" applyProtection="1">
      <alignment horizontal="center" vertical="center"/>
      <protection locked="0"/>
    </xf>
    <xf numFmtId="170" fontId="69" fillId="12" borderId="0" xfId="10" applyNumberFormat="1" applyFont="1" applyFill="1" applyAlignment="1" applyProtection="1">
      <alignment horizontal="center" vertical="center"/>
      <protection locked="0"/>
    </xf>
    <xf numFmtId="171" fontId="59" fillId="12" borderId="0" xfId="10" quotePrefix="1" applyNumberFormat="1" applyFont="1" applyFill="1" applyAlignment="1" applyProtection="1">
      <alignment horizontal="center" vertical="center"/>
      <protection locked="0"/>
    </xf>
    <xf numFmtId="3" fontId="59" fillId="12" borderId="0" xfId="10" applyNumberFormat="1" applyFont="1" applyFill="1" applyAlignment="1" applyProtection="1">
      <alignment horizontal="left" vertical="center"/>
      <protection locked="0"/>
    </xf>
    <xf numFmtId="0" fontId="59" fillId="0" borderId="0" xfId="10" applyFont="1" applyAlignment="1" applyProtection="1">
      <alignment horizontal="center" vertical="center"/>
      <protection locked="0"/>
    </xf>
    <xf numFmtId="4" fontId="60" fillId="0" borderId="0" xfId="10" applyNumberFormat="1" applyFont="1" applyAlignment="1" applyProtection="1">
      <alignment horizontal="right" vertical="center"/>
      <protection locked="0"/>
    </xf>
    <xf numFmtId="4" fontId="59" fillId="0" borderId="0" xfId="10" applyNumberFormat="1" applyFont="1" applyAlignment="1" applyProtection="1">
      <alignment horizontal="center" vertical="center"/>
      <protection locked="0"/>
    </xf>
    <xf numFmtId="4" fontId="59" fillId="0" borderId="0" xfId="10" applyNumberFormat="1" applyFont="1" applyAlignment="1" applyProtection="1">
      <alignment horizontal="right" vertical="center"/>
      <protection locked="0"/>
    </xf>
    <xf numFmtId="14" fontId="69" fillId="0" borderId="0" xfId="10" applyNumberFormat="1" applyFont="1" applyAlignment="1" applyProtection="1">
      <alignment horizontal="center" vertical="center"/>
      <protection locked="0"/>
    </xf>
    <xf numFmtId="10" fontId="69" fillId="0" borderId="0" xfId="10" applyNumberFormat="1" applyFont="1" applyAlignment="1" applyProtection="1">
      <alignment horizontal="center" vertical="center"/>
      <protection locked="0"/>
    </xf>
    <xf numFmtId="171" fontId="59" fillId="0" borderId="0" xfId="10" applyNumberFormat="1" applyFont="1" applyAlignment="1" applyProtection="1">
      <alignment horizontal="center" vertical="center"/>
      <protection locked="0"/>
    </xf>
    <xf numFmtId="14" fontId="59" fillId="0" borderId="0" xfId="10" applyNumberFormat="1" applyFont="1" applyAlignment="1" applyProtection="1">
      <alignment horizontal="center" vertical="center"/>
      <protection locked="0"/>
    </xf>
    <xf numFmtId="170" fontId="69" fillId="0" borderId="0" xfId="10" applyNumberFormat="1" applyFont="1" applyAlignment="1" applyProtection="1">
      <alignment horizontal="center" vertical="center"/>
      <protection locked="0"/>
    </xf>
    <xf numFmtId="171" fontId="60" fillId="0" borderId="0" xfId="10" applyNumberFormat="1" applyFont="1" applyAlignment="1" applyProtection="1">
      <alignment horizontal="left" vertical="center"/>
      <protection locked="0"/>
    </xf>
    <xf numFmtId="3" fontId="59" fillId="0" borderId="0" xfId="10" applyNumberFormat="1" applyFont="1" applyAlignment="1" applyProtection="1">
      <alignment horizontal="center" vertical="center"/>
      <protection locked="0"/>
    </xf>
    <xf numFmtId="4" fontId="72" fillId="0" borderId="0" xfId="10" applyNumberFormat="1" applyFont="1" applyAlignment="1" applyProtection="1">
      <alignment horizontal="right" vertical="center"/>
      <protection locked="0"/>
    </xf>
    <xf numFmtId="4" fontId="60" fillId="0" borderId="0" xfId="10" quotePrefix="1" applyNumberFormat="1" applyFont="1" applyAlignment="1" applyProtection="1">
      <alignment horizontal="center" vertical="center"/>
      <protection locked="0"/>
    </xf>
    <xf numFmtId="3" fontId="70" fillId="20" borderId="32" xfId="10" applyNumberFormat="1" applyFont="1" applyFill="1" applyBorder="1" applyAlignment="1" applyProtection="1">
      <alignment horizontal="center" vertical="center"/>
      <protection locked="0"/>
    </xf>
    <xf numFmtId="173" fontId="60" fillId="0" borderId="0" xfId="10" applyNumberFormat="1" applyFont="1" applyAlignment="1" applyProtection="1">
      <alignment horizontal="center" vertical="center"/>
      <protection locked="0"/>
    </xf>
    <xf numFmtId="171" fontId="60" fillId="0" borderId="0" xfId="10" applyNumberFormat="1" applyFont="1" applyAlignment="1" applyProtection="1">
      <alignment horizontal="center" vertical="center"/>
      <protection locked="0"/>
    </xf>
    <xf numFmtId="170" fontId="67" fillId="0" borderId="0" xfId="10" applyNumberFormat="1" applyFont="1" applyAlignment="1" applyProtection="1">
      <alignment horizontal="center" vertical="center"/>
      <protection locked="0"/>
    </xf>
    <xf numFmtId="3" fontId="60" fillId="0" borderId="0" xfId="10" applyNumberFormat="1" applyFont="1" applyAlignment="1" applyProtection="1">
      <alignment horizontal="right" vertical="center"/>
      <protection locked="0"/>
    </xf>
    <xf numFmtId="0" fontId="61" fillId="0" borderId="0" xfId="10" quotePrefix="1" applyFont="1" applyAlignment="1" applyProtection="1">
      <alignment horizontal="center" vertical="center"/>
      <protection locked="0"/>
    </xf>
    <xf numFmtId="173" fontId="61" fillId="0" borderId="0" xfId="11" quotePrefix="1" applyNumberFormat="1" applyFont="1" applyFill="1" applyAlignment="1" applyProtection="1">
      <alignment horizontal="center" vertical="center"/>
      <protection locked="0"/>
    </xf>
    <xf numFmtId="173" fontId="61" fillId="0" borderId="0" xfId="10" applyNumberFormat="1" applyFont="1" applyAlignment="1" applyProtection="1">
      <alignment horizontal="center" vertical="center"/>
      <protection locked="0"/>
    </xf>
    <xf numFmtId="10" fontId="62" fillId="0" borderId="0" xfId="11" applyNumberFormat="1" applyFont="1" applyFill="1" applyAlignment="1" applyProtection="1">
      <alignment horizontal="center" vertical="center"/>
      <protection locked="0"/>
    </xf>
    <xf numFmtId="1" fontId="61" fillId="0" borderId="0" xfId="10" applyNumberFormat="1" applyFont="1" applyAlignment="1" applyProtection="1">
      <alignment horizontal="center" vertical="center"/>
      <protection locked="0"/>
    </xf>
    <xf numFmtId="170" fontId="62" fillId="0" borderId="0" xfId="11" quotePrefix="1" applyNumberFormat="1" applyFont="1" applyFill="1" applyAlignment="1" applyProtection="1">
      <alignment horizontal="center" vertical="center"/>
      <protection locked="0"/>
    </xf>
    <xf numFmtId="170" fontId="62" fillId="0" borderId="0" xfId="11" applyNumberFormat="1" applyFont="1" applyFill="1" applyAlignment="1" applyProtection="1">
      <alignment horizontal="center" vertical="center"/>
      <protection locked="0"/>
    </xf>
    <xf numFmtId="171" fontId="61" fillId="0" borderId="0" xfId="10" applyNumberFormat="1" applyFont="1" applyAlignment="1" applyProtection="1">
      <alignment horizontal="center" vertical="center"/>
      <protection locked="0"/>
    </xf>
    <xf numFmtId="0" fontId="59" fillId="20" borderId="0" xfId="10" applyFont="1" applyFill="1" applyAlignment="1" applyProtection="1">
      <alignment horizontal="center" vertical="center"/>
      <protection locked="0"/>
    </xf>
    <xf numFmtId="3" fontId="59" fillId="20" borderId="0" xfId="10" quotePrefix="1" applyNumberFormat="1" applyFont="1" applyFill="1" applyAlignment="1" applyProtection="1">
      <alignment horizontal="left" vertical="center"/>
      <protection locked="0"/>
    </xf>
    <xf numFmtId="4" fontId="59" fillId="20" borderId="31" xfId="10" applyNumberFormat="1" applyFont="1" applyFill="1" applyBorder="1" applyAlignment="1" applyProtection="1">
      <alignment horizontal="right" vertical="center"/>
      <protection locked="0"/>
    </xf>
    <xf numFmtId="14" fontId="69" fillId="20" borderId="0" xfId="10" applyNumberFormat="1" applyFont="1" applyFill="1" applyAlignment="1" applyProtection="1">
      <alignment horizontal="center" vertical="center"/>
      <protection locked="0"/>
    </xf>
    <xf numFmtId="10" fontId="69" fillId="20" borderId="0" xfId="10" applyNumberFormat="1" applyFont="1" applyFill="1" applyAlignment="1" applyProtection="1">
      <alignment horizontal="center" vertical="center"/>
      <protection locked="0"/>
    </xf>
    <xf numFmtId="171" fontId="59" fillId="20" borderId="0" xfId="10" applyNumberFormat="1" applyFont="1" applyFill="1" applyAlignment="1" applyProtection="1">
      <alignment horizontal="center" vertical="center"/>
      <protection locked="0"/>
    </xf>
    <xf numFmtId="14" fontId="59" fillId="20" borderId="0" xfId="10" applyNumberFormat="1" applyFont="1" applyFill="1" applyAlignment="1" applyProtection="1">
      <alignment horizontal="center" vertical="center"/>
      <protection locked="0"/>
    </xf>
    <xf numFmtId="170" fontId="69" fillId="20" borderId="0" xfId="10" applyNumberFormat="1" applyFont="1" applyFill="1" applyAlignment="1" applyProtection="1">
      <alignment horizontal="center" vertical="center"/>
      <protection locked="0"/>
    </xf>
    <xf numFmtId="171" fontId="59" fillId="20" borderId="0" xfId="10" quotePrefix="1" applyNumberFormat="1" applyFont="1" applyFill="1" applyAlignment="1" applyProtection="1">
      <alignment horizontal="center" vertical="center"/>
      <protection locked="0"/>
    </xf>
    <xf numFmtId="3" fontId="59" fillId="20" borderId="0" xfId="10" applyNumberFormat="1" applyFont="1" applyFill="1" applyAlignment="1" applyProtection="1">
      <alignment horizontal="left" vertical="center"/>
      <protection locked="0"/>
    </xf>
    <xf numFmtId="4" fontId="60" fillId="20" borderId="0" xfId="10" quotePrefix="1" applyNumberFormat="1" applyFont="1" applyFill="1" applyAlignment="1" applyProtection="1">
      <alignment horizontal="center" vertical="center"/>
      <protection locked="0"/>
    </xf>
    <xf numFmtId="0" fontId="71" fillId="0" borderId="0" xfId="10" applyFont="1" applyAlignment="1" applyProtection="1">
      <alignment horizontal="left" vertical="center"/>
      <protection locked="0"/>
    </xf>
    <xf numFmtId="0" fontId="71" fillId="0" borderId="0" xfId="10" applyFont="1" applyAlignment="1" applyProtection="1">
      <alignment horizontal="center" vertical="center"/>
      <protection locked="0"/>
    </xf>
    <xf numFmtId="170" fontId="71" fillId="0" borderId="0" xfId="10" applyNumberFormat="1" applyFont="1" applyAlignment="1" applyProtection="1">
      <alignment vertical="center"/>
      <protection locked="0"/>
    </xf>
    <xf numFmtId="173" fontId="61" fillId="21" borderId="23" xfId="10" applyNumberFormat="1" applyFont="1" applyFill="1" applyBorder="1" applyAlignment="1" applyProtection="1">
      <alignment horizontal="center" vertical="center"/>
      <protection locked="0"/>
    </xf>
    <xf numFmtId="170" fontId="61" fillId="21" borderId="23" xfId="10" applyNumberFormat="1" applyFont="1" applyFill="1" applyBorder="1" applyAlignment="1" applyProtection="1">
      <alignment horizontal="center" vertical="center"/>
      <protection locked="0"/>
    </xf>
    <xf numFmtId="10" fontId="67" fillId="0" borderId="0" xfId="10" applyNumberFormat="1" applyFont="1" applyAlignment="1" applyProtection="1">
      <alignment horizontal="center" vertical="center"/>
      <protection locked="0"/>
    </xf>
    <xf numFmtId="3" fontId="73" fillId="0" borderId="0" xfId="10" applyNumberFormat="1" applyFont="1" applyAlignment="1" applyProtection="1">
      <alignment horizontal="center" vertical="center"/>
      <protection locked="0"/>
    </xf>
    <xf numFmtId="4" fontId="73" fillId="0" borderId="0" xfId="10" applyNumberFormat="1" applyFont="1" applyAlignment="1" applyProtection="1">
      <alignment horizontal="right" vertical="center"/>
      <protection locked="0"/>
    </xf>
    <xf numFmtId="0" fontId="60" fillId="0" borderId="0" xfId="10" quotePrefix="1" applyFont="1" applyAlignment="1" applyProtection="1">
      <alignment horizontal="center" vertical="center"/>
      <protection locked="0"/>
    </xf>
    <xf numFmtId="4" fontId="74" fillId="0" borderId="0" xfId="10" applyNumberFormat="1" applyFont="1" applyAlignment="1" applyProtection="1">
      <alignment horizontal="right" vertical="center"/>
      <protection locked="0"/>
    </xf>
    <xf numFmtId="4" fontId="71" fillId="0" borderId="0" xfId="10" applyNumberFormat="1" applyFont="1" applyAlignment="1" applyProtection="1">
      <alignment horizontal="center" vertical="center"/>
      <protection locked="0"/>
    </xf>
    <xf numFmtId="0" fontId="60" fillId="0" borderId="0" xfId="10" quotePrefix="1" applyFont="1" applyAlignment="1" applyProtection="1">
      <alignment horizontal="left" vertical="center"/>
      <protection locked="0"/>
    </xf>
    <xf numFmtId="4" fontId="72" fillId="0" borderId="0" xfId="10" applyNumberFormat="1" applyFont="1" applyAlignment="1" applyProtection="1">
      <alignment horizontal="center" vertical="center"/>
      <protection locked="0"/>
    </xf>
    <xf numFmtId="0" fontId="60" fillId="0" borderId="0" xfId="10" quotePrefix="1" applyFont="1" applyAlignment="1" applyProtection="1">
      <alignment vertical="center"/>
      <protection locked="0"/>
    </xf>
    <xf numFmtId="3" fontId="67" fillId="0" borderId="0" xfId="10" applyNumberFormat="1" applyFont="1" applyAlignment="1" applyProtection="1">
      <alignment horizontal="center" vertical="center" wrapText="1"/>
      <protection locked="0"/>
    </xf>
    <xf numFmtId="3" fontId="61" fillId="0" borderId="0" xfId="10" applyNumberFormat="1" applyFont="1" applyAlignment="1" applyProtection="1">
      <alignment vertical="center"/>
      <protection locked="0"/>
    </xf>
    <xf numFmtId="3" fontId="62" fillId="0" borderId="0" xfId="10" applyNumberFormat="1" applyFont="1" applyAlignment="1" applyProtection="1">
      <alignment horizontal="center" vertical="center"/>
      <protection locked="0"/>
    </xf>
    <xf numFmtId="3" fontId="69" fillId="12" borderId="0" xfId="10" applyNumberFormat="1" applyFont="1" applyFill="1" applyAlignment="1" applyProtection="1">
      <alignment horizontal="center" vertical="center"/>
      <protection locked="0"/>
    </xf>
    <xf numFmtId="3" fontId="69" fillId="0" borderId="0" xfId="10" applyNumberFormat="1" applyFont="1" applyAlignment="1" applyProtection="1">
      <alignment horizontal="center" vertical="center"/>
      <protection locked="0"/>
    </xf>
    <xf numFmtId="3" fontId="67" fillId="0" borderId="0" xfId="10" applyNumberFormat="1" applyFont="1" applyAlignment="1" applyProtection="1">
      <alignment horizontal="center" vertical="center"/>
      <protection locked="0"/>
    </xf>
    <xf numFmtId="3" fontId="62" fillId="0" borderId="0" xfId="11" quotePrefix="1" applyNumberFormat="1" applyFont="1" applyFill="1" applyAlignment="1" applyProtection="1">
      <alignment horizontal="center" vertical="center"/>
      <protection locked="0"/>
    </xf>
    <xf numFmtId="3" fontId="69" fillId="20" borderId="0" xfId="10" applyNumberFormat="1" applyFont="1" applyFill="1" applyAlignment="1" applyProtection="1">
      <alignment horizontal="center" vertical="center"/>
      <protection locked="0"/>
    </xf>
    <xf numFmtId="3" fontId="71" fillId="0" borderId="0" xfId="10" applyNumberFormat="1" applyFont="1" applyAlignment="1" applyProtection="1">
      <alignment vertical="center"/>
      <protection locked="0"/>
    </xf>
    <xf numFmtId="4" fontId="61" fillId="0" borderId="0" xfId="11" applyNumberFormat="1" applyFont="1" applyFill="1" applyAlignment="1" applyProtection="1">
      <alignment vertical="center"/>
      <protection locked="0"/>
    </xf>
    <xf numFmtId="4" fontId="59" fillId="20" borderId="37" xfId="10" applyNumberFormat="1" applyFont="1" applyFill="1" applyBorder="1" applyAlignment="1" applyProtection="1">
      <alignment horizontal="center" vertical="center" wrapText="1"/>
      <protection locked="0"/>
    </xf>
    <xf numFmtId="4" fontId="60" fillId="0" borderId="0" xfId="11" applyNumberFormat="1" applyFont="1" applyFill="1" applyBorder="1" applyAlignment="1" applyProtection="1">
      <alignment horizontal="center" vertical="center" wrapText="1"/>
      <protection locked="0"/>
    </xf>
    <xf numFmtId="4" fontId="69" fillId="20" borderId="32" xfId="11" applyNumberFormat="1" applyFont="1" applyFill="1" applyBorder="1" applyAlignment="1" applyProtection="1">
      <alignment vertical="center"/>
      <protection locked="0"/>
    </xf>
    <xf numFmtId="3" fontId="61" fillId="0" borderId="23" xfId="10" applyNumberFormat="1" applyFont="1" applyBorder="1" applyAlignment="1" applyProtection="1">
      <alignment vertical="center"/>
      <protection locked="0"/>
    </xf>
    <xf numFmtId="3" fontId="60" fillId="0" borderId="0" xfId="11" applyNumberFormat="1" applyFont="1" applyFill="1" applyBorder="1" applyAlignment="1" applyProtection="1">
      <alignment horizontal="center" vertical="center" wrapText="1"/>
      <protection locked="0"/>
    </xf>
    <xf numFmtId="3" fontId="69" fillId="20" borderId="32" xfId="11" applyNumberFormat="1" applyFont="1" applyFill="1" applyBorder="1" applyAlignment="1" applyProtection="1">
      <alignment vertical="center"/>
      <protection locked="0"/>
    </xf>
    <xf numFmtId="3" fontId="61" fillId="0" borderId="34" xfId="10" applyNumberFormat="1" applyFont="1" applyBorder="1" applyAlignment="1" applyProtection="1">
      <alignment vertical="center"/>
      <protection locked="0"/>
    </xf>
    <xf numFmtId="3" fontId="61" fillId="0" borderId="0" xfId="11" quotePrefix="1" applyNumberFormat="1" applyFont="1" applyFill="1" applyAlignment="1" applyProtection="1">
      <alignment horizontal="right" vertical="center"/>
      <protection locked="0"/>
    </xf>
    <xf numFmtId="3" fontId="59" fillId="20" borderId="31" xfId="10" applyNumberFormat="1" applyFont="1" applyFill="1" applyBorder="1" applyAlignment="1" applyProtection="1">
      <alignment horizontal="right" vertical="center"/>
      <protection locked="0"/>
    </xf>
    <xf numFmtId="0" fontId="61" fillId="0" borderId="30" xfId="10" applyFont="1" applyBorder="1" applyAlignment="1" applyProtection="1">
      <alignment horizontal="center" vertical="center"/>
      <protection locked="0"/>
    </xf>
    <xf numFmtId="3" fontId="44" fillId="13" borderId="0" xfId="12" applyNumberFormat="1" applyFont="1" applyFill="1"/>
    <xf numFmtId="175" fontId="44" fillId="13" borderId="0" xfId="12" applyNumberFormat="1" applyFont="1" applyFill="1" applyAlignment="1">
      <alignment horizontal="right"/>
    </xf>
    <xf numFmtId="177" fontId="44" fillId="13" borderId="0" xfId="12" applyNumberFormat="1" applyFont="1" applyFill="1"/>
    <xf numFmtId="4" fontId="6" fillId="3" borderId="0" xfId="0" applyNumberFormat="1" applyFont="1" applyFill="1" applyAlignment="1">
      <alignment horizontal="center" vertical="center"/>
    </xf>
    <xf numFmtId="2" fontId="0" fillId="0" borderId="0" xfId="0" applyNumberFormat="1"/>
    <xf numFmtId="0" fontId="54" fillId="15" borderId="20" xfId="5" applyFont="1" applyFill="1" applyBorder="1" applyAlignment="1">
      <alignment horizontal="center" vertical="center"/>
    </xf>
    <xf numFmtId="3" fontId="59" fillId="12" borderId="0" xfId="10" applyNumberFormat="1" applyFont="1" applyFill="1" applyAlignment="1" applyProtection="1">
      <alignment horizontal="right" vertical="center"/>
      <protection locked="0"/>
    </xf>
    <xf numFmtId="3" fontId="69" fillId="20" borderId="39" xfId="11" applyNumberFormat="1" applyFont="1" applyFill="1" applyBorder="1" applyAlignment="1" applyProtection="1">
      <alignment vertical="center"/>
      <protection locked="0"/>
    </xf>
    <xf numFmtId="3" fontId="61" fillId="0" borderId="40" xfId="10" applyNumberFormat="1" applyFont="1" applyBorder="1" applyAlignment="1" applyProtection="1">
      <alignment vertical="center"/>
      <protection locked="0"/>
    </xf>
    <xf numFmtId="3" fontId="69" fillId="20" borderId="0" xfId="11" applyNumberFormat="1" applyFont="1" applyFill="1" applyBorder="1" applyAlignment="1" applyProtection="1">
      <alignment vertical="center"/>
      <protection locked="0"/>
    </xf>
    <xf numFmtId="3" fontId="60" fillId="0" borderId="39" xfId="10" applyNumberFormat="1" applyFont="1" applyBorder="1" applyAlignment="1" applyProtection="1">
      <alignment horizontal="center" vertical="center"/>
      <protection locked="0"/>
    </xf>
    <xf numFmtId="4" fontId="59" fillId="0" borderId="39" xfId="10" applyNumberFormat="1" applyFont="1" applyBorder="1" applyAlignment="1" applyProtection="1">
      <alignment horizontal="center" vertical="center"/>
      <protection locked="0"/>
    </xf>
    <xf numFmtId="0" fontId="52" fillId="12" borderId="25" xfId="0" applyFont="1" applyFill="1" applyBorder="1" applyAlignment="1">
      <alignment horizontal="center" vertical="center"/>
    </xf>
    <xf numFmtId="0" fontId="52" fillId="12" borderId="26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 wrapText="1"/>
    </xf>
    <xf numFmtId="0" fontId="15" fillId="2" borderId="24" xfId="0" applyFont="1" applyFill="1" applyBorder="1" applyAlignment="1">
      <alignment horizontal="center" vertical="center" wrapText="1"/>
    </xf>
    <xf numFmtId="0" fontId="3" fillId="6" borderId="24" xfId="0" applyFont="1" applyFill="1" applyBorder="1" applyAlignment="1">
      <alignment horizontal="center" vertical="center" wrapText="1"/>
    </xf>
    <xf numFmtId="0" fontId="13" fillId="2" borderId="24" xfId="0" applyFont="1" applyFill="1" applyBorder="1" applyAlignment="1">
      <alignment horizontal="center" vertical="center" wrapText="1"/>
    </xf>
    <xf numFmtId="0" fontId="17" fillId="2" borderId="18" xfId="0" applyFont="1" applyFill="1" applyBorder="1" applyAlignment="1">
      <alignment horizontal="center" vertical="center" wrapText="1"/>
    </xf>
    <xf numFmtId="0" fontId="17" fillId="2" borderId="29" xfId="0" applyFont="1" applyFill="1" applyBorder="1" applyAlignment="1">
      <alignment horizontal="center" vertical="center" wrapText="1"/>
    </xf>
    <xf numFmtId="0" fontId="0" fillId="9" borderId="4" xfId="0" applyFill="1" applyBorder="1" applyAlignment="1">
      <alignment horizontal="center" vertical="center"/>
    </xf>
    <xf numFmtId="0" fontId="30" fillId="8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6" fillId="2" borderId="24" xfId="0" applyFont="1" applyFill="1" applyBorder="1" applyAlignment="1">
      <alignment horizontal="center" vertical="center" wrapText="1"/>
    </xf>
    <xf numFmtId="0" fontId="2" fillId="0" borderId="24" xfId="0" applyFon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8" borderId="19" xfId="0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26" fillId="0" borderId="25" xfId="0" applyFont="1" applyBorder="1" applyAlignment="1">
      <alignment horizontal="center" vertical="center"/>
    </xf>
    <xf numFmtId="0" fontId="26" fillId="0" borderId="26" xfId="0" applyFont="1" applyBorder="1" applyAlignment="1">
      <alignment horizontal="center" vertical="center"/>
    </xf>
    <xf numFmtId="0" fontId="20" fillId="0" borderId="0" xfId="0" applyFont="1" applyAlignment="1">
      <alignment horizontal="center"/>
    </xf>
  </cellXfs>
  <cellStyles count="13">
    <cellStyle name="Comma" xfId="4" builtinId="3"/>
    <cellStyle name="Comma 2" xfId="6" xr:uid="{560FE5EB-DC40-45B2-ACCE-09E63E81FA07}"/>
    <cellStyle name="Comma 3" xfId="9" xr:uid="{D16B494D-3DC2-4FF9-B589-0A0E557BD2B1}"/>
    <cellStyle name="Comma 4" xfId="11" xr:uid="{7996B5C2-D43A-4A0D-B9D3-F94BAA05A9E1}"/>
    <cellStyle name="l]_x000d__x000a_Path=M:\RIOCEN01_x000d__x000a_Name=Carlos Emilio Brousse_x000d__x000a_DDEApps=nsf,nsg,nsh,ntf,ns2,ors,org_x000d__x000a_SmartIcons=Todos_x000d__x000a_ 2" xfId="10" xr:uid="{40B207F6-8BD1-4579-93AC-5736D3C085E5}"/>
    <cellStyle name="Normal" xfId="0" builtinId="0"/>
    <cellStyle name="Normal 10" xfId="12" xr:uid="{A9FECF55-F893-42EF-9778-A672E43DF32B}"/>
    <cellStyle name="Normal 2" xfId="2" xr:uid="{00000000-0005-0000-0000-000001000000}"/>
    <cellStyle name="Normal 2 2" xfId="5" xr:uid="{53A568A1-52C1-4EBB-9B4C-854DE2B55521}"/>
    <cellStyle name="Normal 3" xfId="1" xr:uid="{00000000-0005-0000-0000-000002000000}"/>
    <cellStyle name="Normal 4" xfId="8" xr:uid="{8240085B-1F41-4930-A6D1-B4635C7DCB45}"/>
    <cellStyle name="Percent 2" xfId="3" xr:uid="{00000000-0005-0000-0000-000003000000}"/>
    <cellStyle name="Percent 2 2" xfId="7" xr:uid="{8AC288A0-7FFB-48EC-B325-2D6B14FD165D}"/>
  </cellStyles>
  <dxfs count="156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0"/>
        </top>
        <bottom style="thin">
          <color indexed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0"/>
        </top>
        <bottom style="thin">
          <color indexed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top" textRotation="0" wrapText="1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1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1" relative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border outline="0">
        <left style="thin">
          <color auto="1"/>
        </lef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Calibri"/>
        <family val="2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/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4" formatCode="#,##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5" formatCode="0.0000000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0.00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0.00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0.00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9" formatCode="dd/mm/yyyy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9" formatCode="dd/mm/yyyy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9" formatCode="dd/mm/yyyy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9" formatCode="dd/mm/yyyy"/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9" formatCode="dd/mm/yyyy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4" formatCode="#,##0.00"/>
      <fill>
        <patternFill patternType="solid">
          <fgColor indexed="64"/>
          <bgColor theme="0" tint="-4.9989318521683403E-2"/>
        </patternFill>
      </fill>
      <border diagonalUp="0" diagonalDown="0" outline="0">
        <left/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4" formatCode="#,##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Calibri"/>
        <family val="2"/>
        <scheme val="none"/>
      </font>
      <fill>
        <patternFill patternType="solid">
          <fgColor indexed="64"/>
          <bgColor rgb="FFFFC00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164" formatCode="0.0000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30" formatCode="@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166" formatCode="yyyy\-mm\-dd\ hh:mm:ss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30" formatCode="@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30" formatCode="@"/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30" formatCode="@"/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30" formatCode="@"/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30" formatCode="@"/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30" formatCode="@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30" formatCode="@"/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numFmt numFmtId="30" formatCode="@"/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none"/>
      </font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Calibri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mruColors>
      <color rgb="FF9C0006"/>
      <color rgb="FFFFC7CE"/>
      <color rgb="FFFFB9B9"/>
      <color rgb="FFFF7979"/>
      <color rgb="FFF2F2F2"/>
      <color rgb="FFEEE5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tdat07\begrp\CP06revAnnex1_workinprogres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39_"/>
      <sheetName val="Streamlining"/>
      <sheetName val="Table 1_1"/>
      <sheetName val="Table 1_2"/>
      <sheetName val="Table 1_3"/>
      <sheetName val="Table 2_"/>
      <sheetName val="Information___"/>
      <sheetName val="Table 3_"/>
      <sheetName val="Table 4_"/>
      <sheetName val="Table 5_"/>
      <sheetName val="Table 6_"/>
      <sheetName val="Table 7_"/>
      <sheetName val="Table 8_"/>
      <sheetName val="Table 9_new"/>
      <sheetName val="Table 9_"/>
      <sheetName val="Table 10_"/>
      <sheetName val="Table 11_"/>
      <sheetName val="Table 12_"/>
      <sheetName val="Table 13_"/>
      <sheetName val="Table 14_"/>
      <sheetName val="Table 15_"/>
      <sheetName val="Table 16_"/>
      <sheetName val="Table 17_"/>
      <sheetName val="Table 18_"/>
      <sheetName val="Table 19_"/>
      <sheetName val="Table 20_"/>
      <sheetName val="Table 21_"/>
      <sheetName val="Table 22_"/>
      <sheetName val="Table 23_"/>
      <sheetName val="Table 24_"/>
      <sheetName val="Table 25_"/>
      <sheetName val="Table 26_"/>
      <sheetName val="Table 27_"/>
      <sheetName val="Table 28_"/>
      <sheetName val="Table 29_"/>
      <sheetName val="Table 30_"/>
      <sheetName val="Table 31_"/>
      <sheetName val="Table 32_"/>
      <sheetName val="Table 33_"/>
      <sheetName val="Table 34_"/>
      <sheetName val="Table 34_LUX1"/>
      <sheetName val="Table 34_LUX2"/>
      <sheetName val="Table 35_"/>
      <sheetName val="Table 36_"/>
      <sheetName val="Table 37_"/>
      <sheetName val="Table 37_BE_ES"/>
      <sheetName val="Table 38A_"/>
      <sheetName val="Table 38B _ 38C_"/>
      <sheetName val="Table 38_BE_ES"/>
      <sheetName val="Table 38_clean"/>
      <sheetName val="2 Balance sheet"/>
      <sheetName val="Valores"/>
      <sheetName val="Lista"/>
      <sheetName val="Table_39_1"/>
      <sheetName val="Table_1_11"/>
      <sheetName val="Table_1_21"/>
      <sheetName val="Table_1_31"/>
      <sheetName val="Table_2_1"/>
      <sheetName val="Table_3_1"/>
      <sheetName val="Table_4_1"/>
      <sheetName val="Table_5_1"/>
      <sheetName val="Table_6_1"/>
      <sheetName val="Table_7_1"/>
      <sheetName val="Table_8_1"/>
      <sheetName val="Table_9_new1"/>
      <sheetName val="Table_9_1"/>
      <sheetName val="Table_10_1"/>
      <sheetName val="Table_11_1"/>
      <sheetName val="Table_12_1"/>
      <sheetName val="Table_13_1"/>
      <sheetName val="Table_14_1"/>
      <sheetName val="Table_15_1"/>
      <sheetName val="Table_16_1"/>
      <sheetName val="Table_17_1"/>
      <sheetName val="Table_18_1"/>
      <sheetName val="Table_19_1"/>
      <sheetName val="Table_20_1"/>
      <sheetName val="Table_21_1"/>
      <sheetName val="Table_22_1"/>
      <sheetName val="Table_23_1"/>
      <sheetName val="Table_24_1"/>
      <sheetName val="Table_25_1"/>
      <sheetName val="Table_26_1"/>
      <sheetName val="Table_27_1"/>
      <sheetName val="Table_28_1"/>
      <sheetName val="Table_29_1"/>
      <sheetName val="Table_30_1"/>
      <sheetName val="Table_31_1"/>
      <sheetName val="Table_32_1"/>
      <sheetName val="Table_33_1"/>
      <sheetName val="Table_34_1"/>
      <sheetName val="Table_34_LUX11"/>
      <sheetName val="Table_34_LUX21"/>
      <sheetName val="Table_35_1"/>
      <sheetName val="Table_36_1"/>
      <sheetName val="Table_37_1"/>
      <sheetName val="Table_37_BE_ES1"/>
      <sheetName val="Table_38A_1"/>
      <sheetName val="Table_38B___38C_1"/>
      <sheetName val="Table_38_BE_ES1"/>
      <sheetName val="Table_38_clean1"/>
      <sheetName val="2_Balance_sheet1"/>
      <sheetName val="Table_39_"/>
      <sheetName val="Table_1_1"/>
      <sheetName val="Table_1_2"/>
      <sheetName val="Table_1_3"/>
      <sheetName val="Table_2_"/>
      <sheetName val="Table_3_"/>
      <sheetName val="Table_4_"/>
      <sheetName val="Table_5_"/>
      <sheetName val="Table_6_"/>
      <sheetName val="Table_7_"/>
      <sheetName val="Table_8_"/>
      <sheetName val="Table_9_new"/>
      <sheetName val="Table_9_"/>
      <sheetName val="Table_10_"/>
      <sheetName val="Table_11_"/>
      <sheetName val="Table_12_"/>
      <sheetName val="Table_13_"/>
      <sheetName val="Table_14_"/>
      <sheetName val="Table_15_"/>
      <sheetName val="Table_16_"/>
      <sheetName val="Table_17_"/>
      <sheetName val="Table_18_"/>
      <sheetName val="Table_19_"/>
      <sheetName val="Table_20_"/>
      <sheetName val="Table_21_"/>
      <sheetName val="Table_22_"/>
      <sheetName val="Table_23_"/>
      <sheetName val="Table_24_"/>
      <sheetName val="Table_25_"/>
      <sheetName val="Table_26_"/>
      <sheetName val="Table_27_"/>
      <sheetName val="Table_28_"/>
      <sheetName val="Table_29_"/>
      <sheetName val="Table_30_"/>
      <sheetName val="Table_31_"/>
      <sheetName val="Table_32_"/>
      <sheetName val="Table_33_"/>
      <sheetName val="Table_34_"/>
      <sheetName val="Table_34_LUX1"/>
      <sheetName val="Table_34_LUX2"/>
      <sheetName val="Table_35_"/>
      <sheetName val="Table_36_"/>
      <sheetName val="Table_37_"/>
      <sheetName val="Table_37_BE_ES"/>
      <sheetName val="Table_38A_"/>
      <sheetName val="Table_38B___38C_"/>
      <sheetName val="Table_38_BE_ES"/>
      <sheetName val="Table_38_clean"/>
      <sheetName val="2_Balance_sheet"/>
      <sheetName val="Table_39_2"/>
      <sheetName val="Table_1_12"/>
      <sheetName val="Table_1_22"/>
      <sheetName val="Table_1_32"/>
      <sheetName val="Table_2_2"/>
      <sheetName val="Table_3_2"/>
      <sheetName val="Table_4_2"/>
      <sheetName val="Table_5_2"/>
      <sheetName val="Table_6_2"/>
      <sheetName val="Table_7_2"/>
      <sheetName val="Table_8_2"/>
      <sheetName val="Table_9_new2"/>
      <sheetName val="Table_9_2"/>
      <sheetName val="Table_10_2"/>
      <sheetName val="Table_11_2"/>
      <sheetName val="Table_12_2"/>
      <sheetName val="Table_13_2"/>
      <sheetName val="Table_14_2"/>
      <sheetName val="Table_15_2"/>
      <sheetName val="Table_16_2"/>
      <sheetName val="Table_17_2"/>
      <sheetName val="Table_18_2"/>
      <sheetName val="Table_19_2"/>
      <sheetName val="Table_20_2"/>
      <sheetName val="Table_21_2"/>
      <sheetName val="Table_22_2"/>
      <sheetName val="Table_23_2"/>
      <sheetName val="Table_24_2"/>
      <sheetName val="Table_25_2"/>
      <sheetName val="Table_26_2"/>
      <sheetName val="Table_27_2"/>
      <sheetName val="Table_28_2"/>
      <sheetName val="Table_29_2"/>
      <sheetName val="Table_30_2"/>
      <sheetName val="Table_31_2"/>
      <sheetName val="Table_32_2"/>
      <sheetName val="Table_33_2"/>
      <sheetName val="Table_34_2"/>
      <sheetName val="Table_34_LUX12"/>
      <sheetName val="Table_34_LUX22"/>
      <sheetName val="Table_35_2"/>
      <sheetName val="Table_36_2"/>
      <sheetName val="Table_37_2"/>
      <sheetName val="Table_37_BE_ES2"/>
      <sheetName val="Table_38A_2"/>
      <sheetName val="Table_38B___38C_2"/>
      <sheetName val="Table_38_BE_ES2"/>
      <sheetName val="Table_38_clean2"/>
      <sheetName val="2_Balance_sheet2"/>
      <sheetName val="Table_39_3"/>
      <sheetName val="Table_1_13"/>
      <sheetName val="Table_1_23"/>
      <sheetName val="Table_1_33"/>
      <sheetName val="Table_2_3"/>
      <sheetName val="Table_3_3"/>
      <sheetName val="Table_4_3"/>
      <sheetName val="Table_5_3"/>
      <sheetName val="Table_6_3"/>
      <sheetName val="Table_7_3"/>
      <sheetName val="Table_8_3"/>
      <sheetName val="Table_9_new3"/>
      <sheetName val="Table_9_3"/>
      <sheetName val="Table_10_3"/>
      <sheetName val="Table_11_3"/>
      <sheetName val="Table_12_3"/>
      <sheetName val="Table_13_3"/>
      <sheetName val="Table_14_3"/>
      <sheetName val="Table_15_3"/>
      <sheetName val="Table_16_3"/>
      <sheetName val="Table_17_3"/>
      <sheetName val="Table_18_3"/>
      <sheetName val="Table_19_3"/>
      <sheetName val="Table_20_3"/>
      <sheetName val="Table_21_3"/>
      <sheetName val="Table_22_3"/>
      <sheetName val="Table_23_3"/>
      <sheetName val="Table_24_3"/>
      <sheetName val="Table_25_3"/>
      <sheetName val="Table_26_3"/>
      <sheetName val="Table_27_3"/>
      <sheetName val="Table_28_3"/>
      <sheetName val="Table_29_3"/>
      <sheetName val="Table_30_3"/>
      <sheetName val="Table_31_3"/>
      <sheetName val="Table_32_3"/>
      <sheetName val="Table_33_3"/>
      <sheetName val="Table_34_3"/>
      <sheetName val="Table_34_LUX13"/>
      <sheetName val="Table_34_LUX23"/>
      <sheetName val="Table_35_3"/>
      <sheetName val="Table_36_3"/>
      <sheetName val="Table_37_3"/>
      <sheetName val="Table_37_BE_ES3"/>
      <sheetName val="Table_38A_3"/>
      <sheetName val="Table_38B___38C_3"/>
      <sheetName val="Table_38_BE_ES3"/>
      <sheetName val="Table_38_clean3"/>
      <sheetName val="2_Balance_sheet3"/>
      <sheetName val="Table_39_4"/>
      <sheetName val="Table_1_14"/>
      <sheetName val="Table_1_24"/>
      <sheetName val="Table_1_34"/>
      <sheetName val="Table_2_4"/>
      <sheetName val="Table_3_4"/>
      <sheetName val="Table_4_4"/>
      <sheetName val="Table_5_4"/>
      <sheetName val="Table_6_4"/>
      <sheetName val="Table_7_4"/>
      <sheetName val="Table_8_4"/>
      <sheetName val="Table_9_new4"/>
      <sheetName val="Table_9_4"/>
      <sheetName val="Table_10_4"/>
      <sheetName val="Table_11_4"/>
      <sheetName val="Table_12_4"/>
      <sheetName val="Table_13_4"/>
      <sheetName val="Table_14_4"/>
      <sheetName val="Table_15_4"/>
      <sheetName val="Table_16_4"/>
      <sheetName val="Table_17_4"/>
      <sheetName val="Table_18_4"/>
      <sheetName val="Table_19_4"/>
      <sheetName val="Table_20_4"/>
      <sheetName val="Table_21_4"/>
      <sheetName val="Table_22_4"/>
      <sheetName val="Table_23_4"/>
      <sheetName val="Table_24_4"/>
      <sheetName val="Table_25_4"/>
      <sheetName val="Table_26_4"/>
      <sheetName val="Table_27_4"/>
      <sheetName val="Table_28_4"/>
      <sheetName val="Table_29_4"/>
      <sheetName val="Table_30_4"/>
      <sheetName val="Table_31_4"/>
      <sheetName val="Table_32_4"/>
      <sheetName val="Table_33_4"/>
      <sheetName val="Table_34_4"/>
      <sheetName val="Table_34_LUX14"/>
      <sheetName val="Table_34_LUX24"/>
      <sheetName val="Table_35_4"/>
      <sheetName val="Table_36_4"/>
      <sheetName val="Table_37_4"/>
      <sheetName val="Table_37_BE_ES4"/>
      <sheetName val="Table_38A_4"/>
      <sheetName val="Table_38B___38C_4"/>
      <sheetName val="Table_38_BE_ES4"/>
      <sheetName val="Table_38_clean4"/>
      <sheetName val="2_Balance_sheet4"/>
      <sheetName val="Table_39_5"/>
      <sheetName val="Table_1_15"/>
      <sheetName val="Table_1_25"/>
      <sheetName val="Table_1_35"/>
      <sheetName val="Table_2_5"/>
      <sheetName val="Table_3_5"/>
      <sheetName val="Table_4_5"/>
      <sheetName val="Table_5_5"/>
      <sheetName val="Table_6_5"/>
      <sheetName val="Table_7_5"/>
      <sheetName val="Table_8_5"/>
      <sheetName val="Table_9_new5"/>
      <sheetName val="Table_9_5"/>
      <sheetName val="Table_10_5"/>
      <sheetName val="Table_11_5"/>
      <sheetName val="Table_12_5"/>
      <sheetName val="Table_13_5"/>
      <sheetName val="Table_14_5"/>
      <sheetName val="Table_15_5"/>
      <sheetName val="Table_16_5"/>
      <sheetName val="Table_17_5"/>
      <sheetName val="Table_18_5"/>
      <sheetName val="Table_19_5"/>
      <sheetName val="Table_20_5"/>
      <sheetName val="Table_21_5"/>
      <sheetName val="Table_22_5"/>
      <sheetName val="Table_23_5"/>
      <sheetName val="Table_24_5"/>
      <sheetName val="Table_25_5"/>
      <sheetName val="Table_26_5"/>
      <sheetName val="Table_27_5"/>
      <sheetName val="Table_28_5"/>
      <sheetName val="Table_29_5"/>
      <sheetName val="Table_30_5"/>
      <sheetName val="Table_31_5"/>
      <sheetName val="Table_32_5"/>
      <sheetName val="Table_33_5"/>
      <sheetName val="Table_34_5"/>
      <sheetName val="Table_34_LUX15"/>
      <sheetName val="Table_34_LUX25"/>
      <sheetName val="Table_35_5"/>
      <sheetName val="Table_36_5"/>
      <sheetName val="Table_37_5"/>
      <sheetName val="Table_37_BE_ES5"/>
      <sheetName val="Table_38A_5"/>
      <sheetName val="Table_38B___38C_5"/>
      <sheetName val="Table_38_BE_ES5"/>
      <sheetName val="Table_38_clean5"/>
      <sheetName val="2_Balance_sheet5"/>
      <sheetName val="Table_39_6"/>
      <sheetName val="Table_1_16"/>
      <sheetName val="Table_1_26"/>
      <sheetName val="Table_1_36"/>
      <sheetName val="Table_2_6"/>
      <sheetName val="Table_3_6"/>
      <sheetName val="Table_4_6"/>
      <sheetName val="Table_5_6"/>
      <sheetName val="Table_6_6"/>
      <sheetName val="Table_7_6"/>
      <sheetName val="Table_8_6"/>
      <sheetName val="Table_9_new6"/>
      <sheetName val="Table_9_6"/>
      <sheetName val="Table_10_6"/>
      <sheetName val="Table_11_6"/>
      <sheetName val="Table_12_6"/>
      <sheetName val="Table_13_6"/>
      <sheetName val="Table_14_6"/>
      <sheetName val="Table_15_6"/>
      <sheetName val="Table_16_6"/>
      <sheetName val="Table_17_6"/>
      <sheetName val="Table_18_6"/>
      <sheetName val="Table_19_6"/>
      <sheetName val="Table_20_6"/>
      <sheetName val="Table_21_6"/>
      <sheetName val="Table_22_6"/>
      <sheetName val="Table_23_6"/>
      <sheetName val="Table_24_6"/>
      <sheetName val="Table_25_6"/>
      <sheetName val="Table_26_6"/>
      <sheetName val="Table_27_6"/>
      <sheetName val="Table_28_6"/>
      <sheetName val="Table_29_6"/>
      <sheetName val="Table_30_6"/>
      <sheetName val="Table_31_6"/>
      <sheetName val="Table_32_6"/>
      <sheetName val="Table_33_6"/>
      <sheetName val="Table_34_6"/>
      <sheetName val="Table_34_LUX16"/>
      <sheetName val="Table_34_LUX26"/>
      <sheetName val="Table_35_6"/>
      <sheetName val="Table_36_6"/>
      <sheetName val="Table_37_6"/>
      <sheetName val="Table_37_BE_ES6"/>
      <sheetName val="Table_38A_6"/>
      <sheetName val="Table_38B___38C_6"/>
      <sheetName val="Table_38_BE_ES6"/>
      <sheetName val="Table_38_clean6"/>
      <sheetName val="2_Balance_sheet6"/>
      <sheetName val="Table_39_7"/>
      <sheetName val="Table_1_17"/>
      <sheetName val="Table_1_27"/>
      <sheetName val="Table_1_37"/>
      <sheetName val="Table_2_7"/>
      <sheetName val="Table_3_7"/>
      <sheetName val="Table_4_7"/>
      <sheetName val="Table_5_7"/>
      <sheetName val="Table_6_7"/>
      <sheetName val="Table_7_7"/>
      <sheetName val="Table_8_7"/>
      <sheetName val="Table_9_new7"/>
      <sheetName val="Table_9_7"/>
      <sheetName val="Table_10_7"/>
      <sheetName val="Table_11_7"/>
      <sheetName val="Table_12_7"/>
      <sheetName val="Table_13_7"/>
      <sheetName val="Table_14_7"/>
      <sheetName val="Table_15_7"/>
      <sheetName val="Table_16_7"/>
      <sheetName val="Table_17_7"/>
      <sheetName val="Table_18_7"/>
      <sheetName val="Table_19_7"/>
      <sheetName val="Table_20_7"/>
      <sheetName val="Table_21_7"/>
      <sheetName val="Table_22_7"/>
      <sheetName val="Table_23_7"/>
      <sheetName val="Table_24_7"/>
      <sheetName val="Table_25_7"/>
      <sheetName val="Table_26_7"/>
      <sheetName val="Table_27_7"/>
      <sheetName val="Table_28_7"/>
      <sheetName val="Table_29_7"/>
      <sheetName val="Table_30_7"/>
      <sheetName val="Table_31_7"/>
      <sheetName val="Table_32_7"/>
      <sheetName val="Table_33_7"/>
      <sheetName val="Table_34_7"/>
      <sheetName val="Table_34_LUX17"/>
      <sheetName val="Table_34_LUX27"/>
      <sheetName val="Table_35_7"/>
      <sheetName val="Table_36_7"/>
      <sheetName val="Table_37_7"/>
      <sheetName val="Table_37_BE_ES7"/>
      <sheetName val="Table_38A_7"/>
      <sheetName val="Table_38B___38C_7"/>
      <sheetName val="Table_38_BE_ES7"/>
      <sheetName val="Table_38_clean7"/>
      <sheetName val="2_Balance_sheet7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B99.00" displayName="B99.00" ref="A3:K4" totalsRowShown="0" headerRowDxfId="155" dataDxfId="153" headerRowBorderDxfId="154" tableBorderDxfId="152" totalsRowBorderDxfId="151">
  <autoFilter ref="A3:K4" xr:uid="{00000000-0009-0000-0100-000003000000}"/>
  <tableColumns count="11">
    <tableColumn id="1" xr3:uid="{00000000-0010-0000-0000-000001000000}" name="c0010" dataDxfId="150"/>
    <tableColumn id="2" xr3:uid="{00000000-0010-0000-0000-000002000000}" name="c0020" dataDxfId="149"/>
    <tableColumn id="3" xr3:uid="{00000000-0010-0000-0000-000003000000}" name="c0030" dataDxfId="148"/>
    <tableColumn id="5" xr3:uid="{00000000-0010-0000-0000-000005000000}" name="c0040" dataDxfId="147"/>
    <tableColumn id="4" xr3:uid="{00000000-0010-0000-0000-000004000000}" name="c0041" dataDxfId="146"/>
    <tableColumn id="6" xr3:uid="{00000000-0010-0000-0000-000006000000}" name="c0050" dataDxfId="145"/>
    <tableColumn id="11" xr3:uid="{00000000-0010-0000-0000-00000B000000}" name="c0051" dataDxfId="144"/>
    <tableColumn id="7" xr3:uid="{00000000-0010-0000-0000-000007000000}" name="c0060" dataDxfId="143"/>
    <tableColumn id="8" xr3:uid="{00000000-0010-0000-0000-000008000000}" name="c0070" dataDxfId="142"/>
    <tableColumn id="9" xr3:uid="{00000000-0010-0000-0000-000009000000}" name="c0080" dataDxfId="141"/>
    <tableColumn id="10" xr3:uid="{00000000-0010-0000-0000-00000A000000}" name="c0090" dataDxfId="14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89EDBCE-9279-4633-976B-7C74BA58B4B9}" name="B02.00" displayName="B02.00" ref="A4:CC12" totalsRowShown="0" headerRowDxfId="139" dataDxfId="138" tableBorderDxfId="137">
  <autoFilter ref="A4:CC12" xr:uid="{389EDBCE-9279-4633-976B-7C74BA58B4B9}"/>
  <tableColumns count="81">
    <tableColumn id="1" xr3:uid="{29577B76-0967-4E22-B079-EC923CB7CDD2}" name="c0010" dataDxfId="136"/>
    <tableColumn id="2" xr3:uid="{8C5F0D07-B9F4-4E1B-9BC8-8446482567D2}" name="c0020" dataDxfId="135"/>
    <tableColumn id="3" xr3:uid="{812B79A0-7C31-4C72-803A-352BA60E1546}" name="c0030" dataDxfId="134"/>
    <tableColumn id="4" xr3:uid="{22979F19-A052-43A0-BBC2-5BF432099930}" name="c0040" dataDxfId="133"/>
    <tableColumn id="6" xr3:uid="{61B47B0A-D897-4518-A43D-34778984081D}" name="c0050" dataDxfId="132"/>
    <tableColumn id="7" xr3:uid="{FD4F875D-F9CE-46C2-87B3-0F7F332BCC52}" name="c0060" dataDxfId="131"/>
    <tableColumn id="8" xr3:uid="{760ADEC0-B4DB-4110-B49D-53F0AFA7349A}" name="c0070" dataDxfId="130"/>
    <tableColumn id="9" xr3:uid="{5EC1E6AA-F6B5-41A1-B864-9CDD7EDF9714}" name="c0080" dataDxfId="129"/>
    <tableColumn id="10" xr3:uid="{29C57B83-7EB0-4D50-98AA-B896C0BB11C3}" name="c0090" dataDxfId="128"/>
    <tableColumn id="11" xr3:uid="{366B1DBD-B725-46F6-A408-07F53CC0F33C}" name="c0100" dataDxfId="127"/>
    <tableColumn id="12" xr3:uid="{843CEA81-7B42-46FA-A26F-917D352B0638}" name="c0110" dataDxfId="126"/>
    <tableColumn id="13" xr3:uid="{F3903C1C-C8C3-4E5E-BF47-B7295B2BD7C3}" name="c0120" dataDxfId="125"/>
    <tableColumn id="14" xr3:uid="{37C1C060-5F92-495D-A956-11CE35E115E5}" name="c0130" dataDxfId="124"/>
    <tableColumn id="15" xr3:uid="{8DDF52F8-DCEA-45A0-84DD-A880487D9704}" name="c0140" dataDxfId="123"/>
    <tableColumn id="16" xr3:uid="{0E05E4F0-A5A1-41AA-9575-62D2D4DFF683}" name="c0141" dataDxfId="122"/>
    <tableColumn id="17" xr3:uid="{CAD3488B-C1F8-42BF-8F11-96CAE88042B2}" name="c0150" dataDxfId="121"/>
    <tableColumn id="18" xr3:uid="{13B65B21-B7D1-486D-B770-F8B25A3424FF}" name="c0160" dataDxfId="120"/>
    <tableColumn id="19" xr3:uid="{D6BF52F5-C5A8-44A4-974C-CC4BF0FD522B}" name="c0161" dataDxfId="119"/>
    <tableColumn id="20" xr3:uid="{DB0BF871-D836-47C4-AB39-C7C143063072}" name="c0162" dataDxfId="118"/>
    <tableColumn id="21" xr3:uid="{61492FDD-A9B9-4FB4-9C04-62F3107B1884}" name="c0170" dataDxfId="117"/>
    <tableColumn id="22" xr3:uid="{872EA4D6-4018-4EAF-9D8E-8E0B862BBDA9}" name="c0180" dataDxfId="116"/>
    <tableColumn id="23" xr3:uid="{80657E04-C663-48F4-BAD2-AEDB353CA795}" name="c0190" dataDxfId="115"/>
    <tableColumn id="24" xr3:uid="{F0A47178-B183-4B40-A33B-73AB268BC61B}" name="c0200" dataDxfId="114"/>
    <tableColumn id="25" xr3:uid="{B8A207D0-49C3-414C-B0DF-E1325913B232}" name="c0210" dataDxfId="113"/>
    <tableColumn id="26" xr3:uid="{D7DFE537-15F0-40D8-AD0B-A466269CDEA2}" name="c0220" dataDxfId="112"/>
    <tableColumn id="27" xr3:uid="{3D218D4C-EE36-419B-A1C5-EACC188CD9DF}" name="c0230" dataDxfId="111"/>
    <tableColumn id="28" xr3:uid="{0B7282A2-0F28-46C4-A52F-8C29639A55B5}" name="c0240" dataDxfId="110"/>
    <tableColumn id="29" xr3:uid="{4A3A72D2-8095-4ACD-AC5C-237AF4BADAA9}" name="c0250" dataDxfId="109"/>
    <tableColumn id="30" xr3:uid="{8CAB969E-EEB8-4F7F-A308-2BDA40B3F486}" name="c0260" dataDxfId="108"/>
    <tableColumn id="31" xr3:uid="{05D28676-CCDA-4BE5-ADD7-6355ED9125A6}" name="c0270" dataDxfId="107"/>
    <tableColumn id="32" xr3:uid="{F362F67D-FDDF-4C4D-9E7F-0ED1D4C221FA}" name="c0280" dataDxfId="106"/>
    <tableColumn id="33" xr3:uid="{8EABEA2E-53ED-4351-AFA8-46897CBD17B2}" name="c0290" dataDxfId="105"/>
    <tableColumn id="34" xr3:uid="{5939D761-6235-4CA6-9E91-F3307FFDBFD0}" name="c0300" dataDxfId="104"/>
    <tableColumn id="35" xr3:uid="{8A63B0BC-0461-4761-8B43-8685778E1855}" name="c0310" dataDxfId="103"/>
    <tableColumn id="36" xr3:uid="{F0A4E5EE-38DB-43F0-8F8F-7A0038C0990C}" name="c0320" dataDxfId="102"/>
    <tableColumn id="37" xr3:uid="{E3B9DC01-76FA-4AE7-BC40-496F87CABD76}" name="c0330" dataDxfId="101"/>
    <tableColumn id="38" xr3:uid="{A0502119-C549-4FAB-A41E-09C37098E56B}" name="c0340" dataDxfId="100"/>
    <tableColumn id="39" xr3:uid="{97E0D62C-5681-44AA-AEEA-97F6D1E3A48C}" name="c0350" dataDxfId="99"/>
    <tableColumn id="40" xr3:uid="{476E1958-0B17-4132-8269-37CD770B5972}" name="c0351" dataDxfId="98"/>
    <tableColumn id="41" xr3:uid="{F909C360-F210-4B91-A8C9-CA64B85C41AD}" name="c0360" dataDxfId="97"/>
    <tableColumn id="42" xr3:uid="{3532A42B-391C-4F65-9FBE-B89421F65EC8}" name="c0370" dataDxfId="96"/>
    <tableColumn id="43" xr3:uid="{AEE9F4DE-71EE-4B77-86D1-4ACF3BA39764}" name="c0380" dataDxfId="95"/>
    <tableColumn id="44" xr3:uid="{5484D404-9F48-432E-83F1-314A24BC4731}" name="c0390" dataDxfId="94"/>
    <tableColumn id="45" xr3:uid="{2DD520B1-16A6-4B31-9D98-FA7DF38A293E}" name="c0391" dataDxfId="93"/>
    <tableColumn id="46" xr3:uid="{985A4527-C191-463E-8FC2-99C266A51437}" name="c0400" dataDxfId="92"/>
    <tableColumn id="47" xr3:uid="{FFC16086-8F51-468E-B7A0-6449B3F7B5D5}" name="c0410" dataDxfId="91"/>
    <tableColumn id="48" xr3:uid="{1CB03BE8-6CE1-4656-B8AE-0CBB705CC109}" name="c0420" dataDxfId="90"/>
    <tableColumn id="49" xr3:uid="{7EA32BED-AB8F-4514-8A5B-EFCF9E65AF7B}" name="c0430" dataDxfId="89"/>
    <tableColumn id="50" xr3:uid="{3A6DA389-C962-40FB-93FD-7D4241012BF5}" name="c0431" dataDxfId="88"/>
    <tableColumn id="51" xr3:uid="{58684F1B-3AC4-464F-9704-DAE61F31B85A}" name="c0440" dataDxfId="87"/>
    <tableColumn id="52" xr3:uid="{309AA846-20FA-489E-A735-35993A24D6D9}" name="c0450" dataDxfId="86"/>
    <tableColumn id="53" xr3:uid="{846EE0CE-C472-4348-A3A7-804AAA403DEC}" name="c0460" dataDxfId="85"/>
    <tableColumn id="54" xr3:uid="{024ADDB1-8A7E-4659-8FE7-41AF96885F72}" name="c0461" dataDxfId="84"/>
    <tableColumn id="55" xr3:uid="{0CCB3782-B660-4F1A-A594-12AFF7FF7ACD}" name="c0462" dataDxfId="83"/>
    <tableColumn id="56" xr3:uid="{9879C2EF-EEC7-4ADE-A928-2C9B85EE184F}" name="c0470" dataDxfId="82"/>
    <tableColumn id="57" xr3:uid="{C00EAE26-D191-4656-A64D-71E402D5E900}" name="c0471" dataDxfId="81"/>
    <tableColumn id="58" xr3:uid="{F19365E7-D0B8-4E01-B8F8-958F45DF55CA}" name="c0480" dataDxfId="80"/>
    <tableColumn id="59" xr3:uid="{4273B349-CE50-403A-914D-5A5F8FB4BF03}" name="c0481" dataDxfId="79"/>
    <tableColumn id="60" xr3:uid="{DDDA5D53-BF9F-4983-8700-3C5DE4449F89}" name="c0490" dataDxfId="78"/>
    <tableColumn id="61" xr3:uid="{F76BB2A6-CCCF-4887-8998-EFCE05903F29}" name="c0491" dataDxfId="77"/>
    <tableColumn id="62" xr3:uid="{34F9350C-7A0A-4D1E-80DE-CC7B65AD3BFD}" name="c0500" dataDxfId="76"/>
    <tableColumn id="63" xr3:uid="{F56BC03E-7824-499C-8044-B48DF9187184}" name="c0501" dataDxfId="75"/>
    <tableColumn id="64" xr3:uid="{5A10FCA2-9837-4F1B-82C4-4DEB68364C11}" name="c0510" dataDxfId="74"/>
    <tableColumn id="65" xr3:uid="{6EBB68B1-624F-4BD8-8AC7-382903B1F733}" name="c0511" dataDxfId="73"/>
    <tableColumn id="66" xr3:uid="{A7F481BA-9B05-4091-BD93-4C6CD032B01D}" name="c0520" dataDxfId="72"/>
    <tableColumn id="67" xr3:uid="{0F2633B3-CFB0-4AB4-9FD4-AC2AA28DF6CB}" name="c0521" dataDxfId="71"/>
    <tableColumn id="74" xr3:uid="{5CBF7129-1F44-4BD8-B9F5-15468E84473E}" name="c0530" dataDxfId="70"/>
    <tableColumn id="75" xr3:uid="{F60DA113-1C98-43DB-9CFA-AED26614D62F}" name="c0540" dataDxfId="69"/>
    <tableColumn id="76" xr3:uid="{A206B4C8-C5F9-4C51-893F-ED11E3107494}" name="c0550" dataDxfId="68"/>
    <tableColumn id="77" xr3:uid="{7E59D01B-82DB-490D-AAE0-E09C99D57D8B}" name="c0560" dataDxfId="67"/>
    <tableColumn id="78" xr3:uid="{9C452E4F-B6A2-460E-8B83-27BFA9A227B4}" name="c0570" dataDxfId="66"/>
    <tableColumn id="79" xr3:uid="{27D35F52-E785-4D61-B4BA-11EBCF004962}" name="c0580" dataDxfId="65"/>
    <tableColumn id="80" xr3:uid="{B15881B2-8B3F-4EDA-B4E5-3D951522EE46}" name="c0581" dataDxfId="64"/>
    <tableColumn id="81" xr3:uid="{AC1CC5C2-E25E-4D95-ADA3-DA35A0902449}" name="c0590" dataDxfId="63"/>
    <tableColumn id="82" xr3:uid="{BC7BD204-883A-458C-B383-5FF5B1ED3155}" name="c0600" dataDxfId="62"/>
    <tableColumn id="83" xr3:uid="{7B27EDE5-025F-465E-87FD-1030EB53CD5F}" name="c0610" dataDxfId="61"/>
    <tableColumn id="84" xr3:uid="{F95D2362-6122-4CF4-95C5-852E6DE554C0}" name="c0620" dataDxfId="60"/>
    <tableColumn id="85" xr3:uid="{C4AF8BAF-63F3-4887-88BC-67BADC2ED7BD}" name="c0630" dataDxfId="59"/>
    <tableColumn id="86" xr3:uid="{DDF7CC2D-D66A-4576-B39C-AC13A2778A79}" name="c0640" dataDxfId="58"/>
    <tableColumn id="87" xr3:uid="{CE015B76-E242-456B-935A-F2895A093369}" name="c5000" dataDxfId="57"/>
    <tableColumn id="88" xr3:uid="{48B7F18C-1CF1-4FCF-A730-836C39686BAE}" name="c5010" dataDxfId="5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360C456-593B-4A25-9BE6-CF1E50AF7C0A}" name="B90.00" displayName="B90.00" ref="A4:K13" totalsRowShown="0" headerRowDxfId="55" dataDxfId="54" tableBorderDxfId="53">
  <autoFilter ref="A4:K13" xr:uid="{5360C456-593B-4A25-9BE6-CF1E50AF7C0A}"/>
  <tableColumns count="11">
    <tableColumn id="1" xr3:uid="{1FFCBD30-BACA-4C1A-A5A8-45E390E61E02}" name="c0010" dataDxfId="52"/>
    <tableColumn id="2" xr3:uid="{6AD1A72A-085E-49E0-9FB5-89093FE076CD}" name="c0011" dataDxfId="51"/>
    <tableColumn id="3" xr3:uid="{A255C810-85A4-4729-A382-14CEA274028E}" name="c0020" dataDxfId="50"/>
    <tableColumn id="11" xr3:uid="{D8224A22-D650-4AAA-B1DB-D764BAF6AAE6}" name="c0030" dataDxfId="49"/>
    <tableColumn id="4" xr3:uid="{380CBA4F-D7A7-481A-85C9-D651F8369E95}" name="c0040" dataDxfId="48"/>
    <tableColumn id="5" xr3:uid="{A2F2C497-CBB9-4ED0-ADE0-5AE089071755}" name="c0050" dataDxfId="47"/>
    <tableColumn id="6" xr3:uid="{9045B58B-0309-4438-BEB2-1FB835953064}" name="c0060" dataDxfId="46"/>
    <tableColumn id="7" xr3:uid="{D755C8E7-E52C-49A6-8719-913C652ED21C}" name="c0070" dataDxfId="45"/>
    <tableColumn id="8" xr3:uid="{DC82061B-18A9-44B9-88A5-338BC1D9F512}" name="c0080" dataDxfId="44"/>
    <tableColumn id="9" xr3:uid="{EF90E6B9-881F-4AD7-98BD-DAE1324D43D0}" name="c0090" dataDxfId="43"/>
    <tableColumn id="10" xr3:uid="{EBBD8965-CAE0-4F0B-824C-51D4CBCFC680}" name="c0100" dataDxfId="4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41E6ED-FC13-4EBF-BD34-BA491981CA54}" name="Tabelle1" displayName="Tabelle1" ref="A4:F285" totalsRowShown="0" headerRowBorderDxfId="41" tableBorderDxfId="40">
  <autoFilter ref="A4:F285" xr:uid="{1B41E6ED-FC13-4EBF-BD34-BA491981CA54}"/>
  <sortState xmlns:xlrd2="http://schemas.microsoft.com/office/spreadsheetml/2017/richdata2" ref="A5:F285">
    <sortCondition ref="A4:A285"/>
  </sortState>
  <tableColumns count="6">
    <tableColumn id="1" xr3:uid="{15B7B6FF-DE89-498D-890F-63BD657CDB87}" name="ENTITY" dataDxfId="39"/>
    <tableColumn id="2" xr3:uid="{21C05CF5-7A7D-46AE-B64C-FACBDBD9C228}" name="Currency" dataDxfId="38"/>
    <tableColumn id="3" xr3:uid="{C6DBFA91-514A-495C-9321-3F9AA3202E07}" name="Alphabetic Code" dataDxfId="37"/>
    <tableColumn id="4" xr3:uid="{0BD8349D-6AFC-4365-9255-4E6B7478DE94}" name="Numeric Code" dataDxfId="36"/>
    <tableColumn id="5" xr3:uid="{40A5FE8F-59FC-46EF-AD71-10FF1E4BDB66}" name="Minor unit" dataDxfId="35"/>
    <tableColumn id="7" xr3:uid="{A9F322EF-2430-46DF-933C-A6D3D6B4DAD6}" name="Fund" dataDxfId="3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0CCAC-A8DF-4DE5-BE1A-237F9127A18C}">
  <sheetPr codeName="Sheet8"/>
  <dimension ref="B1:AC12"/>
  <sheetViews>
    <sheetView showGridLines="0" zoomScale="90" zoomScaleNormal="90" workbookViewId="0">
      <selection activeCell="D23" sqref="D23"/>
    </sheetView>
  </sheetViews>
  <sheetFormatPr defaultColWidth="8.6640625" defaultRowHeight="13.2"/>
  <cols>
    <col min="1" max="1" width="1.109375" style="172" customWidth="1"/>
    <col min="2" max="2" width="14" style="172" customWidth="1"/>
    <col min="3" max="3" width="5.5546875" style="172" customWidth="1"/>
    <col min="4" max="4" width="48.6640625" style="172" bestFit="1" customWidth="1"/>
    <col min="5" max="5" width="1.109375" style="172" customWidth="1"/>
    <col min="6" max="7" width="15.6640625" style="172" bestFit="1" customWidth="1"/>
    <col min="8" max="8" width="1.109375" style="172" customWidth="1"/>
    <col min="9" max="9" width="14.88671875" style="172" customWidth="1"/>
    <col min="10" max="11" width="17.44140625" style="172" customWidth="1"/>
    <col min="12" max="12" width="20" style="172" customWidth="1"/>
    <col min="13" max="13" width="11.109375" style="172" bestFit="1" customWidth="1"/>
    <col min="14" max="29" width="11.109375" style="172" customWidth="1"/>
    <col min="30" max="16384" width="8.6640625" style="172"/>
  </cols>
  <sheetData>
    <row r="1" spans="2:29" ht="4.5" customHeight="1"/>
    <row r="2" spans="2:29" ht="22.5" customHeight="1">
      <c r="B2" s="189" t="s">
        <v>2543</v>
      </c>
    </row>
    <row r="3" spans="2:29" ht="4.5" customHeight="1"/>
    <row r="4" spans="2:29" ht="22.5" customHeight="1">
      <c r="B4" s="173" t="s">
        <v>2368</v>
      </c>
      <c r="C4" s="375" t="s">
        <v>2369</v>
      </c>
      <c r="D4" s="173" t="s">
        <v>2370</v>
      </c>
      <c r="F4" s="188" t="s">
        <v>2426</v>
      </c>
      <c r="G4" s="188" t="s">
        <v>2371</v>
      </c>
      <c r="I4" s="174" t="s">
        <v>2542</v>
      </c>
      <c r="J4" s="174" t="s">
        <v>2541</v>
      </c>
      <c r="K4" s="174" t="s">
        <v>2372</v>
      </c>
      <c r="L4" s="174" t="s">
        <v>2373</v>
      </c>
    </row>
    <row r="5" spans="2:29" ht="22.5" customHeight="1">
      <c r="B5" s="175">
        <v>1</v>
      </c>
      <c r="C5" s="176">
        <v>1</v>
      </c>
      <c r="D5" s="177" t="s">
        <v>2374</v>
      </c>
      <c r="F5" s="178">
        <f>SUMIF(Inventory!AF:AF,C5,Inventory!AB:AB)</f>
        <v>1566022662</v>
      </c>
      <c r="G5" s="178">
        <f>SUMIF('B0200'!Q:Q,B5,'B0200'!BX:BX)</f>
        <v>1566022662</v>
      </c>
      <c r="I5" s="179">
        <f>+G5-F5</f>
        <v>0</v>
      </c>
      <c r="J5" s="180">
        <f>(G5-F5)/F5</f>
        <v>0</v>
      </c>
      <c r="K5" s="181" t="str">
        <f>IF(ABS(J5)&lt;0.05,"OK",IF(ABS(J5)&lt;0.1,"Warning","KO"))</f>
        <v>OK</v>
      </c>
      <c r="L5" s="182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  <c r="Y5" s="183"/>
      <c r="Z5" s="183"/>
      <c r="AA5" s="183"/>
      <c r="AB5" s="183"/>
      <c r="AC5" s="183"/>
    </row>
    <row r="6" spans="2:29" ht="22.5" customHeight="1">
      <c r="B6" s="184">
        <v>2</v>
      </c>
      <c r="C6" s="176">
        <v>2</v>
      </c>
      <c r="D6" s="177" t="s">
        <v>2375</v>
      </c>
      <c r="F6" s="178">
        <f>SUMIF(Inventory!AF:AF,C6,Inventory!AB:AB)</f>
        <v>1200000000</v>
      </c>
      <c r="G6" s="178">
        <f>SUMIF('B0200'!Q:Q,B6,'B0200'!BX:BX)</f>
        <v>1200000000</v>
      </c>
      <c r="I6" s="179">
        <f>+G6-F6</f>
        <v>0</v>
      </c>
      <c r="J6" s="180">
        <f>(G6-F6)/F6</f>
        <v>0</v>
      </c>
      <c r="K6" s="181" t="str">
        <f t="shared" ref="K6:K8" si="0">IF(ABS(J6)&lt;0.05,"OK",IF(ABS(J6)&lt;0.1,"Warning","KO"))</f>
        <v>OK</v>
      </c>
      <c r="L6" s="182"/>
      <c r="M6" s="183"/>
      <c r="N6" s="183"/>
      <c r="O6" s="183"/>
      <c r="P6" s="183"/>
      <c r="Q6" s="183"/>
      <c r="R6" s="183"/>
      <c r="S6" s="183"/>
      <c r="T6" s="183"/>
      <c r="U6" s="183"/>
      <c r="V6" s="183"/>
      <c r="W6" s="183"/>
      <c r="X6" s="183"/>
      <c r="Y6" s="183"/>
      <c r="Z6" s="183"/>
      <c r="AA6" s="183"/>
      <c r="AB6" s="183"/>
      <c r="AC6" s="183"/>
    </row>
    <row r="7" spans="2:29" ht="22.5" customHeight="1">
      <c r="B7" s="185">
        <v>3</v>
      </c>
      <c r="C7" s="176">
        <v>3</v>
      </c>
      <c r="D7" s="177" t="s">
        <v>2376</v>
      </c>
      <c r="F7" s="178">
        <f>SUMIF(Inventory!AF:AF,C7,Inventory!AB:AB)</f>
        <v>211384967.26027396</v>
      </c>
      <c r="G7" s="178">
        <f>SUMIF('B0200'!Q:Q,B7,'B0200'!BX:BX)</f>
        <v>211768449.31479451</v>
      </c>
      <c r="I7" s="179">
        <f>+G7-F7</f>
        <v>383482.05452054739</v>
      </c>
      <c r="J7" s="180">
        <f>(G7-F7)/F7</f>
        <v>1.8141406150626303E-3</v>
      </c>
      <c r="K7" s="181" t="str">
        <f t="shared" si="0"/>
        <v>OK</v>
      </c>
      <c r="L7" s="182" t="s">
        <v>2547</v>
      </c>
      <c r="M7" s="183"/>
      <c r="N7" s="183"/>
      <c r="O7" s="183"/>
      <c r="P7" s="183"/>
      <c r="Q7" s="183"/>
      <c r="R7" s="183"/>
      <c r="S7" s="183"/>
      <c r="T7" s="183"/>
      <c r="U7" s="183"/>
      <c r="V7" s="183"/>
      <c r="W7" s="183"/>
      <c r="X7" s="183"/>
      <c r="Y7" s="183"/>
      <c r="Z7" s="183"/>
      <c r="AA7" s="183"/>
      <c r="AB7" s="183"/>
      <c r="AC7" s="183"/>
    </row>
    <row r="8" spans="2:29" ht="22.5" customHeight="1">
      <c r="B8" s="186">
        <v>8</v>
      </c>
      <c r="C8" s="176">
        <v>8</v>
      </c>
      <c r="D8" s="177" t="s">
        <v>2377</v>
      </c>
      <c r="F8" s="178">
        <f>SUMIF(Inventory!AF:AF,C8,Inventory!AB:AB)</f>
        <v>1112871994.5205479</v>
      </c>
      <c r="G8" s="178">
        <f>SUMIF('B0200'!Q:Q,B8,'B0200'!BX:BX)</f>
        <v>1114359561.6432877</v>
      </c>
      <c r="I8" s="179">
        <f>+G8-F8</f>
        <v>1487567.1227397919</v>
      </c>
      <c r="J8" s="180">
        <f>(G8-F8)/F8</f>
        <v>1.3366920275324852E-3</v>
      </c>
      <c r="K8" s="181" t="str">
        <f t="shared" si="0"/>
        <v>OK</v>
      </c>
      <c r="L8" s="182" t="s">
        <v>2547</v>
      </c>
      <c r="M8" s="183"/>
      <c r="N8" s="183"/>
      <c r="O8" s="183"/>
      <c r="P8" s="183"/>
      <c r="Q8" s="183"/>
      <c r="R8" s="183"/>
      <c r="S8" s="183"/>
      <c r="T8" s="183"/>
      <c r="U8" s="183"/>
      <c r="V8" s="183"/>
      <c r="W8" s="183"/>
      <c r="X8" s="183"/>
      <c r="Y8" s="183"/>
      <c r="Z8" s="183"/>
      <c r="AA8" s="183"/>
      <c r="AB8" s="183"/>
      <c r="AC8" s="183"/>
    </row>
    <row r="9" spans="2:29" ht="30" customHeight="1"/>
    <row r="10" spans="2:29" ht="4.5" customHeight="1"/>
    <row r="11" spans="2:29">
      <c r="D11" s="187"/>
      <c r="G11" s="187"/>
    </row>
    <row r="12" spans="2:29">
      <c r="D12" s="187"/>
      <c r="G12" s="18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1BC03-1D80-42B1-8F4D-ED88918BB731}">
  <sheetPr codeName="Hoja1"/>
  <dimension ref="B1:H11"/>
  <sheetViews>
    <sheetView showGridLines="0" workbookViewId="0">
      <selection activeCell="E10" sqref="E10"/>
    </sheetView>
  </sheetViews>
  <sheetFormatPr defaultColWidth="10.88671875" defaultRowHeight="16.2"/>
  <cols>
    <col min="1" max="1" width="1.88671875" style="169" customWidth="1"/>
    <col min="2" max="2" width="14.44140625" style="169" customWidth="1"/>
    <col min="3" max="3" width="1.88671875" style="169" customWidth="1"/>
    <col min="4" max="4" width="16.44140625" style="169" customWidth="1"/>
    <col min="5" max="6" width="11.33203125" style="169" customWidth="1"/>
    <col min="7" max="7" width="1.88671875" style="169" customWidth="1"/>
    <col min="8" max="8" width="41.5546875" style="169" bestFit="1" customWidth="1"/>
    <col min="9" max="13" width="10.88671875" style="169"/>
    <col min="14" max="14" width="26.6640625" style="169" bestFit="1" customWidth="1"/>
    <col min="15" max="15" width="11.109375" style="169" customWidth="1"/>
    <col min="16" max="16" width="11.6640625" style="169" customWidth="1"/>
    <col min="17" max="16384" width="10.88671875" style="169"/>
  </cols>
  <sheetData>
    <row r="1" spans="2:8" ht="6" customHeight="1"/>
    <row r="2" spans="2:8" ht="22.5" customHeight="1">
      <c r="B2" s="190" t="s">
        <v>2553</v>
      </c>
    </row>
    <row r="3" spans="2:8" ht="6" customHeight="1">
      <c r="B3" s="163"/>
    </row>
    <row r="4" spans="2:8" ht="22.5" customHeight="1">
      <c r="D4" s="161" t="s">
        <v>2548</v>
      </c>
      <c r="E4" s="382" t="s">
        <v>2549</v>
      </c>
      <c r="F4" s="383"/>
      <c r="G4" s="192"/>
      <c r="H4" s="161" t="s">
        <v>2550</v>
      </c>
    </row>
    <row r="5" spans="2:8" ht="22.5" customHeight="1">
      <c r="B5" s="191" t="s">
        <v>2183</v>
      </c>
      <c r="D5" s="164">
        <f>COUNT('V_Level 1'!L5:L44)</f>
        <v>40</v>
      </c>
      <c r="E5" s="164">
        <f>COUNTIF('V_Level 1'!N5:N44,"&gt;1%")</f>
        <v>0</v>
      </c>
      <c r="F5" s="165">
        <f>E5/D5</f>
        <v>0</v>
      </c>
      <c r="H5" s="164"/>
    </row>
    <row r="6" spans="2:8" ht="22.5" customHeight="1">
      <c r="B6" s="170" t="s">
        <v>2354</v>
      </c>
      <c r="D6" s="166">
        <f>COUNT('V_Level 1'!L5:L43)</f>
        <v>39</v>
      </c>
      <c r="E6" s="166">
        <f>COUNTIF('V_Level 1'!N5:N43,"&gt;1%")</f>
        <v>0</v>
      </c>
      <c r="F6" s="167">
        <f t="shared" ref="F6:F7" si="0">E6/D6</f>
        <v>0</v>
      </c>
      <c r="H6" s="166"/>
    </row>
    <row r="7" spans="2:8" ht="22.5" customHeight="1">
      <c r="B7" s="171" t="s">
        <v>2355</v>
      </c>
      <c r="D7" s="166">
        <f>COUNT('V_Level 1'!L44)</f>
        <v>1</v>
      </c>
      <c r="E7" s="166">
        <f>COUNTIF('V_Level 1'!N44,"&gt;1%")</f>
        <v>0</v>
      </c>
      <c r="F7" s="167">
        <f t="shared" si="0"/>
        <v>0</v>
      </c>
      <c r="H7" s="166"/>
    </row>
    <row r="8" spans="2:8" ht="22.5" customHeight="1">
      <c r="B8" s="191" t="s">
        <v>2182</v>
      </c>
      <c r="D8" s="164">
        <f>COUNT('V_Level 2'!L4:L43)</f>
        <v>40</v>
      </c>
      <c r="E8" s="164">
        <f>COUNTIF('V_Level 2'!N4:N43,"&gt;1%")</f>
        <v>2</v>
      </c>
      <c r="F8" s="165">
        <f>E8/D8</f>
        <v>0.05</v>
      </c>
      <c r="H8" s="164"/>
    </row>
    <row r="9" spans="2:8" ht="22.5" customHeight="1">
      <c r="B9" s="171" t="s">
        <v>2354</v>
      </c>
      <c r="D9" s="166">
        <f>COUNT('V_Level 2'!L4:L39)</f>
        <v>36</v>
      </c>
      <c r="E9" s="166">
        <f>COUNTIF('V_Level 2'!N4:N39,"&gt;1%")</f>
        <v>0</v>
      </c>
      <c r="F9" s="167">
        <f t="shared" ref="F9:F10" si="1">E9/D9</f>
        <v>0</v>
      </c>
      <c r="H9" s="166"/>
    </row>
    <row r="10" spans="2:8" ht="22.5" customHeight="1">
      <c r="B10" s="171" t="s">
        <v>2355</v>
      </c>
      <c r="D10" s="166">
        <f>COUNT('V_Level 2'!L40:L43)</f>
        <v>4</v>
      </c>
      <c r="E10" s="166">
        <f>COUNTIF('V_Level 2'!N40:N43,"&gt;1%")</f>
        <v>2</v>
      </c>
      <c r="F10" s="167">
        <f t="shared" si="1"/>
        <v>0.5</v>
      </c>
      <c r="H10" s="166" t="s">
        <v>2551</v>
      </c>
    </row>
    <row r="11" spans="2:8" ht="6" customHeight="1"/>
  </sheetData>
  <mergeCells count="1">
    <mergeCell ref="E4:F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0.79998168889431442"/>
  </sheetPr>
  <dimension ref="A2:K4"/>
  <sheetViews>
    <sheetView zoomScale="90" zoomScaleNormal="90" workbookViewId="0">
      <selection activeCell="D34" sqref="D34"/>
    </sheetView>
  </sheetViews>
  <sheetFormatPr defaultColWidth="8.5546875" defaultRowHeight="14.4"/>
  <cols>
    <col min="1" max="1" width="21.5546875" bestFit="1" customWidth="1"/>
    <col min="2" max="2" width="20.6640625" bestFit="1" customWidth="1"/>
    <col min="3" max="3" width="11" bestFit="1" customWidth="1"/>
    <col min="4" max="4" width="18.33203125" bestFit="1" customWidth="1"/>
    <col min="5" max="5" width="21.88671875" bestFit="1" customWidth="1"/>
    <col min="6" max="6" width="18.33203125" bestFit="1" customWidth="1"/>
    <col min="7" max="7" width="21.88671875" bestFit="1" customWidth="1"/>
    <col min="8" max="8" width="17.109375" bestFit="1" customWidth="1"/>
    <col min="9" max="9" width="17.6640625" bestFit="1" customWidth="1"/>
    <col min="10" max="10" width="14.109375" bestFit="1" customWidth="1"/>
    <col min="11" max="11" width="13.5546875" customWidth="1"/>
    <col min="12" max="12" width="8.5546875" customWidth="1"/>
  </cols>
  <sheetData>
    <row r="2" spans="1:11" ht="20.399999999999999">
      <c r="A2" s="11" t="s">
        <v>10</v>
      </c>
      <c r="B2" s="11" t="s">
        <v>11</v>
      </c>
      <c r="C2" s="11" t="s">
        <v>12</v>
      </c>
      <c r="D2" s="11" t="s">
        <v>13</v>
      </c>
      <c r="E2" s="11" t="s">
        <v>14</v>
      </c>
      <c r="F2" s="11" t="s">
        <v>15</v>
      </c>
      <c r="G2" s="11" t="s">
        <v>16</v>
      </c>
      <c r="H2" s="11" t="s">
        <v>17</v>
      </c>
      <c r="I2" s="11" t="s">
        <v>18</v>
      </c>
      <c r="J2" s="11" t="s">
        <v>19</v>
      </c>
      <c r="K2" s="11" t="s">
        <v>20</v>
      </c>
    </row>
    <row r="3" spans="1:11">
      <c r="A3" s="19" t="s">
        <v>2558</v>
      </c>
      <c r="B3" s="18" t="s">
        <v>2559</v>
      </c>
      <c r="C3" s="18" t="s">
        <v>2560</v>
      </c>
      <c r="D3" s="18" t="s">
        <v>2561</v>
      </c>
      <c r="E3" s="18" t="s">
        <v>2562</v>
      </c>
      <c r="F3" s="18" t="s">
        <v>2563</v>
      </c>
      <c r="G3" s="18" t="s">
        <v>2564</v>
      </c>
      <c r="H3" s="18" t="s">
        <v>2565</v>
      </c>
      <c r="I3" s="18" t="s">
        <v>2566</v>
      </c>
      <c r="J3" s="18" t="s">
        <v>2567</v>
      </c>
      <c r="K3" s="20" t="s">
        <v>2568</v>
      </c>
    </row>
    <row r="4" spans="1:11">
      <c r="A4" s="102" t="s">
        <v>2423</v>
      </c>
      <c r="B4" s="103" t="s">
        <v>2388</v>
      </c>
      <c r="C4" s="104" t="s">
        <v>1897</v>
      </c>
      <c r="D4" s="103" t="s">
        <v>2424</v>
      </c>
      <c r="E4" s="103" t="s">
        <v>2346</v>
      </c>
      <c r="F4" s="103" t="s">
        <v>2424</v>
      </c>
      <c r="G4" s="103" t="s">
        <v>2346</v>
      </c>
      <c r="H4" s="107" t="s">
        <v>181</v>
      </c>
      <c r="I4" s="105">
        <v>45975.999988425923</v>
      </c>
      <c r="J4" s="104" t="s">
        <v>351</v>
      </c>
      <c r="K4" s="106">
        <v>1</v>
      </c>
    </row>
  </sheetData>
  <phoneticPr fontId="11" type="noConversion"/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3BAAF10-1E17-4F08-A376-3F6FC7829200}">
          <x14:formula1>
            <xm:f>Lists!$A$2:$A$3</xm:f>
          </x14:formula1>
          <xm:sqref>H4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4" tint="0.79998168889431442"/>
  </sheetPr>
  <dimension ref="A1:EZ540"/>
  <sheetViews>
    <sheetView showGridLines="0" tabSelected="1" topLeftCell="B1" zoomScale="90" zoomScaleNormal="90" workbookViewId="0">
      <selection activeCell="K29" sqref="K29"/>
    </sheetView>
  </sheetViews>
  <sheetFormatPr defaultColWidth="8.88671875" defaultRowHeight="14.4"/>
  <cols>
    <col min="1" max="1" width="11.33203125" bestFit="1" customWidth="1"/>
    <col min="2" max="2" width="43" bestFit="1" customWidth="1"/>
    <col min="3" max="3" width="17" bestFit="1" customWidth="1"/>
    <col min="4" max="4" width="33.5546875" bestFit="1" customWidth="1"/>
    <col min="5" max="5" width="17" bestFit="1" customWidth="1"/>
    <col min="6" max="6" width="23.5546875" bestFit="1" customWidth="1"/>
    <col min="7" max="7" width="13.88671875" bestFit="1" customWidth="1"/>
    <col min="8" max="8" width="17" bestFit="1" customWidth="1"/>
    <col min="9" max="9" width="15" bestFit="1" customWidth="1"/>
    <col min="10" max="10" width="13" bestFit="1" customWidth="1"/>
    <col min="11" max="11" width="11.33203125" bestFit="1" customWidth="1"/>
    <col min="12" max="13" width="18.6640625" bestFit="1" customWidth="1"/>
    <col min="14" max="14" width="17.88671875" bestFit="1" customWidth="1"/>
    <col min="15" max="15" width="14.33203125" bestFit="1" customWidth="1"/>
    <col min="16" max="16" width="19.109375" bestFit="1" customWidth="1"/>
    <col min="17" max="17" width="11.33203125" bestFit="1" customWidth="1"/>
    <col min="18" max="18" width="23.5546875" bestFit="1" customWidth="1"/>
    <col min="19" max="19" width="11.33203125" bestFit="1" customWidth="1"/>
    <col min="20" max="24" width="12.6640625" bestFit="1" customWidth="1"/>
    <col min="25" max="25" width="23.5546875" bestFit="1" customWidth="1"/>
    <col min="26" max="26" width="30.88671875" bestFit="1" customWidth="1"/>
    <col min="27" max="27" width="11.5546875" bestFit="1" customWidth="1"/>
    <col min="28" max="28" width="22.44140625" bestFit="1" customWidth="1"/>
    <col min="29" max="30" width="23.5546875" bestFit="1" customWidth="1"/>
    <col min="31" max="32" width="19.109375" bestFit="1" customWidth="1"/>
    <col min="33" max="33" width="23.5546875" bestFit="1" customWidth="1"/>
    <col min="34" max="34" width="12" bestFit="1" customWidth="1"/>
    <col min="35" max="36" width="23.5546875" bestFit="1" customWidth="1"/>
    <col min="37" max="37" width="19.44140625" bestFit="1" customWidth="1"/>
    <col min="38" max="39" width="14.33203125" bestFit="1" customWidth="1"/>
    <col min="40" max="40" width="12.88671875" bestFit="1" customWidth="1"/>
    <col min="41" max="41" width="12.33203125" bestFit="1" customWidth="1"/>
    <col min="42" max="42" width="13.109375" bestFit="1" customWidth="1"/>
    <col min="43" max="43" width="17.5546875" bestFit="1" customWidth="1"/>
    <col min="44" max="44" width="15.5546875" bestFit="1" customWidth="1"/>
    <col min="45" max="45" width="11.6640625" bestFit="1" customWidth="1"/>
    <col min="46" max="46" width="11.33203125" bestFit="1" customWidth="1"/>
    <col min="47" max="47" width="26" bestFit="1" customWidth="1"/>
    <col min="48" max="49" width="23.5546875" bestFit="1" customWidth="1"/>
    <col min="50" max="50" width="14.33203125" bestFit="1" customWidth="1"/>
    <col min="51" max="51" width="30.33203125" bestFit="1" customWidth="1"/>
    <col min="52" max="52" width="22.6640625" bestFit="1" customWidth="1"/>
    <col min="53" max="53" width="27.109375" bestFit="1" customWidth="1"/>
    <col min="54" max="54" width="14.33203125" bestFit="1" customWidth="1"/>
    <col min="55" max="55" width="30.6640625" bestFit="1" customWidth="1"/>
    <col min="56" max="56" width="25.5546875" bestFit="1" customWidth="1"/>
    <col min="57" max="57" width="14.33203125" bestFit="1" customWidth="1"/>
    <col min="58" max="58" width="15.5546875" bestFit="1" customWidth="1"/>
    <col min="59" max="59" width="38.109375" bestFit="1" customWidth="1"/>
    <col min="60" max="60" width="27.109375" bestFit="1" customWidth="1"/>
    <col min="61" max="61" width="22.109375" bestFit="1" customWidth="1"/>
    <col min="62" max="62" width="27.109375" bestFit="1" customWidth="1"/>
    <col min="63" max="63" width="17.109375" bestFit="1" customWidth="1"/>
    <col min="64" max="64" width="21" bestFit="1" customWidth="1"/>
    <col min="65" max="65" width="21.44140625" bestFit="1" customWidth="1"/>
    <col min="66" max="66" width="25.33203125" bestFit="1" customWidth="1"/>
    <col min="67" max="67" width="19.5546875" bestFit="1" customWidth="1"/>
    <col min="68" max="68" width="17" bestFit="1" customWidth="1"/>
    <col min="69" max="69" width="19.5546875" bestFit="1" customWidth="1"/>
    <col min="70" max="70" width="17" bestFit="1" customWidth="1"/>
    <col min="71" max="71" width="11.5546875" bestFit="1" customWidth="1"/>
    <col min="72" max="73" width="14.33203125" bestFit="1" customWidth="1"/>
    <col min="74" max="74" width="14.6640625" bestFit="1" customWidth="1"/>
    <col min="75" max="75" width="19.109375" bestFit="1" customWidth="1"/>
    <col min="76" max="76" width="18.6640625" bestFit="1" customWidth="1"/>
    <col min="77" max="77" width="39.33203125" bestFit="1" customWidth="1"/>
    <col min="78" max="78" width="23.5546875" bestFit="1" customWidth="1"/>
    <col min="79" max="79" width="15.88671875" bestFit="1" customWidth="1"/>
    <col min="80" max="80" width="22.88671875" bestFit="1" customWidth="1"/>
    <col min="81" max="81" width="19.88671875" bestFit="1" customWidth="1"/>
    <col min="82" max="82" width="9.44140625" bestFit="1" customWidth="1"/>
    <col min="83" max="90" width="9.88671875" bestFit="1" customWidth="1"/>
    <col min="91" max="91" width="9.44140625" bestFit="1" customWidth="1"/>
    <col min="92" max="92" width="9.109375" bestFit="1" customWidth="1"/>
    <col min="93" max="100" width="9.44140625" bestFit="1" customWidth="1"/>
    <col min="101" max="101" width="9.88671875" bestFit="1" customWidth="1"/>
    <col min="102" max="102" width="9.44140625" bestFit="1" customWidth="1"/>
    <col min="103" max="111" width="9.88671875" bestFit="1" customWidth="1"/>
    <col min="112" max="112" width="9.44140625" bestFit="1" customWidth="1"/>
    <col min="113" max="120" width="9.88671875" bestFit="1" customWidth="1"/>
    <col min="121" max="121" width="15.5546875" bestFit="1" customWidth="1"/>
    <col min="122" max="128" width="15.88671875" bestFit="1" customWidth="1"/>
    <col min="129" max="129" width="15.109375" bestFit="1" customWidth="1"/>
    <col min="130" max="137" width="15.5546875" bestFit="1" customWidth="1"/>
    <col min="138" max="138" width="15.88671875" bestFit="1" customWidth="1"/>
    <col min="139" max="139" width="15.5546875" bestFit="1" customWidth="1"/>
    <col min="140" max="148" width="15.88671875" bestFit="1" customWidth="1"/>
    <col min="149" max="149" width="15.5546875" bestFit="1" customWidth="1"/>
    <col min="150" max="156" width="15.88671875" bestFit="1" customWidth="1"/>
    <col min="157" max="157" width="9.44140625" bestFit="1" customWidth="1"/>
  </cols>
  <sheetData>
    <row r="1" spans="1:156"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388" t="s">
        <v>24</v>
      </c>
      <c r="CC1" s="389"/>
      <c r="CD1" s="392" t="s">
        <v>2554</v>
      </c>
      <c r="CE1" s="392"/>
      <c r="CF1" s="392"/>
      <c r="CG1" s="392"/>
      <c r="CH1" s="392"/>
      <c r="CI1" s="392"/>
      <c r="CJ1" s="392"/>
      <c r="CK1" s="392"/>
      <c r="CL1" s="392"/>
      <c r="CM1" s="392"/>
      <c r="CN1" s="392"/>
      <c r="CO1" s="392"/>
      <c r="CP1" s="392"/>
      <c r="CQ1" s="392"/>
      <c r="CR1" s="392"/>
      <c r="CS1" s="392"/>
      <c r="CT1" s="392"/>
      <c r="CU1" s="392"/>
      <c r="CV1" s="392"/>
      <c r="CW1" s="392"/>
      <c r="CX1" s="392"/>
      <c r="CY1" s="392"/>
      <c r="CZ1" s="392"/>
      <c r="DA1" s="392"/>
      <c r="DB1" s="392"/>
      <c r="DC1" s="392"/>
      <c r="DD1" s="392"/>
      <c r="DE1" s="392"/>
      <c r="DF1" s="392"/>
      <c r="DG1" s="392"/>
      <c r="DH1" s="392"/>
      <c r="DI1" s="392"/>
      <c r="DJ1" s="392"/>
      <c r="DK1" s="392"/>
      <c r="DL1" s="392"/>
      <c r="DM1" s="392"/>
      <c r="DN1" s="392"/>
      <c r="DO1" s="392"/>
      <c r="DP1" s="392"/>
      <c r="DQ1" s="392"/>
      <c r="DR1" s="392"/>
      <c r="DS1" s="392"/>
      <c r="DT1" s="392"/>
      <c r="DU1" s="392"/>
      <c r="DV1" s="392"/>
      <c r="DW1" s="392"/>
      <c r="DX1" s="392"/>
      <c r="DY1" s="392"/>
      <c r="DZ1" s="392"/>
      <c r="EA1" s="392"/>
      <c r="EB1" s="392"/>
      <c r="EC1" s="392"/>
      <c r="ED1" s="392"/>
      <c r="EE1" s="392"/>
      <c r="EF1" s="392"/>
      <c r="EG1" s="392"/>
      <c r="EH1" s="392"/>
      <c r="EI1" s="392"/>
      <c r="EJ1" s="392"/>
      <c r="EK1" s="392"/>
      <c r="EL1" s="392"/>
      <c r="EM1" s="392"/>
      <c r="EN1" s="392"/>
      <c r="EO1" s="392"/>
      <c r="EP1" s="392"/>
      <c r="EQ1" s="392"/>
      <c r="ER1" s="392"/>
      <c r="ES1" s="392"/>
      <c r="ET1" s="392"/>
      <c r="EU1" s="392"/>
      <c r="EV1" s="392"/>
      <c r="EW1" s="392"/>
      <c r="EX1" s="392"/>
      <c r="EY1" s="392"/>
      <c r="EZ1" s="392"/>
    </row>
    <row r="2" spans="1:156" ht="52.5" customHeight="1">
      <c r="A2" s="384" t="s">
        <v>0</v>
      </c>
      <c r="B2" s="384" t="s">
        <v>25</v>
      </c>
      <c r="C2" s="384" t="s">
        <v>26</v>
      </c>
      <c r="D2" s="384" t="s">
        <v>27</v>
      </c>
      <c r="E2" s="384" t="s">
        <v>28</v>
      </c>
      <c r="F2" s="386" t="s">
        <v>29</v>
      </c>
      <c r="G2" s="386" t="s">
        <v>30</v>
      </c>
      <c r="H2" s="384" t="s">
        <v>31</v>
      </c>
      <c r="I2" s="384" t="s">
        <v>32</v>
      </c>
      <c r="J2" s="384" t="s">
        <v>33</v>
      </c>
      <c r="K2" s="384" t="s">
        <v>34</v>
      </c>
      <c r="L2" s="384" t="s">
        <v>35</v>
      </c>
      <c r="M2" s="384" t="s">
        <v>4</v>
      </c>
      <c r="N2" s="384" t="s">
        <v>36</v>
      </c>
      <c r="O2" s="386" t="s">
        <v>37</v>
      </c>
      <c r="P2" s="384" t="s">
        <v>38</v>
      </c>
      <c r="Q2" s="384" t="s">
        <v>1</v>
      </c>
      <c r="R2" s="384" t="s">
        <v>39</v>
      </c>
      <c r="S2" s="384" t="s">
        <v>40</v>
      </c>
      <c r="T2" s="384" t="s">
        <v>41</v>
      </c>
      <c r="U2" s="384" t="s">
        <v>42</v>
      </c>
      <c r="V2" s="384" t="s">
        <v>43</v>
      </c>
      <c r="W2" s="384" t="s">
        <v>44</v>
      </c>
      <c r="X2" s="384" t="s">
        <v>45</v>
      </c>
      <c r="Y2" s="384" t="s">
        <v>46</v>
      </c>
      <c r="Z2" s="384" t="s">
        <v>47</v>
      </c>
      <c r="AA2" s="384" t="s">
        <v>48</v>
      </c>
      <c r="AB2" s="384" t="s">
        <v>49</v>
      </c>
      <c r="AC2" s="384" t="s">
        <v>50</v>
      </c>
      <c r="AD2" s="384" t="s">
        <v>51</v>
      </c>
      <c r="AE2" s="384" t="s">
        <v>52</v>
      </c>
      <c r="AF2" s="384" t="s">
        <v>53</v>
      </c>
      <c r="AG2" s="384" t="s">
        <v>54</v>
      </c>
      <c r="AH2" s="384" t="s">
        <v>55</v>
      </c>
      <c r="AI2" s="384" t="s">
        <v>56</v>
      </c>
      <c r="AJ2" s="384" t="s">
        <v>57</v>
      </c>
      <c r="AK2" s="384" t="s">
        <v>58</v>
      </c>
      <c r="AL2" s="386" t="s">
        <v>59</v>
      </c>
      <c r="AM2" s="384" t="s">
        <v>60</v>
      </c>
      <c r="AN2" s="384" t="s">
        <v>61</v>
      </c>
      <c r="AO2" s="385" t="s">
        <v>62</v>
      </c>
      <c r="AP2" s="385" t="s">
        <v>63</v>
      </c>
      <c r="AQ2" s="385" t="s">
        <v>64</v>
      </c>
      <c r="AR2" s="385" t="s">
        <v>65</v>
      </c>
      <c r="AS2" s="385" t="s">
        <v>66</v>
      </c>
      <c r="AT2" s="385" t="s">
        <v>67</v>
      </c>
      <c r="AU2" s="385" t="s">
        <v>68</v>
      </c>
      <c r="AV2" s="385" t="s">
        <v>69</v>
      </c>
      <c r="AW2" s="385" t="s">
        <v>70</v>
      </c>
      <c r="AX2" s="385" t="s">
        <v>71</v>
      </c>
      <c r="AY2" s="386" t="s">
        <v>72</v>
      </c>
      <c r="AZ2" s="386" t="s">
        <v>73</v>
      </c>
      <c r="BA2" s="384" t="s">
        <v>74</v>
      </c>
      <c r="BB2" s="384" t="s">
        <v>75</v>
      </c>
      <c r="BC2" s="384" t="s">
        <v>76</v>
      </c>
      <c r="BD2" s="384" t="s">
        <v>77</v>
      </c>
      <c r="BE2" s="384" t="s">
        <v>78</v>
      </c>
      <c r="BF2" s="384" t="s">
        <v>79</v>
      </c>
      <c r="BG2" s="384" t="s">
        <v>80</v>
      </c>
      <c r="BH2" s="384" t="s">
        <v>81</v>
      </c>
      <c r="BI2" s="384" t="s">
        <v>82</v>
      </c>
      <c r="BJ2" s="384" t="s">
        <v>83</v>
      </c>
      <c r="BK2" s="384" t="s">
        <v>84</v>
      </c>
      <c r="BL2" s="384" t="s">
        <v>85</v>
      </c>
      <c r="BM2" s="384" t="s">
        <v>86</v>
      </c>
      <c r="BN2" s="384" t="s">
        <v>87</v>
      </c>
      <c r="BO2" s="384" t="s">
        <v>88</v>
      </c>
      <c r="BP2" s="384" t="s">
        <v>89</v>
      </c>
      <c r="BQ2" s="384" t="s">
        <v>90</v>
      </c>
      <c r="BR2" s="384" t="s">
        <v>91</v>
      </c>
      <c r="BS2" s="385" t="s">
        <v>92</v>
      </c>
      <c r="BT2" s="385" t="s">
        <v>93</v>
      </c>
      <c r="BU2" s="385" t="s">
        <v>94</v>
      </c>
      <c r="BV2" s="385" t="s">
        <v>95</v>
      </c>
      <c r="BW2" s="384" t="s">
        <v>96</v>
      </c>
      <c r="BX2" s="387" t="s">
        <v>97</v>
      </c>
      <c r="BY2" s="387" t="s">
        <v>98</v>
      </c>
      <c r="BZ2" s="387" t="s">
        <v>99</v>
      </c>
      <c r="CA2" s="387" t="s">
        <v>100</v>
      </c>
      <c r="CB2" s="387" t="s">
        <v>101</v>
      </c>
      <c r="CC2" s="393" t="s">
        <v>102</v>
      </c>
      <c r="CD2" s="390" t="s">
        <v>2183</v>
      </c>
      <c r="CE2" s="390"/>
      <c r="CF2" s="390"/>
      <c r="CG2" s="390"/>
      <c r="CH2" s="390"/>
      <c r="CI2" s="390"/>
      <c r="CJ2" s="390"/>
      <c r="CK2" s="390"/>
      <c r="CL2" s="390"/>
      <c r="CM2" s="390"/>
      <c r="CN2" s="390"/>
      <c r="CO2" s="390"/>
      <c r="CP2" s="390"/>
      <c r="CQ2" s="390"/>
      <c r="CR2" s="390"/>
      <c r="CS2" s="390"/>
      <c r="CT2" s="390"/>
      <c r="CU2" s="390"/>
      <c r="CV2" s="390"/>
      <c r="CW2" s="390"/>
      <c r="CX2" s="390"/>
      <c r="CY2" s="390"/>
      <c r="CZ2" s="390"/>
      <c r="DA2" s="390"/>
      <c r="DB2" s="390"/>
      <c r="DC2" s="390"/>
      <c r="DD2" s="390"/>
      <c r="DE2" s="390"/>
      <c r="DF2" s="390"/>
      <c r="DG2" s="390"/>
      <c r="DH2" s="390"/>
      <c r="DI2" s="390"/>
      <c r="DJ2" s="390"/>
      <c r="DK2" s="390"/>
      <c r="DL2" s="390"/>
      <c r="DM2" s="390"/>
      <c r="DN2" s="390"/>
      <c r="DO2" s="390"/>
      <c r="DP2" s="390"/>
      <c r="DQ2" s="391" t="s">
        <v>2182</v>
      </c>
      <c r="DR2" s="391"/>
      <c r="DS2" s="391"/>
      <c r="DT2" s="391"/>
      <c r="DU2" s="391"/>
      <c r="DV2" s="391"/>
      <c r="DW2" s="391"/>
      <c r="DX2" s="391"/>
      <c r="DY2" s="391"/>
      <c r="DZ2" s="391"/>
      <c r="EA2" s="391"/>
      <c r="EB2" s="391"/>
      <c r="EC2" s="391"/>
      <c r="ED2" s="391"/>
      <c r="EE2" s="391"/>
      <c r="EF2" s="391"/>
      <c r="EG2" s="391"/>
      <c r="EH2" s="391"/>
      <c r="EI2" s="391"/>
      <c r="EJ2" s="391"/>
      <c r="EK2" s="391"/>
      <c r="EL2" s="391"/>
      <c r="EM2" s="391"/>
      <c r="EN2" s="391"/>
      <c r="EO2" s="391"/>
      <c r="EP2" s="391"/>
      <c r="EQ2" s="391"/>
      <c r="ER2" s="391"/>
      <c r="ES2" s="391"/>
      <c r="ET2" s="391"/>
      <c r="EU2" s="391"/>
      <c r="EV2" s="391"/>
      <c r="EW2" s="391"/>
      <c r="EX2" s="391"/>
      <c r="EY2" s="391"/>
      <c r="EZ2" s="391"/>
    </row>
    <row r="3" spans="1:156">
      <c r="A3" s="384"/>
      <c r="B3" s="384"/>
      <c r="C3" s="384"/>
      <c r="D3" s="384"/>
      <c r="E3" s="384"/>
      <c r="F3" s="386"/>
      <c r="G3" s="386"/>
      <c r="H3" s="384"/>
      <c r="I3" s="384"/>
      <c r="J3" s="384"/>
      <c r="K3" s="384"/>
      <c r="L3" s="384"/>
      <c r="M3" s="384"/>
      <c r="N3" s="384"/>
      <c r="O3" s="386"/>
      <c r="P3" s="384"/>
      <c r="Q3" s="384"/>
      <c r="R3" s="384"/>
      <c r="S3" s="384"/>
      <c r="T3" s="384"/>
      <c r="U3" s="384"/>
      <c r="V3" s="384"/>
      <c r="W3" s="384"/>
      <c r="X3" s="384"/>
      <c r="Y3" s="384"/>
      <c r="Z3" s="384"/>
      <c r="AA3" s="384"/>
      <c r="AB3" s="384"/>
      <c r="AC3" s="384"/>
      <c r="AD3" s="384"/>
      <c r="AE3" s="384"/>
      <c r="AF3" s="384"/>
      <c r="AG3" s="384"/>
      <c r="AH3" s="384"/>
      <c r="AI3" s="384"/>
      <c r="AJ3" s="384"/>
      <c r="AK3" s="384"/>
      <c r="AL3" s="386"/>
      <c r="AM3" s="384"/>
      <c r="AN3" s="384"/>
      <c r="AO3" s="385"/>
      <c r="AP3" s="385"/>
      <c r="AQ3" s="385"/>
      <c r="AR3" s="385"/>
      <c r="AS3" s="385"/>
      <c r="AT3" s="385"/>
      <c r="AU3" s="385"/>
      <c r="AV3" s="385"/>
      <c r="AW3" s="385"/>
      <c r="AX3" s="385"/>
      <c r="AY3" s="386"/>
      <c r="AZ3" s="386"/>
      <c r="BA3" s="384"/>
      <c r="BB3" s="384"/>
      <c r="BC3" s="384"/>
      <c r="BD3" s="384"/>
      <c r="BE3" s="384"/>
      <c r="BF3" s="384"/>
      <c r="BG3" s="384"/>
      <c r="BH3" s="384"/>
      <c r="BI3" s="384"/>
      <c r="BJ3" s="384"/>
      <c r="BK3" s="384"/>
      <c r="BL3" s="384"/>
      <c r="BM3" s="384"/>
      <c r="BN3" s="384"/>
      <c r="BO3" s="384"/>
      <c r="BP3" s="384"/>
      <c r="BQ3" s="384"/>
      <c r="BR3" s="384"/>
      <c r="BS3" s="385"/>
      <c r="BT3" s="385"/>
      <c r="BU3" s="385"/>
      <c r="BV3" s="385"/>
      <c r="BW3" s="384"/>
      <c r="BX3" s="387"/>
      <c r="BY3" s="387"/>
      <c r="BZ3" s="387"/>
      <c r="CA3" s="387"/>
      <c r="CB3" s="387"/>
      <c r="CC3" s="393"/>
      <c r="CD3" s="121">
        <f t="shared" ref="CD3:DI3" si="0">COUNTIF(CD5:CD1048576,"KO")</f>
        <v>0</v>
      </c>
      <c r="CE3" s="121">
        <f t="shared" si="0"/>
        <v>0</v>
      </c>
      <c r="CF3" s="121">
        <f t="shared" si="0"/>
        <v>0</v>
      </c>
      <c r="CG3" s="121">
        <f t="shared" si="0"/>
        <v>0</v>
      </c>
      <c r="CH3" s="121">
        <f t="shared" si="0"/>
        <v>0</v>
      </c>
      <c r="CI3" s="121">
        <f t="shared" si="0"/>
        <v>0</v>
      </c>
      <c r="CJ3" s="121">
        <f t="shared" si="0"/>
        <v>0</v>
      </c>
      <c r="CK3" s="121">
        <f t="shared" si="0"/>
        <v>0</v>
      </c>
      <c r="CL3" s="121">
        <f t="shared" si="0"/>
        <v>0</v>
      </c>
      <c r="CM3" s="121">
        <f t="shared" si="0"/>
        <v>0</v>
      </c>
      <c r="CN3" s="121">
        <f t="shared" si="0"/>
        <v>0</v>
      </c>
      <c r="CO3" s="121">
        <f t="shared" si="0"/>
        <v>0</v>
      </c>
      <c r="CP3" s="121">
        <f t="shared" si="0"/>
        <v>0</v>
      </c>
      <c r="CQ3" s="121">
        <f t="shared" si="0"/>
        <v>0</v>
      </c>
      <c r="CR3" s="121">
        <f t="shared" si="0"/>
        <v>0</v>
      </c>
      <c r="CS3" s="121">
        <f t="shared" si="0"/>
        <v>0</v>
      </c>
      <c r="CT3" s="121">
        <f t="shared" si="0"/>
        <v>0</v>
      </c>
      <c r="CU3" s="121">
        <f t="shared" si="0"/>
        <v>0</v>
      </c>
      <c r="CV3" s="121">
        <f t="shared" si="0"/>
        <v>0</v>
      </c>
      <c r="CW3" s="121">
        <f t="shared" si="0"/>
        <v>0</v>
      </c>
      <c r="CX3" s="121">
        <f t="shared" si="0"/>
        <v>0</v>
      </c>
      <c r="CY3" s="121">
        <f t="shared" si="0"/>
        <v>0</v>
      </c>
      <c r="CZ3" s="121">
        <f t="shared" si="0"/>
        <v>0</v>
      </c>
      <c r="DA3" s="121">
        <f t="shared" si="0"/>
        <v>0</v>
      </c>
      <c r="DB3" s="121">
        <f t="shared" si="0"/>
        <v>0</v>
      </c>
      <c r="DC3" s="121">
        <f t="shared" si="0"/>
        <v>0</v>
      </c>
      <c r="DD3" s="121">
        <f t="shared" si="0"/>
        <v>0</v>
      </c>
      <c r="DE3" s="121">
        <f t="shared" si="0"/>
        <v>0</v>
      </c>
      <c r="DF3" s="121">
        <f t="shared" si="0"/>
        <v>0</v>
      </c>
      <c r="DG3" s="121">
        <f t="shared" si="0"/>
        <v>0</v>
      </c>
      <c r="DH3" s="121">
        <f t="shared" si="0"/>
        <v>0</v>
      </c>
      <c r="DI3" s="121">
        <f t="shared" si="0"/>
        <v>0</v>
      </c>
      <c r="DJ3" s="121">
        <f t="shared" ref="DJ3:EO3" si="1">COUNTIF(DJ5:DJ1048576,"KO")</f>
        <v>0</v>
      </c>
      <c r="DK3" s="121">
        <f t="shared" si="1"/>
        <v>0</v>
      </c>
      <c r="DL3" s="121">
        <f t="shared" si="1"/>
        <v>0</v>
      </c>
      <c r="DM3" s="121">
        <f t="shared" si="1"/>
        <v>0</v>
      </c>
      <c r="DN3" s="121">
        <f t="shared" si="1"/>
        <v>0</v>
      </c>
      <c r="DO3" s="121">
        <f t="shared" si="1"/>
        <v>0</v>
      </c>
      <c r="DP3" s="121">
        <f t="shared" si="1"/>
        <v>0</v>
      </c>
      <c r="DQ3" s="121">
        <f t="shared" si="1"/>
        <v>0</v>
      </c>
      <c r="DR3" s="121">
        <f t="shared" si="1"/>
        <v>0</v>
      </c>
      <c r="DS3" s="121">
        <f t="shared" si="1"/>
        <v>0</v>
      </c>
      <c r="DT3" s="121">
        <f t="shared" si="1"/>
        <v>0</v>
      </c>
      <c r="DU3" s="121">
        <f t="shared" si="1"/>
        <v>0</v>
      </c>
      <c r="DV3" s="121">
        <f t="shared" si="1"/>
        <v>0</v>
      </c>
      <c r="DW3" s="121">
        <f t="shared" si="1"/>
        <v>0</v>
      </c>
      <c r="DX3" s="121">
        <f t="shared" si="1"/>
        <v>0</v>
      </c>
      <c r="DY3" s="121">
        <f t="shared" si="1"/>
        <v>0</v>
      </c>
      <c r="DZ3" s="121">
        <f t="shared" si="1"/>
        <v>0</v>
      </c>
      <c r="EA3" s="121">
        <f t="shared" si="1"/>
        <v>0</v>
      </c>
      <c r="EB3" s="121">
        <f t="shared" si="1"/>
        <v>0</v>
      </c>
      <c r="EC3" s="121">
        <f t="shared" si="1"/>
        <v>0</v>
      </c>
      <c r="ED3" s="121">
        <f t="shared" si="1"/>
        <v>0</v>
      </c>
      <c r="EE3" s="121">
        <f t="shared" si="1"/>
        <v>0</v>
      </c>
      <c r="EF3" s="121">
        <f t="shared" si="1"/>
        <v>0</v>
      </c>
      <c r="EG3" s="121">
        <f t="shared" si="1"/>
        <v>0</v>
      </c>
      <c r="EH3" s="121">
        <f t="shared" si="1"/>
        <v>0</v>
      </c>
      <c r="EI3" s="121">
        <f t="shared" si="1"/>
        <v>0</v>
      </c>
      <c r="EJ3" s="121">
        <f t="shared" si="1"/>
        <v>0</v>
      </c>
      <c r="EK3" s="121">
        <f t="shared" si="1"/>
        <v>0</v>
      </c>
      <c r="EL3" s="121">
        <f t="shared" si="1"/>
        <v>0</v>
      </c>
      <c r="EM3" s="122">
        <f t="shared" si="1"/>
        <v>0</v>
      </c>
      <c r="EN3" s="121">
        <f t="shared" si="1"/>
        <v>0</v>
      </c>
      <c r="EO3" s="121">
        <f t="shared" si="1"/>
        <v>0</v>
      </c>
      <c r="EP3" s="121">
        <f t="shared" ref="EP3:EZ3" si="2">COUNTIF(EP5:EP1048576,"KO")</f>
        <v>0</v>
      </c>
      <c r="EQ3" s="121">
        <f t="shared" si="2"/>
        <v>0</v>
      </c>
      <c r="ER3" s="121">
        <f t="shared" si="2"/>
        <v>0</v>
      </c>
      <c r="ES3" s="121">
        <f t="shared" si="2"/>
        <v>0</v>
      </c>
      <c r="ET3" s="121">
        <f t="shared" si="2"/>
        <v>0</v>
      </c>
      <c r="EU3" s="121">
        <f t="shared" si="2"/>
        <v>0</v>
      </c>
      <c r="EV3" s="121">
        <f t="shared" si="2"/>
        <v>0</v>
      </c>
      <c r="EW3" s="121">
        <f t="shared" si="2"/>
        <v>0</v>
      </c>
      <c r="EX3" s="121">
        <f t="shared" si="2"/>
        <v>0</v>
      </c>
      <c r="EY3" s="121">
        <f t="shared" si="2"/>
        <v>0</v>
      </c>
      <c r="EZ3" s="121">
        <f t="shared" si="2"/>
        <v>0</v>
      </c>
    </row>
    <row r="4" spans="1:156">
      <c r="A4" s="21" t="s">
        <v>2558</v>
      </c>
      <c r="B4" s="21" t="s">
        <v>2559</v>
      </c>
      <c r="C4" s="21" t="s">
        <v>2560</v>
      </c>
      <c r="D4" s="23" t="s">
        <v>2561</v>
      </c>
      <c r="E4" s="21" t="s">
        <v>2563</v>
      </c>
      <c r="F4" s="21" t="s">
        <v>2565</v>
      </c>
      <c r="G4" s="21" t="s">
        <v>2566</v>
      </c>
      <c r="H4" s="21" t="s">
        <v>2567</v>
      </c>
      <c r="I4" s="21" t="s">
        <v>2568</v>
      </c>
      <c r="J4" s="21" t="s">
        <v>2569</v>
      </c>
      <c r="K4" s="21" t="s">
        <v>2570</v>
      </c>
      <c r="L4" s="21" t="s">
        <v>2571</v>
      </c>
      <c r="M4" s="21" t="s">
        <v>2572</v>
      </c>
      <c r="N4" s="21" t="s">
        <v>2573</v>
      </c>
      <c r="O4" s="21" t="s">
        <v>2574</v>
      </c>
      <c r="P4" s="21" t="s">
        <v>2575</v>
      </c>
      <c r="Q4" s="21" t="s">
        <v>2576</v>
      </c>
      <c r="R4" s="21" t="s">
        <v>2577</v>
      </c>
      <c r="S4" s="21" t="s">
        <v>2578</v>
      </c>
      <c r="T4" s="21" t="s">
        <v>2579</v>
      </c>
      <c r="U4" s="21" t="s">
        <v>2580</v>
      </c>
      <c r="V4" s="21" t="s">
        <v>2581</v>
      </c>
      <c r="W4" s="21" t="s">
        <v>2582</v>
      </c>
      <c r="X4" s="21" t="s">
        <v>2583</v>
      </c>
      <c r="Y4" s="21" t="s">
        <v>2584</v>
      </c>
      <c r="Z4" s="21" t="s">
        <v>2585</v>
      </c>
      <c r="AA4" s="21" t="s">
        <v>2586</v>
      </c>
      <c r="AB4" s="21" t="s">
        <v>2587</v>
      </c>
      <c r="AC4" s="21" t="s">
        <v>2588</v>
      </c>
      <c r="AD4" s="21" t="s">
        <v>2589</v>
      </c>
      <c r="AE4" s="21" t="s">
        <v>2590</v>
      </c>
      <c r="AF4" s="21" t="s">
        <v>2591</v>
      </c>
      <c r="AG4" s="21" t="s">
        <v>2592</v>
      </c>
      <c r="AH4" s="21" t="s">
        <v>2593</v>
      </c>
      <c r="AI4" s="21" t="s">
        <v>2594</v>
      </c>
      <c r="AJ4" s="21" t="s">
        <v>2595</v>
      </c>
      <c r="AK4" s="21" t="s">
        <v>2596</v>
      </c>
      <c r="AL4" s="21" t="s">
        <v>2597</v>
      </c>
      <c r="AM4" s="21" t="s">
        <v>2598</v>
      </c>
      <c r="AN4" s="21" t="s">
        <v>2599</v>
      </c>
      <c r="AO4" s="21" t="s">
        <v>2600</v>
      </c>
      <c r="AP4" s="21" t="s">
        <v>2601</v>
      </c>
      <c r="AQ4" s="21" t="s">
        <v>2602</v>
      </c>
      <c r="AR4" s="21" t="s">
        <v>2603</v>
      </c>
      <c r="AS4" s="21" t="s">
        <v>2604</v>
      </c>
      <c r="AT4" s="21" t="s">
        <v>2605</v>
      </c>
      <c r="AU4" s="21" t="s">
        <v>2606</v>
      </c>
      <c r="AV4" s="21" t="s">
        <v>2607</v>
      </c>
      <c r="AW4" s="21" t="s">
        <v>2608</v>
      </c>
      <c r="AX4" s="21" t="s">
        <v>2609</v>
      </c>
      <c r="AY4" s="21" t="s">
        <v>2610</v>
      </c>
      <c r="AZ4" s="21" t="s">
        <v>2611</v>
      </c>
      <c r="BA4" s="21" t="s">
        <v>2612</v>
      </c>
      <c r="BB4" s="21" t="s">
        <v>2613</v>
      </c>
      <c r="BC4" s="21" t="s">
        <v>2614</v>
      </c>
      <c r="BD4" s="21" t="s">
        <v>2615</v>
      </c>
      <c r="BE4" s="21" t="s">
        <v>2616</v>
      </c>
      <c r="BF4" s="21" t="s">
        <v>2617</v>
      </c>
      <c r="BG4" s="21" t="s">
        <v>2618</v>
      </c>
      <c r="BH4" s="21" t="s">
        <v>2619</v>
      </c>
      <c r="BI4" s="21" t="s">
        <v>2620</v>
      </c>
      <c r="BJ4" s="21" t="s">
        <v>2621</v>
      </c>
      <c r="BK4" s="21" t="s">
        <v>2622</v>
      </c>
      <c r="BL4" s="21" t="s">
        <v>2623</v>
      </c>
      <c r="BM4" s="21" t="s">
        <v>2624</v>
      </c>
      <c r="BN4" s="21" t="s">
        <v>2625</v>
      </c>
      <c r="BO4" s="21" t="s">
        <v>2626</v>
      </c>
      <c r="BP4" s="21" t="s">
        <v>2627</v>
      </c>
      <c r="BQ4" s="21" t="s">
        <v>2628</v>
      </c>
      <c r="BR4" s="21" t="s">
        <v>2629</v>
      </c>
      <c r="BS4" s="21" t="s">
        <v>2630</v>
      </c>
      <c r="BT4" s="21" t="s">
        <v>2631</v>
      </c>
      <c r="BU4" s="21" t="s">
        <v>2632</v>
      </c>
      <c r="BV4" s="21" t="s">
        <v>2633</v>
      </c>
      <c r="BW4" s="21" t="s">
        <v>2634</v>
      </c>
      <c r="BX4" s="21" t="s">
        <v>2635</v>
      </c>
      <c r="BY4" s="21" t="s">
        <v>2636</v>
      </c>
      <c r="BZ4" s="21" t="s">
        <v>2637</v>
      </c>
      <c r="CA4" s="21" t="s">
        <v>2638</v>
      </c>
      <c r="CB4" s="21" t="s">
        <v>2639</v>
      </c>
      <c r="CC4" s="21" t="s">
        <v>2640</v>
      </c>
      <c r="CD4" s="80" t="s">
        <v>258</v>
      </c>
      <c r="CE4" s="80" t="s">
        <v>259</v>
      </c>
      <c r="CF4" s="81" t="s">
        <v>260</v>
      </c>
      <c r="CG4" s="81" t="s">
        <v>261</v>
      </c>
      <c r="CH4" s="81" t="s">
        <v>262</v>
      </c>
      <c r="CI4" s="81" t="s">
        <v>263</v>
      </c>
      <c r="CJ4" s="81" t="s">
        <v>264</v>
      </c>
      <c r="CK4" s="81" t="s">
        <v>265</v>
      </c>
      <c r="CL4" s="81" t="s">
        <v>266</v>
      </c>
      <c r="CM4" s="81" t="s">
        <v>267</v>
      </c>
      <c r="CN4" s="81" t="s">
        <v>268</v>
      </c>
      <c r="CO4" s="81" t="s">
        <v>269</v>
      </c>
      <c r="CP4" s="81" t="s">
        <v>270</v>
      </c>
      <c r="CQ4" s="81" t="s">
        <v>271</v>
      </c>
      <c r="CR4" s="81" t="s">
        <v>272</v>
      </c>
      <c r="CS4" s="81" t="s">
        <v>273</v>
      </c>
      <c r="CT4" s="81" t="s">
        <v>274</v>
      </c>
      <c r="CU4" s="81" t="s">
        <v>275</v>
      </c>
      <c r="CV4" s="81" t="s">
        <v>276</v>
      </c>
      <c r="CW4" s="81" t="s">
        <v>277</v>
      </c>
      <c r="CX4" s="81" t="s">
        <v>278</v>
      </c>
      <c r="CY4" s="81" t="s">
        <v>279</v>
      </c>
      <c r="CZ4" s="81" t="s">
        <v>280</v>
      </c>
      <c r="DA4" s="81" t="s">
        <v>281</v>
      </c>
      <c r="DB4" s="81" t="s">
        <v>282</v>
      </c>
      <c r="DC4" s="81" t="s">
        <v>283</v>
      </c>
      <c r="DD4" s="81" t="s">
        <v>284</v>
      </c>
      <c r="DE4" s="81" t="s">
        <v>285</v>
      </c>
      <c r="DF4" s="81" t="s">
        <v>286</v>
      </c>
      <c r="DG4" s="81" t="s">
        <v>287</v>
      </c>
      <c r="DH4" s="81" t="s">
        <v>288</v>
      </c>
      <c r="DI4" s="81" t="s">
        <v>289</v>
      </c>
      <c r="DJ4" s="81" t="s">
        <v>290</v>
      </c>
      <c r="DK4" s="81" t="s">
        <v>291</v>
      </c>
      <c r="DL4" s="81" t="s">
        <v>292</v>
      </c>
      <c r="DM4" s="81" t="s">
        <v>293</v>
      </c>
      <c r="DN4" s="81" t="s">
        <v>294</v>
      </c>
      <c r="DO4" s="81" t="s">
        <v>295</v>
      </c>
      <c r="DP4" s="81" t="s">
        <v>296</v>
      </c>
      <c r="DQ4" s="82" t="s">
        <v>299</v>
      </c>
      <c r="DR4" s="82" t="s">
        <v>300</v>
      </c>
      <c r="DS4" s="82" t="s">
        <v>301</v>
      </c>
      <c r="DT4" s="82" t="s">
        <v>302</v>
      </c>
      <c r="DU4" s="82" t="s">
        <v>303</v>
      </c>
      <c r="DV4" s="82" t="s">
        <v>304</v>
      </c>
      <c r="DW4" s="82" t="s">
        <v>305</v>
      </c>
      <c r="DX4" s="82" t="s">
        <v>306</v>
      </c>
      <c r="DY4" s="82" t="s">
        <v>307</v>
      </c>
      <c r="DZ4" s="82" t="s">
        <v>308</v>
      </c>
      <c r="EA4" s="82" t="s">
        <v>309</v>
      </c>
      <c r="EB4" s="82" t="s">
        <v>310</v>
      </c>
      <c r="EC4" s="82" t="s">
        <v>311</v>
      </c>
      <c r="ED4" s="82" t="s">
        <v>312</v>
      </c>
      <c r="EE4" s="82" t="s">
        <v>313</v>
      </c>
      <c r="EF4" s="82" t="s">
        <v>314</v>
      </c>
      <c r="EG4" s="82" t="s">
        <v>315</v>
      </c>
      <c r="EH4" s="82" t="s">
        <v>316</v>
      </c>
      <c r="EI4" s="82" t="s">
        <v>317</v>
      </c>
      <c r="EJ4" s="82" t="s">
        <v>318</v>
      </c>
      <c r="EK4" s="82" t="s">
        <v>319</v>
      </c>
      <c r="EL4" s="82" t="s">
        <v>320</v>
      </c>
      <c r="EM4" s="82" t="s">
        <v>321</v>
      </c>
      <c r="EN4" s="82" t="s">
        <v>322</v>
      </c>
      <c r="EO4" s="82" t="s">
        <v>323</v>
      </c>
      <c r="EP4" s="82" t="s">
        <v>324</v>
      </c>
      <c r="EQ4" s="82" t="s">
        <v>325</v>
      </c>
      <c r="ER4" s="82" t="s">
        <v>326</v>
      </c>
      <c r="ES4" s="82" t="s">
        <v>327</v>
      </c>
      <c r="ET4" s="82" t="s">
        <v>328</v>
      </c>
      <c r="EU4" s="82" t="s">
        <v>329</v>
      </c>
      <c r="EV4" s="82" t="s">
        <v>330</v>
      </c>
      <c r="EW4" s="82" t="s">
        <v>331</v>
      </c>
      <c r="EX4" s="82" t="s">
        <v>332</v>
      </c>
      <c r="EY4" s="82" t="s">
        <v>333</v>
      </c>
      <c r="EZ4" s="82" t="s">
        <v>334</v>
      </c>
    </row>
    <row r="5" spans="1:156" ht="17.399999999999999">
      <c r="A5" s="126">
        <v>1</v>
      </c>
      <c r="B5" s="126" t="s">
        <v>2378</v>
      </c>
      <c r="C5" s="126" t="s">
        <v>2379</v>
      </c>
      <c r="D5" s="126" t="s">
        <v>2178</v>
      </c>
      <c r="E5" s="127">
        <v>7599000</v>
      </c>
      <c r="F5" s="127">
        <v>999999999999999</v>
      </c>
      <c r="G5" s="126" t="s">
        <v>351</v>
      </c>
      <c r="H5" s="127">
        <v>7599000</v>
      </c>
      <c r="I5" s="127">
        <v>0</v>
      </c>
      <c r="J5" s="127">
        <v>62457.536986301369</v>
      </c>
      <c r="K5" s="127">
        <v>0</v>
      </c>
      <c r="L5" s="130">
        <v>7661457.5369863017</v>
      </c>
      <c r="M5" s="130">
        <v>7661457.5369863017</v>
      </c>
      <c r="N5" s="126" t="s">
        <v>164</v>
      </c>
      <c r="O5" s="126" t="s">
        <v>208</v>
      </c>
      <c r="P5" s="126" t="s">
        <v>208</v>
      </c>
      <c r="Q5" s="126">
        <v>3</v>
      </c>
      <c r="R5" s="127">
        <v>999999999999999</v>
      </c>
      <c r="S5" s="126">
        <v>3</v>
      </c>
      <c r="T5" s="126" t="s">
        <v>2380</v>
      </c>
      <c r="U5" s="126" t="s">
        <v>2381</v>
      </c>
      <c r="V5" s="126" t="s">
        <v>2381</v>
      </c>
      <c r="W5" s="126" t="s">
        <v>2381</v>
      </c>
      <c r="X5" s="126" t="s">
        <v>2381</v>
      </c>
      <c r="Y5" s="126" t="s">
        <v>1897</v>
      </c>
      <c r="Z5" s="126" t="s">
        <v>165</v>
      </c>
      <c r="AA5" s="126" t="s">
        <v>204</v>
      </c>
      <c r="AB5" s="126" t="s">
        <v>167</v>
      </c>
      <c r="AC5" s="127">
        <v>999999999999999</v>
      </c>
      <c r="AD5" s="127">
        <v>999999999999999</v>
      </c>
      <c r="AE5" s="126" t="s">
        <v>2180</v>
      </c>
      <c r="AF5" s="126" t="s">
        <v>2180</v>
      </c>
      <c r="AG5" s="127">
        <v>999999999999999</v>
      </c>
      <c r="AH5" s="126" t="s">
        <v>188</v>
      </c>
      <c r="AI5" s="127">
        <v>999999999999999</v>
      </c>
      <c r="AJ5" s="127">
        <v>999999999999999</v>
      </c>
      <c r="AK5" s="126" t="s">
        <v>208</v>
      </c>
      <c r="AL5" s="126" t="s">
        <v>208</v>
      </c>
      <c r="AM5" s="126" t="s">
        <v>208</v>
      </c>
      <c r="AN5" s="126" t="s">
        <v>2383</v>
      </c>
      <c r="AO5" s="127">
        <v>1000</v>
      </c>
      <c r="AP5" s="127">
        <v>1000</v>
      </c>
      <c r="AQ5" s="126" t="s">
        <v>2384</v>
      </c>
      <c r="AR5" s="126" t="s">
        <v>432</v>
      </c>
      <c r="AS5" s="128">
        <f>+B02.00[[#This Row],[c0100]]/B02.00[[#This Row],[c0390]]</f>
        <v>8.2191784427294863</v>
      </c>
      <c r="AT5" s="128">
        <v>0</v>
      </c>
      <c r="AU5" s="128">
        <v>999999999999999</v>
      </c>
      <c r="AV5" s="127">
        <v>999999999999999</v>
      </c>
      <c r="AW5" s="127">
        <v>999999999999999</v>
      </c>
      <c r="AX5" s="126" t="s">
        <v>208</v>
      </c>
      <c r="AY5" s="129">
        <v>-9999.9999999989996</v>
      </c>
      <c r="AZ5" s="126" t="s">
        <v>2385</v>
      </c>
      <c r="BA5" s="126" t="s">
        <v>2386</v>
      </c>
      <c r="BB5" s="126" t="s">
        <v>208</v>
      </c>
      <c r="BC5" s="126" t="s">
        <v>2387</v>
      </c>
      <c r="BD5" s="126" t="s">
        <v>2388</v>
      </c>
      <c r="BE5" s="126" t="s">
        <v>208</v>
      </c>
      <c r="BF5" s="126" t="s">
        <v>208</v>
      </c>
      <c r="BG5" s="126" t="s">
        <v>2385</v>
      </c>
      <c r="BH5" s="126" t="s">
        <v>2386</v>
      </c>
      <c r="BI5" s="126" t="s">
        <v>2385</v>
      </c>
      <c r="BJ5" s="126" t="s">
        <v>2386</v>
      </c>
      <c r="BK5" s="126" t="s">
        <v>208</v>
      </c>
      <c r="BL5" s="126" t="s">
        <v>208</v>
      </c>
      <c r="BM5" s="126" t="s">
        <v>208</v>
      </c>
      <c r="BN5" s="126" t="s">
        <v>208</v>
      </c>
      <c r="BO5" s="126" t="s">
        <v>210</v>
      </c>
      <c r="BP5" s="127">
        <v>382215.35176101327</v>
      </c>
      <c r="BQ5" s="126" t="s">
        <v>210</v>
      </c>
      <c r="BR5" s="127">
        <v>382215.35176101327</v>
      </c>
      <c r="BS5" s="127">
        <v>0</v>
      </c>
      <c r="BT5" s="126" t="s">
        <v>208</v>
      </c>
      <c r="BU5" s="126" t="s">
        <v>208</v>
      </c>
      <c r="BV5" s="126" t="s">
        <v>208</v>
      </c>
      <c r="BW5" s="126" t="s">
        <v>2180</v>
      </c>
      <c r="BX5" s="130">
        <v>7661457.5369863017</v>
      </c>
      <c r="BY5" s="126" t="s">
        <v>212</v>
      </c>
      <c r="BZ5" s="127">
        <v>999999999999999</v>
      </c>
      <c r="CA5" s="126" t="s">
        <v>208</v>
      </c>
      <c r="CB5" s="126" t="s">
        <v>2180</v>
      </c>
      <c r="CC5" s="126" t="s">
        <v>2179</v>
      </c>
      <c r="CD5" s="66" t="str">
        <f>IF(B02.00[[#This Row],[c0010]]="","KO","OK")</f>
        <v>OK</v>
      </c>
      <c r="CE5" s="67" t="str">
        <f>IF(B02.00[[#This Row],[c0030]]="","KO","OK")</f>
        <v>OK</v>
      </c>
      <c r="CF5" s="66" t="str">
        <f>IF(B02.00[[#This Row],[c0040]]="","KO","OK")</f>
        <v>OK</v>
      </c>
      <c r="CG5" s="66" t="str">
        <f>IF(B02.00[[#This Row],[c0070]]="","KO","OK")</f>
        <v>OK</v>
      </c>
      <c r="CH5" s="66" t="str">
        <f>IF(OR(B02.00[[#This Row],[c0250]]= "Non-Structured/Vanilla",B02.00[[#This Row],[c0250]]="Other non-standard terms"),(IF(B02.00[[#This Row],[c0080]]="","KO","OK")),"OK")</f>
        <v>OK</v>
      </c>
      <c r="CI5" s="66" t="str">
        <f>IF(OR(B02.00[[#This Row],[c0250]]= "Structured",B02.00[[#This Row],[c0250]]="Only structured coupon"),(IF(B02.00[[#This Row],[c0080]]="","KO","OK")),"OK")</f>
        <v>OK</v>
      </c>
      <c r="CJ5" s="66" t="str">
        <f>IF(B02.00[[#This Row],[c0040]]="ISIN",(IF(B02.00[[#This Row],[c0090]]="","KO","OK")),"OK")</f>
        <v>OK</v>
      </c>
      <c r="CK5" s="66" t="str">
        <f>IF(AND(OR(B02.00[[#This Row],[c0250]]="Non-Structured/Vanilla",B02.00[[#This Row],[c0250]]="Other non-standard terms"),B02.00[[#This Row],[c0240]]&lt;&gt;"ZCB issued at discount"),(IF(B02.00[[#This Row],[c0100]]="","KO","OK")),"OK")</f>
        <v>OK</v>
      </c>
      <c r="CL5" s="66" t="str">
        <f>IF(OR(B02.00[[#This Row],[c0250]]&lt;&gt; "Non-Structured/Vanilla",B02.00[[#This Row],[c0460]]&lt;&gt;"Other non-standard terms"),(IF(B02.00[[#This Row],[c0100]]="","KO","OK")),"OK")</f>
        <v>OK</v>
      </c>
      <c r="CM5" s="66" t="str">
        <f>IF(OR(B02.00[[#This Row],[c0250]]= "Non-Structured/Vanilla",B02.00[[#This Row],[c0460]]="Other non-standard terms"),(IF(B02.00[[#This Row],[c0120]]="","KO","OK")),"OK")</f>
        <v>OK</v>
      </c>
      <c r="CN5" s="66" t="str">
        <f>IF(OR(B02.00[[#This Row],[c0250]]&lt;&gt; "Structured",B02.00[[#This Row],[c0250]]&lt;&gt;"Only structured coupon"),(IF(B02.00[[#This Row],[c0120]]="","KO","OK")),"OK")</f>
        <v>OK</v>
      </c>
      <c r="CO5" s="66" t="str">
        <f>IF(B02.00[[#This Row],[c0130]]="","KO","OK")</f>
        <v>OK</v>
      </c>
      <c r="CP5" s="66" t="str">
        <f>IF(B02.00[[#This Row],[c0140]]="","KO","OK")</f>
        <v>OK</v>
      </c>
      <c r="CQ5" s="66" t="str">
        <f>IF(B02.00[[#This Row],[c0140]]="Other",(IF(B02.00[[#This Row],[c0141]]="","KO","OK")),"OK")</f>
        <v>OK</v>
      </c>
      <c r="CR5" s="66" t="str">
        <f>IF(B02.00[[#This Row],[c0160]]="","KO","OK")</f>
        <v>OK</v>
      </c>
      <c r="CS5" s="66" t="str">
        <f>IF(B02.00[[#This Row],[c0162]]="","KO","OK")</f>
        <v>OK</v>
      </c>
      <c r="CT5" s="66" t="str">
        <f>IF(AND(OR(B02.00[[#This Row],[c0250]]= "Non-Structured/Vanilla",B02.00[[#This Row],[c0250]]="Other non-standard terms"),B02.00[[#This Row],[c0240]]&lt;&gt;"ZCB issued at discount"),(IF(B02.00[[#This Row],[c0180]]="","KO","OK")),"OK")</f>
        <v>OK</v>
      </c>
      <c r="CU5" s="66" t="str">
        <f>IF(AND(B02.00[[#This Row],[c0250]]&lt;&gt; "Structured",B02.00[[#This Row],[c0250]]&lt;&gt;"Only structured coupon"),(IF(B02.00[[#This Row],[c0180]]="","KO","OK")),"OK")</f>
        <v>OK</v>
      </c>
      <c r="CV5" s="66" t="str">
        <f>IF(B02.00[[#This Row],[c0200]]="","KO","OK")</f>
        <v>OK</v>
      </c>
      <c r="CW5" s="66" t="str">
        <f>IF(B02.00[[#This Row],[c0140]]&lt;&gt;"Cash account/saving account",(IF(B02.00[[#This Row],[c0210]]="","KO","OK")),"OK")</f>
        <v>OK</v>
      </c>
      <c r="CX5" s="66" t="str">
        <f>IF(B02.00[[#This Row],[c0220]]="","KO","OK")</f>
        <v>OK</v>
      </c>
      <c r="CY5" s="66" t="str">
        <f>IF(B02.00[[#This Row],[c0250]]="","KO","OK")</f>
        <v>OK</v>
      </c>
      <c r="CZ5" s="66" t="str">
        <f>IF(OR(B02.00[[#This Row],[c0250]]="Structured",B02.00[[#This Row],[c0250]]="Only structured coupon"),(IF(B02.00[[#This Row],[c0260]]="","KO","OK")),"OK")</f>
        <v>OK</v>
      </c>
      <c r="DA5" s="66" t="str">
        <f>IF(OR(B02.00[[#This Row],[c0250]]="Structured",B02.00[[#This Row],[c0250]]="Only structured coupon"),(IF(B02.00[[#This Row],[c0270]]="","KO","OK")),"OK")</f>
        <v>OK</v>
      </c>
      <c r="DB5" s="66" t="str">
        <f>IF(OR(B02.00[[#This Row],[c0280]]="TRUE",B02.00[[#This Row],[c0290]]="TRUE"),(IF(B02.00[[#This Row],[c0300]]="","KO","OK")),"OK")</f>
        <v>OK</v>
      </c>
      <c r="DC5" s="66" t="str">
        <f>IF(B02.00[[#This Row],[c0310]]="","KO","OK")</f>
        <v>OK</v>
      </c>
      <c r="DD5" s="66" t="str">
        <f>IF(B02.00[[#This Row],[c0310]]="Secured",(IF(B02.00[[#This Row],[c0320]]="","KO","OK")),"OK")</f>
        <v>OK</v>
      </c>
      <c r="DE5" s="66" t="str">
        <f>IF(B02.00[[#This Row],[c0310]]="Secured",(IF(B02.00[[#This Row],[c0330]]="","KO","OK")),"OK")</f>
        <v>OK</v>
      </c>
      <c r="DF5" s="66" t="str">
        <f>IF(B02.00[[#This Row],[c0310]]="Secured",(IF(B02.00[[#This Row],[c0350]]="","KO","OK")),"OK")</f>
        <v>OK</v>
      </c>
      <c r="DG5" s="66" t="str">
        <f>IF(B02.00[[#This Row],[c0350]]="Other",(IF(B02.00[[#This Row],[c0351]]="","KO","OK")),"OK")</f>
        <v>OK</v>
      </c>
      <c r="DH5" s="66" t="str">
        <f>IF(AND(B02.00[[#This Row],[c0040]]="ISIN",B02.00[[#This Row],[c0360]]="Nominal "),(IF(B02.00[[#This Row],[c0370]]="","KO","OK")),"OK")</f>
        <v>OK</v>
      </c>
      <c r="DI5" s="66" t="str">
        <f>IF(AND(B02.00[[#This Row],[c0040]]="ISIN",B02.00[[#This Row],[c0360]]="Unit "),(IF(B02.00[[#This Row],[c0370]]="","KO","OK")),"OK")</f>
        <v>OK</v>
      </c>
      <c r="DJ5" s="66" t="str">
        <f>IF(B02.00[[#This Row],[c0040]]="ISIN",(IF(B02.00[[#This Row],[c0390]]="","KO","OK")),"OK")</f>
        <v>OK</v>
      </c>
      <c r="DK5" s="66" t="str">
        <f>IF(B02.00[[#This Row],[c0040]]="ISIN",(IF(B02.00[[#This Row],[c0391]]="","KO","OK")),"OK")</f>
        <v>OK</v>
      </c>
      <c r="DL5" s="66" t="str">
        <f>IF(AND(B02.00[[#This Row],[c0040]]="ISIN",OR(B02.00[[#This Row],[c0250]]= "Non-Structured/Vanilla",B02.00[[#This Row],[c0250]]="Other non-standard terms"),B02.00[[#This Row],[c0240]]&lt;&gt;"ZCB issued at discount"),(IF(B02.00[[#This Row],[c0400]]="","KO","OK")),"OK")</f>
        <v>OK</v>
      </c>
      <c r="DM5" s="66" t="str">
        <f>IF(AND(B02.00[[#This Row],[c0040]]="ISIN",AND(B02.00[[#This Row],[c0250]]&lt;&gt;"Structured",B02.00[[#This Row],[c0250]]&lt;&gt;"Only structured coupon")),(IF(B02.00[[#This Row],[c0400]]="","KO","OK")),"OK")</f>
        <v>OK</v>
      </c>
      <c r="DN5" s="66" t="str">
        <f>IF(B02.00[[#This Row],[c0610]]="","KO","OK")</f>
        <v>OK</v>
      </c>
      <c r="DO5" s="101" t="str">
        <f>IF('B9900'!$H$4="Non-Resolution Entity",(IF(B02.00[[#This Row],[c5000]]="","KO","OK")),"OK")</f>
        <v>OK</v>
      </c>
      <c r="DP5" s="101" t="str">
        <f>IF('B9900'!$H$4="Non-Resolution Entity",(IF(B02.00[[#This Row],[c5010]]="","KO","OK")),"OK")</f>
        <v>OK</v>
      </c>
      <c r="DQ5" s="68" t="str">
        <f>IF(B02.00[[#This Row],[c0040]]="ISIN",(IF(AND(LEN(B02.00[[#This Row],[c0030]]=12),NOT(ISNUMBER(LEFT(B02.00[[#This Row],[c0030]],2)))),"OK","KO")),"OK")</f>
        <v>OK</v>
      </c>
      <c r="DR5" s="68" t="str">
        <f>IF(AND(B02.00[[#This Row],[c0020]]&lt;&gt;"NCNP",B02.00[[#This Row],[c0020]]&lt;&gt;"NCBP"),(IF(AND(LEN(B02.00[[#This Row],[c0070]])=3,NOT(ISERROR(MATCH(UPPER(B02.00[[#This Row],[c0070]]),Tabelle1[Alphabetic Code],0)))),"OK","KO")),"OK")</f>
        <v>OK</v>
      </c>
      <c r="DS5" s="68" t="str">
        <f>IF(B02.00[[#This Row],[c0080]]&gt;0,"OK","KO")</f>
        <v>OK</v>
      </c>
      <c r="DT5" s="68" t="str">
        <f>IF(B02.00[[#This Row],[c0040]]="ISIN",(IF(B02.00[[#This Row],[c0090]]&gt;=0,"OK","KO")),"OK")</f>
        <v>OK</v>
      </c>
      <c r="DU5" s="68" t="str">
        <f>IF(B02.00[[#This Row],[c0100]]&gt;=0,"OK","KO")</f>
        <v>OK</v>
      </c>
      <c r="DV5" s="68" t="str">
        <f>IF(B02.00[[#This Row],[c0110]]&gt;=0,"OK","KO")</f>
        <v>OK</v>
      </c>
      <c r="DW5" s="68" t="str">
        <f>IF(B02.00[[#This Row],[c0120]]&gt;=0,"OK","KO")</f>
        <v>OK</v>
      </c>
      <c r="DX5" s="68" t="str">
        <f>IF(B02.00[[#This Row],[c0120]]=(H5+J5+K5),"OK","KO")</f>
        <v>OK</v>
      </c>
      <c r="DY5" s="68" t="str">
        <f>IF(OR(B02.00[[#This Row],[c0250]]="Non-structured /Vanilla",B02.00[[#This Row],[c0250]]="Other non-standard terms"),(IF(B02.00[[#This Row],[c0130]]=MAX(0,B02.00[[#This Row],[c0120]],B02.00[[#This Row],[c0300]],B02.00[[#This Row],[c0320]]),"OK","KO")),"OK")</f>
        <v>OK</v>
      </c>
      <c r="DZ5" s="68" t="str">
        <f>IF(OR(B02.00[[#This Row],[c0250]]="Structured",B02.00[[#This Row],[c0250]]="Only structured coupon"),(IF(OR(B02.00[[#This Row],[c0130]]=MAX(0,B02.00[[#This Row],[c0270]],B02.00[[#This Row],[c0300]],B02.00[[#This Row],[c0320]]),B02.00[[#This Row],[c0130]]=MAX(0,B02.00[[#This Row],[c0120]],B02.00[[#This Row],[c0300]],B02.00[[#This Row],[c0320]])),"OK","KO")),"OK")</f>
        <v>OK</v>
      </c>
      <c r="EA5" s="68" t="str">
        <f>IF(OR(B02.00[[#This Row],[c0140]]="Registered Bond",B02.00[[#This Row],[c0140]]="Bearrer Bond",B02.00[[#This Row],[c0140]]="Borrower Note Loan",B02.00[[#This Row],[c0140]]="Certificate of Deposit / Commercial Paper",B02.00[[#This Row],[c0140]]="Title of ownership",B02.00[[#This Row],[c0140]]="Cash account/saving account",B02.00[[#This Row],[c0140]]="Term deposit",B02.00[[#This Row],[c0140]]="Loan",B02.00[[#This Row],[c0140]]="Bill of exchange",B02.00[[#This Row],[c0140]]="Other"),"OK","KO")</f>
        <v>OK</v>
      </c>
      <c r="EB5" s="68" t="str">
        <f>IF(B02.00[[#This Row],[c0160]]&gt;=1,"OK","KO")</f>
        <v>OK</v>
      </c>
      <c r="EC5" s="68" t="str">
        <f>IF(AND(B02.00[[#This Row],[c0020]]&lt;&gt;"NCNP",B02.00[[#This Row],[c0020]]&lt;&gt;"NCBP"),(IF(B02.00[[#This Row],[c0170]]&gt;DATE(1900,1,1),"OK","KO")),"OK")</f>
        <v>OK</v>
      </c>
      <c r="ED5" s="68" t="str">
        <f>IF(AND(OR(B02.00[[#This Row],[c0190]]&lt;&gt;"",B02.00[[#This Row],[c0200]]&lt;&gt;""),AND(B02.00[[#This Row],[c0020]]&lt;&gt;"NCNP",B02.00[[#This Row],[c0020]]&lt;&gt;"NCBP")),(IF(AND(B02.00[[#This Row],[c0170]]&lt;B02.00[[#This Row],[c0190]],B02.00[[#This Row],[c0170]]&lt;B02.00[[#This Row],[c0200]]),"OK","KO")),"OK")</f>
        <v>OK</v>
      </c>
      <c r="EE5" s="66" t="str">
        <f>IF(AND(B02.00[[#This Row],[c0020]]&lt;&gt;"NCNP",B02.00[[#This Row],[c0020]]&lt;&gt;"NCBP"),IF(B02.00[[#This Row],[c0180]]="","KO",IF(B02.00[[#This Row],[c0180]]&gt;DATE(1900,1,1),"OK","KO")),"OK")</f>
        <v>OK</v>
      </c>
      <c r="EF5" s="68" t="str">
        <f>IF(AND('B9900'!$I$4&lt;&gt;"",B02.00[[#This Row],[c0020]]&lt;&gt;"NCNP",B02.00[[#This Row],[c0020]]&lt;&gt;"NCBP"),IF(B02.00[[#This Row],[c0180]]="","KO",IF(B02.00[[#This Row],[c0180]]&gt;'B9900'!$I$4,"OK","KO")),"OK")</f>
        <v>OK</v>
      </c>
      <c r="EG5" s="68" t="str">
        <f>IF(AND(B02.00[[#This Row],[c0020]]&lt;&gt;"NCNP",B02.00[[#This Row],[c0020]]&lt;&gt;"NCBP"),(IF(B02.00[[#This Row],[c0200]]&gt;DATE(1900,1,1),"OK","KO")),"OK")</f>
        <v>OK</v>
      </c>
      <c r="EH5" s="68" t="str">
        <f>IF(AND('B9900'!$I$4&lt;&gt;"",AND(B02.00[[#This Row],[c0020]]&lt;&gt;"NCNP",B02.00[[#This Row],[c0020]]&lt;&gt;"NCBP")),(IF(B02.00[[#This Row],[c0200]]&gt;'B9900'!$I$4,"OK","KO")),"OK")</f>
        <v>OK</v>
      </c>
      <c r="EI5" s="68" t="str">
        <f>IF(AND(B02.00[[#This Row],[c0020]]&lt;&gt;"NCNP",B02.00[[#This Row],[c0020]]&lt;&gt;"NCBP"),(IF(B02.00[[#This Row],[c0210]]&gt;DATE(1900,1,1),"OK","KO")),"OK")</f>
        <v>OK</v>
      </c>
      <c r="EJ5" s="68" t="str">
        <f>IF(AND('B9900'!$I$4&lt;&gt;"",AND(B02.00[[#This Row],[c0020]]&lt;&gt;"NCNP",B02.00[[#This Row],[c0020]]&lt;&gt;"NCBP")),(IF(B02.00[[#This Row],[c0210]]&gt;'B9900'!$I$4,"OK","KO")),"OK")</f>
        <v>OK</v>
      </c>
      <c r="EK5" s="68" t="str">
        <f>IF(AND(B02.00[[#This Row],[c0020]]&lt;&gt;"NCNP",B02.00[[#This Row],[c0020]]&lt;&gt;"NCBP"),(IF(OR(NOT(ISERROR(MATCH(B02.00[[#This Row],[c0220]],'ISO 3166'!B:B,0))),NOT(ISERROR(MATCH(B02.00[[#This Row],[c0220]],'ISO 3166'!E:E,0)))),"OK","KO")),"OK")</f>
        <v>OK</v>
      </c>
      <c r="EL5" s="68" t="str">
        <f>IF(AND(B02.00[[#This Row],[c0020]]&lt;&gt;"NCNP",B02.00[[#This Row],[c0020]]&lt;&gt;"NCBP"),(IF(OR(B02.00[[#This Row],[c0230]]="Yes, supported by Legal Opinion",B02.00[[#This Row],[c0230]]="Yes, not supported by Legal Opinion",B02.00[[#This Row],[c0230]]="No",B02.00[[#This Row],[c0230]]="Not applicable",B02.00[[#This Row],[c0230]]="Aggregated"),"OK","KO")),"OK")</f>
        <v>OK</v>
      </c>
      <c r="EM5" s="68" t="str">
        <f>IF(OR(B02.00[[#This Row],[c0250]]="Non-structured/Vanilla",B02.00[[#This Row],[c0250]]="Structured",B02.00[[#This Row],[c0250]]="Other non-standard terms",B02.00[[#This Row],[c0250]]="Only structured coupon",B02.00[[#This Row],[c0250]]="Aggregated"),"OK","KO")</f>
        <v>OK</v>
      </c>
      <c r="EN5" s="68" t="str">
        <f>IF(OR(B02.00[[#This Row],[c0310]]="Secured",B02.00[[#This Row],[c0310]]="Unsecured"),"OK","KO")</f>
        <v>OK</v>
      </c>
      <c r="EO5" s="68" t="str">
        <f>IF(AND(B02.00[[#This Row],[c0310]]="Secured",OR(B02.00[[#This Row],[c0250]]="Non-structured/Vanilla",B02.00[[#This Row],[c0250]]="Other non-standard terms"),B02.00[[#This Row],[c0240]]&lt;&gt;"ZCB issued at discount"),(IF(B02.00[[#This Row],[c0330]]=MAX(0,B02.00[[#This Row],[c0120]],B02.00[[#This Row],[c0320]]),"OK","KO")),"OK")</f>
        <v>OK</v>
      </c>
      <c r="EP5" s="68" t="str">
        <f>IF(AND(B02.00[[#This Row],[c0310]]="Secured",OR(B02.00[[#This Row],[c0250]]="Structured",B02.00[[#This Row],[c0250]]="Only structured coupon")),(IF(OR(B02.00[[#This Row],[c0330]]=MAX(0,B02.00[[#This Row],[c0270]],B02.00[[#This Row],[c0320]]),B02.00[[#This Row],[c0330]]=MAX(0,B02.00[[#This Row],[c0120]],B02.00[[#This Row],[c0320]])),"OK","KO")),"OK")</f>
        <v>OK</v>
      </c>
      <c r="EQ5" s="68" t="str">
        <f>IF(OR(B02.00[[#This Row],[c0350]]="Real estate",B02.00[[#This Row],[c0350]]="Ships",B02.00[[#This Row],[c0350]]="Aircraft",B02.00[[#This Row],[c0350]]="Financial",B02.00[[#This Row],[c0350]]="Other",B02.00[[#This Row],[c0350]]="Not applicable"),"OK","KO")</f>
        <v>OK</v>
      </c>
      <c r="ER5" s="68" t="str">
        <f>IF(B02.00[[#This Row],[c0310]]="Unsecured",(IF(B02.00[[#This Row],[c0350]]="Not applicable","OK","KO")),"OK")</f>
        <v>OK</v>
      </c>
      <c r="ES5" s="68" t="str">
        <f>IF(OR(B02.00[[#This Row],[c0440]]="NGN",B02.00[[#This Row],[c0440]]="CGN",B02.00[[#This Row],[c0440]]="Not applicable"),"OK","KO")</f>
        <v>OK</v>
      </c>
      <c r="ET5" s="68" t="str">
        <f>IF(OR(B02.00[[#This Row],[c0530]]="T2 in phase-out",B02.00[[#This Row],[c0530]]="Grandfathered T2",B02.00[[#This Row],[c0530]]="Fully Compliant T2",B02.00[[#This Row],[c0530]]="Partially (A)T1 and T2",B02.00[[#This Row],[c0530]]="Grandfathered AT1",B02.00[[#This Row],[c0530]]="Fully Compliant AT1",B02.00[[#This Row],[c0530]]="CET1",B02.00[[#This Row],[c0530]]="No"),"OK","KO")</f>
        <v>OK</v>
      </c>
      <c r="EU5" s="68" t="str">
        <f>IF(B02.00[[#This Row],[c0540]] ="","KO",IF(B02.00[[#This Row],[c0540]]&gt;=0,"OK","KO"))</f>
        <v>OK</v>
      </c>
      <c r="EV5" s="68" t="str">
        <f>IF(OR(B02.00[[#This Row],[c0550]]="T2 in phase-out",B02.00[[#This Row],[c0550]]="Grandfathered T2",B02.00[[#This Row],[c0550]]="Fully Compliant T2",B02.00[[#This Row],[c0550]]="Partially (A)T1 and T2",B02.00[[#This Row],[c0550]]="Grandfathered AT1",B02.00[[#This Row],[c0550]]="Fully Compliant AT1",B02.00[[#This Row],[c0550]]="CET1",B02.00[[#This Row],[c0550]]="No"),"OK","KO")</f>
        <v>OK</v>
      </c>
      <c r="EW5" s="68" t="str">
        <f>IF(B02.00[[#This Row],[c0560]]="","KO",IF(B02.00[[#This Row],[c0560]]&gt;=0,"OK","KO"))</f>
        <v>OK</v>
      </c>
      <c r="EX5" s="68" t="str">
        <f>IF(OR(B02.00[[#This Row],[c0590]]="Lien",B02.00[[#This Row],[c0590]]="Guarantee",B02.00[[#This Row],[c0590]]="Surety",B02.00[[#This Row],[c0590]]="Guarantee obligation",B02.00[[#This Row],[c0590]]="Other",B02.00[[#This Row],[c0590]]="Not applicable",B02.00[[#This Row],[c0590]]="Aggregated"),"OK","KO")</f>
        <v>OK</v>
      </c>
      <c r="EY5" s="68" t="str">
        <f>IF(B02.00[[#This Row],[c0610]]="","KO",IF(B02.00[[#This Row],[c0610]]&gt;=0,"OK","KO"))</f>
        <v>OK</v>
      </c>
      <c r="EZ5" s="68" t="str">
        <f>IF(OR(B02.00[[#This Row],[c0620]]="010 Financial liabilities held for trading",B02.00[[#This Row],[c0620]]="070 Financial liabilities at fair value through profit or loss",B02.00[[#This Row],[c0620]]="110 Financial liabilities at amortized cost",B02.00[[#This Row],[c0620]]="280 Other liabilities",B02.00[[#This Row],[c0620]]="300 Total equity",),"OK","KO")</f>
        <v>OK</v>
      </c>
    </row>
    <row r="6" spans="1:156" ht="17.399999999999999">
      <c r="A6" s="126">
        <v>2</v>
      </c>
      <c r="B6" s="126" t="s">
        <v>2389</v>
      </c>
      <c r="C6" s="126" t="s">
        <v>2390</v>
      </c>
      <c r="D6" s="126" t="s">
        <v>2178</v>
      </c>
      <c r="E6" s="127">
        <v>600000000</v>
      </c>
      <c r="F6" s="127">
        <v>999999999999999</v>
      </c>
      <c r="G6" s="126" t="s">
        <v>351</v>
      </c>
      <c r="H6" s="127">
        <v>600000000</v>
      </c>
      <c r="I6" s="127">
        <v>0</v>
      </c>
      <c r="J6" s="127">
        <v>8348547.943835617</v>
      </c>
      <c r="K6" s="127">
        <v>0</v>
      </c>
      <c r="L6" s="130">
        <v>608348547.94383562</v>
      </c>
      <c r="M6" s="130">
        <v>608348547.94383562</v>
      </c>
      <c r="N6" s="126" t="s">
        <v>164</v>
      </c>
      <c r="O6" s="126" t="s">
        <v>208</v>
      </c>
      <c r="P6" s="126" t="s">
        <v>208</v>
      </c>
      <c r="Q6" s="126">
        <v>8</v>
      </c>
      <c r="R6" s="127">
        <v>999999999999999</v>
      </c>
      <c r="S6" s="126">
        <v>8</v>
      </c>
      <c r="T6" s="126" t="s">
        <v>2391</v>
      </c>
      <c r="U6" s="126" t="s">
        <v>2350</v>
      </c>
      <c r="V6" s="126" t="s">
        <v>2392</v>
      </c>
      <c r="W6" s="131" t="s">
        <v>2350</v>
      </c>
      <c r="X6" s="126" t="s">
        <v>2392</v>
      </c>
      <c r="Y6" s="126" t="s">
        <v>1897</v>
      </c>
      <c r="Z6" s="126" t="s">
        <v>165</v>
      </c>
      <c r="AA6" s="126" t="s">
        <v>204</v>
      </c>
      <c r="AB6" s="126" t="s">
        <v>167</v>
      </c>
      <c r="AC6" s="127">
        <v>999999999999999</v>
      </c>
      <c r="AD6" s="127">
        <v>999999999999999</v>
      </c>
      <c r="AE6" s="126" t="s">
        <v>2180</v>
      </c>
      <c r="AF6" s="126" t="s">
        <v>2180</v>
      </c>
      <c r="AG6" s="127">
        <v>999999999999999</v>
      </c>
      <c r="AH6" s="126" t="s">
        <v>188</v>
      </c>
      <c r="AI6" s="127">
        <v>999999999999999</v>
      </c>
      <c r="AJ6" s="127">
        <v>999999999999999</v>
      </c>
      <c r="AK6" s="126" t="s">
        <v>208</v>
      </c>
      <c r="AL6" s="126" t="s">
        <v>208</v>
      </c>
      <c r="AM6" s="126" t="s">
        <v>208</v>
      </c>
      <c r="AN6" s="126" t="s">
        <v>2383</v>
      </c>
      <c r="AO6" s="127">
        <v>100000</v>
      </c>
      <c r="AP6" s="127">
        <v>100000</v>
      </c>
      <c r="AQ6" s="126" t="s">
        <v>2393</v>
      </c>
      <c r="AR6" s="126" t="s">
        <v>432</v>
      </c>
      <c r="AS6" s="128">
        <f>+B02.00[[#This Row],[c0100]]/B02.00[[#This Row],[c0390]]</f>
        <v>1391.4246573059361</v>
      </c>
      <c r="AT6" s="128">
        <v>0</v>
      </c>
      <c r="AU6" s="128">
        <v>999999999999999</v>
      </c>
      <c r="AV6" s="127">
        <v>999999999999999</v>
      </c>
      <c r="AW6" s="127">
        <v>999999999999999</v>
      </c>
      <c r="AX6" s="126" t="s">
        <v>208</v>
      </c>
      <c r="AY6" s="129">
        <v>-9999.9999999989996</v>
      </c>
      <c r="AZ6" s="126" t="s">
        <v>2385</v>
      </c>
      <c r="BA6" s="126" t="s">
        <v>2386</v>
      </c>
      <c r="BB6" s="126" t="s">
        <v>208</v>
      </c>
      <c r="BC6" s="126" t="s">
        <v>2387</v>
      </c>
      <c r="BD6" s="126" t="s">
        <v>2388</v>
      </c>
      <c r="BE6" s="126" t="s">
        <v>208</v>
      </c>
      <c r="BF6" s="126" t="s">
        <v>208</v>
      </c>
      <c r="BG6" s="126" t="s">
        <v>2385</v>
      </c>
      <c r="BH6" s="126" t="s">
        <v>2386</v>
      </c>
      <c r="BI6" s="126" t="s">
        <v>2385</v>
      </c>
      <c r="BJ6" s="126" t="s">
        <v>2386</v>
      </c>
      <c r="BK6" s="126" t="s">
        <v>208</v>
      </c>
      <c r="BL6" s="126" t="s">
        <v>208</v>
      </c>
      <c r="BM6" s="126" t="s">
        <v>208</v>
      </c>
      <c r="BN6" s="126" t="s">
        <v>208</v>
      </c>
      <c r="BO6" s="126" t="s">
        <v>202</v>
      </c>
      <c r="BP6" s="127">
        <v>0</v>
      </c>
      <c r="BQ6" s="126" t="s">
        <v>202</v>
      </c>
      <c r="BR6" s="127">
        <v>0</v>
      </c>
      <c r="BS6" s="127">
        <v>0</v>
      </c>
      <c r="BT6" s="126" t="s">
        <v>208</v>
      </c>
      <c r="BU6" s="126" t="s">
        <v>208</v>
      </c>
      <c r="BV6" s="126" t="s">
        <v>208</v>
      </c>
      <c r="BW6" s="126" t="s">
        <v>2180</v>
      </c>
      <c r="BX6" s="130">
        <v>608348547.94383562</v>
      </c>
      <c r="BY6" s="126" t="s">
        <v>212</v>
      </c>
      <c r="BZ6" s="127">
        <v>999999999999999</v>
      </c>
      <c r="CA6" s="126" t="s">
        <v>208</v>
      </c>
      <c r="CB6" s="126" t="s">
        <v>2180</v>
      </c>
      <c r="CC6" s="126" t="s">
        <v>2179</v>
      </c>
      <c r="CD6" s="66" t="str">
        <f>IF(B02.00[[#This Row],[c0010]]="","KO","OK")</f>
        <v>OK</v>
      </c>
      <c r="CE6" s="67" t="str">
        <f>IF(B02.00[[#This Row],[c0030]]="","KO","OK")</f>
        <v>OK</v>
      </c>
      <c r="CF6" s="66" t="str">
        <f>IF(B02.00[[#This Row],[c0040]]="","KO","OK")</f>
        <v>OK</v>
      </c>
      <c r="CG6" s="66" t="str">
        <f>IF(B02.00[[#This Row],[c0070]]="","KO","OK")</f>
        <v>OK</v>
      </c>
      <c r="CH6" s="66" t="str">
        <f>IF(OR(B02.00[[#This Row],[c0250]]= "Non-Structured/Vanilla",B02.00[[#This Row],[c0250]]="Other non-standard terms"),(IF(B02.00[[#This Row],[c0080]]="","KO","OK")),"OK")</f>
        <v>OK</v>
      </c>
      <c r="CI6" s="66" t="str">
        <f>IF(OR(B02.00[[#This Row],[c0250]]= "Structured",B02.00[[#This Row],[c0250]]="Only structured coupon"),(IF(B02.00[[#This Row],[c0080]]="","KO","OK")),"OK")</f>
        <v>OK</v>
      </c>
      <c r="CJ6" s="66" t="str">
        <f>IF(B02.00[[#This Row],[c0040]]="ISIN",(IF(B02.00[[#This Row],[c0090]]="","KO","OK")),"OK")</f>
        <v>OK</v>
      </c>
      <c r="CK6" s="66" t="str">
        <f>IF(AND(OR(B02.00[[#This Row],[c0250]]="Non-Structured/Vanilla",B02.00[[#This Row],[c0250]]="Other non-standard terms"),B02.00[[#This Row],[c0240]]&lt;&gt;"ZCB issued at discount"),(IF(B02.00[[#This Row],[c0100]]="","KO","OK")),"OK")</f>
        <v>OK</v>
      </c>
      <c r="CL6" s="66" t="str">
        <f>IF(OR(B02.00[[#This Row],[c0250]]&lt;&gt; "Non-Structured/Vanilla",B02.00[[#This Row],[c0460]]&lt;&gt;"Other non-standard terms"),IF(B02.00[[#This Row],[c0100]]="","KO","OK"))</f>
        <v>OK</v>
      </c>
      <c r="CM6" s="66" t="str">
        <f>IF(OR(B02.00[[#This Row],[c0250]]= "Non-Structured/Vanilla",B02.00[[#This Row],[c0460]]="Other non-standard terms"),(IF(B02.00[[#This Row],[c0120]]="","KO","OK")),"OK")</f>
        <v>OK</v>
      </c>
      <c r="CN6" s="66" t="str">
        <f>IF(OR(B02.00[[#This Row],[c0250]]&lt;&gt; "Structured",B02.00[[#This Row],[c0250]]&lt;&gt;"Only structured coupon"),(IF(B02.00[[#This Row],[c0120]]="","KO","OK")),"OK")</f>
        <v>OK</v>
      </c>
      <c r="CO6" s="66" t="str">
        <f>IF(B02.00[[#This Row],[c0130]]="","KO","OK")</f>
        <v>OK</v>
      </c>
      <c r="CP6" s="66" t="str">
        <f>IF(B02.00[[#This Row],[c0140]]="","KO","OK")</f>
        <v>OK</v>
      </c>
      <c r="CQ6" s="66" t="str">
        <f>IF(B02.00[[#This Row],[c0140]]="Other",(IF(B02.00[[#This Row],[c0141]]="","KO","OK")),"OK")</f>
        <v>OK</v>
      </c>
      <c r="CR6" s="66" t="str">
        <f>IF(B02.00[[#This Row],[c0160]]="","KO","OK")</f>
        <v>OK</v>
      </c>
      <c r="CS6" s="66" t="str">
        <f>IF(B02.00[[#This Row],[c0162]]="","KO","OK")</f>
        <v>OK</v>
      </c>
      <c r="CT6" s="66" t="str">
        <f>IF(AND(OR(B02.00[[#This Row],[c0250]]= "Non-Structured/Vanilla",B02.00[[#This Row],[c0250]]="Other non-standard terms"),B02.00[[#This Row],[c0240]]&lt;&gt;"ZCB issued at discount"),(IF(B02.00[[#This Row],[c0180]]="","KO","OK")),"OK")</f>
        <v>OK</v>
      </c>
      <c r="CU6" s="66" t="str">
        <f>IF(AND(B02.00[[#This Row],[c0250]]&lt;&gt; "Structured",B02.00[[#This Row],[c0250]]&lt;&gt;"Only structured coupon"),(IF(B02.00[[#This Row],[c0180]]="","KO","OK")),"OK")</f>
        <v>OK</v>
      </c>
      <c r="CV6" s="66" t="str">
        <f>IF(B02.00[[#This Row],[c0200]]="","KO","OK")</f>
        <v>OK</v>
      </c>
      <c r="CW6" s="66" t="str">
        <f>IF(B02.00[[#This Row],[c0140]]&lt;&gt;"Cash account/saving account",(IF(B02.00[[#This Row],[c0210]]="","KO","OK")),"OK")</f>
        <v>OK</v>
      </c>
      <c r="CX6" s="66" t="str">
        <f>IF(B02.00[[#This Row],[c0220]]="","KO","OK")</f>
        <v>OK</v>
      </c>
      <c r="CY6" s="66" t="str">
        <f>IF(B02.00[[#This Row],[c0250]]="","KO","OK")</f>
        <v>OK</v>
      </c>
      <c r="CZ6" s="66" t="str">
        <f>IF(OR(B02.00[[#This Row],[c0250]]="Structured",B02.00[[#This Row],[c0250]]="Only structured coupon"),(IF(B02.00[[#This Row],[c0260]]="","KO","OK")),"OK")</f>
        <v>OK</v>
      </c>
      <c r="DA6" s="66" t="str">
        <f>IF(OR(B02.00[[#This Row],[c0250]]="Structured",B02.00[[#This Row],[c0250]]="Only structured coupon"),(IF(B02.00[[#This Row],[c0270]]="","KO","OK")),"OK")</f>
        <v>OK</v>
      </c>
      <c r="DB6" s="66" t="str">
        <f>IF(OR(B02.00[[#This Row],[c0280]]="TRUE",B02.00[[#This Row],[c0290]]="TRUE"),(IF(B02.00[[#This Row],[c0300]]="","KO","OK")),"OK")</f>
        <v>OK</v>
      </c>
      <c r="DC6" s="66" t="str">
        <f>IF(B02.00[[#This Row],[c0310]]="","KO","OK")</f>
        <v>OK</v>
      </c>
      <c r="DD6" s="66" t="str">
        <f>IF(B02.00[[#This Row],[c0310]]="Secured",(IF(B02.00[[#This Row],[c0320]]="","KO","OK")),"OK")</f>
        <v>OK</v>
      </c>
      <c r="DE6" s="66" t="str">
        <f>IF(B02.00[[#This Row],[c0310]]="Secured",(IF(B02.00[[#This Row],[c0330]]="","KO","OK")),"OK")</f>
        <v>OK</v>
      </c>
      <c r="DF6" s="66" t="str">
        <f>IF(B02.00[[#This Row],[c0310]]="Secured",(IF(B02.00[[#This Row],[c0350]]="","KO","OK")),"OK")</f>
        <v>OK</v>
      </c>
      <c r="DG6" s="66" t="str">
        <f>IF(B02.00[[#This Row],[c0350]]="Other",(IF(B02.00[[#This Row],[c0351]]="","KO","OK")),"OK")</f>
        <v>OK</v>
      </c>
      <c r="DH6" s="66" t="str">
        <f>IF(AND(B02.00[[#This Row],[c0040]]="ISIN",B02.00[[#This Row],[c0360]]="Nominal "),(IF(B02.00[[#This Row],[c0370]]="","KO","OK")),"OK")</f>
        <v>OK</v>
      </c>
      <c r="DI6" s="66" t="str">
        <f>IF(AND(B02.00[[#This Row],[c0040]]="ISIN",B02.00[[#This Row],[c0360]]="Unit "),(IF(B02.00[[#This Row],[c0370]]="","KO","OK")),"OK")</f>
        <v>OK</v>
      </c>
      <c r="DJ6" s="66" t="str">
        <f>IF(B02.00[[#This Row],[c0040]]="ISIN",(IF(B02.00[[#This Row],[c0390]]="","KO","OK")),"OK")</f>
        <v>OK</v>
      </c>
      <c r="DK6" s="66" t="str">
        <f>IF(B02.00[[#This Row],[c0040]]="ISIN",(IF(B02.00[[#This Row],[c0391]]="","KO","OK")),"OK")</f>
        <v>OK</v>
      </c>
      <c r="DL6" s="66" t="str">
        <f>IF(AND(B02.00[[#This Row],[c0040]]="ISIN",OR(B02.00[[#This Row],[c0250]]= "Non-Structured/Vanilla",B02.00[[#This Row],[c0250]]="Other non-standard terms"),B02.00[[#This Row],[c0240]]&lt;&gt;"ZCB issued at discount"),(IF(B02.00[[#This Row],[c0400]]="","KO","OK")),"OK")</f>
        <v>OK</v>
      </c>
      <c r="DM6" s="66" t="str">
        <f>IF(AND(B02.00[[#This Row],[c0040]]="ISIN",AND(B02.00[[#This Row],[c0250]]&lt;&gt;"Structured",B02.00[[#This Row],[c0250]]&lt;&gt;"Only structured coupon")),(IF(B02.00[[#This Row],[c0400]]="","KO","OK")),"OK")</f>
        <v>OK</v>
      </c>
      <c r="DN6" s="66" t="str">
        <f>IF(B02.00[[#This Row],[c0610]]="","KO","OK")</f>
        <v>OK</v>
      </c>
      <c r="DO6" s="101" t="str">
        <f>IF('B9900'!$H$4="Non-Resolution Entity",(IF(B02.00[[#This Row],[c5000]]="","KO","OK")),"OK")</f>
        <v>OK</v>
      </c>
      <c r="DP6" s="101" t="str">
        <f>IF('B9900'!$H$4="Non-Resolution Entity",(IF(B02.00[[#This Row],[c5010]]="","KO","OK")),"OK")</f>
        <v>OK</v>
      </c>
      <c r="DQ6" s="68" t="str">
        <f>IF(B02.00[[#This Row],[c0040]]="ISIN",(IF(AND(LEN(B02.00[[#This Row],[c0030]]=12),NOT(ISNUMBER(LEFT(B02.00[[#This Row],[c0030]],2)))),"OK","KO")),"OK")</f>
        <v>OK</v>
      </c>
      <c r="DR6" s="68" t="str">
        <f>IF(AND(B02.00[[#This Row],[c0020]]&lt;&gt;"NCNP",B02.00[[#This Row],[c0020]]&lt;&gt;"NCBP"),(IF(AND(LEN(B02.00[[#This Row],[c0070]])=3,NOT(ISERROR(MATCH(UPPER(B02.00[[#This Row],[c0070]]),Tabelle1[Alphabetic Code],0)))),"OK","KO")),"OK")</f>
        <v>OK</v>
      </c>
      <c r="DS6" s="68" t="str">
        <f>IF(B02.00[[#This Row],[c0080]]&gt;0,"OK","KO")</f>
        <v>OK</v>
      </c>
      <c r="DT6" s="68" t="str">
        <f>IF(B02.00[[#This Row],[c0040]]="ISIN",(IF(B02.00[[#This Row],[c0090]]&gt;=0,"OK","KO")),"OK")</f>
        <v>OK</v>
      </c>
      <c r="DU6" s="68" t="str">
        <f>IF(B02.00[[#This Row],[c0100]]&gt;=0,"OK","KO")</f>
        <v>OK</v>
      </c>
      <c r="DV6" s="68" t="str">
        <f>IF(B02.00[[#This Row],[c0110]]&gt;=0,"OK","KO")</f>
        <v>OK</v>
      </c>
      <c r="DW6" s="68" t="str">
        <f>IF(B02.00[[#This Row],[c0120]]&gt;=0,"OK","KO")</f>
        <v>OK</v>
      </c>
      <c r="DX6" s="68" t="str">
        <f>IF(B02.00[[#This Row],[c0120]]=(H6+J6+K6),"OK","KO")</f>
        <v>OK</v>
      </c>
      <c r="DY6" s="68" t="str">
        <f>IF(OR(B02.00[[#This Row],[c0250]]="Non-structured /Vanilla",B02.00[[#This Row],[c0250]]="Other non-standard terms"),(IF(B02.00[[#This Row],[c0130]]=MAX(0,B02.00[[#This Row],[c0120]],B02.00[[#This Row],[c0300]],B02.00[[#This Row],[c0320]]),"OK","KO")),"OK")</f>
        <v>OK</v>
      </c>
      <c r="DZ6" s="68" t="str">
        <f>IF(OR(B02.00[[#This Row],[c0250]]="Structured",B02.00[[#This Row],[c0250]]="Only structured coupon"),(IF(OR(B02.00[[#This Row],[c0130]]=MAX(0,B02.00[[#This Row],[c0270]],B02.00[[#This Row],[c0300]],B02.00[[#This Row],[c0320]]),B02.00[[#This Row],[c0130]]=MAX(0,B02.00[[#This Row],[c0120]],B02.00[[#This Row],[c0300]],B02.00[[#This Row],[c0320]])),"OK","KO")),"OK")</f>
        <v>OK</v>
      </c>
      <c r="EA6" s="68" t="str">
        <f>IF(OR(B02.00[[#This Row],[c0140]]="Registered Bond",B02.00[[#This Row],[c0140]]="Bearrer Bond",B02.00[[#This Row],[c0140]]="Borrower Note Loan",B02.00[[#This Row],[c0140]]="Certificate of Deposit / Commercial Paper",B02.00[[#This Row],[c0140]]="Title of ownership",B02.00[[#This Row],[c0140]]="Cash account/saving account",B02.00[[#This Row],[c0140]]="Term deposit",B02.00[[#This Row],[c0140]]="Loan",B02.00[[#This Row],[c0140]]="Bill of exchange",B02.00[[#This Row],[c0140]]="Other"),"OK","KO")</f>
        <v>OK</v>
      </c>
      <c r="EB6" s="68" t="str">
        <f>IF(B02.00[[#This Row],[c0160]]&gt;=1,"OK","KO")</f>
        <v>OK</v>
      </c>
      <c r="EC6" s="68" t="str">
        <f>IF(AND(B02.00[[#This Row],[c0020]]&lt;&gt;"NCNP",B02.00[[#This Row],[c0020]]&lt;&gt;"NCBP"),(IF(B02.00[[#This Row],[c0170]]&gt;DATE(1900,1,1),"OK","KO")),"OK")</f>
        <v>OK</v>
      </c>
      <c r="ED6" s="68" t="str">
        <f>IF(AND(OR(B02.00[[#This Row],[c0190]]&lt;&gt;"",B02.00[[#This Row],[c0200]]&lt;&gt;""),AND(B02.00[[#This Row],[c0020]]&lt;&gt;"NCNP",B02.00[[#This Row],[c0020]]&lt;&gt;"NCBP")),(IF(AND(B02.00[[#This Row],[c0170]]&lt;B02.00[[#This Row],[c0190]],B02.00[[#This Row],[c0170]]&lt;B02.00[[#This Row],[c0200]]),"OK","KO")),"OK")</f>
        <v>OK</v>
      </c>
      <c r="EE6" s="66" t="str">
        <f>IF(AND(B02.00[[#This Row],[c0020]]&lt;&gt;"NCNP",B02.00[[#This Row],[c0020]]&lt;&gt;"NCBP"),IF(B02.00[[#This Row],[c0180]]="","KO",IF(B02.00[[#This Row],[c0180]]&gt;DATE(1900,1,1),"OK","KO")),"OK")</f>
        <v>OK</v>
      </c>
      <c r="EF6" s="68" t="str">
        <f>IF(AND('B9900'!$I$4&lt;&gt;"",B02.00[[#This Row],[c0020]]&lt;&gt;"NCNP",B02.00[[#This Row],[c0020]]&lt;&gt;"NCBP"),IF(B02.00[[#This Row],[c0180]]="","KO",IF(B02.00[[#This Row],[c0180]]&gt;'B9900'!$I$4,"OK","KO")),"OK")</f>
        <v>OK</v>
      </c>
      <c r="EG6" s="68" t="str">
        <f>IF(AND(B02.00[[#This Row],[c0020]]&lt;&gt;"NCNP",B02.00[[#This Row],[c0020]]&lt;&gt;"NCBP"),(IF(B02.00[[#This Row],[c0200]]&gt;DATE(1900,1,1),"OK","KO")),"OK")</f>
        <v>OK</v>
      </c>
      <c r="EH6" s="68" t="str">
        <f>IF(AND('B9900'!$I$4&lt;&gt;"",AND(B02.00[[#This Row],[c0020]]&lt;&gt;"NCNP",B02.00[[#This Row],[c0020]]&lt;&gt;"NCBP")),(IF(B02.00[[#This Row],[c0200]]&gt;'B9900'!$I$4,"OK","KO")),"OK")</f>
        <v>OK</v>
      </c>
      <c r="EI6" s="68" t="str">
        <f>IF(AND(B02.00[[#This Row],[c0020]]&lt;&gt;"NCNP",B02.00[[#This Row],[c0020]]&lt;&gt;"NCBP"),(IF(B02.00[[#This Row],[c0210]]&gt;DATE(1900,1,1),"OK","KO")),"OK")</f>
        <v>OK</v>
      </c>
      <c r="EJ6" s="68" t="str">
        <f>IF(AND('B9900'!$I$4&lt;&gt;"",AND(B02.00[[#This Row],[c0020]]&lt;&gt;"NCNP",B02.00[[#This Row],[c0020]]&lt;&gt;"NCBP")),(IF(B02.00[[#This Row],[c0210]]&gt;'B9900'!$I$4,"OK","KO")),"OK")</f>
        <v>OK</v>
      </c>
      <c r="EK6" s="68" t="str">
        <f>IF(AND(B02.00[[#This Row],[c0020]]&lt;&gt;"NCNP",B02.00[[#This Row],[c0020]]&lt;&gt;"NCBP"),(IF(OR(NOT(ISERROR(MATCH(B02.00[[#This Row],[c0220]],'ISO 3166'!B:B,0))),NOT(ISERROR(MATCH(B02.00[[#This Row],[c0220]],'ISO 3166'!E:E,0)))),"OK","KO")),"OK")</f>
        <v>OK</v>
      </c>
      <c r="EL6" s="68" t="str">
        <f>IF(AND(B02.00[[#This Row],[c0020]]&lt;&gt;"NCNP",B02.00[[#This Row],[c0020]]&lt;&gt;"NCBP"),(IF(OR(B02.00[[#This Row],[c0230]]="Yes, supported by Legal Opinion",B02.00[[#This Row],[c0230]]="Yes, not supported by Legal Opinion",B02.00[[#This Row],[c0230]]="No",B02.00[[#This Row],[c0230]]="Not applicable",B02.00[[#This Row],[c0230]]="Aggregated"),"OK","KO")),"OK")</f>
        <v>OK</v>
      </c>
      <c r="EM6" s="68" t="str">
        <f>IF(OR(B02.00[[#This Row],[c0250]]="Non-structured/Vanilla",B02.00[[#This Row],[c0250]]="Structured",B02.00[[#This Row],[c0250]]="Other non-standard terms",B02.00[[#This Row],[c0250]]="Only structured coupon",B02.00[[#This Row],[c0250]]="Aggregated"),"OK","KO")</f>
        <v>OK</v>
      </c>
      <c r="EN6" s="68" t="str">
        <f>IF(OR(B02.00[[#This Row],[c0310]]="Secured",B02.00[[#This Row],[c0310]]="Unsecured"),"OK","KO")</f>
        <v>OK</v>
      </c>
      <c r="EO6" s="68" t="str">
        <f>IF(AND(B02.00[[#This Row],[c0310]]="Secured",OR(B02.00[[#This Row],[c0250]]="Non-structured/Vanilla",B02.00[[#This Row],[c0250]]="Other non-standard terms"),B02.00[[#This Row],[c0240]]&lt;&gt;"ZCB issued at discount"),(IF(B02.00[[#This Row],[c0330]]=MAX(0,B02.00[[#This Row],[c0120]],B02.00[[#This Row],[c0320]]),"OK","KO")),"OK")</f>
        <v>OK</v>
      </c>
      <c r="EP6" s="68" t="str">
        <f>IF(AND(B02.00[[#This Row],[c0310]]="Secured",OR(B02.00[[#This Row],[c0250]]="Structured",B02.00[[#This Row],[c0250]]="Only structured coupon")),(IF(OR(B02.00[[#This Row],[c0330]]=MAX(0,B02.00[[#This Row],[c0270]],B02.00[[#This Row],[c0320]]),B02.00[[#This Row],[c0330]]=MAX(0,B02.00[[#This Row],[c0120]],B02.00[[#This Row],[c0320]])),"OK","KO")),"OK")</f>
        <v>OK</v>
      </c>
      <c r="EQ6" s="68" t="str">
        <f>IF(OR(B02.00[[#This Row],[c0350]]="Real estate",B02.00[[#This Row],[c0350]]="Ships",B02.00[[#This Row],[c0350]]="Aircraft",B02.00[[#This Row],[c0350]]="Financial",B02.00[[#This Row],[c0350]]="Other",B02.00[[#This Row],[c0350]]="Not applicable"),"OK","KO")</f>
        <v>OK</v>
      </c>
      <c r="ER6" s="68" t="str">
        <f>IF(B02.00[[#This Row],[c0310]]="Unsecured",(IF(B02.00[[#This Row],[c0350]]="Not applicable","OK","KO")),"OK")</f>
        <v>OK</v>
      </c>
      <c r="ES6" s="68" t="str">
        <f>IF(OR(B02.00[[#This Row],[c0440]]="NGN",B02.00[[#This Row],[c0440]]="CGN",B02.00[[#This Row],[c0440]]="Not applicable"),"OK","KO")</f>
        <v>OK</v>
      </c>
      <c r="ET6" s="68" t="str">
        <f>IF(OR(B02.00[[#This Row],[c0530]]="T2 in phase-out",B02.00[[#This Row],[c0530]]="Grandfathered T2",B02.00[[#This Row],[c0530]]="Fully Compliant T2",B02.00[[#This Row],[c0530]]="Partially (A)T1 and T2",B02.00[[#This Row],[c0530]]="Grandfathered AT1",B02.00[[#This Row],[c0530]]="Fully Compliant AT1",B02.00[[#This Row],[c0530]]="CET1",B02.00[[#This Row],[c0530]]="No"),"OK","KO")</f>
        <v>OK</v>
      </c>
      <c r="EU6" s="68" t="str">
        <f>IF(B02.00[[#This Row],[c0540]] ="","KO",IF(B02.00[[#This Row],[c0540]]&gt;=0,"OK","KO"))</f>
        <v>OK</v>
      </c>
      <c r="EV6" s="68" t="str">
        <f>IF(OR(B02.00[[#This Row],[c0550]]="T2 in phase-out",B02.00[[#This Row],[c0550]]="Grandfathered T2",B02.00[[#This Row],[c0550]]="Fully Compliant T2",B02.00[[#This Row],[c0550]]="Partially (A)T1 and T2",B02.00[[#This Row],[c0550]]="Grandfathered AT1",B02.00[[#This Row],[c0550]]="Fully Compliant AT1",B02.00[[#This Row],[c0550]]="CET1",B02.00[[#This Row],[c0550]]="No"),"OK","KO")</f>
        <v>OK</v>
      </c>
      <c r="EW6" s="68" t="str">
        <f>IF(B02.00[[#This Row],[c0560]]="","KO",IF(B02.00[[#This Row],[c0560]]&gt;=0,"OK","KO"))</f>
        <v>OK</v>
      </c>
      <c r="EX6" s="68" t="str">
        <f>IF(OR(B02.00[[#This Row],[c0590]]="Lien",B02.00[[#This Row],[c0590]]="Guarantee",B02.00[[#This Row],[c0590]]="Surety",B02.00[[#This Row],[c0590]]="Guarantee obligation",B02.00[[#This Row],[c0590]]="Other",B02.00[[#This Row],[c0590]]="Not applicable",B02.00[[#This Row],[c0590]]="Aggregated"),"OK","KO")</f>
        <v>OK</v>
      </c>
      <c r="EY6" s="68" t="str">
        <f>IF(B02.00[[#This Row],[c0610]]="","KO",IF(B02.00[[#This Row],[c0610]]&gt;=0,"OK","KO"))</f>
        <v>OK</v>
      </c>
      <c r="EZ6" s="68" t="str">
        <f>IF(OR(B02.00[[#This Row],[c0620]]="010 Financial liabilities held for trading",B02.00[[#This Row],[c0620]]="070 Financial liabilities at fair value through profit or loss",B02.00[[#This Row],[c0620]]="110 Financial liabilities at amortized cost",B02.00[[#This Row],[c0620]]="280 Other liabilities",B02.00[[#This Row],[c0620]]="300 Total equity",),"OK","KO")</f>
        <v>OK</v>
      </c>
    </row>
    <row r="7" spans="1:156" s="65" customFormat="1" ht="17.399999999999999">
      <c r="A7" s="126">
        <v>3</v>
      </c>
      <c r="B7" s="126" t="s">
        <v>2394</v>
      </c>
      <c r="C7" s="126" t="s">
        <v>2395</v>
      </c>
      <c r="D7" s="126" t="s">
        <v>2178</v>
      </c>
      <c r="E7" s="127">
        <v>200000000</v>
      </c>
      <c r="F7" s="127">
        <v>999999999999999</v>
      </c>
      <c r="G7" s="126" t="s">
        <v>351</v>
      </c>
      <c r="H7" s="127">
        <v>200000000</v>
      </c>
      <c r="I7" s="127">
        <v>0</v>
      </c>
      <c r="J7" s="127">
        <v>4106991.7778082187</v>
      </c>
      <c r="K7" s="127">
        <v>0</v>
      </c>
      <c r="L7" s="130">
        <v>204106991.77780822</v>
      </c>
      <c r="M7" s="130">
        <v>204106991.77780822</v>
      </c>
      <c r="N7" s="126" t="s">
        <v>164</v>
      </c>
      <c r="O7" s="126" t="s">
        <v>208</v>
      </c>
      <c r="P7" s="126" t="s">
        <v>208</v>
      </c>
      <c r="Q7" s="126">
        <v>3</v>
      </c>
      <c r="R7" s="127">
        <v>999999999999999</v>
      </c>
      <c r="S7" s="126">
        <v>3</v>
      </c>
      <c r="T7" s="126" t="s">
        <v>2396</v>
      </c>
      <c r="U7" s="126" t="s">
        <v>2347</v>
      </c>
      <c r="V7" s="126" t="s">
        <v>2397</v>
      </c>
      <c r="W7" s="126" t="s">
        <v>2397</v>
      </c>
      <c r="X7" s="126" t="s">
        <v>2397</v>
      </c>
      <c r="Y7" s="126" t="s">
        <v>1897</v>
      </c>
      <c r="Z7" s="126" t="s">
        <v>165</v>
      </c>
      <c r="AA7" s="126" t="s">
        <v>204</v>
      </c>
      <c r="AB7" s="126" t="s">
        <v>167</v>
      </c>
      <c r="AC7" s="127">
        <v>999999999999999</v>
      </c>
      <c r="AD7" s="127">
        <v>999999999999999</v>
      </c>
      <c r="AE7" s="126" t="s">
        <v>2180</v>
      </c>
      <c r="AF7" s="126" t="s">
        <v>2180</v>
      </c>
      <c r="AG7" s="127">
        <v>999999999999999</v>
      </c>
      <c r="AH7" s="126" t="s">
        <v>188</v>
      </c>
      <c r="AI7" s="127">
        <v>999999999999999</v>
      </c>
      <c r="AJ7" s="127">
        <v>999999999999999</v>
      </c>
      <c r="AK7" s="126" t="s">
        <v>208</v>
      </c>
      <c r="AL7" s="126" t="s">
        <v>208</v>
      </c>
      <c r="AM7" s="126" t="s">
        <v>208</v>
      </c>
      <c r="AN7" s="126" t="s">
        <v>2383</v>
      </c>
      <c r="AO7" s="127">
        <v>100000</v>
      </c>
      <c r="AP7" s="127">
        <v>100000</v>
      </c>
      <c r="AQ7" s="126" t="s">
        <v>2398</v>
      </c>
      <c r="AR7" s="126" t="s">
        <v>432</v>
      </c>
      <c r="AS7" s="128">
        <f>+B02.00[[#This Row],[c0100]]/B02.00[[#This Row],[c0390]]</f>
        <v>2053.4958889041095</v>
      </c>
      <c r="AT7" s="128">
        <v>0</v>
      </c>
      <c r="AU7" s="128">
        <v>999999999999999</v>
      </c>
      <c r="AV7" s="127">
        <v>999999999999999</v>
      </c>
      <c r="AW7" s="127">
        <v>999999999999999</v>
      </c>
      <c r="AX7" s="126" t="s">
        <v>208</v>
      </c>
      <c r="AY7" s="129">
        <v>-9999.9999999989996</v>
      </c>
      <c r="AZ7" s="126" t="s">
        <v>2385</v>
      </c>
      <c r="BA7" s="126" t="s">
        <v>2386</v>
      </c>
      <c r="BB7" s="126" t="s">
        <v>208</v>
      </c>
      <c r="BC7" s="126" t="s">
        <v>2387</v>
      </c>
      <c r="BD7" s="126" t="s">
        <v>2388</v>
      </c>
      <c r="BE7" s="126" t="s">
        <v>208</v>
      </c>
      <c r="BF7" s="126" t="s">
        <v>208</v>
      </c>
      <c r="BG7" s="126" t="s">
        <v>2385</v>
      </c>
      <c r="BH7" s="126" t="s">
        <v>2386</v>
      </c>
      <c r="BI7" s="126" t="s">
        <v>2385</v>
      </c>
      <c r="BJ7" s="126" t="s">
        <v>2386</v>
      </c>
      <c r="BK7" s="126" t="s">
        <v>208</v>
      </c>
      <c r="BL7" s="126" t="s">
        <v>208</v>
      </c>
      <c r="BM7" s="126" t="s">
        <v>208</v>
      </c>
      <c r="BN7" s="126" t="s">
        <v>208</v>
      </c>
      <c r="BO7" s="126" t="s">
        <v>210</v>
      </c>
      <c r="BP7" s="127">
        <v>204106991.77780822</v>
      </c>
      <c r="BQ7" s="126" t="s">
        <v>210</v>
      </c>
      <c r="BR7" s="127">
        <v>204106991.77780822</v>
      </c>
      <c r="BS7" s="127">
        <v>0</v>
      </c>
      <c r="BT7" s="126" t="s">
        <v>208</v>
      </c>
      <c r="BU7" s="126" t="s">
        <v>208</v>
      </c>
      <c r="BV7" s="126" t="s">
        <v>208</v>
      </c>
      <c r="BW7" s="126" t="s">
        <v>2180</v>
      </c>
      <c r="BX7" s="130">
        <v>204106991.77780822</v>
      </c>
      <c r="BY7" s="126" t="s">
        <v>212</v>
      </c>
      <c r="BZ7" s="127">
        <v>999999999999999</v>
      </c>
      <c r="CA7" s="126" t="s">
        <v>208</v>
      </c>
      <c r="CB7" s="126" t="s">
        <v>2180</v>
      </c>
      <c r="CC7" s="126" t="s">
        <v>2179</v>
      </c>
      <c r="CD7" s="68" t="str">
        <f>IF(B02.00[[#This Row],[c0010]]="","KO","OK")</f>
        <v>OK</v>
      </c>
      <c r="CE7" s="68" t="str">
        <f>IF(B02.00[[#This Row],[c0030]]="","KO","OK")</f>
        <v>OK</v>
      </c>
      <c r="CF7" s="68" t="str">
        <f>IF(B02.00[[#This Row],[c0040]]="","KO","OK")</f>
        <v>OK</v>
      </c>
      <c r="CG7" s="68" t="str">
        <f>IF(B02.00[[#This Row],[c0070]]="","KO","OK")</f>
        <v>OK</v>
      </c>
      <c r="CH7" s="66" t="str">
        <f>IF(OR(B02.00[[#This Row],[c0250]]= "Non-Structured/Vanilla",B02.00[[#This Row],[c0250]]="Other non-standard terms"),(IF(B02.00[[#This Row],[c0080]]="","KO","OK")),"OK")</f>
        <v>OK</v>
      </c>
      <c r="CI7" s="66" t="str">
        <f>IF(OR(B02.00[[#This Row],[c0250]]= "Structured",B02.00[[#This Row],[c0250]]="Only structured coupon"),(IF(B02.00[[#This Row],[c0080]]="","KO","OK")),"OK")</f>
        <v>OK</v>
      </c>
      <c r="CJ7" s="66" t="str">
        <f>IF(B02.00[[#This Row],[c0040]]="ISIN",(IF(B02.00[[#This Row],[c0090]]="","KO","OK")),"OK")</f>
        <v>OK</v>
      </c>
      <c r="CK7" s="66" t="str">
        <f>IF(AND(OR(B02.00[[#This Row],[c0250]]="Non-Structured/Vanilla",B02.00[[#This Row],[c0250]]="Other non-standard terms"),B02.00[[#This Row],[c0240]]&lt;&gt;"ZCB issued at discount"),(IF(B02.00[[#This Row],[c0100]]="","KO","OK")),"OK")</f>
        <v>OK</v>
      </c>
      <c r="CL7" s="68" t="str">
        <f>IF(OR(B02.00[[#This Row],[c0250]]&lt;&gt; "Non-Structured/Vanilla",B02.00[[#This Row],[c0460]]&lt;&gt;"Other non-standard terms"),IF(B02.00[[#This Row],[c0100]]="","KO","OK"))</f>
        <v>OK</v>
      </c>
      <c r="CM7" s="66" t="str">
        <f>IF(OR(B02.00[[#This Row],[c0250]]= "Non-Structured/Vanilla",B02.00[[#This Row],[c0460]]="Other non-standard terms"),(IF(B02.00[[#This Row],[c0120]]="","KO","OK")),"OK")</f>
        <v>OK</v>
      </c>
      <c r="CN7" s="66" t="str">
        <f>IF(OR(B02.00[[#This Row],[c0250]]&lt;&gt; "Structured",B02.00[[#This Row],[c0250]]&lt;&gt;"Only structured coupon"),(IF(B02.00[[#This Row],[c0120]]="","KO","OK")),"OK")</f>
        <v>OK</v>
      </c>
      <c r="CO7" s="66" t="str">
        <f>IF(B02.00[[#This Row],[c0130]]="","KO","OK")</f>
        <v>OK</v>
      </c>
      <c r="CP7" s="66" t="str">
        <f>IF(B02.00[[#This Row],[c0140]]="","KO","OK")</f>
        <v>OK</v>
      </c>
      <c r="CQ7" s="66" t="str">
        <f>IF(B02.00[[#This Row],[c0140]]="Other",(IF(B02.00[[#This Row],[c0141]]="","KO","OK")),"OK")</f>
        <v>OK</v>
      </c>
      <c r="CR7" s="68" t="str">
        <f>IF(B02.00[[#This Row],[c0160]]="","KO","OK")</f>
        <v>OK</v>
      </c>
      <c r="CS7" s="68" t="str">
        <f>IF(B02.00[[#This Row],[c0162]]="","KO","OK")</f>
        <v>OK</v>
      </c>
      <c r="CT7" s="66" t="str">
        <f>IF(AND(OR(B02.00[[#This Row],[c0250]]= "Non-Structured/Vanilla",B02.00[[#This Row],[c0250]]="Other non-standard terms"),B02.00[[#This Row],[c0240]]&lt;&gt;"ZCB issued at discount"),(IF(B02.00[[#This Row],[c0180]]="","KO","OK")),"OK")</f>
        <v>OK</v>
      </c>
      <c r="CU7" s="66" t="str">
        <f>IF(AND(B02.00[[#This Row],[c0250]]&lt;&gt; "Structured",B02.00[[#This Row],[c0250]]&lt;&gt;"Only structured coupon"),(IF(B02.00[[#This Row],[c0180]]="","KO","OK")),"OK")</f>
        <v>OK</v>
      </c>
      <c r="CV7" s="68" t="str">
        <f>IF(B02.00[[#This Row],[c0200]]="","KO","OK")</f>
        <v>OK</v>
      </c>
      <c r="CW7" s="66" t="str">
        <f>IF(B02.00[[#This Row],[c0140]]&lt;&gt;"Cash account/saving account",(IF(B02.00[[#This Row],[c0210]]="","KO","OK")),"OK")</f>
        <v>OK</v>
      </c>
      <c r="CX7" s="68" t="str">
        <f>IF(B02.00[[#This Row],[c0220]]="","KO","OK")</f>
        <v>OK</v>
      </c>
      <c r="CY7" s="68" t="str">
        <f>IF(B02.00[[#This Row],[c0250]]="","KO","OK")</f>
        <v>OK</v>
      </c>
      <c r="CZ7" s="66" t="str">
        <f>IF(OR(B02.00[[#This Row],[c0250]]="Structured",B02.00[[#This Row],[c0250]]="Only structured coupon"),(IF(B02.00[[#This Row],[c0260]]="","KO","OK")),"OK")</f>
        <v>OK</v>
      </c>
      <c r="DA7" s="66" t="str">
        <f>IF(OR(B02.00[[#This Row],[c0250]]="Structured",B02.00[[#This Row],[c0250]]="Only structured coupon"),(IF(B02.00[[#This Row],[c0270]]="","KO","OK")),"OK")</f>
        <v>OK</v>
      </c>
      <c r="DB7" s="66" t="str">
        <f>IF(OR(B02.00[[#This Row],[c0280]]="TRUE",B02.00[[#This Row],[c0290]]="TRUE"),(IF(B02.00[[#This Row],[c0300]]="","KO","OK")),"OK")</f>
        <v>OK</v>
      </c>
      <c r="DC7" s="68" t="str">
        <f>IF(B02.00[[#This Row],[c0310]]="","KO","OK")</f>
        <v>OK</v>
      </c>
      <c r="DD7" s="66" t="str">
        <f>IF(B02.00[[#This Row],[c0310]]="Secured",(IF(B02.00[[#This Row],[c0320]]="","KO","OK")),"OK")</f>
        <v>OK</v>
      </c>
      <c r="DE7" s="66" t="str">
        <f>IF(B02.00[[#This Row],[c0310]]="Secured",(IF(B02.00[[#This Row],[c0330]]="","KO","OK")),"OK")</f>
        <v>OK</v>
      </c>
      <c r="DF7" s="66" t="str">
        <f>IF(B02.00[[#This Row],[c0310]]="Secured",(IF(B02.00[[#This Row],[c0350]]="","KO","OK")),"OK")</f>
        <v>OK</v>
      </c>
      <c r="DG7" s="66" t="str">
        <f>IF(B02.00[[#This Row],[c0350]]="Other",(IF(B02.00[[#This Row],[c0351]]="","KO","OK")),"OK")</f>
        <v>OK</v>
      </c>
      <c r="DH7" s="66" t="str">
        <f>IF(AND(B02.00[[#This Row],[c0040]]="ISIN",B02.00[[#This Row],[c0360]]="Nominal "),(IF(B02.00[[#This Row],[c0370]]="","KO","OK")),"OK")</f>
        <v>OK</v>
      </c>
      <c r="DI7" s="66" t="str">
        <f>IF(AND(B02.00[[#This Row],[c0040]]="ISIN",B02.00[[#This Row],[c0360]]="Unit "),(IF(B02.00[[#This Row],[c0370]]="","KO","OK")),"OK")</f>
        <v>OK</v>
      </c>
      <c r="DJ7" s="66" t="str">
        <f>IF(B02.00[[#This Row],[c0040]]="ISIN",(IF(B02.00[[#This Row],[c0390]]="","KO","OK")),"OK")</f>
        <v>OK</v>
      </c>
      <c r="DK7" s="66" t="str">
        <f>IF(B02.00[[#This Row],[c0040]]="ISIN",(IF(B02.00[[#This Row],[c0391]]="","KO","OK")),"OK")</f>
        <v>OK</v>
      </c>
      <c r="DL7" s="66" t="str">
        <f>IF(AND(B02.00[[#This Row],[c0040]]="ISIN",OR(B02.00[[#This Row],[c0250]]= "Non-Structured/Vanilla",B02.00[[#This Row],[c0250]]="Other non-standard terms"),B02.00[[#This Row],[c0240]]&lt;&gt;"ZCB issued at discount"),(IF(B02.00[[#This Row],[c0400]]="","KO","OK")),"OK")</f>
        <v>OK</v>
      </c>
      <c r="DM7" s="66" t="str">
        <f>IF(AND(B02.00[[#This Row],[c0040]]="ISIN",AND(B02.00[[#This Row],[c0250]]&lt;&gt;"Structured",B02.00[[#This Row],[c0250]]&lt;&gt;"Only structured coupon")),(IF(B02.00[[#This Row],[c0400]]="","KO","OK")),"OK")</f>
        <v>OK</v>
      </c>
      <c r="DN7" s="68" t="str">
        <f>IF(B02.00[[#This Row],[c0610]]="","KO","OK")</f>
        <v>OK</v>
      </c>
      <c r="DO7" s="101" t="str">
        <f>IF('B9900'!$H$4="Non-Resolution Entity",(IF(B02.00[[#This Row],[c5000]]="","KO","OK")),"OK")</f>
        <v>OK</v>
      </c>
      <c r="DP7" s="101" t="str">
        <f>IF('B9900'!$H$4="Non-Resolution Entity",(IF(B02.00[[#This Row],[c5010]]="","KO","OK")),"OK")</f>
        <v>OK</v>
      </c>
      <c r="DQ7" s="68" t="str">
        <f>IF(B02.00[[#This Row],[c0040]]="ISIN",(IF(AND(LEN(B02.00[[#This Row],[c0030]]=12),NOT(ISNUMBER(LEFT(B02.00[[#This Row],[c0030]],2)))),"OK","KO")),"OK")</f>
        <v>OK</v>
      </c>
      <c r="DR7" s="68" t="str">
        <f>IF(AND(B02.00[[#This Row],[c0020]]&lt;&gt;"NCNP",B02.00[[#This Row],[c0020]]&lt;&gt;"NCBP"),(IF(AND(LEN(B02.00[[#This Row],[c0070]])=3,NOT(ISERROR(MATCH(UPPER(B02.00[[#This Row],[c0070]]),Tabelle1[Alphabetic Code],0)))),"OK","KO")),"OK")</f>
        <v>OK</v>
      </c>
      <c r="DS7" s="68" t="str">
        <f>IF(B02.00[[#This Row],[c0080]]&gt;0,"OK","KO")</f>
        <v>OK</v>
      </c>
      <c r="DT7" s="68" t="str">
        <f>IF(B02.00[[#This Row],[c0040]]="ISIN",(IF(B02.00[[#This Row],[c0090]]&gt;=0,"OK","KO")),"OK")</f>
        <v>OK</v>
      </c>
      <c r="DU7" s="68" t="str">
        <f>IF(B02.00[[#This Row],[c0100]]&gt;=0,"OK","KO")</f>
        <v>OK</v>
      </c>
      <c r="DV7" s="68" t="str">
        <f>IF(B02.00[[#This Row],[c0110]]&gt;=0,"OK","KO")</f>
        <v>OK</v>
      </c>
      <c r="DW7" s="68" t="str">
        <f>IF(B02.00[[#This Row],[c0120]]&gt;=0,"OK","KO")</f>
        <v>OK</v>
      </c>
      <c r="DX7" s="68" t="str">
        <f>IF(B02.00[[#This Row],[c0120]]=(H7+J7+K7),"OK","KO")</f>
        <v>OK</v>
      </c>
      <c r="DY7" s="68" t="str">
        <f>IF(OR(B02.00[[#This Row],[c0250]]="Non-structured /Vanilla",B02.00[[#This Row],[c0250]]="Other non-standard terms"),(IF(B02.00[[#This Row],[c0130]]=MAX(0,B02.00[[#This Row],[c0120]],B02.00[[#This Row],[c0300]],B02.00[[#This Row],[c0320]]),"OK","KO")),"OK")</f>
        <v>OK</v>
      </c>
      <c r="DZ7" s="68" t="str">
        <f>IF(OR(B02.00[[#This Row],[c0250]]="Structured",B02.00[[#This Row],[c0250]]="Only structured coupon"),(IF(OR(B02.00[[#This Row],[c0130]]=MAX(0,B02.00[[#This Row],[c0270]],B02.00[[#This Row],[c0300]],B02.00[[#This Row],[c0320]]),B02.00[[#This Row],[c0130]]=MAX(0,B02.00[[#This Row],[c0120]],B02.00[[#This Row],[c0300]],B02.00[[#This Row],[c0320]])),"OK","KO")),"OK")</f>
        <v>OK</v>
      </c>
      <c r="EA7" s="68" t="str">
        <f>IF(OR(B02.00[[#This Row],[c0140]]="Registered Bond",B02.00[[#This Row],[c0140]]="Bearrer Bond",B02.00[[#This Row],[c0140]]="Borrower Note Loan",B02.00[[#This Row],[c0140]]="Certificate of Deposit / Commercial Paper",B02.00[[#This Row],[c0140]]="Title of ownership",B02.00[[#This Row],[c0140]]="Cash account/saving account",B02.00[[#This Row],[c0140]]="Term deposit",B02.00[[#This Row],[c0140]]="Loan",B02.00[[#This Row],[c0140]]="Bill of exchange",B02.00[[#This Row],[c0140]]="Other"),"OK","KO")</f>
        <v>OK</v>
      </c>
      <c r="EB7" s="68" t="str">
        <f>IF(B02.00[[#This Row],[c0160]]&gt;=1,"OK","KO")</f>
        <v>OK</v>
      </c>
      <c r="EC7" s="68" t="str">
        <f>IF(AND(B02.00[[#This Row],[c0020]]&lt;&gt;"NCNP",B02.00[[#This Row],[c0020]]&lt;&gt;"NCBP"),(IF(B02.00[[#This Row],[c0170]]&gt;DATE(1900,1,1),"OK","KO")),"OK")</f>
        <v>OK</v>
      </c>
      <c r="ED7" s="68" t="str">
        <f>IF(AND(OR(B02.00[[#This Row],[c0190]]&lt;&gt;"",B02.00[[#This Row],[c0200]]&lt;&gt;""),AND(B02.00[[#This Row],[c0020]]&lt;&gt;"NCNP",B02.00[[#This Row],[c0020]]&lt;&gt;"NCBP")),(IF(AND(B02.00[[#This Row],[c0170]]&lt;B02.00[[#This Row],[c0190]],B02.00[[#This Row],[c0170]]&lt;B02.00[[#This Row],[c0200]]),"OK","KO")),"OK")</f>
        <v>OK</v>
      </c>
      <c r="EE7" s="66" t="str">
        <f>IF(AND(B02.00[[#This Row],[c0020]]&lt;&gt;"NCNP",B02.00[[#This Row],[c0020]]&lt;&gt;"NCBP"),IF(B02.00[[#This Row],[c0180]]="","KO",IF(B02.00[[#This Row],[c0180]]&gt;DATE(1900,1,1),"OK","KO")),"OK")</f>
        <v>OK</v>
      </c>
      <c r="EF7" s="68" t="str">
        <f>IF(AND('B9900'!$I$4&lt;&gt;"",B02.00[[#This Row],[c0020]]&lt;&gt;"NCNP",B02.00[[#This Row],[c0020]]&lt;&gt;"NCBP"),IF(B02.00[[#This Row],[c0180]]="","KO",IF(B02.00[[#This Row],[c0180]]&gt;'B9900'!$I$4,"OK","KO")),"OK")</f>
        <v>OK</v>
      </c>
      <c r="EG7" s="68" t="str">
        <f>IF(AND(B02.00[[#This Row],[c0020]]&lt;&gt;"NCNP",B02.00[[#This Row],[c0020]]&lt;&gt;"NCBP"),(IF(B02.00[[#This Row],[c0200]]&gt;DATE(1900,1,1),"OK","KO")),"OK")</f>
        <v>OK</v>
      </c>
      <c r="EH7" s="68" t="str">
        <f>IF(AND('B9900'!$I$4&lt;&gt;"",AND(B02.00[[#This Row],[c0020]]&lt;&gt;"NCNP",B02.00[[#This Row],[c0020]]&lt;&gt;"NCBP")),(IF(B02.00[[#This Row],[c0200]]&gt;'B9900'!$I$4,"OK","KO")),"OK")</f>
        <v>OK</v>
      </c>
      <c r="EI7" s="68" t="str">
        <f>IF(AND(B02.00[[#This Row],[c0020]]&lt;&gt;"NCNP",B02.00[[#This Row],[c0020]]&lt;&gt;"NCBP"),(IF(B02.00[[#This Row],[c0210]]&gt;DATE(1900,1,1),"OK","KO")),"OK")</f>
        <v>OK</v>
      </c>
      <c r="EJ7" s="68" t="str">
        <f>IF(AND('B9900'!$I$4&lt;&gt;"",AND(B02.00[[#This Row],[c0020]]&lt;&gt;"NCNP",B02.00[[#This Row],[c0020]]&lt;&gt;"NCBP")),(IF(B02.00[[#This Row],[c0210]]&gt;'B9900'!$I$4,"OK","KO")),"OK")</f>
        <v>OK</v>
      </c>
      <c r="EK7" s="68" t="str">
        <f>IF(AND(B02.00[[#This Row],[c0020]]&lt;&gt;"NCNP",B02.00[[#This Row],[c0020]]&lt;&gt;"NCBP"),(IF(OR(NOT(ISERROR(MATCH(B02.00[[#This Row],[c0220]],'ISO 3166'!B:B,0))),NOT(ISERROR(MATCH(B02.00[[#This Row],[c0220]],'ISO 3166'!E:E,0)))),"OK","KO")),"OK")</f>
        <v>OK</v>
      </c>
      <c r="EL7" s="68" t="str">
        <f>IF(AND(B02.00[[#This Row],[c0020]]&lt;&gt;"NCNP",B02.00[[#This Row],[c0020]]&lt;&gt;"NCBP"),(IF(OR(B02.00[[#This Row],[c0230]]="Yes, supported by Legal Opinion",B02.00[[#This Row],[c0230]]="Yes, not supported by Legal Opinion",B02.00[[#This Row],[c0230]]="No",B02.00[[#This Row],[c0230]]="Not applicable",B02.00[[#This Row],[c0230]]="Aggregated"),"OK","KO")),"OK")</f>
        <v>OK</v>
      </c>
      <c r="EM7" s="68" t="str">
        <f>IF(OR(B02.00[[#This Row],[c0250]]="Non-structured/Vanilla",B02.00[[#This Row],[c0250]]="Structured",B02.00[[#This Row],[c0250]]="Other non-standard terms",B02.00[[#This Row],[c0250]]="Only structured coupon",B02.00[[#This Row],[c0250]]="Aggregated"),"OK","KO")</f>
        <v>OK</v>
      </c>
      <c r="EN7" s="68" t="str">
        <f>IF(OR(B02.00[[#This Row],[c0310]]="Secured",B02.00[[#This Row],[c0310]]="Unsecured"),"OK","KO")</f>
        <v>OK</v>
      </c>
      <c r="EO7" s="68" t="str">
        <f>IF(AND(B02.00[[#This Row],[c0310]]="Secured",OR(B02.00[[#This Row],[c0250]]="Non-structured/Vanilla",B02.00[[#This Row],[c0250]]="Other non-standard terms"),B02.00[[#This Row],[c0240]]&lt;&gt;"ZCB issued at discount"),(IF(B02.00[[#This Row],[c0330]]=MAX(0,B02.00[[#This Row],[c0120]],B02.00[[#This Row],[c0320]]),"OK","KO")),"OK")</f>
        <v>OK</v>
      </c>
      <c r="EP7" s="68" t="str">
        <f>IF(AND(B02.00[[#This Row],[c0310]]="Secured",OR(B02.00[[#This Row],[c0250]]="Structured",B02.00[[#This Row],[c0250]]="Only structured coupon")),(IF(OR(B02.00[[#This Row],[c0330]]=MAX(0,B02.00[[#This Row],[c0270]],B02.00[[#This Row],[c0320]]),B02.00[[#This Row],[c0330]]=MAX(0,B02.00[[#This Row],[c0120]],B02.00[[#This Row],[c0320]])),"OK","KO")),"OK")</f>
        <v>OK</v>
      </c>
      <c r="EQ7" s="68" t="str">
        <f>IF(OR(B02.00[[#This Row],[c0350]]="Real estate",B02.00[[#This Row],[c0350]]="Ships",B02.00[[#This Row],[c0350]]="Aircraft",B02.00[[#This Row],[c0350]]="Financial",B02.00[[#This Row],[c0350]]="Other",B02.00[[#This Row],[c0350]]="Not applicable"),"OK","KO")</f>
        <v>OK</v>
      </c>
      <c r="ER7" s="68" t="str">
        <f>IF(B02.00[[#This Row],[c0310]]="Unsecured",(IF(B02.00[[#This Row],[c0350]]="Not applicable","OK","KO")),"OK")</f>
        <v>OK</v>
      </c>
      <c r="ES7" s="68" t="str">
        <f>IF(OR(B02.00[[#This Row],[c0440]]="NGN",B02.00[[#This Row],[c0440]]="CGN",B02.00[[#This Row],[c0440]]="Not applicable"),"OK","KO")</f>
        <v>OK</v>
      </c>
      <c r="ET7" s="68" t="str">
        <f>IF(OR(B02.00[[#This Row],[c0530]]="T2 in phase-out",B02.00[[#This Row],[c0530]]="Grandfathered T2",B02.00[[#This Row],[c0530]]="Fully Compliant T2",B02.00[[#This Row],[c0530]]="Partially (A)T1 and T2",B02.00[[#This Row],[c0530]]="Grandfathered AT1",B02.00[[#This Row],[c0530]]="Fully Compliant AT1",B02.00[[#This Row],[c0530]]="CET1",B02.00[[#This Row],[c0530]]="No"),"OK","KO")</f>
        <v>OK</v>
      </c>
      <c r="EU7" s="68" t="str">
        <f>IF(B02.00[[#This Row],[c0540]] ="","KO",IF(B02.00[[#This Row],[c0540]]&gt;=0,"OK","KO"))</f>
        <v>OK</v>
      </c>
      <c r="EV7" s="68" t="str">
        <f>IF(OR(B02.00[[#This Row],[c0550]]="T2 in phase-out",B02.00[[#This Row],[c0550]]="Grandfathered T2",B02.00[[#This Row],[c0550]]="Fully Compliant T2",B02.00[[#This Row],[c0550]]="Partially (A)T1 and T2",B02.00[[#This Row],[c0550]]="Grandfathered AT1",B02.00[[#This Row],[c0550]]="Fully Compliant AT1",B02.00[[#This Row],[c0550]]="CET1",B02.00[[#This Row],[c0550]]="No"),"OK","KO")</f>
        <v>OK</v>
      </c>
      <c r="EW7" s="68" t="str">
        <f>IF(B02.00[[#This Row],[c0560]]="","KO",IF(B02.00[[#This Row],[c0560]]&gt;=0,"OK","KO"))</f>
        <v>OK</v>
      </c>
      <c r="EX7" s="68" t="str">
        <f>IF(OR(B02.00[[#This Row],[c0590]]="Lien",B02.00[[#This Row],[c0590]]="Guarantee",B02.00[[#This Row],[c0590]]="Surety",B02.00[[#This Row],[c0590]]="Guarantee obligation",B02.00[[#This Row],[c0590]]="Other",B02.00[[#This Row],[c0590]]="Not applicable",B02.00[[#This Row],[c0590]]="Aggregated"),"OK","KO")</f>
        <v>OK</v>
      </c>
      <c r="EY7" s="68" t="str">
        <f>IF(B02.00[[#This Row],[c0610]]="","KO",IF(B02.00[[#This Row],[c0610]]&gt;=0,"OK","KO"))</f>
        <v>OK</v>
      </c>
      <c r="EZ7" s="68" t="str">
        <f>IF(OR(B02.00[[#This Row],[c0620]]="010 Financial liabilities held for trading",B02.00[[#This Row],[c0620]]="070 Financial liabilities at fair value through profit or loss",B02.00[[#This Row],[c0620]]="110 Financial liabilities at amortized cost",B02.00[[#This Row],[c0620]]="280 Other liabilities",B02.00[[#This Row],[c0620]]="300 Total equity",),"OK","KO")</f>
        <v>OK</v>
      </c>
    </row>
    <row r="8" spans="1:156" s="3" customFormat="1" ht="17.399999999999999">
      <c r="A8" s="126">
        <v>4</v>
      </c>
      <c r="B8" s="126" t="s">
        <v>2399</v>
      </c>
      <c r="C8" s="126" t="s">
        <v>2400</v>
      </c>
      <c r="D8" s="126" t="s">
        <v>2178</v>
      </c>
      <c r="E8" s="127">
        <v>300000000</v>
      </c>
      <c r="F8" s="127">
        <v>999999999999999</v>
      </c>
      <c r="G8" s="126" t="s">
        <v>351</v>
      </c>
      <c r="H8" s="127">
        <v>300000000</v>
      </c>
      <c r="I8" s="127">
        <v>0</v>
      </c>
      <c r="J8" s="127">
        <v>0</v>
      </c>
      <c r="K8" s="127">
        <v>0</v>
      </c>
      <c r="L8" s="130">
        <v>300000000</v>
      </c>
      <c r="M8" s="130">
        <v>300000000</v>
      </c>
      <c r="N8" s="126" t="s">
        <v>233</v>
      </c>
      <c r="O8" s="126" t="s">
        <v>208</v>
      </c>
      <c r="P8" s="126" t="s">
        <v>208</v>
      </c>
      <c r="Q8" s="126">
        <v>2</v>
      </c>
      <c r="R8" s="127">
        <v>999999999999999</v>
      </c>
      <c r="S8" s="126">
        <v>2</v>
      </c>
      <c r="T8" s="126" t="s">
        <v>2349</v>
      </c>
      <c r="U8" s="126" t="s">
        <v>2382</v>
      </c>
      <c r="V8" s="126" t="s">
        <v>2552</v>
      </c>
      <c r="W8" s="126" t="s">
        <v>2552</v>
      </c>
      <c r="X8" s="126" t="s">
        <v>2552</v>
      </c>
      <c r="Y8" s="126" t="s">
        <v>1897</v>
      </c>
      <c r="Z8" s="126" t="s">
        <v>165</v>
      </c>
      <c r="AA8" s="126" t="s">
        <v>204</v>
      </c>
      <c r="AB8" s="126" t="s">
        <v>167</v>
      </c>
      <c r="AC8" s="127">
        <v>999999999999999</v>
      </c>
      <c r="AD8" s="127">
        <v>999999999999999</v>
      </c>
      <c r="AE8" s="126" t="s">
        <v>2180</v>
      </c>
      <c r="AF8" s="126" t="s">
        <v>2180</v>
      </c>
      <c r="AG8" s="127">
        <v>999999999999999</v>
      </c>
      <c r="AH8" s="126" t="s">
        <v>188</v>
      </c>
      <c r="AI8" s="127">
        <v>999999999999999</v>
      </c>
      <c r="AJ8" s="127">
        <v>999999999999999</v>
      </c>
      <c r="AK8" s="126" t="s">
        <v>208</v>
      </c>
      <c r="AL8" s="126" t="s">
        <v>208</v>
      </c>
      <c r="AM8" s="126" t="s">
        <v>208</v>
      </c>
      <c r="AN8" s="126" t="s">
        <v>2383</v>
      </c>
      <c r="AO8" s="127">
        <v>100000</v>
      </c>
      <c r="AP8" s="127">
        <v>100000</v>
      </c>
      <c r="AQ8" s="126" t="s">
        <v>2401</v>
      </c>
      <c r="AR8" s="126" t="s">
        <v>432</v>
      </c>
      <c r="AS8" s="128">
        <v>0</v>
      </c>
      <c r="AT8" s="128">
        <v>0</v>
      </c>
      <c r="AU8" s="128">
        <v>999999999999999</v>
      </c>
      <c r="AV8" s="127">
        <v>999999999999999</v>
      </c>
      <c r="AW8" s="127">
        <v>999999999999999</v>
      </c>
      <c r="AX8" s="126" t="s">
        <v>208</v>
      </c>
      <c r="AY8" s="129">
        <v>-9999.9999999989996</v>
      </c>
      <c r="AZ8" s="126" t="s">
        <v>2385</v>
      </c>
      <c r="BA8" s="126" t="s">
        <v>2386</v>
      </c>
      <c r="BB8" s="126" t="s">
        <v>208</v>
      </c>
      <c r="BC8" s="126" t="s">
        <v>2387</v>
      </c>
      <c r="BD8" s="126" t="s">
        <v>2388</v>
      </c>
      <c r="BE8" s="126" t="s">
        <v>208</v>
      </c>
      <c r="BF8" s="126" t="s">
        <v>208</v>
      </c>
      <c r="BG8" s="126" t="s">
        <v>2385</v>
      </c>
      <c r="BH8" s="126" t="s">
        <v>2386</v>
      </c>
      <c r="BI8" s="126" t="s">
        <v>2385</v>
      </c>
      <c r="BJ8" s="126" t="s">
        <v>2386</v>
      </c>
      <c r="BK8" s="126" t="s">
        <v>208</v>
      </c>
      <c r="BL8" s="126" t="s">
        <v>208</v>
      </c>
      <c r="BM8" s="126" t="s">
        <v>208</v>
      </c>
      <c r="BN8" s="126" t="s">
        <v>208</v>
      </c>
      <c r="BO8" s="126" t="s">
        <v>243</v>
      </c>
      <c r="BP8" s="127">
        <v>300000000</v>
      </c>
      <c r="BQ8" s="126" t="s">
        <v>243</v>
      </c>
      <c r="BR8" s="127">
        <v>300000000</v>
      </c>
      <c r="BS8" s="127">
        <v>0</v>
      </c>
      <c r="BT8" s="126" t="s">
        <v>208</v>
      </c>
      <c r="BU8" s="126" t="s">
        <v>208</v>
      </c>
      <c r="BV8" s="126" t="s">
        <v>208</v>
      </c>
      <c r="BW8" s="126" t="s">
        <v>2180</v>
      </c>
      <c r="BX8" s="130">
        <v>300000000</v>
      </c>
      <c r="BY8" s="126" t="s">
        <v>237</v>
      </c>
      <c r="BZ8" s="127">
        <v>999999999999999</v>
      </c>
      <c r="CA8" s="126" t="s">
        <v>208</v>
      </c>
      <c r="CB8" s="126" t="s">
        <v>2180</v>
      </c>
      <c r="CC8" s="126" t="s">
        <v>2179</v>
      </c>
      <c r="CD8" s="100" t="str">
        <f>IF(B02.00[[#This Row],[c0010]]="","KO","OK")</f>
        <v>OK</v>
      </c>
      <c r="CE8" s="100" t="str">
        <f>IF(B02.00[[#This Row],[c0030]]="","KO","OK")</f>
        <v>OK</v>
      </c>
      <c r="CF8" s="100" t="str">
        <f>IF(B02.00[[#This Row],[c0040]]="","KO","OK")</f>
        <v>OK</v>
      </c>
      <c r="CG8" s="100" t="str">
        <f>IF(B02.00[[#This Row],[c0070]]="","KO","OK")</f>
        <v>OK</v>
      </c>
      <c r="CH8" s="101" t="str">
        <f>IF(OR(B02.00[[#This Row],[c0250]]= "Non-Structured/Vanilla",B02.00[[#This Row],[c0250]]="Other non-standard terms"),(IF(B02.00[[#This Row],[c0080]]="","KO","OK")),"OK")</f>
        <v>OK</v>
      </c>
      <c r="CI8" s="101" t="str">
        <f>IF(OR(B02.00[[#This Row],[c0250]]= "Structured",B02.00[[#This Row],[c0250]]="Only structured coupon"),(IF(B02.00[[#This Row],[c0080]]="","KO","OK")),"OK")</f>
        <v>OK</v>
      </c>
      <c r="CJ8" s="101" t="str">
        <f>IF(B02.00[[#This Row],[c0040]]="ISIN",(IF(B02.00[[#This Row],[c0090]]="","KO","OK")),"OK")</f>
        <v>OK</v>
      </c>
      <c r="CK8" s="101" t="str">
        <f>IF(AND(OR(B02.00[[#This Row],[c0250]]="Non-Structured/Vanilla",B02.00[[#This Row],[c0250]]="Other non-standard terms"),B02.00[[#This Row],[c0240]]&lt;&gt;"ZCB issued at discount"),(IF(B02.00[[#This Row],[c0100]]="","KO","OK")),"OK")</f>
        <v>OK</v>
      </c>
      <c r="CL8" s="100" t="str">
        <f>IF(OR(B02.00[[#This Row],[c0250]]&lt;&gt; "Non-Structured/Vanilla",B02.00[[#This Row],[c0460]]&lt;&gt;"Other non-standard terms"),IF(B02.00[[#This Row],[c0100]]="","KO","OK"))</f>
        <v>OK</v>
      </c>
      <c r="CM8" s="101" t="str">
        <f>IF(OR(B02.00[[#This Row],[c0250]]= "Non-Structured/Vanilla",B02.00[[#This Row],[c0460]]="Other non-standard terms"),(IF(B02.00[[#This Row],[c0120]]="","KO","OK")),"OK")</f>
        <v>OK</v>
      </c>
      <c r="CN8" s="101" t="str">
        <f>IF(OR(B02.00[[#This Row],[c0250]]&lt;&gt; "Structured",B02.00[[#This Row],[c0250]]&lt;&gt;"Only structured coupon"),(IF(B02.00[[#This Row],[c0120]]="","KO","OK")),"OK")</f>
        <v>OK</v>
      </c>
      <c r="CO8" s="101" t="str">
        <f>IF(B02.00[[#This Row],[c0130]]="","KO","OK")</f>
        <v>OK</v>
      </c>
      <c r="CP8" s="101" t="str">
        <f>IF(B02.00[[#This Row],[c0140]]="","KO","OK")</f>
        <v>OK</v>
      </c>
      <c r="CQ8" s="101" t="str">
        <f>IF(B02.00[[#This Row],[c0140]]="Other",(IF(B02.00[[#This Row],[c0141]]="","KO","OK")),"OK")</f>
        <v>OK</v>
      </c>
      <c r="CR8" s="100" t="str">
        <f>IF(B02.00[[#This Row],[c0160]]="","KO","OK")</f>
        <v>OK</v>
      </c>
      <c r="CS8" s="100" t="str">
        <f>IF(B02.00[[#This Row],[c0162]]="","KO","OK")</f>
        <v>OK</v>
      </c>
      <c r="CT8" s="101" t="str">
        <f>IF(AND(OR(B02.00[[#This Row],[c0250]]= "Non-Structured/Vanilla",B02.00[[#This Row],[c0250]]="Other non-standard terms"),B02.00[[#This Row],[c0240]]&lt;&gt;"ZCB issued at discount"),(IF(B02.00[[#This Row],[c0180]]="","KO","OK")),"OK")</f>
        <v>OK</v>
      </c>
      <c r="CU8" s="101" t="str">
        <f>IF(AND(B02.00[[#This Row],[c0250]]&lt;&gt; "Structured",B02.00[[#This Row],[c0250]]&lt;&gt;"Only structured coupon"),(IF(B02.00[[#This Row],[c0180]]="","KO","OK")),"OK")</f>
        <v>OK</v>
      </c>
      <c r="CV8" s="100" t="str">
        <f>IF(B02.00[[#This Row],[c0200]]="","KO","OK")</f>
        <v>OK</v>
      </c>
      <c r="CW8" s="101" t="str">
        <f>IF(B02.00[[#This Row],[c0140]]&lt;&gt;"Cash account/saving account",(IF(B02.00[[#This Row],[c0210]]="","KO","OK")),"OK")</f>
        <v>OK</v>
      </c>
      <c r="CX8" s="100" t="str">
        <f>IF(B02.00[[#This Row],[c0220]]="","KO","OK")</f>
        <v>OK</v>
      </c>
      <c r="CY8" s="100" t="str">
        <f>IF(B02.00[[#This Row],[c0250]]="","KO","OK")</f>
        <v>OK</v>
      </c>
      <c r="CZ8" s="101" t="str">
        <f>IF(OR(B02.00[[#This Row],[c0250]]="Structured",B02.00[[#This Row],[c0250]]="Only structured coupon"),(IF(B02.00[[#This Row],[c0260]]="","KO","OK")),"OK")</f>
        <v>OK</v>
      </c>
      <c r="DA8" s="66" t="str">
        <f>IF(OR(B02.00[[#This Row],[c0250]]="Structured",B02.00[[#This Row],[c0250]]="Only structured coupon"),(IF(B02.00[[#This Row],[c0270]]="","KO","OK")),"OK")</f>
        <v>OK</v>
      </c>
      <c r="DB8" s="66" t="str">
        <f>IF(OR(B02.00[[#This Row],[c0280]]="TRUE",B02.00[[#This Row],[c0290]]="TRUE"),(IF(B02.00[[#This Row],[c0300]]="","KO","OK")),"OK")</f>
        <v>OK</v>
      </c>
      <c r="DC8" s="100" t="str">
        <f>IF(B02.00[[#This Row],[c0310]]="","KO","OK")</f>
        <v>OK</v>
      </c>
      <c r="DD8" s="101" t="str">
        <f>IF(B02.00[[#This Row],[c0310]]="Secured",(IF(B02.00[[#This Row],[c0320]]="","KO","OK")),"OK")</f>
        <v>OK</v>
      </c>
      <c r="DE8" s="101" t="str">
        <f>IF(B02.00[[#This Row],[c0310]]="Secured",(IF(B02.00[[#This Row],[c0330]]="","KO","OK")),"OK")</f>
        <v>OK</v>
      </c>
      <c r="DF8" s="101" t="str">
        <f>IF(B02.00[[#This Row],[c0310]]="Secured",(IF(B02.00[[#This Row],[c0350]]="","KO","OK")),"OK")</f>
        <v>OK</v>
      </c>
      <c r="DG8" s="101" t="str">
        <f>IF(B02.00[[#This Row],[c0350]]="Other",(IF(B02.00[[#This Row],[c0351]]="","KO","OK")),"OK")</f>
        <v>OK</v>
      </c>
      <c r="DH8" s="101" t="str">
        <f>IF(AND(B02.00[[#This Row],[c0040]]="ISIN",B02.00[[#This Row],[c0360]]="Nominal "),(IF(B02.00[[#This Row],[c0370]]="","KO","OK")),"OK")</f>
        <v>OK</v>
      </c>
      <c r="DI8" s="101" t="str">
        <f>IF(AND(B02.00[[#This Row],[c0040]]="ISIN",B02.00[[#This Row],[c0360]]="Unit "),(IF(B02.00[[#This Row],[c0370]]="","KO","OK")),"OK")</f>
        <v>OK</v>
      </c>
      <c r="DJ8" s="101" t="str">
        <f>IF(B02.00[[#This Row],[c0040]]="ISIN",(IF(B02.00[[#This Row],[c0390]]="","KO","OK")),"OK")</f>
        <v>OK</v>
      </c>
      <c r="DK8" s="101" t="str">
        <f>IF(B02.00[[#This Row],[c0040]]="ISIN",(IF(B02.00[[#This Row],[c0391]]="","KO","OK")),"OK")</f>
        <v>OK</v>
      </c>
      <c r="DL8" s="101" t="str">
        <f>IF(AND(B02.00[[#This Row],[c0040]]="ISIN",OR(B02.00[[#This Row],[c0250]]= "Non-Structured/Vanilla",B02.00[[#This Row],[c0250]]="Other non-standard terms"),B02.00[[#This Row],[c0240]]&lt;&gt;"ZCB issued at discount"),(IF(B02.00[[#This Row],[c0400]]="","KO","OK")),"OK")</f>
        <v>OK</v>
      </c>
      <c r="DM8" s="101" t="str">
        <f>IF(AND(B02.00[[#This Row],[c0040]]="ISIN",AND(B02.00[[#This Row],[c0250]]&lt;&gt;"Structured",B02.00[[#This Row],[c0250]]&lt;&gt;"Only structured coupon")),(IF(B02.00[[#This Row],[c0400]]="","KO","OK")),"OK")</f>
        <v>OK</v>
      </c>
      <c r="DN8" s="100" t="str">
        <f>IF(B02.00[[#This Row],[c0610]]="","KO","OK")</f>
        <v>OK</v>
      </c>
      <c r="DO8" s="101" t="str">
        <f>IF('B9900'!$H$4="Non-Resolution Entity",(IF(B02.00[[#This Row],[c5000]]="","KO","OK")),"OK")</f>
        <v>OK</v>
      </c>
      <c r="DP8" s="101" t="str">
        <f>IF('B9900'!$H$4="Non-Resolution Entity",(IF(B02.00[[#This Row],[c5010]]="","KO","OK")),"OK")</f>
        <v>OK</v>
      </c>
      <c r="DQ8" s="100" t="str">
        <f>IF(B02.00[[#This Row],[c0040]]="ISIN",(IF(AND(LEN(B02.00[[#This Row],[c0030]]=12),NOT(ISNUMBER(LEFT(B02.00[[#This Row],[c0030]],2)))),"OK","KO")),"OK")</f>
        <v>OK</v>
      </c>
      <c r="DR8" s="100" t="str">
        <f>IF(AND(B02.00[[#This Row],[c0020]]&lt;&gt;"NCNP",B02.00[[#This Row],[c0020]]&lt;&gt;"NCBP"),(IF(AND(LEN(B02.00[[#This Row],[c0070]])=3,NOT(ISERROR(MATCH(UPPER(B02.00[[#This Row],[c0070]]),Tabelle1[Alphabetic Code],0)))),"OK","KO")),"OK")</f>
        <v>OK</v>
      </c>
      <c r="DS8" s="100" t="str">
        <f>IF(B02.00[[#This Row],[c0080]]&gt;0,"OK","KO")</f>
        <v>OK</v>
      </c>
      <c r="DT8" s="100" t="str">
        <f>IF(B02.00[[#This Row],[c0040]]="ISIN",(IF(B02.00[[#This Row],[c0090]]&gt;=0,"OK","KO")),"OK")</f>
        <v>OK</v>
      </c>
      <c r="DU8" s="100" t="str">
        <f>IF(B02.00[[#This Row],[c0100]]&gt;=0,"OK","KO")</f>
        <v>OK</v>
      </c>
      <c r="DV8" s="100" t="str">
        <f>IF(B02.00[[#This Row],[c0110]]&gt;=0,"OK","KO")</f>
        <v>OK</v>
      </c>
      <c r="DW8" s="68" t="str">
        <f>IF(B02.00[[#This Row],[c0120]]&gt;=0,"OK","KO")</f>
        <v>OK</v>
      </c>
      <c r="DX8" s="68" t="str">
        <f>IF(B02.00[[#This Row],[c0120]]=(H8+J8+K8),"OK","KO")</f>
        <v>OK</v>
      </c>
      <c r="DY8" s="100" t="str">
        <f>IF(OR(B02.00[[#This Row],[c0250]]="Non-structured /Vanilla",B02.00[[#This Row],[c0250]]="Other non-standard terms"),(IF(B02.00[[#This Row],[c0130]]=MAX(0,B02.00[[#This Row],[c0120]],B02.00[[#This Row],[c0300]],B02.00[[#This Row],[c0320]]),"OK","KO")),"OK")</f>
        <v>OK</v>
      </c>
      <c r="DZ8" s="100" t="str">
        <f>IF(OR(B02.00[[#This Row],[c0250]]="Structured",B02.00[[#This Row],[c0250]]="Only structured coupon"),(IF(OR(B02.00[[#This Row],[c0130]]=MAX(0,B02.00[[#This Row],[c0270]],B02.00[[#This Row],[c0300]],B02.00[[#This Row],[c0320]]),B02.00[[#This Row],[c0130]]=MAX(0,B02.00[[#This Row],[c0120]],B02.00[[#This Row],[c0300]],B02.00[[#This Row],[c0320]])),"OK","KO")),"OK")</f>
        <v>OK</v>
      </c>
      <c r="EA8" s="68" t="str">
        <f>IF(OR(B02.00[[#This Row],[c0140]]="Registered Bond",B02.00[[#This Row],[c0140]]="Bearrer Bond",B02.00[[#This Row],[c0140]]="Borrower Note Loan",B02.00[[#This Row],[c0140]]="Certificate of Deposit / Commercial Paper",B02.00[[#This Row],[c0140]]="Title of ownership",B02.00[[#This Row],[c0140]]="Cash account/saving account",B02.00[[#This Row],[c0140]]="Term deposit",B02.00[[#This Row],[c0140]]="Loan",B02.00[[#This Row],[c0140]]="Bill of exchange",B02.00[[#This Row],[c0140]]="Other"),"OK","KO")</f>
        <v>OK</v>
      </c>
      <c r="EB8" s="100" t="str">
        <f>IF(B02.00[[#This Row],[c0160]]&gt;=1,"OK","KO")</f>
        <v>OK</v>
      </c>
      <c r="EC8" s="100" t="str">
        <f>IF(AND(B02.00[[#This Row],[c0020]]&lt;&gt;"NCNP",B02.00[[#This Row],[c0020]]&lt;&gt;"NCBP"),(IF(B02.00[[#This Row],[c0170]]&gt;DATE(1900,1,1),"OK","KO")),"OK")</f>
        <v>OK</v>
      </c>
      <c r="ED8" s="100" t="str">
        <f>IF(AND(OR(B02.00[[#This Row],[c0190]]&lt;&gt;"",B02.00[[#This Row],[c0200]]&lt;&gt;""),AND(B02.00[[#This Row],[c0020]]&lt;&gt;"NCNP",B02.00[[#This Row],[c0020]]&lt;&gt;"NCBP")),(IF(AND(B02.00[[#This Row],[c0170]]&lt;B02.00[[#This Row],[c0190]],B02.00[[#This Row],[c0170]]&lt;B02.00[[#This Row],[c0200]]),"OK","KO")),"OK")</f>
        <v>OK</v>
      </c>
      <c r="EE8" s="66" t="str">
        <f>IF(AND(B02.00[[#This Row],[c0020]]&lt;&gt;"NCNP",B02.00[[#This Row],[c0020]]&lt;&gt;"NCBP"),IF(B02.00[[#This Row],[c0180]]="","KO",IF(B02.00[[#This Row],[c0180]]&gt;DATE(1900,1,1),"OK","KO")),"OK")</f>
        <v>OK</v>
      </c>
      <c r="EF8" s="68" t="str">
        <f>IF(AND('B9900'!$I$4&lt;&gt;"",B02.00[[#This Row],[c0020]]&lt;&gt;"NCNP",B02.00[[#This Row],[c0020]]&lt;&gt;"NCBP"),IF(B02.00[[#This Row],[c0180]]="","KO",IF(B02.00[[#This Row],[c0180]]&gt;'B9900'!$I$4,"OK","KO")),"OK")</f>
        <v>OK</v>
      </c>
      <c r="EG8" s="100" t="str">
        <f>IF(AND(B02.00[[#This Row],[c0020]]&lt;&gt;"NCNP",B02.00[[#This Row],[c0020]]&lt;&gt;"NCBP"),(IF(B02.00[[#This Row],[c0200]]&gt;DATE(1900,1,1),"OK","KO")),"OK")</f>
        <v>OK</v>
      </c>
      <c r="EH8" s="68" t="str">
        <f>IF(AND('B9900'!$I$4&lt;&gt;"",AND(B02.00[[#This Row],[c0020]]&lt;&gt;"NCNP",B02.00[[#This Row],[c0020]]&lt;&gt;"NCBP")),(IF(B02.00[[#This Row],[c0200]]&gt;'B9900'!$I$4,"OK","KO")),"OK")</f>
        <v>OK</v>
      </c>
      <c r="EI8" s="100" t="str">
        <f>IF(AND(B02.00[[#This Row],[c0020]]&lt;&gt;"NCNP",B02.00[[#This Row],[c0020]]&lt;&gt;"NCBP"),(IF(B02.00[[#This Row],[c0210]]&gt;DATE(1900,1,1),"OK","KO")),"OK")</f>
        <v>OK</v>
      </c>
      <c r="EJ8" s="68" t="str">
        <f>IF(AND('B9900'!$I$4&lt;&gt;"",AND(B02.00[[#This Row],[c0020]]&lt;&gt;"NCNP",B02.00[[#This Row],[c0020]]&lt;&gt;"NCBP")),(IF(B02.00[[#This Row],[c0210]]&gt;'B9900'!$I$4,"OK","KO")),"OK")</f>
        <v>OK</v>
      </c>
      <c r="EK8" s="100" t="str">
        <f>IF(AND(B02.00[[#This Row],[c0020]]&lt;&gt;"NCNP",B02.00[[#This Row],[c0020]]&lt;&gt;"NCBP"),(IF(OR(NOT(ISERROR(MATCH(B02.00[[#This Row],[c0220]],'ISO 3166'!B:B,0))),NOT(ISERROR(MATCH(B02.00[[#This Row],[c0220]],'ISO 3166'!E:E,0)))),"OK","KO")),"OK")</f>
        <v>OK</v>
      </c>
      <c r="EL8" s="100" t="str">
        <f>IF(AND(B02.00[[#This Row],[c0020]]&lt;&gt;"NCNP",B02.00[[#This Row],[c0020]]&lt;&gt;"NCBP"),(IF(OR(B02.00[[#This Row],[c0230]]="Yes, supported by Legal Opinion",B02.00[[#This Row],[c0230]]="Yes, not supported by Legal Opinion",B02.00[[#This Row],[c0230]]="No",B02.00[[#This Row],[c0230]]="Not applicable",B02.00[[#This Row],[c0230]]="Aggregated"),"OK","KO")),"OK")</f>
        <v>OK</v>
      </c>
      <c r="EM8" s="100" t="str">
        <f>IF(OR(B02.00[[#This Row],[c0250]]="Non-structured/Vanilla",B02.00[[#This Row],[c0250]]="Structured",B02.00[[#This Row],[c0250]]="Other non-standard terms",B02.00[[#This Row],[c0250]]="Only structured coupon",B02.00[[#This Row],[c0250]]="Aggregated"),"OK","KO")</f>
        <v>OK</v>
      </c>
      <c r="EN8" s="100" t="str">
        <f>IF(OR(B02.00[[#This Row],[c0310]]="Secured",B02.00[[#This Row],[c0310]]="Unsecured"),"OK","KO")</f>
        <v>OK</v>
      </c>
      <c r="EO8" s="100" t="str">
        <f>IF(AND(B02.00[[#This Row],[c0310]]="Secured",OR(B02.00[[#This Row],[c0250]]="Non-structured/Vanilla",B02.00[[#This Row],[c0250]]="Other non-standard terms"),B02.00[[#This Row],[c0240]]&lt;&gt;"ZCB issued at discount"),(IF(B02.00[[#This Row],[c0330]]=MAX(0,B02.00[[#This Row],[c0120]],B02.00[[#This Row],[c0320]]),"OK","KO")),"OK")</f>
        <v>OK</v>
      </c>
      <c r="EP8" s="100" t="str">
        <f>IF(AND(B02.00[[#This Row],[c0310]]="Secured",OR(B02.00[[#This Row],[c0250]]="Structured",B02.00[[#This Row],[c0250]]="Only structured coupon")),(IF(OR(B02.00[[#This Row],[c0330]]=MAX(0,B02.00[[#This Row],[c0270]],B02.00[[#This Row],[c0320]]),B02.00[[#This Row],[c0330]]=MAX(0,B02.00[[#This Row],[c0120]],B02.00[[#This Row],[c0320]])),"OK","KO")),"OK")</f>
        <v>OK</v>
      </c>
      <c r="EQ8" s="100" t="str">
        <f>IF(OR(B02.00[[#This Row],[c0350]]="Real estate",B02.00[[#This Row],[c0350]]="Ships",B02.00[[#This Row],[c0350]]="Aircraft",B02.00[[#This Row],[c0350]]="Financial",B02.00[[#This Row],[c0350]]="Other",B02.00[[#This Row],[c0350]]="Not applicable"),"OK","KO")</f>
        <v>OK</v>
      </c>
      <c r="ER8" s="100" t="str">
        <f>IF(B02.00[[#This Row],[c0310]]="Unsecured",(IF(B02.00[[#This Row],[c0350]]="Not applicable","OK","KO")),"OK")</f>
        <v>OK</v>
      </c>
      <c r="ES8" s="100" t="str">
        <f>IF(OR(B02.00[[#This Row],[c0440]]="NGN",B02.00[[#This Row],[c0440]]="CGN",B02.00[[#This Row],[c0440]]="Not applicable"),"OK","KO")</f>
        <v>OK</v>
      </c>
      <c r="ET8" s="100" t="str">
        <f>IF(OR(B02.00[[#This Row],[c0530]]="T2 in phase-out",B02.00[[#This Row],[c0530]]="Grandfathered T2",B02.00[[#This Row],[c0530]]="Fully Compliant T2",B02.00[[#This Row],[c0530]]="Partially (A)T1 and T2",B02.00[[#This Row],[c0530]]="Grandfathered AT1",B02.00[[#This Row],[c0530]]="Fully Compliant AT1",B02.00[[#This Row],[c0530]]="CET1",B02.00[[#This Row],[c0530]]="No"),"OK","KO")</f>
        <v>OK</v>
      </c>
      <c r="EU8" s="100" t="str">
        <f>IF(B02.00[[#This Row],[c0540]] ="","KO",IF(B02.00[[#This Row],[c0540]]&gt;=0,"OK","KO"))</f>
        <v>OK</v>
      </c>
      <c r="EV8" s="100" t="str">
        <f>IF(OR(B02.00[[#This Row],[c0550]]="T2 in phase-out",B02.00[[#This Row],[c0550]]="Grandfathered T2",B02.00[[#This Row],[c0550]]="Fully Compliant T2",B02.00[[#This Row],[c0550]]="Partially (A)T1 and T2",B02.00[[#This Row],[c0550]]="Grandfathered AT1",B02.00[[#This Row],[c0550]]="Fully Compliant AT1",B02.00[[#This Row],[c0550]]="CET1",B02.00[[#This Row],[c0550]]="No"),"OK","KO")</f>
        <v>OK</v>
      </c>
      <c r="EW8" s="100" t="str">
        <f>IF(B02.00[[#This Row],[c0560]]="","KO",IF(B02.00[[#This Row],[c0560]]&gt;=0,"OK","KO"))</f>
        <v>OK</v>
      </c>
      <c r="EX8" s="100" t="str">
        <f>IF(OR(B02.00[[#This Row],[c0590]]="Lien",B02.00[[#This Row],[c0590]]="Guarantee",B02.00[[#This Row],[c0590]]="Surety",B02.00[[#This Row],[c0590]]="Guarantee obligation",B02.00[[#This Row],[c0590]]="Other",B02.00[[#This Row],[c0590]]="Not applicable",B02.00[[#This Row],[c0590]]="Aggregated"),"OK","KO")</f>
        <v>OK</v>
      </c>
      <c r="EY8" s="100" t="str">
        <f>IF(B02.00[[#This Row],[c0610]]="","KO",IF(B02.00[[#This Row],[c0610]]&gt;=0,"OK","KO"))</f>
        <v>OK</v>
      </c>
      <c r="EZ8" s="100" t="str">
        <f>IF(OR(B02.00[[#This Row],[c0620]]="010 Financial liabilities held for trading",B02.00[[#This Row],[c0620]]="070 Financial liabilities at fair value through profit or loss",B02.00[[#This Row],[c0620]]="110 Financial liabilities at amortized cost",B02.00[[#This Row],[c0620]]="280 Other liabilities",B02.00[[#This Row],[c0620]]="300 Total equity",),"OK","KO")</f>
        <v>OK</v>
      </c>
    </row>
    <row r="9" spans="1:156" s="3" customFormat="1" ht="17.399999999999999">
      <c r="A9" s="126">
        <v>5</v>
      </c>
      <c r="B9" s="126" t="s">
        <v>2402</v>
      </c>
      <c r="C9" s="126" t="s">
        <v>2403</v>
      </c>
      <c r="D9" s="126" t="s">
        <v>2178</v>
      </c>
      <c r="E9" s="127">
        <v>500000000</v>
      </c>
      <c r="F9" s="127">
        <v>999999999999999</v>
      </c>
      <c r="G9" s="126" t="s">
        <v>351</v>
      </c>
      <c r="H9" s="127">
        <v>500000000</v>
      </c>
      <c r="I9" s="127">
        <v>0</v>
      </c>
      <c r="J9" s="127">
        <v>6011013.6994520547</v>
      </c>
      <c r="K9" s="127">
        <v>0</v>
      </c>
      <c r="L9" s="130">
        <v>506011013.6994521</v>
      </c>
      <c r="M9" s="130">
        <v>506011013.6994521</v>
      </c>
      <c r="N9" s="126" t="s">
        <v>164</v>
      </c>
      <c r="O9" s="126" t="s">
        <v>208</v>
      </c>
      <c r="P9" s="126" t="s">
        <v>208</v>
      </c>
      <c r="Q9" s="126">
        <v>8</v>
      </c>
      <c r="R9" s="127">
        <v>999999999999999</v>
      </c>
      <c r="S9" s="126">
        <v>8</v>
      </c>
      <c r="T9" s="126" t="s">
        <v>2404</v>
      </c>
      <c r="U9" s="126" t="s">
        <v>2405</v>
      </c>
      <c r="V9" s="126" t="s">
        <v>2406</v>
      </c>
      <c r="W9" s="131" t="s">
        <v>2425</v>
      </c>
      <c r="X9" s="126" t="s">
        <v>2406</v>
      </c>
      <c r="Y9" s="126" t="s">
        <v>1897</v>
      </c>
      <c r="Z9" s="126" t="s">
        <v>165</v>
      </c>
      <c r="AA9" s="126" t="s">
        <v>204</v>
      </c>
      <c r="AB9" s="126" t="s">
        <v>167</v>
      </c>
      <c r="AC9" s="127">
        <v>999999999999999</v>
      </c>
      <c r="AD9" s="127">
        <v>999999999999999</v>
      </c>
      <c r="AE9" s="126" t="s">
        <v>2180</v>
      </c>
      <c r="AF9" s="126" t="s">
        <v>2180</v>
      </c>
      <c r="AG9" s="127">
        <v>999999999999999</v>
      </c>
      <c r="AH9" s="126" t="s">
        <v>188</v>
      </c>
      <c r="AI9" s="127">
        <v>999999999999999</v>
      </c>
      <c r="AJ9" s="127">
        <v>999999999999999</v>
      </c>
      <c r="AK9" s="126" t="s">
        <v>208</v>
      </c>
      <c r="AL9" s="126" t="s">
        <v>208</v>
      </c>
      <c r="AM9" s="126" t="s">
        <v>208</v>
      </c>
      <c r="AN9" s="126" t="s">
        <v>2383</v>
      </c>
      <c r="AO9" s="127">
        <v>100000</v>
      </c>
      <c r="AP9" s="127">
        <v>100000</v>
      </c>
      <c r="AQ9" s="126" t="s">
        <v>138</v>
      </c>
      <c r="AR9" s="126" t="s">
        <v>432</v>
      </c>
      <c r="AS9" s="128">
        <f>+B02.00[[#This Row],[c0100]]/B02.00[[#This Row],[c0390]]</f>
        <v>1202.2027398904108</v>
      </c>
      <c r="AT9" s="128">
        <v>0</v>
      </c>
      <c r="AU9" s="128">
        <v>999999999999999</v>
      </c>
      <c r="AV9" s="127">
        <v>999999999999999</v>
      </c>
      <c r="AW9" s="127">
        <v>999999999999999</v>
      </c>
      <c r="AX9" s="126" t="s">
        <v>208</v>
      </c>
      <c r="AY9" s="129">
        <v>-9999.9999999989996</v>
      </c>
      <c r="AZ9" s="126" t="s">
        <v>2385</v>
      </c>
      <c r="BA9" s="126" t="s">
        <v>2386</v>
      </c>
      <c r="BB9" s="126" t="s">
        <v>208</v>
      </c>
      <c r="BC9" s="126" t="s">
        <v>2387</v>
      </c>
      <c r="BD9" s="126" t="s">
        <v>2388</v>
      </c>
      <c r="BE9" s="126" t="s">
        <v>208</v>
      </c>
      <c r="BF9" s="126" t="s">
        <v>208</v>
      </c>
      <c r="BG9" s="126" t="s">
        <v>2385</v>
      </c>
      <c r="BH9" s="126" t="s">
        <v>2386</v>
      </c>
      <c r="BI9" s="126" t="s">
        <v>2385</v>
      </c>
      <c r="BJ9" s="126" t="s">
        <v>2386</v>
      </c>
      <c r="BK9" s="126" t="s">
        <v>208</v>
      </c>
      <c r="BL9" s="126" t="s">
        <v>208</v>
      </c>
      <c r="BM9" s="126" t="s">
        <v>208</v>
      </c>
      <c r="BN9" s="126" t="s">
        <v>208</v>
      </c>
      <c r="BO9" s="126" t="s">
        <v>202</v>
      </c>
      <c r="BP9" s="127">
        <v>0</v>
      </c>
      <c r="BQ9" s="126" t="s">
        <v>202</v>
      </c>
      <c r="BR9" s="127">
        <v>0</v>
      </c>
      <c r="BS9" s="127">
        <v>0</v>
      </c>
      <c r="BT9" s="126" t="s">
        <v>208</v>
      </c>
      <c r="BU9" s="126" t="s">
        <v>208</v>
      </c>
      <c r="BV9" s="126" t="s">
        <v>208</v>
      </c>
      <c r="BW9" s="126" t="s">
        <v>2180</v>
      </c>
      <c r="BX9" s="130">
        <v>506011013.6994521</v>
      </c>
      <c r="BY9" s="126" t="s">
        <v>212</v>
      </c>
      <c r="BZ9" s="127">
        <v>999999999999999</v>
      </c>
      <c r="CA9" s="126" t="s">
        <v>208</v>
      </c>
      <c r="CB9" s="126" t="s">
        <v>2180</v>
      </c>
      <c r="CC9" s="126" t="s">
        <v>2179</v>
      </c>
      <c r="CD9" s="100" t="str">
        <f>IF(B02.00[[#This Row],[c0010]]="","KO","OK")</f>
        <v>OK</v>
      </c>
      <c r="CE9" s="100" t="str">
        <f>IF(B02.00[[#This Row],[c0030]]="","KO","OK")</f>
        <v>OK</v>
      </c>
      <c r="CF9" s="100" t="str">
        <f>IF(B02.00[[#This Row],[c0040]]="","KO","OK")</f>
        <v>OK</v>
      </c>
      <c r="CG9" s="100" t="str">
        <f>IF(B02.00[[#This Row],[c0070]]="","KO","OK")</f>
        <v>OK</v>
      </c>
      <c r="CH9" s="101" t="str">
        <f>IF(OR(B02.00[[#This Row],[c0250]]= "Non-Structured/Vanilla",B02.00[[#This Row],[c0250]]="Other non-standard terms"),(IF(B02.00[[#This Row],[c0080]]="","KO","OK")),"OK")</f>
        <v>OK</v>
      </c>
      <c r="CI9" s="101" t="str">
        <f>IF(OR(B02.00[[#This Row],[c0250]]= "Structured",B02.00[[#This Row],[c0250]]="Only structured coupon"),(IF(B02.00[[#This Row],[c0080]]="","KO","OK")),"OK")</f>
        <v>OK</v>
      </c>
      <c r="CJ9" s="101" t="str">
        <f>IF(B02.00[[#This Row],[c0040]]="ISIN",(IF(B02.00[[#This Row],[c0090]]="","KO","OK")),"OK")</f>
        <v>OK</v>
      </c>
      <c r="CK9" s="101" t="str">
        <f>IF(AND(OR(B02.00[[#This Row],[c0250]]="Non-Structured/Vanilla",B02.00[[#This Row],[c0250]]="Other non-standard terms"),B02.00[[#This Row],[c0240]]&lt;&gt;"ZCB issued at discount"),(IF(B02.00[[#This Row],[c0100]]="","KO","OK")),"OK")</f>
        <v>OK</v>
      </c>
      <c r="CL9" s="100" t="str">
        <f>IF(OR(B02.00[[#This Row],[c0250]]&lt;&gt; "Non-Structured/Vanilla",B02.00[[#This Row],[c0460]]&lt;&gt;"Other non-standard terms"),IF(B02.00[[#This Row],[c0100]]="","KO","OK"))</f>
        <v>OK</v>
      </c>
      <c r="CM9" s="101" t="str">
        <f>IF(OR(B02.00[[#This Row],[c0250]]= "Non-Structured/Vanilla",B02.00[[#This Row],[c0460]]="Other non-standard terms"),(IF(B02.00[[#This Row],[c0120]]="","KO","OK")),"OK")</f>
        <v>OK</v>
      </c>
      <c r="CN9" s="101" t="str">
        <f>IF(OR(B02.00[[#This Row],[c0250]]&lt;&gt; "Structured",B02.00[[#This Row],[c0250]]&lt;&gt;"Only structured coupon"),(IF(B02.00[[#This Row],[c0120]]="","KO","OK")),"OK")</f>
        <v>OK</v>
      </c>
      <c r="CO9" s="101" t="str">
        <f>IF(B02.00[[#This Row],[c0130]]="","KO","OK")</f>
        <v>OK</v>
      </c>
      <c r="CP9" s="101" t="str">
        <f>IF(B02.00[[#This Row],[c0140]]="","KO","OK")</f>
        <v>OK</v>
      </c>
      <c r="CQ9" s="101" t="str">
        <f>IF(B02.00[[#This Row],[c0140]]="Other",(IF(B02.00[[#This Row],[c0141]]="","KO","OK")),"OK")</f>
        <v>OK</v>
      </c>
      <c r="CR9" s="100" t="str">
        <f>IF(B02.00[[#This Row],[c0160]]="","KO","OK")</f>
        <v>OK</v>
      </c>
      <c r="CS9" s="100" t="str">
        <f>IF(B02.00[[#This Row],[c0162]]="","KO","OK")</f>
        <v>OK</v>
      </c>
      <c r="CT9" s="101" t="str">
        <f>IF(AND(OR(B02.00[[#This Row],[c0250]]= "Non-Structured/Vanilla",B02.00[[#This Row],[c0250]]="Other non-standard terms"),B02.00[[#This Row],[c0240]]&lt;&gt;"ZCB issued at discount"),(IF(B02.00[[#This Row],[c0180]]="","KO","OK")),"OK")</f>
        <v>OK</v>
      </c>
      <c r="CU9" s="101" t="str">
        <f>IF(AND(B02.00[[#This Row],[c0250]]&lt;&gt; "Structured",B02.00[[#This Row],[c0250]]&lt;&gt;"Only structured coupon"),(IF(B02.00[[#This Row],[c0180]]="","KO","OK")),"OK")</f>
        <v>OK</v>
      </c>
      <c r="CV9" s="100" t="str">
        <f>IF(B02.00[[#This Row],[c0200]]="","KO","OK")</f>
        <v>OK</v>
      </c>
      <c r="CW9" s="101" t="str">
        <f>IF(B02.00[[#This Row],[c0140]]&lt;&gt;"Cash account/saving account",(IF(B02.00[[#This Row],[c0210]]="","KO","OK")),"OK")</f>
        <v>OK</v>
      </c>
      <c r="CX9" s="100" t="str">
        <f>IF(B02.00[[#This Row],[c0220]]="","KO","OK")</f>
        <v>OK</v>
      </c>
      <c r="CY9" s="100" t="str">
        <f>IF(B02.00[[#This Row],[c0250]]="","KO","OK")</f>
        <v>OK</v>
      </c>
      <c r="CZ9" s="101" t="str">
        <f>IF(OR(B02.00[[#This Row],[c0250]]="Structured",B02.00[[#This Row],[c0250]]="Only structured coupon"),(IF(B02.00[[#This Row],[c0260]]="","KO","OK")),"OK")</f>
        <v>OK</v>
      </c>
      <c r="DA9" s="66" t="str">
        <f>IF(OR(B02.00[[#This Row],[c0250]]="Structured",B02.00[[#This Row],[c0250]]="Only structured coupon"),(IF(B02.00[[#This Row],[c0270]]="","KO","OK")),"OK")</f>
        <v>OK</v>
      </c>
      <c r="DB9" s="66" t="str">
        <f>IF(OR(B02.00[[#This Row],[c0280]]="TRUE",B02.00[[#This Row],[c0290]]="TRUE"),(IF(B02.00[[#This Row],[c0300]]="","KO","OK")),"OK")</f>
        <v>OK</v>
      </c>
      <c r="DC9" s="100" t="str">
        <f>IF(B02.00[[#This Row],[c0310]]="","KO","OK")</f>
        <v>OK</v>
      </c>
      <c r="DD9" s="101" t="str">
        <f>IF(B02.00[[#This Row],[c0310]]="Secured",(IF(B02.00[[#This Row],[c0320]]="","KO","OK")),"OK")</f>
        <v>OK</v>
      </c>
      <c r="DE9" s="101" t="str">
        <f>IF(B02.00[[#This Row],[c0310]]="Secured",(IF(B02.00[[#This Row],[c0330]]="","KO","OK")),"OK")</f>
        <v>OK</v>
      </c>
      <c r="DF9" s="101" t="str">
        <f>IF(B02.00[[#This Row],[c0310]]="Secured",(IF(B02.00[[#This Row],[c0350]]="","KO","OK")),"OK")</f>
        <v>OK</v>
      </c>
      <c r="DG9" s="101" t="str">
        <f>IF(B02.00[[#This Row],[c0350]]="Other",(IF(B02.00[[#This Row],[c0351]]="","KO","OK")),"OK")</f>
        <v>OK</v>
      </c>
      <c r="DH9" s="101" t="str">
        <f>IF(AND(B02.00[[#This Row],[c0040]]="ISIN",B02.00[[#This Row],[c0360]]="Nominal "),(IF(B02.00[[#This Row],[c0370]]="","KO","OK")),"OK")</f>
        <v>OK</v>
      </c>
      <c r="DI9" s="101" t="str">
        <f>IF(AND(B02.00[[#This Row],[c0040]]="ISIN",B02.00[[#This Row],[c0360]]="Unit "),(IF(B02.00[[#This Row],[c0370]]="","KO","OK")),"OK")</f>
        <v>OK</v>
      </c>
      <c r="DJ9" s="101" t="str">
        <f>IF(B02.00[[#This Row],[c0040]]="ISIN",(IF(B02.00[[#This Row],[c0390]]="","KO","OK")),"OK")</f>
        <v>OK</v>
      </c>
      <c r="DK9" s="101" t="str">
        <f>IF(B02.00[[#This Row],[c0040]]="ISIN",(IF(B02.00[[#This Row],[c0391]]="","KO","OK")),"OK")</f>
        <v>OK</v>
      </c>
      <c r="DL9" s="101" t="str">
        <f>IF(AND(B02.00[[#This Row],[c0040]]="ISIN",OR(B02.00[[#This Row],[c0250]]= "Non-Structured/Vanilla",B02.00[[#This Row],[c0250]]="Other non-standard terms"),B02.00[[#This Row],[c0240]]&lt;&gt;"ZCB issued at discount"),(IF(B02.00[[#This Row],[c0400]]="","KO","OK")),"OK")</f>
        <v>OK</v>
      </c>
      <c r="DM9" s="101" t="str">
        <f>IF(AND(B02.00[[#This Row],[c0040]]="ISIN",AND(B02.00[[#This Row],[c0250]]&lt;&gt;"Structured",B02.00[[#This Row],[c0250]]&lt;&gt;"Only structured coupon")),(IF(B02.00[[#This Row],[c0400]]="","KO","OK")),"OK")</f>
        <v>OK</v>
      </c>
      <c r="DN9" s="100" t="str">
        <f>IF(B02.00[[#This Row],[c0610]]="","KO","OK")</f>
        <v>OK</v>
      </c>
      <c r="DO9" s="101" t="str">
        <f>IF('B9900'!$H$4="Non-Resolution Entity",(IF(B02.00[[#This Row],[c5000]]="","KO","OK")),"OK")</f>
        <v>OK</v>
      </c>
      <c r="DP9" s="101" t="str">
        <f>IF('B9900'!$H$4="Non-Resolution Entity",(IF(B02.00[[#This Row],[c5010]]="","KO","OK")),"OK")</f>
        <v>OK</v>
      </c>
      <c r="DQ9" s="100" t="str">
        <f>IF(B02.00[[#This Row],[c0040]]="ISIN",(IF(AND(LEN(B02.00[[#This Row],[c0030]]=12),NOT(ISNUMBER(LEFT(B02.00[[#This Row],[c0030]],2)))),"OK","KO")),"OK")</f>
        <v>OK</v>
      </c>
      <c r="DR9" s="100" t="str">
        <f>IF(AND(B02.00[[#This Row],[c0020]]&lt;&gt;"NCNP",B02.00[[#This Row],[c0020]]&lt;&gt;"NCBP"),(IF(AND(LEN(B02.00[[#This Row],[c0070]])=3,NOT(ISERROR(MATCH(UPPER(B02.00[[#This Row],[c0070]]),Tabelle1[Alphabetic Code],0)))),"OK","KO")),"OK")</f>
        <v>OK</v>
      </c>
      <c r="DS9" s="100" t="str">
        <f>IF(B02.00[[#This Row],[c0080]]&gt;0,"OK","KO")</f>
        <v>OK</v>
      </c>
      <c r="DT9" s="100" t="str">
        <f>IF(B02.00[[#This Row],[c0040]]="ISIN",(IF(B02.00[[#This Row],[c0090]]&gt;=0,"OK","KO")),"OK")</f>
        <v>OK</v>
      </c>
      <c r="DU9" s="100" t="str">
        <f>IF(B02.00[[#This Row],[c0100]]&gt;=0,"OK","KO")</f>
        <v>OK</v>
      </c>
      <c r="DV9" s="100" t="str">
        <f>IF(B02.00[[#This Row],[c0110]]&gt;=0,"OK","KO")</f>
        <v>OK</v>
      </c>
      <c r="DW9" s="68" t="str">
        <f>IF(B02.00[[#This Row],[c0120]]&gt;=0,"OK","KO")</f>
        <v>OK</v>
      </c>
      <c r="DX9" s="68" t="str">
        <f>IF(B02.00[[#This Row],[c0120]]=(H9+J9+K9),"OK","KO")</f>
        <v>OK</v>
      </c>
      <c r="DY9" s="100" t="str">
        <f>IF(OR(B02.00[[#This Row],[c0250]]="Non-structured /Vanilla",B02.00[[#This Row],[c0250]]="Other non-standard terms"),(IF(B02.00[[#This Row],[c0130]]=MAX(0,B02.00[[#This Row],[c0120]],B02.00[[#This Row],[c0300]],B02.00[[#This Row],[c0320]]),"OK","KO")),"OK")</f>
        <v>OK</v>
      </c>
      <c r="DZ9" s="100" t="str">
        <f>IF(OR(B02.00[[#This Row],[c0250]]="Structured",B02.00[[#This Row],[c0250]]="Only structured coupon"),(IF(OR(B02.00[[#This Row],[c0130]]=MAX(0,B02.00[[#This Row],[c0270]],B02.00[[#This Row],[c0300]],B02.00[[#This Row],[c0320]]),B02.00[[#This Row],[c0130]]=MAX(0,B02.00[[#This Row],[c0120]],B02.00[[#This Row],[c0300]],B02.00[[#This Row],[c0320]])),"OK","KO")),"OK")</f>
        <v>OK</v>
      </c>
      <c r="EA9" s="68" t="str">
        <f>IF(OR(B02.00[[#This Row],[c0140]]="Registered Bond",B02.00[[#This Row],[c0140]]="Bearrer Bond",B02.00[[#This Row],[c0140]]="Borrower Note Loan",B02.00[[#This Row],[c0140]]="Certificate of Deposit / Commercial Paper",B02.00[[#This Row],[c0140]]="Title of ownership",B02.00[[#This Row],[c0140]]="Cash account/saving account",B02.00[[#This Row],[c0140]]="Term deposit",B02.00[[#This Row],[c0140]]="Loan",B02.00[[#This Row],[c0140]]="Bill of exchange",B02.00[[#This Row],[c0140]]="Other"),"OK","KO")</f>
        <v>OK</v>
      </c>
      <c r="EB9" s="100" t="str">
        <f>IF(B02.00[[#This Row],[c0160]]&gt;=1,"OK","KO")</f>
        <v>OK</v>
      </c>
      <c r="EC9" s="100" t="str">
        <f>IF(AND(B02.00[[#This Row],[c0020]]&lt;&gt;"NCNP",B02.00[[#This Row],[c0020]]&lt;&gt;"NCBP"),(IF(B02.00[[#This Row],[c0170]]&gt;DATE(1900,1,1),"OK","KO")),"OK")</f>
        <v>OK</v>
      </c>
      <c r="ED9" s="100" t="str">
        <f>IF(AND(OR(B02.00[[#This Row],[c0190]]&lt;&gt;"",B02.00[[#This Row],[c0200]]&lt;&gt;""),AND(B02.00[[#This Row],[c0020]]&lt;&gt;"NCNP",B02.00[[#This Row],[c0020]]&lt;&gt;"NCBP")),(IF(AND(B02.00[[#This Row],[c0170]]&lt;B02.00[[#This Row],[c0190]],B02.00[[#This Row],[c0170]]&lt;B02.00[[#This Row],[c0200]]),"OK","KO")),"OK")</f>
        <v>OK</v>
      </c>
      <c r="EE9" s="66" t="str">
        <f>IF(AND(B02.00[[#This Row],[c0020]]&lt;&gt;"NCNP",B02.00[[#This Row],[c0020]]&lt;&gt;"NCBP"),IF(B02.00[[#This Row],[c0180]]="","KO",IF(B02.00[[#This Row],[c0180]]&gt;DATE(1900,1,1),"OK","KO")),"OK")</f>
        <v>OK</v>
      </c>
      <c r="EF9" s="68" t="str">
        <f>IF(AND('B9900'!$I$4&lt;&gt;"",B02.00[[#This Row],[c0020]]&lt;&gt;"NCNP",B02.00[[#This Row],[c0020]]&lt;&gt;"NCBP"),IF(B02.00[[#This Row],[c0180]]="","KO",IF(B02.00[[#This Row],[c0180]]&gt;'B9900'!$I$4,"OK","KO")),"OK")</f>
        <v>OK</v>
      </c>
      <c r="EG9" s="100" t="str">
        <f>IF(AND(B02.00[[#This Row],[c0020]]&lt;&gt;"NCNP",B02.00[[#This Row],[c0020]]&lt;&gt;"NCBP"),(IF(B02.00[[#This Row],[c0200]]&gt;DATE(1900,1,1),"OK","KO")),"OK")</f>
        <v>OK</v>
      </c>
      <c r="EH9" s="68" t="str">
        <f>IF(AND('B9900'!$I$4&lt;&gt;"",AND(B02.00[[#This Row],[c0020]]&lt;&gt;"NCNP",B02.00[[#This Row],[c0020]]&lt;&gt;"NCBP")),(IF(B02.00[[#This Row],[c0200]]&gt;'B9900'!$I$4,"OK","KO")),"OK")</f>
        <v>OK</v>
      </c>
      <c r="EI9" s="100" t="str">
        <f>IF(AND(B02.00[[#This Row],[c0020]]&lt;&gt;"NCNP",B02.00[[#This Row],[c0020]]&lt;&gt;"NCBP"),(IF(B02.00[[#This Row],[c0210]]&gt;DATE(1900,1,1),"OK","KO")),"OK")</f>
        <v>OK</v>
      </c>
      <c r="EJ9" s="68" t="str">
        <f>IF(AND('B9900'!$I$4&lt;&gt;"",AND(B02.00[[#This Row],[c0020]]&lt;&gt;"NCNP",B02.00[[#This Row],[c0020]]&lt;&gt;"NCBP")),(IF(B02.00[[#This Row],[c0210]]&gt;'B9900'!$I$4,"OK","KO")),"OK")</f>
        <v>OK</v>
      </c>
      <c r="EK9" s="100" t="str">
        <f>IF(AND(B02.00[[#This Row],[c0020]]&lt;&gt;"NCNP",B02.00[[#This Row],[c0020]]&lt;&gt;"NCBP"),(IF(OR(NOT(ISERROR(MATCH(B02.00[[#This Row],[c0220]],'ISO 3166'!B:B,0))),NOT(ISERROR(MATCH(B02.00[[#This Row],[c0220]],'ISO 3166'!E:E,0)))),"OK","KO")),"OK")</f>
        <v>OK</v>
      </c>
      <c r="EL9" s="100" t="str">
        <f>IF(AND(B02.00[[#This Row],[c0020]]&lt;&gt;"NCNP",B02.00[[#This Row],[c0020]]&lt;&gt;"NCBP"),(IF(OR(B02.00[[#This Row],[c0230]]="Yes, supported by Legal Opinion",B02.00[[#This Row],[c0230]]="Yes, not supported by Legal Opinion",B02.00[[#This Row],[c0230]]="No",B02.00[[#This Row],[c0230]]="Not applicable",B02.00[[#This Row],[c0230]]="Aggregated"),"OK","KO")),"OK")</f>
        <v>OK</v>
      </c>
      <c r="EM9" s="100" t="str">
        <f>IF(OR(B02.00[[#This Row],[c0250]]="Non-structured/Vanilla",B02.00[[#This Row],[c0250]]="Structured",B02.00[[#This Row],[c0250]]="Other non-standard terms",B02.00[[#This Row],[c0250]]="Only structured coupon",B02.00[[#This Row],[c0250]]="Aggregated"),"OK","KO")</f>
        <v>OK</v>
      </c>
      <c r="EN9" s="100" t="str">
        <f>IF(OR(B02.00[[#This Row],[c0310]]="Secured",B02.00[[#This Row],[c0310]]="Unsecured"),"OK","KO")</f>
        <v>OK</v>
      </c>
      <c r="EO9" s="100" t="str">
        <f>IF(AND(B02.00[[#This Row],[c0310]]="Secured",OR(B02.00[[#This Row],[c0250]]="Non-structured/Vanilla",B02.00[[#This Row],[c0250]]="Other non-standard terms"),B02.00[[#This Row],[c0240]]&lt;&gt;"ZCB issued at discount"),(IF(B02.00[[#This Row],[c0330]]=MAX(0,B02.00[[#This Row],[c0120]],B02.00[[#This Row],[c0320]]),"OK","KO")),"OK")</f>
        <v>OK</v>
      </c>
      <c r="EP9" s="100" t="str">
        <f>IF(AND(B02.00[[#This Row],[c0310]]="Secured",OR(B02.00[[#This Row],[c0250]]="Structured",B02.00[[#This Row],[c0250]]="Only structured coupon")),(IF(OR(B02.00[[#This Row],[c0330]]=MAX(0,B02.00[[#This Row],[c0270]],B02.00[[#This Row],[c0320]]),B02.00[[#This Row],[c0330]]=MAX(0,B02.00[[#This Row],[c0120]],B02.00[[#This Row],[c0320]])),"OK","KO")),"OK")</f>
        <v>OK</v>
      </c>
      <c r="EQ9" s="100" t="str">
        <f>IF(OR(B02.00[[#This Row],[c0350]]="Real estate",B02.00[[#This Row],[c0350]]="Ships",B02.00[[#This Row],[c0350]]="Aircraft",B02.00[[#This Row],[c0350]]="Financial",B02.00[[#This Row],[c0350]]="Other",B02.00[[#This Row],[c0350]]="Not applicable"),"OK","KO")</f>
        <v>OK</v>
      </c>
      <c r="ER9" s="100" t="str">
        <f>IF(B02.00[[#This Row],[c0310]]="Unsecured",(IF(B02.00[[#This Row],[c0350]]="Not applicable","OK","KO")),"OK")</f>
        <v>OK</v>
      </c>
      <c r="ES9" s="100" t="str">
        <f>IF(OR(B02.00[[#This Row],[c0440]]="NGN",B02.00[[#This Row],[c0440]]="CGN",B02.00[[#This Row],[c0440]]="Not applicable"),"OK","KO")</f>
        <v>OK</v>
      </c>
      <c r="ET9" s="100" t="str">
        <f>IF(OR(B02.00[[#This Row],[c0530]]="T2 in phase-out",B02.00[[#This Row],[c0530]]="Grandfathered T2",B02.00[[#This Row],[c0530]]="Fully Compliant T2",B02.00[[#This Row],[c0530]]="Partially (A)T1 and T2",B02.00[[#This Row],[c0530]]="Grandfathered AT1",B02.00[[#This Row],[c0530]]="Fully Compliant AT1",B02.00[[#This Row],[c0530]]="CET1",B02.00[[#This Row],[c0530]]="No"),"OK","KO")</f>
        <v>OK</v>
      </c>
      <c r="EU9" s="100" t="str">
        <f>IF(B02.00[[#This Row],[c0540]] ="","KO",IF(B02.00[[#This Row],[c0540]]&gt;=0,"OK","KO"))</f>
        <v>OK</v>
      </c>
      <c r="EV9" s="100" t="str">
        <f>IF(OR(B02.00[[#This Row],[c0550]]="T2 in phase-out",B02.00[[#This Row],[c0550]]="Grandfathered T2",B02.00[[#This Row],[c0550]]="Fully Compliant T2",B02.00[[#This Row],[c0550]]="Partially (A)T1 and T2",B02.00[[#This Row],[c0550]]="Grandfathered AT1",B02.00[[#This Row],[c0550]]="Fully Compliant AT1",B02.00[[#This Row],[c0550]]="CET1",B02.00[[#This Row],[c0550]]="No"),"OK","KO")</f>
        <v>OK</v>
      </c>
      <c r="EW9" s="100" t="str">
        <f>IF(B02.00[[#This Row],[c0560]]="","KO",IF(B02.00[[#This Row],[c0560]]&gt;=0,"OK","KO"))</f>
        <v>OK</v>
      </c>
      <c r="EX9" s="100" t="str">
        <f>IF(OR(B02.00[[#This Row],[c0590]]="Lien",B02.00[[#This Row],[c0590]]="Guarantee",B02.00[[#This Row],[c0590]]="Surety",B02.00[[#This Row],[c0590]]="Guarantee obligation",B02.00[[#This Row],[c0590]]="Other",B02.00[[#This Row],[c0590]]="Not applicable",B02.00[[#This Row],[c0590]]="Aggregated"),"OK","KO")</f>
        <v>OK</v>
      </c>
      <c r="EY9" s="100" t="str">
        <f>IF(B02.00[[#This Row],[c0610]]="","KO",IF(B02.00[[#This Row],[c0610]]&gt;=0,"OK","KO"))</f>
        <v>OK</v>
      </c>
      <c r="EZ9" s="100" t="str">
        <f>IF(OR(B02.00[[#This Row],[c0620]]="010 Financial liabilities held for trading",B02.00[[#This Row],[c0620]]="070 Financial liabilities at fair value through profit or loss",B02.00[[#This Row],[c0620]]="110 Financial liabilities at amortized cost",B02.00[[#This Row],[c0620]]="280 Other liabilities",B02.00[[#This Row],[c0620]]="300 Total equity",),"OK","KO")</f>
        <v>OK</v>
      </c>
    </row>
    <row r="10" spans="1:156" s="3" customFormat="1" ht="17.399999999999999">
      <c r="A10" s="126">
        <v>6</v>
      </c>
      <c r="B10" s="126" t="s">
        <v>2407</v>
      </c>
      <c r="C10" s="126" t="s">
        <v>2408</v>
      </c>
      <c r="D10" s="126" t="s">
        <v>2178</v>
      </c>
      <c r="E10" s="127">
        <v>500000000</v>
      </c>
      <c r="F10" s="127">
        <v>999999999999999</v>
      </c>
      <c r="G10" s="126" t="s">
        <v>351</v>
      </c>
      <c r="H10" s="127">
        <v>500000000</v>
      </c>
      <c r="I10" s="127">
        <v>0</v>
      </c>
      <c r="J10" s="127">
        <v>0</v>
      </c>
      <c r="K10" s="127">
        <v>0</v>
      </c>
      <c r="L10" s="130">
        <v>500000000</v>
      </c>
      <c r="M10" s="130">
        <v>500000000</v>
      </c>
      <c r="N10" s="126" t="s">
        <v>233</v>
      </c>
      <c r="O10" s="126" t="s">
        <v>208</v>
      </c>
      <c r="P10" s="126" t="s">
        <v>208</v>
      </c>
      <c r="Q10" s="126">
        <v>2</v>
      </c>
      <c r="R10" s="127">
        <v>999999999999999</v>
      </c>
      <c r="S10" s="126">
        <v>2</v>
      </c>
      <c r="T10" s="126" t="s">
        <v>2409</v>
      </c>
      <c r="U10" s="126" t="s">
        <v>2382</v>
      </c>
      <c r="V10" s="126" t="s">
        <v>2552</v>
      </c>
      <c r="W10" s="126" t="s">
        <v>2552</v>
      </c>
      <c r="X10" s="126" t="s">
        <v>2552</v>
      </c>
      <c r="Y10" s="126" t="s">
        <v>1897</v>
      </c>
      <c r="Z10" s="126" t="s">
        <v>165</v>
      </c>
      <c r="AA10" s="126" t="s">
        <v>204</v>
      </c>
      <c r="AB10" s="126" t="s">
        <v>167</v>
      </c>
      <c r="AC10" s="127">
        <v>999999999999999</v>
      </c>
      <c r="AD10" s="127">
        <v>999999999999999</v>
      </c>
      <c r="AE10" s="126" t="s">
        <v>2180</v>
      </c>
      <c r="AF10" s="126" t="s">
        <v>2180</v>
      </c>
      <c r="AG10" s="127">
        <v>999999999999999</v>
      </c>
      <c r="AH10" s="126" t="s">
        <v>188</v>
      </c>
      <c r="AI10" s="127">
        <v>999999999999999</v>
      </c>
      <c r="AJ10" s="127">
        <v>999999999999999</v>
      </c>
      <c r="AK10" s="126" t="s">
        <v>208</v>
      </c>
      <c r="AL10" s="126" t="s">
        <v>208</v>
      </c>
      <c r="AM10" s="126" t="s">
        <v>208</v>
      </c>
      <c r="AN10" s="126" t="s">
        <v>2383</v>
      </c>
      <c r="AO10" s="127">
        <v>100000</v>
      </c>
      <c r="AP10" s="127">
        <v>100000</v>
      </c>
      <c r="AQ10" s="126" t="s">
        <v>138</v>
      </c>
      <c r="AR10" s="126" t="s">
        <v>432</v>
      </c>
      <c r="AS10" s="128">
        <v>0</v>
      </c>
      <c r="AT10" s="128">
        <v>0</v>
      </c>
      <c r="AU10" s="128">
        <v>999999999999999</v>
      </c>
      <c r="AV10" s="127">
        <v>999999999999999</v>
      </c>
      <c r="AW10" s="127">
        <v>999999999999999</v>
      </c>
      <c r="AX10" s="126" t="s">
        <v>208</v>
      </c>
      <c r="AY10" s="129">
        <v>-9999.9999999989996</v>
      </c>
      <c r="AZ10" s="126" t="s">
        <v>2385</v>
      </c>
      <c r="BA10" s="126" t="s">
        <v>2386</v>
      </c>
      <c r="BB10" s="126" t="s">
        <v>208</v>
      </c>
      <c r="BC10" s="126" t="s">
        <v>2387</v>
      </c>
      <c r="BD10" s="126" t="s">
        <v>2388</v>
      </c>
      <c r="BE10" s="126" t="s">
        <v>208</v>
      </c>
      <c r="BF10" s="126" t="s">
        <v>208</v>
      </c>
      <c r="BG10" s="126" t="s">
        <v>2385</v>
      </c>
      <c r="BH10" s="126" t="s">
        <v>2386</v>
      </c>
      <c r="BI10" s="126" t="s">
        <v>2385</v>
      </c>
      <c r="BJ10" s="126" t="s">
        <v>2386</v>
      </c>
      <c r="BK10" s="126" t="s">
        <v>208</v>
      </c>
      <c r="BL10" s="126" t="s">
        <v>208</v>
      </c>
      <c r="BM10" s="126" t="s">
        <v>208</v>
      </c>
      <c r="BN10" s="126" t="s">
        <v>208</v>
      </c>
      <c r="BO10" s="126" t="s">
        <v>243</v>
      </c>
      <c r="BP10" s="127">
        <v>500000000</v>
      </c>
      <c r="BQ10" s="126" t="s">
        <v>243</v>
      </c>
      <c r="BR10" s="127">
        <v>500000000</v>
      </c>
      <c r="BS10" s="127">
        <v>0</v>
      </c>
      <c r="BT10" s="126" t="s">
        <v>208</v>
      </c>
      <c r="BU10" s="126" t="s">
        <v>208</v>
      </c>
      <c r="BV10" s="126" t="s">
        <v>208</v>
      </c>
      <c r="BW10" s="126" t="s">
        <v>2180</v>
      </c>
      <c r="BX10" s="130">
        <v>500000000</v>
      </c>
      <c r="BY10" s="126" t="s">
        <v>237</v>
      </c>
      <c r="BZ10" s="127">
        <v>999999999999999</v>
      </c>
      <c r="CA10" s="126" t="s">
        <v>208</v>
      </c>
      <c r="CB10" s="126" t="s">
        <v>2180</v>
      </c>
      <c r="CC10" s="126" t="s">
        <v>2179</v>
      </c>
      <c r="CD10" s="100" t="str">
        <f>IF(B02.00[[#This Row],[c0010]]="","KO","OK")</f>
        <v>OK</v>
      </c>
      <c r="CE10" s="100" t="str">
        <f>IF(B02.00[[#This Row],[c0030]]="","KO","OK")</f>
        <v>OK</v>
      </c>
      <c r="CF10" s="100" t="str">
        <f>IF(B02.00[[#This Row],[c0040]]="","KO","OK")</f>
        <v>OK</v>
      </c>
      <c r="CG10" s="100" t="str">
        <f>IF(B02.00[[#This Row],[c0070]]="","KO","OK")</f>
        <v>OK</v>
      </c>
      <c r="CH10" s="101" t="str">
        <f>IF(OR(B02.00[[#This Row],[c0250]]= "Non-Structured/Vanilla",B02.00[[#This Row],[c0250]]="Other non-standard terms"),(IF(B02.00[[#This Row],[c0080]]="","KO","OK")),"OK")</f>
        <v>OK</v>
      </c>
      <c r="CI10" s="101" t="str">
        <f>IF(OR(B02.00[[#This Row],[c0250]]= "Structured",B02.00[[#This Row],[c0250]]="Only structured coupon"),(IF(B02.00[[#This Row],[c0080]]="","KO","OK")),"OK")</f>
        <v>OK</v>
      </c>
      <c r="CJ10" s="101" t="str">
        <f>IF(B02.00[[#This Row],[c0040]]="ISIN",(IF(B02.00[[#This Row],[c0090]]="","KO","OK")),"OK")</f>
        <v>OK</v>
      </c>
      <c r="CK10" s="101" t="str">
        <f>IF(AND(OR(B02.00[[#This Row],[c0250]]="Non-Structured/Vanilla",B02.00[[#This Row],[c0250]]="Other non-standard terms"),B02.00[[#This Row],[c0240]]&lt;&gt;"ZCB issued at discount"),(IF(B02.00[[#This Row],[c0100]]="","KO","OK")),"OK")</f>
        <v>OK</v>
      </c>
      <c r="CL10" s="100" t="str">
        <f>IF(OR(B02.00[[#This Row],[c0250]]&lt;&gt; "Non-Structured/Vanilla",B02.00[[#This Row],[c0460]]&lt;&gt;"Other non-standard terms"),IF(B02.00[[#This Row],[c0100]]="","KO","OK"))</f>
        <v>OK</v>
      </c>
      <c r="CM10" s="101" t="str">
        <f>IF(OR(B02.00[[#This Row],[c0250]]= "Non-Structured/Vanilla",B02.00[[#This Row],[c0460]]="Other non-standard terms"),(IF(B02.00[[#This Row],[c0120]]="","KO","OK")),"OK")</f>
        <v>OK</v>
      </c>
      <c r="CN10" s="101" t="str">
        <f>IF(OR(B02.00[[#This Row],[c0250]]&lt;&gt; "Structured",B02.00[[#This Row],[c0250]]&lt;&gt;"Only structured coupon"),(IF(B02.00[[#This Row],[c0120]]="","KO","OK")),"OK")</f>
        <v>OK</v>
      </c>
      <c r="CO10" s="101" t="str">
        <f>IF(B02.00[[#This Row],[c0130]]="","KO","OK")</f>
        <v>OK</v>
      </c>
      <c r="CP10" s="101" t="str">
        <f>IF(B02.00[[#This Row],[c0140]]="","KO","OK")</f>
        <v>OK</v>
      </c>
      <c r="CQ10" s="101" t="str">
        <f>IF(B02.00[[#This Row],[c0140]]="Other",(IF(B02.00[[#This Row],[c0141]]="","KO","OK")),"OK")</f>
        <v>OK</v>
      </c>
      <c r="CR10" s="100" t="str">
        <f>IF(B02.00[[#This Row],[c0160]]="","KO","OK")</f>
        <v>OK</v>
      </c>
      <c r="CS10" s="100" t="str">
        <f>IF(B02.00[[#This Row],[c0162]]="","KO","OK")</f>
        <v>OK</v>
      </c>
      <c r="CT10" s="101" t="str">
        <f>IF(AND(OR(B02.00[[#This Row],[c0250]]= "Non-Structured/Vanilla",B02.00[[#This Row],[c0250]]="Other non-standard terms"),B02.00[[#This Row],[c0240]]&lt;&gt;"ZCB issued at discount"),(IF(B02.00[[#This Row],[c0180]]="","KO","OK")),"OK")</f>
        <v>OK</v>
      </c>
      <c r="CU10" s="101" t="str">
        <f>IF(AND(B02.00[[#This Row],[c0250]]&lt;&gt; "Structured",B02.00[[#This Row],[c0250]]&lt;&gt;"Only structured coupon"),(IF(B02.00[[#This Row],[c0180]]="","KO","OK")),"OK")</f>
        <v>OK</v>
      </c>
      <c r="CV10" s="100" t="str">
        <f>IF(B02.00[[#This Row],[c0200]]="","KO","OK")</f>
        <v>OK</v>
      </c>
      <c r="CW10" s="101" t="str">
        <f>IF(B02.00[[#This Row],[c0140]]&lt;&gt;"Cash account/saving account",(IF(B02.00[[#This Row],[c0210]]="","KO","OK")),"OK")</f>
        <v>OK</v>
      </c>
      <c r="CX10" s="100" t="str">
        <f>IF(B02.00[[#This Row],[c0220]]="","KO","OK")</f>
        <v>OK</v>
      </c>
      <c r="CY10" s="100" t="str">
        <f>IF(B02.00[[#This Row],[c0250]]="","KO","OK")</f>
        <v>OK</v>
      </c>
      <c r="CZ10" s="101" t="str">
        <f>IF(OR(B02.00[[#This Row],[c0250]]="Structured",B02.00[[#This Row],[c0250]]="Only structured coupon"),(IF(B02.00[[#This Row],[c0260]]="","KO","OK")),"OK")</f>
        <v>OK</v>
      </c>
      <c r="DA10" s="66" t="str">
        <f>IF(OR(B02.00[[#This Row],[c0250]]="Structured",B02.00[[#This Row],[c0250]]="Only structured coupon"),(IF(B02.00[[#This Row],[c0270]]="","KO","OK")),"OK")</f>
        <v>OK</v>
      </c>
      <c r="DB10" s="66" t="str">
        <f>IF(OR(B02.00[[#This Row],[c0280]]="TRUE",B02.00[[#This Row],[c0290]]="TRUE"),(IF(B02.00[[#This Row],[c0300]]="","KO","OK")),"OK")</f>
        <v>OK</v>
      </c>
      <c r="DC10" s="100" t="str">
        <f>IF(B02.00[[#This Row],[c0310]]="","KO","OK")</f>
        <v>OK</v>
      </c>
      <c r="DD10" s="101" t="str">
        <f>IF(B02.00[[#This Row],[c0310]]="Secured",(IF(B02.00[[#This Row],[c0320]]="","KO","OK")),"OK")</f>
        <v>OK</v>
      </c>
      <c r="DE10" s="101" t="str">
        <f>IF(B02.00[[#This Row],[c0310]]="Secured",(IF(B02.00[[#This Row],[c0330]]="","KO","OK")),"OK")</f>
        <v>OK</v>
      </c>
      <c r="DF10" s="101" t="str">
        <f>IF(B02.00[[#This Row],[c0310]]="Secured",(IF(B02.00[[#This Row],[c0350]]="","KO","OK")),"OK")</f>
        <v>OK</v>
      </c>
      <c r="DG10" s="101" t="str">
        <f>IF(B02.00[[#This Row],[c0350]]="Other",(IF(B02.00[[#This Row],[c0351]]="","KO","OK")),"OK")</f>
        <v>OK</v>
      </c>
      <c r="DH10" s="101" t="str">
        <f>IF(AND(B02.00[[#This Row],[c0040]]="ISIN",B02.00[[#This Row],[c0360]]="Nominal "),(IF(B02.00[[#This Row],[c0370]]="","KO","OK")),"OK")</f>
        <v>OK</v>
      </c>
      <c r="DI10" s="101" t="str">
        <f>IF(AND(B02.00[[#This Row],[c0040]]="ISIN",B02.00[[#This Row],[c0360]]="Unit "),(IF(B02.00[[#This Row],[c0370]]="","KO","OK")),"OK")</f>
        <v>OK</v>
      </c>
      <c r="DJ10" s="101" t="str">
        <f>IF(B02.00[[#This Row],[c0040]]="ISIN",(IF(B02.00[[#This Row],[c0390]]="","KO","OK")),"OK")</f>
        <v>OK</v>
      </c>
      <c r="DK10" s="101" t="str">
        <f>IF(B02.00[[#This Row],[c0040]]="ISIN",(IF(B02.00[[#This Row],[c0391]]="","KO","OK")),"OK")</f>
        <v>OK</v>
      </c>
      <c r="DL10" s="101" t="str">
        <f>IF(AND(B02.00[[#This Row],[c0040]]="ISIN",OR(B02.00[[#This Row],[c0250]]= "Non-Structured/Vanilla",B02.00[[#This Row],[c0250]]="Other non-standard terms"),B02.00[[#This Row],[c0240]]&lt;&gt;"ZCB issued at discount"),(IF(B02.00[[#This Row],[c0400]]="","KO","OK")),"OK")</f>
        <v>OK</v>
      </c>
      <c r="DM10" s="101" t="str">
        <f>IF(AND(B02.00[[#This Row],[c0040]]="ISIN",AND(B02.00[[#This Row],[c0250]]&lt;&gt;"Structured",B02.00[[#This Row],[c0250]]&lt;&gt;"Only structured coupon")),(IF(B02.00[[#This Row],[c0400]]="","KO","OK")),"OK")</f>
        <v>OK</v>
      </c>
      <c r="DN10" s="100" t="str">
        <f>IF(B02.00[[#This Row],[c0610]]="","KO","OK")</f>
        <v>OK</v>
      </c>
      <c r="DO10" s="101" t="str">
        <f>IF('B9900'!$H$4="Non-Resolution Entity",(IF(B02.00[[#This Row],[c5000]]="","KO","OK")),"OK")</f>
        <v>OK</v>
      </c>
      <c r="DP10" s="101" t="str">
        <f>IF('B9900'!$H$4="Non-Resolution Entity",(IF(B02.00[[#This Row],[c5010]]="","KO","OK")),"OK")</f>
        <v>OK</v>
      </c>
      <c r="DQ10" s="100" t="str">
        <f>IF(B02.00[[#This Row],[c0040]]="ISIN",(IF(AND(LEN(B02.00[[#This Row],[c0030]]=12),NOT(ISNUMBER(LEFT(B02.00[[#This Row],[c0030]],2)))),"OK","KO")),"OK")</f>
        <v>OK</v>
      </c>
      <c r="DR10" s="100" t="str">
        <f>IF(AND(B02.00[[#This Row],[c0020]]&lt;&gt;"NCNP",B02.00[[#This Row],[c0020]]&lt;&gt;"NCBP"),(IF(AND(LEN(B02.00[[#This Row],[c0070]])=3,NOT(ISERROR(MATCH(UPPER(B02.00[[#This Row],[c0070]]),Tabelle1[Alphabetic Code],0)))),"OK","KO")),"OK")</f>
        <v>OK</v>
      </c>
      <c r="DS10" s="100" t="str">
        <f>IF(B02.00[[#This Row],[c0080]]&gt;0,"OK","KO")</f>
        <v>OK</v>
      </c>
      <c r="DT10" s="100" t="str">
        <f>IF(B02.00[[#This Row],[c0040]]="ISIN",(IF(B02.00[[#This Row],[c0090]]&gt;=0,"OK","KO")),"OK")</f>
        <v>OK</v>
      </c>
      <c r="DU10" s="100" t="str">
        <f>IF(B02.00[[#This Row],[c0100]]&gt;=0,"OK","KO")</f>
        <v>OK</v>
      </c>
      <c r="DV10" s="100" t="str">
        <f>IF(B02.00[[#This Row],[c0110]]&gt;=0,"OK","KO")</f>
        <v>OK</v>
      </c>
      <c r="DW10" s="68" t="str">
        <f>IF(B02.00[[#This Row],[c0120]]&gt;=0,"OK","KO")</f>
        <v>OK</v>
      </c>
      <c r="DX10" s="68" t="str">
        <f>IF(B02.00[[#This Row],[c0120]]=(H10+J10+K10),"OK","KO")</f>
        <v>OK</v>
      </c>
      <c r="DY10" s="100" t="str">
        <f>IF(OR(B02.00[[#This Row],[c0250]]="Non-structured /Vanilla",B02.00[[#This Row],[c0250]]="Other non-standard terms"),(IF(B02.00[[#This Row],[c0130]]=MAX(0,B02.00[[#This Row],[c0120]],B02.00[[#This Row],[c0300]],B02.00[[#This Row],[c0320]]),"OK","KO")),"OK")</f>
        <v>OK</v>
      </c>
      <c r="DZ10" s="100" t="str">
        <f>IF(OR(B02.00[[#This Row],[c0250]]="Structured",B02.00[[#This Row],[c0250]]="Only structured coupon"),(IF(OR(B02.00[[#This Row],[c0130]]=MAX(0,B02.00[[#This Row],[c0270]],B02.00[[#This Row],[c0300]],B02.00[[#This Row],[c0320]]),B02.00[[#This Row],[c0130]]=MAX(0,B02.00[[#This Row],[c0120]],B02.00[[#This Row],[c0300]],B02.00[[#This Row],[c0320]])),"OK","KO")),"OK")</f>
        <v>OK</v>
      </c>
      <c r="EA10" s="68" t="str">
        <f>IF(OR(B02.00[[#This Row],[c0140]]="Registered Bond",B02.00[[#This Row],[c0140]]="Bearrer Bond",B02.00[[#This Row],[c0140]]="Borrower Note Loan",B02.00[[#This Row],[c0140]]="Certificate of Deposit / Commercial Paper",B02.00[[#This Row],[c0140]]="Title of ownership",B02.00[[#This Row],[c0140]]="Cash account/saving account",B02.00[[#This Row],[c0140]]="Term deposit",B02.00[[#This Row],[c0140]]="Loan",B02.00[[#This Row],[c0140]]="Bill of exchange",B02.00[[#This Row],[c0140]]="Other"),"OK","KO")</f>
        <v>OK</v>
      </c>
      <c r="EB10" s="100" t="str">
        <f>IF(B02.00[[#This Row],[c0160]]&gt;=1,"OK","KO")</f>
        <v>OK</v>
      </c>
      <c r="EC10" s="100" t="str">
        <f>IF(AND(B02.00[[#This Row],[c0020]]&lt;&gt;"NCNP",B02.00[[#This Row],[c0020]]&lt;&gt;"NCBP"),(IF(B02.00[[#This Row],[c0170]]&gt;DATE(1900,1,1),"OK","KO")),"OK")</f>
        <v>OK</v>
      </c>
      <c r="ED10" s="100" t="str">
        <f>IF(AND(OR(B02.00[[#This Row],[c0190]]&lt;&gt;"",B02.00[[#This Row],[c0200]]&lt;&gt;""),AND(B02.00[[#This Row],[c0020]]&lt;&gt;"NCNP",B02.00[[#This Row],[c0020]]&lt;&gt;"NCBP")),(IF(AND(B02.00[[#This Row],[c0170]]&lt;B02.00[[#This Row],[c0190]],B02.00[[#This Row],[c0170]]&lt;B02.00[[#This Row],[c0200]]),"OK","KO")),"OK")</f>
        <v>OK</v>
      </c>
      <c r="EE10" s="66" t="str">
        <f>IF(AND(B02.00[[#This Row],[c0020]]&lt;&gt;"NCNP",B02.00[[#This Row],[c0020]]&lt;&gt;"NCBP"),IF(B02.00[[#This Row],[c0180]]="","KO",IF(B02.00[[#This Row],[c0180]]&gt;DATE(1900,1,1),"OK","KO")),"OK")</f>
        <v>OK</v>
      </c>
      <c r="EF10" s="68" t="str">
        <f>IF(AND('B9900'!$I$4&lt;&gt;"",B02.00[[#This Row],[c0020]]&lt;&gt;"NCNP",B02.00[[#This Row],[c0020]]&lt;&gt;"NCBP"),IF(B02.00[[#This Row],[c0180]]="","KO",IF(B02.00[[#This Row],[c0180]]&gt;'B9900'!$I$4,"OK","KO")),"OK")</f>
        <v>OK</v>
      </c>
      <c r="EG10" s="100" t="str">
        <f>IF(AND(B02.00[[#This Row],[c0020]]&lt;&gt;"NCNP",B02.00[[#This Row],[c0020]]&lt;&gt;"NCBP"),(IF(B02.00[[#This Row],[c0200]]&gt;DATE(1900,1,1),"OK","KO")),"OK")</f>
        <v>OK</v>
      </c>
      <c r="EH10" s="68" t="str">
        <f>IF(AND('B9900'!$I$4&lt;&gt;"",AND(B02.00[[#This Row],[c0020]]&lt;&gt;"NCNP",B02.00[[#This Row],[c0020]]&lt;&gt;"NCBP")),(IF(B02.00[[#This Row],[c0200]]&gt;'B9900'!$I$4,"OK","KO")),"OK")</f>
        <v>OK</v>
      </c>
      <c r="EI10" s="100" t="str">
        <f>IF(AND(B02.00[[#This Row],[c0020]]&lt;&gt;"NCNP",B02.00[[#This Row],[c0020]]&lt;&gt;"NCBP"),(IF(B02.00[[#This Row],[c0210]]&gt;DATE(1900,1,1),"OK","KO")),"OK")</f>
        <v>OK</v>
      </c>
      <c r="EJ10" s="68" t="str">
        <f>IF(AND('B9900'!$I$4&lt;&gt;"",AND(B02.00[[#This Row],[c0020]]&lt;&gt;"NCNP",B02.00[[#This Row],[c0020]]&lt;&gt;"NCBP")),(IF(B02.00[[#This Row],[c0210]]&gt;'B9900'!$I$4,"OK","KO")),"OK")</f>
        <v>OK</v>
      </c>
      <c r="EK10" s="100" t="str">
        <f>IF(AND(B02.00[[#This Row],[c0020]]&lt;&gt;"NCNP",B02.00[[#This Row],[c0020]]&lt;&gt;"NCBP"),(IF(OR(NOT(ISERROR(MATCH(B02.00[[#This Row],[c0220]],'ISO 3166'!B:B,0))),NOT(ISERROR(MATCH(B02.00[[#This Row],[c0220]],'ISO 3166'!E:E,0)))),"OK","KO")),"OK")</f>
        <v>OK</v>
      </c>
      <c r="EL10" s="100" t="str">
        <f>IF(AND(B02.00[[#This Row],[c0020]]&lt;&gt;"NCNP",B02.00[[#This Row],[c0020]]&lt;&gt;"NCBP"),(IF(OR(B02.00[[#This Row],[c0230]]="Yes, supported by Legal Opinion",B02.00[[#This Row],[c0230]]="Yes, not supported by Legal Opinion",B02.00[[#This Row],[c0230]]="No",B02.00[[#This Row],[c0230]]="Not applicable",B02.00[[#This Row],[c0230]]="Aggregated"),"OK","KO")),"OK")</f>
        <v>OK</v>
      </c>
      <c r="EM10" s="100" t="str">
        <f>IF(OR(B02.00[[#This Row],[c0250]]="Non-structured/Vanilla",B02.00[[#This Row],[c0250]]="Structured",B02.00[[#This Row],[c0250]]="Other non-standard terms",B02.00[[#This Row],[c0250]]="Only structured coupon",B02.00[[#This Row],[c0250]]="Aggregated"),"OK","KO")</f>
        <v>OK</v>
      </c>
      <c r="EN10" s="100" t="str">
        <f>IF(OR(B02.00[[#This Row],[c0310]]="Secured",B02.00[[#This Row],[c0310]]="Unsecured"),"OK","KO")</f>
        <v>OK</v>
      </c>
      <c r="EO10" s="100" t="str">
        <f>IF(AND(B02.00[[#This Row],[c0310]]="Secured",OR(B02.00[[#This Row],[c0250]]="Non-structured/Vanilla",B02.00[[#This Row],[c0250]]="Other non-standard terms"),B02.00[[#This Row],[c0240]]&lt;&gt;"ZCB issued at discount"),(IF(B02.00[[#This Row],[c0330]]=MAX(0,B02.00[[#This Row],[c0120]],B02.00[[#This Row],[c0320]]),"OK","KO")),"OK")</f>
        <v>OK</v>
      </c>
      <c r="EP10" s="100" t="str">
        <f>IF(AND(B02.00[[#This Row],[c0310]]="Secured",OR(B02.00[[#This Row],[c0250]]="Structured",B02.00[[#This Row],[c0250]]="Only structured coupon")),(IF(OR(B02.00[[#This Row],[c0330]]=MAX(0,B02.00[[#This Row],[c0270]],B02.00[[#This Row],[c0320]]),B02.00[[#This Row],[c0330]]=MAX(0,B02.00[[#This Row],[c0120]],B02.00[[#This Row],[c0320]])),"OK","KO")),"OK")</f>
        <v>OK</v>
      </c>
      <c r="EQ10" s="100" t="str">
        <f>IF(OR(B02.00[[#This Row],[c0350]]="Real estate",B02.00[[#This Row],[c0350]]="Ships",B02.00[[#This Row],[c0350]]="Aircraft",B02.00[[#This Row],[c0350]]="Financial",B02.00[[#This Row],[c0350]]="Other",B02.00[[#This Row],[c0350]]="Not applicable"),"OK","KO")</f>
        <v>OK</v>
      </c>
      <c r="ER10" s="100" t="str">
        <f>IF(B02.00[[#This Row],[c0310]]="Unsecured",(IF(B02.00[[#This Row],[c0350]]="Not applicable","OK","KO")),"OK")</f>
        <v>OK</v>
      </c>
      <c r="ES10" s="100" t="str">
        <f>IF(OR(B02.00[[#This Row],[c0440]]="NGN",B02.00[[#This Row],[c0440]]="CGN",B02.00[[#This Row],[c0440]]="Not applicable"),"OK","KO")</f>
        <v>OK</v>
      </c>
      <c r="ET10" s="100" t="str">
        <f>IF(OR(B02.00[[#This Row],[c0530]]="T2 in phase-out",B02.00[[#This Row],[c0530]]="Grandfathered T2",B02.00[[#This Row],[c0530]]="Fully Compliant T2",B02.00[[#This Row],[c0530]]="Partially (A)T1 and T2",B02.00[[#This Row],[c0530]]="Grandfathered AT1",B02.00[[#This Row],[c0530]]="Fully Compliant AT1",B02.00[[#This Row],[c0530]]="CET1",B02.00[[#This Row],[c0530]]="No"),"OK","KO")</f>
        <v>OK</v>
      </c>
      <c r="EU10" s="100" t="str">
        <f>IF(B02.00[[#This Row],[c0540]] ="","KO",IF(B02.00[[#This Row],[c0540]]&gt;=0,"OK","KO"))</f>
        <v>OK</v>
      </c>
      <c r="EV10" s="100" t="str">
        <f>IF(OR(B02.00[[#This Row],[c0550]]="T2 in phase-out",B02.00[[#This Row],[c0550]]="Grandfathered T2",B02.00[[#This Row],[c0550]]="Fully Compliant T2",B02.00[[#This Row],[c0550]]="Partially (A)T1 and T2",B02.00[[#This Row],[c0550]]="Grandfathered AT1",B02.00[[#This Row],[c0550]]="Fully Compliant AT1",B02.00[[#This Row],[c0550]]="CET1",B02.00[[#This Row],[c0550]]="No"),"OK","KO")</f>
        <v>OK</v>
      </c>
      <c r="EW10" s="100" t="str">
        <f>IF(B02.00[[#This Row],[c0560]]="","KO",IF(B02.00[[#This Row],[c0560]]&gt;=0,"OK","KO"))</f>
        <v>OK</v>
      </c>
      <c r="EX10" s="100" t="str">
        <f>IF(OR(B02.00[[#This Row],[c0590]]="Lien",B02.00[[#This Row],[c0590]]="Guarantee",B02.00[[#This Row],[c0590]]="Surety",B02.00[[#This Row],[c0590]]="Guarantee obligation",B02.00[[#This Row],[c0590]]="Other",B02.00[[#This Row],[c0590]]="Not applicable",B02.00[[#This Row],[c0590]]="Aggregated"),"OK","KO")</f>
        <v>OK</v>
      </c>
      <c r="EY10" s="100" t="str">
        <f>IF(B02.00[[#This Row],[c0610]]="","KO",IF(B02.00[[#This Row],[c0610]]&gt;=0,"OK","KO"))</f>
        <v>OK</v>
      </c>
      <c r="EZ10" s="100" t="str">
        <f>IF(OR(B02.00[[#This Row],[c0620]]="010 Financial liabilities held for trading",B02.00[[#This Row],[c0620]]="070 Financial liabilities at fair value through profit or loss",B02.00[[#This Row],[c0620]]="110 Financial liabilities at amortized cost",B02.00[[#This Row],[c0620]]="280 Other liabilities",B02.00[[#This Row],[c0620]]="300 Total equity",),"OK","KO")</f>
        <v>OK</v>
      </c>
    </row>
    <row r="11" spans="1:156" s="3" customFormat="1" ht="17.399999999999999">
      <c r="A11" s="126">
        <v>7</v>
      </c>
      <c r="B11" s="126" t="s">
        <v>2410</v>
      </c>
      <c r="C11" s="126" t="s">
        <v>2411</v>
      </c>
      <c r="D11" s="126" t="s">
        <v>2178</v>
      </c>
      <c r="E11" s="130">
        <v>1391779674</v>
      </c>
      <c r="F11" s="127">
        <v>999999999999999</v>
      </c>
      <c r="G11" s="126" t="s">
        <v>351</v>
      </c>
      <c r="H11" s="130">
        <v>1566022662</v>
      </c>
      <c r="I11" s="130">
        <v>6326736</v>
      </c>
      <c r="J11" s="127">
        <v>0</v>
      </c>
      <c r="K11" s="127">
        <v>0</v>
      </c>
      <c r="L11" s="130">
        <v>1566022662</v>
      </c>
      <c r="M11" s="130">
        <v>1566022662</v>
      </c>
      <c r="N11" s="126" t="s">
        <v>233</v>
      </c>
      <c r="O11" s="126" t="s">
        <v>208</v>
      </c>
      <c r="P11" s="126" t="s">
        <v>208</v>
      </c>
      <c r="Q11" s="126">
        <v>1</v>
      </c>
      <c r="R11" s="127">
        <v>999999999999999</v>
      </c>
      <c r="S11" s="126">
        <v>1</v>
      </c>
      <c r="T11" s="126" t="s">
        <v>2412</v>
      </c>
      <c r="U11" s="126" t="s">
        <v>2382</v>
      </c>
      <c r="V11" s="126" t="s">
        <v>2552</v>
      </c>
      <c r="W11" s="126" t="s">
        <v>2552</v>
      </c>
      <c r="X11" s="126" t="s">
        <v>2552</v>
      </c>
      <c r="Y11" s="126" t="s">
        <v>1897</v>
      </c>
      <c r="Z11" s="126" t="s">
        <v>165</v>
      </c>
      <c r="AA11" s="126" t="s">
        <v>204</v>
      </c>
      <c r="AB11" s="126" t="s">
        <v>167</v>
      </c>
      <c r="AC11" s="127">
        <v>999999999999999</v>
      </c>
      <c r="AD11" s="127">
        <v>999999999999999</v>
      </c>
      <c r="AE11" s="126" t="s">
        <v>2180</v>
      </c>
      <c r="AF11" s="126" t="s">
        <v>2180</v>
      </c>
      <c r="AG11" s="127">
        <v>999999999999999</v>
      </c>
      <c r="AH11" s="126" t="s">
        <v>188</v>
      </c>
      <c r="AI11" s="127">
        <v>999999999999999</v>
      </c>
      <c r="AJ11" s="127">
        <v>999999999999999</v>
      </c>
      <c r="AK11" s="126" t="s">
        <v>208</v>
      </c>
      <c r="AL11" s="126" t="s">
        <v>208</v>
      </c>
      <c r="AM11" s="126" t="s">
        <v>208</v>
      </c>
      <c r="AN11" s="126" t="s">
        <v>2413</v>
      </c>
      <c r="AO11" s="127">
        <v>1</v>
      </c>
      <c r="AP11" s="127">
        <v>1</v>
      </c>
      <c r="AQ11" s="130">
        <f>+B02.00[[#This Row],[c0050]]</f>
        <v>1391779674</v>
      </c>
      <c r="AR11" s="126" t="s">
        <v>2414</v>
      </c>
      <c r="AS11" s="128">
        <v>0</v>
      </c>
      <c r="AT11" s="128">
        <v>0</v>
      </c>
      <c r="AU11" s="128">
        <v>999999999999999</v>
      </c>
      <c r="AV11" s="127">
        <v>999999999999999</v>
      </c>
      <c r="AW11" s="127">
        <v>999999999999999</v>
      </c>
      <c r="AX11" s="126" t="s">
        <v>208</v>
      </c>
      <c r="AY11" s="129">
        <v>-9999.9999999989996</v>
      </c>
      <c r="AZ11" s="126" t="s">
        <v>2385</v>
      </c>
      <c r="BA11" s="126" t="s">
        <v>2386</v>
      </c>
      <c r="BB11" s="126" t="s">
        <v>208</v>
      </c>
      <c r="BC11" s="126" t="s">
        <v>2387</v>
      </c>
      <c r="BD11" s="126" t="s">
        <v>2388</v>
      </c>
      <c r="BE11" s="126" t="s">
        <v>208</v>
      </c>
      <c r="BF11" s="126" t="s">
        <v>208</v>
      </c>
      <c r="BG11" s="126" t="s">
        <v>2385</v>
      </c>
      <c r="BH11" s="126" t="s">
        <v>2386</v>
      </c>
      <c r="BI11" s="126" t="s">
        <v>2385</v>
      </c>
      <c r="BJ11" s="126" t="s">
        <v>2386</v>
      </c>
      <c r="BK11" s="126" t="s">
        <v>208</v>
      </c>
      <c r="BL11" s="126" t="s">
        <v>208</v>
      </c>
      <c r="BM11" s="126" t="s">
        <v>208</v>
      </c>
      <c r="BN11" s="126" t="s">
        <v>208</v>
      </c>
      <c r="BO11" s="126" t="s">
        <v>247</v>
      </c>
      <c r="BP11" s="130">
        <v>1566022662</v>
      </c>
      <c r="BQ11" s="126" t="s">
        <v>247</v>
      </c>
      <c r="BR11" s="130">
        <v>1566022662</v>
      </c>
      <c r="BS11" s="127">
        <v>0</v>
      </c>
      <c r="BT11" s="126" t="s">
        <v>208</v>
      </c>
      <c r="BU11" s="126" t="s">
        <v>208</v>
      </c>
      <c r="BV11" s="126" t="s">
        <v>208</v>
      </c>
      <c r="BW11" s="126" t="s">
        <v>2180</v>
      </c>
      <c r="BX11" s="130">
        <v>1566022662</v>
      </c>
      <c r="BY11" s="126" t="s">
        <v>237</v>
      </c>
      <c r="BZ11" s="127">
        <v>999999999999999</v>
      </c>
      <c r="CA11" s="126" t="s">
        <v>208</v>
      </c>
      <c r="CB11" s="126" t="s">
        <v>2180</v>
      </c>
      <c r="CC11" s="126" t="s">
        <v>2179</v>
      </c>
      <c r="CD11" s="100" t="str">
        <f>IF(B02.00[[#This Row],[c0010]]="","KO","OK")</f>
        <v>OK</v>
      </c>
      <c r="CE11" s="100" t="str">
        <f>IF(B02.00[[#This Row],[c0030]]="","KO","OK")</f>
        <v>OK</v>
      </c>
      <c r="CF11" s="100" t="str">
        <f>IF(B02.00[[#This Row],[c0040]]="","KO","OK")</f>
        <v>OK</v>
      </c>
      <c r="CG11" s="100" t="str">
        <f>IF(B02.00[[#This Row],[c0070]]="","KO","OK")</f>
        <v>OK</v>
      </c>
      <c r="CH11" s="101" t="str">
        <f>IF(OR(B02.00[[#This Row],[c0250]]= "Non-Structured/Vanilla",B02.00[[#This Row],[c0250]]="Other non-standard terms"),(IF(B02.00[[#This Row],[c0080]]="","KO","OK")),"OK")</f>
        <v>OK</v>
      </c>
      <c r="CI11" s="101" t="str">
        <f>IF(OR(B02.00[[#This Row],[c0250]]= "Structured",B02.00[[#This Row],[c0250]]="Only structured coupon"),(IF(B02.00[[#This Row],[c0080]]="","KO","OK")),"OK")</f>
        <v>OK</v>
      </c>
      <c r="CJ11" s="101" t="str">
        <f>IF(B02.00[[#This Row],[c0040]]="ISIN",(IF(B02.00[[#This Row],[c0090]]="","KO","OK")),"OK")</f>
        <v>OK</v>
      </c>
      <c r="CK11" s="101" t="str">
        <f>IF(AND(OR(B02.00[[#This Row],[c0250]]="Non-Structured/Vanilla",B02.00[[#This Row],[c0250]]="Other non-standard terms"),B02.00[[#This Row],[c0240]]&lt;&gt;"ZCB issued at discount"),(IF(B02.00[[#This Row],[c0100]]="","KO","OK")),"OK")</f>
        <v>OK</v>
      </c>
      <c r="CL11" s="100" t="str">
        <f>IF(OR(B02.00[[#This Row],[c0250]]&lt;&gt; "Non-Structured/Vanilla",B02.00[[#This Row],[c0460]]&lt;&gt;"Other non-standard terms"),IF(B02.00[[#This Row],[c0100]]="","KO","OK"))</f>
        <v>OK</v>
      </c>
      <c r="CM11" s="101" t="str">
        <f>IF(OR(B02.00[[#This Row],[c0250]]= "Non-Structured/Vanilla",B02.00[[#This Row],[c0460]]="Other non-standard terms"),(IF(B02.00[[#This Row],[c0120]]="","KO","OK")),"OK")</f>
        <v>OK</v>
      </c>
      <c r="CN11" s="101" t="str">
        <f>IF(OR(B02.00[[#This Row],[c0250]]&lt;&gt; "Structured",B02.00[[#This Row],[c0250]]&lt;&gt;"Only structured coupon"),(IF(B02.00[[#This Row],[c0120]]="","KO","OK")),"OK")</f>
        <v>OK</v>
      </c>
      <c r="CO11" s="101" t="str">
        <f>IF(B02.00[[#This Row],[c0130]]="","KO","OK")</f>
        <v>OK</v>
      </c>
      <c r="CP11" s="101" t="str">
        <f>IF(B02.00[[#This Row],[c0140]]="","KO","OK")</f>
        <v>OK</v>
      </c>
      <c r="CQ11" s="101" t="str">
        <f>IF(B02.00[[#This Row],[c0140]]="Other",(IF(B02.00[[#This Row],[c0141]]="","KO","OK")),"OK")</f>
        <v>OK</v>
      </c>
      <c r="CR11" s="100" t="str">
        <f>IF(B02.00[[#This Row],[c0160]]="","KO","OK")</f>
        <v>OK</v>
      </c>
      <c r="CS11" s="100" t="str">
        <f>IF(B02.00[[#This Row],[c0162]]="","KO","OK")</f>
        <v>OK</v>
      </c>
      <c r="CT11" s="101" t="str">
        <f>IF(AND(OR(B02.00[[#This Row],[c0250]]= "Non-Structured/Vanilla",B02.00[[#This Row],[c0250]]="Other non-standard terms"),B02.00[[#This Row],[c0240]]&lt;&gt;"ZCB issued at discount"),(IF(B02.00[[#This Row],[c0180]]="","KO","OK")),"OK")</f>
        <v>OK</v>
      </c>
      <c r="CU11" s="101" t="str">
        <f>IF(AND(B02.00[[#This Row],[c0250]]&lt;&gt; "Structured",B02.00[[#This Row],[c0250]]&lt;&gt;"Only structured coupon"),(IF(B02.00[[#This Row],[c0180]]="","KO","OK")),"OK")</f>
        <v>OK</v>
      </c>
      <c r="CV11" s="100" t="str">
        <f>IF(B02.00[[#This Row],[c0200]]="","KO","OK")</f>
        <v>OK</v>
      </c>
      <c r="CW11" s="101" t="str">
        <f>IF(B02.00[[#This Row],[c0140]]&lt;&gt;"Cash account/saving account",(IF(B02.00[[#This Row],[c0210]]="","KO","OK")),"OK")</f>
        <v>OK</v>
      </c>
      <c r="CX11" s="100" t="str">
        <f>IF(B02.00[[#This Row],[c0220]]="","KO","OK")</f>
        <v>OK</v>
      </c>
      <c r="CY11" s="100" t="str">
        <f>IF(B02.00[[#This Row],[c0250]]="","KO","OK")</f>
        <v>OK</v>
      </c>
      <c r="CZ11" s="101" t="str">
        <f>IF(OR(B02.00[[#This Row],[c0250]]="Structured",B02.00[[#This Row],[c0250]]="Only structured coupon"),(IF(B02.00[[#This Row],[c0260]]="","KO","OK")),"OK")</f>
        <v>OK</v>
      </c>
      <c r="DA11" s="66" t="str">
        <f>IF(OR(B02.00[[#This Row],[c0250]]="Structured",B02.00[[#This Row],[c0250]]="Only structured coupon"),(IF(B02.00[[#This Row],[c0270]]="","KO","OK")),"OK")</f>
        <v>OK</v>
      </c>
      <c r="DB11" s="66" t="str">
        <f>IF(OR(B02.00[[#This Row],[c0280]]="TRUE",B02.00[[#This Row],[c0290]]="TRUE"),(IF(B02.00[[#This Row],[c0300]]="","KO","OK")),"OK")</f>
        <v>OK</v>
      </c>
      <c r="DC11" s="100" t="str">
        <f>IF(B02.00[[#This Row],[c0310]]="","KO","OK")</f>
        <v>OK</v>
      </c>
      <c r="DD11" s="101" t="str">
        <f>IF(B02.00[[#This Row],[c0310]]="Secured",(IF(B02.00[[#This Row],[c0320]]="","KO","OK")),"OK")</f>
        <v>OK</v>
      </c>
      <c r="DE11" s="101" t="str">
        <f>IF(B02.00[[#This Row],[c0310]]="Secured",(IF(B02.00[[#This Row],[c0330]]="","KO","OK")),"OK")</f>
        <v>OK</v>
      </c>
      <c r="DF11" s="101" t="str">
        <f>IF(B02.00[[#This Row],[c0310]]="Secured",(IF(B02.00[[#This Row],[c0350]]="","KO","OK")),"OK")</f>
        <v>OK</v>
      </c>
      <c r="DG11" s="101" t="str">
        <f>IF(B02.00[[#This Row],[c0350]]="Other",(IF(B02.00[[#This Row],[c0351]]="","KO","OK")),"OK")</f>
        <v>OK</v>
      </c>
      <c r="DH11" s="101" t="str">
        <f>IF(AND(B02.00[[#This Row],[c0040]]="ISIN",B02.00[[#This Row],[c0360]]="Nominal "),(IF(B02.00[[#This Row],[c0370]]="","KO","OK")),"OK")</f>
        <v>OK</v>
      </c>
      <c r="DI11" s="101" t="str">
        <f>IF(AND(B02.00[[#This Row],[c0040]]="ISIN",B02.00[[#This Row],[c0360]]="Unit "),(IF(B02.00[[#This Row],[c0370]]="","KO","OK")),"OK")</f>
        <v>OK</v>
      </c>
      <c r="DJ11" s="101" t="str">
        <f>IF(B02.00[[#This Row],[c0040]]="ISIN",(IF(B02.00[[#This Row],[c0390]]="","KO","OK")),"OK")</f>
        <v>OK</v>
      </c>
      <c r="DK11" s="101" t="str">
        <f>IF(B02.00[[#This Row],[c0040]]="ISIN",(IF(B02.00[[#This Row],[c0391]]="","KO","OK")),"OK")</f>
        <v>OK</v>
      </c>
      <c r="DL11" s="101" t="str">
        <f>IF(AND(B02.00[[#This Row],[c0040]]="ISIN",OR(B02.00[[#This Row],[c0250]]= "Non-Structured/Vanilla",B02.00[[#This Row],[c0250]]="Other non-standard terms"),B02.00[[#This Row],[c0240]]&lt;&gt;"ZCB issued at discount"),(IF(B02.00[[#This Row],[c0400]]="","KO","OK")),"OK")</f>
        <v>OK</v>
      </c>
      <c r="DM11" s="101" t="str">
        <f>IF(AND(B02.00[[#This Row],[c0040]]="ISIN",AND(B02.00[[#This Row],[c0250]]&lt;&gt;"Structured",B02.00[[#This Row],[c0250]]&lt;&gt;"Only structured coupon")),(IF(B02.00[[#This Row],[c0400]]="","KO","OK")),"OK")</f>
        <v>OK</v>
      </c>
      <c r="DN11" s="100" t="str">
        <f>IF(B02.00[[#This Row],[c0610]]="","KO","OK")</f>
        <v>OK</v>
      </c>
      <c r="DO11" s="101" t="str">
        <f>IF('B9900'!$H$4="Non-Resolution Entity",(IF(B02.00[[#This Row],[c5000]]="","KO","OK")),"OK")</f>
        <v>OK</v>
      </c>
      <c r="DP11" s="101" t="str">
        <f>IF('B9900'!$H$4="Non-Resolution Entity",(IF(B02.00[[#This Row],[c5010]]="","KO","OK")),"OK")</f>
        <v>OK</v>
      </c>
      <c r="DQ11" s="100" t="str">
        <f>IF(B02.00[[#This Row],[c0040]]="ISIN",(IF(AND(LEN(B02.00[[#This Row],[c0030]]=12),NOT(ISNUMBER(LEFT(B02.00[[#This Row],[c0030]],2)))),"OK","KO")),"OK")</f>
        <v>OK</v>
      </c>
      <c r="DR11" s="100" t="str">
        <f>IF(AND(B02.00[[#This Row],[c0020]]&lt;&gt;"NCNP",B02.00[[#This Row],[c0020]]&lt;&gt;"NCBP"),(IF(AND(LEN(B02.00[[#This Row],[c0070]])=3,NOT(ISERROR(MATCH(UPPER(B02.00[[#This Row],[c0070]]),Tabelle1[Alphabetic Code],0)))),"OK","KO")),"OK")</f>
        <v>OK</v>
      </c>
      <c r="DS11" s="100" t="str">
        <f>IF(B02.00[[#This Row],[c0080]]&gt;0,"OK","KO")</f>
        <v>OK</v>
      </c>
      <c r="DT11" s="100" t="str">
        <f>IF(B02.00[[#This Row],[c0040]]="ISIN",(IF(B02.00[[#This Row],[c0090]]&gt;=0,"OK","KO")),"OK")</f>
        <v>OK</v>
      </c>
      <c r="DU11" s="100" t="str">
        <f>IF(B02.00[[#This Row],[c0100]]&gt;=0,"OK","KO")</f>
        <v>OK</v>
      </c>
      <c r="DV11" s="100" t="str">
        <f>IF(B02.00[[#This Row],[c0110]]&gt;=0,"OK","KO")</f>
        <v>OK</v>
      </c>
      <c r="DW11" s="68" t="str">
        <f>IF(B02.00[[#This Row],[c0120]]&gt;=0,"OK","KO")</f>
        <v>OK</v>
      </c>
      <c r="DX11" s="68" t="str">
        <f>IF(B02.00[[#This Row],[c0120]]=(H11+J11+K11),"OK","KO")</f>
        <v>OK</v>
      </c>
      <c r="DY11" s="100" t="str">
        <f>IF(OR(B02.00[[#This Row],[c0250]]="Non-structured /Vanilla",B02.00[[#This Row],[c0250]]="Other non-standard terms"),(IF(B02.00[[#This Row],[c0130]]=MAX(0,B02.00[[#This Row],[c0120]],B02.00[[#This Row],[c0300]],B02.00[[#This Row],[c0320]]),"OK","KO")),"OK")</f>
        <v>OK</v>
      </c>
      <c r="DZ11" s="100" t="str">
        <f>IF(OR(B02.00[[#This Row],[c0250]]="Structured",B02.00[[#This Row],[c0250]]="Only structured coupon"),(IF(OR(B02.00[[#This Row],[c0130]]=MAX(0,B02.00[[#This Row],[c0270]],B02.00[[#This Row],[c0300]],B02.00[[#This Row],[c0320]]),B02.00[[#This Row],[c0130]]=MAX(0,B02.00[[#This Row],[c0120]],B02.00[[#This Row],[c0300]],B02.00[[#This Row],[c0320]])),"OK","KO")),"OK")</f>
        <v>OK</v>
      </c>
      <c r="EA11" s="68" t="str">
        <f>IF(OR(B02.00[[#This Row],[c0140]]="Registered Bond",B02.00[[#This Row],[c0140]]="Bearrer Bond",B02.00[[#This Row],[c0140]]="Borrower Note Loan",B02.00[[#This Row],[c0140]]="Certificate of Deposit / Commercial Paper",B02.00[[#This Row],[c0140]]="Title of ownership",B02.00[[#This Row],[c0140]]="Cash account/saving account",B02.00[[#This Row],[c0140]]="Term deposit",B02.00[[#This Row],[c0140]]="Loan",B02.00[[#This Row],[c0140]]="Bill of exchange",B02.00[[#This Row],[c0140]]="Other"),"OK","KO")</f>
        <v>OK</v>
      </c>
      <c r="EB11" s="100" t="str">
        <f>IF(B02.00[[#This Row],[c0160]]&gt;=1,"OK","KO")</f>
        <v>OK</v>
      </c>
      <c r="EC11" s="100" t="str">
        <f>IF(AND(B02.00[[#This Row],[c0020]]&lt;&gt;"NCNP",B02.00[[#This Row],[c0020]]&lt;&gt;"NCBP"),(IF(B02.00[[#This Row],[c0170]]&gt;DATE(1900,1,1),"OK","KO")),"OK")</f>
        <v>OK</v>
      </c>
      <c r="ED11" s="100" t="str">
        <f>IF(AND(OR(B02.00[[#This Row],[c0190]]&lt;&gt;"",B02.00[[#This Row],[c0200]]&lt;&gt;""),AND(B02.00[[#This Row],[c0020]]&lt;&gt;"NCNP",B02.00[[#This Row],[c0020]]&lt;&gt;"NCBP")),(IF(AND(B02.00[[#This Row],[c0170]]&lt;B02.00[[#This Row],[c0190]],B02.00[[#This Row],[c0170]]&lt;B02.00[[#This Row],[c0200]]),"OK","KO")),"OK")</f>
        <v>OK</v>
      </c>
      <c r="EE11" s="66" t="str">
        <f>IF(AND(B02.00[[#This Row],[c0020]]&lt;&gt;"NCNP",B02.00[[#This Row],[c0020]]&lt;&gt;"NCBP"),IF(B02.00[[#This Row],[c0180]]="","KO",IF(B02.00[[#This Row],[c0180]]&gt;DATE(1900,1,1),"OK","KO")),"OK")</f>
        <v>OK</v>
      </c>
      <c r="EF11" s="68" t="str">
        <f>IF(AND('B9900'!$I$4&lt;&gt;"",B02.00[[#This Row],[c0020]]&lt;&gt;"NCNP",B02.00[[#This Row],[c0020]]&lt;&gt;"NCBP"),IF(B02.00[[#This Row],[c0180]]="","KO",IF(B02.00[[#This Row],[c0180]]&gt;'B9900'!$I$4,"OK","KO")),"OK")</f>
        <v>OK</v>
      </c>
      <c r="EG11" s="100" t="str">
        <f>IF(AND(B02.00[[#This Row],[c0020]]&lt;&gt;"NCNP",B02.00[[#This Row],[c0020]]&lt;&gt;"NCBP"),(IF(B02.00[[#This Row],[c0200]]&gt;DATE(1900,1,1),"OK","KO")),"OK")</f>
        <v>OK</v>
      </c>
      <c r="EH11" s="68" t="str">
        <f>IF(AND('B9900'!$I$4&lt;&gt;"",AND(B02.00[[#This Row],[c0020]]&lt;&gt;"NCNP",B02.00[[#This Row],[c0020]]&lt;&gt;"NCBP")),(IF(B02.00[[#This Row],[c0200]]&gt;'B9900'!$I$4,"OK","KO")),"OK")</f>
        <v>OK</v>
      </c>
      <c r="EI11" s="100" t="str">
        <f>IF(AND(B02.00[[#This Row],[c0020]]&lt;&gt;"NCNP",B02.00[[#This Row],[c0020]]&lt;&gt;"NCBP"),(IF(B02.00[[#This Row],[c0210]]&gt;DATE(1900,1,1),"OK","KO")),"OK")</f>
        <v>OK</v>
      </c>
      <c r="EJ11" s="68" t="str">
        <f>IF(AND('B9900'!$I$4&lt;&gt;"",AND(B02.00[[#This Row],[c0020]]&lt;&gt;"NCNP",B02.00[[#This Row],[c0020]]&lt;&gt;"NCBP")),(IF(B02.00[[#This Row],[c0210]]&gt;'B9900'!$I$4,"OK","KO")),"OK")</f>
        <v>OK</v>
      </c>
      <c r="EK11" s="100" t="str">
        <f>IF(AND(B02.00[[#This Row],[c0020]]&lt;&gt;"NCNP",B02.00[[#This Row],[c0020]]&lt;&gt;"NCBP"),(IF(OR(NOT(ISERROR(MATCH(B02.00[[#This Row],[c0220]],'ISO 3166'!B:B,0))),NOT(ISERROR(MATCH(B02.00[[#This Row],[c0220]],'ISO 3166'!E:E,0)))),"OK","KO")),"OK")</f>
        <v>OK</v>
      </c>
      <c r="EL11" s="100" t="str">
        <f>IF(AND(B02.00[[#This Row],[c0020]]&lt;&gt;"NCNP",B02.00[[#This Row],[c0020]]&lt;&gt;"NCBP"),(IF(OR(B02.00[[#This Row],[c0230]]="Yes, supported by Legal Opinion",B02.00[[#This Row],[c0230]]="Yes, not supported by Legal Opinion",B02.00[[#This Row],[c0230]]="No",B02.00[[#This Row],[c0230]]="Not applicable",B02.00[[#This Row],[c0230]]="Aggregated"),"OK","KO")),"OK")</f>
        <v>OK</v>
      </c>
      <c r="EM11" s="100" t="str">
        <f>IF(OR(B02.00[[#This Row],[c0250]]="Non-structured/Vanilla",B02.00[[#This Row],[c0250]]="Structured",B02.00[[#This Row],[c0250]]="Other non-standard terms",B02.00[[#This Row],[c0250]]="Only structured coupon",B02.00[[#This Row],[c0250]]="Aggregated"),"OK","KO")</f>
        <v>OK</v>
      </c>
      <c r="EN11" s="100" t="str">
        <f>IF(OR(B02.00[[#This Row],[c0310]]="Secured",B02.00[[#This Row],[c0310]]="Unsecured"),"OK","KO")</f>
        <v>OK</v>
      </c>
      <c r="EO11" s="100" t="str">
        <f>IF(AND(B02.00[[#This Row],[c0310]]="Secured",OR(B02.00[[#This Row],[c0250]]="Non-structured/Vanilla",B02.00[[#This Row],[c0250]]="Other non-standard terms"),B02.00[[#This Row],[c0240]]&lt;&gt;"ZCB issued at discount"),(IF(B02.00[[#This Row],[c0330]]=MAX(0,B02.00[[#This Row],[c0120]],B02.00[[#This Row],[c0320]]),"OK","KO")),"OK")</f>
        <v>OK</v>
      </c>
      <c r="EP11" s="100" t="str">
        <f>IF(AND(B02.00[[#This Row],[c0310]]="Secured",OR(B02.00[[#This Row],[c0250]]="Structured",B02.00[[#This Row],[c0250]]="Only structured coupon")),(IF(OR(B02.00[[#This Row],[c0330]]=MAX(0,B02.00[[#This Row],[c0270]],B02.00[[#This Row],[c0320]]),B02.00[[#This Row],[c0330]]=MAX(0,B02.00[[#This Row],[c0120]],B02.00[[#This Row],[c0320]])),"OK","KO")),"OK")</f>
        <v>OK</v>
      </c>
      <c r="EQ11" s="100" t="str">
        <f>IF(OR(B02.00[[#This Row],[c0350]]="Real estate",B02.00[[#This Row],[c0350]]="Ships",B02.00[[#This Row],[c0350]]="Aircraft",B02.00[[#This Row],[c0350]]="Financial",B02.00[[#This Row],[c0350]]="Other",B02.00[[#This Row],[c0350]]="Not applicable"),"OK","KO")</f>
        <v>OK</v>
      </c>
      <c r="ER11" s="100" t="str">
        <f>IF(B02.00[[#This Row],[c0310]]="Unsecured",(IF(B02.00[[#This Row],[c0350]]="Not applicable","OK","KO")),"OK")</f>
        <v>OK</v>
      </c>
      <c r="ES11" s="100" t="str">
        <f>IF(OR(B02.00[[#This Row],[c0440]]="NGN",B02.00[[#This Row],[c0440]]="CGN",B02.00[[#This Row],[c0440]]="Not applicable"),"OK","KO")</f>
        <v>OK</v>
      </c>
      <c r="ET11" s="100" t="str">
        <f>IF(OR(B02.00[[#This Row],[c0530]]="T2 in phase-out",B02.00[[#This Row],[c0530]]="Grandfathered T2",B02.00[[#This Row],[c0530]]="Fully Compliant T2",B02.00[[#This Row],[c0530]]="Partially (A)T1 and T2",B02.00[[#This Row],[c0530]]="Grandfathered AT1",B02.00[[#This Row],[c0530]]="Fully Compliant AT1",B02.00[[#This Row],[c0530]]="CET1",B02.00[[#This Row],[c0530]]="No"),"OK","KO")</f>
        <v>OK</v>
      </c>
      <c r="EU11" s="100" t="str">
        <f>IF(B02.00[[#This Row],[c0540]] ="","KO",IF(B02.00[[#This Row],[c0540]]&gt;=0,"OK","KO"))</f>
        <v>OK</v>
      </c>
      <c r="EV11" s="100" t="str">
        <f>IF(OR(B02.00[[#This Row],[c0550]]="T2 in phase-out",B02.00[[#This Row],[c0550]]="Grandfathered T2",B02.00[[#This Row],[c0550]]="Fully Compliant T2",B02.00[[#This Row],[c0550]]="Partially (A)T1 and T2",B02.00[[#This Row],[c0550]]="Grandfathered AT1",B02.00[[#This Row],[c0550]]="Fully Compliant AT1",B02.00[[#This Row],[c0550]]="CET1",B02.00[[#This Row],[c0550]]="No"),"OK","KO")</f>
        <v>OK</v>
      </c>
      <c r="EW11" s="100" t="str">
        <f>IF(B02.00[[#This Row],[c0560]]="","KO",IF(B02.00[[#This Row],[c0560]]&gt;=0,"OK","KO"))</f>
        <v>OK</v>
      </c>
      <c r="EX11" s="100" t="str">
        <f>IF(OR(B02.00[[#This Row],[c0590]]="Lien",B02.00[[#This Row],[c0590]]="Guarantee",B02.00[[#This Row],[c0590]]="Surety",B02.00[[#This Row],[c0590]]="Guarantee obligation",B02.00[[#This Row],[c0590]]="Other",B02.00[[#This Row],[c0590]]="Not applicable",B02.00[[#This Row],[c0590]]="Aggregated"),"OK","KO")</f>
        <v>OK</v>
      </c>
      <c r="EY11" s="100" t="str">
        <f>IF(B02.00[[#This Row],[c0610]]="","KO",IF(B02.00[[#This Row],[c0610]]&gt;=0,"OK","KO"))</f>
        <v>OK</v>
      </c>
      <c r="EZ11" s="100" t="str">
        <f>IF(OR(B02.00[[#This Row],[c0620]]="010 Financial liabilities held for trading",B02.00[[#This Row],[c0620]]="070 Financial liabilities at fair value through profit or loss",B02.00[[#This Row],[c0620]]="110 Financial liabilities at amortized cost",B02.00[[#This Row],[c0620]]="280 Other liabilities",B02.00[[#This Row],[c0620]]="300 Total equity",),"OK","KO")</f>
        <v>OK</v>
      </c>
    </row>
    <row r="12" spans="1:156" s="3" customFormat="1" ht="17.399999999999999">
      <c r="A12" s="126">
        <v>8</v>
      </c>
      <c r="B12" s="126" t="s">
        <v>2415</v>
      </c>
      <c r="C12" s="126" t="s">
        <v>2416</v>
      </c>
      <c r="D12" s="126" t="s">
        <v>2178</v>
      </c>
      <c r="E12" s="127">
        <v>400000000</v>
      </c>
      <c r="F12" s="127">
        <v>999999999999999</v>
      </c>
      <c r="G12" s="126" t="s">
        <v>351</v>
      </c>
      <c r="H12" s="127">
        <v>400000000</v>
      </c>
      <c r="I12" s="127">
        <v>0</v>
      </c>
      <c r="J12" s="127">
        <v>0</v>
      </c>
      <c r="K12" s="127">
        <v>0</v>
      </c>
      <c r="L12" s="130">
        <v>400000000</v>
      </c>
      <c r="M12" s="130">
        <v>400000000</v>
      </c>
      <c r="N12" s="126" t="s">
        <v>233</v>
      </c>
      <c r="O12" s="126" t="s">
        <v>208</v>
      </c>
      <c r="P12" s="126" t="s">
        <v>208</v>
      </c>
      <c r="Q12" s="126">
        <v>2</v>
      </c>
      <c r="R12" s="127">
        <v>999999999999999</v>
      </c>
      <c r="S12" s="126">
        <v>2</v>
      </c>
      <c r="T12" s="126" t="s">
        <v>2417</v>
      </c>
      <c r="U12" s="126" t="s">
        <v>2382</v>
      </c>
      <c r="V12" s="126" t="s">
        <v>2552</v>
      </c>
      <c r="W12" s="126" t="s">
        <v>2552</v>
      </c>
      <c r="X12" s="126" t="s">
        <v>2552</v>
      </c>
      <c r="Y12" s="126" t="s">
        <v>1897</v>
      </c>
      <c r="Z12" s="126" t="s">
        <v>165</v>
      </c>
      <c r="AA12" s="126" t="s">
        <v>204</v>
      </c>
      <c r="AB12" s="126" t="s">
        <v>167</v>
      </c>
      <c r="AC12" s="127">
        <v>999999999999999</v>
      </c>
      <c r="AD12" s="127">
        <v>999999999999999</v>
      </c>
      <c r="AE12" s="126" t="s">
        <v>2180</v>
      </c>
      <c r="AF12" s="126" t="s">
        <v>2180</v>
      </c>
      <c r="AG12" s="127">
        <v>999999999999999</v>
      </c>
      <c r="AH12" s="126" t="s">
        <v>188</v>
      </c>
      <c r="AI12" s="127">
        <v>999999999999999</v>
      </c>
      <c r="AJ12" s="127">
        <v>999999999999999</v>
      </c>
      <c r="AK12" s="126" t="s">
        <v>208</v>
      </c>
      <c r="AL12" s="126" t="s">
        <v>208</v>
      </c>
      <c r="AM12" s="126" t="s">
        <v>208</v>
      </c>
      <c r="AN12" s="126" t="s">
        <v>2383</v>
      </c>
      <c r="AO12" s="127">
        <v>100000</v>
      </c>
      <c r="AP12" s="127">
        <v>100000</v>
      </c>
      <c r="AQ12" s="126" t="s">
        <v>2418</v>
      </c>
      <c r="AR12" s="126" t="s">
        <v>432</v>
      </c>
      <c r="AS12" s="128">
        <v>0</v>
      </c>
      <c r="AT12" s="128">
        <v>0</v>
      </c>
      <c r="AU12" s="128">
        <v>999999999999999</v>
      </c>
      <c r="AV12" s="127">
        <v>999999999999999</v>
      </c>
      <c r="AW12" s="127">
        <v>999999999999999</v>
      </c>
      <c r="AX12" s="126" t="s">
        <v>208</v>
      </c>
      <c r="AY12" s="129">
        <v>-9999.9999999989996</v>
      </c>
      <c r="AZ12" s="126" t="s">
        <v>2385</v>
      </c>
      <c r="BA12" s="126" t="s">
        <v>2386</v>
      </c>
      <c r="BB12" s="126" t="s">
        <v>208</v>
      </c>
      <c r="BC12" s="126" t="s">
        <v>2387</v>
      </c>
      <c r="BD12" s="126" t="s">
        <v>2388</v>
      </c>
      <c r="BE12" s="126" t="s">
        <v>208</v>
      </c>
      <c r="BF12" s="126" t="s">
        <v>208</v>
      </c>
      <c r="BG12" s="126" t="s">
        <v>2385</v>
      </c>
      <c r="BH12" s="126" t="s">
        <v>2386</v>
      </c>
      <c r="BI12" s="126" t="s">
        <v>2385</v>
      </c>
      <c r="BJ12" s="126" t="s">
        <v>2386</v>
      </c>
      <c r="BK12" s="126" t="s">
        <v>208</v>
      </c>
      <c r="BL12" s="126" t="s">
        <v>208</v>
      </c>
      <c r="BM12" s="126" t="s">
        <v>208</v>
      </c>
      <c r="BN12" s="126" t="s">
        <v>208</v>
      </c>
      <c r="BO12" s="126" t="s">
        <v>243</v>
      </c>
      <c r="BP12" s="127">
        <v>400000000</v>
      </c>
      <c r="BQ12" s="126" t="s">
        <v>243</v>
      </c>
      <c r="BR12" s="127">
        <v>400000000</v>
      </c>
      <c r="BS12" s="127">
        <v>0</v>
      </c>
      <c r="BT12" s="126" t="s">
        <v>208</v>
      </c>
      <c r="BU12" s="126" t="s">
        <v>208</v>
      </c>
      <c r="BV12" s="126" t="s">
        <v>208</v>
      </c>
      <c r="BW12" s="126" t="s">
        <v>2180</v>
      </c>
      <c r="BX12" s="130">
        <v>400000000</v>
      </c>
      <c r="BY12" s="126" t="s">
        <v>237</v>
      </c>
      <c r="BZ12" s="127">
        <v>999999999999999</v>
      </c>
      <c r="CA12" s="126" t="s">
        <v>208</v>
      </c>
      <c r="CB12" s="126" t="s">
        <v>2180</v>
      </c>
      <c r="CC12" s="126" t="s">
        <v>2179</v>
      </c>
      <c r="CD12" s="100" t="str">
        <f>IF(B02.00[[#This Row],[c0010]]="","KO","OK")</f>
        <v>OK</v>
      </c>
      <c r="CE12" s="100" t="str">
        <f>IF(B02.00[[#This Row],[c0030]]="","KO","OK")</f>
        <v>OK</v>
      </c>
      <c r="CF12" s="100" t="str">
        <f>IF(B02.00[[#This Row],[c0040]]="","KO","OK")</f>
        <v>OK</v>
      </c>
      <c r="CG12" s="100" t="str">
        <f>IF(B02.00[[#This Row],[c0070]]="","KO","OK")</f>
        <v>OK</v>
      </c>
      <c r="CH12" s="101" t="str">
        <f>IF(OR(B02.00[[#This Row],[c0250]]= "Non-Structured/Vanilla",B02.00[[#This Row],[c0250]]="Other non-standard terms"),(IF(B02.00[[#This Row],[c0080]]="","KO","OK")),"OK")</f>
        <v>OK</v>
      </c>
      <c r="CI12" s="101" t="str">
        <f>IF(OR(B02.00[[#This Row],[c0250]]= "Structured",B02.00[[#This Row],[c0250]]="Only structured coupon"),(IF(B02.00[[#This Row],[c0080]]="","KO","OK")),"OK")</f>
        <v>OK</v>
      </c>
      <c r="CJ12" s="101" t="str">
        <f>IF(B02.00[[#This Row],[c0040]]="ISIN",(IF(B02.00[[#This Row],[c0090]]="","KO","OK")),"OK")</f>
        <v>OK</v>
      </c>
      <c r="CK12" s="101" t="str">
        <f>IF(AND(OR(B02.00[[#This Row],[c0250]]="Non-Structured/Vanilla",B02.00[[#This Row],[c0250]]="Other non-standard terms"),B02.00[[#This Row],[c0240]]&lt;&gt;"ZCB issued at discount"),(IF(B02.00[[#This Row],[c0100]]="","KO","OK")),"OK")</f>
        <v>OK</v>
      </c>
      <c r="CL12" s="100" t="str">
        <f>IF(OR(B02.00[[#This Row],[c0250]]&lt;&gt; "Non-Structured/Vanilla",B02.00[[#This Row],[c0460]]&lt;&gt;"Other non-standard terms"),IF(B02.00[[#This Row],[c0100]]="","KO","OK"))</f>
        <v>OK</v>
      </c>
      <c r="CM12" s="101" t="str">
        <f>IF(OR(B02.00[[#This Row],[c0250]]= "Non-Structured/Vanilla",B02.00[[#This Row],[c0460]]="Other non-standard terms"),(IF(B02.00[[#This Row],[c0120]]="","KO","OK")),"OK")</f>
        <v>OK</v>
      </c>
      <c r="CN12" s="101" t="str">
        <f>IF(OR(B02.00[[#This Row],[c0250]]&lt;&gt; "Structured",B02.00[[#This Row],[c0250]]&lt;&gt;"Only structured coupon"),(IF(B02.00[[#This Row],[c0120]]="","KO","OK")),"OK")</f>
        <v>OK</v>
      </c>
      <c r="CO12" s="101" t="str">
        <f>IF(B02.00[[#This Row],[c0130]]="","KO","OK")</f>
        <v>OK</v>
      </c>
      <c r="CP12" s="101" t="str">
        <f>IF(B02.00[[#This Row],[c0140]]="","KO","OK")</f>
        <v>OK</v>
      </c>
      <c r="CQ12" s="101" t="str">
        <f>IF(B02.00[[#This Row],[c0140]]="Other",(IF(B02.00[[#This Row],[c0141]]="","KO","OK")),"OK")</f>
        <v>OK</v>
      </c>
      <c r="CR12" s="100" t="str">
        <f>IF(B02.00[[#This Row],[c0160]]="","KO","OK")</f>
        <v>OK</v>
      </c>
      <c r="CS12" s="100" t="str">
        <f>IF(B02.00[[#This Row],[c0162]]="","KO","OK")</f>
        <v>OK</v>
      </c>
      <c r="CT12" s="101" t="str">
        <f>IF(AND(OR(B02.00[[#This Row],[c0250]]= "Non-Structured/Vanilla",B02.00[[#This Row],[c0250]]="Other non-standard terms"),B02.00[[#This Row],[c0240]]&lt;&gt;"ZCB issued at discount"),(IF(B02.00[[#This Row],[c0180]]="","KO","OK")),"OK")</f>
        <v>OK</v>
      </c>
      <c r="CU12" s="101" t="str">
        <f>IF(AND(B02.00[[#This Row],[c0250]]&lt;&gt; "Structured",B02.00[[#This Row],[c0250]]&lt;&gt;"Only structured coupon"),(IF(B02.00[[#This Row],[c0180]]="","KO","OK")),"OK")</f>
        <v>OK</v>
      </c>
      <c r="CV12" s="100" t="str">
        <f>IF(B02.00[[#This Row],[c0200]]="","KO","OK")</f>
        <v>OK</v>
      </c>
      <c r="CW12" s="101" t="str">
        <f>IF(B02.00[[#This Row],[c0140]]&lt;&gt;"Cash account/saving account",(IF(B02.00[[#This Row],[c0210]]="","KO","OK")),"OK")</f>
        <v>OK</v>
      </c>
      <c r="CX12" s="100" t="str">
        <f>IF(B02.00[[#This Row],[c0220]]="","KO","OK")</f>
        <v>OK</v>
      </c>
      <c r="CY12" s="100" t="str">
        <f>IF(B02.00[[#This Row],[c0250]]="","KO","OK")</f>
        <v>OK</v>
      </c>
      <c r="CZ12" s="101" t="str">
        <f>IF(OR(B02.00[[#This Row],[c0250]]="Structured",B02.00[[#This Row],[c0250]]="Only structured coupon"),(IF(B02.00[[#This Row],[c0260]]="","KO","OK")),"OK")</f>
        <v>OK</v>
      </c>
      <c r="DA12" s="66" t="str">
        <f>IF(OR(B02.00[[#This Row],[c0250]]="Structured",B02.00[[#This Row],[c0250]]="Only structured coupon"),(IF(B02.00[[#This Row],[c0270]]="","KO","OK")),"OK")</f>
        <v>OK</v>
      </c>
      <c r="DB12" s="66" t="str">
        <f>IF(OR(B02.00[[#This Row],[c0280]]="TRUE",B02.00[[#This Row],[c0290]]="TRUE"),(IF(B02.00[[#This Row],[c0300]]="","KO","OK")),"OK")</f>
        <v>OK</v>
      </c>
      <c r="DC12" s="100" t="str">
        <f>IF(B02.00[[#This Row],[c0310]]="","KO","OK")</f>
        <v>OK</v>
      </c>
      <c r="DD12" s="101" t="str">
        <f>IF(B02.00[[#This Row],[c0310]]="Secured",(IF(B02.00[[#This Row],[c0320]]="","KO","OK")),"OK")</f>
        <v>OK</v>
      </c>
      <c r="DE12" s="101" t="str">
        <f>IF(B02.00[[#This Row],[c0310]]="Secured",(IF(B02.00[[#This Row],[c0330]]="","KO","OK")),"OK")</f>
        <v>OK</v>
      </c>
      <c r="DF12" s="101" t="str">
        <f>IF(B02.00[[#This Row],[c0310]]="Secured",(IF(B02.00[[#This Row],[c0350]]="","KO","OK")),"OK")</f>
        <v>OK</v>
      </c>
      <c r="DG12" s="101" t="str">
        <f>IF(B02.00[[#This Row],[c0350]]="Other",(IF(B02.00[[#This Row],[c0351]]="","KO","OK")),"OK")</f>
        <v>OK</v>
      </c>
      <c r="DH12" s="101" t="str">
        <f>IF(AND(B02.00[[#This Row],[c0040]]="ISIN",B02.00[[#This Row],[c0360]]="Nominal "),(IF(B02.00[[#This Row],[c0370]]="","KO","OK")),"OK")</f>
        <v>OK</v>
      </c>
      <c r="DI12" s="101" t="str">
        <f>IF(AND(B02.00[[#This Row],[c0040]]="ISIN",B02.00[[#This Row],[c0360]]="Unit "),(IF(B02.00[[#This Row],[c0370]]="","KO","OK")),"OK")</f>
        <v>OK</v>
      </c>
      <c r="DJ12" s="101" t="str">
        <f>IF(B02.00[[#This Row],[c0040]]="ISIN",(IF(B02.00[[#This Row],[c0390]]="","KO","OK")),"OK")</f>
        <v>OK</v>
      </c>
      <c r="DK12" s="101" t="str">
        <f>IF(B02.00[[#This Row],[c0040]]="ISIN",(IF(B02.00[[#This Row],[c0391]]="","KO","OK")),"OK")</f>
        <v>OK</v>
      </c>
      <c r="DL12" s="101" t="str">
        <f>IF(AND(B02.00[[#This Row],[c0040]]="ISIN",OR(B02.00[[#This Row],[c0250]]= "Non-Structured/Vanilla",B02.00[[#This Row],[c0250]]="Other non-standard terms"),B02.00[[#This Row],[c0240]]&lt;&gt;"ZCB issued at discount"),(IF(B02.00[[#This Row],[c0400]]="","KO","OK")),"OK")</f>
        <v>OK</v>
      </c>
      <c r="DM12" s="101" t="str">
        <f>IF(AND(B02.00[[#This Row],[c0040]]="ISIN",AND(B02.00[[#This Row],[c0250]]&lt;&gt;"Structured",B02.00[[#This Row],[c0250]]&lt;&gt;"Only structured coupon")),(IF(B02.00[[#This Row],[c0400]]="","KO","OK")),"OK")</f>
        <v>OK</v>
      </c>
      <c r="DN12" s="100" t="str">
        <f>IF(B02.00[[#This Row],[c0610]]="","KO","OK")</f>
        <v>OK</v>
      </c>
      <c r="DO12" s="101" t="str">
        <f>IF('B9900'!$H$4="Non-Resolution Entity",(IF(B02.00[[#This Row],[c5000]]="","KO","OK")),"OK")</f>
        <v>OK</v>
      </c>
      <c r="DP12" s="101" t="str">
        <f>IF('B9900'!$H$4="Non-Resolution Entity",(IF(B02.00[[#This Row],[c5010]]="","KO","OK")),"OK")</f>
        <v>OK</v>
      </c>
      <c r="DQ12" s="100" t="str">
        <f>IF(B02.00[[#This Row],[c0040]]="ISIN",(IF(AND(LEN(B02.00[[#This Row],[c0030]]=12),NOT(ISNUMBER(LEFT(B02.00[[#This Row],[c0030]],2)))),"OK","KO")),"OK")</f>
        <v>OK</v>
      </c>
      <c r="DR12" s="100" t="str">
        <f>IF(AND(B02.00[[#This Row],[c0020]]&lt;&gt;"NCNP",B02.00[[#This Row],[c0020]]&lt;&gt;"NCBP"),(IF(AND(LEN(B02.00[[#This Row],[c0070]])=3,NOT(ISERROR(MATCH(UPPER(B02.00[[#This Row],[c0070]]),Tabelle1[Alphabetic Code],0)))),"OK","KO")),"OK")</f>
        <v>OK</v>
      </c>
      <c r="DS12" s="100" t="str">
        <f>IF(B02.00[[#This Row],[c0080]]&gt;0,"OK","KO")</f>
        <v>OK</v>
      </c>
      <c r="DT12" s="100" t="str">
        <f>IF(B02.00[[#This Row],[c0040]]="ISIN",(IF(B02.00[[#This Row],[c0090]]&gt;=0,"OK","KO")),"OK")</f>
        <v>OK</v>
      </c>
      <c r="DU12" s="100" t="str">
        <f>IF(B02.00[[#This Row],[c0100]]&gt;=0,"OK","KO")</f>
        <v>OK</v>
      </c>
      <c r="DV12" s="100" t="str">
        <f>IF(B02.00[[#This Row],[c0110]]&gt;=0,"OK","KO")</f>
        <v>OK</v>
      </c>
      <c r="DW12" s="68" t="str">
        <f>IF(B02.00[[#This Row],[c0120]]&gt;=0,"OK","KO")</f>
        <v>OK</v>
      </c>
      <c r="DX12" s="68" t="str">
        <f>IF(B02.00[[#This Row],[c0120]]=(H12+J12+K12),"OK","KO")</f>
        <v>OK</v>
      </c>
      <c r="DY12" s="100" t="str">
        <f>IF(OR(B02.00[[#This Row],[c0250]]="Non-structured /Vanilla",B02.00[[#This Row],[c0250]]="Other non-standard terms"),(IF(B02.00[[#This Row],[c0130]]=MAX(0,B02.00[[#This Row],[c0120]],B02.00[[#This Row],[c0300]],B02.00[[#This Row],[c0320]]),"OK","KO")),"OK")</f>
        <v>OK</v>
      </c>
      <c r="DZ12" s="100" t="str">
        <f>IF(OR(B02.00[[#This Row],[c0250]]="Structured",B02.00[[#This Row],[c0250]]="Only structured coupon"),(IF(OR(B02.00[[#This Row],[c0130]]=MAX(0,B02.00[[#This Row],[c0270]],B02.00[[#This Row],[c0300]],B02.00[[#This Row],[c0320]]),B02.00[[#This Row],[c0130]]=MAX(0,B02.00[[#This Row],[c0120]],B02.00[[#This Row],[c0300]],B02.00[[#This Row],[c0320]])),"OK","KO")),"OK")</f>
        <v>OK</v>
      </c>
      <c r="EA12" s="68" t="str">
        <f>IF(OR(B02.00[[#This Row],[c0140]]="Registered Bond",B02.00[[#This Row],[c0140]]="Bearrer Bond",B02.00[[#This Row],[c0140]]="Borrower Note Loan",B02.00[[#This Row],[c0140]]="Certificate of Deposit / Commercial Paper",B02.00[[#This Row],[c0140]]="Title of ownership",B02.00[[#This Row],[c0140]]="Cash account/saving account",B02.00[[#This Row],[c0140]]="Term deposit",B02.00[[#This Row],[c0140]]="Loan",B02.00[[#This Row],[c0140]]="Bill of exchange",B02.00[[#This Row],[c0140]]="Other"),"OK","KO")</f>
        <v>OK</v>
      </c>
      <c r="EB12" s="100" t="str">
        <f>IF(B02.00[[#This Row],[c0160]]&gt;=1,"OK","KO")</f>
        <v>OK</v>
      </c>
      <c r="EC12" s="100" t="str">
        <f>IF(AND(B02.00[[#This Row],[c0020]]&lt;&gt;"NCNP",B02.00[[#This Row],[c0020]]&lt;&gt;"NCBP"),(IF(B02.00[[#This Row],[c0170]]&gt;DATE(1900,1,1),"OK","KO")),"OK")</f>
        <v>OK</v>
      </c>
      <c r="ED12" s="100" t="str">
        <f>IF(AND(OR(B02.00[[#This Row],[c0190]]&lt;&gt;"",B02.00[[#This Row],[c0200]]&lt;&gt;""),AND(B02.00[[#This Row],[c0020]]&lt;&gt;"NCNP",B02.00[[#This Row],[c0020]]&lt;&gt;"NCBP")),(IF(AND(B02.00[[#This Row],[c0170]]&lt;B02.00[[#This Row],[c0190]],B02.00[[#This Row],[c0170]]&lt;B02.00[[#This Row],[c0200]]),"OK","KO")),"OK")</f>
        <v>OK</v>
      </c>
      <c r="EE12" s="66" t="str">
        <f>IF(AND(B02.00[[#This Row],[c0020]]&lt;&gt;"NCNP",B02.00[[#This Row],[c0020]]&lt;&gt;"NCBP"),IF(B02.00[[#This Row],[c0180]]="","KO",IF(B02.00[[#This Row],[c0180]]&gt;DATE(1900,1,1),"OK","KO")),"OK")</f>
        <v>OK</v>
      </c>
      <c r="EF12" s="68" t="str">
        <f>IF(AND('B9900'!$I$4&lt;&gt;"",B02.00[[#This Row],[c0020]]&lt;&gt;"NCNP",B02.00[[#This Row],[c0020]]&lt;&gt;"NCBP"),IF(B02.00[[#This Row],[c0180]]="","KO",IF(B02.00[[#This Row],[c0180]]&gt;'B9900'!$I$4,"OK","KO")),"OK")</f>
        <v>OK</v>
      </c>
      <c r="EG12" s="100" t="str">
        <f>IF(AND(B02.00[[#This Row],[c0020]]&lt;&gt;"NCNP",B02.00[[#This Row],[c0020]]&lt;&gt;"NCBP"),(IF(B02.00[[#This Row],[c0200]]&gt;DATE(1900,1,1),"OK","KO")),"OK")</f>
        <v>OK</v>
      </c>
      <c r="EH12" s="68" t="str">
        <f>IF(AND('B9900'!$I$4&lt;&gt;"",AND(B02.00[[#This Row],[c0020]]&lt;&gt;"NCNP",B02.00[[#This Row],[c0020]]&lt;&gt;"NCBP")),(IF(B02.00[[#This Row],[c0200]]&gt;'B9900'!$I$4,"OK","KO")),"OK")</f>
        <v>OK</v>
      </c>
      <c r="EI12" s="100" t="str">
        <f>IF(AND(B02.00[[#This Row],[c0020]]&lt;&gt;"NCNP",B02.00[[#This Row],[c0020]]&lt;&gt;"NCBP"),(IF(B02.00[[#This Row],[c0210]]&gt;DATE(1900,1,1),"OK","KO")),"OK")</f>
        <v>OK</v>
      </c>
      <c r="EJ12" s="68" t="str">
        <f>IF(AND('B9900'!$I$4&lt;&gt;"",AND(B02.00[[#This Row],[c0020]]&lt;&gt;"NCNP",B02.00[[#This Row],[c0020]]&lt;&gt;"NCBP")),(IF(B02.00[[#This Row],[c0210]]&gt;'B9900'!$I$4,"OK","KO")),"OK")</f>
        <v>OK</v>
      </c>
      <c r="EK12" s="100" t="str">
        <f>IF(AND(B02.00[[#This Row],[c0020]]&lt;&gt;"NCNP",B02.00[[#This Row],[c0020]]&lt;&gt;"NCBP"),(IF(OR(NOT(ISERROR(MATCH(B02.00[[#This Row],[c0220]],'ISO 3166'!B:B,0))),NOT(ISERROR(MATCH(B02.00[[#This Row],[c0220]],'ISO 3166'!E:E,0)))),"OK","KO")),"OK")</f>
        <v>OK</v>
      </c>
      <c r="EL12" s="100" t="str">
        <f>IF(AND(B02.00[[#This Row],[c0020]]&lt;&gt;"NCNP",B02.00[[#This Row],[c0020]]&lt;&gt;"NCBP"),(IF(OR(B02.00[[#This Row],[c0230]]="Yes, supported by Legal Opinion",B02.00[[#This Row],[c0230]]="Yes, not supported by Legal Opinion",B02.00[[#This Row],[c0230]]="No",B02.00[[#This Row],[c0230]]="Not applicable",B02.00[[#This Row],[c0230]]="Aggregated"),"OK","KO")),"OK")</f>
        <v>OK</v>
      </c>
      <c r="EM12" s="100" t="str">
        <f>IF(OR(B02.00[[#This Row],[c0250]]="Non-structured/Vanilla",B02.00[[#This Row],[c0250]]="Structured",B02.00[[#This Row],[c0250]]="Other non-standard terms",B02.00[[#This Row],[c0250]]="Only structured coupon",B02.00[[#This Row],[c0250]]="Aggregated"),"OK","KO")</f>
        <v>OK</v>
      </c>
      <c r="EN12" s="100" t="str">
        <f>IF(OR(B02.00[[#This Row],[c0310]]="Secured",B02.00[[#This Row],[c0310]]="Unsecured"),"OK","KO")</f>
        <v>OK</v>
      </c>
      <c r="EO12" s="100" t="str">
        <f>IF(AND(B02.00[[#This Row],[c0310]]="Secured",OR(B02.00[[#This Row],[c0250]]="Non-structured/Vanilla",B02.00[[#This Row],[c0250]]="Other non-standard terms"),B02.00[[#This Row],[c0240]]&lt;&gt;"ZCB issued at discount"),(IF(B02.00[[#This Row],[c0330]]=MAX(0,B02.00[[#This Row],[c0120]],B02.00[[#This Row],[c0320]]),"OK","KO")),"OK")</f>
        <v>OK</v>
      </c>
      <c r="EP12" s="100" t="str">
        <f>IF(AND(B02.00[[#This Row],[c0310]]="Secured",OR(B02.00[[#This Row],[c0250]]="Structured",B02.00[[#This Row],[c0250]]="Only structured coupon")),(IF(OR(B02.00[[#This Row],[c0330]]=MAX(0,B02.00[[#This Row],[c0270]],B02.00[[#This Row],[c0320]]),B02.00[[#This Row],[c0330]]=MAX(0,B02.00[[#This Row],[c0120]],B02.00[[#This Row],[c0320]])),"OK","KO")),"OK")</f>
        <v>OK</v>
      </c>
      <c r="EQ12" s="100" t="str">
        <f>IF(OR(B02.00[[#This Row],[c0350]]="Real estate",B02.00[[#This Row],[c0350]]="Ships",B02.00[[#This Row],[c0350]]="Aircraft",B02.00[[#This Row],[c0350]]="Financial",B02.00[[#This Row],[c0350]]="Other",B02.00[[#This Row],[c0350]]="Not applicable"),"OK","KO")</f>
        <v>OK</v>
      </c>
      <c r="ER12" s="100" t="str">
        <f>IF(B02.00[[#This Row],[c0310]]="Unsecured",(IF(B02.00[[#This Row],[c0350]]="Not applicable","OK","KO")),"OK")</f>
        <v>OK</v>
      </c>
      <c r="ES12" s="100" t="str">
        <f>IF(OR(B02.00[[#This Row],[c0440]]="NGN",B02.00[[#This Row],[c0440]]="CGN",B02.00[[#This Row],[c0440]]="Not applicable"),"OK","KO")</f>
        <v>OK</v>
      </c>
      <c r="ET12" s="100" t="str">
        <f>IF(OR(B02.00[[#This Row],[c0530]]="T2 in phase-out",B02.00[[#This Row],[c0530]]="Grandfathered T2",B02.00[[#This Row],[c0530]]="Fully Compliant T2",B02.00[[#This Row],[c0530]]="Partially (A)T1 and T2",B02.00[[#This Row],[c0530]]="Grandfathered AT1",B02.00[[#This Row],[c0530]]="Fully Compliant AT1",B02.00[[#This Row],[c0530]]="CET1",B02.00[[#This Row],[c0530]]="No"),"OK","KO")</f>
        <v>OK</v>
      </c>
      <c r="EU12" s="100" t="str">
        <f>IF(B02.00[[#This Row],[c0540]] ="","KO",IF(B02.00[[#This Row],[c0540]]&gt;=0,"OK","KO"))</f>
        <v>OK</v>
      </c>
      <c r="EV12" s="100" t="str">
        <f>IF(OR(B02.00[[#This Row],[c0550]]="T2 in phase-out",B02.00[[#This Row],[c0550]]="Grandfathered T2",B02.00[[#This Row],[c0550]]="Fully Compliant T2",B02.00[[#This Row],[c0550]]="Partially (A)T1 and T2",B02.00[[#This Row],[c0550]]="Grandfathered AT1",B02.00[[#This Row],[c0550]]="Fully Compliant AT1",B02.00[[#This Row],[c0550]]="CET1",B02.00[[#This Row],[c0550]]="No"),"OK","KO")</f>
        <v>OK</v>
      </c>
      <c r="EW12" s="100" t="str">
        <f>IF(B02.00[[#This Row],[c0560]]="","KO",IF(B02.00[[#This Row],[c0560]]&gt;=0,"OK","KO"))</f>
        <v>OK</v>
      </c>
      <c r="EX12" s="100" t="str">
        <f>IF(OR(B02.00[[#This Row],[c0590]]="Lien",B02.00[[#This Row],[c0590]]="Guarantee",B02.00[[#This Row],[c0590]]="Surety",B02.00[[#This Row],[c0590]]="Guarantee obligation",B02.00[[#This Row],[c0590]]="Other",B02.00[[#This Row],[c0590]]="Not applicable",B02.00[[#This Row],[c0590]]="Aggregated"),"OK","KO")</f>
        <v>OK</v>
      </c>
      <c r="EY12" s="100" t="str">
        <f>IF(B02.00[[#This Row],[c0610]]="","KO",IF(B02.00[[#This Row],[c0610]]&gt;=0,"OK","KO"))</f>
        <v>OK</v>
      </c>
      <c r="EZ12" s="100" t="str">
        <f>IF(OR(B02.00[[#This Row],[c0620]]="010 Financial liabilities held for trading",B02.00[[#This Row],[c0620]]="070 Financial liabilities at fair value through profit or loss",B02.00[[#This Row],[c0620]]="110 Financial liabilities at amortized cost",B02.00[[#This Row],[c0620]]="280 Other liabilities",B02.00[[#This Row],[c0620]]="300 Total equity",),"OK","KO")</f>
        <v>OK</v>
      </c>
    </row>
    <row r="13" spans="1:156" ht="14.4" customHeight="1">
      <c r="A13" s="7"/>
      <c r="B13" s="7"/>
      <c r="C13" s="7"/>
      <c r="D13" s="8"/>
      <c r="E13" s="2"/>
      <c r="F13" s="2"/>
      <c r="G13" s="2"/>
      <c r="H13" s="9"/>
      <c r="I13" s="2"/>
      <c r="J13" s="2"/>
      <c r="K13" s="2"/>
      <c r="L13" s="2"/>
      <c r="M13" s="373"/>
      <c r="N13" s="10"/>
      <c r="O13" s="10"/>
      <c r="P13" s="10"/>
      <c r="Q13" s="8"/>
      <c r="R13" s="8"/>
      <c r="S13" s="8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3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</row>
    <row r="14" spans="1:156" ht="14.4" customHeight="1">
      <c r="A14" s="12"/>
      <c r="B14" s="12"/>
      <c r="C14" s="12"/>
      <c r="D14" s="13"/>
      <c r="E14" s="14"/>
      <c r="F14" s="14"/>
      <c r="G14" s="14"/>
      <c r="H14" s="15"/>
      <c r="I14" s="14"/>
      <c r="J14" s="14"/>
      <c r="K14" s="14"/>
      <c r="L14" s="14"/>
      <c r="M14" s="14"/>
      <c r="N14" s="16"/>
      <c r="O14" s="16"/>
      <c r="P14" s="16"/>
      <c r="Q14" s="13"/>
      <c r="R14" s="13"/>
      <c r="S14" s="13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7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</row>
    <row r="15" spans="1:156" ht="14.4" customHeight="1">
      <c r="A15" s="168"/>
      <c r="B15" s="168"/>
      <c r="C15" s="168"/>
      <c r="D15" s="168"/>
      <c r="E15" s="168"/>
      <c r="F15" s="168"/>
      <c r="G15" s="168"/>
      <c r="H15" s="168"/>
      <c r="I15" s="168"/>
      <c r="J15" s="168"/>
      <c r="K15" s="168"/>
      <c r="L15" s="168"/>
      <c r="M15" s="168"/>
      <c r="N15" s="168"/>
      <c r="O15" s="168"/>
      <c r="P15" s="168"/>
      <c r="Q15" s="168"/>
      <c r="R15" s="168"/>
      <c r="S15" s="168"/>
      <c r="T15" s="168"/>
      <c r="U15" s="168"/>
      <c r="V15" s="168"/>
      <c r="W15" s="168"/>
      <c r="X15" s="168"/>
      <c r="Y15" s="168"/>
      <c r="Z15" s="168"/>
      <c r="AA15" s="168"/>
      <c r="AB15" s="168"/>
      <c r="AC15" s="168"/>
      <c r="AD15" s="168"/>
      <c r="AE15" s="168"/>
      <c r="AF15" s="168"/>
      <c r="AG15" s="168"/>
      <c r="AH15" s="168"/>
      <c r="AI15" s="168"/>
      <c r="AJ15" s="168"/>
      <c r="AK15" s="168"/>
      <c r="AL15" s="168"/>
      <c r="AM15" s="168"/>
      <c r="AN15" s="168"/>
      <c r="AO15" s="168"/>
      <c r="AP15" s="168"/>
      <c r="AQ15" s="168"/>
      <c r="AR15" s="168"/>
      <c r="AS15" s="168"/>
      <c r="AT15" s="168"/>
      <c r="AU15" s="168"/>
      <c r="AV15" s="168"/>
      <c r="AW15" s="168"/>
      <c r="AX15" s="168"/>
      <c r="AY15" s="168"/>
      <c r="AZ15" s="168"/>
      <c r="BA15" s="168"/>
      <c r="BB15" s="168"/>
      <c r="BC15" s="168"/>
      <c r="BD15" s="168"/>
      <c r="BE15" s="168"/>
      <c r="BF15" s="168"/>
      <c r="BG15" s="168"/>
      <c r="BH15" s="168"/>
      <c r="BI15" s="168"/>
      <c r="BJ15" s="168"/>
      <c r="BK15" s="168"/>
      <c r="BL15" s="168"/>
      <c r="BM15" s="168"/>
      <c r="BN15" s="168"/>
      <c r="BO15" s="168"/>
      <c r="BP15" s="168"/>
      <c r="BQ15" s="168"/>
      <c r="BR15" s="168"/>
      <c r="BS15" s="168"/>
      <c r="BT15" s="168"/>
      <c r="BU15" s="168"/>
      <c r="BV15" s="168"/>
      <c r="BW15" s="168"/>
      <c r="BX15" s="168"/>
      <c r="BY15" s="168"/>
      <c r="BZ15" s="168"/>
      <c r="CA15" s="168"/>
      <c r="CB15" s="168"/>
      <c r="CC15" s="168"/>
    </row>
    <row r="16" spans="1:156" ht="14.4" customHeight="1">
      <c r="E16" s="168"/>
      <c r="H16" s="168"/>
      <c r="L16" s="168"/>
      <c r="M16" s="168"/>
      <c r="AQ16" s="168"/>
      <c r="BP16" s="168"/>
      <c r="BR16" s="168"/>
      <c r="BX16" s="168"/>
    </row>
    <row r="17" spans="5:81" ht="14.4" customHeight="1">
      <c r="E17" s="374"/>
      <c r="F17" s="374"/>
      <c r="G17" s="374"/>
      <c r="H17" s="374"/>
      <c r="I17" s="374"/>
      <c r="J17" s="374"/>
      <c r="K17" s="374"/>
      <c r="L17" s="374"/>
      <c r="M17" s="374"/>
      <c r="N17" s="374"/>
      <c r="O17" s="374"/>
      <c r="P17" s="374"/>
      <c r="Q17" s="374"/>
      <c r="R17" s="374"/>
      <c r="S17" s="374"/>
      <c r="T17" s="374"/>
      <c r="U17" s="374"/>
      <c r="V17" s="374"/>
      <c r="W17" s="374"/>
      <c r="X17" s="374"/>
      <c r="Y17" s="374"/>
      <c r="Z17" s="374"/>
      <c r="AA17" s="374"/>
      <c r="AB17" s="374"/>
      <c r="AC17" s="374"/>
      <c r="AD17" s="374"/>
      <c r="AE17" s="374"/>
      <c r="AF17" s="374"/>
      <c r="AG17" s="374"/>
      <c r="AH17" s="374"/>
      <c r="AI17" s="374"/>
      <c r="AJ17" s="374"/>
      <c r="AK17" s="374"/>
      <c r="AL17" s="374"/>
      <c r="AM17" s="374"/>
      <c r="AN17" s="374"/>
      <c r="AO17" s="374"/>
      <c r="AP17" s="374"/>
      <c r="AQ17" s="374"/>
      <c r="AR17" s="374"/>
      <c r="AS17" s="374"/>
      <c r="AT17" s="374"/>
      <c r="AU17" s="374"/>
      <c r="AV17" s="374"/>
      <c r="AW17" s="374"/>
      <c r="AX17" s="374"/>
      <c r="AY17" s="374"/>
      <c r="AZ17" s="374"/>
      <c r="BA17" s="374"/>
      <c r="BB17" s="374"/>
      <c r="BC17" s="374"/>
      <c r="BD17" s="374"/>
      <c r="BE17" s="374"/>
      <c r="BF17" s="374"/>
      <c r="BG17" s="374"/>
      <c r="BH17" s="374"/>
      <c r="BI17" s="374"/>
      <c r="BJ17" s="374"/>
      <c r="BK17" s="374"/>
      <c r="BL17" s="374"/>
      <c r="BM17" s="374"/>
      <c r="BN17" s="374"/>
      <c r="BO17" s="374"/>
      <c r="BP17" s="374"/>
      <c r="BQ17" s="374"/>
      <c r="BR17" s="374"/>
      <c r="BS17" s="374"/>
      <c r="BT17" s="374"/>
      <c r="BU17" s="374"/>
      <c r="BV17" s="374"/>
      <c r="BW17" s="374"/>
      <c r="BX17" s="374"/>
      <c r="BY17" s="374"/>
      <c r="BZ17" s="374"/>
      <c r="CA17" s="374"/>
      <c r="CB17" s="374"/>
      <c r="CC17" s="374"/>
    </row>
    <row r="18" spans="5:81" ht="14.4" customHeight="1"/>
    <row r="19" spans="5:81" ht="14.4" customHeight="1">
      <c r="L19" s="168"/>
      <c r="M19" s="168"/>
    </row>
    <row r="20" spans="5:81" ht="14.4" customHeight="1">
      <c r="L20" s="168"/>
      <c r="M20" s="168"/>
    </row>
    <row r="21" spans="5:81" ht="14.4" customHeight="1">
      <c r="L21" s="168"/>
      <c r="M21" s="168"/>
    </row>
    <row r="22" spans="5:81" ht="14.4" customHeight="1">
      <c r="L22" s="168"/>
      <c r="M22" s="168"/>
    </row>
    <row r="23" spans="5:81" ht="14.4" customHeight="1">
      <c r="L23" s="168"/>
      <c r="M23" s="168"/>
    </row>
    <row r="24" spans="5:81" ht="14.4" customHeight="1">
      <c r="L24" s="168"/>
      <c r="M24" s="168"/>
    </row>
    <row r="25" spans="5:81" ht="14.4" customHeight="1">
      <c r="L25" s="168"/>
      <c r="M25" s="168"/>
    </row>
    <row r="26" spans="5:81" ht="14.4" customHeight="1">
      <c r="L26" s="168"/>
      <c r="M26" s="168"/>
    </row>
    <row r="27" spans="5:81" ht="14.4" customHeight="1">
      <c r="L27" s="168"/>
      <c r="M27" s="168"/>
    </row>
    <row r="28" spans="5:81" ht="14.4" customHeight="1"/>
    <row r="29" spans="5:81" ht="14.4" customHeight="1"/>
    <row r="30" spans="5:81" ht="14.4" customHeight="1"/>
    <row r="31" spans="5:81" ht="14.4" customHeight="1"/>
    <row r="32" spans="5:81" ht="14.4" customHeight="1"/>
    <row r="33" ht="14.4" customHeight="1"/>
    <row r="34" ht="14.4" customHeight="1"/>
    <row r="35" ht="14.4" customHeight="1"/>
    <row r="36" ht="14.4" customHeight="1"/>
    <row r="37" ht="14.4" customHeight="1"/>
    <row r="38" ht="14.4" customHeight="1"/>
    <row r="39" ht="14.4" customHeight="1"/>
    <row r="40" ht="14.4" customHeight="1"/>
    <row r="41" ht="14.4" customHeight="1"/>
    <row r="42" ht="14.4" customHeight="1"/>
    <row r="43" ht="14.4" customHeight="1"/>
    <row r="44" ht="14.4" customHeight="1"/>
    <row r="45" ht="14.4" customHeight="1"/>
    <row r="46" ht="14.4" customHeight="1"/>
    <row r="47" ht="14.4" customHeight="1"/>
    <row r="48" ht="14.4" customHeight="1"/>
    <row r="49" ht="14.4" customHeight="1"/>
    <row r="50" ht="14.4" customHeight="1"/>
    <row r="51" ht="14.4" customHeight="1"/>
    <row r="52" ht="14.4" customHeight="1"/>
    <row r="53" ht="14.4" customHeight="1"/>
    <row r="54" ht="14.4" customHeight="1"/>
    <row r="55" ht="14.4" customHeight="1"/>
    <row r="56" ht="14.4" customHeight="1"/>
    <row r="57" ht="14.4" customHeight="1"/>
    <row r="58" ht="14.4" customHeight="1"/>
    <row r="59" ht="14.4" customHeight="1"/>
    <row r="60" ht="14.4" customHeight="1"/>
    <row r="61" ht="14.4" customHeight="1"/>
    <row r="62" ht="14.4" customHeight="1"/>
    <row r="63" ht="14.4" customHeight="1"/>
    <row r="64" ht="14.4" customHeight="1"/>
    <row r="65" ht="14.4" customHeight="1"/>
    <row r="66" ht="14.4" customHeight="1"/>
    <row r="67" ht="14.4" customHeight="1"/>
    <row r="68" ht="14.4" customHeight="1"/>
    <row r="69" ht="14.4" customHeight="1"/>
    <row r="70" ht="14.4" customHeight="1"/>
    <row r="71" ht="14.4" customHeight="1"/>
    <row r="72" ht="14.4" customHeight="1"/>
    <row r="73" ht="14.4" customHeight="1"/>
    <row r="74" ht="14.4" customHeight="1"/>
    <row r="75" ht="14.4" customHeight="1"/>
    <row r="76" ht="14.4" customHeight="1"/>
    <row r="77" ht="14.4" customHeight="1"/>
    <row r="78" ht="14.4" customHeight="1"/>
    <row r="79" ht="14.4" customHeight="1"/>
    <row r="80" ht="14.4" customHeight="1"/>
    <row r="81" ht="14.4" customHeight="1"/>
    <row r="82" ht="14.4" customHeight="1"/>
    <row r="83" ht="14.4" customHeight="1"/>
    <row r="84" ht="14.4" customHeight="1"/>
    <row r="85" ht="14.4" customHeight="1"/>
    <row r="86" ht="14.4" customHeight="1"/>
    <row r="87" ht="14.4" customHeight="1"/>
    <row r="88" ht="14.4" customHeight="1"/>
    <row r="89" ht="14.4" customHeight="1"/>
    <row r="90" ht="14.4" customHeight="1"/>
    <row r="91" ht="14.4" customHeight="1"/>
    <row r="92" ht="14.4" customHeight="1"/>
    <row r="93" ht="14.4" customHeight="1"/>
    <row r="94" ht="14.4" customHeight="1"/>
    <row r="95" ht="14.4" customHeight="1"/>
    <row r="96" ht="14.4" customHeight="1"/>
    <row r="97" ht="14.4" customHeight="1"/>
    <row r="98" ht="14.4" customHeight="1"/>
    <row r="99" ht="14.4" customHeight="1"/>
    <row r="100" ht="14.4" customHeight="1"/>
    <row r="101" ht="14.4" customHeight="1"/>
    <row r="102" ht="14.4" customHeight="1"/>
    <row r="103" ht="14.4" customHeight="1"/>
    <row r="104" ht="14.4" customHeight="1"/>
    <row r="105" ht="14.4" customHeight="1"/>
    <row r="106" ht="14.4" customHeight="1"/>
    <row r="107" ht="14.4" customHeight="1"/>
    <row r="108" ht="14.4" customHeight="1"/>
    <row r="109" ht="14.4" customHeight="1"/>
    <row r="110" ht="14.4" customHeight="1"/>
    <row r="111" ht="14.4" customHeight="1"/>
    <row r="112" ht="14.4" customHeight="1"/>
    <row r="113" ht="14.4" customHeight="1"/>
    <row r="114" ht="14.4" customHeight="1"/>
    <row r="115" ht="14.4" customHeight="1"/>
    <row r="116" ht="14.4" customHeight="1"/>
    <row r="117" ht="14.4" customHeight="1"/>
    <row r="118" ht="14.4" customHeight="1"/>
    <row r="119" ht="14.4" customHeight="1"/>
    <row r="120" ht="14.4" customHeight="1"/>
    <row r="121" ht="14.4" customHeight="1"/>
    <row r="122" ht="14.4" customHeight="1"/>
    <row r="123" ht="14.4" customHeight="1"/>
    <row r="124" ht="14.4" customHeight="1"/>
    <row r="125" ht="14.4" customHeight="1"/>
    <row r="126" ht="14.4" customHeight="1"/>
    <row r="127" ht="14.4" customHeight="1"/>
    <row r="128" ht="14.4" customHeight="1"/>
    <row r="129" ht="14.4" customHeight="1"/>
    <row r="130" ht="14.4" customHeight="1"/>
    <row r="131" ht="14.4" customHeight="1"/>
    <row r="132" ht="14.4" customHeight="1"/>
    <row r="133" ht="14.4" customHeight="1"/>
    <row r="134" ht="14.4" customHeight="1"/>
    <row r="135" ht="14.4" customHeight="1"/>
    <row r="136" ht="14.4" customHeight="1"/>
    <row r="137" ht="14.4" customHeight="1"/>
    <row r="138" ht="14.4" customHeight="1"/>
    <row r="139" ht="14.4" customHeight="1"/>
    <row r="140" ht="14.4" customHeight="1"/>
    <row r="141" ht="14.4" customHeight="1"/>
    <row r="142" ht="14.4" customHeight="1"/>
    <row r="143" ht="14.4" customHeight="1"/>
    <row r="144" ht="14.4" customHeight="1"/>
    <row r="145" ht="14.4" customHeight="1"/>
    <row r="146" ht="14.4" customHeight="1"/>
    <row r="147" ht="14.4" customHeight="1"/>
    <row r="148" ht="14.4" customHeight="1"/>
    <row r="149" ht="14.4" customHeight="1"/>
    <row r="150" ht="14.4" customHeight="1"/>
    <row r="151" ht="14.4" customHeight="1"/>
    <row r="152" ht="14.4" customHeight="1"/>
    <row r="153" ht="14.4" customHeight="1"/>
    <row r="154" ht="14.4" customHeight="1"/>
    <row r="155" ht="14.4" customHeight="1"/>
    <row r="156" ht="14.4" customHeight="1"/>
    <row r="157" ht="14.4" customHeight="1"/>
    <row r="158" ht="14.4" customHeight="1"/>
    <row r="159" ht="14.4" customHeight="1"/>
    <row r="160" ht="14.4" customHeight="1"/>
    <row r="161" ht="14.4" customHeight="1"/>
    <row r="162" ht="14.4" customHeight="1"/>
    <row r="163" ht="14.4" customHeight="1"/>
    <row r="164" ht="14.4" customHeight="1"/>
    <row r="165" ht="14.4" customHeight="1"/>
    <row r="166" ht="14.4" customHeight="1"/>
    <row r="167" ht="14.4" customHeight="1"/>
    <row r="168" ht="14.4" customHeight="1"/>
    <row r="169" ht="14.4" customHeight="1"/>
    <row r="170" ht="14.4" customHeight="1"/>
    <row r="171" ht="14.4" customHeight="1"/>
    <row r="172" ht="14.4" customHeight="1"/>
    <row r="173" ht="14.4" customHeight="1"/>
    <row r="174" ht="14.4" customHeight="1"/>
    <row r="175" ht="14.4" customHeight="1"/>
    <row r="176" ht="14.4" customHeight="1"/>
    <row r="177" ht="14.4" customHeight="1"/>
    <row r="178" ht="14.4" customHeight="1"/>
    <row r="179" ht="14.4" customHeight="1"/>
    <row r="180" ht="14.4" customHeight="1"/>
    <row r="181" ht="14.4" customHeight="1"/>
    <row r="182" ht="14.4" customHeight="1"/>
    <row r="183" ht="14.4" customHeight="1"/>
    <row r="184" ht="14.4" customHeight="1"/>
    <row r="185" ht="14.4" customHeight="1"/>
    <row r="186" ht="14.4" customHeight="1"/>
    <row r="187" ht="14.4" customHeight="1"/>
    <row r="188" ht="14.4" customHeight="1"/>
    <row r="189" ht="14.4" customHeight="1"/>
    <row r="190" ht="14.4" customHeight="1"/>
    <row r="191" ht="14.4" customHeight="1"/>
    <row r="192" ht="14.4" customHeight="1"/>
    <row r="193" ht="14.4" customHeight="1"/>
    <row r="194" ht="14.4" customHeight="1"/>
    <row r="195" ht="14.4" customHeight="1"/>
    <row r="196" ht="14.4" customHeight="1"/>
    <row r="197" ht="14.4" customHeight="1"/>
    <row r="198" ht="14.4" customHeight="1"/>
    <row r="199" ht="14.4" customHeight="1"/>
    <row r="200" ht="14.4" customHeight="1"/>
    <row r="201" ht="14.4" customHeight="1"/>
    <row r="202" ht="14.4" customHeight="1"/>
    <row r="203" ht="14.4" customHeight="1"/>
    <row r="204" ht="14.4" customHeight="1"/>
    <row r="205" ht="14.4" customHeight="1"/>
    <row r="206" ht="14.4" customHeight="1"/>
    <row r="207" ht="14.4" customHeight="1"/>
    <row r="208" ht="14.4" customHeight="1"/>
    <row r="209" ht="14.4" customHeight="1"/>
    <row r="210" ht="14.4" customHeight="1"/>
    <row r="211" ht="14.4" customHeight="1"/>
    <row r="212" ht="14.4" customHeight="1"/>
    <row r="213" ht="14.4" customHeight="1"/>
    <row r="214" ht="14.4" customHeight="1"/>
    <row r="215" ht="14.4" customHeight="1"/>
    <row r="216" ht="14.4" customHeight="1"/>
    <row r="217" ht="14.4" customHeight="1"/>
    <row r="218" ht="14.4" customHeight="1"/>
    <row r="219" ht="14.4" customHeight="1"/>
    <row r="220" ht="14.4" customHeight="1"/>
    <row r="221" ht="14.4" customHeight="1"/>
    <row r="222" ht="14.4" customHeight="1"/>
    <row r="223" ht="14.4" customHeight="1"/>
    <row r="224" ht="14.4" customHeight="1"/>
    <row r="225" ht="14.4" customHeight="1"/>
    <row r="226" ht="14.4" customHeight="1"/>
    <row r="227" ht="14.4" customHeight="1"/>
    <row r="228" ht="14.4" customHeight="1"/>
    <row r="229" ht="14.4" customHeight="1"/>
    <row r="230" ht="14.4" customHeight="1"/>
    <row r="231" ht="14.4" customHeight="1"/>
    <row r="232" ht="14.4" customHeight="1"/>
    <row r="233" ht="14.4" customHeight="1"/>
    <row r="234" ht="14.4" customHeight="1"/>
    <row r="235" ht="14.4" customHeight="1"/>
    <row r="236" ht="14.4" customHeight="1"/>
    <row r="237" ht="14.4" customHeight="1"/>
    <row r="238" ht="14.4" customHeight="1"/>
    <row r="239" ht="14.4" customHeight="1"/>
    <row r="240" ht="14.4" customHeight="1"/>
    <row r="241" ht="14.4" customHeight="1"/>
    <row r="242" ht="14.4" customHeight="1"/>
    <row r="243" ht="14.4" customHeight="1"/>
    <row r="244" ht="14.4" customHeight="1"/>
    <row r="245" ht="14.4" customHeight="1"/>
    <row r="246" ht="14.4" customHeight="1"/>
    <row r="247" ht="14.4" customHeight="1"/>
    <row r="248" ht="14.4" customHeight="1"/>
    <row r="249" ht="14.4" customHeight="1"/>
    <row r="250" ht="14.4" customHeight="1"/>
    <row r="251" ht="14.4" customHeight="1"/>
    <row r="252" ht="14.4" customHeight="1"/>
    <row r="253" ht="14.4" customHeight="1"/>
    <row r="254" ht="14.4" customHeight="1"/>
    <row r="255" ht="14.4" customHeight="1"/>
    <row r="256" ht="14.4" customHeight="1"/>
    <row r="257" ht="14.4" customHeight="1"/>
    <row r="258" ht="14.4" customHeight="1"/>
    <row r="259" ht="14.4" customHeight="1"/>
    <row r="260" ht="14.4" customHeight="1"/>
    <row r="261" ht="14.4" customHeight="1"/>
    <row r="262" ht="14.4" customHeight="1"/>
    <row r="263" ht="14.4" customHeight="1"/>
    <row r="264" ht="14.4" customHeight="1"/>
    <row r="265" ht="14.4" customHeight="1"/>
    <row r="266" ht="14.4" customHeight="1"/>
    <row r="267" ht="14.4" customHeight="1"/>
    <row r="268" ht="14.4" customHeight="1"/>
    <row r="269" ht="14.4" customHeight="1"/>
    <row r="270" ht="14.4" customHeight="1"/>
    <row r="271" ht="14.4" customHeight="1"/>
    <row r="272" ht="14.4" customHeight="1"/>
    <row r="273" ht="14.4" customHeight="1"/>
    <row r="274" ht="14.4" customHeight="1"/>
    <row r="275" ht="14.4" customHeight="1"/>
    <row r="276" ht="14.4" customHeight="1"/>
    <row r="277" ht="14.4" customHeight="1"/>
    <row r="278" ht="14.4" customHeight="1"/>
    <row r="279" ht="14.4" customHeight="1"/>
    <row r="280" ht="14.4" customHeight="1"/>
    <row r="281" ht="14.4" customHeight="1"/>
    <row r="282" ht="14.4" customHeight="1"/>
    <row r="283" ht="14.4" customHeight="1"/>
    <row r="284" ht="14.4" customHeight="1"/>
    <row r="285" ht="14.4" customHeight="1"/>
    <row r="286" ht="14.4" customHeight="1"/>
    <row r="287" ht="14.4" customHeight="1"/>
    <row r="288" ht="14.4" customHeight="1"/>
    <row r="289" ht="14.4" customHeight="1"/>
    <row r="290" ht="14.4" customHeight="1"/>
    <row r="291" ht="14.4" customHeight="1"/>
    <row r="292" ht="14.4" customHeight="1"/>
    <row r="293" ht="14.4" customHeight="1"/>
    <row r="294" ht="14.4" customHeight="1"/>
    <row r="295" ht="14.4" customHeight="1"/>
    <row r="296" ht="14.4" customHeight="1"/>
    <row r="297" ht="14.4" customHeight="1"/>
    <row r="298" ht="14.4" customHeight="1"/>
    <row r="299" ht="14.4" customHeight="1"/>
    <row r="300" ht="14.4" customHeight="1"/>
    <row r="301" ht="14.4" customHeight="1"/>
    <row r="302" ht="14.4" customHeight="1"/>
    <row r="303" ht="14.4" customHeight="1"/>
    <row r="304" ht="14.4" customHeight="1"/>
    <row r="305" ht="14.4" customHeight="1"/>
    <row r="306" ht="14.4" customHeight="1"/>
    <row r="307" ht="14.4" customHeight="1"/>
    <row r="308" ht="14.4" customHeight="1"/>
    <row r="309" ht="14.4" customHeight="1"/>
    <row r="310" ht="14.4" customHeight="1"/>
    <row r="311" ht="14.4" customHeight="1"/>
    <row r="312" ht="14.4" customHeight="1"/>
    <row r="313" ht="14.4" customHeight="1"/>
    <row r="314" ht="14.4" customHeight="1"/>
    <row r="315" ht="14.4" customHeight="1"/>
    <row r="316" ht="14.4" customHeight="1"/>
    <row r="317" ht="14.4" customHeight="1"/>
    <row r="318" ht="14.4" customHeight="1"/>
    <row r="319" ht="14.4" customHeight="1"/>
    <row r="320" ht="14.4" customHeight="1"/>
    <row r="321" ht="14.4" customHeight="1"/>
    <row r="322" ht="14.4" customHeight="1"/>
    <row r="323" ht="14.4" customHeight="1"/>
    <row r="324" ht="14.4" customHeight="1"/>
    <row r="325" ht="14.4" customHeight="1"/>
    <row r="326" ht="14.4" customHeight="1"/>
    <row r="327" ht="14.4" customHeight="1"/>
    <row r="328" ht="14.4" customHeight="1"/>
    <row r="329" ht="14.4" customHeight="1"/>
    <row r="330" ht="14.4" customHeight="1"/>
    <row r="331" ht="14.4" customHeight="1"/>
    <row r="332" ht="14.4" customHeight="1"/>
    <row r="333" ht="14.4" customHeight="1"/>
    <row r="334" ht="14.4" customHeight="1"/>
    <row r="335" ht="14.4" customHeight="1"/>
    <row r="336" ht="14.4" customHeight="1"/>
    <row r="337" ht="14.4" customHeight="1"/>
    <row r="338" ht="14.4" customHeight="1"/>
    <row r="339" ht="14.4" customHeight="1"/>
    <row r="340" ht="14.4" customHeight="1"/>
    <row r="341" ht="14.4" customHeight="1"/>
    <row r="342" ht="14.4" customHeight="1"/>
    <row r="343" ht="14.4" customHeight="1"/>
    <row r="344" ht="14.4" customHeight="1"/>
    <row r="345" ht="14.4" customHeight="1"/>
    <row r="346" ht="14.4" customHeight="1"/>
    <row r="347" ht="14.4" customHeight="1"/>
    <row r="348" ht="14.4" customHeight="1"/>
    <row r="349" ht="14.4" customHeight="1"/>
    <row r="350" ht="14.4" customHeight="1"/>
    <row r="351" ht="14.4" customHeight="1"/>
    <row r="352" ht="14.4" customHeight="1"/>
    <row r="353" ht="14.4" customHeight="1"/>
    <row r="354" ht="14.4" customHeight="1"/>
    <row r="355" ht="14.4" customHeight="1"/>
    <row r="356" ht="14.4" customHeight="1"/>
    <row r="357" ht="14.4" customHeight="1"/>
    <row r="358" ht="14.4" customHeight="1"/>
    <row r="359" ht="14.4" customHeight="1"/>
    <row r="360" ht="14.4" customHeight="1"/>
    <row r="361" ht="14.4" customHeight="1"/>
    <row r="362" ht="14.4" customHeight="1"/>
    <row r="363" ht="14.4" customHeight="1"/>
    <row r="364" ht="14.4" customHeight="1"/>
    <row r="365" ht="14.4" customHeight="1"/>
    <row r="366" ht="14.4" customHeight="1"/>
    <row r="367" ht="14.4" customHeight="1"/>
    <row r="368" ht="14.4" customHeight="1"/>
    <row r="369" ht="14.4" customHeight="1"/>
    <row r="370" ht="14.4" customHeight="1"/>
    <row r="371" ht="14.4" customHeight="1"/>
    <row r="372" ht="14.4" customHeight="1"/>
    <row r="373" ht="14.4" customHeight="1"/>
    <row r="374" ht="14.4" customHeight="1"/>
    <row r="375" ht="14.4" customHeight="1"/>
    <row r="376" ht="14.4" customHeight="1"/>
    <row r="377" ht="14.4" customHeight="1"/>
    <row r="378" ht="14.4" customHeight="1"/>
    <row r="379" ht="14.4" customHeight="1"/>
    <row r="380" ht="14.4" customHeight="1"/>
    <row r="381" ht="14.4" customHeight="1"/>
    <row r="382" ht="14.4" customHeight="1"/>
    <row r="383" ht="14.4" customHeight="1"/>
    <row r="384" ht="14.4" customHeight="1"/>
    <row r="385" ht="14.4" customHeight="1"/>
    <row r="386" ht="14.4" customHeight="1"/>
    <row r="387" ht="14.4" customHeight="1"/>
    <row r="388" ht="14.4" customHeight="1"/>
    <row r="389" ht="14.4" customHeight="1"/>
    <row r="390" ht="14.4" customHeight="1"/>
    <row r="391" ht="14.4" customHeight="1"/>
    <row r="392" ht="14.4" customHeight="1"/>
    <row r="393" ht="14.4" customHeight="1"/>
    <row r="394" ht="14.4" customHeight="1"/>
    <row r="395" ht="14.4" customHeight="1"/>
    <row r="396" ht="14.4" customHeight="1"/>
    <row r="397" ht="14.4" customHeight="1"/>
    <row r="398" ht="14.4" customHeight="1"/>
    <row r="399" ht="14.4" customHeight="1"/>
    <row r="400" ht="14.4" customHeight="1"/>
    <row r="401" ht="14.4" customHeight="1"/>
    <row r="402" ht="14.4" customHeight="1"/>
    <row r="403" ht="14.4" customHeight="1"/>
    <row r="404" ht="14.4" customHeight="1"/>
    <row r="405" ht="14.4" customHeight="1"/>
    <row r="406" ht="14.4" customHeight="1"/>
    <row r="407" ht="14.4" customHeight="1"/>
    <row r="408" ht="14.4" customHeight="1"/>
    <row r="409" ht="14.4" customHeight="1"/>
    <row r="410" ht="14.4" customHeight="1"/>
    <row r="411" ht="14.4" customHeight="1"/>
    <row r="412" ht="14.4" customHeight="1"/>
    <row r="413" ht="14.4" customHeight="1"/>
    <row r="414" ht="14.4" customHeight="1"/>
    <row r="415" ht="14.4" customHeight="1"/>
    <row r="416" ht="14.4" customHeight="1"/>
    <row r="417" ht="14.4" customHeight="1"/>
    <row r="418" ht="14.4" customHeight="1"/>
    <row r="419" ht="14.4" customHeight="1"/>
    <row r="420" ht="14.4" customHeight="1"/>
    <row r="421" ht="14.4" customHeight="1"/>
    <row r="422" ht="14.4" customHeight="1"/>
    <row r="423" ht="14.4" customHeight="1"/>
    <row r="424" ht="14.4" customHeight="1"/>
    <row r="425" ht="14.4" customHeight="1"/>
    <row r="426" ht="14.4" customHeight="1"/>
    <row r="427" ht="14.4" customHeight="1"/>
    <row r="428" ht="14.4" customHeight="1"/>
    <row r="429" ht="14.4" customHeight="1"/>
    <row r="430" ht="14.4" customHeight="1"/>
    <row r="431" ht="14.4" customHeight="1"/>
    <row r="432" ht="14.4" customHeight="1"/>
    <row r="433" ht="14.4" customHeight="1"/>
    <row r="434" ht="14.4" customHeight="1"/>
    <row r="435" ht="14.4" customHeight="1"/>
    <row r="436" ht="14.4" customHeight="1"/>
    <row r="437" ht="14.4" customHeight="1"/>
    <row r="438" ht="14.4" customHeight="1"/>
    <row r="439" ht="14.4" customHeight="1"/>
    <row r="440" ht="14.4" customHeight="1"/>
    <row r="441" ht="14.4" customHeight="1"/>
    <row r="442" ht="14.4" customHeight="1"/>
    <row r="443" ht="14.4" customHeight="1"/>
    <row r="444" ht="14.4" customHeight="1"/>
    <row r="445" ht="14.4" customHeight="1"/>
    <row r="446" ht="14.4" customHeight="1"/>
    <row r="447" ht="14.4" customHeight="1"/>
    <row r="448" ht="14.4" customHeight="1"/>
    <row r="449" ht="14.4" customHeight="1"/>
    <row r="450" ht="14.4" customHeight="1"/>
    <row r="451" ht="14.4" customHeight="1"/>
    <row r="452" ht="14.4" customHeight="1"/>
    <row r="453" ht="14.4" customHeight="1"/>
    <row r="454" ht="14.4" customHeight="1"/>
    <row r="455" ht="14.4" customHeight="1"/>
    <row r="456" ht="14.4" customHeight="1"/>
    <row r="457" ht="14.4" customHeight="1"/>
    <row r="458" ht="14.4" customHeight="1"/>
    <row r="459" ht="14.4" customHeight="1"/>
    <row r="460" ht="14.4" customHeight="1"/>
    <row r="461" ht="14.4" customHeight="1"/>
    <row r="462" ht="14.4" customHeight="1"/>
    <row r="463" ht="14.4" customHeight="1"/>
    <row r="464" ht="14.4" customHeight="1"/>
    <row r="465" ht="14.4" customHeight="1"/>
    <row r="466" ht="14.4" customHeight="1"/>
    <row r="467" ht="14.4" customHeight="1"/>
    <row r="468" ht="14.4" customHeight="1"/>
    <row r="469" ht="14.4" customHeight="1"/>
    <row r="470" ht="14.4" customHeight="1"/>
    <row r="471" ht="14.4" customHeight="1"/>
    <row r="472" ht="14.4" customHeight="1"/>
    <row r="473" ht="14.4" customHeight="1"/>
    <row r="474" ht="14.4" customHeight="1"/>
    <row r="475" ht="14.4" customHeight="1"/>
    <row r="476" ht="14.4" customHeight="1"/>
    <row r="477" ht="14.4" customHeight="1"/>
    <row r="478" ht="14.4" customHeight="1"/>
    <row r="479" ht="14.4" customHeight="1"/>
    <row r="480" ht="14.4" customHeight="1"/>
    <row r="481" ht="14.4" customHeight="1"/>
    <row r="482" ht="14.4" customHeight="1"/>
    <row r="483" ht="14.4" customHeight="1"/>
    <row r="484" ht="14.4" customHeight="1"/>
    <row r="485" ht="14.4" customHeight="1"/>
    <row r="486" ht="14.4" customHeight="1"/>
    <row r="487" ht="14.4" customHeight="1"/>
    <row r="488" ht="14.4" customHeight="1"/>
    <row r="489" ht="14.4" customHeight="1"/>
    <row r="490" ht="14.4" customHeight="1"/>
    <row r="491" ht="14.4" customHeight="1"/>
    <row r="492" ht="14.4" customHeight="1"/>
    <row r="493" ht="14.4" customHeight="1"/>
    <row r="494" ht="14.4" customHeight="1"/>
    <row r="495" ht="14.4" customHeight="1"/>
    <row r="496" ht="14.4" customHeight="1"/>
    <row r="497" ht="14.4" customHeight="1"/>
    <row r="498" ht="14.4" customHeight="1"/>
    <row r="499" ht="14.4" customHeight="1"/>
    <row r="500" ht="14.4" customHeight="1"/>
    <row r="501" ht="14.4" customHeight="1"/>
    <row r="502" ht="14.4" customHeight="1"/>
    <row r="503" ht="14.4" customHeight="1"/>
    <row r="504" ht="14.4" customHeight="1"/>
    <row r="505" ht="14.4" customHeight="1"/>
    <row r="506" ht="14.4" customHeight="1"/>
    <row r="507" ht="14.4" customHeight="1"/>
    <row r="508" ht="14.4" customHeight="1"/>
    <row r="509" ht="14.4" customHeight="1"/>
    <row r="510" ht="14.4" customHeight="1"/>
    <row r="511" ht="14.4" customHeight="1"/>
    <row r="512" ht="14.4" customHeight="1"/>
    <row r="513" ht="14.4" customHeight="1"/>
    <row r="514" ht="14.4" customHeight="1"/>
    <row r="515" ht="14.4" customHeight="1"/>
    <row r="516" ht="14.4" customHeight="1"/>
    <row r="517" ht="14.4" customHeight="1"/>
    <row r="518" ht="14.4" customHeight="1"/>
    <row r="519" ht="14.4" customHeight="1"/>
    <row r="520" ht="14.4" customHeight="1"/>
    <row r="521" ht="14.4" customHeight="1"/>
    <row r="522" ht="14.4" customHeight="1"/>
    <row r="523" ht="14.4" customHeight="1"/>
    <row r="524" ht="14.4" customHeight="1"/>
    <row r="525" ht="14.4" customHeight="1"/>
    <row r="526" ht="14.4" customHeight="1"/>
    <row r="527" ht="14.4" customHeight="1"/>
    <row r="528" ht="14.4" customHeight="1"/>
    <row r="529" ht="14.4" customHeight="1"/>
    <row r="530" ht="14.4" customHeight="1"/>
    <row r="531" ht="14.4" customHeight="1"/>
    <row r="532" ht="14.4" customHeight="1"/>
    <row r="533" ht="14.4" customHeight="1"/>
    <row r="534" ht="14.4" customHeight="1"/>
    <row r="535" ht="14.4" customHeight="1"/>
    <row r="536" ht="14.4" customHeight="1"/>
    <row r="537" ht="14.4" customHeight="1"/>
    <row r="538" ht="14.4" customHeight="1"/>
    <row r="539" ht="14.4" customHeight="1"/>
    <row r="540" ht="14.4" customHeight="1"/>
  </sheetData>
  <mergeCells count="85">
    <mergeCell ref="CB1:CC1"/>
    <mergeCell ref="CD2:DP2"/>
    <mergeCell ref="DQ2:EZ2"/>
    <mergeCell ref="CD1:EZ1"/>
    <mergeCell ref="CC2:CC3"/>
    <mergeCell ref="CB2:CB3"/>
    <mergeCell ref="CA2:CA3"/>
    <mergeCell ref="BZ2:BZ3"/>
    <mergeCell ref="BY2:BY3"/>
    <mergeCell ref="BX2:BX3"/>
    <mergeCell ref="BW2:BW3"/>
    <mergeCell ref="BV2:BV3"/>
    <mergeCell ref="BU2:BU3"/>
    <mergeCell ref="BT2:BT3"/>
    <mergeCell ref="BS2:BS3"/>
    <mergeCell ref="BR2:BR3"/>
    <mergeCell ref="BQ2:BQ3"/>
    <mergeCell ref="BP2:BP3"/>
    <mergeCell ref="BO2:BO3"/>
    <mergeCell ref="BN2:BN3"/>
    <mergeCell ref="BM2:BM3"/>
    <mergeCell ref="BL2:BL3"/>
    <mergeCell ref="BK2:BK3"/>
    <mergeCell ref="BJ2:BJ3"/>
    <mergeCell ref="BI2:BI3"/>
    <mergeCell ref="BH2:BH3"/>
    <mergeCell ref="BG2:BG3"/>
    <mergeCell ref="BF2:BF3"/>
    <mergeCell ref="BE2:BE3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BB2:BB3"/>
    <mergeCell ref="BC2:BC3"/>
    <mergeCell ref="BD2:BD3"/>
    <mergeCell ref="AW2:AW3"/>
    <mergeCell ref="AX2:AX3"/>
    <mergeCell ref="AY2:AY3"/>
    <mergeCell ref="AZ2:AZ3"/>
    <mergeCell ref="BA2:BA3"/>
  </mergeCells>
  <phoneticPr fontId="11" type="noConversion"/>
  <conditionalFormatting sqref="CD3:EZ3">
    <cfRule type="cellIs" dxfId="33" priority="1" operator="equal">
      <formula>0</formula>
    </cfRule>
    <cfRule type="cellIs" dxfId="32" priority="2" operator="greaterThan">
      <formula>0</formula>
    </cfRule>
  </conditionalFormatting>
  <conditionalFormatting sqref="CD5:EZ12">
    <cfRule type="cellIs" dxfId="31" priority="8" operator="equal">
      <formula>"OK"</formula>
    </cfRule>
    <cfRule type="cellIs" dxfId="30" priority="9" operator="equal">
      <formula>"KO"</formula>
    </cfRule>
  </conditionalFormatting>
  <conditionalFormatting sqref="EM3">
    <cfRule type="cellIs" dxfId="29" priority="4" operator="equal">
      <formula>"OK"</formula>
    </cfRule>
    <cfRule type="cellIs" dxfId="28" priority="5" operator="equal">
      <formula>"KO"</formula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4BBDFA6F-3B65-4B7D-88E6-DFF2754AE29C}">
          <x14:formula1>
            <xm:f>Lists!$B$2:$B$3</xm:f>
          </x14:formula1>
          <xm:sqref>CB5:CC12 BW5:BW12 P5:P12 AE5:AF12</xm:sqref>
        </x14:dataValidation>
        <x14:dataValidation type="list" allowBlank="1" showInputMessage="1" showErrorMessage="1" xr:uid="{578FB07A-0DDF-471D-BD22-DB0C8491763D}">
          <x14:formula1>
            <xm:f>Lists!$F$2:$F$6</xm:f>
          </x14:formula1>
          <xm:sqref>Z5:Z12</xm:sqref>
        </x14:dataValidation>
        <x14:dataValidation type="list" allowBlank="1" showInputMessage="1" showErrorMessage="1" xr:uid="{49AA1B4F-9261-411C-BB19-1524F7528A80}">
          <x14:formula1>
            <xm:f>Lists!$H$2:$H$6</xm:f>
          </x14:formula1>
          <xm:sqref>AB5:AB12</xm:sqref>
        </x14:dataValidation>
        <x14:dataValidation type="list" allowBlank="1" showInputMessage="1" showErrorMessage="1" xr:uid="{77AB73FA-DF68-4E01-916A-2C4A996CEA2A}">
          <x14:formula1>
            <xm:f>Lists!$I$2:$I$3</xm:f>
          </x14:formula1>
          <xm:sqref>AH5:AH12</xm:sqref>
        </x14:dataValidation>
        <x14:dataValidation type="list" allowBlank="1" showInputMessage="1" showErrorMessage="1" xr:uid="{D0D99904-D498-4D02-990D-451DF0D4CF5A}">
          <x14:formula1>
            <xm:f>Lists!$J$2:$J$7</xm:f>
          </x14:formula1>
          <xm:sqref>AL5:AL12</xm:sqref>
        </x14:dataValidation>
        <x14:dataValidation type="list" allowBlank="1" showInputMessage="1" showErrorMessage="1" xr:uid="{6283053F-2093-4683-8604-9E3BF644FD80}">
          <x14:formula1>
            <xm:f>Lists!$K$2:$K$4</xm:f>
          </x14:formula1>
          <xm:sqref>AN5:AN12</xm:sqref>
        </x14:dataValidation>
        <x14:dataValidation type="list" allowBlank="1" showInputMessage="1" showErrorMessage="1" xr:uid="{A3B59D1C-0B77-498F-B602-DC0D1FC33A5D}">
          <x14:formula1>
            <xm:f>Lists!$L$2:$L$4</xm:f>
          </x14:formula1>
          <xm:sqref>AX5:AX12</xm:sqref>
        </x14:dataValidation>
        <x14:dataValidation type="list" allowBlank="1" showInputMessage="1" showErrorMessage="1" xr:uid="{CA69112B-FB25-4FB6-98B4-D0FA83A6C7DB}">
          <x14:formula1>
            <xm:f>Lists!$N$2:$N$9</xm:f>
          </x14:formula1>
          <xm:sqref>BO5:BO12 BQ5:BQ12</xm:sqref>
        </x14:dataValidation>
        <x14:dataValidation type="list" allowBlank="1" showInputMessage="1" showErrorMessage="1" xr:uid="{4C8CFAA4-2A97-46D0-9F76-A5902C33304A}">
          <x14:formula1>
            <xm:f>Lists!$O$2:$O$8</xm:f>
          </x14:formula1>
          <xm:sqref>BV5:BV12</xm:sqref>
        </x14:dataValidation>
        <x14:dataValidation type="list" allowBlank="1" showInputMessage="1" showErrorMessage="1" xr:uid="{5F83C769-C4C6-405B-B8AE-1F8BE5E778B8}">
          <x14:formula1>
            <xm:f>Lists!$P$2:$P$6</xm:f>
          </x14:formula1>
          <xm:sqref>BY5:BY12</xm:sqref>
        </x14:dataValidation>
        <x14:dataValidation type="list" allowBlank="1" showInputMessage="1" showErrorMessage="1" xr:uid="{0D3BA30E-07B8-476C-8373-E01613526E58}">
          <x14:formula1>
            <xm:f>Lists!$G$2:$G$5</xm:f>
          </x14:formula1>
          <xm:sqref>AA5:AA12</xm:sqref>
        </x14:dataValidation>
        <x14:dataValidation type="list" allowBlank="1" showInputMessage="1" showErrorMessage="1" xr:uid="{681568BB-0AD1-43B1-9ECE-C7EF0C83DD9A}">
          <x14:formula1>
            <xm:f>Lists!$E$2:$E$11</xm:f>
          </x14:formula1>
          <xm:sqref>N5:N12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547DA-BF20-4FCD-B08F-6CECB470323D}">
  <sheetPr codeName="Hoja5">
    <tabColor theme="4" tint="0.79998168889431442"/>
  </sheetPr>
  <dimension ref="A1:P30"/>
  <sheetViews>
    <sheetView showGridLines="0" zoomScale="90" zoomScaleNormal="90" workbookViewId="0">
      <selection activeCell="A14" sqref="A14"/>
    </sheetView>
  </sheetViews>
  <sheetFormatPr defaultColWidth="8.88671875" defaultRowHeight="14.4"/>
  <cols>
    <col min="1" max="2" width="17.44140625" customWidth="1"/>
    <col min="3" max="3" width="23.109375" bestFit="1" customWidth="1"/>
    <col min="4" max="8" width="17.44140625" customWidth="1"/>
    <col min="9" max="9" width="39.88671875" bestFit="1" customWidth="1"/>
    <col min="10" max="11" width="17.44140625" customWidth="1"/>
    <col min="12" max="12" width="14.33203125" bestFit="1" customWidth="1"/>
    <col min="13" max="15" width="14.6640625" bestFit="1" customWidth="1"/>
    <col min="16" max="16" width="14.33203125" bestFit="1" customWidth="1"/>
  </cols>
  <sheetData>
    <row r="1" spans="1:16">
      <c r="L1" s="394" t="s">
        <v>2554</v>
      </c>
      <c r="M1" s="395"/>
      <c r="N1" s="395"/>
      <c r="O1" s="395"/>
      <c r="P1" s="395"/>
    </row>
    <row r="2" spans="1:16" ht="39" customHeight="1">
      <c r="A2" s="397" t="s">
        <v>0</v>
      </c>
      <c r="B2" s="397" t="s">
        <v>144</v>
      </c>
      <c r="C2" s="397" t="s">
        <v>26</v>
      </c>
      <c r="D2" s="397" t="s">
        <v>145</v>
      </c>
      <c r="E2" s="397" t="s">
        <v>146</v>
      </c>
      <c r="F2" s="397" t="s">
        <v>147</v>
      </c>
      <c r="G2" s="397" t="s">
        <v>148</v>
      </c>
      <c r="H2" s="397" t="s">
        <v>149</v>
      </c>
      <c r="I2" s="397" t="s">
        <v>3</v>
      </c>
      <c r="J2" s="397" t="s">
        <v>150</v>
      </c>
      <c r="K2" s="399" t="s">
        <v>4</v>
      </c>
      <c r="L2" s="83" t="s">
        <v>2183</v>
      </c>
      <c r="M2" s="396" t="s">
        <v>2182</v>
      </c>
      <c r="N2" s="396"/>
      <c r="O2" s="396"/>
      <c r="P2" s="396"/>
    </row>
    <row r="3" spans="1:16" ht="13.5" customHeight="1">
      <c r="A3" s="398"/>
      <c r="B3" s="398"/>
      <c r="C3" s="398"/>
      <c r="D3" s="398"/>
      <c r="E3" s="398"/>
      <c r="F3" s="398"/>
      <c r="G3" s="398"/>
      <c r="H3" s="398"/>
      <c r="I3" s="398"/>
      <c r="J3" s="398"/>
      <c r="K3" s="400"/>
      <c r="L3" s="123">
        <f>COUNTIF(L5:L1048576,"KO")</f>
        <v>0</v>
      </c>
      <c r="M3" s="123">
        <f>COUNTIF(M5:M1048576,"KO")</f>
        <v>0</v>
      </c>
      <c r="N3" s="123">
        <f>COUNTIF(N5:N1048576,"KO")</f>
        <v>0</v>
      </c>
      <c r="O3" s="123">
        <f>COUNTIF(O5:O1048576,"KO")</f>
        <v>2</v>
      </c>
      <c r="P3" s="123">
        <f>COUNTIF(P5:P1048576,"KO")</f>
        <v>7</v>
      </c>
    </row>
    <row r="4" spans="1:16">
      <c r="A4" s="24" t="s">
        <v>2558</v>
      </c>
      <c r="B4" s="23" t="s">
        <v>2641</v>
      </c>
      <c r="C4" s="21" t="s">
        <v>2559</v>
      </c>
      <c r="D4" s="21" t="s">
        <v>2560</v>
      </c>
      <c r="E4" s="21" t="s">
        <v>2561</v>
      </c>
      <c r="F4" s="21" t="s">
        <v>2563</v>
      </c>
      <c r="G4" s="21" t="s">
        <v>2565</v>
      </c>
      <c r="H4" s="21" t="s">
        <v>2566</v>
      </c>
      <c r="I4" s="21" t="s">
        <v>2567</v>
      </c>
      <c r="J4" s="21" t="s">
        <v>2568</v>
      </c>
      <c r="K4" s="23" t="s">
        <v>2569</v>
      </c>
      <c r="L4" s="84" t="s">
        <v>298</v>
      </c>
      <c r="M4" s="85" t="s">
        <v>2336</v>
      </c>
      <c r="N4" s="85" t="s">
        <v>2337</v>
      </c>
      <c r="O4" s="85" t="s">
        <v>2338</v>
      </c>
      <c r="P4" s="85" t="s">
        <v>2339</v>
      </c>
    </row>
    <row r="5" spans="1:16" ht="15" customHeight="1">
      <c r="A5" s="126">
        <v>1</v>
      </c>
      <c r="B5" s="126" t="s">
        <v>180</v>
      </c>
      <c r="C5" s="126" t="s">
        <v>2408</v>
      </c>
      <c r="D5" s="126" t="s">
        <v>163</v>
      </c>
      <c r="E5" s="126" t="s">
        <v>2419</v>
      </c>
      <c r="F5" s="126" t="s">
        <v>2346</v>
      </c>
      <c r="G5" s="126" t="s">
        <v>2420</v>
      </c>
      <c r="H5" s="126" t="s">
        <v>2421</v>
      </c>
      <c r="I5" s="126" t="s">
        <v>224</v>
      </c>
      <c r="J5" s="126" t="s">
        <v>2020</v>
      </c>
      <c r="K5" s="130">
        <v>500000000</v>
      </c>
      <c r="L5" s="124" t="str">
        <f>IF(B90.00[[#This Row],[c0030]]="","KO","OK")</f>
        <v>OK</v>
      </c>
      <c r="M5" s="125" t="str">
        <f>IF(OR(B90.00[[#This Row],[c0030]]="Intragroup and intra-resolution group",B90.00[[#This Row],[c0030]]="Intragroup but not intra-resolution group",B90.00[[#This Row],[c0030]]="No"),"OK","KO")</f>
        <v>OK</v>
      </c>
      <c r="N5" s="125" t="str">
        <f>IF(OR(B90.00[[#This Row],[c0080]]="Households",B90.00[[#This Row],[c0080]]="Micro &amp; SME",B90.00[[#This Row],[c0080]]="Corporates",B90.00[[#This Row],[c0080]]="Institutions",B90.00[[#This Row],[c0080]]="Other financial corporations",B90.00[[#This Row],[c0080]]="Insurance firms &amp; pension funds",B90.00[[#This Row],[c0080]]="Government, central banks &amp; supranationals",B90.00[[#This Row],[c0080]]="Non identified, listed on an exchange platform",B90.00[[#This Row],[c0080]]="Non identified, not listed on an exchange platform"),"OK","KO")</f>
        <v>OK</v>
      </c>
      <c r="O5" s="125" t="str">
        <f>IF(AND(B90.00[[#This Row],[c0080]]&lt;&gt;"XX",B90.00[[#This Row],[c0080]]&lt;&gt;"99"),(IF(OR(NOT(ISERROR(MATCH(B90.00[[#This Row],[c0090]],'ISO 3166'!B:B,0))),NOT(ISERROR(MATCH(B90.00[[#This Row],[c0090]],'ISO 3166'!E:E,0)))),"OK","KO")),"OK")</f>
        <v>OK</v>
      </c>
      <c r="P5" s="125" t="str">
        <f>IF(B90.00[[#This Row],[c0030]]&lt;&gt;"No",(IF(B90.00[[#This Row],[c0100]]="","KO",IF(B90.00[[#This Row],[c0100]]=0,"OK","KO"))),"OK")</f>
        <v>KO</v>
      </c>
    </row>
    <row r="6" spans="1:16" ht="15" customHeight="1">
      <c r="A6" s="126">
        <v>2</v>
      </c>
      <c r="B6" s="126" t="s">
        <v>180</v>
      </c>
      <c r="C6" s="126" t="s">
        <v>2379</v>
      </c>
      <c r="D6" s="126" t="s">
        <v>202</v>
      </c>
      <c r="E6" s="126" t="s">
        <v>208</v>
      </c>
      <c r="F6" s="126" t="s">
        <v>208</v>
      </c>
      <c r="G6" s="126" t="s">
        <v>208</v>
      </c>
      <c r="H6" s="126" t="s">
        <v>208</v>
      </c>
      <c r="I6" s="126" t="s">
        <v>253</v>
      </c>
      <c r="J6" s="126" t="s">
        <v>2422</v>
      </c>
      <c r="K6" s="130">
        <v>7661457.5342465751</v>
      </c>
      <c r="L6" s="124" t="str">
        <f>IF(B90.00[[#This Row],[c0030]]="","KO","OK")</f>
        <v>OK</v>
      </c>
      <c r="M6" s="125" t="str">
        <f>IF(OR(B90.00[[#This Row],[c0030]]="Intragroup and intra-resolution group",B90.00[[#This Row],[c0030]]="Intragroup but not intra-resolution group",B90.00[[#This Row],[c0030]]="No"),"OK","KO")</f>
        <v>OK</v>
      </c>
      <c r="N6" s="125" t="str">
        <f>IF(OR(B90.00[[#This Row],[c0080]]="Households",B90.00[[#This Row],[c0080]]="Micro &amp; SME",B90.00[[#This Row],[c0080]]="Corporates",B90.00[[#This Row],[c0080]]="Institutions",B90.00[[#This Row],[c0080]]="Other financial corporations",B90.00[[#This Row],[c0080]]="Insurance firms &amp; pension funds",B90.00[[#This Row],[c0080]]="Government, central banks &amp; supranationals",B90.00[[#This Row],[c0080]]="Non identified, listed on an exchange platform",B90.00[[#This Row],[c0080]]="Non identified, not listed on an exchange platform"),"OK","KO")</f>
        <v>OK</v>
      </c>
      <c r="O6" s="125" t="str">
        <f>IF(AND(B90.00[[#This Row],[c0080]]&lt;&gt;"XX",B90.00[[#This Row],[c0080]]&lt;&gt;"99"),(IF(OR(NOT(ISERROR(MATCH(B90.00[[#This Row],[c0090]],'ISO 3166'!B:B,0))),NOT(ISERROR(MATCH(B90.00[[#This Row],[c0090]],'ISO 3166'!E:E,0)))),"OK","KO")),"OK")</f>
        <v>KO</v>
      </c>
      <c r="P6" s="125" t="str">
        <f>IF(B90.00[[#This Row],[c0030]]&lt;&gt;"No",(IF(B90.00[[#This Row],[c0100]]="","KO",IF(B90.00[[#This Row],[c0100]]=0,"OK","KO"))),"OK")</f>
        <v>OK</v>
      </c>
    </row>
    <row r="7" spans="1:16" ht="15" customHeight="1">
      <c r="A7" s="126">
        <v>3</v>
      </c>
      <c r="B7" s="126" t="s">
        <v>180</v>
      </c>
      <c r="C7" s="126" t="s">
        <v>2411</v>
      </c>
      <c r="D7" s="126" t="s">
        <v>202</v>
      </c>
      <c r="E7" s="126" t="s">
        <v>208</v>
      </c>
      <c r="F7" s="126" t="s">
        <v>208</v>
      </c>
      <c r="G7" s="126" t="s">
        <v>208</v>
      </c>
      <c r="H7" s="126" t="s">
        <v>208</v>
      </c>
      <c r="I7" s="126" t="s">
        <v>253</v>
      </c>
      <c r="J7" s="126" t="s">
        <v>2422</v>
      </c>
      <c r="K7" s="130">
        <v>1762761</v>
      </c>
      <c r="L7" s="124" t="str">
        <f>IF(B90.00[[#This Row],[c0030]]="","KO","OK")</f>
        <v>OK</v>
      </c>
      <c r="M7" s="125" t="str">
        <f>IF(OR(B90.00[[#This Row],[c0030]]="Intragroup and intra-resolution group",B90.00[[#This Row],[c0030]]="Intragroup but not intra-resolution group",B90.00[[#This Row],[c0030]]="No"),"OK","KO")</f>
        <v>OK</v>
      </c>
      <c r="N7" s="125" t="str">
        <f>IF(OR(B90.00[[#This Row],[c0080]]="Households",B90.00[[#This Row],[c0080]]="Micro &amp; SME",B90.00[[#This Row],[c0080]]="Corporates",B90.00[[#This Row],[c0080]]="Institutions",B90.00[[#This Row],[c0080]]="Other financial corporations",B90.00[[#This Row],[c0080]]="Insurance firms &amp; pension funds",B90.00[[#This Row],[c0080]]="Government, central banks &amp; supranationals",B90.00[[#This Row],[c0080]]="Non identified, listed on an exchange platform",B90.00[[#This Row],[c0080]]="Non identified, not listed on an exchange platform"),"OK","KO")</f>
        <v>OK</v>
      </c>
      <c r="O7" s="125" t="str">
        <f>IF(AND(B90.00[[#This Row],[c0080]]&lt;&gt;"XX",B90.00[[#This Row],[c0080]]&lt;&gt;"99"),(IF(OR(NOT(ISERROR(MATCH(B90.00[[#This Row],[c0090]],'ISO 3166'!B:B,0))),NOT(ISERROR(MATCH(B90.00[[#This Row],[c0090]],'ISO 3166'!E:E,0)))),"OK","KO")),"OK")</f>
        <v>KO</v>
      </c>
      <c r="P7" s="125" t="str">
        <f>IF(B90.00[[#This Row],[c0030]]&lt;&gt;"No",(IF(B90.00[[#This Row],[c0100]]="","KO",IF(B90.00[[#This Row],[c0100]]=0,"OK","KO"))),"OK")</f>
        <v>OK</v>
      </c>
    </row>
    <row r="8" spans="1:16" ht="15" customHeight="1">
      <c r="A8" s="126">
        <v>4</v>
      </c>
      <c r="B8" s="126" t="s">
        <v>180</v>
      </c>
      <c r="C8" s="126" t="s">
        <v>2411</v>
      </c>
      <c r="D8" s="126" t="s">
        <v>163</v>
      </c>
      <c r="E8" s="126" t="s">
        <v>2419</v>
      </c>
      <c r="F8" s="126" t="s">
        <v>2346</v>
      </c>
      <c r="G8" s="126" t="s">
        <v>2420</v>
      </c>
      <c r="H8" s="126" t="s">
        <v>2421</v>
      </c>
      <c r="I8" s="126" t="s">
        <v>224</v>
      </c>
      <c r="J8" s="126" t="s">
        <v>2020</v>
      </c>
      <c r="K8" s="130">
        <v>1559695926</v>
      </c>
      <c r="L8" s="124" t="str">
        <f>IF(B90.00[[#This Row],[c0030]]="","KO","OK")</f>
        <v>OK</v>
      </c>
      <c r="M8" s="125" t="str">
        <f>IF(OR(B90.00[[#This Row],[c0030]]="Intragroup and intra-resolution group",B90.00[[#This Row],[c0030]]="Intragroup but not intra-resolution group",B90.00[[#This Row],[c0030]]="No"),"OK","KO")</f>
        <v>OK</v>
      </c>
      <c r="N8" s="125" t="str">
        <f>IF(OR(B90.00[[#This Row],[c0080]]="Households",B90.00[[#This Row],[c0080]]="Micro &amp; SME",B90.00[[#This Row],[c0080]]="Corporates",B90.00[[#This Row],[c0080]]="Institutions",B90.00[[#This Row],[c0080]]="Other financial corporations",B90.00[[#This Row],[c0080]]="Insurance firms &amp; pension funds",B90.00[[#This Row],[c0080]]="Government, central banks &amp; supranationals",B90.00[[#This Row],[c0080]]="Non identified, listed on an exchange platform",B90.00[[#This Row],[c0080]]="Non identified, not listed on an exchange platform"),"OK","KO")</f>
        <v>OK</v>
      </c>
      <c r="O8" s="125" t="str">
        <f>IF(AND(B90.00[[#This Row],[c0080]]&lt;&gt;"XX",B90.00[[#This Row],[c0080]]&lt;&gt;"99"),(IF(OR(NOT(ISERROR(MATCH(B90.00[[#This Row],[c0090]],'ISO 3166'!B:B,0))),NOT(ISERROR(MATCH(B90.00[[#This Row],[c0090]],'ISO 3166'!E:E,0)))),"OK","KO")),"OK")</f>
        <v>OK</v>
      </c>
      <c r="P8" s="125" t="str">
        <f>IF(B90.00[[#This Row],[c0030]]&lt;&gt;"No",(IF(B90.00[[#This Row],[c0100]]="","KO",IF(B90.00[[#This Row],[c0100]]=0,"OK","KO"))),"OK")</f>
        <v>KO</v>
      </c>
    </row>
    <row r="9" spans="1:16" ht="15" customHeight="1">
      <c r="A9" s="126">
        <v>5</v>
      </c>
      <c r="B9" s="126" t="s">
        <v>180</v>
      </c>
      <c r="C9" s="126" t="s">
        <v>2416</v>
      </c>
      <c r="D9" s="126" t="s">
        <v>163</v>
      </c>
      <c r="E9" s="126" t="s">
        <v>2419</v>
      </c>
      <c r="F9" s="126" t="s">
        <v>2346</v>
      </c>
      <c r="G9" s="126" t="s">
        <v>2420</v>
      </c>
      <c r="H9" s="126" t="s">
        <v>2421</v>
      </c>
      <c r="I9" s="126" t="s">
        <v>224</v>
      </c>
      <c r="J9" s="126" t="s">
        <v>2020</v>
      </c>
      <c r="K9" s="130">
        <v>400000000</v>
      </c>
      <c r="L9" s="124" t="str">
        <f>IF(B90.00[[#This Row],[c0030]]="","KO","OK")</f>
        <v>OK</v>
      </c>
      <c r="M9" s="125" t="str">
        <f>IF(OR(B90.00[[#This Row],[c0030]]="Intragroup and intra-resolution group",B90.00[[#This Row],[c0030]]="Intragroup but not intra-resolution group",B90.00[[#This Row],[c0030]]="No"),"OK","KO")</f>
        <v>OK</v>
      </c>
      <c r="N9" s="125" t="str">
        <f>IF(OR(B90.00[[#This Row],[c0080]]="Households",B90.00[[#This Row],[c0080]]="Micro &amp; SME",B90.00[[#This Row],[c0080]]="Corporates",B90.00[[#This Row],[c0080]]="Institutions",B90.00[[#This Row],[c0080]]="Other financial corporations",B90.00[[#This Row],[c0080]]="Insurance firms &amp; pension funds",B90.00[[#This Row],[c0080]]="Government, central banks &amp; supranationals",B90.00[[#This Row],[c0080]]="Non identified, listed on an exchange platform",B90.00[[#This Row],[c0080]]="Non identified, not listed on an exchange platform"),"OK","KO")</f>
        <v>OK</v>
      </c>
      <c r="O9" s="125" t="str">
        <f>IF(AND(B90.00[[#This Row],[c0080]]&lt;&gt;"XX",B90.00[[#This Row],[c0080]]&lt;&gt;"99"),(IF(OR(NOT(ISERROR(MATCH(B90.00[[#This Row],[c0090]],'ISO 3166'!B:B,0))),NOT(ISERROR(MATCH(B90.00[[#This Row],[c0090]],'ISO 3166'!E:E,0)))),"OK","KO")),"OK")</f>
        <v>OK</v>
      </c>
      <c r="P9" s="125" t="str">
        <f>IF(B90.00[[#This Row],[c0030]]&lt;&gt;"No",(IF(B90.00[[#This Row],[c0100]]="","KO",IF(B90.00[[#This Row],[c0100]]=0,"OK","KO"))),"OK")</f>
        <v>KO</v>
      </c>
    </row>
    <row r="10" spans="1:16" ht="15" customHeight="1">
      <c r="A10" s="126">
        <v>6</v>
      </c>
      <c r="B10" s="126" t="s">
        <v>180</v>
      </c>
      <c r="C10" s="126" t="s">
        <v>2390</v>
      </c>
      <c r="D10" s="126" t="s">
        <v>163</v>
      </c>
      <c r="E10" s="126" t="s">
        <v>2419</v>
      </c>
      <c r="F10" s="126" t="s">
        <v>2346</v>
      </c>
      <c r="G10" s="126" t="s">
        <v>2420</v>
      </c>
      <c r="H10" s="126" t="s">
        <v>2421</v>
      </c>
      <c r="I10" s="126" t="s">
        <v>224</v>
      </c>
      <c r="J10" s="126" t="s">
        <v>2020</v>
      </c>
      <c r="K10" s="130">
        <v>608348547.94520545</v>
      </c>
      <c r="L10" s="124" t="str">
        <f>IF(B90.00[[#This Row],[c0030]]="","KO","OK")</f>
        <v>OK</v>
      </c>
      <c r="M10" s="125" t="str">
        <f>IF(OR(B90.00[[#This Row],[c0030]]="Intragroup and intra-resolution group",B90.00[[#This Row],[c0030]]="Intragroup but not intra-resolution group",B90.00[[#This Row],[c0030]]="No"),"OK","KO")</f>
        <v>OK</v>
      </c>
      <c r="N10" s="125" t="str">
        <f>IF(OR(B90.00[[#This Row],[c0080]]="Households",B90.00[[#This Row],[c0080]]="Micro &amp; SME",B90.00[[#This Row],[c0080]]="Corporates",B90.00[[#This Row],[c0080]]="Institutions",B90.00[[#This Row],[c0080]]="Other financial corporations",B90.00[[#This Row],[c0080]]="Insurance firms &amp; pension funds",B90.00[[#This Row],[c0080]]="Government, central banks &amp; supranationals",B90.00[[#This Row],[c0080]]="Non identified, listed on an exchange platform",B90.00[[#This Row],[c0080]]="Non identified, not listed on an exchange platform"),"OK","KO")</f>
        <v>OK</v>
      </c>
      <c r="O10" s="125" t="str">
        <f>IF(AND(B90.00[[#This Row],[c0080]]&lt;&gt;"XX",B90.00[[#This Row],[c0080]]&lt;&gt;"99"),(IF(OR(NOT(ISERROR(MATCH(B90.00[[#This Row],[c0090]],'ISO 3166'!B:B,0))),NOT(ISERROR(MATCH(B90.00[[#This Row],[c0090]],'ISO 3166'!E:E,0)))),"OK","KO")),"OK")</f>
        <v>OK</v>
      </c>
      <c r="P10" s="125" t="str">
        <f>IF(B90.00[[#This Row],[c0030]]&lt;&gt;"No",(IF(B90.00[[#This Row],[c0100]]="","KO",IF(B90.00[[#This Row],[c0100]]=0,"OK","KO"))),"OK")</f>
        <v>KO</v>
      </c>
    </row>
    <row r="11" spans="1:16" ht="15" customHeight="1">
      <c r="A11" s="126">
        <v>7</v>
      </c>
      <c r="B11" s="126" t="s">
        <v>180</v>
      </c>
      <c r="C11" s="126" t="s">
        <v>2395</v>
      </c>
      <c r="D11" s="126" t="s">
        <v>163</v>
      </c>
      <c r="E11" s="126" t="s">
        <v>2419</v>
      </c>
      <c r="F11" s="126" t="s">
        <v>2346</v>
      </c>
      <c r="G11" s="126" t="s">
        <v>2420</v>
      </c>
      <c r="H11" s="126" t="s">
        <v>2421</v>
      </c>
      <c r="I11" s="126" t="s">
        <v>224</v>
      </c>
      <c r="J11" s="126" t="s">
        <v>2020</v>
      </c>
      <c r="K11" s="130">
        <v>204106991.78082192</v>
      </c>
      <c r="L11" s="124" t="str">
        <f>IF(B90.00[[#This Row],[c0030]]="","KO","OK")</f>
        <v>OK</v>
      </c>
      <c r="M11" s="125" t="str">
        <f>IF(OR(B90.00[[#This Row],[c0030]]="Intragroup and intra-resolution group",B90.00[[#This Row],[c0030]]="Intragroup but not intra-resolution group",B90.00[[#This Row],[c0030]]="No"),"OK","KO")</f>
        <v>OK</v>
      </c>
      <c r="N11" s="125" t="str">
        <f>IF(OR(B90.00[[#This Row],[c0080]]="Households",B90.00[[#This Row],[c0080]]="Micro &amp; SME",B90.00[[#This Row],[c0080]]="Corporates",B90.00[[#This Row],[c0080]]="Institutions",B90.00[[#This Row],[c0080]]="Other financial corporations",B90.00[[#This Row],[c0080]]="Insurance firms &amp; pension funds",B90.00[[#This Row],[c0080]]="Government, central banks &amp; supranationals",B90.00[[#This Row],[c0080]]="Non identified, listed on an exchange platform",B90.00[[#This Row],[c0080]]="Non identified, not listed on an exchange platform"),"OK","KO")</f>
        <v>OK</v>
      </c>
      <c r="O11" s="125" t="str">
        <f>IF(AND(B90.00[[#This Row],[c0080]]&lt;&gt;"XX",B90.00[[#This Row],[c0080]]&lt;&gt;"99"),(IF(OR(NOT(ISERROR(MATCH(B90.00[[#This Row],[c0090]],'ISO 3166'!B:B,0))),NOT(ISERROR(MATCH(B90.00[[#This Row],[c0090]],'ISO 3166'!E:E,0)))),"OK","KO")),"OK")</f>
        <v>OK</v>
      </c>
      <c r="P11" s="125" t="str">
        <f>IF(B90.00[[#This Row],[c0030]]&lt;&gt;"No",(IF(B90.00[[#This Row],[c0100]]="","KO",IF(B90.00[[#This Row],[c0100]]=0,"OK","KO"))),"OK")</f>
        <v>KO</v>
      </c>
    </row>
    <row r="12" spans="1:16" ht="15" customHeight="1">
      <c r="A12" s="126">
        <v>8</v>
      </c>
      <c r="B12" s="126" t="s">
        <v>180</v>
      </c>
      <c r="C12" s="126" t="s">
        <v>2400</v>
      </c>
      <c r="D12" s="126" t="s">
        <v>163</v>
      </c>
      <c r="E12" s="126" t="s">
        <v>2419</v>
      </c>
      <c r="F12" s="126" t="s">
        <v>2346</v>
      </c>
      <c r="G12" s="126" t="s">
        <v>2420</v>
      </c>
      <c r="H12" s="126" t="s">
        <v>2421</v>
      </c>
      <c r="I12" s="126" t="s">
        <v>224</v>
      </c>
      <c r="J12" s="126" t="s">
        <v>2020</v>
      </c>
      <c r="K12" s="130">
        <v>300000000</v>
      </c>
      <c r="L12" s="124" t="str">
        <f>IF(B90.00[[#This Row],[c0030]]="","KO","OK")</f>
        <v>OK</v>
      </c>
      <c r="M12" s="125" t="str">
        <f>IF(OR(B90.00[[#This Row],[c0030]]="Intragroup and intra-resolution group",B90.00[[#This Row],[c0030]]="Intragroup but not intra-resolution group",B90.00[[#This Row],[c0030]]="No"),"OK","KO")</f>
        <v>OK</v>
      </c>
      <c r="N12" s="125" t="str">
        <f>IF(OR(B90.00[[#This Row],[c0080]]="Households",B90.00[[#This Row],[c0080]]="Micro &amp; SME",B90.00[[#This Row],[c0080]]="Corporates",B90.00[[#This Row],[c0080]]="Institutions",B90.00[[#This Row],[c0080]]="Other financial corporations",B90.00[[#This Row],[c0080]]="Insurance firms &amp; pension funds",B90.00[[#This Row],[c0080]]="Government, central banks &amp; supranationals",B90.00[[#This Row],[c0080]]="Non identified, listed on an exchange platform",B90.00[[#This Row],[c0080]]="Non identified, not listed on an exchange platform"),"OK","KO")</f>
        <v>OK</v>
      </c>
      <c r="O12" s="125" t="str">
        <f>IF(AND(B90.00[[#This Row],[c0080]]&lt;&gt;"XX",B90.00[[#This Row],[c0080]]&lt;&gt;"99"),(IF(OR(NOT(ISERROR(MATCH(B90.00[[#This Row],[c0090]],'ISO 3166'!B:B,0))),NOT(ISERROR(MATCH(B90.00[[#This Row],[c0090]],'ISO 3166'!E:E,0)))),"OK","KO")),"OK")</f>
        <v>OK</v>
      </c>
      <c r="P12" s="125" t="str">
        <f>IF(B90.00[[#This Row],[c0030]]&lt;&gt;"No",(IF(B90.00[[#This Row],[c0100]]="","KO",IF(B90.00[[#This Row],[c0100]]=0,"OK","KO"))),"OK")</f>
        <v>KO</v>
      </c>
    </row>
    <row r="13" spans="1:16" ht="15" customHeight="1">
      <c r="A13" s="126">
        <v>9</v>
      </c>
      <c r="B13" s="126" t="s">
        <v>180</v>
      </c>
      <c r="C13" s="126" t="s">
        <v>2403</v>
      </c>
      <c r="D13" s="126" t="s">
        <v>163</v>
      </c>
      <c r="E13" s="126" t="s">
        <v>2419</v>
      </c>
      <c r="F13" s="126" t="s">
        <v>2346</v>
      </c>
      <c r="G13" s="126" t="s">
        <v>2420</v>
      </c>
      <c r="H13" s="126" t="s">
        <v>2421</v>
      </c>
      <c r="I13" s="126" t="s">
        <v>224</v>
      </c>
      <c r="J13" s="126" t="s">
        <v>2020</v>
      </c>
      <c r="K13" s="130">
        <v>506011013.69863015</v>
      </c>
      <c r="L13" s="124" t="str">
        <f>IF(B90.00[[#This Row],[c0030]]="","KO","OK")</f>
        <v>OK</v>
      </c>
      <c r="M13" s="125" t="str">
        <f>IF(OR(B90.00[[#This Row],[c0030]]="Intragroup and intra-resolution group",B90.00[[#This Row],[c0030]]="Intragroup but not intra-resolution group",B90.00[[#This Row],[c0030]]="No"),"OK","KO")</f>
        <v>OK</v>
      </c>
      <c r="N13" s="125" t="str">
        <f>IF(OR(B90.00[[#This Row],[c0080]]="Households",B90.00[[#This Row],[c0080]]="Micro &amp; SME",B90.00[[#This Row],[c0080]]="Corporates",B90.00[[#This Row],[c0080]]="Institutions",B90.00[[#This Row],[c0080]]="Other financial corporations",B90.00[[#This Row],[c0080]]="Insurance firms &amp; pension funds",B90.00[[#This Row],[c0080]]="Government, central banks &amp; supranationals",B90.00[[#This Row],[c0080]]="Non identified, listed on an exchange platform",B90.00[[#This Row],[c0080]]="Non identified, not listed on an exchange platform"),"OK","KO")</f>
        <v>OK</v>
      </c>
      <c r="O13" s="125" t="str">
        <f>IF(AND(B90.00[[#This Row],[c0080]]&lt;&gt;"XX",B90.00[[#This Row],[c0080]]&lt;&gt;"99"),(IF(OR(NOT(ISERROR(MATCH(B90.00[[#This Row],[c0090]],'ISO 3166'!B:B,0))),NOT(ISERROR(MATCH(B90.00[[#This Row],[c0090]],'ISO 3166'!E:E,0)))),"OK","KO")),"OK")</f>
        <v>OK</v>
      </c>
      <c r="P13" s="125" t="str">
        <f>IF(B90.00[[#This Row],[c0030]]&lt;&gt;"No",(IF(B90.00[[#This Row],[c0100]]="","KO",IF(B90.00[[#This Row],[c0100]]=0,"OK","KO"))),"OK")</f>
        <v>KO</v>
      </c>
    </row>
    <row r="14" spans="1:16" ht="15" customHeight="1"/>
    <row r="17" spans="7:11">
      <c r="K17" s="168"/>
    </row>
    <row r="19" spans="7:11">
      <c r="K19" s="168"/>
    </row>
    <row r="21" spans="7:11">
      <c r="G21" s="168"/>
      <c r="H21" s="168"/>
      <c r="I21" s="168"/>
    </row>
    <row r="22" spans="7:11">
      <c r="G22" s="168"/>
      <c r="H22" s="168"/>
      <c r="I22" s="168"/>
    </row>
    <row r="23" spans="7:11">
      <c r="G23" s="168"/>
      <c r="H23" s="168"/>
      <c r="I23" s="168"/>
    </row>
    <row r="24" spans="7:11">
      <c r="G24" s="168"/>
      <c r="H24" s="168"/>
      <c r="I24" s="168"/>
    </row>
    <row r="25" spans="7:11">
      <c r="G25" s="168"/>
      <c r="H25" s="168"/>
      <c r="I25" s="168"/>
    </row>
    <row r="26" spans="7:11">
      <c r="G26" s="168"/>
      <c r="H26" s="168"/>
      <c r="I26" s="168"/>
    </row>
    <row r="27" spans="7:11">
      <c r="G27" s="168"/>
      <c r="H27" s="168"/>
      <c r="I27" s="168"/>
    </row>
    <row r="28" spans="7:11">
      <c r="G28" s="168"/>
      <c r="H28" s="168"/>
      <c r="I28" s="168"/>
    </row>
    <row r="30" spans="7:11">
      <c r="G30" s="168"/>
      <c r="H30" s="168"/>
      <c r="I30" s="168"/>
    </row>
  </sheetData>
  <autoFilter ref="L4:P14" xr:uid="{ABD547DA-BF20-4FCD-B08F-6CECB470323D}"/>
  <mergeCells count="13">
    <mergeCell ref="L1:P1"/>
    <mergeCell ref="M2:P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</mergeCells>
  <phoneticPr fontId="11" type="noConversion"/>
  <conditionalFormatting sqref="L3:P3">
    <cfRule type="cellIs" dxfId="27" priority="1" operator="equal">
      <formula>0</formula>
    </cfRule>
    <cfRule type="cellIs" dxfId="26" priority="2" operator="greaterThan">
      <formula>0</formula>
    </cfRule>
  </conditionalFormatting>
  <conditionalFormatting sqref="L5:P14">
    <cfRule type="cellIs" dxfId="25" priority="8" operator="equal">
      <formula>"OK"</formula>
    </cfRule>
    <cfRule type="cellIs" dxfId="24" priority="9" operator="equal">
      <formula>"KO"</formula>
    </cfRule>
    <cfRule type="cellIs" dxfId="23" priority="10" operator="equal">
      <formula>#REF!</formula>
    </cfRule>
    <cfRule type="cellIs" dxfId="22" priority="11" operator="equal">
      <formula>#REF!=KO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27CA7AA-3126-4B7A-9116-73F7B682E184}">
          <x14:formula1>
            <xm:f>Lists!$M$2:$M$10</xm:f>
          </x14:formula1>
          <xm:sqref>I5:I13</xm:sqref>
        </x14:dataValidation>
        <x14:dataValidation type="list" allowBlank="1" showInputMessage="1" showErrorMessage="1" xr:uid="{D1713958-2EDD-4847-B48C-3403B6CA18D5}">
          <x14:formula1>
            <xm:f>Lists!$D$2:$D$4</xm:f>
          </x14:formula1>
          <xm:sqref>D5:D13</xm:sqref>
        </x14:dataValidation>
        <x14:dataValidation type="list" allowBlank="1" showInputMessage="1" showErrorMessage="1" xr:uid="{5390DD21-EFA8-4182-B160-190E93BFEC7D}">
          <x14:formula1>
            <xm:f>Lists!$V$2:$V$5</xm:f>
          </x14:formula1>
          <xm:sqref>B5:B13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4A384-1074-43AE-B89D-B2D26EC31B77}">
  <sheetPr codeName="Hoja2">
    <tabColor theme="9" tint="0.39997558519241921"/>
  </sheetPr>
  <dimension ref="B1:U44"/>
  <sheetViews>
    <sheetView showGridLines="0" zoomScale="85" zoomScaleNormal="85" workbookViewId="0">
      <pane xSplit="11" ySplit="4" topLeftCell="L8" activePane="bottomRight" state="frozen"/>
      <selection activeCell="R9" sqref="R9"/>
      <selection pane="topRight" activeCell="R9" sqref="R9"/>
      <selection pane="bottomLeft" activeCell="R9" sqref="R9"/>
      <selection pane="bottomRight" activeCell="R9" sqref="R9"/>
    </sheetView>
  </sheetViews>
  <sheetFormatPr defaultColWidth="10.88671875" defaultRowHeight="14.4" outlineLevelCol="1"/>
  <cols>
    <col min="1" max="1" width="1.88671875" customWidth="1"/>
    <col min="2" max="2" width="11.44140625" customWidth="1"/>
    <col min="3" max="3" width="6.44140625" bestFit="1" customWidth="1"/>
    <col min="4" max="4" width="10.5546875" customWidth="1"/>
    <col min="5" max="5" width="22.5546875" customWidth="1"/>
    <col min="6" max="6" width="19.33203125" hidden="1" customWidth="1" outlineLevel="1"/>
    <col min="7" max="7" width="16" hidden="1" customWidth="1" outlineLevel="1"/>
    <col min="8" max="8" width="15.5546875" hidden="1" customWidth="1" outlineLevel="1"/>
    <col min="9" max="9" width="23.5546875" customWidth="1" collapsed="1"/>
    <col min="10" max="10" width="23.5546875" customWidth="1"/>
    <col min="11" max="11" width="31.109375" customWidth="1"/>
    <col min="12" max="12" width="11" customWidth="1"/>
    <col min="13" max="13" width="11.33203125" bestFit="1" customWidth="1"/>
    <col min="17" max="17" width="20.5546875" bestFit="1" customWidth="1"/>
    <col min="18" max="18" width="19.109375" bestFit="1" customWidth="1"/>
    <col min="20" max="20" width="20.5546875" bestFit="1" customWidth="1"/>
  </cols>
  <sheetData>
    <row r="1" spans="2:21" ht="9.9" customHeight="1"/>
    <row r="2" spans="2:21" ht="15.6">
      <c r="B2" s="69" t="s">
        <v>2184</v>
      </c>
      <c r="C2" s="70"/>
      <c r="D2" s="70"/>
      <c r="E2" s="70"/>
      <c r="F2" s="70"/>
      <c r="G2" s="70"/>
      <c r="H2" s="70"/>
      <c r="I2" s="70"/>
      <c r="J2" s="91"/>
      <c r="K2" s="70"/>
      <c r="L2" s="91"/>
    </row>
    <row r="3" spans="2:21">
      <c r="J3" s="99"/>
      <c r="K3" s="97"/>
      <c r="M3" s="401" t="s">
        <v>2335</v>
      </c>
      <c r="N3" s="402"/>
      <c r="O3" s="401" t="s">
        <v>297</v>
      </c>
      <c r="P3" s="402"/>
      <c r="R3" s="401" t="s">
        <v>2335</v>
      </c>
      <c r="S3" s="402"/>
      <c r="T3" s="401" t="s">
        <v>297</v>
      </c>
      <c r="U3" s="402"/>
    </row>
    <row r="4" spans="2:21" ht="50.1" customHeight="1">
      <c r="B4" s="71" t="s">
        <v>2185</v>
      </c>
      <c r="C4" s="71" t="s">
        <v>2186</v>
      </c>
      <c r="D4" s="71" t="s">
        <v>2187</v>
      </c>
      <c r="E4" s="71" t="s">
        <v>2188</v>
      </c>
      <c r="F4" s="71" t="s">
        <v>2189</v>
      </c>
      <c r="G4" s="71" t="s">
        <v>2190</v>
      </c>
      <c r="H4" s="71" t="s">
        <v>2191</v>
      </c>
      <c r="I4" s="71" t="s">
        <v>2353</v>
      </c>
      <c r="J4" s="98" t="s">
        <v>2192</v>
      </c>
      <c r="K4" s="71" t="s">
        <v>2193</v>
      </c>
      <c r="L4" s="93" t="s">
        <v>2345</v>
      </c>
      <c r="M4" s="94" t="s">
        <v>2342</v>
      </c>
      <c r="N4" s="94" t="s">
        <v>2343</v>
      </c>
      <c r="O4" s="94" t="s">
        <v>2342</v>
      </c>
      <c r="P4" s="95" t="s">
        <v>2343</v>
      </c>
      <c r="Q4" s="96" t="s">
        <v>2344</v>
      </c>
      <c r="R4" s="95" t="s">
        <v>2340</v>
      </c>
      <c r="S4" s="95" t="s">
        <v>2343</v>
      </c>
      <c r="T4" s="95" t="s">
        <v>2340</v>
      </c>
      <c r="U4" s="95" t="s">
        <v>2343</v>
      </c>
    </row>
    <row r="5" spans="2:21" ht="20.399999999999999">
      <c r="B5" s="25" t="s">
        <v>258</v>
      </c>
      <c r="C5" s="25" t="s">
        <v>2194</v>
      </c>
      <c r="D5" s="25" t="s">
        <v>5</v>
      </c>
      <c r="E5" s="72" t="s">
        <v>0</v>
      </c>
      <c r="F5" s="72" t="s">
        <v>2356</v>
      </c>
      <c r="G5" s="73" t="s">
        <v>2195</v>
      </c>
      <c r="H5" s="73"/>
      <c r="I5" s="72" t="s">
        <v>2196</v>
      </c>
      <c r="J5" s="116"/>
      <c r="K5" s="72" t="s">
        <v>2197</v>
      </c>
      <c r="L5" s="92">
        <f t="shared" ref="L5:L43" si="0">SUM(M5,O5)</f>
        <v>8</v>
      </c>
      <c r="M5" s="118">
        <f>COUNTIF('B0200'!CD:CD,"KO")</f>
        <v>0</v>
      </c>
      <c r="N5" s="117">
        <f>M5/L5</f>
        <v>0</v>
      </c>
      <c r="O5" s="118">
        <f>COUNTIF('B0200'!CD:CD,"OK")</f>
        <v>8</v>
      </c>
      <c r="P5" s="117">
        <f>O5/L5</f>
        <v>1</v>
      </c>
      <c r="Q5" s="119">
        <f>SUM(R5,T5)</f>
        <v>4092150672.9580822</v>
      </c>
      <c r="R5" s="119">
        <f>SUMIFS('B0200'!L:L,'B0200'!CD:CD,"KO")</f>
        <v>0</v>
      </c>
      <c r="S5" s="117">
        <f>R5/Q5</f>
        <v>0</v>
      </c>
      <c r="T5" s="119">
        <f>SUMIFS('B0200'!L:L,'B0200'!CD:CD,"OK")</f>
        <v>4092150672.9580822</v>
      </c>
      <c r="U5" s="117">
        <f>T5/Q5</f>
        <v>1</v>
      </c>
    </row>
    <row r="6" spans="2:21" ht="20.399999999999999">
      <c r="B6" s="25" t="s">
        <v>259</v>
      </c>
      <c r="C6" s="25" t="s">
        <v>2194</v>
      </c>
      <c r="D6" s="25" t="s">
        <v>7</v>
      </c>
      <c r="E6" s="72" t="s">
        <v>26</v>
      </c>
      <c r="F6" s="72" t="s">
        <v>2357</v>
      </c>
      <c r="G6" s="73" t="s">
        <v>2195</v>
      </c>
      <c r="H6" s="73"/>
      <c r="I6" s="72" t="s">
        <v>2198</v>
      </c>
      <c r="J6" s="116"/>
      <c r="K6" s="72" t="s">
        <v>2197</v>
      </c>
      <c r="L6" s="92">
        <f t="shared" si="0"/>
        <v>8</v>
      </c>
      <c r="M6" s="118">
        <f>COUNTIF('B0200'!CE:CE,"KO")</f>
        <v>0</v>
      </c>
      <c r="N6" s="117">
        <f t="shared" ref="N6:N44" si="1">M6/L6</f>
        <v>0</v>
      </c>
      <c r="O6" s="118">
        <f>COUNTIF('B0200'!CE:CE,"OK")</f>
        <v>8</v>
      </c>
      <c r="P6" s="117">
        <f t="shared" ref="P6:P44" si="2">O6/L6</f>
        <v>1</v>
      </c>
      <c r="Q6" s="119">
        <f t="shared" ref="Q6:Q44" si="3">SUM(R6,T6)</f>
        <v>4092150672.9580822</v>
      </c>
      <c r="R6" s="119">
        <f>SUMIFS('B0200'!L:L,'B0200'!CE:CE,"KO")</f>
        <v>0</v>
      </c>
      <c r="S6" s="117">
        <f t="shared" ref="S6:S44" si="4">R6/Q6</f>
        <v>0</v>
      </c>
      <c r="T6" s="119">
        <f>SUMIFS('B0200'!L:L,'B0200'!CE:CE,"OK")</f>
        <v>4092150672.9580822</v>
      </c>
      <c r="U6" s="117">
        <f t="shared" ref="U6:U44" si="5">T6/Q6</f>
        <v>1</v>
      </c>
    </row>
    <row r="7" spans="2:21" ht="30.6">
      <c r="B7" s="25" t="s">
        <v>260</v>
      </c>
      <c r="C7" s="25" t="s">
        <v>2194</v>
      </c>
      <c r="D7" s="25" t="s">
        <v>8</v>
      </c>
      <c r="E7" s="72" t="s">
        <v>27</v>
      </c>
      <c r="F7" s="72" t="s">
        <v>2358</v>
      </c>
      <c r="G7" s="73" t="s">
        <v>2195</v>
      </c>
      <c r="H7" s="73"/>
      <c r="I7" s="72" t="s">
        <v>2198</v>
      </c>
      <c r="J7" s="116"/>
      <c r="K7" s="72" t="s">
        <v>2197</v>
      </c>
      <c r="L7" s="92">
        <f t="shared" si="0"/>
        <v>8</v>
      </c>
      <c r="M7" s="118">
        <f>COUNTIF('B0200'!CF:CF,"KO")</f>
        <v>0</v>
      </c>
      <c r="N7" s="117">
        <f t="shared" si="1"/>
        <v>0</v>
      </c>
      <c r="O7" s="118">
        <f>COUNTIF('B0200'!CF:CF,"OK")</f>
        <v>8</v>
      </c>
      <c r="P7" s="117">
        <f t="shared" si="2"/>
        <v>1</v>
      </c>
      <c r="Q7" s="119">
        <f t="shared" si="3"/>
        <v>4092150672.9580822</v>
      </c>
      <c r="R7" s="119">
        <f>SUMIFS('B0200'!L:L,'B0200'!CF:CF,"KO")</f>
        <v>0</v>
      </c>
      <c r="S7" s="117">
        <f t="shared" si="4"/>
        <v>0</v>
      </c>
      <c r="T7" s="119">
        <f>SUMIFS('B0200'!L:L,'B0200'!CF:CF,"OK")</f>
        <v>4092150672.9580822</v>
      </c>
      <c r="U7" s="117">
        <f t="shared" si="5"/>
        <v>1</v>
      </c>
    </row>
    <row r="8" spans="2:21" ht="20.399999999999999">
      <c r="B8" s="25" t="s">
        <v>261</v>
      </c>
      <c r="C8" s="25" t="s">
        <v>2194</v>
      </c>
      <c r="D8" s="25" t="s">
        <v>21</v>
      </c>
      <c r="E8" s="72" t="s">
        <v>2199</v>
      </c>
      <c r="F8" s="72" t="s">
        <v>2359</v>
      </c>
      <c r="G8" s="73" t="s">
        <v>2195</v>
      </c>
      <c r="H8" s="73"/>
      <c r="I8" s="72" t="s">
        <v>2198</v>
      </c>
      <c r="J8" s="116"/>
      <c r="K8" s="72" t="s">
        <v>2197</v>
      </c>
      <c r="L8" s="92">
        <f t="shared" si="0"/>
        <v>8</v>
      </c>
      <c r="M8" s="118">
        <f>COUNTIF('B0200'!CG:CG,"KO")</f>
        <v>0</v>
      </c>
      <c r="N8" s="117">
        <f t="shared" si="1"/>
        <v>0</v>
      </c>
      <c r="O8" s="118">
        <f>COUNTIF('B0200'!CG:CG,"OK")</f>
        <v>8</v>
      </c>
      <c r="P8" s="117">
        <f t="shared" si="2"/>
        <v>1</v>
      </c>
      <c r="Q8" s="119">
        <f t="shared" si="3"/>
        <v>4092150672.9580822</v>
      </c>
      <c r="R8" s="119">
        <f>SUMIFS('B0200'!L:L,'B0200'!CG:CG,"KO")</f>
        <v>0</v>
      </c>
      <c r="S8" s="117">
        <f t="shared" si="4"/>
        <v>0</v>
      </c>
      <c r="T8" s="119">
        <f>SUMIFS('B0200'!L:L,'B0200'!CG:CG,"OK")</f>
        <v>4092150672.9580822</v>
      </c>
      <c r="U8" s="117">
        <f t="shared" si="5"/>
        <v>1</v>
      </c>
    </row>
    <row r="9" spans="2:21" ht="30.6">
      <c r="B9" s="25" t="s">
        <v>262</v>
      </c>
      <c r="C9" s="25" t="s">
        <v>2194</v>
      </c>
      <c r="D9" s="25" t="s">
        <v>22</v>
      </c>
      <c r="E9" s="72" t="s">
        <v>31</v>
      </c>
      <c r="F9" s="72" t="s">
        <v>2360</v>
      </c>
      <c r="G9" s="73" t="s">
        <v>2195</v>
      </c>
      <c r="H9" s="73"/>
      <c r="I9" s="72" t="s">
        <v>2198</v>
      </c>
      <c r="J9" s="72" t="s">
        <v>2200</v>
      </c>
      <c r="K9" s="72" t="s">
        <v>2201</v>
      </c>
      <c r="L9" s="92">
        <f t="shared" si="0"/>
        <v>8</v>
      </c>
      <c r="M9" s="118">
        <f>COUNTIF('B0200'!CH:CH,"KO")</f>
        <v>0</v>
      </c>
      <c r="N9" s="117">
        <f t="shared" si="1"/>
        <v>0</v>
      </c>
      <c r="O9" s="118">
        <f>COUNTIF('B0200'!CH:CH,"OK")</f>
        <v>8</v>
      </c>
      <c r="P9" s="117">
        <f t="shared" si="2"/>
        <v>1</v>
      </c>
      <c r="Q9" s="119">
        <f t="shared" si="3"/>
        <v>4092150672.9580822</v>
      </c>
      <c r="R9" s="119">
        <f>SUMIFS('B0200'!L:L,'B0200'!CH:CH,"KO")</f>
        <v>0</v>
      </c>
      <c r="S9" s="117">
        <f t="shared" si="4"/>
        <v>0</v>
      </c>
      <c r="T9" s="119">
        <f>SUMIFS('B0200'!L:L,'B0200'!CH:CH,"OK")</f>
        <v>4092150672.9580822</v>
      </c>
      <c r="U9" s="117">
        <f t="shared" si="5"/>
        <v>1</v>
      </c>
    </row>
    <row r="10" spans="2:21" ht="30.6">
      <c r="B10" s="25" t="s">
        <v>263</v>
      </c>
      <c r="C10" s="25" t="s">
        <v>2194</v>
      </c>
      <c r="D10" s="25" t="s">
        <v>22</v>
      </c>
      <c r="E10" s="72" t="s">
        <v>31</v>
      </c>
      <c r="F10" s="72" t="s">
        <v>2360</v>
      </c>
      <c r="G10" s="73"/>
      <c r="H10" s="73" t="s">
        <v>2195</v>
      </c>
      <c r="I10" s="72" t="s">
        <v>2198</v>
      </c>
      <c r="J10" s="72" t="s">
        <v>2202</v>
      </c>
      <c r="K10" s="72" t="s">
        <v>2203</v>
      </c>
      <c r="L10" s="92">
        <f t="shared" si="0"/>
        <v>8</v>
      </c>
      <c r="M10" s="118">
        <f>COUNTIF('B0200'!CI:CI,"KO")</f>
        <v>0</v>
      </c>
      <c r="N10" s="117">
        <f t="shared" si="1"/>
        <v>0</v>
      </c>
      <c r="O10" s="118">
        <f>COUNTIF('B0200'!CI:CI,"OK")</f>
        <v>8</v>
      </c>
      <c r="P10" s="117">
        <f t="shared" si="2"/>
        <v>1</v>
      </c>
      <c r="Q10" s="119">
        <f t="shared" si="3"/>
        <v>4092150672.9580822</v>
      </c>
      <c r="R10" s="119">
        <f>SUMIFS('B0200'!L:L,'B0200'!CI:CI,"KO")</f>
        <v>0</v>
      </c>
      <c r="S10" s="117">
        <f t="shared" si="4"/>
        <v>0</v>
      </c>
      <c r="T10" s="119">
        <f>SUMIFS('B0200'!L:L,'B0200'!CI:CI,"OK")</f>
        <v>4092150672.9580822</v>
      </c>
      <c r="U10" s="117">
        <f t="shared" si="5"/>
        <v>1</v>
      </c>
    </row>
    <row r="11" spans="2:21" ht="30.6">
      <c r="B11" s="25" t="s">
        <v>264</v>
      </c>
      <c r="C11" s="25" t="s">
        <v>2194</v>
      </c>
      <c r="D11" s="25" t="s">
        <v>23</v>
      </c>
      <c r="E11" s="72" t="s">
        <v>2204</v>
      </c>
      <c r="F11" s="72" t="s">
        <v>2360</v>
      </c>
      <c r="G11" s="73" t="s">
        <v>2195</v>
      </c>
      <c r="H11" s="73"/>
      <c r="I11" s="72" t="s">
        <v>2198</v>
      </c>
      <c r="J11" s="72" t="s">
        <v>2205</v>
      </c>
      <c r="K11" s="72" t="s">
        <v>2206</v>
      </c>
      <c r="L11" s="92">
        <f t="shared" si="0"/>
        <v>8</v>
      </c>
      <c r="M11" s="118">
        <f>COUNTIF('B0200'!CJ:CJ,"KO")</f>
        <v>0</v>
      </c>
      <c r="N11" s="117">
        <f t="shared" si="1"/>
        <v>0</v>
      </c>
      <c r="O11" s="118">
        <f>COUNTIF('B0200'!CJ:CJ,"OK")</f>
        <v>8</v>
      </c>
      <c r="P11" s="117">
        <f t="shared" si="2"/>
        <v>1</v>
      </c>
      <c r="Q11" s="119">
        <f t="shared" si="3"/>
        <v>4092150672.9580822</v>
      </c>
      <c r="R11" s="119">
        <f>SUMIFS('B0200'!L:L,'B0200'!CJ:CJ,"KO")</f>
        <v>0</v>
      </c>
      <c r="S11" s="117">
        <f t="shared" si="4"/>
        <v>0</v>
      </c>
      <c r="T11" s="119">
        <f>SUMIFS('B0200'!L:L,'B0200'!CJ:CJ,"OK")</f>
        <v>4092150672.9580822</v>
      </c>
      <c r="U11" s="117">
        <f t="shared" si="5"/>
        <v>1</v>
      </c>
    </row>
    <row r="12" spans="2:21" ht="51">
      <c r="B12" s="25" t="s">
        <v>265</v>
      </c>
      <c r="C12" s="25" t="s">
        <v>2194</v>
      </c>
      <c r="D12" s="25" t="s">
        <v>103</v>
      </c>
      <c r="E12" s="72" t="s">
        <v>33</v>
      </c>
      <c r="F12" s="72" t="s">
        <v>2360</v>
      </c>
      <c r="G12" s="73" t="s">
        <v>2195</v>
      </c>
      <c r="H12" s="73"/>
      <c r="I12" s="72" t="s">
        <v>2198</v>
      </c>
      <c r="J12" s="72" t="s">
        <v>2207</v>
      </c>
      <c r="K12" s="72" t="s">
        <v>2208</v>
      </c>
      <c r="L12" s="92">
        <f t="shared" si="0"/>
        <v>8</v>
      </c>
      <c r="M12" s="118">
        <f>COUNTIF('B0200'!CK:CK,"KO")</f>
        <v>0</v>
      </c>
      <c r="N12" s="117">
        <f t="shared" si="1"/>
        <v>0</v>
      </c>
      <c r="O12" s="118">
        <f>COUNTIF('B0200'!CK:CK,"OK")</f>
        <v>8</v>
      </c>
      <c r="P12" s="117">
        <f t="shared" si="2"/>
        <v>1</v>
      </c>
      <c r="Q12" s="119">
        <f t="shared" si="3"/>
        <v>4092150672.9580822</v>
      </c>
      <c r="R12" s="119">
        <f>SUMIFS('B0200'!L:L,'B0200'!CK:CK,"KO")</f>
        <v>0</v>
      </c>
      <c r="S12" s="117">
        <f t="shared" si="4"/>
        <v>0</v>
      </c>
      <c r="T12" s="119">
        <f>SUMIFS('B0200'!L:L,'B0200'!CK:CK,"OK")</f>
        <v>4092150672.9580822</v>
      </c>
      <c r="U12" s="117">
        <f t="shared" si="5"/>
        <v>1</v>
      </c>
    </row>
    <row r="13" spans="2:21" ht="30.6">
      <c r="B13" s="25" t="s">
        <v>266</v>
      </c>
      <c r="C13" s="25" t="s">
        <v>2194</v>
      </c>
      <c r="D13" s="25" t="s">
        <v>103</v>
      </c>
      <c r="E13" s="72" t="s">
        <v>33</v>
      </c>
      <c r="F13" s="72" t="s">
        <v>2360</v>
      </c>
      <c r="G13" s="73"/>
      <c r="H13" s="73" t="s">
        <v>2195</v>
      </c>
      <c r="I13" s="72" t="s">
        <v>2198</v>
      </c>
      <c r="J13" s="72" t="s">
        <v>2209</v>
      </c>
      <c r="K13" s="72" t="s">
        <v>2210</v>
      </c>
      <c r="L13" s="92">
        <f t="shared" si="0"/>
        <v>8</v>
      </c>
      <c r="M13" s="118">
        <f>COUNTIF('B0200'!CL:CL,"KO")</f>
        <v>0</v>
      </c>
      <c r="N13" s="117">
        <f t="shared" si="1"/>
        <v>0</v>
      </c>
      <c r="O13" s="118">
        <f>COUNTIF('B0200'!CL:CL,"OK")</f>
        <v>8</v>
      </c>
      <c r="P13" s="117">
        <f t="shared" si="2"/>
        <v>1</v>
      </c>
      <c r="Q13" s="119">
        <f t="shared" si="3"/>
        <v>4092150672.9580822</v>
      </c>
      <c r="R13" s="119">
        <f>SUMIFS('B0200'!L:L,'B0200'!CL:CL,"KO")</f>
        <v>0</v>
      </c>
      <c r="S13" s="117">
        <f t="shared" si="4"/>
        <v>0</v>
      </c>
      <c r="T13" s="119">
        <f>SUMIFS('B0200'!L:L,'B0200'!CL:CL,"OK")</f>
        <v>4092150672.9580822</v>
      </c>
      <c r="U13" s="117">
        <f t="shared" si="5"/>
        <v>1</v>
      </c>
    </row>
    <row r="14" spans="2:21" ht="30.6">
      <c r="B14" s="25" t="s">
        <v>267</v>
      </c>
      <c r="C14" s="25" t="s">
        <v>2194</v>
      </c>
      <c r="D14" s="25" t="s">
        <v>105</v>
      </c>
      <c r="E14" s="72" t="s">
        <v>35</v>
      </c>
      <c r="F14" s="72" t="s">
        <v>2360</v>
      </c>
      <c r="G14" s="73" t="s">
        <v>2195</v>
      </c>
      <c r="H14" s="73"/>
      <c r="I14" s="72" t="s">
        <v>2198</v>
      </c>
      <c r="J14" s="72" t="s">
        <v>2200</v>
      </c>
      <c r="K14" s="72" t="s">
        <v>2211</v>
      </c>
      <c r="L14" s="92">
        <f t="shared" si="0"/>
        <v>8</v>
      </c>
      <c r="M14" s="118">
        <f>COUNTIF('B0200'!CM:CM,"KO")</f>
        <v>0</v>
      </c>
      <c r="N14" s="117">
        <f t="shared" si="1"/>
        <v>0</v>
      </c>
      <c r="O14" s="118">
        <f>COUNTIF('B0200'!CM:CM,"OK")</f>
        <v>8</v>
      </c>
      <c r="P14" s="117">
        <f t="shared" si="2"/>
        <v>1</v>
      </c>
      <c r="Q14" s="119">
        <f t="shared" si="3"/>
        <v>4092150672.9580822</v>
      </c>
      <c r="R14" s="119">
        <f>SUMIFS('B0200'!L:L,'B0200'!CM:CM,"KO")</f>
        <v>0</v>
      </c>
      <c r="S14" s="117">
        <f t="shared" si="4"/>
        <v>0</v>
      </c>
      <c r="T14" s="119">
        <f>SUMIFS('B0200'!L:L,'B0200'!CM:CM,"OK")</f>
        <v>4092150672.9580822</v>
      </c>
      <c r="U14" s="117">
        <f t="shared" si="5"/>
        <v>1</v>
      </c>
    </row>
    <row r="15" spans="2:21" ht="30.6">
      <c r="B15" s="25" t="s">
        <v>268</v>
      </c>
      <c r="C15" s="25" t="s">
        <v>2194</v>
      </c>
      <c r="D15" s="25" t="s">
        <v>105</v>
      </c>
      <c r="E15" s="72" t="s">
        <v>35</v>
      </c>
      <c r="F15" s="72" t="s">
        <v>2360</v>
      </c>
      <c r="G15" s="73"/>
      <c r="H15" s="73" t="s">
        <v>2195</v>
      </c>
      <c r="I15" s="72" t="s">
        <v>2198</v>
      </c>
      <c r="J15" s="72" t="s">
        <v>2209</v>
      </c>
      <c r="K15" s="72" t="s">
        <v>2210</v>
      </c>
      <c r="L15" s="92">
        <f t="shared" si="0"/>
        <v>8</v>
      </c>
      <c r="M15" s="118">
        <f>COUNTIF('B0200'!CN:CN,"KO")</f>
        <v>0</v>
      </c>
      <c r="N15" s="117">
        <f t="shared" si="1"/>
        <v>0</v>
      </c>
      <c r="O15" s="118">
        <f>COUNTIF('B0200'!CN:CN,"OK")</f>
        <v>8</v>
      </c>
      <c r="P15" s="117">
        <f t="shared" si="2"/>
        <v>1</v>
      </c>
      <c r="Q15" s="119">
        <f t="shared" si="3"/>
        <v>4092150672.9580822</v>
      </c>
      <c r="R15" s="119">
        <f>SUMIFS('B0200'!L:L,'B0200'!CN:CN,"KO")</f>
        <v>0</v>
      </c>
      <c r="S15" s="117">
        <f t="shared" si="4"/>
        <v>0</v>
      </c>
      <c r="T15" s="119">
        <f>SUMIFS('B0200'!L:L,'B0200'!CN:CN,"OK")</f>
        <v>4092150672.9580822</v>
      </c>
      <c r="U15" s="117">
        <f t="shared" si="5"/>
        <v>1</v>
      </c>
    </row>
    <row r="16" spans="2:21" ht="20.399999999999999">
      <c r="B16" s="25" t="s">
        <v>269</v>
      </c>
      <c r="C16" s="25" t="s">
        <v>2194</v>
      </c>
      <c r="D16" s="25" t="s">
        <v>106</v>
      </c>
      <c r="E16" s="72" t="s">
        <v>4</v>
      </c>
      <c r="F16" s="72" t="s">
        <v>2360</v>
      </c>
      <c r="G16" s="73" t="s">
        <v>2195</v>
      </c>
      <c r="H16" s="73"/>
      <c r="I16" s="72" t="s">
        <v>2198</v>
      </c>
      <c r="J16" s="116"/>
      <c r="K16" s="72" t="s">
        <v>2197</v>
      </c>
      <c r="L16" s="92">
        <f t="shared" si="0"/>
        <v>8</v>
      </c>
      <c r="M16" s="118">
        <f>COUNTIF('B0200'!CO:CO,"KO")</f>
        <v>0</v>
      </c>
      <c r="N16" s="117">
        <f t="shared" si="1"/>
        <v>0</v>
      </c>
      <c r="O16" s="118">
        <f>COUNTIF('B0200'!CO:CO,"OK")</f>
        <v>8</v>
      </c>
      <c r="P16" s="117">
        <f t="shared" si="2"/>
        <v>1</v>
      </c>
      <c r="Q16" s="119">
        <f t="shared" si="3"/>
        <v>4092150672.9580822</v>
      </c>
      <c r="R16" s="119">
        <f>SUMIFS('B0200'!L:L,'B0200'!CO:CO,"KO")</f>
        <v>0</v>
      </c>
      <c r="S16" s="117">
        <f t="shared" si="4"/>
        <v>0</v>
      </c>
      <c r="T16" s="119">
        <f>SUMIFS('B0200'!L:L,'B0200'!CO:CO,"OK")</f>
        <v>4092150672.9580822</v>
      </c>
      <c r="U16" s="117">
        <f t="shared" si="5"/>
        <v>1</v>
      </c>
    </row>
    <row r="17" spans="2:21" ht="20.399999999999999">
      <c r="B17" s="25" t="s">
        <v>270</v>
      </c>
      <c r="C17" s="25" t="s">
        <v>2194</v>
      </c>
      <c r="D17" s="25" t="s">
        <v>107</v>
      </c>
      <c r="E17" s="72" t="s">
        <v>36</v>
      </c>
      <c r="F17" s="72" t="s">
        <v>2361</v>
      </c>
      <c r="G17" s="73" t="s">
        <v>2195</v>
      </c>
      <c r="H17" s="73"/>
      <c r="I17" s="72" t="s">
        <v>2198</v>
      </c>
      <c r="J17" s="116"/>
      <c r="K17" s="72" t="s">
        <v>2197</v>
      </c>
      <c r="L17" s="92">
        <f t="shared" si="0"/>
        <v>8</v>
      </c>
      <c r="M17" s="118">
        <f>COUNTIF('B0200'!CP:CP,"KO")</f>
        <v>0</v>
      </c>
      <c r="N17" s="117">
        <f t="shared" si="1"/>
        <v>0</v>
      </c>
      <c r="O17" s="118">
        <f>COUNTIF('B0200'!CP:CP,"OK")</f>
        <v>8</v>
      </c>
      <c r="P17" s="117">
        <f t="shared" si="2"/>
        <v>1</v>
      </c>
      <c r="Q17" s="119">
        <f t="shared" si="3"/>
        <v>4092150672.9580822</v>
      </c>
      <c r="R17" s="119">
        <f>SUMIFS('B0200'!L:L,'B0200'!CP:CP,"KO")</f>
        <v>0</v>
      </c>
      <c r="S17" s="117">
        <f t="shared" si="4"/>
        <v>0</v>
      </c>
      <c r="T17" s="119">
        <f>SUMIFS('B0200'!L:L,'B0200'!CP:CP,"OK")</f>
        <v>4092150672.9580822</v>
      </c>
      <c r="U17" s="117">
        <f t="shared" si="5"/>
        <v>1</v>
      </c>
    </row>
    <row r="18" spans="2:21" ht="30.6">
      <c r="B18" s="25" t="s">
        <v>271</v>
      </c>
      <c r="C18" s="25" t="s">
        <v>2194</v>
      </c>
      <c r="D18" s="25" t="s">
        <v>108</v>
      </c>
      <c r="E18" s="72" t="s">
        <v>37</v>
      </c>
      <c r="F18" s="72" t="s">
        <v>2357</v>
      </c>
      <c r="G18" s="73" t="s">
        <v>2195</v>
      </c>
      <c r="H18" s="73"/>
      <c r="I18" s="72" t="s">
        <v>2198</v>
      </c>
      <c r="J18" s="72" t="s">
        <v>2212</v>
      </c>
      <c r="K18" s="72" t="s">
        <v>2213</v>
      </c>
      <c r="L18" s="92">
        <f t="shared" si="0"/>
        <v>8</v>
      </c>
      <c r="M18" s="118">
        <f>COUNTIF('B0200'!CQ:CQ,"KO")</f>
        <v>0</v>
      </c>
      <c r="N18" s="117">
        <f t="shared" si="1"/>
        <v>0</v>
      </c>
      <c r="O18" s="118">
        <f>COUNTIF('B0200'!CQ:CQ,"OK")</f>
        <v>8</v>
      </c>
      <c r="P18" s="117">
        <f t="shared" si="2"/>
        <v>1</v>
      </c>
      <c r="Q18" s="119">
        <f t="shared" si="3"/>
        <v>4092150672.9580822</v>
      </c>
      <c r="R18" s="119">
        <f>SUMIFS('B0200'!L:L,'B0200'!CQ:CQ,"KO")</f>
        <v>0</v>
      </c>
      <c r="S18" s="117">
        <f t="shared" si="4"/>
        <v>0</v>
      </c>
      <c r="T18" s="119">
        <f>SUMIFS('B0200'!L:L,'B0200'!CQ:CQ,"OK")</f>
        <v>4092150672.9580822</v>
      </c>
      <c r="U18" s="117">
        <f t="shared" si="5"/>
        <v>1</v>
      </c>
    </row>
    <row r="19" spans="2:21" ht="20.399999999999999">
      <c r="B19" s="25" t="s">
        <v>272</v>
      </c>
      <c r="C19" s="25" t="s">
        <v>2194</v>
      </c>
      <c r="D19" s="25" t="s">
        <v>109</v>
      </c>
      <c r="E19" s="72" t="s">
        <v>1</v>
      </c>
      <c r="F19" s="72" t="s">
        <v>2356</v>
      </c>
      <c r="G19" s="73" t="s">
        <v>2195</v>
      </c>
      <c r="H19" s="73"/>
      <c r="I19" s="72" t="s">
        <v>2198</v>
      </c>
      <c r="J19" s="116"/>
      <c r="K19" s="72" t="s">
        <v>2197</v>
      </c>
      <c r="L19" s="92">
        <f t="shared" si="0"/>
        <v>8</v>
      </c>
      <c r="M19" s="118">
        <f>COUNTIF('B0200'!CR:CR,"KO")</f>
        <v>0</v>
      </c>
      <c r="N19" s="117">
        <f t="shared" si="1"/>
        <v>0</v>
      </c>
      <c r="O19" s="118">
        <f>COUNTIF('B0200'!CR:CR,"OK")</f>
        <v>8</v>
      </c>
      <c r="P19" s="117">
        <f t="shared" si="2"/>
        <v>1</v>
      </c>
      <c r="Q19" s="119">
        <f t="shared" si="3"/>
        <v>4092150672.9580822</v>
      </c>
      <c r="R19" s="119">
        <f>SUMIFS('B0200'!L:L,'B0200'!CR:CR,"KO")</f>
        <v>0</v>
      </c>
      <c r="S19" s="117">
        <f t="shared" si="4"/>
        <v>0</v>
      </c>
      <c r="T19" s="119">
        <f>SUMIFS('B0200'!L:L,'B0200'!CR:CR,"OK")</f>
        <v>4092150672.9580822</v>
      </c>
      <c r="U19" s="117">
        <f t="shared" si="5"/>
        <v>1</v>
      </c>
    </row>
    <row r="20" spans="2:21" ht="20.399999999999999">
      <c r="B20" s="25" t="s">
        <v>273</v>
      </c>
      <c r="C20" s="25" t="s">
        <v>2194</v>
      </c>
      <c r="D20" s="25" t="s">
        <v>110</v>
      </c>
      <c r="E20" s="72" t="s">
        <v>40</v>
      </c>
      <c r="F20" s="72" t="s">
        <v>2362</v>
      </c>
      <c r="G20" s="73" t="s">
        <v>2195</v>
      </c>
      <c r="H20" s="73"/>
      <c r="I20" s="72" t="s">
        <v>2198</v>
      </c>
      <c r="J20" s="116"/>
      <c r="K20" s="72" t="s">
        <v>2197</v>
      </c>
      <c r="L20" s="92">
        <f t="shared" si="0"/>
        <v>8</v>
      </c>
      <c r="M20" s="118">
        <f>COUNTIF('B0200'!CS:CS,"KO")</f>
        <v>0</v>
      </c>
      <c r="N20" s="117">
        <f t="shared" si="1"/>
        <v>0</v>
      </c>
      <c r="O20" s="118">
        <f>COUNTIF('B0200'!CS:CS,"OK")</f>
        <v>8</v>
      </c>
      <c r="P20" s="117">
        <f t="shared" si="2"/>
        <v>1</v>
      </c>
      <c r="Q20" s="119">
        <f t="shared" si="3"/>
        <v>4092150672.9580822</v>
      </c>
      <c r="R20" s="119">
        <f>SUMIFS('B0200'!L:L,'B0200'!CS:CS,"KO")</f>
        <v>0</v>
      </c>
      <c r="S20" s="117">
        <f t="shared" si="4"/>
        <v>0</v>
      </c>
      <c r="T20" s="119">
        <f>SUMIFS('B0200'!L:L,'B0200'!CS:CS,"OK")</f>
        <v>4092150672.9580822</v>
      </c>
      <c r="U20" s="117">
        <f t="shared" si="5"/>
        <v>1</v>
      </c>
    </row>
    <row r="21" spans="2:21" ht="51">
      <c r="B21" s="25" t="s">
        <v>274</v>
      </c>
      <c r="C21" s="25" t="s">
        <v>2194</v>
      </c>
      <c r="D21" s="25" t="s">
        <v>112</v>
      </c>
      <c r="E21" s="72" t="s">
        <v>42</v>
      </c>
      <c r="F21" s="72" t="s">
        <v>2363</v>
      </c>
      <c r="G21" s="73" t="s">
        <v>2195</v>
      </c>
      <c r="H21" s="73"/>
      <c r="I21" s="72" t="s">
        <v>2198</v>
      </c>
      <c r="J21" s="72" t="s">
        <v>2214</v>
      </c>
      <c r="K21" s="72" t="s">
        <v>2215</v>
      </c>
      <c r="L21" s="92">
        <f t="shared" si="0"/>
        <v>8</v>
      </c>
      <c r="M21" s="118">
        <f>COUNTIF('B0200'!CT:CT,"KO")</f>
        <v>0</v>
      </c>
      <c r="N21" s="117">
        <f t="shared" si="1"/>
        <v>0</v>
      </c>
      <c r="O21" s="118">
        <f>COUNTIF('B0200'!CT:CT,"OK")</f>
        <v>8</v>
      </c>
      <c r="P21" s="117">
        <f t="shared" si="2"/>
        <v>1</v>
      </c>
      <c r="Q21" s="119">
        <f t="shared" si="3"/>
        <v>4092150672.9580822</v>
      </c>
      <c r="R21" s="119">
        <f>SUMIFS('B0200'!L:L,'B0200'!CT:CT,"KO")</f>
        <v>0</v>
      </c>
      <c r="S21" s="117">
        <f t="shared" si="4"/>
        <v>0</v>
      </c>
      <c r="T21" s="119">
        <f>SUMIFS('B0200'!L:L,'B0200'!CT:CT,"OK")</f>
        <v>4092150672.9580822</v>
      </c>
      <c r="U21" s="117">
        <f t="shared" si="5"/>
        <v>1</v>
      </c>
    </row>
    <row r="22" spans="2:21" ht="40.799999999999997">
      <c r="B22" s="25" t="s">
        <v>275</v>
      </c>
      <c r="C22" s="25" t="s">
        <v>2194</v>
      </c>
      <c r="D22" s="25" t="s">
        <v>112</v>
      </c>
      <c r="E22" s="72" t="s">
        <v>42</v>
      </c>
      <c r="F22" s="72" t="s">
        <v>2363</v>
      </c>
      <c r="G22" s="73"/>
      <c r="H22" s="73" t="s">
        <v>2195</v>
      </c>
      <c r="I22" s="72" t="s">
        <v>2198</v>
      </c>
      <c r="J22" s="72" t="s">
        <v>2209</v>
      </c>
      <c r="K22" s="72" t="s">
        <v>2216</v>
      </c>
      <c r="L22" s="92">
        <f t="shared" si="0"/>
        <v>8</v>
      </c>
      <c r="M22" s="118">
        <f>COUNTIF('B0200'!CU:CU,"KO")</f>
        <v>0</v>
      </c>
      <c r="N22" s="117">
        <f t="shared" si="1"/>
        <v>0</v>
      </c>
      <c r="O22" s="118">
        <f>COUNTIF('B0200'!CU:CU,"OK")</f>
        <v>8</v>
      </c>
      <c r="P22" s="117">
        <f t="shared" si="2"/>
        <v>1</v>
      </c>
      <c r="Q22" s="119">
        <f t="shared" si="3"/>
        <v>4092150672.9580822</v>
      </c>
      <c r="R22" s="119">
        <f>SUMIFS('B0200'!L:L,'B0200'!CU:CU,"KO")</f>
        <v>0</v>
      </c>
      <c r="S22" s="117">
        <f t="shared" si="4"/>
        <v>0</v>
      </c>
      <c r="T22" s="119">
        <f>SUMIFS('B0200'!L:L,'B0200'!CU:CU,"OK")</f>
        <v>4092150672.9580822</v>
      </c>
      <c r="U22" s="117">
        <f t="shared" si="5"/>
        <v>1</v>
      </c>
    </row>
    <row r="23" spans="2:21" ht="30.6">
      <c r="B23" s="25" t="s">
        <v>276</v>
      </c>
      <c r="C23" s="25" t="s">
        <v>2194</v>
      </c>
      <c r="D23" s="25" t="s">
        <v>113</v>
      </c>
      <c r="E23" s="72" t="s">
        <v>44</v>
      </c>
      <c r="F23" s="72" t="s">
        <v>2363</v>
      </c>
      <c r="G23" s="73"/>
      <c r="H23" s="73" t="s">
        <v>2195</v>
      </c>
      <c r="I23" s="72" t="s">
        <v>2198</v>
      </c>
      <c r="J23" s="116"/>
      <c r="K23" s="72" t="s">
        <v>2217</v>
      </c>
      <c r="L23" s="92">
        <f t="shared" si="0"/>
        <v>8</v>
      </c>
      <c r="M23" s="118">
        <f>COUNTIF('B0200'!CV:CV,"KO")</f>
        <v>0</v>
      </c>
      <c r="N23" s="117">
        <f t="shared" si="1"/>
        <v>0</v>
      </c>
      <c r="O23" s="118">
        <f>COUNTIF('B0200'!CV:CV,"OK")</f>
        <v>8</v>
      </c>
      <c r="P23" s="117">
        <f t="shared" si="2"/>
        <v>1</v>
      </c>
      <c r="Q23" s="119">
        <f t="shared" si="3"/>
        <v>4092150672.9580822</v>
      </c>
      <c r="R23" s="119">
        <f>SUMIFS('B0200'!L:L,'B0200'!CV:CV,"KO")</f>
        <v>0</v>
      </c>
      <c r="S23" s="117">
        <f t="shared" si="4"/>
        <v>0</v>
      </c>
      <c r="T23" s="119">
        <f>SUMIFS('B0200'!L:L,'B0200'!CV:CV,"OK")</f>
        <v>4092150672.9580822</v>
      </c>
      <c r="U23" s="117">
        <f t="shared" si="5"/>
        <v>1</v>
      </c>
    </row>
    <row r="24" spans="2:21" ht="30.6">
      <c r="B24" s="25" t="s">
        <v>277</v>
      </c>
      <c r="C24" s="25" t="s">
        <v>2194</v>
      </c>
      <c r="D24" s="25" t="s">
        <v>114</v>
      </c>
      <c r="E24" s="72" t="s">
        <v>45</v>
      </c>
      <c r="F24" s="72" t="s">
        <v>2363</v>
      </c>
      <c r="G24" s="73" t="s">
        <v>2195</v>
      </c>
      <c r="H24" s="73"/>
      <c r="I24" s="72" t="s">
        <v>2198</v>
      </c>
      <c r="J24" s="72" t="s">
        <v>2218</v>
      </c>
      <c r="K24" s="72" t="s">
        <v>2219</v>
      </c>
      <c r="L24" s="92">
        <f t="shared" si="0"/>
        <v>8</v>
      </c>
      <c r="M24" s="118">
        <f>COUNTIF('B0200'!CW:CW,"KO")</f>
        <v>0</v>
      </c>
      <c r="N24" s="117">
        <f t="shared" si="1"/>
        <v>0</v>
      </c>
      <c r="O24" s="118">
        <f>COUNTIF('B0200'!CW:CW,"OK")</f>
        <v>8</v>
      </c>
      <c r="P24" s="117">
        <f t="shared" si="2"/>
        <v>1</v>
      </c>
      <c r="Q24" s="119">
        <f t="shared" si="3"/>
        <v>4092150672.9580822</v>
      </c>
      <c r="R24" s="119">
        <f>SUMIFS('B0200'!L:L,'B0200'!CW:CW,"KO")</f>
        <v>0</v>
      </c>
      <c r="S24" s="117">
        <f t="shared" si="4"/>
        <v>0</v>
      </c>
      <c r="T24" s="119">
        <f>SUMIFS('B0200'!L:L,'B0200'!CW:CW,"OK")</f>
        <v>4092150672.9580822</v>
      </c>
      <c r="U24" s="117">
        <f t="shared" si="5"/>
        <v>1</v>
      </c>
    </row>
    <row r="25" spans="2:21" ht="20.399999999999999">
      <c r="B25" s="25" t="s">
        <v>278</v>
      </c>
      <c r="C25" s="25" t="s">
        <v>2194</v>
      </c>
      <c r="D25" s="25" t="s">
        <v>115</v>
      </c>
      <c r="E25" s="72" t="s">
        <v>46</v>
      </c>
      <c r="F25" s="72" t="s">
        <v>2364</v>
      </c>
      <c r="G25" s="73" t="s">
        <v>2195</v>
      </c>
      <c r="H25" s="73"/>
      <c r="I25" s="72" t="s">
        <v>2198</v>
      </c>
      <c r="J25" s="116"/>
      <c r="K25" s="72" t="s">
        <v>2197</v>
      </c>
      <c r="L25" s="92">
        <f t="shared" si="0"/>
        <v>8</v>
      </c>
      <c r="M25" s="118">
        <f>COUNTIF('B0200'!CX:CX,"KO")</f>
        <v>0</v>
      </c>
      <c r="N25" s="117">
        <f t="shared" si="1"/>
        <v>0</v>
      </c>
      <c r="O25" s="118">
        <f>COUNTIF('B0200'!CX:CX,"OK")</f>
        <v>8</v>
      </c>
      <c r="P25" s="117">
        <f t="shared" si="2"/>
        <v>1</v>
      </c>
      <c r="Q25" s="119">
        <f t="shared" si="3"/>
        <v>4092150672.9580822</v>
      </c>
      <c r="R25" s="119">
        <f>SUMIFS('B0200'!L:L,'B0200'!CX:CX,"KO")</f>
        <v>0</v>
      </c>
      <c r="S25" s="117">
        <f t="shared" si="4"/>
        <v>0</v>
      </c>
      <c r="T25" s="119">
        <f>SUMIFS('B0200'!L:L,'B0200'!CX:CX,"OK")</f>
        <v>4092150672.9580822</v>
      </c>
      <c r="U25" s="117">
        <f t="shared" si="5"/>
        <v>1</v>
      </c>
    </row>
    <row r="26" spans="2:21" ht="20.399999999999999">
      <c r="B26" s="25" t="s">
        <v>279</v>
      </c>
      <c r="C26" s="25" t="s">
        <v>2194</v>
      </c>
      <c r="D26" s="25" t="s">
        <v>117</v>
      </c>
      <c r="E26" s="72" t="s">
        <v>49</v>
      </c>
      <c r="F26" s="72" t="s">
        <v>2361</v>
      </c>
      <c r="G26" s="73" t="s">
        <v>2195</v>
      </c>
      <c r="H26" s="73"/>
      <c r="I26" s="72" t="s">
        <v>2198</v>
      </c>
      <c r="J26" s="116"/>
      <c r="K26" s="72" t="s">
        <v>2197</v>
      </c>
      <c r="L26" s="92">
        <f t="shared" si="0"/>
        <v>8</v>
      </c>
      <c r="M26" s="118">
        <f>COUNTIF('B0200'!CY:CY,"KO")</f>
        <v>0</v>
      </c>
      <c r="N26" s="117">
        <f t="shared" si="1"/>
        <v>0</v>
      </c>
      <c r="O26" s="118">
        <f>COUNTIF('B0200'!CY:CY,"OK")</f>
        <v>8</v>
      </c>
      <c r="P26" s="117">
        <f t="shared" si="2"/>
        <v>1</v>
      </c>
      <c r="Q26" s="119">
        <f t="shared" si="3"/>
        <v>4092150672.9580822</v>
      </c>
      <c r="R26" s="119">
        <f>SUMIFS('B0200'!L:L,'B0200'!CY:CY,"KO")</f>
        <v>0</v>
      </c>
      <c r="S26" s="117">
        <f t="shared" si="4"/>
        <v>0</v>
      </c>
      <c r="T26" s="119">
        <f>SUMIFS('B0200'!L:L,'B0200'!CY:CY,"OK")</f>
        <v>4092150672.9580822</v>
      </c>
      <c r="U26" s="117">
        <f t="shared" si="5"/>
        <v>1</v>
      </c>
    </row>
    <row r="27" spans="2:21" ht="30.6">
      <c r="B27" s="25" t="s">
        <v>280</v>
      </c>
      <c r="C27" s="25" t="s">
        <v>2194</v>
      </c>
      <c r="D27" s="25" t="s">
        <v>118</v>
      </c>
      <c r="E27" s="72" t="s">
        <v>50</v>
      </c>
      <c r="F27" s="72" t="s">
        <v>2360</v>
      </c>
      <c r="G27" s="73"/>
      <c r="H27" s="73" t="s">
        <v>2195</v>
      </c>
      <c r="I27" s="72" t="s">
        <v>2198</v>
      </c>
      <c r="J27" s="72" t="s">
        <v>2220</v>
      </c>
      <c r="K27" s="72" t="s">
        <v>2221</v>
      </c>
      <c r="L27" s="92">
        <f t="shared" si="0"/>
        <v>8</v>
      </c>
      <c r="M27" s="118">
        <f>COUNTIF('B0200'!CZ:CZ,"KO")</f>
        <v>0</v>
      </c>
      <c r="N27" s="117">
        <f t="shared" si="1"/>
        <v>0</v>
      </c>
      <c r="O27" s="118">
        <f>COUNTIF('B0200'!CZ:CZ,"OK")</f>
        <v>8</v>
      </c>
      <c r="P27" s="117">
        <f t="shared" si="2"/>
        <v>1</v>
      </c>
      <c r="Q27" s="119">
        <f t="shared" si="3"/>
        <v>4092150672.9580822</v>
      </c>
      <c r="R27" s="119">
        <f>SUMIFS('B0200'!L:L,'B0200'!CZ:CZ,"KO")</f>
        <v>0</v>
      </c>
      <c r="S27" s="117">
        <f t="shared" si="4"/>
        <v>0</v>
      </c>
      <c r="T27" s="119">
        <f>SUMIFS('B0200'!L:L,'B0200'!CZ:CZ,"OK")</f>
        <v>4092150672.9580822</v>
      </c>
      <c r="U27" s="117">
        <f t="shared" si="5"/>
        <v>1</v>
      </c>
    </row>
    <row r="28" spans="2:21" ht="30.6">
      <c r="B28" s="25" t="s">
        <v>281</v>
      </c>
      <c r="C28" s="25" t="s">
        <v>2194</v>
      </c>
      <c r="D28" s="25" t="s">
        <v>119</v>
      </c>
      <c r="E28" s="72" t="s">
        <v>51</v>
      </c>
      <c r="F28" s="72" t="s">
        <v>2360</v>
      </c>
      <c r="G28" s="73" t="s">
        <v>2195</v>
      </c>
      <c r="H28" s="73"/>
      <c r="I28" s="72" t="s">
        <v>2198</v>
      </c>
      <c r="J28" s="72" t="s">
        <v>2220</v>
      </c>
      <c r="K28" s="72" t="s">
        <v>2222</v>
      </c>
      <c r="L28" s="92">
        <f t="shared" si="0"/>
        <v>8</v>
      </c>
      <c r="M28" s="118">
        <f>COUNTIF('B0200'!DA:DA,"KO")</f>
        <v>0</v>
      </c>
      <c r="N28" s="117">
        <f t="shared" si="1"/>
        <v>0</v>
      </c>
      <c r="O28" s="118">
        <f>COUNTIF('B0200'!DA:DA,"OK")</f>
        <v>8</v>
      </c>
      <c r="P28" s="117">
        <f t="shared" si="2"/>
        <v>1</v>
      </c>
      <c r="Q28" s="119">
        <f t="shared" si="3"/>
        <v>4092150672.9580822</v>
      </c>
      <c r="R28" s="119">
        <f>SUMIFS('B0200'!L:L,'B0200'!DA:DA,"KO")</f>
        <v>0</v>
      </c>
      <c r="S28" s="117">
        <f t="shared" si="4"/>
        <v>0</v>
      </c>
      <c r="T28" s="119">
        <f>SUMIFS('B0200'!L:L,'B0200'!DA:DA,"OK")</f>
        <v>4092150672.9580822</v>
      </c>
      <c r="U28" s="117">
        <f t="shared" si="5"/>
        <v>1</v>
      </c>
    </row>
    <row r="29" spans="2:21" ht="30.6">
      <c r="B29" s="25" t="s">
        <v>282</v>
      </c>
      <c r="C29" s="25" t="s">
        <v>2194</v>
      </c>
      <c r="D29" s="25" t="s">
        <v>120</v>
      </c>
      <c r="E29" s="72" t="s">
        <v>54</v>
      </c>
      <c r="F29" s="72" t="s">
        <v>2360</v>
      </c>
      <c r="G29" s="73" t="s">
        <v>2195</v>
      </c>
      <c r="H29" s="73"/>
      <c r="I29" s="72" t="s">
        <v>2198</v>
      </c>
      <c r="J29" s="72" t="s">
        <v>2223</v>
      </c>
      <c r="K29" s="72" t="s">
        <v>2224</v>
      </c>
      <c r="L29" s="92">
        <f t="shared" si="0"/>
        <v>8</v>
      </c>
      <c r="M29" s="118">
        <f>COUNTIF('B0200'!DB:DB,"KO")</f>
        <v>0</v>
      </c>
      <c r="N29" s="117">
        <f t="shared" si="1"/>
        <v>0</v>
      </c>
      <c r="O29" s="118">
        <f>COUNTIF('B0200'!DB:DB,"OK")</f>
        <v>8</v>
      </c>
      <c r="P29" s="117">
        <f t="shared" si="2"/>
        <v>1</v>
      </c>
      <c r="Q29" s="119">
        <f t="shared" si="3"/>
        <v>4092150672.9580822</v>
      </c>
      <c r="R29" s="119">
        <f>SUMIFS('B0200'!L:L,'B0200'!DB:DB,"KO")</f>
        <v>0</v>
      </c>
      <c r="S29" s="117">
        <f t="shared" si="4"/>
        <v>0</v>
      </c>
      <c r="T29" s="119">
        <f>SUMIFS('B0200'!L:L,'B0200'!DB:DB,"OK")</f>
        <v>4092150672.9580822</v>
      </c>
      <c r="U29" s="117">
        <f t="shared" si="5"/>
        <v>1</v>
      </c>
    </row>
    <row r="30" spans="2:21" ht="20.399999999999999">
      <c r="B30" s="25" t="s">
        <v>283</v>
      </c>
      <c r="C30" s="25" t="s">
        <v>2194</v>
      </c>
      <c r="D30" s="25" t="s">
        <v>121</v>
      </c>
      <c r="E30" s="72" t="s">
        <v>55</v>
      </c>
      <c r="F30" s="72" t="s">
        <v>2361</v>
      </c>
      <c r="G30" s="73" t="s">
        <v>2195</v>
      </c>
      <c r="H30" s="73"/>
      <c r="I30" s="72" t="s">
        <v>2198</v>
      </c>
      <c r="J30" s="116"/>
      <c r="K30" s="72" t="s">
        <v>2197</v>
      </c>
      <c r="L30" s="92">
        <f t="shared" si="0"/>
        <v>8</v>
      </c>
      <c r="M30" s="118">
        <f>COUNTIF('B0200'!DC:DC,"KO")</f>
        <v>0</v>
      </c>
      <c r="N30" s="117">
        <f t="shared" si="1"/>
        <v>0</v>
      </c>
      <c r="O30" s="118">
        <f>COUNTIF('B0200'!DC:DC,"OK")</f>
        <v>8</v>
      </c>
      <c r="P30" s="117">
        <f t="shared" si="2"/>
        <v>1</v>
      </c>
      <c r="Q30" s="119">
        <f t="shared" si="3"/>
        <v>4092150672.9580822</v>
      </c>
      <c r="R30" s="119">
        <f>SUMIFS('B0200'!L:L,'B0200'!DC:DC,"KO")</f>
        <v>0</v>
      </c>
      <c r="S30" s="117">
        <f t="shared" si="4"/>
        <v>0</v>
      </c>
      <c r="T30" s="119">
        <f>SUMIFS('B0200'!L:L,'B0200'!DC:DC,"OK")</f>
        <v>4092150672.9580822</v>
      </c>
      <c r="U30" s="117">
        <f t="shared" si="5"/>
        <v>1</v>
      </c>
    </row>
    <row r="31" spans="2:21" ht="30.6">
      <c r="B31" s="25" t="s">
        <v>284</v>
      </c>
      <c r="C31" s="25" t="s">
        <v>2194</v>
      </c>
      <c r="D31" s="25" t="s">
        <v>122</v>
      </c>
      <c r="E31" s="72" t="s">
        <v>2225</v>
      </c>
      <c r="F31" s="72" t="s">
        <v>2360</v>
      </c>
      <c r="G31" s="73" t="s">
        <v>2195</v>
      </c>
      <c r="H31" s="73"/>
      <c r="I31" s="72" t="s">
        <v>2198</v>
      </c>
      <c r="J31" s="72" t="s">
        <v>2226</v>
      </c>
      <c r="K31" s="72" t="s">
        <v>2227</v>
      </c>
      <c r="L31" s="92">
        <f t="shared" si="0"/>
        <v>8</v>
      </c>
      <c r="M31" s="118">
        <f>COUNTIF('B0200'!DD:DD,"KO")</f>
        <v>0</v>
      </c>
      <c r="N31" s="117">
        <f t="shared" si="1"/>
        <v>0</v>
      </c>
      <c r="O31" s="118">
        <f>COUNTIF('B0200'!DD:DD,"OK")</f>
        <v>8</v>
      </c>
      <c r="P31" s="117">
        <f t="shared" si="2"/>
        <v>1</v>
      </c>
      <c r="Q31" s="119">
        <f t="shared" si="3"/>
        <v>4092150672.9580822</v>
      </c>
      <c r="R31" s="119">
        <f>SUMIFS('B0200'!L:L,'B0200'!DD:DD,"KO")</f>
        <v>0</v>
      </c>
      <c r="S31" s="117">
        <f t="shared" si="4"/>
        <v>0</v>
      </c>
      <c r="T31" s="119">
        <f>SUMIFS('B0200'!L:L,'B0200'!DD:DD,"OK")</f>
        <v>4092150672.9580822</v>
      </c>
      <c r="U31" s="117">
        <f t="shared" si="5"/>
        <v>1</v>
      </c>
    </row>
    <row r="32" spans="2:21" ht="20.399999999999999">
      <c r="B32" s="25" t="s">
        <v>285</v>
      </c>
      <c r="C32" s="25" t="s">
        <v>2194</v>
      </c>
      <c r="D32" s="25" t="s">
        <v>123</v>
      </c>
      <c r="E32" s="72" t="s">
        <v>57</v>
      </c>
      <c r="F32" s="72" t="s">
        <v>2360</v>
      </c>
      <c r="G32" s="73" t="s">
        <v>2195</v>
      </c>
      <c r="H32" s="73"/>
      <c r="I32" s="72" t="s">
        <v>2198</v>
      </c>
      <c r="J32" s="72" t="s">
        <v>2226</v>
      </c>
      <c r="K32" s="72" t="s">
        <v>2228</v>
      </c>
      <c r="L32" s="92">
        <f t="shared" si="0"/>
        <v>8</v>
      </c>
      <c r="M32" s="118">
        <f>COUNTIF('B0200'!DE:DE,"KO")</f>
        <v>0</v>
      </c>
      <c r="N32" s="117">
        <f t="shared" si="1"/>
        <v>0</v>
      </c>
      <c r="O32" s="118">
        <f>COUNTIF('B0200'!DE:DE,"OK")</f>
        <v>8</v>
      </c>
      <c r="P32" s="117">
        <f t="shared" si="2"/>
        <v>1</v>
      </c>
      <c r="Q32" s="119">
        <f t="shared" si="3"/>
        <v>4092150672.9580822</v>
      </c>
      <c r="R32" s="119">
        <f>SUMIFS('B0200'!L:L,'B0200'!DE:DE,"KO")</f>
        <v>0</v>
      </c>
      <c r="S32" s="117">
        <f t="shared" si="4"/>
        <v>0</v>
      </c>
      <c r="T32" s="119">
        <f>SUMIFS('B0200'!L:L,'B0200'!DE:DE,"OK")</f>
        <v>4092150672.9580822</v>
      </c>
      <c r="U32" s="117">
        <f t="shared" si="5"/>
        <v>1</v>
      </c>
    </row>
    <row r="33" spans="2:21" ht="20.399999999999999">
      <c r="B33" s="25" t="s">
        <v>286</v>
      </c>
      <c r="C33" s="25" t="s">
        <v>2194</v>
      </c>
      <c r="D33" s="25" t="s">
        <v>124</v>
      </c>
      <c r="E33" s="72" t="s">
        <v>59</v>
      </c>
      <c r="F33" s="72" t="s">
        <v>2361</v>
      </c>
      <c r="G33" s="73" t="s">
        <v>2195</v>
      </c>
      <c r="H33" s="73"/>
      <c r="I33" s="72" t="s">
        <v>2198</v>
      </c>
      <c r="J33" s="72" t="s">
        <v>2226</v>
      </c>
      <c r="K33" s="72" t="s">
        <v>2228</v>
      </c>
      <c r="L33" s="92">
        <f t="shared" si="0"/>
        <v>8</v>
      </c>
      <c r="M33" s="118">
        <f>COUNTIF('B0200'!DF:DF,"KO")</f>
        <v>0</v>
      </c>
      <c r="N33" s="117">
        <f t="shared" si="1"/>
        <v>0</v>
      </c>
      <c r="O33" s="118">
        <f>COUNTIF('B0200'!DF:DF,"OK")</f>
        <v>8</v>
      </c>
      <c r="P33" s="117">
        <f t="shared" si="2"/>
        <v>1</v>
      </c>
      <c r="Q33" s="119">
        <f t="shared" si="3"/>
        <v>4092150672.9580822</v>
      </c>
      <c r="R33" s="119">
        <f>SUMIFS('B0200'!L:L,'B0200'!DF:DF,"KO")</f>
        <v>0</v>
      </c>
      <c r="S33" s="117">
        <f t="shared" si="4"/>
        <v>0</v>
      </c>
      <c r="T33" s="119">
        <f>SUMIFS('B0200'!L:L,'B0200'!DF:DF,"OK")</f>
        <v>4092150672.9580822</v>
      </c>
      <c r="U33" s="117">
        <f t="shared" si="5"/>
        <v>1</v>
      </c>
    </row>
    <row r="34" spans="2:21" ht="20.399999999999999">
      <c r="B34" s="25" t="s">
        <v>287</v>
      </c>
      <c r="C34" s="25" t="s">
        <v>2194</v>
      </c>
      <c r="D34" s="25" t="s">
        <v>125</v>
      </c>
      <c r="E34" s="72" t="s">
        <v>60</v>
      </c>
      <c r="F34" s="72" t="s">
        <v>2357</v>
      </c>
      <c r="G34" s="73" t="s">
        <v>2195</v>
      </c>
      <c r="H34" s="73"/>
      <c r="I34" s="72" t="s">
        <v>2198</v>
      </c>
      <c r="J34" s="72" t="s">
        <v>2229</v>
      </c>
      <c r="K34" s="72" t="s">
        <v>2230</v>
      </c>
      <c r="L34" s="92">
        <f t="shared" si="0"/>
        <v>8</v>
      </c>
      <c r="M34" s="118">
        <f>COUNTIF('B0200'!DG:DG,"KO")</f>
        <v>0</v>
      </c>
      <c r="N34" s="117">
        <f t="shared" si="1"/>
        <v>0</v>
      </c>
      <c r="O34" s="118">
        <f>COUNTIF('B0200'!DG:DG,"OK")</f>
        <v>8</v>
      </c>
      <c r="P34" s="117">
        <f t="shared" si="2"/>
        <v>1</v>
      </c>
      <c r="Q34" s="119">
        <f t="shared" si="3"/>
        <v>4092150672.9580822</v>
      </c>
      <c r="R34" s="119">
        <f>SUMIFS('B0200'!L:L,'B0200'!DG:DG,"KO")</f>
        <v>0</v>
      </c>
      <c r="S34" s="117">
        <f t="shared" si="4"/>
        <v>0</v>
      </c>
      <c r="T34" s="119">
        <f>SUMIFS('B0200'!L:L,'B0200'!DG:DG,"OK")</f>
        <v>4092150672.9580822</v>
      </c>
      <c r="U34" s="117">
        <f t="shared" si="5"/>
        <v>1</v>
      </c>
    </row>
    <row r="35" spans="2:21" ht="30.6">
      <c r="B35" s="25" t="s">
        <v>288</v>
      </c>
      <c r="C35" s="25" t="s">
        <v>2194</v>
      </c>
      <c r="D35" s="25" t="s">
        <v>126</v>
      </c>
      <c r="E35" s="72" t="s">
        <v>62</v>
      </c>
      <c r="F35" s="72" t="s">
        <v>2360</v>
      </c>
      <c r="G35" s="73" t="s">
        <v>2195</v>
      </c>
      <c r="H35" s="73"/>
      <c r="I35" s="72" t="s">
        <v>2198</v>
      </c>
      <c r="J35" s="74" t="s">
        <v>2231</v>
      </c>
      <c r="K35" s="72" t="s">
        <v>2232</v>
      </c>
      <c r="L35" s="92">
        <f t="shared" si="0"/>
        <v>8</v>
      </c>
      <c r="M35" s="118">
        <f>COUNTIF('B0200'!DH:DH,"KO")</f>
        <v>0</v>
      </c>
      <c r="N35" s="117">
        <f t="shared" si="1"/>
        <v>0</v>
      </c>
      <c r="O35" s="118">
        <f>COUNTIF('B0200'!DH:DH,"OK")</f>
        <v>8</v>
      </c>
      <c r="P35" s="117">
        <f t="shared" si="2"/>
        <v>1</v>
      </c>
      <c r="Q35" s="119">
        <f t="shared" si="3"/>
        <v>4092150672.9580822</v>
      </c>
      <c r="R35" s="119">
        <f>SUMIFS('B0200'!L:L,'B0200'!DH:DH,"KO")</f>
        <v>0</v>
      </c>
      <c r="S35" s="117">
        <f t="shared" si="4"/>
        <v>0</v>
      </c>
      <c r="T35" s="119">
        <f>SUMIFS('B0200'!L:L,'B0200'!DH:DH,"OK")</f>
        <v>4092150672.9580822</v>
      </c>
      <c r="U35" s="117">
        <f t="shared" si="5"/>
        <v>1</v>
      </c>
    </row>
    <row r="36" spans="2:21" ht="40.799999999999997">
      <c r="B36" s="25" t="s">
        <v>289</v>
      </c>
      <c r="C36" s="25" t="s">
        <v>2194</v>
      </c>
      <c r="D36" s="25" t="s">
        <v>126</v>
      </c>
      <c r="E36" s="72" t="s">
        <v>62</v>
      </c>
      <c r="F36" s="72" t="s">
        <v>2360</v>
      </c>
      <c r="G36" s="73"/>
      <c r="H36" s="73" t="s">
        <v>2195</v>
      </c>
      <c r="I36" s="72" t="s">
        <v>2198</v>
      </c>
      <c r="J36" s="74" t="s">
        <v>2233</v>
      </c>
      <c r="K36" s="72" t="s">
        <v>2234</v>
      </c>
      <c r="L36" s="92">
        <f t="shared" si="0"/>
        <v>8</v>
      </c>
      <c r="M36" s="118">
        <f>COUNTIF('B0200'!DI:DI,"KO")</f>
        <v>0</v>
      </c>
      <c r="N36" s="117">
        <f t="shared" si="1"/>
        <v>0</v>
      </c>
      <c r="O36" s="118">
        <f>COUNTIF('B0200'!DI:DI,"OK")</f>
        <v>8</v>
      </c>
      <c r="P36" s="117">
        <f t="shared" si="2"/>
        <v>1</v>
      </c>
      <c r="Q36" s="119">
        <f t="shared" si="3"/>
        <v>4092150672.9580822</v>
      </c>
      <c r="R36" s="119">
        <f>SUMIFS('B0200'!L:L,'B0200'!DI:DI,"KO")</f>
        <v>0</v>
      </c>
      <c r="S36" s="117">
        <f t="shared" si="4"/>
        <v>0</v>
      </c>
      <c r="T36" s="119">
        <f>SUMIFS('B0200'!L:L,'B0200'!DI:DI,"OK")</f>
        <v>4092150672.9580822</v>
      </c>
      <c r="U36" s="117">
        <f t="shared" si="5"/>
        <v>1</v>
      </c>
    </row>
    <row r="37" spans="2:21" ht="30.6">
      <c r="B37" s="25" t="s">
        <v>290</v>
      </c>
      <c r="C37" s="25" t="s">
        <v>2194</v>
      </c>
      <c r="D37" s="25" t="s">
        <v>127</v>
      </c>
      <c r="E37" s="72" t="s">
        <v>64</v>
      </c>
      <c r="F37" s="72" t="s">
        <v>2356</v>
      </c>
      <c r="G37" s="73" t="s">
        <v>2195</v>
      </c>
      <c r="H37" s="73"/>
      <c r="I37" s="72" t="s">
        <v>2198</v>
      </c>
      <c r="J37" s="72" t="s">
        <v>2235</v>
      </c>
      <c r="K37" s="72" t="s">
        <v>2236</v>
      </c>
      <c r="L37" s="92">
        <f t="shared" si="0"/>
        <v>8</v>
      </c>
      <c r="M37" s="118">
        <f>COUNTIF('B0200'!DJ:DJ,"KO")</f>
        <v>0</v>
      </c>
      <c r="N37" s="117">
        <f t="shared" si="1"/>
        <v>0</v>
      </c>
      <c r="O37" s="118">
        <f>COUNTIF('B0200'!DJ:DJ,"OK")</f>
        <v>8</v>
      </c>
      <c r="P37" s="117">
        <f t="shared" si="2"/>
        <v>1</v>
      </c>
      <c r="Q37" s="119">
        <f t="shared" si="3"/>
        <v>4092150672.9580822</v>
      </c>
      <c r="R37" s="119">
        <f>SUMIFS('B0200'!L:L,'B0200'!DJ:DJ,"KO")</f>
        <v>0</v>
      </c>
      <c r="S37" s="117">
        <f t="shared" si="4"/>
        <v>0</v>
      </c>
      <c r="T37" s="119">
        <f>SUMIFS('B0200'!L:L,'B0200'!DJ:DJ,"OK")</f>
        <v>4092150672.9580822</v>
      </c>
      <c r="U37" s="117">
        <f t="shared" si="5"/>
        <v>1</v>
      </c>
    </row>
    <row r="38" spans="2:21" ht="30.6">
      <c r="B38" s="25" t="s">
        <v>291</v>
      </c>
      <c r="C38" s="25" t="s">
        <v>2194</v>
      </c>
      <c r="D38" s="25" t="s">
        <v>128</v>
      </c>
      <c r="E38" s="72" t="s">
        <v>65</v>
      </c>
      <c r="F38" s="72" t="s">
        <v>2356</v>
      </c>
      <c r="G38" s="73" t="s">
        <v>2195</v>
      </c>
      <c r="H38" s="73"/>
      <c r="I38" s="72" t="s">
        <v>2198</v>
      </c>
      <c r="J38" s="72" t="s">
        <v>2235</v>
      </c>
      <c r="K38" s="72" t="s">
        <v>2237</v>
      </c>
      <c r="L38" s="92">
        <f t="shared" si="0"/>
        <v>8</v>
      </c>
      <c r="M38" s="118">
        <f>COUNTIF('B0200'!DK:DK,"KO")</f>
        <v>0</v>
      </c>
      <c r="N38" s="117">
        <f t="shared" si="1"/>
        <v>0</v>
      </c>
      <c r="O38" s="118">
        <f>COUNTIF('B0200'!DK:DK,"OK")</f>
        <v>8</v>
      </c>
      <c r="P38" s="117">
        <f t="shared" si="2"/>
        <v>1</v>
      </c>
      <c r="Q38" s="119">
        <f t="shared" si="3"/>
        <v>4092150672.9580822</v>
      </c>
      <c r="R38" s="119">
        <f>SUMIFS('B0200'!L:L,'B0200'!DK:DK,"KO")</f>
        <v>0</v>
      </c>
      <c r="S38" s="117">
        <f t="shared" si="4"/>
        <v>0</v>
      </c>
      <c r="T38" s="119">
        <f>SUMIFS('B0200'!L:L,'B0200'!DK:DK,"OK")</f>
        <v>4092150672.9580822</v>
      </c>
      <c r="U38" s="117">
        <f t="shared" si="5"/>
        <v>1</v>
      </c>
    </row>
    <row r="39" spans="2:21" ht="61.2">
      <c r="B39" s="25" t="s">
        <v>292</v>
      </c>
      <c r="C39" s="25" t="s">
        <v>2194</v>
      </c>
      <c r="D39" s="25" t="s">
        <v>129</v>
      </c>
      <c r="E39" s="72" t="s">
        <v>66</v>
      </c>
      <c r="F39" s="72" t="s">
        <v>2365</v>
      </c>
      <c r="G39" s="73" t="s">
        <v>2195</v>
      </c>
      <c r="H39" s="73"/>
      <c r="I39" s="72" t="s">
        <v>2198</v>
      </c>
      <c r="J39" s="72" t="s">
        <v>2238</v>
      </c>
      <c r="K39" s="72" t="s">
        <v>2239</v>
      </c>
      <c r="L39" s="92">
        <f t="shared" si="0"/>
        <v>8</v>
      </c>
      <c r="M39" s="118">
        <f>COUNTIF('B0200'!DL:DL,"KO")</f>
        <v>0</v>
      </c>
      <c r="N39" s="117">
        <f t="shared" si="1"/>
        <v>0</v>
      </c>
      <c r="O39" s="118">
        <f>COUNTIF('B0200'!DL:DL,"OK")</f>
        <v>8</v>
      </c>
      <c r="P39" s="117">
        <f t="shared" si="2"/>
        <v>1</v>
      </c>
      <c r="Q39" s="119">
        <f t="shared" si="3"/>
        <v>4092150672.9580822</v>
      </c>
      <c r="R39" s="119">
        <f>SUMIFS('B0200'!L:L,'B0200'!DL:DL,"KO")</f>
        <v>0</v>
      </c>
      <c r="S39" s="117">
        <f t="shared" si="4"/>
        <v>0</v>
      </c>
      <c r="T39" s="119">
        <f>SUMIFS('B0200'!L:L,'B0200'!DL:DL,"OK")</f>
        <v>4092150672.9580822</v>
      </c>
      <c r="U39" s="117">
        <f t="shared" si="5"/>
        <v>1</v>
      </c>
    </row>
    <row r="40" spans="2:21" ht="40.799999999999997">
      <c r="B40" s="25" t="s">
        <v>293</v>
      </c>
      <c r="C40" s="25" t="s">
        <v>2194</v>
      </c>
      <c r="D40" s="25" t="s">
        <v>129</v>
      </c>
      <c r="E40" s="72" t="s">
        <v>66</v>
      </c>
      <c r="F40" s="72" t="s">
        <v>2365</v>
      </c>
      <c r="G40" s="73"/>
      <c r="H40" s="73" t="s">
        <v>2195</v>
      </c>
      <c r="I40" s="72" t="s">
        <v>2198</v>
      </c>
      <c r="J40" s="72" t="s">
        <v>2240</v>
      </c>
      <c r="K40" s="72" t="s">
        <v>2241</v>
      </c>
      <c r="L40" s="92">
        <f t="shared" si="0"/>
        <v>8</v>
      </c>
      <c r="M40" s="118">
        <f>COUNTIF('B0200'!DM:DM,"KO")</f>
        <v>0</v>
      </c>
      <c r="N40" s="117">
        <f t="shared" si="1"/>
        <v>0</v>
      </c>
      <c r="O40" s="118">
        <f>COUNTIF('B0200'!DM:DM,"OK")</f>
        <v>8</v>
      </c>
      <c r="P40" s="117">
        <f t="shared" si="2"/>
        <v>1</v>
      </c>
      <c r="Q40" s="119">
        <f t="shared" si="3"/>
        <v>4092150672.9580822</v>
      </c>
      <c r="R40" s="119">
        <f>SUMIFS('B0200'!L:L,'B0200'!DM:DM,"KO")</f>
        <v>0</v>
      </c>
      <c r="S40" s="117">
        <f t="shared" si="4"/>
        <v>0</v>
      </c>
      <c r="T40" s="119">
        <f>SUMIFS('B0200'!L:L,'B0200'!DM:DM,"OK")</f>
        <v>4092150672.9580822</v>
      </c>
      <c r="U40" s="117">
        <f t="shared" si="5"/>
        <v>1</v>
      </c>
    </row>
    <row r="41" spans="2:21" ht="30.6">
      <c r="B41" s="25" t="s">
        <v>294</v>
      </c>
      <c r="C41" s="25" t="s">
        <v>2194</v>
      </c>
      <c r="D41" s="25" t="s">
        <v>136</v>
      </c>
      <c r="E41" s="72" t="s">
        <v>97</v>
      </c>
      <c r="F41" s="72" t="s">
        <v>2360</v>
      </c>
      <c r="G41" s="73"/>
      <c r="H41" s="73" t="s">
        <v>2195</v>
      </c>
      <c r="I41" s="72" t="s">
        <v>2198</v>
      </c>
      <c r="J41" s="116"/>
      <c r="K41" s="72" t="s">
        <v>2242</v>
      </c>
      <c r="L41" s="92">
        <f t="shared" si="0"/>
        <v>8</v>
      </c>
      <c r="M41" s="118">
        <f>COUNTIF('B0200'!DN:DN,"KO")</f>
        <v>0</v>
      </c>
      <c r="N41" s="117">
        <f t="shared" si="1"/>
        <v>0</v>
      </c>
      <c r="O41" s="118">
        <f>COUNTIF('B0200'!DN:DN,"OK")</f>
        <v>8</v>
      </c>
      <c r="P41" s="117">
        <f t="shared" si="2"/>
        <v>1</v>
      </c>
      <c r="Q41" s="119">
        <f t="shared" si="3"/>
        <v>4092150672.9580822</v>
      </c>
      <c r="R41" s="119">
        <f>SUMIFS('B0200'!L:L,'B0200'!DN:DN,"KO")</f>
        <v>0</v>
      </c>
      <c r="S41" s="117">
        <f t="shared" si="4"/>
        <v>0</v>
      </c>
      <c r="T41" s="119">
        <f>SUMIFS('B0200'!L:L,'B0200'!DN:DN,"OK")</f>
        <v>4092150672.9580822</v>
      </c>
      <c r="U41" s="117">
        <f t="shared" si="5"/>
        <v>1</v>
      </c>
    </row>
    <row r="42" spans="2:21" ht="40.799999999999997">
      <c r="B42" s="25" t="s">
        <v>295</v>
      </c>
      <c r="C42" s="25" t="s">
        <v>2194</v>
      </c>
      <c r="D42" s="25" t="s">
        <v>138</v>
      </c>
      <c r="E42" s="72" t="s">
        <v>101</v>
      </c>
      <c r="F42" s="72" t="s">
        <v>2366</v>
      </c>
      <c r="G42" s="73" t="s">
        <v>2195</v>
      </c>
      <c r="H42" s="73"/>
      <c r="I42" s="72" t="s">
        <v>2198</v>
      </c>
      <c r="J42" s="72" t="s">
        <v>2243</v>
      </c>
      <c r="K42" s="72" t="s">
        <v>2244</v>
      </c>
      <c r="L42" s="92">
        <f t="shared" si="0"/>
        <v>8</v>
      </c>
      <c r="M42" s="118">
        <f>COUNTIF('B0200'!DO:DO,"KO")</f>
        <v>0</v>
      </c>
      <c r="N42" s="117">
        <f t="shared" si="1"/>
        <v>0</v>
      </c>
      <c r="O42" s="118">
        <f>COUNTIF('B0200'!DO:DO,"OK")</f>
        <v>8</v>
      </c>
      <c r="P42" s="117">
        <f t="shared" si="2"/>
        <v>1</v>
      </c>
      <c r="Q42" s="119">
        <f t="shared" si="3"/>
        <v>4092150672.9580822</v>
      </c>
      <c r="R42" s="119">
        <f>SUMIFS('B0200'!L:L,'B0200'!DO:DO,"KO")</f>
        <v>0</v>
      </c>
      <c r="S42" s="117">
        <f t="shared" si="4"/>
        <v>0</v>
      </c>
      <c r="T42" s="119">
        <f>SUMIFS('B0200'!L:L,'B0200'!DO:DO,"OK")</f>
        <v>4092150672.9580822</v>
      </c>
      <c r="U42" s="117">
        <f t="shared" si="5"/>
        <v>1</v>
      </c>
    </row>
    <row r="43" spans="2:21" ht="30.6">
      <c r="B43" s="25" t="s">
        <v>296</v>
      </c>
      <c r="C43" s="25" t="s">
        <v>2194</v>
      </c>
      <c r="D43" s="25" t="s">
        <v>139</v>
      </c>
      <c r="E43" s="72" t="s">
        <v>102</v>
      </c>
      <c r="F43" s="72" t="s">
        <v>2366</v>
      </c>
      <c r="G43" s="73" t="s">
        <v>2195</v>
      </c>
      <c r="H43" s="73"/>
      <c r="I43" s="72" t="s">
        <v>2198</v>
      </c>
      <c r="J43" s="72" t="s">
        <v>2243</v>
      </c>
      <c r="K43" s="72" t="s">
        <v>2244</v>
      </c>
      <c r="L43" s="92">
        <f t="shared" si="0"/>
        <v>8</v>
      </c>
      <c r="M43" s="118">
        <f>COUNTIF('B0200'!DP:DP,"KO")</f>
        <v>0</v>
      </c>
      <c r="N43" s="117">
        <f t="shared" si="1"/>
        <v>0</v>
      </c>
      <c r="O43" s="118">
        <f>COUNTIF('B0200'!DP:DP,"OK")</f>
        <v>8</v>
      </c>
      <c r="P43" s="117">
        <f t="shared" si="2"/>
        <v>1</v>
      </c>
      <c r="Q43" s="119">
        <f t="shared" si="3"/>
        <v>4092150672.9580822</v>
      </c>
      <c r="R43" s="119">
        <f>SUMIFS('B0200'!L:L,'B0200'!DP:DP,"KO")</f>
        <v>0</v>
      </c>
      <c r="S43" s="117">
        <f t="shared" si="4"/>
        <v>0</v>
      </c>
      <c r="T43" s="119">
        <f>SUMIFS('B0200'!L:L,'B0200'!DP:DP,"OK")</f>
        <v>4092150672.9580822</v>
      </c>
      <c r="U43" s="117">
        <f t="shared" si="5"/>
        <v>1</v>
      </c>
    </row>
    <row r="44" spans="2:21" ht="20.399999999999999">
      <c r="B44" s="25" t="s">
        <v>298</v>
      </c>
      <c r="C44" s="25" t="s">
        <v>2245</v>
      </c>
      <c r="D44" s="25" t="s">
        <v>7</v>
      </c>
      <c r="E44" s="72" t="s">
        <v>2246</v>
      </c>
      <c r="F44" s="72" t="s">
        <v>2361</v>
      </c>
      <c r="G44" s="73" t="s">
        <v>2195</v>
      </c>
      <c r="H44" s="73"/>
      <c r="I44" s="72" t="s">
        <v>2198</v>
      </c>
      <c r="J44" s="116"/>
      <c r="K44" s="72" t="s">
        <v>2197</v>
      </c>
      <c r="L44" s="92">
        <f>SUM(M44,O44)</f>
        <v>9</v>
      </c>
      <c r="M44" s="118">
        <f>COUNTIF('B9000'!L:L,"KO")</f>
        <v>0</v>
      </c>
      <c r="N44" s="117">
        <f t="shared" si="1"/>
        <v>0</v>
      </c>
      <c r="O44" s="118">
        <f>COUNTIF('B9000'!L:L,"OK")</f>
        <v>9</v>
      </c>
      <c r="P44" s="117">
        <f t="shared" si="2"/>
        <v>1</v>
      </c>
      <c r="Q44" s="119">
        <f t="shared" si="3"/>
        <v>4087586697.9589043</v>
      </c>
      <c r="R44" s="119">
        <f>SUMIFS('B9000'!K:K,'B9000'!L:L,"KO")</f>
        <v>0</v>
      </c>
      <c r="S44" s="117">
        <f t="shared" si="4"/>
        <v>0</v>
      </c>
      <c r="T44" s="119">
        <f>SUMIFS('B9000'!K:K,'B9000'!L:L,"OK")</f>
        <v>4087586697.9589043</v>
      </c>
      <c r="U44" s="117">
        <f t="shared" si="5"/>
        <v>1</v>
      </c>
    </row>
  </sheetData>
  <mergeCells count="4">
    <mergeCell ref="O3:P3"/>
    <mergeCell ref="M3:N3"/>
    <mergeCell ref="R3:S3"/>
    <mergeCell ref="T3:U3"/>
  </mergeCells>
  <conditionalFormatting sqref="M3">
    <cfRule type="cellIs" dxfId="21" priority="7" operator="equal">
      <formula>"OK"</formula>
    </cfRule>
    <cfRule type="cellIs" dxfId="20" priority="8" operator="equal">
      <formula>"KO"</formula>
    </cfRule>
  </conditionalFormatting>
  <conditionalFormatting sqref="O3">
    <cfRule type="cellIs" dxfId="19" priority="3" operator="equal">
      <formula>"OK"</formula>
    </cfRule>
    <cfRule type="cellIs" dxfId="18" priority="4" operator="equal">
      <formula>"KO"</formula>
    </cfRule>
  </conditionalFormatting>
  <conditionalFormatting sqref="R3">
    <cfRule type="cellIs" dxfId="17" priority="5" operator="equal">
      <formula>"OK"</formula>
    </cfRule>
    <cfRule type="cellIs" dxfId="16" priority="6" operator="equal">
      <formula>"KO"</formula>
    </cfRule>
  </conditionalFormatting>
  <conditionalFormatting sqref="T3">
    <cfRule type="cellIs" dxfId="15" priority="1" operator="equal">
      <formula>"OK"</formula>
    </cfRule>
    <cfRule type="cellIs" dxfId="14" priority="2" operator="equal">
      <formula>"KO"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0E746-E9B6-414F-97E8-9C53BC3C7CB9}">
  <sheetPr codeName="Hoja3" filterMode="1">
    <tabColor theme="9" tint="0.39997558519241921"/>
  </sheetPr>
  <dimension ref="A1:U43"/>
  <sheetViews>
    <sheetView showGridLines="0" zoomScale="85" zoomScaleNormal="85" workbookViewId="0">
      <pane xSplit="11" ySplit="3" topLeftCell="L12" activePane="bottomRight" state="frozen"/>
      <selection activeCell="R9" sqref="R9"/>
      <selection pane="topRight" activeCell="R9" sqref="R9"/>
      <selection pane="bottomLeft" activeCell="R9" sqref="R9"/>
      <selection pane="bottomRight" activeCell="I12" sqref="I12"/>
    </sheetView>
  </sheetViews>
  <sheetFormatPr defaultColWidth="10.88671875" defaultRowHeight="14.4" outlineLevelCol="1"/>
  <cols>
    <col min="1" max="1" width="1.88671875" customWidth="1"/>
    <col min="2" max="2" width="10.6640625" customWidth="1"/>
    <col min="3" max="3" width="6.44140625" bestFit="1" customWidth="1"/>
    <col min="4" max="4" width="8.5546875" bestFit="1" customWidth="1"/>
    <col min="5" max="5" width="22.6640625" customWidth="1"/>
    <col min="6" max="6" width="17.5546875" hidden="1" customWidth="1" outlineLevel="1"/>
    <col min="7" max="7" width="15" hidden="1" customWidth="1" outlineLevel="1"/>
    <col min="8" max="8" width="15.88671875" hidden="1" customWidth="1" outlineLevel="1"/>
    <col min="9" max="9" width="37.44140625" customWidth="1" collapsed="1"/>
    <col min="10" max="10" width="31.109375" customWidth="1"/>
    <col min="11" max="11" width="50.5546875" customWidth="1"/>
    <col min="12" max="12" width="19.5546875" customWidth="1"/>
    <col min="17" max="18" width="19.109375" bestFit="1" customWidth="1"/>
    <col min="20" max="20" width="19.109375" bestFit="1" customWidth="1"/>
  </cols>
  <sheetData>
    <row r="1" spans="1:21" ht="27.6" customHeight="1">
      <c r="B1" s="75" t="s">
        <v>2247</v>
      </c>
    </row>
    <row r="2" spans="1:21">
      <c r="A2" s="76"/>
      <c r="M2" s="401" t="s">
        <v>2335</v>
      </c>
      <c r="N2" s="402"/>
      <c r="O2" s="401" t="s">
        <v>297</v>
      </c>
      <c r="P2" s="402"/>
      <c r="R2" s="401" t="s">
        <v>2335</v>
      </c>
      <c r="S2" s="402"/>
      <c r="T2" s="401" t="s">
        <v>297</v>
      </c>
      <c r="U2" s="402"/>
    </row>
    <row r="3" spans="1:21" ht="40.799999999999997">
      <c r="A3" s="77" t="s">
        <v>2181</v>
      </c>
      <c r="B3" s="71" t="s">
        <v>2185</v>
      </c>
      <c r="C3" s="71" t="s">
        <v>2186</v>
      </c>
      <c r="D3" s="71" t="s">
        <v>2187</v>
      </c>
      <c r="E3" s="71" t="s">
        <v>2188</v>
      </c>
      <c r="F3" s="71" t="s">
        <v>2189</v>
      </c>
      <c r="G3" s="71" t="s">
        <v>2190</v>
      </c>
      <c r="H3" s="71" t="s">
        <v>2191</v>
      </c>
      <c r="I3" s="71" t="s">
        <v>2248</v>
      </c>
      <c r="J3" s="71" t="s">
        <v>2249</v>
      </c>
      <c r="K3" s="71" t="s">
        <v>2193</v>
      </c>
      <c r="L3" s="89" t="s">
        <v>2341</v>
      </c>
      <c r="M3" s="87" t="s">
        <v>2342</v>
      </c>
      <c r="N3" s="88" t="s">
        <v>2343</v>
      </c>
      <c r="O3" s="88" t="s">
        <v>2342</v>
      </c>
      <c r="P3" s="87" t="s">
        <v>2343</v>
      </c>
      <c r="Q3" s="90" t="s">
        <v>2344</v>
      </c>
      <c r="R3" s="87" t="s">
        <v>2340</v>
      </c>
      <c r="S3" s="88" t="s">
        <v>2343</v>
      </c>
      <c r="T3" s="114" t="s">
        <v>2340</v>
      </c>
      <c r="U3" s="87" t="s">
        <v>2343</v>
      </c>
    </row>
    <row r="4" spans="1:21" ht="40.799999999999997" hidden="1">
      <c r="A4" s="77" t="s">
        <v>2253</v>
      </c>
      <c r="B4" s="78" t="str">
        <f t="shared" ref="B4:B35" si="0">CONCATENATE("v_2_",A3)</f>
        <v>v_2_0001</v>
      </c>
      <c r="C4" s="25" t="s">
        <v>2194</v>
      </c>
      <c r="D4" s="25" t="s">
        <v>7</v>
      </c>
      <c r="E4" s="72" t="s">
        <v>26</v>
      </c>
      <c r="F4" s="72" t="s">
        <v>2357</v>
      </c>
      <c r="G4" s="73" t="s">
        <v>2195</v>
      </c>
      <c r="H4" s="73"/>
      <c r="I4" s="72" t="s">
        <v>2250</v>
      </c>
      <c r="J4" s="72" t="s">
        <v>2251</v>
      </c>
      <c r="K4" s="72" t="s">
        <v>2252</v>
      </c>
      <c r="L4" s="86">
        <f>SUM(M4,O4)</f>
        <v>8</v>
      </c>
      <c r="M4" s="115">
        <f>COUNTIF('B0200'!DQ:DQ,"KO")</f>
        <v>0</v>
      </c>
      <c r="N4" s="117">
        <f>M4/L4</f>
        <v>0</v>
      </c>
      <c r="O4" s="118">
        <f>COUNTIF('B0200'!DQ:DQ,"OK")</f>
        <v>8</v>
      </c>
      <c r="P4" s="117">
        <f>O4/L4</f>
        <v>1</v>
      </c>
      <c r="Q4" s="119">
        <f>SUM(R4,T4)</f>
        <v>4092150672.9580822</v>
      </c>
      <c r="R4" s="119">
        <f>SUMIFS('B0200'!L:L,'B0200'!DQ:DQ,"KO")</f>
        <v>0</v>
      </c>
      <c r="S4" s="117">
        <f>R4/Q4</f>
        <v>0</v>
      </c>
      <c r="T4" s="119">
        <f>SUMIFS('B0200'!L:L,'B0200'!DQ:DQ,"OK")</f>
        <v>4092150672.9580822</v>
      </c>
      <c r="U4" s="117">
        <f>T4/Q4</f>
        <v>1</v>
      </c>
    </row>
    <row r="5" spans="1:21" ht="20.399999999999999" hidden="1">
      <c r="A5" s="77" t="s">
        <v>2257</v>
      </c>
      <c r="B5" s="25" t="str">
        <f t="shared" si="0"/>
        <v>v_2_0003</v>
      </c>
      <c r="C5" s="25" t="s">
        <v>2194</v>
      </c>
      <c r="D5" s="25" t="s">
        <v>21</v>
      </c>
      <c r="E5" s="72" t="s">
        <v>2199</v>
      </c>
      <c r="F5" s="72" t="s">
        <v>2359</v>
      </c>
      <c r="G5" s="73" t="s">
        <v>2195</v>
      </c>
      <c r="H5" s="73"/>
      <c r="I5" s="72" t="s">
        <v>2254</v>
      </c>
      <c r="J5" s="72" t="s">
        <v>2255</v>
      </c>
      <c r="K5" s="72" t="s">
        <v>2256</v>
      </c>
      <c r="L5" s="86">
        <f t="shared" ref="L5:L43" si="1">SUM(M5,O5)</f>
        <v>8</v>
      </c>
      <c r="M5" s="115">
        <f>COUNTIF('B0200'!DR:DR,"KO")</f>
        <v>0</v>
      </c>
      <c r="N5" s="117">
        <f t="shared" ref="N5:N43" si="2">M5/L5</f>
        <v>0</v>
      </c>
      <c r="O5" s="118">
        <f>COUNTIF('B0200'!DR:DR,"OK")</f>
        <v>8</v>
      </c>
      <c r="P5" s="117">
        <f t="shared" ref="P5:P43" si="3">O5/L5</f>
        <v>1</v>
      </c>
      <c r="Q5" s="119">
        <f t="shared" ref="Q5:Q43" si="4">SUM(R5,T5)</f>
        <v>4092150672.9580822</v>
      </c>
      <c r="R5" s="119">
        <f>SUMIFS('B0200'!L:L,'B0200'!DR:DR,"KO")</f>
        <v>0</v>
      </c>
      <c r="S5" s="117">
        <f t="shared" ref="S5:S43" si="5">R5/Q5</f>
        <v>0</v>
      </c>
      <c r="T5" s="119">
        <f>SUMIFS('B0200'!L:L,'B0200'!DR:DR,"OK")</f>
        <v>4092150672.9580822</v>
      </c>
      <c r="U5" s="117">
        <f t="shared" ref="U5:U43" si="6">T5/Q5</f>
        <v>1</v>
      </c>
    </row>
    <row r="6" spans="1:21" ht="20.399999999999999" hidden="1">
      <c r="A6" s="77" t="s">
        <v>2260</v>
      </c>
      <c r="B6" s="25" t="str">
        <f t="shared" si="0"/>
        <v>v_2_0004</v>
      </c>
      <c r="C6" s="25" t="s">
        <v>2194</v>
      </c>
      <c r="D6" s="25" t="s">
        <v>22</v>
      </c>
      <c r="E6" s="72" t="s">
        <v>31</v>
      </c>
      <c r="F6" s="72" t="s">
        <v>2360</v>
      </c>
      <c r="G6" s="73"/>
      <c r="H6" s="73" t="s">
        <v>2195</v>
      </c>
      <c r="I6" s="72" t="s">
        <v>2258</v>
      </c>
      <c r="J6" s="72"/>
      <c r="K6" s="72" t="s">
        <v>2259</v>
      </c>
      <c r="L6" s="86">
        <f t="shared" si="1"/>
        <v>8</v>
      </c>
      <c r="M6" s="115">
        <f>COUNTIF('B0200'!DS:DS,"KO")</f>
        <v>0</v>
      </c>
      <c r="N6" s="117">
        <f t="shared" si="2"/>
        <v>0</v>
      </c>
      <c r="O6" s="118">
        <f>COUNTIF('B0200'!DS:DS,"OK")</f>
        <v>8</v>
      </c>
      <c r="P6" s="117">
        <f t="shared" si="3"/>
        <v>1</v>
      </c>
      <c r="Q6" s="119">
        <f t="shared" si="4"/>
        <v>4092150672.9580822</v>
      </c>
      <c r="R6" s="119">
        <f>SUMIFS('B0200'!L:L,'B0200'!DS:DS,"KO")</f>
        <v>0</v>
      </c>
      <c r="S6" s="117">
        <f t="shared" si="5"/>
        <v>0</v>
      </c>
      <c r="T6" s="119">
        <f>SUMIFS('B0200'!L:L,'B0200'!DS:DS,"OK")</f>
        <v>4092150672.9580822</v>
      </c>
      <c r="U6" s="117">
        <f t="shared" si="6"/>
        <v>1</v>
      </c>
    </row>
    <row r="7" spans="1:21" ht="30.6" hidden="1">
      <c r="A7" s="77" t="s">
        <v>2263</v>
      </c>
      <c r="B7" s="25" t="str">
        <f t="shared" si="0"/>
        <v>v_2_0005</v>
      </c>
      <c r="C7" s="25" t="s">
        <v>2194</v>
      </c>
      <c r="D7" s="25" t="s">
        <v>23</v>
      </c>
      <c r="E7" s="72" t="s">
        <v>2204</v>
      </c>
      <c r="F7" s="72" t="s">
        <v>2360</v>
      </c>
      <c r="G7" s="73" t="s">
        <v>2195</v>
      </c>
      <c r="H7" s="73"/>
      <c r="I7" s="72" t="s">
        <v>2261</v>
      </c>
      <c r="J7" s="72" t="s">
        <v>2251</v>
      </c>
      <c r="K7" s="72" t="s">
        <v>2262</v>
      </c>
      <c r="L7" s="86">
        <f t="shared" si="1"/>
        <v>8</v>
      </c>
      <c r="M7" s="115">
        <f>COUNTIF('B0200'!DT:DT,"KO")</f>
        <v>0</v>
      </c>
      <c r="N7" s="117">
        <f t="shared" si="2"/>
        <v>0</v>
      </c>
      <c r="O7" s="118">
        <f>COUNTIF('B0200'!DT:DT,"OK")</f>
        <v>8</v>
      </c>
      <c r="P7" s="117">
        <f t="shared" si="3"/>
        <v>1</v>
      </c>
      <c r="Q7" s="119">
        <f t="shared" si="4"/>
        <v>4092150672.9580822</v>
      </c>
      <c r="R7" s="119">
        <f>SUMIFS('B0200'!L:L,'B0200'!DT:DT,"KO")</f>
        <v>0</v>
      </c>
      <c r="S7" s="117">
        <f t="shared" si="5"/>
        <v>0</v>
      </c>
      <c r="T7" s="119">
        <f>SUMIFS('B0200'!L:L,'B0200'!DT:DT,"OK")</f>
        <v>4092150672.9580822</v>
      </c>
      <c r="U7" s="117">
        <f t="shared" si="6"/>
        <v>1</v>
      </c>
    </row>
    <row r="8" spans="1:21" ht="30.6" hidden="1">
      <c r="A8" s="77" t="s">
        <v>2266</v>
      </c>
      <c r="B8" s="25" t="str">
        <f t="shared" si="0"/>
        <v>v_2_0006</v>
      </c>
      <c r="C8" s="25" t="s">
        <v>2194</v>
      </c>
      <c r="D8" s="25" t="s">
        <v>103</v>
      </c>
      <c r="E8" s="72" t="s">
        <v>33</v>
      </c>
      <c r="F8" s="72" t="s">
        <v>2360</v>
      </c>
      <c r="G8" s="73"/>
      <c r="H8" s="73" t="s">
        <v>2195</v>
      </c>
      <c r="I8" s="72" t="s">
        <v>2264</v>
      </c>
      <c r="J8" s="72"/>
      <c r="K8" s="72" t="s">
        <v>2265</v>
      </c>
      <c r="L8" s="86">
        <f t="shared" si="1"/>
        <v>8</v>
      </c>
      <c r="M8" s="115">
        <f>COUNTIF('B0200'!DU:DU,"KO")</f>
        <v>0</v>
      </c>
      <c r="N8" s="117">
        <f t="shared" si="2"/>
        <v>0</v>
      </c>
      <c r="O8" s="118">
        <f>COUNTIF('B0200'!DU:DU,"OK")</f>
        <v>8</v>
      </c>
      <c r="P8" s="117">
        <f t="shared" si="3"/>
        <v>1</v>
      </c>
      <c r="Q8" s="119">
        <f t="shared" si="4"/>
        <v>4092150672.9580822</v>
      </c>
      <c r="R8" s="119">
        <f>SUMIFS('B0200'!L:L,'B0200'!DU:DU,"KO")</f>
        <v>0</v>
      </c>
      <c r="S8" s="117">
        <f t="shared" si="5"/>
        <v>0</v>
      </c>
      <c r="T8" s="119">
        <f>SUMIFS('B0200'!L:L,'B0200'!DU:DU,"OK")</f>
        <v>4092150672.9580822</v>
      </c>
      <c r="U8" s="117">
        <f t="shared" si="6"/>
        <v>1</v>
      </c>
    </row>
    <row r="9" spans="1:21" ht="20.399999999999999" hidden="1">
      <c r="A9" s="77" t="s">
        <v>2268</v>
      </c>
      <c r="B9" s="25" t="str">
        <f t="shared" si="0"/>
        <v>v_2_0007</v>
      </c>
      <c r="C9" s="25" t="s">
        <v>2194</v>
      </c>
      <c r="D9" s="25" t="s">
        <v>104</v>
      </c>
      <c r="E9" s="72" t="s">
        <v>34</v>
      </c>
      <c r="F9" s="72" t="s">
        <v>2360</v>
      </c>
      <c r="G9" s="73"/>
      <c r="H9" s="73" t="s">
        <v>2195</v>
      </c>
      <c r="I9" s="72" t="s">
        <v>2261</v>
      </c>
      <c r="J9" s="72"/>
      <c r="K9" s="72" t="s">
        <v>2267</v>
      </c>
      <c r="L9" s="86">
        <f t="shared" si="1"/>
        <v>8</v>
      </c>
      <c r="M9" s="115">
        <f>COUNTIF('B0200'!DV:DV,"KO")</f>
        <v>0</v>
      </c>
      <c r="N9" s="117">
        <f t="shared" si="2"/>
        <v>0</v>
      </c>
      <c r="O9" s="118">
        <f>COUNTIF('B0200'!DV:DV,"OK")</f>
        <v>8</v>
      </c>
      <c r="P9" s="117">
        <f t="shared" si="3"/>
        <v>1</v>
      </c>
      <c r="Q9" s="119">
        <f t="shared" si="4"/>
        <v>4092150672.9580822</v>
      </c>
      <c r="R9" s="119">
        <f>SUMIFS('B0200'!L:L,'B0200'!DV:DV,"KO")</f>
        <v>0</v>
      </c>
      <c r="S9" s="117">
        <f t="shared" si="5"/>
        <v>0</v>
      </c>
      <c r="T9" s="119">
        <f>SUMIFS('B0200'!L:L,'B0200'!DV:DV,"OK")</f>
        <v>4092150672.9580822</v>
      </c>
      <c r="U9" s="117">
        <f t="shared" si="6"/>
        <v>1</v>
      </c>
    </row>
    <row r="10" spans="1:21" hidden="1">
      <c r="A10" s="77" t="s">
        <v>2270</v>
      </c>
      <c r="B10" s="25" t="str">
        <f t="shared" si="0"/>
        <v>v_2_0008</v>
      </c>
      <c r="C10" s="25" t="s">
        <v>2194</v>
      </c>
      <c r="D10" s="25" t="s">
        <v>105</v>
      </c>
      <c r="E10" s="72" t="s">
        <v>35</v>
      </c>
      <c r="F10" s="72" t="s">
        <v>2360</v>
      </c>
      <c r="G10" s="73" t="s">
        <v>2195</v>
      </c>
      <c r="H10" s="73"/>
      <c r="I10" s="72" t="s">
        <v>2258</v>
      </c>
      <c r="J10" s="72"/>
      <c r="K10" s="72" t="s">
        <v>2269</v>
      </c>
      <c r="L10" s="86">
        <f t="shared" si="1"/>
        <v>8</v>
      </c>
      <c r="M10" s="115">
        <f>COUNTIF('B0200'!DW:DW,"KO")</f>
        <v>0</v>
      </c>
      <c r="N10" s="117">
        <f t="shared" si="2"/>
        <v>0</v>
      </c>
      <c r="O10" s="118">
        <f>COUNTIF('B0200'!DW:DW,"OK")</f>
        <v>8</v>
      </c>
      <c r="P10" s="117">
        <f t="shared" si="3"/>
        <v>1</v>
      </c>
      <c r="Q10" s="119">
        <f t="shared" si="4"/>
        <v>4092150672.9580822</v>
      </c>
      <c r="R10" s="119">
        <f>SUMIFS('B0200'!L:L,'B0200'!DW:DW,"KO")</f>
        <v>0</v>
      </c>
      <c r="S10" s="117">
        <f t="shared" si="5"/>
        <v>0</v>
      </c>
      <c r="T10" s="119">
        <f>SUMIFS('B0200'!L:L,'B0200'!DW:DW,"OK")</f>
        <v>4092150672.9580822</v>
      </c>
      <c r="U10" s="117">
        <f t="shared" si="6"/>
        <v>1</v>
      </c>
    </row>
    <row r="11" spans="1:21" ht="20.399999999999999" hidden="1">
      <c r="A11" s="77" t="s">
        <v>151</v>
      </c>
      <c r="B11" s="25" t="str">
        <f t="shared" si="0"/>
        <v>v_2_0009</v>
      </c>
      <c r="C11" s="25" t="s">
        <v>2194</v>
      </c>
      <c r="D11" s="25" t="s">
        <v>105</v>
      </c>
      <c r="E11" s="72" t="s">
        <v>35</v>
      </c>
      <c r="F11" s="72" t="s">
        <v>2360</v>
      </c>
      <c r="G11" s="73" t="s">
        <v>2195</v>
      </c>
      <c r="H11" s="73"/>
      <c r="I11" s="72" t="s">
        <v>2271</v>
      </c>
      <c r="J11" s="72"/>
      <c r="K11" s="72" t="s">
        <v>2272</v>
      </c>
      <c r="L11" s="86">
        <f t="shared" si="1"/>
        <v>8</v>
      </c>
      <c r="M11" s="115">
        <f>COUNTIF('B0200'!DX:DX,"KO")</f>
        <v>0</v>
      </c>
      <c r="N11" s="117">
        <f t="shared" si="2"/>
        <v>0</v>
      </c>
      <c r="O11" s="118">
        <f>COUNTIF('B0200'!DX:DX,"OK")</f>
        <v>8</v>
      </c>
      <c r="P11" s="117">
        <f t="shared" si="3"/>
        <v>1</v>
      </c>
      <c r="Q11" s="119">
        <f t="shared" si="4"/>
        <v>4092150672.9580822</v>
      </c>
      <c r="R11" s="119">
        <f>SUMIFS('B0200'!L:L,'B0200'!DX:DX,"KO")</f>
        <v>0</v>
      </c>
      <c r="S11" s="117">
        <f t="shared" si="5"/>
        <v>0</v>
      </c>
      <c r="T11" s="119">
        <f>SUMIFS('B0200'!L:L,'B0200'!DX:DX,"OK")</f>
        <v>4092150672.9580822</v>
      </c>
      <c r="U11" s="117">
        <f t="shared" si="6"/>
        <v>1</v>
      </c>
    </row>
    <row r="12" spans="1:21" ht="30.6">
      <c r="A12" s="77" t="s">
        <v>2276</v>
      </c>
      <c r="B12" s="25" t="str">
        <f t="shared" si="0"/>
        <v>v_2_0011</v>
      </c>
      <c r="C12" s="25" t="s">
        <v>2194</v>
      </c>
      <c r="D12" s="25" t="s">
        <v>106</v>
      </c>
      <c r="E12" s="72" t="s">
        <v>4</v>
      </c>
      <c r="F12" s="72" t="s">
        <v>2360</v>
      </c>
      <c r="G12" s="73" t="s">
        <v>2195</v>
      </c>
      <c r="H12" s="73"/>
      <c r="I12" s="72" t="s">
        <v>2273</v>
      </c>
      <c r="J12" s="72" t="s">
        <v>2274</v>
      </c>
      <c r="K12" s="72" t="s">
        <v>2275</v>
      </c>
      <c r="L12" s="86">
        <f t="shared" si="1"/>
        <v>8</v>
      </c>
      <c r="M12" s="115">
        <f>COUNTIF('B0200'!DY:DY,"KO")</f>
        <v>0</v>
      </c>
      <c r="N12" s="117">
        <f t="shared" si="2"/>
        <v>0</v>
      </c>
      <c r="O12" s="118">
        <f>COUNTIF('B0200'!DY:DY,"OK")</f>
        <v>8</v>
      </c>
      <c r="P12" s="117">
        <f t="shared" si="3"/>
        <v>1</v>
      </c>
      <c r="Q12" s="119">
        <f t="shared" si="4"/>
        <v>4092150672.9580822</v>
      </c>
      <c r="R12" s="119">
        <f>SUMIFS('B0200'!L:L,'B0200'!DY:DY,"KO")</f>
        <v>0</v>
      </c>
      <c r="S12" s="117">
        <f t="shared" si="5"/>
        <v>0</v>
      </c>
      <c r="T12" s="119">
        <f>SUMIFS('B0200'!L:L,'B0200'!DY:DY,"OK")</f>
        <v>4092150672.9580822</v>
      </c>
      <c r="U12" s="117">
        <f t="shared" si="6"/>
        <v>1</v>
      </c>
    </row>
    <row r="13" spans="1:21" ht="40.799999999999997" hidden="1">
      <c r="A13" s="77" t="s">
        <v>2280</v>
      </c>
      <c r="B13" s="25" t="str">
        <f t="shared" si="0"/>
        <v>v_2_0012</v>
      </c>
      <c r="C13" s="25" t="s">
        <v>2194</v>
      </c>
      <c r="D13" s="25" t="s">
        <v>106</v>
      </c>
      <c r="E13" s="72" t="s">
        <v>4</v>
      </c>
      <c r="F13" s="72" t="s">
        <v>2360</v>
      </c>
      <c r="G13" s="73" t="s">
        <v>2195</v>
      </c>
      <c r="H13" s="73"/>
      <c r="I13" s="72" t="s">
        <v>2277</v>
      </c>
      <c r="J13" s="72" t="s">
        <v>2278</v>
      </c>
      <c r="K13" s="72" t="s">
        <v>2279</v>
      </c>
      <c r="L13" s="86">
        <f t="shared" si="1"/>
        <v>8</v>
      </c>
      <c r="M13" s="115">
        <f>COUNTIF('B0200'!DZ:DZ,"KO")</f>
        <v>0</v>
      </c>
      <c r="N13" s="117">
        <f t="shared" si="2"/>
        <v>0</v>
      </c>
      <c r="O13" s="118">
        <f>COUNTIF('B0200'!DZ:DZ,"OK")</f>
        <v>8</v>
      </c>
      <c r="P13" s="117">
        <f t="shared" si="3"/>
        <v>1</v>
      </c>
      <c r="Q13" s="119">
        <f t="shared" si="4"/>
        <v>4092150672.9580822</v>
      </c>
      <c r="R13" s="119">
        <f>SUMIFS('B0200'!L:L,'B0200'!DZ:DZ,"KO")</f>
        <v>0</v>
      </c>
      <c r="S13" s="117">
        <f t="shared" si="5"/>
        <v>0</v>
      </c>
      <c r="T13" s="119">
        <f>SUMIFS('B0200'!L:L,'B0200'!DZ:DZ,"OK")</f>
        <v>4092150672.9580822</v>
      </c>
      <c r="U13" s="117">
        <f t="shared" si="6"/>
        <v>1</v>
      </c>
    </row>
    <row r="14" spans="1:21" hidden="1">
      <c r="A14" s="77" t="s">
        <v>2283</v>
      </c>
      <c r="B14" s="25" t="str">
        <f t="shared" si="0"/>
        <v>v_2_0013</v>
      </c>
      <c r="C14" s="25" t="s">
        <v>2194</v>
      </c>
      <c r="D14" s="25" t="s">
        <v>107</v>
      </c>
      <c r="E14" s="72" t="s">
        <v>36</v>
      </c>
      <c r="F14" s="72" t="s">
        <v>2361</v>
      </c>
      <c r="G14" s="73" t="s">
        <v>2195</v>
      </c>
      <c r="H14" s="73"/>
      <c r="I14" s="72" t="s">
        <v>2281</v>
      </c>
      <c r="J14" s="72"/>
      <c r="K14" s="72" t="s">
        <v>2282</v>
      </c>
      <c r="L14" s="86">
        <f t="shared" si="1"/>
        <v>8</v>
      </c>
      <c r="M14" s="115">
        <f>COUNTIF('B0200'!EA:EA,"KO")</f>
        <v>0</v>
      </c>
      <c r="N14" s="117">
        <f t="shared" si="2"/>
        <v>0</v>
      </c>
      <c r="O14" s="118">
        <f>COUNTIF('B0200'!EA:EA,"OK")</f>
        <v>8</v>
      </c>
      <c r="P14" s="117">
        <f t="shared" si="3"/>
        <v>1</v>
      </c>
      <c r="Q14" s="119">
        <f t="shared" si="4"/>
        <v>4092150672.9580822</v>
      </c>
      <c r="R14" s="119">
        <f>SUMIFS('B0200'!L:L,'B0200'!EA:EA,"KO")</f>
        <v>0</v>
      </c>
      <c r="S14" s="117">
        <f t="shared" si="5"/>
        <v>0</v>
      </c>
      <c r="T14" s="119">
        <f>SUMIFS('B0200'!L:L,'B0200'!EA:EA,"OK")</f>
        <v>4092150672.9580822</v>
      </c>
      <c r="U14" s="117">
        <f t="shared" si="6"/>
        <v>1</v>
      </c>
    </row>
    <row r="15" spans="1:21" ht="20.399999999999999" hidden="1">
      <c r="A15" s="77" t="s">
        <v>2286</v>
      </c>
      <c r="B15" s="25" t="str">
        <f t="shared" si="0"/>
        <v>v_2_0014</v>
      </c>
      <c r="C15" s="25" t="s">
        <v>2194</v>
      </c>
      <c r="D15" s="25" t="s">
        <v>109</v>
      </c>
      <c r="E15" s="72" t="s">
        <v>1</v>
      </c>
      <c r="F15" s="72" t="s">
        <v>2356</v>
      </c>
      <c r="G15" s="73" t="s">
        <v>2195</v>
      </c>
      <c r="H15" s="73"/>
      <c r="I15" s="72" t="s">
        <v>2284</v>
      </c>
      <c r="J15" s="72"/>
      <c r="K15" s="72" t="s">
        <v>2285</v>
      </c>
      <c r="L15" s="86">
        <f t="shared" si="1"/>
        <v>8</v>
      </c>
      <c r="M15" s="115">
        <f>COUNTIF('B0200'!EB:EB,"KO")</f>
        <v>0</v>
      </c>
      <c r="N15" s="117">
        <f t="shared" si="2"/>
        <v>0</v>
      </c>
      <c r="O15" s="118">
        <f>COUNTIF('B0200'!EB:EB,"OK")</f>
        <v>8</v>
      </c>
      <c r="P15" s="117">
        <f t="shared" si="3"/>
        <v>1</v>
      </c>
      <c r="Q15" s="119">
        <f t="shared" si="4"/>
        <v>4092150672.9580822</v>
      </c>
      <c r="R15" s="119">
        <f>SUMIFS('B0200'!L:L,'B0200'!EB:EB,"KO")</f>
        <v>0</v>
      </c>
      <c r="S15" s="117">
        <f t="shared" si="5"/>
        <v>0</v>
      </c>
      <c r="T15" s="119">
        <f>SUMIFS('B0200'!L:L,'B0200'!EB:EB,"OK")</f>
        <v>4092150672.9580822</v>
      </c>
      <c r="U15" s="117">
        <f t="shared" si="6"/>
        <v>1</v>
      </c>
    </row>
    <row r="16" spans="1:21" ht="20.399999999999999" hidden="1">
      <c r="A16" s="77" t="s">
        <v>2289</v>
      </c>
      <c r="B16" s="25" t="str">
        <f t="shared" si="0"/>
        <v>v_2_0015</v>
      </c>
      <c r="C16" s="25" t="s">
        <v>2194</v>
      </c>
      <c r="D16" s="25" t="s">
        <v>111</v>
      </c>
      <c r="E16" s="72" t="s">
        <v>41</v>
      </c>
      <c r="F16" s="72" t="s">
        <v>2363</v>
      </c>
      <c r="G16" s="73" t="s">
        <v>2195</v>
      </c>
      <c r="H16" s="73"/>
      <c r="I16" s="72" t="s">
        <v>2287</v>
      </c>
      <c r="J16" s="72" t="s">
        <v>2288</v>
      </c>
      <c r="K16" s="72" t="s">
        <v>2287</v>
      </c>
      <c r="L16" s="86">
        <f t="shared" si="1"/>
        <v>8</v>
      </c>
      <c r="M16" s="115">
        <f>COUNTIF('B0200'!EC:EC,"KO")</f>
        <v>0</v>
      </c>
      <c r="N16" s="117">
        <f t="shared" si="2"/>
        <v>0</v>
      </c>
      <c r="O16" s="118">
        <f>COUNTIF('B0200'!EC:EC,"OK")</f>
        <v>8</v>
      </c>
      <c r="P16" s="117">
        <f t="shared" si="3"/>
        <v>1</v>
      </c>
      <c r="Q16" s="119">
        <f t="shared" si="4"/>
        <v>4092150672.9580822</v>
      </c>
      <c r="R16" s="119">
        <f>SUMIFS('B0200'!L:L,'B0200'!EC:EC,"KO")</f>
        <v>0</v>
      </c>
      <c r="S16" s="117">
        <f t="shared" si="5"/>
        <v>0</v>
      </c>
      <c r="T16" s="119">
        <f>SUMIFS('B0200'!L:L,'B0200'!EC:EC,"OK")</f>
        <v>4092150672.9580822</v>
      </c>
      <c r="U16" s="117">
        <f t="shared" si="6"/>
        <v>1</v>
      </c>
    </row>
    <row r="17" spans="1:21" ht="30.6" hidden="1">
      <c r="A17" s="77" t="s">
        <v>2292</v>
      </c>
      <c r="B17" s="25" t="str">
        <f t="shared" si="0"/>
        <v>v_2_0016</v>
      </c>
      <c r="C17" s="25" t="s">
        <v>2194</v>
      </c>
      <c r="D17" s="25" t="s">
        <v>111</v>
      </c>
      <c r="E17" s="72" t="s">
        <v>41</v>
      </c>
      <c r="F17" s="72" t="s">
        <v>2363</v>
      </c>
      <c r="G17" s="73" t="s">
        <v>2195</v>
      </c>
      <c r="H17" s="73"/>
      <c r="I17" s="72" t="s">
        <v>2290</v>
      </c>
      <c r="J17" s="72" t="s">
        <v>2291</v>
      </c>
      <c r="K17" s="72" t="s">
        <v>2290</v>
      </c>
      <c r="L17" s="86">
        <f t="shared" si="1"/>
        <v>8</v>
      </c>
      <c r="M17" s="115">
        <f>COUNTIF('B0200'!ED:ED,"KO")</f>
        <v>0</v>
      </c>
      <c r="N17" s="117">
        <f t="shared" si="2"/>
        <v>0</v>
      </c>
      <c r="O17" s="118">
        <f>COUNTIF('B0200'!ED:ED,"OK")</f>
        <v>8</v>
      </c>
      <c r="P17" s="117">
        <f t="shared" si="3"/>
        <v>1</v>
      </c>
      <c r="Q17" s="119">
        <f t="shared" si="4"/>
        <v>4092150672.9580822</v>
      </c>
      <c r="R17" s="119">
        <f>SUMIFS('B0200'!L:L,'B0200'!ED:ED,"KO")</f>
        <v>0</v>
      </c>
      <c r="S17" s="117">
        <f t="shared" si="5"/>
        <v>0</v>
      </c>
      <c r="T17" s="119">
        <f>SUMIFS('B0200'!L:L,'B0200'!ED:ED,"OK")</f>
        <v>4092150672.9580822</v>
      </c>
      <c r="U17" s="117">
        <f t="shared" si="6"/>
        <v>1</v>
      </c>
    </row>
    <row r="18" spans="1:21" ht="20.399999999999999" hidden="1">
      <c r="A18" s="77" t="s">
        <v>2293</v>
      </c>
      <c r="B18" s="25" t="str">
        <f t="shared" si="0"/>
        <v>v_2_0017</v>
      </c>
      <c r="C18" s="25" t="s">
        <v>2194</v>
      </c>
      <c r="D18" s="25" t="s">
        <v>112</v>
      </c>
      <c r="E18" s="72" t="s">
        <v>42</v>
      </c>
      <c r="F18" s="72" t="s">
        <v>2363</v>
      </c>
      <c r="G18" s="73" t="s">
        <v>2195</v>
      </c>
      <c r="H18" s="73"/>
      <c r="I18" s="72" t="s">
        <v>2287</v>
      </c>
      <c r="J18" s="72" t="s">
        <v>2288</v>
      </c>
      <c r="K18" s="72" t="s">
        <v>2287</v>
      </c>
      <c r="L18" s="86">
        <f t="shared" si="1"/>
        <v>8</v>
      </c>
      <c r="M18" s="115">
        <f>COUNTIF('B0200'!EE:EE,"KO")</f>
        <v>0</v>
      </c>
      <c r="N18" s="117">
        <f t="shared" si="2"/>
        <v>0</v>
      </c>
      <c r="O18" s="118">
        <f>COUNTIF('B0200'!EE:EE,"OK")</f>
        <v>8</v>
      </c>
      <c r="P18" s="117">
        <f t="shared" si="3"/>
        <v>1</v>
      </c>
      <c r="Q18" s="119">
        <f t="shared" si="4"/>
        <v>4092150672.9580822</v>
      </c>
      <c r="R18" s="119">
        <f>SUMIFS('B0200'!L:L,'B0200'!EE:EE,"KO")</f>
        <v>0</v>
      </c>
      <c r="S18" s="117">
        <f t="shared" si="5"/>
        <v>0</v>
      </c>
      <c r="T18" s="119">
        <f>SUMIFS('B0200'!L:L,'B0200'!EE:EE,"OK")</f>
        <v>4092150672.9580822</v>
      </c>
      <c r="U18" s="117">
        <f t="shared" si="6"/>
        <v>1</v>
      </c>
    </row>
    <row r="19" spans="1:21" ht="20.399999999999999" hidden="1">
      <c r="A19" s="77" t="s">
        <v>2296</v>
      </c>
      <c r="B19" s="25" t="str">
        <f t="shared" si="0"/>
        <v>v_2_0018</v>
      </c>
      <c r="C19" s="25" t="s">
        <v>2194</v>
      </c>
      <c r="D19" s="25" t="s">
        <v>112</v>
      </c>
      <c r="E19" s="72" t="s">
        <v>42</v>
      </c>
      <c r="F19" s="72" t="s">
        <v>2363</v>
      </c>
      <c r="G19" s="73" t="s">
        <v>2195</v>
      </c>
      <c r="H19" s="73"/>
      <c r="I19" s="72" t="s">
        <v>2294</v>
      </c>
      <c r="J19" s="72" t="s">
        <v>2295</v>
      </c>
      <c r="K19" s="72" t="s">
        <v>2294</v>
      </c>
      <c r="L19" s="86">
        <f t="shared" si="1"/>
        <v>8</v>
      </c>
      <c r="M19" s="115">
        <f>COUNTIF('B0200'!EF:EF,"KO")</f>
        <v>0</v>
      </c>
      <c r="N19" s="117">
        <f t="shared" si="2"/>
        <v>0</v>
      </c>
      <c r="O19" s="118">
        <f>COUNTIF('B0200'!EF:EF,"OK")</f>
        <v>8</v>
      </c>
      <c r="P19" s="117">
        <f t="shared" si="3"/>
        <v>1</v>
      </c>
      <c r="Q19" s="119">
        <f t="shared" si="4"/>
        <v>4092150672.9580822</v>
      </c>
      <c r="R19" s="119">
        <f>SUMIFS('B0200'!L:L,'B0200'!EF:EF,"KO")</f>
        <v>0</v>
      </c>
      <c r="S19" s="117">
        <f t="shared" si="5"/>
        <v>0</v>
      </c>
      <c r="T19" s="119">
        <f>SUMIFS('B0200'!L:L,'B0200'!EF:EF,"OK")</f>
        <v>4092150672.9580822</v>
      </c>
      <c r="U19" s="117">
        <f t="shared" si="6"/>
        <v>1</v>
      </c>
    </row>
    <row r="20" spans="1:21" ht="20.399999999999999" hidden="1">
      <c r="A20" s="77" t="s">
        <v>6</v>
      </c>
      <c r="B20" s="25" t="str">
        <f t="shared" si="0"/>
        <v>v_2_0019</v>
      </c>
      <c r="C20" s="25" t="s">
        <v>2194</v>
      </c>
      <c r="D20" s="25" t="s">
        <v>113</v>
      </c>
      <c r="E20" s="72" t="s">
        <v>44</v>
      </c>
      <c r="F20" s="72" t="s">
        <v>2363</v>
      </c>
      <c r="G20" s="73" t="s">
        <v>2195</v>
      </c>
      <c r="H20" s="73"/>
      <c r="I20" s="72" t="s">
        <v>2287</v>
      </c>
      <c r="J20" s="72" t="s">
        <v>2288</v>
      </c>
      <c r="K20" s="72" t="s">
        <v>2287</v>
      </c>
      <c r="L20" s="86">
        <f t="shared" si="1"/>
        <v>8</v>
      </c>
      <c r="M20" s="115">
        <f>COUNTIF('B0200'!EG:EG,"KO")</f>
        <v>0</v>
      </c>
      <c r="N20" s="117">
        <f t="shared" si="2"/>
        <v>0</v>
      </c>
      <c r="O20" s="118">
        <f>COUNTIF('B0200'!EG:EG,"OK")</f>
        <v>8</v>
      </c>
      <c r="P20" s="117">
        <f t="shared" si="3"/>
        <v>1</v>
      </c>
      <c r="Q20" s="119">
        <f t="shared" si="4"/>
        <v>4092150672.9580822</v>
      </c>
      <c r="R20" s="119">
        <f>SUMIFS('B0200'!L:L,'B0200'!EG:EG,"KO")</f>
        <v>0</v>
      </c>
      <c r="S20" s="117">
        <f t="shared" si="5"/>
        <v>0</v>
      </c>
      <c r="T20" s="119">
        <f>SUMIFS('B0200'!L:L,'B0200'!EG:EG,"OK")</f>
        <v>4092150672.9580822</v>
      </c>
      <c r="U20" s="117">
        <f t="shared" si="6"/>
        <v>1</v>
      </c>
    </row>
    <row r="21" spans="1:21" ht="20.399999999999999" hidden="1">
      <c r="A21" s="77" t="s">
        <v>2297</v>
      </c>
      <c r="B21" s="25" t="str">
        <f t="shared" si="0"/>
        <v>v_2_0020</v>
      </c>
      <c r="C21" s="25" t="s">
        <v>2194</v>
      </c>
      <c r="D21" s="25" t="s">
        <v>113</v>
      </c>
      <c r="E21" s="72" t="s">
        <v>44</v>
      </c>
      <c r="F21" s="72" t="s">
        <v>2363</v>
      </c>
      <c r="G21" s="73" t="s">
        <v>2195</v>
      </c>
      <c r="H21" s="73"/>
      <c r="I21" s="72" t="s">
        <v>2294</v>
      </c>
      <c r="J21" s="72" t="s">
        <v>2295</v>
      </c>
      <c r="K21" s="72" t="s">
        <v>2294</v>
      </c>
      <c r="L21" s="86">
        <f t="shared" si="1"/>
        <v>8</v>
      </c>
      <c r="M21" s="115">
        <f>COUNTIF('B0200'!EH:EH,"KO")</f>
        <v>0</v>
      </c>
      <c r="N21" s="117">
        <f t="shared" si="2"/>
        <v>0</v>
      </c>
      <c r="O21" s="118">
        <f>COUNTIF('B0200'!EH:EH,"OK")</f>
        <v>8</v>
      </c>
      <c r="P21" s="117">
        <f t="shared" si="3"/>
        <v>1</v>
      </c>
      <c r="Q21" s="119">
        <f t="shared" si="4"/>
        <v>4092150672.9580822</v>
      </c>
      <c r="R21" s="119">
        <f>SUMIFS('B0200'!L:L,'B0200'!EH:EH,"KO")</f>
        <v>0</v>
      </c>
      <c r="S21" s="117">
        <f t="shared" si="5"/>
        <v>0</v>
      </c>
      <c r="T21" s="119">
        <f>SUMIFS('B0200'!L:L,'B0200'!EH:EH,"OK")</f>
        <v>4092150672.9580822</v>
      </c>
      <c r="U21" s="117">
        <f t="shared" si="6"/>
        <v>1</v>
      </c>
    </row>
    <row r="22" spans="1:21" ht="20.399999999999999" hidden="1">
      <c r="A22" s="77" t="s">
        <v>2298</v>
      </c>
      <c r="B22" s="25" t="str">
        <f t="shared" si="0"/>
        <v>v_2_0021</v>
      </c>
      <c r="C22" s="25" t="s">
        <v>2194</v>
      </c>
      <c r="D22" s="25" t="s">
        <v>114</v>
      </c>
      <c r="E22" s="72" t="s">
        <v>45</v>
      </c>
      <c r="F22" s="72" t="s">
        <v>2363</v>
      </c>
      <c r="G22" s="73" t="s">
        <v>2195</v>
      </c>
      <c r="H22" s="73"/>
      <c r="I22" s="72" t="s">
        <v>2287</v>
      </c>
      <c r="J22" s="72" t="s">
        <v>2288</v>
      </c>
      <c r="K22" s="72" t="s">
        <v>2287</v>
      </c>
      <c r="L22" s="86">
        <f t="shared" si="1"/>
        <v>8</v>
      </c>
      <c r="M22" s="115">
        <f>COUNTIF('B0200'!EI:EI,"KO")</f>
        <v>0</v>
      </c>
      <c r="N22" s="117">
        <f t="shared" si="2"/>
        <v>0</v>
      </c>
      <c r="O22" s="118">
        <f>COUNTIF('B0200'!EI:EI,"OK")</f>
        <v>8</v>
      </c>
      <c r="P22" s="117">
        <f t="shared" si="3"/>
        <v>1</v>
      </c>
      <c r="Q22" s="119">
        <f t="shared" si="4"/>
        <v>4092150672.9580822</v>
      </c>
      <c r="R22" s="119">
        <f>SUMIFS('B0200'!L:L,'B0200'!EI:EI,"KO")</f>
        <v>0</v>
      </c>
      <c r="S22" s="117">
        <f t="shared" si="5"/>
        <v>0</v>
      </c>
      <c r="T22" s="119">
        <f>SUMIFS('B0200'!L:L,'B0200'!EI:EI,"OK")</f>
        <v>4092150672.9580822</v>
      </c>
      <c r="U22" s="117">
        <f t="shared" si="6"/>
        <v>1</v>
      </c>
    </row>
    <row r="23" spans="1:21" ht="20.399999999999999" hidden="1">
      <c r="A23" s="77" t="s">
        <v>2299</v>
      </c>
      <c r="B23" s="25" t="str">
        <f t="shared" si="0"/>
        <v>v_2_0022</v>
      </c>
      <c r="C23" s="25" t="s">
        <v>2194</v>
      </c>
      <c r="D23" s="25" t="s">
        <v>114</v>
      </c>
      <c r="E23" s="72" t="s">
        <v>45</v>
      </c>
      <c r="F23" s="72" t="s">
        <v>2363</v>
      </c>
      <c r="G23" s="73" t="s">
        <v>2195</v>
      </c>
      <c r="H23" s="73"/>
      <c r="I23" s="72" t="s">
        <v>2294</v>
      </c>
      <c r="J23" s="72" t="s">
        <v>2295</v>
      </c>
      <c r="K23" s="72" t="s">
        <v>2294</v>
      </c>
      <c r="L23" s="86">
        <f t="shared" si="1"/>
        <v>8</v>
      </c>
      <c r="M23" s="115">
        <f>COUNTIF('B0200'!EJ:EJ,"KO")</f>
        <v>0</v>
      </c>
      <c r="N23" s="117">
        <f t="shared" si="2"/>
        <v>0</v>
      </c>
      <c r="O23" s="118">
        <f>COUNTIF('B0200'!EJ:EJ,"OK")</f>
        <v>8</v>
      </c>
      <c r="P23" s="117">
        <f t="shared" si="3"/>
        <v>1</v>
      </c>
      <c r="Q23" s="119">
        <f t="shared" si="4"/>
        <v>4092150672.9580822</v>
      </c>
      <c r="R23" s="119">
        <f>SUMIFS('B0200'!L:L,'B0200'!EJ:EJ,"KO")</f>
        <v>0</v>
      </c>
      <c r="S23" s="117">
        <f t="shared" si="5"/>
        <v>0</v>
      </c>
      <c r="T23" s="119">
        <f>SUMIFS('B0200'!L:L,'B0200'!EJ:EJ,"OK")</f>
        <v>4092150672.9580822</v>
      </c>
      <c r="U23" s="117">
        <f t="shared" si="6"/>
        <v>1</v>
      </c>
    </row>
    <row r="24" spans="1:21" ht="20.399999999999999" hidden="1">
      <c r="A24" s="77" t="s">
        <v>2302</v>
      </c>
      <c r="B24" s="25" t="str">
        <f t="shared" si="0"/>
        <v>v_2_0023</v>
      </c>
      <c r="C24" s="25" t="s">
        <v>2194</v>
      </c>
      <c r="D24" s="25" t="s">
        <v>115</v>
      </c>
      <c r="E24" s="72" t="s">
        <v>46</v>
      </c>
      <c r="F24" s="72" t="s">
        <v>2364</v>
      </c>
      <c r="G24" s="73" t="s">
        <v>2195</v>
      </c>
      <c r="H24" s="73"/>
      <c r="I24" s="72" t="s">
        <v>2300</v>
      </c>
      <c r="J24" s="72" t="s">
        <v>2288</v>
      </c>
      <c r="K24" s="72" t="s">
        <v>2301</v>
      </c>
      <c r="L24" s="86">
        <f t="shared" si="1"/>
        <v>8</v>
      </c>
      <c r="M24" s="115">
        <f>COUNTIF('B0200'!EK:EK,"KO")</f>
        <v>0</v>
      </c>
      <c r="N24" s="117">
        <f t="shared" si="2"/>
        <v>0</v>
      </c>
      <c r="O24" s="118">
        <f>COUNTIF('B0200'!EK:EK,"OK")</f>
        <v>8</v>
      </c>
      <c r="P24" s="117">
        <f t="shared" si="3"/>
        <v>1</v>
      </c>
      <c r="Q24" s="119">
        <f t="shared" si="4"/>
        <v>4092150672.9580822</v>
      </c>
      <c r="R24" s="119">
        <f>SUMIFS('B0200'!L:L,'B0200'!EK:EK,"KO")</f>
        <v>0</v>
      </c>
      <c r="S24" s="117">
        <f t="shared" si="5"/>
        <v>0</v>
      </c>
      <c r="T24" s="119">
        <f>SUMIFS('B0200'!L:L,'B0200'!EK:EK,"OK")</f>
        <v>4092150672.9580822</v>
      </c>
      <c r="U24" s="117">
        <f t="shared" si="6"/>
        <v>1</v>
      </c>
    </row>
    <row r="25" spans="1:21" hidden="1">
      <c r="A25" s="77" t="s">
        <v>2303</v>
      </c>
      <c r="B25" s="25" t="str">
        <f t="shared" si="0"/>
        <v>v_2_0024</v>
      </c>
      <c r="C25" s="25" t="s">
        <v>2194</v>
      </c>
      <c r="D25" s="25" t="s">
        <v>116</v>
      </c>
      <c r="E25" s="72" t="s">
        <v>47</v>
      </c>
      <c r="F25" s="72" t="s">
        <v>2361</v>
      </c>
      <c r="G25" s="73" t="s">
        <v>2195</v>
      </c>
      <c r="H25" s="73"/>
      <c r="I25" s="72" t="s">
        <v>2281</v>
      </c>
      <c r="J25" s="72" t="s">
        <v>2288</v>
      </c>
      <c r="K25" s="72" t="s">
        <v>2282</v>
      </c>
      <c r="L25" s="86">
        <f t="shared" si="1"/>
        <v>8</v>
      </c>
      <c r="M25" s="115">
        <f>COUNTIF('B0200'!EL:EL,"KO")</f>
        <v>0</v>
      </c>
      <c r="N25" s="117">
        <f t="shared" si="2"/>
        <v>0</v>
      </c>
      <c r="O25" s="118">
        <f>COUNTIF('B0200'!EL:EL,"OK")</f>
        <v>8</v>
      </c>
      <c r="P25" s="117">
        <f t="shared" si="3"/>
        <v>1</v>
      </c>
      <c r="Q25" s="119">
        <f t="shared" si="4"/>
        <v>4092150672.9580822</v>
      </c>
      <c r="R25" s="119">
        <f>SUMIFS('B0200'!L:L,'B0200'!EL:EL,"KO")</f>
        <v>0</v>
      </c>
      <c r="S25" s="117">
        <f t="shared" si="5"/>
        <v>0</v>
      </c>
      <c r="T25" s="119">
        <f>SUMIFS('B0200'!L:L,'B0200'!EL:EL,"OK")</f>
        <v>4092150672.9580822</v>
      </c>
      <c r="U25" s="117">
        <f t="shared" si="6"/>
        <v>1</v>
      </c>
    </row>
    <row r="26" spans="1:21" hidden="1">
      <c r="A26" s="77" t="s">
        <v>2304</v>
      </c>
      <c r="B26" s="25" t="str">
        <f t="shared" si="0"/>
        <v>v_2_0025</v>
      </c>
      <c r="C26" s="25" t="s">
        <v>2194</v>
      </c>
      <c r="D26" s="25" t="s">
        <v>117</v>
      </c>
      <c r="E26" s="72" t="s">
        <v>49</v>
      </c>
      <c r="F26" s="72" t="s">
        <v>2361</v>
      </c>
      <c r="G26" s="73" t="s">
        <v>2195</v>
      </c>
      <c r="H26" s="73"/>
      <c r="I26" s="72" t="s">
        <v>2281</v>
      </c>
      <c r="J26" s="72"/>
      <c r="K26" s="72" t="s">
        <v>2282</v>
      </c>
      <c r="L26" s="86">
        <f t="shared" si="1"/>
        <v>8</v>
      </c>
      <c r="M26" s="115">
        <f>COUNTIF('B0200'!EM:EM,"KO")</f>
        <v>0</v>
      </c>
      <c r="N26" s="117">
        <f t="shared" si="2"/>
        <v>0</v>
      </c>
      <c r="O26" s="118">
        <f>COUNTIF('B0200'!EM:EM,"OK")</f>
        <v>8</v>
      </c>
      <c r="P26" s="117">
        <f t="shared" si="3"/>
        <v>1</v>
      </c>
      <c r="Q26" s="119">
        <f t="shared" si="4"/>
        <v>4092150672.9580822</v>
      </c>
      <c r="R26" s="119">
        <f>SUMIFS('B0200'!L:L,'B0200'!EM:EM,"KO")</f>
        <v>0</v>
      </c>
      <c r="S26" s="117">
        <f t="shared" si="5"/>
        <v>0</v>
      </c>
      <c r="T26" s="119">
        <f>SUMIFS('B0200'!L:L,'B0200'!EM:EM,"OK")</f>
        <v>4092150672.9580822</v>
      </c>
      <c r="U26" s="117">
        <f t="shared" si="6"/>
        <v>1</v>
      </c>
    </row>
    <row r="27" spans="1:21" hidden="1">
      <c r="A27" s="77" t="s">
        <v>2305</v>
      </c>
      <c r="B27" s="25" t="str">
        <f t="shared" si="0"/>
        <v>v_2_0026</v>
      </c>
      <c r="C27" s="25" t="s">
        <v>2194</v>
      </c>
      <c r="D27" s="25" t="s">
        <v>121</v>
      </c>
      <c r="E27" s="72" t="s">
        <v>55</v>
      </c>
      <c r="F27" s="72" t="s">
        <v>2361</v>
      </c>
      <c r="G27" s="73" t="s">
        <v>2195</v>
      </c>
      <c r="H27" s="73"/>
      <c r="I27" s="72" t="s">
        <v>2281</v>
      </c>
      <c r="J27" s="72"/>
      <c r="K27" s="72" t="s">
        <v>2282</v>
      </c>
      <c r="L27" s="86">
        <f t="shared" si="1"/>
        <v>8</v>
      </c>
      <c r="M27" s="115">
        <f>COUNTIF('B0200'!EN:EN,"KO")</f>
        <v>0</v>
      </c>
      <c r="N27" s="117">
        <f t="shared" si="2"/>
        <v>0</v>
      </c>
      <c r="O27" s="118">
        <f>COUNTIF('B0200'!EN:EN,"OK")</f>
        <v>8</v>
      </c>
      <c r="P27" s="117">
        <f t="shared" si="3"/>
        <v>1</v>
      </c>
      <c r="Q27" s="119">
        <f t="shared" si="4"/>
        <v>4092150672.9580822</v>
      </c>
      <c r="R27" s="119">
        <f>SUMIFS('B0200'!L:L,'B0200'!EN:EN,"KO")</f>
        <v>0</v>
      </c>
      <c r="S27" s="117">
        <f t="shared" si="5"/>
        <v>0</v>
      </c>
      <c r="T27" s="119">
        <f>SUMIFS('B0200'!L:L,'B0200'!EN:EN,"OK")</f>
        <v>4092150672.9580822</v>
      </c>
      <c r="U27" s="117">
        <f t="shared" si="6"/>
        <v>1</v>
      </c>
    </row>
    <row r="28" spans="1:21" ht="40.799999999999997" hidden="1">
      <c r="A28" s="77" t="s">
        <v>2309</v>
      </c>
      <c r="B28" s="25" t="str">
        <f t="shared" si="0"/>
        <v>v_2_0027</v>
      </c>
      <c r="C28" s="25" t="s">
        <v>2194</v>
      </c>
      <c r="D28" s="25" t="s">
        <v>123</v>
      </c>
      <c r="E28" s="72" t="s">
        <v>57</v>
      </c>
      <c r="F28" s="72" t="s">
        <v>2360</v>
      </c>
      <c r="G28" s="73" t="s">
        <v>2195</v>
      </c>
      <c r="H28" s="73"/>
      <c r="I28" s="72" t="s">
        <v>2306</v>
      </c>
      <c r="J28" s="72" t="s">
        <v>2307</v>
      </c>
      <c r="K28" s="72" t="s">
        <v>2308</v>
      </c>
      <c r="L28" s="86">
        <f t="shared" si="1"/>
        <v>8</v>
      </c>
      <c r="M28" s="115">
        <f>COUNTIF('B0200'!EO:EO,"KO")</f>
        <v>0</v>
      </c>
      <c r="N28" s="117">
        <f t="shared" si="2"/>
        <v>0</v>
      </c>
      <c r="O28" s="118">
        <f>COUNTIF('B0200'!EO:EO,"OK")</f>
        <v>8</v>
      </c>
      <c r="P28" s="117">
        <f t="shared" si="3"/>
        <v>1</v>
      </c>
      <c r="Q28" s="119">
        <f t="shared" si="4"/>
        <v>4092150672.9580822</v>
      </c>
      <c r="R28" s="119">
        <f>SUMIFS('B0200'!L:L,'B0200'!EO:EO,"KO")</f>
        <v>0</v>
      </c>
      <c r="S28" s="117">
        <f t="shared" si="5"/>
        <v>0</v>
      </c>
      <c r="T28" s="119">
        <f>SUMIFS('B0200'!L:L,'B0200'!EO:EO,"OK")</f>
        <v>4092150672.9580822</v>
      </c>
      <c r="U28" s="117">
        <f t="shared" si="6"/>
        <v>1</v>
      </c>
    </row>
    <row r="29" spans="1:21" ht="30.6" hidden="1">
      <c r="A29" s="77" t="s">
        <v>2313</v>
      </c>
      <c r="B29" s="25" t="str">
        <f t="shared" si="0"/>
        <v>v_2_0028</v>
      </c>
      <c r="C29" s="25" t="s">
        <v>2194</v>
      </c>
      <c r="D29" s="25" t="s">
        <v>123</v>
      </c>
      <c r="E29" s="72" t="s">
        <v>57</v>
      </c>
      <c r="F29" s="72" t="s">
        <v>2360</v>
      </c>
      <c r="G29" s="73" t="s">
        <v>2195</v>
      </c>
      <c r="H29" s="73"/>
      <c r="I29" s="72" t="s">
        <v>2310</v>
      </c>
      <c r="J29" s="72" t="s">
        <v>2311</v>
      </c>
      <c r="K29" s="72" t="s">
        <v>2312</v>
      </c>
      <c r="L29" s="86">
        <f t="shared" si="1"/>
        <v>8</v>
      </c>
      <c r="M29" s="115">
        <f>COUNTIF('B0200'!EP:EP,"KO")</f>
        <v>0</v>
      </c>
      <c r="N29" s="117">
        <f t="shared" si="2"/>
        <v>0</v>
      </c>
      <c r="O29" s="118">
        <f>COUNTIF('B0200'!EP:EP,"OK")</f>
        <v>8</v>
      </c>
      <c r="P29" s="117">
        <f t="shared" si="3"/>
        <v>1</v>
      </c>
      <c r="Q29" s="119">
        <f t="shared" si="4"/>
        <v>4092150672.9580822</v>
      </c>
      <c r="R29" s="119">
        <f>SUMIFS('B0200'!L:L,'B0200'!EP:EP,"KO")</f>
        <v>0</v>
      </c>
      <c r="S29" s="117">
        <f t="shared" si="5"/>
        <v>0</v>
      </c>
      <c r="T29" s="119">
        <f>SUMIFS('B0200'!L:L,'B0200'!EP:EP,"OK")</f>
        <v>4092150672.9580822</v>
      </c>
      <c r="U29" s="117">
        <f t="shared" si="6"/>
        <v>1</v>
      </c>
    </row>
    <row r="30" spans="1:21" hidden="1">
      <c r="A30" s="77" t="s">
        <v>7</v>
      </c>
      <c r="B30" s="25" t="str">
        <f t="shared" si="0"/>
        <v>v_2_0029</v>
      </c>
      <c r="C30" s="25" t="s">
        <v>2194</v>
      </c>
      <c r="D30" s="25" t="s">
        <v>124</v>
      </c>
      <c r="E30" s="72" t="s">
        <v>59</v>
      </c>
      <c r="F30" s="72" t="s">
        <v>2361</v>
      </c>
      <c r="G30" s="73" t="s">
        <v>2195</v>
      </c>
      <c r="H30" s="73"/>
      <c r="I30" s="72" t="s">
        <v>2281</v>
      </c>
      <c r="J30" s="72"/>
      <c r="K30" s="72" t="s">
        <v>2282</v>
      </c>
      <c r="L30" s="86">
        <f t="shared" si="1"/>
        <v>8</v>
      </c>
      <c r="M30" s="115">
        <f>COUNTIF('B0200'!EQ:EQ,"KO")</f>
        <v>0</v>
      </c>
      <c r="N30" s="117">
        <f t="shared" si="2"/>
        <v>0</v>
      </c>
      <c r="O30" s="118">
        <f>COUNTIF('B0200'!EQ:EQ,"OK")</f>
        <v>8</v>
      </c>
      <c r="P30" s="117">
        <f t="shared" si="3"/>
        <v>1</v>
      </c>
      <c r="Q30" s="119">
        <f t="shared" si="4"/>
        <v>4092150672.9580822</v>
      </c>
      <c r="R30" s="119">
        <f>SUMIFS('B0200'!L:L,'B0200'!EQ:EQ,"KO")</f>
        <v>0</v>
      </c>
      <c r="S30" s="117">
        <f t="shared" si="5"/>
        <v>0</v>
      </c>
      <c r="T30" s="119">
        <f>SUMIFS('B0200'!L:L,'B0200'!EQ:EQ,"OK")</f>
        <v>4092150672.9580822</v>
      </c>
      <c r="U30" s="117">
        <f t="shared" si="6"/>
        <v>1</v>
      </c>
    </row>
    <row r="31" spans="1:21" hidden="1">
      <c r="A31" s="77" t="s">
        <v>140</v>
      </c>
      <c r="B31" s="25" t="str">
        <f t="shared" si="0"/>
        <v>v_2_0030</v>
      </c>
      <c r="C31" s="25" t="s">
        <v>2194</v>
      </c>
      <c r="D31" s="25" t="s">
        <v>124</v>
      </c>
      <c r="E31" s="72" t="s">
        <v>59</v>
      </c>
      <c r="F31" s="72" t="s">
        <v>2361</v>
      </c>
      <c r="G31" s="73" t="s">
        <v>2195</v>
      </c>
      <c r="H31" s="73"/>
      <c r="I31" s="72" t="s">
        <v>2314</v>
      </c>
      <c r="J31" s="72" t="s">
        <v>2315</v>
      </c>
      <c r="K31" s="72" t="s">
        <v>2316</v>
      </c>
      <c r="L31" s="86">
        <f t="shared" si="1"/>
        <v>8</v>
      </c>
      <c r="M31" s="115">
        <f>COUNTIF('B0200'!ER:ER,"KO")</f>
        <v>0</v>
      </c>
      <c r="N31" s="117">
        <f t="shared" si="2"/>
        <v>0</v>
      </c>
      <c r="O31" s="118">
        <f>COUNTIF('B0200'!ER:ER,"OK")</f>
        <v>8</v>
      </c>
      <c r="P31" s="117">
        <f t="shared" si="3"/>
        <v>1</v>
      </c>
      <c r="Q31" s="119">
        <f t="shared" si="4"/>
        <v>4092150672.9580822</v>
      </c>
      <c r="R31" s="119">
        <f>SUMIFS('B0200'!L:L,'B0200'!ER:ER,"KO")</f>
        <v>0</v>
      </c>
      <c r="S31" s="117">
        <f t="shared" si="5"/>
        <v>0</v>
      </c>
      <c r="T31" s="119">
        <f>SUMIFS('B0200'!L:L,'B0200'!ER:ER,"OK")</f>
        <v>4092150672.9580822</v>
      </c>
      <c r="U31" s="117">
        <f t="shared" si="6"/>
        <v>1</v>
      </c>
    </row>
    <row r="32" spans="1:21" hidden="1">
      <c r="A32" s="77" t="s">
        <v>2317</v>
      </c>
      <c r="B32" s="25" t="str">
        <f t="shared" si="0"/>
        <v>v_2_0031</v>
      </c>
      <c r="C32" s="25" t="s">
        <v>2194</v>
      </c>
      <c r="D32" s="25" t="s">
        <v>130</v>
      </c>
      <c r="E32" s="72" t="s">
        <v>71</v>
      </c>
      <c r="F32" s="72" t="s">
        <v>2361</v>
      </c>
      <c r="G32" s="73" t="s">
        <v>2195</v>
      </c>
      <c r="H32" s="73"/>
      <c r="I32" s="72" t="s">
        <v>2281</v>
      </c>
      <c r="J32" s="72"/>
      <c r="K32" s="72" t="s">
        <v>2282</v>
      </c>
      <c r="L32" s="86">
        <f t="shared" si="1"/>
        <v>8</v>
      </c>
      <c r="M32" s="115">
        <f>COUNTIF('B0200'!ES:ES,"KO")</f>
        <v>0</v>
      </c>
      <c r="N32" s="117">
        <f t="shared" si="2"/>
        <v>0</v>
      </c>
      <c r="O32" s="118">
        <f>COUNTIF('B0200'!ES:ES,"OK")</f>
        <v>8</v>
      </c>
      <c r="P32" s="117">
        <f t="shared" si="3"/>
        <v>1</v>
      </c>
      <c r="Q32" s="119">
        <f t="shared" si="4"/>
        <v>4092150672.9580822</v>
      </c>
      <c r="R32" s="119">
        <f>SUMIFS('B0200'!L:L,'B0200'!ES:ES,"KO")</f>
        <v>0</v>
      </c>
      <c r="S32" s="117">
        <f t="shared" si="5"/>
        <v>0</v>
      </c>
      <c r="T32" s="119">
        <f>SUMIFS('B0200'!L:L,'B0200'!ES:ES,"OK")</f>
        <v>4092150672.9580822</v>
      </c>
      <c r="U32" s="117">
        <f t="shared" si="6"/>
        <v>1</v>
      </c>
    </row>
    <row r="33" spans="1:21" ht="20.399999999999999" hidden="1">
      <c r="A33" s="77" t="s">
        <v>2318</v>
      </c>
      <c r="B33" s="25" t="str">
        <f t="shared" si="0"/>
        <v>v_2_0032</v>
      </c>
      <c r="C33" s="25" t="s">
        <v>2194</v>
      </c>
      <c r="D33" s="25" t="s">
        <v>131</v>
      </c>
      <c r="E33" s="72" t="s">
        <v>88</v>
      </c>
      <c r="F33" s="72" t="s">
        <v>2361</v>
      </c>
      <c r="G33" s="73" t="s">
        <v>2195</v>
      </c>
      <c r="H33" s="73"/>
      <c r="I33" s="72" t="s">
        <v>2281</v>
      </c>
      <c r="J33" s="72"/>
      <c r="K33" s="72" t="s">
        <v>2282</v>
      </c>
      <c r="L33" s="86">
        <f t="shared" si="1"/>
        <v>8</v>
      </c>
      <c r="M33" s="115">
        <f>COUNTIF('B0200'!ET:ET,"KO")</f>
        <v>0</v>
      </c>
      <c r="N33" s="117">
        <f t="shared" si="2"/>
        <v>0</v>
      </c>
      <c r="O33" s="118">
        <f>COUNTIF('B0200'!ET:ET,"OK")</f>
        <v>8</v>
      </c>
      <c r="P33" s="117">
        <f t="shared" si="3"/>
        <v>1</v>
      </c>
      <c r="Q33" s="119">
        <f t="shared" si="4"/>
        <v>4092150672.9580822</v>
      </c>
      <c r="R33" s="119">
        <f>SUMIFS('B0200'!L:L,'B0200'!ET:ET,"KO")</f>
        <v>0</v>
      </c>
      <c r="S33" s="117">
        <f t="shared" si="5"/>
        <v>0</v>
      </c>
      <c r="T33" s="119">
        <f>SUMIFS('B0200'!L:L,'B0200'!ET:ET,"OK")</f>
        <v>4092150672.9580822</v>
      </c>
      <c r="U33" s="117">
        <f t="shared" si="6"/>
        <v>1</v>
      </c>
    </row>
    <row r="34" spans="1:21" ht="20.399999999999999" hidden="1">
      <c r="A34" s="77" t="s">
        <v>2320</v>
      </c>
      <c r="B34" s="25" t="str">
        <f t="shared" si="0"/>
        <v>v_2_0033</v>
      </c>
      <c r="C34" s="25" t="s">
        <v>2194</v>
      </c>
      <c r="D34" s="25" t="s">
        <v>132</v>
      </c>
      <c r="E34" s="72" t="s">
        <v>89</v>
      </c>
      <c r="F34" s="72" t="s">
        <v>2360</v>
      </c>
      <c r="G34" s="73" t="s">
        <v>2195</v>
      </c>
      <c r="H34" s="73"/>
      <c r="I34" s="72" t="s">
        <v>2261</v>
      </c>
      <c r="J34" s="72"/>
      <c r="K34" s="72" t="s">
        <v>2319</v>
      </c>
      <c r="L34" s="86">
        <f t="shared" si="1"/>
        <v>8</v>
      </c>
      <c r="M34" s="115">
        <f>COUNTIF('B0200'!EU:EU,"KO")</f>
        <v>0</v>
      </c>
      <c r="N34" s="117">
        <f t="shared" si="2"/>
        <v>0</v>
      </c>
      <c r="O34" s="118">
        <f>COUNTIF('B0200'!EU:EU,"OK")</f>
        <v>8</v>
      </c>
      <c r="P34" s="117">
        <f t="shared" si="3"/>
        <v>1</v>
      </c>
      <c r="Q34" s="119">
        <f t="shared" si="4"/>
        <v>4092150672.9580822</v>
      </c>
      <c r="R34" s="119">
        <f>SUMIFS('B0200'!L:L,'B0200'!EU:EU,"KO")</f>
        <v>0</v>
      </c>
      <c r="S34" s="117">
        <f t="shared" si="5"/>
        <v>0</v>
      </c>
      <c r="T34" s="119">
        <f>SUMIFS('B0200'!L:L,'B0200'!EU:EU,"OK")</f>
        <v>4092150672.9580822</v>
      </c>
      <c r="U34" s="117">
        <f t="shared" si="6"/>
        <v>1</v>
      </c>
    </row>
    <row r="35" spans="1:21" ht="20.399999999999999" hidden="1">
      <c r="A35" s="77" t="s">
        <v>2321</v>
      </c>
      <c r="B35" s="25" t="str">
        <f t="shared" si="0"/>
        <v>v_2_0034</v>
      </c>
      <c r="C35" s="25" t="s">
        <v>2194</v>
      </c>
      <c r="D35" s="25" t="s">
        <v>133</v>
      </c>
      <c r="E35" s="72" t="s">
        <v>90</v>
      </c>
      <c r="F35" s="72" t="s">
        <v>2361</v>
      </c>
      <c r="G35" s="73" t="s">
        <v>2195</v>
      </c>
      <c r="H35" s="73"/>
      <c r="I35" s="72" t="s">
        <v>2281</v>
      </c>
      <c r="J35" s="72"/>
      <c r="K35" s="72" t="s">
        <v>2282</v>
      </c>
      <c r="L35" s="86">
        <f t="shared" si="1"/>
        <v>8</v>
      </c>
      <c r="M35" s="115">
        <f>COUNTIF('B0200'!EV:EV,"KO")</f>
        <v>0</v>
      </c>
      <c r="N35" s="117">
        <f t="shared" si="2"/>
        <v>0</v>
      </c>
      <c r="O35" s="118">
        <f>COUNTIF('B0200'!EV:EV,"OK")</f>
        <v>8</v>
      </c>
      <c r="P35" s="117">
        <f t="shared" si="3"/>
        <v>1</v>
      </c>
      <c r="Q35" s="119">
        <f t="shared" si="4"/>
        <v>4092150672.9580822</v>
      </c>
      <c r="R35" s="119">
        <f>SUMIFS('B0200'!L:L,'B0200'!EV:EV,"KO")</f>
        <v>0</v>
      </c>
      <c r="S35" s="117">
        <f t="shared" si="5"/>
        <v>0</v>
      </c>
      <c r="T35" s="119">
        <f>SUMIFS('B0200'!L:L,'B0200'!EV:EV,"OK")</f>
        <v>4092150672.9580822</v>
      </c>
      <c r="U35" s="117">
        <f t="shared" si="6"/>
        <v>1</v>
      </c>
    </row>
    <row r="36" spans="1:21" ht="20.399999999999999" hidden="1">
      <c r="A36" s="77" t="s">
        <v>2323</v>
      </c>
      <c r="B36" s="25" t="str">
        <f t="shared" ref="B36:B43" si="7">CONCATENATE("v_2_",A35)</f>
        <v>v_2_0035</v>
      </c>
      <c r="C36" s="25" t="s">
        <v>2194</v>
      </c>
      <c r="D36" s="25" t="s">
        <v>134</v>
      </c>
      <c r="E36" s="72" t="s">
        <v>2322</v>
      </c>
      <c r="F36" s="72" t="s">
        <v>2360</v>
      </c>
      <c r="G36" s="73" t="s">
        <v>2195</v>
      </c>
      <c r="H36" s="73"/>
      <c r="I36" s="72" t="s">
        <v>2261</v>
      </c>
      <c r="J36" s="72"/>
      <c r="K36" s="72" t="s">
        <v>2319</v>
      </c>
      <c r="L36" s="86">
        <f t="shared" si="1"/>
        <v>8</v>
      </c>
      <c r="M36" s="115">
        <f>COUNTIF('B0200'!EW:EW,"KO")</f>
        <v>0</v>
      </c>
      <c r="N36" s="117">
        <f t="shared" si="2"/>
        <v>0</v>
      </c>
      <c r="O36" s="118">
        <f>COUNTIF('B0200'!EW:EW,"OK")</f>
        <v>8</v>
      </c>
      <c r="P36" s="117">
        <f t="shared" si="3"/>
        <v>1</v>
      </c>
      <c r="Q36" s="119">
        <f t="shared" si="4"/>
        <v>4092150672.9580822</v>
      </c>
      <c r="R36" s="119">
        <f>SUMIFS('B0200'!L:L,'B0200'!EW:EW,"KO")</f>
        <v>0</v>
      </c>
      <c r="S36" s="117">
        <f t="shared" si="5"/>
        <v>0</v>
      </c>
      <c r="T36" s="119">
        <f>SUMIFS('B0200'!L:L,'B0200'!EW:EW,"OK")</f>
        <v>4092150672.9580822</v>
      </c>
      <c r="U36" s="117">
        <f t="shared" si="6"/>
        <v>1</v>
      </c>
    </row>
    <row r="37" spans="1:21" ht="20.399999999999999" hidden="1">
      <c r="A37" s="77" t="s">
        <v>2324</v>
      </c>
      <c r="B37" s="25" t="str">
        <f t="shared" si="7"/>
        <v>v_2_0036</v>
      </c>
      <c r="C37" s="25" t="s">
        <v>2194</v>
      </c>
      <c r="D37" s="25" t="s">
        <v>135</v>
      </c>
      <c r="E37" s="72" t="s">
        <v>95</v>
      </c>
      <c r="F37" s="72" t="s">
        <v>2361</v>
      </c>
      <c r="G37" s="73" t="s">
        <v>2195</v>
      </c>
      <c r="H37" s="73"/>
      <c r="I37" s="72" t="s">
        <v>2281</v>
      </c>
      <c r="J37" s="72"/>
      <c r="K37" s="72" t="s">
        <v>2282</v>
      </c>
      <c r="L37" s="86">
        <f t="shared" si="1"/>
        <v>8</v>
      </c>
      <c r="M37" s="115">
        <f>COUNTIF('B0200'!EX:EX,"KO")</f>
        <v>0</v>
      </c>
      <c r="N37" s="117">
        <f t="shared" si="2"/>
        <v>0</v>
      </c>
      <c r="O37" s="118">
        <f>COUNTIF('B0200'!EX:EX,"OK")</f>
        <v>8</v>
      </c>
      <c r="P37" s="117">
        <f t="shared" si="3"/>
        <v>1</v>
      </c>
      <c r="Q37" s="119">
        <f t="shared" si="4"/>
        <v>4092150672.9580822</v>
      </c>
      <c r="R37" s="119">
        <f>SUMIFS('B0200'!L:L,'B0200'!EX:EX,"KO")</f>
        <v>0</v>
      </c>
      <c r="S37" s="117">
        <f t="shared" si="5"/>
        <v>0</v>
      </c>
      <c r="T37" s="119">
        <f>SUMIFS('B0200'!L:L,'B0200'!EX:EX,"OK")</f>
        <v>4092150672.9580822</v>
      </c>
      <c r="U37" s="117">
        <f t="shared" si="6"/>
        <v>1</v>
      </c>
    </row>
    <row r="38" spans="1:21" ht="20.399999999999999" hidden="1">
      <c r="A38" s="77" t="s">
        <v>2325</v>
      </c>
      <c r="B38" s="25" t="str">
        <f t="shared" si="7"/>
        <v>v_2_0037</v>
      </c>
      <c r="C38" s="25" t="s">
        <v>2194</v>
      </c>
      <c r="D38" s="25" t="s">
        <v>136</v>
      </c>
      <c r="E38" s="72" t="s">
        <v>97</v>
      </c>
      <c r="F38" s="72" t="s">
        <v>2360</v>
      </c>
      <c r="G38" s="73" t="s">
        <v>2195</v>
      </c>
      <c r="H38" s="73"/>
      <c r="I38" s="72" t="s">
        <v>2261</v>
      </c>
      <c r="J38" s="72"/>
      <c r="K38" s="72" t="s">
        <v>2319</v>
      </c>
      <c r="L38" s="86">
        <f t="shared" si="1"/>
        <v>8</v>
      </c>
      <c r="M38" s="115">
        <f>COUNTIF('B0200'!EY:EY,"KO")</f>
        <v>0</v>
      </c>
      <c r="N38" s="117">
        <f t="shared" si="2"/>
        <v>0</v>
      </c>
      <c r="O38" s="118">
        <f>COUNTIF('B0200'!EY:EY,"OK")</f>
        <v>8</v>
      </c>
      <c r="P38" s="117">
        <f t="shared" si="3"/>
        <v>1</v>
      </c>
      <c r="Q38" s="119">
        <f t="shared" si="4"/>
        <v>4092150672.9580822</v>
      </c>
      <c r="R38" s="120">
        <f>SUMIFS('B0200'!L:L,'B0200'!EY:EY,"KO")</f>
        <v>0</v>
      </c>
      <c r="S38" s="117">
        <f t="shared" si="5"/>
        <v>0</v>
      </c>
      <c r="T38" s="119">
        <f>SUMIFS('B0200'!L:L,'B0200'!EY:EY,"OK")</f>
        <v>4092150672.9580822</v>
      </c>
      <c r="U38" s="117">
        <f t="shared" si="6"/>
        <v>1</v>
      </c>
    </row>
    <row r="39" spans="1:21" ht="20.399999999999999" hidden="1">
      <c r="A39" s="77" t="s">
        <v>8</v>
      </c>
      <c r="B39" s="25" t="str">
        <f t="shared" si="7"/>
        <v>v_2_0038</v>
      </c>
      <c r="C39" s="25" t="s">
        <v>2194</v>
      </c>
      <c r="D39" s="25" t="s">
        <v>137</v>
      </c>
      <c r="E39" s="72" t="s">
        <v>98</v>
      </c>
      <c r="F39" s="72" t="s">
        <v>2361</v>
      </c>
      <c r="G39" s="73" t="s">
        <v>2326</v>
      </c>
      <c r="H39" s="73"/>
      <c r="I39" s="72" t="s">
        <v>2281</v>
      </c>
      <c r="J39" s="72"/>
      <c r="K39" s="72" t="s">
        <v>2282</v>
      </c>
      <c r="L39" s="86">
        <f t="shared" si="1"/>
        <v>8</v>
      </c>
      <c r="M39" s="115">
        <f>COUNTIF('B0200'!EZ:EZ,"KO")</f>
        <v>0</v>
      </c>
      <c r="N39" s="117">
        <f t="shared" si="2"/>
        <v>0</v>
      </c>
      <c r="O39" s="118">
        <f>COUNTIF('B0200'!EZ:EZ,"OK")</f>
        <v>8</v>
      </c>
      <c r="P39" s="117">
        <f t="shared" si="3"/>
        <v>1</v>
      </c>
      <c r="Q39" s="119">
        <f t="shared" si="4"/>
        <v>4092150672.9580822</v>
      </c>
      <c r="R39" s="119">
        <f>SUMIFS('B0200'!L:L,'B0200'!EZ:EZ,"KO")</f>
        <v>0</v>
      </c>
      <c r="S39" s="117">
        <f t="shared" si="5"/>
        <v>0</v>
      </c>
      <c r="T39" s="119">
        <f>SUMIFS('B0200'!L:L,'B0200'!EZ:EZ,"OK")</f>
        <v>4092150672.9580822</v>
      </c>
      <c r="U39" s="117">
        <f t="shared" si="6"/>
        <v>1</v>
      </c>
    </row>
    <row r="40" spans="1:21" ht="20.399999999999999" hidden="1">
      <c r="A40" s="77" t="s">
        <v>2327</v>
      </c>
      <c r="B40" s="25" t="str">
        <f t="shared" si="7"/>
        <v>v_2_0040</v>
      </c>
      <c r="C40" s="25" t="s">
        <v>2245</v>
      </c>
      <c r="D40" s="25" t="s">
        <v>7</v>
      </c>
      <c r="E40" s="72" t="s">
        <v>2246</v>
      </c>
      <c r="F40" s="72" t="s">
        <v>2361</v>
      </c>
      <c r="G40" s="73" t="s">
        <v>2195</v>
      </c>
      <c r="H40" s="73"/>
      <c r="I40" s="72" t="s">
        <v>2281</v>
      </c>
      <c r="J40" s="72"/>
      <c r="K40" s="72" t="s">
        <v>2282</v>
      </c>
      <c r="L40" s="86">
        <f t="shared" si="1"/>
        <v>9</v>
      </c>
      <c r="M40" s="115">
        <f>COUNTIF('B9000'!M:M,"KO")</f>
        <v>0</v>
      </c>
      <c r="N40" s="117">
        <f t="shared" si="2"/>
        <v>0</v>
      </c>
      <c r="O40" s="118">
        <f>COUNTIF('B9000'!M:M,"OK")</f>
        <v>9</v>
      </c>
      <c r="P40" s="117">
        <f t="shared" si="3"/>
        <v>1</v>
      </c>
      <c r="Q40" s="119">
        <f t="shared" si="4"/>
        <v>4087586697.9589043</v>
      </c>
      <c r="R40" s="119">
        <f>SUMIFS('B9000'!K:K,'B9000'!M:M,"KO")</f>
        <v>0</v>
      </c>
      <c r="S40" s="117">
        <f t="shared" si="5"/>
        <v>0</v>
      </c>
      <c r="T40" s="119">
        <f>SUMIFS('B9000'!K:K,'B9000'!M:M,"OK")</f>
        <v>4087586697.9589043</v>
      </c>
      <c r="U40" s="117">
        <f t="shared" si="6"/>
        <v>1</v>
      </c>
    </row>
    <row r="41" spans="1:21" hidden="1">
      <c r="A41" s="77" t="s">
        <v>9</v>
      </c>
      <c r="B41" s="25" t="str">
        <f t="shared" si="7"/>
        <v>v_2_0059</v>
      </c>
      <c r="C41" s="25" t="s">
        <v>2245</v>
      </c>
      <c r="D41" s="25" t="s">
        <v>22</v>
      </c>
      <c r="E41" s="72" t="s">
        <v>156</v>
      </c>
      <c r="F41" s="72" t="s">
        <v>2361</v>
      </c>
      <c r="G41" s="73" t="s">
        <v>2195</v>
      </c>
      <c r="H41" s="73"/>
      <c r="I41" s="72" t="s">
        <v>2281</v>
      </c>
      <c r="J41" s="72"/>
      <c r="K41" s="72" t="s">
        <v>2282</v>
      </c>
      <c r="L41" s="86">
        <f t="shared" si="1"/>
        <v>9</v>
      </c>
      <c r="M41" s="115">
        <f>COUNTIF('B9000'!N:N,"KO")</f>
        <v>0</v>
      </c>
      <c r="N41" s="117">
        <f t="shared" si="2"/>
        <v>0</v>
      </c>
      <c r="O41" s="118">
        <f>COUNTIF('B9000'!N:N,"OK")</f>
        <v>9</v>
      </c>
      <c r="P41" s="117">
        <f t="shared" si="3"/>
        <v>1</v>
      </c>
      <c r="Q41" s="119">
        <f t="shared" si="4"/>
        <v>4087586697.9589043</v>
      </c>
      <c r="R41" s="119">
        <f>SUMIFS('B9000'!K:K,'B9000'!N:N,"KO")</f>
        <v>0</v>
      </c>
      <c r="S41" s="117">
        <f t="shared" si="5"/>
        <v>0</v>
      </c>
      <c r="T41" s="119">
        <f>SUMIFS('B9000'!K:K,'B9000'!N:N,"OK")</f>
        <v>4087586697.9589043</v>
      </c>
      <c r="U41" s="117">
        <f t="shared" si="6"/>
        <v>1</v>
      </c>
    </row>
    <row r="42" spans="1:21" ht="20.399999999999999" hidden="1">
      <c r="A42" s="77" t="s">
        <v>2331</v>
      </c>
      <c r="B42" s="25" t="str">
        <f t="shared" si="7"/>
        <v>v_2_0060</v>
      </c>
      <c r="C42" s="25" t="s">
        <v>2245</v>
      </c>
      <c r="D42" s="25" t="s">
        <v>23</v>
      </c>
      <c r="E42" s="72" t="s">
        <v>150</v>
      </c>
      <c r="F42" s="72" t="s">
        <v>2367</v>
      </c>
      <c r="G42" s="73" t="s">
        <v>2195</v>
      </c>
      <c r="H42" s="73"/>
      <c r="I42" s="72" t="s">
        <v>2328</v>
      </c>
      <c r="J42" s="79" t="s">
        <v>2329</v>
      </c>
      <c r="K42" s="72" t="s">
        <v>2330</v>
      </c>
      <c r="L42" s="86">
        <f t="shared" si="1"/>
        <v>9</v>
      </c>
      <c r="M42" s="115">
        <f>COUNTIF('B9000'!O:O,"KO")</f>
        <v>2</v>
      </c>
      <c r="N42" s="117">
        <f t="shared" si="2"/>
        <v>0.22222222222222221</v>
      </c>
      <c r="O42" s="118">
        <f>COUNTIF('B9000'!O:O,"OK")</f>
        <v>7</v>
      </c>
      <c r="P42" s="117">
        <f t="shared" si="3"/>
        <v>0.77777777777777779</v>
      </c>
      <c r="Q42" s="119">
        <f t="shared" si="4"/>
        <v>4087586697.9589043</v>
      </c>
      <c r="R42" s="119">
        <f>SUMIFS('B9000'!K:K,'B9000'!O:O,"KO")</f>
        <v>9424218.5342465751</v>
      </c>
      <c r="S42" s="117">
        <f t="shared" si="5"/>
        <v>2.3055703109496036E-3</v>
      </c>
      <c r="T42" s="119">
        <f>SUMIFS('B9000'!K:K,'B9000'!O:O,"OK")</f>
        <v>4078162479.4246578</v>
      </c>
      <c r="U42" s="117">
        <f t="shared" si="6"/>
        <v>0.99769442968905042</v>
      </c>
    </row>
    <row r="43" spans="1:21" ht="30.6" hidden="1">
      <c r="B43" s="25" t="str">
        <f t="shared" si="7"/>
        <v>v_2_0061</v>
      </c>
      <c r="C43" s="25" t="s">
        <v>2245</v>
      </c>
      <c r="D43" s="25" t="s">
        <v>103</v>
      </c>
      <c r="E43" s="72" t="s">
        <v>4</v>
      </c>
      <c r="F43" s="72" t="s">
        <v>2360</v>
      </c>
      <c r="G43" s="73"/>
      <c r="H43" s="73" t="s">
        <v>2195</v>
      </c>
      <c r="I43" s="72" t="s">
        <v>2332</v>
      </c>
      <c r="J43" s="72" t="s">
        <v>2333</v>
      </c>
      <c r="K43" s="72" t="s">
        <v>2334</v>
      </c>
      <c r="L43" s="86">
        <f t="shared" si="1"/>
        <v>9</v>
      </c>
      <c r="M43" s="115">
        <f>COUNTIF('B9000'!P:P,"KO")</f>
        <v>7</v>
      </c>
      <c r="N43" s="117">
        <f t="shared" si="2"/>
        <v>0.77777777777777779</v>
      </c>
      <c r="O43" s="118">
        <f>COUNTIF('B9000'!P:P,"OK")</f>
        <v>2</v>
      </c>
      <c r="P43" s="117">
        <f t="shared" si="3"/>
        <v>0.22222222222222221</v>
      </c>
      <c r="Q43" s="119">
        <f t="shared" si="4"/>
        <v>4087586697.9589043</v>
      </c>
      <c r="R43" s="119">
        <f>SUMIFS('B9000'!K:K,'B9000'!P:P,"KO")</f>
        <v>4078162479.4246578</v>
      </c>
      <c r="S43" s="117">
        <f t="shared" si="5"/>
        <v>0.99769442968905042</v>
      </c>
      <c r="T43" s="119">
        <f>SUMIFS('B9000'!K:K,'B9000'!P:P,"OK")</f>
        <v>9424218.5342465751</v>
      </c>
      <c r="U43" s="117">
        <f t="shared" si="6"/>
        <v>2.3055703109496036E-3</v>
      </c>
    </row>
  </sheetData>
  <autoFilter ref="A3:U43" xr:uid="{B890E746-E9B6-414F-97E8-9C53BC3C7CB9}">
    <filterColumn colId="1">
      <filters>
        <filter val="v_2_0011"/>
      </filters>
    </filterColumn>
  </autoFilter>
  <mergeCells count="4">
    <mergeCell ref="M2:N2"/>
    <mergeCell ref="O2:P2"/>
    <mergeCell ref="R2:S2"/>
    <mergeCell ref="T2:U2"/>
  </mergeCells>
  <conditionalFormatting sqref="M2">
    <cfRule type="cellIs" dxfId="13" priority="1" operator="equal">
      <formula>"OK"</formula>
    </cfRule>
    <cfRule type="cellIs" dxfId="12" priority="2" operator="equal">
      <formula>"KO"</formula>
    </cfRule>
  </conditionalFormatting>
  <conditionalFormatting sqref="O2">
    <cfRule type="cellIs" dxfId="11" priority="5" operator="equal">
      <formula>"OK"</formula>
    </cfRule>
    <cfRule type="cellIs" dxfId="10" priority="6" operator="equal">
      <formula>"KO"</formula>
    </cfRule>
  </conditionalFormatting>
  <conditionalFormatting sqref="R2">
    <cfRule type="cellIs" dxfId="9" priority="3" operator="equal">
      <formula>"OK"</formula>
    </cfRule>
    <cfRule type="cellIs" dxfId="8" priority="4" operator="equal">
      <formula>"KO"</formula>
    </cfRule>
  </conditionalFormatting>
  <conditionalFormatting sqref="T2">
    <cfRule type="cellIs" dxfId="7" priority="7" operator="equal">
      <formula>"OK"</formula>
    </cfRule>
    <cfRule type="cellIs" dxfId="6" priority="8" operator="equal">
      <formula>"KO"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325B6-C92D-4B65-A099-51450589CE80}">
  <sheetPr>
    <tabColor theme="4" tint="-0.499984740745262"/>
    <pageSetUpPr fitToPage="1"/>
  </sheetPr>
  <dimension ref="A1:O43"/>
  <sheetViews>
    <sheetView showGridLines="0" topLeftCell="A3" zoomScale="115" zoomScaleNormal="115" zoomScaleSheetLayoutView="90" workbookViewId="0">
      <selection activeCell="O32" sqref="O32"/>
    </sheetView>
  </sheetViews>
  <sheetFormatPr defaultColWidth="6" defaultRowHeight="10.199999999999999"/>
  <cols>
    <col min="1" max="1" width="57.109375" style="132" bestFit="1" customWidth="1"/>
    <col min="2" max="2" width="0.6640625" style="132" customWidth="1"/>
    <col min="3" max="3" width="12.44140625" style="132" bestFit="1" customWidth="1"/>
    <col min="4" max="4" width="0.6640625" style="132" customWidth="1"/>
    <col min="5" max="5" width="13.33203125" style="132" bestFit="1" customWidth="1"/>
    <col min="6" max="6" width="0.6640625" style="132" customWidth="1"/>
    <col min="7" max="7" width="11.6640625" style="132" bestFit="1" customWidth="1"/>
    <col min="8" max="8" width="0.6640625" style="132" customWidth="1"/>
    <col min="9" max="9" width="11.6640625" style="132" bestFit="1" customWidth="1"/>
    <col min="10" max="10" width="0.6640625" style="132" customWidth="1"/>
    <col min="11" max="11" width="54" style="132" bestFit="1" customWidth="1"/>
    <col min="12" max="12" width="0.6640625" style="132" customWidth="1"/>
    <col min="13" max="13" width="11.6640625" style="132" bestFit="1" customWidth="1"/>
    <col min="14" max="14" width="0.6640625" style="132" customWidth="1"/>
    <col min="15" max="15" width="11.6640625" style="132" bestFit="1" customWidth="1"/>
    <col min="16" max="16384" width="6" style="132"/>
  </cols>
  <sheetData>
    <row r="1" spans="1:15" ht="13.8">
      <c r="A1" s="159" t="s">
        <v>2537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</row>
    <row r="2" spans="1:15" ht="13.8">
      <c r="A2" s="160"/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</row>
    <row r="3" spans="1:15" ht="13.8">
      <c r="A3" s="159" t="s">
        <v>2536</v>
      </c>
      <c r="B3" s="158"/>
      <c r="C3" s="158"/>
      <c r="D3" s="158"/>
      <c r="E3" s="158"/>
      <c r="F3" s="158"/>
      <c r="G3" s="158"/>
      <c r="H3" s="158"/>
      <c r="J3" s="158"/>
      <c r="K3" s="158"/>
      <c r="L3" s="158"/>
      <c r="M3" s="158"/>
      <c r="N3" s="158"/>
    </row>
    <row r="4" spans="1:15" ht="13.8">
      <c r="A4" s="157"/>
      <c r="B4" s="136"/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</row>
    <row r="5" spans="1:15" ht="13.8">
      <c r="A5" s="156" t="s">
        <v>2535</v>
      </c>
      <c r="B5" s="136"/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6"/>
    </row>
    <row r="9" spans="1:15">
      <c r="C9" s="155"/>
      <c r="D9" s="155"/>
      <c r="E9" s="153" t="s">
        <v>2525</v>
      </c>
      <c r="F9" s="155"/>
      <c r="G9" s="155"/>
      <c r="H9" s="155"/>
      <c r="I9" s="154">
        <v>45596</v>
      </c>
      <c r="J9" s="152"/>
    </row>
    <row r="10" spans="1:15" s="133" customFormat="1">
      <c r="A10" s="132"/>
      <c r="C10" s="148" t="s">
        <v>2534</v>
      </c>
      <c r="D10" s="148"/>
      <c r="E10" s="148"/>
      <c r="F10" s="148"/>
      <c r="G10" s="148"/>
      <c r="H10" s="148"/>
      <c r="I10" s="148"/>
      <c r="J10" s="148"/>
      <c r="K10" s="132"/>
      <c r="M10" s="132"/>
      <c r="N10" s="132"/>
      <c r="O10" s="132"/>
    </row>
    <row r="11" spans="1:15" s="133" customFormat="1">
      <c r="C11" s="148" t="s">
        <v>2533</v>
      </c>
      <c r="D11" s="148"/>
      <c r="E11" s="151" t="s">
        <v>2532</v>
      </c>
      <c r="F11" s="151"/>
      <c r="G11" s="151" t="s">
        <v>2531</v>
      </c>
      <c r="H11" s="151"/>
      <c r="I11" s="151" t="s">
        <v>2531</v>
      </c>
      <c r="J11" s="148"/>
    </row>
    <row r="12" spans="1:15" s="133" customFormat="1">
      <c r="A12" s="149" t="s">
        <v>2530</v>
      </c>
      <c r="C12" s="149" t="s">
        <v>2529</v>
      </c>
      <c r="D12" s="148"/>
      <c r="E12" s="149" t="s">
        <v>2528</v>
      </c>
      <c r="F12" s="148"/>
      <c r="G12" s="150" t="s">
        <v>2527</v>
      </c>
      <c r="H12" s="150"/>
      <c r="I12" s="150" t="s">
        <v>2527</v>
      </c>
      <c r="J12" s="148"/>
      <c r="K12" s="149" t="s">
        <v>2526</v>
      </c>
      <c r="L12" s="148"/>
      <c r="M12" s="147" t="s">
        <v>2525</v>
      </c>
      <c r="N12" s="147"/>
      <c r="O12" s="146">
        <v>45596</v>
      </c>
    </row>
    <row r="13" spans="1:15" ht="5.85" customHeight="1"/>
    <row r="14" spans="1:15">
      <c r="A14" s="142" t="s">
        <v>2524</v>
      </c>
      <c r="B14" s="142"/>
      <c r="C14" s="140">
        <v>2464681486</v>
      </c>
      <c r="D14" s="140"/>
      <c r="E14" s="140">
        <v>0</v>
      </c>
      <c r="F14" s="140"/>
      <c r="G14" s="140">
        <v>2464681486</v>
      </c>
      <c r="H14" s="140"/>
      <c r="I14" s="140">
        <v>2291880753</v>
      </c>
      <c r="J14" s="140"/>
      <c r="M14" s="136"/>
      <c r="N14" s="136"/>
      <c r="O14" s="136"/>
    </row>
    <row r="15" spans="1:15" ht="11.25" customHeight="1">
      <c r="A15" s="142" t="s">
        <v>2523</v>
      </c>
      <c r="B15" s="142"/>
      <c r="C15" s="140">
        <v>132511791</v>
      </c>
      <c r="D15" s="140"/>
      <c r="E15" s="140">
        <v>1</v>
      </c>
      <c r="F15" s="140"/>
      <c r="G15" s="140">
        <v>132511790</v>
      </c>
      <c r="H15" s="140"/>
      <c r="I15" s="140">
        <v>129398229</v>
      </c>
      <c r="J15" s="140"/>
      <c r="K15" s="132" t="s">
        <v>2522</v>
      </c>
      <c r="M15" s="140">
        <v>797902389</v>
      </c>
      <c r="N15" s="140"/>
      <c r="O15" s="140">
        <v>1628982350</v>
      </c>
    </row>
    <row r="16" spans="1:15" ht="11.25" customHeight="1">
      <c r="A16" s="142" t="s">
        <v>2521</v>
      </c>
      <c r="B16" s="142"/>
      <c r="C16" s="140">
        <v>793969431</v>
      </c>
      <c r="D16" s="140"/>
      <c r="E16" s="140">
        <v>0</v>
      </c>
      <c r="F16" s="140"/>
      <c r="G16" s="140">
        <v>793969431</v>
      </c>
      <c r="H16" s="140"/>
      <c r="I16" s="140">
        <v>1616240841</v>
      </c>
      <c r="J16" s="140"/>
      <c r="K16" s="132" t="s">
        <v>2520</v>
      </c>
      <c r="M16" s="140">
        <v>0</v>
      </c>
      <c r="N16" s="140"/>
      <c r="O16" s="140">
        <v>0</v>
      </c>
    </row>
    <row r="17" spans="1:15" ht="11.25" customHeight="1">
      <c r="A17" s="142" t="s">
        <v>2519</v>
      </c>
      <c r="B17" s="142"/>
      <c r="C17" s="140">
        <v>1351291494</v>
      </c>
      <c r="D17" s="140"/>
      <c r="E17" s="140">
        <v>0</v>
      </c>
      <c r="F17" s="140"/>
      <c r="G17" s="140">
        <v>1351291494</v>
      </c>
      <c r="H17" s="140"/>
      <c r="I17" s="140">
        <v>921174772</v>
      </c>
      <c r="J17" s="140"/>
      <c r="K17" s="132" t="s">
        <v>2518</v>
      </c>
      <c r="M17" s="133"/>
      <c r="N17" s="133"/>
      <c r="O17" s="133"/>
    </row>
    <row r="18" spans="1:15">
      <c r="A18" s="132" t="s">
        <v>2517</v>
      </c>
      <c r="C18" s="140">
        <v>0</v>
      </c>
      <c r="D18" s="140"/>
      <c r="E18" s="140">
        <v>0</v>
      </c>
      <c r="F18" s="140"/>
      <c r="G18" s="140">
        <v>0</v>
      </c>
      <c r="H18" s="140"/>
      <c r="I18" s="140">
        <v>0</v>
      </c>
      <c r="J18" s="140"/>
      <c r="K18" s="145" t="s">
        <v>2516</v>
      </c>
      <c r="L18" s="145"/>
      <c r="M18" s="140">
        <v>0</v>
      </c>
      <c r="N18" s="140"/>
      <c r="O18" s="140">
        <v>0</v>
      </c>
    </row>
    <row r="19" spans="1:15" ht="11.25" customHeight="1">
      <c r="A19" s="142" t="s">
        <v>2515</v>
      </c>
      <c r="B19" s="142"/>
      <c r="C19" s="140"/>
      <c r="D19" s="140"/>
      <c r="E19" s="140"/>
      <c r="F19" s="140"/>
      <c r="G19" s="140"/>
      <c r="H19" s="140"/>
      <c r="I19" s="140"/>
      <c r="J19" s="140"/>
      <c r="K19" s="145" t="s">
        <v>2514</v>
      </c>
      <c r="L19" s="145"/>
      <c r="M19" s="140">
        <v>4542411639</v>
      </c>
      <c r="N19" s="140"/>
      <c r="O19" s="140">
        <v>4796730694</v>
      </c>
    </row>
    <row r="20" spans="1:15" ht="11.25" customHeight="1">
      <c r="A20" s="142" t="s">
        <v>2506</v>
      </c>
      <c r="C20" s="140">
        <v>0</v>
      </c>
      <c r="D20" s="140"/>
      <c r="E20" s="140">
        <v>0</v>
      </c>
      <c r="F20" s="140"/>
      <c r="G20" s="140">
        <v>0</v>
      </c>
      <c r="H20" s="140"/>
      <c r="I20" s="140">
        <v>0</v>
      </c>
      <c r="J20" s="140"/>
      <c r="K20" s="145" t="s">
        <v>2513</v>
      </c>
      <c r="L20" s="145"/>
      <c r="M20" s="140">
        <v>39616278335</v>
      </c>
      <c r="N20" s="140"/>
      <c r="O20" s="140">
        <v>38306381418</v>
      </c>
    </row>
    <row r="21" spans="1:15" ht="11.25" customHeight="1">
      <c r="A21" s="132" t="s">
        <v>2512</v>
      </c>
      <c r="C21" s="140">
        <v>170042707</v>
      </c>
      <c r="D21" s="140"/>
      <c r="E21" s="140">
        <v>0</v>
      </c>
      <c r="F21" s="140"/>
      <c r="G21" s="140">
        <v>170042707</v>
      </c>
      <c r="H21" s="140"/>
      <c r="I21" s="140">
        <v>174317798</v>
      </c>
      <c r="J21" s="140"/>
      <c r="K21" s="145" t="s">
        <v>2511</v>
      </c>
      <c r="L21" s="145"/>
      <c r="M21" s="140">
        <v>6803435718</v>
      </c>
      <c r="N21" s="140"/>
      <c r="O21" s="140">
        <v>5181981776</v>
      </c>
    </row>
    <row r="22" spans="1:15" ht="11.25" customHeight="1">
      <c r="A22" s="132" t="s">
        <v>2504</v>
      </c>
      <c r="C22" s="140">
        <v>1191129741</v>
      </c>
      <c r="D22" s="140"/>
      <c r="E22" s="140">
        <v>0</v>
      </c>
      <c r="F22" s="140"/>
      <c r="G22" s="140">
        <v>1191129741</v>
      </c>
      <c r="H22" s="140"/>
      <c r="I22" s="140">
        <v>1231017822</v>
      </c>
      <c r="J22" s="140"/>
      <c r="K22" s="145" t="s">
        <v>2510</v>
      </c>
      <c r="L22" s="145"/>
      <c r="M22" s="140">
        <v>3950994377</v>
      </c>
      <c r="N22" s="140"/>
      <c r="O22" s="140">
        <v>2157823137</v>
      </c>
    </row>
    <row r="23" spans="1:15">
      <c r="A23" s="142" t="s">
        <v>2502</v>
      </c>
      <c r="C23" s="140">
        <v>2396463194</v>
      </c>
      <c r="D23" s="140"/>
      <c r="E23" s="140">
        <v>0</v>
      </c>
      <c r="F23" s="140"/>
      <c r="G23" s="140">
        <v>2396463194</v>
      </c>
      <c r="H23" s="140"/>
      <c r="I23" s="140">
        <v>2408216706</v>
      </c>
      <c r="J23" s="140"/>
      <c r="K23" s="145" t="s">
        <v>2509</v>
      </c>
      <c r="L23" s="145"/>
      <c r="M23" s="140">
        <v>342888024</v>
      </c>
      <c r="N23" s="140"/>
      <c r="O23" s="140">
        <v>309613524</v>
      </c>
    </row>
    <row r="24" spans="1:15" ht="11.25" customHeight="1">
      <c r="A24" s="132" t="s">
        <v>2500</v>
      </c>
      <c r="C24" s="140">
        <v>0</v>
      </c>
      <c r="D24" s="140"/>
      <c r="E24" s="140">
        <v>0</v>
      </c>
      <c r="F24" s="140"/>
      <c r="G24" s="140">
        <v>0</v>
      </c>
      <c r="H24" s="140"/>
      <c r="I24" s="140">
        <v>0</v>
      </c>
      <c r="J24" s="140"/>
      <c r="K24" s="139" t="s">
        <v>2496</v>
      </c>
      <c r="L24" s="139"/>
      <c r="M24" s="140">
        <v>41505612</v>
      </c>
      <c r="N24" s="140"/>
      <c r="O24" s="140">
        <v>17418310</v>
      </c>
    </row>
    <row r="25" spans="1:15" ht="11.25" customHeight="1">
      <c r="A25" s="142" t="s">
        <v>2508</v>
      </c>
      <c r="B25" s="142"/>
      <c r="C25" s="140"/>
      <c r="D25" s="140"/>
      <c r="E25" s="140"/>
      <c r="F25" s="140"/>
      <c r="G25" s="140"/>
      <c r="H25" s="140"/>
      <c r="I25" s="140"/>
      <c r="J25" s="140"/>
      <c r="K25" s="132" t="s">
        <v>2507</v>
      </c>
      <c r="M25" s="140">
        <v>0</v>
      </c>
      <c r="N25" s="140"/>
      <c r="O25" s="140">
        <v>0</v>
      </c>
    </row>
    <row r="26" spans="1:15" ht="11.25" customHeight="1">
      <c r="A26" s="142" t="s">
        <v>2506</v>
      </c>
      <c r="B26" s="142"/>
      <c r="C26" s="140">
        <v>63200423</v>
      </c>
      <c r="D26" s="140"/>
      <c r="E26" s="140">
        <v>135935</v>
      </c>
      <c r="F26" s="140"/>
      <c r="G26" s="140">
        <v>63064488</v>
      </c>
      <c r="H26" s="140"/>
      <c r="I26" s="140">
        <v>2660003</v>
      </c>
      <c r="J26" s="140"/>
      <c r="K26" s="139" t="s">
        <v>2505</v>
      </c>
      <c r="L26" s="139"/>
      <c r="M26" s="140">
        <v>118546163</v>
      </c>
      <c r="N26" s="140"/>
      <c r="O26" s="140">
        <v>112731557</v>
      </c>
    </row>
    <row r="27" spans="1:15" ht="11.25" customHeight="1">
      <c r="A27" s="132" t="s">
        <v>2504</v>
      </c>
      <c r="C27" s="140">
        <v>13340853358</v>
      </c>
      <c r="D27" s="140"/>
      <c r="E27" s="140">
        <v>5409546</v>
      </c>
      <c r="F27" s="140"/>
      <c r="G27" s="140">
        <v>13335443812</v>
      </c>
      <c r="H27" s="140"/>
      <c r="I27" s="140">
        <v>12016075814</v>
      </c>
      <c r="J27" s="140"/>
      <c r="K27" s="139" t="s">
        <v>2503</v>
      </c>
      <c r="L27" s="139"/>
      <c r="M27" s="140">
        <v>149834187</v>
      </c>
      <c r="N27" s="140"/>
      <c r="O27" s="140">
        <v>482563249</v>
      </c>
    </row>
    <row r="28" spans="1:15" ht="11.25" customHeight="1">
      <c r="A28" s="142" t="s">
        <v>2502</v>
      </c>
      <c r="B28" s="142"/>
      <c r="C28" s="140">
        <v>37867923771</v>
      </c>
      <c r="D28" s="140"/>
      <c r="E28" s="140">
        <v>719305621</v>
      </c>
      <c r="F28" s="140"/>
      <c r="G28" s="140">
        <v>37148618150</v>
      </c>
      <c r="H28" s="140"/>
      <c r="I28" s="140">
        <v>34886927751</v>
      </c>
      <c r="J28" s="140"/>
      <c r="K28" s="132" t="s">
        <v>2501</v>
      </c>
      <c r="M28" s="140">
        <v>0</v>
      </c>
      <c r="N28" s="140"/>
      <c r="O28" s="140">
        <v>0</v>
      </c>
    </row>
    <row r="29" spans="1:15" ht="11.25" customHeight="1">
      <c r="A29" s="132" t="s">
        <v>2500</v>
      </c>
      <c r="C29" s="140">
        <v>486315247</v>
      </c>
      <c r="D29" s="140"/>
      <c r="E29" s="140">
        <v>6400170</v>
      </c>
      <c r="F29" s="140"/>
      <c r="G29" s="140">
        <v>479915077</v>
      </c>
      <c r="H29" s="140"/>
      <c r="I29" s="140">
        <v>481828991</v>
      </c>
      <c r="J29" s="140"/>
      <c r="K29" s="139" t="s">
        <v>2499</v>
      </c>
      <c r="L29" s="139"/>
      <c r="M29" s="140">
        <v>424932419</v>
      </c>
      <c r="N29" s="140"/>
      <c r="O29" s="140">
        <v>597435147</v>
      </c>
    </row>
    <row r="30" spans="1:15" ht="11.25" customHeight="1">
      <c r="A30" s="132" t="s">
        <v>2498</v>
      </c>
      <c r="C30" s="140">
        <v>0</v>
      </c>
      <c r="D30" s="140"/>
      <c r="E30" s="140">
        <v>0</v>
      </c>
      <c r="F30" s="140"/>
      <c r="G30" s="140">
        <v>0</v>
      </c>
      <c r="H30" s="140"/>
      <c r="I30" s="140">
        <v>0</v>
      </c>
      <c r="J30" s="140"/>
      <c r="K30" s="135" t="s">
        <v>2497</v>
      </c>
      <c r="L30" s="135"/>
      <c r="M30" s="144">
        <v>56788728863</v>
      </c>
      <c r="N30" s="144"/>
      <c r="O30" s="144">
        <v>53591661162</v>
      </c>
    </row>
    <row r="31" spans="1:15" ht="11.25" customHeight="1">
      <c r="A31" s="142" t="s">
        <v>2496</v>
      </c>
      <c r="B31" s="142"/>
      <c r="C31" s="140">
        <v>95794790</v>
      </c>
      <c r="D31" s="140"/>
      <c r="E31" s="140">
        <v>0</v>
      </c>
      <c r="F31" s="140"/>
      <c r="G31" s="140">
        <v>95794790</v>
      </c>
      <c r="H31" s="140"/>
      <c r="I31" s="140">
        <v>148737590</v>
      </c>
      <c r="J31" s="140"/>
    </row>
    <row r="32" spans="1:15" ht="11.25" customHeight="1">
      <c r="A32" s="142" t="s">
        <v>2495</v>
      </c>
      <c r="B32" s="142"/>
      <c r="C32" s="140">
        <v>0</v>
      </c>
      <c r="D32" s="140"/>
      <c r="E32" s="140">
        <v>0</v>
      </c>
      <c r="F32" s="140"/>
      <c r="G32" s="140">
        <v>0</v>
      </c>
      <c r="H32" s="140"/>
      <c r="I32" s="140">
        <v>0</v>
      </c>
      <c r="J32" s="140"/>
      <c r="K32" s="135" t="s">
        <v>2494</v>
      </c>
      <c r="L32" s="135"/>
      <c r="M32" s="371"/>
      <c r="N32" s="138"/>
      <c r="O32" s="138"/>
    </row>
    <row r="33" spans="1:15" ht="11.25" customHeight="1">
      <c r="A33" s="142" t="s">
        <v>2493</v>
      </c>
      <c r="B33" s="142"/>
      <c r="C33" s="140">
        <v>558558076</v>
      </c>
      <c r="D33" s="140"/>
      <c r="E33" s="140">
        <v>11000000</v>
      </c>
      <c r="F33" s="140"/>
      <c r="G33" s="140">
        <v>547558076</v>
      </c>
      <c r="H33" s="140"/>
      <c r="I33" s="140">
        <v>548607576</v>
      </c>
      <c r="J33" s="140"/>
      <c r="K33" s="139" t="s">
        <v>2492</v>
      </c>
      <c r="L33" s="139"/>
      <c r="M33" s="370">
        <v>1391779674</v>
      </c>
      <c r="N33" s="140"/>
      <c r="O33" s="140">
        <v>1391779674</v>
      </c>
    </row>
    <row r="34" spans="1:15" ht="11.25" customHeight="1">
      <c r="A34" s="142" t="s">
        <v>2491</v>
      </c>
      <c r="B34" s="142"/>
      <c r="C34" s="140">
        <v>0</v>
      </c>
      <c r="D34" s="140"/>
      <c r="E34" s="140">
        <v>0</v>
      </c>
      <c r="F34" s="140"/>
      <c r="G34" s="140">
        <v>0</v>
      </c>
      <c r="H34" s="140"/>
      <c r="I34" s="140">
        <v>0</v>
      </c>
      <c r="J34" s="140"/>
      <c r="K34" s="139" t="s">
        <v>2490</v>
      </c>
      <c r="L34" s="139"/>
      <c r="M34" s="370">
        <v>193389954</v>
      </c>
      <c r="N34" s="140"/>
      <c r="O34" s="140">
        <v>193389954</v>
      </c>
    </row>
    <row r="35" spans="1:15" ht="11.25" customHeight="1">
      <c r="A35" s="142" t="s">
        <v>2489</v>
      </c>
      <c r="B35" s="142"/>
      <c r="C35" s="140">
        <v>497930833</v>
      </c>
      <c r="D35" s="140"/>
      <c r="E35" s="140">
        <v>243807053</v>
      </c>
      <c r="F35" s="140"/>
      <c r="G35" s="140">
        <v>254123780</v>
      </c>
      <c r="H35" s="140"/>
      <c r="I35" s="140">
        <v>253126572</v>
      </c>
      <c r="J35" s="140"/>
      <c r="K35" s="139" t="s">
        <v>2488</v>
      </c>
      <c r="L35" s="139"/>
      <c r="M35" s="370">
        <v>1200000000</v>
      </c>
      <c r="N35" s="140"/>
      <c r="O35" s="140">
        <v>400000000</v>
      </c>
    </row>
    <row r="36" spans="1:15" ht="11.25" customHeight="1">
      <c r="A36" s="142" t="s">
        <v>2487</v>
      </c>
      <c r="B36" s="142"/>
      <c r="C36" s="140">
        <v>150392138</v>
      </c>
      <c r="D36" s="140"/>
      <c r="E36" s="140">
        <v>107658508</v>
      </c>
      <c r="F36" s="140"/>
      <c r="G36" s="140">
        <v>42733630</v>
      </c>
      <c r="H36" s="140"/>
      <c r="I36" s="140">
        <v>31439522</v>
      </c>
      <c r="J36" s="140"/>
      <c r="K36" s="139" t="s">
        <v>2486</v>
      </c>
      <c r="L36" s="139"/>
      <c r="M36" s="143">
        <v>-277867488</v>
      </c>
      <c r="N36" s="143"/>
      <c r="O36" s="143">
        <v>-207348334</v>
      </c>
    </row>
    <row r="37" spans="1:15" ht="11.25" customHeight="1">
      <c r="A37" s="142" t="s">
        <v>2485</v>
      </c>
      <c r="B37" s="142"/>
      <c r="C37" s="140">
        <v>103195299</v>
      </c>
      <c r="D37" s="140"/>
      <c r="E37" s="140">
        <v>0</v>
      </c>
      <c r="F37" s="140"/>
      <c r="G37" s="140">
        <v>103195299</v>
      </c>
      <c r="H37" s="140"/>
      <c r="I37" s="140">
        <v>112966973</v>
      </c>
      <c r="J37" s="140"/>
      <c r="K37" s="139" t="s">
        <v>2484</v>
      </c>
      <c r="L37" s="139"/>
      <c r="M37" s="140">
        <v>1127393007</v>
      </c>
      <c r="N37" s="140"/>
      <c r="O37" s="140">
        <v>1346161683</v>
      </c>
    </row>
    <row r="38" spans="1:15" ht="11.25" customHeight="1">
      <c r="A38" s="142" t="s">
        <v>2483</v>
      </c>
      <c r="B38" s="142"/>
      <c r="C38" s="140">
        <v>340132870</v>
      </c>
      <c r="D38" s="140"/>
      <c r="E38" s="140">
        <v>23696609</v>
      </c>
      <c r="F38" s="140"/>
      <c r="G38" s="140">
        <v>316436261</v>
      </c>
      <c r="H38" s="140"/>
      <c r="I38" s="140">
        <v>300751949</v>
      </c>
      <c r="J38" s="140"/>
      <c r="K38" s="139" t="s">
        <v>2482</v>
      </c>
      <c r="L38" s="139"/>
      <c r="M38" s="372">
        <v>-19146966</v>
      </c>
      <c r="N38" s="143"/>
      <c r="O38" s="143">
        <v>-2239096</v>
      </c>
    </row>
    <row r="39" spans="1:15" ht="11.25" customHeight="1">
      <c r="A39" s="142" t="s">
        <v>2481</v>
      </c>
      <c r="B39" s="142"/>
      <c r="C39" s="140">
        <v>30301661</v>
      </c>
      <c r="D39" s="140"/>
      <c r="E39" s="140">
        <v>9304585</v>
      </c>
      <c r="F39" s="140"/>
      <c r="G39" s="140">
        <v>20997076</v>
      </c>
      <c r="H39" s="140"/>
      <c r="I39" s="140">
        <v>30565264</v>
      </c>
      <c r="J39" s="140"/>
      <c r="K39" s="132" t="s">
        <v>2480</v>
      </c>
      <c r="M39" s="140">
        <v>782420417</v>
      </c>
      <c r="N39" s="140"/>
      <c r="O39" s="140">
        <v>872529883</v>
      </c>
    </row>
    <row r="40" spans="1:15">
      <c r="K40" s="132" t="s">
        <v>2479</v>
      </c>
      <c r="M40" s="141">
        <v>-278727179</v>
      </c>
      <c r="N40" s="141"/>
      <c r="O40" s="141">
        <v>0</v>
      </c>
    </row>
    <row r="41" spans="1:15">
      <c r="K41" s="135" t="s">
        <v>2478</v>
      </c>
      <c r="L41" s="135"/>
      <c r="M41" s="140">
        <v>4119241419</v>
      </c>
      <c r="N41" s="140"/>
      <c r="O41" s="140">
        <v>3994273764</v>
      </c>
    </row>
    <row r="42" spans="1:15" ht="10.8" thickBot="1">
      <c r="A42" s="136" t="s">
        <v>2477</v>
      </c>
      <c r="B42" s="136"/>
      <c r="C42" s="134">
        <v>62034688310</v>
      </c>
      <c r="D42" s="137"/>
      <c r="E42" s="134">
        <v>1126718028</v>
      </c>
      <c r="F42" s="137"/>
      <c r="G42" s="134">
        <v>60907970282</v>
      </c>
      <c r="H42" s="134"/>
      <c r="I42" s="134">
        <v>57585934926</v>
      </c>
      <c r="J42" s="137"/>
      <c r="K42" s="135" t="s">
        <v>2476</v>
      </c>
      <c r="L42" s="135"/>
      <c r="M42" s="134">
        <v>60907970282</v>
      </c>
      <c r="N42" s="134"/>
      <c r="O42" s="134">
        <v>57585934926</v>
      </c>
    </row>
    <row r="43" spans="1:15" ht="10.8" thickTop="1"/>
  </sheetData>
  <printOptions horizontalCentered="1"/>
  <pageMargins left="0" right="0" top="0.78740157480314965" bottom="0.19685039370078741" header="0" footer="0"/>
  <pageSetup paperSize="9" scale="67" firstPageNumber="40" orientation="landscape" useFirstPageNumber="1" r:id="rId1"/>
  <headerFooter alignWithMargins="0">
    <oddHeader>&amp;L&amp;"Calibri"&amp;10&amp;K000000Confidential&amp;1#</oddHeader>
    <oddFooter>&amp;R&amp;P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V15"/>
  <sheetViews>
    <sheetView topLeftCell="O1" zoomScale="70" zoomScaleNormal="70" workbookViewId="0">
      <selection activeCell="C21" sqref="C21"/>
    </sheetView>
  </sheetViews>
  <sheetFormatPr defaultColWidth="8.88671875" defaultRowHeight="14.4"/>
  <cols>
    <col min="1" max="1" width="22.109375" bestFit="1" customWidth="1"/>
    <col min="2" max="2" width="23.109375" customWidth="1"/>
    <col min="3" max="3" width="73.5546875" bestFit="1" customWidth="1"/>
    <col min="4" max="4" width="39.5546875" bestFit="1" customWidth="1"/>
    <col min="5" max="5" width="40.109375" bestFit="1" customWidth="1"/>
    <col min="6" max="6" width="36" bestFit="1" customWidth="1"/>
    <col min="7" max="7" width="26.88671875" bestFit="1" customWidth="1"/>
    <col min="8" max="8" width="26" bestFit="1" customWidth="1"/>
    <col min="9" max="9" width="12.44140625" customWidth="1"/>
    <col min="10" max="10" width="14.88671875" bestFit="1" customWidth="1"/>
    <col min="11" max="11" width="15.44140625" bestFit="1" customWidth="1"/>
    <col min="12" max="12" width="14.88671875" bestFit="1" customWidth="1"/>
    <col min="13" max="13" width="48.5546875" bestFit="1" customWidth="1"/>
    <col min="14" max="14" width="21" bestFit="1" customWidth="1"/>
    <col min="15" max="15" width="21.5546875" bestFit="1" customWidth="1"/>
    <col min="16" max="16" width="54" bestFit="1" customWidth="1"/>
    <col min="17" max="17" width="29.5546875" bestFit="1" customWidth="1"/>
    <col min="18" max="18" width="52.44140625" bestFit="1" customWidth="1"/>
    <col min="19" max="19" width="101.44140625" bestFit="1" customWidth="1"/>
    <col min="20" max="20" width="28.5546875" bestFit="1" customWidth="1"/>
    <col min="21" max="21" width="25.44140625" bestFit="1" customWidth="1"/>
    <col min="22" max="22" width="12.44140625" customWidth="1"/>
  </cols>
  <sheetData>
    <row r="1" spans="1:22" s="4" customFormat="1" ht="27.6">
      <c r="A1" s="22" t="s">
        <v>17</v>
      </c>
      <c r="B1" s="22" t="s">
        <v>152</v>
      </c>
      <c r="C1" s="22" t="s">
        <v>2</v>
      </c>
      <c r="D1" s="22" t="s">
        <v>153</v>
      </c>
      <c r="E1" s="22" t="s">
        <v>36</v>
      </c>
      <c r="F1" s="22" t="s">
        <v>47</v>
      </c>
      <c r="G1" s="22" t="s">
        <v>154</v>
      </c>
      <c r="H1" s="22" t="s">
        <v>49</v>
      </c>
      <c r="I1" s="22" t="s">
        <v>55</v>
      </c>
      <c r="J1" s="22" t="s">
        <v>59</v>
      </c>
      <c r="K1" s="22" t="s">
        <v>155</v>
      </c>
      <c r="L1" s="22" t="s">
        <v>71</v>
      </c>
      <c r="M1" s="22" t="s">
        <v>156</v>
      </c>
      <c r="N1" s="22" t="s">
        <v>157</v>
      </c>
      <c r="O1" s="22" t="s">
        <v>95</v>
      </c>
      <c r="P1" s="22" t="s">
        <v>98</v>
      </c>
      <c r="Q1" s="22" t="s">
        <v>158</v>
      </c>
      <c r="R1" s="22" t="s">
        <v>159</v>
      </c>
      <c r="S1" s="22" t="s">
        <v>141</v>
      </c>
      <c r="T1" s="22" t="s">
        <v>142</v>
      </c>
      <c r="U1" s="22" t="s">
        <v>143</v>
      </c>
      <c r="V1" s="22" t="s">
        <v>160</v>
      </c>
    </row>
    <row r="2" spans="1:22">
      <c r="A2" t="s">
        <v>161</v>
      </c>
      <c r="B2" s="5" t="b">
        <v>1</v>
      </c>
      <c r="C2" t="s">
        <v>162</v>
      </c>
      <c r="D2" t="s">
        <v>163</v>
      </c>
      <c r="E2" t="s">
        <v>164</v>
      </c>
      <c r="F2" t="s">
        <v>165</v>
      </c>
      <c r="G2" t="s">
        <v>166</v>
      </c>
      <c r="H2" t="s">
        <v>167</v>
      </c>
      <c r="I2" t="s">
        <v>168</v>
      </c>
      <c r="J2" t="s">
        <v>169</v>
      </c>
      <c r="K2" t="s">
        <v>170</v>
      </c>
      <c r="L2" t="s">
        <v>171</v>
      </c>
      <c r="M2" t="s">
        <v>172</v>
      </c>
      <c r="N2" t="s">
        <v>173</v>
      </c>
      <c r="O2" t="s">
        <v>174</v>
      </c>
      <c r="P2" t="s">
        <v>175</v>
      </c>
      <c r="Q2" t="s">
        <v>176</v>
      </c>
      <c r="R2" t="s">
        <v>176</v>
      </c>
      <c r="S2" t="s">
        <v>177</v>
      </c>
      <c r="T2" t="s">
        <v>178</v>
      </c>
      <c r="U2" t="s">
        <v>179</v>
      </c>
      <c r="V2" t="s">
        <v>180</v>
      </c>
    </row>
    <row r="3" spans="1:22">
      <c r="A3" t="s">
        <v>181</v>
      </c>
      <c r="B3" s="5" t="b">
        <v>0</v>
      </c>
      <c r="C3" t="s">
        <v>182</v>
      </c>
      <c r="D3" t="s">
        <v>183</v>
      </c>
      <c r="E3" t="s">
        <v>184</v>
      </c>
      <c r="F3" t="s">
        <v>185</v>
      </c>
      <c r="G3" t="s">
        <v>186</v>
      </c>
      <c r="H3" t="s">
        <v>187</v>
      </c>
      <c r="I3" t="s">
        <v>188</v>
      </c>
      <c r="J3" t="s">
        <v>189</v>
      </c>
      <c r="K3" t="s">
        <v>190</v>
      </c>
      <c r="L3" t="s">
        <v>191</v>
      </c>
      <c r="M3" t="s">
        <v>192</v>
      </c>
      <c r="N3" t="s">
        <v>193</v>
      </c>
      <c r="O3" t="s">
        <v>194</v>
      </c>
      <c r="P3" t="s">
        <v>195</v>
      </c>
      <c r="Q3" t="s">
        <v>196</v>
      </c>
      <c r="R3" t="s">
        <v>196</v>
      </c>
      <c r="S3" t="s">
        <v>197</v>
      </c>
      <c r="T3" t="s">
        <v>198</v>
      </c>
      <c r="U3" t="s">
        <v>199</v>
      </c>
      <c r="V3" t="s">
        <v>200</v>
      </c>
    </row>
    <row r="4" spans="1:22">
      <c r="C4" t="s">
        <v>201</v>
      </c>
      <c r="D4" t="s">
        <v>202</v>
      </c>
      <c r="E4" t="s">
        <v>203</v>
      </c>
      <c r="F4" t="s">
        <v>202</v>
      </c>
      <c r="G4" t="s">
        <v>204</v>
      </c>
      <c r="H4" t="s">
        <v>205</v>
      </c>
      <c r="J4" t="s">
        <v>206</v>
      </c>
      <c r="K4" t="s">
        <v>207</v>
      </c>
      <c r="L4" t="s">
        <v>208</v>
      </c>
      <c r="M4" t="s">
        <v>209</v>
      </c>
      <c r="N4" t="s">
        <v>210</v>
      </c>
      <c r="O4" t="s">
        <v>211</v>
      </c>
      <c r="P4" t="s">
        <v>212</v>
      </c>
      <c r="Q4" t="s">
        <v>213</v>
      </c>
      <c r="R4" t="s">
        <v>214</v>
      </c>
      <c r="S4" t="s">
        <v>215</v>
      </c>
      <c r="T4" t="s">
        <v>216</v>
      </c>
      <c r="U4" t="s">
        <v>217</v>
      </c>
      <c r="V4" t="s">
        <v>218</v>
      </c>
    </row>
    <row r="5" spans="1:22">
      <c r="C5" t="s">
        <v>219</v>
      </c>
      <c r="E5" t="s">
        <v>220</v>
      </c>
      <c r="F5" t="s">
        <v>208</v>
      </c>
      <c r="G5" t="s">
        <v>221</v>
      </c>
      <c r="H5" t="s">
        <v>222</v>
      </c>
      <c r="J5" t="s">
        <v>223</v>
      </c>
      <c r="M5" t="s">
        <v>224</v>
      </c>
      <c r="N5" t="s">
        <v>225</v>
      </c>
      <c r="O5" t="s">
        <v>226</v>
      </c>
      <c r="P5" t="s">
        <v>227</v>
      </c>
      <c r="Q5" t="s">
        <v>208</v>
      </c>
      <c r="R5" t="s">
        <v>208</v>
      </c>
      <c r="S5" t="s">
        <v>228</v>
      </c>
      <c r="T5" t="s">
        <v>229</v>
      </c>
      <c r="U5" t="s">
        <v>230</v>
      </c>
      <c r="V5" t="s">
        <v>231</v>
      </c>
    </row>
    <row r="6" spans="1:22">
      <c r="C6" t="s">
        <v>232</v>
      </c>
      <c r="E6" t="s">
        <v>233</v>
      </c>
      <c r="F6" t="s">
        <v>221</v>
      </c>
      <c r="H6" t="s">
        <v>221</v>
      </c>
      <c r="J6" t="s">
        <v>234</v>
      </c>
      <c r="M6" t="s">
        <v>235</v>
      </c>
      <c r="N6" t="s">
        <v>236</v>
      </c>
      <c r="O6" t="s">
        <v>234</v>
      </c>
      <c r="P6" t="s">
        <v>237</v>
      </c>
      <c r="Q6" t="s">
        <v>238</v>
      </c>
      <c r="R6" t="s">
        <v>238</v>
      </c>
      <c r="T6" t="s">
        <v>239</v>
      </c>
    </row>
    <row r="7" spans="1:22">
      <c r="C7" t="s">
        <v>240</v>
      </c>
      <c r="E7" t="s">
        <v>241</v>
      </c>
      <c r="J7" t="s">
        <v>208</v>
      </c>
      <c r="M7" t="s">
        <v>242</v>
      </c>
      <c r="N7" t="s">
        <v>243</v>
      </c>
      <c r="O7" t="s">
        <v>208</v>
      </c>
    </row>
    <row r="8" spans="1:22">
      <c r="C8" t="s">
        <v>244</v>
      </c>
      <c r="E8" t="s">
        <v>245</v>
      </c>
      <c r="M8" t="s">
        <v>246</v>
      </c>
      <c r="N8" t="s">
        <v>247</v>
      </c>
      <c r="O8" t="s">
        <v>221</v>
      </c>
    </row>
    <row r="9" spans="1:22">
      <c r="C9" t="s">
        <v>248</v>
      </c>
      <c r="E9" t="s">
        <v>249</v>
      </c>
      <c r="M9" t="s">
        <v>250</v>
      </c>
      <c r="N9" t="s">
        <v>202</v>
      </c>
    </row>
    <row r="10" spans="1:22">
      <c r="C10" t="s">
        <v>251</v>
      </c>
      <c r="E10" t="s">
        <v>252</v>
      </c>
      <c r="M10" t="s">
        <v>253</v>
      </c>
    </row>
    <row r="11" spans="1:22">
      <c r="C11" t="s">
        <v>254</v>
      </c>
      <c r="E11" t="s">
        <v>234</v>
      </c>
    </row>
    <row r="12" spans="1:22">
      <c r="C12" t="s">
        <v>255</v>
      </c>
    </row>
    <row r="13" spans="1:22">
      <c r="C13" t="s">
        <v>256</v>
      </c>
    </row>
    <row r="14" spans="1:22">
      <c r="C14" t="s">
        <v>257</v>
      </c>
    </row>
    <row r="15" spans="1:22">
      <c r="C15" t="s">
        <v>233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30CE4-ABB7-448E-AF22-A05BA19E523C}">
  <sheetPr codeName="Hoja6"/>
  <dimension ref="A1:AM285"/>
  <sheetViews>
    <sheetView topLeftCell="A77" workbookViewId="0">
      <selection activeCell="C21" sqref="C21"/>
    </sheetView>
  </sheetViews>
  <sheetFormatPr defaultColWidth="10.88671875" defaultRowHeight="14.4"/>
  <cols>
    <col min="1" max="1" width="58.109375" bestFit="1" customWidth="1"/>
    <col min="2" max="2" width="33.5546875" bestFit="1" customWidth="1"/>
    <col min="3" max="3" width="13.88671875" bestFit="1" customWidth="1"/>
    <col min="4" max="4" width="12.109375" bestFit="1" customWidth="1"/>
    <col min="5" max="5" width="13.33203125" bestFit="1" customWidth="1"/>
    <col min="6" max="6" width="11.109375" bestFit="1" customWidth="1"/>
  </cols>
  <sheetData>
    <row r="1" spans="1:6" ht="17.399999999999999">
      <c r="A1" s="403" t="s">
        <v>335</v>
      </c>
      <c r="B1" s="403"/>
      <c r="C1" s="403"/>
      <c r="D1" s="403"/>
      <c r="E1" s="403"/>
      <c r="F1" s="403"/>
    </row>
    <row r="2" spans="1:6" ht="17.399999999999999">
      <c r="A2" s="26" t="s">
        <v>336</v>
      </c>
      <c r="B2" s="27"/>
      <c r="C2" s="27"/>
      <c r="D2" s="27"/>
      <c r="E2" s="27"/>
    </row>
    <row r="3" spans="1:6">
      <c r="A3" s="28">
        <v>45789</v>
      </c>
      <c r="B3" s="29" t="s">
        <v>337</v>
      </c>
      <c r="C3" s="30"/>
      <c r="D3" s="31"/>
      <c r="E3" s="32"/>
    </row>
    <row r="4" spans="1:6">
      <c r="A4" s="33" t="s">
        <v>338</v>
      </c>
      <c r="B4" s="33" t="s">
        <v>339</v>
      </c>
      <c r="C4" s="34" t="s">
        <v>340</v>
      </c>
      <c r="D4" s="35" t="s">
        <v>341</v>
      </c>
      <c r="E4" s="36" t="s">
        <v>342</v>
      </c>
      <c r="F4" s="37" t="s">
        <v>343</v>
      </c>
    </row>
    <row r="5" spans="1:6">
      <c r="A5" s="38" t="s">
        <v>344</v>
      </c>
      <c r="B5" s="39" t="s">
        <v>345</v>
      </c>
      <c r="C5" s="40" t="s">
        <v>346</v>
      </c>
      <c r="D5" s="40" t="s">
        <v>347</v>
      </c>
      <c r="E5" s="40" t="s">
        <v>348</v>
      </c>
      <c r="F5" s="41"/>
    </row>
    <row r="6" spans="1:6">
      <c r="A6" s="38" t="s">
        <v>349</v>
      </c>
      <c r="B6" s="39" t="s">
        <v>350</v>
      </c>
      <c r="C6" s="40" t="s">
        <v>351</v>
      </c>
      <c r="D6" s="40" t="s">
        <v>352</v>
      </c>
      <c r="E6" s="40" t="s">
        <v>348</v>
      </c>
      <c r="F6" s="39"/>
    </row>
    <row r="7" spans="1:6">
      <c r="A7" s="38" t="s">
        <v>353</v>
      </c>
      <c r="B7" s="39" t="s">
        <v>354</v>
      </c>
      <c r="C7" s="40" t="s">
        <v>355</v>
      </c>
      <c r="D7" s="40" t="s">
        <v>356</v>
      </c>
      <c r="E7" s="40" t="s">
        <v>348</v>
      </c>
      <c r="F7" s="39"/>
    </row>
    <row r="8" spans="1:6">
      <c r="A8" s="38" t="s">
        <v>357</v>
      </c>
      <c r="B8" s="39" t="s">
        <v>358</v>
      </c>
      <c r="C8" s="40" t="s">
        <v>359</v>
      </c>
      <c r="D8" s="40" t="s">
        <v>360</v>
      </c>
      <c r="E8" s="40" t="s">
        <v>348</v>
      </c>
      <c r="F8" s="39"/>
    </row>
    <row r="9" spans="1:6">
      <c r="A9" s="38" t="s">
        <v>361</v>
      </c>
      <c r="B9" s="39" t="s">
        <v>362</v>
      </c>
      <c r="C9" s="40" t="s">
        <v>363</v>
      </c>
      <c r="D9" s="40" t="s">
        <v>364</v>
      </c>
      <c r="E9" s="40" t="s">
        <v>348</v>
      </c>
      <c r="F9" s="39"/>
    </row>
    <row r="10" spans="1:6">
      <c r="A10" s="38" t="s">
        <v>365</v>
      </c>
      <c r="B10" s="39" t="s">
        <v>350</v>
      </c>
      <c r="C10" s="40" t="s">
        <v>351</v>
      </c>
      <c r="D10" s="40" t="s">
        <v>352</v>
      </c>
      <c r="E10" s="40" t="s">
        <v>348</v>
      </c>
      <c r="F10" s="39"/>
    </row>
    <row r="11" spans="1:6">
      <c r="A11" s="38" t="s">
        <v>366</v>
      </c>
      <c r="B11" s="39" t="s">
        <v>367</v>
      </c>
      <c r="C11" s="40" t="s">
        <v>368</v>
      </c>
      <c r="D11" s="40" t="s">
        <v>369</v>
      </c>
      <c r="E11" s="40" t="s">
        <v>348</v>
      </c>
      <c r="F11" s="39"/>
    </row>
    <row r="12" spans="1:6">
      <c r="A12" s="38" t="s">
        <v>370</v>
      </c>
      <c r="B12" s="39" t="s">
        <v>371</v>
      </c>
      <c r="C12" s="40" t="s">
        <v>372</v>
      </c>
      <c r="D12" s="40" t="s">
        <v>373</v>
      </c>
      <c r="E12" s="40" t="s">
        <v>348</v>
      </c>
      <c r="F12" s="39"/>
    </row>
    <row r="13" spans="1:6">
      <c r="A13" s="38" t="s">
        <v>374</v>
      </c>
      <c r="B13" s="39" t="s">
        <v>375</v>
      </c>
      <c r="C13" s="40"/>
      <c r="D13" s="40"/>
      <c r="E13" s="40"/>
      <c r="F13" s="39"/>
    </row>
    <row r="14" spans="1:6">
      <c r="A14" s="38" t="s">
        <v>376</v>
      </c>
      <c r="B14" s="39" t="s">
        <v>371</v>
      </c>
      <c r="C14" s="40" t="s">
        <v>372</v>
      </c>
      <c r="D14" s="40" t="s">
        <v>373</v>
      </c>
      <c r="E14" s="40" t="s">
        <v>348</v>
      </c>
      <c r="F14" s="39"/>
    </row>
    <row r="15" spans="1:6">
      <c r="A15" s="38" t="s">
        <v>377</v>
      </c>
      <c r="B15" s="42" t="s">
        <v>378</v>
      </c>
      <c r="C15" s="43" t="s">
        <v>379</v>
      </c>
      <c r="D15" s="44" t="s">
        <v>380</v>
      </c>
      <c r="E15" s="43">
        <v>2</v>
      </c>
      <c r="F15" s="45"/>
    </row>
    <row r="16" spans="1:6">
      <c r="A16" s="38" t="s">
        <v>381</v>
      </c>
      <c r="B16" s="39" t="s">
        <v>382</v>
      </c>
      <c r="C16" s="40" t="s">
        <v>383</v>
      </c>
      <c r="D16" s="40" t="s">
        <v>384</v>
      </c>
      <c r="E16" s="40" t="s">
        <v>348</v>
      </c>
      <c r="F16" s="39"/>
    </row>
    <row r="17" spans="1:6">
      <c r="A17" s="38" t="s">
        <v>385</v>
      </c>
      <c r="B17" s="39" t="s">
        <v>386</v>
      </c>
      <c r="C17" s="40" t="s">
        <v>387</v>
      </c>
      <c r="D17" s="40" t="s">
        <v>388</v>
      </c>
      <c r="E17" s="40" t="s">
        <v>348</v>
      </c>
      <c r="F17" s="39"/>
    </row>
    <row r="18" spans="1:6">
      <c r="A18" s="38" t="s">
        <v>389</v>
      </c>
      <c r="B18" s="39" t="s">
        <v>390</v>
      </c>
      <c r="C18" s="40" t="s">
        <v>391</v>
      </c>
      <c r="D18" s="40" t="s">
        <v>392</v>
      </c>
      <c r="E18" s="40" t="s">
        <v>348</v>
      </c>
      <c r="F18" s="39"/>
    </row>
    <row r="19" spans="1:6">
      <c r="A19" s="38" t="s">
        <v>393</v>
      </c>
      <c r="B19" s="39" t="s">
        <v>394</v>
      </c>
      <c r="C19" s="40" t="s">
        <v>395</v>
      </c>
      <c r="D19" s="40" t="s">
        <v>396</v>
      </c>
      <c r="E19" s="40" t="s">
        <v>348</v>
      </c>
      <c r="F19" s="39"/>
    </row>
    <row r="20" spans="1:6">
      <c r="A20" s="38" t="s">
        <v>397</v>
      </c>
      <c r="B20" s="39" t="s">
        <v>350</v>
      </c>
      <c r="C20" s="40" t="s">
        <v>351</v>
      </c>
      <c r="D20" s="40" t="s">
        <v>352</v>
      </c>
      <c r="E20" s="40" t="s">
        <v>348</v>
      </c>
      <c r="F20" s="39"/>
    </row>
    <row r="21" spans="1:6">
      <c r="A21" s="38" t="s">
        <v>398</v>
      </c>
      <c r="B21" s="39" t="s">
        <v>399</v>
      </c>
      <c r="C21" s="40" t="s">
        <v>400</v>
      </c>
      <c r="D21" s="40" t="s">
        <v>401</v>
      </c>
      <c r="E21" s="40" t="s">
        <v>348</v>
      </c>
      <c r="F21" s="39"/>
    </row>
    <row r="22" spans="1:6">
      <c r="A22" s="46" t="s">
        <v>402</v>
      </c>
      <c r="B22" s="39" t="s">
        <v>403</v>
      </c>
      <c r="C22" s="40" t="s">
        <v>404</v>
      </c>
      <c r="D22" s="40" t="s">
        <v>405</v>
      </c>
      <c r="E22" s="40" t="s">
        <v>348</v>
      </c>
      <c r="F22" s="39"/>
    </row>
    <row r="23" spans="1:6">
      <c r="A23" s="38" t="s">
        <v>406</v>
      </c>
      <c r="B23" s="39" t="s">
        <v>407</v>
      </c>
      <c r="C23" s="40" t="s">
        <v>408</v>
      </c>
      <c r="D23" s="40" t="s">
        <v>409</v>
      </c>
      <c r="E23" s="40" t="s">
        <v>410</v>
      </c>
      <c r="F23" s="39"/>
    </row>
    <row r="24" spans="1:6">
      <c r="A24" s="38" t="s">
        <v>411</v>
      </c>
      <c r="B24" s="39" t="s">
        <v>412</v>
      </c>
      <c r="C24" s="40" t="s">
        <v>413</v>
      </c>
      <c r="D24" s="40" t="s">
        <v>414</v>
      </c>
      <c r="E24" s="40" t="s">
        <v>348</v>
      </c>
      <c r="F24" s="39"/>
    </row>
    <row r="25" spans="1:6">
      <c r="A25" s="38" t="s">
        <v>415</v>
      </c>
      <c r="B25" s="39" t="s">
        <v>416</v>
      </c>
      <c r="C25" s="40" t="s">
        <v>417</v>
      </c>
      <c r="D25" s="40" t="s">
        <v>418</v>
      </c>
      <c r="E25" s="40" t="s">
        <v>348</v>
      </c>
      <c r="F25" s="39"/>
    </row>
    <row r="26" spans="1:6">
      <c r="A26" s="38" t="s">
        <v>419</v>
      </c>
      <c r="B26" s="39" t="s">
        <v>420</v>
      </c>
      <c r="C26" s="40" t="s">
        <v>421</v>
      </c>
      <c r="D26" s="40" t="s">
        <v>422</v>
      </c>
      <c r="E26" s="40" t="s">
        <v>348</v>
      </c>
      <c r="F26" s="39"/>
    </row>
    <row r="27" spans="1:6">
      <c r="A27" s="38" t="s">
        <v>423</v>
      </c>
      <c r="B27" s="39" t="s">
        <v>350</v>
      </c>
      <c r="C27" s="40" t="s">
        <v>351</v>
      </c>
      <c r="D27" s="40" t="s">
        <v>352</v>
      </c>
      <c r="E27" s="40" t="s">
        <v>348</v>
      </c>
      <c r="F27" s="39"/>
    </row>
    <row r="28" spans="1:6" ht="12.75" customHeight="1">
      <c r="A28" s="38" t="s">
        <v>424</v>
      </c>
      <c r="B28" s="39" t="s">
        <v>425</v>
      </c>
      <c r="C28" s="40" t="s">
        <v>426</v>
      </c>
      <c r="D28" s="40" t="s">
        <v>427</v>
      </c>
      <c r="E28" s="40" t="s">
        <v>348</v>
      </c>
      <c r="F28" s="39"/>
    </row>
    <row r="29" spans="1:6">
      <c r="A29" s="38" t="s">
        <v>428</v>
      </c>
      <c r="B29" s="39" t="s">
        <v>429</v>
      </c>
      <c r="C29" s="40" t="s">
        <v>430</v>
      </c>
      <c r="D29" s="40" t="s">
        <v>431</v>
      </c>
      <c r="E29" s="40" t="s">
        <v>432</v>
      </c>
      <c r="F29" s="39"/>
    </row>
    <row r="30" spans="1:6">
      <c r="A30" s="38" t="s">
        <v>433</v>
      </c>
      <c r="B30" s="39" t="s">
        <v>434</v>
      </c>
      <c r="C30" s="40" t="s">
        <v>435</v>
      </c>
      <c r="D30" s="40" t="s">
        <v>436</v>
      </c>
      <c r="E30" s="40" t="s">
        <v>348</v>
      </c>
      <c r="F30" s="39"/>
    </row>
    <row r="31" spans="1:6">
      <c r="A31" s="38" t="s">
        <v>437</v>
      </c>
      <c r="B31" s="39" t="s">
        <v>438</v>
      </c>
      <c r="C31" s="40" t="s">
        <v>439</v>
      </c>
      <c r="D31" s="40" t="s">
        <v>440</v>
      </c>
      <c r="E31" s="40" t="s">
        <v>348</v>
      </c>
      <c r="F31" s="39"/>
    </row>
    <row r="32" spans="1:6">
      <c r="A32" s="38" t="s">
        <v>437</v>
      </c>
      <c r="B32" s="39" t="s">
        <v>441</v>
      </c>
      <c r="C32" s="40" t="s">
        <v>442</v>
      </c>
      <c r="D32" s="40" t="s">
        <v>443</v>
      </c>
      <c r="E32" s="40" t="s">
        <v>348</v>
      </c>
      <c r="F32" s="39"/>
    </row>
    <row r="33" spans="1:6">
      <c r="A33" s="46" t="s">
        <v>444</v>
      </c>
      <c r="B33" s="39" t="s">
        <v>445</v>
      </c>
      <c r="C33" s="40" t="s">
        <v>446</v>
      </c>
      <c r="D33" s="40" t="s">
        <v>447</v>
      </c>
      <c r="E33" s="40" t="s">
        <v>348</v>
      </c>
      <c r="F33" s="39"/>
    </row>
    <row r="34" spans="1:6">
      <c r="A34" s="46" t="s">
        <v>444</v>
      </c>
      <c r="B34" s="39" t="s">
        <v>448</v>
      </c>
      <c r="C34" s="40" t="s">
        <v>449</v>
      </c>
      <c r="D34" s="40" t="s">
        <v>450</v>
      </c>
      <c r="E34" s="40" t="s">
        <v>348</v>
      </c>
      <c r="F34" s="39" t="b">
        <v>1</v>
      </c>
    </row>
    <row r="35" spans="1:6">
      <c r="A35" s="38" t="s">
        <v>451</v>
      </c>
      <c r="B35" s="39" t="s">
        <v>362</v>
      </c>
      <c r="C35" s="40" t="s">
        <v>363</v>
      </c>
      <c r="D35" s="40" t="s">
        <v>364</v>
      </c>
      <c r="E35" s="40" t="s">
        <v>348</v>
      </c>
      <c r="F35" s="39"/>
    </row>
    <row r="36" spans="1:6">
      <c r="A36" s="38" t="s">
        <v>452</v>
      </c>
      <c r="B36" s="39" t="s">
        <v>453</v>
      </c>
      <c r="C36" s="40" t="s">
        <v>454</v>
      </c>
      <c r="D36" s="40" t="s">
        <v>455</v>
      </c>
      <c r="E36" s="40" t="s">
        <v>348</v>
      </c>
      <c r="F36" s="39"/>
    </row>
    <row r="37" spans="1:6">
      <c r="A37" s="38" t="s">
        <v>456</v>
      </c>
      <c r="B37" s="39" t="s">
        <v>457</v>
      </c>
      <c r="C37" s="40" t="s">
        <v>458</v>
      </c>
      <c r="D37" s="40" t="s">
        <v>459</v>
      </c>
      <c r="E37" s="40" t="s">
        <v>348</v>
      </c>
      <c r="F37" s="39"/>
    </row>
    <row r="38" spans="1:6">
      <c r="A38" s="38" t="s">
        <v>460</v>
      </c>
      <c r="B38" s="39" t="s">
        <v>461</v>
      </c>
      <c r="C38" s="40" t="s">
        <v>462</v>
      </c>
      <c r="D38" s="40" t="s">
        <v>463</v>
      </c>
      <c r="E38" s="40" t="s">
        <v>348</v>
      </c>
      <c r="F38" s="39"/>
    </row>
    <row r="39" spans="1:6">
      <c r="A39" s="38" t="s">
        <v>464</v>
      </c>
      <c r="B39" s="39" t="s">
        <v>465</v>
      </c>
      <c r="C39" s="40" t="s">
        <v>466</v>
      </c>
      <c r="D39" s="40" t="s">
        <v>467</v>
      </c>
      <c r="E39" s="40" t="s">
        <v>348</v>
      </c>
      <c r="F39" s="39"/>
    </row>
    <row r="40" spans="1:6">
      <c r="A40" s="38" t="s">
        <v>468</v>
      </c>
      <c r="B40" s="39" t="s">
        <v>362</v>
      </c>
      <c r="C40" s="40" t="s">
        <v>363</v>
      </c>
      <c r="D40" s="40" t="s">
        <v>364</v>
      </c>
      <c r="E40" s="40" t="s">
        <v>348</v>
      </c>
      <c r="F40" s="39"/>
    </row>
    <row r="41" spans="1:6">
      <c r="A41" s="38" t="s">
        <v>469</v>
      </c>
      <c r="B41" s="39" t="s">
        <v>470</v>
      </c>
      <c r="C41" s="40" t="s">
        <v>471</v>
      </c>
      <c r="D41" s="40" t="s">
        <v>472</v>
      </c>
      <c r="E41" s="40" t="s">
        <v>348</v>
      </c>
      <c r="F41" s="39"/>
    </row>
    <row r="42" spans="1:6" ht="13.5" customHeight="1">
      <c r="A42" s="38" t="s">
        <v>473</v>
      </c>
      <c r="B42" s="39" t="s">
        <v>474</v>
      </c>
      <c r="C42" s="40" t="s">
        <v>475</v>
      </c>
      <c r="D42" s="40" t="s">
        <v>476</v>
      </c>
      <c r="E42" s="40" t="s">
        <v>348</v>
      </c>
      <c r="F42" s="39"/>
    </row>
    <row r="43" spans="1:6">
      <c r="A43" s="38" t="s">
        <v>477</v>
      </c>
      <c r="B43" s="39" t="s">
        <v>429</v>
      </c>
      <c r="C43" s="40" t="s">
        <v>430</v>
      </c>
      <c r="D43" s="40" t="s">
        <v>431</v>
      </c>
      <c r="E43" s="40" t="s">
        <v>432</v>
      </c>
      <c r="F43" s="39"/>
    </row>
    <row r="44" spans="1:6">
      <c r="A44" s="38" t="s">
        <v>478</v>
      </c>
      <c r="B44" s="39" t="s">
        <v>479</v>
      </c>
      <c r="C44" s="40" t="s">
        <v>480</v>
      </c>
      <c r="D44" s="40" t="s">
        <v>481</v>
      </c>
      <c r="E44" s="40" t="s">
        <v>432</v>
      </c>
      <c r="F44" s="39"/>
    </row>
    <row r="45" spans="1:6">
      <c r="A45" s="38" t="s">
        <v>482</v>
      </c>
      <c r="B45" s="39" t="s">
        <v>483</v>
      </c>
      <c r="C45" s="40" t="s">
        <v>484</v>
      </c>
      <c r="D45" s="40" t="s">
        <v>485</v>
      </c>
      <c r="E45" s="40" t="s">
        <v>348</v>
      </c>
      <c r="F45" s="39"/>
    </row>
    <row r="46" spans="1:6">
      <c r="A46" s="38" t="s">
        <v>486</v>
      </c>
      <c r="B46" s="39" t="s">
        <v>487</v>
      </c>
      <c r="C46" s="40" t="s">
        <v>488</v>
      </c>
      <c r="D46" s="40" t="s">
        <v>489</v>
      </c>
      <c r="E46" s="40" t="s">
        <v>348</v>
      </c>
      <c r="F46" s="39"/>
    </row>
    <row r="47" spans="1:6">
      <c r="A47" s="38" t="s">
        <v>490</v>
      </c>
      <c r="B47" s="39" t="s">
        <v>491</v>
      </c>
      <c r="C47" s="40" t="s">
        <v>492</v>
      </c>
      <c r="D47" s="40" t="s">
        <v>493</v>
      </c>
      <c r="E47" s="40" t="s">
        <v>432</v>
      </c>
      <c r="F47" s="39"/>
    </row>
    <row r="48" spans="1:6">
      <c r="A48" s="38" t="s">
        <v>494</v>
      </c>
      <c r="B48" s="39" t="s">
        <v>495</v>
      </c>
      <c r="C48" s="40" t="s">
        <v>496</v>
      </c>
      <c r="D48" s="40" t="s">
        <v>497</v>
      </c>
      <c r="E48" s="40" t="s">
        <v>348</v>
      </c>
      <c r="F48" s="39"/>
    </row>
    <row r="49" spans="1:6">
      <c r="A49" s="46" t="s">
        <v>498</v>
      </c>
      <c r="B49" s="39" t="s">
        <v>499</v>
      </c>
      <c r="C49" s="40" t="s">
        <v>500</v>
      </c>
      <c r="D49" s="40" t="s">
        <v>501</v>
      </c>
      <c r="E49" s="40" t="s">
        <v>348</v>
      </c>
      <c r="F49" s="39"/>
    </row>
    <row r="50" spans="1:6">
      <c r="A50" s="46" t="s">
        <v>502</v>
      </c>
      <c r="B50" s="39" t="s">
        <v>491</v>
      </c>
      <c r="C50" s="40" t="s">
        <v>492</v>
      </c>
      <c r="D50" s="40" t="s">
        <v>493</v>
      </c>
      <c r="E50" s="40" t="s">
        <v>432</v>
      </c>
      <c r="F50" s="39"/>
    </row>
    <row r="51" spans="1:6">
      <c r="A51" s="38" t="s">
        <v>503</v>
      </c>
      <c r="B51" s="39" t="s">
        <v>491</v>
      </c>
      <c r="C51" s="40" t="s">
        <v>492</v>
      </c>
      <c r="D51" s="40" t="s">
        <v>493</v>
      </c>
      <c r="E51" s="40" t="s">
        <v>432</v>
      </c>
      <c r="F51" s="39"/>
    </row>
    <row r="52" spans="1:6">
      <c r="A52" s="38" t="s">
        <v>504</v>
      </c>
      <c r="B52" s="39" t="s">
        <v>505</v>
      </c>
      <c r="C52" s="40" t="s">
        <v>506</v>
      </c>
      <c r="D52" s="40" t="s">
        <v>507</v>
      </c>
      <c r="E52" s="40" t="s">
        <v>432</v>
      </c>
      <c r="F52" s="39"/>
    </row>
    <row r="53" spans="1:6">
      <c r="A53" s="38" t="s">
        <v>504</v>
      </c>
      <c r="B53" s="39" t="s">
        <v>508</v>
      </c>
      <c r="C53" s="40" t="s">
        <v>509</v>
      </c>
      <c r="D53" s="40" t="s">
        <v>510</v>
      </c>
      <c r="E53" s="40" t="s">
        <v>511</v>
      </c>
      <c r="F53" s="39" t="b">
        <v>1</v>
      </c>
    </row>
    <row r="54" spans="1:6">
      <c r="A54" s="38" t="s">
        <v>512</v>
      </c>
      <c r="B54" s="39" t="s">
        <v>513</v>
      </c>
      <c r="C54" s="40" t="s">
        <v>514</v>
      </c>
      <c r="D54" s="40" t="s">
        <v>515</v>
      </c>
      <c r="E54" s="40" t="s">
        <v>348</v>
      </c>
      <c r="F54" s="39"/>
    </row>
    <row r="55" spans="1:6">
      <c r="A55" s="108" t="s">
        <v>512</v>
      </c>
      <c r="B55" s="109" t="s">
        <v>2352</v>
      </c>
      <c r="C55" s="110" t="s">
        <v>2348</v>
      </c>
      <c r="D55" s="110" t="s">
        <v>515</v>
      </c>
      <c r="E55" s="111" t="s">
        <v>348</v>
      </c>
      <c r="F55" s="112"/>
    </row>
    <row r="56" spans="1:6">
      <c r="A56" s="38" t="s">
        <v>516</v>
      </c>
      <c r="B56" s="39" t="s">
        <v>394</v>
      </c>
      <c r="C56" s="40" t="s">
        <v>395</v>
      </c>
      <c r="D56" s="40" t="s">
        <v>396</v>
      </c>
      <c r="E56" s="40" t="s">
        <v>348</v>
      </c>
      <c r="F56" s="39"/>
    </row>
    <row r="57" spans="1:6">
      <c r="A57" s="46" t="s">
        <v>517</v>
      </c>
      <c r="B57" s="39" t="s">
        <v>394</v>
      </c>
      <c r="C57" s="40" t="s">
        <v>395</v>
      </c>
      <c r="D57" s="40" t="s">
        <v>396</v>
      </c>
      <c r="E57" s="40" t="s">
        <v>348</v>
      </c>
      <c r="F57" s="39"/>
    </row>
    <row r="58" spans="1:6">
      <c r="A58" s="38" t="s">
        <v>518</v>
      </c>
      <c r="B58" s="39" t="s">
        <v>519</v>
      </c>
      <c r="C58" s="40" t="s">
        <v>520</v>
      </c>
      <c r="D58" s="40" t="s">
        <v>521</v>
      </c>
      <c r="E58" s="40" t="s">
        <v>348</v>
      </c>
      <c r="F58" s="39"/>
    </row>
    <row r="59" spans="1:6">
      <c r="A59" s="38" t="s">
        <v>518</v>
      </c>
      <c r="B59" s="39" t="s">
        <v>522</v>
      </c>
      <c r="C59" s="40" t="s">
        <v>523</v>
      </c>
      <c r="D59" s="40" t="s">
        <v>524</v>
      </c>
      <c r="E59" s="40" t="s">
        <v>348</v>
      </c>
      <c r="F59" s="39" t="b">
        <v>1</v>
      </c>
    </row>
    <row r="60" spans="1:6">
      <c r="A60" s="46" t="s">
        <v>525</v>
      </c>
      <c r="B60" s="39" t="s">
        <v>526</v>
      </c>
      <c r="C60" s="40" t="s">
        <v>527</v>
      </c>
      <c r="D60" s="40" t="s">
        <v>528</v>
      </c>
      <c r="E60" s="40" t="s">
        <v>432</v>
      </c>
      <c r="F60" s="39"/>
    </row>
    <row r="61" spans="1:6" ht="24" customHeight="1">
      <c r="A61" s="46" t="s">
        <v>529</v>
      </c>
      <c r="B61" s="39" t="s">
        <v>530</v>
      </c>
      <c r="C61" s="40" t="s">
        <v>531</v>
      </c>
      <c r="D61" s="40" t="s">
        <v>532</v>
      </c>
      <c r="E61" s="40" t="s">
        <v>348</v>
      </c>
      <c r="F61" s="39"/>
    </row>
    <row r="62" spans="1:6">
      <c r="A62" s="46" t="s">
        <v>533</v>
      </c>
      <c r="B62" s="39" t="s">
        <v>491</v>
      </c>
      <c r="C62" s="40" t="s">
        <v>492</v>
      </c>
      <c r="D62" s="40" t="s">
        <v>493</v>
      </c>
      <c r="E62" s="40" t="s">
        <v>432</v>
      </c>
      <c r="F62" s="39"/>
    </row>
    <row r="63" spans="1:6">
      <c r="A63" s="46" t="s">
        <v>534</v>
      </c>
      <c r="B63" s="39" t="s">
        <v>535</v>
      </c>
      <c r="C63" s="40" t="s">
        <v>536</v>
      </c>
      <c r="D63" s="40" t="s">
        <v>537</v>
      </c>
      <c r="E63" s="40" t="s">
        <v>348</v>
      </c>
      <c r="F63" s="39"/>
    </row>
    <row r="64" spans="1:6">
      <c r="A64" s="38" t="s">
        <v>538</v>
      </c>
      <c r="B64" s="39" t="s">
        <v>539</v>
      </c>
      <c r="C64" s="40" t="s">
        <v>540</v>
      </c>
      <c r="D64" s="40" t="s">
        <v>541</v>
      </c>
      <c r="E64" s="40" t="s">
        <v>348</v>
      </c>
      <c r="F64" s="39"/>
    </row>
    <row r="65" spans="1:6" ht="12.75" customHeight="1">
      <c r="A65" s="38" t="s">
        <v>542</v>
      </c>
      <c r="B65" s="39" t="s">
        <v>429</v>
      </c>
      <c r="C65" s="40" t="s">
        <v>430</v>
      </c>
      <c r="D65" s="40" t="s">
        <v>431</v>
      </c>
      <c r="E65" s="40" t="s">
        <v>432</v>
      </c>
      <c r="F65" s="39"/>
    </row>
    <row r="66" spans="1:6" ht="12.75" customHeight="1">
      <c r="A66" s="38" t="s">
        <v>543</v>
      </c>
      <c r="B66" s="39" t="s">
        <v>350</v>
      </c>
      <c r="C66" s="40" t="s">
        <v>351</v>
      </c>
      <c r="D66" s="40" t="s">
        <v>352</v>
      </c>
      <c r="E66" s="40" t="s">
        <v>348</v>
      </c>
      <c r="F66" s="39"/>
    </row>
    <row r="67" spans="1:6" ht="12.75" customHeight="1">
      <c r="A67" s="38" t="s">
        <v>544</v>
      </c>
      <c r="B67" s="39" t="s">
        <v>545</v>
      </c>
      <c r="C67" s="40" t="s">
        <v>546</v>
      </c>
      <c r="D67" s="40" t="s">
        <v>547</v>
      </c>
      <c r="E67" s="40" t="s">
        <v>348</v>
      </c>
      <c r="F67" s="39"/>
    </row>
    <row r="68" spans="1:6">
      <c r="A68" s="38" t="s">
        <v>548</v>
      </c>
      <c r="B68" s="39" t="s">
        <v>549</v>
      </c>
      <c r="C68" s="40" t="s">
        <v>550</v>
      </c>
      <c r="D68" s="40" t="s">
        <v>551</v>
      </c>
      <c r="E68" s="40" t="s">
        <v>348</v>
      </c>
      <c r="F68" s="39"/>
    </row>
    <row r="69" spans="1:6">
      <c r="A69" s="38" t="s">
        <v>552</v>
      </c>
      <c r="B69" s="39" t="s">
        <v>350</v>
      </c>
      <c r="C69" s="40" t="s">
        <v>351</v>
      </c>
      <c r="D69" s="40" t="s">
        <v>352</v>
      </c>
      <c r="E69" s="40" t="s">
        <v>348</v>
      </c>
      <c r="F69" s="39"/>
    </row>
    <row r="70" spans="1:6">
      <c r="A70" s="38" t="s">
        <v>553</v>
      </c>
      <c r="B70" s="39" t="s">
        <v>554</v>
      </c>
      <c r="C70" s="40" t="s">
        <v>555</v>
      </c>
      <c r="D70" s="40" t="s">
        <v>556</v>
      </c>
      <c r="E70" s="40" t="s">
        <v>348</v>
      </c>
      <c r="F70" s="39"/>
    </row>
    <row r="71" spans="1:6">
      <c r="A71" s="38" t="s">
        <v>557</v>
      </c>
      <c r="B71" s="39" t="s">
        <v>558</v>
      </c>
      <c r="C71" s="40" t="s">
        <v>559</v>
      </c>
      <c r="D71" s="40" t="s">
        <v>560</v>
      </c>
      <c r="E71" s="40" t="s">
        <v>348</v>
      </c>
      <c r="F71" s="39"/>
    </row>
    <row r="72" spans="1:6">
      <c r="A72" s="38" t="s">
        <v>561</v>
      </c>
      <c r="B72" s="39" t="s">
        <v>562</v>
      </c>
      <c r="C72" s="40" t="s">
        <v>563</v>
      </c>
      <c r="D72" s="40" t="s">
        <v>564</v>
      </c>
      <c r="E72" s="40" t="s">
        <v>432</v>
      </c>
      <c r="F72" s="39"/>
    </row>
    <row r="73" spans="1:6">
      <c r="A73" s="38" t="s">
        <v>565</v>
      </c>
      <c r="B73" s="39" t="s">
        <v>371</v>
      </c>
      <c r="C73" s="40" t="s">
        <v>372</v>
      </c>
      <c r="D73" s="40" t="s">
        <v>373</v>
      </c>
      <c r="E73" s="40" t="s">
        <v>348</v>
      </c>
      <c r="F73" s="39"/>
    </row>
    <row r="74" spans="1:6">
      <c r="A74" s="46" t="s">
        <v>566</v>
      </c>
      <c r="B74" s="39" t="s">
        <v>567</v>
      </c>
      <c r="C74" s="40" t="s">
        <v>568</v>
      </c>
      <c r="D74" s="40" t="s">
        <v>569</v>
      </c>
      <c r="E74" s="40" t="s">
        <v>348</v>
      </c>
      <c r="F74" s="39"/>
    </row>
    <row r="75" spans="1:6">
      <c r="A75" s="38" t="s">
        <v>570</v>
      </c>
      <c r="B75" s="39" t="s">
        <v>362</v>
      </c>
      <c r="C75" s="40" t="s">
        <v>363</v>
      </c>
      <c r="D75" s="40" t="s">
        <v>364</v>
      </c>
      <c r="E75" s="40" t="s">
        <v>348</v>
      </c>
      <c r="F75" s="39"/>
    </row>
    <row r="76" spans="1:6">
      <c r="A76" s="38" t="s">
        <v>571</v>
      </c>
      <c r="B76" s="39" t="s">
        <v>572</v>
      </c>
      <c r="C76" s="40" t="s">
        <v>573</v>
      </c>
      <c r="D76" s="40" t="s">
        <v>574</v>
      </c>
      <c r="E76" s="40" t="s">
        <v>348</v>
      </c>
      <c r="F76" s="39"/>
    </row>
    <row r="77" spans="1:6">
      <c r="A77" s="38" t="s">
        <v>575</v>
      </c>
      <c r="B77" s="39" t="s">
        <v>576</v>
      </c>
      <c r="C77" s="40" t="s">
        <v>577</v>
      </c>
      <c r="D77" s="40" t="s">
        <v>578</v>
      </c>
      <c r="E77" s="40" t="s">
        <v>348</v>
      </c>
      <c r="F77" s="39"/>
    </row>
    <row r="78" spans="1:6">
      <c r="A78" s="41" t="s">
        <v>575</v>
      </c>
      <c r="B78" s="41" t="s">
        <v>362</v>
      </c>
      <c r="C78" s="47" t="s">
        <v>363</v>
      </c>
      <c r="D78" s="47" t="s">
        <v>364</v>
      </c>
      <c r="E78" s="47" t="s">
        <v>348</v>
      </c>
      <c r="F78" s="39"/>
    </row>
    <row r="79" spans="1:6" ht="12" customHeight="1">
      <c r="A79" s="38" t="s">
        <v>579</v>
      </c>
      <c r="B79" s="39" t="s">
        <v>491</v>
      </c>
      <c r="C79" s="40" t="s">
        <v>492</v>
      </c>
      <c r="D79" s="40" t="s">
        <v>493</v>
      </c>
      <c r="E79" s="40" t="s">
        <v>432</v>
      </c>
      <c r="F79" s="39"/>
    </row>
    <row r="80" spans="1:6">
      <c r="A80" s="38" t="s">
        <v>580</v>
      </c>
      <c r="B80" s="39" t="s">
        <v>581</v>
      </c>
      <c r="C80" s="40" t="s">
        <v>582</v>
      </c>
      <c r="D80" s="40" t="s">
        <v>583</v>
      </c>
      <c r="E80" s="40" t="s">
        <v>348</v>
      </c>
      <c r="F80" s="39"/>
    </row>
    <row r="81" spans="1:6">
      <c r="A81" s="38" t="s">
        <v>584</v>
      </c>
      <c r="B81" s="39" t="s">
        <v>350</v>
      </c>
      <c r="C81" s="40" t="s">
        <v>351</v>
      </c>
      <c r="D81" s="40" t="s">
        <v>352</v>
      </c>
      <c r="E81" s="40" t="s">
        <v>348</v>
      </c>
      <c r="F81" s="39"/>
    </row>
    <row r="82" spans="1:6">
      <c r="A82" s="38" t="s">
        <v>585</v>
      </c>
      <c r="B82" s="39" t="s">
        <v>586</v>
      </c>
      <c r="C82" s="40" t="s">
        <v>587</v>
      </c>
      <c r="D82" s="40" t="s">
        <v>588</v>
      </c>
      <c r="E82" s="40" t="s">
        <v>348</v>
      </c>
      <c r="F82" s="39"/>
    </row>
    <row r="83" spans="1:6">
      <c r="A83" s="38" t="s">
        <v>589</v>
      </c>
      <c r="B83" s="39" t="s">
        <v>590</v>
      </c>
      <c r="C83" s="40" t="s">
        <v>591</v>
      </c>
      <c r="D83" s="40" t="s">
        <v>592</v>
      </c>
      <c r="E83" s="40" t="s">
        <v>348</v>
      </c>
      <c r="F83" s="39"/>
    </row>
    <row r="84" spans="1:6">
      <c r="A84" s="38" t="s">
        <v>593</v>
      </c>
      <c r="B84" s="39" t="s">
        <v>350</v>
      </c>
      <c r="C84" s="40" t="s">
        <v>351</v>
      </c>
      <c r="D84" s="40" t="s">
        <v>352</v>
      </c>
      <c r="E84" s="40" t="s">
        <v>348</v>
      </c>
      <c r="F84" s="39"/>
    </row>
    <row r="85" spans="1:6">
      <c r="A85" s="46" t="s">
        <v>594</v>
      </c>
      <c r="B85" s="39" t="s">
        <v>595</v>
      </c>
      <c r="C85" s="40" t="s">
        <v>596</v>
      </c>
      <c r="D85" s="40" t="s">
        <v>597</v>
      </c>
      <c r="E85" s="40" t="s">
        <v>348</v>
      </c>
      <c r="F85" s="39"/>
    </row>
    <row r="86" spans="1:6">
      <c r="A86" s="46" t="s">
        <v>598</v>
      </c>
      <c r="B86" s="39" t="s">
        <v>558</v>
      </c>
      <c r="C86" s="40" t="s">
        <v>559</v>
      </c>
      <c r="D86" s="40" t="s">
        <v>560</v>
      </c>
      <c r="E86" s="40" t="s">
        <v>348</v>
      </c>
      <c r="F86" s="39"/>
    </row>
    <row r="87" spans="1:6">
      <c r="A87" s="38" t="s">
        <v>599</v>
      </c>
      <c r="B87" s="39" t="s">
        <v>600</v>
      </c>
      <c r="C87" s="40" t="s">
        <v>601</v>
      </c>
      <c r="D87" s="40" t="s">
        <v>602</v>
      </c>
      <c r="E87" s="40" t="s">
        <v>348</v>
      </c>
      <c r="F87" s="39"/>
    </row>
    <row r="88" spans="1:6">
      <c r="A88" s="38" t="s">
        <v>603</v>
      </c>
      <c r="B88" s="39" t="s">
        <v>350</v>
      </c>
      <c r="C88" s="40" t="s">
        <v>351</v>
      </c>
      <c r="D88" s="40" t="s">
        <v>352</v>
      </c>
      <c r="E88" s="40" t="s">
        <v>348</v>
      </c>
      <c r="F88" s="39"/>
    </row>
    <row r="89" spans="1:6">
      <c r="A89" s="38" t="s">
        <v>604</v>
      </c>
      <c r="B89" s="39" t="s">
        <v>350</v>
      </c>
      <c r="C89" s="40" t="s">
        <v>351</v>
      </c>
      <c r="D89" s="40" t="s">
        <v>352</v>
      </c>
      <c r="E89" s="40" t="s">
        <v>348</v>
      </c>
      <c r="F89" s="39"/>
    </row>
    <row r="90" spans="1:6">
      <c r="A90" s="38" t="s">
        <v>605</v>
      </c>
      <c r="B90" s="39" t="s">
        <v>350</v>
      </c>
      <c r="C90" s="40" t="s">
        <v>351</v>
      </c>
      <c r="D90" s="40" t="s">
        <v>352</v>
      </c>
      <c r="E90" s="40" t="s">
        <v>348</v>
      </c>
      <c r="F90" s="39"/>
    </row>
    <row r="91" spans="1:6">
      <c r="A91" s="38" t="s">
        <v>606</v>
      </c>
      <c r="B91" s="39" t="s">
        <v>607</v>
      </c>
      <c r="C91" s="40" t="s">
        <v>608</v>
      </c>
      <c r="D91" s="40" t="s">
        <v>609</v>
      </c>
      <c r="E91" s="40" t="s">
        <v>432</v>
      </c>
      <c r="F91" s="39"/>
    </row>
    <row r="92" spans="1:6">
      <c r="A92" s="46" t="s">
        <v>610</v>
      </c>
      <c r="B92" s="39" t="s">
        <v>350</v>
      </c>
      <c r="C92" s="40" t="s">
        <v>351</v>
      </c>
      <c r="D92" s="40" t="s">
        <v>352</v>
      </c>
      <c r="E92" s="40" t="s">
        <v>348</v>
      </c>
      <c r="F92" s="39"/>
    </row>
    <row r="93" spans="1:6">
      <c r="A93" s="38" t="s">
        <v>611</v>
      </c>
      <c r="B93" s="39" t="s">
        <v>491</v>
      </c>
      <c r="C93" s="40" t="s">
        <v>492</v>
      </c>
      <c r="D93" s="40" t="s">
        <v>493</v>
      </c>
      <c r="E93" s="40" t="s">
        <v>432</v>
      </c>
      <c r="F93" s="39"/>
    </row>
    <row r="94" spans="1:6">
      <c r="A94" s="46" t="s">
        <v>612</v>
      </c>
      <c r="B94" s="39" t="s">
        <v>613</v>
      </c>
      <c r="C94" s="40" t="s">
        <v>614</v>
      </c>
      <c r="D94" s="40" t="s">
        <v>615</v>
      </c>
      <c r="E94" s="40" t="s">
        <v>348</v>
      </c>
      <c r="F94" s="39"/>
    </row>
    <row r="95" spans="1:6">
      <c r="A95" s="38" t="s">
        <v>616</v>
      </c>
      <c r="B95" s="39" t="s">
        <v>617</v>
      </c>
      <c r="C95" s="40" t="s">
        <v>618</v>
      </c>
      <c r="D95" s="40" t="s">
        <v>619</v>
      </c>
      <c r="E95" s="40" t="s">
        <v>348</v>
      </c>
      <c r="F95" s="39"/>
    </row>
    <row r="96" spans="1:6">
      <c r="A96" s="38" t="s">
        <v>620</v>
      </c>
      <c r="B96" s="39" t="s">
        <v>350</v>
      </c>
      <c r="C96" s="40" t="s">
        <v>351</v>
      </c>
      <c r="D96" s="40" t="s">
        <v>352</v>
      </c>
      <c r="E96" s="40" t="s">
        <v>348</v>
      </c>
      <c r="F96" s="39"/>
    </row>
    <row r="97" spans="1:6">
      <c r="A97" s="38" t="s">
        <v>621</v>
      </c>
      <c r="B97" s="39" t="s">
        <v>622</v>
      </c>
      <c r="C97" s="40" t="s">
        <v>623</v>
      </c>
      <c r="D97" s="40" t="s">
        <v>624</v>
      </c>
      <c r="E97" s="40" t="s">
        <v>348</v>
      </c>
      <c r="F97" s="39"/>
    </row>
    <row r="98" spans="1:6">
      <c r="A98" s="38" t="s">
        <v>625</v>
      </c>
      <c r="B98" s="39" t="s">
        <v>626</v>
      </c>
      <c r="C98" s="40" t="s">
        <v>627</v>
      </c>
      <c r="D98" s="40" t="s">
        <v>628</v>
      </c>
      <c r="E98" s="40" t="s">
        <v>348</v>
      </c>
      <c r="F98" s="39"/>
    </row>
    <row r="99" spans="1:6">
      <c r="A99" s="38" t="s">
        <v>629</v>
      </c>
      <c r="B99" s="39" t="s">
        <v>350</v>
      </c>
      <c r="C99" s="40" t="s">
        <v>351</v>
      </c>
      <c r="D99" s="40" t="s">
        <v>352</v>
      </c>
      <c r="E99" s="40" t="s">
        <v>348</v>
      </c>
      <c r="F99" s="39"/>
    </row>
    <row r="100" spans="1:6">
      <c r="A100" s="38" t="s">
        <v>630</v>
      </c>
      <c r="B100" s="39" t="s">
        <v>558</v>
      </c>
      <c r="C100" s="40" t="s">
        <v>559</v>
      </c>
      <c r="D100" s="40" t="s">
        <v>560</v>
      </c>
      <c r="E100" s="40" t="s">
        <v>348</v>
      </c>
      <c r="F100" s="39"/>
    </row>
    <row r="101" spans="1:6">
      <c r="A101" s="38" t="s">
        <v>631</v>
      </c>
      <c r="B101" s="39" t="s">
        <v>371</v>
      </c>
      <c r="C101" s="40" t="s">
        <v>372</v>
      </c>
      <c r="D101" s="40" t="s">
        <v>373</v>
      </c>
      <c r="E101" s="40" t="s">
        <v>348</v>
      </c>
      <c r="F101" s="39"/>
    </row>
    <row r="102" spans="1:6">
      <c r="A102" s="38" t="s">
        <v>632</v>
      </c>
      <c r="B102" s="39" t="s">
        <v>350</v>
      </c>
      <c r="C102" s="40" t="s">
        <v>351</v>
      </c>
      <c r="D102" s="40" t="s">
        <v>352</v>
      </c>
      <c r="E102" s="40" t="s">
        <v>348</v>
      </c>
      <c r="F102" s="39"/>
    </row>
    <row r="103" spans="1:6">
      <c r="A103" s="38" t="s">
        <v>633</v>
      </c>
      <c r="B103" s="39" t="s">
        <v>362</v>
      </c>
      <c r="C103" s="40" t="s">
        <v>363</v>
      </c>
      <c r="D103" s="40" t="s">
        <v>364</v>
      </c>
      <c r="E103" s="40" t="s">
        <v>348</v>
      </c>
      <c r="F103" s="39"/>
    </row>
    <row r="104" spans="1:6">
      <c r="A104" s="38" t="s">
        <v>634</v>
      </c>
      <c r="B104" s="39" t="s">
        <v>635</v>
      </c>
      <c r="C104" s="40" t="s">
        <v>636</v>
      </c>
      <c r="D104" s="40" t="s">
        <v>637</v>
      </c>
      <c r="E104" s="40" t="s">
        <v>348</v>
      </c>
      <c r="F104" s="39"/>
    </row>
    <row r="105" spans="1:6" ht="12.75" customHeight="1">
      <c r="A105" s="38" t="s">
        <v>638</v>
      </c>
      <c r="B105" s="39" t="s">
        <v>639</v>
      </c>
      <c r="C105" s="40" t="s">
        <v>640</v>
      </c>
      <c r="D105" s="40" t="s">
        <v>641</v>
      </c>
      <c r="E105" s="40" t="s">
        <v>348</v>
      </c>
      <c r="F105" s="39"/>
    </row>
    <row r="106" spans="1:6">
      <c r="A106" s="38" t="s">
        <v>642</v>
      </c>
      <c r="B106" s="39" t="s">
        <v>643</v>
      </c>
      <c r="C106" s="40" t="s">
        <v>644</v>
      </c>
      <c r="D106" s="40" t="s">
        <v>645</v>
      </c>
      <c r="E106" s="40" t="s">
        <v>432</v>
      </c>
      <c r="F106" s="39"/>
    </row>
    <row r="107" spans="1:6">
      <c r="A107" s="38" t="s">
        <v>646</v>
      </c>
      <c r="B107" s="39" t="s">
        <v>429</v>
      </c>
      <c r="C107" s="40" t="s">
        <v>430</v>
      </c>
      <c r="D107" s="40" t="s">
        <v>431</v>
      </c>
      <c r="E107" s="40" t="s">
        <v>432</v>
      </c>
      <c r="F107" s="39"/>
    </row>
    <row r="108" spans="1:6">
      <c r="A108" s="38" t="s">
        <v>647</v>
      </c>
      <c r="B108" s="39" t="s">
        <v>648</v>
      </c>
      <c r="C108" s="40" t="s">
        <v>649</v>
      </c>
      <c r="D108" s="40" t="s">
        <v>650</v>
      </c>
      <c r="E108" s="40" t="s">
        <v>348</v>
      </c>
      <c r="F108" s="39"/>
    </row>
    <row r="109" spans="1:6">
      <c r="A109" s="38" t="s">
        <v>651</v>
      </c>
      <c r="B109" s="39" t="s">
        <v>652</v>
      </c>
      <c r="C109" s="40" t="s">
        <v>653</v>
      </c>
      <c r="D109" s="40" t="s">
        <v>654</v>
      </c>
      <c r="E109" s="40" t="s">
        <v>348</v>
      </c>
      <c r="F109" s="39"/>
    </row>
    <row r="110" spans="1:6">
      <c r="A110" s="38" t="s">
        <v>651</v>
      </c>
      <c r="B110" s="39" t="s">
        <v>362</v>
      </c>
      <c r="C110" s="40" t="s">
        <v>363</v>
      </c>
      <c r="D110" s="40" t="s">
        <v>364</v>
      </c>
      <c r="E110" s="40" t="s">
        <v>348</v>
      </c>
      <c r="F110" s="39"/>
    </row>
    <row r="111" spans="1:6">
      <c r="A111" s="38" t="s">
        <v>655</v>
      </c>
      <c r="B111" s="39" t="s">
        <v>394</v>
      </c>
      <c r="C111" s="40" t="s">
        <v>395</v>
      </c>
      <c r="D111" s="40" t="s">
        <v>396</v>
      </c>
      <c r="E111" s="40" t="s">
        <v>348</v>
      </c>
      <c r="F111" s="39"/>
    </row>
    <row r="112" spans="1:6">
      <c r="A112" s="46" t="s">
        <v>656</v>
      </c>
      <c r="B112" s="39" t="s">
        <v>350</v>
      </c>
      <c r="C112" s="40" t="s">
        <v>351</v>
      </c>
      <c r="D112" s="40" t="s">
        <v>352</v>
      </c>
      <c r="E112" s="40" t="s">
        <v>348</v>
      </c>
      <c r="F112" s="39"/>
    </row>
    <row r="113" spans="1:6" ht="12.75" customHeight="1">
      <c r="A113" s="38" t="s">
        <v>657</v>
      </c>
      <c r="B113" s="39" t="s">
        <v>658</v>
      </c>
      <c r="C113" s="40" t="s">
        <v>659</v>
      </c>
      <c r="D113" s="40" t="s">
        <v>660</v>
      </c>
      <c r="E113" s="40" t="s">
        <v>348</v>
      </c>
      <c r="F113" s="39"/>
    </row>
    <row r="114" spans="1:6" ht="12.75" customHeight="1">
      <c r="A114" s="38" t="s">
        <v>661</v>
      </c>
      <c r="B114" s="39" t="s">
        <v>662</v>
      </c>
      <c r="C114" s="40" t="s">
        <v>663</v>
      </c>
      <c r="D114" s="40" t="s">
        <v>664</v>
      </c>
      <c r="E114" s="40" t="s">
        <v>348</v>
      </c>
      <c r="F114" s="39"/>
    </row>
    <row r="115" spans="1:6">
      <c r="A115" s="38" t="s">
        <v>665</v>
      </c>
      <c r="B115" s="39" t="s">
        <v>666</v>
      </c>
      <c r="C115" s="40" t="s">
        <v>667</v>
      </c>
      <c r="D115" s="40" t="s">
        <v>668</v>
      </c>
      <c r="E115" s="40" t="s">
        <v>348</v>
      </c>
      <c r="F115" s="39"/>
    </row>
    <row r="116" spans="1:6">
      <c r="A116" s="38" t="s">
        <v>669</v>
      </c>
      <c r="B116" s="39" t="s">
        <v>670</v>
      </c>
      <c r="C116" s="40" t="s">
        <v>671</v>
      </c>
      <c r="D116" s="40" t="s">
        <v>672</v>
      </c>
      <c r="E116" s="40" t="s">
        <v>432</v>
      </c>
      <c r="F116" s="39"/>
    </row>
    <row r="117" spans="1:6">
      <c r="A117" s="38" t="s">
        <v>673</v>
      </c>
      <c r="B117" s="39" t="s">
        <v>438</v>
      </c>
      <c r="C117" s="40" t="s">
        <v>439</v>
      </c>
      <c r="D117" s="40" t="s">
        <v>440</v>
      </c>
      <c r="E117" s="40" t="s">
        <v>348</v>
      </c>
      <c r="F117" s="39"/>
    </row>
    <row r="118" spans="1:6">
      <c r="A118" s="38" t="s">
        <v>674</v>
      </c>
      <c r="B118" s="39" t="s">
        <v>675</v>
      </c>
      <c r="C118" s="40" t="s">
        <v>676</v>
      </c>
      <c r="D118" s="40" t="s">
        <v>677</v>
      </c>
      <c r="E118" s="40" t="s">
        <v>348</v>
      </c>
      <c r="F118" s="39"/>
    </row>
    <row r="119" spans="1:6">
      <c r="A119" s="38" t="s">
        <v>678</v>
      </c>
      <c r="B119" s="39" t="s">
        <v>679</v>
      </c>
      <c r="C119" s="40" t="s">
        <v>680</v>
      </c>
      <c r="D119" s="40" t="s">
        <v>681</v>
      </c>
      <c r="E119" s="40" t="s">
        <v>682</v>
      </c>
      <c r="F119" s="39"/>
    </row>
    <row r="120" spans="1:6">
      <c r="A120" s="46" t="s">
        <v>683</v>
      </c>
      <c r="B120" s="39" t="s">
        <v>684</v>
      </c>
      <c r="C120" s="40" t="s">
        <v>685</v>
      </c>
      <c r="D120" s="40" t="s">
        <v>686</v>
      </c>
      <c r="E120" s="40" t="s">
        <v>348</v>
      </c>
      <c r="F120" s="39"/>
    </row>
    <row r="121" spans="1:6">
      <c r="A121" s="38" t="s">
        <v>687</v>
      </c>
      <c r="B121" s="39" t="s">
        <v>688</v>
      </c>
      <c r="C121" s="40" t="s">
        <v>689</v>
      </c>
      <c r="D121" s="40" t="s">
        <v>690</v>
      </c>
      <c r="E121" s="40" t="s">
        <v>410</v>
      </c>
      <c r="F121" s="39"/>
    </row>
    <row r="122" spans="1:6">
      <c r="A122" s="38" t="s">
        <v>691</v>
      </c>
      <c r="B122" s="39" t="s">
        <v>350</v>
      </c>
      <c r="C122" s="40" t="s">
        <v>351</v>
      </c>
      <c r="D122" s="40" t="s">
        <v>352</v>
      </c>
      <c r="E122" s="40" t="s">
        <v>348</v>
      </c>
      <c r="F122" s="39"/>
    </row>
    <row r="123" spans="1:6">
      <c r="A123" s="38" t="s">
        <v>692</v>
      </c>
      <c r="B123" s="39" t="s">
        <v>639</v>
      </c>
      <c r="C123" s="40" t="s">
        <v>640</v>
      </c>
      <c r="D123" s="40" t="s">
        <v>641</v>
      </c>
      <c r="E123" s="40" t="s">
        <v>348</v>
      </c>
      <c r="F123" s="39"/>
    </row>
    <row r="124" spans="1:6">
      <c r="A124" s="38" t="s">
        <v>693</v>
      </c>
      <c r="B124" s="39" t="s">
        <v>694</v>
      </c>
      <c r="C124" s="40" t="s">
        <v>695</v>
      </c>
      <c r="D124" s="40" t="s">
        <v>696</v>
      </c>
      <c r="E124" s="40" t="s">
        <v>348</v>
      </c>
      <c r="F124" s="39"/>
    </row>
    <row r="125" spans="1:6">
      <c r="A125" s="38" t="s">
        <v>697</v>
      </c>
      <c r="B125" s="39" t="s">
        <v>350</v>
      </c>
      <c r="C125" s="40" t="s">
        <v>351</v>
      </c>
      <c r="D125" s="40" t="s">
        <v>352</v>
      </c>
      <c r="E125" s="40" t="s">
        <v>348</v>
      </c>
      <c r="F125" s="39"/>
    </row>
    <row r="126" spans="1:6">
      <c r="A126" s="38" t="s">
        <v>698</v>
      </c>
      <c r="B126" s="39" t="s">
        <v>699</v>
      </c>
      <c r="C126" s="40" t="s">
        <v>700</v>
      </c>
      <c r="D126" s="40" t="s">
        <v>701</v>
      </c>
      <c r="E126" s="40" t="s">
        <v>348</v>
      </c>
      <c r="F126" s="39"/>
    </row>
    <row r="127" spans="1:6">
      <c r="A127" s="38" t="s">
        <v>702</v>
      </c>
      <c r="B127" s="39" t="s">
        <v>703</v>
      </c>
      <c r="C127" s="40" t="s">
        <v>704</v>
      </c>
      <c r="D127" s="40" t="s">
        <v>705</v>
      </c>
      <c r="E127" s="40" t="s">
        <v>432</v>
      </c>
      <c r="F127" s="39"/>
    </row>
    <row r="128" spans="1:6">
      <c r="A128" s="38" t="s">
        <v>706</v>
      </c>
      <c r="B128" s="39" t="s">
        <v>639</v>
      </c>
      <c r="C128" s="40" t="s">
        <v>640</v>
      </c>
      <c r="D128" s="40" t="s">
        <v>641</v>
      </c>
      <c r="E128" s="40" t="s">
        <v>348</v>
      </c>
      <c r="F128" s="39"/>
    </row>
    <row r="129" spans="1:6">
      <c r="A129" s="38" t="s">
        <v>707</v>
      </c>
      <c r="B129" s="39" t="s">
        <v>708</v>
      </c>
      <c r="C129" s="40" t="s">
        <v>709</v>
      </c>
      <c r="D129" s="40" t="s">
        <v>710</v>
      </c>
      <c r="E129" s="40" t="s">
        <v>410</v>
      </c>
      <c r="F129" s="39"/>
    </row>
    <row r="130" spans="1:6">
      <c r="A130" s="38" t="s">
        <v>711</v>
      </c>
      <c r="B130" s="39" t="s">
        <v>712</v>
      </c>
      <c r="C130" s="40" t="s">
        <v>713</v>
      </c>
      <c r="D130" s="40" t="s">
        <v>714</v>
      </c>
      <c r="E130" s="40" t="s">
        <v>348</v>
      </c>
      <c r="F130" s="39"/>
    </row>
    <row r="131" spans="1:6">
      <c r="A131" s="38" t="s">
        <v>715</v>
      </c>
      <c r="B131" s="39" t="s">
        <v>716</v>
      </c>
      <c r="C131" s="40" t="s">
        <v>717</v>
      </c>
      <c r="D131" s="40" t="s">
        <v>718</v>
      </c>
      <c r="E131" s="40" t="s">
        <v>348</v>
      </c>
      <c r="F131" s="39"/>
    </row>
    <row r="132" spans="1:6">
      <c r="A132" s="38" t="s">
        <v>719</v>
      </c>
      <c r="B132" s="39" t="s">
        <v>394</v>
      </c>
      <c r="C132" s="40" t="s">
        <v>395</v>
      </c>
      <c r="D132" s="40" t="s">
        <v>396</v>
      </c>
      <c r="E132" s="40" t="s">
        <v>348</v>
      </c>
      <c r="F132" s="39"/>
    </row>
    <row r="133" spans="1:6">
      <c r="A133" s="46" t="s">
        <v>720</v>
      </c>
      <c r="B133" s="39" t="s">
        <v>721</v>
      </c>
      <c r="C133" s="40" t="s">
        <v>722</v>
      </c>
      <c r="D133" s="40" t="s">
        <v>723</v>
      </c>
      <c r="E133" s="40" t="s">
        <v>348</v>
      </c>
      <c r="F133" s="39"/>
    </row>
    <row r="134" spans="1:6">
      <c r="A134" s="46" t="s">
        <v>724</v>
      </c>
      <c r="B134" s="39" t="s">
        <v>725</v>
      </c>
      <c r="C134" s="40" t="s">
        <v>726</v>
      </c>
      <c r="D134" s="40" t="s">
        <v>727</v>
      </c>
      <c r="E134" s="40" t="s">
        <v>432</v>
      </c>
      <c r="F134" s="39"/>
    </row>
    <row r="135" spans="1:6">
      <c r="A135" s="38" t="s">
        <v>728</v>
      </c>
      <c r="B135" s="39" t="s">
        <v>729</v>
      </c>
      <c r="C135" s="40" t="s">
        <v>730</v>
      </c>
      <c r="D135" s="40" t="s">
        <v>731</v>
      </c>
      <c r="E135" s="40" t="s">
        <v>410</v>
      </c>
      <c r="F135" s="39"/>
    </row>
    <row r="136" spans="1:6">
      <c r="A136" s="38" t="s">
        <v>732</v>
      </c>
      <c r="B136" s="39" t="s">
        <v>733</v>
      </c>
      <c r="C136" s="40" t="s">
        <v>734</v>
      </c>
      <c r="D136" s="40" t="s">
        <v>735</v>
      </c>
      <c r="E136" s="40" t="s">
        <v>348</v>
      </c>
      <c r="F136" s="39"/>
    </row>
    <row r="137" spans="1:6">
      <c r="A137" s="38" t="s">
        <v>736</v>
      </c>
      <c r="B137" s="39" t="s">
        <v>737</v>
      </c>
      <c r="C137" s="40" t="s">
        <v>738</v>
      </c>
      <c r="D137" s="40" t="s">
        <v>739</v>
      </c>
      <c r="E137" s="40" t="s">
        <v>348</v>
      </c>
      <c r="F137" s="39"/>
    </row>
    <row r="138" spans="1:6">
      <c r="A138" s="38" t="s">
        <v>740</v>
      </c>
      <c r="B138" s="39" t="s">
        <v>350</v>
      </c>
      <c r="C138" s="40" t="s">
        <v>351</v>
      </c>
      <c r="D138" s="40" t="s">
        <v>352</v>
      </c>
      <c r="E138" s="40" t="s">
        <v>348</v>
      </c>
      <c r="F138" s="39"/>
    </row>
    <row r="139" spans="1:6">
      <c r="A139" s="38" t="s">
        <v>741</v>
      </c>
      <c r="B139" s="39" t="s">
        <v>742</v>
      </c>
      <c r="C139" s="40" t="s">
        <v>743</v>
      </c>
      <c r="D139" s="40" t="s">
        <v>744</v>
      </c>
      <c r="E139" s="40" t="s">
        <v>348</v>
      </c>
      <c r="F139" s="39"/>
    </row>
    <row r="140" spans="1:6" ht="12.75" customHeight="1">
      <c r="A140" s="38" t="s">
        <v>745</v>
      </c>
      <c r="B140" s="39" t="s">
        <v>746</v>
      </c>
      <c r="C140" s="40" t="s">
        <v>747</v>
      </c>
      <c r="D140" s="40" t="s">
        <v>748</v>
      </c>
      <c r="E140" s="40" t="s">
        <v>348</v>
      </c>
      <c r="F140" s="39"/>
    </row>
    <row r="141" spans="1:6">
      <c r="A141" s="38" t="s">
        <v>745</v>
      </c>
      <c r="B141" s="39" t="s">
        <v>749</v>
      </c>
      <c r="C141" s="40" t="s">
        <v>750</v>
      </c>
      <c r="D141" s="40" t="s">
        <v>751</v>
      </c>
      <c r="E141" s="40" t="s">
        <v>348</v>
      </c>
      <c r="F141" s="39"/>
    </row>
    <row r="142" spans="1:6" ht="12.75" customHeight="1">
      <c r="A142" s="38" t="s">
        <v>752</v>
      </c>
      <c r="B142" s="39" t="s">
        <v>753</v>
      </c>
      <c r="C142" s="40" t="s">
        <v>754</v>
      </c>
      <c r="D142" s="40" t="s">
        <v>755</v>
      </c>
      <c r="E142" s="40" t="s">
        <v>348</v>
      </c>
      <c r="F142" s="39"/>
    </row>
    <row r="143" spans="1:6">
      <c r="A143" s="38" t="s">
        <v>756</v>
      </c>
      <c r="B143" s="39" t="s">
        <v>757</v>
      </c>
      <c r="C143" s="40" t="s">
        <v>758</v>
      </c>
      <c r="D143" s="40" t="s">
        <v>759</v>
      </c>
      <c r="E143" s="40" t="s">
        <v>410</v>
      </c>
      <c r="F143" s="39"/>
    </row>
    <row r="144" spans="1:6">
      <c r="A144" s="38" t="s">
        <v>760</v>
      </c>
      <c r="B144" s="39" t="s">
        <v>761</v>
      </c>
      <c r="C144" s="40" t="s">
        <v>762</v>
      </c>
      <c r="D144" s="40" t="s">
        <v>763</v>
      </c>
      <c r="E144" s="40" t="s">
        <v>348</v>
      </c>
      <c r="F144" s="39"/>
    </row>
    <row r="145" spans="1:6">
      <c r="A145" s="38" t="s">
        <v>764</v>
      </c>
      <c r="B145" s="39" t="s">
        <v>350</v>
      </c>
      <c r="C145" s="40" t="s">
        <v>351</v>
      </c>
      <c r="D145" s="40" t="s">
        <v>352</v>
      </c>
      <c r="E145" s="40" t="s">
        <v>348</v>
      </c>
      <c r="F145" s="39"/>
    </row>
    <row r="146" spans="1:6">
      <c r="A146" s="38" t="s">
        <v>765</v>
      </c>
      <c r="B146" s="39" t="s">
        <v>350</v>
      </c>
      <c r="C146" s="40" t="s">
        <v>351</v>
      </c>
      <c r="D146" s="40" t="s">
        <v>352</v>
      </c>
      <c r="E146" s="40" t="s">
        <v>348</v>
      </c>
      <c r="F146" s="39"/>
    </row>
    <row r="147" spans="1:6">
      <c r="A147" s="38" t="s">
        <v>766</v>
      </c>
      <c r="B147" s="39" t="s">
        <v>767</v>
      </c>
      <c r="C147" s="40" t="s">
        <v>768</v>
      </c>
      <c r="D147" s="40" t="s">
        <v>769</v>
      </c>
      <c r="E147" s="40" t="s">
        <v>348</v>
      </c>
      <c r="F147" s="39"/>
    </row>
    <row r="148" spans="1:6">
      <c r="A148" s="38" t="s">
        <v>770</v>
      </c>
      <c r="B148" s="39" t="s">
        <v>771</v>
      </c>
      <c r="C148" s="40" t="s">
        <v>772</v>
      </c>
      <c r="D148" s="40" t="s">
        <v>773</v>
      </c>
      <c r="E148" s="40" t="s">
        <v>348</v>
      </c>
      <c r="F148" s="39"/>
    </row>
    <row r="149" spans="1:6">
      <c r="A149" s="38" t="s">
        <v>774</v>
      </c>
      <c r="B149" s="39" t="s">
        <v>775</v>
      </c>
      <c r="C149" s="40" t="s">
        <v>776</v>
      </c>
      <c r="D149" s="40" t="s">
        <v>777</v>
      </c>
      <c r="E149" s="40" t="s">
        <v>348</v>
      </c>
      <c r="F149" s="39"/>
    </row>
    <row r="150" spans="1:6">
      <c r="A150" s="38" t="s">
        <v>778</v>
      </c>
      <c r="B150" s="39" t="s">
        <v>779</v>
      </c>
      <c r="C150" s="40" t="s">
        <v>780</v>
      </c>
      <c r="D150" s="40" t="s">
        <v>781</v>
      </c>
      <c r="E150" s="40" t="s">
        <v>348</v>
      </c>
      <c r="F150" s="39"/>
    </row>
    <row r="151" spans="1:6" ht="12.75" customHeight="1">
      <c r="A151" s="38" t="s">
        <v>782</v>
      </c>
      <c r="B151" s="39" t="s">
        <v>783</v>
      </c>
      <c r="C151" s="40" t="s">
        <v>784</v>
      </c>
      <c r="D151" s="40" t="s">
        <v>785</v>
      </c>
      <c r="E151" s="40" t="s">
        <v>348</v>
      </c>
      <c r="F151" s="39"/>
    </row>
    <row r="152" spans="1:6">
      <c r="A152" s="38" t="s">
        <v>786</v>
      </c>
      <c r="B152" s="39" t="s">
        <v>429</v>
      </c>
      <c r="C152" s="40" t="s">
        <v>430</v>
      </c>
      <c r="D152" s="40" t="s">
        <v>431</v>
      </c>
      <c r="E152" s="40" t="s">
        <v>432</v>
      </c>
      <c r="F152" s="39"/>
    </row>
    <row r="153" spans="1:6">
      <c r="A153" s="38" t="s">
        <v>787</v>
      </c>
      <c r="B153" s="39" t="s">
        <v>350</v>
      </c>
      <c r="C153" s="40" t="s">
        <v>351</v>
      </c>
      <c r="D153" s="40" t="s">
        <v>352</v>
      </c>
      <c r="E153" s="40" t="s">
        <v>348</v>
      </c>
      <c r="F153" s="39"/>
    </row>
    <row r="154" spans="1:6">
      <c r="A154" s="46" t="s">
        <v>788</v>
      </c>
      <c r="B154" s="39" t="s">
        <v>362</v>
      </c>
      <c r="C154" s="40" t="s">
        <v>363</v>
      </c>
      <c r="D154" s="40" t="s">
        <v>364</v>
      </c>
      <c r="E154" s="40" t="s">
        <v>348</v>
      </c>
      <c r="F154" s="39"/>
    </row>
    <row r="155" spans="1:6">
      <c r="A155" s="38" t="s">
        <v>789</v>
      </c>
      <c r="B155" s="39" t="s">
        <v>350</v>
      </c>
      <c r="C155" s="40" t="s">
        <v>351</v>
      </c>
      <c r="D155" s="40" t="s">
        <v>352</v>
      </c>
      <c r="E155" s="40" t="s">
        <v>348</v>
      </c>
      <c r="F155" s="39"/>
    </row>
    <row r="156" spans="1:6">
      <c r="A156" s="38" t="s">
        <v>790</v>
      </c>
      <c r="B156" s="39" t="s">
        <v>791</v>
      </c>
      <c r="C156" s="40" t="s">
        <v>792</v>
      </c>
      <c r="D156" s="40" t="s">
        <v>793</v>
      </c>
      <c r="E156" s="40" t="s">
        <v>348</v>
      </c>
      <c r="F156" s="39"/>
    </row>
    <row r="157" spans="1:6">
      <c r="A157" s="38" t="s">
        <v>794</v>
      </c>
      <c r="B157" s="39" t="s">
        <v>795</v>
      </c>
      <c r="C157" s="40" t="s">
        <v>796</v>
      </c>
      <c r="D157" s="40" t="s">
        <v>797</v>
      </c>
      <c r="E157" s="40" t="s">
        <v>348</v>
      </c>
      <c r="F157" s="39"/>
    </row>
    <row r="158" spans="1:6" ht="25.5" customHeight="1">
      <c r="A158" s="38" t="s">
        <v>798</v>
      </c>
      <c r="B158" s="39" t="s">
        <v>350</v>
      </c>
      <c r="C158" s="40" t="s">
        <v>351</v>
      </c>
      <c r="D158" s="40" t="s">
        <v>352</v>
      </c>
      <c r="E158" s="40" t="s">
        <v>348</v>
      </c>
      <c r="F158" s="39"/>
    </row>
    <row r="159" spans="1:6">
      <c r="A159" s="38" t="s">
        <v>799</v>
      </c>
      <c r="B159" s="39" t="s">
        <v>800</v>
      </c>
      <c r="C159" s="40" t="s">
        <v>801</v>
      </c>
      <c r="D159" s="40" t="s">
        <v>802</v>
      </c>
      <c r="E159" s="40" t="s">
        <v>682</v>
      </c>
      <c r="F159" s="39"/>
    </row>
    <row r="160" spans="1:6" ht="12.75" customHeight="1">
      <c r="A160" s="38" t="s">
        <v>803</v>
      </c>
      <c r="B160" s="39" t="s">
        <v>804</v>
      </c>
      <c r="C160" s="40" t="s">
        <v>805</v>
      </c>
      <c r="D160" s="40" t="s">
        <v>806</v>
      </c>
      <c r="E160" s="40" t="s">
        <v>348</v>
      </c>
      <c r="F160" s="39"/>
    </row>
    <row r="161" spans="1:6">
      <c r="A161" s="38" t="s">
        <v>803</v>
      </c>
      <c r="B161" s="39" t="s">
        <v>807</v>
      </c>
      <c r="C161" s="40" t="s">
        <v>808</v>
      </c>
      <c r="D161" s="40" t="s">
        <v>809</v>
      </c>
      <c r="E161" s="40" t="s">
        <v>348</v>
      </c>
      <c r="F161" s="39" t="b">
        <v>1</v>
      </c>
    </row>
    <row r="162" spans="1:6">
      <c r="A162" s="46" t="s">
        <v>810</v>
      </c>
      <c r="B162" s="39" t="s">
        <v>362</v>
      </c>
      <c r="C162" s="40" t="s">
        <v>363</v>
      </c>
      <c r="D162" s="40" t="s">
        <v>364</v>
      </c>
      <c r="E162" s="40" t="s">
        <v>348</v>
      </c>
      <c r="F162" s="39"/>
    </row>
    <row r="163" spans="1:6">
      <c r="A163" s="46" t="s">
        <v>811</v>
      </c>
      <c r="B163" s="39" t="s">
        <v>812</v>
      </c>
      <c r="C163" s="40" t="s">
        <v>813</v>
      </c>
      <c r="D163" s="40" t="s">
        <v>814</v>
      </c>
      <c r="E163" s="40" t="s">
        <v>348</v>
      </c>
      <c r="F163" s="39"/>
    </row>
    <row r="164" spans="1:6">
      <c r="A164" s="38" t="s">
        <v>815</v>
      </c>
      <c r="B164" s="39" t="s">
        <v>350</v>
      </c>
      <c r="C164" s="40" t="s">
        <v>351</v>
      </c>
      <c r="D164" s="40" t="s">
        <v>352</v>
      </c>
      <c r="E164" s="40" t="s">
        <v>348</v>
      </c>
      <c r="F164" s="39"/>
    </row>
    <row r="165" spans="1:6">
      <c r="A165" s="38" t="s">
        <v>816</v>
      </c>
      <c r="B165" s="39" t="s">
        <v>817</v>
      </c>
      <c r="C165" s="40" t="s">
        <v>818</v>
      </c>
      <c r="D165" s="40" t="s">
        <v>819</v>
      </c>
      <c r="E165" s="40" t="s">
        <v>348</v>
      </c>
      <c r="F165" s="39"/>
    </row>
    <row r="166" spans="1:6">
      <c r="A166" s="38" t="s">
        <v>820</v>
      </c>
      <c r="B166" s="39" t="s">
        <v>350</v>
      </c>
      <c r="C166" s="40" t="s">
        <v>351</v>
      </c>
      <c r="D166" s="40" t="s">
        <v>352</v>
      </c>
      <c r="E166" s="40" t="s">
        <v>348</v>
      </c>
      <c r="F166" s="39"/>
    </row>
    <row r="167" spans="1:6">
      <c r="A167" s="38" t="s">
        <v>821</v>
      </c>
      <c r="B167" s="39" t="s">
        <v>371</v>
      </c>
      <c r="C167" s="40" t="s">
        <v>372</v>
      </c>
      <c r="D167" s="40" t="s">
        <v>373</v>
      </c>
      <c r="E167" s="40" t="s">
        <v>348</v>
      </c>
      <c r="F167" s="39"/>
    </row>
    <row r="168" spans="1:6">
      <c r="A168" s="38" t="s">
        <v>822</v>
      </c>
      <c r="B168" s="39" t="s">
        <v>823</v>
      </c>
      <c r="C168" s="40" t="s">
        <v>824</v>
      </c>
      <c r="D168" s="40" t="s">
        <v>825</v>
      </c>
      <c r="E168" s="40" t="s">
        <v>348</v>
      </c>
      <c r="F168" s="39"/>
    </row>
    <row r="169" spans="1:6">
      <c r="A169" s="38" t="s">
        <v>826</v>
      </c>
      <c r="B169" s="39" t="s">
        <v>827</v>
      </c>
      <c r="C169" s="40" t="s">
        <v>828</v>
      </c>
      <c r="D169" s="40" t="s">
        <v>829</v>
      </c>
      <c r="E169" s="40" t="s">
        <v>348</v>
      </c>
      <c r="F169" s="39"/>
    </row>
    <row r="170" spans="1:6">
      <c r="A170" s="38" t="s">
        <v>830</v>
      </c>
      <c r="B170" s="39" t="s">
        <v>831</v>
      </c>
      <c r="C170" s="40" t="s">
        <v>832</v>
      </c>
      <c r="D170" s="40" t="s">
        <v>833</v>
      </c>
      <c r="E170" s="40" t="s">
        <v>348</v>
      </c>
      <c r="F170" s="39"/>
    </row>
    <row r="171" spans="1:6">
      <c r="A171" s="38" t="s">
        <v>834</v>
      </c>
      <c r="B171" s="39" t="s">
        <v>835</v>
      </c>
      <c r="C171" s="40" t="s">
        <v>836</v>
      </c>
      <c r="D171" s="40" t="s">
        <v>837</v>
      </c>
      <c r="E171" s="40" t="s">
        <v>348</v>
      </c>
      <c r="F171" s="39"/>
    </row>
    <row r="172" spans="1:6">
      <c r="A172" s="38" t="s">
        <v>834</v>
      </c>
      <c r="B172" s="39" t="s">
        <v>749</v>
      </c>
      <c r="C172" s="40" t="s">
        <v>750</v>
      </c>
      <c r="D172" s="40" t="s">
        <v>751</v>
      </c>
      <c r="E172" s="40" t="s">
        <v>348</v>
      </c>
      <c r="F172" s="39"/>
    </row>
    <row r="173" spans="1:6">
      <c r="A173" s="38" t="s">
        <v>838</v>
      </c>
      <c r="B173" s="39" t="s">
        <v>394</v>
      </c>
      <c r="C173" s="40" t="s">
        <v>395</v>
      </c>
      <c r="D173" s="40" t="s">
        <v>396</v>
      </c>
      <c r="E173" s="40" t="s">
        <v>348</v>
      </c>
      <c r="F173" s="39"/>
    </row>
    <row r="174" spans="1:6">
      <c r="A174" s="38" t="s">
        <v>839</v>
      </c>
      <c r="B174" s="39" t="s">
        <v>840</v>
      </c>
      <c r="C174" s="40" t="s">
        <v>841</v>
      </c>
      <c r="D174" s="40" t="s">
        <v>842</v>
      </c>
      <c r="E174" s="40" t="s">
        <v>348</v>
      </c>
      <c r="F174" s="39"/>
    </row>
    <row r="175" spans="1:6">
      <c r="A175" s="46" t="s">
        <v>843</v>
      </c>
      <c r="B175" s="39" t="s">
        <v>350</v>
      </c>
      <c r="C175" s="40" t="s">
        <v>351</v>
      </c>
      <c r="D175" s="40" t="s">
        <v>352</v>
      </c>
      <c r="E175" s="40" t="s">
        <v>348</v>
      </c>
      <c r="F175" s="39"/>
    </row>
    <row r="176" spans="1:6">
      <c r="A176" s="38" t="s">
        <v>844</v>
      </c>
      <c r="B176" s="39" t="s">
        <v>607</v>
      </c>
      <c r="C176" s="40" t="s">
        <v>608</v>
      </c>
      <c r="D176" s="40" t="s">
        <v>609</v>
      </c>
      <c r="E176" s="40" t="s">
        <v>432</v>
      </c>
      <c r="F176" s="39"/>
    </row>
    <row r="177" spans="1:6">
      <c r="A177" s="38" t="s">
        <v>845</v>
      </c>
      <c r="B177" s="39" t="s">
        <v>535</v>
      </c>
      <c r="C177" s="40" t="s">
        <v>536</v>
      </c>
      <c r="D177" s="40" t="s">
        <v>537</v>
      </c>
      <c r="E177" s="40" t="s">
        <v>348</v>
      </c>
      <c r="F177" s="39"/>
    </row>
    <row r="178" spans="1:6" ht="12.75" customHeight="1">
      <c r="A178" s="38" t="s">
        <v>846</v>
      </c>
      <c r="B178" s="39" t="s">
        <v>847</v>
      </c>
      <c r="C178" s="40" t="s">
        <v>848</v>
      </c>
      <c r="D178" s="40" t="s">
        <v>849</v>
      </c>
      <c r="E178" s="40" t="s">
        <v>348</v>
      </c>
      <c r="F178" s="39"/>
    </row>
    <row r="179" spans="1:6">
      <c r="A179" s="46" t="s">
        <v>850</v>
      </c>
      <c r="B179" s="39" t="s">
        <v>429</v>
      </c>
      <c r="C179" s="40" t="s">
        <v>430</v>
      </c>
      <c r="D179" s="40" t="s">
        <v>431</v>
      </c>
      <c r="E179" s="40" t="s">
        <v>432</v>
      </c>
      <c r="F179" s="39"/>
    </row>
    <row r="180" spans="1:6">
      <c r="A180" s="38" t="s">
        <v>851</v>
      </c>
      <c r="B180" s="39" t="s">
        <v>852</v>
      </c>
      <c r="C180" s="40" t="s">
        <v>171</v>
      </c>
      <c r="D180" s="40" t="s">
        <v>853</v>
      </c>
      <c r="E180" s="40" t="s">
        <v>348</v>
      </c>
      <c r="F180" s="39"/>
    </row>
    <row r="181" spans="1:6">
      <c r="A181" s="38" t="s">
        <v>854</v>
      </c>
      <c r="B181" s="39" t="s">
        <v>535</v>
      </c>
      <c r="C181" s="40" t="s">
        <v>536</v>
      </c>
      <c r="D181" s="40" t="s">
        <v>537</v>
      </c>
      <c r="E181" s="40" t="s">
        <v>348</v>
      </c>
      <c r="F181" s="39"/>
    </row>
    <row r="182" spans="1:6">
      <c r="A182" s="38" t="s">
        <v>855</v>
      </c>
      <c r="B182" s="39" t="s">
        <v>394</v>
      </c>
      <c r="C182" s="40" t="s">
        <v>395</v>
      </c>
      <c r="D182" s="40" t="s">
        <v>396</v>
      </c>
      <c r="E182" s="40" t="s">
        <v>348</v>
      </c>
      <c r="F182" s="39"/>
    </row>
    <row r="183" spans="1:6">
      <c r="A183" s="48" t="s">
        <v>856</v>
      </c>
      <c r="B183" s="39" t="s">
        <v>857</v>
      </c>
      <c r="C183" s="40" t="s">
        <v>858</v>
      </c>
      <c r="D183" s="40" t="s">
        <v>859</v>
      </c>
      <c r="E183" s="40" t="s">
        <v>348</v>
      </c>
      <c r="F183" s="39"/>
    </row>
    <row r="184" spans="1:6">
      <c r="A184" s="46" t="s">
        <v>860</v>
      </c>
      <c r="B184" s="39" t="s">
        <v>362</v>
      </c>
      <c r="C184" s="40" t="s">
        <v>363</v>
      </c>
      <c r="D184" s="40" t="s">
        <v>364</v>
      </c>
      <c r="E184" s="40" t="s">
        <v>348</v>
      </c>
      <c r="F184" s="39"/>
    </row>
    <row r="185" spans="1:6">
      <c r="A185" s="38" t="s">
        <v>861</v>
      </c>
      <c r="B185" s="39" t="s">
        <v>461</v>
      </c>
      <c r="C185" s="40" t="s">
        <v>462</v>
      </c>
      <c r="D185" s="40" t="s">
        <v>463</v>
      </c>
      <c r="E185" s="40" t="s">
        <v>348</v>
      </c>
      <c r="F185" s="39"/>
    </row>
    <row r="186" spans="1:6">
      <c r="A186" s="38" t="s">
        <v>862</v>
      </c>
      <c r="B186" s="39" t="s">
        <v>863</v>
      </c>
      <c r="C186" s="40" t="s">
        <v>864</v>
      </c>
      <c r="D186" s="40" t="s">
        <v>865</v>
      </c>
      <c r="E186" s="40" t="s">
        <v>410</v>
      </c>
      <c r="F186" s="39"/>
    </row>
    <row r="187" spans="1:6">
      <c r="A187" s="38" t="s">
        <v>866</v>
      </c>
      <c r="B187" s="39" t="s">
        <v>867</v>
      </c>
      <c r="C187" s="40" t="s">
        <v>868</v>
      </c>
      <c r="D187" s="40" t="s">
        <v>869</v>
      </c>
      <c r="E187" s="40" t="s">
        <v>348</v>
      </c>
      <c r="F187" s="39"/>
    </row>
    <row r="188" spans="1:6">
      <c r="A188" s="38" t="s">
        <v>870</v>
      </c>
      <c r="B188" s="39" t="s">
        <v>362</v>
      </c>
      <c r="C188" s="40" t="s">
        <v>363</v>
      </c>
      <c r="D188" s="40" t="s">
        <v>364</v>
      </c>
      <c r="E188" s="40" t="s">
        <v>348</v>
      </c>
      <c r="F188" s="39"/>
    </row>
    <row r="189" spans="1:6">
      <c r="A189" s="38" t="s">
        <v>871</v>
      </c>
      <c r="B189" s="39" t="s">
        <v>375</v>
      </c>
      <c r="C189" s="40"/>
      <c r="D189" s="40"/>
      <c r="E189" s="40"/>
      <c r="F189" s="39"/>
    </row>
    <row r="190" spans="1:6">
      <c r="A190" s="38" t="s">
        <v>872</v>
      </c>
      <c r="B190" s="39" t="s">
        <v>873</v>
      </c>
      <c r="C190" s="40" t="s">
        <v>874</v>
      </c>
      <c r="D190" s="40" t="s">
        <v>875</v>
      </c>
      <c r="E190" s="40" t="s">
        <v>348</v>
      </c>
      <c r="F190" s="39"/>
    </row>
    <row r="191" spans="1:6">
      <c r="A191" s="38" t="s">
        <v>872</v>
      </c>
      <c r="B191" s="39" t="s">
        <v>362</v>
      </c>
      <c r="C191" s="40" t="s">
        <v>363</v>
      </c>
      <c r="D191" s="40" t="s">
        <v>364</v>
      </c>
      <c r="E191" s="40" t="s">
        <v>348</v>
      </c>
      <c r="F191" s="39"/>
    </row>
    <row r="192" spans="1:6">
      <c r="A192" s="38" t="s">
        <v>876</v>
      </c>
      <c r="B192" s="39" t="s">
        <v>877</v>
      </c>
      <c r="C192" s="40" t="s">
        <v>878</v>
      </c>
      <c r="D192" s="40" t="s">
        <v>879</v>
      </c>
      <c r="E192" s="40" t="s">
        <v>348</v>
      </c>
      <c r="F192" s="39"/>
    </row>
    <row r="193" spans="1:6">
      <c r="A193" s="38" t="s">
        <v>880</v>
      </c>
      <c r="B193" s="39" t="s">
        <v>881</v>
      </c>
      <c r="C193" s="40" t="s">
        <v>882</v>
      </c>
      <c r="D193" s="40" t="s">
        <v>883</v>
      </c>
      <c r="E193" s="40" t="s">
        <v>432</v>
      </c>
      <c r="F193" s="39"/>
    </row>
    <row r="194" spans="1:6">
      <c r="A194" s="38" t="s">
        <v>884</v>
      </c>
      <c r="B194" s="39" t="s">
        <v>885</v>
      </c>
      <c r="C194" s="40" t="s">
        <v>886</v>
      </c>
      <c r="D194" s="40" t="s">
        <v>887</v>
      </c>
      <c r="E194" s="40" t="s">
        <v>348</v>
      </c>
      <c r="F194" s="39"/>
    </row>
    <row r="195" spans="1:6" ht="12.75" customHeight="1">
      <c r="A195" s="46" t="s">
        <v>888</v>
      </c>
      <c r="B195" s="39" t="s">
        <v>889</v>
      </c>
      <c r="C195" s="40" t="s">
        <v>890</v>
      </c>
      <c r="D195" s="40" t="s">
        <v>891</v>
      </c>
      <c r="E195" s="40" t="s">
        <v>348</v>
      </c>
      <c r="F195" s="39"/>
    </row>
    <row r="196" spans="1:6">
      <c r="A196" s="38" t="s">
        <v>892</v>
      </c>
      <c r="B196" s="39" t="s">
        <v>535</v>
      </c>
      <c r="C196" s="40" t="s">
        <v>536</v>
      </c>
      <c r="D196" s="40" t="s">
        <v>537</v>
      </c>
      <c r="E196" s="40" t="s">
        <v>348</v>
      </c>
      <c r="F196" s="39"/>
    </row>
    <row r="197" spans="1:6" ht="12.75" customHeight="1">
      <c r="A197" s="38" t="s">
        <v>893</v>
      </c>
      <c r="B197" s="39" t="s">
        <v>894</v>
      </c>
      <c r="C197" s="40" t="s">
        <v>895</v>
      </c>
      <c r="D197" s="40" t="s">
        <v>896</v>
      </c>
      <c r="E197" s="40" t="s">
        <v>348</v>
      </c>
      <c r="F197" s="39"/>
    </row>
    <row r="198" spans="1:6">
      <c r="A198" s="38" t="s">
        <v>897</v>
      </c>
      <c r="B198" s="39" t="s">
        <v>350</v>
      </c>
      <c r="C198" s="40" t="s">
        <v>351</v>
      </c>
      <c r="D198" s="40" t="s">
        <v>352</v>
      </c>
      <c r="E198" s="40" t="s">
        <v>348</v>
      </c>
      <c r="F198" s="39"/>
    </row>
    <row r="199" spans="1:6" ht="12.75" customHeight="1">
      <c r="A199" s="38" t="s">
        <v>898</v>
      </c>
      <c r="B199" s="39" t="s">
        <v>362</v>
      </c>
      <c r="C199" s="40" t="s">
        <v>363</v>
      </c>
      <c r="D199" s="40" t="s">
        <v>364</v>
      </c>
      <c r="E199" s="40" t="s">
        <v>348</v>
      </c>
      <c r="F199" s="39"/>
    </row>
    <row r="200" spans="1:6" ht="12.75" customHeight="1">
      <c r="A200" s="38" t="s">
        <v>899</v>
      </c>
      <c r="B200" s="39" t="s">
        <v>900</v>
      </c>
      <c r="C200" s="40" t="s">
        <v>901</v>
      </c>
      <c r="D200" s="40" t="s">
        <v>902</v>
      </c>
      <c r="E200" s="40" t="s">
        <v>348</v>
      </c>
      <c r="F200" s="39"/>
    </row>
    <row r="201" spans="1:6">
      <c r="A201" s="38" t="s">
        <v>903</v>
      </c>
      <c r="B201" s="39" t="s">
        <v>350</v>
      </c>
      <c r="C201" s="40" t="s">
        <v>351</v>
      </c>
      <c r="D201" s="40" t="s">
        <v>352</v>
      </c>
      <c r="E201" s="40" t="s">
        <v>348</v>
      </c>
      <c r="F201" s="39"/>
    </row>
    <row r="202" spans="1:6" ht="12.75" customHeight="1">
      <c r="A202" s="38" t="s">
        <v>904</v>
      </c>
      <c r="B202" s="39" t="s">
        <v>905</v>
      </c>
      <c r="C202" s="40" t="s">
        <v>906</v>
      </c>
      <c r="D202" s="40" t="s">
        <v>907</v>
      </c>
      <c r="E202" s="40" t="s">
        <v>348</v>
      </c>
      <c r="F202" s="39"/>
    </row>
    <row r="203" spans="1:6">
      <c r="A203" s="46" t="s">
        <v>908</v>
      </c>
      <c r="B203" s="39" t="s">
        <v>909</v>
      </c>
      <c r="C203" s="40" t="s">
        <v>910</v>
      </c>
      <c r="D203" s="40" t="s">
        <v>911</v>
      </c>
      <c r="E203" s="40" t="s">
        <v>348</v>
      </c>
      <c r="F203" s="39"/>
    </row>
    <row r="204" spans="1:6">
      <c r="A204" s="38" t="s">
        <v>912</v>
      </c>
      <c r="B204" s="39" t="s">
        <v>913</v>
      </c>
      <c r="C204" s="40" t="s">
        <v>914</v>
      </c>
      <c r="D204" s="40" t="s">
        <v>915</v>
      </c>
      <c r="E204" s="40" t="s">
        <v>432</v>
      </c>
      <c r="F204" s="39"/>
    </row>
    <row r="205" spans="1:6">
      <c r="A205" s="38" t="s">
        <v>916</v>
      </c>
      <c r="B205" s="39" t="s">
        <v>350</v>
      </c>
      <c r="C205" s="40" t="s">
        <v>351</v>
      </c>
      <c r="D205" s="40" t="s">
        <v>352</v>
      </c>
      <c r="E205" s="40" t="s">
        <v>348</v>
      </c>
      <c r="F205" s="39"/>
    </row>
    <row r="206" spans="1:6">
      <c r="A206" s="49" t="s">
        <v>917</v>
      </c>
      <c r="B206" s="50" t="s">
        <v>918</v>
      </c>
      <c r="C206" s="51" t="s">
        <v>919</v>
      </c>
      <c r="D206" s="51" t="s">
        <v>920</v>
      </c>
      <c r="E206" s="51" t="s">
        <v>348</v>
      </c>
      <c r="F206" s="39"/>
    </row>
    <row r="207" spans="1:6" ht="12.75" customHeight="1">
      <c r="A207" s="38" t="s">
        <v>921</v>
      </c>
      <c r="B207" s="39" t="s">
        <v>371</v>
      </c>
      <c r="C207" s="40" t="s">
        <v>372</v>
      </c>
      <c r="D207" s="40" t="s">
        <v>373</v>
      </c>
      <c r="E207" s="40" t="s">
        <v>348</v>
      </c>
      <c r="F207" s="39"/>
    </row>
    <row r="208" spans="1:6">
      <c r="A208" s="38" t="s">
        <v>922</v>
      </c>
      <c r="B208" s="39" t="s">
        <v>371</v>
      </c>
      <c r="C208" s="40" t="s">
        <v>372</v>
      </c>
      <c r="D208" s="40" t="s">
        <v>373</v>
      </c>
      <c r="E208" s="40" t="s">
        <v>348</v>
      </c>
      <c r="F208" s="39"/>
    </row>
    <row r="209" spans="1:6" ht="12.75" customHeight="1">
      <c r="A209" s="38" t="s">
        <v>923</v>
      </c>
      <c r="B209" s="39" t="s">
        <v>350</v>
      </c>
      <c r="C209" s="40" t="s">
        <v>351</v>
      </c>
      <c r="D209" s="40" t="s">
        <v>352</v>
      </c>
      <c r="E209" s="40" t="s">
        <v>348</v>
      </c>
      <c r="F209" s="39"/>
    </row>
    <row r="210" spans="1:6">
      <c r="A210" s="38" t="s">
        <v>924</v>
      </c>
      <c r="B210" s="39" t="s">
        <v>350</v>
      </c>
      <c r="C210" s="40" t="s">
        <v>351</v>
      </c>
      <c r="D210" s="40" t="s">
        <v>352</v>
      </c>
      <c r="E210" s="40" t="s">
        <v>348</v>
      </c>
      <c r="F210" s="39"/>
    </row>
    <row r="211" spans="1:6" ht="12.75" customHeight="1">
      <c r="A211" s="38" t="s">
        <v>925</v>
      </c>
      <c r="B211" s="39" t="s">
        <v>371</v>
      </c>
      <c r="C211" s="40" t="s">
        <v>372</v>
      </c>
      <c r="D211" s="40" t="s">
        <v>373</v>
      </c>
      <c r="E211" s="40" t="s">
        <v>348</v>
      </c>
      <c r="F211" s="39"/>
    </row>
    <row r="212" spans="1:6">
      <c r="A212" s="38" t="s">
        <v>926</v>
      </c>
      <c r="B212" s="39" t="s">
        <v>927</v>
      </c>
      <c r="C212" s="40" t="s">
        <v>928</v>
      </c>
      <c r="D212" s="40" t="s">
        <v>929</v>
      </c>
      <c r="E212" s="40" t="s">
        <v>348</v>
      </c>
      <c r="F212" s="39"/>
    </row>
    <row r="213" spans="1:6">
      <c r="A213" s="38" t="s">
        <v>930</v>
      </c>
      <c r="B213" s="39" t="s">
        <v>350</v>
      </c>
      <c r="C213" s="40" t="s">
        <v>351</v>
      </c>
      <c r="D213" s="40" t="s">
        <v>352</v>
      </c>
      <c r="E213" s="40" t="s">
        <v>348</v>
      </c>
      <c r="F213" s="39"/>
    </row>
    <row r="214" spans="1:6" ht="12.75" customHeight="1">
      <c r="A214" s="38" t="s">
        <v>931</v>
      </c>
      <c r="B214" s="39" t="s">
        <v>932</v>
      </c>
      <c r="C214" s="40" t="s">
        <v>933</v>
      </c>
      <c r="D214" s="40" t="s">
        <v>934</v>
      </c>
      <c r="E214" s="40" t="s">
        <v>348</v>
      </c>
      <c r="F214" s="39"/>
    </row>
    <row r="215" spans="1:6" ht="12.75" customHeight="1">
      <c r="A215" s="38" t="s">
        <v>935</v>
      </c>
      <c r="B215" s="39" t="s">
        <v>936</v>
      </c>
      <c r="C215" s="40" t="s">
        <v>937</v>
      </c>
      <c r="D215" s="40" t="s">
        <v>938</v>
      </c>
      <c r="E215" s="40" t="s">
        <v>348</v>
      </c>
      <c r="F215" s="39"/>
    </row>
    <row r="216" spans="1:6" ht="12.75" customHeight="1">
      <c r="A216" s="38" t="s">
        <v>939</v>
      </c>
      <c r="B216" s="39" t="s">
        <v>429</v>
      </c>
      <c r="C216" s="40" t="s">
        <v>430</v>
      </c>
      <c r="D216" s="40" t="s">
        <v>431</v>
      </c>
      <c r="E216" s="40" t="s">
        <v>432</v>
      </c>
      <c r="F216" s="39"/>
    </row>
    <row r="217" spans="1:6">
      <c r="A217" s="38" t="s">
        <v>940</v>
      </c>
      <c r="B217" s="39" t="s">
        <v>941</v>
      </c>
      <c r="C217" s="40" t="s">
        <v>942</v>
      </c>
      <c r="D217" s="40" t="s">
        <v>943</v>
      </c>
      <c r="E217" s="40" t="s">
        <v>348</v>
      </c>
      <c r="F217" s="39"/>
    </row>
    <row r="218" spans="1:6">
      <c r="A218" s="38" t="s">
        <v>944</v>
      </c>
      <c r="B218" s="39" t="s">
        <v>945</v>
      </c>
      <c r="C218" s="40" t="s">
        <v>946</v>
      </c>
      <c r="D218" s="40" t="s">
        <v>947</v>
      </c>
      <c r="E218" s="52" t="s">
        <v>348</v>
      </c>
      <c r="F218" s="53"/>
    </row>
    <row r="219" spans="1:6" ht="12.75" customHeight="1">
      <c r="A219" s="38" t="s">
        <v>948</v>
      </c>
      <c r="B219" s="39" t="s">
        <v>949</v>
      </c>
      <c r="C219" s="40" t="s">
        <v>950</v>
      </c>
      <c r="D219" s="40" t="s">
        <v>951</v>
      </c>
      <c r="E219" s="40" t="s">
        <v>348</v>
      </c>
      <c r="F219" s="39"/>
    </row>
    <row r="220" spans="1:6" ht="12.75" customHeight="1">
      <c r="A220" s="38" t="s">
        <v>952</v>
      </c>
      <c r="B220" s="39" t="s">
        <v>953</v>
      </c>
      <c r="C220" s="40" t="s">
        <v>954</v>
      </c>
      <c r="D220" s="40" t="s">
        <v>955</v>
      </c>
      <c r="E220" s="40" t="s">
        <v>348</v>
      </c>
      <c r="F220" s="39"/>
    </row>
    <row r="221" spans="1:6" ht="12.75" customHeight="1">
      <c r="A221" s="38" t="s">
        <v>956</v>
      </c>
      <c r="B221" s="39" t="s">
        <v>549</v>
      </c>
      <c r="C221" s="40" t="s">
        <v>550</v>
      </c>
      <c r="D221" s="40" t="s">
        <v>551</v>
      </c>
      <c r="E221" s="40" t="s">
        <v>348</v>
      </c>
      <c r="F221" s="39"/>
    </row>
    <row r="222" spans="1:6" ht="12.75" customHeight="1">
      <c r="A222" s="38" t="s">
        <v>957</v>
      </c>
      <c r="B222" s="39" t="s">
        <v>958</v>
      </c>
      <c r="C222" s="40" t="s">
        <v>959</v>
      </c>
      <c r="D222" s="40" t="s">
        <v>960</v>
      </c>
      <c r="E222" s="40" t="s">
        <v>682</v>
      </c>
      <c r="F222" s="39"/>
    </row>
    <row r="223" spans="1:6" ht="12.75" customHeight="1">
      <c r="A223" s="38" t="s">
        <v>961</v>
      </c>
      <c r="B223" s="39" t="s">
        <v>350</v>
      </c>
      <c r="C223" s="40" t="s">
        <v>351</v>
      </c>
      <c r="D223" s="40" t="s">
        <v>352</v>
      </c>
      <c r="E223" s="40" t="s">
        <v>348</v>
      </c>
      <c r="F223" s="39"/>
    </row>
    <row r="224" spans="1:6" ht="12.75" customHeight="1">
      <c r="A224" s="38" t="s">
        <v>962</v>
      </c>
      <c r="B224" s="39" t="s">
        <v>350</v>
      </c>
      <c r="C224" s="40" t="s">
        <v>351</v>
      </c>
      <c r="D224" s="40" t="s">
        <v>352</v>
      </c>
      <c r="E224" s="40" t="s">
        <v>348</v>
      </c>
      <c r="F224" s="39"/>
    </row>
    <row r="225" spans="1:6" ht="12.75" customHeight="1">
      <c r="A225" s="38" t="s">
        <v>963</v>
      </c>
      <c r="B225" s="39" t="s">
        <v>964</v>
      </c>
      <c r="C225" s="40" t="s">
        <v>965</v>
      </c>
      <c r="D225" s="40" t="s">
        <v>966</v>
      </c>
      <c r="E225" s="40" t="s">
        <v>348</v>
      </c>
      <c r="F225" s="39"/>
    </row>
    <row r="226" spans="1:6">
      <c r="A226" s="38" t="s">
        <v>967</v>
      </c>
      <c r="B226" s="39" t="s">
        <v>968</v>
      </c>
      <c r="C226" s="40" t="s">
        <v>969</v>
      </c>
      <c r="D226" s="40" t="s">
        <v>970</v>
      </c>
      <c r="E226" s="40" t="s">
        <v>348</v>
      </c>
      <c r="F226" s="39"/>
    </row>
    <row r="227" spans="1:6" ht="12.75" customHeight="1">
      <c r="A227" s="38" t="s">
        <v>971</v>
      </c>
      <c r="B227" s="39" t="s">
        <v>749</v>
      </c>
      <c r="C227" s="40" t="s">
        <v>750</v>
      </c>
      <c r="D227" s="40" t="s">
        <v>751</v>
      </c>
      <c r="E227" s="40" t="s">
        <v>348</v>
      </c>
      <c r="F227" s="39"/>
    </row>
    <row r="228" spans="1:6" ht="12.75" customHeight="1">
      <c r="A228" s="38" t="s">
        <v>972</v>
      </c>
      <c r="B228" s="39" t="s">
        <v>375</v>
      </c>
      <c r="C228" s="40"/>
      <c r="D228" s="40"/>
      <c r="E228" s="40"/>
      <c r="F228" s="39"/>
    </row>
    <row r="229" spans="1:6" ht="12.75" customHeight="1">
      <c r="A229" s="38" t="s">
        <v>973</v>
      </c>
      <c r="B229" s="39" t="s">
        <v>974</v>
      </c>
      <c r="C229" s="40" t="s">
        <v>975</v>
      </c>
      <c r="D229" s="40" t="s">
        <v>976</v>
      </c>
      <c r="E229" s="40" t="s">
        <v>348</v>
      </c>
      <c r="F229" s="39"/>
    </row>
    <row r="230" spans="1:6" ht="12.75" customHeight="1">
      <c r="A230" s="38" t="s">
        <v>977</v>
      </c>
      <c r="B230" s="39" t="s">
        <v>350</v>
      </c>
      <c r="C230" s="40" t="s">
        <v>351</v>
      </c>
      <c r="D230" s="40" t="s">
        <v>352</v>
      </c>
      <c r="E230" s="40" t="s">
        <v>348</v>
      </c>
      <c r="F230" s="39"/>
    </row>
    <row r="231" spans="1:6" ht="12.75" customHeight="1">
      <c r="A231" s="38" t="s">
        <v>978</v>
      </c>
      <c r="B231" s="39" t="s">
        <v>979</v>
      </c>
      <c r="C231" s="40" t="s">
        <v>980</v>
      </c>
      <c r="D231" s="40" t="s">
        <v>981</v>
      </c>
      <c r="E231" s="40" t="s">
        <v>348</v>
      </c>
      <c r="F231" s="39"/>
    </row>
    <row r="232" spans="1:6" ht="12.75" customHeight="1">
      <c r="A232" s="46" t="s">
        <v>982</v>
      </c>
      <c r="B232" s="39" t="s">
        <v>983</v>
      </c>
      <c r="C232" s="40" t="s">
        <v>984</v>
      </c>
      <c r="D232" s="40" t="s">
        <v>985</v>
      </c>
      <c r="E232" s="40" t="s">
        <v>348</v>
      </c>
      <c r="F232" s="39"/>
    </row>
    <row r="233" spans="1:6" ht="12.75" customHeight="1">
      <c r="A233" s="38" t="s">
        <v>986</v>
      </c>
      <c r="B233" s="39" t="s">
        <v>987</v>
      </c>
      <c r="C233" s="40" t="s">
        <v>988</v>
      </c>
      <c r="D233" s="40" t="s">
        <v>989</v>
      </c>
      <c r="E233" s="40" t="s">
        <v>348</v>
      </c>
      <c r="F233" s="39"/>
    </row>
    <row r="234" spans="1:6" ht="12.75" customHeight="1">
      <c r="A234" s="38" t="s">
        <v>990</v>
      </c>
      <c r="B234" s="39" t="s">
        <v>461</v>
      </c>
      <c r="C234" s="40" t="s">
        <v>462</v>
      </c>
      <c r="D234" s="40" t="s">
        <v>463</v>
      </c>
      <c r="E234" s="40" t="s">
        <v>348</v>
      </c>
      <c r="F234" s="39"/>
    </row>
    <row r="235" spans="1:6">
      <c r="A235" s="38" t="s">
        <v>991</v>
      </c>
      <c r="B235" s="39" t="s">
        <v>992</v>
      </c>
      <c r="C235" s="40" t="s">
        <v>993</v>
      </c>
      <c r="D235" s="40" t="s">
        <v>994</v>
      </c>
      <c r="E235" s="40" t="s">
        <v>348</v>
      </c>
      <c r="F235" s="39"/>
    </row>
    <row r="236" spans="1:6" ht="12.75" customHeight="1">
      <c r="A236" s="38" t="s">
        <v>995</v>
      </c>
      <c r="B236" s="39" t="s">
        <v>761</v>
      </c>
      <c r="C236" s="40" t="s">
        <v>762</v>
      </c>
      <c r="D236" s="40" t="s">
        <v>763</v>
      </c>
      <c r="E236" s="40" t="s">
        <v>348</v>
      </c>
      <c r="F236" s="39"/>
    </row>
    <row r="237" spans="1:6">
      <c r="A237" s="38" t="s">
        <v>995</v>
      </c>
      <c r="B237" s="39" t="s">
        <v>996</v>
      </c>
      <c r="C237" s="40" t="s">
        <v>997</v>
      </c>
      <c r="D237" s="40" t="s">
        <v>998</v>
      </c>
      <c r="E237" s="40" t="s">
        <v>348</v>
      </c>
      <c r="F237" s="39" t="b">
        <v>1</v>
      </c>
    </row>
    <row r="238" spans="1:6" ht="12.75" customHeight="1">
      <c r="A238" s="38" t="s">
        <v>995</v>
      </c>
      <c r="B238" s="39" t="s">
        <v>999</v>
      </c>
      <c r="C238" s="40" t="s">
        <v>1000</v>
      </c>
      <c r="D238" s="40" t="s">
        <v>1001</v>
      </c>
      <c r="E238" s="40" t="s">
        <v>348</v>
      </c>
      <c r="F238" s="39" t="b">
        <v>1</v>
      </c>
    </row>
    <row r="239" spans="1:6" ht="12.75" customHeight="1">
      <c r="A239" s="38" t="s">
        <v>1002</v>
      </c>
      <c r="B239" s="39" t="s">
        <v>1003</v>
      </c>
      <c r="C239" s="40" t="s">
        <v>1004</v>
      </c>
      <c r="D239" s="40" t="s">
        <v>1005</v>
      </c>
      <c r="E239" s="40" t="s">
        <v>348</v>
      </c>
      <c r="F239" s="39"/>
    </row>
    <row r="240" spans="1:6" ht="12.75" customHeight="1">
      <c r="A240" s="46" t="s">
        <v>1006</v>
      </c>
      <c r="B240" s="39" t="s">
        <v>1007</v>
      </c>
      <c r="C240" s="40" t="s">
        <v>1008</v>
      </c>
      <c r="D240" s="40" t="s">
        <v>1009</v>
      </c>
      <c r="E240" s="40" t="s">
        <v>348</v>
      </c>
      <c r="F240" s="39"/>
    </row>
    <row r="241" spans="1:6" ht="12.75" customHeight="1">
      <c r="A241" s="38" t="s">
        <v>1010</v>
      </c>
      <c r="B241" s="39" t="s">
        <v>1011</v>
      </c>
      <c r="C241" s="40" t="s">
        <v>1012</v>
      </c>
      <c r="D241" s="40" t="s">
        <v>1013</v>
      </c>
      <c r="E241" s="40" t="s">
        <v>348</v>
      </c>
      <c r="F241" s="39"/>
    </row>
    <row r="242" spans="1:6" ht="12.75" customHeight="1">
      <c r="A242" s="38" t="s">
        <v>1014</v>
      </c>
      <c r="B242" s="39" t="s">
        <v>1015</v>
      </c>
      <c r="C242" s="40" t="s">
        <v>1016</v>
      </c>
      <c r="D242" s="40" t="s">
        <v>1017</v>
      </c>
      <c r="E242" s="40" t="s">
        <v>348</v>
      </c>
      <c r="F242" s="39"/>
    </row>
    <row r="243" spans="1:6" ht="12.75" customHeight="1">
      <c r="A243" s="38" t="s">
        <v>1018</v>
      </c>
      <c r="B243" s="39" t="s">
        <v>1019</v>
      </c>
      <c r="C243" s="40" t="s">
        <v>1020</v>
      </c>
      <c r="D243" s="40" t="s">
        <v>1021</v>
      </c>
      <c r="E243" s="40" t="s">
        <v>348</v>
      </c>
      <c r="F243" s="39"/>
    </row>
    <row r="244" spans="1:6" ht="12.75" customHeight="1">
      <c r="A244" s="38" t="s">
        <v>1022</v>
      </c>
      <c r="B244" s="39" t="s">
        <v>362</v>
      </c>
      <c r="C244" s="40" t="s">
        <v>363</v>
      </c>
      <c r="D244" s="40" t="s">
        <v>364</v>
      </c>
      <c r="E244" s="40" t="s">
        <v>348</v>
      </c>
      <c r="F244" s="39"/>
    </row>
    <row r="245" spans="1:6" ht="12.75" customHeight="1">
      <c r="A245" s="38" t="s">
        <v>1023</v>
      </c>
      <c r="B245" s="39" t="s">
        <v>429</v>
      </c>
      <c r="C245" s="40" t="s">
        <v>430</v>
      </c>
      <c r="D245" s="40" t="s">
        <v>431</v>
      </c>
      <c r="E245" s="40" t="s">
        <v>432</v>
      </c>
      <c r="F245" s="39"/>
    </row>
    <row r="246" spans="1:6" ht="12.75" customHeight="1">
      <c r="A246" s="38" t="s">
        <v>1024</v>
      </c>
      <c r="B246" s="39" t="s">
        <v>535</v>
      </c>
      <c r="C246" s="40" t="s">
        <v>536</v>
      </c>
      <c r="D246" s="40" t="s">
        <v>537</v>
      </c>
      <c r="E246" s="40" t="s">
        <v>348</v>
      </c>
      <c r="F246" s="39"/>
    </row>
    <row r="247" spans="1:6" ht="12.75" customHeight="1">
      <c r="A247" s="38" t="s">
        <v>1025</v>
      </c>
      <c r="B247" s="39" t="s">
        <v>1026</v>
      </c>
      <c r="C247" s="40" t="s">
        <v>1027</v>
      </c>
      <c r="D247" s="40" t="s">
        <v>1028</v>
      </c>
      <c r="E247" s="40" t="s">
        <v>348</v>
      </c>
      <c r="F247" s="39"/>
    </row>
    <row r="248" spans="1:6" ht="12.75" customHeight="1">
      <c r="A248" s="38" t="s">
        <v>1029</v>
      </c>
      <c r="B248" s="39" t="s">
        <v>1030</v>
      </c>
      <c r="C248" s="40" t="s">
        <v>1031</v>
      </c>
      <c r="D248" s="40" t="s">
        <v>1032</v>
      </c>
      <c r="E248" s="40" t="s">
        <v>348</v>
      </c>
      <c r="F248" s="39"/>
    </row>
    <row r="249" spans="1:6" ht="12.75" customHeight="1">
      <c r="A249" s="38" t="s">
        <v>1033</v>
      </c>
      <c r="B249" s="39" t="s">
        <v>1034</v>
      </c>
      <c r="C249" s="40" t="s">
        <v>1035</v>
      </c>
      <c r="D249" s="40" t="s">
        <v>1036</v>
      </c>
      <c r="E249" s="40" t="s">
        <v>410</v>
      </c>
      <c r="F249" s="39"/>
    </row>
    <row r="250" spans="1:6" ht="12.75" customHeight="1">
      <c r="A250" s="38" t="s">
        <v>1037</v>
      </c>
      <c r="B250" s="39" t="s">
        <v>1038</v>
      </c>
      <c r="C250" s="40" t="s">
        <v>1039</v>
      </c>
      <c r="D250" s="40" t="s">
        <v>1040</v>
      </c>
      <c r="E250" s="40" t="s">
        <v>348</v>
      </c>
      <c r="F250" s="39"/>
    </row>
    <row r="251" spans="1:6" ht="12.75" customHeight="1">
      <c r="A251" s="38" t="s">
        <v>1041</v>
      </c>
      <c r="B251" s="39" t="s">
        <v>1042</v>
      </c>
      <c r="C251" s="40" t="s">
        <v>1043</v>
      </c>
      <c r="D251" s="40" t="s">
        <v>1044</v>
      </c>
      <c r="E251" s="40" t="s">
        <v>348</v>
      </c>
      <c r="F251" s="39"/>
    </row>
    <row r="252" spans="1:6" ht="12.75" customHeight="1">
      <c r="A252" s="46" t="s">
        <v>1045</v>
      </c>
      <c r="B252" s="39" t="s">
        <v>362</v>
      </c>
      <c r="C252" s="40" t="s">
        <v>363</v>
      </c>
      <c r="D252" s="40" t="s">
        <v>364</v>
      </c>
      <c r="E252" s="40" t="s">
        <v>348</v>
      </c>
      <c r="F252" s="39"/>
    </row>
    <row r="253" spans="1:6" ht="12.75" customHeight="1">
      <c r="A253" s="38" t="s">
        <v>1046</v>
      </c>
      <c r="B253" s="39" t="s">
        <v>394</v>
      </c>
      <c r="C253" s="40" t="s">
        <v>395</v>
      </c>
      <c r="D253" s="40" t="s">
        <v>396</v>
      </c>
      <c r="E253" s="40" t="s">
        <v>348</v>
      </c>
      <c r="F253" s="39"/>
    </row>
    <row r="254" spans="1:6" ht="12.75" customHeight="1">
      <c r="A254" s="38" t="s">
        <v>1047</v>
      </c>
      <c r="B254" s="39" t="s">
        <v>1048</v>
      </c>
      <c r="C254" s="40" t="s">
        <v>1049</v>
      </c>
      <c r="D254" s="40" t="s">
        <v>1050</v>
      </c>
      <c r="E254" s="40" t="s">
        <v>432</v>
      </c>
      <c r="F254" s="39"/>
    </row>
    <row r="255" spans="1:6" ht="12.75" customHeight="1">
      <c r="A255" s="38" t="s">
        <v>1051</v>
      </c>
      <c r="B255" s="39" t="s">
        <v>1052</v>
      </c>
      <c r="C255" s="40" t="s">
        <v>1053</v>
      </c>
      <c r="D255" s="40" t="s">
        <v>1054</v>
      </c>
      <c r="E255" s="40" t="s">
        <v>348</v>
      </c>
      <c r="F255" s="39"/>
    </row>
    <row r="256" spans="1:6" ht="26.25" customHeight="1">
      <c r="A256" s="46" t="s">
        <v>1055</v>
      </c>
      <c r="B256" s="39" t="s">
        <v>1056</v>
      </c>
      <c r="C256" s="40" t="s">
        <v>1057</v>
      </c>
      <c r="D256" s="40" t="s">
        <v>1058</v>
      </c>
      <c r="E256" s="40" t="s">
        <v>348</v>
      </c>
      <c r="F256" s="39"/>
    </row>
    <row r="257" spans="1:39" ht="12.75" customHeight="1">
      <c r="A257" s="46" t="s">
        <v>1059</v>
      </c>
      <c r="B257" s="39" t="s">
        <v>639</v>
      </c>
      <c r="C257" s="40" t="s">
        <v>640</v>
      </c>
      <c r="D257" s="40" t="s">
        <v>641</v>
      </c>
      <c r="E257" s="40" t="s">
        <v>348</v>
      </c>
      <c r="F257" s="39"/>
    </row>
    <row r="258" spans="1:39">
      <c r="A258" s="46" t="s">
        <v>1060</v>
      </c>
      <c r="B258" s="39" t="s">
        <v>362</v>
      </c>
      <c r="C258" s="40" t="s">
        <v>363</v>
      </c>
      <c r="D258" s="40" t="s">
        <v>364</v>
      </c>
      <c r="E258" s="40" t="s">
        <v>348</v>
      </c>
      <c r="F258" s="39"/>
    </row>
    <row r="259" spans="1:39">
      <c r="A259" s="46" t="s">
        <v>1061</v>
      </c>
      <c r="B259" s="39" t="s">
        <v>362</v>
      </c>
      <c r="C259" s="40" t="s">
        <v>363</v>
      </c>
      <c r="D259" s="40" t="s">
        <v>364</v>
      </c>
      <c r="E259" s="40" t="s">
        <v>348</v>
      </c>
      <c r="F259" s="39"/>
    </row>
    <row r="260" spans="1:39">
      <c r="A260" s="46" t="s">
        <v>1061</v>
      </c>
      <c r="B260" s="39" t="s">
        <v>1062</v>
      </c>
      <c r="C260" s="40" t="s">
        <v>1063</v>
      </c>
      <c r="D260" s="40" t="s">
        <v>1064</v>
      </c>
      <c r="E260" s="40" t="s">
        <v>348</v>
      </c>
      <c r="F260" s="39" t="b">
        <v>1</v>
      </c>
    </row>
    <row r="261" spans="1:39" ht="12.75" customHeight="1">
      <c r="A261" s="38" t="s">
        <v>1065</v>
      </c>
      <c r="B261" s="39" t="s">
        <v>1066</v>
      </c>
      <c r="C261" s="40" t="s">
        <v>1067</v>
      </c>
      <c r="D261" s="40" t="s">
        <v>1068</v>
      </c>
      <c r="E261" s="40" t="s">
        <v>348</v>
      </c>
      <c r="F261" s="39"/>
    </row>
    <row r="262" spans="1:39" ht="12.75" customHeight="1">
      <c r="A262" s="38" t="s">
        <v>1065</v>
      </c>
      <c r="B262" s="39" t="s">
        <v>1069</v>
      </c>
      <c r="C262" s="40" t="s">
        <v>1070</v>
      </c>
      <c r="D262" s="40" t="s">
        <v>1071</v>
      </c>
      <c r="E262" s="52" t="s">
        <v>432</v>
      </c>
      <c r="F262" s="53" t="b">
        <v>1</v>
      </c>
    </row>
    <row r="263" spans="1:39" ht="12.75" customHeight="1">
      <c r="A263" s="38" t="s">
        <v>1065</v>
      </c>
      <c r="B263" s="39" t="s">
        <v>1072</v>
      </c>
      <c r="C263" s="40" t="s">
        <v>1073</v>
      </c>
      <c r="D263" s="40" t="s">
        <v>1074</v>
      </c>
      <c r="E263" s="40" t="s">
        <v>511</v>
      </c>
      <c r="F263" s="39"/>
    </row>
    <row r="264" spans="1:39" ht="12.75" customHeight="1">
      <c r="A264" s="38" t="s">
        <v>1075</v>
      </c>
      <c r="B264" s="39" t="s">
        <v>1076</v>
      </c>
      <c r="C264" s="40" t="s">
        <v>1077</v>
      </c>
      <c r="D264" s="40" t="s">
        <v>1078</v>
      </c>
      <c r="E264" s="40" t="s">
        <v>348</v>
      </c>
      <c r="F264" s="39"/>
    </row>
    <row r="265" spans="1:39" ht="12.75" customHeight="1">
      <c r="A265" s="38" t="s">
        <v>1079</v>
      </c>
      <c r="B265" s="39" t="s">
        <v>1080</v>
      </c>
      <c r="C265" s="40" t="s">
        <v>1081</v>
      </c>
      <c r="D265" s="40" t="s">
        <v>1082</v>
      </c>
      <c r="E265" s="40" t="s">
        <v>432</v>
      </c>
      <c r="F265" s="39"/>
    </row>
    <row r="266" spans="1:39" ht="12.75" customHeight="1">
      <c r="A266" s="46" t="s">
        <v>1083</v>
      </c>
      <c r="B266" s="39" t="s">
        <v>1084</v>
      </c>
      <c r="C266" s="40" t="s">
        <v>1085</v>
      </c>
      <c r="D266" s="40" t="s">
        <v>1086</v>
      </c>
      <c r="E266" s="52" t="s">
        <v>348</v>
      </c>
      <c r="F266" s="53"/>
    </row>
    <row r="267" spans="1:39" ht="12.75" customHeight="1">
      <c r="A267" s="46" t="s">
        <v>1083</v>
      </c>
      <c r="B267" s="39" t="s">
        <v>1084</v>
      </c>
      <c r="C267" s="40" t="s">
        <v>1087</v>
      </c>
      <c r="D267" s="40" t="s">
        <v>1088</v>
      </c>
      <c r="E267" s="40" t="s">
        <v>348</v>
      </c>
      <c r="F267" s="39"/>
    </row>
    <row r="268" spans="1:39" ht="12.75" customHeight="1">
      <c r="A268" s="54" t="s">
        <v>1089</v>
      </c>
      <c r="B268" s="55" t="s">
        <v>1090</v>
      </c>
      <c r="C268" s="56" t="s">
        <v>1091</v>
      </c>
      <c r="D268" s="56" t="s">
        <v>1092</v>
      </c>
      <c r="E268" s="56" t="s">
        <v>432</v>
      </c>
      <c r="F268" s="39"/>
    </row>
    <row r="269" spans="1:39" s="1" customFormat="1" ht="12" customHeight="1">
      <c r="A269" s="57" t="s">
        <v>1093</v>
      </c>
      <c r="B269" s="58" t="s">
        <v>362</v>
      </c>
      <c r="C269" s="59" t="s">
        <v>363</v>
      </c>
      <c r="D269" s="59" t="s">
        <v>364</v>
      </c>
      <c r="E269" s="59" t="s">
        <v>348</v>
      </c>
      <c r="F269" s="3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</row>
    <row r="270" spans="1:39" s="1" customFormat="1" ht="12" customHeight="1">
      <c r="A270" s="57" t="s">
        <v>1094</v>
      </c>
      <c r="B270" s="58" t="s">
        <v>362</v>
      </c>
      <c r="C270" s="59" t="s">
        <v>363</v>
      </c>
      <c r="D270" s="59" t="s">
        <v>364</v>
      </c>
      <c r="E270" s="59" t="s">
        <v>348</v>
      </c>
      <c r="F270" s="39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</row>
    <row r="271" spans="1:39" s="1" customFormat="1" ht="12" customHeight="1">
      <c r="A271" s="60" t="s">
        <v>1095</v>
      </c>
      <c r="B271" s="61" t="s">
        <v>607</v>
      </c>
      <c r="C271" s="62" t="s">
        <v>608</v>
      </c>
      <c r="D271" s="62" t="s">
        <v>609</v>
      </c>
      <c r="E271" s="62" t="s">
        <v>432</v>
      </c>
      <c r="F271" s="39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</row>
    <row r="272" spans="1:39" s="1" customFormat="1" ht="12" customHeight="1">
      <c r="A272" s="60" t="s">
        <v>1096</v>
      </c>
      <c r="B272" s="61" t="s">
        <v>823</v>
      </c>
      <c r="C272" s="62" t="s">
        <v>824</v>
      </c>
      <c r="D272" s="62" t="s">
        <v>825</v>
      </c>
      <c r="E272" s="62" t="s">
        <v>348</v>
      </c>
      <c r="F272" s="39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</row>
    <row r="273" spans="1:6">
      <c r="A273" s="38" t="s">
        <v>1097</v>
      </c>
      <c r="B273" s="39" t="s">
        <v>1098</v>
      </c>
      <c r="C273" s="40" t="s">
        <v>1099</v>
      </c>
      <c r="D273" s="40" t="s">
        <v>1100</v>
      </c>
      <c r="E273" s="40" t="s">
        <v>348</v>
      </c>
      <c r="F273" s="39"/>
    </row>
    <row r="274" spans="1:6">
      <c r="A274" s="38" t="s">
        <v>1101</v>
      </c>
      <c r="B274" s="39" t="s">
        <v>1102</v>
      </c>
      <c r="C274" s="40" t="s">
        <v>1103</v>
      </c>
      <c r="D274" s="40" t="s">
        <v>1104</v>
      </c>
      <c r="E274" s="52" t="s">
        <v>348</v>
      </c>
      <c r="F274" s="53"/>
    </row>
    <row r="275" spans="1:6" ht="12.75" customHeight="1">
      <c r="A275" s="38" t="s">
        <v>1105</v>
      </c>
      <c r="B275" s="39" t="s">
        <v>1106</v>
      </c>
      <c r="C275" s="44" t="s">
        <v>1107</v>
      </c>
      <c r="D275" s="44" t="s">
        <v>1108</v>
      </c>
      <c r="E275" s="44" t="s">
        <v>348</v>
      </c>
      <c r="F275" s="39"/>
    </row>
    <row r="276" spans="1:6" ht="22.8">
      <c r="A276" s="38" t="s">
        <v>1109</v>
      </c>
      <c r="B276" s="39" t="s">
        <v>1110</v>
      </c>
      <c r="C276" s="40" t="s">
        <v>1111</v>
      </c>
      <c r="D276" s="40" t="s">
        <v>1112</v>
      </c>
      <c r="E276" s="40" t="s">
        <v>682</v>
      </c>
      <c r="F276" s="39"/>
    </row>
    <row r="277" spans="1:6" ht="22.8">
      <c r="A277" s="38" t="s">
        <v>1113</v>
      </c>
      <c r="B277" s="39" t="s">
        <v>1114</v>
      </c>
      <c r="C277" s="40" t="s">
        <v>1115</v>
      </c>
      <c r="D277" s="40" t="s">
        <v>1116</v>
      </c>
      <c r="E277" s="40" t="s">
        <v>682</v>
      </c>
      <c r="F277" s="39"/>
    </row>
    <row r="278" spans="1:6" ht="22.8">
      <c r="A278" s="38" t="s">
        <v>1117</v>
      </c>
      <c r="B278" s="39" t="s">
        <v>1118</v>
      </c>
      <c r="C278" s="40" t="s">
        <v>1119</v>
      </c>
      <c r="D278" s="40" t="s">
        <v>1120</v>
      </c>
      <c r="E278" s="40" t="s">
        <v>682</v>
      </c>
      <c r="F278" s="39"/>
    </row>
    <row r="279" spans="1:6" ht="22.8">
      <c r="A279" s="38" t="s">
        <v>1121</v>
      </c>
      <c r="B279" s="39" t="s">
        <v>1122</v>
      </c>
      <c r="C279" s="40" t="s">
        <v>1123</v>
      </c>
      <c r="D279" s="40" t="s">
        <v>1124</v>
      </c>
      <c r="E279" s="40" t="s">
        <v>682</v>
      </c>
      <c r="F279" s="39"/>
    </row>
    <row r="280" spans="1:6" ht="31.5" customHeight="1">
      <c r="A280" s="38" t="s">
        <v>1125</v>
      </c>
      <c r="B280" s="39" t="s">
        <v>1126</v>
      </c>
      <c r="C280" s="40" t="s">
        <v>1127</v>
      </c>
      <c r="D280" s="40" t="s">
        <v>1128</v>
      </c>
      <c r="E280" s="40" t="s">
        <v>682</v>
      </c>
      <c r="F280" s="39"/>
    </row>
    <row r="281" spans="1:6" ht="22.8">
      <c r="A281" s="38" t="s">
        <v>1129</v>
      </c>
      <c r="B281" s="39" t="s">
        <v>1130</v>
      </c>
      <c r="C281" s="40" t="s">
        <v>1131</v>
      </c>
      <c r="D281" s="40" t="s">
        <v>1132</v>
      </c>
      <c r="E281" s="40" t="s">
        <v>682</v>
      </c>
      <c r="F281" s="39"/>
    </row>
    <row r="282" spans="1:6" ht="12.75" customHeight="1">
      <c r="A282" s="38" t="s">
        <v>1133</v>
      </c>
      <c r="B282" s="39" t="s">
        <v>1134</v>
      </c>
      <c r="C282" s="40" t="s">
        <v>1135</v>
      </c>
      <c r="D282" s="40" t="s">
        <v>1136</v>
      </c>
      <c r="E282" s="40" t="s">
        <v>682</v>
      </c>
      <c r="F282" s="39"/>
    </row>
    <row r="283" spans="1:6">
      <c r="A283" s="38" t="s">
        <v>1137</v>
      </c>
      <c r="B283" s="39" t="s">
        <v>1138</v>
      </c>
      <c r="C283" s="40" t="s">
        <v>1139</v>
      </c>
      <c r="D283" s="40" t="s">
        <v>1140</v>
      </c>
      <c r="E283" s="40" t="s">
        <v>682</v>
      </c>
      <c r="F283" s="39"/>
    </row>
    <row r="284" spans="1:6">
      <c r="A284" s="38" t="s">
        <v>1141</v>
      </c>
      <c r="B284" s="39" t="s">
        <v>1142</v>
      </c>
      <c r="C284" s="40" t="s">
        <v>1143</v>
      </c>
      <c r="D284" s="40" t="s">
        <v>1144</v>
      </c>
      <c r="E284" s="40" t="s">
        <v>682</v>
      </c>
      <c r="F284" s="39"/>
    </row>
    <row r="285" spans="1:6">
      <c r="A285" s="54" t="s">
        <v>1145</v>
      </c>
      <c r="B285" s="55" t="s">
        <v>1146</v>
      </c>
      <c r="C285" s="56" t="s">
        <v>1147</v>
      </c>
      <c r="D285" s="56" t="s">
        <v>1148</v>
      </c>
      <c r="E285" s="63" t="s">
        <v>682</v>
      </c>
      <c r="F285" s="64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89690-CBBC-4BCE-A9FF-AB65B9E96147}">
  <sheetPr codeName="Hoja7"/>
  <dimension ref="A1:L251"/>
  <sheetViews>
    <sheetView topLeftCell="A234" workbookViewId="0">
      <selection activeCell="B251" sqref="B251"/>
    </sheetView>
  </sheetViews>
  <sheetFormatPr defaultColWidth="10.88671875" defaultRowHeight="14.4"/>
  <cols>
    <col min="1" max="1" width="46.88671875" bestFit="1" customWidth="1"/>
    <col min="2" max="2" width="28.88671875" bestFit="1" customWidth="1"/>
    <col min="3" max="3" width="7.109375" bestFit="1" customWidth="1"/>
    <col min="4" max="4" width="12.109375" bestFit="1" customWidth="1"/>
    <col min="5" max="5" width="13.88671875" bestFit="1" customWidth="1"/>
    <col min="6" max="6" width="13.33203125" bestFit="1" customWidth="1"/>
    <col min="7" max="8" width="28.5546875" bestFit="1" customWidth="1"/>
    <col min="9" max="9" width="13.44140625" bestFit="1" customWidth="1"/>
    <col min="10" max="10" width="14.88671875" bestFit="1" customWidth="1"/>
    <col min="11" max="11" width="23.33203125" bestFit="1" customWidth="1"/>
    <col min="12" max="12" width="2.88671875" bestFit="1" customWidth="1"/>
  </cols>
  <sheetData>
    <row r="1" spans="1:11">
      <c r="A1" t="s">
        <v>1149</v>
      </c>
      <c r="B1" t="s">
        <v>1150</v>
      </c>
      <c r="C1" t="s">
        <v>1151</v>
      </c>
      <c r="D1" t="s">
        <v>1152</v>
      </c>
      <c r="E1" t="s">
        <v>1153</v>
      </c>
      <c r="F1" t="s">
        <v>1154</v>
      </c>
      <c r="G1" t="s">
        <v>1155</v>
      </c>
      <c r="H1" t="s">
        <v>1156</v>
      </c>
      <c r="I1" t="s">
        <v>1157</v>
      </c>
      <c r="J1" t="s">
        <v>1158</v>
      </c>
      <c r="K1" t="s">
        <v>1159</v>
      </c>
    </row>
    <row r="2" spans="1:11">
      <c r="A2" t="s">
        <v>1160</v>
      </c>
      <c r="B2" t="s">
        <v>1161</v>
      </c>
      <c r="C2" t="s">
        <v>1162</v>
      </c>
      <c r="D2">
        <v>4</v>
      </c>
      <c r="E2" t="s">
        <v>1163</v>
      </c>
      <c r="F2" t="s">
        <v>1164</v>
      </c>
      <c r="G2" t="s">
        <v>1165</v>
      </c>
      <c r="I2">
        <v>142</v>
      </c>
      <c r="J2">
        <v>34</v>
      </c>
    </row>
    <row r="3" spans="1:11">
      <c r="A3" t="s">
        <v>1166</v>
      </c>
      <c r="B3" t="s">
        <v>1167</v>
      </c>
      <c r="C3" t="s">
        <v>1168</v>
      </c>
      <c r="D3">
        <v>248</v>
      </c>
      <c r="E3" t="s">
        <v>1169</v>
      </c>
      <c r="F3" t="s">
        <v>1170</v>
      </c>
      <c r="G3" t="s">
        <v>1171</v>
      </c>
      <c r="I3">
        <v>150</v>
      </c>
      <c r="J3">
        <v>154</v>
      </c>
    </row>
    <row r="4" spans="1:11">
      <c r="A4" t="s">
        <v>1172</v>
      </c>
      <c r="B4" t="s">
        <v>1173</v>
      </c>
      <c r="C4" t="s">
        <v>1174</v>
      </c>
      <c r="D4">
        <v>8</v>
      </c>
      <c r="E4" t="s">
        <v>1175</v>
      </c>
      <c r="F4" t="s">
        <v>1170</v>
      </c>
      <c r="G4" t="s">
        <v>1176</v>
      </c>
      <c r="I4">
        <v>150</v>
      </c>
      <c r="J4">
        <v>39</v>
      </c>
    </row>
    <row r="5" spans="1:11">
      <c r="A5" t="s">
        <v>1177</v>
      </c>
      <c r="B5" t="s">
        <v>1178</v>
      </c>
      <c r="C5" t="s">
        <v>1179</v>
      </c>
      <c r="D5">
        <v>12</v>
      </c>
      <c r="E5" t="s">
        <v>1180</v>
      </c>
      <c r="F5" t="s">
        <v>1181</v>
      </c>
      <c r="G5" t="s">
        <v>1182</v>
      </c>
      <c r="I5">
        <v>2</v>
      </c>
      <c r="J5">
        <v>15</v>
      </c>
    </row>
    <row r="6" spans="1:11">
      <c r="A6" t="s">
        <v>1183</v>
      </c>
      <c r="B6" t="s">
        <v>1184</v>
      </c>
      <c r="C6" t="s">
        <v>1185</v>
      </c>
      <c r="D6">
        <v>16</v>
      </c>
      <c r="E6" t="s">
        <v>1186</v>
      </c>
      <c r="F6" t="s">
        <v>1187</v>
      </c>
      <c r="G6" t="s">
        <v>1188</v>
      </c>
      <c r="I6">
        <v>9</v>
      </c>
      <c r="J6">
        <v>61</v>
      </c>
    </row>
    <row r="7" spans="1:11">
      <c r="A7" t="s">
        <v>1189</v>
      </c>
      <c r="B7" t="s">
        <v>1190</v>
      </c>
      <c r="C7" t="s">
        <v>1191</v>
      </c>
      <c r="D7">
        <v>20</v>
      </c>
      <c r="E7" t="s">
        <v>1192</v>
      </c>
      <c r="F7" t="s">
        <v>1170</v>
      </c>
      <c r="G7" t="s">
        <v>1176</v>
      </c>
      <c r="I7">
        <v>150</v>
      </c>
      <c r="J7">
        <v>39</v>
      </c>
    </row>
    <row r="8" spans="1:11">
      <c r="A8" t="s">
        <v>1193</v>
      </c>
      <c r="B8" t="s">
        <v>1194</v>
      </c>
      <c r="C8" t="s">
        <v>1195</v>
      </c>
      <c r="D8">
        <v>24</v>
      </c>
      <c r="E8" t="s">
        <v>1196</v>
      </c>
      <c r="F8" t="s">
        <v>1181</v>
      </c>
      <c r="G8" t="s">
        <v>1197</v>
      </c>
      <c r="H8" t="s">
        <v>1198</v>
      </c>
      <c r="I8">
        <v>2</v>
      </c>
      <c r="J8">
        <v>202</v>
      </c>
      <c r="K8">
        <v>17</v>
      </c>
    </row>
    <row r="9" spans="1:11">
      <c r="A9" t="s">
        <v>1199</v>
      </c>
      <c r="B9" t="s">
        <v>1200</v>
      </c>
      <c r="C9" t="s">
        <v>1201</v>
      </c>
      <c r="D9">
        <v>660</v>
      </c>
      <c r="E9" t="s">
        <v>1202</v>
      </c>
      <c r="F9" t="s">
        <v>1203</v>
      </c>
      <c r="G9" t="s">
        <v>1204</v>
      </c>
      <c r="H9" t="s">
        <v>1205</v>
      </c>
      <c r="I9">
        <v>19</v>
      </c>
      <c r="J9">
        <v>419</v>
      </c>
      <c r="K9">
        <v>29</v>
      </c>
    </row>
    <row r="10" spans="1:11">
      <c r="A10" t="s">
        <v>1206</v>
      </c>
      <c r="B10" t="s">
        <v>1207</v>
      </c>
      <c r="C10" t="s">
        <v>1208</v>
      </c>
      <c r="D10">
        <v>10</v>
      </c>
      <c r="E10" t="s">
        <v>1209</v>
      </c>
    </row>
    <row r="11" spans="1:11">
      <c r="A11" t="s">
        <v>1210</v>
      </c>
      <c r="B11" t="s">
        <v>1211</v>
      </c>
      <c r="C11" t="s">
        <v>1212</v>
      </c>
      <c r="D11">
        <v>28</v>
      </c>
      <c r="E11" t="s">
        <v>1213</v>
      </c>
      <c r="F11" t="s">
        <v>1203</v>
      </c>
      <c r="G11" t="s">
        <v>1204</v>
      </c>
      <c r="H11" t="s">
        <v>1205</v>
      </c>
      <c r="I11">
        <v>19</v>
      </c>
      <c r="J11">
        <v>419</v>
      </c>
      <c r="K11">
        <v>29</v>
      </c>
    </row>
    <row r="12" spans="1:11">
      <c r="A12" t="s">
        <v>1214</v>
      </c>
      <c r="B12" t="s">
        <v>1215</v>
      </c>
      <c r="C12" t="s">
        <v>1216</v>
      </c>
      <c r="D12">
        <v>32</v>
      </c>
      <c r="E12" t="s">
        <v>1217</v>
      </c>
      <c r="F12" t="s">
        <v>1203</v>
      </c>
      <c r="G12" t="s">
        <v>1204</v>
      </c>
      <c r="H12" t="s">
        <v>1218</v>
      </c>
      <c r="I12">
        <v>19</v>
      </c>
      <c r="J12">
        <v>419</v>
      </c>
      <c r="K12">
        <v>5</v>
      </c>
    </row>
    <row r="13" spans="1:11">
      <c r="A13" t="s">
        <v>1219</v>
      </c>
      <c r="B13" t="s">
        <v>1220</v>
      </c>
      <c r="C13" t="s">
        <v>1221</v>
      </c>
      <c r="D13">
        <v>51</v>
      </c>
      <c r="E13" t="s">
        <v>1222</v>
      </c>
      <c r="F13" t="s">
        <v>1164</v>
      </c>
      <c r="G13" t="s">
        <v>1223</v>
      </c>
      <c r="I13">
        <v>142</v>
      </c>
      <c r="J13">
        <v>145</v>
      </c>
    </row>
    <row r="14" spans="1:11">
      <c r="A14" t="s">
        <v>1224</v>
      </c>
      <c r="B14" t="s">
        <v>1225</v>
      </c>
      <c r="C14" t="s">
        <v>1226</v>
      </c>
      <c r="D14">
        <v>533</v>
      </c>
      <c r="E14" t="s">
        <v>1227</v>
      </c>
      <c r="F14" t="s">
        <v>1203</v>
      </c>
      <c r="G14" t="s">
        <v>1204</v>
      </c>
      <c r="H14" t="s">
        <v>1205</v>
      </c>
      <c r="I14">
        <v>19</v>
      </c>
      <c r="J14">
        <v>419</v>
      </c>
      <c r="K14">
        <v>29</v>
      </c>
    </row>
    <row r="15" spans="1:11">
      <c r="A15" t="s">
        <v>1228</v>
      </c>
      <c r="B15" t="s">
        <v>1229</v>
      </c>
      <c r="C15" t="s">
        <v>1230</v>
      </c>
      <c r="D15">
        <v>36</v>
      </c>
      <c r="E15" t="s">
        <v>1231</v>
      </c>
      <c r="F15" t="s">
        <v>1187</v>
      </c>
      <c r="G15" t="s">
        <v>1232</v>
      </c>
      <c r="I15">
        <v>9</v>
      </c>
      <c r="J15">
        <v>53</v>
      </c>
    </row>
    <row r="16" spans="1:11">
      <c r="A16" t="s">
        <v>1233</v>
      </c>
      <c r="B16" t="s">
        <v>1234</v>
      </c>
      <c r="C16" t="s">
        <v>1235</v>
      </c>
      <c r="D16">
        <v>40</v>
      </c>
      <c r="E16" t="s">
        <v>1236</v>
      </c>
      <c r="F16" t="s">
        <v>1170</v>
      </c>
      <c r="G16" t="s">
        <v>1237</v>
      </c>
      <c r="I16">
        <v>150</v>
      </c>
      <c r="J16">
        <v>155</v>
      </c>
    </row>
    <row r="17" spans="1:12">
      <c r="A17" t="s">
        <v>1238</v>
      </c>
      <c r="B17" t="s">
        <v>1239</v>
      </c>
      <c r="C17" t="s">
        <v>1240</v>
      </c>
      <c r="D17">
        <v>31</v>
      </c>
      <c r="E17" t="s">
        <v>1241</v>
      </c>
      <c r="F17" t="s">
        <v>1164</v>
      </c>
      <c r="G17" t="s">
        <v>1223</v>
      </c>
      <c r="I17">
        <v>142</v>
      </c>
      <c r="J17">
        <v>145</v>
      </c>
    </row>
    <row r="18" spans="1:12">
      <c r="A18" t="s">
        <v>1242</v>
      </c>
      <c r="B18" t="s">
        <v>1243</v>
      </c>
      <c r="C18" t="s">
        <v>1244</v>
      </c>
      <c r="D18">
        <v>44</v>
      </c>
      <c r="E18" t="s">
        <v>1245</v>
      </c>
      <c r="F18" t="s">
        <v>1203</v>
      </c>
      <c r="G18" t="s">
        <v>1204</v>
      </c>
      <c r="H18" t="s">
        <v>1205</v>
      </c>
      <c r="I18">
        <v>19</v>
      </c>
      <c r="J18">
        <v>419</v>
      </c>
      <c r="K18">
        <v>29</v>
      </c>
    </row>
    <row r="19" spans="1:12">
      <c r="A19" t="s">
        <v>1246</v>
      </c>
      <c r="B19" t="s">
        <v>1247</v>
      </c>
      <c r="C19" t="s">
        <v>1248</v>
      </c>
      <c r="D19">
        <v>48</v>
      </c>
      <c r="E19" t="s">
        <v>1249</v>
      </c>
      <c r="F19" t="s">
        <v>1164</v>
      </c>
      <c r="G19" t="s">
        <v>1223</v>
      </c>
      <c r="I19">
        <v>142</v>
      </c>
      <c r="J19">
        <v>145</v>
      </c>
    </row>
    <row r="20" spans="1:12">
      <c r="A20" t="s">
        <v>1250</v>
      </c>
      <c r="B20" t="s">
        <v>1251</v>
      </c>
      <c r="C20" t="s">
        <v>1252</v>
      </c>
      <c r="D20">
        <v>50</v>
      </c>
      <c r="E20" t="s">
        <v>1253</v>
      </c>
      <c r="F20" t="s">
        <v>1164</v>
      </c>
      <c r="G20" t="s">
        <v>1165</v>
      </c>
      <c r="I20">
        <v>142</v>
      </c>
      <c r="J20">
        <v>34</v>
      </c>
    </row>
    <row r="21" spans="1:12">
      <c r="A21" t="s">
        <v>1254</v>
      </c>
      <c r="B21" t="s">
        <v>1255</v>
      </c>
      <c r="C21" t="s">
        <v>1256</v>
      </c>
      <c r="D21">
        <v>52</v>
      </c>
      <c r="E21" t="s">
        <v>1257</v>
      </c>
      <c r="F21" t="s">
        <v>1203</v>
      </c>
      <c r="G21" t="s">
        <v>2195</v>
      </c>
      <c r="H21" t="s">
        <v>1205</v>
      </c>
      <c r="I21">
        <v>19</v>
      </c>
      <c r="J21">
        <v>419</v>
      </c>
      <c r="K21">
        <v>29</v>
      </c>
    </row>
    <row r="22" spans="1:12">
      <c r="A22" t="s">
        <v>1258</v>
      </c>
      <c r="B22" t="s">
        <v>1259</v>
      </c>
      <c r="C22" t="s">
        <v>1260</v>
      </c>
      <c r="D22">
        <v>112</v>
      </c>
      <c r="E22" t="s">
        <v>1261</v>
      </c>
      <c r="F22" t="s">
        <v>1170</v>
      </c>
      <c r="G22" t="s">
        <v>1262</v>
      </c>
      <c r="I22">
        <v>150</v>
      </c>
      <c r="J22">
        <v>151</v>
      </c>
    </row>
    <row r="23" spans="1:12">
      <c r="A23" t="s">
        <v>1263</v>
      </c>
      <c r="B23" t="s">
        <v>1264</v>
      </c>
      <c r="C23" t="s">
        <v>1265</v>
      </c>
      <c r="D23">
        <v>56</v>
      </c>
      <c r="E23" t="s">
        <v>1266</v>
      </c>
      <c r="F23" t="s">
        <v>1170</v>
      </c>
      <c r="G23" t="s">
        <v>1237</v>
      </c>
      <c r="I23">
        <v>150</v>
      </c>
      <c r="J23">
        <v>155</v>
      </c>
    </row>
    <row r="24" spans="1:12">
      <c r="A24" t="s">
        <v>1267</v>
      </c>
      <c r="B24" t="s">
        <v>1268</v>
      </c>
      <c r="C24" t="s">
        <v>1269</v>
      </c>
      <c r="D24">
        <v>84</v>
      </c>
      <c r="E24" t="s">
        <v>1270</v>
      </c>
      <c r="F24" t="s">
        <v>1203</v>
      </c>
      <c r="G24" t="s">
        <v>1204</v>
      </c>
      <c r="H24" t="s">
        <v>1271</v>
      </c>
      <c r="I24">
        <v>19</v>
      </c>
      <c r="J24">
        <v>419</v>
      </c>
      <c r="K24">
        <v>13</v>
      </c>
    </row>
    <row r="25" spans="1:12">
      <c r="A25" t="s">
        <v>1272</v>
      </c>
      <c r="B25" t="s">
        <v>1273</v>
      </c>
      <c r="C25" t="s">
        <v>1274</v>
      </c>
      <c r="D25">
        <v>204</v>
      </c>
      <c r="E25" t="s">
        <v>1275</v>
      </c>
      <c r="F25" t="s">
        <v>1181</v>
      </c>
      <c r="G25" t="s">
        <v>1197</v>
      </c>
      <c r="H25" t="s">
        <v>1276</v>
      </c>
      <c r="I25">
        <v>2</v>
      </c>
      <c r="J25">
        <v>202</v>
      </c>
      <c r="K25">
        <v>11</v>
      </c>
    </row>
    <row r="26" spans="1:12">
      <c r="A26" t="s">
        <v>1277</v>
      </c>
      <c r="B26" t="s">
        <v>1278</v>
      </c>
      <c r="C26" t="s">
        <v>1279</v>
      </c>
      <c r="D26">
        <v>60</v>
      </c>
      <c r="E26" t="s">
        <v>1280</v>
      </c>
      <c r="F26" t="s">
        <v>1203</v>
      </c>
      <c r="G26" t="s">
        <v>1281</v>
      </c>
      <c r="I26">
        <v>19</v>
      </c>
      <c r="J26">
        <v>21</v>
      </c>
    </row>
    <row r="27" spans="1:12">
      <c r="A27" t="s">
        <v>1282</v>
      </c>
      <c r="B27" t="s">
        <v>1283</v>
      </c>
      <c r="C27" t="s">
        <v>442</v>
      </c>
      <c r="D27">
        <v>64</v>
      </c>
      <c r="E27" t="s">
        <v>1284</v>
      </c>
      <c r="F27" t="s">
        <v>1164</v>
      </c>
      <c r="G27" t="s">
        <v>1165</v>
      </c>
      <c r="I27">
        <v>142</v>
      </c>
      <c r="J27">
        <v>34</v>
      </c>
    </row>
    <row r="28" spans="1:12">
      <c r="A28" t="s">
        <v>1285</v>
      </c>
      <c r="B28" t="s">
        <v>1286</v>
      </c>
      <c r="C28" t="s">
        <v>1287</v>
      </c>
      <c r="D28">
        <v>68</v>
      </c>
      <c r="E28" t="s">
        <v>1288</v>
      </c>
      <c r="F28" t="s">
        <v>1288</v>
      </c>
      <c r="G28" t="s">
        <v>1203</v>
      </c>
      <c r="H28" t="s">
        <v>1204</v>
      </c>
      <c r="I28" t="s">
        <v>1218</v>
      </c>
      <c r="J28">
        <v>19</v>
      </c>
      <c r="K28">
        <v>419</v>
      </c>
      <c r="L28">
        <v>5</v>
      </c>
    </row>
    <row r="29" spans="1:12">
      <c r="A29" t="s">
        <v>1289</v>
      </c>
      <c r="B29" t="s">
        <v>1290</v>
      </c>
      <c r="C29" t="s">
        <v>1291</v>
      </c>
      <c r="D29">
        <v>535</v>
      </c>
      <c r="E29" t="s">
        <v>1292</v>
      </c>
      <c r="F29" t="s">
        <v>1292</v>
      </c>
      <c r="G29" t="s">
        <v>1203</v>
      </c>
      <c r="H29" t="s">
        <v>1204</v>
      </c>
      <c r="I29" t="s">
        <v>1205</v>
      </c>
      <c r="J29">
        <v>19</v>
      </c>
      <c r="K29">
        <v>419</v>
      </c>
      <c r="L29">
        <v>29</v>
      </c>
    </row>
    <row r="30" spans="1:12">
      <c r="A30" t="s">
        <v>1293</v>
      </c>
      <c r="B30" t="s">
        <v>1294</v>
      </c>
      <c r="C30" t="s">
        <v>1295</v>
      </c>
      <c r="D30">
        <v>70</v>
      </c>
      <c r="E30" t="s">
        <v>1296</v>
      </c>
      <c r="F30" t="s">
        <v>1170</v>
      </c>
      <c r="G30" t="s">
        <v>1176</v>
      </c>
      <c r="I30">
        <v>150</v>
      </c>
      <c r="J30">
        <v>39</v>
      </c>
    </row>
    <row r="31" spans="1:12">
      <c r="A31" t="s">
        <v>1297</v>
      </c>
      <c r="B31" t="s">
        <v>1298</v>
      </c>
      <c r="C31" t="s">
        <v>1299</v>
      </c>
      <c r="D31">
        <v>72</v>
      </c>
      <c r="E31" t="s">
        <v>1300</v>
      </c>
      <c r="F31" t="s">
        <v>1181</v>
      </c>
      <c r="G31" t="s">
        <v>1197</v>
      </c>
      <c r="H31" t="s">
        <v>1301</v>
      </c>
      <c r="I31">
        <v>2</v>
      </c>
      <c r="J31">
        <v>202</v>
      </c>
      <c r="K31">
        <v>18</v>
      </c>
    </row>
    <row r="32" spans="1:12">
      <c r="A32" t="s">
        <v>1302</v>
      </c>
      <c r="B32" t="s">
        <v>1303</v>
      </c>
      <c r="C32" t="s">
        <v>1304</v>
      </c>
      <c r="D32">
        <v>74</v>
      </c>
      <c r="E32" t="s">
        <v>1305</v>
      </c>
      <c r="F32" t="s">
        <v>1203</v>
      </c>
      <c r="G32" t="s">
        <v>1204</v>
      </c>
      <c r="H32" t="s">
        <v>1218</v>
      </c>
      <c r="I32">
        <v>19</v>
      </c>
      <c r="J32">
        <v>419</v>
      </c>
      <c r="K32">
        <v>5</v>
      </c>
    </row>
    <row r="33" spans="1:11">
      <c r="A33" t="s">
        <v>1306</v>
      </c>
      <c r="B33" t="s">
        <v>1307</v>
      </c>
      <c r="C33" t="s">
        <v>1308</v>
      </c>
      <c r="D33">
        <v>76</v>
      </c>
      <c r="E33" t="s">
        <v>1309</v>
      </c>
      <c r="F33" t="s">
        <v>1203</v>
      </c>
      <c r="G33" t="s">
        <v>1204</v>
      </c>
      <c r="H33" t="s">
        <v>1218</v>
      </c>
      <c r="I33">
        <v>19</v>
      </c>
      <c r="J33">
        <v>419</v>
      </c>
      <c r="K33">
        <v>5</v>
      </c>
    </row>
    <row r="34" spans="1:11">
      <c r="A34" t="s">
        <v>1310</v>
      </c>
      <c r="B34" t="s">
        <v>1311</v>
      </c>
      <c r="C34" t="s">
        <v>1312</v>
      </c>
      <c r="D34">
        <v>86</v>
      </c>
      <c r="E34" t="s">
        <v>1313</v>
      </c>
      <c r="F34" t="s">
        <v>1181</v>
      </c>
      <c r="G34" t="s">
        <v>1197</v>
      </c>
      <c r="H34" t="s">
        <v>1314</v>
      </c>
      <c r="I34">
        <v>2</v>
      </c>
      <c r="J34">
        <v>202</v>
      </c>
      <c r="K34">
        <v>14</v>
      </c>
    </row>
    <row r="35" spans="1:11">
      <c r="A35" t="s">
        <v>1315</v>
      </c>
      <c r="B35" t="s">
        <v>1316</v>
      </c>
      <c r="C35" t="s">
        <v>1317</v>
      </c>
      <c r="D35">
        <v>96</v>
      </c>
      <c r="E35" t="s">
        <v>1318</v>
      </c>
      <c r="F35" t="s">
        <v>1164</v>
      </c>
      <c r="G35" t="s">
        <v>1319</v>
      </c>
      <c r="I35">
        <v>142</v>
      </c>
      <c r="J35">
        <v>35</v>
      </c>
    </row>
    <row r="36" spans="1:11">
      <c r="A36" t="s">
        <v>1320</v>
      </c>
      <c r="B36" t="s">
        <v>1321</v>
      </c>
      <c r="C36" t="s">
        <v>1322</v>
      </c>
      <c r="D36">
        <v>100</v>
      </c>
      <c r="E36" t="s">
        <v>1323</v>
      </c>
      <c r="F36" t="s">
        <v>1170</v>
      </c>
      <c r="G36" t="s">
        <v>1262</v>
      </c>
      <c r="I36">
        <v>150</v>
      </c>
      <c r="J36">
        <v>151</v>
      </c>
    </row>
    <row r="37" spans="1:11">
      <c r="A37" t="s">
        <v>1324</v>
      </c>
      <c r="B37" t="s">
        <v>1325</v>
      </c>
      <c r="C37" t="s">
        <v>1326</v>
      </c>
      <c r="D37">
        <v>854</v>
      </c>
      <c r="E37" t="s">
        <v>1327</v>
      </c>
      <c r="F37" t="s">
        <v>1181</v>
      </c>
      <c r="G37" t="s">
        <v>1197</v>
      </c>
      <c r="H37" t="s">
        <v>1276</v>
      </c>
      <c r="I37">
        <v>2</v>
      </c>
      <c r="J37">
        <v>202</v>
      </c>
      <c r="K37">
        <v>11</v>
      </c>
    </row>
    <row r="38" spans="1:11">
      <c r="A38" t="s">
        <v>1328</v>
      </c>
      <c r="B38" t="s">
        <v>1329</v>
      </c>
      <c r="C38" t="s">
        <v>1330</v>
      </c>
      <c r="D38">
        <v>108</v>
      </c>
      <c r="E38" t="s">
        <v>1331</v>
      </c>
      <c r="F38" t="s">
        <v>1181</v>
      </c>
      <c r="G38" t="s">
        <v>1197</v>
      </c>
      <c r="H38" t="s">
        <v>1314</v>
      </c>
      <c r="I38">
        <v>2</v>
      </c>
      <c r="J38">
        <v>202</v>
      </c>
      <c r="K38">
        <v>14</v>
      </c>
    </row>
    <row r="39" spans="1:11">
      <c r="A39" t="s">
        <v>1332</v>
      </c>
      <c r="B39" t="s">
        <v>1333</v>
      </c>
      <c r="C39" t="s">
        <v>1334</v>
      </c>
      <c r="D39">
        <v>132</v>
      </c>
      <c r="E39" t="s">
        <v>1335</v>
      </c>
      <c r="F39" t="s">
        <v>1181</v>
      </c>
      <c r="G39" t="s">
        <v>1197</v>
      </c>
      <c r="H39" t="s">
        <v>1276</v>
      </c>
      <c r="I39">
        <v>2</v>
      </c>
      <c r="J39">
        <v>202</v>
      </c>
      <c r="K39">
        <v>11</v>
      </c>
    </row>
    <row r="40" spans="1:11">
      <c r="A40" t="s">
        <v>1336</v>
      </c>
      <c r="B40" t="s">
        <v>1337</v>
      </c>
      <c r="C40" t="s">
        <v>1338</v>
      </c>
      <c r="D40">
        <v>116</v>
      </c>
      <c r="E40" t="s">
        <v>1339</v>
      </c>
      <c r="F40" t="s">
        <v>1164</v>
      </c>
      <c r="G40" t="s">
        <v>1319</v>
      </c>
      <c r="I40">
        <v>142</v>
      </c>
      <c r="J40">
        <v>35</v>
      </c>
    </row>
    <row r="41" spans="1:11">
      <c r="A41" t="s">
        <v>1340</v>
      </c>
      <c r="B41" t="s">
        <v>1341</v>
      </c>
      <c r="C41" t="s">
        <v>1342</v>
      </c>
      <c r="D41">
        <v>120</v>
      </c>
      <c r="E41" t="s">
        <v>1343</v>
      </c>
      <c r="F41" t="s">
        <v>1181</v>
      </c>
      <c r="G41" t="s">
        <v>1197</v>
      </c>
      <c r="H41" t="s">
        <v>1198</v>
      </c>
      <c r="I41">
        <v>2</v>
      </c>
      <c r="J41">
        <v>202</v>
      </c>
      <c r="K41">
        <v>17</v>
      </c>
    </row>
    <row r="42" spans="1:11">
      <c r="A42" t="s">
        <v>1344</v>
      </c>
      <c r="B42" t="s">
        <v>1345</v>
      </c>
      <c r="C42" t="s">
        <v>1346</v>
      </c>
      <c r="D42">
        <v>124</v>
      </c>
      <c r="E42" t="s">
        <v>1347</v>
      </c>
      <c r="F42" t="s">
        <v>1203</v>
      </c>
      <c r="G42" t="s">
        <v>1281</v>
      </c>
      <c r="I42">
        <v>19</v>
      </c>
      <c r="J42">
        <v>21</v>
      </c>
    </row>
    <row r="43" spans="1:11">
      <c r="A43" t="s">
        <v>1348</v>
      </c>
      <c r="B43" t="s">
        <v>1349</v>
      </c>
      <c r="C43" t="s">
        <v>1350</v>
      </c>
      <c r="D43">
        <v>136</v>
      </c>
      <c r="E43" t="s">
        <v>1351</v>
      </c>
      <c r="F43" t="s">
        <v>1203</v>
      </c>
      <c r="G43" t="s">
        <v>1204</v>
      </c>
      <c r="H43" t="s">
        <v>1205</v>
      </c>
      <c r="I43">
        <v>19</v>
      </c>
      <c r="J43">
        <v>419</v>
      </c>
      <c r="K43">
        <v>29</v>
      </c>
    </row>
    <row r="44" spans="1:11">
      <c r="A44" t="s">
        <v>1352</v>
      </c>
      <c r="B44" t="s">
        <v>1353</v>
      </c>
      <c r="C44" t="s">
        <v>1354</v>
      </c>
      <c r="D44">
        <v>140</v>
      </c>
      <c r="E44" t="s">
        <v>1355</v>
      </c>
      <c r="F44" t="s">
        <v>1181</v>
      </c>
      <c r="G44" t="s">
        <v>1197</v>
      </c>
      <c r="H44" t="s">
        <v>1198</v>
      </c>
      <c r="I44">
        <v>2</v>
      </c>
      <c r="J44">
        <v>202</v>
      </c>
      <c r="K44">
        <v>17</v>
      </c>
    </row>
    <row r="45" spans="1:11">
      <c r="A45" t="s">
        <v>1356</v>
      </c>
      <c r="B45" t="s">
        <v>1357</v>
      </c>
      <c r="C45" t="s">
        <v>1358</v>
      </c>
      <c r="D45">
        <v>148</v>
      </c>
      <c r="E45" t="s">
        <v>1359</v>
      </c>
      <c r="F45" t="s">
        <v>1181</v>
      </c>
      <c r="G45" t="s">
        <v>1197</v>
      </c>
      <c r="H45" t="s">
        <v>1198</v>
      </c>
      <c r="I45">
        <v>2</v>
      </c>
      <c r="J45">
        <v>202</v>
      </c>
      <c r="K45">
        <v>17</v>
      </c>
    </row>
    <row r="46" spans="1:11">
      <c r="A46" t="s">
        <v>1360</v>
      </c>
      <c r="B46" t="s">
        <v>1361</v>
      </c>
      <c r="C46" t="s">
        <v>1362</v>
      </c>
      <c r="D46">
        <v>152</v>
      </c>
      <c r="E46" t="s">
        <v>1363</v>
      </c>
      <c r="F46" t="s">
        <v>1203</v>
      </c>
      <c r="G46" t="s">
        <v>1204</v>
      </c>
      <c r="H46" t="s">
        <v>1218</v>
      </c>
      <c r="I46">
        <v>19</v>
      </c>
      <c r="J46">
        <v>419</v>
      </c>
      <c r="K46">
        <v>5</v>
      </c>
    </row>
    <row r="47" spans="1:11">
      <c r="A47" t="s">
        <v>1364</v>
      </c>
      <c r="B47" t="s">
        <v>1365</v>
      </c>
      <c r="C47" t="s">
        <v>1366</v>
      </c>
      <c r="D47">
        <v>156</v>
      </c>
      <c r="E47" t="s">
        <v>1367</v>
      </c>
      <c r="F47" t="s">
        <v>1164</v>
      </c>
      <c r="G47" t="s">
        <v>1368</v>
      </c>
      <c r="I47">
        <v>142</v>
      </c>
      <c r="J47">
        <v>30</v>
      </c>
    </row>
    <row r="48" spans="1:11">
      <c r="A48" t="s">
        <v>1369</v>
      </c>
      <c r="B48" t="s">
        <v>1370</v>
      </c>
      <c r="C48" t="s">
        <v>1371</v>
      </c>
      <c r="D48">
        <v>162</v>
      </c>
      <c r="E48" t="s">
        <v>1372</v>
      </c>
      <c r="F48" t="s">
        <v>1187</v>
      </c>
      <c r="G48" t="s">
        <v>1232</v>
      </c>
      <c r="I48">
        <v>9</v>
      </c>
      <c r="J48">
        <v>53</v>
      </c>
    </row>
    <row r="49" spans="1:12">
      <c r="A49" t="s">
        <v>1373</v>
      </c>
      <c r="B49" t="s">
        <v>1374</v>
      </c>
      <c r="C49" t="s">
        <v>1375</v>
      </c>
      <c r="D49">
        <v>166</v>
      </c>
      <c r="E49" t="s">
        <v>1376</v>
      </c>
      <c r="F49" t="s">
        <v>1187</v>
      </c>
      <c r="G49" t="s">
        <v>1232</v>
      </c>
      <c r="I49">
        <v>9</v>
      </c>
      <c r="J49">
        <v>53</v>
      </c>
    </row>
    <row r="50" spans="1:12">
      <c r="A50" t="s">
        <v>1377</v>
      </c>
      <c r="B50" t="s">
        <v>1378</v>
      </c>
      <c r="C50" t="s">
        <v>1379</v>
      </c>
      <c r="D50">
        <v>170</v>
      </c>
      <c r="E50" t="s">
        <v>1380</v>
      </c>
      <c r="F50" t="s">
        <v>1203</v>
      </c>
      <c r="G50" t="s">
        <v>1204</v>
      </c>
      <c r="H50" t="s">
        <v>1218</v>
      </c>
      <c r="I50">
        <v>19</v>
      </c>
      <c r="J50">
        <v>419</v>
      </c>
      <c r="K50">
        <v>5</v>
      </c>
    </row>
    <row r="51" spans="1:12">
      <c r="A51" t="s">
        <v>1381</v>
      </c>
      <c r="B51" t="s">
        <v>1382</v>
      </c>
      <c r="C51" t="s">
        <v>1383</v>
      </c>
      <c r="D51">
        <v>174</v>
      </c>
      <c r="E51" t="s">
        <v>1384</v>
      </c>
      <c r="F51" t="s">
        <v>1181</v>
      </c>
      <c r="G51" t="s">
        <v>1197</v>
      </c>
      <c r="H51" t="s">
        <v>1314</v>
      </c>
      <c r="I51">
        <v>2</v>
      </c>
      <c r="J51">
        <v>202</v>
      </c>
      <c r="K51">
        <v>14</v>
      </c>
    </row>
    <row r="52" spans="1:12">
      <c r="A52" t="s">
        <v>1385</v>
      </c>
      <c r="B52" t="s">
        <v>1386</v>
      </c>
      <c r="C52" t="s">
        <v>1387</v>
      </c>
      <c r="D52">
        <v>178</v>
      </c>
      <c r="E52" t="s">
        <v>1388</v>
      </c>
      <c r="F52" t="s">
        <v>1181</v>
      </c>
      <c r="G52" t="s">
        <v>1197</v>
      </c>
      <c r="H52" t="s">
        <v>1198</v>
      </c>
      <c r="I52">
        <v>2</v>
      </c>
      <c r="J52">
        <v>202</v>
      </c>
      <c r="K52">
        <v>17</v>
      </c>
    </row>
    <row r="53" spans="1:12">
      <c r="A53" t="s">
        <v>1385</v>
      </c>
      <c r="B53" t="s">
        <v>1389</v>
      </c>
      <c r="C53" t="s">
        <v>1390</v>
      </c>
      <c r="D53">
        <v>180</v>
      </c>
      <c r="E53" t="s">
        <v>1391</v>
      </c>
      <c r="F53" t="s">
        <v>1391</v>
      </c>
      <c r="G53" t="s">
        <v>1181</v>
      </c>
      <c r="H53" t="s">
        <v>1197</v>
      </c>
      <c r="I53" t="s">
        <v>1198</v>
      </c>
      <c r="J53">
        <v>2</v>
      </c>
      <c r="K53">
        <v>202</v>
      </c>
      <c r="L53">
        <v>17</v>
      </c>
    </row>
    <row r="54" spans="1:12">
      <c r="A54" t="s">
        <v>1392</v>
      </c>
      <c r="B54" t="s">
        <v>1393</v>
      </c>
      <c r="C54" t="s">
        <v>1394</v>
      </c>
      <c r="D54">
        <v>184</v>
      </c>
      <c r="E54" t="s">
        <v>1395</v>
      </c>
      <c r="F54" t="s">
        <v>1187</v>
      </c>
      <c r="G54" t="s">
        <v>1188</v>
      </c>
      <c r="I54">
        <v>9</v>
      </c>
      <c r="J54">
        <v>61</v>
      </c>
    </row>
    <row r="55" spans="1:12">
      <c r="A55" t="s">
        <v>1396</v>
      </c>
      <c r="B55" t="s">
        <v>1397</v>
      </c>
      <c r="C55" t="s">
        <v>1398</v>
      </c>
      <c r="D55">
        <v>188</v>
      </c>
      <c r="E55" t="s">
        <v>1399</v>
      </c>
      <c r="F55" t="s">
        <v>1203</v>
      </c>
      <c r="G55" t="s">
        <v>1204</v>
      </c>
      <c r="H55" t="s">
        <v>1271</v>
      </c>
      <c r="I55">
        <v>19</v>
      </c>
      <c r="J55">
        <v>419</v>
      </c>
      <c r="K55">
        <v>13</v>
      </c>
    </row>
    <row r="56" spans="1:12">
      <c r="A56" t="s">
        <v>1400</v>
      </c>
      <c r="B56" t="s">
        <v>1401</v>
      </c>
      <c r="C56" t="s">
        <v>1402</v>
      </c>
      <c r="D56">
        <v>384</v>
      </c>
      <c r="E56" t="s">
        <v>1403</v>
      </c>
      <c r="F56" t="s">
        <v>1181</v>
      </c>
      <c r="G56" t="s">
        <v>1197</v>
      </c>
      <c r="H56" t="s">
        <v>1276</v>
      </c>
      <c r="I56">
        <v>2</v>
      </c>
      <c r="J56">
        <v>202</v>
      </c>
      <c r="K56">
        <v>11</v>
      </c>
    </row>
    <row r="57" spans="1:12">
      <c r="A57" t="s">
        <v>1404</v>
      </c>
      <c r="B57" t="s">
        <v>1405</v>
      </c>
      <c r="C57" t="s">
        <v>1406</v>
      </c>
      <c r="D57">
        <v>191</v>
      </c>
      <c r="E57" t="s">
        <v>1407</v>
      </c>
      <c r="F57" t="s">
        <v>1170</v>
      </c>
      <c r="G57" t="s">
        <v>1176</v>
      </c>
      <c r="I57">
        <v>150</v>
      </c>
      <c r="J57">
        <v>39</v>
      </c>
    </row>
    <row r="58" spans="1:12">
      <c r="A58" t="s">
        <v>1408</v>
      </c>
      <c r="B58" t="s">
        <v>1409</v>
      </c>
      <c r="C58" t="s">
        <v>1410</v>
      </c>
      <c r="D58">
        <v>192</v>
      </c>
      <c r="E58" t="s">
        <v>1411</v>
      </c>
      <c r="F58" t="s">
        <v>1203</v>
      </c>
      <c r="G58" t="s">
        <v>1204</v>
      </c>
      <c r="H58" t="s">
        <v>1205</v>
      </c>
      <c r="I58">
        <v>19</v>
      </c>
      <c r="J58">
        <v>419</v>
      </c>
      <c r="K58">
        <v>29</v>
      </c>
    </row>
    <row r="59" spans="1:12">
      <c r="A59" t="s">
        <v>1412</v>
      </c>
      <c r="B59" t="s">
        <v>1413</v>
      </c>
      <c r="C59" t="s">
        <v>1414</v>
      </c>
      <c r="D59">
        <v>531</v>
      </c>
      <c r="E59" t="s">
        <v>1415</v>
      </c>
      <c r="F59" t="s">
        <v>1203</v>
      </c>
      <c r="G59" t="s">
        <v>1204</v>
      </c>
      <c r="H59" t="s">
        <v>1205</v>
      </c>
      <c r="I59">
        <v>19</v>
      </c>
      <c r="J59">
        <v>419</v>
      </c>
      <c r="K59">
        <v>29</v>
      </c>
    </row>
    <row r="60" spans="1:12">
      <c r="A60" t="s">
        <v>1416</v>
      </c>
      <c r="B60" t="s">
        <v>1417</v>
      </c>
      <c r="C60" t="s">
        <v>1418</v>
      </c>
      <c r="D60">
        <v>196</v>
      </c>
      <c r="E60" t="s">
        <v>1419</v>
      </c>
      <c r="F60" t="s">
        <v>1164</v>
      </c>
      <c r="G60" t="s">
        <v>1223</v>
      </c>
      <c r="I60">
        <v>142</v>
      </c>
      <c r="J60">
        <v>145</v>
      </c>
    </row>
    <row r="61" spans="1:12">
      <c r="A61" t="s">
        <v>1420</v>
      </c>
      <c r="B61" t="s">
        <v>1421</v>
      </c>
      <c r="C61" t="s">
        <v>1422</v>
      </c>
      <c r="D61">
        <v>203</v>
      </c>
      <c r="E61" t="s">
        <v>1423</v>
      </c>
      <c r="F61" t="s">
        <v>1170</v>
      </c>
      <c r="G61" t="s">
        <v>1262</v>
      </c>
      <c r="I61">
        <v>150</v>
      </c>
      <c r="J61">
        <v>151</v>
      </c>
    </row>
    <row r="62" spans="1:12">
      <c r="A62" t="s">
        <v>1424</v>
      </c>
      <c r="B62" t="s">
        <v>1425</v>
      </c>
      <c r="C62" t="s">
        <v>1426</v>
      </c>
      <c r="D62">
        <v>208</v>
      </c>
      <c r="E62" t="s">
        <v>1427</v>
      </c>
      <c r="F62" t="s">
        <v>1170</v>
      </c>
      <c r="G62" t="s">
        <v>1171</v>
      </c>
      <c r="I62">
        <v>150</v>
      </c>
      <c r="J62">
        <v>154</v>
      </c>
    </row>
    <row r="63" spans="1:12">
      <c r="A63" t="s">
        <v>1428</v>
      </c>
      <c r="B63" t="s">
        <v>1429</v>
      </c>
      <c r="C63" t="s">
        <v>1430</v>
      </c>
      <c r="D63">
        <v>262</v>
      </c>
      <c r="E63" t="s">
        <v>1431</v>
      </c>
      <c r="F63" t="s">
        <v>1181</v>
      </c>
      <c r="G63" t="s">
        <v>1197</v>
      </c>
      <c r="H63" t="s">
        <v>1314</v>
      </c>
      <c r="I63">
        <v>2</v>
      </c>
      <c r="J63">
        <v>202</v>
      </c>
      <c r="K63">
        <v>14</v>
      </c>
    </row>
    <row r="64" spans="1:12">
      <c r="A64" t="s">
        <v>1432</v>
      </c>
      <c r="B64" t="s">
        <v>1433</v>
      </c>
      <c r="C64" t="s">
        <v>1434</v>
      </c>
      <c r="D64">
        <v>212</v>
      </c>
      <c r="E64" t="s">
        <v>1435</v>
      </c>
      <c r="F64" t="s">
        <v>1203</v>
      </c>
      <c r="G64" t="s">
        <v>1204</v>
      </c>
      <c r="H64" t="s">
        <v>1205</v>
      </c>
      <c r="I64">
        <v>19</v>
      </c>
      <c r="J64">
        <v>419</v>
      </c>
      <c r="K64">
        <v>29</v>
      </c>
    </row>
    <row r="65" spans="1:11">
      <c r="A65" t="s">
        <v>1436</v>
      </c>
      <c r="B65" t="s">
        <v>1437</v>
      </c>
      <c r="C65" t="s">
        <v>1438</v>
      </c>
      <c r="D65">
        <v>214</v>
      </c>
      <c r="E65" t="s">
        <v>1439</v>
      </c>
      <c r="F65" t="s">
        <v>1203</v>
      </c>
      <c r="G65" t="s">
        <v>1204</v>
      </c>
      <c r="H65" t="s">
        <v>1205</v>
      </c>
      <c r="I65">
        <v>19</v>
      </c>
      <c r="J65">
        <v>419</v>
      </c>
      <c r="K65">
        <v>29</v>
      </c>
    </row>
    <row r="66" spans="1:11">
      <c r="A66" t="s">
        <v>1440</v>
      </c>
      <c r="B66" t="s">
        <v>1441</v>
      </c>
      <c r="C66" t="s">
        <v>1442</v>
      </c>
      <c r="D66">
        <v>218</v>
      </c>
      <c r="E66" t="s">
        <v>1443</v>
      </c>
      <c r="F66" t="s">
        <v>1203</v>
      </c>
      <c r="G66" t="s">
        <v>1204</v>
      </c>
      <c r="H66" t="s">
        <v>1218</v>
      </c>
      <c r="I66">
        <v>19</v>
      </c>
      <c r="J66">
        <v>419</v>
      </c>
      <c r="K66">
        <v>5</v>
      </c>
    </row>
    <row r="67" spans="1:11">
      <c r="A67" t="s">
        <v>1444</v>
      </c>
      <c r="B67" t="s">
        <v>1445</v>
      </c>
      <c r="C67" t="s">
        <v>1446</v>
      </c>
      <c r="D67">
        <v>818</v>
      </c>
      <c r="E67" t="s">
        <v>1447</v>
      </c>
      <c r="F67" t="s">
        <v>1181</v>
      </c>
      <c r="G67" t="s">
        <v>1182</v>
      </c>
      <c r="I67">
        <v>2</v>
      </c>
      <c r="J67">
        <v>15</v>
      </c>
    </row>
    <row r="68" spans="1:11">
      <c r="A68" t="s">
        <v>1448</v>
      </c>
      <c r="B68" t="s">
        <v>1449</v>
      </c>
      <c r="C68" t="s">
        <v>1450</v>
      </c>
      <c r="D68">
        <v>222</v>
      </c>
      <c r="E68" t="s">
        <v>1451</v>
      </c>
      <c r="F68" t="s">
        <v>1203</v>
      </c>
      <c r="G68" t="s">
        <v>1204</v>
      </c>
      <c r="H68" t="s">
        <v>1271</v>
      </c>
      <c r="I68">
        <v>19</v>
      </c>
      <c r="J68">
        <v>419</v>
      </c>
      <c r="K68">
        <v>13</v>
      </c>
    </row>
    <row r="69" spans="1:11">
      <c r="A69" t="s">
        <v>1452</v>
      </c>
      <c r="B69" t="s">
        <v>1453</v>
      </c>
      <c r="C69" t="s">
        <v>1454</v>
      </c>
      <c r="D69">
        <v>226</v>
      </c>
      <c r="E69" t="s">
        <v>1455</v>
      </c>
      <c r="F69" t="s">
        <v>1181</v>
      </c>
      <c r="G69" t="s">
        <v>1197</v>
      </c>
      <c r="H69" t="s">
        <v>1198</v>
      </c>
      <c r="I69">
        <v>2</v>
      </c>
      <c r="J69">
        <v>202</v>
      </c>
      <c r="K69">
        <v>17</v>
      </c>
    </row>
    <row r="70" spans="1:11">
      <c r="A70" t="s">
        <v>1456</v>
      </c>
      <c r="B70" t="s">
        <v>1457</v>
      </c>
      <c r="C70" t="s">
        <v>1458</v>
      </c>
      <c r="D70">
        <v>232</v>
      </c>
      <c r="E70" t="s">
        <v>1459</v>
      </c>
      <c r="F70" t="s">
        <v>1181</v>
      </c>
      <c r="G70" t="s">
        <v>1197</v>
      </c>
      <c r="H70" t="s">
        <v>1314</v>
      </c>
      <c r="I70">
        <v>2</v>
      </c>
      <c r="J70">
        <v>202</v>
      </c>
      <c r="K70">
        <v>14</v>
      </c>
    </row>
    <row r="71" spans="1:11">
      <c r="A71" t="s">
        <v>1460</v>
      </c>
      <c r="B71" t="s">
        <v>1461</v>
      </c>
      <c r="C71" t="s">
        <v>1462</v>
      </c>
      <c r="D71">
        <v>233</v>
      </c>
      <c r="E71" t="s">
        <v>1463</v>
      </c>
      <c r="F71" t="s">
        <v>1170</v>
      </c>
      <c r="G71" t="s">
        <v>1171</v>
      </c>
      <c r="I71">
        <v>150</v>
      </c>
      <c r="J71">
        <v>154</v>
      </c>
    </row>
    <row r="72" spans="1:11">
      <c r="A72" t="s">
        <v>1464</v>
      </c>
      <c r="B72" t="s">
        <v>1465</v>
      </c>
      <c r="C72" t="s">
        <v>1466</v>
      </c>
      <c r="D72">
        <v>748</v>
      </c>
      <c r="E72" t="s">
        <v>1467</v>
      </c>
      <c r="F72" t="s">
        <v>1181</v>
      </c>
      <c r="G72" t="s">
        <v>1197</v>
      </c>
      <c r="H72" t="s">
        <v>1301</v>
      </c>
      <c r="I72">
        <v>2</v>
      </c>
      <c r="J72">
        <v>202</v>
      </c>
      <c r="K72">
        <v>18</v>
      </c>
    </row>
    <row r="73" spans="1:11">
      <c r="A73" t="s">
        <v>1468</v>
      </c>
      <c r="B73" t="s">
        <v>1469</v>
      </c>
      <c r="C73" t="s">
        <v>1470</v>
      </c>
      <c r="D73">
        <v>231</v>
      </c>
      <c r="E73" t="s">
        <v>1471</v>
      </c>
      <c r="F73" t="s">
        <v>1181</v>
      </c>
      <c r="G73" t="s">
        <v>1197</v>
      </c>
      <c r="H73" t="s">
        <v>1314</v>
      </c>
      <c r="I73">
        <v>2</v>
      </c>
      <c r="J73">
        <v>202</v>
      </c>
      <c r="K73">
        <v>14</v>
      </c>
    </row>
    <row r="74" spans="1:11">
      <c r="A74" t="s">
        <v>1472</v>
      </c>
      <c r="B74" t="s">
        <v>1473</v>
      </c>
      <c r="C74" t="s">
        <v>1474</v>
      </c>
      <c r="D74">
        <v>238</v>
      </c>
      <c r="E74" t="s">
        <v>1475</v>
      </c>
      <c r="F74" t="s">
        <v>1203</v>
      </c>
      <c r="G74" t="s">
        <v>1204</v>
      </c>
      <c r="H74" t="s">
        <v>1218</v>
      </c>
      <c r="I74">
        <v>19</v>
      </c>
      <c r="J74">
        <v>419</v>
      </c>
      <c r="K74">
        <v>5</v>
      </c>
    </row>
    <row r="75" spans="1:11">
      <c r="A75" t="s">
        <v>1476</v>
      </c>
      <c r="B75" t="s">
        <v>1477</v>
      </c>
      <c r="C75" t="s">
        <v>1478</v>
      </c>
      <c r="D75">
        <v>234</v>
      </c>
      <c r="E75" t="s">
        <v>1479</v>
      </c>
      <c r="F75" t="s">
        <v>1170</v>
      </c>
      <c r="G75" t="s">
        <v>1171</v>
      </c>
      <c r="I75">
        <v>150</v>
      </c>
      <c r="J75">
        <v>154</v>
      </c>
    </row>
    <row r="76" spans="1:11">
      <c r="A76" t="s">
        <v>1480</v>
      </c>
      <c r="B76" t="s">
        <v>1481</v>
      </c>
      <c r="C76" t="s">
        <v>1482</v>
      </c>
      <c r="D76">
        <v>242</v>
      </c>
      <c r="E76" t="s">
        <v>1483</v>
      </c>
      <c r="F76" t="s">
        <v>1187</v>
      </c>
      <c r="G76" t="s">
        <v>1484</v>
      </c>
      <c r="I76">
        <v>9</v>
      </c>
      <c r="J76">
        <v>54</v>
      </c>
    </row>
    <row r="77" spans="1:11">
      <c r="A77" t="s">
        <v>1485</v>
      </c>
      <c r="B77" t="s">
        <v>1486</v>
      </c>
      <c r="C77" t="s">
        <v>1487</v>
      </c>
      <c r="D77">
        <v>246</v>
      </c>
      <c r="E77" t="s">
        <v>1488</v>
      </c>
      <c r="F77" t="s">
        <v>1170</v>
      </c>
      <c r="G77" t="s">
        <v>1171</v>
      </c>
      <c r="I77">
        <v>150</v>
      </c>
      <c r="J77">
        <v>154</v>
      </c>
    </row>
    <row r="78" spans="1:11">
      <c r="A78" t="s">
        <v>1489</v>
      </c>
      <c r="B78" t="s">
        <v>1490</v>
      </c>
      <c r="C78" t="s">
        <v>1491</v>
      </c>
      <c r="D78">
        <v>250</v>
      </c>
      <c r="E78" t="s">
        <v>1492</v>
      </c>
      <c r="F78" t="s">
        <v>1170</v>
      </c>
      <c r="G78" t="s">
        <v>1237</v>
      </c>
      <c r="I78">
        <v>150</v>
      </c>
      <c r="J78">
        <v>155</v>
      </c>
    </row>
    <row r="79" spans="1:11">
      <c r="A79" t="s">
        <v>1493</v>
      </c>
      <c r="B79" t="s">
        <v>1494</v>
      </c>
      <c r="C79" t="s">
        <v>1495</v>
      </c>
      <c r="D79">
        <v>254</v>
      </c>
      <c r="E79" t="s">
        <v>1496</v>
      </c>
      <c r="F79" t="s">
        <v>1203</v>
      </c>
      <c r="G79" t="s">
        <v>1204</v>
      </c>
      <c r="H79" t="s">
        <v>1218</v>
      </c>
      <c r="I79">
        <v>19</v>
      </c>
      <c r="J79">
        <v>419</v>
      </c>
      <c r="K79">
        <v>5</v>
      </c>
    </row>
    <row r="80" spans="1:11">
      <c r="A80" t="s">
        <v>1497</v>
      </c>
      <c r="B80" t="s">
        <v>1498</v>
      </c>
      <c r="C80" t="s">
        <v>1499</v>
      </c>
      <c r="D80">
        <v>258</v>
      </c>
      <c r="E80" t="s">
        <v>1500</v>
      </c>
      <c r="F80" t="s">
        <v>1187</v>
      </c>
      <c r="G80" t="s">
        <v>1188</v>
      </c>
      <c r="I80">
        <v>9</v>
      </c>
      <c r="J80">
        <v>61</v>
      </c>
    </row>
    <row r="81" spans="1:11">
      <c r="A81" t="s">
        <v>1501</v>
      </c>
      <c r="B81" t="s">
        <v>1502</v>
      </c>
      <c r="C81" t="s">
        <v>1503</v>
      </c>
      <c r="D81">
        <v>260</v>
      </c>
      <c r="E81" t="s">
        <v>1504</v>
      </c>
      <c r="F81" t="s">
        <v>1181</v>
      </c>
      <c r="G81" t="s">
        <v>1197</v>
      </c>
      <c r="H81" t="s">
        <v>1314</v>
      </c>
      <c r="I81">
        <v>2</v>
      </c>
      <c r="J81">
        <v>202</v>
      </c>
      <c r="K81">
        <v>14</v>
      </c>
    </row>
    <row r="82" spans="1:11">
      <c r="A82" t="s">
        <v>1505</v>
      </c>
      <c r="B82" t="s">
        <v>1506</v>
      </c>
      <c r="C82" t="s">
        <v>1507</v>
      </c>
      <c r="D82">
        <v>266</v>
      </c>
      <c r="E82" t="s">
        <v>1508</v>
      </c>
      <c r="F82" t="s">
        <v>1181</v>
      </c>
      <c r="G82" t="s">
        <v>1197</v>
      </c>
      <c r="H82" t="s">
        <v>1198</v>
      </c>
      <c r="I82">
        <v>2</v>
      </c>
      <c r="J82">
        <v>202</v>
      </c>
      <c r="K82">
        <v>17</v>
      </c>
    </row>
    <row r="83" spans="1:11">
      <c r="A83" t="s">
        <v>1509</v>
      </c>
      <c r="B83" t="s">
        <v>1510</v>
      </c>
      <c r="C83" t="s">
        <v>1511</v>
      </c>
      <c r="D83">
        <v>270</v>
      </c>
      <c r="E83" t="s">
        <v>1512</v>
      </c>
      <c r="F83" t="s">
        <v>1181</v>
      </c>
      <c r="G83" t="s">
        <v>1197</v>
      </c>
      <c r="H83" t="s">
        <v>1276</v>
      </c>
      <c r="I83">
        <v>2</v>
      </c>
      <c r="J83">
        <v>202</v>
      </c>
      <c r="K83">
        <v>11</v>
      </c>
    </row>
    <row r="84" spans="1:11">
      <c r="A84" t="s">
        <v>1513</v>
      </c>
      <c r="B84" t="s">
        <v>1514</v>
      </c>
      <c r="C84" t="s">
        <v>1515</v>
      </c>
      <c r="D84">
        <v>268</v>
      </c>
      <c r="E84" t="s">
        <v>1516</v>
      </c>
      <c r="F84" t="s">
        <v>1164</v>
      </c>
      <c r="G84" t="s">
        <v>1223</v>
      </c>
      <c r="I84">
        <v>142</v>
      </c>
      <c r="J84">
        <v>145</v>
      </c>
    </row>
    <row r="85" spans="1:11">
      <c r="A85" t="s">
        <v>1517</v>
      </c>
      <c r="B85" t="s">
        <v>1518</v>
      </c>
      <c r="C85" t="s">
        <v>1519</v>
      </c>
      <c r="D85">
        <v>276</v>
      </c>
      <c r="E85" t="s">
        <v>1520</v>
      </c>
      <c r="F85" t="s">
        <v>1170</v>
      </c>
      <c r="G85" t="s">
        <v>1237</v>
      </c>
      <c r="I85">
        <v>150</v>
      </c>
      <c r="J85">
        <v>155</v>
      </c>
    </row>
    <row r="86" spans="1:11">
      <c r="A86" t="s">
        <v>1521</v>
      </c>
      <c r="B86" t="s">
        <v>1522</v>
      </c>
      <c r="C86" t="s">
        <v>1523</v>
      </c>
      <c r="D86">
        <v>288</v>
      </c>
      <c r="E86" t="s">
        <v>1524</v>
      </c>
      <c r="F86" t="s">
        <v>1181</v>
      </c>
      <c r="G86" t="s">
        <v>1197</v>
      </c>
      <c r="H86" t="s">
        <v>1276</v>
      </c>
      <c r="I86">
        <v>2</v>
      </c>
      <c r="J86">
        <v>202</v>
      </c>
      <c r="K86">
        <v>11</v>
      </c>
    </row>
    <row r="87" spans="1:11">
      <c r="A87" t="s">
        <v>1525</v>
      </c>
      <c r="B87" t="s">
        <v>1526</v>
      </c>
      <c r="C87" t="s">
        <v>1527</v>
      </c>
      <c r="D87">
        <v>292</v>
      </c>
      <c r="E87" t="s">
        <v>1528</v>
      </c>
      <c r="F87" t="s">
        <v>1170</v>
      </c>
      <c r="G87" t="s">
        <v>1176</v>
      </c>
      <c r="I87">
        <v>150</v>
      </c>
      <c r="J87">
        <v>39</v>
      </c>
    </row>
    <row r="88" spans="1:11">
      <c r="A88" t="s">
        <v>1529</v>
      </c>
      <c r="B88" t="s">
        <v>1530</v>
      </c>
      <c r="C88" t="s">
        <v>1531</v>
      </c>
      <c r="D88">
        <v>300</v>
      </c>
      <c r="E88" t="s">
        <v>1532</v>
      </c>
      <c r="F88" t="s">
        <v>1170</v>
      </c>
      <c r="G88" t="s">
        <v>1176</v>
      </c>
      <c r="I88">
        <v>150</v>
      </c>
      <c r="J88">
        <v>39</v>
      </c>
    </row>
    <row r="89" spans="1:11">
      <c r="A89" t="s">
        <v>1533</v>
      </c>
      <c r="B89" t="s">
        <v>1534</v>
      </c>
      <c r="C89" t="s">
        <v>1535</v>
      </c>
      <c r="D89">
        <v>304</v>
      </c>
      <c r="E89" t="s">
        <v>1536</v>
      </c>
      <c r="F89" t="s">
        <v>1203</v>
      </c>
      <c r="G89" t="s">
        <v>1281</v>
      </c>
      <c r="I89">
        <v>19</v>
      </c>
      <c r="J89">
        <v>21</v>
      </c>
    </row>
    <row r="90" spans="1:11">
      <c r="A90" t="s">
        <v>1537</v>
      </c>
      <c r="B90" t="s">
        <v>1538</v>
      </c>
      <c r="C90" t="s">
        <v>1539</v>
      </c>
      <c r="D90">
        <v>308</v>
      </c>
      <c r="E90" t="s">
        <v>1540</v>
      </c>
      <c r="F90" t="s">
        <v>1203</v>
      </c>
      <c r="G90" t="s">
        <v>1204</v>
      </c>
      <c r="H90" t="s">
        <v>1205</v>
      </c>
      <c r="I90">
        <v>19</v>
      </c>
      <c r="J90">
        <v>419</v>
      </c>
      <c r="K90">
        <v>29</v>
      </c>
    </row>
    <row r="91" spans="1:11">
      <c r="A91" t="s">
        <v>1541</v>
      </c>
      <c r="B91" t="s">
        <v>1542</v>
      </c>
      <c r="C91" t="s">
        <v>1543</v>
      </c>
      <c r="D91">
        <v>312</v>
      </c>
      <c r="E91" t="s">
        <v>1544</v>
      </c>
      <c r="F91" t="s">
        <v>1203</v>
      </c>
      <c r="G91" t="s">
        <v>1204</v>
      </c>
      <c r="H91" t="s">
        <v>1205</v>
      </c>
      <c r="I91">
        <v>19</v>
      </c>
      <c r="J91">
        <v>419</v>
      </c>
      <c r="K91">
        <v>29</v>
      </c>
    </row>
    <row r="92" spans="1:11">
      <c r="A92" t="s">
        <v>1545</v>
      </c>
      <c r="B92" t="s">
        <v>1546</v>
      </c>
      <c r="C92" t="s">
        <v>1547</v>
      </c>
      <c r="D92">
        <v>316</v>
      </c>
      <c r="E92" t="s">
        <v>1548</v>
      </c>
      <c r="F92" t="s">
        <v>1187</v>
      </c>
      <c r="G92" t="s">
        <v>1549</v>
      </c>
      <c r="I92">
        <v>9</v>
      </c>
      <c r="J92">
        <v>57</v>
      </c>
    </row>
    <row r="93" spans="1:11">
      <c r="A93" t="s">
        <v>1550</v>
      </c>
      <c r="B93" t="s">
        <v>1551</v>
      </c>
      <c r="C93" t="s">
        <v>1552</v>
      </c>
      <c r="D93">
        <v>320</v>
      </c>
      <c r="E93" t="s">
        <v>1553</v>
      </c>
      <c r="F93" t="s">
        <v>1203</v>
      </c>
      <c r="G93" t="s">
        <v>1204</v>
      </c>
      <c r="H93" t="s">
        <v>1271</v>
      </c>
      <c r="I93">
        <v>19</v>
      </c>
      <c r="J93">
        <v>419</v>
      </c>
      <c r="K93">
        <v>13</v>
      </c>
    </row>
    <row r="94" spans="1:11">
      <c r="A94" t="s">
        <v>1554</v>
      </c>
      <c r="B94" t="s">
        <v>1555</v>
      </c>
      <c r="C94" t="s">
        <v>1556</v>
      </c>
      <c r="D94">
        <v>831</v>
      </c>
      <c r="E94" t="s">
        <v>1557</v>
      </c>
      <c r="F94" t="s">
        <v>1170</v>
      </c>
      <c r="G94" t="s">
        <v>1171</v>
      </c>
      <c r="I94">
        <v>150</v>
      </c>
      <c r="J94">
        <v>154</v>
      </c>
    </row>
    <row r="95" spans="1:11">
      <c r="A95" t="s">
        <v>1558</v>
      </c>
      <c r="B95" t="s">
        <v>1559</v>
      </c>
      <c r="C95" t="s">
        <v>1560</v>
      </c>
      <c r="D95">
        <v>324</v>
      </c>
      <c r="E95" t="s">
        <v>1561</v>
      </c>
      <c r="F95" t="s">
        <v>1181</v>
      </c>
      <c r="G95" t="s">
        <v>1197</v>
      </c>
      <c r="H95" t="s">
        <v>1276</v>
      </c>
      <c r="I95">
        <v>2</v>
      </c>
      <c r="J95">
        <v>202</v>
      </c>
      <c r="K95">
        <v>11</v>
      </c>
    </row>
    <row r="96" spans="1:11">
      <c r="A96" t="s">
        <v>1562</v>
      </c>
      <c r="B96" t="s">
        <v>1563</v>
      </c>
      <c r="C96" t="s">
        <v>1564</v>
      </c>
      <c r="D96">
        <v>624</v>
      </c>
      <c r="E96" t="s">
        <v>1565</v>
      </c>
      <c r="F96" t="s">
        <v>1181</v>
      </c>
      <c r="G96" t="s">
        <v>1197</v>
      </c>
      <c r="H96" t="s">
        <v>1276</v>
      </c>
      <c r="I96">
        <v>2</v>
      </c>
      <c r="J96">
        <v>202</v>
      </c>
      <c r="K96">
        <v>11</v>
      </c>
    </row>
    <row r="97" spans="1:11">
      <c r="A97" t="s">
        <v>1566</v>
      </c>
      <c r="B97" t="s">
        <v>1567</v>
      </c>
      <c r="C97" t="s">
        <v>1568</v>
      </c>
      <c r="D97">
        <v>328</v>
      </c>
      <c r="E97" t="s">
        <v>1569</v>
      </c>
      <c r="F97" t="s">
        <v>1203</v>
      </c>
      <c r="G97" t="s">
        <v>1204</v>
      </c>
      <c r="H97" t="s">
        <v>1218</v>
      </c>
      <c r="I97">
        <v>19</v>
      </c>
      <c r="J97">
        <v>419</v>
      </c>
      <c r="K97">
        <v>5</v>
      </c>
    </row>
    <row r="98" spans="1:11">
      <c r="A98" t="s">
        <v>1570</v>
      </c>
      <c r="B98" t="s">
        <v>1571</v>
      </c>
      <c r="C98" t="s">
        <v>1572</v>
      </c>
      <c r="D98">
        <v>332</v>
      </c>
      <c r="E98" t="s">
        <v>1573</v>
      </c>
      <c r="F98" t="s">
        <v>1203</v>
      </c>
      <c r="G98" t="s">
        <v>1204</v>
      </c>
      <c r="H98" t="s">
        <v>1205</v>
      </c>
      <c r="I98">
        <v>19</v>
      </c>
      <c r="J98">
        <v>419</v>
      </c>
      <c r="K98">
        <v>29</v>
      </c>
    </row>
    <row r="99" spans="1:11">
      <c r="A99" t="s">
        <v>1574</v>
      </c>
      <c r="B99" t="s">
        <v>1575</v>
      </c>
      <c r="C99" t="s">
        <v>1576</v>
      </c>
      <c r="D99">
        <v>334</v>
      </c>
      <c r="E99" t="s">
        <v>1577</v>
      </c>
      <c r="F99" t="s">
        <v>1187</v>
      </c>
      <c r="G99" t="s">
        <v>1232</v>
      </c>
      <c r="I99">
        <v>9</v>
      </c>
      <c r="J99">
        <v>53</v>
      </c>
    </row>
    <row r="100" spans="1:11">
      <c r="A100" t="s">
        <v>1578</v>
      </c>
      <c r="B100" t="s">
        <v>1579</v>
      </c>
      <c r="C100" t="s">
        <v>1580</v>
      </c>
      <c r="D100">
        <v>336</v>
      </c>
      <c r="E100" t="s">
        <v>1581</v>
      </c>
      <c r="F100" t="s">
        <v>1170</v>
      </c>
      <c r="G100" t="s">
        <v>1176</v>
      </c>
      <c r="I100">
        <v>150</v>
      </c>
      <c r="J100">
        <v>39</v>
      </c>
    </row>
    <row r="101" spans="1:11">
      <c r="A101" t="s">
        <v>1582</v>
      </c>
      <c r="B101" t="s">
        <v>1583</v>
      </c>
      <c r="C101" t="s">
        <v>1584</v>
      </c>
      <c r="D101">
        <v>340</v>
      </c>
      <c r="E101" t="s">
        <v>1585</v>
      </c>
      <c r="F101" t="s">
        <v>1203</v>
      </c>
      <c r="G101" t="s">
        <v>1204</v>
      </c>
      <c r="H101" t="s">
        <v>1271</v>
      </c>
      <c r="I101">
        <v>19</v>
      </c>
      <c r="J101">
        <v>419</v>
      </c>
      <c r="K101">
        <v>13</v>
      </c>
    </row>
    <row r="102" spans="1:11">
      <c r="A102" t="s">
        <v>1586</v>
      </c>
      <c r="B102" t="s">
        <v>1587</v>
      </c>
      <c r="C102" t="s">
        <v>1588</v>
      </c>
      <c r="D102">
        <v>344</v>
      </c>
      <c r="E102" t="s">
        <v>1589</v>
      </c>
      <c r="F102" t="s">
        <v>1164</v>
      </c>
      <c r="G102" t="s">
        <v>1368</v>
      </c>
      <c r="I102">
        <v>142</v>
      </c>
      <c r="J102">
        <v>30</v>
      </c>
    </row>
    <row r="103" spans="1:11">
      <c r="A103" t="s">
        <v>1590</v>
      </c>
      <c r="B103" t="s">
        <v>1591</v>
      </c>
      <c r="C103" t="s">
        <v>1592</v>
      </c>
      <c r="D103">
        <v>348</v>
      </c>
      <c r="E103" t="s">
        <v>1593</v>
      </c>
      <c r="F103" t="s">
        <v>1170</v>
      </c>
      <c r="G103" t="s">
        <v>1262</v>
      </c>
      <c r="I103">
        <v>150</v>
      </c>
      <c r="J103">
        <v>151</v>
      </c>
    </row>
    <row r="104" spans="1:11">
      <c r="A104" t="s">
        <v>1594</v>
      </c>
      <c r="B104" t="s">
        <v>1595</v>
      </c>
      <c r="C104" t="s">
        <v>1596</v>
      </c>
      <c r="D104">
        <v>352</v>
      </c>
      <c r="E104" t="s">
        <v>1597</v>
      </c>
      <c r="F104" t="s">
        <v>1170</v>
      </c>
      <c r="G104" t="s">
        <v>1171</v>
      </c>
      <c r="I104">
        <v>150</v>
      </c>
      <c r="J104">
        <v>154</v>
      </c>
    </row>
    <row r="105" spans="1:11">
      <c r="A105" t="s">
        <v>1598</v>
      </c>
      <c r="B105" t="s">
        <v>1599</v>
      </c>
      <c r="C105" t="s">
        <v>1600</v>
      </c>
      <c r="D105">
        <v>356</v>
      </c>
      <c r="E105" t="s">
        <v>1601</v>
      </c>
      <c r="F105" t="s">
        <v>1164</v>
      </c>
      <c r="G105" t="s">
        <v>1165</v>
      </c>
      <c r="I105">
        <v>142</v>
      </c>
      <c r="J105">
        <v>34</v>
      </c>
    </row>
    <row r="106" spans="1:11">
      <c r="A106" t="s">
        <v>1602</v>
      </c>
      <c r="B106" t="s">
        <v>1603</v>
      </c>
      <c r="C106" t="s">
        <v>1604</v>
      </c>
      <c r="D106">
        <v>360</v>
      </c>
      <c r="E106" t="s">
        <v>1605</v>
      </c>
      <c r="F106" t="s">
        <v>1164</v>
      </c>
      <c r="G106" t="s">
        <v>1319</v>
      </c>
      <c r="I106">
        <v>142</v>
      </c>
      <c r="J106">
        <v>35</v>
      </c>
    </row>
    <row r="107" spans="1:11">
      <c r="A107" t="s">
        <v>1606</v>
      </c>
      <c r="B107" t="s">
        <v>1607</v>
      </c>
      <c r="C107" t="s">
        <v>1608</v>
      </c>
      <c r="D107">
        <v>364</v>
      </c>
      <c r="E107" t="s">
        <v>1609</v>
      </c>
      <c r="F107" t="s">
        <v>1609</v>
      </c>
      <c r="G107" t="s">
        <v>1164</v>
      </c>
      <c r="H107" t="s">
        <v>1165</v>
      </c>
      <c r="J107">
        <v>142</v>
      </c>
      <c r="K107">
        <v>34</v>
      </c>
    </row>
    <row r="108" spans="1:11">
      <c r="A108" t="s">
        <v>1610</v>
      </c>
      <c r="B108" t="s">
        <v>1611</v>
      </c>
      <c r="C108" t="s">
        <v>1612</v>
      </c>
      <c r="D108">
        <v>368</v>
      </c>
      <c r="E108" t="s">
        <v>1613</v>
      </c>
      <c r="F108" t="s">
        <v>1164</v>
      </c>
      <c r="G108" t="s">
        <v>1223</v>
      </c>
      <c r="I108">
        <v>142</v>
      </c>
      <c r="J108">
        <v>145</v>
      </c>
    </row>
    <row r="109" spans="1:11">
      <c r="A109" t="s">
        <v>1614</v>
      </c>
      <c r="B109" t="s">
        <v>1615</v>
      </c>
      <c r="C109" t="s">
        <v>1616</v>
      </c>
      <c r="D109">
        <v>372</v>
      </c>
      <c r="E109" t="s">
        <v>1617</v>
      </c>
      <c r="F109" t="s">
        <v>1170</v>
      </c>
      <c r="G109" t="s">
        <v>1171</v>
      </c>
      <c r="I109">
        <v>150</v>
      </c>
      <c r="J109">
        <v>154</v>
      </c>
    </row>
    <row r="110" spans="1:11">
      <c r="A110" t="s">
        <v>1618</v>
      </c>
      <c r="B110" t="s">
        <v>1619</v>
      </c>
      <c r="C110" t="s">
        <v>1620</v>
      </c>
      <c r="D110">
        <v>833</v>
      </c>
      <c r="E110" t="s">
        <v>1621</v>
      </c>
      <c r="F110" t="s">
        <v>1170</v>
      </c>
      <c r="G110" t="s">
        <v>1171</v>
      </c>
      <c r="I110">
        <v>150</v>
      </c>
      <c r="J110">
        <v>154</v>
      </c>
    </row>
    <row r="111" spans="1:11">
      <c r="A111" t="s">
        <v>1622</v>
      </c>
      <c r="B111" t="s">
        <v>1623</v>
      </c>
      <c r="C111" t="s">
        <v>1624</v>
      </c>
      <c r="D111">
        <v>376</v>
      </c>
      <c r="E111" t="s">
        <v>1625</v>
      </c>
      <c r="F111" t="s">
        <v>1164</v>
      </c>
      <c r="G111" t="s">
        <v>1223</v>
      </c>
      <c r="I111">
        <v>142</v>
      </c>
      <c r="J111">
        <v>145</v>
      </c>
    </row>
    <row r="112" spans="1:11">
      <c r="A112" t="s">
        <v>1626</v>
      </c>
      <c r="B112" t="s">
        <v>1627</v>
      </c>
      <c r="C112" t="s">
        <v>1628</v>
      </c>
      <c r="D112">
        <v>380</v>
      </c>
      <c r="E112" t="s">
        <v>1629</v>
      </c>
      <c r="F112" t="s">
        <v>1170</v>
      </c>
      <c r="G112" t="s">
        <v>1176</v>
      </c>
      <c r="I112">
        <v>150</v>
      </c>
      <c r="J112">
        <v>39</v>
      </c>
    </row>
    <row r="113" spans="1:11">
      <c r="A113" t="s">
        <v>1630</v>
      </c>
      <c r="B113" t="s">
        <v>1631</v>
      </c>
      <c r="C113" t="s">
        <v>1632</v>
      </c>
      <c r="D113">
        <v>388</v>
      </c>
      <c r="E113" t="s">
        <v>1633</v>
      </c>
      <c r="F113" t="s">
        <v>1203</v>
      </c>
      <c r="G113" t="s">
        <v>1204</v>
      </c>
      <c r="H113" t="s">
        <v>1205</v>
      </c>
      <c r="I113">
        <v>19</v>
      </c>
      <c r="J113">
        <v>419</v>
      </c>
      <c r="K113">
        <v>29</v>
      </c>
    </row>
    <row r="114" spans="1:11">
      <c r="A114" t="s">
        <v>1634</v>
      </c>
      <c r="B114" t="s">
        <v>1635</v>
      </c>
      <c r="C114" t="s">
        <v>1636</v>
      </c>
      <c r="D114">
        <v>392</v>
      </c>
      <c r="E114" t="s">
        <v>1637</v>
      </c>
      <c r="F114" t="s">
        <v>1164</v>
      </c>
      <c r="G114" t="s">
        <v>1368</v>
      </c>
      <c r="I114">
        <v>142</v>
      </c>
      <c r="J114">
        <v>30</v>
      </c>
    </row>
    <row r="115" spans="1:11">
      <c r="A115" t="s">
        <v>1638</v>
      </c>
      <c r="B115" t="s">
        <v>1639</v>
      </c>
      <c r="C115" t="s">
        <v>1640</v>
      </c>
      <c r="D115">
        <v>832</v>
      </c>
      <c r="E115" t="s">
        <v>1641</v>
      </c>
      <c r="F115" t="s">
        <v>1170</v>
      </c>
      <c r="G115" t="s">
        <v>1171</v>
      </c>
      <c r="I115">
        <v>150</v>
      </c>
      <c r="J115">
        <v>154</v>
      </c>
    </row>
    <row r="116" spans="1:11">
      <c r="A116" t="s">
        <v>1642</v>
      </c>
      <c r="B116" t="s">
        <v>1643</v>
      </c>
      <c r="C116" t="s">
        <v>1644</v>
      </c>
      <c r="D116">
        <v>400</v>
      </c>
      <c r="E116" t="s">
        <v>1645</v>
      </c>
      <c r="F116" t="s">
        <v>1164</v>
      </c>
      <c r="G116" t="s">
        <v>1223</v>
      </c>
      <c r="I116">
        <v>142</v>
      </c>
      <c r="J116">
        <v>145</v>
      </c>
    </row>
    <row r="117" spans="1:11">
      <c r="A117" t="s">
        <v>1646</v>
      </c>
      <c r="B117" t="s">
        <v>1647</v>
      </c>
      <c r="C117" t="s">
        <v>1648</v>
      </c>
      <c r="D117">
        <v>398</v>
      </c>
      <c r="E117" t="s">
        <v>1649</v>
      </c>
      <c r="F117" t="s">
        <v>1164</v>
      </c>
      <c r="G117" t="s">
        <v>1650</v>
      </c>
      <c r="I117">
        <v>142</v>
      </c>
      <c r="J117">
        <v>143</v>
      </c>
    </row>
    <row r="118" spans="1:11">
      <c r="A118" t="s">
        <v>1651</v>
      </c>
      <c r="B118" t="s">
        <v>1652</v>
      </c>
      <c r="C118" t="s">
        <v>1653</v>
      </c>
      <c r="D118">
        <v>404</v>
      </c>
      <c r="E118" t="s">
        <v>1654</v>
      </c>
      <c r="F118" t="s">
        <v>1181</v>
      </c>
      <c r="G118" t="s">
        <v>1197</v>
      </c>
      <c r="H118" t="s">
        <v>1314</v>
      </c>
      <c r="I118">
        <v>2</v>
      </c>
      <c r="J118">
        <v>202</v>
      </c>
      <c r="K118">
        <v>14</v>
      </c>
    </row>
    <row r="119" spans="1:11">
      <c r="A119" t="s">
        <v>1655</v>
      </c>
      <c r="B119" t="s">
        <v>1656</v>
      </c>
      <c r="C119" t="s">
        <v>1657</v>
      </c>
      <c r="D119">
        <v>296</v>
      </c>
      <c r="E119" t="s">
        <v>1658</v>
      </c>
      <c r="F119" t="s">
        <v>1187</v>
      </c>
      <c r="G119" t="s">
        <v>1549</v>
      </c>
      <c r="I119">
        <v>9</v>
      </c>
      <c r="J119">
        <v>57</v>
      </c>
    </row>
    <row r="120" spans="1:11">
      <c r="A120" t="s">
        <v>1659</v>
      </c>
      <c r="B120" t="s">
        <v>1660</v>
      </c>
      <c r="C120" t="s">
        <v>1661</v>
      </c>
      <c r="D120">
        <v>408</v>
      </c>
      <c r="E120" t="s">
        <v>1662</v>
      </c>
      <c r="F120" t="s">
        <v>1662</v>
      </c>
      <c r="G120" t="s">
        <v>1164</v>
      </c>
      <c r="H120" t="s">
        <v>1368</v>
      </c>
      <c r="J120">
        <v>142</v>
      </c>
      <c r="K120">
        <v>30</v>
      </c>
    </row>
    <row r="121" spans="1:11">
      <c r="A121" t="s">
        <v>1659</v>
      </c>
      <c r="B121" t="s">
        <v>1663</v>
      </c>
      <c r="C121" t="s">
        <v>1664</v>
      </c>
      <c r="D121">
        <v>410</v>
      </c>
      <c r="E121" t="s">
        <v>1665</v>
      </c>
      <c r="F121" t="s">
        <v>1665</v>
      </c>
      <c r="G121" t="s">
        <v>1164</v>
      </c>
      <c r="H121" t="s">
        <v>1368</v>
      </c>
      <c r="J121">
        <v>142</v>
      </c>
      <c r="K121">
        <v>30</v>
      </c>
    </row>
    <row r="122" spans="1:11">
      <c r="A122" t="s">
        <v>1666</v>
      </c>
      <c r="B122" t="s">
        <v>1667</v>
      </c>
      <c r="C122" t="s">
        <v>1668</v>
      </c>
      <c r="D122">
        <v>414</v>
      </c>
      <c r="E122" t="s">
        <v>1669</v>
      </c>
      <c r="F122" t="s">
        <v>1164</v>
      </c>
      <c r="G122" t="s">
        <v>1223</v>
      </c>
      <c r="I122">
        <v>142</v>
      </c>
      <c r="J122">
        <v>145</v>
      </c>
    </row>
    <row r="123" spans="1:11">
      <c r="A123" t="s">
        <v>1670</v>
      </c>
      <c r="B123" t="s">
        <v>1671</v>
      </c>
      <c r="C123" t="s">
        <v>1672</v>
      </c>
      <c r="D123">
        <v>417</v>
      </c>
      <c r="E123" t="s">
        <v>1673</v>
      </c>
      <c r="F123" t="s">
        <v>1164</v>
      </c>
      <c r="G123" t="s">
        <v>1650</v>
      </c>
      <c r="I123">
        <v>142</v>
      </c>
      <c r="J123">
        <v>143</v>
      </c>
    </row>
    <row r="124" spans="1:11">
      <c r="A124" t="s">
        <v>1674</v>
      </c>
      <c r="B124" t="s">
        <v>1675</v>
      </c>
      <c r="C124" t="s">
        <v>1676</v>
      </c>
      <c r="D124">
        <v>418</v>
      </c>
      <c r="E124" t="s">
        <v>1677</v>
      </c>
      <c r="F124" t="s">
        <v>1164</v>
      </c>
      <c r="G124" t="s">
        <v>1319</v>
      </c>
      <c r="I124">
        <v>142</v>
      </c>
      <c r="J124">
        <v>35</v>
      </c>
    </row>
    <row r="125" spans="1:11">
      <c r="A125" t="s">
        <v>1678</v>
      </c>
      <c r="B125" t="s">
        <v>1679</v>
      </c>
      <c r="C125" t="s">
        <v>1680</v>
      </c>
      <c r="D125">
        <v>428</v>
      </c>
      <c r="E125" t="s">
        <v>1681</v>
      </c>
      <c r="F125" t="s">
        <v>1170</v>
      </c>
      <c r="G125" t="s">
        <v>1171</v>
      </c>
      <c r="I125">
        <v>150</v>
      </c>
      <c r="J125">
        <v>154</v>
      </c>
    </row>
    <row r="126" spans="1:11">
      <c r="A126" t="s">
        <v>1682</v>
      </c>
      <c r="B126" t="s">
        <v>1683</v>
      </c>
      <c r="C126" t="s">
        <v>1684</v>
      </c>
      <c r="D126">
        <v>422</v>
      </c>
      <c r="E126" t="s">
        <v>1685</v>
      </c>
      <c r="F126" t="s">
        <v>1164</v>
      </c>
      <c r="G126" t="s">
        <v>1223</v>
      </c>
      <c r="I126">
        <v>142</v>
      </c>
      <c r="J126">
        <v>145</v>
      </c>
    </row>
    <row r="127" spans="1:11">
      <c r="A127" t="s">
        <v>1686</v>
      </c>
      <c r="B127" t="s">
        <v>1687</v>
      </c>
      <c r="C127" t="s">
        <v>1688</v>
      </c>
      <c r="D127">
        <v>426</v>
      </c>
      <c r="E127" t="s">
        <v>1689</v>
      </c>
      <c r="F127" t="s">
        <v>1181</v>
      </c>
      <c r="G127" t="s">
        <v>1197</v>
      </c>
      <c r="H127" t="s">
        <v>1301</v>
      </c>
      <c r="I127">
        <v>2</v>
      </c>
      <c r="J127">
        <v>202</v>
      </c>
      <c r="K127">
        <v>18</v>
      </c>
    </row>
    <row r="128" spans="1:11">
      <c r="A128" t="s">
        <v>1690</v>
      </c>
      <c r="B128" t="s">
        <v>1691</v>
      </c>
      <c r="C128" t="s">
        <v>1692</v>
      </c>
      <c r="D128">
        <v>430</v>
      </c>
      <c r="E128" t="s">
        <v>1693</v>
      </c>
      <c r="F128" t="s">
        <v>1181</v>
      </c>
      <c r="G128" t="s">
        <v>1197</v>
      </c>
      <c r="H128" t="s">
        <v>1276</v>
      </c>
      <c r="I128">
        <v>2</v>
      </c>
      <c r="J128">
        <v>202</v>
      </c>
      <c r="K128">
        <v>11</v>
      </c>
    </row>
    <row r="129" spans="1:11">
      <c r="A129" t="s">
        <v>1694</v>
      </c>
      <c r="B129" t="s">
        <v>1695</v>
      </c>
      <c r="C129" t="s">
        <v>1696</v>
      </c>
      <c r="D129">
        <v>434</v>
      </c>
      <c r="E129" t="s">
        <v>1697</v>
      </c>
      <c r="F129" t="s">
        <v>1181</v>
      </c>
      <c r="G129" t="s">
        <v>1182</v>
      </c>
      <c r="I129">
        <v>2</v>
      </c>
      <c r="J129">
        <v>15</v>
      </c>
    </row>
    <row r="130" spans="1:11">
      <c r="A130" t="s">
        <v>1698</v>
      </c>
      <c r="B130" t="s">
        <v>1699</v>
      </c>
      <c r="C130" t="s">
        <v>1700</v>
      </c>
      <c r="D130">
        <v>438</v>
      </c>
      <c r="E130" t="s">
        <v>1701</v>
      </c>
      <c r="F130" t="s">
        <v>1170</v>
      </c>
      <c r="G130" t="s">
        <v>1237</v>
      </c>
      <c r="I130">
        <v>150</v>
      </c>
      <c r="J130">
        <v>155</v>
      </c>
    </row>
    <row r="131" spans="1:11">
      <c r="A131" t="s">
        <v>1702</v>
      </c>
      <c r="B131" t="s">
        <v>1703</v>
      </c>
      <c r="C131" t="s">
        <v>1704</v>
      </c>
      <c r="D131">
        <v>440</v>
      </c>
      <c r="E131" t="s">
        <v>1705</v>
      </c>
      <c r="F131" t="s">
        <v>1170</v>
      </c>
      <c r="G131" t="s">
        <v>1171</v>
      </c>
      <c r="I131">
        <v>150</v>
      </c>
      <c r="J131">
        <v>154</v>
      </c>
    </row>
    <row r="132" spans="1:11">
      <c r="A132" t="s">
        <v>1706</v>
      </c>
      <c r="B132" t="s">
        <v>1707</v>
      </c>
      <c r="C132" t="s">
        <v>1708</v>
      </c>
      <c r="D132">
        <v>442</v>
      </c>
      <c r="E132" t="s">
        <v>1709</v>
      </c>
      <c r="F132" t="s">
        <v>1170</v>
      </c>
      <c r="G132" t="s">
        <v>1237</v>
      </c>
      <c r="I132">
        <v>150</v>
      </c>
      <c r="J132">
        <v>155</v>
      </c>
    </row>
    <row r="133" spans="1:11">
      <c r="A133" t="s">
        <v>1710</v>
      </c>
      <c r="B133" t="s">
        <v>1711</v>
      </c>
      <c r="C133" t="s">
        <v>1712</v>
      </c>
      <c r="D133">
        <v>446</v>
      </c>
      <c r="E133" t="s">
        <v>1713</v>
      </c>
      <c r="F133" t="s">
        <v>1164</v>
      </c>
      <c r="G133" t="s">
        <v>1368</v>
      </c>
      <c r="I133">
        <v>142</v>
      </c>
      <c r="J133">
        <v>30</v>
      </c>
    </row>
    <row r="134" spans="1:11">
      <c r="A134" t="s">
        <v>1714</v>
      </c>
      <c r="B134" t="s">
        <v>1715</v>
      </c>
      <c r="C134" t="s">
        <v>1716</v>
      </c>
      <c r="D134">
        <v>450</v>
      </c>
      <c r="E134" t="s">
        <v>1717</v>
      </c>
      <c r="F134" t="s">
        <v>1181</v>
      </c>
      <c r="G134" t="s">
        <v>1197</v>
      </c>
      <c r="H134" t="s">
        <v>1314</v>
      </c>
      <c r="I134">
        <v>2</v>
      </c>
      <c r="J134">
        <v>202</v>
      </c>
      <c r="K134">
        <v>14</v>
      </c>
    </row>
    <row r="135" spans="1:11">
      <c r="A135" t="s">
        <v>1718</v>
      </c>
      <c r="B135" t="s">
        <v>1719</v>
      </c>
      <c r="C135" t="s">
        <v>1720</v>
      </c>
      <c r="D135">
        <v>454</v>
      </c>
      <c r="E135" t="s">
        <v>1721</v>
      </c>
      <c r="F135" t="s">
        <v>1181</v>
      </c>
      <c r="G135" t="s">
        <v>1197</v>
      </c>
      <c r="H135" t="s">
        <v>1314</v>
      </c>
      <c r="I135">
        <v>2</v>
      </c>
      <c r="J135">
        <v>202</v>
      </c>
      <c r="K135">
        <v>14</v>
      </c>
    </row>
    <row r="136" spans="1:11">
      <c r="A136" t="s">
        <v>1722</v>
      </c>
      <c r="B136" t="s">
        <v>1723</v>
      </c>
      <c r="C136" t="s">
        <v>1724</v>
      </c>
      <c r="D136">
        <v>458</v>
      </c>
      <c r="E136" t="s">
        <v>1725</v>
      </c>
      <c r="F136" t="s">
        <v>1164</v>
      </c>
      <c r="G136" t="s">
        <v>1319</v>
      </c>
      <c r="I136">
        <v>142</v>
      </c>
      <c r="J136">
        <v>35</v>
      </c>
    </row>
    <row r="137" spans="1:11">
      <c r="A137" t="s">
        <v>1726</v>
      </c>
      <c r="B137" t="s">
        <v>1727</v>
      </c>
      <c r="C137" t="s">
        <v>1728</v>
      </c>
      <c r="D137">
        <v>462</v>
      </c>
      <c r="E137" t="s">
        <v>1729</v>
      </c>
      <c r="F137" t="s">
        <v>1164</v>
      </c>
      <c r="G137" t="s">
        <v>1165</v>
      </c>
      <c r="I137">
        <v>142</v>
      </c>
      <c r="J137">
        <v>34</v>
      </c>
    </row>
    <row r="138" spans="1:11">
      <c r="A138" t="s">
        <v>1730</v>
      </c>
      <c r="B138" t="s">
        <v>1731</v>
      </c>
      <c r="C138" t="s">
        <v>1732</v>
      </c>
      <c r="D138">
        <v>466</v>
      </c>
      <c r="E138" t="s">
        <v>1733</v>
      </c>
      <c r="F138" t="s">
        <v>1181</v>
      </c>
      <c r="G138" t="s">
        <v>1197</v>
      </c>
      <c r="H138" t="s">
        <v>1276</v>
      </c>
      <c r="I138">
        <v>2</v>
      </c>
      <c r="J138">
        <v>202</v>
      </c>
      <c r="K138">
        <v>11</v>
      </c>
    </row>
    <row r="139" spans="1:11">
      <c r="A139" t="s">
        <v>1734</v>
      </c>
      <c r="B139" t="s">
        <v>1735</v>
      </c>
      <c r="C139" t="s">
        <v>1736</v>
      </c>
      <c r="D139">
        <v>470</v>
      </c>
      <c r="E139" t="s">
        <v>1737</v>
      </c>
      <c r="F139" t="s">
        <v>1170</v>
      </c>
      <c r="G139" t="s">
        <v>1176</v>
      </c>
      <c r="I139">
        <v>150</v>
      </c>
      <c r="J139">
        <v>39</v>
      </c>
    </row>
    <row r="140" spans="1:11">
      <c r="A140" t="s">
        <v>1738</v>
      </c>
      <c r="B140" t="s">
        <v>1739</v>
      </c>
      <c r="C140" t="s">
        <v>1740</v>
      </c>
      <c r="D140">
        <v>584</v>
      </c>
      <c r="E140" t="s">
        <v>1741</v>
      </c>
      <c r="F140" t="s">
        <v>1187</v>
      </c>
      <c r="G140" t="s">
        <v>1549</v>
      </c>
      <c r="I140">
        <v>9</v>
      </c>
      <c r="J140">
        <v>57</v>
      </c>
    </row>
    <row r="141" spans="1:11">
      <c r="A141" t="s">
        <v>1742</v>
      </c>
      <c r="B141" t="s">
        <v>1743</v>
      </c>
      <c r="C141" t="s">
        <v>1744</v>
      </c>
      <c r="D141">
        <v>474</v>
      </c>
      <c r="E141" t="s">
        <v>1745</v>
      </c>
      <c r="F141" t="s">
        <v>1203</v>
      </c>
      <c r="G141" t="s">
        <v>1204</v>
      </c>
      <c r="H141" t="s">
        <v>1205</v>
      </c>
      <c r="I141">
        <v>19</v>
      </c>
      <c r="J141">
        <v>419</v>
      </c>
      <c r="K141">
        <v>29</v>
      </c>
    </row>
    <row r="142" spans="1:11">
      <c r="A142" t="s">
        <v>1746</v>
      </c>
      <c r="B142" t="s">
        <v>1747</v>
      </c>
      <c r="C142" t="s">
        <v>1748</v>
      </c>
      <c r="D142">
        <v>478</v>
      </c>
      <c r="E142" t="s">
        <v>1749</v>
      </c>
      <c r="F142" t="s">
        <v>1181</v>
      </c>
      <c r="G142" t="s">
        <v>1197</v>
      </c>
      <c r="H142" t="s">
        <v>1276</v>
      </c>
      <c r="I142">
        <v>2</v>
      </c>
      <c r="J142">
        <v>202</v>
      </c>
      <c r="K142">
        <v>11</v>
      </c>
    </row>
    <row r="143" spans="1:11">
      <c r="A143" t="s">
        <v>1750</v>
      </c>
      <c r="B143" t="s">
        <v>1751</v>
      </c>
      <c r="C143" t="s">
        <v>1752</v>
      </c>
      <c r="D143">
        <v>480</v>
      </c>
      <c r="E143" t="s">
        <v>1753</v>
      </c>
      <c r="F143" t="s">
        <v>1181</v>
      </c>
      <c r="G143" t="s">
        <v>1197</v>
      </c>
      <c r="H143" t="s">
        <v>1314</v>
      </c>
      <c r="I143">
        <v>2</v>
      </c>
      <c r="J143">
        <v>202</v>
      </c>
      <c r="K143">
        <v>14</v>
      </c>
    </row>
    <row r="144" spans="1:11">
      <c r="A144" t="s">
        <v>1754</v>
      </c>
      <c r="B144" t="s">
        <v>1755</v>
      </c>
      <c r="C144" t="s">
        <v>1756</v>
      </c>
      <c r="D144">
        <v>175</v>
      </c>
      <c r="E144" t="s">
        <v>1757</v>
      </c>
      <c r="F144" t="s">
        <v>1181</v>
      </c>
      <c r="G144" t="s">
        <v>1197</v>
      </c>
      <c r="H144" t="s">
        <v>1314</v>
      </c>
      <c r="I144">
        <v>2</v>
      </c>
      <c r="J144">
        <v>202</v>
      </c>
      <c r="K144">
        <v>14</v>
      </c>
    </row>
    <row r="145" spans="1:11">
      <c r="A145" t="s">
        <v>1758</v>
      </c>
      <c r="B145" t="s">
        <v>1759</v>
      </c>
      <c r="C145" t="s">
        <v>1760</v>
      </c>
      <c r="D145">
        <v>484</v>
      </c>
      <c r="E145" t="s">
        <v>1761</v>
      </c>
      <c r="F145" t="s">
        <v>1203</v>
      </c>
      <c r="G145" t="s">
        <v>1204</v>
      </c>
      <c r="H145" t="s">
        <v>1271</v>
      </c>
      <c r="I145">
        <v>19</v>
      </c>
      <c r="J145">
        <v>419</v>
      </c>
      <c r="K145">
        <v>13</v>
      </c>
    </row>
    <row r="146" spans="1:11">
      <c r="A146" t="s">
        <v>1549</v>
      </c>
      <c r="B146" t="s">
        <v>1762</v>
      </c>
      <c r="C146" t="s">
        <v>1763</v>
      </c>
      <c r="D146">
        <v>583</v>
      </c>
      <c r="E146" t="s">
        <v>1764</v>
      </c>
      <c r="F146" t="s">
        <v>1764</v>
      </c>
      <c r="G146" t="s">
        <v>1187</v>
      </c>
      <c r="H146" t="s">
        <v>1549</v>
      </c>
      <c r="J146">
        <v>9</v>
      </c>
      <c r="K146">
        <v>57</v>
      </c>
    </row>
    <row r="147" spans="1:11">
      <c r="A147" t="s">
        <v>1765</v>
      </c>
      <c r="B147" t="s">
        <v>1766</v>
      </c>
      <c r="C147" t="s">
        <v>1767</v>
      </c>
      <c r="D147">
        <v>498</v>
      </c>
      <c r="E147" t="s">
        <v>1768</v>
      </c>
      <c r="F147" t="s">
        <v>1768</v>
      </c>
      <c r="G147" t="s">
        <v>1170</v>
      </c>
      <c r="H147" t="s">
        <v>1262</v>
      </c>
      <c r="J147">
        <v>150</v>
      </c>
      <c r="K147">
        <v>151</v>
      </c>
    </row>
    <row r="148" spans="1:11">
      <c r="A148" t="s">
        <v>1769</v>
      </c>
      <c r="B148" t="s">
        <v>1770</v>
      </c>
      <c r="C148" t="s">
        <v>1771</v>
      </c>
      <c r="D148">
        <v>492</v>
      </c>
      <c r="E148" t="s">
        <v>1772</v>
      </c>
      <c r="F148" t="s">
        <v>1170</v>
      </c>
      <c r="G148" t="s">
        <v>1237</v>
      </c>
      <c r="I148">
        <v>150</v>
      </c>
      <c r="J148">
        <v>155</v>
      </c>
    </row>
    <row r="149" spans="1:11">
      <c r="A149" t="s">
        <v>1773</v>
      </c>
      <c r="B149" t="s">
        <v>1774</v>
      </c>
      <c r="C149" t="s">
        <v>1775</v>
      </c>
      <c r="D149">
        <v>496</v>
      </c>
      <c r="E149" t="s">
        <v>1776</v>
      </c>
      <c r="F149" t="s">
        <v>1164</v>
      </c>
      <c r="G149" t="s">
        <v>1368</v>
      </c>
      <c r="I149">
        <v>142</v>
      </c>
      <c r="J149">
        <v>30</v>
      </c>
    </row>
    <row r="150" spans="1:11">
      <c r="A150" t="s">
        <v>1777</v>
      </c>
      <c r="B150" t="s">
        <v>1778</v>
      </c>
      <c r="C150" t="s">
        <v>1779</v>
      </c>
      <c r="D150">
        <v>499</v>
      </c>
      <c r="E150" t="s">
        <v>1780</v>
      </c>
      <c r="F150" t="s">
        <v>1170</v>
      </c>
      <c r="G150" t="s">
        <v>1176</v>
      </c>
      <c r="I150">
        <v>150</v>
      </c>
      <c r="J150">
        <v>39</v>
      </c>
    </row>
    <row r="151" spans="1:11">
      <c r="A151" t="s">
        <v>1781</v>
      </c>
      <c r="B151" t="s">
        <v>1782</v>
      </c>
      <c r="C151" t="s">
        <v>1783</v>
      </c>
      <c r="D151">
        <v>500</v>
      </c>
      <c r="E151" t="s">
        <v>1784</v>
      </c>
      <c r="F151" t="s">
        <v>1203</v>
      </c>
      <c r="G151" t="s">
        <v>1204</v>
      </c>
      <c r="H151" t="s">
        <v>1205</v>
      </c>
      <c r="I151">
        <v>19</v>
      </c>
      <c r="J151">
        <v>419</v>
      </c>
      <c r="K151">
        <v>29</v>
      </c>
    </row>
    <row r="152" spans="1:11">
      <c r="A152" t="s">
        <v>1785</v>
      </c>
      <c r="B152" t="s">
        <v>1786</v>
      </c>
      <c r="C152" t="s">
        <v>1787</v>
      </c>
      <c r="D152">
        <v>504</v>
      </c>
      <c r="E152" t="s">
        <v>1788</v>
      </c>
      <c r="F152" t="s">
        <v>1181</v>
      </c>
      <c r="G152" t="s">
        <v>1182</v>
      </c>
      <c r="I152">
        <v>2</v>
      </c>
      <c r="J152">
        <v>15</v>
      </c>
    </row>
    <row r="153" spans="1:11">
      <c r="A153" t="s">
        <v>1789</v>
      </c>
      <c r="B153" t="s">
        <v>1790</v>
      </c>
      <c r="C153" t="s">
        <v>1791</v>
      </c>
      <c r="D153">
        <v>508</v>
      </c>
      <c r="E153" t="s">
        <v>1792</v>
      </c>
      <c r="F153" t="s">
        <v>1181</v>
      </c>
      <c r="G153" t="s">
        <v>1197</v>
      </c>
      <c r="H153" t="s">
        <v>1314</v>
      </c>
      <c r="I153">
        <v>2</v>
      </c>
      <c r="J153">
        <v>202</v>
      </c>
      <c r="K153">
        <v>14</v>
      </c>
    </row>
    <row r="154" spans="1:11">
      <c r="A154" t="s">
        <v>1793</v>
      </c>
      <c r="B154" t="s">
        <v>1794</v>
      </c>
      <c r="C154" t="s">
        <v>1795</v>
      </c>
      <c r="D154">
        <v>104</v>
      </c>
      <c r="E154" t="s">
        <v>1796</v>
      </c>
      <c r="F154" t="s">
        <v>1164</v>
      </c>
      <c r="G154" t="s">
        <v>1319</v>
      </c>
      <c r="I154">
        <v>142</v>
      </c>
      <c r="J154">
        <v>35</v>
      </c>
    </row>
    <row r="155" spans="1:11">
      <c r="A155" t="s">
        <v>1797</v>
      </c>
      <c r="B155" t="s">
        <v>1798</v>
      </c>
      <c r="C155" t="s">
        <v>1799</v>
      </c>
      <c r="D155">
        <v>516</v>
      </c>
      <c r="E155" t="s">
        <v>1800</v>
      </c>
      <c r="F155" t="s">
        <v>1181</v>
      </c>
      <c r="G155" t="s">
        <v>1197</v>
      </c>
      <c r="H155" t="s">
        <v>1301</v>
      </c>
      <c r="I155">
        <v>2</v>
      </c>
      <c r="J155">
        <v>202</v>
      </c>
      <c r="K155">
        <v>18</v>
      </c>
    </row>
    <row r="156" spans="1:11">
      <c r="A156" t="s">
        <v>1801</v>
      </c>
      <c r="B156" t="s">
        <v>1802</v>
      </c>
      <c r="C156" t="s">
        <v>1803</v>
      </c>
      <c r="D156">
        <v>520</v>
      </c>
      <c r="E156" t="s">
        <v>1804</v>
      </c>
      <c r="F156" t="s">
        <v>1187</v>
      </c>
      <c r="G156" t="s">
        <v>1549</v>
      </c>
      <c r="I156">
        <v>9</v>
      </c>
      <c r="J156">
        <v>57</v>
      </c>
    </row>
    <row r="157" spans="1:11">
      <c r="A157" t="s">
        <v>1805</v>
      </c>
      <c r="B157" t="s">
        <v>1806</v>
      </c>
      <c r="C157" t="s">
        <v>1807</v>
      </c>
      <c r="D157">
        <v>524</v>
      </c>
      <c r="E157" t="s">
        <v>1808</v>
      </c>
      <c r="F157" t="s">
        <v>1164</v>
      </c>
      <c r="G157" t="s">
        <v>1165</v>
      </c>
      <c r="I157">
        <v>142</v>
      </c>
      <c r="J157">
        <v>34</v>
      </c>
    </row>
    <row r="158" spans="1:11">
      <c r="A158" t="s">
        <v>1809</v>
      </c>
      <c r="B158" t="s">
        <v>1810</v>
      </c>
      <c r="C158" t="s">
        <v>1811</v>
      </c>
      <c r="D158">
        <v>528</v>
      </c>
      <c r="E158" t="s">
        <v>1812</v>
      </c>
      <c r="F158" t="s">
        <v>1812</v>
      </c>
      <c r="G158" t="s">
        <v>1170</v>
      </c>
      <c r="H158" t="s">
        <v>1237</v>
      </c>
      <c r="J158">
        <v>150</v>
      </c>
      <c r="K158">
        <v>155</v>
      </c>
    </row>
    <row r="159" spans="1:11">
      <c r="A159" t="s">
        <v>1813</v>
      </c>
      <c r="B159" t="s">
        <v>1814</v>
      </c>
      <c r="C159" t="s">
        <v>1815</v>
      </c>
      <c r="D159">
        <v>540</v>
      </c>
      <c r="E159" t="s">
        <v>1816</v>
      </c>
      <c r="F159" t="s">
        <v>1187</v>
      </c>
      <c r="G159" t="s">
        <v>1484</v>
      </c>
      <c r="I159">
        <v>9</v>
      </c>
      <c r="J159">
        <v>54</v>
      </c>
    </row>
    <row r="160" spans="1:11">
      <c r="A160" t="s">
        <v>1817</v>
      </c>
      <c r="B160" t="s">
        <v>1818</v>
      </c>
      <c r="C160" t="s">
        <v>1819</v>
      </c>
      <c r="D160">
        <v>554</v>
      </c>
      <c r="E160" t="s">
        <v>1820</v>
      </c>
      <c r="F160" t="s">
        <v>1187</v>
      </c>
      <c r="G160" t="s">
        <v>1232</v>
      </c>
      <c r="I160">
        <v>9</v>
      </c>
      <c r="J160">
        <v>53</v>
      </c>
    </row>
    <row r="161" spans="1:11">
      <c r="A161" t="s">
        <v>1821</v>
      </c>
      <c r="B161" t="s">
        <v>1822</v>
      </c>
      <c r="C161" t="s">
        <v>1823</v>
      </c>
      <c r="D161">
        <v>558</v>
      </c>
      <c r="E161" t="s">
        <v>1824</v>
      </c>
      <c r="F161" t="s">
        <v>1203</v>
      </c>
      <c r="G161" t="s">
        <v>1204</v>
      </c>
      <c r="H161" t="s">
        <v>1271</v>
      </c>
      <c r="I161">
        <v>19</v>
      </c>
      <c r="J161">
        <v>419</v>
      </c>
      <c r="K161">
        <v>13</v>
      </c>
    </row>
    <row r="162" spans="1:11">
      <c r="A162" t="s">
        <v>1825</v>
      </c>
      <c r="B162" t="s">
        <v>1826</v>
      </c>
      <c r="C162" t="s">
        <v>1827</v>
      </c>
      <c r="D162">
        <v>562</v>
      </c>
      <c r="E162" t="s">
        <v>1828</v>
      </c>
      <c r="F162" t="s">
        <v>1181</v>
      </c>
      <c r="G162" t="s">
        <v>1197</v>
      </c>
      <c r="H162" t="s">
        <v>1276</v>
      </c>
      <c r="I162">
        <v>2</v>
      </c>
      <c r="J162">
        <v>202</v>
      </c>
      <c r="K162">
        <v>11</v>
      </c>
    </row>
    <row r="163" spans="1:11">
      <c r="A163" t="s">
        <v>1829</v>
      </c>
      <c r="B163" t="s">
        <v>1830</v>
      </c>
      <c r="C163" t="s">
        <v>1831</v>
      </c>
      <c r="D163">
        <v>566</v>
      </c>
      <c r="E163" t="s">
        <v>1832</v>
      </c>
      <c r="F163" t="s">
        <v>1181</v>
      </c>
      <c r="G163" t="s">
        <v>1197</v>
      </c>
      <c r="H163" t="s">
        <v>1276</v>
      </c>
      <c r="I163">
        <v>2</v>
      </c>
      <c r="J163">
        <v>202</v>
      </c>
      <c r="K163">
        <v>11</v>
      </c>
    </row>
    <row r="164" spans="1:11">
      <c r="A164" t="s">
        <v>1833</v>
      </c>
      <c r="B164" t="s">
        <v>1834</v>
      </c>
      <c r="C164" t="s">
        <v>1835</v>
      </c>
      <c r="D164">
        <v>570</v>
      </c>
      <c r="E164" t="s">
        <v>1836</v>
      </c>
      <c r="F164" t="s">
        <v>1187</v>
      </c>
      <c r="G164" t="s">
        <v>1188</v>
      </c>
      <c r="I164">
        <v>9</v>
      </c>
      <c r="J164">
        <v>61</v>
      </c>
    </row>
    <row r="165" spans="1:11">
      <c r="A165" t="s">
        <v>1837</v>
      </c>
      <c r="B165" t="s">
        <v>1838</v>
      </c>
      <c r="C165" t="s">
        <v>1839</v>
      </c>
      <c r="D165">
        <v>574</v>
      </c>
      <c r="E165" t="s">
        <v>1840</v>
      </c>
      <c r="F165" t="s">
        <v>1187</v>
      </c>
      <c r="G165" t="s">
        <v>1232</v>
      </c>
      <c r="I165">
        <v>9</v>
      </c>
      <c r="J165">
        <v>53</v>
      </c>
    </row>
    <row r="166" spans="1:11">
      <c r="A166" t="s">
        <v>1841</v>
      </c>
      <c r="B166" t="s">
        <v>1842</v>
      </c>
      <c r="C166" t="s">
        <v>858</v>
      </c>
      <c r="D166">
        <v>807</v>
      </c>
      <c r="E166" t="s">
        <v>1843</v>
      </c>
      <c r="F166" t="s">
        <v>1170</v>
      </c>
      <c r="G166" t="s">
        <v>1176</v>
      </c>
      <c r="I166">
        <v>150</v>
      </c>
      <c r="J166">
        <v>39</v>
      </c>
    </row>
    <row r="167" spans="1:11">
      <c r="A167" t="s">
        <v>1844</v>
      </c>
      <c r="B167" t="s">
        <v>1845</v>
      </c>
      <c r="C167" t="s">
        <v>1846</v>
      </c>
      <c r="D167">
        <v>580</v>
      </c>
      <c r="E167" t="s">
        <v>1847</v>
      </c>
      <c r="F167" t="s">
        <v>1187</v>
      </c>
      <c r="G167" t="s">
        <v>1549</v>
      </c>
      <c r="I167">
        <v>9</v>
      </c>
      <c r="J167">
        <v>57</v>
      </c>
    </row>
    <row r="168" spans="1:11">
      <c r="A168" t="s">
        <v>1848</v>
      </c>
      <c r="B168" t="s">
        <v>1849</v>
      </c>
      <c r="C168" t="s">
        <v>1850</v>
      </c>
      <c r="D168">
        <v>578</v>
      </c>
      <c r="E168" t="s">
        <v>1851</v>
      </c>
      <c r="F168" t="s">
        <v>1170</v>
      </c>
      <c r="G168" t="s">
        <v>1171</v>
      </c>
      <c r="I168">
        <v>150</v>
      </c>
      <c r="J168">
        <v>154</v>
      </c>
    </row>
    <row r="169" spans="1:11">
      <c r="A169" t="s">
        <v>1852</v>
      </c>
      <c r="B169" t="s">
        <v>1853</v>
      </c>
      <c r="C169" t="s">
        <v>1854</v>
      </c>
      <c r="D169">
        <v>512</v>
      </c>
      <c r="E169" t="s">
        <v>1855</v>
      </c>
      <c r="F169" t="s">
        <v>1164</v>
      </c>
      <c r="G169" t="s">
        <v>1223</v>
      </c>
      <c r="I169">
        <v>142</v>
      </c>
      <c r="J169">
        <v>145</v>
      </c>
    </row>
    <row r="170" spans="1:11">
      <c r="A170" t="s">
        <v>1856</v>
      </c>
      <c r="B170" t="s">
        <v>1857</v>
      </c>
      <c r="C170" t="s">
        <v>1858</v>
      </c>
      <c r="D170">
        <v>586</v>
      </c>
      <c r="E170" t="s">
        <v>1859</v>
      </c>
      <c r="F170" t="s">
        <v>1164</v>
      </c>
      <c r="G170" t="s">
        <v>1165</v>
      </c>
      <c r="I170">
        <v>142</v>
      </c>
      <c r="J170">
        <v>34</v>
      </c>
    </row>
    <row r="171" spans="1:11">
      <c r="A171" t="s">
        <v>1860</v>
      </c>
      <c r="B171" t="s">
        <v>1861</v>
      </c>
      <c r="C171" t="s">
        <v>1862</v>
      </c>
      <c r="D171">
        <v>585</v>
      </c>
      <c r="E171" t="s">
        <v>1863</v>
      </c>
      <c r="F171" t="s">
        <v>1187</v>
      </c>
      <c r="G171" t="s">
        <v>1549</v>
      </c>
      <c r="I171">
        <v>9</v>
      </c>
      <c r="J171">
        <v>57</v>
      </c>
    </row>
    <row r="172" spans="1:11">
      <c r="A172" t="s">
        <v>1864</v>
      </c>
      <c r="B172" t="s">
        <v>1865</v>
      </c>
      <c r="C172" t="s">
        <v>1866</v>
      </c>
      <c r="D172">
        <v>275</v>
      </c>
      <c r="E172" t="s">
        <v>1867</v>
      </c>
      <c r="F172" t="s">
        <v>1867</v>
      </c>
      <c r="G172" t="s">
        <v>1164</v>
      </c>
      <c r="H172" t="s">
        <v>1223</v>
      </c>
      <c r="J172">
        <v>142</v>
      </c>
      <c r="K172">
        <v>145</v>
      </c>
    </row>
    <row r="173" spans="1:11">
      <c r="A173" t="s">
        <v>1868</v>
      </c>
      <c r="B173" t="s">
        <v>1869</v>
      </c>
      <c r="C173" t="s">
        <v>1870</v>
      </c>
      <c r="D173">
        <v>591</v>
      </c>
      <c r="E173" t="s">
        <v>1871</v>
      </c>
      <c r="F173" t="s">
        <v>1203</v>
      </c>
      <c r="G173" t="s">
        <v>1204</v>
      </c>
      <c r="H173" t="s">
        <v>1271</v>
      </c>
      <c r="I173">
        <v>19</v>
      </c>
      <c r="J173">
        <v>419</v>
      </c>
      <c r="K173">
        <v>13</v>
      </c>
    </row>
    <row r="174" spans="1:11">
      <c r="A174" t="s">
        <v>1872</v>
      </c>
      <c r="B174" t="s">
        <v>1873</v>
      </c>
      <c r="C174" t="s">
        <v>1874</v>
      </c>
      <c r="D174">
        <v>598</v>
      </c>
      <c r="E174" t="s">
        <v>1875</v>
      </c>
      <c r="F174" t="s">
        <v>1187</v>
      </c>
      <c r="G174" t="s">
        <v>1484</v>
      </c>
      <c r="I174">
        <v>9</v>
      </c>
      <c r="J174">
        <v>54</v>
      </c>
    </row>
    <row r="175" spans="1:11">
      <c r="A175" t="s">
        <v>1876</v>
      </c>
      <c r="B175" t="s">
        <v>1877</v>
      </c>
      <c r="C175" t="s">
        <v>1878</v>
      </c>
      <c r="D175">
        <v>600</v>
      </c>
      <c r="E175" t="s">
        <v>1879</v>
      </c>
      <c r="F175" t="s">
        <v>1203</v>
      </c>
      <c r="G175" t="s">
        <v>1204</v>
      </c>
      <c r="H175" t="s">
        <v>1218</v>
      </c>
      <c r="I175">
        <v>19</v>
      </c>
      <c r="J175">
        <v>419</v>
      </c>
      <c r="K175">
        <v>5</v>
      </c>
    </row>
    <row r="176" spans="1:11">
      <c r="A176" t="s">
        <v>1880</v>
      </c>
      <c r="B176" t="s">
        <v>1881</v>
      </c>
      <c r="C176" t="s">
        <v>1882</v>
      </c>
      <c r="D176">
        <v>604</v>
      </c>
      <c r="E176" t="s">
        <v>1883</v>
      </c>
      <c r="F176" t="s">
        <v>1203</v>
      </c>
      <c r="G176" t="s">
        <v>1204</v>
      </c>
      <c r="H176" t="s">
        <v>1218</v>
      </c>
      <c r="I176">
        <v>19</v>
      </c>
      <c r="J176">
        <v>419</v>
      </c>
      <c r="K176">
        <v>5</v>
      </c>
    </row>
    <row r="177" spans="1:12">
      <c r="A177" t="s">
        <v>1884</v>
      </c>
      <c r="B177" t="s">
        <v>1885</v>
      </c>
      <c r="C177" t="s">
        <v>1886</v>
      </c>
      <c r="D177">
        <v>608</v>
      </c>
      <c r="E177" t="s">
        <v>1887</v>
      </c>
      <c r="F177" t="s">
        <v>1164</v>
      </c>
      <c r="G177" t="s">
        <v>1319</v>
      </c>
      <c r="I177">
        <v>142</v>
      </c>
      <c r="J177">
        <v>35</v>
      </c>
    </row>
    <row r="178" spans="1:12">
      <c r="A178" t="s">
        <v>1888</v>
      </c>
      <c r="B178" t="s">
        <v>1889</v>
      </c>
      <c r="C178" t="s">
        <v>1890</v>
      </c>
      <c r="D178">
        <v>612</v>
      </c>
      <c r="E178" t="s">
        <v>1891</v>
      </c>
      <c r="F178" t="s">
        <v>1187</v>
      </c>
      <c r="G178" t="s">
        <v>1188</v>
      </c>
      <c r="I178">
        <v>9</v>
      </c>
      <c r="J178">
        <v>61</v>
      </c>
    </row>
    <row r="179" spans="1:12">
      <c r="A179" t="s">
        <v>1892</v>
      </c>
      <c r="B179" t="s">
        <v>1893</v>
      </c>
      <c r="C179" t="s">
        <v>1894</v>
      </c>
      <c r="D179">
        <v>616</v>
      </c>
      <c r="E179" t="s">
        <v>1895</v>
      </c>
      <c r="F179" t="s">
        <v>1170</v>
      </c>
      <c r="G179" t="s">
        <v>1262</v>
      </c>
      <c r="I179">
        <v>150</v>
      </c>
      <c r="J179">
        <v>151</v>
      </c>
    </row>
    <row r="180" spans="1:12">
      <c r="A180" t="s">
        <v>1896</v>
      </c>
      <c r="B180" t="s">
        <v>1897</v>
      </c>
      <c r="C180" t="s">
        <v>1898</v>
      </c>
      <c r="D180">
        <v>620</v>
      </c>
      <c r="E180" t="s">
        <v>1899</v>
      </c>
      <c r="F180" t="s">
        <v>1170</v>
      </c>
      <c r="G180" t="s">
        <v>1176</v>
      </c>
      <c r="I180">
        <v>150</v>
      </c>
      <c r="J180">
        <v>39</v>
      </c>
    </row>
    <row r="181" spans="1:12">
      <c r="A181" t="s">
        <v>1900</v>
      </c>
      <c r="B181" t="s">
        <v>1901</v>
      </c>
      <c r="C181" t="s">
        <v>1902</v>
      </c>
      <c r="D181">
        <v>630</v>
      </c>
      <c r="E181" t="s">
        <v>1903</v>
      </c>
      <c r="F181" t="s">
        <v>1203</v>
      </c>
      <c r="G181" t="s">
        <v>1204</v>
      </c>
      <c r="H181" t="s">
        <v>1205</v>
      </c>
      <c r="I181">
        <v>19</v>
      </c>
      <c r="J181">
        <v>419</v>
      </c>
      <c r="K181">
        <v>29</v>
      </c>
    </row>
    <row r="182" spans="1:12">
      <c r="A182" t="s">
        <v>1904</v>
      </c>
      <c r="B182" t="s">
        <v>1905</v>
      </c>
      <c r="C182" t="s">
        <v>1906</v>
      </c>
      <c r="D182">
        <v>634</v>
      </c>
      <c r="E182" t="s">
        <v>1907</v>
      </c>
      <c r="F182" t="s">
        <v>1164</v>
      </c>
      <c r="G182" t="s">
        <v>1223</v>
      </c>
      <c r="I182">
        <v>142</v>
      </c>
      <c r="J182">
        <v>145</v>
      </c>
    </row>
    <row r="183" spans="1:12">
      <c r="A183" t="s">
        <v>1908</v>
      </c>
      <c r="B183" t="s">
        <v>1909</v>
      </c>
      <c r="C183" t="s">
        <v>1910</v>
      </c>
      <c r="D183">
        <v>638</v>
      </c>
      <c r="E183" t="s">
        <v>1911</v>
      </c>
      <c r="F183" t="s">
        <v>1181</v>
      </c>
      <c r="G183" t="s">
        <v>1197</v>
      </c>
      <c r="H183" t="s">
        <v>1314</v>
      </c>
      <c r="I183">
        <v>2</v>
      </c>
      <c r="J183">
        <v>202</v>
      </c>
      <c r="K183">
        <v>14</v>
      </c>
    </row>
    <row r="184" spans="1:12">
      <c r="A184" t="s">
        <v>1912</v>
      </c>
      <c r="B184" t="s">
        <v>1913</v>
      </c>
      <c r="C184" t="s">
        <v>1914</v>
      </c>
      <c r="D184">
        <v>642</v>
      </c>
      <c r="E184" t="s">
        <v>1915</v>
      </c>
      <c r="F184" t="s">
        <v>1170</v>
      </c>
      <c r="G184" t="s">
        <v>1262</v>
      </c>
      <c r="I184">
        <v>150</v>
      </c>
      <c r="J184">
        <v>151</v>
      </c>
    </row>
    <row r="185" spans="1:12">
      <c r="A185" t="s">
        <v>1916</v>
      </c>
      <c r="B185" t="s">
        <v>1917</v>
      </c>
      <c r="C185" t="s">
        <v>1918</v>
      </c>
      <c r="D185">
        <v>643</v>
      </c>
      <c r="E185" t="s">
        <v>1919</v>
      </c>
      <c r="F185" t="s">
        <v>1170</v>
      </c>
      <c r="G185" t="s">
        <v>1262</v>
      </c>
      <c r="I185">
        <v>150</v>
      </c>
      <c r="J185">
        <v>151</v>
      </c>
    </row>
    <row r="186" spans="1:12">
      <c r="A186" t="s">
        <v>1920</v>
      </c>
      <c r="B186" t="s">
        <v>1921</v>
      </c>
      <c r="C186" t="s">
        <v>1922</v>
      </c>
      <c r="D186">
        <v>646</v>
      </c>
      <c r="E186" t="s">
        <v>1923</v>
      </c>
      <c r="F186" t="s">
        <v>1181</v>
      </c>
      <c r="G186" t="s">
        <v>1197</v>
      </c>
      <c r="H186" t="s">
        <v>1314</v>
      </c>
      <c r="I186">
        <v>2</v>
      </c>
      <c r="J186">
        <v>202</v>
      </c>
      <c r="K186">
        <v>14</v>
      </c>
    </row>
    <row r="187" spans="1:12">
      <c r="A187" t="s">
        <v>1924</v>
      </c>
      <c r="B187" t="s">
        <v>1925</v>
      </c>
      <c r="C187" t="s">
        <v>1926</v>
      </c>
      <c r="D187">
        <v>652</v>
      </c>
      <c r="E187" t="s">
        <v>1927</v>
      </c>
      <c r="F187" t="s">
        <v>1203</v>
      </c>
      <c r="G187" t="s">
        <v>1204</v>
      </c>
      <c r="H187" t="s">
        <v>1205</v>
      </c>
      <c r="I187">
        <v>19</v>
      </c>
      <c r="J187">
        <v>419</v>
      </c>
      <c r="K187">
        <v>29</v>
      </c>
    </row>
    <row r="188" spans="1:12">
      <c r="A188" t="s">
        <v>1928</v>
      </c>
      <c r="B188" t="s">
        <v>1929</v>
      </c>
      <c r="C188" t="s">
        <v>1930</v>
      </c>
      <c r="D188">
        <v>654</v>
      </c>
      <c r="E188" t="s">
        <v>1931</v>
      </c>
      <c r="F188" t="s">
        <v>1931</v>
      </c>
      <c r="G188" t="s">
        <v>1181</v>
      </c>
      <c r="H188" t="s">
        <v>1197</v>
      </c>
      <c r="I188" t="s">
        <v>1276</v>
      </c>
      <c r="J188">
        <v>2</v>
      </c>
      <c r="K188">
        <v>202</v>
      </c>
      <c r="L188">
        <v>11</v>
      </c>
    </row>
    <row r="189" spans="1:12">
      <c r="A189" t="s">
        <v>1932</v>
      </c>
      <c r="B189" t="s">
        <v>1933</v>
      </c>
      <c r="C189" t="s">
        <v>1934</v>
      </c>
      <c r="D189">
        <v>659</v>
      </c>
      <c r="E189" t="s">
        <v>1935</v>
      </c>
      <c r="F189" t="s">
        <v>1203</v>
      </c>
      <c r="G189" t="s">
        <v>1204</v>
      </c>
      <c r="H189" t="s">
        <v>1205</v>
      </c>
      <c r="I189">
        <v>19</v>
      </c>
      <c r="J189">
        <v>419</v>
      </c>
      <c r="K189">
        <v>29</v>
      </c>
    </row>
    <row r="190" spans="1:12">
      <c r="A190" t="s">
        <v>1936</v>
      </c>
      <c r="B190" t="s">
        <v>1937</v>
      </c>
      <c r="C190" t="s">
        <v>1938</v>
      </c>
      <c r="D190">
        <v>662</v>
      </c>
      <c r="E190" t="s">
        <v>1939</v>
      </c>
      <c r="F190" t="s">
        <v>1203</v>
      </c>
      <c r="G190" t="s">
        <v>1204</v>
      </c>
      <c r="H190" t="s">
        <v>1205</v>
      </c>
      <c r="I190">
        <v>19</v>
      </c>
      <c r="J190">
        <v>419</v>
      </c>
      <c r="K190">
        <v>29</v>
      </c>
    </row>
    <row r="191" spans="1:12">
      <c r="A191" t="s">
        <v>1940</v>
      </c>
      <c r="B191" t="s">
        <v>1941</v>
      </c>
      <c r="C191" t="s">
        <v>1942</v>
      </c>
      <c r="D191">
        <v>663</v>
      </c>
      <c r="E191" t="s">
        <v>1943</v>
      </c>
      <c r="F191" t="s">
        <v>1203</v>
      </c>
      <c r="G191" t="s">
        <v>1204</v>
      </c>
      <c r="H191" t="s">
        <v>1205</v>
      </c>
      <c r="I191">
        <v>19</v>
      </c>
      <c r="J191">
        <v>419</v>
      </c>
      <c r="K191">
        <v>29</v>
      </c>
    </row>
    <row r="192" spans="1:12">
      <c r="A192" t="s">
        <v>1944</v>
      </c>
      <c r="B192" t="s">
        <v>1945</v>
      </c>
      <c r="C192" t="s">
        <v>1946</v>
      </c>
      <c r="D192">
        <v>666</v>
      </c>
      <c r="E192" t="s">
        <v>1947</v>
      </c>
      <c r="F192" t="s">
        <v>1203</v>
      </c>
      <c r="G192" t="s">
        <v>1281</v>
      </c>
      <c r="I192">
        <v>19</v>
      </c>
      <c r="J192">
        <v>21</v>
      </c>
    </row>
    <row r="193" spans="1:11">
      <c r="A193" t="s">
        <v>1948</v>
      </c>
      <c r="B193" t="s">
        <v>1949</v>
      </c>
      <c r="C193" t="s">
        <v>1950</v>
      </c>
      <c r="D193">
        <v>670</v>
      </c>
      <c r="E193" t="s">
        <v>1951</v>
      </c>
      <c r="F193" t="s">
        <v>1203</v>
      </c>
      <c r="G193" t="s">
        <v>1204</v>
      </c>
      <c r="H193" t="s">
        <v>1205</v>
      </c>
      <c r="I193">
        <v>19</v>
      </c>
      <c r="J193">
        <v>419</v>
      </c>
      <c r="K193">
        <v>29</v>
      </c>
    </row>
    <row r="194" spans="1:11">
      <c r="A194" t="s">
        <v>1952</v>
      </c>
      <c r="B194" t="s">
        <v>1953</v>
      </c>
      <c r="C194" t="s">
        <v>1954</v>
      </c>
      <c r="D194">
        <v>882</v>
      </c>
      <c r="E194" t="s">
        <v>1955</v>
      </c>
      <c r="F194" t="s">
        <v>1187</v>
      </c>
      <c r="G194" t="s">
        <v>1188</v>
      </c>
      <c r="I194">
        <v>9</v>
      </c>
      <c r="J194">
        <v>61</v>
      </c>
    </row>
    <row r="195" spans="1:11">
      <c r="A195" t="s">
        <v>1956</v>
      </c>
      <c r="B195" t="s">
        <v>1957</v>
      </c>
      <c r="C195" t="s">
        <v>1958</v>
      </c>
      <c r="D195">
        <v>674</v>
      </c>
      <c r="E195" t="s">
        <v>1959</v>
      </c>
      <c r="F195" t="s">
        <v>1170</v>
      </c>
      <c r="G195" t="s">
        <v>1176</v>
      </c>
      <c r="I195">
        <v>150</v>
      </c>
      <c r="J195">
        <v>39</v>
      </c>
    </row>
    <row r="196" spans="1:11">
      <c r="A196" t="s">
        <v>1960</v>
      </c>
      <c r="B196" t="s">
        <v>1961</v>
      </c>
      <c r="C196" t="s">
        <v>1962</v>
      </c>
      <c r="D196">
        <v>678</v>
      </c>
      <c r="E196" t="s">
        <v>1963</v>
      </c>
      <c r="F196" t="s">
        <v>1181</v>
      </c>
      <c r="G196" t="s">
        <v>1197</v>
      </c>
      <c r="H196" t="s">
        <v>1198</v>
      </c>
      <c r="I196">
        <v>2</v>
      </c>
      <c r="J196">
        <v>202</v>
      </c>
      <c r="K196">
        <v>17</v>
      </c>
    </row>
    <row r="197" spans="1:11">
      <c r="A197" t="s">
        <v>1964</v>
      </c>
      <c r="B197" t="s">
        <v>1965</v>
      </c>
      <c r="C197" t="s">
        <v>1966</v>
      </c>
      <c r="D197">
        <v>682</v>
      </c>
      <c r="E197" t="s">
        <v>1967</v>
      </c>
      <c r="F197" t="s">
        <v>1164</v>
      </c>
      <c r="G197" t="s">
        <v>1223</v>
      </c>
      <c r="I197">
        <v>142</v>
      </c>
      <c r="J197">
        <v>145</v>
      </c>
    </row>
    <row r="198" spans="1:11">
      <c r="A198" t="s">
        <v>1968</v>
      </c>
      <c r="B198" t="s">
        <v>1969</v>
      </c>
      <c r="C198" t="s">
        <v>1970</v>
      </c>
      <c r="D198">
        <v>686</v>
      </c>
      <c r="E198" t="s">
        <v>1971</v>
      </c>
      <c r="F198" t="s">
        <v>1181</v>
      </c>
      <c r="G198" t="s">
        <v>1197</v>
      </c>
      <c r="H198" t="s">
        <v>1276</v>
      </c>
      <c r="I198">
        <v>2</v>
      </c>
      <c r="J198">
        <v>202</v>
      </c>
      <c r="K198">
        <v>11</v>
      </c>
    </row>
    <row r="199" spans="1:11">
      <c r="A199" t="s">
        <v>1972</v>
      </c>
      <c r="B199" t="s">
        <v>1973</v>
      </c>
      <c r="C199" t="s">
        <v>1974</v>
      </c>
      <c r="D199">
        <v>688</v>
      </c>
      <c r="E199" t="s">
        <v>1975</v>
      </c>
      <c r="F199" t="s">
        <v>1170</v>
      </c>
      <c r="G199" t="s">
        <v>1176</v>
      </c>
      <c r="I199">
        <v>150</v>
      </c>
      <c r="J199">
        <v>39</v>
      </c>
    </row>
    <row r="200" spans="1:11">
      <c r="A200" t="s">
        <v>1976</v>
      </c>
      <c r="B200" t="s">
        <v>1977</v>
      </c>
      <c r="C200" t="s">
        <v>1978</v>
      </c>
      <c r="D200">
        <v>690</v>
      </c>
      <c r="E200" t="s">
        <v>1979</v>
      </c>
      <c r="F200" t="s">
        <v>1181</v>
      </c>
      <c r="G200" t="s">
        <v>1197</v>
      </c>
      <c r="H200" t="s">
        <v>1314</v>
      </c>
      <c r="I200">
        <v>2</v>
      </c>
      <c r="J200">
        <v>202</v>
      </c>
      <c r="K200">
        <v>14</v>
      </c>
    </row>
    <row r="201" spans="1:11">
      <c r="A201" t="s">
        <v>1980</v>
      </c>
      <c r="B201" t="s">
        <v>1981</v>
      </c>
      <c r="C201" t="s">
        <v>950</v>
      </c>
      <c r="D201">
        <v>694</v>
      </c>
      <c r="E201" t="s">
        <v>1982</v>
      </c>
      <c r="F201" t="s">
        <v>1181</v>
      </c>
      <c r="G201" t="s">
        <v>1197</v>
      </c>
      <c r="H201" t="s">
        <v>1276</v>
      </c>
      <c r="I201">
        <v>2</v>
      </c>
      <c r="J201">
        <v>202</v>
      </c>
      <c r="K201">
        <v>11</v>
      </c>
    </row>
    <row r="202" spans="1:11">
      <c r="A202" t="s">
        <v>1983</v>
      </c>
      <c r="B202" t="s">
        <v>1984</v>
      </c>
      <c r="C202" t="s">
        <v>1985</v>
      </c>
      <c r="D202">
        <v>702</v>
      </c>
      <c r="E202" t="s">
        <v>1986</v>
      </c>
      <c r="F202" t="s">
        <v>1164</v>
      </c>
      <c r="G202" t="s">
        <v>1319</v>
      </c>
      <c r="I202">
        <v>142</v>
      </c>
      <c r="J202">
        <v>35</v>
      </c>
    </row>
    <row r="203" spans="1:11">
      <c r="A203" t="s">
        <v>1987</v>
      </c>
      <c r="B203" t="s">
        <v>1988</v>
      </c>
      <c r="C203" t="s">
        <v>1989</v>
      </c>
      <c r="D203">
        <v>534</v>
      </c>
      <c r="E203" t="s">
        <v>1990</v>
      </c>
      <c r="F203" t="s">
        <v>1203</v>
      </c>
      <c r="G203" t="s">
        <v>1204</v>
      </c>
      <c r="H203" t="s">
        <v>1205</v>
      </c>
      <c r="I203">
        <v>19</v>
      </c>
      <c r="J203">
        <v>419</v>
      </c>
      <c r="K203">
        <v>29</v>
      </c>
    </row>
    <row r="204" spans="1:11">
      <c r="A204" t="s">
        <v>1991</v>
      </c>
      <c r="B204" t="s">
        <v>1992</v>
      </c>
      <c r="C204" t="s">
        <v>1993</v>
      </c>
      <c r="D204">
        <v>703</v>
      </c>
      <c r="E204" t="s">
        <v>1994</v>
      </c>
      <c r="F204" t="s">
        <v>1170</v>
      </c>
      <c r="G204" t="s">
        <v>1262</v>
      </c>
      <c r="I204">
        <v>150</v>
      </c>
      <c r="J204">
        <v>151</v>
      </c>
    </row>
    <row r="205" spans="1:11">
      <c r="A205" t="s">
        <v>1995</v>
      </c>
      <c r="B205" t="s">
        <v>1996</v>
      </c>
      <c r="C205" t="s">
        <v>1997</v>
      </c>
      <c r="D205">
        <v>705</v>
      </c>
      <c r="E205" t="s">
        <v>1998</v>
      </c>
      <c r="F205" t="s">
        <v>1170</v>
      </c>
      <c r="G205" t="s">
        <v>1176</v>
      </c>
      <c r="I205">
        <v>150</v>
      </c>
      <c r="J205">
        <v>39</v>
      </c>
    </row>
    <row r="206" spans="1:11">
      <c r="A206" t="s">
        <v>1999</v>
      </c>
      <c r="B206" t="s">
        <v>2000</v>
      </c>
      <c r="C206" t="s">
        <v>2001</v>
      </c>
      <c r="D206">
        <v>90</v>
      </c>
      <c r="E206" t="s">
        <v>2002</v>
      </c>
      <c r="F206" t="s">
        <v>1187</v>
      </c>
      <c r="G206" t="s">
        <v>1484</v>
      </c>
      <c r="I206">
        <v>9</v>
      </c>
      <c r="J206">
        <v>54</v>
      </c>
    </row>
    <row r="207" spans="1:11">
      <c r="A207" t="s">
        <v>2003</v>
      </c>
      <c r="B207" t="s">
        <v>2004</v>
      </c>
      <c r="C207" t="s">
        <v>2005</v>
      </c>
      <c r="D207">
        <v>706</v>
      </c>
      <c r="E207" t="s">
        <v>2006</v>
      </c>
      <c r="F207" t="s">
        <v>1181</v>
      </c>
      <c r="G207" t="s">
        <v>1197</v>
      </c>
      <c r="H207" t="s">
        <v>1314</v>
      </c>
      <c r="I207">
        <v>2</v>
      </c>
      <c r="J207">
        <v>202</v>
      </c>
      <c r="K207">
        <v>14</v>
      </c>
    </row>
    <row r="208" spans="1:11">
      <c r="A208" t="s">
        <v>2007</v>
      </c>
      <c r="B208" t="s">
        <v>2008</v>
      </c>
      <c r="C208" t="s">
        <v>2009</v>
      </c>
      <c r="D208">
        <v>710</v>
      </c>
      <c r="E208" t="s">
        <v>2010</v>
      </c>
      <c r="F208" t="s">
        <v>1181</v>
      </c>
      <c r="G208" t="s">
        <v>1197</v>
      </c>
      <c r="H208" t="s">
        <v>1301</v>
      </c>
      <c r="I208">
        <v>2</v>
      </c>
      <c r="J208">
        <v>202</v>
      </c>
      <c r="K208">
        <v>18</v>
      </c>
    </row>
    <row r="209" spans="1:12">
      <c r="A209" t="s">
        <v>2011</v>
      </c>
      <c r="B209" t="s">
        <v>2012</v>
      </c>
      <c r="C209" t="s">
        <v>2013</v>
      </c>
      <c r="D209">
        <v>239</v>
      </c>
      <c r="E209" t="s">
        <v>2014</v>
      </c>
      <c r="F209" t="s">
        <v>1203</v>
      </c>
      <c r="G209" t="s">
        <v>1204</v>
      </c>
      <c r="H209" t="s">
        <v>1218</v>
      </c>
      <c r="I209">
        <v>19</v>
      </c>
      <c r="J209">
        <v>419</v>
      </c>
      <c r="K209">
        <v>5</v>
      </c>
    </row>
    <row r="210" spans="1:12">
      <c r="A210" t="s">
        <v>2015</v>
      </c>
      <c r="B210" t="s">
        <v>2016</v>
      </c>
      <c r="C210" t="s">
        <v>2017</v>
      </c>
      <c r="D210">
        <v>728</v>
      </c>
      <c r="E210" t="s">
        <v>2018</v>
      </c>
      <c r="F210" t="s">
        <v>1181</v>
      </c>
      <c r="G210" t="s">
        <v>1197</v>
      </c>
      <c r="H210" t="s">
        <v>1314</v>
      </c>
      <c r="I210">
        <v>2</v>
      </c>
      <c r="J210">
        <v>202</v>
      </c>
      <c r="K210">
        <v>14</v>
      </c>
    </row>
    <row r="211" spans="1:12">
      <c r="A211" t="s">
        <v>2019</v>
      </c>
      <c r="B211" t="s">
        <v>2020</v>
      </c>
      <c r="C211" t="s">
        <v>2021</v>
      </c>
      <c r="D211">
        <v>724</v>
      </c>
      <c r="E211" t="s">
        <v>2022</v>
      </c>
      <c r="F211" t="s">
        <v>1170</v>
      </c>
      <c r="G211" t="s">
        <v>1176</v>
      </c>
      <c r="I211">
        <v>150</v>
      </c>
      <c r="J211">
        <v>39</v>
      </c>
    </row>
    <row r="212" spans="1:12">
      <c r="A212" t="s">
        <v>2023</v>
      </c>
      <c r="B212" t="s">
        <v>2024</v>
      </c>
      <c r="C212" t="s">
        <v>2025</v>
      </c>
      <c r="D212">
        <v>144</v>
      </c>
      <c r="E212" t="s">
        <v>2026</v>
      </c>
      <c r="F212" t="s">
        <v>1164</v>
      </c>
      <c r="G212" t="s">
        <v>1165</v>
      </c>
      <c r="I212">
        <v>142</v>
      </c>
      <c r="J212">
        <v>34</v>
      </c>
    </row>
    <row r="213" spans="1:12">
      <c r="A213" t="s">
        <v>2027</v>
      </c>
      <c r="B213" t="s">
        <v>2028</v>
      </c>
      <c r="C213" t="s">
        <v>2029</v>
      </c>
      <c r="D213">
        <v>729</v>
      </c>
      <c r="E213" t="s">
        <v>2030</v>
      </c>
      <c r="F213" t="s">
        <v>1181</v>
      </c>
      <c r="G213" t="s">
        <v>1182</v>
      </c>
      <c r="I213">
        <v>2</v>
      </c>
      <c r="J213">
        <v>15</v>
      </c>
    </row>
    <row r="214" spans="1:12">
      <c r="A214" t="s">
        <v>2031</v>
      </c>
      <c r="B214" t="s">
        <v>2032</v>
      </c>
      <c r="C214" t="s">
        <v>2033</v>
      </c>
      <c r="D214">
        <v>740</v>
      </c>
      <c r="E214" t="s">
        <v>2034</v>
      </c>
      <c r="F214" t="s">
        <v>1203</v>
      </c>
      <c r="G214" t="s">
        <v>1204</v>
      </c>
      <c r="H214" t="s">
        <v>1218</v>
      </c>
      <c r="I214">
        <v>19</v>
      </c>
      <c r="J214">
        <v>419</v>
      </c>
      <c r="K214">
        <v>5</v>
      </c>
    </row>
    <row r="215" spans="1:12">
      <c r="A215" t="s">
        <v>2035</v>
      </c>
      <c r="B215" t="s">
        <v>2036</v>
      </c>
      <c r="C215" t="s">
        <v>2037</v>
      </c>
      <c r="D215">
        <v>744</v>
      </c>
      <c r="E215" t="s">
        <v>2038</v>
      </c>
      <c r="F215" t="s">
        <v>1170</v>
      </c>
      <c r="G215" t="s">
        <v>1171</v>
      </c>
      <c r="I215">
        <v>150</v>
      </c>
      <c r="J215">
        <v>154</v>
      </c>
    </row>
    <row r="216" spans="1:12">
      <c r="A216" t="s">
        <v>2039</v>
      </c>
      <c r="B216" t="s">
        <v>2040</v>
      </c>
      <c r="C216" t="s">
        <v>2041</v>
      </c>
      <c r="D216">
        <v>752</v>
      </c>
      <c r="E216" t="s">
        <v>2042</v>
      </c>
      <c r="F216" t="s">
        <v>1170</v>
      </c>
      <c r="G216" t="s">
        <v>1171</v>
      </c>
      <c r="I216">
        <v>150</v>
      </c>
      <c r="J216">
        <v>154</v>
      </c>
    </row>
    <row r="217" spans="1:12">
      <c r="A217" t="s">
        <v>2043</v>
      </c>
      <c r="B217" t="s">
        <v>2044</v>
      </c>
      <c r="C217" t="s">
        <v>997</v>
      </c>
      <c r="D217">
        <v>756</v>
      </c>
      <c r="E217" t="s">
        <v>2045</v>
      </c>
      <c r="F217" t="s">
        <v>1170</v>
      </c>
      <c r="G217" t="s">
        <v>1237</v>
      </c>
      <c r="I217">
        <v>150</v>
      </c>
      <c r="J217">
        <v>155</v>
      </c>
    </row>
    <row r="218" spans="1:12">
      <c r="A218" t="s">
        <v>2046</v>
      </c>
      <c r="B218" t="s">
        <v>2047</v>
      </c>
      <c r="C218" t="s">
        <v>2048</v>
      </c>
      <c r="D218">
        <v>760</v>
      </c>
      <c r="E218" t="s">
        <v>2049</v>
      </c>
      <c r="F218" t="s">
        <v>1164</v>
      </c>
      <c r="G218" t="s">
        <v>1223</v>
      </c>
      <c r="I218">
        <v>142</v>
      </c>
      <c r="J218">
        <v>145</v>
      </c>
    </row>
    <row r="219" spans="1:12">
      <c r="A219" t="s">
        <v>2050</v>
      </c>
      <c r="B219" t="s">
        <v>2051</v>
      </c>
      <c r="C219" t="s">
        <v>2052</v>
      </c>
      <c r="D219">
        <v>158</v>
      </c>
      <c r="E219" t="s">
        <v>2053</v>
      </c>
      <c r="F219" t="s">
        <v>2053</v>
      </c>
    </row>
    <row r="220" spans="1:12">
      <c r="A220" t="s">
        <v>2054</v>
      </c>
      <c r="B220" t="s">
        <v>2055</v>
      </c>
      <c r="C220" t="s">
        <v>2056</v>
      </c>
      <c r="D220">
        <v>762</v>
      </c>
      <c r="E220" t="s">
        <v>2057</v>
      </c>
      <c r="F220" t="s">
        <v>1164</v>
      </c>
      <c r="G220" t="s">
        <v>1650</v>
      </c>
      <c r="I220">
        <v>142</v>
      </c>
      <c r="J220">
        <v>143</v>
      </c>
    </row>
    <row r="221" spans="1:12">
      <c r="A221" t="s">
        <v>2058</v>
      </c>
      <c r="B221" t="s">
        <v>2059</v>
      </c>
      <c r="C221" t="s">
        <v>2060</v>
      </c>
      <c r="D221">
        <v>834</v>
      </c>
      <c r="E221" t="s">
        <v>2061</v>
      </c>
      <c r="F221" t="s">
        <v>2061</v>
      </c>
      <c r="G221" t="s">
        <v>1181</v>
      </c>
      <c r="H221" t="s">
        <v>1197</v>
      </c>
      <c r="I221" t="s">
        <v>1314</v>
      </c>
      <c r="J221">
        <v>2</v>
      </c>
      <c r="K221">
        <v>202</v>
      </c>
      <c r="L221">
        <v>14</v>
      </c>
    </row>
    <row r="222" spans="1:12">
      <c r="A222" t="s">
        <v>2062</v>
      </c>
      <c r="B222" t="s">
        <v>2063</v>
      </c>
      <c r="C222" t="s">
        <v>2064</v>
      </c>
      <c r="D222">
        <v>764</v>
      </c>
      <c r="E222" t="s">
        <v>2065</v>
      </c>
      <c r="F222" t="s">
        <v>1164</v>
      </c>
      <c r="G222" t="s">
        <v>1319</v>
      </c>
      <c r="I222">
        <v>142</v>
      </c>
      <c r="J222">
        <v>35</v>
      </c>
    </row>
    <row r="223" spans="1:12">
      <c r="A223" t="s">
        <v>2066</v>
      </c>
      <c r="B223" t="s">
        <v>2067</v>
      </c>
      <c r="C223" t="s">
        <v>2068</v>
      </c>
      <c r="D223">
        <v>626</v>
      </c>
      <c r="E223" t="s">
        <v>2069</v>
      </c>
      <c r="F223" t="s">
        <v>1164</v>
      </c>
      <c r="G223" t="s">
        <v>1319</v>
      </c>
      <c r="I223">
        <v>142</v>
      </c>
      <c r="J223">
        <v>35</v>
      </c>
    </row>
    <row r="224" spans="1:12">
      <c r="A224" t="s">
        <v>2070</v>
      </c>
      <c r="B224" t="s">
        <v>2071</v>
      </c>
      <c r="C224" t="s">
        <v>2072</v>
      </c>
      <c r="D224">
        <v>768</v>
      </c>
      <c r="E224" t="s">
        <v>2073</v>
      </c>
      <c r="F224" t="s">
        <v>1181</v>
      </c>
      <c r="G224" t="s">
        <v>1197</v>
      </c>
      <c r="H224" t="s">
        <v>1276</v>
      </c>
      <c r="I224">
        <v>2</v>
      </c>
      <c r="J224">
        <v>202</v>
      </c>
      <c r="K224">
        <v>11</v>
      </c>
    </row>
    <row r="225" spans="1:11">
      <c r="A225" t="s">
        <v>2074</v>
      </c>
      <c r="B225" t="s">
        <v>2075</v>
      </c>
      <c r="C225" t="s">
        <v>2076</v>
      </c>
      <c r="D225">
        <v>772</v>
      </c>
      <c r="E225" t="s">
        <v>2077</v>
      </c>
      <c r="F225" t="s">
        <v>1187</v>
      </c>
      <c r="G225" t="s">
        <v>1188</v>
      </c>
      <c r="I225">
        <v>9</v>
      </c>
      <c r="J225">
        <v>61</v>
      </c>
    </row>
    <row r="226" spans="1:11">
      <c r="A226" t="s">
        <v>2078</v>
      </c>
      <c r="B226" t="s">
        <v>2079</v>
      </c>
      <c r="C226" t="s">
        <v>2080</v>
      </c>
      <c r="D226">
        <v>776</v>
      </c>
      <c r="E226" t="s">
        <v>2081</v>
      </c>
      <c r="F226" t="s">
        <v>1187</v>
      </c>
      <c r="G226" t="s">
        <v>1188</v>
      </c>
      <c r="I226">
        <v>9</v>
      </c>
      <c r="J226">
        <v>61</v>
      </c>
    </row>
    <row r="227" spans="1:11">
      <c r="A227" t="s">
        <v>2082</v>
      </c>
      <c r="B227" t="s">
        <v>2083</v>
      </c>
      <c r="C227" t="s">
        <v>2084</v>
      </c>
      <c r="D227">
        <v>780</v>
      </c>
      <c r="E227" t="s">
        <v>2085</v>
      </c>
      <c r="F227" t="s">
        <v>1203</v>
      </c>
      <c r="G227" t="s">
        <v>1204</v>
      </c>
      <c r="H227" t="s">
        <v>1205</v>
      </c>
      <c r="I227">
        <v>19</v>
      </c>
      <c r="J227">
        <v>419</v>
      </c>
      <c r="K227">
        <v>29</v>
      </c>
    </row>
    <row r="228" spans="1:11">
      <c r="A228" t="s">
        <v>2086</v>
      </c>
      <c r="B228" t="s">
        <v>2087</v>
      </c>
      <c r="C228" t="s">
        <v>2088</v>
      </c>
      <c r="D228">
        <v>788</v>
      </c>
      <c r="E228" t="s">
        <v>2089</v>
      </c>
      <c r="F228" t="s">
        <v>1181</v>
      </c>
      <c r="G228" t="s">
        <v>1182</v>
      </c>
      <c r="I228">
        <v>2</v>
      </c>
      <c r="J228">
        <v>15</v>
      </c>
    </row>
    <row r="229" spans="1:11">
      <c r="A229" t="s">
        <v>2090</v>
      </c>
      <c r="B229" t="s">
        <v>2091</v>
      </c>
      <c r="C229" t="s">
        <v>2092</v>
      </c>
      <c r="D229">
        <v>792</v>
      </c>
      <c r="E229" t="s">
        <v>2093</v>
      </c>
      <c r="F229" t="s">
        <v>1164</v>
      </c>
      <c r="G229" t="s">
        <v>1223</v>
      </c>
      <c r="I229">
        <v>142</v>
      </c>
      <c r="J229">
        <v>145</v>
      </c>
    </row>
    <row r="230" spans="1:11">
      <c r="A230" t="s">
        <v>2094</v>
      </c>
      <c r="B230" t="s">
        <v>2095</v>
      </c>
      <c r="C230" t="s">
        <v>2096</v>
      </c>
      <c r="D230">
        <v>795</v>
      </c>
      <c r="E230" t="s">
        <v>2097</v>
      </c>
      <c r="F230" t="s">
        <v>1164</v>
      </c>
      <c r="G230" t="s">
        <v>1650</v>
      </c>
      <c r="I230">
        <v>142</v>
      </c>
      <c r="J230">
        <v>143</v>
      </c>
    </row>
    <row r="231" spans="1:11">
      <c r="A231" t="s">
        <v>2098</v>
      </c>
      <c r="B231" t="s">
        <v>2099</v>
      </c>
      <c r="C231" t="s">
        <v>2100</v>
      </c>
      <c r="D231">
        <v>796</v>
      </c>
      <c r="E231" t="s">
        <v>2101</v>
      </c>
      <c r="F231" t="s">
        <v>1203</v>
      </c>
      <c r="G231" t="s">
        <v>1204</v>
      </c>
      <c r="H231" t="s">
        <v>1205</v>
      </c>
      <c r="I231">
        <v>19</v>
      </c>
      <c r="J231">
        <v>419</v>
      </c>
      <c r="K231">
        <v>29</v>
      </c>
    </row>
    <row r="232" spans="1:11">
      <c r="A232" t="s">
        <v>2102</v>
      </c>
      <c r="B232" t="s">
        <v>2103</v>
      </c>
      <c r="C232" t="s">
        <v>2104</v>
      </c>
      <c r="D232">
        <v>798</v>
      </c>
      <c r="E232" t="s">
        <v>2105</v>
      </c>
      <c r="F232" t="s">
        <v>1187</v>
      </c>
      <c r="G232" t="s">
        <v>1188</v>
      </c>
      <c r="I232">
        <v>9</v>
      </c>
      <c r="J232">
        <v>61</v>
      </c>
    </row>
    <row r="233" spans="1:11">
      <c r="A233" t="s">
        <v>2106</v>
      </c>
      <c r="B233" t="s">
        <v>2107</v>
      </c>
      <c r="C233" t="s">
        <v>2108</v>
      </c>
      <c r="D233">
        <v>800</v>
      </c>
      <c r="E233" t="s">
        <v>2109</v>
      </c>
      <c r="F233" t="s">
        <v>1181</v>
      </c>
      <c r="G233" t="s">
        <v>1197</v>
      </c>
      <c r="H233" t="s">
        <v>1314</v>
      </c>
      <c r="I233">
        <v>2</v>
      </c>
      <c r="J233">
        <v>202</v>
      </c>
      <c r="K233">
        <v>14</v>
      </c>
    </row>
    <row r="234" spans="1:11">
      <c r="A234" t="s">
        <v>2110</v>
      </c>
      <c r="B234" t="s">
        <v>2111</v>
      </c>
      <c r="C234" t="s">
        <v>2112</v>
      </c>
      <c r="D234">
        <v>804</v>
      </c>
      <c r="E234" t="s">
        <v>2113</v>
      </c>
      <c r="F234" t="s">
        <v>1170</v>
      </c>
      <c r="G234" t="s">
        <v>1262</v>
      </c>
      <c r="I234">
        <v>150</v>
      </c>
      <c r="J234">
        <v>151</v>
      </c>
    </row>
    <row r="235" spans="1:11">
      <c r="A235" t="s">
        <v>2114</v>
      </c>
      <c r="B235" t="s">
        <v>2115</v>
      </c>
      <c r="C235" t="s">
        <v>2116</v>
      </c>
      <c r="D235">
        <v>784</v>
      </c>
      <c r="E235" t="s">
        <v>2117</v>
      </c>
      <c r="F235" t="s">
        <v>1164</v>
      </c>
      <c r="G235" t="s">
        <v>1223</v>
      </c>
      <c r="I235">
        <v>142</v>
      </c>
      <c r="J235">
        <v>145</v>
      </c>
    </row>
    <row r="236" spans="1:11">
      <c r="A236" t="s">
        <v>2118</v>
      </c>
      <c r="B236" t="s">
        <v>2119</v>
      </c>
      <c r="C236" t="s">
        <v>2120</v>
      </c>
      <c r="D236">
        <v>826</v>
      </c>
      <c r="E236" t="s">
        <v>2121</v>
      </c>
      <c r="F236" t="s">
        <v>1170</v>
      </c>
      <c r="G236" t="s">
        <v>1171</v>
      </c>
      <c r="I236">
        <v>150</v>
      </c>
      <c r="J236">
        <v>154</v>
      </c>
    </row>
    <row r="237" spans="1:11">
      <c r="A237" t="s">
        <v>2122</v>
      </c>
      <c r="B237" t="s">
        <v>2123</v>
      </c>
      <c r="C237" t="s">
        <v>2124</v>
      </c>
      <c r="D237">
        <v>840</v>
      </c>
      <c r="E237" t="s">
        <v>2125</v>
      </c>
      <c r="F237" t="s">
        <v>1203</v>
      </c>
      <c r="G237" t="s">
        <v>1281</v>
      </c>
      <c r="I237">
        <v>19</v>
      </c>
      <c r="J237">
        <v>21</v>
      </c>
    </row>
    <row r="238" spans="1:11">
      <c r="A238" t="s">
        <v>2126</v>
      </c>
      <c r="B238" t="s">
        <v>2127</v>
      </c>
      <c r="C238" t="s">
        <v>2128</v>
      </c>
      <c r="D238">
        <v>581</v>
      </c>
      <c r="E238" t="s">
        <v>2129</v>
      </c>
      <c r="F238" t="s">
        <v>1187</v>
      </c>
      <c r="G238" t="s">
        <v>1549</v>
      </c>
      <c r="I238">
        <v>9</v>
      </c>
      <c r="J238">
        <v>57</v>
      </c>
    </row>
    <row r="239" spans="1:11">
      <c r="A239" t="s">
        <v>2130</v>
      </c>
      <c r="B239" t="s">
        <v>2131</v>
      </c>
      <c r="C239" t="s">
        <v>2132</v>
      </c>
      <c r="D239">
        <v>858</v>
      </c>
      <c r="E239" t="s">
        <v>2133</v>
      </c>
      <c r="F239" t="s">
        <v>1203</v>
      </c>
      <c r="G239" t="s">
        <v>1204</v>
      </c>
      <c r="H239" t="s">
        <v>1218</v>
      </c>
      <c r="I239">
        <v>19</v>
      </c>
      <c r="J239">
        <v>419</v>
      </c>
      <c r="K239">
        <v>5</v>
      </c>
    </row>
    <row r="240" spans="1:11">
      <c r="A240" t="s">
        <v>2134</v>
      </c>
      <c r="B240" t="s">
        <v>2135</v>
      </c>
      <c r="C240" t="s">
        <v>2136</v>
      </c>
      <c r="D240">
        <v>860</v>
      </c>
      <c r="E240" t="s">
        <v>2137</v>
      </c>
      <c r="F240" t="s">
        <v>1164</v>
      </c>
      <c r="G240" t="s">
        <v>1650</v>
      </c>
      <c r="I240">
        <v>142</v>
      </c>
      <c r="J240">
        <v>143</v>
      </c>
    </row>
    <row r="241" spans="1:12">
      <c r="A241" t="s">
        <v>2138</v>
      </c>
      <c r="B241" t="s">
        <v>2139</v>
      </c>
      <c r="C241" t="s">
        <v>2140</v>
      </c>
      <c r="D241">
        <v>548</v>
      </c>
      <c r="E241" t="s">
        <v>2141</v>
      </c>
      <c r="F241" t="s">
        <v>1187</v>
      </c>
      <c r="G241" t="s">
        <v>1484</v>
      </c>
      <c r="I241">
        <v>9</v>
      </c>
      <c r="J241">
        <v>54</v>
      </c>
    </row>
    <row r="242" spans="1:12">
      <c r="A242" t="s">
        <v>2142</v>
      </c>
      <c r="B242" t="s">
        <v>2143</v>
      </c>
      <c r="C242" t="s">
        <v>2144</v>
      </c>
      <c r="D242">
        <v>862</v>
      </c>
      <c r="E242" t="s">
        <v>2145</v>
      </c>
      <c r="F242" t="s">
        <v>2145</v>
      </c>
      <c r="G242" t="s">
        <v>1203</v>
      </c>
      <c r="H242" t="s">
        <v>1204</v>
      </c>
      <c r="I242" t="s">
        <v>1218</v>
      </c>
      <c r="J242">
        <v>19</v>
      </c>
      <c r="K242">
        <v>419</v>
      </c>
      <c r="L242">
        <v>5</v>
      </c>
    </row>
    <row r="243" spans="1:12">
      <c r="A243" t="s">
        <v>2146</v>
      </c>
      <c r="B243" t="s">
        <v>2147</v>
      </c>
      <c r="C243" t="s">
        <v>2148</v>
      </c>
      <c r="D243">
        <v>704</v>
      </c>
      <c r="E243" t="s">
        <v>2149</v>
      </c>
      <c r="F243" t="s">
        <v>1164</v>
      </c>
      <c r="G243" t="s">
        <v>1319</v>
      </c>
      <c r="I243">
        <v>142</v>
      </c>
      <c r="J243">
        <v>35</v>
      </c>
    </row>
    <row r="244" spans="1:12">
      <c r="A244" t="s">
        <v>2150</v>
      </c>
      <c r="B244" t="s">
        <v>2151</v>
      </c>
      <c r="C244" t="s">
        <v>2152</v>
      </c>
      <c r="D244">
        <v>92</v>
      </c>
      <c r="E244" t="s">
        <v>2153</v>
      </c>
      <c r="F244" t="s">
        <v>1203</v>
      </c>
      <c r="G244" t="s">
        <v>1204</v>
      </c>
      <c r="H244" t="s">
        <v>1205</v>
      </c>
      <c r="I244">
        <v>19</v>
      </c>
      <c r="J244">
        <v>419</v>
      </c>
      <c r="K244">
        <v>29</v>
      </c>
    </row>
    <row r="245" spans="1:12">
      <c r="A245" t="s">
        <v>2154</v>
      </c>
      <c r="B245" t="s">
        <v>2155</v>
      </c>
      <c r="C245" t="s">
        <v>2156</v>
      </c>
      <c r="D245">
        <v>850</v>
      </c>
      <c r="E245" t="s">
        <v>2157</v>
      </c>
      <c r="F245" t="s">
        <v>1203</v>
      </c>
      <c r="G245" t="s">
        <v>1204</v>
      </c>
      <c r="H245" t="s">
        <v>1205</v>
      </c>
      <c r="I245">
        <v>19</v>
      </c>
      <c r="J245">
        <v>419</v>
      </c>
      <c r="K245">
        <v>29</v>
      </c>
    </row>
    <row r="246" spans="1:12">
      <c r="A246" t="s">
        <v>2158</v>
      </c>
      <c r="B246" t="s">
        <v>2159</v>
      </c>
      <c r="C246" t="s">
        <v>2160</v>
      </c>
      <c r="D246">
        <v>876</v>
      </c>
      <c r="E246" t="s">
        <v>2161</v>
      </c>
      <c r="F246" t="s">
        <v>1187</v>
      </c>
      <c r="G246" t="s">
        <v>1188</v>
      </c>
      <c r="I246">
        <v>9</v>
      </c>
      <c r="J246">
        <v>61</v>
      </c>
    </row>
    <row r="247" spans="1:12">
      <c r="A247" t="s">
        <v>2162</v>
      </c>
      <c r="B247" t="s">
        <v>2163</v>
      </c>
      <c r="C247" t="s">
        <v>2164</v>
      </c>
      <c r="D247">
        <v>732</v>
      </c>
      <c r="E247" t="s">
        <v>2165</v>
      </c>
      <c r="F247" t="s">
        <v>1181</v>
      </c>
      <c r="G247" t="s">
        <v>1182</v>
      </c>
      <c r="I247">
        <v>2</v>
      </c>
      <c r="J247">
        <v>15</v>
      </c>
    </row>
    <row r="248" spans="1:12">
      <c r="A248" t="s">
        <v>2166</v>
      </c>
      <c r="B248" t="s">
        <v>2167</v>
      </c>
      <c r="C248" t="s">
        <v>2168</v>
      </c>
      <c r="D248">
        <v>887</v>
      </c>
      <c r="E248" t="s">
        <v>2169</v>
      </c>
      <c r="F248" t="s">
        <v>1164</v>
      </c>
      <c r="G248" t="s">
        <v>1223</v>
      </c>
      <c r="I248">
        <v>142</v>
      </c>
      <c r="J248">
        <v>145</v>
      </c>
    </row>
    <row r="249" spans="1:12">
      <c r="A249" t="s">
        <v>2170</v>
      </c>
      <c r="B249" t="s">
        <v>2171</v>
      </c>
      <c r="C249" t="s">
        <v>2172</v>
      </c>
      <c r="D249">
        <v>894</v>
      </c>
      <c r="E249" t="s">
        <v>2173</v>
      </c>
      <c r="F249" t="s">
        <v>1181</v>
      </c>
      <c r="G249" t="s">
        <v>1197</v>
      </c>
      <c r="H249" t="s">
        <v>1314</v>
      </c>
      <c r="I249">
        <v>2</v>
      </c>
      <c r="J249">
        <v>202</v>
      </c>
      <c r="K249">
        <v>14</v>
      </c>
    </row>
    <row r="250" spans="1:12">
      <c r="A250" t="s">
        <v>2174</v>
      </c>
      <c r="B250" t="s">
        <v>2175</v>
      </c>
      <c r="C250" t="s">
        <v>2176</v>
      </c>
      <c r="D250">
        <v>716</v>
      </c>
      <c r="E250" t="s">
        <v>2177</v>
      </c>
      <c r="F250" t="s">
        <v>1181</v>
      </c>
      <c r="G250" t="s">
        <v>1197</v>
      </c>
      <c r="H250" t="s">
        <v>1314</v>
      </c>
      <c r="I250">
        <v>2</v>
      </c>
      <c r="J250">
        <v>202</v>
      </c>
      <c r="K250">
        <v>14</v>
      </c>
    </row>
    <row r="251" spans="1:12">
      <c r="B251" s="113" t="s">
        <v>2351</v>
      </c>
    </row>
  </sheetData>
  <autoFilter ref="A1:L1" xr:uid="{53689690-CBBC-4BCE-A9FF-AB65B9E96147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99FC3-7669-49C4-969B-2A545CEF88CB}">
  <sheetPr>
    <tabColor theme="4" tint="-0.499984740745262"/>
    <pageSetUpPr fitToPage="1"/>
  </sheetPr>
  <dimension ref="A1:AM126"/>
  <sheetViews>
    <sheetView showGridLines="0" showWhiteSpace="0" zoomScale="90" zoomScaleNormal="90" workbookViewId="0">
      <selection activeCell="K21" sqref="K21"/>
    </sheetView>
  </sheetViews>
  <sheetFormatPr defaultColWidth="12.109375" defaultRowHeight="16.2"/>
  <cols>
    <col min="1" max="1" width="3.88671875" style="198" bestFit="1" customWidth="1"/>
    <col min="2" max="2" width="11.109375" style="196" bestFit="1" customWidth="1"/>
    <col min="3" max="3" width="35.88671875" style="198" bestFit="1" customWidth="1"/>
    <col min="4" max="4" width="6.6640625" style="196" bestFit="1" customWidth="1"/>
    <col min="5" max="5" width="15" style="197" bestFit="1" customWidth="1"/>
    <col min="6" max="6" width="12.109375" style="198" bestFit="1" customWidth="1"/>
    <col min="7" max="7" width="47.33203125" style="199" bestFit="1" customWidth="1"/>
    <col min="8" max="8" width="7" style="196" bestFit="1" customWidth="1"/>
    <col min="9" max="9" width="16.6640625" style="210" bestFit="1" customWidth="1"/>
    <col min="10" max="10" width="11" style="200" bestFit="1" customWidth="1"/>
    <col min="11" max="11" width="13.5546875" style="196" bestFit="1" customWidth="1"/>
    <col min="12" max="12" width="10" style="196" bestFit="1" customWidth="1"/>
    <col min="13" max="13" width="10.44140625" style="196" bestFit="1" customWidth="1"/>
    <col min="14" max="14" width="4.88671875" style="196" bestFit="1" customWidth="1"/>
    <col min="15" max="15" width="6.88671875" style="225" customWidth="1"/>
    <col min="16" max="16" width="16.44140625" style="201" bestFit="1" customWidth="1"/>
    <col min="17" max="17" width="9" style="196" bestFit="1" customWidth="1"/>
    <col min="18" max="18" width="10" style="202" bestFit="1" customWidth="1"/>
    <col min="19" max="19" width="11.33203125" style="202" bestFit="1" customWidth="1"/>
    <col min="20" max="20" width="11.109375" style="201" bestFit="1" customWidth="1"/>
    <col min="21" max="21" width="18.6640625" style="203" bestFit="1" customWidth="1"/>
    <col min="22" max="22" width="11.109375" style="204" bestFit="1" customWidth="1"/>
    <col min="23" max="23" width="13.88671875" style="196" bestFit="1" customWidth="1"/>
    <col min="24" max="24" width="14.88671875" style="196" bestFit="1" customWidth="1"/>
    <col min="25" max="25" width="12.5546875" style="196" bestFit="1" customWidth="1"/>
    <col min="26" max="26" width="12" style="197" bestFit="1" customWidth="1"/>
    <col min="27" max="27" width="14.109375" style="202" bestFit="1" customWidth="1"/>
    <col min="28" max="28" width="15.88671875" style="202" customWidth="1"/>
    <col min="29" max="29" width="3" style="162" customWidth="1"/>
    <col min="30" max="30" width="15.88671875" style="202" customWidth="1"/>
    <col min="31" max="31" width="3" style="197" customWidth="1"/>
    <col min="32" max="32" width="10.5546875" style="202" bestFit="1" customWidth="1"/>
    <col min="33" max="33" width="10.5546875" customWidth="1"/>
    <col min="34" max="34" width="11.33203125" style="197" hidden="1" customWidth="1"/>
    <col min="35" max="35" width="12.5546875" style="197" hidden="1" customWidth="1"/>
    <col min="36" max="36" width="11" style="197" hidden="1" customWidth="1"/>
    <col min="37" max="16384" width="12.109375" style="197"/>
  </cols>
  <sheetData>
    <row r="1" spans="1:39" ht="18" customHeight="1">
      <c r="A1" s="194"/>
      <c r="B1" s="195"/>
      <c r="C1" s="194" t="s">
        <v>2475</v>
      </c>
      <c r="I1" s="359"/>
      <c r="L1" s="200"/>
      <c r="O1" s="196"/>
      <c r="X1" s="200"/>
      <c r="Y1" s="200"/>
      <c r="Z1" s="205"/>
      <c r="AC1" s="197"/>
      <c r="AH1" s="206">
        <v>45975</v>
      </c>
    </row>
    <row r="2" spans="1:39">
      <c r="A2" s="207"/>
      <c r="B2" s="208"/>
      <c r="C2" s="208">
        <v>45961</v>
      </c>
      <c r="D2" s="197"/>
      <c r="F2" s="194"/>
      <c r="G2" s="209"/>
      <c r="H2" s="199"/>
      <c r="I2" s="359"/>
      <c r="L2" s="210"/>
      <c r="M2" s="199"/>
      <c r="N2" s="195"/>
      <c r="O2" s="211"/>
      <c r="P2" s="212"/>
      <c r="Q2" s="199"/>
      <c r="R2" s="213"/>
      <c r="S2" s="214"/>
      <c r="T2" s="212"/>
      <c r="U2" s="215"/>
      <c r="V2" s="215"/>
      <c r="W2" s="216"/>
      <c r="X2" s="217"/>
      <c r="Y2" s="218"/>
      <c r="Z2" s="218"/>
      <c r="AA2" s="213"/>
      <c r="AB2" s="213"/>
      <c r="AC2" s="197"/>
      <c r="AD2" s="213"/>
      <c r="AF2" s="213"/>
    </row>
    <row r="3" spans="1:39">
      <c r="A3" s="219"/>
      <c r="B3" s="220"/>
      <c r="C3" s="221"/>
      <c r="F3" s="222"/>
      <c r="G3" s="223"/>
      <c r="H3" s="224"/>
      <c r="I3" s="359"/>
      <c r="L3" s="199"/>
      <c r="W3" s="226"/>
      <c r="X3" s="227"/>
      <c r="Y3" s="195"/>
      <c r="AC3" s="197"/>
    </row>
    <row r="4" spans="1:39" s="195" customFormat="1" ht="45.75" customHeight="1">
      <c r="A4" s="193" t="s">
        <v>2474</v>
      </c>
      <c r="B4" s="193" t="s">
        <v>2457</v>
      </c>
      <c r="C4" s="193" t="s">
        <v>2473</v>
      </c>
      <c r="D4" s="193" t="s">
        <v>2457</v>
      </c>
      <c r="E4" s="193" t="s">
        <v>2178</v>
      </c>
      <c r="F4" s="193" t="s">
        <v>2472</v>
      </c>
      <c r="G4" s="193" t="s">
        <v>2471</v>
      </c>
      <c r="H4" s="193" t="s">
        <v>2470</v>
      </c>
      <c r="I4" s="360" t="s">
        <v>2469</v>
      </c>
      <c r="J4" s="193" t="s">
        <v>2468</v>
      </c>
      <c r="K4" s="193" t="s">
        <v>2467</v>
      </c>
      <c r="L4" s="193" t="s">
        <v>2466</v>
      </c>
      <c r="M4" s="193" t="s">
        <v>2465</v>
      </c>
      <c r="N4" s="193" t="s">
        <v>2464</v>
      </c>
      <c r="O4" s="193" t="s">
        <v>2463</v>
      </c>
      <c r="P4" s="228" t="s">
        <v>2462</v>
      </c>
      <c r="Q4" s="193" t="s">
        <v>2461</v>
      </c>
      <c r="R4" s="193" t="s">
        <v>2460</v>
      </c>
      <c r="S4" s="193" t="s">
        <v>2459</v>
      </c>
      <c r="T4" s="228" t="s">
        <v>2458</v>
      </c>
      <c r="U4" s="193" t="s">
        <v>2555</v>
      </c>
      <c r="V4" s="193" t="s">
        <v>2457</v>
      </c>
      <c r="W4" s="229" t="s">
        <v>2456</v>
      </c>
      <c r="X4" s="193" t="s">
        <v>2455</v>
      </c>
      <c r="Y4" s="193" t="s">
        <v>2454</v>
      </c>
      <c r="Z4" s="193" t="s">
        <v>2453</v>
      </c>
      <c r="AA4" s="193" t="s">
        <v>2452</v>
      </c>
      <c r="AB4" s="193" t="s">
        <v>2546</v>
      </c>
      <c r="AD4" s="193" t="s">
        <v>2545</v>
      </c>
      <c r="AF4" s="193" t="s">
        <v>2540</v>
      </c>
      <c r="AG4"/>
    </row>
    <row r="5" spans="1:39" s="199" customFormat="1" ht="4.5" customHeight="1">
      <c r="A5" s="230"/>
      <c r="B5" s="231"/>
      <c r="C5" s="230"/>
      <c r="D5" s="231"/>
      <c r="F5" s="230"/>
      <c r="G5" s="231"/>
      <c r="H5" s="231"/>
      <c r="I5" s="361"/>
      <c r="J5" s="227"/>
      <c r="K5" s="200"/>
      <c r="L5" s="231"/>
      <c r="M5" s="231"/>
      <c r="N5" s="195"/>
      <c r="O5" s="233"/>
      <c r="P5" s="234"/>
      <c r="Q5" s="231"/>
      <c r="R5" s="235"/>
      <c r="S5" s="235"/>
      <c r="T5" s="236"/>
      <c r="U5" s="237"/>
      <c r="V5" s="237"/>
      <c r="W5" s="231"/>
      <c r="X5" s="232"/>
      <c r="Y5" s="238"/>
      <c r="Z5" s="231"/>
      <c r="AA5" s="235"/>
      <c r="AB5" s="235"/>
      <c r="AD5" s="235"/>
      <c r="AF5" s="235"/>
      <c r="AG5"/>
    </row>
    <row r="6" spans="1:39" s="265" customFormat="1">
      <c r="A6" s="250"/>
      <c r="B6" s="251"/>
      <c r="C6" s="250" t="s">
        <v>2556</v>
      </c>
      <c r="D6" s="252"/>
      <c r="E6" s="253"/>
      <c r="F6" s="254"/>
      <c r="G6" s="253"/>
      <c r="H6" s="253"/>
      <c r="I6" s="362"/>
      <c r="J6" s="255"/>
      <c r="K6" s="256"/>
      <c r="L6" s="257"/>
      <c r="M6" s="257"/>
      <c r="N6" s="252"/>
      <c r="O6" s="258"/>
      <c r="P6" s="259"/>
      <c r="Q6" s="252"/>
      <c r="R6" s="257"/>
      <c r="S6" s="257"/>
      <c r="T6" s="259"/>
      <c r="U6" s="260"/>
      <c r="V6" s="261"/>
      <c r="W6" s="262"/>
      <c r="X6" s="263"/>
      <c r="Y6" s="255"/>
      <c r="Z6" s="264"/>
      <c r="AA6" s="257"/>
      <c r="AB6" s="260"/>
      <c r="AD6" s="260"/>
      <c r="AF6" s="257"/>
      <c r="AG6"/>
    </row>
    <row r="7" spans="1:39" s="199" customFormat="1" ht="4.5" customHeight="1">
      <c r="A7" s="230"/>
      <c r="B7" s="231"/>
      <c r="C7" s="230"/>
      <c r="D7" s="231"/>
      <c r="F7" s="230"/>
      <c r="G7" s="231"/>
      <c r="H7" s="231"/>
      <c r="I7" s="361"/>
      <c r="J7" s="227"/>
      <c r="K7" s="200"/>
      <c r="L7" s="231"/>
      <c r="M7" s="231"/>
      <c r="N7" s="195"/>
      <c r="O7" s="233"/>
      <c r="P7" s="234"/>
      <c r="Q7" s="231"/>
      <c r="R7" s="235"/>
      <c r="S7" s="235"/>
      <c r="T7" s="236"/>
      <c r="U7" s="237"/>
      <c r="V7" s="237"/>
      <c r="W7" s="231"/>
      <c r="X7" s="232"/>
      <c r="Y7" s="238"/>
      <c r="Z7" s="231"/>
      <c r="AA7" s="235"/>
      <c r="AB7" s="235"/>
      <c r="AD7" s="235"/>
      <c r="AF7" s="235"/>
      <c r="AG7"/>
    </row>
    <row r="8" spans="1:39">
      <c r="A8" s="239">
        <v>31</v>
      </c>
      <c r="B8" s="240" t="s">
        <v>2450</v>
      </c>
      <c r="C8" s="239"/>
      <c r="D8" s="240">
        <v>9994</v>
      </c>
      <c r="E8" s="240" t="s">
        <v>2411</v>
      </c>
      <c r="F8" s="240"/>
      <c r="G8" s="241" t="s">
        <v>2538</v>
      </c>
      <c r="H8" s="240" t="s">
        <v>351</v>
      </c>
      <c r="I8" s="363">
        <v>1391779674</v>
      </c>
      <c r="J8" s="242">
        <v>1</v>
      </c>
      <c r="K8" s="243">
        <f>+I8/J8</f>
        <v>1391779674</v>
      </c>
      <c r="L8" s="244"/>
      <c r="M8" s="339"/>
      <c r="N8" s="240"/>
      <c r="O8" s="245"/>
      <c r="P8" s="246"/>
      <c r="Q8" s="240"/>
      <c r="R8" s="339"/>
      <c r="S8" s="339"/>
      <c r="T8" s="246"/>
      <c r="U8" s="243"/>
      <c r="V8" s="240"/>
      <c r="W8" s="248"/>
      <c r="X8" s="248"/>
      <c r="Y8" s="248"/>
      <c r="Z8" s="249"/>
      <c r="AA8" s="247"/>
      <c r="AB8" s="243">
        <f>+I8+W8</f>
        <v>1391779674</v>
      </c>
      <c r="AC8" s="197"/>
      <c r="AD8" s="243">
        <f>+I8+AI8</f>
        <v>1391779674</v>
      </c>
      <c r="AE8" s="210"/>
      <c r="AF8" s="242">
        <v>1</v>
      </c>
      <c r="AH8" s="210"/>
      <c r="AI8" s="210"/>
      <c r="AJ8" s="210"/>
      <c r="AM8" s="210"/>
    </row>
    <row r="9" spans="1:39">
      <c r="A9" s="239"/>
      <c r="B9" s="240"/>
      <c r="C9" s="239"/>
      <c r="D9" s="240"/>
      <c r="E9" s="240"/>
      <c r="F9" s="240"/>
      <c r="G9" s="241" t="s">
        <v>2539</v>
      </c>
      <c r="H9" s="240" t="s">
        <v>351</v>
      </c>
      <c r="I9" s="363">
        <v>193389954</v>
      </c>
      <c r="J9" s="242">
        <v>1</v>
      </c>
      <c r="K9" s="243">
        <f t="shared" ref="K9:K10" si="0">+I9/J9</f>
        <v>193389954</v>
      </c>
      <c r="L9" s="244"/>
      <c r="M9" s="339"/>
      <c r="N9" s="240"/>
      <c r="O9" s="245"/>
      <c r="P9" s="246"/>
      <c r="Q9" s="240"/>
      <c r="R9" s="339"/>
      <c r="S9" s="339"/>
      <c r="T9" s="246"/>
      <c r="U9" s="243"/>
      <c r="V9" s="240"/>
      <c r="W9" s="248"/>
      <c r="X9" s="248"/>
      <c r="Y9" s="248"/>
      <c r="Z9" s="249"/>
      <c r="AA9" s="247"/>
      <c r="AB9" s="243">
        <f>+I9+W9</f>
        <v>193389954</v>
      </c>
      <c r="AC9" s="197"/>
      <c r="AD9" s="243">
        <f>+I9+AI9</f>
        <v>193389954</v>
      </c>
      <c r="AE9" s="210"/>
      <c r="AF9" s="242">
        <v>1</v>
      </c>
      <c r="AH9" s="210"/>
      <c r="AI9" s="210"/>
      <c r="AJ9" s="210"/>
      <c r="AM9" s="210"/>
    </row>
    <row r="10" spans="1:39">
      <c r="A10" s="239"/>
      <c r="B10" s="240"/>
      <c r="C10" s="239"/>
      <c r="D10" s="240"/>
      <c r="E10" s="240"/>
      <c r="F10" s="240"/>
      <c r="G10" s="241" t="s">
        <v>2544</v>
      </c>
      <c r="H10" s="240" t="s">
        <v>351</v>
      </c>
      <c r="I10" s="363">
        <v>-19146966</v>
      </c>
      <c r="J10" s="242">
        <v>1</v>
      </c>
      <c r="K10" s="243">
        <f t="shared" si="0"/>
        <v>-19146966</v>
      </c>
      <c r="L10" s="244"/>
      <c r="M10" s="339"/>
      <c r="N10" s="240"/>
      <c r="O10" s="245"/>
      <c r="P10" s="246"/>
      <c r="Q10" s="240"/>
      <c r="R10" s="339"/>
      <c r="S10" s="339"/>
      <c r="T10" s="246"/>
      <c r="U10" s="243"/>
      <c r="V10" s="240"/>
      <c r="W10" s="248"/>
      <c r="X10" s="248"/>
      <c r="Y10" s="248"/>
      <c r="Z10" s="249"/>
      <c r="AA10" s="247"/>
      <c r="AB10" s="243">
        <f>+I10+W10</f>
        <v>-19146966</v>
      </c>
      <c r="AC10" s="197"/>
      <c r="AD10" s="243">
        <f>+I10+AI10</f>
        <v>-19146966</v>
      </c>
      <c r="AE10" s="210"/>
      <c r="AF10" s="242">
        <v>1</v>
      </c>
      <c r="AH10" s="210"/>
      <c r="AI10" s="210"/>
      <c r="AJ10" s="210"/>
      <c r="AM10" s="210"/>
    </row>
    <row r="11" spans="1:39" s="199" customFormat="1" ht="4.5" customHeight="1">
      <c r="A11" s="194"/>
      <c r="B11" s="195"/>
      <c r="C11" s="194"/>
      <c r="D11" s="196"/>
      <c r="E11" s="197"/>
      <c r="F11" s="198"/>
      <c r="H11" s="197"/>
      <c r="I11" s="351"/>
      <c r="J11" s="200"/>
      <c r="K11" s="200"/>
      <c r="L11" s="281"/>
      <c r="M11" s="281"/>
      <c r="N11" s="196"/>
      <c r="O11" s="225"/>
      <c r="P11" s="201"/>
      <c r="Q11" s="196"/>
      <c r="R11" s="202"/>
      <c r="S11" s="202"/>
      <c r="T11" s="271"/>
      <c r="U11" s="203"/>
      <c r="V11" s="204"/>
      <c r="W11" s="282"/>
      <c r="X11" s="283"/>
      <c r="Y11" s="284"/>
      <c r="Z11" s="210"/>
      <c r="AA11" s="202"/>
      <c r="AB11" s="352"/>
      <c r="AD11" s="352"/>
      <c r="AF11" s="202"/>
      <c r="AG11"/>
    </row>
    <row r="12" spans="1:39">
      <c r="A12" s="285"/>
      <c r="B12" s="286"/>
      <c r="C12" s="287"/>
      <c r="D12" s="286"/>
      <c r="E12" s="286"/>
      <c r="F12" s="288"/>
      <c r="G12" s="285" t="s">
        <v>2557</v>
      </c>
      <c r="H12" s="286"/>
      <c r="I12" s="376">
        <f>+SUM(I8:I10)</f>
        <v>1566022662</v>
      </c>
      <c r="J12" s="289"/>
      <c r="K12" s="290"/>
      <c r="L12" s="292"/>
      <c r="M12" s="292"/>
      <c r="N12" s="286"/>
      <c r="O12" s="293"/>
      <c r="P12" s="294"/>
      <c r="Q12" s="295"/>
      <c r="R12" s="296"/>
      <c r="S12" s="296"/>
      <c r="T12" s="297"/>
      <c r="U12" s="298"/>
      <c r="V12" s="298"/>
      <c r="W12" s="291">
        <v>3785967.2602739725</v>
      </c>
      <c r="X12" s="291">
        <v>2944635.6164383562</v>
      </c>
      <c r="Y12" s="291">
        <v>841331.64383561641</v>
      </c>
      <c r="Z12" s="291"/>
      <c r="AA12" s="296"/>
      <c r="AB12" s="353"/>
      <c r="AC12" s="197"/>
      <c r="AD12" s="353"/>
      <c r="AF12" s="296"/>
    </row>
    <row r="13" spans="1:39" s="199" customFormat="1" ht="4.5" customHeight="1">
      <c r="A13" s="230"/>
      <c r="B13" s="231"/>
      <c r="C13" s="230"/>
      <c r="D13" s="231"/>
      <c r="F13" s="230"/>
      <c r="G13" s="231"/>
      <c r="H13" s="231"/>
      <c r="I13" s="364"/>
      <c r="J13" s="227"/>
      <c r="K13" s="200"/>
      <c r="L13" s="231"/>
      <c r="M13" s="231"/>
      <c r="N13" s="195"/>
      <c r="O13" s="233"/>
      <c r="P13" s="234"/>
      <c r="Q13" s="231"/>
      <c r="R13" s="235"/>
      <c r="S13" s="235"/>
      <c r="T13" s="236"/>
      <c r="U13" s="237"/>
      <c r="V13" s="237"/>
      <c r="W13" s="231"/>
      <c r="X13" s="232"/>
      <c r="Y13" s="238"/>
      <c r="Z13" s="231"/>
      <c r="AA13" s="235"/>
      <c r="AB13" s="350"/>
      <c r="AD13" s="350"/>
      <c r="AF13" s="235"/>
      <c r="AG13"/>
    </row>
    <row r="14" spans="1:39" s="265" customFormat="1">
      <c r="A14" s="250"/>
      <c r="B14" s="251"/>
      <c r="C14" s="250" t="s">
        <v>2451</v>
      </c>
      <c r="D14" s="252"/>
      <c r="E14" s="253"/>
      <c r="F14" s="254"/>
      <c r="G14" s="253"/>
      <c r="H14" s="253"/>
      <c r="I14" s="377"/>
      <c r="J14" s="255"/>
      <c r="K14" s="256"/>
      <c r="L14" s="257"/>
      <c r="M14" s="257"/>
      <c r="N14" s="252"/>
      <c r="O14" s="258"/>
      <c r="P14" s="259"/>
      <c r="Q14" s="252"/>
      <c r="R14" s="257"/>
      <c r="S14" s="257"/>
      <c r="T14" s="259"/>
      <c r="U14" s="260"/>
      <c r="V14" s="261"/>
      <c r="W14" s="262"/>
      <c r="X14" s="263"/>
      <c r="Y14" s="255"/>
      <c r="Z14" s="264"/>
      <c r="AA14" s="257"/>
      <c r="AB14" s="260"/>
      <c r="AD14" s="260"/>
      <c r="AF14" s="257"/>
      <c r="AG14"/>
    </row>
    <row r="15" spans="1:39" ht="4.5" customHeight="1">
      <c r="A15" s="194"/>
      <c r="B15" s="195"/>
      <c r="C15" s="194"/>
      <c r="D15" s="195"/>
      <c r="E15" s="265"/>
      <c r="G15" s="197"/>
      <c r="H15" s="197"/>
      <c r="I15" s="351"/>
      <c r="J15" s="196"/>
      <c r="K15" s="196" t="s">
        <v>337</v>
      </c>
      <c r="L15" s="197"/>
      <c r="M15" s="197"/>
      <c r="N15" s="197"/>
      <c r="O15" s="197"/>
      <c r="P15" s="266"/>
      <c r="Q15" s="197"/>
      <c r="R15" s="267"/>
      <c r="S15" s="268"/>
      <c r="T15" s="266"/>
      <c r="U15" s="197"/>
      <c r="V15" s="199"/>
      <c r="W15" s="197"/>
      <c r="X15" s="197"/>
      <c r="Y15" s="197"/>
      <c r="AA15" s="269"/>
      <c r="AB15" s="351"/>
      <c r="AC15" s="197"/>
      <c r="AD15" s="351"/>
      <c r="AF15" s="269"/>
    </row>
    <row r="16" spans="1:39">
      <c r="A16" s="270">
        <v>31</v>
      </c>
      <c r="B16" s="271" t="s">
        <v>2450</v>
      </c>
      <c r="C16" s="270"/>
      <c r="D16" s="271">
        <v>9994</v>
      </c>
      <c r="E16" s="271" t="s">
        <v>2379</v>
      </c>
      <c r="F16" s="271">
        <v>9220004322</v>
      </c>
      <c r="G16" s="272" t="s">
        <v>2449</v>
      </c>
      <c r="H16" s="271" t="s">
        <v>351</v>
      </c>
      <c r="I16" s="366">
        <v>7599000</v>
      </c>
      <c r="J16" s="273">
        <v>1000</v>
      </c>
      <c r="K16" s="274">
        <v>7599</v>
      </c>
      <c r="L16" s="275">
        <v>42649</v>
      </c>
      <c r="M16" s="275">
        <v>46301</v>
      </c>
      <c r="N16" s="271" t="s">
        <v>2439</v>
      </c>
      <c r="O16" s="276">
        <v>0</v>
      </c>
      <c r="P16" s="277">
        <v>7.4999999999999997E-2</v>
      </c>
      <c r="Q16" s="271">
        <v>365</v>
      </c>
      <c r="R16" s="278">
        <v>45936</v>
      </c>
      <c r="S16" s="278">
        <v>46301</v>
      </c>
      <c r="T16" s="277">
        <v>7.4999999999999997E-2</v>
      </c>
      <c r="U16" s="274">
        <v>26</v>
      </c>
      <c r="V16" s="271">
        <v>251019901</v>
      </c>
      <c r="W16" s="279">
        <v>40597.397260273974</v>
      </c>
      <c r="X16" s="279">
        <v>0</v>
      </c>
      <c r="Y16" s="279">
        <v>40597.397260273974</v>
      </c>
      <c r="Z16" s="280" t="s">
        <v>2445</v>
      </c>
      <c r="AA16" s="278" t="s">
        <v>2444</v>
      </c>
      <c r="AB16" s="243">
        <f>+I16+W16</f>
        <v>7639597.3972602738</v>
      </c>
      <c r="AC16" s="197"/>
      <c r="AD16" s="243">
        <f>+I16+AI16</f>
        <v>7661457.5342465751</v>
      </c>
      <c r="AF16" s="242">
        <v>3</v>
      </c>
      <c r="AH16" s="210">
        <f>+$AH$1-R16+1</f>
        <v>40</v>
      </c>
      <c r="AI16" s="210">
        <f>+I16*P16*AH16/365</f>
        <v>62457.534246575342</v>
      </c>
      <c r="AJ16" s="210">
        <f>+AI16-W16</f>
        <v>21860.136986301368</v>
      </c>
    </row>
    <row r="17" spans="1:36">
      <c r="A17" s="270">
        <v>31</v>
      </c>
      <c r="B17" s="271">
        <v>251019900</v>
      </c>
      <c r="C17" s="270"/>
      <c r="D17" s="271">
        <v>9994</v>
      </c>
      <c r="E17" s="271" t="s">
        <v>2395</v>
      </c>
      <c r="F17" s="271">
        <v>9220014986</v>
      </c>
      <c r="G17" s="272" t="s">
        <v>2448</v>
      </c>
      <c r="H17" s="271" t="s">
        <v>351</v>
      </c>
      <c r="I17" s="366">
        <v>200000000</v>
      </c>
      <c r="J17" s="273">
        <v>100000</v>
      </c>
      <c r="K17" s="274">
        <v>2000</v>
      </c>
      <c r="L17" s="275">
        <v>44721</v>
      </c>
      <c r="M17" s="275">
        <v>48374</v>
      </c>
      <c r="N17" s="271" t="s">
        <v>2439</v>
      </c>
      <c r="O17" s="276">
        <v>0</v>
      </c>
      <c r="P17" s="277">
        <v>4.7140000000000001E-2</v>
      </c>
      <c r="Q17" s="271">
        <v>365</v>
      </c>
      <c r="R17" s="278">
        <v>45817</v>
      </c>
      <c r="S17" s="278">
        <v>46182</v>
      </c>
      <c r="T17" s="277">
        <v>4.7140000000000001E-2</v>
      </c>
      <c r="U17" s="274">
        <v>145</v>
      </c>
      <c r="V17" s="271">
        <v>251019901</v>
      </c>
      <c r="W17" s="279">
        <v>3745369.8630136987</v>
      </c>
      <c r="X17" s="279">
        <v>2944635.6164383562</v>
      </c>
      <c r="Y17" s="279">
        <v>800734.24657534249</v>
      </c>
      <c r="Z17" s="280" t="s">
        <v>2445</v>
      </c>
      <c r="AA17" s="278" t="s">
        <v>2444</v>
      </c>
      <c r="AB17" s="243">
        <f>+I17+W17</f>
        <v>203745369.86301368</v>
      </c>
      <c r="AC17" s="197"/>
      <c r="AD17" s="243">
        <f>+I17+AI17</f>
        <v>204106991.78082192</v>
      </c>
      <c r="AF17" s="242">
        <v>3</v>
      </c>
      <c r="AH17" s="210">
        <f>+$AH$1-R17+1</f>
        <v>159</v>
      </c>
      <c r="AI17" s="210">
        <f>+I17*P17*AH17/365</f>
        <v>4106991.7808219176</v>
      </c>
      <c r="AJ17" s="210">
        <f>+AI17-W17</f>
        <v>361621.91780821886</v>
      </c>
    </row>
    <row r="18" spans="1:36" s="199" customFormat="1" ht="4.5" customHeight="1">
      <c r="A18" s="194"/>
      <c r="B18" s="195"/>
      <c r="C18" s="194"/>
      <c r="D18" s="196"/>
      <c r="E18" s="197"/>
      <c r="F18" s="198"/>
      <c r="H18" s="197"/>
      <c r="I18" s="351"/>
      <c r="J18" s="200"/>
      <c r="K18" s="200"/>
      <c r="L18" s="281"/>
      <c r="M18" s="281"/>
      <c r="N18" s="196"/>
      <c r="O18" s="225"/>
      <c r="P18" s="201"/>
      <c r="Q18" s="196"/>
      <c r="R18" s="202"/>
      <c r="S18" s="202"/>
      <c r="T18" s="369"/>
      <c r="U18" s="203"/>
      <c r="V18" s="204"/>
      <c r="W18" s="282"/>
      <c r="X18" s="283"/>
      <c r="Y18" s="284"/>
      <c r="Z18" s="210"/>
      <c r="AA18" s="202"/>
      <c r="AB18" s="352"/>
      <c r="AD18" s="352"/>
      <c r="AF18" s="202"/>
      <c r="AG18"/>
    </row>
    <row r="19" spans="1:36">
      <c r="A19" s="285"/>
      <c r="B19" s="286"/>
      <c r="C19" s="287" t="s">
        <v>2429</v>
      </c>
      <c r="D19" s="286">
        <v>99888</v>
      </c>
      <c r="E19" s="286"/>
      <c r="F19" s="288" t="s">
        <v>2447</v>
      </c>
      <c r="G19" s="285" t="s">
        <v>2446</v>
      </c>
      <c r="H19" s="286"/>
      <c r="I19" s="376">
        <v>207599000</v>
      </c>
      <c r="J19" s="289"/>
      <c r="K19" s="289"/>
      <c r="L19" s="292"/>
      <c r="M19" s="292"/>
      <c r="N19" s="286"/>
      <c r="O19" s="293"/>
      <c r="P19" s="294"/>
      <c r="Q19" s="295"/>
      <c r="R19" s="296"/>
      <c r="S19" s="296"/>
      <c r="T19" s="297"/>
      <c r="U19" s="298"/>
      <c r="V19" s="298"/>
      <c r="W19" s="291">
        <v>3785967.2602739725</v>
      </c>
      <c r="X19" s="291">
        <v>2944635.6164383562</v>
      </c>
      <c r="Y19" s="291">
        <v>841331.64383561641</v>
      </c>
      <c r="Z19" s="291"/>
      <c r="AA19" s="296"/>
      <c r="AB19" s="353"/>
      <c r="AC19" s="197"/>
      <c r="AD19" s="353"/>
      <c r="AF19" s="296"/>
    </row>
    <row r="20" spans="1:36" s="265" customFormat="1" ht="4.5" customHeight="1">
      <c r="A20" s="194"/>
      <c r="B20" s="195"/>
      <c r="C20" s="194"/>
      <c r="D20" s="299"/>
      <c r="E20" s="199"/>
      <c r="F20" s="198"/>
      <c r="G20" s="299"/>
      <c r="H20" s="299"/>
      <c r="I20" s="316"/>
      <c r="J20" s="301"/>
      <c r="K20" s="381"/>
      <c r="L20" s="303"/>
      <c r="M20" s="303"/>
      <c r="N20" s="299"/>
      <c r="O20" s="304"/>
      <c r="P20" s="305"/>
      <c r="Q20" s="306"/>
      <c r="R20" s="307"/>
      <c r="S20" s="307"/>
      <c r="T20" s="308"/>
      <c r="U20" s="309"/>
      <c r="V20" s="309"/>
      <c r="W20" s="300"/>
      <c r="X20" s="300"/>
      <c r="Y20" s="310"/>
      <c r="Z20" s="311"/>
      <c r="AA20" s="307"/>
      <c r="AB20" s="354"/>
      <c r="AD20" s="354"/>
      <c r="AF20" s="307"/>
      <c r="AG20"/>
    </row>
    <row r="21" spans="1:36">
      <c r="A21" s="250"/>
      <c r="B21" s="251"/>
      <c r="C21" s="250" t="s">
        <v>2443</v>
      </c>
      <c r="D21" s="252"/>
      <c r="E21" s="253"/>
      <c r="F21" s="254"/>
      <c r="G21" s="253"/>
      <c r="H21" s="253"/>
      <c r="I21" s="379"/>
      <c r="J21" s="255"/>
      <c r="K21" s="256"/>
      <c r="L21" s="257"/>
      <c r="M21" s="257"/>
      <c r="N21" s="252"/>
      <c r="O21" s="258"/>
      <c r="P21" s="259"/>
      <c r="Q21" s="252"/>
      <c r="R21" s="257"/>
      <c r="S21" s="257"/>
      <c r="T21" s="259"/>
      <c r="U21" s="260"/>
      <c r="V21" s="312"/>
      <c r="W21" s="252"/>
      <c r="X21" s="263"/>
      <c r="Y21" s="255"/>
      <c r="Z21" s="264"/>
      <c r="AA21" s="257"/>
      <c r="AB21" s="260"/>
      <c r="AC21" s="197"/>
      <c r="AD21" s="260"/>
      <c r="AF21" s="257"/>
    </row>
    <row r="22" spans="1:36" ht="4.5" customHeight="1">
      <c r="A22" s="194"/>
      <c r="B22" s="195"/>
      <c r="C22" s="194"/>
      <c r="F22" s="194"/>
      <c r="G22" s="195"/>
      <c r="H22" s="216"/>
      <c r="I22" s="380"/>
      <c r="K22" s="203"/>
      <c r="L22" s="313"/>
      <c r="M22" s="199"/>
      <c r="N22" s="227"/>
      <c r="O22" s="211"/>
      <c r="P22" s="314"/>
      <c r="Q22" s="315"/>
      <c r="R22" s="315"/>
      <c r="S22" s="213"/>
      <c r="T22" s="314"/>
      <c r="U22" s="316"/>
      <c r="V22" s="316"/>
      <c r="W22" s="300"/>
      <c r="X22" s="300"/>
      <c r="Y22" s="283"/>
      <c r="Z22" s="196"/>
      <c r="AA22" s="315"/>
      <c r="AB22" s="355"/>
      <c r="AC22" s="197"/>
      <c r="AD22" s="355"/>
      <c r="AF22" s="315"/>
    </row>
    <row r="23" spans="1:36">
      <c r="A23" s="270">
        <v>31</v>
      </c>
      <c r="B23" s="271">
        <v>251019910</v>
      </c>
      <c r="C23" s="270"/>
      <c r="D23" s="271">
        <v>9991</v>
      </c>
      <c r="E23" s="271" t="s">
        <v>2390</v>
      </c>
      <c r="F23" s="271">
        <v>9220014975</v>
      </c>
      <c r="G23" s="272" t="s">
        <v>2442</v>
      </c>
      <c r="H23" s="271" t="s">
        <v>351</v>
      </c>
      <c r="I23" s="378">
        <v>600000000</v>
      </c>
      <c r="J23" s="273">
        <v>100000</v>
      </c>
      <c r="K23" s="274">
        <v>6000</v>
      </c>
      <c r="L23" s="275">
        <v>44715</v>
      </c>
      <c r="M23" s="275">
        <v>46907</v>
      </c>
      <c r="N23" s="271" t="s">
        <v>2439</v>
      </c>
      <c r="O23" s="276">
        <v>0</v>
      </c>
      <c r="P23" s="277">
        <v>3.0779999999999998E-2</v>
      </c>
      <c r="Q23" s="271">
        <v>365</v>
      </c>
      <c r="R23" s="278">
        <v>45811</v>
      </c>
      <c r="S23" s="278">
        <v>46176</v>
      </c>
      <c r="T23" s="277">
        <v>3.0779999999999998E-2</v>
      </c>
      <c r="U23" s="274">
        <v>151</v>
      </c>
      <c r="V23" s="271">
        <v>251019911</v>
      </c>
      <c r="W23" s="279">
        <v>7640186.3013698626</v>
      </c>
      <c r="X23" s="279">
        <v>6071671.2328767125</v>
      </c>
      <c r="Y23" s="279">
        <v>1568515.0684931502</v>
      </c>
      <c r="Z23" s="280" t="s">
        <v>2438</v>
      </c>
      <c r="AA23" s="278"/>
      <c r="AB23" s="243">
        <f>+I23+W23</f>
        <v>607640186.30136991</v>
      </c>
      <c r="AC23" s="197"/>
      <c r="AD23" s="243">
        <f>+I23+AI23</f>
        <v>608348547.94520545</v>
      </c>
      <c r="AF23" s="242">
        <v>8</v>
      </c>
      <c r="AH23" s="210">
        <f>+$AH$1-R23+1</f>
        <v>165</v>
      </c>
      <c r="AI23" s="210">
        <f>+I23*P23*AH23/365</f>
        <v>8348547.9452054799</v>
      </c>
      <c r="AJ23" s="210">
        <f>+AI23-W23</f>
        <v>708361.64383561723</v>
      </c>
    </row>
    <row r="24" spans="1:36">
      <c r="A24" s="270">
        <v>31</v>
      </c>
      <c r="B24" s="271" t="s">
        <v>2441</v>
      </c>
      <c r="C24" s="270"/>
      <c r="D24" s="271">
        <v>9991</v>
      </c>
      <c r="E24" s="271" t="s">
        <v>2403</v>
      </c>
      <c r="F24" s="271">
        <v>9220017520</v>
      </c>
      <c r="G24" s="272" t="s">
        <v>2440</v>
      </c>
      <c r="H24" s="271" t="s">
        <v>351</v>
      </c>
      <c r="I24" s="366">
        <v>500000000</v>
      </c>
      <c r="J24" s="273">
        <v>100000</v>
      </c>
      <c r="K24" s="274">
        <v>5000</v>
      </c>
      <c r="L24" s="275">
        <v>45503</v>
      </c>
      <c r="M24" s="275">
        <v>47694</v>
      </c>
      <c r="N24" s="271" t="s">
        <v>2439</v>
      </c>
      <c r="O24" s="276">
        <v>0</v>
      </c>
      <c r="P24" s="277">
        <v>4.0629999999999999E-2</v>
      </c>
      <c r="Q24" s="271">
        <v>365</v>
      </c>
      <c r="R24" s="278">
        <v>45868</v>
      </c>
      <c r="S24" s="278">
        <v>46233</v>
      </c>
      <c r="T24" s="277">
        <v>4.0629999999999999E-2</v>
      </c>
      <c r="U24" s="274">
        <v>94</v>
      </c>
      <c r="V24" s="271">
        <v>251019911</v>
      </c>
      <c r="W24" s="279">
        <v>5231808.2191780824</v>
      </c>
      <c r="X24" s="279">
        <v>3506424.6575342468</v>
      </c>
      <c r="Y24" s="279">
        <v>1725383.5616438356</v>
      </c>
      <c r="Z24" s="280" t="s">
        <v>2438</v>
      </c>
      <c r="AA24" s="278"/>
      <c r="AB24" s="243">
        <f>+I24+W24</f>
        <v>505231808.21917808</v>
      </c>
      <c r="AC24" s="197"/>
      <c r="AD24" s="243">
        <f>+I24+AI24</f>
        <v>506011013.69863015</v>
      </c>
      <c r="AF24" s="242">
        <v>8</v>
      </c>
      <c r="AH24" s="210">
        <f>+$AH$1-R24+1</f>
        <v>108</v>
      </c>
      <c r="AI24" s="210">
        <f>+I24*P24*AH24/365</f>
        <v>6011013.6986301374</v>
      </c>
      <c r="AJ24" s="210">
        <f>+AI24-W24</f>
        <v>779205.47945205495</v>
      </c>
    </row>
    <row r="25" spans="1:36" s="199" customFormat="1" ht="4.5" customHeight="1">
      <c r="A25" s="194"/>
      <c r="B25" s="195"/>
      <c r="C25" s="194"/>
      <c r="D25" s="196"/>
      <c r="E25" s="197"/>
      <c r="F25" s="198"/>
      <c r="G25" s="197"/>
      <c r="H25" s="317"/>
      <c r="I25" s="367"/>
      <c r="J25" s="200"/>
      <c r="K25" s="203"/>
      <c r="L25" s="318"/>
      <c r="M25" s="319"/>
      <c r="N25" s="196"/>
      <c r="O25" s="320"/>
      <c r="P25" s="201"/>
      <c r="Q25" s="321"/>
      <c r="R25" s="322"/>
      <c r="S25" s="323"/>
      <c r="T25" s="324"/>
      <c r="U25" s="203"/>
      <c r="V25" s="204"/>
      <c r="W25" s="283"/>
      <c r="X25" s="283"/>
      <c r="Y25" s="283"/>
      <c r="Z25" s="317"/>
      <c r="AA25" s="322"/>
      <c r="AB25" s="356"/>
      <c r="AD25" s="356"/>
      <c r="AF25" s="322"/>
      <c r="AG25"/>
    </row>
    <row r="26" spans="1:36" s="265" customFormat="1">
      <c r="A26" s="287"/>
      <c r="B26" s="325"/>
      <c r="C26" s="287" t="s">
        <v>2429</v>
      </c>
      <c r="D26" s="325">
        <v>99870</v>
      </c>
      <c r="E26" s="325"/>
      <c r="F26" s="326" t="s">
        <v>2437</v>
      </c>
      <c r="G26" s="287" t="s">
        <v>2436</v>
      </c>
      <c r="H26" s="325"/>
      <c r="I26" s="368">
        <v>1600000000</v>
      </c>
      <c r="J26" s="328"/>
      <c r="K26" s="328"/>
      <c r="L26" s="328"/>
      <c r="M26" s="328"/>
      <c r="N26" s="325"/>
      <c r="O26" s="329"/>
      <c r="P26" s="330"/>
      <c r="Q26" s="331"/>
      <c r="R26" s="332"/>
      <c r="S26" s="332"/>
      <c r="T26" s="333"/>
      <c r="U26" s="334"/>
      <c r="V26" s="334"/>
      <c r="W26" s="327">
        <v>14138775.342465753</v>
      </c>
      <c r="X26" s="327">
        <v>10558232.87671233</v>
      </c>
      <c r="Y26" s="327">
        <v>3580542.465753424</v>
      </c>
      <c r="Z26" s="335"/>
      <c r="AA26" s="332"/>
      <c r="AB26" s="357"/>
      <c r="AD26" s="357"/>
      <c r="AF26" s="332"/>
      <c r="AG26"/>
    </row>
    <row r="27" spans="1:36" s="265" customFormat="1" ht="4.5" customHeight="1">
      <c r="A27" s="194"/>
      <c r="B27" s="195"/>
      <c r="C27" s="194"/>
      <c r="D27" s="195"/>
      <c r="F27" s="336"/>
      <c r="G27" s="299"/>
      <c r="I27" s="316"/>
      <c r="J27" s="301"/>
      <c r="K27" s="337"/>
      <c r="L27" s="303"/>
      <c r="M27" s="303"/>
      <c r="N27" s="299"/>
      <c r="O27" s="304"/>
      <c r="P27" s="305"/>
      <c r="Q27" s="306"/>
      <c r="R27" s="307"/>
      <c r="S27" s="307"/>
      <c r="T27" s="308"/>
      <c r="U27" s="309"/>
      <c r="V27" s="309"/>
      <c r="W27" s="310"/>
      <c r="X27" s="310"/>
      <c r="Y27" s="310"/>
      <c r="Z27" s="311"/>
      <c r="AA27" s="338"/>
      <c r="AB27" s="358"/>
      <c r="AD27" s="358"/>
      <c r="AF27" s="338"/>
      <c r="AG27"/>
    </row>
    <row r="28" spans="1:36">
      <c r="A28" s="250"/>
      <c r="B28" s="251"/>
      <c r="C28" s="250" t="s">
        <v>2435</v>
      </c>
      <c r="D28" s="252"/>
      <c r="E28" s="253"/>
      <c r="F28" s="254"/>
      <c r="G28" s="253"/>
      <c r="H28" s="253"/>
      <c r="I28" s="365"/>
      <c r="J28" s="255"/>
      <c r="K28" s="256"/>
      <c r="L28" s="257"/>
      <c r="M28" s="257"/>
      <c r="N28" s="252"/>
      <c r="O28" s="258"/>
      <c r="P28" s="259"/>
      <c r="Q28" s="252"/>
      <c r="R28" s="257"/>
      <c r="S28" s="257"/>
      <c r="T28" s="259"/>
      <c r="U28" s="260"/>
      <c r="V28" s="312"/>
      <c r="W28" s="252"/>
      <c r="X28" s="263"/>
      <c r="Y28" s="255"/>
      <c r="Z28" s="264"/>
      <c r="AA28" s="257"/>
      <c r="AB28" s="260"/>
      <c r="AC28" s="197"/>
      <c r="AD28" s="260"/>
      <c r="AF28" s="257"/>
    </row>
    <row r="29" spans="1:36">
      <c r="A29" s="194"/>
      <c r="B29" s="195"/>
      <c r="C29" s="194"/>
      <c r="F29" s="194"/>
      <c r="G29" s="195"/>
      <c r="H29" s="216"/>
      <c r="I29" s="204"/>
      <c r="K29" s="203"/>
      <c r="L29" s="313"/>
      <c r="M29" s="199"/>
      <c r="N29" s="227"/>
      <c r="O29" s="211"/>
      <c r="P29" s="314"/>
      <c r="Q29" s="315"/>
      <c r="R29" s="315"/>
      <c r="S29" s="213"/>
      <c r="T29" s="314"/>
      <c r="U29" s="316"/>
      <c r="V29" s="316"/>
      <c r="W29" s="300"/>
      <c r="X29" s="300"/>
      <c r="Y29" s="283"/>
      <c r="Z29" s="196"/>
      <c r="AA29" s="315"/>
      <c r="AB29" s="355"/>
      <c r="AC29" s="197"/>
      <c r="AD29" s="355"/>
      <c r="AF29" s="315"/>
    </row>
    <row r="30" spans="1:36">
      <c r="A30" s="239">
        <v>31</v>
      </c>
      <c r="B30" s="240" t="s">
        <v>2432</v>
      </c>
      <c r="C30" s="239"/>
      <c r="D30" s="240"/>
      <c r="E30" s="240" t="s">
        <v>2416</v>
      </c>
      <c r="F30" s="240">
        <v>9220014350</v>
      </c>
      <c r="G30" s="241" t="s">
        <v>2434</v>
      </c>
      <c r="H30" s="240" t="s">
        <v>351</v>
      </c>
      <c r="I30" s="363">
        <v>400000000</v>
      </c>
      <c r="J30" s="242">
        <v>100000</v>
      </c>
      <c r="K30" s="243">
        <v>4000</v>
      </c>
      <c r="L30" s="244">
        <v>44210</v>
      </c>
      <c r="M30" s="339"/>
      <c r="N30" s="240" t="s">
        <v>2430</v>
      </c>
      <c r="O30" s="245">
        <v>0</v>
      </c>
      <c r="P30" s="246"/>
      <c r="Q30" s="240">
        <v>0</v>
      </c>
      <c r="R30" s="340"/>
      <c r="S30" s="340"/>
      <c r="T30" s="246">
        <v>0</v>
      </c>
      <c r="U30" s="243">
        <v>45962</v>
      </c>
      <c r="V30" s="240"/>
      <c r="W30" s="248">
        <v>0</v>
      </c>
      <c r="X30" s="248">
        <v>0</v>
      </c>
      <c r="Y30" s="248">
        <v>0</v>
      </c>
      <c r="Z30" s="249"/>
      <c r="AA30" s="247"/>
      <c r="AB30" s="243">
        <f>+I30+W30</f>
        <v>400000000</v>
      </c>
      <c r="AC30" s="197"/>
      <c r="AD30" s="243">
        <f>+I30+AI30</f>
        <v>400000000</v>
      </c>
      <c r="AF30" s="242">
        <v>2</v>
      </c>
      <c r="AH30" s="210"/>
    </row>
    <row r="31" spans="1:36">
      <c r="A31" s="239">
        <v>31</v>
      </c>
      <c r="B31" s="240" t="s">
        <v>2432</v>
      </c>
      <c r="C31" s="239"/>
      <c r="D31" s="240"/>
      <c r="E31" s="240" t="s">
        <v>2400</v>
      </c>
      <c r="F31" s="240">
        <v>9220015021</v>
      </c>
      <c r="G31" s="241" t="s">
        <v>2433</v>
      </c>
      <c r="H31" s="240" t="s">
        <v>351</v>
      </c>
      <c r="I31" s="363">
        <v>300000000</v>
      </c>
      <c r="J31" s="242">
        <v>100000</v>
      </c>
      <c r="K31" s="243">
        <v>3000</v>
      </c>
      <c r="L31" s="244">
        <v>45344</v>
      </c>
      <c r="M31" s="339"/>
      <c r="N31" s="240" t="s">
        <v>2430</v>
      </c>
      <c r="O31" s="245">
        <v>0</v>
      </c>
      <c r="P31" s="246"/>
      <c r="Q31" s="240">
        <v>0</v>
      </c>
      <c r="R31" s="340"/>
      <c r="S31" s="340"/>
      <c r="T31" s="246">
        <v>0</v>
      </c>
      <c r="U31" s="243">
        <v>45962</v>
      </c>
      <c r="V31" s="240"/>
      <c r="W31" s="248">
        <v>0</v>
      </c>
      <c r="X31" s="248">
        <v>0</v>
      </c>
      <c r="Y31" s="248">
        <v>0</v>
      </c>
      <c r="Z31" s="249"/>
      <c r="AA31" s="247"/>
      <c r="AB31" s="243">
        <f>+I31+W31</f>
        <v>300000000</v>
      </c>
      <c r="AC31" s="197"/>
      <c r="AD31" s="243">
        <f>+I31+AI31</f>
        <v>300000000</v>
      </c>
      <c r="AF31" s="242">
        <v>2</v>
      </c>
      <c r="AH31" s="210"/>
    </row>
    <row r="32" spans="1:36" s="199" customFormat="1">
      <c r="A32" s="239">
        <v>31</v>
      </c>
      <c r="B32" s="240" t="s">
        <v>2432</v>
      </c>
      <c r="C32" s="239"/>
      <c r="D32" s="240"/>
      <c r="E32" s="240" t="s">
        <v>2408</v>
      </c>
      <c r="F32" s="240">
        <v>9220018358</v>
      </c>
      <c r="G32" s="241" t="s">
        <v>2431</v>
      </c>
      <c r="H32" s="240" t="s">
        <v>351</v>
      </c>
      <c r="I32" s="363">
        <v>500000000</v>
      </c>
      <c r="J32" s="242">
        <v>100000</v>
      </c>
      <c r="K32" s="243">
        <v>5000</v>
      </c>
      <c r="L32" s="244">
        <v>45806</v>
      </c>
      <c r="M32" s="339"/>
      <c r="N32" s="240" t="s">
        <v>2430</v>
      </c>
      <c r="O32" s="245">
        <v>0</v>
      </c>
      <c r="P32" s="246"/>
      <c r="Q32" s="240">
        <v>365</v>
      </c>
      <c r="R32" s="340"/>
      <c r="S32" s="340"/>
      <c r="T32" s="246">
        <v>0</v>
      </c>
      <c r="U32" s="243">
        <v>156</v>
      </c>
      <c r="V32" s="240"/>
      <c r="W32" s="248">
        <v>0</v>
      </c>
      <c r="X32" s="248">
        <v>0</v>
      </c>
      <c r="Y32" s="248">
        <v>0</v>
      </c>
      <c r="Z32" s="249"/>
      <c r="AA32" s="247"/>
      <c r="AB32" s="243">
        <f>+I32+W32</f>
        <v>500000000</v>
      </c>
      <c r="AD32" s="243">
        <f>+I32+AI32</f>
        <v>500000000</v>
      </c>
      <c r="AF32" s="242">
        <v>2</v>
      </c>
      <c r="AG32"/>
      <c r="AH32" s="210"/>
    </row>
    <row r="33" spans="1:33" s="199" customFormat="1" ht="4.5" customHeight="1">
      <c r="A33" s="194"/>
      <c r="B33" s="195"/>
      <c r="C33" s="194"/>
      <c r="D33" s="196"/>
      <c r="E33" s="197"/>
      <c r="F33" s="198"/>
      <c r="G33" s="197"/>
      <c r="H33" s="317"/>
      <c r="I33" s="367"/>
      <c r="J33" s="200"/>
      <c r="K33" s="203"/>
      <c r="L33" s="318"/>
      <c r="M33" s="319"/>
      <c r="N33" s="196"/>
      <c r="O33" s="320"/>
      <c r="P33" s="201"/>
      <c r="Q33" s="321"/>
      <c r="R33" s="322"/>
      <c r="S33" s="323"/>
      <c r="T33" s="324"/>
      <c r="U33" s="203"/>
      <c r="V33" s="204"/>
      <c r="W33" s="283"/>
      <c r="X33" s="283"/>
      <c r="Y33" s="283"/>
      <c r="Z33" s="317"/>
      <c r="AA33" s="322"/>
      <c r="AB33" s="322"/>
      <c r="AD33" s="322"/>
      <c r="AF33" s="322"/>
      <c r="AG33"/>
    </row>
    <row r="34" spans="1:33" s="199" customFormat="1">
      <c r="A34" s="287"/>
      <c r="B34" s="325"/>
      <c r="C34" s="287" t="s">
        <v>2429</v>
      </c>
      <c r="D34" s="325"/>
      <c r="E34" s="325"/>
      <c r="F34" s="326" t="s">
        <v>2428</v>
      </c>
      <c r="G34" s="287" t="s">
        <v>2427</v>
      </c>
      <c r="H34" s="325"/>
      <c r="I34" s="368">
        <v>1200000000</v>
      </c>
      <c r="J34" s="328"/>
      <c r="K34" s="328"/>
      <c r="L34" s="328"/>
      <c r="M34" s="328"/>
      <c r="N34" s="325"/>
      <c r="O34" s="329"/>
      <c r="P34" s="330"/>
      <c r="Q34" s="331"/>
      <c r="R34" s="332"/>
      <c r="S34" s="332"/>
      <c r="T34" s="333"/>
      <c r="U34" s="334"/>
      <c r="V34" s="334"/>
      <c r="W34" s="327">
        <v>0</v>
      </c>
      <c r="X34" s="327">
        <v>0</v>
      </c>
      <c r="Y34" s="327">
        <v>0</v>
      </c>
      <c r="Z34" s="335"/>
      <c r="AA34" s="332"/>
      <c r="AB34" s="332"/>
      <c r="AD34" s="332"/>
      <c r="AF34" s="332"/>
      <c r="AG34"/>
    </row>
    <row r="35" spans="1:33" s="199" customFormat="1">
      <c r="A35" s="194"/>
      <c r="B35" s="195"/>
      <c r="C35" s="194"/>
      <c r="D35" s="195"/>
      <c r="F35" s="198"/>
      <c r="H35" s="195"/>
      <c r="I35" s="216"/>
      <c r="J35" s="227"/>
      <c r="K35" s="227"/>
      <c r="L35" s="313"/>
      <c r="M35" s="313"/>
      <c r="N35" s="195"/>
      <c r="O35" s="341"/>
      <c r="P35" s="305"/>
      <c r="Q35" s="195"/>
      <c r="R35" s="315"/>
      <c r="S35" s="315"/>
      <c r="T35" s="314"/>
      <c r="U35" s="342"/>
      <c r="V35" s="342"/>
      <c r="W35" s="343"/>
      <c r="X35" s="302">
        <v>141673062.53338236</v>
      </c>
      <c r="Y35" s="300"/>
      <c r="Z35" s="344"/>
      <c r="AA35" s="315"/>
      <c r="AB35" s="315"/>
      <c r="AD35" s="315"/>
      <c r="AF35" s="315"/>
      <c r="AG35"/>
    </row>
    <row r="36" spans="1:33">
      <c r="A36" s="194"/>
      <c r="B36" s="195"/>
      <c r="C36" s="194"/>
      <c r="H36" s="197"/>
      <c r="I36" s="359"/>
      <c r="J36" s="227"/>
      <c r="K36" s="195"/>
      <c r="L36" s="281"/>
      <c r="M36" s="281"/>
      <c r="R36" s="323"/>
      <c r="U36" s="204"/>
      <c r="W36" s="345"/>
      <c r="X36" s="302"/>
      <c r="Y36" s="346"/>
      <c r="AA36" s="323"/>
      <c r="AB36" s="323"/>
      <c r="AC36" s="197"/>
      <c r="AD36" s="323"/>
      <c r="AF36" s="323"/>
    </row>
    <row r="37" spans="1:33">
      <c r="A37" s="347"/>
      <c r="B37" s="344"/>
      <c r="C37" s="347"/>
      <c r="H37" s="197"/>
      <c r="I37" s="359"/>
      <c r="L37" s="281"/>
      <c r="M37" s="281"/>
      <c r="R37" s="323"/>
      <c r="U37" s="204"/>
      <c r="W37" s="310"/>
      <c r="X37" s="348"/>
      <c r="Y37" s="346"/>
      <c r="AA37" s="323"/>
      <c r="AB37" s="323"/>
      <c r="AC37" s="197"/>
      <c r="AD37" s="323"/>
      <c r="AF37" s="323"/>
    </row>
    <row r="38" spans="1:33">
      <c r="G38" s="349"/>
      <c r="L38" s="281"/>
      <c r="M38" s="281"/>
      <c r="W38" s="283"/>
      <c r="X38" s="200"/>
      <c r="Y38" s="337"/>
      <c r="AC38" s="197"/>
    </row>
    <row r="39" spans="1:33">
      <c r="A39" s="194"/>
      <c r="B39" s="195"/>
      <c r="C39" s="194"/>
      <c r="K39" s="200"/>
      <c r="L39" s="281"/>
      <c r="M39" s="281"/>
      <c r="W39" s="283"/>
      <c r="X39" s="283"/>
      <c r="Y39" s="337"/>
      <c r="AC39" s="197"/>
    </row>
    <row r="40" spans="1:33">
      <c r="AC40" s="197"/>
    </row>
    <row r="41" spans="1:33">
      <c r="AC41" s="197"/>
    </row>
    <row r="42" spans="1:33">
      <c r="AC42" s="197"/>
    </row>
    <row r="43" spans="1:33">
      <c r="AC43" s="197"/>
    </row>
    <row r="44" spans="1:33">
      <c r="AC44" s="197"/>
    </row>
    <row r="45" spans="1:33" ht="10.5" customHeight="1">
      <c r="AC45" s="197"/>
    </row>
    <row r="46" spans="1:33">
      <c r="AC46" s="197"/>
    </row>
    <row r="47" spans="1:33" ht="10.5" customHeight="1">
      <c r="AC47" s="197"/>
    </row>
    <row r="48" spans="1:33">
      <c r="AC48" s="197"/>
    </row>
    <row r="49" spans="29:29">
      <c r="AC49" s="197"/>
    </row>
    <row r="50" spans="29:29">
      <c r="AC50" s="197"/>
    </row>
    <row r="51" spans="29:29">
      <c r="AC51" s="197"/>
    </row>
    <row r="52" spans="29:29">
      <c r="AC52" s="197"/>
    </row>
    <row r="53" spans="29:29">
      <c r="AC53" s="197"/>
    </row>
    <row r="54" spans="29:29">
      <c r="AC54" s="197"/>
    </row>
    <row r="55" spans="29:29">
      <c r="AC55" s="197"/>
    </row>
    <row r="56" spans="29:29">
      <c r="AC56" s="197"/>
    </row>
    <row r="57" spans="29:29">
      <c r="AC57" s="197"/>
    </row>
    <row r="58" spans="29:29">
      <c r="AC58" s="197"/>
    </row>
    <row r="59" spans="29:29">
      <c r="AC59" s="197"/>
    </row>
    <row r="60" spans="29:29">
      <c r="AC60" s="197"/>
    </row>
    <row r="61" spans="29:29">
      <c r="AC61" s="197"/>
    </row>
    <row r="62" spans="29:29">
      <c r="AC62" s="197"/>
    </row>
    <row r="63" spans="29:29">
      <c r="AC63" s="197"/>
    </row>
    <row r="64" spans="29:29">
      <c r="AC64" s="197"/>
    </row>
    <row r="65" spans="29:29">
      <c r="AC65" s="197"/>
    </row>
    <row r="66" spans="29:29">
      <c r="AC66" s="197"/>
    </row>
    <row r="67" spans="29:29">
      <c r="AC67" s="197"/>
    </row>
    <row r="68" spans="29:29">
      <c r="AC68" s="197"/>
    </row>
    <row r="69" spans="29:29">
      <c r="AC69" s="197"/>
    </row>
    <row r="70" spans="29:29">
      <c r="AC70" s="197"/>
    </row>
    <row r="71" spans="29:29">
      <c r="AC71" s="197"/>
    </row>
    <row r="72" spans="29:29">
      <c r="AC72" s="197"/>
    </row>
    <row r="73" spans="29:29">
      <c r="AC73" s="197"/>
    </row>
    <row r="74" spans="29:29">
      <c r="AC74" s="197"/>
    </row>
    <row r="75" spans="29:29">
      <c r="AC75" s="197"/>
    </row>
    <row r="76" spans="29:29">
      <c r="AC76" s="197"/>
    </row>
    <row r="77" spans="29:29">
      <c r="AC77" s="197"/>
    </row>
    <row r="78" spans="29:29">
      <c r="AC78" s="197"/>
    </row>
    <row r="79" spans="29:29">
      <c r="AC79" s="197"/>
    </row>
    <row r="80" spans="29:29">
      <c r="AC80" s="197"/>
    </row>
    <row r="81" spans="29:29">
      <c r="AC81" s="197"/>
    </row>
    <row r="82" spans="29:29">
      <c r="AC82" s="197"/>
    </row>
    <row r="83" spans="29:29">
      <c r="AC83" s="197"/>
    </row>
    <row r="84" spans="29:29">
      <c r="AC84" s="197"/>
    </row>
    <row r="85" spans="29:29">
      <c r="AC85" s="197"/>
    </row>
    <row r="86" spans="29:29">
      <c r="AC86" s="197"/>
    </row>
    <row r="87" spans="29:29">
      <c r="AC87" s="197"/>
    </row>
    <row r="88" spans="29:29">
      <c r="AC88" s="197"/>
    </row>
    <row r="89" spans="29:29">
      <c r="AC89" s="197"/>
    </row>
    <row r="90" spans="29:29">
      <c r="AC90" s="197"/>
    </row>
    <row r="91" spans="29:29">
      <c r="AC91" s="197"/>
    </row>
    <row r="92" spans="29:29">
      <c r="AC92" s="197"/>
    </row>
    <row r="93" spans="29:29">
      <c r="AC93" s="197"/>
    </row>
    <row r="94" spans="29:29">
      <c r="AC94" s="197"/>
    </row>
    <row r="95" spans="29:29">
      <c r="AC95" s="197"/>
    </row>
    <row r="96" spans="29:29">
      <c r="AC96" s="197"/>
    </row>
    <row r="97" spans="29:29">
      <c r="AC97" s="197"/>
    </row>
    <row r="98" spans="29:29">
      <c r="AC98" s="197"/>
    </row>
    <row r="99" spans="29:29">
      <c r="AC99" s="197"/>
    </row>
    <row r="100" spans="29:29">
      <c r="AC100" s="197"/>
    </row>
    <row r="101" spans="29:29">
      <c r="AC101" s="197"/>
    </row>
    <row r="102" spans="29:29">
      <c r="AC102" s="197"/>
    </row>
    <row r="103" spans="29:29">
      <c r="AC103" s="197"/>
    </row>
    <row r="104" spans="29:29">
      <c r="AC104" s="197"/>
    </row>
    <row r="105" spans="29:29">
      <c r="AC105" s="197"/>
    </row>
    <row r="106" spans="29:29">
      <c r="AC106" s="197"/>
    </row>
    <row r="107" spans="29:29">
      <c r="AC107" s="197"/>
    </row>
    <row r="108" spans="29:29">
      <c r="AC108" s="197"/>
    </row>
    <row r="109" spans="29:29">
      <c r="AC109" s="197"/>
    </row>
    <row r="110" spans="29:29">
      <c r="AC110" s="197"/>
    </row>
    <row r="111" spans="29:29">
      <c r="AC111" s="197"/>
    </row>
    <row r="112" spans="29:29">
      <c r="AC112" s="197"/>
    </row>
    <row r="113" spans="29:29">
      <c r="AC113" s="197"/>
    </row>
    <row r="114" spans="29:29">
      <c r="AC114" s="197"/>
    </row>
    <row r="115" spans="29:29">
      <c r="AC115" s="197"/>
    </row>
    <row r="116" spans="29:29">
      <c r="AC116" s="197"/>
    </row>
    <row r="117" spans="29:29">
      <c r="AC117" s="197"/>
    </row>
    <row r="118" spans="29:29">
      <c r="AC118" s="197"/>
    </row>
    <row r="119" spans="29:29">
      <c r="AC119" s="197"/>
    </row>
    <row r="120" spans="29:29">
      <c r="AC120" s="197"/>
    </row>
    <row r="121" spans="29:29">
      <c r="AC121" s="197"/>
    </row>
    <row r="122" spans="29:29">
      <c r="AC122" s="197"/>
    </row>
    <row r="123" spans="29:29">
      <c r="AC123" s="197"/>
    </row>
    <row r="124" spans="29:29">
      <c r="AC124" s="197"/>
    </row>
    <row r="125" spans="29:29">
      <c r="AC125" s="197"/>
    </row>
    <row r="126" spans="29:29">
      <c r="AC126" s="197"/>
    </row>
  </sheetData>
  <conditionalFormatting sqref="A6:C6">
    <cfRule type="cellIs" dxfId="5" priority="2" stopIfTrue="1" operator="equal">
      <formula>"*Readquiridos*"</formula>
    </cfRule>
  </conditionalFormatting>
  <conditionalFormatting sqref="A28:C28">
    <cfRule type="cellIs" dxfId="4" priority="9" stopIfTrue="1" operator="equal">
      <formula>"*Readquiridos*"</formula>
    </cfRule>
  </conditionalFormatting>
  <conditionalFormatting sqref="G1:G3">
    <cfRule type="cellIs" dxfId="3" priority="16" stopIfTrue="1" operator="equal">
      <formula>"*Readquiridos*"</formula>
    </cfRule>
  </conditionalFormatting>
  <conditionalFormatting sqref="G5 A14:C14 A21:C21">
    <cfRule type="cellIs" dxfId="2" priority="15" stopIfTrue="1" operator="equal">
      <formula>"*Readquiridos*"</formula>
    </cfRule>
  </conditionalFormatting>
  <conditionalFormatting sqref="G7:G13">
    <cfRule type="cellIs" dxfId="1" priority="1" stopIfTrue="1" operator="equal">
      <formula>"*Readquiridos*"</formula>
    </cfRule>
  </conditionalFormatting>
  <conditionalFormatting sqref="G16:G20 G22:G27 G29:G39">
    <cfRule type="cellIs" dxfId="0" priority="8" stopIfTrue="1" operator="equal">
      <formula>"*Readquiridos*"</formula>
    </cfRule>
  </conditionalFormatting>
  <pageMargins left="0.23622047244094491" right="0.19685039370078741" top="0.15748031496062992" bottom="0.19685039370078741" header="0.15748031496062992" footer="0.19685039370078741"/>
  <pageSetup paperSize="9" scale="35" orientation="landscape" horizontalDpi="4294967295" verticalDpi="4294967295" r:id="rId1"/>
  <headerFooter alignWithMargins="0">
    <oddHeader>&amp;L&amp;"Calibri"&amp;10&amp;K000000Restricted-confidential&amp;1#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951051659CE89468EBDA2519EAB1C2D" ma:contentTypeVersion="3" ma:contentTypeDescription="Criar um novo documento." ma:contentTypeScope="" ma:versionID="738d30ba8cfdfff76e4918fb31cdd826">
  <xsd:schema xmlns:xsd="http://www.w3.org/2001/XMLSchema" xmlns:xs="http://www.w3.org/2001/XMLSchema" xmlns:p="http://schemas.microsoft.com/office/2006/metadata/properties" xmlns:ns2="4fb83d86-dfc0-458d-abeb-e3887179c5dc" targetNamespace="http://schemas.microsoft.com/office/2006/metadata/properties" ma:root="true" ma:fieldsID="78c6ac00b88353c2650dbc2a6d88071f" ns2:_="">
    <xsd:import namespace="4fb83d86-dfc0-458d-abeb-e3887179c5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b83d86-dfc0-458d-abeb-e3887179c5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351197C-E14F-47B1-B3B2-D92700F3A2D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AC0AFB3-163E-42DE-A3F9-E5A8E75E94AE}">
  <ds:schemaRefs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purl.org/dc/terms/"/>
    <ds:schemaRef ds:uri="35a53f98-05f6-4676-bb5f-e0a15ebd6163"/>
    <ds:schemaRef ds:uri="http://purl.org/dc/elements/1.1/"/>
    <ds:schemaRef ds:uri="http://www.w3.org/XML/1998/namespace"/>
    <ds:schemaRef ds:uri="http://purl.org/dc/dcmitype/"/>
    <ds:schemaRef ds:uri="da939e6e-c834-4402-9bb6-928da3fd2495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9B222C01-5DC7-4D9C-85FD-A1849C8626FB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3</vt:i4>
      </vt:variant>
    </vt:vector>
  </HeadingPairs>
  <TitlesOfParts>
    <vt:vector size="15" baseType="lpstr">
      <vt:lpstr>Accounting Check</vt:lpstr>
      <vt:lpstr>Summary SRB</vt:lpstr>
      <vt:lpstr>B9900</vt:lpstr>
      <vt:lpstr>B0200</vt:lpstr>
      <vt:lpstr>B9000</vt:lpstr>
      <vt:lpstr>V_Level 1</vt:lpstr>
      <vt:lpstr>V_Level 2</vt:lpstr>
      <vt:lpstr>BST individual BS Oct25</vt:lpstr>
      <vt:lpstr>Lists</vt:lpstr>
      <vt:lpstr>ISO 4217</vt:lpstr>
      <vt:lpstr>ISO 3166</vt:lpstr>
      <vt:lpstr>Inventory</vt:lpstr>
      <vt:lpstr>'BST individual BS Oct25'!Print_Area</vt:lpstr>
      <vt:lpstr>Inventory!Print_Area</vt:lpstr>
      <vt:lpstr>Inventory!Print_Titles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STEFANINI Marco</dc:creator>
  <cp:keywords/>
  <dc:description/>
  <cp:lastModifiedBy>João Guilherme Beno Jardim</cp:lastModifiedBy>
  <cp:revision/>
  <dcterms:created xsi:type="dcterms:W3CDTF">2021-09-22T07:24:40Z</dcterms:created>
  <dcterms:modified xsi:type="dcterms:W3CDTF">2025-12-16T17:51:09Z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0x0101001951051659CE89468EBDA2519EAB1C2D</vt:lpwstr>
  </property>
  <property fmtid="{D5CDD505-2E9C-101B-9397-08002B2CF9AE}" pid="3" name="SRBFilePlan">
    <vt:lpwstr>1;#11.01.010.050 Horizontal Tasks|a9bf0ad6-d13f-4c92-8cea-1734af464065</vt:lpwstr>
  </property>
  <property fmtid="{D5CDD505-2E9C-101B-9397-08002B2CF9AE}" pid="4" name="File Plan">
    <vt:lpwstr>1;#11.01.005.140.010 Planning Cycle Implementation Steering Committee|105569ca-ba87-4031-b9d0-280c64d9dfab</vt:lpwstr>
  </property>
  <property fmtid="{D5CDD505-2E9C-101B-9397-08002B2CF9AE}" pid="5" name="fbdfbe0deb37414e8af32f3ab34e1d60">
    <vt:lpwstr>11.01.005.140.010 Planning Cycle Implementation Steering Committee|105569ca-ba87-4031-b9d0-280c64d9dfab</vt:lpwstr>
  </property>
  <property fmtid="{D5CDD505-2E9C-101B-9397-08002B2CF9AE}" pid="6" name="MSIP_Label_0c2abd79-57a9-4473-8700-c843f76a1e37_Enabled">
    <vt:lpwstr>true</vt:lpwstr>
  </property>
  <property fmtid="{D5CDD505-2E9C-101B-9397-08002B2CF9AE}" pid="7" name="MSIP_Label_0c2abd79-57a9-4473-8700-c843f76a1e37_SetDate">
    <vt:lpwstr>2025-03-04T17:29:16Z</vt:lpwstr>
  </property>
  <property fmtid="{D5CDD505-2E9C-101B-9397-08002B2CF9AE}" pid="8" name="MSIP_Label_0c2abd79-57a9-4473-8700-c843f76a1e37_Method">
    <vt:lpwstr>Privileged</vt:lpwstr>
  </property>
  <property fmtid="{D5CDD505-2E9C-101B-9397-08002B2CF9AE}" pid="9" name="MSIP_Label_0c2abd79-57a9-4473-8700-c843f76a1e37_Name">
    <vt:lpwstr>Internal</vt:lpwstr>
  </property>
  <property fmtid="{D5CDD505-2E9C-101B-9397-08002B2CF9AE}" pid="10" name="MSIP_Label_0c2abd79-57a9-4473-8700-c843f76a1e37_SiteId">
    <vt:lpwstr>35595a02-4d6d-44ac-99e1-f9ab4cd872db</vt:lpwstr>
  </property>
  <property fmtid="{D5CDD505-2E9C-101B-9397-08002B2CF9AE}" pid="11" name="MSIP_Label_0c2abd79-57a9-4473-8700-c843f76a1e37_ActionId">
    <vt:lpwstr>97b07b71-0226-489f-bef8-fa2e84f3d1ac</vt:lpwstr>
  </property>
  <property fmtid="{D5CDD505-2E9C-101B-9397-08002B2CF9AE}" pid="12" name="MSIP_Label_0c2abd79-57a9-4473-8700-c843f76a1e37_ContentBits">
    <vt:lpwstr>0</vt:lpwstr>
  </property>
  <property fmtid="{D5CDD505-2E9C-101B-9397-08002B2CF9AE}" pid="13" name="MSIP_Label_0c2abd79-57a9-4473-8700-c843f76a1e37_Tag">
    <vt:lpwstr>10, 0, 1, 1</vt:lpwstr>
  </property>
  <property fmtid="{D5CDD505-2E9C-101B-9397-08002B2CF9AE}" pid="14" name="MediaServiceImageTags">
    <vt:lpwstr/>
  </property>
</Properties>
</file>