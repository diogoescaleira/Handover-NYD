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BSTestesBail-In/Shared Documents/Geral/03. Incidências/"/>
    </mc:Choice>
  </mc:AlternateContent>
  <xr:revisionPtr revIDLastSave="138" documentId="11_03F50F8100C401EAC056D396DEF021DAC87400E0" xr6:coauthVersionLast="47" xr6:coauthVersionMax="47" xr10:uidLastSave="{5D21C329-5E4A-4A86-B151-E071F2140D19}"/>
  <bookViews>
    <workbookView xWindow="-108" yWindow="-108" windowWidth="23256" windowHeight="12456" xr2:uid="{00000000-000D-0000-FFFF-FFFF00000000}"/>
  </bookViews>
  <sheets>
    <sheet name="01. Incidências" sheetId="1" r:id="rId1"/>
    <sheet name="02. Evidências &gt;&gt;" sheetId="2" r:id="rId2"/>
    <sheet name="ID1" sheetId="4" r:id="rId3"/>
  </sheets>
  <definedNames>
    <definedName name="_xlnm._FilterDatabase" localSheetId="0" hidden="1">'01. Incidências'!$B$24:$N$27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B26" i="1" l="1"/>
  <c r="B27" i="1" s="1"/>
  <c r="E19" i="1" l="1"/>
  <c r="E18" i="1"/>
  <c r="E17" i="1"/>
  <c r="E16" i="1"/>
  <c r="E15" i="1"/>
  <c r="E14" i="1"/>
  <c r="E13" i="1" l="1"/>
  <c r="F15" i="1" s="1"/>
  <c r="F19" i="1" l="1"/>
  <c r="F18" i="1"/>
  <c r="F14" i="1"/>
  <c r="F17" i="1"/>
  <c r="F16" i="1"/>
</calcChain>
</file>

<file path=xl/sharedStrings.xml><?xml version="1.0" encoding="utf-8"?>
<sst xmlns="http://schemas.openxmlformats.org/spreadsheetml/2006/main" count="66" uniqueCount="49">
  <si>
    <t>Tabela</t>
  </si>
  <si>
    <t>Campo</t>
  </si>
  <si>
    <t>Descrição</t>
  </si>
  <si>
    <t>Tipologia</t>
  </si>
  <si>
    <t>Severidade</t>
  </si>
  <si>
    <t>Data de Abertura</t>
  </si>
  <si>
    <t>Data de Fecho</t>
  </si>
  <si>
    <t>Owner</t>
  </si>
  <si>
    <t>Data de Referência</t>
  </si>
  <si>
    <t>Obs. Equipa Testes</t>
  </si>
  <si>
    <t>#</t>
  </si>
  <si>
    <t>%</t>
  </si>
  <si>
    <r>
      <rPr>
        <b/>
        <i/>
        <sz val="14"/>
        <color theme="1"/>
        <rFont val="Calibri"/>
        <family val="2"/>
      </rPr>
      <t>Status</t>
    </r>
    <r>
      <rPr>
        <b/>
        <sz val="14"/>
        <color theme="1"/>
        <rFont val="Calibri"/>
        <family val="2"/>
      </rPr>
      <t xml:space="preserve"> das Incidências</t>
    </r>
  </si>
  <si>
    <t xml:space="preserve">1. Incidências reportadas </t>
  </si>
  <si>
    <t xml:space="preserve">1.1 Incidências abertas </t>
  </si>
  <si>
    <t>-</t>
  </si>
  <si>
    <t>Data de Atualização:</t>
  </si>
  <si>
    <t>1.2 Incidências em correção</t>
  </si>
  <si>
    <t>1.3 Incidências canceladas</t>
  </si>
  <si>
    <t>1.4 Incidências re-abertas</t>
  </si>
  <si>
    <t>1.5 Incidências em re-teste</t>
  </si>
  <si>
    <t xml:space="preserve">1.6 Incidências fechadas </t>
  </si>
  <si>
    <t>Status</t>
  </si>
  <si>
    <t>Médio</t>
  </si>
  <si>
    <t>Aberta</t>
  </si>
  <si>
    <t>IT Team</t>
  </si>
  <si>
    <t>Universo</t>
  </si>
  <si>
    <t>2025-09-30</t>
  </si>
  <si>
    <r>
      <t xml:space="preserve">Na tabela </t>
    </r>
    <r>
      <rPr>
        <i/>
        <sz val="14"/>
        <color theme="1"/>
        <rFont val="Calibri"/>
        <family val="2"/>
      </rPr>
      <t>infra</t>
    </r>
    <r>
      <rPr>
        <sz val="14"/>
        <color theme="1"/>
        <rFont val="Calibri"/>
        <family val="2"/>
      </rPr>
      <t xml:space="preserve"> encontra-se o detalhe das incidências verificadas no decorrer do projeto certificação Bail-In. </t>
    </r>
  </si>
  <si>
    <t>BU_LOANTAPE_WORK.OUT_B0200_MAIN_LIABILITIES</t>
  </si>
  <si>
    <t>0020_UNIQ_ID</t>
  </si>
  <si>
    <t>Granulidade BU_LOANTAPE_WORK.OUT_B0200_MAIN_LIABILITIES</t>
  </si>
  <si>
    <t>31641600005800007PTCPP0AM0007000</t>
  </si>
  <si>
    <t>Casuística</t>
  </si>
  <si>
    <t>Operação duplicada na tabela</t>
  </si>
  <si>
    <t>Granulidade esperada</t>
  </si>
  <si>
    <r>
      <t xml:space="preserve">Na </t>
    </r>
    <r>
      <rPr>
        <i/>
        <sz val="11"/>
        <color theme="1"/>
        <rFont val="Calibri"/>
        <family val="2"/>
      </rPr>
      <t>sheet</t>
    </r>
    <r>
      <rPr>
        <sz val="11"/>
        <color theme="1"/>
        <rFont val="Calibri"/>
        <family val="2"/>
      </rPr>
      <t xml:space="preserve"> "ID1" encontra-se a operação alvo de duplicação na tabela. </t>
    </r>
  </si>
  <si>
    <t>1 Operação duplicada na tabela final.</t>
  </si>
  <si>
    <t>Certificação Bail-In | Resumo de Incidências</t>
  </si>
  <si>
    <t>BU_LOANTAPE_WORK.OUT_B0200_MAIN_LIABILITIES E BU_LOANTAPE_WORK.LT002_INSTRUMENT</t>
  </si>
  <si>
    <t>0530_TYP_OWN_FNDS_IND_LVL, 0550_TYP_OWN_FNDS_CNSLDTD_LVL E TYP_OWN_FNDS_INDVDL_LVL</t>
  </si>
  <si>
    <t>Operações: ('31641600000000000PTSTOHOM0002000','31641600000000000PTSTOEOM0021000')</t>
  </si>
  <si>
    <t>Valores admitidos</t>
  </si>
  <si>
    <r>
      <t xml:space="preserve">Campo mapeado apenas com valor </t>
    </r>
    <r>
      <rPr>
        <i/>
        <sz val="11"/>
        <color theme="1"/>
        <rFont val="Calibri"/>
        <family val="2"/>
      </rPr>
      <t>default</t>
    </r>
    <r>
      <rPr>
        <sz val="11"/>
        <color theme="1"/>
        <rFont val="Calibri"/>
        <family val="2"/>
      </rPr>
      <t xml:space="preserve">. Atualizar as parametrizações que constam nas tabela </t>
    </r>
    <r>
      <rPr>
        <i/>
        <sz val="11"/>
        <color theme="1"/>
        <rFont val="Calibri"/>
        <family val="2"/>
      </rPr>
      <t xml:space="preserve">bu_loantape_work.lt829_regras_conversao e lt830_conversoes </t>
    </r>
    <r>
      <rPr>
        <sz val="11"/>
        <color theme="1"/>
        <rFont val="Calibri"/>
        <family val="2"/>
      </rPr>
      <t xml:space="preserve">de acordo com a especificação funcional. </t>
    </r>
  </si>
  <si>
    <r>
      <t xml:space="preserve">Campo mapeado apenas com valor </t>
    </r>
    <r>
      <rPr>
        <i/>
        <sz val="11"/>
        <color theme="1"/>
        <rFont val="Calibri"/>
        <family val="2"/>
      </rPr>
      <t>default</t>
    </r>
    <r>
      <rPr>
        <sz val="11"/>
        <color theme="1"/>
        <rFont val="Calibri"/>
        <family val="2"/>
      </rPr>
      <t xml:space="preserve">. Atualizar a parametrização que consta na tabela </t>
    </r>
    <r>
      <rPr>
        <i/>
        <sz val="11"/>
        <color theme="1"/>
        <rFont val="Calibri"/>
        <family val="2"/>
      </rPr>
      <t xml:space="preserve">bu_loantape_work.lt804_conf_dflt  </t>
    </r>
    <r>
      <rPr>
        <sz val="11"/>
        <color theme="1"/>
        <rFont val="Calibri"/>
        <family val="2"/>
      </rPr>
      <t xml:space="preserve">de acordo com a especificação funcional. </t>
    </r>
  </si>
  <si>
    <t>0060_ORGNL_AMNT_FX E ORGNL_AMNT_FX</t>
  </si>
  <si>
    <t>0620_BLNC_SHT_IFRS E ACCNTNG_CLSSFCTN</t>
  </si>
  <si>
    <r>
      <t xml:space="preserve">ID </t>
    </r>
    <r>
      <rPr>
        <b/>
        <i/>
        <sz val="12"/>
        <color theme="0"/>
        <rFont val="Calibri"/>
        <family val="2"/>
      </rPr>
      <t>Issue</t>
    </r>
  </si>
  <si>
    <r>
      <t xml:space="preserve">2 Operações com valor </t>
    </r>
    <r>
      <rPr>
        <i/>
        <sz val="11"/>
        <color theme="1"/>
        <rFont val="Calibri"/>
        <family val="2"/>
      </rPr>
      <t>null</t>
    </r>
    <r>
      <rPr>
        <sz val="11"/>
        <color theme="1"/>
        <rFont val="Calibri"/>
        <family val="2"/>
      </rPr>
      <t xml:space="preserve">. Denote-se que estas operações na tabela fonte (campo </t>
    </r>
    <r>
      <rPr>
        <i/>
        <sz val="11"/>
        <color theme="1"/>
        <rFont val="Calibri"/>
        <family val="2"/>
      </rPr>
      <t>eleg_fund_prop</t>
    </r>
    <r>
      <rPr>
        <sz val="11"/>
        <color theme="1"/>
        <rFont val="Calibri"/>
        <family val="2"/>
      </rPr>
      <t xml:space="preserve"> da tabela </t>
    </r>
    <r>
      <rPr>
        <i/>
        <sz val="11"/>
        <color theme="1"/>
        <rFont val="Calibri"/>
        <family val="2"/>
      </rPr>
      <t>cd_captools.ct610_titulos</t>
    </r>
    <r>
      <rPr>
        <sz val="11"/>
        <color theme="1"/>
        <rFont val="Calibri"/>
        <family val="2"/>
      </rPr>
      <t xml:space="preserve">) já estão mapeadas com valor </t>
    </r>
    <r>
      <rPr>
        <i/>
        <sz val="11"/>
        <color theme="1"/>
        <rFont val="Calibri"/>
        <family val="2"/>
      </rPr>
      <t>null</t>
    </r>
    <r>
      <rPr>
        <sz val="11"/>
        <color theme="1"/>
        <rFont val="Calibri"/>
        <family val="2"/>
      </rPr>
      <t xml:space="preserve">, nesse sentido, será necessário ajustar a parametrização </t>
    </r>
    <r>
      <rPr>
        <i/>
        <sz val="11"/>
        <color theme="1"/>
        <rFont val="Calibri"/>
        <family val="2"/>
      </rPr>
      <t>lt804_conf_dflt</t>
    </r>
    <r>
      <rPr>
        <sz val="11"/>
        <color theme="1"/>
        <rFont val="Calibri"/>
        <family val="2"/>
      </rPr>
      <t xml:space="preserve"> de acordo com a especificação funcional.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</si>
</sst>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8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20"/>
      <color rgb="FFFF0000"/>
      <name val="Calibri"/>
      <family val="2"/>
    </font>
    <font>
      <b/>
      <sz val="12"/>
      <color theme="0"/>
      <name val="Calibri"/>
      <family val="2"/>
    </font>
    <font>
      <i/>
      <sz val="11"/>
      <color theme="1"/>
      <name val="Calibri"/>
      <family val="2"/>
    </font>
    <font>
      <i/>
      <sz val="12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i/>
      <sz val="14"/>
      <color theme="1"/>
      <name val="Calibri"/>
      <family val="2"/>
    </font>
    <font>
      <sz val="13"/>
      <color theme="1"/>
      <name val="Calibri"/>
      <family val="2"/>
    </font>
    <font>
      <i/>
      <sz val="13"/>
      <color theme="1"/>
      <name val="Calibri"/>
      <family val="2"/>
    </font>
    <font>
      <b/>
      <i/>
      <sz val="12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1" fillId="3" borderId="0" xfId="0" applyFont="1" applyFill="1"/>
    <xf numFmtId="0" fontId="1" fillId="2" borderId="0" xfId="0" applyFont="1" applyFill="1"/>
    <xf numFmtId="0" fontId="3" fillId="0" borderId="1" xfId="0" applyFont="1" applyBorder="1"/>
    <xf numFmtId="0" fontId="1" fillId="0" borderId="1" xfId="0" applyFont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1" fillId="0" borderId="0" xfId="0" applyFont="1" applyAlignment="1">
      <alignment wrapText="1"/>
    </xf>
    <xf numFmtId="0" fontId="10" fillId="3" borderId="0" xfId="0" applyFont="1" applyFill="1" applyAlignment="1">
      <alignment horizontal="left"/>
    </xf>
    <xf numFmtId="0" fontId="13" fillId="3" borderId="8" xfId="0" applyFont="1" applyFill="1" applyBorder="1" applyAlignment="1">
      <alignment horizontal="left"/>
    </xf>
    <xf numFmtId="0" fontId="12" fillId="3" borderId="8" xfId="0" applyFont="1" applyFill="1" applyBorder="1"/>
    <xf numFmtId="0" fontId="2" fillId="3" borderId="0" xfId="0" applyFont="1" applyFill="1" applyAlignment="1">
      <alignment horizontal="right"/>
    </xf>
    <xf numFmtId="9" fontId="6" fillId="3" borderId="0" xfId="1" applyFont="1" applyFill="1" applyBorder="1" applyAlignment="1">
      <alignment horizontal="right"/>
    </xf>
    <xf numFmtId="0" fontId="13" fillId="3" borderId="8" xfId="0" applyFont="1" applyFill="1" applyBorder="1" applyAlignment="1">
      <alignment horizontal="right"/>
    </xf>
    <xf numFmtId="0" fontId="15" fillId="3" borderId="0" xfId="0" applyFont="1" applyFill="1" applyAlignment="1">
      <alignment horizontal="left" indent="2"/>
    </xf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5" fillId="3" borderId="0" xfId="0" applyFont="1" applyFill="1" applyAlignment="1">
      <alignment horizontal="left" indent="4"/>
    </xf>
    <xf numFmtId="9" fontId="16" fillId="3" borderId="0" xfId="1" applyFont="1" applyFill="1" applyBorder="1" applyAlignment="1">
      <alignment horizontal="right"/>
    </xf>
    <xf numFmtId="0" fontId="10" fillId="3" borderId="11" xfId="0" applyFont="1" applyFill="1" applyBorder="1" applyAlignment="1">
      <alignment horizontal="left"/>
    </xf>
    <xf numFmtId="0" fontId="11" fillId="3" borderId="0" xfId="0" applyFont="1" applyFill="1" applyAlignment="1">
      <alignment horizontal="left"/>
    </xf>
    <xf numFmtId="14" fontId="11" fillId="3" borderId="0" xfId="0" applyNumberFormat="1" applyFont="1" applyFill="1"/>
    <xf numFmtId="0" fontId="6" fillId="3" borderId="0" xfId="0" applyFont="1" applyFill="1" applyAlignment="1">
      <alignment horizontal="left"/>
    </xf>
    <xf numFmtId="14" fontId="6" fillId="3" borderId="0" xfId="0" applyNumberFormat="1" applyFont="1" applyFill="1"/>
    <xf numFmtId="0" fontId="15" fillId="3" borderId="8" xfId="0" applyFont="1" applyFill="1" applyBorder="1" applyAlignment="1">
      <alignment horizontal="left" indent="4"/>
    </xf>
    <xf numFmtId="0" fontId="15" fillId="3" borderId="8" xfId="0" applyFont="1" applyFill="1" applyBorder="1"/>
    <xf numFmtId="0" fontId="15" fillId="3" borderId="8" xfId="0" applyFont="1" applyFill="1" applyBorder="1" applyAlignment="1">
      <alignment horizontal="right"/>
    </xf>
    <xf numFmtId="0" fontId="4" fillId="2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quotePrefix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14" fontId="1" fillId="0" borderId="10" xfId="0" applyNumberFormat="1" applyFont="1" applyBorder="1" applyAlignment="1">
      <alignment horizontal="center" vertical="center" wrapText="1"/>
    </xf>
    <xf numFmtId="0" fontId="0" fillId="3" borderId="0" xfId="0" applyFill="1"/>
    <xf numFmtId="0" fontId="0" fillId="2" borderId="0" xfId="0" applyFill="1"/>
    <xf numFmtId="0" fontId="0" fillId="0" borderId="12" xfId="0" applyBorder="1"/>
    <xf numFmtId="9" fontId="6" fillId="3" borderId="8" xfId="1" applyFont="1" applyFill="1" applyBorder="1" applyAlignment="1">
      <alignment horizontal="right"/>
    </xf>
    <xf numFmtId="0" fontId="17" fillId="2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8" fillId="2" borderId="12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0" fillId="0" borderId="12" xfId="0" quotePrefix="1" applyBorder="1"/>
    <xf numFmtId="164" fontId="1" fillId="0" borderId="10" xfId="0" applyNumberFormat="1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482663</xdr:colOff>
      <xdr:row>1</xdr:row>
      <xdr:rowOff>0</xdr:rowOff>
    </xdr:from>
    <xdr:to>
      <xdr:col>3</xdr:col>
      <xdr:colOff>1576917</xdr:colOff>
      <xdr:row>3</xdr:row>
      <xdr:rowOff>105856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4413" y="190500"/>
          <a:ext cx="1094254" cy="486856"/>
        </a:xfrm>
        <a:prstGeom prst="rect">
          <a:avLst/>
        </a:prstGeom>
      </xdr:spPr>
    </xdr:pic>
    <xdr:clientData/>
  </xdr:twoCellAnchor>
  <xdr:twoCellAnchor editAs="absolute">
    <xdr:from>
      <xdr:col>0</xdr:col>
      <xdr:colOff>272142</xdr:colOff>
      <xdr:row>1</xdr:row>
      <xdr:rowOff>165875</xdr:rowOff>
    </xdr:from>
    <xdr:to>
      <xdr:col>3</xdr:col>
      <xdr:colOff>285750</xdr:colOff>
      <xdr:row>2</xdr:row>
      <xdr:rowOff>180334</xdr:rowOff>
    </xdr:to>
    <xdr:pic>
      <xdr:nvPicPr>
        <xdr:cNvPr id="5" name="Gráfico 1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72142" y="356375"/>
          <a:ext cx="1319894" cy="2049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2508922</xdr:colOff>
      <xdr:row>3</xdr:row>
      <xdr:rowOff>102974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pSpPr/>
      </xdr:nvGrpSpPr>
      <xdr:grpSpPr>
        <a:xfrm>
          <a:off x="281940" y="175260"/>
          <a:ext cx="2508922" cy="453494"/>
          <a:chOff x="285750" y="178596"/>
          <a:chExt cx="2508922" cy="460161"/>
        </a:xfrm>
      </xdr:grpSpPr>
      <xdr:pic>
        <xdr:nvPicPr>
          <xdr:cNvPr id="10" name="Gráfico 10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11" name="Graphic 267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R29"/>
  <sheetViews>
    <sheetView showGridLines="0" tabSelected="1" zoomScale="70" zoomScaleNormal="70" workbookViewId="0">
      <pane ySplit="24" topLeftCell="A25" activePane="bottomLeft" state="frozen"/>
      <selection pane="bottomLeft" activeCell="H26" sqref="H26"/>
    </sheetView>
  </sheetViews>
  <sheetFormatPr defaultColWidth="0" defaultRowHeight="14.4" zeroHeight="1"/>
  <cols>
    <col min="1" max="2" width="3.69921875" style="1" customWidth="1"/>
    <col min="3" max="3" width="9.59765625" style="1" customWidth="1"/>
    <col min="4" max="4" width="39.3984375" style="1" bestFit="1" customWidth="1"/>
    <col min="5" max="6" width="22.69921875" style="1" customWidth="1"/>
    <col min="7" max="7" width="16" style="1" customWidth="1"/>
    <col min="8" max="8" width="89.59765625" style="1" customWidth="1"/>
    <col min="9" max="10" width="16" style="1" customWidth="1"/>
    <col min="11" max="11" width="35.3984375" style="1" customWidth="1"/>
    <col min="12" max="14" width="16" style="1" customWidth="1"/>
    <col min="15" max="15" width="3.69921875" style="1" customWidth="1"/>
    <col min="16" max="16" width="3.69921875" style="1" hidden="1" customWidth="1"/>
    <col min="17" max="17" width="0" style="1" hidden="1" customWidth="1"/>
    <col min="18" max="18" width="3.69921875" style="1" hidden="1" customWidth="1"/>
    <col min="19" max="16384" width="9.09765625" style="1" hidden="1"/>
  </cols>
  <sheetData>
    <row r="1" spans="2:14" s="3" customFormat="1"/>
    <row r="2" spans="2:14" s="3" customFormat="1"/>
    <row r="3" spans="2:14" s="3" customFormat="1"/>
    <row r="4" spans="2:14" s="3" customFormat="1"/>
    <row r="5" spans="2:14" s="4" customFormat="1" ht="3" customHeight="1"/>
    <row r="6" spans="2:14"/>
    <row r="7" spans="2:14" ht="25.8">
      <c r="B7" s="5" t="s">
        <v>38</v>
      </c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/>
    <row r="9" spans="2:14" ht="3.9" customHeight="1"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9"/>
    </row>
    <row r="10" spans="2:14" ht="18">
      <c r="B10" s="10"/>
      <c r="C10" s="27" t="s">
        <v>28</v>
      </c>
      <c r="D10" s="16"/>
      <c r="E10" s="3"/>
      <c r="F10" s="3"/>
      <c r="G10" s="3"/>
      <c r="H10" s="3"/>
      <c r="I10" s="3"/>
      <c r="J10" s="3"/>
      <c r="K10" s="3"/>
      <c r="L10" s="3"/>
      <c r="M10" s="3"/>
      <c r="N10" s="11"/>
    </row>
    <row r="11" spans="2:14" ht="3.9" customHeight="1">
      <c r="B11" s="10"/>
      <c r="C11" s="28"/>
      <c r="D11" s="28"/>
      <c r="E11" s="29"/>
      <c r="F11" s="3"/>
      <c r="G11" s="3"/>
      <c r="H11" s="3"/>
      <c r="I11" s="3"/>
      <c r="J11" s="3"/>
      <c r="K11" s="3"/>
      <c r="L11" s="3"/>
      <c r="M11" s="3"/>
      <c r="N11" s="11"/>
    </row>
    <row r="12" spans="2:14" ht="18">
      <c r="B12" s="10"/>
      <c r="C12" s="17" t="s">
        <v>12</v>
      </c>
      <c r="D12" s="18"/>
      <c r="E12" s="21" t="s">
        <v>10</v>
      </c>
      <c r="F12" s="21" t="s">
        <v>11</v>
      </c>
      <c r="G12" s="3"/>
      <c r="H12" s="3"/>
      <c r="I12" s="3"/>
      <c r="J12" s="3"/>
      <c r="K12" s="3"/>
      <c r="L12" s="3"/>
      <c r="M12" s="3"/>
      <c r="N12" s="11"/>
    </row>
    <row r="13" spans="2:14" ht="17.399999999999999">
      <c r="B13" s="10"/>
      <c r="C13" s="22" t="s">
        <v>13</v>
      </c>
      <c r="D13" s="23"/>
      <c r="E13" s="24">
        <f>+SUM(E14:E19)</f>
        <v>4</v>
      </c>
      <c r="F13" s="19" t="s">
        <v>15</v>
      </c>
      <c r="G13" s="3"/>
      <c r="H13" s="3"/>
      <c r="I13" s="3"/>
      <c r="J13" s="3"/>
      <c r="K13" s="3"/>
      <c r="L13" s="3"/>
      <c r="M13" s="3"/>
      <c r="N13" s="11"/>
    </row>
    <row r="14" spans="2:14" ht="17.399999999999999">
      <c r="B14" s="10"/>
      <c r="C14" s="25" t="s">
        <v>14</v>
      </c>
      <c r="D14" s="23"/>
      <c r="E14" s="24">
        <f>+COUNTIF(N:N,"Aberta")</f>
        <v>4</v>
      </c>
      <c r="F14" s="20">
        <f t="shared" ref="F14:F19" si="0">+E14/$E$13</f>
        <v>1</v>
      </c>
      <c r="G14" s="3"/>
      <c r="H14" s="3"/>
      <c r="I14" s="3"/>
      <c r="J14" s="3"/>
      <c r="K14" s="3"/>
      <c r="L14" s="3"/>
      <c r="M14" s="3"/>
      <c r="N14" s="11"/>
    </row>
    <row r="15" spans="2:14" ht="17.399999999999999">
      <c r="B15" s="10"/>
      <c r="C15" s="25" t="s">
        <v>17</v>
      </c>
      <c r="D15" s="23"/>
      <c r="E15" s="24">
        <f>+COUNTIF(N:N,"Em correção")</f>
        <v>0</v>
      </c>
      <c r="F15" s="20">
        <f t="shared" si="0"/>
        <v>0</v>
      </c>
      <c r="G15" s="3"/>
      <c r="H15" s="3"/>
      <c r="I15" s="3"/>
      <c r="J15" s="3"/>
      <c r="K15" s="3"/>
      <c r="L15" s="3"/>
      <c r="M15" s="3"/>
      <c r="N15" s="11"/>
    </row>
    <row r="16" spans="2:14" ht="17.399999999999999">
      <c r="B16" s="10"/>
      <c r="C16" s="25" t="s">
        <v>18</v>
      </c>
      <c r="D16" s="23"/>
      <c r="E16" s="24">
        <f>+COUNTIF(N:N,"Cancelada")</f>
        <v>0</v>
      </c>
      <c r="F16" s="20">
        <f t="shared" si="0"/>
        <v>0</v>
      </c>
      <c r="G16" s="3"/>
      <c r="H16" s="3"/>
      <c r="I16" s="3"/>
      <c r="J16" s="3"/>
      <c r="K16" s="3"/>
      <c r="L16" s="3"/>
      <c r="M16" s="3"/>
      <c r="N16" s="11"/>
    </row>
    <row r="17" spans="2:14" ht="17.399999999999999">
      <c r="B17" s="10"/>
      <c r="C17" s="25" t="s">
        <v>19</v>
      </c>
      <c r="D17" s="23"/>
      <c r="E17" s="24">
        <f>+COUNTIF(N:N,"Re-aberta")</f>
        <v>0</v>
      </c>
      <c r="F17" s="20">
        <f t="shared" si="0"/>
        <v>0</v>
      </c>
      <c r="G17" s="3"/>
      <c r="H17" s="3"/>
      <c r="I17" s="3"/>
      <c r="J17" s="3"/>
      <c r="K17" s="3"/>
      <c r="L17" s="3"/>
      <c r="M17" s="3"/>
      <c r="N17" s="11"/>
    </row>
    <row r="18" spans="2:14" ht="17.399999999999999">
      <c r="B18" s="10"/>
      <c r="C18" s="25" t="s">
        <v>20</v>
      </c>
      <c r="D18" s="23"/>
      <c r="E18" s="24">
        <f>+COUNTIF(N:N,"Re-teste")</f>
        <v>0</v>
      </c>
      <c r="F18" s="20">
        <f t="shared" si="0"/>
        <v>0</v>
      </c>
      <c r="G18" s="3"/>
      <c r="H18" s="3"/>
      <c r="I18" s="3"/>
      <c r="J18" s="3"/>
      <c r="K18" s="3"/>
      <c r="L18" s="3"/>
      <c r="M18" s="3"/>
      <c r="N18" s="11"/>
    </row>
    <row r="19" spans="2:14" ht="17.399999999999999">
      <c r="B19" s="10"/>
      <c r="C19" s="32" t="s">
        <v>21</v>
      </c>
      <c r="D19" s="33"/>
      <c r="E19" s="34">
        <f>+COUNTIF(N:N,"Fechada")</f>
        <v>0</v>
      </c>
      <c r="F19" s="43">
        <f t="shared" si="0"/>
        <v>0</v>
      </c>
      <c r="G19" s="3"/>
      <c r="H19" s="3"/>
      <c r="I19" s="3"/>
      <c r="J19" s="3"/>
      <c r="K19" s="3"/>
      <c r="L19" s="3"/>
      <c r="M19" s="3"/>
      <c r="N19" s="11"/>
    </row>
    <row r="20" spans="2:14" ht="3.9" customHeight="1">
      <c r="B20" s="10"/>
      <c r="C20" s="25"/>
      <c r="D20" s="23"/>
      <c r="E20" s="24"/>
      <c r="F20" s="26"/>
      <c r="G20" s="3"/>
      <c r="H20" s="3"/>
      <c r="I20" s="3"/>
      <c r="J20" s="3"/>
      <c r="K20" s="3"/>
      <c r="L20" s="3"/>
      <c r="M20" s="3"/>
      <c r="N20" s="11"/>
    </row>
    <row r="21" spans="2:14" ht="15.6">
      <c r="B21" s="10"/>
      <c r="C21" s="30" t="s">
        <v>16</v>
      </c>
      <c r="D21" s="30"/>
      <c r="E21" s="31"/>
      <c r="F21" s="31">
        <v>45959</v>
      </c>
      <c r="G21" s="3"/>
      <c r="H21" s="3"/>
      <c r="I21" s="3"/>
      <c r="J21" s="3"/>
      <c r="K21" s="3"/>
      <c r="L21" s="3"/>
      <c r="M21" s="3"/>
      <c r="N21" s="11"/>
    </row>
    <row r="22" spans="2:14" ht="3.9" customHeight="1"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4"/>
    </row>
    <row r="23" spans="2:14" ht="15" customHeight="1"/>
    <row r="24" spans="2:14" s="2" customFormat="1" ht="28.5" customHeight="1">
      <c r="B24" s="51" t="s">
        <v>47</v>
      </c>
      <c r="C24" s="51"/>
      <c r="D24" s="35" t="s">
        <v>0</v>
      </c>
      <c r="E24" s="35" t="s">
        <v>1</v>
      </c>
      <c r="F24" s="35" t="s">
        <v>8</v>
      </c>
      <c r="G24" s="35" t="s">
        <v>3</v>
      </c>
      <c r="H24" s="35" t="s">
        <v>2</v>
      </c>
      <c r="I24" s="35" t="s">
        <v>4</v>
      </c>
      <c r="J24" s="35" t="s">
        <v>5</v>
      </c>
      <c r="K24" s="35" t="s">
        <v>9</v>
      </c>
      <c r="L24" s="35" t="s">
        <v>7</v>
      </c>
      <c r="M24" s="35" t="s">
        <v>6</v>
      </c>
      <c r="N24" s="44" t="s">
        <v>22</v>
      </c>
    </row>
    <row r="25" spans="2:14" s="15" customFormat="1" ht="69" customHeight="1">
      <c r="B25" s="50">
        <v>1</v>
      </c>
      <c r="C25" s="50"/>
      <c r="D25" s="36" t="s">
        <v>29</v>
      </c>
      <c r="E25" s="36" t="s">
        <v>30</v>
      </c>
      <c r="F25" s="37" t="s">
        <v>27</v>
      </c>
      <c r="G25" s="36" t="s">
        <v>26</v>
      </c>
      <c r="H25" s="38" t="s">
        <v>37</v>
      </c>
      <c r="I25" s="36" t="s">
        <v>23</v>
      </c>
      <c r="J25" s="39">
        <v>45959</v>
      </c>
      <c r="K25" s="38" t="s">
        <v>36</v>
      </c>
      <c r="L25" s="45" t="s">
        <v>25</v>
      </c>
      <c r="M25" s="39"/>
      <c r="N25" s="45" t="s">
        <v>24</v>
      </c>
    </row>
    <row r="26" spans="2:14" s="15" customFormat="1" ht="69" customHeight="1">
      <c r="B26" s="50">
        <f>+B25+1</f>
        <v>2</v>
      </c>
      <c r="C26" s="50"/>
      <c r="D26" s="36" t="s">
        <v>39</v>
      </c>
      <c r="E26" s="36" t="s">
        <v>40</v>
      </c>
      <c r="F26" s="37" t="s">
        <v>27</v>
      </c>
      <c r="G26" s="36" t="s">
        <v>42</v>
      </c>
      <c r="H26" s="38" t="s">
        <v>48</v>
      </c>
      <c r="I26" s="36" t="s">
        <v>23</v>
      </c>
      <c r="J26" s="39">
        <v>45959</v>
      </c>
      <c r="K26" s="38" t="s">
        <v>41</v>
      </c>
      <c r="L26" s="45" t="s">
        <v>25</v>
      </c>
      <c r="M26" s="39"/>
      <c r="N26" s="45" t="s">
        <v>24</v>
      </c>
    </row>
    <row r="27" spans="2:14" s="15" customFormat="1" ht="69" customHeight="1">
      <c r="B27" s="50">
        <f t="shared" ref="B27:B28" si="1">+B26+1</f>
        <v>3</v>
      </c>
      <c r="C27" s="50"/>
      <c r="D27" s="36" t="s">
        <v>39</v>
      </c>
      <c r="E27" s="36" t="s">
        <v>46</v>
      </c>
      <c r="F27" s="37" t="s">
        <v>27</v>
      </c>
      <c r="G27" s="36" t="s">
        <v>42</v>
      </c>
      <c r="H27" s="38" t="s">
        <v>43</v>
      </c>
      <c r="I27" s="36" t="s">
        <v>23</v>
      </c>
      <c r="J27" s="39">
        <v>45959</v>
      </c>
      <c r="K27" s="38"/>
      <c r="L27" s="45" t="s">
        <v>25</v>
      </c>
      <c r="M27" s="39"/>
      <c r="N27" s="45" t="s">
        <v>24</v>
      </c>
    </row>
    <row r="28" spans="2:14" s="15" customFormat="1" ht="69" customHeight="1">
      <c r="B28" s="50">
        <f t="shared" si="1"/>
        <v>4</v>
      </c>
      <c r="C28" s="50"/>
      <c r="D28" s="36" t="s">
        <v>39</v>
      </c>
      <c r="E28" s="36" t="s">
        <v>45</v>
      </c>
      <c r="F28" s="37" t="s">
        <v>27</v>
      </c>
      <c r="G28" s="36" t="s">
        <v>42</v>
      </c>
      <c r="H28" s="38" t="s">
        <v>44</v>
      </c>
      <c r="I28" s="36" t="s">
        <v>23</v>
      </c>
      <c r="J28" s="39">
        <v>45959</v>
      </c>
      <c r="K28" s="38"/>
      <c r="L28" s="45" t="s">
        <v>25</v>
      </c>
      <c r="M28" s="39"/>
      <c r="N28" s="45" t="s">
        <v>24</v>
      </c>
    </row>
    <row r="29" spans="2:14"/>
  </sheetData>
  <mergeCells count="5">
    <mergeCell ref="B28:C28"/>
    <mergeCell ref="B24:C24"/>
    <mergeCell ref="B25:C25"/>
    <mergeCell ref="B26:C26"/>
    <mergeCell ref="B27:C2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workbookViewId="0">
      <selection activeCell="C35" sqref="C35"/>
    </sheetView>
  </sheetViews>
  <sheetFormatPr defaultRowHeight="13.8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showGridLines="0" zoomScaleNormal="100" workbookViewId="0">
      <selection activeCell="B8" sqref="B8"/>
    </sheetView>
  </sheetViews>
  <sheetFormatPr defaultColWidth="0" defaultRowHeight="14.25" customHeight="1" zeroHeight="1"/>
  <cols>
    <col min="1" max="1" width="3.69921875" customWidth="1"/>
    <col min="2" max="3" width="87.8984375" customWidth="1"/>
    <col min="4" max="4" width="3.69921875" customWidth="1"/>
    <col min="5" max="16384" width="9.09765625" hidden="1"/>
  </cols>
  <sheetData>
    <row r="1" spans="2:3" s="40" customFormat="1" ht="13.8"/>
    <row r="2" spans="2:3" s="40" customFormat="1" ht="13.8"/>
    <row r="3" spans="2:3" s="40" customFormat="1" ht="13.8"/>
    <row r="4" spans="2:3" s="40" customFormat="1" ht="13.8"/>
    <row r="5" spans="2:3" s="41" customFormat="1" ht="3" customHeight="1"/>
    <row r="6" spans="2:3" ht="13.8"/>
    <row r="7" spans="2:3" ht="13.8">
      <c r="B7" s="48" t="s">
        <v>31</v>
      </c>
      <c r="C7" s="48" t="s">
        <v>35</v>
      </c>
    </row>
    <row r="8" spans="2:3" ht="13.8">
      <c r="B8" s="46" t="s">
        <v>30</v>
      </c>
      <c r="C8" s="47" t="s">
        <v>33</v>
      </c>
    </row>
    <row r="9" spans="2:3" ht="13.8">
      <c r="B9" s="49" t="s">
        <v>32</v>
      </c>
      <c r="C9" s="42" t="s">
        <v>34</v>
      </c>
    </row>
    <row r="10" spans="2:3" ht="13.8"/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FE4452-C536-454E-99EF-6350A1FE22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7770A7-FA72-4CC9-94B9-5DA0D1FF1E20}">
  <ds:schemaRefs>
    <ds:schemaRef ds:uri="http://schemas.microsoft.com/office/2006/documentManagement/types"/>
    <ds:schemaRef ds:uri="http://www.w3.org/XML/1998/namespace"/>
    <ds:schemaRef ds:uri="http://schemas.microsoft.com/sharepoint/v3"/>
    <ds:schemaRef ds:uri="6ea7b29d-57ec-408d-9ea9-cf73b04f66d5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0683c779-04fc-4b63-89c9-6c25ffa1c0a4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D8E1401-B195-4D42-844E-4F77396159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01. Incidências</vt:lpstr>
      <vt:lpstr>02. Evidências &gt;&gt;</vt:lpstr>
      <vt:lpstr>ID1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Cristiana Serafim Stephani</dc:creator>
  <cp:lastModifiedBy>João Guilherme Beno Jardim</cp:lastModifiedBy>
  <dcterms:created xsi:type="dcterms:W3CDTF">2024-10-18T11:34:51Z</dcterms:created>
  <dcterms:modified xsi:type="dcterms:W3CDTF">2025-11-06T17:28:47Z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2024-10-18T12:08:27Z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5eee73bc-421f-451a-9547-2a5f8f75f04c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0x0101001951051659CE89468EBDA2519EAB1C2D</vt:lpwstr>
  </property>
  <property fmtid="{D5CDD505-2E9C-101B-9397-08002B2CF9AE}" pid="10" name="MediaServiceImageTags">
    <vt:lpwstr/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