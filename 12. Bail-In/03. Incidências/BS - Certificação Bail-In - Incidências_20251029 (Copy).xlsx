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138" documentId="11_03F50F8100C401EAC056D396DEF021DAC87400E0" xr6:coauthVersionLast="47" xr6:coauthVersionMax="47" xr10:uidLastSave="{5D21C329-5E4A-4A86-B151-E071F2140D19}"/>
  <bookViews>
    <workbookView xWindow="-108" yWindow="-108" windowWidth="23256" windowHeight="12456" xr2:uid="{00000000-000D-0000-FFFF-FFFF00000000}"/>
  </bookViews>
  <sheets>
    <sheet name="01. Incidências" sheetId="1" r:id="rId1"/>
    <sheet name="02. Evidências &gt;&gt;" sheetId="2" r:id="rId2"/>
    <sheet name="ID1" sheetId="4" r:id="rId3"/>
  </sheets>
  <definedNames>
    <definedName name="_xlnm._FilterDatabase" localSheetId="0" hidden="1">'01. Incidências'!$B$24:$N$27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6" i="1" l="1"/>
  <c r="B27" i="1" s="1"/>
  <c r="E19" i="1" l="1"/>
  <c r="E18" i="1"/>
  <c r="E17" i="1"/>
  <c r="E16" i="1"/>
  <c r="E15" i="1"/>
  <c r="E14" i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<sst xmlns="http://schemas.openxmlformats.org/spreadsheetml/2006/main" count="66" uniqueCount="49">
  <si>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</si>
  <si>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</si>
  <si>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</si>
  <si>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</si>
  <si>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</si>
  <si>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</si>
  <si>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</si>
  <si>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</si>
  <si>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</si>
  <si>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</si>
  <si>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</si>
  <si>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</si>
  <si>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</si>
  <si>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</si>
  <si>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</si>
  <si>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</si>
  <si>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</si>
  <si>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</si>
  <si>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</si>
  <si>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</si>
  <si>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</si>
  <si>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</si>
  <si>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</si>
  <si>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</si>
  <si>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</si>
  <si>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</si>
  <si>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</si>
  <si>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</si>
  <si>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</si>
  <si>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</si>
  <si>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</si>
  <si>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</si>
  <si>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</si>
  <si>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</si>
  <si>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</si>
  <si>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</si>
  <si>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</si>
  <si>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</si>
  <si>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</si>
  <si>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BU_LOANTAPE_WORK.OUT_B0200_MAIN_LIABILITIES E BU_LOANTAPE_WORK.LT002_INSTRUMENT</t>
  </si>
  <si>
    <t>0530_TYP_OWN_FNDS_IND_LVL, 0550_TYP_OWN_FNDS_CNSLDTD_LVL E TYP_OWN_FNDS_INDVDL_LVL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</si>
  <si>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</si>
  <si>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</si>
  <si>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</si>
  <si>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</si>
  <si>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t>0060_ORGNL_AMNT_FX E ORGNL_AMNT_FX</t>
  </si>
  <si>
    <t>0620_BLNC_SHT_IFRS E ACCNTNG_CLSSFCTN</t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</si>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</sst>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164" fontId="1" fillId="0" borderId="10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272142</xdr:colOff>
      <xdr:row>1</xdr:row>
      <xdr:rowOff>165875</xdr:rowOff>
    </xdr:from>
    <xdr:to>
      <xdr:col>3</xdr:col>
      <xdr:colOff>285750</xdr:colOff>
      <xdr:row>2</xdr:row>
      <xdr:rowOff>180334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2508922</xdr:colOff>
      <xdr:row>3</xdr:row>
      <xdr:rowOff>102974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281940" y="175260"/>
          <a:ext cx="2508922" cy="453494"/>
          <a:chOff x="285750" y="178596"/>
          <a:chExt cx="2508922" cy="460161"/>
        </a:xfrm>
      </xdr:grpSpPr>
      <xdr:pic>
        <xdr:nvPicPr>
          <xdr:cNvPr id="10" name="Gráfico 10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11" name="Graphic 267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29"/>
  <sheetViews>
    <sheetView showGridLines="0" tabSelected="1" zoomScale="70" zoomScaleNormal="70" workbookViewId="0">
      <pane ySplit="24" topLeftCell="A25" activePane="bottomLeft" state="frozen"/>
      <selection pane="bottomLeft" activeCell="H26" sqref="H26"/>
    </sheetView>
  </sheetViews>
  <sheetFormatPr defaultColWidth="0" defaultRowHeight="14.4" zeroHeight="1"/>
  <cols>
    <col min="1" max="2" width="3.69921875" style="1" customWidth="1"/>
    <col min="3" max="3" width="9.59765625" style="1" customWidth="1"/>
    <col min="4" max="4" width="39.3984375" style="1" bestFit="1" customWidth="1"/>
    <col min="5" max="6" width="22.69921875" style="1" customWidth="1"/>
    <col min="7" max="7" width="16" style="1" customWidth="1"/>
    <col min="8" max="8" width="89.59765625" style="1" customWidth="1"/>
    <col min="9" max="10" width="16" style="1" customWidth="1"/>
    <col min="11" max="11" width="35.3984375" style="1" customWidth="1"/>
    <col min="12" max="14" width="16" style="1" customWidth="1"/>
    <col min="15" max="15" width="3.69921875" style="1" customWidth="1"/>
    <col min="16" max="16" width="3.69921875" style="1" hidden="1" customWidth="1"/>
    <col min="17" max="17" width="0" style="1" hidden="1" customWidth="1"/>
    <col min="18" max="18" width="3.69921875" style="1" hidden="1" customWidth="1"/>
    <col min="19" max="16384" width="9.09765625" style="1" hidden="1"/>
  </cols>
  <sheetData>
    <row r="1" spans="2:14" s="3" customFormat="1"/>
    <row r="2" spans="2:14" s="3" customFormat="1"/>
    <row r="3" spans="2:14" s="3" customFormat="1"/>
    <row r="4" spans="2:14" s="3" customFormat="1"/>
    <row r="5" spans="2:14" s="4" customFormat="1" ht="3" customHeight="1"/>
    <row r="6" spans="2:14"/>
    <row r="7" spans="2:14" ht="25.8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/>
    <row r="9" spans="2:14" ht="3.9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.399999999999999">
      <c r="B13" s="10"/>
      <c r="C13" s="22" t="s">
        <v>13</v>
      </c>
      <c r="D13" s="23"/>
      <c r="E13" s="24">
        <f>+SUM(E14:E19)</f>
        <v>4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.399999999999999">
      <c r="B14" s="10"/>
      <c r="C14" s="25" t="s">
        <v>14</v>
      </c>
      <c r="D14" s="23"/>
      <c r="E14" s="24">
        <f>+COUNTIF(N:N,"Aberta")</f>
        <v>4</v>
      </c>
      <c r="F14" s="20">
        <f t="shared" ref="F14:F19" si="0">+E14/$E$13</f>
        <v>1</v>
      </c>
      <c r="G14" s="3"/>
      <c r="H14" s="3"/>
      <c r="I14" s="3"/>
      <c r="J14" s="3"/>
      <c r="K14" s="3"/>
      <c r="L14" s="3"/>
      <c r="M14" s="3"/>
      <c r="N14" s="11"/>
    </row>
    <row r="15" spans="2:14" ht="17.399999999999999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.399999999999999">
      <c r="B16" s="10"/>
      <c r="C16" s="25" t="s">
        <v>18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.399999999999999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.399999999999999">
      <c r="B18" s="10"/>
      <c r="C18" s="25" t="s">
        <v>20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.399999999999999">
      <c r="B19" s="10"/>
      <c r="C19" s="32" t="s">
        <v>21</v>
      </c>
      <c r="D19" s="33"/>
      <c r="E19" s="34">
        <f>+COUNTIF(N:N,"Fechada")</f>
        <v>0</v>
      </c>
      <c r="F19" s="43">
        <f t="shared" si="0"/>
        <v>0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6">
      <c r="B21" s="10"/>
      <c r="C21" s="30" t="s">
        <v>16</v>
      </c>
      <c r="D21" s="30"/>
      <c r="E21" s="31"/>
      <c r="F21" s="31">
        <v>45959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/>
    <row r="24" spans="2:14" s="2" customFormat="1" ht="28.5" customHeight="1">
      <c r="B24" s="51" t="s">
        <v>47</v>
      </c>
      <c r="C24" s="51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customHeight="1">
      <c r="B25" s="50">
        <v>1</v>
      </c>
      <c r="C25" s="50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/>
      <c r="N25" s="45" t="s">
        <v>24</v>
      </c>
    </row>
    <row r="26" spans="2:14" s="15" customFormat="1" ht="69" customHeight="1">
      <c r="B26" s="50">
        <f>+B25+1</f>
        <v>2</v>
      </c>
      <c r="C26" s="50"/>
      <c r="D26" s="36" t="s">
        <v>39</v>
      </c>
      <c r="E26" s="36" t="s">
        <v>40</v>
      </c>
      <c r="F26" s="37" t="s">
        <v>27</v>
      </c>
      <c r="G26" s="36" t="s">
        <v>42</v>
      </c>
      <c r="H26" s="38" t="s">
        <v>48</v>
      </c>
      <c r="I26" s="36" t="s">
        <v>23</v>
      </c>
      <c r="J26" s="39">
        <v>45959</v>
      </c>
      <c r="K26" s="38" t="s">
        <v>41</v>
      </c>
      <c r="L26" s="45" t="s">
        <v>25</v>
      </c>
      <c r="M26" s="39"/>
      <c r="N26" s="45" t="s">
        <v>24</v>
      </c>
    </row>
    <row r="27" spans="2:14" s="15" customFormat="1" ht="69" customHeight="1">
      <c r="B27" s="50">
        <f t="shared" ref="B27:B28" si="1">+B26+1</f>
        <v>3</v>
      </c>
      <c r="C27" s="50"/>
      <c r="D27" s="36" t="s">
        <v>39</v>
      </c>
      <c r="E27" s="36" t="s">
        <v>46</v>
      </c>
      <c r="F27" s="37" t="s">
        <v>27</v>
      </c>
      <c r="G27" s="36" t="s">
        <v>42</v>
      </c>
      <c r="H27" s="38" t="s">
        <v>43</v>
      </c>
      <c r="I27" s="36" t="s">
        <v>23</v>
      </c>
      <c r="J27" s="39">
        <v>45959</v>
      </c>
      <c r="K27" s="38"/>
      <c r="L27" s="45" t="s">
        <v>25</v>
      </c>
      <c r="M27" s="39"/>
      <c r="N27" s="45" t="s">
        <v>24</v>
      </c>
    </row>
    <row r="28" spans="2:14" s="15" customFormat="1" ht="69" customHeight="1">
      <c r="B28" s="50">
        <f t="shared" si="1"/>
        <v>4</v>
      </c>
      <c r="C28" s="50"/>
      <c r="D28" s="36" t="s">
        <v>39</v>
      </c>
      <c r="E28" s="36" t="s">
        <v>45</v>
      </c>
      <c r="F28" s="37" t="s">
        <v>27</v>
      </c>
      <c r="G28" s="36" t="s">
        <v>42</v>
      </c>
      <c r="H28" s="38" t="s">
        <v>44</v>
      </c>
      <c r="I28" s="36" t="s">
        <v>23</v>
      </c>
      <c r="J28" s="39">
        <v>45959</v>
      </c>
      <c r="K28" s="38"/>
      <c r="L28" s="45" t="s">
        <v>25</v>
      </c>
      <c r="M28" s="39"/>
      <c r="N28" s="45" t="s">
        <v>24</v>
      </c>
    </row>
    <row r="29" spans="2:14"/>
  </sheetData>
  <mergeCells count="5">
    <mergeCell ref="B28:C28"/>
    <mergeCell ref="B24:C24"/>
    <mergeCell ref="B25:C25"/>
    <mergeCell ref="B26:C26"/>
    <mergeCell ref="B27:C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C35" sqref="C35"/>
    </sheetView>
  </sheetViews>
  <sheetFormatPr defaultRowHeight="13.8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B8" sqref="B8"/>
    </sheetView>
  </sheetViews>
  <sheetFormatPr defaultColWidth="0" defaultRowHeight="14.25" customHeight="1" zeroHeight="1"/>
  <cols>
    <col min="1" max="1" width="3.69921875" customWidth="1"/>
    <col min="2" max="3" width="87.8984375" customWidth="1"/>
    <col min="4" max="4" width="3.69921875" customWidth="1"/>
    <col min="5" max="16384" width="9.09765625" hidden="1"/>
  </cols>
  <sheetData>
    <row r="1" spans="2:3" s="40" customFormat="1" ht="13.8"/>
    <row r="2" spans="2:3" s="40" customFormat="1" ht="13.8"/>
    <row r="3" spans="2:3" s="40" customFormat="1" ht="13.8"/>
    <row r="4" spans="2:3" s="40" customFormat="1" ht="13.8"/>
    <row r="5" spans="2:3" s="41" customFormat="1" ht="3" customHeight="1"/>
    <row r="6" spans="2:3" ht="13.8"/>
    <row r="7" spans="2:3" ht="13.8">
      <c r="B7" s="48" t="s">
        <v>31</v>
      </c>
      <c r="C7" s="48" t="s">
        <v>35</v>
      </c>
    </row>
    <row r="8" spans="2:3" ht="13.8">
      <c r="B8" s="46" t="s">
        <v>30</v>
      </c>
      <c r="C8" s="47" t="s">
        <v>33</v>
      </c>
    </row>
    <row r="9" spans="2:3" ht="13.8">
      <c r="B9" s="49" t="s">
        <v>32</v>
      </c>
      <c r="C9" s="42" t="s">
        <v>34</v>
      </c>
    </row>
    <row r="10" spans="2:3" ht="13.8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2829CB8-5BF7-4E1A-B6FE-CF8E13855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01. Incidências</vt:lpstr>
      <vt:lpstr>02. Evidências &gt;&gt;</vt:lpstr>
      <vt:lpstr>ID1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João Guilherme Beno Jardim</cp:lastModifiedBy>
  <dcterms:created xsi:type="dcterms:W3CDTF">2024-10-18T11:34:51Z</dcterms:created>
  <dcterms:modified xsi:type="dcterms:W3CDTF">2025-11-06T17:28:47Z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