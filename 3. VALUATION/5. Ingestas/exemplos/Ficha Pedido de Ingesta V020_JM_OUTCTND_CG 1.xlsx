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0119\Desktop\KTOOLS\02. Desenvolvimentos em curso\BDR - ND CIB\Ingestas\"/>
    </mc:Choice>
  </mc:AlternateContent>
  <bookViews>
    <workbookView xWindow="-105" yWindow="-105" windowWidth="19425" windowHeight="10425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<sst xmlns="http://schemas.openxmlformats.org/spreadsheetml/2006/main" count="1268" uniqueCount="644">
  <si>
    <t>Múltiplos</t>
  </si>
  <si>
    <t>Eliminatórios</t>
  </si>
  <si>
    <t>S/necessidade</t>
  </si>
  <si>
    <t>Identificador interno do acionista</t>
  </si>
  <si>
    <t>Grupo económico</t>
  </si>
  <si>
    <t>Dados relativos a circunstancias sociais</t>
  </si>
  <si>
    <t>Dados académicos e profissionais</t>
  </si>
  <si>
    <t>Dados relativos ao emprego</t>
  </si>
  <si>
    <t>Limites do cliente</t>
  </si>
  <si>
    <t>Avaliação de risco do cliente</t>
  </si>
  <si>
    <t>Rentabilidade do cliente</t>
  </si>
  <si>
    <t>Dados de origem étnica ou racial</t>
  </si>
  <si>
    <t>Dados de convicções políticas, religiosas e filosóficas</t>
  </si>
  <si>
    <t>Dados de filiação sindical</t>
  </si>
  <si>
    <t>Dados genéticos</t>
  </si>
  <si>
    <t>Dados de saúde</t>
  </si>
  <si>
    <t>Dados biométricos</t>
  </si>
  <si>
    <t>Dados de orientação sexual</t>
  </si>
  <si>
    <t>Dados de registos criminais</t>
  </si>
  <si>
    <t>Operações Financeiras</t>
  </si>
  <si>
    <t>Transacionalidade</t>
  </si>
  <si>
    <t>Dados de Referência</t>
  </si>
  <si>
    <t>Fluxos de liquidação</t>
  </si>
  <si>
    <t>Organizacional</t>
  </si>
  <si>
    <t>Mensagens</t>
  </si>
  <si>
    <t>Dados de mercados financeiros e económicos</t>
  </si>
  <si>
    <t>Risco, Finanças e de Capitais</t>
  </si>
  <si>
    <t>Negócio Bancário</t>
  </si>
  <si>
    <t>Resultados Analíticos</t>
  </si>
  <si>
    <t>Tecnologia &amp; Operações</t>
  </si>
  <si>
    <t>Acordos comerciais</t>
  </si>
  <si>
    <t>Apetência</t>
  </si>
  <si>
    <t>Analytics de clientes e produtos</t>
  </si>
  <si>
    <t>Campanhas comerciais e de marca</t>
  </si>
  <si>
    <t>Infraestrutura de TI</t>
  </si>
  <si>
    <t>Parâmetros de risco</t>
  </si>
  <si>
    <t>Planeamento de vendas e objetivos</t>
  </si>
  <si>
    <t>Contabilidade</t>
  </si>
  <si>
    <t>Métricas agregadas e indicadores</t>
  </si>
  <si>
    <t>Nome</t>
  </si>
  <si>
    <t>Data</t>
  </si>
  <si>
    <t>Preenchido por:</t>
  </si>
  <si>
    <t>SOLICITANTE</t>
  </si>
  <si>
    <t>Nome do Solicitante</t>
  </si>
  <si>
    <t>Área do Solicitante</t>
  </si>
  <si>
    <t>PEDIDO DE INGESTA</t>
  </si>
  <si>
    <t>FONTE DOS DADOS</t>
  </si>
  <si>
    <t>Descrição Funcional da Fonte dos Dados</t>
  </si>
  <si>
    <t>Tipo de input</t>
  </si>
  <si>
    <t>RDB</t>
  </si>
  <si>
    <t>Ficheiros SSMM</t>
  </si>
  <si>
    <t>Ficheiros HOST</t>
  </si>
  <si>
    <t>DESTINO</t>
  </si>
  <si>
    <t>Servidor (FQDN)</t>
  </si>
  <si>
    <t>Porta</t>
  </si>
  <si>
    <t>Tipo BD</t>
  </si>
  <si>
    <t>Base de Dados</t>
  </si>
  <si>
    <t>Schema / Owner</t>
  </si>
  <si>
    <t>Tabela</t>
  </si>
  <si>
    <t>Tipo de carregamento</t>
  </si>
  <si>
    <t>Query</t>
  </si>
  <si>
    <t>Calendário de planificação</t>
  </si>
  <si>
    <t>Condição</t>
  </si>
  <si>
    <t>Path</t>
  </si>
  <si>
    <t>Nome do Ficheiro</t>
  </si>
  <si>
    <t>User</t>
  </si>
  <si>
    <t>Header</t>
  </si>
  <si>
    <t>Footer</t>
  </si>
  <si>
    <t>Copybook</t>
  </si>
  <si>
    <t>Formato</t>
  </si>
  <si>
    <t>GOVERNO</t>
  </si>
  <si>
    <t>Descrição</t>
  </si>
  <si>
    <t>Granularidade</t>
  </si>
  <si>
    <t xml:space="preserve">
 </t>
  </si>
  <si>
    <t>Características da acomodação, moradia, situação familiar, propriedades, bens, hobbies e estilos de vida, associações a clubes e afiliações, licenças, permissões e autorizações.</t>
  </si>
  <si>
    <t>Formações, títulos, registos académicos, experiência profissional, afiliações com associações profissionais.</t>
  </si>
  <si>
    <t>Profissão, postos de trabalho, dados económicos de vencimentos, historial do empregado.</t>
  </si>
  <si>
    <t>Traços culturais, idioma, religião, celebração de alguns festejos, expressões artísticas, vestuário, ligações históricas, tipos de alimentação e, por vezes, um território.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</si>
  <si>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</si>
  <si>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associação sindical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</si>
  <si>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</si>
  <si>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Qualquer informação respeitante à saúde passada, presente ou futura de uma pessoa, tanto físicos como psicológicos. Por exemplos, relatórios médicos ou clínicos.</t>
  </si>
  <si>
    <t xml:space="preserve">Exclusivamente os dados que por si mesmo, possam identificar uma pessoa. Como por exemplo dados de impressões digitais, de retina ou da íris. </t>
  </si>
  <si>
    <t>Dados que associem o titular dos dados com as suas preferências sexuais, sejam heterossexuais, homossexuais ou bissexuais.</t>
  </si>
  <si>
    <t xml:space="preserve">Dados referentes a antecedentes criminais. </t>
  </si>
  <si>
    <t>Valor máximo que pode ser concedido ao cliente pelo Banco Santander</t>
  </si>
  <si>
    <t>Rentabilidade gerada ao nível do cliente, isto é, a diferença entre as entradas de receita e as despesas (por exemplo, rentabilidade por canal, por sucursal, etc.)</t>
  </si>
  <si>
    <t>Identificação interna do banco para reconhecimento de cada acionista.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</si>
  <si>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</si>
  <si>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Usos</t>
  </si>
  <si>
    <t>Exemplos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</si>
  <si>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</si>
  <si>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</si>
  <si>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</si>
  <si>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</si>
  <si>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</si>
  <si>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</si>
  <si>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</si>
  <si>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</si>
  <si>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</si>
  <si>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</si>
  <si>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</si>
  <si>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</si>
  <si>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</si>
  <si>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</si>
  <si>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</si>
  <si>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</si>
  <si>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</si>
  <si>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</si>
  <si>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</si>
  <si>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</si>
  <si>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</si>
  <si>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</si>
  <si>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</si>
  <si>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</si>
  <si>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</si>
  <si>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</si>
  <si>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</si>
  <si>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</si>
  <si>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</si>
  <si>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</si>
  <si>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</si>
  <si>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</si>
  <si>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</si>
  <si>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</si>
  <si>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</si>
  <si>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</si>
  <si>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</si>
  <si>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</si>
  <si>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</si>
  <si>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</si>
  <si>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</si>
  <si>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</si>
  <si>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</si>
  <si>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</si>
  <si>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</si>
  <si>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</si>
  <si>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</si>
  <si>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</si>
  <si>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</si>
  <si>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</si>
  <si>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</si>
  <si>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</si>
  <si>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</si>
  <si>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</si>
  <si>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</si>
  <si>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</si>
  <si>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</si>
  <si>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</si>
  <si>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</si>
  <si>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</si>
  <si>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</si>
  <si>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</si>
  <si>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</si>
  <si>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</si>
  <si>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</si>
  <si>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</si>
  <si>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</si>
  <si>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</si>
  <si>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</si>
  <si>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</si>
  <si>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</si>
  <si>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</si>
  <si>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</si>
  <si>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</si>
  <si>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</si>
  <si>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</si>
  <si>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</si>
  <si>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</si>
  <si>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</si>
  <si>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</si>
  <si>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</si>
  <si>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</si>
  <si>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</si>
  <si>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</si>
  <si>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</si>
  <si>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</si>
  <si>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</si>
  <si>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</si>
  <si>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</si>
  <si>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</si>
  <si>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</si>
  <si>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</si>
  <si>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</si>
  <si>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</si>
  <si>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Dado Base</t>
  </si>
  <si>
    <t>Descrição do Dado Base</t>
  </si>
  <si>
    <t>Data do dado</t>
  </si>
  <si>
    <t>Spread aplicado ao diferencial no cálculo da taxa de juros</t>
  </si>
  <si>
    <t>Data da operação</t>
  </si>
  <si>
    <t>Tipo de garantia</t>
  </si>
  <si>
    <t>País de residência</t>
  </si>
  <si>
    <t>Data de nascimento</t>
  </si>
  <si>
    <t>Data início de relação com o banco</t>
  </si>
  <si>
    <t>Tipo de intervenção</t>
  </si>
  <si>
    <t>Identificador do grupo económico</t>
  </si>
  <si>
    <t>Denominação social</t>
  </si>
  <si>
    <t>Tipo de pessoa</t>
  </si>
  <si>
    <t>PBC</t>
  </si>
  <si>
    <t>RWA</t>
  </si>
  <si>
    <t>Número de empregado</t>
  </si>
  <si>
    <t>Estado civil</t>
  </si>
  <si>
    <t>Género</t>
  </si>
  <si>
    <t>Data de constituição</t>
  </si>
  <si>
    <t>Data de óbito</t>
  </si>
  <si>
    <t>Data de falência</t>
  </si>
  <si>
    <t>Código de aplicação</t>
  </si>
  <si>
    <r>
      <t xml:space="preserve">Uso </t>
    </r>
    <r>
      <rPr>
        <sz val="9"/>
        <rFont val="Arial"/>
        <family val="2"/>
      </rPr>
      <t>(Consultar pestana Usos)</t>
    </r>
  </si>
  <si>
    <t>Nome do ficheiro</t>
  </si>
  <si>
    <t>Sistema Origem</t>
  </si>
  <si>
    <t>Entidade</t>
  </si>
  <si>
    <t>Identificador da garantia</t>
  </si>
  <si>
    <t>Identificador do contrato</t>
  </si>
  <si>
    <t>Identificador do bem</t>
  </si>
  <si>
    <t>Identificador da proposta</t>
  </si>
  <si>
    <t>Moeda do contrato</t>
  </si>
  <si>
    <t>Moeda da garantia</t>
  </si>
  <si>
    <t>Necessária para usar a avaliação no cálculo de LTV e Alocações de Provisão.</t>
  </si>
  <si>
    <t>Valor da garantia</t>
  </si>
  <si>
    <t>Valor de avaliação da garantia (valor de mercado, exceto no caso de imóvel onde o valor a considerar é da avaliação do bem), convertido, se não estiver na moeda local (euros)</t>
  </si>
  <si>
    <t>Setor contabilístico</t>
  </si>
  <si>
    <t>Data de nascimento do cliente</t>
  </si>
  <si>
    <t>Data inicial da relação entre o cliente e a entidade (primeiro registro nas informações do cliente).</t>
  </si>
  <si>
    <t>Identificar a forma de intervenção de um cliente (Proprietário Único, Joint Venture, etc.)</t>
  </si>
  <si>
    <t>Setor corporativo de cliente</t>
  </si>
  <si>
    <t>Classificação interna do setor do cliente que encontra-se no BdP (Banco de Portugal, Caixa Econômica, Comunidades Autônomas, etc.)</t>
  </si>
  <si>
    <t>Identificador interno do cliente</t>
  </si>
  <si>
    <t>Nome pelo qual uma empresa é conhecida coletivamente. Nome oficial e legal que consta da documentação que permitiu a constituição da pessoa coletiva em questão.</t>
  </si>
  <si>
    <t>Define se é uma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</si>
  <si>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</si>
  <si>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Código do centro territorial responsável vinculado à unidade organizacional correspondente</t>
  </si>
  <si>
    <t>Montante métrica</t>
  </si>
  <si>
    <t>É o montante da métrica calculada no contrato (exposição garantia contrato, exposição contrato, exposição netting colateral, exposição ponto de controlo)</t>
  </si>
  <si>
    <t>Rubrica contabilística</t>
  </si>
  <si>
    <t>Agrupador da conta contabilística</t>
  </si>
  <si>
    <t>Beneficiário da transação realizada</t>
  </si>
  <si>
    <t>Ordenante transação</t>
  </si>
  <si>
    <t>Identificador inequívoco transação</t>
  </si>
  <si>
    <t>Logical classification</t>
  </si>
  <si>
    <t>Sintra / Partenón</t>
  </si>
  <si>
    <t>Data Warehouse</t>
  </si>
  <si>
    <t>Sistema Informacional</t>
  </si>
  <si>
    <t>Sistema Operacional</t>
  </si>
  <si>
    <t>Lease</t>
  </si>
  <si>
    <t>Sigom</t>
  </si>
  <si>
    <t>Heracles</t>
  </si>
  <si>
    <t>BDR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</si>
  <si>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</si>
  <si>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</si>
  <si>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</si>
  <si>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</si>
  <si>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</si>
  <si>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</si>
  <si>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</si>
  <si>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Consoplus</t>
  </si>
  <si>
    <t>Galileo</t>
  </si>
  <si>
    <t>Recife</t>
  </si>
  <si>
    <t>Datamart CRM</t>
  </si>
  <si>
    <t>Selligent</t>
  </si>
  <si>
    <t>Peoplesoft</t>
  </si>
  <si>
    <t>Norkom</t>
  </si>
  <si>
    <t>Datamart Empresas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</si>
  <si>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</si>
  <si>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Semântica</t>
  </si>
  <si>
    <t>Pessoas</t>
  </si>
  <si>
    <t>Dados pessoas singulares</t>
  </si>
  <si>
    <t>Dados pessoas coletivas</t>
  </si>
  <si>
    <t>Dados específicos de empregados</t>
  </si>
  <si>
    <t>Dados específicos de acionistas</t>
  </si>
  <si>
    <t>Indicadores de controlling</t>
  </si>
  <si>
    <t>Resultado de capital económico</t>
  </si>
  <si>
    <t>Resultado de RWA</t>
  </si>
  <si>
    <t>Email do Solicitante</t>
  </si>
  <si>
    <t>Preencher a pestana de campos antes de enviar.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</si>
  <si>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</si>
  <si>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</si>
  <si>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</si>
  <si>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Em caso de dúvida no preenchimento contactar cdo@santander.pt</t>
  </si>
  <si>
    <t>Timestamp e utilizador de modificação</t>
  </si>
  <si>
    <t>Outros logs</t>
  </si>
  <si>
    <t>Outros logs de sistema</t>
  </si>
  <si>
    <t>Data de inserção do registo</t>
  </si>
  <si>
    <t>Data de eliminação do registo</t>
  </si>
  <si>
    <t>Identificador interno do cliente (zcliente, zcligrupo)</t>
  </si>
  <si>
    <t>Setor económico</t>
  </si>
  <si>
    <t>Informação da proposta</t>
  </si>
  <si>
    <t>Resultado da proposta</t>
  </si>
  <si>
    <t>Moeda da operação</t>
  </si>
  <si>
    <t>Mensagens contabilísticas</t>
  </si>
  <si>
    <t>Centro de estrutura</t>
  </si>
  <si>
    <t>Indicadores económicos e de mercado</t>
  </si>
  <si>
    <t>Risco de crédito</t>
  </si>
  <si>
    <t>Risco de mercado</t>
  </si>
  <si>
    <t>Risco de liquidez</t>
  </si>
  <si>
    <t>Rentabilidade</t>
  </si>
  <si>
    <t>Provisões</t>
  </si>
  <si>
    <t>Contribuição económica</t>
  </si>
  <si>
    <t>Rácios de capital económico</t>
  </si>
  <si>
    <t>Fundos próprios económicos</t>
  </si>
  <si>
    <t>Custo de capital</t>
  </si>
  <si>
    <t>Contribuição</t>
  </si>
  <si>
    <t>Rácios de capital regulatório</t>
  </si>
  <si>
    <t>Fundos próprios</t>
  </si>
  <si>
    <t>Outras medidas e indicadores não financeiros</t>
  </si>
  <si>
    <t>Alertas e alarmes</t>
  </si>
  <si>
    <t>Limites</t>
  </si>
  <si>
    <t>Regras e avaliações qualitativas</t>
  </si>
  <si>
    <t>Identificação do fornecedor</t>
  </si>
  <si>
    <t xml:space="preserve">Dados que determinam o setor em que opera a pessoa ou entidade coletiva </t>
  </si>
  <si>
    <t>Classificação da pessoa coletiva ou entidade com base no setor contabilístico</t>
  </si>
  <si>
    <t>Dados que permitem identificar a proposta, como o seu identificador (de riscos e de preços), o escritório onde se realiza, momento de realização, etc.</t>
  </si>
  <si>
    <t>Decisão final da proposta, se foi aprovada ou recusada.</t>
  </si>
  <si>
    <t>Dados obtidos das ordens de execução de um fluxo</t>
  </si>
  <si>
    <t>Dados dos indicadores económicos e de mercado</t>
  </si>
  <si>
    <t>Dados que incluem os parâmetros de risco de crédito (PD, LGD), agregações de carteira, cálculos intermédios, etc.</t>
  </si>
  <si>
    <t>Dados que incluem os parâmetros de risco de mercado e sensibilidades, carteiras de mercado, etc., medidos através da volatilidade de preços</t>
  </si>
  <si>
    <t>Dados que incluem os parâmetros e dados para gestão e cálculo de risco de liquidez</t>
  </si>
  <si>
    <t>Margens financeiras, custos</t>
  </si>
  <si>
    <t>Dados sobre a rentabilidade agregada ao nível de carteira, unidade</t>
  </si>
  <si>
    <t>Dados referidos ao cálculo de provisões</t>
  </si>
  <si>
    <t>Resultado de contribuição económica</t>
  </si>
  <si>
    <t>Resultado de todos os rácios de capital económico</t>
  </si>
  <si>
    <t>Resultado de fundos próprios económicos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</si>
  <si>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</si>
  <si>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Rentabilidade mínima de capital ajustada ao mínimo risco de operações, clientes e negócios, para não perder valor</t>
  </si>
  <si>
    <t>Resultado de contribuição</t>
  </si>
  <si>
    <t>Resultado dos rácios de capital regulatório</t>
  </si>
  <si>
    <t>Resultados dos fundos próprios do banco</t>
  </si>
  <si>
    <t>Dados de outros indicadores não financeiros</t>
  </si>
  <si>
    <t>Dados que definem as regras de demonstrações qualitativas</t>
  </si>
  <si>
    <t>Dados relativos à descrição do acordo contratual</t>
  </si>
  <si>
    <t>Dados relativos à identificação do fornecedor</t>
  </si>
  <si>
    <t>Dados que detalham o calendário do acordo</t>
  </si>
  <si>
    <t>Dados relativos à realização da campanha ou da nova marca</t>
  </si>
  <si>
    <t>País de nacionalidade</t>
  </si>
  <si>
    <t>País de residência do cliente</t>
  </si>
  <si>
    <t>País de nacionalidade do cliente</t>
  </si>
  <si>
    <t>Fontes Externas</t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</si>
  <si>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</si>
  <si>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</si>
  <si>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</si>
  <si>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</si>
  <si>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</si>
  <si>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Identificação do Projecto</t>
  </si>
  <si>
    <t>PRE</t>
  </si>
  <si>
    <t>PRO</t>
  </si>
  <si>
    <t>Origem dos Dados</t>
  </si>
  <si>
    <t>Fonte Interna</t>
  </si>
  <si>
    <t>Aplicação Origem</t>
  </si>
  <si>
    <t>Fornecedor</t>
  </si>
  <si>
    <t>Sistema</t>
  </si>
  <si>
    <t>On Premise</t>
  </si>
  <si>
    <t>Cloud</t>
  </si>
  <si>
    <t>Tipo de pedido</t>
  </si>
  <si>
    <t>CONTROLOS</t>
  </si>
  <si>
    <t>Validação de ficheiro com dados</t>
  </si>
  <si>
    <t xml:space="preserve">Validação de variação </t>
  </si>
  <si>
    <t>Controlos de ingestas</t>
  </si>
  <si>
    <t>Justificação</t>
  </si>
  <si>
    <t>Controlos forenses</t>
  </si>
  <si>
    <t>Condições para expurgo (Landing e CD)</t>
  </si>
  <si>
    <t>Caso haja a necessidade de criação de controlos de qualidade de dados, devem ser descritos detalhadamente os controlos a implementar junto com a identificação da área responsável pelo seu seguimento:</t>
  </si>
  <si>
    <t>Dados pessoas singulares ou coletivas</t>
  </si>
  <si>
    <t>Dados específicos de clientes</t>
  </si>
  <si>
    <t>Dados de Proposta</t>
  </si>
  <si>
    <t>Dados de Contrato</t>
  </si>
  <si>
    <t>Dados da operação</t>
  </si>
  <si>
    <t>Dados de Garantia</t>
  </si>
  <si>
    <t>NA</t>
  </si>
  <si>
    <t>Nome da pessoa</t>
  </si>
  <si>
    <t>Identificador da pessoa</t>
  </si>
  <si>
    <t>Identificador de pessoa (NIF, CC-Cartão Cidadão, BI-Bilhete de Identidade)</t>
  </si>
  <si>
    <t>Morada da pessoa</t>
  </si>
  <si>
    <t>Morada da pessoa (morada de residência, morada fiscal, morada identificação pessoal)</t>
  </si>
  <si>
    <t>Contacto da pessoa</t>
  </si>
  <si>
    <t>Contacto da pessoa (telefone, email)</t>
  </si>
  <si>
    <t>Nome de pessoa singular</t>
  </si>
  <si>
    <t>Nome da pessoa singular</t>
  </si>
  <si>
    <t>Identificador da pessoa singular</t>
  </si>
  <si>
    <t>Morada de pessoa singular</t>
  </si>
  <si>
    <t>Residência ou morada de correspondência</t>
  </si>
  <si>
    <t>Contacto de pessoa singular</t>
  </si>
  <si>
    <t>(Telefone, email)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</si>
  <si>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</si>
  <si>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</si>
  <si>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</si>
  <si>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</si>
  <si>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</si>
  <si>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</si>
  <si>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</si>
  <si>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</si>
  <si>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Segmento do cliente</t>
  </si>
  <si>
    <t>Segmento de gestão, segmento comercial ou segmento de risco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</si>
  <si>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</si>
  <si>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</si>
  <si>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</si>
  <si>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</si>
  <si>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</si>
  <si>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</si>
  <si>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</si>
  <si>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Situação do cliente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</si>
  <si>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</si>
  <si>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</si>
  <si>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</si>
  <si>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</si>
  <si>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</si>
  <si>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</si>
  <si>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Indicadores de cliente</t>
  </si>
  <si>
    <t>Balcão ou gestor de cliente</t>
  </si>
  <si>
    <t>Identificador do balcão ou do gestor comercial do cliente ou do gestor de risco do cliente</t>
  </si>
  <si>
    <t>Identificador da simulação</t>
  </si>
  <si>
    <t>Dados da simulação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</si>
  <si>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</si>
  <si>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</si>
  <si>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</si>
  <si>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</si>
  <si>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</si>
  <si>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</si>
  <si>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</si>
  <si>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</si>
  <si>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</si>
  <si>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</si>
  <si>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</si>
  <si>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</si>
  <si>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</si>
  <si>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</si>
  <si>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</si>
  <si>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</si>
  <si>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</si>
  <si>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</si>
  <si>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</si>
  <si>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</si>
  <si>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</si>
  <si>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</si>
  <si>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</si>
  <si>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</si>
  <si>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</si>
  <si>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</si>
  <si>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Outros dados do contrato</t>
  </si>
  <si>
    <t>Outros dados do contrato (2º titular, …)</t>
  </si>
  <si>
    <t>Dados de moratórias</t>
  </si>
  <si>
    <t>Autorizações</t>
  </si>
  <si>
    <t>Identificador da operação</t>
  </si>
  <si>
    <t>Datas da operação</t>
  </si>
  <si>
    <t>Código de operação</t>
  </si>
  <si>
    <t>Código que permite identificar a operação</t>
  </si>
  <si>
    <t>Informação da operação</t>
  </si>
  <si>
    <t>Montante da operação</t>
  </si>
  <si>
    <t>Identificador da Garantia</t>
  </si>
  <si>
    <t>Código de produto de garantia</t>
  </si>
  <si>
    <t>Código do produto associado à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</si>
  <si>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</si>
  <si>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</si>
  <si>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</si>
  <si>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</si>
  <si>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</si>
  <si>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</si>
  <si>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Estado da garantia</t>
  </si>
  <si>
    <t>Dados do bem</t>
  </si>
  <si>
    <t>Dados do bem da garantia (informação da propriedade, veículo, ...)</t>
  </si>
  <si>
    <t>Identificador da transação</t>
  </si>
  <si>
    <t>Dados do Ordenante da transação</t>
  </si>
  <si>
    <t>Dados do Beneficiário da transação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</si>
  <si>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</si>
  <si>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</si>
  <si>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</si>
  <si>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</si>
  <si>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</si>
  <si>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</si>
  <si>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</si>
  <si>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Entidade ou empresa</t>
  </si>
  <si>
    <t>Data do dia</t>
  </si>
  <si>
    <t>Identificador do dia</t>
  </si>
  <si>
    <t>Cambios</t>
  </si>
  <si>
    <t>Dados relativos aos câmbios (valor que cada tipo de cambio assume, …)</t>
  </si>
  <si>
    <t>Cotações de fundos e títulos</t>
  </si>
  <si>
    <t>Cotações de fundos e títulos (valor, mercado, …)</t>
  </si>
  <si>
    <t>Regra Contabilística</t>
  </si>
  <si>
    <t>Regras utilizadas para o cálculo contabilístico</t>
  </si>
  <si>
    <t>Dados de controlos implementados (Listas, soluções, regras,…) para PBC</t>
  </si>
  <si>
    <t>Alertas de PBC</t>
  </si>
  <si>
    <t>Dados de alertas despoletados</t>
  </si>
  <si>
    <t>Dados da campanha</t>
  </si>
  <si>
    <t>Dados do acordo de serviços ou produtos</t>
  </si>
  <si>
    <t>Datas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</si>
  <si>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</si>
  <si>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</si>
  <si>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</si>
  <si>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</si>
  <si>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</si>
  <si>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</si>
  <si>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Estatísticas</t>
  </si>
  <si>
    <t>Dados de registo da última alteração (Utilizador, centro, data, hora, timestamp, htimest, ckutlmod)</t>
  </si>
  <si>
    <t>Data de vigência</t>
  </si>
  <si>
    <t>Data de vigência do registo (dinicio, dfim)</t>
  </si>
  <si>
    <t>Código de ficheiro ou formato</t>
  </si>
  <si>
    <t>Identificação de registo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</si>
  <si>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</si>
  <si>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Este pedido foi validado previamente por CDO?</t>
  </si>
  <si>
    <t>Este pedido foi validado previamente por Data Service?</t>
  </si>
  <si>
    <t>Este pedido foi validado previamente por Arquitetura?</t>
  </si>
  <si>
    <t>Sim</t>
  </si>
  <si>
    <t>Não</t>
  </si>
  <si>
    <t>Justificação e critério</t>
  </si>
  <si>
    <t xml:space="preserve">Identificador de pessoa </t>
  </si>
  <si>
    <t>Sector de atividade do cliente (CAE) da pessoa singular ou coletiva</t>
  </si>
  <si>
    <t>Sector de atividade do cliente (CAE) de pessoa singular</t>
  </si>
  <si>
    <t>Sector de atividade do cliente (CAE) de pessoas colectivas</t>
  </si>
  <si>
    <t>Tipo de entidade de negócio</t>
  </si>
  <si>
    <t>Tipo de sociedade comercial (S.L, L.DA, S.A, etc.)</t>
  </si>
  <si>
    <t>Outros dados de pessoas coletivas</t>
  </si>
  <si>
    <t>Saldo recuperado</t>
  </si>
  <si>
    <t>Saldo recuperado do cliente</t>
  </si>
  <si>
    <t>Dados para realizar uma avaliação de risco do cliente e avaliação de risco do cliente.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</si>
  <si>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</si>
  <si>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</si>
  <si>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</si>
  <si>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Identificador de ex-cliente</t>
  </si>
  <si>
    <t>Identifica ex-clientes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</si>
  <si>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</si>
  <si>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</si>
  <si>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Dados da simulação (dados para realizar uma simulação de crédito, resultados do motor, …), colaborador responsável pela simulação, datas, …</t>
  </si>
  <si>
    <t>Dados de recuperação</t>
  </si>
  <si>
    <t>Dados de recuperações</t>
  </si>
  <si>
    <t>Relações entre contratos</t>
  </si>
  <si>
    <t>Relações com outros contratos, propostas ou garantias</t>
  </si>
  <si>
    <t>Dados de autorizações (transferências, débitos diretos, …)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</si>
  <si>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</si>
  <si>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</si>
  <si>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</si>
  <si>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</si>
  <si>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</si>
  <si>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</si>
  <si>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</si>
  <si>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</si>
  <si>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</si>
  <si>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</si>
  <si>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Catálogos estruturais</t>
  </si>
  <si>
    <t>Parametros / tabelas gerais</t>
  </si>
  <si>
    <t xml:space="preserve">Tabelas de parâmetros, catálogos ou tabelas gerais </t>
  </si>
  <si>
    <t>Taxas de juro e indexantes</t>
  </si>
  <si>
    <t>Cenários e projeções</t>
  </si>
  <si>
    <t>Dados de Cenários e projeções</t>
  </si>
  <si>
    <t>Saldo contabilístico</t>
  </si>
  <si>
    <t>Saldo Contabilística (ex: posição IK)</t>
  </si>
  <si>
    <t>Dados de alertas detetados</t>
  </si>
  <si>
    <t>Dados de limites e de umbrais de apetência definidos (valores e definições)</t>
  </si>
  <si>
    <t>Eventos / incidentes de risco, finanças e capital</t>
  </si>
  <si>
    <t>Eventos de risco operacional</t>
  </si>
  <si>
    <t>Dados de eventos de risco operacional</t>
  </si>
  <si>
    <t>Objetivos de vendas</t>
  </si>
  <si>
    <t>Dados específicos relacionados com os objetivos de vendas definidos</t>
  </si>
  <si>
    <t>Dados de journal (DPROC, CTERM, ZJOURNAL)(empresa, centro, terminal e número DGO) e outros identificadores de registos</t>
  </si>
  <si>
    <t>Identificador de repositório documental</t>
  </si>
  <si>
    <t>V20211207</t>
  </si>
  <si>
    <t>Conta</t>
  </si>
  <si>
    <t>x</t>
  </si>
  <si>
    <t>3 anos</t>
  </si>
  <si>
    <t>Contrato</t>
  </si>
  <si>
    <t>João Pedro Gonçalves Balsa Pinto Pereira</t>
  </si>
  <si>
    <t>joaogoncalves.pereira@servexternos.santander.pt</t>
  </si>
  <si>
    <t>P2300218</t>
  </si>
  <si>
    <t>Capital Tools - Squad Melhorias</t>
  </si>
  <si>
    <t>Capital Tools</t>
  </si>
  <si>
    <t>X</t>
  </si>
  <si>
    <t>Nova Ingesta</t>
  </si>
  <si>
    <t>O job PHDPKT00001P ao receber a condição global (G253600-ENVIO-EXT-TOT-OK), indicativa da recepção de ficheiros, irá forçar os jobs que realizam os AFTs e as ingestas. Calendário do job será a (D+5, D+6, D+7, D+8, D+9 e D+10) - aos 5, 6, 7, 8, 9 e 10 dias hábiles.  Calendário português.
A data que consta no nome do ficheiro terá o formato do YYYYYMM, sendo o mês o anterior ao do ODATE do dia (por exemplo para ODATE='2019-07-11' teremos um YYYYMM = 201906).</t>
  </si>
  <si>
    <t>etosdwsa.totta.corp</t>
  </si>
  <si>
    <t>/appl/dw/kpi/unloads</t>
  </si>
  <si>
    <t>ingesta</t>
  </si>
  <si>
    <t>Reporte Externo</t>
  </si>
  <si>
    <t>Fecha datos</t>
  </si>
  <si>
    <t>Empresa</t>
  </si>
  <si>
    <t>Identificador de Contrato</t>
  </si>
  <si>
    <t>Saldo off balance</t>
  </si>
  <si>
    <t>BDR_JM_OUTCTND_CG</t>
  </si>
  <si>
    <t>JM_OUTCTND_CG_YYYYMM.txt</t>
  </si>
  <si>
    <t>JM_OUTCTND_CG.txt</t>
  </si>
  <si>
    <t>T3399_FEOPERAC</t>
  </si>
  <si>
    <t>T3399_S1EMP</t>
  </si>
  <si>
    <t>T3399_CONTRA1</t>
  </si>
  <si>
    <t>T3399_IND_DEF</t>
  </si>
  <si>
    <t>T3399_DIAS_PP</t>
  </si>
  <si>
    <t>T3399_DIAS_ATR</t>
  </si>
  <si>
    <t>T3399_FEC_DEF</t>
  </si>
  <si>
    <t>T3399_FINI_PP</t>
  </si>
  <si>
    <t>T3399_FFIN_PP</t>
  </si>
  <si>
    <t>T3399_IMP_ATR</t>
  </si>
  <si>
    <t>T3399_SONBLDEF</t>
  </si>
  <si>
    <t>T3399_FLGTECNI</t>
  </si>
  <si>
    <t>T3399_FINALIND</t>
  </si>
  <si>
    <t>T3399_IMP_IMPA</t>
  </si>
  <si>
    <t>T3399_SALOFBAL</t>
  </si>
  <si>
    <t>T3399_PULLING</t>
  </si>
  <si>
    <t>T3399_DIARETT3</t>
  </si>
  <si>
    <t>T3399_DIARETT2</t>
  </si>
  <si>
    <t>T3399_DIARETT1</t>
  </si>
  <si>
    <t>T3399_IMPRETT3</t>
  </si>
  <si>
    <t>T3399_IMPRETT2</t>
  </si>
  <si>
    <t>T3399_IMPRETT1</t>
  </si>
  <si>
    <t>T3399_SLDDBLT3</t>
  </si>
  <si>
    <t>T3399_SLDDBLT2</t>
  </si>
  <si>
    <t>T3399_SLDDBLT1</t>
  </si>
  <si>
    <t>T3399_DATRCTOA</t>
  </si>
  <si>
    <t>T3399_DATRCTOB</t>
  </si>
  <si>
    <t>T3399_IATRCTOA</t>
  </si>
  <si>
    <t>T3399_IATRCTOB</t>
  </si>
  <si>
    <t>T3399_CRCTFEMP</t>
  </si>
  <si>
    <t>T3399_DPDSALPP</t>
  </si>
  <si>
    <t>T3399_INDEFEND</t>
  </si>
  <si>
    <t>T3399_FLGDEFOB</t>
  </si>
  <si>
    <t>Indicador de default</t>
  </si>
  <si>
    <t>Días en probation period</t>
  </si>
  <si>
    <t>Días de atraso</t>
  </si>
  <si>
    <t>Fecha de entrada en default</t>
  </si>
  <si>
    <t>Fecha de inicio del probation period</t>
  </si>
  <si>
    <t>Fecha de salida del probation period</t>
  </si>
  <si>
    <t>Importe atrasado del contrato</t>
  </si>
  <si>
    <t>Saldo dentro de balance del contrato en el momento de entrada en default</t>
  </si>
  <si>
    <t>Flag Tecnico</t>
  </si>
  <si>
    <t>Finalidad</t>
  </si>
  <si>
    <t>Importe Impagado</t>
  </si>
  <si>
    <t>Porcentaje Pulling</t>
  </si>
  <si>
    <t>Dias retraso T-3</t>
  </si>
  <si>
    <t>Dias retraso T-2</t>
  </si>
  <si>
    <t>Dias retraso T-1</t>
  </si>
  <si>
    <t>Importe retraso T-3</t>
  </si>
  <si>
    <t>Importe retraso T-2</t>
  </si>
  <si>
    <t>Importe retraso T-1</t>
  </si>
  <si>
    <t>Saldo dentro de balance del contrato en default en el mes T-3</t>
  </si>
  <si>
    <t>Saldo dentro de balance del contrato en default en el mes T-2</t>
  </si>
  <si>
    <t>Saldo dentro de balance del contrato en default en el mes T-1</t>
  </si>
  <si>
    <t>Dias de Atraso según conteo A</t>
  </si>
  <si>
    <t>Días de Atraso según conteo B</t>
  </si>
  <si>
    <t>Importe Atrasado contrato conteo A</t>
  </si>
  <si>
    <t>Importe Atrasado contrato conteo B</t>
  </si>
  <si>
    <t>Criterio Conteo final Empleado</t>
  </si>
  <si>
    <t>DPD a la salida de probation period</t>
  </si>
  <si>
    <t xml:space="preserve">Indicador de default en la entrada en default </t>
  </si>
  <si>
    <t>Flag default objetivo</t>
  </si>
  <si>
    <t>PHDPKT00001P.OK</t>
  </si>
  <si>
    <t>Tabla de Output de Contratos New default para Clientes globais (Salida)</t>
  </si>
  <si>
    <t>João Pereira</t>
  </si>
  <si>
    <t>João Bernardes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</si>
</sst>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2">
    <xf numFmtId="0" fontId="0" fillId="0" borderId="0"/>
    <xf numFmtId="0" fontId="27" fillId="0" borderId="0"/>
  </cellStyleXfs>
  <cellXfs count="283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 applyProtection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 applyProtection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1" fontId="5" fillId="0" borderId="0" xfId="0" applyNumberFormat="1" applyFont="1" applyFill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Border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5" fillId="0" borderId="0" xfId="0" applyFont="1" applyFill="1" applyBorder="1"/>
    <xf numFmtId="0" fontId="10" fillId="0" borderId="0" xfId="0" applyFont="1" applyBorder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Fill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11" fillId="0" borderId="0" xfId="0" applyFont="1" applyBorder="1"/>
    <xf numFmtId="0" fontId="0" fillId="10" borderId="0" xfId="0" applyFill="1" applyBorder="1"/>
    <xf numFmtId="0" fontId="14" fillId="10" borderId="0" xfId="0" applyFont="1" applyFill="1" applyBorder="1" applyAlignment="1">
      <alignment horizontal="center" vertical="center" wrapText="1"/>
    </xf>
    <xf numFmtId="0" fontId="0" fillId="10" borderId="0" xfId="0" applyFill="1" applyBorder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Border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1" fillId="10" borderId="0" xfId="0" applyFont="1" applyFill="1" applyBorder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 applyBorder="1"/>
    <xf numFmtId="0" fontId="2" fillId="0" borderId="0" xfId="0" applyFont="1" applyAlignment="1"/>
    <xf numFmtId="49" fontId="0" fillId="0" borderId="0" xfId="0" applyNumberFormat="1" applyFont="1" applyAlignment="1"/>
    <xf numFmtId="0" fontId="0" fillId="0" borderId="26" xfId="0" applyBorder="1" applyProtection="1"/>
    <xf numFmtId="0" fontId="5" fillId="8" borderId="9" xfId="0" applyFont="1" applyFill="1" applyBorder="1"/>
    <xf numFmtId="0" fontId="13" fillId="0" borderId="0" xfId="0" applyFont="1" applyBorder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 applyBorder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left" vertical="center" indent="1"/>
    </xf>
    <xf numFmtId="0" fontId="5" fillId="8" borderId="15" xfId="0" applyFont="1" applyFill="1" applyBorder="1" applyAlignment="1">
      <alignment horizontal="left" vertical="center" indent="1"/>
    </xf>
    <xf numFmtId="0" fontId="5" fillId="8" borderId="16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5" fillId="8" borderId="17" xfId="0" applyFont="1" applyFill="1" applyBorder="1" applyAlignment="1">
      <alignment horizontal="left" vertical="center" indent="1"/>
    </xf>
    <xf numFmtId="0" fontId="5" fillId="8" borderId="18" xfId="0" applyFont="1" applyFill="1" applyBorder="1" applyAlignment="1">
      <alignment horizontal="left" vertical="center" indent="1"/>
    </xf>
    <xf numFmtId="0" fontId="5" fillId="8" borderId="13" xfId="0" applyFont="1" applyFill="1" applyBorder="1" applyAlignment="1">
      <alignment horizontal="left" vertical="center" indent="1"/>
    </xf>
    <xf numFmtId="0" fontId="5" fillId="8" borderId="19" xfId="0" applyFont="1" applyFill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26" fillId="3" borderId="0" xfId="0" applyFont="1" applyFill="1" applyAlignment="1" applyProtection="1">
      <alignment horizontal="center" vertical="center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Border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0" fontId="13" fillId="8" borderId="10" xfId="0" applyFont="1" applyFill="1" applyBorder="1" applyAlignment="1" applyProtection="1">
      <alignment horizontal="left" vertical="center" wrapText="1" indent="1"/>
    </xf>
    <xf numFmtId="0" fontId="13" fillId="8" borderId="11" xfId="0" applyFont="1" applyFill="1" applyBorder="1" applyAlignment="1" applyProtection="1">
      <alignment horizontal="left" vertical="center" indent="1"/>
    </xf>
    <xf numFmtId="0" fontId="13" fillId="8" borderId="12" xfId="0" applyFont="1" applyFill="1" applyBorder="1" applyAlignment="1" applyProtection="1">
      <alignment horizontal="left" vertical="center" indent="1"/>
    </xf>
    <xf numFmtId="0" fontId="13" fillId="8" borderId="10" xfId="0" applyFont="1" applyFill="1" applyBorder="1" applyAlignment="1" applyProtection="1">
      <alignment horizontal="left" vertical="center" indent="1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1" fontId="5" fillId="0" borderId="0" xfId="0" applyNumberFormat="1" applyFont="1" applyFill="1" applyAlignment="1" applyProtection="1">
      <alignment horizontal="center" vertical="center" wrapText="1"/>
      <protection locked="0"/>
    </xf>
    <xf numFmtId="0" fontId="19" fillId="2" borderId="0" xfId="0" applyFont="1" applyFill="1" applyBorder="1" applyAlignment="1" applyProtection="1">
      <alignment horizontal="center" vertical="center"/>
    </xf>
    <xf numFmtId="0" fontId="12" fillId="0" borderId="0" xfId="0" applyFont="1" applyBorder="1" applyAlignment="1">
      <alignment horizontal="left" vertical="top" wrapText="1"/>
    </xf>
    <xf numFmtId="0" fontId="8" fillId="2" borderId="0" xfId="0" applyFont="1" applyFill="1" applyBorder="1" applyAlignment="1" applyProtection="1">
      <alignment horizontal="left" vertical="center" indent="1"/>
    </xf>
    <xf numFmtId="0" fontId="16" fillId="2" borderId="0" xfId="0" applyFont="1" applyFill="1" applyBorder="1" applyAlignment="1" applyProtection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Border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Border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Border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100" workbookViewId="0">
      <selection activeCell="AT121" sqref="AT121:BE123"/>
    </sheetView>
  </sheetViews>
  <sheetFormatPr defaultColWidth="0" defaultRowHeight="0" customHeight="1" zeroHeight="1" x14ac:dyDescent="0.25"/>
  <cols>
    <col min="1" max="2" width="2.85546875" customWidth="1"/>
    <col min="3" max="54" width="2.85546875" style="22" customWidth="1"/>
    <col min="55" max="59" width="2.85546875" customWidth="1"/>
    <col min="60" max="60" width="4.5703125" style="43" hidden="1" customWidth="1"/>
    <col min="61" max="62" width="4.5703125" style="44" hidden="1" customWidth="1"/>
    <col min="63" max="117" width="0" hidden="1" customWidth="1"/>
    <col min="118" max="16384" width="2.85546875" hidden="1"/>
  </cols>
  <sheetData>
    <row r="1" spans="1:117" s="7" customFormat="1" ht="11.1" customHeight="1" x14ac:dyDescent="0.2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0"/>
      <c r="Y1" s="200"/>
      <c r="Z1" s="200"/>
      <c r="AA1" s="200"/>
      <c r="AB1" s="200"/>
      <c r="AC1" s="200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554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" customHeight="1" x14ac:dyDescent="0.2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0"/>
      <c r="Y2" s="200"/>
      <c r="Z2" s="200"/>
      <c r="AA2" s="200"/>
      <c r="AB2" s="200"/>
      <c r="AC2" s="200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" customHeight="1" x14ac:dyDescent="0.2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0"/>
      <c r="Y3" s="200"/>
      <c r="Z3" s="200"/>
      <c r="AA3" s="200"/>
      <c r="AB3" s="200"/>
      <c r="AC3" s="200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5" x14ac:dyDescent="0.2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240"/>
      <c r="BI4" s="240"/>
      <c r="BJ4" s="240"/>
    </row>
    <row r="5" spans="1:117" ht="15.75" thickBo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240"/>
      <c r="BI5" s="240"/>
      <c r="BJ5" s="240"/>
    </row>
    <row r="6" spans="1:117" ht="15.75" thickTop="1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.25" x14ac:dyDescent="0.25">
      <c r="B7" s="12"/>
      <c r="C7" s="241" t="s">
        <v>45</v>
      </c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  <c r="BD7" s="241"/>
      <c r="BE7" s="241"/>
      <c r="BF7" s="13"/>
      <c r="BH7" s="11"/>
      <c r="BI7" s="11"/>
      <c r="BJ7" s="11"/>
    </row>
    <row r="8" spans="1:117" ht="15" x14ac:dyDescent="0.25">
      <c r="B8" s="12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F8" s="13"/>
      <c r="BH8" s="11"/>
      <c r="BI8" s="11"/>
      <c r="BJ8" s="11"/>
    </row>
    <row r="9" spans="1:117" ht="12" customHeight="1" x14ac:dyDescent="0.25">
      <c r="B9" s="12"/>
      <c r="C9" s="242" t="s">
        <v>184</v>
      </c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13"/>
      <c r="BH9" s="240" t="s">
        <v>0</v>
      </c>
      <c r="BI9" s="240" t="s">
        <v>1</v>
      </c>
      <c r="BJ9" s="240" t="s">
        <v>2</v>
      </c>
    </row>
    <row r="10" spans="1:117" ht="12" customHeight="1" x14ac:dyDescent="0.25">
      <c r="B10" s="1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13"/>
      <c r="BH10" s="240"/>
      <c r="BI10" s="240"/>
      <c r="BJ10" s="240"/>
    </row>
    <row r="11" spans="1:117" ht="12" customHeight="1" x14ac:dyDescent="0.25">
      <c r="B11" s="1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13"/>
      <c r="BH11" s="240"/>
      <c r="BI11" s="240"/>
      <c r="BJ11" s="240"/>
    </row>
    <row r="12" spans="1:117" ht="12" customHeight="1" x14ac:dyDescent="0.25">
      <c r="B12" s="1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13"/>
      <c r="BH12" s="15"/>
      <c r="BI12" s="15"/>
      <c r="BJ12" s="15"/>
    </row>
    <row r="13" spans="1:117" ht="15" x14ac:dyDescent="0.25">
      <c r="B13" s="1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F13" s="13"/>
      <c r="BH13" s="16"/>
      <c r="BI13" s="17"/>
      <c r="BJ13" s="18"/>
    </row>
    <row r="14" spans="1:117" ht="14.45" customHeight="1" x14ac:dyDescent="0.25">
      <c r="B14" s="12"/>
      <c r="C14" s="244" t="s">
        <v>42</v>
      </c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13"/>
      <c r="BH14" s="19"/>
      <c r="BI14" s="20"/>
      <c r="BJ14" s="21"/>
    </row>
    <row r="15" spans="1:117" ht="15" x14ac:dyDescent="0.25">
      <c r="B15" s="1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BF15" s="13"/>
      <c r="BH15" s="19"/>
      <c r="BI15" s="20"/>
      <c r="BJ15" s="21"/>
    </row>
    <row r="16" spans="1:117" ht="24" customHeight="1" x14ac:dyDescent="0.25">
      <c r="B16" s="12"/>
      <c r="C16" s="197" t="s">
        <v>43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9"/>
      <c r="P16" s="222" t="s">
        <v>559</v>
      </c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4"/>
      <c r="BF16" s="13"/>
      <c r="BH16" s="19"/>
      <c r="BI16" s="20"/>
      <c r="BJ16" s="21"/>
    </row>
    <row r="17" spans="2:62" ht="24" customHeight="1" x14ac:dyDescent="0.25">
      <c r="B17" s="12"/>
      <c r="C17" s="197" t="s">
        <v>272</v>
      </c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9"/>
      <c r="P17" s="222" t="s">
        <v>560</v>
      </c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4"/>
      <c r="BF17" s="13"/>
      <c r="BH17" s="19"/>
      <c r="BI17" s="20"/>
      <c r="BJ17" s="21"/>
    </row>
    <row r="18" spans="2:62" ht="24" customHeight="1" x14ac:dyDescent="0.25">
      <c r="B18" s="12"/>
      <c r="C18" s="197" t="s">
        <v>44</v>
      </c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9"/>
      <c r="P18" s="222" t="s">
        <v>563</v>
      </c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4"/>
      <c r="BF18" s="13"/>
      <c r="BH18" s="19"/>
      <c r="BI18" s="20"/>
      <c r="BJ18" s="21"/>
    </row>
    <row r="19" spans="2:62" ht="24" customHeight="1" x14ac:dyDescent="0.25">
      <c r="B19" s="12"/>
      <c r="C19" s="197" t="s">
        <v>343</v>
      </c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9"/>
      <c r="P19" s="222" t="s">
        <v>561</v>
      </c>
      <c r="Q19" s="223"/>
      <c r="R19" s="223"/>
      <c r="S19" s="223"/>
      <c r="T19" s="223"/>
      <c r="U19" s="223"/>
      <c r="V19" s="224"/>
      <c r="W19" s="14"/>
      <c r="X19" s="222" t="s">
        <v>562</v>
      </c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223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4"/>
      <c r="BF19" s="13"/>
      <c r="BH19" s="19"/>
      <c r="BI19" s="20"/>
      <c r="BJ19" s="21"/>
    </row>
    <row r="20" spans="2:62" ht="15" customHeight="1" x14ac:dyDescent="0.25">
      <c r="B20" s="12"/>
      <c r="E20" s="14"/>
      <c r="H20" s="14"/>
      <c r="M20" s="14"/>
      <c r="N20" s="14"/>
      <c r="O20" s="14"/>
      <c r="P20" s="14"/>
      <c r="Q20" s="14"/>
      <c r="R20" s="14"/>
      <c r="S20" s="14"/>
      <c r="BF20" s="13"/>
      <c r="BH20" s="19"/>
      <c r="BI20" s="20"/>
      <c r="BJ20" s="21"/>
    </row>
    <row r="21" spans="2:62" ht="24" customHeight="1" x14ac:dyDescent="0.25">
      <c r="B21" s="12"/>
      <c r="C21" s="197" t="s">
        <v>353</v>
      </c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9"/>
      <c r="P21" s="222" t="s">
        <v>565</v>
      </c>
      <c r="Q21" s="223"/>
      <c r="R21" s="223"/>
      <c r="S21" s="223"/>
      <c r="T21" s="223"/>
      <c r="U21" s="223"/>
      <c r="V21" s="224"/>
      <c r="BF21" s="13"/>
      <c r="BH21" s="19"/>
      <c r="BI21" s="20"/>
      <c r="BJ21" s="21"/>
    </row>
    <row r="22" spans="2:62" ht="15" customHeight="1" x14ac:dyDescent="0.25">
      <c r="B22" s="12"/>
      <c r="E22" s="14"/>
      <c r="H22" s="14"/>
      <c r="M22" s="14"/>
      <c r="N22" s="14"/>
      <c r="O22" s="14"/>
      <c r="P22" s="14"/>
      <c r="Q22" s="14"/>
      <c r="R22" s="14"/>
      <c r="S22" s="14"/>
      <c r="BF22" s="13"/>
      <c r="BH22" s="19"/>
      <c r="BI22" s="20"/>
      <c r="BJ22" s="21"/>
    </row>
    <row r="23" spans="2:62" ht="14.45" customHeight="1" x14ac:dyDescent="0.25">
      <c r="B23" s="12"/>
      <c r="C23" s="243" t="s">
        <v>46</v>
      </c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13"/>
      <c r="BH23" s="19"/>
      <c r="BI23" s="20"/>
      <c r="BJ23" s="21"/>
    </row>
    <row r="24" spans="2:62" ht="15" customHeight="1" x14ac:dyDescent="0.25">
      <c r="B24" s="12"/>
      <c r="E24" s="14"/>
      <c r="H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V24" s="14"/>
      <c r="AY24" s="14"/>
      <c r="AZ24" s="14"/>
      <c r="BA24" s="14"/>
      <c r="BB24" s="14"/>
      <c r="BC24" s="14"/>
      <c r="BF24" s="13"/>
      <c r="BH24" s="19"/>
      <c r="BI24" s="20"/>
      <c r="BJ24" s="21"/>
    </row>
    <row r="25" spans="2:62" ht="15" customHeight="1" x14ac:dyDescent="0.25">
      <c r="B25" s="12"/>
      <c r="C25" s="55" t="s">
        <v>48</v>
      </c>
      <c r="E25" s="14"/>
      <c r="H25" s="14"/>
      <c r="M25" s="14"/>
      <c r="N25" s="14"/>
      <c r="O25" s="14"/>
      <c r="P25" s="55" t="s">
        <v>47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T25" s="14"/>
      <c r="AU25" s="14"/>
      <c r="AV25" s="14"/>
      <c r="AY25" s="14"/>
      <c r="AZ25" s="14"/>
      <c r="BA25" s="14"/>
      <c r="BB25" s="14"/>
      <c r="BC25" s="14"/>
      <c r="BF25" s="13"/>
      <c r="BH25" s="19"/>
      <c r="BI25" s="20"/>
      <c r="BJ25" s="21"/>
    </row>
    <row r="26" spans="2:62" ht="5.0999999999999996" customHeight="1" x14ac:dyDescent="0.25">
      <c r="B26" s="12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33"/>
      <c r="N26" s="23"/>
      <c r="O26" s="23"/>
      <c r="P26" s="231" t="s">
        <v>641</v>
      </c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2"/>
      <c r="AX26" s="232"/>
      <c r="AY26" s="232"/>
      <c r="AZ26" s="232"/>
      <c r="BA26" s="232"/>
      <c r="BB26" s="232"/>
      <c r="BC26" s="232"/>
      <c r="BD26" s="232"/>
      <c r="BE26" s="233"/>
      <c r="BF26" s="13"/>
      <c r="BH26" s="19"/>
      <c r="BI26" s="20"/>
      <c r="BJ26" s="21"/>
    </row>
    <row r="27" spans="2:62" ht="14.1" customHeight="1" x14ac:dyDescent="0.25">
      <c r="B27" s="12"/>
      <c r="C27" s="26"/>
      <c r="D27" s="66"/>
      <c r="E27" s="54" t="s">
        <v>49</v>
      </c>
      <c r="F27" s="28"/>
      <c r="G27" s="23"/>
      <c r="H27" s="23"/>
      <c r="I27" s="23"/>
      <c r="J27" s="36"/>
      <c r="K27" s="36"/>
      <c r="L27" s="36"/>
      <c r="M27" s="37"/>
      <c r="N27" s="36"/>
      <c r="O27" s="36"/>
      <c r="P27" s="234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35"/>
      <c r="BE27" s="236"/>
      <c r="BF27" s="13"/>
      <c r="BH27" s="19" t="e">
        <f>IF(COUNTIF(#REF!,"X")&gt;0,1,0)</f>
        <v>#REF!</v>
      </c>
      <c r="BI27" s="20"/>
      <c r="BJ27" s="21"/>
    </row>
    <row r="28" spans="2:62" ht="5.0999999999999996" customHeight="1" x14ac:dyDescent="0.25">
      <c r="B28" s="12"/>
      <c r="C28" s="26"/>
      <c r="D28" s="27"/>
      <c r="E28" s="36"/>
      <c r="F28" s="36"/>
      <c r="G28" s="36"/>
      <c r="H28" s="36"/>
      <c r="I28" s="36"/>
      <c r="J28" s="36"/>
      <c r="K28" s="36"/>
      <c r="L28" s="36"/>
      <c r="M28" s="37"/>
      <c r="N28" s="23"/>
      <c r="O28" s="23"/>
      <c r="P28" s="234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5"/>
      <c r="BE28" s="236"/>
      <c r="BF28" s="13"/>
      <c r="BH28" s="19"/>
      <c r="BI28" s="20"/>
      <c r="BJ28" s="21"/>
    </row>
    <row r="29" spans="2:62" ht="14.1" customHeight="1" x14ac:dyDescent="0.25">
      <c r="B29" s="12"/>
      <c r="C29" s="26"/>
      <c r="D29" s="66" t="s">
        <v>556</v>
      </c>
      <c r="E29" s="53" t="s">
        <v>50</v>
      </c>
      <c r="F29" s="36"/>
      <c r="G29" s="36"/>
      <c r="H29" s="36"/>
      <c r="I29" s="36"/>
      <c r="J29" s="36"/>
      <c r="K29" s="36"/>
      <c r="L29" s="36"/>
      <c r="M29" s="37"/>
      <c r="N29" s="23"/>
      <c r="O29" s="23"/>
      <c r="P29" s="234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6"/>
      <c r="BF29" s="13"/>
      <c r="BH29" s="19"/>
      <c r="BI29" s="20"/>
      <c r="BJ29" s="21"/>
    </row>
    <row r="30" spans="2:62" ht="5.0999999999999996" customHeight="1" x14ac:dyDescent="0.25">
      <c r="B30" s="12"/>
      <c r="C30" s="26"/>
      <c r="D30" s="23"/>
      <c r="E30" s="38"/>
      <c r="F30" s="38"/>
      <c r="G30" s="38"/>
      <c r="H30" s="38"/>
      <c r="I30" s="38"/>
      <c r="J30" s="38"/>
      <c r="K30" s="38"/>
      <c r="L30" s="38"/>
      <c r="M30" s="39"/>
      <c r="N30" s="23"/>
      <c r="O30" s="23"/>
      <c r="P30" s="234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6"/>
      <c r="BF30" s="13"/>
      <c r="BH30" s="19"/>
      <c r="BI30" s="20"/>
      <c r="BJ30" s="21"/>
    </row>
    <row r="31" spans="2:62" ht="14.1" customHeight="1" x14ac:dyDescent="0.25">
      <c r="B31" s="12"/>
      <c r="C31" s="56"/>
      <c r="D31" s="66"/>
      <c r="E31" s="53" t="s">
        <v>51</v>
      </c>
      <c r="F31" s="36"/>
      <c r="G31" s="36"/>
      <c r="H31" s="36"/>
      <c r="I31" s="36"/>
      <c r="J31" s="36"/>
      <c r="K31" s="36"/>
      <c r="L31" s="36"/>
      <c r="M31" s="37"/>
      <c r="N31" s="23"/>
      <c r="O31" s="23"/>
      <c r="P31" s="234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6"/>
      <c r="BF31" s="13"/>
      <c r="BH31" s="19"/>
      <c r="BI31" s="20"/>
      <c r="BJ31" s="21"/>
    </row>
    <row r="32" spans="2:62" ht="5.0999999999999996" customHeight="1" x14ac:dyDescent="0.25">
      <c r="B32" s="12"/>
      <c r="C32" s="29"/>
      <c r="D32" s="30"/>
      <c r="E32" s="40"/>
      <c r="F32" s="40"/>
      <c r="G32" s="40"/>
      <c r="H32" s="40"/>
      <c r="I32" s="40"/>
      <c r="J32" s="40"/>
      <c r="K32" s="40"/>
      <c r="L32" s="40"/>
      <c r="M32" s="41"/>
      <c r="N32" s="23"/>
      <c r="O32" s="23"/>
      <c r="P32" s="237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9"/>
      <c r="BF32" s="13"/>
      <c r="BH32" s="19"/>
      <c r="BI32" s="20"/>
      <c r="BJ32" s="21"/>
    </row>
    <row r="33" spans="2:62" ht="15" customHeight="1" x14ac:dyDescent="0.25">
      <c r="B33" s="12"/>
      <c r="E33" s="14"/>
      <c r="H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V33" s="14"/>
      <c r="AY33" s="14"/>
      <c r="AZ33" s="14"/>
      <c r="BA33" s="14"/>
      <c r="BB33" s="14"/>
      <c r="BC33" s="14"/>
      <c r="BF33" s="13"/>
      <c r="BH33" s="19"/>
      <c r="BI33" s="20"/>
      <c r="BJ33" s="21"/>
    </row>
    <row r="34" spans="2:62" ht="15" customHeight="1" x14ac:dyDescent="0.25">
      <c r="B34" s="12"/>
      <c r="E34" s="14"/>
      <c r="H34" s="14"/>
      <c r="M34" s="14"/>
      <c r="N34" s="14"/>
      <c r="O34" s="14"/>
      <c r="P34" s="57" t="s">
        <v>61</v>
      </c>
      <c r="Q34" s="23"/>
      <c r="R34" s="23"/>
      <c r="S34" s="23"/>
      <c r="T34" s="23"/>
      <c r="U34" s="23"/>
      <c r="V34" s="23"/>
      <c r="W34" s="23"/>
      <c r="AL34" s="57" t="s">
        <v>62</v>
      </c>
      <c r="AM34" s="23"/>
      <c r="AN34" s="23"/>
      <c r="AO34" s="23"/>
      <c r="AP34" s="23"/>
      <c r="AQ34" s="23"/>
      <c r="AR34" s="23"/>
      <c r="AZ34" s="14"/>
      <c r="BA34" s="14"/>
      <c r="BB34" s="14"/>
      <c r="BC34" s="14"/>
      <c r="BF34" s="13"/>
      <c r="BH34" s="19"/>
      <c r="BI34" s="20"/>
      <c r="BJ34" s="21"/>
    </row>
    <row r="35" spans="2:62" ht="24" customHeight="1" x14ac:dyDescent="0.25">
      <c r="B35" s="12"/>
      <c r="E35" s="14"/>
      <c r="H35" s="14"/>
      <c r="M35" s="14"/>
      <c r="N35" s="14"/>
      <c r="O35" s="14"/>
      <c r="P35" s="227" t="s">
        <v>566</v>
      </c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9"/>
      <c r="AL35" s="230" t="s">
        <v>640</v>
      </c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9"/>
      <c r="BF35" s="13"/>
      <c r="BH35" s="19"/>
      <c r="BI35" s="20"/>
      <c r="BJ35" s="21"/>
    </row>
    <row r="36" spans="2:62" ht="15" customHeight="1" x14ac:dyDescent="0.25">
      <c r="B36" s="12"/>
      <c r="E36" s="14"/>
      <c r="H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V36" s="14"/>
      <c r="AY36" s="14"/>
      <c r="AZ36" s="14"/>
      <c r="BA36" s="14"/>
      <c r="BB36" s="14"/>
      <c r="BC36" s="14"/>
      <c r="BF36" s="13"/>
      <c r="BH36" s="19"/>
      <c r="BI36" s="20"/>
      <c r="BJ36" s="21"/>
    </row>
    <row r="37" spans="2:62" ht="15" x14ac:dyDescent="0.25">
      <c r="B37" s="12"/>
      <c r="C37" s="55" t="s">
        <v>49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14"/>
      <c r="BF37" s="13"/>
      <c r="BH37" s="19"/>
      <c r="BI37" s="20"/>
      <c r="BJ37" s="21"/>
    </row>
    <row r="38" spans="2:62" ht="4.7" customHeight="1" x14ac:dyDescent="0.25">
      <c r="B38" s="12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34"/>
      <c r="BD38" s="34"/>
      <c r="BE38" s="35"/>
      <c r="BF38" s="13"/>
      <c r="BH38" s="19"/>
      <c r="BI38" s="20"/>
      <c r="BJ38" s="21"/>
    </row>
    <row r="39" spans="2:62" ht="15" x14ac:dyDescent="0.25">
      <c r="B39" s="12"/>
      <c r="C39" s="225" t="s">
        <v>344</v>
      </c>
      <c r="D39" s="57" t="s">
        <v>53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57" t="s">
        <v>54</v>
      </c>
      <c r="S39" s="23"/>
      <c r="T39" s="23"/>
      <c r="U39" s="57" t="s">
        <v>55</v>
      </c>
      <c r="V39" s="23"/>
      <c r="W39" s="23"/>
      <c r="X39" s="23"/>
      <c r="Y39" s="23"/>
      <c r="Z39" s="23"/>
      <c r="AA39" s="57" t="s">
        <v>59</v>
      </c>
      <c r="AB39" s="23"/>
      <c r="AC39" s="23"/>
      <c r="AD39" s="23"/>
      <c r="AE39" s="23"/>
      <c r="AF39" s="23"/>
      <c r="AG39" s="23"/>
      <c r="AH39" s="57" t="s">
        <v>60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14"/>
      <c r="BD39" s="14"/>
      <c r="BE39" s="42"/>
      <c r="BF39" s="13"/>
      <c r="BH39" s="19"/>
      <c r="BI39" s="20"/>
      <c r="BJ39" s="21"/>
    </row>
    <row r="40" spans="2:62" ht="24" customHeight="1" x14ac:dyDescent="0.25">
      <c r="B40" s="12"/>
      <c r="C40" s="225"/>
      <c r="D40" s="201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3"/>
      <c r="Q40" s="23"/>
      <c r="R40" s="201"/>
      <c r="S40" s="203"/>
      <c r="T40" s="23"/>
      <c r="U40" s="201"/>
      <c r="V40" s="202"/>
      <c r="W40" s="202"/>
      <c r="X40" s="202"/>
      <c r="Y40" s="203"/>
      <c r="Z40" s="23"/>
      <c r="AA40" s="267"/>
      <c r="AB40" s="268"/>
      <c r="AC40" s="268"/>
      <c r="AD40" s="268"/>
      <c r="AE40" s="268"/>
      <c r="AF40" s="269"/>
      <c r="AG40" s="23"/>
      <c r="AH40" s="270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2"/>
      <c r="BE40" s="42"/>
      <c r="BF40" s="13"/>
      <c r="BH40" s="19"/>
      <c r="BI40" s="20"/>
      <c r="BJ40" s="21"/>
    </row>
    <row r="41" spans="2:62" ht="14.45" customHeight="1" x14ac:dyDescent="0.25">
      <c r="B41" s="12"/>
      <c r="C41" s="2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73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5"/>
      <c r="BE41" s="42"/>
      <c r="BF41" s="13"/>
      <c r="BH41" s="19"/>
      <c r="BI41" s="20"/>
      <c r="BJ41" s="21"/>
    </row>
    <row r="42" spans="2:62" ht="14.45" customHeight="1" x14ac:dyDescent="0.25">
      <c r="B42" s="12"/>
      <c r="C42" s="225"/>
      <c r="D42" s="57" t="s">
        <v>56</v>
      </c>
      <c r="E42" s="23"/>
      <c r="F42" s="23"/>
      <c r="G42" s="23"/>
      <c r="H42" s="23"/>
      <c r="I42" s="23"/>
      <c r="J42" s="23"/>
      <c r="K42" s="57" t="s">
        <v>57</v>
      </c>
      <c r="L42" s="23"/>
      <c r="M42" s="23"/>
      <c r="N42" s="23"/>
      <c r="O42" s="23"/>
      <c r="P42" s="23"/>
      <c r="Q42" s="23"/>
      <c r="R42" s="23"/>
      <c r="S42" s="57" t="s">
        <v>58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14"/>
      <c r="AG42" s="14"/>
      <c r="AH42" s="273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  <c r="BC42" s="274"/>
      <c r="BD42" s="275"/>
      <c r="BE42" s="42"/>
      <c r="BF42" s="13"/>
      <c r="BH42" s="19"/>
      <c r="BI42" s="20"/>
      <c r="BJ42" s="21"/>
    </row>
    <row r="43" spans="2:62" ht="24" customHeight="1" x14ac:dyDescent="0.25">
      <c r="B43" s="12"/>
      <c r="C43" s="225"/>
      <c r="D43" s="201"/>
      <c r="E43" s="202"/>
      <c r="F43" s="202"/>
      <c r="G43" s="202"/>
      <c r="H43" s="202"/>
      <c r="I43" s="203"/>
      <c r="J43" s="23"/>
      <c r="K43" s="201"/>
      <c r="L43" s="202"/>
      <c r="M43" s="202"/>
      <c r="N43" s="202"/>
      <c r="O43" s="202"/>
      <c r="P43" s="202"/>
      <c r="Q43" s="203"/>
      <c r="R43" s="23"/>
      <c r="S43" s="201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3"/>
      <c r="AG43" s="23"/>
      <c r="AH43" s="276"/>
      <c r="AI43" s="277"/>
      <c r="AJ43" s="277"/>
      <c r="AK43" s="277"/>
      <c r="AL43" s="277"/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  <c r="AW43" s="277"/>
      <c r="AX43" s="277"/>
      <c r="AY43" s="277"/>
      <c r="AZ43" s="277"/>
      <c r="BA43" s="277"/>
      <c r="BB43" s="277"/>
      <c r="BC43" s="277"/>
      <c r="BD43" s="278"/>
      <c r="BE43" s="42"/>
      <c r="BF43" s="13"/>
      <c r="BH43" s="19"/>
      <c r="BI43" s="20"/>
      <c r="BJ43" s="21"/>
    </row>
    <row r="44" spans="2:62" ht="10.35" customHeight="1" x14ac:dyDescent="0.25">
      <c r="B44" s="12"/>
      <c r="C44" s="26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14"/>
      <c r="BD44" s="14"/>
      <c r="BE44" s="42"/>
      <c r="BF44" s="13"/>
      <c r="BH44" s="19"/>
      <c r="BI44" s="20"/>
      <c r="BJ44" s="21"/>
    </row>
    <row r="45" spans="2:62" ht="15" x14ac:dyDescent="0.25">
      <c r="B45" s="12"/>
      <c r="C45" s="226" t="s">
        <v>345</v>
      </c>
      <c r="D45" s="57" t="s">
        <v>53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57" t="s">
        <v>54</v>
      </c>
      <c r="S45" s="23"/>
      <c r="T45" s="23"/>
      <c r="U45" s="57" t="s">
        <v>55</v>
      </c>
      <c r="V45" s="23"/>
      <c r="W45" s="23"/>
      <c r="X45" s="23"/>
      <c r="Y45" s="23"/>
      <c r="Z45" s="23"/>
      <c r="AA45" s="57" t="s">
        <v>59</v>
      </c>
      <c r="AB45" s="23"/>
      <c r="AC45" s="23"/>
      <c r="AD45" s="23"/>
      <c r="AE45" s="23"/>
      <c r="AF45" s="23"/>
      <c r="AG45" s="23"/>
      <c r="AH45" s="57" t="s">
        <v>60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14"/>
      <c r="BD45" s="14"/>
      <c r="BE45" s="42"/>
      <c r="BF45" s="13"/>
      <c r="BH45" s="19"/>
      <c r="BI45" s="20"/>
      <c r="BJ45" s="21"/>
    </row>
    <row r="46" spans="2:62" ht="24" customHeight="1" x14ac:dyDescent="0.25">
      <c r="B46" s="12"/>
      <c r="C46" s="226"/>
      <c r="D46" s="201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3"/>
      <c r="Q46" s="23"/>
      <c r="R46" s="201"/>
      <c r="S46" s="203"/>
      <c r="T46" s="23"/>
      <c r="U46" s="201"/>
      <c r="V46" s="202"/>
      <c r="W46" s="202"/>
      <c r="X46" s="202"/>
      <c r="Y46" s="203"/>
      <c r="Z46" s="23"/>
      <c r="AA46" s="267"/>
      <c r="AB46" s="268"/>
      <c r="AC46" s="268"/>
      <c r="AD46" s="268"/>
      <c r="AE46" s="268"/>
      <c r="AF46" s="269"/>
      <c r="AG46" s="23"/>
      <c r="AH46" s="270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2"/>
      <c r="BE46" s="42"/>
      <c r="BF46" s="13"/>
      <c r="BH46" s="19"/>
      <c r="BI46" s="20"/>
      <c r="BJ46" s="21"/>
    </row>
    <row r="47" spans="2:62" ht="14.45" customHeight="1" x14ac:dyDescent="0.25">
      <c r="B47" s="12"/>
      <c r="C47" s="226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73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4"/>
      <c r="AU47" s="274"/>
      <c r="AV47" s="274"/>
      <c r="AW47" s="274"/>
      <c r="AX47" s="274"/>
      <c r="AY47" s="274"/>
      <c r="AZ47" s="274"/>
      <c r="BA47" s="274"/>
      <c r="BB47" s="274"/>
      <c r="BC47" s="274"/>
      <c r="BD47" s="275"/>
      <c r="BE47" s="42"/>
      <c r="BF47" s="13"/>
      <c r="BH47" s="19"/>
      <c r="BI47" s="20"/>
      <c r="BJ47" s="21"/>
    </row>
    <row r="48" spans="2:62" ht="14.45" customHeight="1" x14ac:dyDescent="0.25">
      <c r="B48" s="12"/>
      <c r="C48" s="226"/>
      <c r="D48" s="57" t="s">
        <v>56</v>
      </c>
      <c r="E48" s="23"/>
      <c r="F48" s="23"/>
      <c r="G48" s="23"/>
      <c r="H48" s="23"/>
      <c r="I48" s="23"/>
      <c r="J48" s="23"/>
      <c r="K48" s="57" t="s">
        <v>57</v>
      </c>
      <c r="L48" s="23"/>
      <c r="M48" s="23"/>
      <c r="N48" s="23"/>
      <c r="O48" s="23"/>
      <c r="P48" s="23"/>
      <c r="Q48" s="23"/>
      <c r="R48" s="23"/>
      <c r="S48" s="57" t="s">
        <v>58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14"/>
      <c r="AG48" s="14"/>
      <c r="AH48" s="273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4"/>
      <c r="BA48" s="274"/>
      <c r="BB48" s="274"/>
      <c r="BC48" s="274"/>
      <c r="BD48" s="275"/>
      <c r="BE48" s="42"/>
      <c r="BF48" s="13"/>
      <c r="BH48" s="19"/>
      <c r="BI48" s="20"/>
      <c r="BJ48" s="21"/>
    </row>
    <row r="49" spans="2:62" ht="24" customHeight="1" x14ac:dyDescent="0.25">
      <c r="B49" s="12"/>
      <c r="C49" s="226"/>
      <c r="D49" s="201"/>
      <c r="E49" s="202"/>
      <c r="F49" s="202"/>
      <c r="G49" s="202"/>
      <c r="H49" s="202"/>
      <c r="I49" s="203"/>
      <c r="J49" s="23"/>
      <c r="K49" s="201"/>
      <c r="L49" s="202"/>
      <c r="M49" s="202"/>
      <c r="N49" s="202"/>
      <c r="O49" s="202"/>
      <c r="P49" s="202"/>
      <c r="Q49" s="203"/>
      <c r="R49" s="23"/>
      <c r="S49" s="201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3"/>
      <c r="AG49" s="23"/>
      <c r="AH49" s="276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  <c r="AU49" s="277"/>
      <c r="AV49" s="277"/>
      <c r="AW49" s="277"/>
      <c r="AX49" s="277"/>
      <c r="AY49" s="277"/>
      <c r="AZ49" s="277"/>
      <c r="BA49" s="277"/>
      <c r="BB49" s="277"/>
      <c r="BC49" s="277"/>
      <c r="BD49" s="278"/>
      <c r="BE49" s="42"/>
      <c r="BF49" s="13"/>
      <c r="BH49" s="19"/>
      <c r="BI49" s="20"/>
      <c r="BJ49" s="21"/>
    </row>
    <row r="50" spans="2:62" ht="10.35" customHeight="1" x14ac:dyDescent="0.25">
      <c r="B50" s="12"/>
      <c r="C50" s="29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1"/>
      <c r="BD50" s="31"/>
      <c r="BE50" s="32"/>
      <c r="BF50" s="13"/>
      <c r="BH50" s="19"/>
      <c r="BI50" s="20"/>
      <c r="BJ50" s="21"/>
    </row>
    <row r="51" spans="2:62" ht="15" x14ac:dyDescent="0.25">
      <c r="B51" s="1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BF51" s="13"/>
      <c r="BH51" s="19"/>
      <c r="BI51" s="20"/>
      <c r="BJ51" s="21"/>
    </row>
    <row r="52" spans="2:62" ht="15" x14ac:dyDescent="0.25">
      <c r="B52" s="12"/>
      <c r="C52" s="52" t="s">
        <v>50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BF52" s="13"/>
      <c r="BH52" s="19"/>
      <c r="BI52" s="20"/>
      <c r="BJ52" s="21"/>
    </row>
    <row r="53" spans="2:62" ht="4.7" customHeight="1" x14ac:dyDescent="0.25">
      <c r="B53" s="12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34"/>
      <c r="BD53" s="34"/>
      <c r="BE53" s="35"/>
      <c r="BF53" s="13"/>
      <c r="BH53" s="19"/>
      <c r="BI53" s="20"/>
      <c r="BJ53" s="21"/>
    </row>
    <row r="54" spans="2:62" ht="14.45" customHeight="1" x14ac:dyDescent="0.25">
      <c r="B54" s="12"/>
      <c r="C54" s="225" t="s">
        <v>344</v>
      </c>
      <c r="D54" s="57" t="s">
        <v>53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57" t="s">
        <v>63</v>
      </c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57" t="s">
        <v>64</v>
      </c>
      <c r="AE54" s="23"/>
      <c r="AF54" s="23"/>
      <c r="AG54" s="23"/>
      <c r="AH54" s="23"/>
      <c r="AI54" s="23"/>
      <c r="AJ54" s="23"/>
      <c r="AK54" s="23"/>
      <c r="AL54" s="23"/>
      <c r="AM54" s="57" t="s">
        <v>65</v>
      </c>
      <c r="AN54" s="23"/>
      <c r="AO54" s="23"/>
      <c r="AP54" s="23"/>
      <c r="AQ54" s="23"/>
      <c r="AR54" s="57" t="s">
        <v>66</v>
      </c>
      <c r="AS54" s="23"/>
      <c r="AT54" s="23"/>
      <c r="AU54" s="57" t="s">
        <v>67</v>
      </c>
      <c r="AV54" s="23"/>
      <c r="AW54" s="23"/>
      <c r="AX54" s="57" t="s">
        <v>68</v>
      </c>
      <c r="AY54" s="23"/>
      <c r="AZ54" s="23"/>
      <c r="BA54" s="23"/>
      <c r="BB54" s="23"/>
      <c r="BC54" s="14"/>
      <c r="BD54" s="14"/>
      <c r="BE54" s="42"/>
      <c r="BF54" s="13"/>
      <c r="BH54" s="19"/>
      <c r="BI54" s="20"/>
      <c r="BJ54" s="21"/>
    </row>
    <row r="55" spans="2:62" ht="24" customHeight="1" x14ac:dyDescent="0.25">
      <c r="B55" s="12"/>
      <c r="C55" s="225"/>
      <c r="D55" s="201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3"/>
      <c r="Q55" s="23"/>
      <c r="R55" s="201"/>
      <c r="S55" s="202"/>
      <c r="T55" s="202"/>
      <c r="U55" s="202"/>
      <c r="V55" s="202"/>
      <c r="W55" s="202"/>
      <c r="X55" s="202"/>
      <c r="Y55" s="202"/>
      <c r="Z55" s="202"/>
      <c r="AA55" s="202"/>
      <c r="AB55" s="203"/>
      <c r="AC55" s="23"/>
      <c r="AD55" s="201"/>
      <c r="AE55" s="202"/>
      <c r="AF55" s="202"/>
      <c r="AG55" s="202"/>
      <c r="AH55" s="202"/>
      <c r="AI55" s="202"/>
      <c r="AJ55" s="202"/>
      <c r="AK55" s="203"/>
      <c r="AL55" s="23"/>
      <c r="AM55" s="201"/>
      <c r="AN55" s="202"/>
      <c r="AO55" s="202"/>
      <c r="AP55" s="203"/>
      <c r="AQ55" s="23"/>
      <c r="AR55" s="201"/>
      <c r="AS55" s="203"/>
      <c r="AT55" s="23"/>
      <c r="AU55" s="201"/>
      <c r="AV55" s="203"/>
      <c r="AW55" s="23"/>
      <c r="AX55" s="201"/>
      <c r="AY55" s="202"/>
      <c r="AZ55" s="202"/>
      <c r="BA55" s="202"/>
      <c r="BB55" s="202"/>
      <c r="BC55" s="202"/>
      <c r="BD55" s="203"/>
      <c r="BE55" s="42"/>
      <c r="BF55" s="13"/>
      <c r="BH55" s="19"/>
      <c r="BI55" s="20"/>
      <c r="BJ55" s="21"/>
    </row>
    <row r="56" spans="2:62" ht="10.35" customHeight="1" x14ac:dyDescent="0.25">
      <c r="B56" s="12"/>
      <c r="C56" s="26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14"/>
      <c r="BD56" s="14"/>
      <c r="BE56" s="42"/>
      <c r="BF56" s="13"/>
      <c r="BH56" s="19"/>
      <c r="BI56" s="20"/>
      <c r="BJ56" s="21"/>
    </row>
    <row r="57" spans="2:62" ht="15" x14ac:dyDescent="0.25">
      <c r="B57" s="12"/>
      <c r="C57" s="226" t="s">
        <v>345</v>
      </c>
      <c r="D57" s="57" t="s">
        <v>53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57" t="s">
        <v>63</v>
      </c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57" t="s">
        <v>64</v>
      </c>
      <c r="AE57" s="23"/>
      <c r="AF57" s="23"/>
      <c r="AG57" s="23"/>
      <c r="AH57" s="23"/>
      <c r="AI57" s="23"/>
      <c r="AJ57" s="23"/>
      <c r="AK57" s="23"/>
      <c r="AL57" s="23"/>
      <c r="AM57" s="57" t="s">
        <v>65</v>
      </c>
      <c r="AN57" s="23"/>
      <c r="AO57" s="23"/>
      <c r="AP57" s="23"/>
      <c r="AQ57" s="23"/>
      <c r="AR57" s="57" t="s">
        <v>66</v>
      </c>
      <c r="AS57" s="23"/>
      <c r="AT57" s="23"/>
      <c r="AU57" s="57" t="s">
        <v>67</v>
      </c>
      <c r="AV57" s="23"/>
      <c r="AW57" s="23"/>
      <c r="AX57" s="57" t="s">
        <v>68</v>
      </c>
      <c r="AY57" s="23"/>
      <c r="AZ57" s="23"/>
      <c r="BA57" s="23"/>
      <c r="BB57" s="23"/>
      <c r="BC57" s="14"/>
      <c r="BD57" s="14"/>
      <c r="BE57" s="42"/>
      <c r="BF57" s="13"/>
      <c r="BH57" s="19"/>
      <c r="BI57" s="20"/>
      <c r="BJ57" s="21"/>
    </row>
    <row r="58" spans="2:62" ht="24" customHeight="1" x14ac:dyDescent="0.25">
      <c r="B58" s="12"/>
      <c r="C58" s="226"/>
      <c r="D58" s="230" t="s">
        <v>567</v>
      </c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9"/>
      <c r="Q58" s="23"/>
      <c r="R58" s="230" t="s">
        <v>568</v>
      </c>
      <c r="S58" s="228"/>
      <c r="T58" s="228"/>
      <c r="U58" s="228"/>
      <c r="V58" s="228"/>
      <c r="W58" s="228"/>
      <c r="X58" s="228"/>
      <c r="Y58" s="228"/>
      <c r="Z58" s="228"/>
      <c r="AA58" s="228"/>
      <c r="AB58" s="229"/>
      <c r="AC58" s="23"/>
      <c r="AD58" s="230" t="s">
        <v>576</v>
      </c>
      <c r="AE58" s="228"/>
      <c r="AF58" s="228"/>
      <c r="AG58" s="228"/>
      <c r="AH58" s="228"/>
      <c r="AI58" s="228"/>
      <c r="AJ58" s="228"/>
      <c r="AK58" s="229"/>
      <c r="AL58" s="23"/>
      <c r="AM58" s="230" t="s">
        <v>569</v>
      </c>
      <c r="AN58" s="228"/>
      <c r="AO58" s="228"/>
      <c r="AP58" s="229"/>
      <c r="AQ58" s="23"/>
      <c r="AR58" s="201"/>
      <c r="AS58" s="203"/>
      <c r="AT58" s="23"/>
      <c r="AU58" s="201"/>
      <c r="AV58" s="203"/>
      <c r="AW58" s="23"/>
      <c r="AX58" s="230" t="s">
        <v>577</v>
      </c>
      <c r="AY58" s="228"/>
      <c r="AZ58" s="228"/>
      <c r="BA58" s="228"/>
      <c r="BB58" s="228"/>
      <c r="BC58" s="228"/>
      <c r="BD58" s="229"/>
      <c r="BE58" s="42"/>
      <c r="BF58" s="13"/>
      <c r="BH58" s="19"/>
      <c r="BI58" s="20"/>
      <c r="BJ58" s="21"/>
    </row>
    <row r="59" spans="2:62" ht="10.35" customHeight="1" x14ac:dyDescent="0.25">
      <c r="B59" s="12"/>
      <c r="C59" s="29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1"/>
      <c r="BD59" s="31"/>
      <c r="BE59" s="32"/>
      <c r="BF59" s="13"/>
      <c r="BH59" s="19"/>
      <c r="BI59" s="20"/>
      <c r="BJ59" s="21"/>
    </row>
    <row r="60" spans="2:62" ht="15" x14ac:dyDescent="0.25">
      <c r="B60" s="1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BF60" s="13"/>
      <c r="BH60" s="19"/>
      <c r="BI60" s="20"/>
      <c r="BJ60" s="21"/>
    </row>
    <row r="61" spans="2:62" ht="15" x14ac:dyDescent="0.25">
      <c r="B61" s="12"/>
      <c r="C61" s="52" t="s">
        <v>51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BF61" s="13"/>
      <c r="BH61" s="19"/>
      <c r="BI61" s="20"/>
      <c r="BJ61" s="21"/>
    </row>
    <row r="62" spans="2:62" ht="4.7" customHeight="1" x14ac:dyDescent="0.25">
      <c r="B62" s="12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34"/>
      <c r="BD62" s="34"/>
      <c r="BE62" s="35"/>
      <c r="BF62" s="13"/>
      <c r="BH62" s="19"/>
      <c r="BI62" s="20"/>
      <c r="BJ62" s="21"/>
    </row>
    <row r="63" spans="2:62" ht="15" x14ac:dyDescent="0.25">
      <c r="B63" s="12"/>
      <c r="C63" s="225" t="s">
        <v>344</v>
      </c>
      <c r="D63" s="57" t="s">
        <v>53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57" t="s">
        <v>208</v>
      </c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57" t="s">
        <v>69</v>
      </c>
      <c r="AP63" s="23"/>
      <c r="AQ63" s="23"/>
      <c r="AR63" s="57" t="s">
        <v>66</v>
      </c>
      <c r="AS63" s="23"/>
      <c r="AT63" s="23"/>
      <c r="AU63" s="57" t="s">
        <v>67</v>
      </c>
      <c r="AV63" s="23"/>
      <c r="AW63" s="23"/>
      <c r="AX63" s="57" t="s">
        <v>68</v>
      </c>
      <c r="AY63" s="23"/>
      <c r="AZ63" s="23"/>
      <c r="BA63" s="23"/>
      <c r="BB63" s="23"/>
      <c r="BC63" s="14"/>
      <c r="BD63" s="14"/>
      <c r="BE63" s="42"/>
      <c r="BF63" s="13"/>
      <c r="BH63" s="19"/>
      <c r="BI63" s="20"/>
      <c r="BJ63" s="21"/>
    </row>
    <row r="64" spans="2:62" ht="24" customHeight="1" x14ac:dyDescent="0.25">
      <c r="B64" s="12"/>
      <c r="C64" s="225"/>
      <c r="D64" s="227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9"/>
      <c r="Q64" s="23"/>
      <c r="R64" s="230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9"/>
      <c r="AN64" s="23"/>
      <c r="AO64" s="201"/>
      <c r="AP64" s="203"/>
      <c r="AQ64" s="23"/>
      <c r="AR64" s="201"/>
      <c r="AS64" s="203"/>
      <c r="AT64" s="23"/>
      <c r="AU64" s="201"/>
      <c r="AV64" s="203"/>
      <c r="AW64" s="23"/>
      <c r="AX64" s="230"/>
      <c r="AY64" s="228"/>
      <c r="AZ64" s="228"/>
      <c r="BA64" s="228"/>
      <c r="BB64" s="228"/>
      <c r="BC64" s="228"/>
      <c r="BD64" s="229"/>
      <c r="BE64" s="42"/>
      <c r="BF64" s="13"/>
      <c r="BH64" s="19"/>
      <c r="BI64" s="20"/>
      <c r="BJ64" s="21"/>
    </row>
    <row r="65" spans="2:62" ht="10.35" customHeight="1" x14ac:dyDescent="0.25">
      <c r="B65" s="12"/>
      <c r="C65" s="26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14"/>
      <c r="BD65" s="14"/>
      <c r="BE65" s="42"/>
      <c r="BF65" s="13"/>
      <c r="BH65" s="19"/>
      <c r="BI65" s="20"/>
      <c r="BJ65" s="21"/>
    </row>
    <row r="66" spans="2:62" ht="15" x14ac:dyDescent="0.25">
      <c r="B66" s="12"/>
      <c r="C66" s="226" t="s">
        <v>345</v>
      </c>
      <c r="D66" s="57" t="s">
        <v>53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57" t="s">
        <v>208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57" t="s">
        <v>69</v>
      </c>
      <c r="AP66" s="23"/>
      <c r="AQ66" s="23"/>
      <c r="AR66" s="57" t="s">
        <v>66</v>
      </c>
      <c r="AS66" s="23"/>
      <c r="AT66" s="23"/>
      <c r="AU66" s="57" t="s">
        <v>67</v>
      </c>
      <c r="AV66" s="23"/>
      <c r="AW66" s="23"/>
      <c r="AX66" s="57" t="s">
        <v>68</v>
      </c>
      <c r="AY66" s="23"/>
      <c r="AZ66" s="23"/>
      <c r="BA66" s="23"/>
      <c r="BB66" s="23"/>
      <c r="BC66" s="14"/>
      <c r="BD66" s="14"/>
      <c r="BE66" s="42"/>
      <c r="BF66" s="13"/>
      <c r="BH66" s="19"/>
      <c r="BI66" s="20"/>
      <c r="BJ66" s="21"/>
    </row>
    <row r="67" spans="2:62" ht="24" customHeight="1" x14ac:dyDescent="0.25">
      <c r="B67" s="12"/>
      <c r="C67" s="226"/>
      <c r="D67" s="227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9"/>
      <c r="Q67" s="23"/>
      <c r="R67" s="230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9"/>
      <c r="AN67" s="23"/>
      <c r="AO67" s="230"/>
      <c r="AP67" s="229"/>
      <c r="AQ67" s="23"/>
      <c r="AR67" s="201"/>
      <c r="AS67" s="203"/>
      <c r="AT67" s="23"/>
      <c r="AU67" s="201"/>
      <c r="AV67" s="203"/>
      <c r="AW67" s="23"/>
      <c r="AX67" s="230"/>
      <c r="AY67" s="228"/>
      <c r="AZ67" s="228"/>
      <c r="BA67" s="228"/>
      <c r="BB67" s="228"/>
      <c r="BC67" s="228"/>
      <c r="BD67" s="229"/>
      <c r="BE67" s="42"/>
      <c r="BF67" s="13"/>
      <c r="BH67" s="19"/>
      <c r="BI67" s="20"/>
      <c r="BJ67" s="21"/>
    </row>
    <row r="68" spans="2:62" ht="10.35" customHeight="1" x14ac:dyDescent="0.25">
      <c r="B68" s="12"/>
      <c r="C68" s="29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1"/>
      <c r="BD68" s="31"/>
      <c r="BE68" s="32"/>
      <c r="BF68" s="13"/>
      <c r="BH68" s="19"/>
      <c r="BI68" s="20"/>
      <c r="BJ68" s="21"/>
    </row>
    <row r="69" spans="2:62" ht="15" x14ac:dyDescent="0.25">
      <c r="B69" s="1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BF69" s="13"/>
      <c r="BH69" s="19"/>
      <c r="BI69" s="20"/>
      <c r="BJ69" s="21"/>
    </row>
    <row r="70" spans="2:62" ht="15" x14ac:dyDescent="0.25">
      <c r="B70" s="1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14"/>
      <c r="BF70" s="13"/>
      <c r="BH70" s="19"/>
      <c r="BI70" s="20"/>
      <c r="BJ70" s="21"/>
    </row>
    <row r="71" spans="2:62" ht="14.45" customHeight="1" x14ac:dyDescent="0.25">
      <c r="B71" s="12"/>
      <c r="C71" s="243" t="s">
        <v>52</v>
      </c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  <c r="BF71" s="13"/>
      <c r="BH71" s="19"/>
      <c r="BI71" s="20"/>
      <c r="BJ71" s="21"/>
    </row>
    <row r="72" spans="2:62" ht="15" x14ac:dyDescent="0.25">
      <c r="B72" s="1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14"/>
      <c r="BF72" s="13"/>
      <c r="BH72" s="19"/>
      <c r="BI72" s="20"/>
      <c r="BJ72" s="21"/>
    </row>
    <row r="73" spans="2:62" ht="15" x14ac:dyDescent="0.25">
      <c r="B73" s="12"/>
      <c r="C73" s="57" t="s">
        <v>350</v>
      </c>
      <c r="R73" s="57" t="s">
        <v>58</v>
      </c>
      <c r="T73" s="23"/>
      <c r="W73" s="23"/>
      <c r="X73" s="23"/>
      <c r="Y73" s="23"/>
      <c r="Z73" s="23"/>
      <c r="AA73" s="23"/>
      <c r="AB73" s="23"/>
      <c r="AC73" s="23"/>
      <c r="AD73" s="23"/>
      <c r="AE73" s="14"/>
      <c r="AF73"/>
      <c r="BF73" s="13"/>
      <c r="BH73" s="19"/>
      <c r="BI73" s="20"/>
      <c r="BJ73" s="21"/>
    </row>
    <row r="74" spans="2:62" ht="5.0999999999999996" customHeight="1" x14ac:dyDescent="0.25">
      <c r="B74" s="1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33"/>
      <c r="R74" s="213" t="s">
        <v>575</v>
      </c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5"/>
      <c r="BF74" s="13"/>
      <c r="BH74" s="19"/>
      <c r="BI74" s="20"/>
      <c r="BJ74" s="21"/>
    </row>
    <row r="75" spans="2:62" ht="14.1" customHeight="1" x14ac:dyDescent="0.25">
      <c r="B75" s="12"/>
      <c r="C75" s="26"/>
      <c r="D75" s="85" t="s">
        <v>556</v>
      </c>
      <c r="E75" s="86" t="s">
        <v>351</v>
      </c>
      <c r="F75" s="23"/>
      <c r="G75" s="23"/>
      <c r="H75" s="23"/>
      <c r="J75" s="85"/>
      <c r="K75" s="86" t="s">
        <v>352</v>
      </c>
      <c r="L75" s="23"/>
      <c r="M75" s="87"/>
      <c r="R75" s="216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8"/>
      <c r="BF75" s="13"/>
      <c r="BH75" s="19"/>
      <c r="BI75" s="20"/>
      <c r="BJ75" s="21"/>
    </row>
    <row r="76" spans="2:62" ht="5.0999999999999996" customHeight="1" x14ac:dyDescent="0.25">
      <c r="B76" s="12"/>
      <c r="C76" s="29"/>
      <c r="D76" s="30"/>
      <c r="E76" s="30"/>
      <c r="F76" s="30"/>
      <c r="G76" s="30"/>
      <c r="H76" s="30"/>
      <c r="I76" s="30"/>
      <c r="J76" s="30"/>
      <c r="K76" s="30"/>
      <c r="L76" s="30"/>
      <c r="M76" s="88"/>
      <c r="R76" s="219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1"/>
      <c r="BF76" s="13"/>
      <c r="BH76" s="19"/>
      <c r="BI76" s="20"/>
      <c r="BJ76" s="21"/>
    </row>
    <row r="77" spans="2:62" ht="15" x14ac:dyDescent="0.25">
      <c r="B77" s="1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14"/>
      <c r="BF77" s="13"/>
      <c r="BH77" s="19"/>
      <c r="BI77" s="20"/>
      <c r="BJ77" s="21"/>
    </row>
    <row r="78" spans="2:62" ht="14.45" customHeight="1" x14ac:dyDescent="0.25">
      <c r="B78" s="12"/>
      <c r="C78" s="243" t="s">
        <v>497</v>
      </c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13"/>
      <c r="BH78" s="19"/>
      <c r="BI78" s="20"/>
      <c r="BJ78" s="21"/>
    </row>
    <row r="79" spans="2:62" ht="15" x14ac:dyDescent="0.25">
      <c r="B79" s="1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14"/>
      <c r="BF79" s="13"/>
      <c r="BH79" s="19"/>
      <c r="BI79" s="20"/>
      <c r="BJ79" s="21"/>
    </row>
    <row r="80" spans="2:62" ht="15" x14ac:dyDescent="0.25">
      <c r="B80" s="12"/>
      <c r="C80" s="57" t="s">
        <v>338</v>
      </c>
      <c r="E80" s="23"/>
      <c r="H80" s="23"/>
      <c r="I80" s="23"/>
      <c r="J80" s="23"/>
      <c r="K80" s="23"/>
      <c r="L80" s="57" t="s">
        <v>339</v>
      </c>
      <c r="N80" s="23"/>
      <c r="Q80" s="23"/>
      <c r="R80" s="23"/>
      <c r="S80" s="23"/>
      <c r="U80" s="57" t="s">
        <v>340</v>
      </c>
      <c r="W80" s="23"/>
      <c r="Z80" s="23"/>
      <c r="AA80" s="57" t="s">
        <v>341</v>
      </c>
      <c r="AB80" s="23"/>
      <c r="AG80" s="57" t="s">
        <v>342</v>
      </c>
      <c r="AX80" s="257"/>
      <c r="AY80" s="257"/>
      <c r="AZ80" s="257"/>
      <c r="BA80" s="257"/>
      <c r="BB80" s="257"/>
      <c r="BC80" s="257"/>
      <c r="BD80" s="257"/>
      <c r="BE80" s="257"/>
      <c r="BF80" s="13"/>
      <c r="BH80" s="19"/>
      <c r="BI80" s="20"/>
      <c r="BJ80" s="21"/>
    </row>
    <row r="81" spans="2:62" ht="24" customHeight="1" x14ac:dyDescent="0.25">
      <c r="B81" s="12"/>
      <c r="C81" s="262">
        <v>0</v>
      </c>
      <c r="D81" s="263"/>
      <c r="E81" s="263"/>
      <c r="F81" s="263"/>
      <c r="G81" s="263"/>
      <c r="H81" s="263"/>
      <c r="I81" s="263"/>
      <c r="J81" s="264"/>
      <c r="L81" s="262">
        <v>7923</v>
      </c>
      <c r="M81" s="265"/>
      <c r="N81" s="265"/>
      <c r="O81" s="265"/>
      <c r="P81" s="265"/>
      <c r="Q81" s="265"/>
      <c r="R81" s="265"/>
      <c r="S81" s="266"/>
      <c r="U81" s="245">
        <v>1</v>
      </c>
      <c r="V81" s="246"/>
      <c r="W81" s="246"/>
      <c r="X81" s="246"/>
      <c r="Y81" s="247"/>
      <c r="AA81" s="245">
        <v>1</v>
      </c>
      <c r="AB81" s="246"/>
      <c r="AC81" s="246"/>
      <c r="AD81" s="246"/>
      <c r="AE81" s="247"/>
      <c r="AG81" s="248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50"/>
      <c r="BF81" s="13"/>
      <c r="BH81" s="19"/>
      <c r="BI81" s="20"/>
      <c r="BJ81" s="21"/>
    </row>
    <row r="82" spans="2:62" ht="15" x14ac:dyDescent="0.25">
      <c r="B82" s="1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54"/>
      <c r="AH82" s="255"/>
      <c r="AI82" s="255"/>
      <c r="AJ82" s="255"/>
      <c r="AK82" s="255"/>
      <c r="AL82" s="255"/>
      <c r="AM82" s="255"/>
      <c r="AN82" s="255"/>
      <c r="AO82" s="255"/>
      <c r="AP82" s="255"/>
      <c r="AQ82" s="255"/>
      <c r="AR82" s="255"/>
      <c r="AS82" s="255"/>
      <c r="AT82" s="255"/>
      <c r="AU82" s="255"/>
      <c r="AV82" s="255"/>
      <c r="AW82" s="255"/>
      <c r="AX82" s="255"/>
      <c r="AY82" s="255"/>
      <c r="AZ82" s="255"/>
      <c r="BA82" s="255"/>
      <c r="BB82" s="255"/>
      <c r="BC82" s="255"/>
      <c r="BD82" s="255"/>
      <c r="BE82" s="256"/>
      <c r="BF82" s="13"/>
      <c r="BH82" s="19"/>
      <c r="BI82" s="20"/>
      <c r="BJ82" s="21"/>
    </row>
    <row r="83" spans="2:62" ht="15" x14ac:dyDescent="0.25">
      <c r="B83" s="12"/>
      <c r="C83" s="57" t="s">
        <v>360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G83" s="254"/>
      <c r="AH83" s="255"/>
      <c r="AI83" s="255"/>
      <c r="AJ83" s="255"/>
      <c r="AK83" s="255"/>
      <c r="AL83" s="255"/>
      <c r="AM83" s="255"/>
      <c r="AN83" s="255"/>
      <c r="AO83" s="255"/>
      <c r="AP83" s="255"/>
      <c r="AQ83" s="255"/>
      <c r="AR83" s="255"/>
      <c r="AS83" s="255"/>
      <c r="AT83" s="255"/>
      <c r="AU83" s="255"/>
      <c r="AV83" s="255"/>
      <c r="AW83" s="255"/>
      <c r="AX83" s="255"/>
      <c r="AY83" s="255"/>
      <c r="AZ83" s="255"/>
      <c r="BA83" s="255"/>
      <c r="BB83" s="255"/>
      <c r="BC83" s="255"/>
      <c r="BD83" s="255"/>
      <c r="BE83" s="256"/>
      <c r="BF83" s="13"/>
      <c r="BH83" s="19"/>
      <c r="BI83" s="20"/>
      <c r="BJ83" s="21"/>
    </row>
    <row r="84" spans="2:62" ht="24" customHeight="1" x14ac:dyDescent="0.25">
      <c r="B84" s="12"/>
      <c r="C84" s="248" t="s">
        <v>557</v>
      </c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50"/>
      <c r="AG84" s="254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5"/>
      <c r="AX84" s="255"/>
      <c r="AY84" s="255"/>
      <c r="AZ84" s="255"/>
      <c r="BA84" s="255"/>
      <c r="BB84" s="255"/>
      <c r="BC84" s="255"/>
      <c r="BD84" s="255"/>
      <c r="BE84" s="256"/>
      <c r="BF84" s="13"/>
      <c r="BH84" s="19"/>
      <c r="BI84" s="20"/>
      <c r="BJ84" s="21"/>
    </row>
    <row r="85" spans="2:62" ht="24" customHeight="1" x14ac:dyDescent="0.25">
      <c r="B85" s="12"/>
      <c r="C85" s="251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3"/>
      <c r="AG85" s="251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  <c r="AX85" s="252"/>
      <c r="AY85" s="252"/>
      <c r="AZ85" s="252"/>
      <c r="BA85" s="252"/>
      <c r="BB85" s="252"/>
      <c r="BC85" s="252"/>
      <c r="BD85" s="252"/>
      <c r="BE85" s="253"/>
      <c r="BF85" s="13"/>
      <c r="BH85" s="19"/>
      <c r="BI85" s="20"/>
      <c r="BJ85" s="21"/>
    </row>
    <row r="86" spans="2:62" ht="15" x14ac:dyDescent="0.25">
      <c r="B86" s="1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14"/>
      <c r="BF86" s="13"/>
      <c r="BH86" s="19"/>
      <c r="BI86" s="20"/>
      <c r="BJ86" s="21"/>
    </row>
    <row r="87" spans="2:62" ht="14.45" customHeight="1" x14ac:dyDescent="0.25">
      <c r="B87" s="12"/>
      <c r="C87" s="243" t="s">
        <v>70</v>
      </c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243"/>
      <c r="AR87" s="243"/>
      <c r="AS87" s="243"/>
      <c r="AT87" s="243"/>
      <c r="AU87" s="243"/>
      <c r="AV87" s="243"/>
      <c r="AW87" s="243"/>
      <c r="AX87" s="243"/>
      <c r="AY87" s="243"/>
      <c r="AZ87" s="243"/>
      <c r="BA87" s="243"/>
      <c r="BB87" s="243"/>
      <c r="BC87" s="243"/>
      <c r="BD87" s="243"/>
      <c r="BE87" s="243"/>
      <c r="BF87" s="13"/>
      <c r="BH87" s="19"/>
      <c r="BI87" s="20"/>
      <c r="BJ87" s="21"/>
    </row>
    <row r="88" spans="2:62" ht="15" x14ac:dyDescent="0.25">
      <c r="B88" s="12"/>
      <c r="C88" s="23"/>
      <c r="D88" s="23"/>
      <c r="E88" s="23"/>
      <c r="F88" s="23"/>
      <c r="G88" s="23"/>
      <c r="H88" s="23"/>
      <c r="I88" s="23"/>
      <c r="J88" s="23"/>
      <c r="K88" s="23"/>
      <c r="L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14"/>
      <c r="BF88" s="13"/>
      <c r="BH88" s="19"/>
      <c r="BI88" s="20"/>
      <c r="BJ88" s="21"/>
    </row>
    <row r="89" spans="2:62" ht="15" x14ac:dyDescent="0.25">
      <c r="B89" s="12"/>
      <c r="C89" s="57" t="s">
        <v>71</v>
      </c>
      <c r="E89" s="23"/>
      <c r="H89" s="23"/>
      <c r="I89" s="23"/>
      <c r="J89" s="23"/>
      <c r="K89" s="23"/>
      <c r="L89" s="23"/>
      <c r="M89" s="23"/>
      <c r="N89" s="23"/>
      <c r="O89" s="23"/>
      <c r="P89" s="14"/>
      <c r="Q89"/>
      <c r="R89" s="23"/>
      <c r="S89" s="23"/>
      <c r="T89" s="23"/>
      <c r="U89" s="23"/>
      <c r="V89" s="23"/>
      <c r="W89" s="23"/>
      <c r="X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N89" s="57"/>
      <c r="AP89" s="23"/>
      <c r="AS89" s="23"/>
      <c r="AT89" s="23"/>
      <c r="AU89" s="23"/>
      <c r="AV89" s="23"/>
      <c r="AW89" s="23"/>
      <c r="AX89" s="23"/>
      <c r="AY89" s="23"/>
      <c r="AZ89" s="23"/>
      <c r="BA89" s="14"/>
      <c r="BB89"/>
      <c r="BF89" s="13"/>
      <c r="BH89" s="19"/>
      <c r="BI89" s="20"/>
      <c r="BJ89" s="21"/>
    </row>
    <row r="90" spans="2:62" ht="24" customHeight="1" x14ac:dyDescent="0.25">
      <c r="B90" s="12"/>
      <c r="C90" s="201" t="s">
        <v>641</v>
      </c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3"/>
      <c r="BF90" s="13"/>
      <c r="BH90" s="19"/>
      <c r="BI90" s="20"/>
      <c r="BJ90" s="21"/>
    </row>
    <row r="91" spans="2:62" ht="15" x14ac:dyDescent="0.25">
      <c r="B91" s="12"/>
      <c r="C91" s="23"/>
      <c r="D91" s="23"/>
      <c r="E91" s="23"/>
      <c r="F91" s="23"/>
      <c r="G91" s="23"/>
      <c r="H91" s="23"/>
      <c r="I91" s="23"/>
      <c r="J91" s="23"/>
      <c r="K91" s="23"/>
      <c r="L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14"/>
      <c r="BF91" s="13"/>
      <c r="BH91" s="19"/>
      <c r="BI91" s="20"/>
      <c r="BJ91" s="21"/>
    </row>
    <row r="92" spans="2:62" ht="15" x14ac:dyDescent="0.25">
      <c r="B92" s="12"/>
      <c r="C92" s="57" t="s">
        <v>346</v>
      </c>
      <c r="E92" s="23"/>
      <c r="H92" s="23"/>
      <c r="I92" s="23"/>
      <c r="J92" s="57" t="s">
        <v>209</v>
      </c>
      <c r="L92" s="23"/>
      <c r="O92" s="23"/>
      <c r="P92" s="23"/>
      <c r="Q92" s="23"/>
      <c r="R92" s="23"/>
      <c r="S92" s="23"/>
      <c r="T92" s="23"/>
      <c r="U92" s="23"/>
      <c r="V92" s="57" t="s">
        <v>348</v>
      </c>
      <c r="W92" s="14"/>
      <c r="X92"/>
      <c r="Y92"/>
      <c r="Z92"/>
      <c r="AA92"/>
      <c r="AD92" s="23"/>
      <c r="AE92" s="23"/>
      <c r="AF92" s="23"/>
      <c r="AH92" s="23"/>
      <c r="AI92" s="23"/>
      <c r="AJ92" s="23"/>
      <c r="AK92" s="23"/>
      <c r="AL92" s="23"/>
      <c r="AN92" s="57" t="s">
        <v>349</v>
      </c>
      <c r="AO92" s="14"/>
      <c r="AP92"/>
      <c r="AQ92"/>
      <c r="AR92"/>
      <c r="AS92"/>
      <c r="AV92" s="23"/>
      <c r="AW92" s="23"/>
      <c r="AX92" s="23"/>
      <c r="AZ92" s="23"/>
      <c r="BA92" s="23"/>
      <c r="BB92" s="23"/>
      <c r="BC92" s="23"/>
      <c r="BD92" s="23"/>
      <c r="BF92" s="13"/>
      <c r="BH92" s="19"/>
      <c r="BI92" s="20"/>
      <c r="BJ92" s="21"/>
    </row>
    <row r="93" spans="2:62" ht="24" customHeight="1" x14ac:dyDescent="0.25">
      <c r="B93" s="12"/>
      <c r="C93" s="201" t="s">
        <v>347</v>
      </c>
      <c r="D93" s="202"/>
      <c r="E93" s="202"/>
      <c r="F93" s="202"/>
      <c r="G93" s="202"/>
      <c r="H93" s="203"/>
      <c r="I93" s="57"/>
      <c r="J93" s="201" t="s">
        <v>246</v>
      </c>
      <c r="K93" s="202"/>
      <c r="L93" s="202"/>
      <c r="M93" s="202"/>
      <c r="N93" s="202"/>
      <c r="O93" s="202"/>
      <c r="P93" s="202"/>
      <c r="Q93" s="202"/>
      <c r="R93" s="202"/>
      <c r="S93" s="202"/>
      <c r="T93" s="203"/>
      <c r="U93" s="23"/>
      <c r="V93" s="201" t="s">
        <v>246</v>
      </c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3"/>
      <c r="AN93" s="201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3"/>
      <c r="BF93" s="13"/>
      <c r="BH93" s="19"/>
      <c r="BI93" s="20"/>
      <c r="BJ93" s="21"/>
    </row>
    <row r="94" spans="2:62" ht="15" x14ac:dyDescent="0.25">
      <c r="B94" s="12"/>
      <c r="C94" s="23"/>
      <c r="D94" s="23"/>
      <c r="E94" s="23"/>
      <c r="F94" s="23"/>
      <c r="G94" s="23"/>
      <c r="H94" s="23"/>
      <c r="I94" s="23"/>
      <c r="J94" s="23"/>
      <c r="K94" s="23"/>
      <c r="L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14"/>
      <c r="BF94" s="13"/>
      <c r="BH94" s="19"/>
      <c r="BI94" s="20"/>
      <c r="BJ94" s="21"/>
    </row>
    <row r="95" spans="2:62" ht="15" x14ac:dyDescent="0.25">
      <c r="B95" s="12"/>
      <c r="C95" s="57" t="s">
        <v>207</v>
      </c>
      <c r="E95" s="23"/>
      <c r="H95" s="23"/>
      <c r="I95" s="23"/>
      <c r="J95" s="23"/>
      <c r="K95" s="23"/>
      <c r="L95" s="23"/>
      <c r="M95" s="23"/>
      <c r="N95" s="23"/>
      <c r="O95" s="23"/>
      <c r="P95" s="14"/>
      <c r="Q95"/>
      <c r="R95" s="57" t="s">
        <v>72</v>
      </c>
      <c r="S95" s="23"/>
      <c r="T95" s="23"/>
      <c r="U95" s="23"/>
      <c r="V95" s="23"/>
      <c r="W95" s="23"/>
      <c r="X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N95" s="57"/>
      <c r="AP95" s="23"/>
      <c r="AS95" s="23"/>
      <c r="AT95" s="23"/>
      <c r="AU95" s="23"/>
      <c r="AV95" s="23"/>
      <c r="AW95" s="23"/>
      <c r="AX95" s="23"/>
      <c r="AY95" s="23"/>
      <c r="AZ95" s="23"/>
      <c r="BA95" s="14"/>
      <c r="BB95"/>
      <c r="BF95" s="13"/>
      <c r="BH95" s="19"/>
      <c r="BI95" s="20"/>
      <c r="BJ95" s="21"/>
    </row>
    <row r="96" spans="2:62" ht="24" customHeight="1" x14ac:dyDescent="0.25">
      <c r="B96" s="12"/>
      <c r="C96" s="230" t="s">
        <v>570</v>
      </c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9"/>
      <c r="Q96" s="23"/>
      <c r="R96" s="230" t="s">
        <v>558</v>
      </c>
      <c r="S96" s="228"/>
      <c r="T96" s="228"/>
      <c r="U96" s="228"/>
      <c r="V96" s="228"/>
      <c r="W96" s="228"/>
      <c r="X96" s="228"/>
      <c r="Y96" s="228"/>
      <c r="Z96" s="229"/>
      <c r="AA96" s="23"/>
      <c r="AB96" s="201" t="s">
        <v>555</v>
      </c>
      <c r="AC96" s="202"/>
      <c r="AD96" s="202"/>
      <c r="AE96" s="202"/>
      <c r="AF96" s="202"/>
      <c r="AG96" s="202"/>
      <c r="AH96" s="202"/>
      <c r="AI96" s="202"/>
      <c r="AJ96" s="203"/>
      <c r="AK96" s="23"/>
      <c r="AL96" s="23"/>
      <c r="AN96" s="57"/>
      <c r="AP96" s="23"/>
      <c r="AS96" s="23"/>
      <c r="AT96" s="23"/>
      <c r="AU96" s="23"/>
      <c r="AV96" s="23"/>
      <c r="AW96" s="23"/>
      <c r="AX96" s="23"/>
      <c r="AY96" s="23"/>
      <c r="AZ96" s="23"/>
      <c r="BA96" s="14"/>
      <c r="BB96"/>
      <c r="BF96" s="13"/>
      <c r="BH96" s="19"/>
      <c r="BI96" s="20"/>
      <c r="BJ96" s="21"/>
    </row>
    <row r="97" spans="2:62" ht="15" x14ac:dyDescent="0.25">
      <c r="B97" s="12"/>
      <c r="C97" s="23"/>
      <c r="D97" s="23"/>
      <c r="E97" s="23"/>
      <c r="F97" s="23"/>
      <c r="G97" s="23"/>
      <c r="H97" s="23"/>
      <c r="I97" s="23"/>
      <c r="J97" s="23"/>
      <c r="K97" s="23"/>
      <c r="L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14"/>
      <c r="BF97" s="13"/>
      <c r="BH97" s="19"/>
      <c r="BI97" s="20"/>
      <c r="BJ97" s="21"/>
    </row>
    <row r="98" spans="2:62" ht="14.45" customHeight="1" x14ac:dyDescent="0.25">
      <c r="B98" s="12"/>
      <c r="C98" s="243" t="s">
        <v>354</v>
      </c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/>
      <c r="AX98" s="243"/>
      <c r="AY98" s="243"/>
      <c r="AZ98" s="243"/>
      <c r="BA98" s="243"/>
      <c r="BB98" s="243"/>
      <c r="BC98" s="243"/>
      <c r="BD98" s="243"/>
      <c r="BE98" s="243"/>
      <c r="BF98" s="13"/>
      <c r="BH98" s="19"/>
      <c r="BI98" s="20"/>
      <c r="BJ98" s="21"/>
    </row>
    <row r="99" spans="2:62" ht="15" x14ac:dyDescent="0.25">
      <c r="B99" s="12"/>
      <c r="C99" s="23"/>
      <c r="D99" s="23"/>
      <c r="E99" s="23"/>
      <c r="F99" s="23"/>
      <c r="G99" s="23"/>
      <c r="H99" s="23"/>
      <c r="I99" s="23"/>
      <c r="J99" s="23"/>
      <c r="K99" s="23"/>
      <c r="L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14"/>
      <c r="BF99" s="13"/>
      <c r="BH99" s="19"/>
      <c r="BI99" s="20"/>
      <c r="BJ99" s="21"/>
    </row>
    <row r="100" spans="2:62" ht="15" x14ac:dyDescent="0.25">
      <c r="B100" s="12"/>
      <c r="C100" s="57" t="s">
        <v>357</v>
      </c>
      <c r="D100" s="23"/>
      <c r="E100" s="23"/>
      <c r="F100" s="23"/>
      <c r="G100" s="23"/>
      <c r="H100" s="23"/>
      <c r="I100" s="23"/>
      <c r="J100" s="23"/>
      <c r="K100" s="23"/>
      <c r="L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14"/>
      <c r="BF100" s="13"/>
      <c r="BH100" s="19"/>
      <c r="BI100" s="20"/>
      <c r="BJ100" s="21"/>
    </row>
    <row r="101" spans="2:62" ht="15" x14ac:dyDescent="0.25">
      <c r="B101" s="12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34"/>
      <c r="BD101" s="34"/>
      <c r="BE101" s="35"/>
      <c r="BF101" s="13"/>
      <c r="BH101" s="19"/>
      <c r="BI101" s="20"/>
      <c r="BJ101" s="21"/>
    </row>
    <row r="102" spans="2:62" ht="15" x14ac:dyDescent="0.25">
      <c r="B102" s="12"/>
      <c r="C102" s="26"/>
      <c r="D102" s="85"/>
      <c r="E102" s="86" t="s">
        <v>355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59" t="s">
        <v>358</v>
      </c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  <c r="BD102" s="261"/>
      <c r="BE102" s="42"/>
      <c r="BF102" s="13"/>
      <c r="BH102" s="19"/>
      <c r="BI102" s="20"/>
      <c r="BJ102" s="21"/>
    </row>
    <row r="103" spans="2:62" ht="15" x14ac:dyDescent="0.25">
      <c r="B103" s="12"/>
      <c r="C103" s="26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14"/>
      <c r="BD103" s="14"/>
      <c r="BE103" s="42"/>
      <c r="BF103" s="13"/>
      <c r="BH103" s="19"/>
      <c r="BI103" s="20"/>
      <c r="BJ103" s="21"/>
    </row>
    <row r="104" spans="2:62" ht="15" x14ac:dyDescent="0.25">
      <c r="B104" s="12"/>
      <c r="C104" s="26"/>
      <c r="D104" s="85"/>
      <c r="E104" s="86" t="s">
        <v>356</v>
      </c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59" t="s">
        <v>503</v>
      </c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0"/>
      <c r="AZ104" s="260"/>
      <c r="BA104" s="260"/>
      <c r="BB104" s="260"/>
      <c r="BC104" s="260"/>
      <c r="BD104" s="261"/>
      <c r="BE104" s="42"/>
      <c r="BF104" s="13"/>
      <c r="BH104" s="19"/>
      <c r="BI104" s="20"/>
      <c r="BJ104" s="21"/>
    </row>
    <row r="105" spans="2:62" ht="15" x14ac:dyDescent="0.25">
      <c r="B105" s="12"/>
      <c r="C105" s="29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1"/>
      <c r="BD105" s="31"/>
      <c r="BE105" s="32"/>
      <c r="BF105" s="13"/>
      <c r="BH105" s="19"/>
      <c r="BI105" s="20"/>
      <c r="BJ105" s="21"/>
    </row>
    <row r="106" spans="2:62" ht="15" x14ac:dyDescent="0.25">
      <c r="B106" s="1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14"/>
      <c r="BF106" s="13"/>
      <c r="BH106" s="19"/>
      <c r="BI106" s="20"/>
      <c r="BJ106" s="21"/>
    </row>
    <row r="107" spans="2:62" ht="15" x14ac:dyDescent="0.25">
      <c r="B107" s="12"/>
      <c r="C107" s="57" t="s">
        <v>359</v>
      </c>
      <c r="D107" s="23"/>
      <c r="E107" s="23"/>
      <c r="F107" s="23"/>
      <c r="G107" s="23"/>
      <c r="H107" s="23"/>
      <c r="I107" s="23"/>
      <c r="J107" s="23"/>
      <c r="K107" s="23"/>
      <c r="L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14"/>
      <c r="BF107" s="13"/>
      <c r="BH107" s="19"/>
      <c r="BI107" s="20"/>
      <c r="BJ107" s="21"/>
    </row>
    <row r="108" spans="2:62" ht="5.0999999999999996" customHeight="1" x14ac:dyDescent="0.25">
      <c r="B108" s="12"/>
      <c r="C108" s="24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34"/>
      <c r="BD108" s="34"/>
      <c r="BE108" s="35"/>
      <c r="BF108" s="13"/>
      <c r="BH108" s="19"/>
      <c r="BI108" s="20"/>
      <c r="BJ108" s="21"/>
    </row>
    <row r="109" spans="2:62" ht="15" x14ac:dyDescent="0.25">
      <c r="B109" s="12"/>
      <c r="C109" s="26"/>
      <c r="D109" s="89" t="s">
        <v>361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14"/>
      <c r="BD109" s="14"/>
      <c r="BE109" s="42"/>
      <c r="BF109" s="13"/>
      <c r="BH109" s="19"/>
      <c r="BI109" s="20"/>
      <c r="BJ109" s="21"/>
    </row>
    <row r="110" spans="2:62" ht="15" x14ac:dyDescent="0.25">
      <c r="B110" s="12"/>
      <c r="C110" s="26"/>
      <c r="D110" s="204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6"/>
      <c r="BE110" s="42"/>
      <c r="BF110" s="13"/>
      <c r="BH110" s="19"/>
      <c r="BI110" s="20"/>
      <c r="BJ110" s="21"/>
    </row>
    <row r="111" spans="2:62" ht="15" x14ac:dyDescent="0.25">
      <c r="B111" s="12"/>
      <c r="C111" s="26"/>
      <c r="D111" s="207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  <c r="AZ111" s="208"/>
      <c r="BA111" s="208"/>
      <c r="BB111" s="208"/>
      <c r="BC111" s="208"/>
      <c r="BD111" s="209"/>
      <c r="BE111" s="42"/>
      <c r="BF111" s="13"/>
      <c r="BH111" s="19"/>
      <c r="BI111" s="20"/>
      <c r="BJ111" s="21"/>
    </row>
    <row r="112" spans="2:62" ht="15" x14ac:dyDescent="0.25">
      <c r="B112" s="12"/>
      <c r="C112" s="26"/>
      <c r="D112" s="207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9"/>
      <c r="BE112" s="42"/>
      <c r="BF112" s="13"/>
      <c r="BH112" s="19"/>
      <c r="BI112" s="20"/>
      <c r="BJ112" s="21"/>
    </row>
    <row r="113" spans="2:62" ht="15" x14ac:dyDescent="0.25">
      <c r="B113" s="12"/>
      <c r="C113" s="26"/>
      <c r="D113" s="207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9"/>
      <c r="BE113" s="42"/>
      <c r="BF113" s="13"/>
      <c r="BH113" s="19"/>
      <c r="BI113" s="20"/>
      <c r="BJ113" s="21"/>
    </row>
    <row r="114" spans="2:62" ht="15" x14ac:dyDescent="0.25">
      <c r="B114" s="12"/>
      <c r="C114" s="26"/>
      <c r="D114" s="210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2"/>
      <c r="BE114" s="42"/>
      <c r="BF114" s="13"/>
      <c r="BH114" s="19"/>
      <c r="BI114" s="20"/>
      <c r="BJ114" s="21"/>
    </row>
    <row r="115" spans="2:62" ht="9.9499999999999993" customHeight="1" x14ac:dyDescent="0.25">
      <c r="B115" s="12"/>
      <c r="C115" s="29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1"/>
      <c r="BD115" s="31"/>
      <c r="BE115" s="32"/>
      <c r="BF115" s="13"/>
      <c r="BH115" s="19"/>
      <c r="BI115" s="20"/>
      <c r="BJ115" s="21"/>
    </row>
    <row r="116" spans="2:62" ht="15" x14ac:dyDescent="0.25">
      <c r="B116" s="1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14"/>
      <c r="BF116" s="13"/>
      <c r="BH116" s="19"/>
      <c r="BI116" s="20"/>
      <c r="BJ116" s="21"/>
    </row>
    <row r="117" spans="2:62" ht="15.75" x14ac:dyDescent="0.25">
      <c r="B117" s="12"/>
      <c r="C117" s="81" t="s">
        <v>273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14"/>
      <c r="BD117" s="14"/>
      <c r="BE117" s="14"/>
      <c r="BF117" s="13"/>
    </row>
    <row r="118" spans="2:62" ht="15" x14ac:dyDescent="0.25">
      <c r="B118" s="1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14"/>
      <c r="BD118" s="14"/>
      <c r="BE118" s="14"/>
      <c r="BF118" s="13"/>
    </row>
    <row r="119" spans="2:62" s="46" customFormat="1" ht="26.1" customHeight="1" x14ac:dyDescent="0.25">
      <c r="B119" s="45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AD119" s="197" t="s">
        <v>39</v>
      </c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  <c r="AS119" s="199"/>
      <c r="AT119" s="197" t="s">
        <v>40</v>
      </c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99"/>
      <c r="BF119" s="47"/>
      <c r="BH119" s="43"/>
      <c r="BI119" s="44"/>
      <c r="BJ119" s="44"/>
    </row>
    <row r="120" spans="2:62" ht="26.1" customHeight="1" x14ac:dyDescent="0.25">
      <c r="B120" s="12"/>
      <c r="C120" s="197" t="s">
        <v>41</v>
      </c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9"/>
      <c r="AD120" s="191" t="s">
        <v>642</v>
      </c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3"/>
      <c r="AT120" s="194">
        <v>45222</v>
      </c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6"/>
      <c r="BF120" s="13"/>
    </row>
    <row r="121" spans="2:62" ht="5.0999999999999996" customHeight="1" x14ac:dyDescent="0.25">
      <c r="B121" s="45"/>
      <c r="C121" s="163" t="s">
        <v>498</v>
      </c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5"/>
      <c r="W121" s="24"/>
      <c r="X121" s="25"/>
      <c r="Y121" s="25"/>
      <c r="Z121" s="25"/>
      <c r="AA121" s="25"/>
      <c r="AB121" s="25"/>
      <c r="AC121" s="33"/>
      <c r="AD121" s="181" t="s">
        <v>643</v>
      </c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3"/>
      <c r="AT121" s="190">
        <v>45222</v>
      </c>
      <c r="AU121" s="182"/>
      <c r="AV121" s="182"/>
      <c r="AW121" s="182"/>
      <c r="AX121" s="182"/>
      <c r="AY121" s="182"/>
      <c r="AZ121" s="182"/>
      <c r="BA121" s="182"/>
      <c r="BB121" s="182"/>
      <c r="BC121" s="182"/>
      <c r="BD121" s="182"/>
      <c r="BE121" s="183"/>
      <c r="BF121" s="13"/>
    </row>
    <row r="122" spans="2:62" ht="15.95" customHeight="1" x14ac:dyDescent="0.25">
      <c r="B122" s="12"/>
      <c r="C122" s="166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8"/>
      <c r="W122" s="26"/>
      <c r="X122" s="85" t="s">
        <v>564</v>
      </c>
      <c r="Y122" s="53" t="s">
        <v>501</v>
      </c>
      <c r="Z122" s="23"/>
      <c r="AA122" s="85"/>
      <c r="AB122" s="53" t="s">
        <v>502</v>
      </c>
      <c r="AC122" s="87"/>
      <c r="AD122" s="184"/>
      <c r="AE122" s="185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6"/>
      <c r="AT122" s="184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6"/>
      <c r="BF122" s="13"/>
    </row>
    <row r="123" spans="2:62" ht="5.0999999999999996" customHeight="1" x14ac:dyDescent="0.25">
      <c r="B123" s="12"/>
      <c r="C123" s="169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1"/>
      <c r="W123" s="29"/>
      <c r="X123" s="30"/>
      <c r="Y123" s="30"/>
      <c r="Z123" s="30"/>
      <c r="AA123" s="30"/>
      <c r="AB123" s="30"/>
      <c r="AC123" s="88"/>
      <c r="AD123" s="187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9"/>
      <c r="AT123" s="187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E123" s="189"/>
      <c r="BF123" s="13"/>
    </row>
    <row r="124" spans="2:62" ht="5.0999999999999996" customHeight="1" x14ac:dyDescent="0.25">
      <c r="B124" s="45"/>
      <c r="C124" s="163" t="s">
        <v>499</v>
      </c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5"/>
      <c r="W124" s="24"/>
      <c r="X124" s="25"/>
      <c r="Y124" s="25"/>
      <c r="Z124" s="25"/>
      <c r="AA124" s="25"/>
      <c r="AB124" s="25"/>
      <c r="AC124" s="33"/>
      <c r="AD124" s="172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4"/>
      <c r="AT124" s="172"/>
      <c r="AU124" s="173"/>
      <c r="AV124" s="173"/>
      <c r="AW124" s="173"/>
      <c r="AX124" s="173"/>
      <c r="AY124" s="173"/>
      <c r="AZ124" s="173"/>
      <c r="BA124" s="173"/>
      <c r="BB124" s="173"/>
      <c r="BC124" s="173"/>
      <c r="BD124" s="173"/>
      <c r="BE124" s="174"/>
      <c r="BF124" s="13"/>
    </row>
    <row r="125" spans="2:62" ht="15.95" customHeight="1" x14ac:dyDescent="0.25">
      <c r="B125" s="12"/>
      <c r="C125" s="166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8"/>
      <c r="W125" s="26"/>
      <c r="X125" s="85"/>
      <c r="Y125" s="53" t="s">
        <v>501</v>
      </c>
      <c r="Z125" s="23"/>
      <c r="AA125" s="85" t="s">
        <v>564</v>
      </c>
      <c r="AB125" s="53" t="s">
        <v>502</v>
      </c>
      <c r="AC125" s="87"/>
      <c r="AD125" s="175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175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7"/>
      <c r="BF125" s="13"/>
    </row>
    <row r="126" spans="2:62" ht="5.0999999999999996" customHeight="1" x14ac:dyDescent="0.25">
      <c r="B126" s="12"/>
      <c r="C126" s="169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1"/>
      <c r="W126" s="29"/>
      <c r="X126" s="30"/>
      <c r="Y126" s="30"/>
      <c r="Z126" s="30"/>
      <c r="AA126" s="30"/>
      <c r="AB126" s="30"/>
      <c r="AC126" s="88"/>
      <c r="AD126" s="178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80"/>
      <c r="AT126" s="178"/>
      <c r="AU126" s="179"/>
      <c r="AV126" s="179"/>
      <c r="AW126" s="179"/>
      <c r="AX126" s="179"/>
      <c r="AY126" s="179"/>
      <c r="AZ126" s="179"/>
      <c r="BA126" s="179"/>
      <c r="BB126" s="179"/>
      <c r="BC126" s="179"/>
      <c r="BD126" s="179"/>
      <c r="BE126" s="180"/>
      <c r="BF126" s="13"/>
    </row>
    <row r="127" spans="2:62" ht="5.0999999999999996" customHeight="1" x14ac:dyDescent="0.25">
      <c r="B127" s="45"/>
      <c r="C127" s="163" t="s">
        <v>500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5"/>
      <c r="W127" s="24"/>
      <c r="X127" s="25"/>
      <c r="Y127" s="25"/>
      <c r="Z127" s="25"/>
      <c r="AA127" s="25"/>
      <c r="AB127" s="25"/>
      <c r="AC127" s="33"/>
      <c r="AD127" s="172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4"/>
      <c r="AT127" s="172"/>
      <c r="AU127" s="173"/>
      <c r="AV127" s="173"/>
      <c r="AW127" s="173"/>
      <c r="AX127" s="173"/>
      <c r="AY127" s="173"/>
      <c r="AZ127" s="173"/>
      <c r="BA127" s="173"/>
      <c r="BB127" s="173"/>
      <c r="BC127" s="173"/>
      <c r="BD127" s="173"/>
      <c r="BE127" s="174"/>
      <c r="BF127" s="13"/>
    </row>
    <row r="128" spans="2:62" ht="15.95" customHeight="1" x14ac:dyDescent="0.25">
      <c r="B128" s="12"/>
      <c r="C128" s="166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8"/>
      <c r="W128" s="26"/>
      <c r="X128" s="85"/>
      <c r="Y128" s="53" t="s">
        <v>501</v>
      </c>
      <c r="Z128" s="23"/>
      <c r="AA128" s="85" t="s">
        <v>564</v>
      </c>
      <c r="AB128" s="53" t="s">
        <v>502</v>
      </c>
      <c r="AC128" s="87"/>
      <c r="AD128" s="175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175"/>
      <c r="AU128" s="176"/>
      <c r="AV128" s="176"/>
      <c r="AW128" s="176"/>
      <c r="AX128" s="176"/>
      <c r="AY128" s="176"/>
      <c r="AZ128" s="176"/>
      <c r="BA128" s="176"/>
      <c r="BB128" s="176"/>
      <c r="BC128" s="176"/>
      <c r="BD128" s="176"/>
      <c r="BE128" s="177"/>
      <c r="BF128" s="13"/>
    </row>
    <row r="129" spans="2:62" ht="5.0999999999999996" customHeight="1" x14ac:dyDescent="0.25">
      <c r="B129" s="12"/>
      <c r="C129" s="169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1"/>
      <c r="W129" s="29"/>
      <c r="X129" s="30"/>
      <c r="Y129" s="30"/>
      <c r="Z129" s="30"/>
      <c r="AA129" s="30"/>
      <c r="AB129" s="30"/>
      <c r="AC129" s="88"/>
      <c r="AD129" s="178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80"/>
      <c r="AT129" s="178"/>
      <c r="AU129" s="179"/>
      <c r="AV129" s="179"/>
      <c r="AW129" s="179"/>
      <c r="AX129" s="179"/>
      <c r="AY129" s="179"/>
      <c r="AZ129" s="179"/>
      <c r="BA129" s="179"/>
      <c r="BB129" s="179"/>
      <c r="BC129" s="179"/>
      <c r="BD129" s="179"/>
      <c r="BE129" s="180"/>
      <c r="BF129" s="13"/>
    </row>
    <row r="130" spans="2:62" ht="15.75" thickBot="1" x14ac:dyDescent="0.3"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50"/>
      <c r="BD130" s="50"/>
      <c r="BE130" s="50"/>
      <c r="BF130" s="51"/>
      <c r="BH130"/>
      <c r="BI130"/>
      <c r="BJ130"/>
    </row>
    <row r="131" spans="2:62" ht="15.75" thickTop="1" x14ac:dyDescent="0.2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2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2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2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2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2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2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2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2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2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2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2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2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2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2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2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2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2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2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2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2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2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2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2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2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2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2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2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2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2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25"/>
    <row r="162" customFormat="1" ht="15" hidden="1" customHeight="1" x14ac:dyDescent="0.25"/>
    <row r="163" customFormat="1" ht="15" hidden="1" customHeight="1" x14ac:dyDescent="0.25"/>
    <row r="164" customFormat="1" ht="15" hidden="1" customHeight="1" x14ac:dyDescent="0.25"/>
    <row r="165" customFormat="1" ht="15" hidden="1" customHeight="1" x14ac:dyDescent="0.25"/>
    <row r="166" customFormat="1" ht="15" hidden="1" customHeight="1" x14ac:dyDescent="0.25"/>
    <row r="167" customFormat="1" ht="15" hidden="1" customHeight="1" x14ac:dyDescent="0.25"/>
    <row r="168" customFormat="1" ht="15" hidden="1" customHeight="1" x14ac:dyDescent="0.25"/>
    <row r="169" customFormat="1" ht="15" hidden="1" customHeight="1" x14ac:dyDescent="0.25"/>
    <row r="170" customFormat="1" ht="15" hidden="1" customHeight="1" x14ac:dyDescent="0.25"/>
    <row r="171" customFormat="1" ht="15" hidden="1" customHeight="1" x14ac:dyDescent="0.25"/>
    <row r="172" customFormat="1" ht="15" hidden="1" customHeight="1" x14ac:dyDescent="0.25"/>
    <row r="173" customFormat="1" ht="15" hidden="1" customHeight="1" x14ac:dyDescent="0.25"/>
    <row r="174" customFormat="1" ht="15" hidden="1" customHeight="1" x14ac:dyDescent="0.25"/>
    <row r="175" customFormat="1" ht="15" hidden="1" customHeight="1" x14ac:dyDescent="0.25"/>
    <row r="176" customFormat="1" ht="15" hidden="1" customHeight="1" x14ac:dyDescent="0.25"/>
    <row r="177" customFormat="1" ht="15" hidden="1" customHeight="1" x14ac:dyDescent="0.25"/>
    <row r="178" customFormat="1" ht="15" hidden="1" customHeight="1" x14ac:dyDescent="0.25"/>
    <row r="179" customFormat="1" ht="15" hidden="1" customHeight="1" x14ac:dyDescent="0.25"/>
    <row r="180" customFormat="1" ht="15" hidden="1" customHeight="1" x14ac:dyDescent="0.25"/>
    <row r="181" customFormat="1" ht="15" hidden="1" customHeight="1" x14ac:dyDescent="0.25"/>
    <row r="182" customFormat="1" ht="15" hidden="1" customHeight="1" x14ac:dyDescent="0.25"/>
    <row r="183" customFormat="1" ht="15" hidden="1" customHeight="1" x14ac:dyDescent="0.25"/>
    <row r="184" customFormat="1" ht="15" hidden="1" customHeight="1" x14ac:dyDescent="0.25"/>
    <row r="185" customFormat="1" ht="15" hidden="1" customHeight="1" x14ac:dyDescent="0.25"/>
    <row r="186" customFormat="1" ht="15" hidden="1" customHeight="1" x14ac:dyDescent="0.25"/>
    <row r="187" customFormat="1" ht="15" hidden="1" customHeight="1" x14ac:dyDescent="0.25"/>
    <row r="188" customFormat="1" ht="15" hidden="1" customHeight="1" x14ac:dyDescent="0.25"/>
    <row r="189" customFormat="1" ht="15" hidden="1" customHeight="1" x14ac:dyDescent="0.25"/>
    <row r="190" customFormat="1" ht="15" hidden="1" customHeight="1" x14ac:dyDescent="0.25"/>
    <row r="191" customFormat="1" ht="15" hidden="1" customHeight="1" x14ac:dyDescent="0.25"/>
    <row r="192" customFormat="1" ht="15" hidden="1" customHeight="1" x14ac:dyDescent="0.25"/>
    <row r="193" customFormat="1" ht="15" hidden="1" customHeight="1" x14ac:dyDescent="0.25"/>
    <row r="194" customFormat="1" ht="15" hidden="1" customHeight="1" x14ac:dyDescent="0.25"/>
    <row r="195" customFormat="1" ht="15" hidden="1" customHeight="1" x14ac:dyDescent="0.25"/>
    <row r="196" customFormat="1" ht="15" hidden="1" customHeight="1" x14ac:dyDescent="0.25"/>
    <row r="197" customFormat="1" ht="15" hidden="1" customHeight="1" x14ac:dyDescent="0.25"/>
    <row r="198" customFormat="1" ht="15" hidden="1" customHeight="1" x14ac:dyDescent="0.25"/>
    <row r="199" customFormat="1" ht="15" hidden="1" customHeight="1" x14ac:dyDescent="0.25"/>
    <row r="200" customFormat="1" ht="15" hidden="1" customHeight="1" x14ac:dyDescent="0.25"/>
    <row r="201" customFormat="1" ht="15" hidden="1" customHeight="1" x14ac:dyDescent="0.25"/>
    <row r="202" customFormat="1" ht="15" hidden="1" customHeight="1" x14ac:dyDescent="0.25"/>
    <row r="203" customFormat="1" ht="15" hidden="1" customHeight="1" x14ac:dyDescent="0.25"/>
    <row r="204" customFormat="1" ht="15" hidden="1" customHeight="1" x14ac:dyDescent="0.25"/>
    <row r="205" customFormat="1" ht="15" hidden="1" customHeight="1" x14ac:dyDescent="0.25"/>
    <row r="206" customFormat="1" ht="15" hidden="1" customHeight="1" x14ac:dyDescent="0.25"/>
    <row r="207" customFormat="1" ht="15" hidden="1" customHeight="1" x14ac:dyDescent="0.25"/>
    <row r="208" customFormat="1" ht="15" hidden="1" customHeight="1" x14ac:dyDescent="0.25"/>
    <row r="209" customFormat="1" ht="15" hidden="1" customHeight="1" x14ac:dyDescent="0.25"/>
    <row r="210" customFormat="1" ht="15" hidden="1" customHeight="1" x14ac:dyDescent="0.25"/>
    <row r="211" customFormat="1" ht="15" hidden="1" customHeight="1" x14ac:dyDescent="0.25"/>
    <row r="212" customFormat="1" ht="15" hidden="1" customHeight="1" x14ac:dyDescent="0.25"/>
    <row r="213" customFormat="1" ht="15" hidden="1" customHeight="1" x14ac:dyDescent="0.25"/>
    <row r="214" customFormat="1" ht="15" hidden="1" customHeight="1" x14ac:dyDescent="0.25"/>
    <row r="215" customFormat="1" ht="15" hidden="1" customHeight="1" x14ac:dyDescent="0.25"/>
    <row r="216" customFormat="1" ht="15" hidden="1" customHeight="1" x14ac:dyDescent="0.25"/>
    <row r="217" customFormat="1" ht="15" hidden="1" customHeight="1" x14ac:dyDescent="0.25"/>
    <row r="218" customFormat="1" ht="15" hidden="1" customHeight="1" x14ac:dyDescent="0.25"/>
    <row r="219" customFormat="1" ht="15" hidden="1" customHeight="1" x14ac:dyDescent="0.25"/>
    <row r="220" customFormat="1" ht="15" hidden="1" customHeight="1" x14ac:dyDescent="0.25"/>
    <row r="221" customFormat="1" ht="15" hidden="1" customHeight="1" x14ac:dyDescent="0.25"/>
    <row r="222" customFormat="1" ht="15" hidden="1" customHeight="1" x14ac:dyDescent="0.25"/>
    <row r="223" customFormat="1" ht="15" hidden="1" customHeight="1" x14ac:dyDescent="0.25"/>
    <row r="224" customFormat="1" ht="15" hidden="1" customHeight="1" x14ac:dyDescent="0.25"/>
    <row r="225" customFormat="1" ht="15" hidden="1" customHeight="1" x14ac:dyDescent="0.25"/>
    <row r="226" customFormat="1" ht="15" hidden="1" customHeight="1" x14ac:dyDescent="0.25"/>
    <row r="227" customFormat="1" ht="15" hidden="1" customHeight="1" x14ac:dyDescent="0.25"/>
    <row r="228" customFormat="1" ht="15" hidden="1" customHeight="1" x14ac:dyDescent="0.25"/>
    <row r="229" customFormat="1" ht="15" hidden="1" customHeight="1" x14ac:dyDescent="0.25"/>
    <row r="230" customFormat="1" ht="15" hidden="1" customHeight="1" x14ac:dyDescent="0.25"/>
    <row r="231" customFormat="1" ht="15" hidden="1" customHeight="1" x14ac:dyDescent="0.25"/>
    <row r="232" customFormat="1" ht="15" hidden="1" customHeight="1" x14ac:dyDescent="0.25"/>
    <row r="233" customFormat="1" ht="15" hidden="1" customHeight="1" x14ac:dyDescent="0.25"/>
    <row r="234" customFormat="1" ht="15" hidden="1" customHeight="1" x14ac:dyDescent="0.25"/>
    <row r="235" customFormat="1" ht="15" hidden="1" customHeight="1" x14ac:dyDescent="0.25"/>
    <row r="236" customFormat="1" ht="15" hidden="1" customHeight="1" x14ac:dyDescent="0.25"/>
    <row r="237" customFormat="1" ht="15" hidden="1" customHeight="1" x14ac:dyDescent="0.25"/>
    <row r="238" customFormat="1" ht="15" hidden="1" customHeight="1" x14ac:dyDescent="0.25"/>
    <row r="239" customFormat="1" ht="15" hidden="1" customHeight="1" x14ac:dyDescent="0.25"/>
    <row r="240" customFormat="1" ht="15" hidden="1" customHeight="1" x14ac:dyDescent="0.25"/>
    <row r="241" customFormat="1" ht="15" hidden="1" customHeight="1" x14ac:dyDescent="0.25"/>
    <row r="242" customFormat="1" ht="15" hidden="1" customHeight="1" x14ac:dyDescent="0.25"/>
    <row r="243" customFormat="1" ht="15" hidden="1" customHeight="1" x14ac:dyDescent="0.25"/>
    <row r="244" customFormat="1" ht="15" hidden="1" customHeight="1" x14ac:dyDescent="0.25"/>
    <row r="245" customFormat="1" ht="15" hidden="1" customHeight="1" x14ac:dyDescent="0.25"/>
    <row r="246" customFormat="1" ht="15" hidden="1" customHeight="1" x14ac:dyDescent="0.25"/>
    <row r="247" customFormat="1" ht="15" hidden="1" customHeight="1" x14ac:dyDescent="0.25"/>
    <row r="248" customFormat="1" ht="15" hidden="1" customHeight="1" x14ac:dyDescent="0.25"/>
    <row r="249" customFormat="1" ht="15" hidden="1" customHeight="1" x14ac:dyDescent="0.25"/>
    <row r="250" customFormat="1" ht="15" hidden="1" customHeight="1" x14ac:dyDescent="0.25"/>
    <row r="251" customFormat="1" ht="15" hidden="1" customHeight="1" x14ac:dyDescent="0.25"/>
    <row r="252" customFormat="1" ht="15" hidden="1" customHeight="1" x14ac:dyDescent="0.25"/>
    <row r="253" customFormat="1" ht="15" hidden="1" customHeight="1" x14ac:dyDescent="0.25"/>
    <row r="254" customFormat="1" ht="15" hidden="1" customHeight="1" x14ac:dyDescent="0.25"/>
    <row r="255" customFormat="1" ht="15" hidden="1" customHeight="1" x14ac:dyDescent="0.25"/>
    <row r="256" customFormat="1" ht="15" hidden="1" customHeight="1" x14ac:dyDescent="0.25"/>
    <row r="257" customFormat="1" ht="15" hidden="1" customHeight="1" x14ac:dyDescent="0.25"/>
    <row r="258" customFormat="1" ht="15" hidden="1" customHeight="1" x14ac:dyDescent="0.25"/>
    <row r="259" customFormat="1" ht="15" hidden="1" customHeight="1" x14ac:dyDescent="0.25"/>
    <row r="260" customFormat="1" ht="15" hidden="1" customHeight="1" x14ac:dyDescent="0.25"/>
    <row r="261" customFormat="1" ht="15" hidden="1" customHeight="1" x14ac:dyDescent="0.25"/>
    <row r="262" customFormat="1" ht="15" hidden="1" customHeight="1" x14ac:dyDescent="0.25"/>
    <row r="263" customFormat="1" ht="15" hidden="1" customHeight="1" x14ac:dyDescent="0.25"/>
    <row r="264" customFormat="1" ht="15" hidden="1" customHeight="1" x14ac:dyDescent="0.25"/>
    <row r="265" customFormat="1" ht="15" hidden="1" customHeight="1" x14ac:dyDescent="0.25"/>
    <row r="266" customFormat="1" ht="15" hidden="1" customHeight="1" x14ac:dyDescent="0.25"/>
    <row r="267" customFormat="1" ht="15" hidden="1" customHeight="1" x14ac:dyDescent="0.25"/>
    <row r="268" customFormat="1" ht="15" hidden="1" customHeight="1" x14ac:dyDescent="0.25"/>
    <row r="269" customFormat="1" ht="15" hidden="1" customHeight="1" x14ac:dyDescent="0.25"/>
    <row r="270" customFormat="1" ht="15" hidden="1" customHeight="1" x14ac:dyDescent="0.25"/>
    <row r="271" customFormat="1" ht="15" hidden="1" customHeight="1" x14ac:dyDescent="0.25"/>
    <row r="272" customFormat="1" ht="15" hidden="1" customHeight="1" x14ac:dyDescent="0.25"/>
    <row r="273" customFormat="1" ht="15" hidden="1" customHeight="1" x14ac:dyDescent="0.25"/>
    <row r="274" customFormat="1" ht="15" hidden="1" customHeight="1" x14ac:dyDescent="0.25"/>
    <row r="275" customFormat="1" ht="15" hidden="1" customHeight="1" x14ac:dyDescent="0.25"/>
    <row r="276" customFormat="1" ht="15" hidden="1" customHeight="1" x14ac:dyDescent="0.25"/>
    <row r="277" customFormat="1" ht="15" hidden="1" customHeight="1" x14ac:dyDescent="0.25"/>
    <row r="278" customFormat="1" ht="15" hidden="1" customHeight="1" x14ac:dyDescent="0.25"/>
    <row r="279" customFormat="1" ht="15" hidden="1" customHeight="1" x14ac:dyDescent="0.25"/>
    <row r="280" customFormat="1" ht="15" hidden="1" customHeight="1" x14ac:dyDescent="0.25"/>
    <row r="281" customFormat="1" ht="15" hidden="1" customHeight="1" x14ac:dyDescent="0.25"/>
    <row r="282" customFormat="1" ht="15" hidden="1" customHeight="1" x14ac:dyDescent="0.25"/>
    <row r="283" customFormat="1" ht="15" hidden="1" customHeight="1" x14ac:dyDescent="0.25"/>
    <row r="284" customFormat="1" ht="15" hidden="1" customHeight="1" x14ac:dyDescent="0.25"/>
    <row r="285" customFormat="1" ht="15" hidden="1" customHeight="1" x14ac:dyDescent="0.25"/>
    <row r="286" customFormat="1" ht="15" hidden="1" customHeight="1" x14ac:dyDescent="0.25"/>
    <row r="287" customFormat="1" ht="15" hidden="1" customHeight="1" x14ac:dyDescent="0.25"/>
    <row r="288" customFormat="1" ht="15" hidden="1" customHeight="1" x14ac:dyDescent="0.25"/>
    <row r="289" customFormat="1" ht="15" hidden="1" customHeight="1" x14ac:dyDescent="0.25"/>
    <row r="290" customFormat="1" ht="15" hidden="1" customHeight="1" x14ac:dyDescent="0.25"/>
    <row r="291" customFormat="1" ht="15" hidden="1" customHeight="1" x14ac:dyDescent="0.25"/>
    <row r="292" customFormat="1" ht="15" hidden="1" customHeight="1" x14ac:dyDescent="0.25"/>
    <row r="293" customFormat="1" ht="15" hidden="1" customHeight="1" x14ac:dyDescent="0.25"/>
    <row r="294" customFormat="1" ht="15" hidden="1" customHeight="1" x14ac:dyDescent="0.25"/>
    <row r="295" customFormat="1" ht="15" hidden="1" customHeight="1" x14ac:dyDescent="0.25"/>
    <row r="296" customFormat="1" ht="15" hidden="1" customHeight="1" x14ac:dyDescent="0.25"/>
    <row r="297" customFormat="1" ht="15" hidden="1" customHeight="1" x14ac:dyDescent="0.25"/>
    <row r="298" customFormat="1" ht="15" hidden="1" customHeight="1" x14ac:dyDescent="0.25"/>
    <row r="299" customFormat="1" ht="15" hidden="1" customHeight="1" x14ac:dyDescent="0.25"/>
    <row r="300" customFormat="1" ht="15" hidden="1" customHeight="1" x14ac:dyDescent="0.25"/>
    <row r="301" customFormat="1" ht="15" hidden="1" customHeight="1" x14ac:dyDescent="0.25"/>
    <row r="302" customFormat="1" ht="15" hidden="1" customHeight="1" x14ac:dyDescent="0.25"/>
    <row r="303" customFormat="1" ht="15" hidden="1" customHeight="1" x14ac:dyDescent="0.25"/>
    <row r="304" customFormat="1" ht="15" hidden="1" customHeight="1" x14ac:dyDescent="0.25"/>
    <row r="305" customFormat="1" ht="15" hidden="1" customHeight="1" x14ac:dyDescent="0.25"/>
    <row r="306" customFormat="1" ht="15" hidden="1" customHeight="1" x14ac:dyDescent="0.25"/>
    <row r="307" customFormat="1" ht="15" hidden="1" customHeight="1" x14ac:dyDescent="0.25"/>
    <row r="308" customFormat="1" ht="15" hidden="1" customHeight="1" x14ac:dyDescent="0.25"/>
    <row r="309" customFormat="1" ht="15" hidden="1" customHeight="1" x14ac:dyDescent="0.25"/>
    <row r="310" customFormat="1" ht="15" hidden="1" customHeight="1" x14ac:dyDescent="0.25"/>
    <row r="311" customFormat="1" ht="15" hidden="1" customHeight="1" x14ac:dyDescent="0.25"/>
    <row r="312" customFormat="1" ht="15" hidden="1" customHeight="1" x14ac:dyDescent="0.25"/>
    <row r="313" customFormat="1" ht="15" hidden="1" customHeight="1" x14ac:dyDescent="0.25"/>
    <row r="314" customFormat="1" ht="15" hidden="1" customHeight="1" x14ac:dyDescent="0.25"/>
    <row r="315" customFormat="1" ht="15" hidden="1" customHeight="1" x14ac:dyDescent="0.25"/>
    <row r="316" customFormat="1" ht="15" hidden="1" customHeight="1" x14ac:dyDescent="0.25"/>
    <row r="317" customFormat="1" ht="15" hidden="1" customHeight="1" x14ac:dyDescent="0.25"/>
    <row r="318" customFormat="1" ht="15" hidden="1" customHeight="1" x14ac:dyDescent="0.25"/>
    <row r="319" customFormat="1" ht="15" hidden="1" customHeight="1" x14ac:dyDescent="0.25"/>
    <row r="320" customFormat="1" ht="15" hidden="1" customHeight="1" x14ac:dyDescent="0.25"/>
    <row r="321" customFormat="1" ht="15" hidden="1" customHeight="1" x14ac:dyDescent="0.25"/>
    <row r="322" customFormat="1" ht="15" hidden="1" customHeight="1" x14ac:dyDescent="0.25"/>
    <row r="323" customFormat="1" ht="15" hidden="1" customHeight="1" x14ac:dyDescent="0.25"/>
    <row r="324" customFormat="1" ht="15" hidden="1" customHeight="1" x14ac:dyDescent="0.25"/>
    <row r="325" customFormat="1" ht="15" hidden="1" customHeight="1" x14ac:dyDescent="0.25"/>
    <row r="326" customFormat="1" ht="15" hidden="1" customHeight="1" x14ac:dyDescent="0.25"/>
    <row r="327" customFormat="1" ht="15" hidden="1" customHeight="1" x14ac:dyDescent="0.25"/>
    <row r="328" customFormat="1" ht="15" hidden="1" customHeight="1" x14ac:dyDescent="0.25"/>
    <row r="329" customFormat="1" ht="15" hidden="1" customHeight="1" x14ac:dyDescent="0.25"/>
    <row r="330" customFormat="1" ht="15" hidden="1" customHeight="1" x14ac:dyDescent="0.25"/>
    <row r="331" customFormat="1" ht="15" hidden="1" customHeight="1" x14ac:dyDescent="0.25"/>
    <row r="332" customFormat="1" ht="15" hidden="1" customHeight="1" x14ac:dyDescent="0.25"/>
    <row r="333" customFormat="1" ht="15" hidden="1" customHeight="1" x14ac:dyDescent="0.25"/>
    <row r="334" customFormat="1" ht="15" hidden="1" customHeight="1" x14ac:dyDescent="0.25"/>
    <row r="335" customFormat="1" ht="15" hidden="1" customHeight="1" x14ac:dyDescent="0.25"/>
    <row r="336" customFormat="1" ht="15" hidden="1" customHeight="1" x14ac:dyDescent="0.25"/>
    <row r="337" customFormat="1" ht="15" hidden="1" customHeight="1" x14ac:dyDescent="0.25"/>
    <row r="338" customFormat="1" ht="15" hidden="1" customHeight="1" x14ac:dyDescent="0.25"/>
    <row r="339" customFormat="1" ht="15" hidden="1" customHeight="1" x14ac:dyDescent="0.25"/>
    <row r="340" customFormat="1" ht="15" hidden="1" customHeight="1" x14ac:dyDescent="0.25"/>
    <row r="341" customFormat="1" ht="15" hidden="1" customHeight="1" x14ac:dyDescent="0.25"/>
    <row r="342" customFormat="1" ht="15" hidden="1" customHeight="1" x14ac:dyDescent="0.25"/>
    <row r="343" customFormat="1" ht="15" hidden="1" customHeight="1" x14ac:dyDescent="0.25"/>
    <row r="344" customFormat="1" ht="15" hidden="1" customHeight="1" x14ac:dyDescent="0.25"/>
    <row r="345" customFormat="1" ht="15" hidden="1" customHeight="1" x14ac:dyDescent="0.25"/>
    <row r="346" customFormat="1" ht="15" hidden="1" customHeight="1" x14ac:dyDescent="0.25"/>
    <row r="347" customFormat="1" ht="15" hidden="1" customHeight="1" x14ac:dyDescent="0.25"/>
    <row r="348" customFormat="1" ht="15" hidden="1" customHeight="1" x14ac:dyDescent="0.25"/>
    <row r="349" customFormat="1" ht="15" hidden="1" customHeight="1" x14ac:dyDescent="0.25"/>
    <row r="350" customFormat="1" ht="15" hidden="1" customHeight="1" x14ac:dyDescent="0.25"/>
    <row r="351" customFormat="1" ht="15" hidden="1" customHeight="1" x14ac:dyDescent="0.25"/>
    <row r="352" customFormat="1" ht="15" hidden="1" customHeight="1" x14ac:dyDescent="0.25"/>
    <row r="353" customFormat="1" ht="15" hidden="1" customHeight="1" x14ac:dyDescent="0.25"/>
    <row r="354" customFormat="1" ht="15" hidden="1" customHeight="1" x14ac:dyDescent="0.25"/>
    <row r="355" customFormat="1" ht="15" hidden="1" customHeight="1" x14ac:dyDescent="0.25"/>
    <row r="356" customFormat="1" ht="15" hidden="1" customHeight="1" x14ac:dyDescent="0.25"/>
    <row r="357" customFormat="1" ht="15" hidden="1" customHeight="1" x14ac:dyDescent="0.25"/>
    <row r="358" customFormat="1" ht="15" hidden="1" customHeight="1" x14ac:dyDescent="0.25"/>
    <row r="359" customFormat="1" ht="15" hidden="1" customHeight="1" x14ac:dyDescent="0.25"/>
    <row r="360" customFormat="1" ht="15" hidden="1" customHeight="1" x14ac:dyDescent="0.25"/>
    <row r="361" customFormat="1" ht="15" hidden="1" customHeight="1" x14ac:dyDescent="0.25"/>
    <row r="362" customFormat="1" ht="15" hidden="1" customHeight="1" x14ac:dyDescent="0.25"/>
    <row r="363" customFormat="1" ht="15" hidden="1" customHeight="1" x14ac:dyDescent="0.25"/>
    <row r="364" customFormat="1" ht="15" hidden="1" customHeight="1" x14ac:dyDescent="0.25"/>
    <row r="365" customFormat="1" ht="15" hidden="1" customHeight="1" x14ac:dyDescent="0.25"/>
    <row r="366" customFormat="1" ht="15" hidden="1" customHeight="1" x14ac:dyDescent="0.25"/>
    <row r="367" customFormat="1" ht="15" hidden="1" customHeight="1" x14ac:dyDescent="0.25"/>
    <row r="368" customFormat="1" ht="15" hidden="1" customHeight="1" x14ac:dyDescent="0.25"/>
    <row r="369" customFormat="1" ht="15" hidden="1" customHeight="1" x14ac:dyDescent="0.25"/>
    <row r="370" customFormat="1" ht="15" hidden="1" customHeight="1" x14ac:dyDescent="0.25"/>
    <row r="371" customFormat="1" ht="15" hidden="1" customHeight="1" x14ac:dyDescent="0.25"/>
    <row r="372" customFormat="1" ht="15" hidden="1" customHeight="1" x14ac:dyDescent="0.25"/>
    <row r="373" customFormat="1" ht="15" hidden="1" customHeight="1" x14ac:dyDescent="0.25"/>
    <row r="374" customFormat="1" ht="15" hidden="1" customHeight="1" x14ac:dyDescent="0.25"/>
    <row r="375" customFormat="1" ht="15" hidden="1" customHeight="1" x14ac:dyDescent="0.25"/>
    <row r="376" customFormat="1" ht="15" hidden="1" customHeight="1" x14ac:dyDescent="0.25"/>
    <row r="377" customFormat="1" ht="15" hidden="1" customHeight="1" x14ac:dyDescent="0.25"/>
    <row r="378" customFormat="1" ht="15" hidden="1" customHeight="1" x14ac:dyDescent="0.25"/>
    <row r="379" customFormat="1" ht="15" hidden="1" customHeight="1" x14ac:dyDescent="0.25"/>
    <row r="380" customFormat="1" ht="15" hidden="1" customHeight="1" x14ac:dyDescent="0.25"/>
    <row r="381" customFormat="1" ht="15" hidden="1" customHeight="1" x14ac:dyDescent="0.25"/>
    <row r="382" customFormat="1" ht="15" hidden="1" customHeight="1" x14ac:dyDescent="0.25"/>
    <row r="383" customFormat="1" ht="15" hidden="1" customHeight="1" x14ac:dyDescent="0.25"/>
    <row r="384" customFormat="1" ht="15" hidden="1" customHeight="1" x14ac:dyDescent="0.25"/>
    <row r="385" customFormat="1" ht="15" hidden="1" customHeight="1" x14ac:dyDescent="0.25"/>
    <row r="386" customFormat="1" ht="15" hidden="1" customHeight="1" x14ac:dyDescent="0.25"/>
    <row r="387" customFormat="1" ht="15" hidden="1" customHeight="1" x14ac:dyDescent="0.25"/>
    <row r="388" customFormat="1" ht="15" hidden="1" customHeight="1" x14ac:dyDescent="0.25"/>
    <row r="389" customFormat="1" ht="15" hidden="1" customHeight="1" x14ac:dyDescent="0.25"/>
    <row r="390" customFormat="1" ht="15" hidden="1" customHeight="1" x14ac:dyDescent="0.25"/>
    <row r="391" customFormat="1" ht="15" hidden="1" customHeight="1" x14ac:dyDescent="0.25"/>
    <row r="392" customFormat="1" ht="15" hidden="1" customHeight="1" x14ac:dyDescent="0.25"/>
    <row r="393" customFormat="1" ht="15" hidden="1" customHeight="1" x14ac:dyDescent="0.25"/>
    <row r="394" customFormat="1" ht="15" hidden="1" customHeight="1" x14ac:dyDescent="0.25"/>
    <row r="395" customFormat="1" ht="15" hidden="1" customHeight="1" x14ac:dyDescent="0.25"/>
    <row r="396" customFormat="1" ht="15" hidden="1" customHeight="1" x14ac:dyDescent="0.25"/>
    <row r="397" customFormat="1" ht="15" hidden="1" customHeight="1" x14ac:dyDescent="0.25"/>
    <row r="398" customFormat="1" ht="15" hidden="1" customHeight="1" x14ac:dyDescent="0.25"/>
    <row r="399" customFormat="1" ht="15" hidden="1" customHeight="1" x14ac:dyDescent="0.25"/>
    <row r="400" customFormat="1" ht="15" hidden="1" customHeight="1" x14ac:dyDescent="0.25"/>
    <row r="401" customFormat="1" ht="15" hidden="1" customHeight="1" x14ac:dyDescent="0.25"/>
    <row r="402" customFormat="1" ht="15" hidden="1" customHeight="1" x14ac:dyDescent="0.25"/>
    <row r="403" customFormat="1" ht="15" hidden="1" customHeight="1" x14ac:dyDescent="0.25"/>
    <row r="404" customFormat="1" ht="15" hidden="1" customHeight="1" x14ac:dyDescent="0.25"/>
    <row r="405" customFormat="1" ht="15" hidden="1" customHeight="1" x14ac:dyDescent="0.25"/>
    <row r="406" customFormat="1" ht="15" hidden="1" customHeight="1" x14ac:dyDescent="0.25"/>
    <row r="407" customFormat="1" ht="15" hidden="1" customHeight="1" x14ac:dyDescent="0.25"/>
    <row r="408" customFormat="1" ht="15" hidden="1" customHeight="1" x14ac:dyDescent="0.25"/>
    <row r="409" customFormat="1" ht="15" hidden="1" customHeight="1" x14ac:dyDescent="0.25"/>
    <row r="410" customFormat="1" ht="15" hidden="1" customHeight="1" x14ac:dyDescent="0.25"/>
    <row r="411" customFormat="1" ht="15" hidden="1" customHeight="1" x14ac:dyDescent="0.25"/>
    <row r="412" customFormat="1" ht="15" hidden="1" customHeight="1" x14ac:dyDescent="0.25"/>
    <row r="413" customFormat="1" ht="15" hidden="1" customHeight="1" x14ac:dyDescent="0.25"/>
    <row r="414" customFormat="1" ht="15" hidden="1" customHeight="1" x14ac:dyDescent="0.25"/>
    <row r="415" customFormat="1" ht="15" hidden="1" customHeight="1" x14ac:dyDescent="0.25"/>
    <row r="416" customFormat="1" ht="15" hidden="1" customHeight="1" x14ac:dyDescent="0.25"/>
    <row r="417" customFormat="1" ht="15" hidden="1" customHeight="1" x14ac:dyDescent="0.25"/>
    <row r="418" customFormat="1" ht="15" hidden="1" customHeight="1" x14ac:dyDescent="0.25"/>
    <row r="419" customFormat="1" ht="15" hidden="1" customHeight="1" x14ac:dyDescent="0.25"/>
    <row r="420" customFormat="1" ht="15" hidden="1" customHeight="1" x14ac:dyDescent="0.25"/>
    <row r="421" customFormat="1" ht="15" hidden="1" customHeight="1" x14ac:dyDescent="0.25"/>
    <row r="422" customFormat="1" ht="15" hidden="1" customHeight="1" x14ac:dyDescent="0.25"/>
    <row r="423" customFormat="1" ht="15" hidden="1" customHeight="1" x14ac:dyDescent="0.25"/>
    <row r="424" customFormat="1" ht="15" hidden="1" customHeight="1" x14ac:dyDescent="0.25"/>
    <row r="425" customFormat="1" ht="15" hidden="1" customHeight="1" x14ac:dyDescent="0.25"/>
    <row r="426" customFormat="1" ht="15" hidden="1" customHeight="1" x14ac:dyDescent="0.25"/>
    <row r="427" customFormat="1" ht="15" hidden="1" customHeight="1" x14ac:dyDescent="0.25"/>
    <row r="428" customFormat="1" ht="15" hidden="1" customHeight="1" x14ac:dyDescent="0.25"/>
    <row r="429" customFormat="1" ht="15" hidden="1" customHeight="1" x14ac:dyDescent="0.25"/>
    <row r="430" customFormat="1" ht="15" hidden="1" customHeight="1" x14ac:dyDescent="0.25"/>
    <row r="431" customFormat="1" ht="15" hidden="1" customHeight="1" x14ac:dyDescent="0.25"/>
    <row r="432" customFormat="1" ht="15" hidden="1" customHeight="1" x14ac:dyDescent="0.25"/>
    <row r="433" customFormat="1" ht="15" hidden="1" customHeight="1" x14ac:dyDescent="0.25"/>
    <row r="434" customFormat="1" ht="15" hidden="1" customHeight="1" x14ac:dyDescent="0.25"/>
    <row r="435" customFormat="1" ht="15" hidden="1" customHeight="1" x14ac:dyDescent="0.25"/>
    <row r="436" customFormat="1" ht="15" hidden="1" customHeight="1" x14ac:dyDescent="0.25"/>
    <row r="437" customFormat="1" ht="15" hidden="1" customHeight="1" x14ac:dyDescent="0.25"/>
    <row r="438" customFormat="1" ht="15" hidden="1" customHeight="1" x14ac:dyDescent="0.25"/>
    <row r="439" customFormat="1" ht="15" hidden="1" customHeight="1" x14ac:dyDescent="0.25"/>
    <row r="440" customFormat="1" ht="15" hidden="1" customHeight="1" x14ac:dyDescent="0.25"/>
    <row r="441" customFormat="1" ht="15" hidden="1" customHeight="1" x14ac:dyDescent="0.25"/>
    <row r="442" customFormat="1" ht="15" hidden="1" customHeight="1" x14ac:dyDescent="0.25"/>
    <row r="443" customFormat="1" ht="15" hidden="1" customHeight="1" x14ac:dyDescent="0.25"/>
    <row r="444" customFormat="1" ht="15" hidden="1" customHeight="1" x14ac:dyDescent="0.25"/>
    <row r="445" customFormat="1" ht="15" hidden="1" customHeight="1" x14ac:dyDescent="0.25"/>
    <row r="446" customFormat="1" ht="15" hidden="1" customHeight="1" x14ac:dyDescent="0.25"/>
    <row r="447" customFormat="1" ht="15" hidden="1" customHeight="1" x14ac:dyDescent="0.25"/>
    <row r="448" customFormat="1" ht="15" hidden="1" customHeight="1" x14ac:dyDescent="0.25"/>
    <row r="449" customFormat="1" ht="15" hidden="1" customHeight="1" x14ac:dyDescent="0.25"/>
    <row r="450" customFormat="1" ht="15" hidden="1" customHeight="1" x14ac:dyDescent="0.25"/>
    <row r="451" customFormat="1" ht="15" hidden="1" customHeight="1" x14ac:dyDescent="0.25"/>
    <row r="452" customFormat="1" ht="15" hidden="1" customHeight="1" x14ac:dyDescent="0.25"/>
    <row r="453" customFormat="1" ht="15" hidden="1" customHeight="1" x14ac:dyDescent="0.25"/>
    <row r="454" customFormat="1" ht="15" hidden="1" customHeight="1" x14ac:dyDescent="0.25"/>
    <row r="455" customFormat="1" ht="15" hidden="1" customHeight="1" x14ac:dyDescent="0.25"/>
    <row r="456" customFormat="1" ht="15" hidden="1" customHeight="1" x14ac:dyDescent="0.25"/>
    <row r="457" customFormat="1" ht="15" hidden="1" customHeight="1" x14ac:dyDescent="0.25"/>
    <row r="458" customFormat="1" ht="15" hidden="1" customHeight="1" x14ac:dyDescent="0.25"/>
    <row r="459" customFormat="1" ht="15" hidden="1" customHeight="1" x14ac:dyDescent="0.25"/>
    <row r="460" customFormat="1" ht="15" hidden="1" customHeight="1" x14ac:dyDescent="0.25"/>
    <row r="461" customFormat="1" ht="15" hidden="1" customHeight="1" x14ac:dyDescent="0.25"/>
    <row r="462" customFormat="1" ht="15" hidden="1" customHeight="1" x14ac:dyDescent="0.25"/>
    <row r="463" customFormat="1" ht="15" hidden="1" customHeight="1" x14ac:dyDescent="0.25"/>
    <row r="464" customFormat="1" ht="15" hidden="1" customHeight="1" x14ac:dyDescent="0.25"/>
    <row r="465" spans="3:62" ht="15" hidden="1" customHeight="1" x14ac:dyDescent="0.2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2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2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2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2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2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2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2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25"/>
    <row r="474" spans="3:62" ht="15" hidden="1" customHeight="1" x14ac:dyDescent="0.25"/>
    <row r="475" spans="3:62" ht="15" hidden="1" customHeight="1" x14ac:dyDescent="0.25"/>
    <row r="476" spans="3:62" ht="15" hidden="1" customHeight="1" x14ac:dyDescent="0.25"/>
    <row r="477" spans="3:62" ht="15" hidden="1" customHeight="1" x14ac:dyDescent="0.25"/>
    <row r="478" spans="3:62" ht="15" hidden="1" customHeight="1" x14ac:dyDescent="0.25"/>
    <row r="479" spans="3:62" ht="15" hidden="1" customHeight="1" x14ac:dyDescent="0.25"/>
    <row r="480" spans="3:62" ht="15" hidden="1" customHeight="1" x14ac:dyDescent="0.25"/>
    <row r="481" ht="15" hidden="1" customHeight="1" x14ac:dyDescent="0.25"/>
    <row r="482" ht="15" hidden="1" customHeight="1" x14ac:dyDescent="0.25"/>
    <row r="483" ht="15" hidden="1" customHeight="1" x14ac:dyDescent="0.25"/>
    <row r="484" ht="15" hidden="1" customHeight="1" x14ac:dyDescent="0.25"/>
    <row r="485" ht="15" hidden="1" customHeight="1" x14ac:dyDescent="0.25"/>
    <row r="486" ht="15" hidden="1" customHeight="1" x14ac:dyDescent="0.25"/>
    <row r="487" ht="15" hidden="1" customHeight="1" x14ac:dyDescent="0.25"/>
    <row r="488" ht="15" hidden="1" customHeight="1" x14ac:dyDescent="0.25"/>
    <row r="489" ht="15" hidden="1" customHeight="1" x14ac:dyDescent="0.25"/>
    <row r="490" ht="15" hidden="1" customHeight="1" x14ac:dyDescent="0.25"/>
    <row r="491" ht="15" hidden="1" customHeight="1" x14ac:dyDescent="0.25"/>
    <row r="492" ht="15" hidden="1" customHeight="1" x14ac:dyDescent="0.25"/>
    <row r="493" ht="15" hidden="1" customHeight="1" x14ac:dyDescent="0.25"/>
    <row r="494" ht="15" hidden="1" customHeight="1" x14ac:dyDescent="0.25"/>
    <row r="495" ht="15" hidden="1" customHeight="1" x14ac:dyDescent="0.25"/>
    <row r="496" ht="15" hidden="1" customHeight="1" x14ac:dyDescent="0.25"/>
    <row r="497" ht="15" hidden="1" customHeight="1" x14ac:dyDescent="0.25"/>
    <row r="498" ht="15" hidden="1" customHeight="1" x14ac:dyDescent="0.25"/>
    <row r="499" ht="15" hidden="1" customHeight="1" x14ac:dyDescent="0.25"/>
    <row r="500" ht="15" hidden="1" customHeight="1" x14ac:dyDescent="0.25"/>
    <row r="501" ht="15" hidden="1" customHeight="1" x14ac:dyDescent="0.25"/>
    <row r="502" ht="15" hidden="1" customHeight="1" x14ac:dyDescent="0.25"/>
    <row r="503" ht="15" hidden="1" customHeight="1" x14ac:dyDescent="0.25"/>
    <row r="504" ht="15" hidden="1" customHeight="1" x14ac:dyDescent="0.25"/>
    <row r="505" ht="15" hidden="1" customHeight="1" x14ac:dyDescent="0.25"/>
    <row r="506" ht="15" hidden="1" customHeight="1" x14ac:dyDescent="0.25"/>
    <row r="507" ht="15" hidden="1" customHeight="1" x14ac:dyDescent="0.25"/>
    <row r="508" ht="15" hidden="1" customHeight="1" x14ac:dyDescent="0.25"/>
    <row r="509" ht="15" hidden="1" customHeight="1" x14ac:dyDescent="0.25"/>
    <row r="510" ht="15" hidden="1" customHeight="1" x14ac:dyDescent="0.25"/>
    <row r="511" ht="15" hidden="1" customHeight="1" x14ac:dyDescent="0.25"/>
    <row r="512" ht="15" hidden="1" customHeight="1" x14ac:dyDescent="0.25"/>
    <row r="513" ht="15" hidden="1" customHeight="1" x14ac:dyDescent="0.25"/>
    <row r="514" ht="15" hidden="1" customHeight="1" x14ac:dyDescent="0.25"/>
    <row r="515" ht="15" hidden="1" customHeight="1" x14ac:dyDescent="0.25"/>
    <row r="516" ht="15" hidden="1" customHeight="1" x14ac:dyDescent="0.25"/>
    <row r="517" ht="15" hidden="1" customHeight="1" x14ac:dyDescent="0.25"/>
    <row r="518" ht="15" hidden="1" customHeight="1" x14ac:dyDescent="0.25"/>
    <row r="519" ht="15" hidden="1" customHeight="1" x14ac:dyDescent="0.25"/>
    <row r="520" ht="15" hidden="1" customHeight="1" x14ac:dyDescent="0.25"/>
    <row r="521" ht="15" hidden="1" customHeight="1" x14ac:dyDescent="0.25"/>
    <row r="522" ht="15" hidden="1" customHeight="1" x14ac:dyDescent="0.25"/>
    <row r="523" ht="15" hidden="1" customHeight="1" x14ac:dyDescent="0.25"/>
    <row r="524" ht="15" hidden="1" customHeight="1" x14ac:dyDescent="0.25"/>
    <row r="525" ht="15" hidden="1" customHeight="1" x14ac:dyDescent="0.25"/>
    <row r="526" ht="15" hidden="1" customHeight="1" x14ac:dyDescent="0.25"/>
    <row r="527" ht="15" hidden="1" customHeight="1" x14ac:dyDescent="0.25"/>
    <row r="528" ht="15" hidden="1" customHeight="1" x14ac:dyDescent="0.25"/>
    <row r="529" ht="15" hidden="1" customHeight="1" x14ac:dyDescent="0.25"/>
    <row r="530" ht="15" hidden="1" customHeight="1" x14ac:dyDescent="0.25"/>
    <row r="531" ht="15" hidden="1" customHeight="1" x14ac:dyDescent="0.25"/>
    <row r="532" ht="15" hidden="1" customHeight="1" x14ac:dyDescent="0.25"/>
    <row r="533" ht="15" hidden="1" customHeight="1" x14ac:dyDescent="0.25"/>
    <row r="534" ht="15" hidden="1" customHeight="1" x14ac:dyDescent="0.25"/>
    <row r="535" ht="15" hidden="1" customHeight="1" x14ac:dyDescent="0.25"/>
    <row r="536" ht="15" hidden="1" customHeight="1" x14ac:dyDescent="0.25"/>
    <row r="537" ht="15" hidden="1" customHeight="1" x14ac:dyDescent="0.25"/>
    <row r="538" ht="15" hidden="1" customHeight="1" x14ac:dyDescent="0.25"/>
    <row r="539" ht="15" hidden="1" customHeight="1" x14ac:dyDescent="0.25"/>
    <row r="540" ht="15" hidden="1" customHeight="1" x14ac:dyDescent="0.25"/>
    <row r="541" ht="15" hidden="1" customHeight="1" x14ac:dyDescent="0.25"/>
    <row r="542" ht="15" hidden="1" customHeight="1" x14ac:dyDescent="0.25"/>
    <row r="543" ht="15" hidden="1" customHeight="1" x14ac:dyDescent="0.25"/>
    <row r="544" ht="15" hidden="1" customHeight="1" x14ac:dyDescent="0.25"/>
    <row r="545" ht="15" hidden="1" customHeight="1" x14ac:dyDescent="0.25"/>
    <row r="546" ht="15" hidden="1" customHeight="1" x14ac:dyDescent="0.25"/>
    <row r="547" ht="15" hidden="1" customHeight="1" x14ac:dyDescent="0.25"/>
    <row r="548" ht="15" hidden="1" customHeight="1" x14ac:dyDescent="0.25"/>
    <row r="549" ht="15" hidden="1" customHeight="1" x14ac:dyDescent="0.25"/>
    <row r="550" ht="15" hidden="1" customHeight="1" x14ac:dyDescent="0.25"/>
    <row r="551" ht="15" hidden="1" customHeight="1" x14ac:dyDescent="0.25"/>
    <row r="552" ht="15" hidden="1" customHeight="1" x14ac:dyDescent="0.25"/>
    <row r="553" ht="15" hidden="1" customHeight="1" x14ac:dyDescent="0.25"/>
    <row r="554" ht="15" hidden="1" customHeight="1" x14ac:dyDescent="0.25"/>
    <row r="555" ht="15" hidden="1" customHeight="1" x14ac:dyDescent="0.25"/>
    <row r="556" ht="15" hidden="1" customHeight="1" x14ac:dyDescent="0.25"/>
    <row r="557" ht="15" hidden="1" customHeight="1" x14ac:dyDescent="0.25"/>
    <row r="558" ht="15" hidden="1" customHeight="1" x14ac:dyDescent="0.25"/>
    <row r="559" ht="15" hidden="1" customHeight="1" x14ac:dyDescent="0.25"/>
    <row r="560" ht="15" hidden="1" customHeight="1" x14ac:dyDescent="0.25"/>
    <row r="561" ht="15" hidden="1" customHeight="1" x14ac:dyDescent="0.25"/>
    <row r="562" ht="15" hidden="1" customHeight="1" x14ac:dyDescent="0.25"/>
    <row r="563" ht="15" hidden="1" customHeight="1" x14ac:dyDescent="0.25"/>
    <row r="564" ht="15" hidden="1" customHeight="1" x14ac:dyDescent="0.25"/>
    <row r="565" ht="15" hidden="1" customHeight="1" x14ac:dyDescent="0.25"/>
    <row r="566" ht="15" hidden="1" customHeight="1" x14ac:dyDescent="0.25"/>
    <row r="567" ht="15" hidden="1" customHeight="1" x14ac:dyDescent="0.25"/>
    <row r="568" ht="15" hidden="1" customHeight="1" x14ac:dyDescent="0.25"/>
    <row r="569" ht="15" hidden="1" customHeight="1" x14ac:dyDescent="0.25"/>
    <row r="570" ht="15" hidden="1" customHeight="1" x14ac:dyDescent="0.25"/>
    <row r="571" ht="15" hidden="1" customHeight="1" x14ac:dyDescent="0.25"/>
    <row r="572" ht="15" hidden="1" customHeight="1" x14ac:dyDescent="0.25"/>
    <row r="573" ht="15" hidden="1" customHeight="1" x14ac:dyDescent="0.25"/>
    <row r="574" ht="15" hidden="1" customHeight="1" x14ac:dyDescent="0.25"/>
    <row r="575" ht="15" hidden="1" customHeight="1" x14ac:dyDescent="0.25"/>
    <row r="576" ht="15" hidden="1" customHeight="1" x14ac:dyDescent="0.25"/>
    <row r="577" ht="15" hidden="1" customHeight="1" x14ac:dyDescent="0.2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</mergeCells>
  <conditionalFormatting sqref="AB96:AJ96">
    <cfRule type="expression" dxfId="16" priority="4">
      <formula>NOT(EXACT($R$96,"Outro"))</formula>
    </cfRule>
  </conditionalFormatting>
  <conditionalFormatting sqref="AN92:BE93">
    <cfRule type="expression" dxfId="15" priority="2">
      <formula>NOT(EXACT($C$93,"Fonte Externa"))</formula>
    </cfRule>
  </conditionalFormatting>
  <conditionalFormatting sqref="J92:AL93">
    <cfRule type="expression" dxfId="14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F32" sqref="F32"/>
    </sheetView>
  </sheetViews>
  <sheetFormatPr defaultColWidth="0" defaultRowHeight="15" zeroHeight="1" x14ac:dyDescent="0.25"/>
  <cols>
    <col min="1" max="2" width="8.85546875" customWidth="1"/>
    <col min="3" max="3" width="21" customWidth="1"/>
    <col min="4" max="4" width="61.42578125" customWidth="1"/>
    <col min="5" max="5" width="39.85546875" bestFit="1" customWidth="1"/>
    <col min="6" max="6" width="19.140625" customWidth="1"/>
    <col min="7" max="7" width="0" hidden="1" customWidth="1"/>
    <col min="8" max="16384" width="8.85546875" hidden="1"/>
  </cols>
  <sheetData>
    <row r="1" spans="2:6" ht="18.75" x14ac:dyDescent="0.3">
      <c r="C1" s="279" t="s">
        <v>277</v>
      </c>
      <c r="D1" s="279"/>
      <c r="E1" s="279"/>
    </row>
    <row r="2" spans="2:6" ht="24" customHeight="1" x14ac:dyDescent="0.25">
      <c r="B2" s="78" t="s">
        <v>274</v>
      </c>
      <c r="C2" s="78" t="s">
        <v>275</v>
      </c>
      <c r="D2" s="78" t="s">
        <v>71</v>
      </c>
      <c r="E2" s="78" t="s">
        <v>276</v>
      </c>
    </row>
    <row r="3" spans="2:6" x14ac:dyDescent="0.25">
      <c r="B3">
        <v>1</v>
      </c>
      <c r="C3" s="84" t="s">
        <v>578</v>
      </c>
      <c r="D3" s="80" t="s">
        <v>571</v>
      </c>
      <c r="E3" s="84" t="s">
        <v>187</v>
      </c>
      <c r="F3" s="79" t="str">
        <f>IF(OR(COUNTIF('Filtro Dado base'!$A$2:$A$176,Campos!E3)&gt;0,ISBLANK(E3)),"","Dado base inválido")</f>
        <v/>
      </c>
    </row>
    <row r="4" spans="2:6" x14ac:dyDescent="0.25">
      <c r="B4">
        <v>2</v>
      </c>
      <c r="C4" s="84" t="s">
        <v>579</v>
      </c>
      <c r="D4" s="80" t="s">
        <v>572</v>
      </c>
      <c r="E4" s="84" t="s">
        <v>418</v>
      </c>
      <c r="F4" s="79" t="str">
        <f>IF(OR(COUNTIF('Filtro Dado base'!$A$2:$A$176,Campos!E4)&gt;0,ISBLANK(E4)),"","Dado base inválido")</f>
        <v/>
      </c>
    </row>
    <row r="5" spans="2:6" x14ac:dyDescent="0.25">
      <c r="B5">
        <v>3</v>
      </c>
      <c r="C5" s="84" t="s">
        <v>580</v>
      </c>
      <c r="D5" s="80" t="s">
        <v>573</v>
      </c>
      <c r="E5" s="84" t="s">
        <v>212</v>
      </c>
      <c r="F5" s="79" t="str">
        <f>IF(OR(COUNTIF('Filtro Dado base'!$A$2:$A$176,Campos!E5)&gt;0,ISBLANK(E5)),"","Dado base inválido")</f>
        <v/>
      </c>
    </row>
    <row r="6" spans="2:6" x14ac:dyDescent="0.25">
      <c r="B6">
        <v>4</v>
      </c>
      <c r="C6" s="84" t="s">
        <v>581</v>
      </c>
      <c r="D6" s="80" t="s">
        <v>611</v>
      </c>
      <c r="E6" s="84" t="s">
        <v>434</v>
      </c>
      <c r="F6" s="79" t="str">
        <f>IF(OR(COUNTIF('Filtro Dado base'!$A$2:$A$176,Campos!E6)&gt;0,ISBLANK(E6)),"","Dado base inválido")</f>
        <v/>
      </c>
    </row>
    <row r="7" spans="2:6" x14ac:dyDescent="0.25">
      <c r="B7">
        <v>5</v>
      </c>
      <c r="C7" s="84" t="s">
        <v>582</v>
      </c>
      <c r="D7" s="80" t="s">
        <v>612</v>
      </c>
      <c r="E7" s="84" t="s">
        <v>434</v>
      </c>
      <c r="F7" s="79" t="str">
        <f>IF(OR(COUNTIF('Filtro Dado base'!$A$2:$A$176,Campos!E7)&gt;0,ISBLANK(E7)),"","Dado base inválido")</f>
        <v/>
      </c>
    </row>
    <row r="8" spans="2:6" x14ac:dyDescent="0.25">
      <c r="B8">
        <v>6</v>
      </c>
      <c r="C8" s="84" t="s">
        <v>583</v>
      </c>
      <c r="D8" s="80" t="s">
        <v>613</v>
      </c>
      <c r="E8" s="84" t="s">
        <v>434</v>
      </c>
      <c r="F8" s="79" t="str">
        <f>IF(OR(COUNTIF('Filtro Dado base'!$A$2:$A$176,Campos!E8)&gt;0,ISBLANK(E8)),"","Dado base inválido")</f>
        <v/>
      </c>
    </row>
    <row r="9" spans="2:6" x14ac:dyDescent="0.25">
      <c r="B9">
        <v>7</v>
      </c>
      <c r="C9" s="84" t="s">
        <v>584</v>
      </c>
      <c r="D9" s="80" t="s">
        <v>614</v>
      </c>
      <c r="E9" s="84" t="s">
        <v>430</v>
      </c>
      <c r="F9" s="79" t="str">
        <f>IF(OR(COUNTIF('Filtro Dado base'!$A$2:$A$176,Campos!E9)&gt;0,ISBLANK(E9)),"","Dado base inválido")</f>
        <v/>
      </c>
    </row>
    <row r="10" spans="2:6" x14ac:dyDescent="0.25">
      <c r="B10">
        <v>8</v>
      </c>
      <c r="C10" s="84" t="s">
        <v>585</v>
      </c>
      <c r="D10" s="80" t="s">
        <v>615</v>
      </c>
      <c r="E10" s="84" t="s">
        <v>430</v>
      </c>
      <c r="F10" s="79" t="str">
        <f>IF(OR(COUNTIF('Filtro Dado base'!$A$2:$A$176,Campos!E10)&gt;0,ISBLANK(E10)),"","Dado base inválido")</f>
        <v/>
      </c>
    </row>
    <row r="11" spans="2:6" x14ac:dyDescent="0.25">
      <c r="B11">
        <v>9</v>
      </c>
      <c r="C11" s="84" t="s">
        <v>586</v>
      </c>
      <c r="D11" s="80" t="s">
        <v>616</v>
      </c>
      <c r="E11" s="84" t="s">
        <v>430</v>
      </c>
      <c r="F11" s="79" t="str">
        <f>IF(OR(COUNTIF('Filtro Dado base'!$A$2:$A$176,Campos!E11)&gt;0,ISBLANK(E11)),"","Dado base inválido")</f>
        <v/>
      </c>
    </row>
    <row r="12" spans="2:6" x14ac:dyDescent="0.25">
      <c r="B12">
        <v>10</v>
      </c>
      <c r="C12" s="84" t="s">
        <v>587</v>
      </c>
      <c r="D12" s="80" t="s">
        <v>617</v>
      </c>
      <c r="E12" s="84" t="s">
        <v>425</v>
      </c>
      <c r="F12" s="79" t="str">
        <f>IF(OR(COUNTIF('Filtro Dado base'!$A$2:$A$176,Campos!E12)&gt;0,ISBLANK(E12)),"","Dado base inválido")</f>
        <v/>
      </c>
    </row>
    <row r="13" spans="2:6" x14ac:dyDescent="0.25">
      <c r="B13">
        <v>11</v>
      </c>
      <c r="C13" s="80" t="s">
        <v>588</v>
      </c>
      <c r="D13" s="80" t="s">
        <v>618</v>
      </c>
      <c r="E13" s="84" t="s">
        <v>425</v>
      </c>
      <c r="F13" s="79" t="str">
        <f>IF(OR(COUNTIF('Filtro Dado base'!$A$2:$A$176,Campos!E13)&gt;0,ISBLANK(E13)),"","Dado base inválido")</f>
        <v/>
      </c>
    </row>
    <row r="14" spans="2:6" x14ac:dyDescent="0.25">
      <c r="B14">
        <v>12</v>
      </c>
      <c r="C14" s="80" t="s">
        <v>589</v>
      </c>
      <c r="D14" s="80" t="s">
        <v>619</v>
      </c>
      <c r="E14" s="84" t="s">
        <v>434</v>
      </c>
      <c r="F14" s="79" t="str">
        <f>IF(OR(COUNTIF('Filtro Dado base'!$A$2:$A$176,Campos!E14)&gt;0,ISBLANK(E14)),"","Dado base inválido")</f>
        <v/>
      </c>
    </row>
    <row r="15" spans="2:6" x14ac:dyDescent="0.25">
      <c r="B15">
        <v>13</v>
      </c>
      <c r="C15" s="80" t="s">
        <v>590</v>
      </c>
      <c r="D15" s="80" t="s">
        <v>620</v>
      </c>
      <c r="E15" s="84" t="s">
        <v>434</v>
      </c>
      <c r="F15" s="79" t="str">
        <f>IF(OR(COUNTIF('Filtro Dado base'!$A$2:$A$176,Campos!E15)&gt;0,ISBLANK(E15)),"","Dado base inválido")</f>
        <v/>
      </c>
    </row>
    <row r="16" spans="2:6" x14ac:dyDescent="0.25">
      <c r="B16">
        <v>14</v>
      </c>
      <c r="C16" s="80" t="s">
        <v>591</v>
      </c>
      <c r="D16" s="80" t="s">
        <v>621</v>
      </c>
      <c r="E16" s="84" t="s">
        <v>425</v>
      </c>
      <c r="F16" s="79" t="str">
        <f>IF(OR(COUNTIF('Filtro Dado base'!$A$2:$A$176,Campos!E16)&gt;0,ISBLANK(E16)),"","Dado base inválido")</f>
        <v/>
      </c>
    </row>
    <row r="17" spans="2:6" x14ac:dyDescent="0.25">
      <c r="B17">
        <v>15</v>
      </c>
      <c r="C17" s="80" t="s">
        <v>592</v>
      </c>
      <c r="D17" s="80" t="s">
        <v>574</v>
      </c>
      <c r="E17" s="84" t="s">
        <v>425</v>
      </c>
      <c r="F17" s="79" t="str">
        <f>IF(OR(COUNTIF('Filtro Dado base'!$A$2:$A$176,Campos!E17)&gt;0,ISBLANK(E17)),"","Dado base inválido")</f>
        <v/>
      </c>
    </row>
    <row r="18" spans="2:6" x14ac:dyDescent="0.25">
      <c r="B18">
        <v>16</v>
      </c>
      <c r="C18" s="80" t="s">
        <v>593</v>
      </c>
      <c r="D18" s="80" t="s">
        <v>622</v>
      </c>
      <c r="E18" s="84" t="s">
        <v>434</v>
      </c>
      <c r="F18" s="79" t="str">
        <f>IF(OR(COUNTIF('Filtro Dado base'!$A$2:$A$176,Campos!E18)&gt;0,ISBLANK(E18)),"","Dado base inválido")</f>
        <v/>
      </c>
    </row>
    <row r="19" spans="2:6" x14ac:dyDescent="0.25">
      <c r="B19">
        <v>17</v>
      </c>
      <c r="C19" s="80" t="s">
        <v>594</v>
      </c>
      <c r="D19" s="80" t="s">
        <v>623</v>
      </c>
      <c r="E19" s="84" t="s">
        <v>434</v>
      </c>
      <c r="F19" s="79" t="str">
        <f>IF(OR(COUNTIF('Filtro Dado base'!$A$2:$A$176,Campos!E19)&gt;0,ISBLANK(E19)),"","Dado base inválido")</f>
        <v/>
      </c>
    </row>
    <row r="20" spans="2:6" x14ac:dyDescent="0.25">
      <c r="B20">
        <v>18</v>
      </c>
      <c r="C20" s="80" t="s">
        <v>595</v>
      </c>
      <c r="D20" s="80" t="s">
        <v>624</v>
      </c>
      <c r="E20" s="84" t="s">
        <v>434</v>
      </c>
      <c r="F20" s="79" t="str">
        <f>IF(OR(COUNTIF('Filtro Dado base'!$A$2:$A$176,Campos!E20)&gt;0,ISBLANK(E20)),"","Dado base inválido")</f>
        <v/>
      </c>
    </row>
    <row r="21" spans="2:6" x14ac:dyDescent="0.25">
      <c r="B21">
        <v>19</v>
      </c>
      <c r="C21" s="80" t="s">
        <v>596</v>
      </c>
      <c r="D21" s="80" t="s">
        <v>625</v>
      </c>
      <c r="E21" s="84" t="s">
        <v>434</v>
      </c>
      <c r="F21" s="79" t="str">
        <f>IF(OR(COUNTIF('Filtro Dado base'!$A$2:$A$176,Campos!E21)&gt;0,ISBLANK(E21)),"","Dado base inválido")</f>
        <v/>
      </c>
    </row>
    <row r="22" spans="2:6" x14ac:dyDescent="0.25">
      <c r="B22">
        <v>20</v>
      </c>
      <c r="C22" s="80" t="s">
        <v>597</v>
      </c>
      <c r="D22" s="80" t="s">
        <v>626</v>
      </c>
      <c r="E22" s="84" t="s">
        <v>425</v>
      </c>
      <c r="F22" s="79" t="str">
        <f>IF(OR(COUNTIF('Filtro Dado base'!$A$2:$A$176,Campos!E22)&gt;0,ISBLANK(E22)),"","Dado base inválido")</f>
        <v/>
      </c>
    </row>
    <row r="23" spans="2:6" x14ac:dyDescent="0.25">
      <c r="B23">
        <v>21</v>
      </c>
      <c r="C23" s="80" t="s">
        <v>598</v>
      </c>
      <c r="D23" s="80" t="s">
        <v>627</v>
      </c>
      <c r="E23" s="84" t="s">
        <v>425</v>
      </c>
      <c r="F23" s="79" t="str">
        <f>IF(OR(COUNTIF('Filtro Dado base'!$A$2:$A$176,Campos!E23)&gt;0,ISBLANK(E23)),"","Dado base inválido")</f>
        <v/>
      </c>
    </row>
    <row r="24" spans="2:6" x14ac:dyDescent="0.25">
      <c r="B24">
        <v>22</v>
      </c>
      <c r="C24" s="80" t="s">
        <v>599</v>
      </c>
      <c r="D24" s="80" t="s">
        <v>628</v>
      </c>
      <c r="E24" s="84" t="s">
        <v>425</v>
      </c>
      <c r="F24" s="79" t="str">
        <f>IF(OR(COUNTIF('Filtro Dado base'!$A$2:$A$176,Campos!E24)&gt;0,ISBLANK(E24)),"","Dado base inválido")</f>
        <v/>
      </c>
    </row>
    <row r="25" spans="2:6" x14ac:dyDescent="0.25">
      <c r="B25">
        <v>23</v>
      </c>
      <c r="C25" s="80" t="s">
        <v>600</v>
      </c>
      <c r="D25" s="80" t="s">
        <v>629</v>
      </c>
      <c r="E25" s="84" t="s">
        <v>425</v>
      </c>
      <c r="F25" s="79" t="str">
        <f>IF(OR(COUNTIF('Filtro Dado base'!$A$2:$A$176,Campos!E25)&gt;0,ISBLANK(E25)),"","Dado base inválido")</f>
        <v/>
      </c>
    </row>
    <row r="26" spans="2:6" x14ac:dyDescent="0.25">
      <c r="B26">
        <v>24</v>
      </c>
      <c r="C26" s="80" t="s">
        <v>601</v>
      </c>
      <c r="D26" s="80" t="s">
        <v>630</v>
      </c>
      <c r="E26" s="84" t="s">
        <v>425</v>
      </c>
      <c r="F26" s="79" t="str">
        <f>IF(OR(COUNTIF('Filtro Dado base'!$A$2:$A$176,Campos!E26)&gt;0,ISBLANK(E26)),"","Dado base inválido")</f>
        <v/>
      </c>
    </row>
    <row r="27" spans="2:6" x14ac:dyDescent="0.25">
      <c r="B27">
        <v>25</v>
      </c>
      <c r="C27" s="80" t="s">
        <v>602</v>
      </c>
      <c r="D27" s="80" t="s">
        <v>631</v>
      </c>
      <c r="E27" s="84" t="s">
        <v>425</v>
      </c>
      <c r="F27" s="79" t="str">
        <f>IF(OR(COUNTIF('Filtro Dado base'!$A$2:$A$176,Campos!E27)&gt;0,ISBLANK(E27)),"","Dado base inválido")</f>
        <v/>
      </c>
    </row>
    <row r="28" spans="2:6" x14ac:dyDescent="0.25">
      <c r="B28">
        <v>26</v>
      </c>
      <c r="C28" s="80" t="s">
        <v>603</v>
      </c>
      <c r="D28" s="80" t="s">
        <v>632</v>
      </c>
      <c r="E28" s="84" t="s">
        <v>434</v>
      </c>
      <c r="F28" s="79" t="str">
        <f>IF(OR(COUNTIF('Filtro Dado base'!$A$2:$A$176,Campos!E28)&gt;0,ISBLANK(E28)),"","Dado base inválido")</f>
        <v/>
      </c>
    </row>
    <row r="29" spans="2:6" x14ac:dyDescent="0.25">
      <c r="B29">
        <v>27</v>
      </c>
      <c r="C29" s="80" t="s">
        <v>604</v>
      </c>
      <c r="D29" s="80" t="s">
        <v>633</v>
      </c>
      <c r="E29" s="84" t="s">
        <v>434</v>
      </c>
      <c r="F29" s="79" t="str">
        <f>IF(OR(COUNTIF('Filtro Dado base'!$A$2:$A$176,Campos!E29)&gt;0,ISBLANK(E29)),"","Dado base inválido")</f>
        <v/>
      </c>
    </row>
    <row r="30" spans="2:6" x14ac:dyDescent="0.25">
      <c r="B30">
        <v>28</v>
      </c>
      <c r="C30" s="80" t="s">
        <v>605</v>
      </c>
      <c r="D30" s="80" t="s">
        <v>634</v>
      </c>
      <c r="E30" s="84" t="s">
        <v>425</v>
      </c>
      <c r="F30" s="79" t="str">
        <f>IF(OR(COUNTIF('Filtro Dado base'!$A$2:$A$176,Campos!E30)&gt;0,ISBLANK(E30)),"","Dado base inválido")</f>
        <v/>
      </c>
    </row>
    <row r="31" spans="2:6" x14ac:dyDescent="0.25">
      <c r="B31">
        <v>29</v>
      </c>
      <c r="C31" s="80" t="s">
        <v>606</v>
      </c>
      <c r="D31" s="80" t="s">
        <v>635</v>
      </c>
      <c r="E31" s="84" t="s">
        <v>425</v>
      </c>
      <c r="F31" s="79" t="str">
        <f>IF(OR(COUNTIF('Filtro Dado base'!$A$2:$A$176,Campos!E31)&gt;0,ISBLANK(E31)),"","Dado base inválido")</f>
        <v/>
      </c>
    </row>
    <row r="32" spans="2:6" x14ac:dyDescent="0.25">
      <c r="B32">
        <v>30</v>
      </c>
      <c r="C32" s="80" t="s">
        <v>607</v>
      </c>
      <c r="D32" s="80" t="s">
        <v>636</v>
      </c>
      <c r="E32" s="84" t="s">
        <v>434</v>
      </c>
      <c r="F32" s="79" t="str">
        <f>IF(OR(COUNTIF('Filtro Dado base'!$A$2:$A$176,Campos!E32)&gt;0,ISBLANK(E32)),"","Dado base inválido")</f>
        <v/>
      </c>
    </row>
    <row r="33" spans="2:6" x14ac:dyDescent="0.25">
      <c r="B33">
        <v>31</v>
      </c>
      <c r="C33" s="80" t="s">
        <v>608</v>
      </c>
      <c r="D33" s="80" t="s">
        <v>637</v>
      </c>
      <c r="E33" s="84" t="s">
        <v>434</v>
      </c>
      <c r="F33" s="79" t="str">
        <f>IF(OR(COUNTIF('Filtro Dado base'!$A$2:$A$176,Campos!E33)&gt;0,ISBLANK(E33)),"","Dado base inválido")</f>
        <v/>
      </c>
    </row>
    <row r="34" spans="2:6" x14ac:dyDescent="0.25">
      <c r="B34">
        <v>32</v>
      </c>
      <c r="C34" s="80" t="s">
        <v>609</v>
      </c>
      <c r="D34" s="80" t="s">
        <v>638</v>
      </c>
      <c r="E34" s="84" t="s">
        <v>434</v>
      </c>
      <c r="F34" s="79" t="str">
        <f>IF(OR(COUNTIF('Filtro Dado base'!$A$2:$A$176,Campos!E34)&gt;0,ISBLANK(E34)),"","Dado base inválido")</f>
        <v/>
      </c>
    </row>
    <row r="35" spans="2:6" x14ac:dyDescent="0.25">
      <c r="B35">
        <v>33</v>
      </c>
      <c r="C35" s="80" t="s">
        <v>610</v>
      </c>
      <c r="D35" s="84" t="s">
        <v>639</v>
      </c>
      <c r="E35" s="84" t="s">
        <v>434</v>
      </c>
      <c r="F35" s="79" t="str">
        <f>IF(OR(COUNTIF('Filtro Dado base'!$A$2:$A$176,Campos!E35)&gt;0,ISBLANK(E35)),"","Dado base inválido")</f>
        <v/>
      </c>
    </row>
    <row r="36" spans="2:6" x14ac:dyDescent="0.25">
      <c r="B36">
        <v>34</v>
      </c>
      <c r="C36" s="80"/>
      <c r="D36" s="84"/>
      <c r="E36" s="84"/>
      <c r="F36" s="79" t="str">
        <f>IF(OR(COUNTIF('Filtro Dado base'!$A$2:$A$176,Campos!E36)&gt;0,ISBLANK(E36)),"","Dado base inválido")</f>
        <v/>
      </c>
    </row>
    <row r="37" spans="2:6" x14ac:dyDescent="0.25">
      <c r="B37">
        <v>35</v>
      </c>
      <c r="C37" s="80"/>
      <c r="D37" s="84"/>
      <c r="E37" s="84"/>
      <c r="F37" s="79" t="str">
        <f>IF(OR(COUNTIF('Filtro Dado base'!$A$2:$A$176,Campos!E37)&gt;0,ISBLANK(E37)),"","Dado base inválido")</f>
        <v/>
      </c>
    </row>
    <row r="38" spans="2:6" x14ac:dyDescent="0.25">
      <c r="B38">
        <v>36</v>
      </c>
      <c r="C38" s="80"/>
      <c r="D38" s="84"/>
      <c r="E38" s="84"/>
      <c r="F38" s="79" t="str">
        <f>IF(OR(COUNTIF('Filtro Dado base'!$A$2:$A$176,Campos!E38)&gt;0,ISBLANK(E38)),"","Dado base inválido")</f>
        <v/>
      </c>
    </row>
    <row r="39" spans="2:6" x14ac:dyDescent="0.25">
      <c r="B39">
        <v>37</v>
      </c>
      <c r="C39" s="80"/>
      <c r="D39" s="84"/>
      <c r="E39" s="84"/>
      <c r="F39" s="79" t="str">
        <f>IF(OR(COUNTIF('Filtro Dado base'!$A$2:$A$176,Campos!E39)&gt;0,ISBLANK(E39)),"","Dado base inválido")</f>
        <v/>
      </c>
    </row>
    <row r="40" spans="2:6" x14ac:dyDescent="0.25">
      <c r="B40">
        <v>38</v>
      </c>
      <c r="C40" s="80"/>
      <c r="D40" s="84"/>
      <c r="E40" s="84"/>
      <c r="F40" s="79" t="str">
        <f>IF(OR(COUNTIF('Filtro Dado base'!$A$2:$A$176,Campos!E40)&gt;0,ISBLANK(E40)),"","Dado base inválido")</f>
        <v/>
      </c>
    </row>
    <row r="41" spans="2:6" x14ac:dyDescent="0.25">
      <c r="B41">
        <v>39</v>
      </c>
      <c r="C41" s="80"/>
      <c r="D41" s="84"/>
      <c r="E41" s="84"/>
      <c r="F41" s="79" t="str">
        <f>IF(OR(COUNTIF('Filtro Dado base'!$A$2:$A$176,Campos!E41)&gt;0,ISBLANK(E41)),"","Dado base inválido")</f>
        <v/>
      </c>
    </row>
    <row r="42" spans="2:6" x14ac:dyDescent="0.25">
      <c r="B42">
        <v>40</v>
      </c>
      <c r="C42" s="80"/>
      <c r="D42" s="84"/>
      <c r="E42" s="84"/>
      <c r="F42" s="79" t="str">
        <f>IF(OR(COUNTIF('Filtro Dado base'!$A$2:$A$176,Campos!E42)&gt;0,ISBLANK(E42)),"","Dado base inválido")</f>
        <v/>
      </c>
    </row>
    <row r="43" spans="2:6" x14ac:dyDescent="0.25">
      <c r="B43">
        <v>41</v>
      </c>
      <c r="C43" s="80"/>
      <c r="D43" s="84"/>
      <c r="E43" s="84"/>
      <c r="F43" s="79" t="str">
        <f>IF(OR(COUNTIF('Filtro Dado base'!$A$2:$A$176,Campos!E43)&gt;0,ISBLANK(E43)),"","Dado base inválido")</f>
        <v/>
      </c>
    </row>
    <row r="44" spans="2:6" x14ac:dyDescent="0.25">
      <c r="B44">
        <v>42</v>
      </c>
      <c r="C44" s="80"/>
      <c r="D44" s="84"/>
      <c r="E44" s="84"/>
      <c r="F44" s="79" t="str">
        <f>IF(OR(COUNTIF('Filtro Dado base'!$A$2:$A$176,Campos!E44)&gt;0,ISBLANK(E44)),"","Dado base inválido")</f>
        <v/>
      </c>
    </row>
    <row r="45" spans="2:6" x14ac:dyDescent="0.25">
      <c r="B45">
        <v>43</v>
      </c>
      <c r="C45" s="80"/>
      <c r="D45" s="84"/>
      <c r="E45" s="84"/>
      <c r="F45" s="79" t="str">
        <f>IF(OR(COUNTIF('Filtro Dado base'!$A$2:$A$176,Campos!E45)&gt;0,ISBLANK(E45)),"","Dado base inválido")</f>
        <v/>
      </c>
    </row>
    <row r="46" spans="2:6" x14ac:dyDescent="0.25">
      <c r="B46">
        <v>44</v>
      </c>
      <c r="C46" s="80"/>
      <c r="D46" s="84"/>
      <c r="E46" s="84"/>
      <c r="F46" s="79" t="str">
        <f>IF(OR(COUNTIF('Filtro Dado base'!$A$2:$A$176,Campos!E46)&gt;0,ISBLANK(E46)),"","Dado base inválido")</f>
        <v/>
      </c>
    </row>
    <row r="47" spans="2:6" x14ac:dyDescent="0.25">
      <c r="B47">
        <v>45</v>
      </c>
      <c r="C47" s="80"/>
      <c r="D47" s="84"/>
      <c r="E47" s="84"/>
      <c r="F47" s="79" t="str">
        <f>IF(OR(COUNTIF('Filtro Dado base'!$A$2:$A$176,Campos!E47)&gt;0,ISBLANK(E47)),"","Dado base inválido")</f>
        <v/>
      </c>
    </row>
    <row r="48" spans="2:6" x14ac:dyDescent="0.25">
      <c r="B48">
        <v>46</v>
      </c>
      <c r="C48" s="80"/>
      <c r="D48" s="84"/>
      <c r="E48" s="84"/>
      <c r="F48" s="79" t="str">
        <f>IF(OR(COUNTIF('Filtro Dado base'!$A$2:$A$176,Campos!E48)&gt;0,ISBLANK(E48)),"","Dado base inválido")</f>
        <v/>
      </c>
    </row>
    <row r="49" spans="2:6" x14ac:dyDescent="0.25">
      <c r="B49">
        <v>47</v>
      </c>
      <c r="C49" s="80"/>
      <c r="D49" s="80"/>
      <c r="E49" s="84"/>
      <c r="F49" s="79" t="str">
        <f>IF(OR(COUNTIF('Filtro Dado base'!$A$2:$A$176,Campos!E49)&gt;0,ISBLANK(E49)),"","Dado base inválido")</f>
        <v/>
      </c>
    </row>
    <row r="50" spans="2:6" x14ac:dyDescent="0.25">
      <c r="B50">
        <v>48</v>
      </c>
      <c r="C50" s="80"/>
      <c r="D50" s="80"/>
      <c r="E50" s="84"/>
      <c r="F50" s="79" t="str">
        <f>IF(OR(COUNTIF('Filtro Dado base'!$A$2:$A$176,Campos!E50)&gt;0,ISBLANK(E50)),"","Dado base inválido")</f>
        <v/>
      </c>
    </row>
    <row r="51" spans="2:6" x14ac:dyDescent="0.25">
      <c r="B51">
        <v>49</v>
      </c>
      <c r="C51" s="80"/>
      <c r="D51" s="80"/>
      <c r="E51" s="84"/>
      <c r="F51" s="79" t="str">
        <f>IF(OR(COUNTIF('Filtro Dado base'!$A$2:$A$176,Campos!E51)&gt;0,ISBLANK(E51)),"","Dado base inválido")</f>
        <v/>
      </c>
    </row>
    <row r="52" spans="2:6" x14ac:dyDescent="0.25">
      <c r="B52">
        <v>50</v>
      </c>
      <c r="C52" s="80"/>
      <c r="D52" s="80"/>
      <c r="E52" s="84"/>
      <c r="F52" s="79" t="str">
        <f>IF(OR(COUNTIF('Filtro Dado base'!$A$2:$A$176,Campos!E52)&gt;0,ISBLANK(E52)),"","Dado base inválido")</f>
        <v/>
      </c>
    </row>
    <row r="53" spans="2:6" x14ac:dyDescent="0.25">
      <c r="B53">
        <v>51</v>
      </c>
      <c r="C53" s="80"/>
      <c r="D53" s="80"/>
      <c r="E53" s="84"/>
      <c r="F53" s="79" t="str">
        <f>IF(OR(COUNTIF('Filtro Dado base'!$A$2:$A$176,Campos!E53)&gt;0,ISBLANK(E53)),"","Dado base inválido")</f>
        <v/>
      </c>
    </row>
    <row r="54" spans="2:6" x14ac:dyDescent="0.25">
      <c r="B54">
        <v>52</v>
      </c>
      <c r="C54" s="80"/>
      <c r="D54" s="80"/>
      <c r="E54" s="84"/>
      <c r="F54" s="79" t="str">
        <f>IF(OR(COUNTIF('Filtro Dado base'!$A$2:$A$176,Campos!E54)&gt;0,ISBLANK(E54)),"","Dado base inválido")</f>
        <v/>
      </c>
    </row>
    <row r="55" spans="2:6" x14ac:dyDescent="0.25">
      <c r="B55">
        <v>53</v>
      </c>
      <c r="C55" s="84"/>
      <c r="D55" s="80"/>
      <c r="E55" s="84"/>
      <c r="F55" s="79" t="str">
        <f>IF(OR(COUNTIF('Filtro Dado base'!$A$2:$A$176,Campos!E55)&gt;0,ISBLANK(E55)),"","Dado base inválido")</f>
        <v/>
      </c>
    </row>
    <row r="56" spans="2:6" x14ac:dyDescent="0.25">
      <c r="B56">
        <v>54</v>
      </c>
      <c r="C56" s="80"/>
      <c r="D56" s="80"/>
      <c r="E56" s="84"/>
      <c r="F56" s="79" t="str">
        <f>IF(OR(COUNTIF('Filtro Dado base'!$A$2:$A$176,Campos!E56)&gt;0,ISBLANK(E56)),"","Dado base inválido")</f>
        <v/>
      </c>
    </row>
    <row r="57" spans="2:6" x14ac:dyDescent="0.25">
      <c r="B57">
        <v>55</v>
      </c>
      <c r="C57" s="80"/>
      <c r="D57" s="80"/>
      <c r="E57" s="84"/>
      <c r="F57" s="79" t="str">
        <f>IF(OR(COUNTIF('Filtro Dado base'!$A$2:$A$176,Campos!E57)&gt;0,ISBLANK(E57)),"","Dado base inválido")</f>
        <v/>
      </c>
    </row>
    <row r="58" spans="2:6" x14ac:dyDescent="0.25">
      <c r="B58">
        <v>56</v>
      </c>
      <c r="C58" s="80"/>
      <c r="D58" s="80"/>
      <c r="E58" s="84"/>
      <c r="F58" s="79" t="str">
        <f>IF(OR(COUNTIF('Filtro Dado base'!$A$2:$A$176,Campos!E58)&gt;0,ISBLANK(E58)),"","Dado base inválido")</f>
        <v/>
      </c>
    </row>
    <row r="59" spans="2:6" x14ac:dyDescent="0.25">
      <c r="B59">
        <v>57</v>
      </c>
      <c r="C59" s="80"/>
      <c r="D59" s="80"/>
      <c r="E59" s="84"/>
      <c r="F59" s="79" t="str">
        <f>IF(OR(COUNTIF('Filtro Dado base'!$A$2:$A$176,Campos!E59)&gt;0,ISBLANK(E59)),"","Dado base inválido")</f>
        <v/>
      </c>
    </row>
    <row r="60" spans="2:6" x14ac:dyDescent="0.25">
      <c r="B60">
        <v>58</v>
      </c>
      <c r="C60" s="80"/>
      <c r="D60" s="80"/>
      <c r="E60" s="84"/>
      <c r="F60" s="79" t="str">
        <f>IF(OR(COUNTIF('Filtro Dado base'!$A$2:$A$176,Campos!E60)&gt;0,ISBLANK(E60)),"","Dado base inválido")</f>
        <v/>
      </c>
    </row>
    <row r="61" spans="2:6" x14ac:dyDescent="0.25">
      <c r="B61">
        <v>59</v>
      </c>
      <c r="C61" s="80"/>
      <c r="D61" s="80"/>
      <c r="E61" s="84"/>
      <c r="F61" s="79" t="str">
        <f>IF(OR(COUNTIF('Filtro Dado base'!$A$2:$A$176,Campos!E61)&gt;0,ISBLANK(E61)),"","Dado base inválido")</f>
        <v/>
      </c>
    </row>
    <row r="62" spans="2:6" x14ac:dyDescent="0.25">
      <c r="B62">
        <v>60</v>
      </c>
      <c r="C62" s="80"/>
      <c r="D62" s="80"/>
      <c r="E62" s="84"/>
      <c r="F62" s="79" t="str">
        <f>IF(OR(COUNTIF('Filtro Dado base'!$A$2:$A$176,Campos!E62)&gt;0,ISBLANK(E62)),"","Dado base inválido")</f>
        <v/>
      </c>
    </row>
    <row r="63" spans="2:6" x14ac:dyDescent="0.25">
      <c r="B63">
        <v>61</v>
      </c>
      <c r="C63" s="80"/>
      <c r="D63" s="80"/>
      <c r="E63" s="84"/>
      <c r="F63" s="79" t="str">
        <f>IF(OR(COUNTIF('Filtro Dado base'!$A$2:$A$176,Campos!E63)&gt;0,ISBLANK(E63)),"","Dado base inválido")</f>
        <v/>
      </c>
    </row>
    <row r="64" spans="2:6" x14ac:dyDescent="0.25">
      <c r="B64">
        <v>62</v>
      </c>
      <c r="C64" s="80"/>
      <c r="D64" s="80"/>
      <c r="E64" s="84"/>
      <c r="F64" s="79" t="str">
        <f>IF(OR(COUNTIF('Filtro Dado base'!$A$2:$A$176,Campos!E64)&gt;0,ISBLANK(E64)),"","Dado base inválido")</f>
        <v/>
      </c>
    </row>
    <row r="65" spans="2:6" x14ac:dyDescent="0.25">
      <c r="B65">
        <v>63</v>
      </c>
      <c r="C65" s="80"/>
      <c r="D65" s="80"/>
      <c r="E65" s="84"/>
      <c r="F65" s="79" t="str">
        <f>IF(OR(COUNTIF('Filtro Dado base'!$A$2:$A$176,Campos!E65)&gt;0,ISBLANK(E65)),"","Dado base inválido")</f>
        <v/>
      </c>
    </row>
    <row r="66" spans="2:6" x14ac:dyDescent="0.25">
      <c r="B66">
        <v>64</v>
      </c>
      <c r="C66" s="80"/>
      <c r="D66" s="80"/>
      <c r="E66" s="84"/>
      <c r="F66" s="79" t="str">
        <f>IF(OR(COUNTIF('Filtro Dado base'!$A$2:$A$176,Campos!E66)&gt;0,ISBLANK(E66)),"","Dado base inválido")</f>
        <v/>
      </c>
    </row>
    <row r="67" spans="2:6" x14ac:dyDescent="0.25">
      <c r="B67">
        <v>65</v>
      </c>
      <c r="C67" s="80"/>
      <c r="D67" s="80"/>
      <c r="E67" s="84"/>
      <c r="F67" s="79" t="str">
        <f>IF(OR(COUNTIF('Filtro Dado base'!$A$2:$A$176,Campos!E67)&gt;0,ISBLANK(E67)),"","Dado base inválido")</f>
        <v/>
      </c>
    </row>
    <row r="68" spans="2:6" x14ac:dyDescent="0.25">
      <c r="B68">
        <v>66</v>
      </c>
      <c r="C68" s="80"/>
      <c r="D68" s="80"/>
      <c r="E68" s="84"/>
      <c r="F68" s="79" t="str">
        <f>IF(OR(COUNTIF('Filtro Dado base'!$A$2:$A$176,Campos!E68)&gt;0,ISBLANK(E68)),"","Dado base inválido")</f>
        <v/>
      </c>
    </row>
    <row r="69" spans="2:6" x14ac:dyDescent="0.25">
      <c r="B69">
        <v>67</v>
      </c>
      <c r="C69" s="80"/>
      <c r="D69" s="80"/>
      <c r="E69" s="84"/>
      <c r="F69" s="79" t="str">
        <f>IF(OR(COUNTIF('Filtro Dado base'!$A$2:$A$176,Campos!E69)&gt;0,ISBLANK(E69)),"","Dado base inválido")</f>
        <v/>
      </c>
    </row>
    <row r="70" spans="2:6" x14ac:dyDescent="0.25">
      <c r="B70">
        <v>68</v>
      </c>
      <c r="C70" s="80"/>
      <c r="D70" s="80"/>
      <c r="E70" s="84"/>
      <c r="F70" s="79" t="str">
        <f>IF(OR(COUNTIF('Filtro Dado base'!$A$2:$A$176,Campos!E70)&gt;0,ISBLANK(E70)),"","Dado base inválido")</f>
        <v/>
      </c>
    </row>
    <row r="71" spans="2:6" x14ac:dyDescent="0.25">
      <c r="B71">
        <v>69</v>
      </c>
      <c r="C71" s="80"/>
      <c r="D71" s="80"/>
      <c r="E71" s="84"/>
      <c r="F71" s="79" t="str">
        <f>IF(OR(COUNTIF('Filtro Dado base'!$A$2:$A$176,Campos!E71)&gt;0,ISBLANK(E71)),"","Dado base inválido")</f>
        <v/>
      </c>
    </row>
    <row r="72" spans="2:6" x14ac:dyDescent="0.25">
      <c r="B72">
        <v>70</v>
      </c>
      <c r="C72" s="80"/>
      <c r="D72" s="80"/>
      <c r="E72" s="84"/>
      <c r="F72" s="79" t="str">
        <f>IF(OR(COUNTIF('Filtro Dado base'!$A$2:$A$176,Campos!E72)&gt;0,ISBLANK(E72)),"","Dado base inválido")</f>
        <v/>
      </c>
    </row>
    <row r="73" spans="2:6" x14ac:dyDescent="0.25">
      <c r="B73">
        <v>71</v>
      </c>
      <c r="C73" s="80"/>
      <c r="D73" s="80"/>
      <c r="E73" s="84"/>
      <c r="F73" s="79" t="str">
        <f>IF(OR(COUNTIF('Filtro Dado base'!$A$2:$A$176,Campos!E73)&gt;0,ISBLANK(E73)),"","Dado base inválido")</f>
        <v/>
      </c>
    </row>
    <row r="74" spans="2:6" x14ac:dyDescent="0.25">
      <c r="B74">
        <v>72</v>
      </c>
      <c r="C74" s="80"/>
      <c r="D74" s="80"/>
      <c r="E74" s="84"/>
      <c r="F74" s="79" t="str">
        <f>IF(OR(COUNTIF('Filtro Dado base'!$A$2:$A$176,Campos!E74)&gt;0,ISBLANK(E74)),"","Dado base inválido")</f>
        <v/>
      </c>
    </row>
    <row r="75" spans="2:6" x14ac:dyDescent="0.25">
      <c r="B75">
        <v>73</v>
      </c>
      <c r="C75" s="80"/>
      <c r="D75" s="80"/>
      <c r="E75" s="84"/>
      <c r="F75" s="79" t="str">
        <f>IF(OR(COUNTIF('Filtro Dado base'!$A$2:$A$176,Campos!E75)&gt;0,ISBLANK(E75)),"","Dado base inválido")</f>
        <v/>
      </c>
    </row>
    <row r="76" spans="2:6" x14ac:dyDescent="0.25">
      <c r="B76">
        <v>74</v>
      </c>
      <c r="C76" s="80"/>
      <c r="D76" s="80"/>
      <c r="E76" s="84"/>
      <c r="F76" s="79" t="str">
        <f>IF(OR(COUNTIF('Filtro Dado base'!$A$2:$A$176,Campos!E76)&gt;0,ISBLANK(E76)),"","Dado base inválido")</f>
        <v/>
      </c>
    </row>
    <row r="77" spans="2:6" x14ac:dyDescent="0.25">
      <c r="B77">
        <v>75</v>
      </c>
      <c r="C77" s="80"/>
      <c r="D77" s="80"/>
      <c r="E77" s="84"/>
      <c r="F77" s="79" t="str">
        <f>IF(OR(COUNTIF('Filtro Dado base'!$A$2:$A$176,Campos!E77)&gt;0,ISBLANK(E77)),"","Dado base inválido")</f>
        <v/>
      </c>
    </row>
    <row r="78" spans="2:6" x14ac:dyDescent="0.25">
      <c r="B78">
        <v>76</v>
      </c>
      <c r="C78" s="80"/>
      <c r="D78" s="80"/>
      <c r="E78" s="84"/>
      <c r="F78" s="79" t="str">
        <f>IF(OR(COUNTIF('Filtro Dado base'!$A$2:$A$176,Campos!E78)&gt;0,ISBLANK(E78)),"","Dado base inválido")</f>
        <v/>
      </c>
    </row>
    <row r="79" spans="2:6" x14ac:dyDescent="0.25">
      <c r="B79">
        <v>77</v>
      </c>
      <c r="C79" s="80"/>
      <c r="D79" s="80"/>
      <c r="E79" s="84"/>
      <c r="F79" s="79" t="str">
        <f>IF(OR(COUNTIF('Filtro Dado base'!$A$2:$A$176,Campos!E79)&gt;0,ISBLANK(E79)),"","Dado base inválido")</f>
        <v/>
      </c>
    </row>
    <row r="80" spans="2:6" x14ac:dyDescent="0.25">
      <c r="B80">
        <v>78</v>
      </c>
      <c r="C80" s="80"/>
      <c r="D80" s="80"/>
      <c r="E80" s="84"/>
      <c r="F80" s="79" t="str">
        <f>IF(OR(COUNTIF('Filtro Dado base'!$A$2:$A$176,Campos!E80)&gt;0,ISBLANK(E80)),"","Dado base inválido")</f>
        <v/>
      </c>
    </row>
    <row r="81" spans="2:6" x14ac:dyDescent="0.25">
      <c r="B81">
        <v>79</v>
      </c>
      <c r="C81" s="80"/>
      <c r="D81" s="80"/>
      <c r="E81" s="84"/>
      <c r="F81" s="79" t="str">
        <f>IF(OR(COUNTIF('Filtro Dado base'!$A$2:$A$176,Campos!E81)&gt;0,ISBLANK(E81)),"","Dado base inválido")</f>
        <v/>
      </c>
    </row>
    <row r="82" spans="2:6" x14ac:dyDescent="0.25">
      <c r="B82">
        <v>80</v>
      </c>
      <c r="C82" s="80"/>
      <c r="D82" s="80"/>
      <c r="E82" s="84"/>
      <c r="F82" s="79" t="str">
        <f>IF(OR(COUNTIF('Filtro Dado base'!$A$2:$A$176,Campos!E82)&gt;0,ISBLANK(E82)),"","Dado base inválido")</f>
        <v/>
      </c>
    </row>
    <row r="83" spans="2:6" x14ac:dyDescent="0.25">
      <c r="B83">
        <v>81</v>
      </c>
      <c r="C83" s="80"/>
      <c r="D83" s="80"/>
      <c r="E83" s="84"/>
      <c r="F83" s="79" t="str">
        <f>IF(OR(COUNTIF('Filtro Dado base'!$A$2:$A$176,Campos!E83)&gt;0,ISBLANK(E83)),"","Dado base inválido")</f>
        <v/>
      </c>
    </row>
    <row r="84" spans="2:6" x14ac:dyDescent="0.25">
      <c r="B84">
        <v>82</v>
      </c>
      <c r="C84" s="80"/>
      <c r="D84" s="80"/>
      <c r="E84" s="84"/>
      <c r="F84" s="79" t="str">
        <f>IF(OR(COUNTIF('Filtro Dado base'!$A$2:$A$176,Campos!E84)&gt;0,ISBLANK(E84)),"","Dado base inválido")</f>
        <v/>
      </c>
    </row>
    <row r="85" spans="2:6" x14ac:dyDescent="0.25">
      <c r="B85">
        <v>83</v>
      </c>
      <c r="C85" s="80"/>
      <c r="D85" s="80"/>
      <c r="E85" s="84"/>
      <c r="F85" s="79" t="str">
        <f>IF(OR(COUNTIF('Filtro Dado base'!$A$2:$A$176,Campos!E85)&gt;0,ISBLANK(E85)),"","Dado base inválido")</f>
        <v/>
      </c>
    </row>
    <row r="86" spans="2:6" x14ac:dyDescent="0.25">
      <c r="B86">
        <v>84</v>
      </c>
      <c r="C86" s="80"/>
      <c r="D86" s="80"/>
      <c r="E86" s="84"/>
      <c r="F86" s="79" t="str">
        <f>IF(OR(COUNTIF('Filtro Dado base'!$A$2:$A$176,Campos!E86)&gt;0,ISBLANK(E86)),"","Dado base inválido")</f>
        <v/>
      </c>
    </row>
    <row r="87" spans="2:6" x14ac:dyDescent="0.25">
      <c r="B87">
        <v>85</v>
      </c>
      <c r="C87" s="80"/>
      <c r="D87" s="80"/>
      <c r="E87" s="84"/>
      <c r="F87" s="79" t="str">
        <f>IF(OR(COUNTIF('Filtro Dado base'!$A$2:$A$176,Campos!E87)&gt;0,ISBLANK(E87)),"","Dado base inválido")</f>
        <v/>
      </c>
    </row>
    <row r="88" spans="2:6" x14ac:dyDescent="0.25">
      <c r="B88">
        <v>86</v>
      </c>
      <c r="C88" s="80"/>
      <c r="D88" s="80"/>
      <c r="E88" s="84"/>
      <c r="F88" s="79" t="str">
        <f>IF(OR(COUNTIF('Filtro Dado base'!$A$2:$A$176,Campos!E88)&gt;0,ISBLANK(E88)),"","Dado base inválido")</f>
        <v/>
      </c>
    </row>
    <row r="89" spans="2:6" x14ac:dyDescent="0.25">
      <c r="B89">
        <v>87</v>
      </c>
      <c r="C89" s="80"/>
      <c r="D89" s="80"/>
      <c r="E89" s="84"/>
      <c r="F89" s="79" t="str">
        <f>IF(OR(COUNTIF('Filtro Dado base'!$A$2:$A$176,Campos!E89)&gt;0,ISBLANK(E89)),"","Dado base inválido")</f>
        <v/>
      </c>
    </row>
    <row r="90" spans="2:6" x14ac:dyDescent="0.25">
      <c r="B90">
        <v>88</v>
      </c>
      <c r="C90" s="80"/>
      <c r="D90" s="80"/>
      <c r="E90" s="84"/>
      <c r="F90" s="79" t="str">
        <f>IF(OR(COUNTIF('Filtro Dado base'!$A$2:$A$176,Campos!E90)&gt;0,ISBLANK(E90)),"","Dado base inválido")</f>
        <v/>
      </c>
    </row>
    <row r="91" spans="2:6" x14ac:dyDescent="0.25">
      <c r="B91">
        <v>89</v>
      </c>
      <c r="C91" s="80"/>
      <c r="D91" s="80"/>
      <c r="E91" s="84"/>
      <c r="F91" s="79" t="str">
        <f>IF(OR(COUNTIF('Filtro Dado base'!$A$2:$A$176,Campos!E91)&gt;0,ISBLANK(E91)),"","Dado base inválido")</f>
        <v/>
      </c>
    </row>
    <row r="92" spans="2:6" x14ac:dyDescent="0.25">
      <c r="B92">
        <v>90</v>
      </c>
      <c r="C92" s="80"/>
      <c r="D92" s="80"/>
      <c r="E92" s="84"/>
      <c r="F92" s="79" t="str">
        <f>IF(OR(COUNTIF('Filtro Dado base'!$A$2:$A$176,Campos!E92)&gt;0,ISBLANK(E92)),"","Dado base inválido")</f>
        <v/>
      </c>
    </row>
    <row r="93" spans="2:6" x14ac:dyDescent="0.25">
      <c r="B93">
        <v>91</v>
      </c>
      <c r="C93" s="80"/>
      <c r="D93" s="80"/>
      <c r="E93" s="84"/>
      <c r="F93" s="79" t="str">
        <f>IF(OR(COUNTIF('Filtro Dado base'!$A$2:$A$176,Campos!E93)&gt;0,ISBLANK(E93)),"","Dado base inválido")</f>
        <v/>
      </c>
    </row>
    <row r="94" spans="2:6" x14ac:dyDescent="0.25">
      <c r="B94">
        <v>92</v>
      </c>
      <c r="C94" s="80"/>
      <c r="D94" s="80"/>
      <c r="E94" s="84"/>
      <c r="F94" s="79" t="str">
        <f>IF(OR(COUNTIF('Filtro Dado base'!$A$2:$A$176,Campos!E94)&gt;0,ISBLANK(E94)),"","Dado base inválido")</f>
        <v/>
      </c>
    </row>
    <row r="95" spans="2:6" x14ac:dyDescent="0.25">
      <c r="B95">
        <v>93</v>
      </c>
      <c r="C95" s="80"/>
      <c r="D95" s="80"/>
      <c r="E95" s="84"/>
      <c r="F95" s="79" t="str">
        <f>IF(OR(COUNTIF('Filtro Dado base'!$A$2:$A$176,Campos!E95)&gt;0,ISBLANK(E95)),"","Dado base inválido")</f>
        <v/>
      </c>
    </row>
    <row r="96" spans="2:6" x14ac:dyDescent="0.25">
      <c r="B96">
        <v>94</v>
      </c>
      <c r="C96" s="80"/>
      <c r="D96" s="80"/>
      <c r="E96" s="84"/>
      <c r="F96" s="79" t="str">
        <f>IF(OR(COUNTIF('Filtro Dado base'!$A$2:$A$176,Campos!E96)&gt;0,ISBLANK(E96)),"","Dado base inválido")</f>
        <v/>
      </c>
    </row>
    <row r="97" spans="2:6" x14ac:dyDescent="0.25">
      <c r="B97">
        <v>95</v>
      </c>
      <c r="C97" s="80"/>
      <c r="D97" s="80"/>
      <c r="E97" s="84"/>
      <c r="F97" s="79" t="str">
        <f>IF(OR(COUNTIF('Filtro Dado base'!$A$2:$A$176,Campos!E97)&gt;0,ISBLANK(E97)),"","Dado base inválido")</f>
        <v/>
      </c>
    </row>
    <row r="98" spans="2:6" x14ac:dyDescent="0.25">
      <c r="B98">
        <v>96</v>
      </c>
      <c r="C98" s="80"/>
      <c r="D98" s="80"/>
      <c r="E98" s="84"/>
      <c r="F98" s="79" t="str">
        <f>IF(OR(COUNTIF('Filtro Dado base'!$A$2:$A$176,Campos!E98)&gt;0,ISBLANK(E98)),"","Dado base inválido")</f>
        <v/>
      </c>
    </row>
    <row r="99" spans="2:6" x14ac:dyDescent="0.25">
      <c r="B99">
        <v>97</v>
      </c>
      <c r="C99" s="80"/>
      <c r="D99" s="80"/>
      <c r="E99" s="84"/>
      <c r="F99" s="79" t="str">
        <f>IF(OR(COUNTIF('Filtro Dado base'!$A$2:$A$176,Campos!E99)&gt;0,ISBLANK(E99)),"","Dado base inválido")</f>
        <v/>
      </c>
    </row>
    <row r="100" spans="2:6" x14ac:dyDescent="0.25">
      <c r="B100">
        <v>98</v>
      </c>
      <c r="C100" s="80"/>
      <c r="D100" s="80"/>
      <c r="E100" s="84"/>
      <c r="F100" s="79" t="str">
        <f>IF(OR(COUNTIF('Filtro Dado base'!$A$2:$A$176,Campos!E100)&gt;0,ISBLANK(E100)),"","Dado base inválido")</f>
        <v/>
      </c>
    </row>
    <row r="101" spans="2:6" x14ac:dyDescent="0.25">
      <c r="B101">
        <v>99</v>
      </c>
      <c r="C101" s="80"/>
      <c r="D101" s="80"/>
      <c r="E101" s="84"/>
      <c r="F101" s="79" t="str">
        <f>IF(OR(COUNTIF('Filtro Dado base'!$A$2:$A$176,Campos!E101)&gt;0,ISBLANK(E101)),"","Dado base inválido")</f>
        <v/>
      </c>
    </row>
    <row r="102" spans="2:6" x14ac:dyDescent="0.25">
      <c r="B102">
        <v>100</v>
      </c>
      <c r="C102" s="80"/>
      <c r="D102" s="80"/>
      <c r="E102" s="84"/>
      <c r="F102" s="79" t="str">
        <f>IF(OR(COUNTIF('Filtro Dado base'!$A$2:$A$176,Campos!E102)&gt;0,ISBLANK(E102)),"","Dado base inválido")</f>
        <v/>
      </c>
    </row>
    <row r="103" spans="2:6" x14ac:dyDescent="0.25">
      <c r="B103">
        <v>101</v>
      </c>
      <c r="C103" s="80"/>
      <c r="D103" s="80"/>
      <c r="E103" s="84"/>
      <c r="F103" s="79" t="str">
        <f>IF(OR(COUNTIF('Filtro Dado base'!$A$2:$A$176,Campos!E103)&gt;0,ISBLANK(E103)),"","Dado base inválido")</f>
        <v/>
      </c>
    </row>
    <row r="104" spans="2:6" x14ac:dyDescent="0.25">
      <c r="B104">
        <v>102</v>
      </c>
      <c r="C104" s="80"/>
      <c r="D104" s="80"/>
      <c r="E104" s="84"/>
      <c r="F104" s="79" t="str">
        <f>IF(OR(COUNTIF('Filtro Dado base'!$A$2:$A$176,Campos!E104)&gt;0,ISBLANK(E104)),"","Dado base inválido")</f>
        <v/>
      </c>
    </row>
    <row r="105" spans="2:6" x14ac:dyDescent="0.25">
      <c r="B105">
        <v>103</v>
      </c>
      <c r="C105" s="80"/>
      <c r="D105" s="80"/>
      <c r="E105" s="84"/>
      <c r="F105" s="79" t="str">
        <f>IF(OR(COUNTIF('Filtro Dado base'!$A$2:$A$176,Campos!E105)&gt;0,ISBLANK(E105)),"","Dado base inválido")</f>
        <v/>
      </c>
    </row>
    <row r="106" spans="2:6" x14ac:dyDescent="0.25">
      <c r="B106">
        <v>104</v>
      </c>
      <c r="C106" s="80"/>
      <c r="D106" s="80"/>
      <c r="E106" s="84"/>
      <c r="F106" s="79" t="str">
        <f>IF(OR(COUNTIF('Filtro Dado base'!$A$2:$A$176,Campos!E106)&gt;0,ISBLANK(E106)),"","Dado base inválido")</f>
        <v/>
      </c>
    </row>
    <row r="107" spans="2:6" x14ac:dyDescent="0.25">
      <c r="B107">
        <v>105</v>
      </c>
      <c r="C107" s="80"/>
      <c r="D107" s="80"/>
      <c r="E107" s="84"/>
      <c r="F107" s="79" t="str">
        <f>IF(OR(COUNTIF('Filtro Dado base'!$A$2:$A$176,Campos!E107)&gt;0,ISBLANK(E107)),"","Dado base inválido")</f>
        <v/>
      </c>
    </row>
    <row r="108" spans="2:6" x14ac:dyDescent="0.25">
      <c r="B108">
        <v>106</v>
      </c>
      <c r="C108" s="80"/>
      <c r="D108" s="80"/>
      <c r="E108" s="84"/>
      <c r="F108" s="79" t="str">
        <f>IF(OR(COUNTIF('Filtro Dado base'!$A$2:$A$176,Campos!E108)&gt;0,ISBLANK(E108)),"","Dado base inválido")</f>
        <v/>
      </c>
    </row>
    <row r="109" spans="2:6" x14ac:dyDescent="0.25">
      <c r="B109">
        <v>107</v>
      </c>
      <c r="C109" s="80"/>
      <c r="D109" s="80"/>
      <c r="E109" s="84"/>
      <c r="F109" s="79" t="str">
        <f>IF(OR(COUNTIF('Filtro Dado base'!$A$2:$A$176,Campos!E109)&gt;0,ISBLANK(E109)),"","Dado base inválido")</f>
        <v/>
      </c>
    </row>
    <row r="110" spans="2:6" x14ac:dyDescent="0.25">
      <c r="B110">
        <v>108</v>
      </c>
      <c r="C110" s="80"/>
      <c r="D110" s="80"/>
      <c r="E110" s="84"/>
      <c r="F110" s="79" t="str">
        <f>IF(OR(COUNTIF('Filtro Dado base'!$A$2:$A$176,Campos!E110)&gt;0,ISBLANK(E110)),"","Dado base inválido")</f>
        <v/>
      </c>
    </row>
    <row r="111" spans="2:6" x14ac:dyDescent="0.25">
      <c r="B111">
        <v>109</v>
      </c>
      <c r="C111" s="80"/>
      <c r="D111" s="80"/>
      <c r="E111" s="84"/>
      <c r="F111" s="79" t="str">
        <f>IF(OR(COUNTIF('Filtro Dado base'!$A$2:$A$176,Campos!E111)&gt;0,ISBLANK(E111)),"","Dado base inválido")</f>
        <v/>
      </c>
    </row>
    <row r="112" spans="2:6" x14ac:dyDescent="0.25">
      <c r="B112">
        <v>110</v>
      </c>
      <c r="C112" s="80"/>
      <c r="D112" s="80"/>
      <c r="E112" s="84"/>
      <c r="F112" s="79" t="str">
        <f>IF(OR(COUNTIF('Filtro Dado base'!$A$2:$A$176,Campos!E112)&gt;0,ISBLANK(E112)),"","Dado base inválido")</f>
        <v/>
      </c>
    </row>
    <row r="113" spans="2:6" x14ac:dyDescent="0.25">
      <c r="B113">
        <v>111</v>
      </c>
      <c r="C113" s="80"/>
      <c r="D113" s="80"/>
      <c r="E113" s="84"/>
      <c r="F113" s="79" t="str">
        <f>IF(OR(COUNTIF('Filtro Dado base'!$A$2:$A$176,Campos!E113)&gt;0,ISBLANK(E113)),"","Dado base inválido")</f>
        <v/>
      </c>
    </row>
    <row r="114" spans="2:6" x14ac:dyDescent="0.25">
      <c r="B114">
        <v>112</v>
      </c>
      <c r="C114" s="80"/>
      <c r="D114" s="80"/>
      <c r="E114" s="84"/>
      <c r="F114" s="79" t="str">
        <f>IF(OR(COUNTIF('Filtro Dado base'!$A$2:$A$176,Campos!E114)&gt;0,ISBLANK(E114)),"","Dado base inválido")</f>
        <v/>
      </c>
    </row>
    <row r="115" spans="2:6" x14ac:dyDescent="0.25">
      <c r="B115">
        <v>113</v>
      </c>
      <c r="C115" s="80"/>
      <c r="D115" s="80"/>
      <c r="E115" s="84"/>
      <c r="F115" s="79" t="str">
        <f>IF(OR(COUNTIF('Filtro Dado base'!$A$2:$A$176,Campos!E115)&gt;0,ISBLANK(E115)),"","Dado base inválido")</f>
        <v/>
      </c>
    </row>
    <row r="116" spans="2:6" x14ac:dyDescent="0.25">
      <c r="B116">
        <v>114</v>
      </c>
      <c r="C116" s="80"/>
      <c r="D116" s="80"/>
      <c r="E116" s="84"/>
      <c r="F116" s="79" t="str">
        <f>IF(OR(COUNTIF('Filtro Dado base'!$A$2:$A$176,Campos!E116)&gt;0,ISBLANK(E116)),"","Dado base inválido")</f>
        <v/>
      </c>
    </row>
    <row r="117" spans="2:6" x14ac:dyDescent="0.25">
      <c r="B117">
        <v>115</v>
      </c>
      <c r="C117" s="80"/>
      <c r="D117" s="80"/>
      <c r="E117" s="84"/>
      <c r="F117" s="79" t="str">
        <f>IF(OR(COUNTIF('Filtro Dado base'!$A$2:$A$176,Campos!E117)&gt;0,ISBLANK(E117)),"","Dado base inválido")</f>
        <v/>
      </c>
    </row>
    <row r="118" spans="2:6" x14ac:dyDescent="0.25">
      <c r="B118">
        <v>116</v>
      </c>
      <c r="C118" s="80"/>
      <c r="D118" s="80"/>
      <c r="E118" s="84"/>
      <c r="F118" s="79" t="str">
        <f>IF(OR(COUNTIF('Filtro Dado base'!$A$2:$A$176,Campos!E118)&gt;0,ISBLANK(E118)),"","Dado base inválido")</f>
        <v/>
      </c>
    </row>
    <row r="119" spans="2:6" x14ac:dyDescent="0.25">
      <c r="B119">
        <v>117</v>
      </c>
      <c r="C119" s="80"/>
      <c r="D119" s="80"/>
      <c r="E119" s="84"/>
      <c r="F119" s="79" t="str">
        <f>IF(OR(COUNTIF('Filtro Dado base'!$A$2:$A$176,Campos!E119)&gt;0,ISBLANK(E119)),"","Dado base inválido")</f>
        <v/>
      </c>
    </row>
    <row r="120" spans="2:6" x14ac:dyDescent="0.25">
      <c r="B120">
        <v>118</v>
      </c>
      <c r="C120" s="80"/>
      <c r="D120" s="80"/>
      <c r="E120" s="84"/>
      <c r="F120" s="79" t="str">
        <f>IF(OR(COUNTIF('Filtro Dado base'!$A$2:$A$176,Campos!E120)&gt;0,ISBLANK(E120)),"","Dado base inválido")</f>
        <v/>
      </c>
    </row>
    <row r="121" spans="2:6" x14ac:dyDescent="0.25">
      <c r="B121">
        <v>119</v>
      </c>
      <c r="C121" s="80"/>
      <c r="D121" s="80"/>
      <c r="E121" s="84"/>
      <c r="F121" s="79" t="str">
        <f>IF(OR(COUNTIF('Filtro Dado base'!$A$2:$A$176,Campos!E121)&gt;0,ISBLANK(E121)),"","Dado base inválido")</f>
        <v/>
      </c>
    </row>
    <row r="122" spans="2:6" x14ac:dyDescent="0.25">
      <c r="B122">
        <v>120</v>
      </c>
      <c r="C122" s="80"/>
      <c r="D122" s="80"/>
      <c r="E122" s="84"/>
      <c r="F122" s="79" t="str">
        <f>IF(OR(COUNTIF('Filtro Dado base'!$A$2:$A$176,Campos!E122)&gt;0,ISBLANK(E122)),"","Dado base inválido")</f>
        <v/>
      </c>
    </row>
    <row r="123" spans="2:6" x14ac:dyDescent="0.25">
      <c r="B123">
        <v>121</v>
      </c>
      <c r="C123" s="80"/>
      <c r="D123" s="80"/>
      <c r="E123" s="84"/>
      <c r="F123" s="79" t="str">
        <f>IF(OR(COUNTIF('Filtro Dado base'!$A$2:$A$176,Campos!E123)&gt;0,ISBLANK(E123)),"","Dado base inválido")</f>
        <v/>
      </c>
    </row>
    <row r="124" spans="2:6" x14ac:dyDescent="0.25">
      <c r="B124">
        <v>122</v>
      </c>
      <c r="C124" s="80"/>
      <c r="D124" s="80"/>
      <c r="E124" s="84"/>
      <c r="F124" s="79" t="str">
        <f>IF(OR(COUNTIF('Filtro Dado base'!$A$2:$A$176,Campos!E124)&gt;0,ISBLANK(E124)),"","Dado base inválido")</f>
        <v/>
      </c>
    </row>
    <row r="125" spans="2:6" x14ac:dyDescent="0.25">
      <c r="B125">
        <v>123</v>
      </c>
      <c r="C125" s="80"/>
      <c r="D125" s="80"/>
      <c r="E125" s="84"/>
      <c r="F125" s="79" t="str">
        <f>IF(OR(COUNTIF('Filtro Dado base'!$A$2:$A$176,Campos!E125)&gt;0,ISBLANK(E125)),"","Dado base inválido")</f>
        <v/>
      </c>
    </row>
    <row r="126" spans="2:6" x14ac:dyDescent="0.25">
      <c r="B126">
        <v>124</v>
      </c>
      <c r="C126" s="80"/>
      <c r="D126" s="80"/>
      <c r="E126" s="84"/>
      <c r="F126" s="79" t="str">
        <f>IF(OR(COUNTIF('Filtro Dado base'!$A$2:$A$176,Campos!E126)&gt;0,ISBLANK(E126)),"","Dado base inválido")</f>
        <v/>
      </c>
    </row>
    <row r="127" spans="2:6" x14ac:dyDescent="0.25">
      <c r="B127">
        <v>125</v>
      </c>
      <c r="C127" s="80"/>
      <c r="D127" s="80"/>
      <c r="E127" s="84"/>
      <c r="F127" s="79" t="str">
        <f>IF(OR(COUNTIF('Filtro Dado base'!$A$2:$A$176,Campos!E127)&gt;0,ISBLANK(E127)),"","Dado base inválido")</f>
        <v/>
      </c>
    </row>
    <row r="128" spans="2:6" x14ac:dyDescent="0.25">
      <c r="B128">
        <v>126</v>
      </c>
      <c r="C128" s="80"/>
      <c r="D128" s="80"/>
      <c r="E128" s="84"/>
      <c r="F128" s="79" t="str">
        <f>IF(OR(COUNTIF('Filtro Dado base'!$A$2:$A$176,Campos!E128)&gt;0,ISBLANK(E128)),"","Dado base inválido")</f>
        <v/>
      </c>
    </row>
    <row r="129" spans="2:6" x14ac:dyDescent="0.25">
      <c r="B129">
        <v>127</v>
      </c>
      <c r="C129" s="80"/>
      <c r="D129" s="80"/>
      <c r="E129" s="84"/>
      <c r="F129" s="79" t="str">
        <f>IF(OR(COUNTIF('Filtro Dado base'!$A$2:$A$176,Campos!E129)&gt;0,ISBLANK(E129)),"","Dado base inválido")</f>
        <v/>
      </c>
    </row>
    <row r="130" spans="2:6" x14ac:dyDescent="0.25">
      <c r="B130">
        <v>128</v>
      </c>
      <c r="C130" s="80"/>
      <c r="D130" s="80"/>
      <c r="E130" s="84"/>
      <c r="F130" s="79" t="str">
        <f>IF(OR(COUNTIF('Filtro Dado base'!$A$2:$A$176,Campos!E130)&gt;0,ISBLANK(E130)),"","Dado base inválido")</f>
        <v/>
      </c>
    </row>
    <row r="131" spans="2:6" x14ac:dyDescent="0.25">
      <c r="B131">
        <v>129</v>
      </c>
      <c r="C131" s="80"/>
      <c r="D131" s="80"/>
      <c r="E131" s="84"/>
      <c r="F131" s="79" t="str">
        <f>IF(OR(COUNTIF('Filtro Dado base'!$A$2:$A$176,Campos!E131)&gt;0,ISBLANK(E131)),"","Dado base inválido")</f>
        <v/>
      </c>
    </row>
    <row r="132" spans="2:6" x14ac:dyDescent="0.25">
      <c r="B132">
        <v>130</v>
      </c>
      <c r="C132" s="80"/>
      <c r="D132" s="80"/>
      <c r="E132" s="84"/>
      <c r="F132" s="79" t="str">
        <f>IF(OR(COUNTIF('Filtro Dado base'!$A$2:$A$176,Campos!E132)&gt;0,ISBLANK(E132)),"","Dado base inválido")</f>
        <v/>
      </c>
    </row>
    <row r="133" spans="2:6" x14ac:dyDescent="0.25">
      <c r="B133">
        <v>131</v>
      </c>
      <c r="C133" s="80"/>
      <c r="D133" s="80"/>
      <c r="E133" s="84"/>
      <c r="F133" s="79" t="str">
        <f>IF(OR(COUNTIF('Filtro Dado base'!$A$2:$A$176,Campos!E133)&gt;0,ISBLANK(E133)),"","Dado base inválido")</f>
        <v/>
      </c>
    </row>
    <row r="134" spans="2:6" x14ac:dyDescent="0.25">
      <c r="B134">
        <v>132</v>
      </c>
      <c r="C134" s="80"/>
      <c r="D134" s="80"/>
      <c r="E134" s="84"/>
      <c r="F134" s="79" t="str">
        <f>IF(OR(COUNTIF('Filtro Dado base'!$A$2:$A$176,Campos!E134)&gt;0,ISBLANK(E134)),"","Dado base inválido")</f>
        <v/>
      </c>
    </row>
    <row r="135" spans="2:6" x14ac:dyDescent="0.25">
      <c r="B135">
        <v>133</v>
      </c>
      <c r="C135" s="80"/>
      <c r="D135" s="80"/>
      <c r="E135" s="84"/>
      <c r="F135" s="79" t="str">
        <f>IF(OR(COUNTIF('Filtro Dado base'!$A$2:$A$176,Campos!E135)&gt;0,ISBLANK(E135)),"","Dado base inválido")</f>
        <v/>
      </c>
    </row>
    <row r="136" spans="2:6" x14ac:dyDescent="0.25">
      <c r="B136">
        <v>134</v>
      </c>
      <c r="C136" s="80"/>
      <c r="D136" s="80"/>
      <c r="E136" s="84"/>
      <c r="F136" s="79" t="str">
        <f>IF(OR(COUNTIF('Filtro Dado base'!$A$2:$A$176,Campos!E136)&gt;0,ISBLANK(E136)),"","Dado base inválido")</f>
        <v/>
      </c>
    </row>
    <row r="137" spans="2:6" x14ac:dyDescent="0.25">
      <c r="B137">
        <v>135</v>
      </c>
      <c r="C137" s="80"/>
      <c r="D137" s="80"/>
      <c r="E137" s="84"/>
      <c r="F137" s="79" t="str">
        <f>IF(OR(COUNTIF('Filtro Dado base'!$A$2:$A$176,Campos!E137)&gt;0,ISBLANK(E137)),"","Dado base inválido")</f>
        <v/>
      </c>
    </row>
    <row r="138" spans="2:6" x14ac:dyDescent="0.25">
      <c r="B138">
        <v>136</v>
      </c>
      <c r="C138" s="80"/>
      <c r="D138" s="80"/>
      <c r="E138" s="84"/>
      <c r="F138" s="79" t="str">
        <f>IF(OR(COUNTIF('Filtro Dado base'!$A$2:$A$176,Campos!E138)&gt;0,ISBLANK(E138)),"","Dado base inválido")</f>
        <v/>
      </c>
    </row>
    <row r="139" spans="2:6" x14ac:dyDescent="0.25">
      <c r="B139">
        <v>137</v>
      </c>
      <c r="C139" s="80"/>
      <c r="D139" s="80"/>
      <c r="E139" s="84"/>
      <c r="F139" s="79" t="str">
        <f>IF(OR(COUNTIF('Filtro Dado base'!$A$2:$A$176,Campos!E139)&gt;0,ISBLANK(E139)),"","Dado base inválido")</f>
        <v/>
      </c>
    </row>
    <row r="140" spans="2:6" x14ac:dyDescent="0.25">
      <c r="B140">
        <v>138</v>
      </c>
      <c r="C140" s="80"/>
      <c r="D140" s="80"/>
      <c r="E140" s="84"/>
      <c r="F140" s="79" t="str">
        <f>IF(OR(COUNTIF('Filtro Dado base'!$A$2:$A$176,Campos!E140)&gt;0,ISBLANK(E140)),"","Dado base inválido")</f>
        <v/>
      </c>
    </row>
    <row r="141" spans="2:6" x14ac:dyDescent="0.25">
      <c r="B141">
        <v>139</v>
      </c>
      <c r="C141" s="80"/>
      <c r="D141" s="80"/>
      <c r="E141" s="84"/>
      <c r="F141" s="79" t="str">
        <f>IF(OR(COUNTIF('Filtro Dado base'!$A$2:$A$176,Campos!E141)&gt;0,ISBLANK(E141)),"","Dado base inválido")</f>
        <v/>
      </c>
    </row>
    <row r="142" spans="2:6" x14ac:dyDescent="0.25">
      <c r="B142">
        <v>140</v>
      </c>
      <c r="C142" s="80"/>
      <c r="D142" s="80"/>
      <c r="E142" s="84"/>
      <c r="F142" s="79" t="str">
        <f>IF(OR(COUNTIF('Filtro Dado base'!$A$2:$A$176,Campos!E142)&gt;0,ISBLANK(E142)),"","Dado base inválido")</f>
        <v/>
      </c>
    </row>
    <row r="143" spans="2:6" x14ac:dyDescent="0.25">
      <c r="B143">
        <v>141</v>
      </c>
      <c r="C143" s="80"/>
      <c r="D143" s="80"/>
      <c r="E143" s="84"/>
      <c r="F143" s="79" t="str">
        <f>IF(OR(COUNTIF('Filtro Dado base'!$A$2:$A$176,Campos!E143)&gt;0,ISBLANK(E143)),"","Dado base inválido")</f>
        <v/>
      </c>
    </row>
    <row r="144" spans="2:6" x14ac:dyDescent="0.25">
      <c r="B144">
        <v>142</v>
      </c>
      <c r="C144" s="80"/>
      <c r="D144" s="80"/>
      <c r="E144" s="84"/>
      <c r="F144" s="79" t="str">
        <f>IF(OR(COUNTIF('Filtro Dado base'!$A$2:$A$176,Campos!E144)&gt;0,ISBLANK(E144)),"","Dado base inválido")</f>
        <v/>
      </c>
    </row>
    <row r="145" spans="2:6" x14ac:dyDescent="0.25">
      <c r="B145">
        <v>143</v>
      </c>
      <c r="C145" s="80"/>
      <c r="D145" s="80"/>
      <c r="E145" s="84"/>
      <c r="F145" s="79" t="str">
        <f>IF(OR(COUNTIF('Filtro Dado base'!$A$2:$A$176,Campos!E145)&gt;0,ISBLANK(E145)),"","Dado base inválido")</f>
        <v/>
      </c>
    </row>
    <row r="146" spans="2:6" x14ac:dyDescent="0.25">
      <c r="B146">
        <v>144</v>
      </c>
      <c r="C146" s="80"/>
      <c r="D146" s="80"/>
      <c r="E146" s="84"/>
      <c r="F146" s="79" t="str">
        <f>IF(OR(COUNTIF('Filtro Dado base'!$A$2:$A$176,Campos!E146)&gt;0,ISBLANK(E146)),"","Dado base inválido")</f>
        <v/>
      </c>
    </row>
    <row r="147" spans="2:6" x14ac:dyDescent="0.25">
      <c r="B147">
        <v>145</v>
      </c>
      <c r="C147" s="80"/>
      <c r="D147" s="80"/>
      <c r="E147" s="84"/>
      <c r="F147" s="79" t="str">
        <f>IF(OR(COUNTIF('Filtro Dado base'!$A$2:$A$176,Campos!E147)&gt;0,ISBLANK(E147)),"","Dado base inválido")</f>
        <v/>
      </c>
    </row>
    <row r="148" spans="2:6" x14ac:dyDescent="0.25">
      <c r="B148">
        <v>146</v>
      </c>
      <c r="C148" s="80"/>
      <c r="D148" s="80"/>
      <c r="E148" s="84"/>
      <c r="F148" s="79" t="str">
        <f>IF(OR(COUNTIF('Filtro Dado base'!$A$2:$A$176,Campos!E148)&gt;0,ISBLANK(E148)),"","Dado base inválido")</f>
        <v/>
      </c>
    </row>
    <row r="149" spans="2:6" x14ac:dyDescent="0.25">
      <c r="B149">
        <v>147</v>
      </c>
      <c r="C149" s="80"/>
      <c r="D149" s="80"/>
      <c r="E149" s="84"/>
      <c r="F149" s="79" t="str">
        <f>IF(OR(COUNTIF('Filtro Dado base'!$A$2:$A$176,Campos!E149)&gt;0,ISBLANK(E149)),"","Dado base inválido")</f>
        <v/>
      </c>
    </row>
    <row r="150" spans="2:6" x14ac:dyDescent="0.25">
      <c r="B150">
        <v>148</v>
      </c>
      <c r="C150" s="80"/>
      <c r="D150" s="80"/>
      <c r="E150" s="84"/>
      <c r="F150" s="79" t="str">
        <f>IF(OR(COUNTIF('Filtro Dado base'!$A$2:$A$176,Campos!E150)&gt;0,ISBLANK(E150)),"","Dado base inválido")</f>
        <v/>
      </c>
    </row>
    <row r="151" spans="2:6" x14ac:dyDescent="0.25">
      <c r="B151">
        <v>149</v>
      </c>
      <c r="C151" s="80"/>
      <c r="D151" s="80"/>
      <c r="E151" s="84"/>
      <c r="F151" s="79" t="str">
        <f>IF(OR(COUNTIF('Filtro Dado base'!$A$2:$A$176,Campos!E151)&gt;0,ISBLANK(E151)),"","Dado base inválido")</f>
        <v/>
      </c>
    </row>
    <row r="152" spans="2:6" x14ac:dyDescent="0.25">
      <c r="B152">
        <v>150</v>
      </c>
      <c r="C152" s="80"/>
      <c r="D152" s="80"/>
      <c r="E152" s="84"/>
      <c r="F152" s="79" t="str">
        <f>IF(OR(COUNTIF('Filtro Dado base'!$A$2:$A$176,Campos!E152)&gt;0,ISBLANK(E152)),"","Dado base inválido")</f>
        <v/>
      </c>
    </row>
    <row r="153" spans="2:6" x14ac:dyDescent="0.25">
      <c r="B153">
        <v>151</v>
      </c>
      <c r="C153" s="80"/>
      <c r="D153" s="80"/>
      <c r="E153" s="84"/>
      <c r="F153" s="79" t="str">
        <f>IF(OR(COUNTIF('Filtro Dado base'!$A$2:$A$176,Campos!E153)&gt;0,ISBLANK(E153)),"","Dado base inválido")</f>
        <v/>
      </c>
    </row>
    <row r="154" spans="2:6" x14ac:dyDescent="0.25">
      <c r="B154">
        <v>152</v>
      </c>
      <c r="C154" s="80"/>
      <c r="D154" s="80"/>
      <c r="E154" s="84"/>
      <c r="F154" s="79" t="str">
        <f>IF(OR(COUNTIF('Filtro Dado base'!$A$2:$A$176,Campos!E154)&gt;0,ISBLANK(E154)),"","Dado base inválido")</f>
        <v/>
      </c>
    </row>
    <row r="155" spans="2:6" x14ac:dyDescent="0.25">
      <c r="B155">
        <v>153</v>
      </c>
      <c r="C155" s="80"/>
      <c r="D155" s="80"/>
      <c r="E155" s="84"/>
      <c r="F155" s="79" t="str">
        <f>IF(OR(COUNTIF('Filtro Dado base'!$A$2:$A$176,Campos!E155)&gt;0,ISBLANK(E155)),"","Dado base inválido")</f>
        <v/>
      </c>
    </row>
    <row r="156" spans="2:6" x14ac:dyDescent="0.25">
      <c r="B156">
        <v>154</v>
      </c>
      <c r="C156" s="80"/>
      <c r="D156" s="80"/>
      <c r="E156" s="84"/>
      <c r="F156" s="79" t="str">
        <f>IF(OR(COUNTIF('Filtro Dado base'!$A$2:$A$176,Campos!E156)&gt;0,ISBLANK(E156)),"","Dado base inválido")</f>
        <v/>
      </c>
    </row>
    <row r="157" spans="2:6" x14ac:dyDescent="0.25">
      <c r="B157">
        <v>155</v>
      </c>
      <c r="C157" s="80"/>
      <c r="D157" s="80"/>
      <c r="E157" s="84"/>
      <c r="F157" s="79" t="str">
        <f>IF(OR(COUNTIF('Filtro Dado base'!$A$2:$A$176,Campos!E157)&gt;0,ISBLANK(E157)),"","Dado base inválido")</f>
        <v/>
      </c>
    </row>
    <row r="158" spans="2:6" x14ac:dyDescent="0.25">
      <c r="B158">
        <v>156</v>
      </c>
      <c r="C158" s="80"/>
      <c r="D158" s="80"/>
      <c r="E158" s="84"/>
      <c r="F158" s="79" t="str">
        <f>IF(OR(COUNTIF('Filtro Dado base'!$A$2:$A$176,Campos!E158)&gt;0,ISBLANK(E158)),"","Dado base inválido")</f>
        <v/>
      </c>
    </row>
    <row r="159" spans="2:6" x14ac:dyDescent="0.25">
      <c r="B159">
        <v>157</v>
      </c>
      <c r="C159" s="80"/>
      <c r="D159" s="80"/>
      <c r="E159" s="84"/>
      <c r="F159" s="79" t="str">
        <f>IF(OR(COUNTIF('Filtro Dado base'!$A$2:$A$176,Campos!E159)&gt;0,ISBLANK(E159)),"","Dado base inválido")</f>
        <v/>
      </c>
    </row>
    <row r="160" spans="2:6" x14ac:dyDescent="0.25">
      <c r="B160">
        <v>158</v>
      </c>
      <c r="C160" s="80"/>
      <c r="D160" s="80"/>
      <c r="E160" s="84"/>
      <c r="F160" s="79" t="str">
        <f>IF(OR(COUNTIF('Filtro Dado base'!$A$2:$A$176,Campos!E160)&gt;0,ISBLANK(E160)),"","Dado base inválido")</f>
        <v/>
      </c>
    </row>
    <row r="161" spans="2:6" x14ac:dyDescent="0.25">
      <c r="B161">
        <v>159</v>
      </c>
      <c r="C161" s="80"/>
      <c r="D161" s="80"/>
      <c r="E161" s="84"/>
      <c r="F161" s="79" t="str">
        <f>IF(OR(COUNTIF('Filtro Dado base'!$A$2:$A$176,Campos!E161)&gt;0,ISBLANK(E161)),"","Dado base inválido")</f>
        <v/>
      </c>
    </row>
    <row r="162" spans="2:6" x14ac:dyDescent="0.25">
      <c r="B162">
        <v>160</v>
      </c>
      <c r="C162" s="80"/>
      <c r="D162" s="80"/>
      <c r="E162" s="84"/>
      <c r="F162" s="79" t="str">
        <f>IF(OR(COUNTIF('Filtro Dado base'!$A$2:$A$176,Campos!E162)&gt;0,ISBLANK(E162)),"","Dado base inválido")</f>
        <v/>
      </c>
    </row>
    <row r="163" spans="2:6" x14ac:dyDescent="0.25">
      <c r="B163">
        <v>161</v>
      </c>
      <c r="C163" s="80"/>
      <c r="D163" s="80"/>
      <c r="E163" s="84"/>
      <c r="F163" s="79" t="str">
        <f>IF(OR(COUNTIF('Filtro Dado base'!$A$2:$A$176,Campos!E163)&gt;0,ISBLANK(E163)),"","Dado base inválido")</f>
        <v/>
      </c>
    </row>
    <row r="164" spans="2:6" x14ac:dyDescent="0.25">
      <c r="B164">
        <v>162</v>
      </c>
      <c r="C164" s="80"/>
      <c r="D164" s="80"/>
      <c r="E164" s="84"/>
      <c r="F164" s="79" t="str">
        <f>IF(OR(COUNTIF('Filtro Dado base'!$A$2:$A$176,Campos!E164)&gt;0,ISBLANK(E164)),"","Dado base inválido")</f>
        <v/>
      </c>
    </row>
    <row r="165" spans="2:6" x14ac:dyDescent="0.25">
      <c r="B165">
        <v>163</v>
      </c>
      <c r="C165" s="80"/>
      <c r="D165" s="80"/>
      <c r="E165" s="84"/>
      <c r="F165" s="79" t="str">
        <f>IF(OR(COUNTIF('Filtro Dado base'!$A$2:$A$176,Campos!E165)&gt;0,ISBLANK(E165)),"","Dado base inválido")</f>
        <v/>
      </c>
    </row>
    <row r="166" spans="2:6" x14ac:dyDescent="0.25">
      <c r="B166">
        <v>164</v>
      </c>
      <c r="C166" s="80"/>
      <c r="D166" s="80"/>
      <c r="E166" s="84"/>
      <c r="F166" s="79" t="str">
        <f>IF(OR(COUNTIF('Filtro Dado base'!$A$2:$A$176,Campos!E166)&gt;0,ISBLANK(E166)),"","Dado base inválido")</f>
        <v/>
      </c>
    </row>
    <row r="167" spans="2:6" x14ac:dyDescent="0.25">
      <c r="B167">
        <v>165</v>
      </c>
      <c r="C167" s="80"/>
      <c r="D167" s="80"/>
      <c r="E167" s="84"/>
      <c r="F167" s="79" t="str">
        <f>IF(OR(COUNTIF('Filtro Dado base'!$A$2:$A$176,Campos!E167)&gt;0,ISBLANK(E167)),"","Dado base inválido")</f>
        <v/>
      </c>
    </row>
    <row r="168" spans="2:6" x14ac:dyDescent="0.25">
      <c r="B168">
        <v>166</v>
      </c>
      <c r="C168" s="80"/>
      <c r="D168" s="80"/>
      <c r="E168" s="84"/>
      <c r="F168" s="79" t="str">
        <f>IF(OR(COUNTIF('Filtro Dado base'!$A$2:$A$176,Campos!E168)&gt;0,ISBLANK(E168)),"","Dado base inválido")</f>
        <v/>
      </c>
    </row>
    <row r="169" spans="2:6" x14ac:dyDescent="0.25">
      <c r="B169">
        <v>167</v>
      </c>
      <c r="C169" s="80"/>
      <c r="D169" s="80"/>
      <c r="E169" s="84"/>
      <c r="F169" s="79" t="str">
        <f>IF(OR(COUNTIF('Filtro Dado base'!$A$2:$A$176,Campos!E169)&gt;0,ISBLANK(E169)),"","Dado base inválido")</f>
        <v/>
      </c>
    </row>
    <row r="170" spans="2:6" x14ac:dyDescent="0.25">
      <c r="B170">
        <v>168</v>
      </c>
      <c r="C170" s="80"/>
      <c r="D170" s="80"/>
      <c r="E170" s="84"/>
      <c r="F170" s="79" t="str">
        <f>IF(OR(COUNTIF('Filtro Dado base'!$A$2:$A$176,Campos!E170)&gt;0,ISBLANK(E170)),"","Dado base inválido")</f>
        <v/>
      </c>
    </row>
    <row r="171" spans="2:6" x14ac:dyDescent="0.25">
      <c r="B171">
        <v>169</v>
      </c>
      <c r="C171" s="80"/>
      <c r="D171" s="80"/>
      <c r="E171" s="84"/>
      <c r="F171" s="79" t="str">
        <f>IF(OR(COUNTIF('Filtro Dado base'!$A$2:$A$176,Campos!E171)&gt;0,ISBLANK(E171)),"","Dado base inválido")</f>
        <v/>
      </c>
    </row>
    <row r="172" spans="2:6" x14ac:dyDescent="0.25">
      <c r="B172">
        <v>170</v>
      </c>
      <c r="C172" s="80"/>
      <c r="D172" s="80"/>
      <c r="E172" s="84"/>
      <c r="F172" s="79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C43" sqref="C43"/>
    </sheetView>
  </sheetViews>
  <sheetFormatPr defaultColWidth="0" defaultRowHeight="15" zeroHeight="1" x14ac:dyDescent="0.25"/>
  <cols>
    <col min="1" max="1" width="5.5703125" customWidth="1"/>
    <col min="2" max="2" width="28.140625" style="64" customWidth="1"/>
    <col min="3" max="3" width="68.42578125" style="64" customWidth="1"/>
    <col min="4" max="4" width="80.5703125" customWidth="1"/>
    <col min="5" max="5" width="5.5703125" customWidth="1"/>
    <col min="6" max="16384" width="9.140625" hidden="1"/>
  </cols>
  <sheetData>
    <row r="1" spans="1:5" ht="30" x14ac:dyDescent="0.25">
      <c r="A1" s="58"/>
      <c r="B1" s="281" t="s">
        <v>89</v>
      </c>
      <c r="C1" s="281"/>
      <c r="D1" s="59" t="s">
        <v>90</v>
      </c>
      <c r="E1" s="60" t="s">
        <v>73</v>
      </c>
    </row>
    <row r="2" spans="1:5" ht="32.25" thickBot="1" x14ac:dyDescent="0.3">
      <c r="B2" s="282" t="s">
        <v>91</v>
      </c>
      <c r="C2" s="61" t="s">
        <v>92</v>
      </c>
      <c r="D2" s="61" t="s">
        <v>93</v>
      </c>
    </row>
    <row r="3" spans="1:5" ht="16.5" thickBot="1" x14ac:dyDescent="0.3">
      <c r="B3" s="280"/>
      <c r="C3" s="62" t="s">
        <v>94</v>
      </c>
      <c r="D3" s="62" t="s">
        <v>95</v>
      </c>
    </row>
    <row r="4" spans="1:5" ht="16.5" thickBot="1" x14ac:dyDescent="0.3">
      <c r="B4" s="280"/>
      <c r="C4" s="62" t="s">
        <v>96</v>
      </c>
      <c r="D4" s="62" t="s">
        <v>97</v>
      </c>
    </row>
    <row r="5" spans="1:5" ht="16.5" thickBot="1" x14ac:dyDescent="0.3">
      <c r="B5" s="280" t="s">
        <v>98</v>
      </c>
      <c r="C5" s="62" t="s">
        <v>99</v>
      </c>
      <c r="D5" s="62" t="s">
        <v>100</v>
      </c>
    </row>
    <row r="6" spans="1:5" ht="16.5" thickBot="1" x14ac:dyDescent="0.3">
      <c r="B6" s="280"/>
      <c r="C6" s="62" t="s">
        <v>101</v>
      </c>
      <c r="D6" s="62" t="s">
        <v>102</v>
      </c>
    </row>
    <row r="7" spans="1:5" ht="16.5" thickBot="1" x14ac:dyDescent="0.3">
      <c r="B7" s="280"/>
      <c r="C7" s="62" t="s">
        <v>103</v>
      </c>
      <c r="D7" s="62" t="s">
        <v>104</v>
      </c>
    </row>
    <row r="8" spans="1:5" ht="16.5" thickBot="1" x14ac:dyDescent="0.3">
      <c r="B8" s="280"/>
      <c r="C8" s="62" t="s">
        <v>105</v>
      </c>
      <c r="D8" s="62" t="s">
        <v>106</v>
      </c>
    </row>
    <row r="9" spans="1:5" ht="16.5" thickBot="1" x14ac:dyDescent="0.3">
      <c r="B9" s="280"/>
      <c r="C9" s="62" t="s">
        <v>107</v>
      </c>
      <c r="D9" s="62" t="s">
        <v>108</v>
      </c>
    </row>
    <row r="10" spans="1:5" ht="16.5" thickBot="1" x14ac:dyDescent="0.3">
      <c r="B10" s="280"/>
      <c r="C10" s="62" t="s">
        <v>109</v>
      </c>
      <c r="D10" s="62" t="s">
        <v>110</v>
      </c>
    </row>
    <row r="11" spans="1:5" ht="32.25" thickBot="1" x14ac:dyDescent="0.3">
      <c r="B11" s="280"/>
      <c r="C11" s="62" t="s">
        <v>111</v>
      </c>
      <c r="D11" s="62" t="s">
        <v>112</v>
      </c>
    </row>
    <row r="12" spans="1:5" ht="16.5" thickBot="1" x14ac:dyDescent="0.3">
      <c r="B12" s="280"/>
      <c r="C12" s="62" t="s">
        <v>113</v>
      </c>
      <c r="D12" s="62" t="s">
        <v>114</v>
      </c>
    </row>
    <row r="13" spans="1:5" ht="16.5" thickBot="1" x14ac:dyDescent="0.3">
      <c r="B13" s="280"/>
      <c r="C13" s="62" t="s">
        <v>115</v>
      </c>
      <c r="D13" s="62" t="s">
        <v>116</v>
      </c>
    </row>
    <row r="14" spans="1:5" ht="16.5" customHeight="1" thickBot="1" x14ac:dyDescent="0.3">
      <c r="B14" s="280" t="s">
        <v>117</v>
      </c>
      <c r="C14" s="62" t="s">
        <v>118</v>
      </c>
      <c r="D14" s="62" t="s">
        <v>119</v>
      </c>
    </row>
    <row r="15" spans="1:5" ht="32.25" thickBot="1" x14ac:dyDescent="0.3">
      <c r="B15" s="280"/>
      <c r="C15" s="62" t="s">
        <v>120</v>
      </c>
      <c r="D15" s="62" t="s">
        <v>121</v>
      </c>
    </row>
    <row r="16" spans="1:5" ht="32.25" thickBot="1" x14ac:dyDescent="0.3">
      <c r="B16" s="280"/>
      <c r="C16" s="62" t="s">
        <v>122</v>
      </c>
      <c r="D16" s="62" t="s">
        <v>123</v>
      </c>
    </row>
    <row r="17" spans="2:4" ht="16.5" customHeight="1" thickBot="1" x14ac:dyDescent="0.3">
      <c r="B17" s="280"/>
      <c r="C17" s="62" t="s">
        <v>124</v>
      </c>
      <c r="D17" s="62" t="s">
        <v>125</v>
      </c>
    </row>
    <row r="18" spans="2:4" ht="16.5" thickBot="1" x14ac:dyDescent="0.3">
      <c r="B18" s="280"/>
      <c r="C18" s="62" t="s">
        <v>126</v>
      </c>
      <c r="D18" s="62" t="s">
        <v>127</v>
      </c>
    </row>
    <row r="19" spans="2:4" ht="32.25" thickBot="1" x14ac:dyDescent="0.3">
      <c r="B19" s="280"/>
      <c r="C19" s="62" t="s">
        <v>128</v>
      </c>
      <c r="D19" s="62" t="s">
        <v>129</v>
      </c>
    </row>
    <row r="20" spans="2:4" ht="16.5" customHeight="1" thickBot="1" x14ac:dyDescent="0.3">
      <c r="B20" s="280"/>
      <c r="C20" s="62" t="s">
        <v>130</v>
      </c>
      <c r="D20" s="62" t="s">
        <v>131</v>
      </c>
    </row>
    <row r="21" spans="2:4" ht="16.5" customHeight="1" thickBot="1" x14ac:dyDescent="0.3">
      <c r="B21" s="280"/>
      <c r="C21" s="62" t="s">
        <v>132</v>
      </c>
      <c r="D21" s="62" t="s">
        <v>133</v>
      </c>
    </row>
    <row r="22" spans="2:4" ht="15.75" customHeight="1" thickBot="1" x14ac:dyDescent="0.3">
      <c r="B22" s="280"/>
      <c r="C22" s="62" t="s">
        <v>134</v>
      </c>
      <c r="D22" s="62" t="s">
        <v>135</v>
      </c>
    </row>
    <row r="23" spans="2:4" ht="16.5" customHeight="1" thickBot="1" x14ac:dyDescent="0.3">
      <c r="B23" s="280"/>
      <c r="C23" s="62" t="s">
        <v>136</v>
      </c>
      <c r="D23" s="62" t="s">
        <v>137</v>
      </c>
    </row>
    <row r="24" spans="2:4" ht="16.5" customHeight="1" thickBot="1" x14ac:dyDescent="0.3">
      <c r="B24" s="280"/>
      <c r="C24" s="62" t="s">
        <v>138</v>
      </c>
      <c r="D24" s="62" t="s">
        <v>139</v>
      </c>
    </row>
    <row r="25" spans="2:4" ht="32.25" thickBot="1" x14ac:dyDescent="0.3">
      <c r="B25" s="280"/>
      <c r="C25" s="62" t="s">
        <v>140</v>
      </c>
      <c r="D25" s="62" t="s">
        <v>141</v>
      </c>
    </row>
    <row r="26" spans="2:4" ht="32.25" thickBot="1" x14ac:dyDescent="0.3">
      <c r="B26" s="280"/>
      <c r="C26" s="62" t="s">
        <v>142</v>
      </c>
      <c r="D26" s="62" t="s">
        <v>143</v>
      </c>
    </row>
    <row r="27" spans="2:4" ht="16.5" customHeight="1" thickBot="1" x14ac:dyDescent="0.3">
      <c r="B27" s="280"/>
      <c r="C27" s="62" t="s">
        <v>144</v>
      </c>
      <c r="D27" s="62" t="s">
        <v>145</v>
      </c>
    </row>
    <row r="28" spans="2:4" ht="15.75" customHeight="1" thickBot="1" x14ac:dyDescent="0.3">
      <c r="B28" s="280"/>
      <c r="C28" s="62" t="s">
        <v>146</v>
      </c>
      <c r="D28" s="62" t="s">
        <v>147</v>
      </c>
    </row>
    <row r="29" spans="2:4" ht="16.5" thickBot="1" x14ac:dyDescent="0.3">
      <c r="B29" s="280" t="s">
        <v>148</v>
      </c>
      <c r="C29" s="62" t="s">
        <v>149</v>
      </c>
      <c r="D29" s="62" t="s">
        <v>150</v>
      </c>
    </row>
    <row r="30" spans="2:4" ht="16.5" thickBot="1" x14ac:dyDescent="0.3">
      <c r="B30" s="280"/>
      <c r="C30" s="62" t="s">
        <v>151</v>
      </c>
      <c r="D30" s="62" t="s">
        <v>152</v>
      </c>
    </row>
    <row r="31" spans="2:4" ht="16.5" thickBot="1" x14ac:dyDescent="0.3">
      <c r="B31" s="280" t="s">
        <v>153</v>
      </c>
      <c r="C31" s="62" t="s">
        <v>154</v>
      </c>
      <c r="D31" s="62" t="s">
        <v>155</v>
      </c>
    </row>
    <row r="32" spans="2:4" ht="16.5" thickBot="1" x14ac:dyDescent="0.3">
      <c r="B32" s="280"/>
      <c r="C32" s="62" t="s">
        <v>156</v>
      </c>
      <c r="D32" s="62" t="s">
        <v>157</v>
      </c>
    </row>
    <row r="33" spans="2:4" ht="32.25" thickBot="1" x14ac:dyDescent="0.3">
      <c r="B33" s="280"/>
      <c r="C33" s="62" t="s">
        <v>158</v>
      </c>
      <c r="D33" s="62" t="s">
        <v>159</v>
      </c>
    </row>
    <row r="34" spans="2:4" ht="32.25" thickBot="1" x14ac:dyDescent="0.3">
      <c r="B34" s="280" t="s">
        <v>160</v>
      </c>
      <c r="C34" s="62" t="s">
        <v>161</v>
      </c>
      <c r="D34" s="62" t="s">
        <v>162</v>
      </c>
    </row>
    <row r="35" spans="2:4" ht="16.5" thickBot="1" x14ac:dyDescent="0.3">
      <c r="B35" s="280"/>
      <c r="C35" s="62" t="s">
        <v>163</v>
      </c>
      <c r="D35" s="62" t="s">
        <v>164</v>
      </c>
    </row>
    <row r="36" spans="2:4" ht="16.5" thickBot="1" x14ac:dyDescent="0.3">
      <c r="B36" s="280"/>
      <c r="C36" s="62" t="s">
        <v>165</v>
      </c>
      <c r="D36" s="62" t="s">
        <v>166</v>
      </c>
    </row>
    <row r="37" spans="2:4" ht="19.5" thickBot="1" x14ac:dyDescent="0.3">
      <c r="B37" s="63" t="s">
        <v>167</v>
      </c>
      <c r="C37" s="62" t="s">
        <v>168</v>
      </c>
      <c r="D37" s="62" t="s">
        <v>169</v>
      </c>
    </row>
    <row r="38" spans="2:4" ht="16.5" thickBot="1" x14ac:dyDescent="0.3">
      <c r="B38" s="280" t="s">
        <v>170</v>
      </c>
      <c r="C38" s="62" t="s">
        <v>171</v>
      </c>
      <c r="D38" s="62" t="s">
        <v>172</v>
      </c>
    </row>
    <row r="39" spans="2:4" ht="16.5" thickBot="1" x14ac:dyDescent="0.3">
      <c r="B39" s="280"/>
      <c r="C39" s="62" t="s">
        <v>173</v>
      </c>
      <c r="D39" s="62" t="s">
        <v>174</v>
      </c>
    </row>
    <row r="40" spans="2:4" ht="16.5" thickBot="1" x14ac:dyDescent="0.3">
      <c r="B40" s="280"/>
      <c r="C40" s="62" t="s">
        <v>175</v>
      </c>
      <c r="D40" s="62" t="s">
        <v>176</v>
      </c>
    </row>
    <row r="41" spans="2:4" ht="32.25" thickBot="1" x14ac:dyDescent="0.3">
      <c r="B41" s="280" t="s">
        <v>177</v>
      </c>
      <c r="C41" s="62" t="s">
        <v>178</v>
      </c>
      <c r="D41" s="62" t="s">
        <v>179</v>
      </c>
    </row>
    <row r="42" spans="2:4" ht="16.5" thickBot="1" x14ac:dyDescent="0.3">
      <c r="B42" s="280"/>
      <c r="C42" s="62" t="s">
        <v>180</v>
      </c>
      <c r="D42" s="62" t="s">
        <v>181</v>
      </c>
    </row>
    <row r="43" spans="2:4" ht="16.5" thickBot="1" x14ac:dyDescent="0.3">
      <c r="B43" s="280"/>
      <c r="C43" s="62" t="s">
        <v>182</v>
      </c>
      <c r="D43" s="62" t="s">
        <v>183</v>
      </c>
    </row>
    <row r="44" spans="2:4" x14ac:dyDescent="0.25"/>
    <row r="45" spans="2:4" x14ac:dyDescent="0.2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zoomScaleNormal="100" workbookViewId="0">
      <pane ySplit="1" topLeftCell="A70" activePane="bottomLeft" state="frozen"/>
      <selection pane="bottomLeft" activeCell="D86" sqref="D86"/>
    </sheetView>
  </sheetViews>
  <sheetFormatPr defaultColWidth="0" defaultRowHeight="14.45" customHeight="1" x14ac:dyDescent="0.25"/>
  <cols>
    <col min="1" max="1" width="8.85546875" style="73" customWidth="1"/>
    <col min="2" max="2" width="43.85546875" style="74" customWidth="1"/>
    <col min="3" max="3" width="43.85546875" style="72" customWidth="1"/>
    <col min="4" max="4" width="36.5703125" style="76" customWidth="1"/>
    <col min="5" max="5" width="53.85546875" style="76" customWidth="1"/>
    <col min="6" max="6" width="8.85546875" style="73" customWidth="1"/>
    <col min="7" max="9" width="8.85546875" style="73" hidden="1" customWidth="1"/>
    <col min="10" max="10" width="0" style="73" hidden="1" customWidth="1"/>
    <col min="11" max="11" width="8.85546875" style="73" hidden="1" customWidth="1"/>
    <col min="12" max="12" width="0" style="73" hidden="1" customWidth="1"/>
    <col min="13" max="13" width="8.85546875" style="73" hidden="1" customWidth="1"/>
    <col min="14" max="14" width="0" style="73" hidden="1" customWidth="1"/>
    <col min="15" max="15" width="8.85546875" style="73" hidden="1" customWidth="1"/>
    <col min="16" max="18" width="0" style="73" hidden="1" customWidth="1"/>
    <col min="19" max="16384" width="8.85546875" style="73" hidden="1"/>
  </cols>
  <sheetData>
    <row r="1" spans="1:6" ht="14.45" customHeight="1" thickBot="1" x14ac:dyDescent="0.3">
      <c r="B1" s="90" t="s">
        <v>263</v>
      </c>
      <c r="C1" s="91" t="s">
        <v>263</v>
      </c>
      <c r="D1" s="92" t="s">
        <v>185</v>
      </c>
      <c r="E1" s="90" t="s">
        <v>186</v>
      </c>
    </row>
    <row r="2" spans="1:6" ht="14.45" customHeight="1" x14ac:dyDescent="0.25">
      <c r="A2" s="83"/>
      <c r="B2" s="93" t="s">
        <v>264</v>
      </c>
      <c r="C2" s="94" t="s">
        <v>362</v>
      </c>
      <c r="D2" s="95" t="s">
        <v>39</v>
      </c>
      <c r="E2" s="96" t="s">
        <v>369</v>
      </c>
    </row>
    <row r="3" spans="1:6" ht="14.45" customHeight="1" x14ac:dyDescent="0.25">
      <c r="A3" s="83"/>
      <c r="B3" s="97" t="s">
        <v>264</v>
      </c>
      <c r="C3" s="98" t="s">
        <v>362</v>
      </c>
      <c r="D3" s="99" t="s">
        <v>197</v>
      </c>
      <c r="E3" s="100" t="s">
        <v>228</v>
      </c>
    </row>
    <row r="4" spans="1:6" ht="14.45" customHeight="1" x14ac:dyDescent="0.25">
      <c r="A4" s="83"/>
      <c r="B4" s="97" t="s">
        <v>264</v>
      </c>
      <c r="C4" s="98" t="s">
        <v>362</v>
      </c>
      <c r="D4" s="99" t="s">
        <v>370</v>
      </c>
      <c r="E4" s="100" t="s">
        <v>504</v>
      </c>
    </row>
    <row r="5" spans="1:6" ht="14.45" customHeight="1" x14ac:dyDescent="0.25">
      <c r="A5" s="83"/>
      <c r="B5" s="97" t="s">
        <v>264</v>
      </c>
      <c r="C5" s="98" t="s">
        <v>362</v>
      </c>
      <c r="D5" s="99" t="s">
        <v>372</v>
      </c>
      <c r="E5" s="100" t="s">
        <v>373</v>
      </c>
    </row>
    <row r="6" spans="1:6" ht="14.45" customHeight="1" x14ac:dyDescent="0.25">
      <c r="A6" s="83"/>
      <c r="B6" s="97" t="s">
        <v>264</v>
      </c>
      <c r="C6" s="98" t="s">
        <v>362</v>
      </c>
      <c r="D6" s="99" t="s">
        <v>505</v>
      </c>
      <c r="E6" s="100" t="s">
        <v>229</v>
      </c>
    </row>
    <row r="7" spans="1:6" ht="14.45" customHeight="1" x14ac:dyDescent="0.25">
      <c r="A7" s="83"/>
      <c r="B7" s="101" t="s">
        <v>264</v>
      </c>
      <c r="C7" s="102" t="s">
        <v>362</v>
      </c>
      <c r="D7" s="103" t="s">
        <v>374</v>
      </c>
      <c r="E7" s="104" t="s">
        <v>375</v>
      </c>
    </row>
    <row r="8" spans="1:6" ht="14.45" customHeight="1" x14ac:dyDescent="0.25">
      <c r="A8" s="83"/>
      <c r="B8" s="105" t="s">
        <v>264</v>
      </c>
      <c r="C8" s="106" t="s">
        <v>265</v>
      </c>
      <c r="D8" s="107" t="s">
        <v>376</v>
      </c>
      <c r="E8" s="108" t="s">
        <v>377</v>
      </c>
    </row>
    <row r="9" spans="1:6" ht="14.45" customHeight="1" x14ac:dyDescent="0.25">
      <c r="A9" s="83"/>
      <c r="B9" s="97" t="s">
        <v>264</v>
      </c>
      <c r="C9" s="98" t="s">
        <v>265</v>
      </c>
      <c r="D9" s="99" t="s">
        <v>378</v>
      </c>
      <c r="E9" s="100" t="s">
        <v>371</v>
      </c>
    </row>
    <row r="10" spans="1:6" ht="14.45" customHeight="1" x14ac:dyDescent="0.25">
      <c r="A10" s="83"/>
      <c r="B10" s="97" t="s">
        <v>264</v>
      </c>
      <c r="C10" s="98" t="s">
        <v>265</v>
      </c>
      <c r="D10" s="99" t="s">
        <v>379</v>
      </c>
      <c r="E10" s="100" t="s">
        <v>380</v>
      </c>
      <c r="F10" s="82"/>
    </row>
    <row r="11" spans="1:6" ht="14.45" customHeight="1" x14ac:dyDescent="0.25">
      <c r="A11" s="83"/>
      <c r="B11" s="97" t="s">
        <v>264</v>
      </c>
      <c r="C11" s="98" t="s">
        <v>265</v>
      </c>
      <c r="D11" s="99" t="s">
        <v>381</v>
      </c>
      <c r="E11" s="100" t="s">
        <v>382</v>
      </c>
      <c r="F11" s="82"/>
    </row>
    <row r="12" spans="1:6" ht="14.45" customHeight="1" x14ac:dyDescent="0.25">
      <c r="A12" s="83"/>
      <c r="B12" s="97" t="s">
        <v>264</v>
      </c>
      <c r="C12" s="98" t="s">
        <v>265</v>
      </c>
      <c r="D12" s="99" t="s">
        <v>191</v>
      </c>
      <c r="E12" s="100" t="s">
        <v>335</v>
      </c>
    </row>
    <row r="13" spans="1:6" ht="14.45" customHeight="1" x14ac:dyDescent="0.25">
      <c r="A13" s="83"/>
      <c r="B13" s="97" t="s">
        <v>264</v>
      </c>
      <c r="C13" s="98" t="s">
        <v>265</v>
      </c>
      <c r="D13" s="99" t="s">
        <v>334</v>
      </c>
      <c r="E13" s="100" t="s">
        <v>336</v>
      </c>
    </row>
    <row r="14" spans="1:6" ht="14.45" customHeight="1" x14ac:dyDescent="0.25">
      <c r="A14" s="83"/>
      <c r="B14" s="97" t="s">
        <v>264</v>
      </c>
      <c r="C14" s="98" t="s">
        <v>265</v>
      </c>
      <c r="D14" s="99" t="s">
        <v>201</v>
      </c>
      <c r="E14" s="100" t="s">
        <v>201</v>
      </c>
    </row>
    <row r="15" spans="1:6" ht="14.45" customHeight="1" x14ac:dyDescent="0.25">
      <c r="A15" s="83"/>
      <c r="B15" s="97" t="s">
        <v>264</v>
      </c>
      <c r="C15" s="98" t="s">
        <v>265</v>
      </c>
      <c r="D15" s="99" t="s">
        <v>202</v>
      </c>
      <c r="E15" s="100" t="s">
        <v>202</v>
      </c>
    </row>
    <row r="16" spans="1:6" ht="14.45" customHeight="1" x14ac:dyDescent="0.25">
      <c r="A16" s="83"/>
      <c r="B16" s="97" t="s">
        <v>264</v>
      </c>
      <c r="C16" s="98" t="s">
        <v>265</v>
      </c>
      <c r="D16" s="99" t="s">
        <v>204</v>
      </c>
      <c r="E16" s="100" t="s">
        <v>204</v>
      </c>
    </row>
    <row r="17" spans="1:5" ht="14.45" customHeight="1" x14ac:dyDescent="0.25">
      <c r="A17" s="83"/>
      <c r="B17" s="97" t="s">
        <v>264</v>
      </c>
      <c r="C17" s="98" t="s">
        <v>265</v>
      </c>
      <c r="D17" s="99" t="s">
        <v>192</v>
      </c>
      <c r="E17" s="100" t="s">
        <v>221</v>
      </c>
    </row>
    <row r="18" spans="1:5" ht="14.45" customHeight="1" x14ac:dyDescent="0.25">
      <c r="A18" s="83"/>
      <c r="B18" s="97" t="s">
        <v>264</v>
      </c>
      <c r="C18" s="98" t="s">
        <v>265</v>
      </c>
      <c r="D18" s="99" t="s">
        <v>5</v>
      </c>
      <c r="E18" s="100" t="s">
        <v>74</v>
      </c>
    </row>
    <row r="19" spans="1:5" ht="14.45" customHeight="1" x14ac:dyDescent="0.25">
      <c r="A19" s="83"/>
      <c r="B19" s="97" t="s">
        <v>264</v>
      </c>
      <c r="C19" s="98" t="s">
        <v>265</v>
      </c>
      <c r="D19" s="99" t="s">
        <v>6</v>
      </c>
      <c r="E19" s="100" t="s">
        <v>75</v>
      </c>
    </row>
    <row r="20" spans="1:5" ht="14.45" customHeight="1" x14ac:dyDescent="0.25">
      <c r="A20" s="83"/>
      <c r="B20" s="97" t="s">
        <v>264</v>
      </c>
      <c r="C20" s="98" t="s">
        <v>265</v>
      </c>
      <c r="D20" s="99" t="s">
        <v>7</v>
      </c>
      <c r="E20" s="100" t="s">
        <v>76</v>
      </c>
    </row>
    <row r="21" spans="1:5" ht="14.45" customHeight="1" x14ac:dyDescent="0.25">
      <c r="A21" s="83"/>
      <c r="B21" s="97" t="s">
        <v>264</v>
      </c>
      <c r="C21" s="98" t="s">
        <v>265</v>
      </c>
      <c r="D21" s="99" t="s">
        <v>506</v>
      </c>
      <c r="E21" s="100" t="s">
        <v>229</v>
      </c>
    </row>
    <row r="22" spans="1:5" ht="14.45" customHeight="1" x14ac:dyDescent="0.25">
      <c r="A22" s="83"/>
      <c r="B22" s="97" t="s">
        <v>264</v>
      </c>
      <c r="C22" s="98" t="s">
        <v>265</v>
      </c>
      <c r="D22" s="99" t="s">
        <v>11</v>
      </c>
      <c r="E22" s="100" t="s">
        <v>77</v>
      </c>
    </row>
    <row r="23" spans="1:5" ht="14.45" customHeight="1" x14ac:dyDescent="0.25">
      <c r="A23" s="83"/>
      <c r="B23" s="97" t="s">
        <v>264</v>
      </c>
      <c r="C23" s="98" t="s">
        <v>265</v>
      </c>
      <c r="D23" s="99" t="s">
        <v>12</v>
      </c>
      <c r="E23" s="100" t="s">
        <v>78</v>
      </c>
    </row>
    <row r="24" spans="1:5" ht="14.45" customHeight="1" x14ac:dyDescent="0.25">
      <c r="A24" s="83"/>
      <c r="B24" s="97" t="s">
        <v>264</v>
      </c>
      <c r="C24" s="98" t="s">
        <v>265</v>
      </c>
      <c r="D24" s="99" t="s">
        <v>13</v>
      </c>
      <c r="E24" s="100" t="s">
        <v>79</v>
      </c>
    </row>
    <row r="25" spans="1:5" ht="14.45" customHeight="1" x14ac:dyDescent="0.25">
      <c r="A25" s="83"/>
      <c r="B25" s="97" t="s">
        <v>264</v>
      </c>
      <c r="C25" s="98" t="s">
        <v>265</v>
      </c>
      <c r="D25" s="99" t="s">
        <v>14</v>
      </c>
      <c r="E25" s="100" t="s">
        <v>80</v>
      </c>
    </row>
    <row r="26" spans="1:5" ht="14.45" customHeight="1" x14ac:dyDescent="0.25">
      <c r="A26" s="83"/>
      <c r="B26" s="97" t="s">
        <v>264</v>
      </c>
      <c r="C26" s="98" t="s">
        <v>265</v>
      </c>
      <c r="D26" s="99" t="s">
        <v>15</v>
      </c>
      <c r="E26" s="100" t="s">
        <v>81</v>
      </c>
    </row>
    <row r="27" spans="1:5" ht="14.45" customHeight="1" x14ac:dyDescent="0.25">
      <c r="A27" s="83"/>
      <c r="B27" s="97" t="s">
        <v>264</v>
      </c>
      <c r="C27" s="98" t="s">
        <v>265</v>
      </c>
      <c r="D27" s="99" t="s">
        <v>16</v>
      </c>
      <c r="E27" s="100" t="s">
        <v>82</v>
      </c>
    </row>
    <row r="28" spans="1:5" ht="14.45" customHeight="1" x14ac:dyDescent="0.25">
      <c r="A28" s="83"/>
      <c r="B28" s="97" t="s">
        <v>264</v>
      </c>
      <c r="C28" s="98" t="s">
        <v>265</v>
      </c>
      <c r="D28" s="99" t="s">
        <v>17</v>
      </c>
      <c r="E28" s="100" t="s">
        <v>83</v>
      </c>
    </row>
    <row r="29" spans="1:5" ht="14.45" customHeight="1" x14ac:dyDescent="0.25">
      <c r="A29" s="83"/>
      <c r="B29" s="101" t="s">
        <v>264</v>
      </c>
      <c r="C29" s="109" t="s">
        <v>265</v>
      </c>
      <c r="D29" s="110" t="s">
        <v>18</v>
      </c>
      <c r="E29" s="111" t="s">
        <v>84</v>
      </c>
    </row>
    <row r="30" spans="1:5" ht="14.45" customHeight="1" x14ac:dyDescent="0.25">
      <c r="A30" s="83"/>
      <c r="B30" s="105" t="s">
        <v>264</v>
      </c>
      <c r="C30" s="94" t="s">
        <v>266</v>
      </c>
      <c r="D30" s="95" t="s">
        <v>196</v>
      </c>
      <c r="E30" s="96" t="s">
        <v>227</v>
      </c>
    </row>
    <row r="31" spans="1:5" ht="14.45" customHeight="1" x14ac:dyDescent="0.25">
      <c r="A31" s="83"/>
      <c r="B31" s="97" t="s">
        <v>264</v>
      </c>
      <c r="C31" s="98" t="s">
        <v>266</v>
      </c>
      <c r="D31" s="99" t="s">
        <v>383</v>
      </c>
      <c r="E31" s="100" t="s">
        <v>384</v>
      </c>
    </row>
    <row r="32" spans="1:5" ht="14.45" customHeight="1" x14ac:dyDescent="0.25">
      <c r="A32" s="83"/>
      <c r="B32" s="97" t="s">
        <v>264</v>
      </c>
      <c r="C32" s="98" t="s">
        <v>266</v>
      </c>
      <c r="D32" s="99" t="s">
        <v>385</v>
      </c>
      <c r="E32" s="100" t="s">
        <v>386</v>
      </c>
    </row>
    <row r="33" spans="1:5" ht="14.45" customHeight="1" x14ac:dyDescent="0.25">
      <c r="A33" s="83"/>
      <c r="B33" s="97" t="s">
        <v>264</v>
      </c>
      <c r="C33" s="98" t="s">
        <v>266</v>
      </c>
      <c r="D33" s="99" t="s">
        <v>387</v>
      </c>
      <c r="E33" s="100" t="s">
        <v>388</v>
      </c>
    </row>
    <row r="34" spans="1:5" ht="14.45" customHeight="1" x14ac:dyDescent="0.25">
      <c r="A34" s="83"/>
      <c r="B34" s="97" t="s">
        <v>264</v>
      </c>
      <c r="C34" s="98" t="s">
        <v>266</v>
      </c>
      <c r="D34" s="99" t="s">
        <v>389</v>
      </c>
      <c r="E34" s="100" t="s">
        <v>390</v>
      </c>
    </row>
    <row r="35" spans="1:5" ht="14.45" customHeight="1" x14ac:dyDescent="0.25">
      <c r="A35" s="83"/>
      <c r="B35" s="97" t="s">
        <v>264</v>
      </c>
      <c r="C35" s="98" t="s">
        <v>266</v>
      </c>
      <c r="D35" s="99" t="s">
        <v>284</v>
      </c>
      <c r="E35" s="100" t="s">
        <v>308</v>
      </c>
    </row>
    <row r="36" spans="1:5" ht="14.45" customHeight="1" x14ac:dyDescent="0.25">
      <c r="A36" s="83"/>
      <c r="B36" s="97" t="s">
        <v>264</v>
      </c>
      <c r="C36" s="98" t="s">
        <v>266</v>
      </c>
      <c r="D36" s="99" t="s">
        <v>220</v>
      </c>
      <c r="E36" s="100" t="s">
        <v>309</v>
      </c>
    </row>
    <row r="37" spans="1:5" ht="14.45" customHeight="1" x14ac:dyDescent="0.25">
      <c r="A37" s="83"/>
      <c r="B37" s="97" t="s">
        <v>264</v>
      </c>
      <c r="C37" s="98" t="s">
        <v>266</v>
      </c>
      <c r="D37" s="99" t="s">
        <v>507</v>
      </c>
      <c r="E37" s="100" t="s">
        <v>229</v>
      </c>
    </row>
    <row r="38" spans="1:5" ht="14.45" customHeight="1" x14ac:dyDescent="0.25">
      <c r="A38" s="83"/>
      <c r="B38" s="97" t="s">
        <v>264</v>
      </c>
      <c r="C38" s="98" t="s">
        <v>266</v>
      </c>
      <c r="D38" s="99" t="s">
        <v>203</v>
      </c>
      <c r="E38" s="100" t="s">
        <v>203</v>
      </c>
    </row>
    <row r="39" spans="1:5" ht="14.45" customHeight="1" x14ac:dyDescent="0.25">
      <c r="A39" s="83"/>
      <c r="B39" s="97" t="s">
        <v>264</v>
      </c>
      <c r="C39" s="98" t="s">
        <v>266</v>
      </c>
      <c r="D39" s="99" t="s">
        <v>205</v>
      </c>
      <c r="E39" s="100" t="s">
        <v>205</v>
      </c>
    </row>
    <row r="40" spans="1:5" ht="14.45" customHeight="1" x14ac:dyDescent="0.25">
      <c r="A40" s="83"/>
      <c r="B40" s="97" t="s">
        <v>264</v>
      </c>
      <c r="C40" s="98" t="s">
        <v>266</v>
      </c>
      <c r="D40" s="99" t="s">
        <v>508</v>
      </c>
      <c r="E40" s="100" t="s">
        <v>509</v>
      </c>
    </row>
    <row r="41" spans="1:5" ht="14.45" customHeight="1" x14ac:dyDescent="0.25">
      <c r="A41" s="83"/>
      <c r="B41" s="101" t="s">
        <v>264</v>
      </c>
      <c r="C41" s="102" t="s">
        <v>266</v>
      </c>
      <c r="D41" s="103" t="s">
        <v>510</v>
      </c>
      <c r="E41" s="104"/>
    </row>
    <row r="42" spans="1:5" ht="14.45" customHeight="1" x14ac:dyDescent="0.25">
      <c r="A42" s="83"/>
      <c r="B42" s="105" t="s">
        <v>264</v>
      </c>
      <c r="C42" s="112" t="s">
        <v>363</v>
      </c>
      <c r="D42" s="113" t="s">
        <v>226</v>
      </c>
      <c r="E42" s="114" t="s">
        <v>283</v>
      </c>
    </row>
    <row r="43" spans="1:5" ht="14.45" customHeight="1" x14ac:dyDescent="0.25">
      <c r="A43" s="83"/>
      <c r="B43" s="97" t="s">
        <v>264</v>
      </c>
      <c r="C43" s="98" t="s">
        <v>363</v>
      </c>
      <c r="D43" s="99" t="s">
        <v>224</v>
      </c>
      <c r="E43" s="100" t="s">
        <v>225</v>
      </c>
    </row>
    <row r="44" spans="1:5" ht="14.45" customHeight="1" x14ac:dyDescent="0.25">
      <c r="A44" s="83"/>
      <c r="B44" s="97" t="s">
        <v>264</v>
      </c>
      <c r="C44" s="98" t="s">
        <v>363</v>
      </c>
      <c r="D44" s="99" t="s">
        <v>391</v>
      </c>
      <c r="E44" s="100" t="s">
        <v>392</v>
      </c>
    </row>
    <row r="45" spans="1:5" ht="14.45" customHeight="1" x14ac:dyDescent="0.25">
      <c r="A45" s="83"/>
      <c r="B45" s="97" t="s">
        <v>264</v>
      </c>
      <c r="C45" s="98" t="s">
        <v>363</v>
      </c>
      <c r="D45" s="99" t="s">
        <v>4</v>
      </c>
      <c r="E45" s="100" t="s">
        <v>195</v>
      </c>
    </row>
    <row r="46" spans="1:5" ht="14.45" customHeight="1" x14ac:dyDescent="0.25">
      <c r="A46" s="83"/>
      <c r="B46" s="97" t="s">
        <v>264</v>
      </c>
      <c r="C46" s="98" t="s">
        <v>363</v>
      </c>
      <c r="D46" s="99" t="s">
        <v>393</v>
      </c>
      <c r="E46" s="100" t="s">
        <v>394</v>
      </c>
    </row>
    <row r="47" spans="1:5" ht="14.45" customHeight="1" x14ac:dyDescent="0.25">
      <c r="A47" s="83"/>
      <c r="B47" s="97" t="s">
        <v>264</v>
      </c>
      <c r="C47" s="98" t="s">
        <v>363</v>
      </c>
      <c r="D47" s="99" t="s">
        <v>395</v>
      </c>
      <c r="E47" s="100" t="s">
        <v>396</v>
      </c>
    </row>
    <row r="48" spans="1:5" ht="14.45" customHeight="1" x14ac:dyDescent="0.25">
      <c r="A48" s="83"/>
      <c r="B48" s="97" t="s">
        <v>264</v>
      </c>
      <c r="C48" s="98" t="s">
        <v>363</v>
      </c>
      <c r="D48" s="99" t="s">
        <v>397</v>
      </c>
      <c r="E48" s="100" t="s">
        <v>398</v>
      </c>
    </row>
    <row r="49" spans="1:5" ht="14.45" customHeight="1" x14ac:dyDescent="0.25">
      <c r="A49" s="83"/>
      <c r="B49" s="97" t="s">
        <v>264</v>
      </c>
      <c r="C49" s="98" t="s">
        <v>363</v>
      </c>
      <c r="D49" s="99" t="s">
        <v>399</v>
      </c>
      <c r="E49" s="100" t="s">
        <v>399</v>
      </c>
    </row>
    <row r="50" spans="1:5" ht="14.45" customHeight="1" x14ac:dyDescent="0.25">
      <c r="A50" s="83"/>
      <c r="B50" s="97" t="s">
        <v>264</v>
      </c>
      <c r="C50" s="98" t="s">
        <v>363</v>
      </c>
      <c r="D50" s="99" t="s">
        <v>511</v>
      </c>
      <c r="E50" s="100" t="s">
        <v>512</v>
      </c>
    </row>
    <row r="51" spans="1:5" ht="14.45" customHeight="1" x14ac:dyDescent="0.25">
      <c r="A51" s="83"/>
      <c r="B51" s="97" t="s">
        <v>264</v>
      </c>
      <c r="C51" s="98" t="s">
        <v>363</v>
      </c>
      <c r="D51" s="99" t="s">
        <v>8</v>
      </c>
      <c r="E51" s="100" t="s">
        <v>85</v>
      </c>
    </row>
    <row r="52" spans="1:5" ht="14.45" customHeight="1" x14ac:dyDescent="0.25">
      <c r="A52" s="83"/>
      <c r="B52" s="97" t="s">
        <v>264</v>
      </c>
      <c r="C52" s="98" t="s">
        <v>363</v>
      </c>
      <c r="D52" s="99" t="s">
        <v>10</v>
      </c>
      <c r="E52" s="100" t="s">
        <v>86</v>
      </c>
    </row>
    <row r="53" spans="1:5" ht="14.45" customHeight="1" x14ac:dyDescent="0.25">
      <c r="A53" s="83"/>
      <c r="B53" s="97" t="s">
        <v>264</v>
      </c>
      <c r="C53" s="98" t="s">
        <v>363</v>
      </c>
      <c r="D53" s="99" t="s">
        <v>9</v>
      </c>
      <c r="E53" s="100" t="s">
        <v>513</v>
      </c>
    </row>
    <row r="54" spans="1:5" ht="14.45" customHeight="1" x14ac:dyDescent="0.25">
      <c r="A54" s="83"/>
      <c r="B54" s="97" t="s">
        <v>264</v>
      </c>
      <c r="C54" s="98" t="s">
        <v>363</v>
      </c>
      <c r="D54" s="99" t="s">
        <v>400</v>
      </c>
      <c r="E54" s="100" t="s">
        <v>514</v>
      </c>
    </row>
    <row r="55" spans="1:5" ht="14.45" customHeight="1" x14ac:dyDescent="0.25">
      <c r="A55" s="83"/>
      <c r="B55" s="97" t="s">
        <v>264</v>
      </c>
      <c r="C55" s="98" t="s">
        <v>363</v>
      </c>
      <c r="D55" s="99" t="s">
        <v>515</v>
      </c>
      <c r="E55" s="100" t="s">
        <v>516</v>
      </c>
    </row>
    <row r="56" spans="1:5" ht="14.45" customHeight="1" x14ac:dyDescent="0.25">
      <c r="A56" s="83"/>
      <c r="B56" s="97" t="s">
        <v>264</v>
      </c>
      <c r="C56" s="98" t="s">
        <v>363</v>
      </c>
      <c r="D56" s="99" t="s">
        <v>401</v>
      </c>
      <c r="E56" s="100" t="s">
        <v>402</v>
      </c>
    </row>
    <row r="57" spans="1:5" ht="14.45" customHeight="1" x14ac:dyDescent="0.25">
      <c r="A57" s="83"/>
      <c r="B57" s="97" t="s">
        <v>264</v>
      </c>
      <c r="C57" s="98" t="s">
        <v>363</v>
      </c>
      <c r="D57" s="99" t="s">
        <v>403</v>
      </c>
      <c r="E57" s="100" t="s">
        <v>404</v>
      </c>
    </row>
    <row r="58" spans="1:5" ht="14.45" customHeight="1" x14ac:dyDescent="0.25">
      <c r="A58" s="83"/>
      <c r="B58" s="97" t="s">
        <v>264</v>
      </c>
      <c r="C58" s="98" t="s">
        <v>363</v>
      </c>
      <c r="D58" s="99" t="s">
        <v>405</v>
      </c>
      <c r="E58" s="100" t="s">
        <v>406</v>
      </c>
    </row>
    <row r="59" spans="1:5" ht="14.45" customHeight="1" x14ac:dyDescent="0.25">
      <c r="A59" s="83"/>
      <c r="B59" s="97" t="s">
        <v>264</v>
      </c>
      <c r="C59" s="98" t="s">
        <v>363</v>
      </c>
      <c r="D59" s="99" t="s">
        <v>517</v>
      </c>
      <c r="E59" s="100" t="s">
        <v>518</v>
      </c>
    </row>
    <row r="60" spans="1:5" ht="14.45" customHeight="1" x14ac:dyDescent="0.25">
      <c r="A60" s="83"/>
      <c r="B60" s="97" t="s">
        <v>264</v>
      </c>
      <c r="C60" s="98" t="s">
        <v>363</v>
      </c>
      <c r="D60" s="99" t="s">
        <v>407</v>
      </c>
      <c r="E60" s="100" t="s">
        <v>407</v>
      </c>
    </row>
    <row r="61" spans="1:5" ht="14.45" customHeight="1" x14ac:dyDescent="0.25">
      <c r="A61" s="83"/>
      <c r="B61" s="97" t="s">
        <v>264</v>
      </c>
      <c r="C61" s="98" t="s">
        <v>363</v>
      </c>
      <c r="D61" s="99" t="s">
        <v>408</v>
      </c>
      <c r="E61" s="100" t="s">
        <v>409</v>
      </c>
    </row>
    <row r="62" spans="1:5" ht="14.45" customHeight="1" x14ac:dyDescent="0.25">
      <c r="A62" s="83"/>
      <c r="B62" s="97" t="s">
        <v>264</v>
      </c>
      <c r="C62" s="98" t="s">
        <v>363</v>
      </c>
      <c r="D62" s="99" t="s">
        <v>519</v>
      </c>
      <c r="E62" s="100" t="s">
        <v>520</v>
      </c>
    </row>
    <row r="63" spans="1:5" ht="14.45" customHeight="1" x14ac:dyDescent="0.25">
      <c r="A63" s="83"/>
      <c r="B63" s="97" t="s">
        <v>264</v>
      </c>
      <c r="C63" s="98" t="s">
        <v>363</v>
      </c>
      <c r="D63" s="99" t="s">
        <v>193</v>
      </c>
      <c r="E63" s="100" t="s">
        <v>222</v>
      </c>
    </row>
    <row r="64" spans="1:5" ht="14.45" customHeight="1" x14ac:dyDescent="0.25">
      <c r="A64" s="83"/>
      <c r="B64" s="115" t="s">
        <v>264</v>
      </c>
      <c r="C64" s="116" t="s">
        <v>363</v>
      </c>
      <c r="D64" s="117" t="s">
        <v>194</v>
      </c>
      <c r="E64" s="118" t="s">
        <v>223</v>
      </c>
    </row>
    <row r="65" spans="1:5" ht="14.45" customHeight="1" x14ac:dyDescent="0.25">
      <c r="A65" s="83"/>
      <c r="B65" s="119" t="s">
        <v>264</v>
      </c>
      <c r="C65" s="120" t="s">
        <v>267</v>
      </c>
      <c r="D65" s="121" t="s">
        <v>200</v>
      </c>
      <c r="E65" s="122" t="s">
        <v>200</v>
      </c>
    </row>
    <row r="66" spans="1:5" ht="14.45" customHeight="1" thickBot="1" x14ac:dyDescent="0.3">
      <c r="A66" s="83"/>
      <c r="B66" s="123" t="s">
        <v>264</v>
      </c>
      <c r="C66" s="124" t="s">
        <v>268</v>
      </c>
      <c r="D66" s="125" t="s">
        <v>3</v>
      </c>
      <c r="E66" s="126" t="s">
        <v>87</v>
      </c>
    </row>
    <row r="67" spans="1:5" ht="14.45" customHeight="1" x14ac:dyDescent="0.25">
      <c r="A67" s="83"/>
      <c r="B67" s="127" t="s">
        <v>19</v>
      </c>
      <c r="C67" s="128" t="s">
        <v>364</v>
      </c>
      <c r="D67" s="129" t="s">
        <v>410</v>
      </c>
      <c r="E67" s="130" t="s">
        <v>410</v>
      </c>
    </row>
    <row r="68" spans="1:5" ht="14.45" customHeight="1" x14ac:dyDescent="0.25">
      <c r="A68" s="83"/>
      <c r="B68" s="131" t="s">
        <v>19</v>
      </c>
      <c r="C68" s="132" t="s">
        <v>364</v>
      </c>
      <c r="D68" s="99" t="s">
        <v>411</v>
      </c>
      <c r="E68" s="100" t="s">
        <v>521</v>
      </c>
    </row>
    <row r="69" spans="1:5" ht="14.45" customHeight="1" x14ac:dyDescent="0.25">
      <c r="A69" s="83"/>
      <c r="B69" s="131" t="s">
        <v>19</v>
      </c>
      <c r="C69" s="132" t="s">
        <v>364</v>
      </c>
      <c r="D69" s="99" t="s">
        <v>214</v>
      </c>
      <c r="E69" s="100" t="s">
        <v>214</v>
      </c>
    </row>
    <row r="70" spans="1:5" ht="14.45" customHeight="1" x14ac:dyDescent="0.25">
      <c r="A70" s="83"/>
      <c r="B70" s="131" t="s">
        <v>19</v>
      </c>
      <c r="C70" s="132" t="s">
        <v>364</v>
      </c>
      <c r="D70" s="99" t="s">
        <v>285</v>
      </c>
      <c r="E70" s="100" t="s">
        <v>310</v>
      </c>
    </row>
    <row r="71" spans="1:5" ht="14.45" customHeight="1" x14ac:dyDescent="0.25">
      <c r="A71" s="83"/>
      <c r="B71" s="131" t="s">
        <v>19</v>
      </c>
      <c r="C71" s="132" t="s">
        <v>364</v>
      </c>
      <c r="D71" s="99" t="s">
        <v>412</v>
      </c>
      <c r="E71" s="100" t="s">
        <v>413</v>
      </c>
    </row>
    <row r="72" spans="1:5" ht="14.45" customHeight="1" x14ac:dyDescent="0.25">
      <c r="A72" s="83"/>
      <c r="B72" s="131" t="s">
        <v>19</v>
      </c>
      <c r="C72" s="132" t="s">
        <v>364</v>
      </c>
      <c r="D72" s="99" t="s">
        <v>414</v>
      </c>
      <c r="E72" s="100" t="s">
        <v>415</v>
      </c>
    </row>
    <row r="73" spans="1:5" ht="14.45" customHeight="1" x14ac:dyDescent="0.25">
      <c r="A73" s="83"/>
      <c r="B73" s="131" t="s">
        <v>19</v>
      </c>
      <c r="C73" s="132" t="s">
        <v>364</v>
      </c>
      <c r="D73" s="99" t="s">
        <v>416</v>
      </c>
      <c r="E73" s="100" t="s">
        <v>416</v>
      </c>
    </row>
    <row r="74" spans="1:5" ht="14.45" customHeight="1" x14ac:dyDescent="0.25">
      <c r="A74" s="83"/>
      <c r="B74" s="133" t="s">
        <v>19</v>
      </c>
      <c r="C74" s="134" t="s">
        <v>364</v>
      </c>
      <c r="D74" s="103" t="s">
        <v>286</v>
      </c>
      <c r="E74" s="104" t="s">
        <v>311</v>
      </c>
    </row>
    <row r="75" spans="1:5" ht="14.45" customHeight="1" x14ac:dyDescent="0.25">
      <c r="A75" s="83"/>
      <c r="B75" s="135" t="s">
        <v>19</v>
      </c>
      <c r="C75" s="136" t="s">
        <v>365</v>
      </c>
      <c r="D75" s="113" t="s">
        <v>212</v>
      </c>
      <c r="E75" s="114" t="s">
        <v>417</v>
      </c>
    </row>
    <row r="76" spans="1:5" ht="14.45" customHeight="1" x14ac:dyDescent="0.25">
      <c r="A76" s="83"/>
      <c r="B76" s="131" t="s">
        <v>19</v>
      </c>
      <c r="C76" s="132" t="s">
        <v>365</v>
      </c>
      <c r="D76" s="99" t="s">
        <v>418</v>
      </c>
      <c r="E76" s="100" t="s">
        <v>419</v>
      </c>
    </row>
    <row r="77" spans="1:5" ht="14.45" customHeight="1" x14ac:dyDescent="0.25">
      <c r="A77" s="83"/>
      <c r="B77" s="131" t="s">
        <v>19</v>
      </c>
      <c r="C77" s="132" t="s">
        <v>365</v>
      </c>
      <c r="D77" s="99" t="s">
        <v>420</v>
      </c>
      <c r="E77" s="100" t="s">
        <v>421</v>
      </c>
    </row>
    <row r="78" spans="1:5" ht="14.45" customHeight="1" x14ac:dyDescent="0.25">
      <c r="A78" s="83"/>
      <c r="B78" s="131" t="s">
        <v>19</v>
      </c>
      <c r="C78" s="132" t="s">
        <v>365</v>
      </c>
      <c r="D78" s="99" t="s">
        <v>422</v>
      </c>
      <c r="E78" s="100" t="s">
        <v>423</v>
      </c>
    </row>
    <row r="79" spans="1:5" ht="14.45" customHeight="1" x14ac:dyDescent="0.25">
      <c r="A79" s="83"/>
      <c r="B79" s="131" t="s">
        <v>19</v>
      </c>
      <c r="C79" s="132" t="s">
        <v>365</v>
      </c>
      <c r="D79" s="99" t="s">
        <v>424</v>
      </c>
      <c r="E79" s="100" t="s">
        <v>188</v>
      </c>
    </row>
    <row r="80" spans="1:5" ht="14.45" customHeight="1" x14ac:dyDescent="0.25">
      <c r="A80" s="83"/>
      <c r="B80" s="131" t="s">
        <v>19</v>
      </c>
      <c r="C80" s="132" t="s">
        <v>365</v>
      </c>
      <c r="D80" s="99" t="s">
        <v>215</v>
      </c>
      <c r="E80" s="100" t="s">
        <v>215</v>
      </c>
    </row>
    <row r="81" spans="1:6" ht="14.45" customHeight="1" x14ac:dyDescent="0.25">
      <c r="A81" s="83"/>
      <c r="B81" s="131" t="s">
        <v>19</v>
      </c>
      <c r="C81" s="132" t="s">
        <v>365</v>
      </c>
      <c r="D81" s="99" t="s">
        <v>425</v>
      </c>
      <c r="E81" s="100" t="s">
        <v>426</v>
      </c>
    </row>
    <row r="82" spans="1:6" ht="14.45" customHeight="1" x14ac:dyDescent="0.25">
      <c r="A82" s="83"/>
      <c r="B82" s="131" t="s">
        <v>19</v>
      </c>
      <c r="C82" s="132" t="s">
        <v>365</v>
      </c>
      <c r="D82" s="99" t="s">
        <v>427</v>
      </c>
      <c r="E82" s="100" t="s">
        <v>428</v>
      </c>
    </row>
    <row r="83" spans="1:6" ht="14.45" customHeight="1" x14ac:dyDescent="0.25">
      <c r="A83" s="83"/>
      <c r="B83" s="131" t="s">
        <v>19</v>
      </c>
      <c r="C83" s="132" t="s">
        <v>365</v>
      </c>
      <c r="D83" s="99" t="s">
        <v>429</v>
      </c>
      <c r="E83" s="100" t="s">
        <v>429</v>
      </c>
    </row>
    <row r="84" spans="1:6" ht="14.45" customHeight="1" x14ac:dyDescent="0.25">
      <c r="A84" s="83"/>
      <c r="B84" s="131" t="s">
        <v>19</v>
      </c>
      <c r="C84" s="132" t="s">
        <v>365</v>
      </c>
      <c r="D84" s="99" t="s">
        <v>430</v>
      </c>
      <c r="E84" s="100" t="s">
        <v>431</v>
      </c>
    </row>
    <row r="85" spans="1:6" ht="14.45" customHeight="1" x14ac:dyDescent="0.25">
      <c r="A85" s="83"/>
      <c r="B85" s="131" t="s">
        <v>19</v>
      </c>
      <c r="C85" s="132" t="s">
        <v>365</v>
      </c>
      <c r="D85" s="99" t="s">
        <v>432</v>
      </c>
      <c r="E85" s="100" t="s">
        <v>433</v>
      </c>
      <c r="F85" s="82"/>
    </row>
    <row r="86" spans="1:6" ht="14.45" customHeight="1" x14ac:dyDescent="0.25">
      <c r="A86" s="83"/>
      <c r="B86" s="131" t="s">
        <v>19</v>
      </c>
      <c r="C86" s="132" t="s">
        <v>365</v>
      </c>
      <c r="D86" s="99" t="s">
        <v>434</v>
      </c>
      <c r="E86" s="100" t="s">
        <v>435</v>
      </c>
    </row>
    <row r="87" spans="1:6" ht="14.45" customHeight="1" x14ac:dyDescent="0.25">
      <c r="A87" s="83"/>
      <c r="B87" s="131" t="s">
        <v>19</v>
      </c>
      <c r="C87" s="132" t="s">
        <v>365</v>
      </c>
      <c r="D87" s="99" t="s">
        <v>436</v>
      </c>
      <c r="E87" s="100" t="s">
        <v>437</v>
      </c>
    </row>
    <row r="88" spans="1:6" ht="14.45" customHeight="1" x14ac:dyDescent="0.25">
      <c r="A88" s="83"/>
      <c r="B88" s="131" t="s">
        <v>19</v>
      </c>
      <c r="C88" s="132" t="s">
        <v>365</v>
      </c>
      <c r="D88" s="99" t="s">
        <v>522</v>
      </c>
      <c r="E88" s="100" t="s">
        <v>523</v>
      </c>
    </row>
    <row r="89" spans="1:6" ht="14.45" customHeight="1" x14ac:dyDescent="0.25">
      <c r="A89" s="83"/>
      <c r="B89" s="131" t="s">
        <v>19</v>
      </c>
      <c r="C89" s="132" t="s">
        <v>365</v>
      </c>
      <c r="D89" s="99" t="s">
        <v>440</v>
      </c>
      <c r="E89" s="100" t="s">
        <v>440</v>
      </c>
    </row>
    <row r="90" spans="1:6" ht="14.45" customHeight="1" x14ac:dyDescent="0.25">
      <c r="A90" s="83"/>
      <c r="B90" s="131" t="s">
        <v>19</v>
      </c>
      <c r="C90" s="132" t="s">
        <v>365</v>
      </c>
      <c r="D90" s="99" t="s">
        <v>524</v>
      </c>
      <c r="E90" s="100" t="s">
        <v>525</v>
      </c>
    </row>
    <row r="91" spans="1:6" ht="14.45" customHeight="1" x14ac:dyDescent="0.25">
      <c r="A91" s="83"/>
      <c r="B91" s="131" t="s">
        <v>19</v>
      </c>
      <c r="C91" s="132" t="s">
        <v>365</v>
      </c>
      <c r="D91" s="99" t="s">
        <v>441</v>
      </c>
      <c r="E91" s="100" t="s">
        <v>526</v>
      </c>
    </row>
    <row r="92" spans="1:6" ht="14.45" customHeight="1" x14ac:dyDescent="0.25">
      <c r="A92" s="83"/>
      <c r="B92" s="137" t="s">
        <v>19</v>
      </c>
      <c r="C92" s="138" t="s">
        <v>365</v>
      </c>
      <c r="D92" s="117" t="s">
        <v>438</v>
      </c>
      <c r="E92" s="118" t="s">
        <v>439</v>
      </c>
    </row>
    <row r="93" spans="1:6" ht="14.45" customHeight="1" x14ac:dyDescent="0.25">
      <c r="A93" s="83"/>
      <c r="B93" s="139" t="s">
        <v>19</v>
      </c>
      <c r="C93" s="140" t="s">
        <v>366</v>
      </c>
      <c r="D93" s="113" t="s">
        <v>206</v>
      </c>
      <c r="E93" s="96" t="s">
        <v>442</v>
      </c>
    </row>
    <row r="94" spans="1:6" ht="14.45" customHeight="1" x14ac:dyDescent="0.25">
      <c r="A94" s="83"/>
      <c r="B94" s="131" t="s">
        <v>19</v>
      </c>
      <c r="C94" s="132" t="s">
        <v>366</v>
      </c>
      <c r="D94" s="99" t="s">
        <v>443</v>
      </c>
      <c r="E94" s="100" t="s">
        <v>189</v>
      </c>
    </row>
    <row r="95" spans="1:6" ht="14.45" customHeight="1" x14ac:dyDescent="0.25">
      <c r="A95" s="83"/>
      <c r="B95" s="131" t="s">
        <v>19</v>
      </c>
      <c r="C95" s="132" t="s">
        <v>366</v>
      </c>
      <c r="D95" s="99" t="s">
        <v>444</v>
      </c>
      <c r="E95" s="100" t="s">
        <v>445</v>
      </c>
    </row>
    <row r="96" spans="1:6" ht="14.45" customHeight="1" x14ac:dyDescent="0.25">
      <c r="A96" s="83"/>
      <c r="B96" s="131" t="s">
        <v>19</v>
      </c>
      <c r="C96" s="132" t="s">
        <v>366</v>
      </c>
      <c r="D96" s="99" t="s">
        <v>446</v>
      </c>
      <c r="E96" s="100" t="s">
        <v>446</v>
      </c>
    </row>
    <row r="97" spans="1:5" ht="14.45" customHeight="1" x14ac:dyDescent="0.25">
      <c r="A97" s="83"/>
      <c r="B97" s="131" t="s">
        <v>19</v>
      </c>
      <c r="C97" s="132" t="s">
        <v>366</v>
      </c>
      <c r="D97" s="99" t="s">
        <v>447</v>
      </c>
      <c r="E97" s="100" t="s">
        <v>447</v>
      </c>
    </row>
    <row r="98" spans="1:5" ht="14.45" customHeight="1" x14ac:dyDescent="0.25">
      <c r="A98" s="83"/>
      <c r="B98" s="133" t="s">
        <v>19</v>
      </c>
      <c r="C98" s="134" t="s">
        <v>366</v>
      </c>
      <c r="D98" s="103" t="s">
        <v>287</v>
      </c>
      <c r="E98" s="104" t="s">
        <v>287</v>
      </c>
    </row>
    <row r="99" spans="1:5" ht="14.45" customHeight="1" x14ac:dyDescent="0.25">
      <c r="A99" s="83"/>
      <c r="B99" s="135" t="s">
        <v>19</v>
      </c>
      <c r="C99" s="136" t="s">
        <v>367</v>
      </c>
      <c r="D99" s="113" t="s">
        <v>448</v>
      </c>
      <c r="E99" s="114" t="s">
        <v>211</v>
      </c>
    </row>
    <row r="100" spans="1:5" ht="14.45" customHeight="1" x14ac:dyDescent="0.25">
      <c r="A100" s="83"/>
      <c r="B100" s="131" t="s">
        <v>19</v>
      </c>
      <c r="C100" s="132" t="s">
        <v>367</v>
      </c>
      <c r="D100" s="99" t="s">
        <v>449</v>
      </c>
      <c r="E100" s="100" t="s">
        <v>450</v>
      </c>
    </row>
    <row r="101" spans="1:5" ht="14.45" customHeight="1" x14ac:dyDescent="0.25">
      <c r="A101" s="83"/>
      <c r="B101" s="131" t="s">
        <v>19</v>
      </c>
      <c r="C101" s="132" t="s">
        <v>367</v>
      </c>
      <c r="D101" s="99" t="s">
        <v>190</v>
      </c>
      <c r="E101" s="100" t="s">
        <v>190</v>
      </c>
    </row>
    <row r="102" spans="1:5" ht="14.45" customHeight="1" x14ac:dyDescent="0.25">
      <c r="A102" s="83"/>
      <c r="B102" s="131" t="s">
        <v>19</v>
      </c>
      <c r="C102" s="132" t="s">
        <v>367</v>
      </c>
      <c r="D102" s="99" t="s">
        <v>451</v>
      </c>
      <c r="E102" s="100" t="s">
        <v>452</v>
      </c>
    </row>
    <row r="103" spans="1:5" ht="14.45" customHeight="1" x14ac:dyDescent="0.25">
      <c r="A103" s="83"/>
      <c r="B103" s="131" t="s">
        <v>19</v>
      </c>
      <c r="C103" s="132" t="s">
        <v>367</v>
      </c>
      <c r="D103" s="99" t="s">
        <v>453</v>
      </c>
      <c r="E103" s="100" t="s">
        <v>454</v>
      </c>
    </row>
    <row r="104" spans="1:5" ht="14.45" customHeight="1" x14ac:dyDescent="0.25">
      <c r="A104" s="83"/>
      <c r="B104" s="131" t="s">
        <v>19</v>
      </c>
      <c r="C104" s="132" t="s">
        <v>367</v>
      </c>
      <c r="D104" s="99" t="s">
        <v>455</v>
      </c>
      <c r="E104" s="100" t="s">
        <v>456</v>
      </c>
    </row>
    <row r="105" spans="1:5" ht="14.45" customHeight="1" x14ac:dyDescent="0.25">
      <c r="A105" s="83"/>
      <c r="B105" s="131" t="s">
        <v>19</v>
      </c>
      <c r="C105" s="132" t="s">
        <v>367</v>
      </c>
      <c r="D105" s="99" t="s">
        <v>218</v>
      </c>
      <c r="E105" s="100" t="s">
        <v>219</v>
      </c>
    </row>
    <row r="106" spans="1:5" ht="14.45" customHeight="1" x14ac:dyDescent="0.25">
      <c r="A106" s="83"/>
      <c r="B106" s="131" t="s">
        <v>19</v>
      </c>
      <c r="C106" s="132" t="s">
        <v>367</v>
      </c>
      <c r="D106" s="99" t="s">
        <v>216</v>
      </c>
      <c r="E106" s="100" t="s">
        <v>217</v>
      </c>
    </row>
    <row r="107" spans="1:5" ht="14.45" customHeight="1" x14ac:dyDescent="0.25">
      <c r="A107" s="83"/>
      <c r="B107" s="131" t="s">
        <v>19</v>
      </c>
      <c r="C107" s="132" t="s">
        <v>367</v>
      </c>
      <c r="D107" s="99" t="s">
        <v>457</v>
      </c>
      <c r="E107" s="100" t="s">
        <v>457</v>
      </c>
    </row>
    <row r="108" spans="1:5" ht="14.45" customHeight="1" x14ac:dyDescent="0.25">
      <c r="A108" s="83"/>
      <c r="B108" s="131" t="s">
        <v>19</v>
      </c>
      <c r="C108" s="132" t="s">
        <v>367</v>
      </c>
      <c r="D108" s="99" t="s">
        <v>213</v>
      </c>
      <c r="E108" s="100" t="s">
        <v>213</v>
      </c>
    </row>
    <row r="109" spans="1:5" ht="14.45" customHeight="1" thickBot="1" x14ac:dyDescent="0.3">
      <c r="A109" s="83"/>
      <c r="B109" s="141" t="s">
        <v>19</v>
      </c>
      <c r="C109" s="142" t="s">
        <v>367</v>
      </c>
      <c r="D109" s="143" t="s">
        <v>458</v>
      </c>
      <c r="E109" s="144" t="s">
        <v>459</v>
      </c>
    </row>
    <row r="110" spans="1:5" ht="14.45" customHeight="1" x14ac:dyDescent="0.25">
      <c r="A110" s="83"/>
      <c r="B110" s="105" t="s">
        <v>20</v>
      </c>
      <c r="C110" s="94" t="s">
        <v>22</v>
      </c>
      <c r="D110" s="95" t="s">
        <v>460</v>
      </c>
      <c r="E110" s="96" t="s">
        <v>237</v>
      </c>
    </row>
    <row r="111" spans="1:5" ht="14.45" customHeight="1" x14ac:dyDescent="0.25">
      <c r="A111" s="83"/>
      <c r="B111" s="97" t="s">
        <v>20</v>
      </c>
      <c r="C111" s="98" t="s">
        <v>22</v>
      </c>
      <c r="D111" s="99" t="s">
        <v>461</v>
      </c>
      <c r="E111" s="100" t="s">
        <v>236</v>
      </c>
    </row>
    <row r="112" spans="1:5" ht="14.45" customHeight="1" x14ac:dyDescent="0.25">
      <c r="A112" s="83"/>
      <c r="B112" s="97" t="s">
        <v>20</v>
      </c>
      <c r="C112" s="98" t="s">
        <v>22</v>
      </c>
      <c r="D112" s="99" t="s">
        <v>462</v>
      </c>
      <c r="E112" s="100" t="s">
        <v>235</v>
      </c>
    </row>
    <row r="113" spans="1:5" ht="14.45" customHeight="1" x14ac:dyDescent="0.25">
      <c r="A113" s="83"/>
      <c r="B113" s="97" t="s">
        <v>20</v>
      </c>
      <c r="C113" s="98" t="s">
        <v>22</v>
      </c>
      <c r="D113" s="99" t="s">
        <v>463</v>
      </c>
      <c r="E113" s="100" t="s">
        <v>464</v>
      </c>
    </row>
    <row r="114" spans="1:5" ht="14.45" customHeight="1" x14ac:dyDescent="0.25">
      <c r="A114" s="83"/>
      <c r="B114" s="97" t="s">
        <v>20</v>
      </c>
      <c r="C114" s="98" t="s">
        <v>22</v>
      </c>
      <c r="D114" s="99" t="s">
        <v>465</v>
      </c>
      <c r="E114" s="100" t="s">
        <v>466</v>
      </c>
    </row>
    <row r="115" spans="1:5" ht="14.45" customHeight="1" x14ac:dyDescent="0.25">
      <c r="A115" s="83"/>
      <c r="B115" s="97" t="s">
        <v>20</v>
      </c>
      <c r="C115" s="98" t="s">
        <v>22</v>
      </c>
      <c r="D115" s="99" t="s">
        <v>467</v>
      </c>
      <c r="E115" s="100" t="s">
        <v>467</v>
      </c>
    </row>
    <row r="116" spans="1:5" ht="14.45" customHeight="1" x14ac:dyDescent="0.25">
      <c r="A116" s="83"/>
      <c r="B116" s="115" t="s">
        <v>20</v>
      </c>
      <c r="C116" s="102" t="s">
        <v>22</v>
      </c>
      <c r="D116" s="103" t="s">
        <v>468</v>
      </c>
      <c r="E116" s="104" t="s">
        <v>469</v>
      </c>
    </row>
    <row r="117" spans="1:5" ht="14.45" customHeight="1" x14ac:dyDescent="0.25">
      <c r="A117" s="83"/>
      <c r="B117" s="145" t="s">
        <v>20</v>
      </c>
      <c r="C117" s="112" t="s">
        <v>24</v>
      </c>
      <c r="D117" s="113" t="s">
        <v>288</v>
      </c>
      <c r="E117" s="114" t="s">
        <v>312</v>
      </c>
    </row>
    <row r="118" spans="1:5" ht="14.45" customHeight="1" thickBot="1" x14ac:dyDescent="0.3">
      <c r="A118" s="83"/>
      <c r="B118" s="141" t="s">
        <v>20</v>
      </c>
      <c r="C118" s="102" t="s">
        <v>24</v>
      </c>
      <c r="D118" s="103" t="s">
        <v>527</v>
      </c>
      <c r="E118" s="104" t="s">
        <v>528</v>
      </c>
    </row>
    <row r="119" spans="1:5" ht="14.45" customHeight="1" x14ac:dyDescent="0.25">
      <c r="A119" s="83"/>
      <c r="B119" s="105" t="s">
        <v>529</v>
      </c>
      <c r="C119" s="128" t="s">
        <v>530</v>
      </c>
      <c r="D119" s="129" t="s">
        <v>531</v>
      </c>
      <c r="E119" s="130" t="s">
        <v>532</v>
      </c>
    </row>
    <row r="120" spans="1:5" ht="14.45" customHeight="1" x14ac:dyDescent="0.25">
      <c r="A120" s="83"/>
      <c r="B120" s="131" t="s">
        <v>529</v>
      </c>
      <c r="C120" s="132" t="s">
        <v>530</v>
      </c>
      <c r="D120" s="99" t="s">
        <v>533</v>
      </c>
      <c r="E120" s="100" t="s">
        <v>534</v>
      </c>
    </row>
    <row r="121" spans="1:5" ht="14.45" customHeight="1" thickBot="1" x14ac:dyDescent="0.3">
      <c r="A121" s="83"/>
      <c r="B121" s="141" t="s">
        <v>529</v>
      </c>
      <c r="C121" s="142" t="s">
        <v>530</v>
      </c>
      <c r="D121" s="103" t="s">
        <v>535</v>
      </c>
      <c r="E121" s="104" t="s">
        <v>536</v>
      </c>
    </row>
    <row r="122" spans="1:5" ht="14.45" customHeight="1" x14ac:dyDescent="0.25">
      <c r="A122" s="83"/>
      <c r="B122" s="105" t="s">
        <v>21</v>
      </c>
      <c r="C122" s="94" t="s">
        <v>537</v>
      </c>
      <c r="D122" s="129" t="s">
        <v>210</v>
      </c>
      <c r="E122" s="130" t="s">
        <v>470</v>
      </c>
    </row>
    <row r="123" spans="1:5" ht="14.45" customHeight="1" x14ac:dyDescent="0.25">
      <c r="A123" s="83"/>
      <c r="B123" s="97" t="s">
        <v>21</v>
      </c>
      <c r="C123" s="94" t="s">
        <v>537</v>
      </c>
      <c r="D123" s="99" t="s">
        <v>538</v>
      </c>
      <c r="E123" s="100" t="s">
        <v>539</v>
      </c>
    </row>
    <row r="124" spans="1:5" ht="14.45" customHeight="1" x14ac:dyDescent="0.25">
      <c r="A124" s="83"/>
      <c r="B124" s="97" t="s">
        <v>21</v>
      </c>
      <c r="C124" s="94" t="s">
        <v>537</v>
      </c>
      <c r="D124" s="99" t="s">
        <v>187</v>
      </c>
      <c r="E124" s="100" t="s">
        <v>187</v>
      </c>
    </row>
    <row r="125" spans="1:5" ht="14.45" customHeight="1" x14ac:dyDescent="0.25">
      <c r="A125" s="83"/>
      <c r="B125" s="115" t="s">
        <v>21</v>
      </c>
      <c r="C125" s="120" t="s">
        <v>537</v>
      </c>
      <c r="D125" s="103" t="s">
        <v>471</v>
      </c>
      <c r="E125" s="104" t="s">
        <v>472</v>
      </c>
    </row>
    <row r="126" spans="1:5" ht="14.45" customHeight="1" x14ac:dyDescent="0.25">
      <c r="A126" s="83"/>
      <c r="B126" s="145" t="s">
        <v>21</v>
      </c>
      <c r="C126" s="112" t="s">
        <v>25</v>
      </c>
      <c r="D126" s="113" t="s">
        <v>473</v>
      </c>
      <c r="E126" s="114" t="s">
        <v>474</v>
      </c>
    </row>
    <row r="127" spans="1:5" ht="14.45" customHeight="1" x14ac:dyDescent="0.25">
      <c r="A127" s="83"/>
      <c r="B127" s="97" t="s">
        <v>21</v>
      </c>
      <c r="C127" s="94" t="s">
        <v>25</v>
      </c>
      <c r="D127" s="95" t="s">
        <v>540</v>
      </c>
      <c r="E127" s="100" t="s">
        <v>540</v>
      </c>
    </row>
    <row r="128" spans="1:5" ht="14.45" customHeight="1" x14ac:dyDescent="0.25">
      <c r="A128" s="83"/>
      <c r="B128" s="97" t="s">
        <v>21</v>
      </c>
      <c r="C128" s="94" t="s">
        <v>25</v>
      </c>
      <c r="D128" s="99" t="s">
        <v>475</v>
      </c>
      <c r="E128" s="100" t="s">
        <v>476</v>
      </c>
    </row>
    <row r="129" spans="1:5" ht="14.45" customHeight="1" x14ac:dyDescent="0.25">
      <c r="A129" s="83"/>
      <c r="B129" s="97" t="s">
        <v>21</v>
      </c>
      <c r="C129" s="94" t="s">
        <v>25</v>
      </c>
      <c r="D129" s="99" t="s">
        <v>290</v>
      </c>
      <c r="E129" s="100" t="s">
        <v>313</v>
      </c>
    </row>
    <row r="130" spans="1:5" ht="14.45" customHeight="1" x14ac:dyDescent="0.25">
      <c r="A130" s="83"/>
      <c r="B130" s="115" t="s">
        <v>21</v>
      </c>
      <c r="C130" s="120" t="s">
        <v>25</v>
      </c>
      <c r="D130" s="103" t="s">
        <v>541</v>
      </c>
      <c r="E130" s="104" t="s">
        <v>542</v>
      </c>
    </row>
    <row r="131" spans="1:5" ht="14.45" customHeight="1" thickBot="1" x14ac:dyDescent="0.3">
      <c r="A131" s="83"/>
      <c r="B131" s="146" t="s">
        <v>21</v>
      </c>
      <c r="C131" s="124" t="s">
        <v>23</v>
      </c>
      <c r="D131" s="125" t="s">
        <v>289</v>
      </c>
      <c r="E131" s="147" t="s">
        <v>230</v>
      </c>
    </row>
    <row r="132" spans="1:5" ht="14.45" customHeight="1" x14ac:dyDescent="0.25">
      <c r="A132" s="83"/>
      <c r="B132" s="127" t="s">
        <v>26</v>
      </c>
      <c r="C132" s="128" t="s">
        <v>35</v>
      </c>
      <c r="D132" s="129" t="s">
        <v>198</v>
      </c>
      <c r="E132" s="130" t="s">
        <v>479</v>
      </c>
    </row>
    <row r="133" spans="1:5" ht="14.45" customHeight="1" x14ac:dyDescent="0.25">
      <c r="A133" s="83"/>
      <c r="B133" s="131" t="s">
        <v>26</v>
      </c>
      <c r="C133" s="132" t="s">
        <v>35</v>
      </c>
      <c r="D133" s="99" t="s">
        <v>480</v>
      </c>
      <c r="E133" s="100" t="s">
        <v>481</v>
      </c>
    </row>
    <row r="134" spans="1:5" ht="14.45" customHeight="1" x14ac:dyDescent="0.25">
      <c r="A134" s="83"/>
      <c r="B134" s="131" t="s">
        <v>26</v>
      </c>
      <c r="C134" s="132" t="s">
        <v>35</v>
      </c>
      <c r="D134" s="99" t="s">
        <v>291</v>
      </c>
      <c r="E134" s="100" t="s">
        <v>314</v>
      </c>
    </row>
    <row r="135" spans="1:5" ht="14.45" customHeight="1" x14ac:dyDescent="0.25">
      <c r="A135" s="83"/>
      <c r="B135" s="131" t="s">
        <v>26</v>
      </c>
      <c r="C135" s="132" t="s">
        <v>35</v>
      </c>
      <c r="D135" s="99" t="s">
        <v>292</v>
      </c>
      <c r="E135" s="100" t="s">
        <v>315</v>
      </c>
    </row>
    <row r="136" spans="1:5" ht="14.45" customHeight="1" x14ac:dyDescent="0.25">
      <c r="A136" s="83"/>
      <c r="B136" s="133" t="s">
        <v>26</v>
      </c>
      <c r="C136" s="134" t="s">
        <v>35</v>
      </c>
      <c r="D136" s="103" t="s">
        <v>293</v>
      </c>
      <c r="E136" s="104" t="s">
        <v>316</v>
      </c>
    </row>
    <row r="137" spans="1:5" ht="14.45" customHeight="1" x14ac:dyDescent="0.25">
      <c r="A137" s="83"/>
      <c r="B137" s="135" t="s">
        <v>26</v>
      </c>
      <c r="C137" s="136" t="s">
        <v>38</v>
      </c>
      <c r="D137" s="113" t="s">
        <v>231</v>
      </c>
      <c r="E137" s="114" t="s">
        <v>232</v>
      </c>
    </row>
    <row r="138" spans="1:5" ht="14.45" customHeight="1" x14ac:dyDescent="0.25">
      <c r="A138" s="83"/>
      <c r="B138" s="131" t="s">
        <v>26</v>
      </c>
      <c r="C138" s="132" t="s">
        <v>38</v>
      </c>
      <c r="D138" s="99" t="s">
        <v>269</v>
      </c>
      <c r="E138" s="100" t="s">
        <v>317</v>
      </c>
    </row>
    <row r="139" spans="1:5" ht="14.45" customHeight="1" x14ac:dyDescent="0.25">
      <c r="A139" s="83"/>
      <c r="B139" s="131" t="s">
        <v>26</v>
      </c>
      <c r="C139" s="132" t="s">
        <v>38</v>
      </c>
      <c r="D139" s="99" t="s">
        <v>294</v>
      </c>
      <c r="E139" s="100" t="s">
        <v>318</v>
      </c>
    </row>
    <row r="140" spans="1:5" ht="14.45" customHeight="1" x14ac:dyDescent="0.25">
      <c r="A140" s="83"/>
      <c r="B140" s="131" t="s">
        <v>26</v>
      </c>
      <c r="C140" s="132" t="s">
        <v>38</v>
      </c>
      <c r="D140" s="99" t="s">
        <v>295</v>
      </c>
      <c r="E140" s="100" t="s">
        <v>319</v>
      </c>
    </row>
    <row r="141" spans="1:5" ht="14.45" customHeight="1" x14ac:dyDescent="0.25">
      <c r="A141" s="83"/>
      <c r="B141" s="131" t="s">
        <v>26</v>
      </c>
      <c r="C141" s="132" t="s">
        <v>38</v>
      </c>
      <c r="D141" s="99" t="s">
        <v>296</v>
      </c>
      <c r="E141" s="100" t="s">
        <v>320</v>
      </c>
    </row>
    <row r="142" spans="1:5" ht="14.45" customHeight="1" x14ac:dyDescent="0.25">
      <c r="A142" s="83"/>
      <c r="B142" s="131" t="s">
        <v>26</v>
      </c>
      <c r="C142" s="132" t="s">
        <v>38</v>
      </c>
      <c r="D142" s="99" t="s">
        <v>297</v>
      </c>
      <c r="E142" s="100" t="s">
        <v>321</v>
      </c>
    </row>
    <row r="143" spans="1:5" ht="14.45" customHeight="1" x14ac:dyDescent="0.25">
      <c r="A143" s="83"/>
      <c r="B143" s="131" t="s">
        <v>26</v>
      </c>
      <c r="C143" s="132" t="s">
        <v>38</v>
      </c>
      <c r="D143" s="99" t="s">
        <v>298</v>
      </c>
      <c r="E143" s="100" t="s">
        <v>322</v>
      </c>
    </row>
    <row r="144" spans="1:5" ht="14.45" customHeight="1" x14ac:dyDescent="0.25">
      <c r="A144" s="83"/>
      <c r="B144" s="131" t="s">
        <v>26</v>
      </c>
      <c r="C144" s="132" t="s">
        <v>38</v>
      </c>
      <c r="D144" s="99" t="s">
        <v>270</v>
      </c>
      <c r="E144" s="100" t="s">
        <v>323</v>
      </c>
    </row>
    <row r="145" spans="1:5" ht="14.45" customHeight="1" x14ac:dyDescent="0.25">
      <c r="A145" s="83"/>
      <c r="B145" s="131" t="s">
        <v>26</v>
      </c>
      <c r="C145" s="132" t="s">
        <v>38</v>
      </c>
      <c r="D145" s="99" t="s">
        <v>299</v>
      </c>
      <c r="E145" s="100" t="s">
        <v>324</v>
      </c>
    </row>
    <row r="146" spans="1:5" ht="14.45" customHeight="1" x14ac:dyDescent="0.25">
      <c r="A146" s="83"/>
      <c r="B146" s="131" t="s">
        <v>26</v>
      </c>
      <c r="C146" s="132" t="s">
        <v>38</v>
      </c>
      <c r="D146" s="99" t="s">
        <v>300</v>
      </c>
      <c r="E146" s="100" t="s">
        <v>325</v>
      </c>
    </row>
    <row r="147" spans="1:5" ht="14.45" customHeight="1" x14ac:dyDescent="0.25">
      <c r="A147" s="83"/>
      <c r="B147" s="131" t="s">
        <v>26</v>
      </c>
      <c r="C147" s="132" t="s">
        <v>38</v>
      </c>
      <c r="D147" s="99" t="s">
        <v>301</v>
      </c>
      <c r="E147" s="100" t="s">
        <v>326</v>
      </c>
    </row>
    <row r="148" spans="1:5" ht="14.45" customHeight="1" x14ac:dyDescent="0.25">
      <c r="A148" s="83"/>
      <c r="B148" s="131" t="s">
        <v>26</v>
      </c>
      <c r="C148" s="132" t="s">
        <v>38</v>
      </c>
      <c r="D148" s="99" t="s">
        <v>302</v>
      </c>
      <c r="E148" s="100" t="s">
        <v>327</v>
      </c>
    </row>
    <row r="149" spans="1:5" ht="14.45" customHeight="1" x14ac:dyDescent="0.25">
      <c r="A149" s="83"/>
      <c r="B149" s="131" t="s">
        <v>26</v>
      </c>
      <c r="C149" s="132" t="s">
        <v>38</v>
      </c>
      <c r="D149" s="99" t="s">
        <v>199</v>
      </c>
      <c r="E149" s="100" t="s">
        <v>271</v>
      </c>
    </row>
    <row r="150" spans="1:5" ht="14.45" customHeight="1" x14ac:dyDescent="0.25">
      <c r="A150" s="83"/>
      <c r="B150" s="137" t="s">
        <v>26</v>
      </c>
      <c r="C150" s="138" t="s">
        <v>38</v>
      </c>
      <c r="D150" s="117" t="s">
        <v>303</v>
      </c>
      <c r="E150" s="118" t="s">
        <v>328</v>
      </c>
    </row>
    <row r="151" spans="1:5" ht="14.45" customHeight="1" x14ac:dyDescent="0.25">
      <c r="A151" s="83"/>
      <c r="B151" s="139" t="s">
        <v>26</v>
      </c>
      <c r="C151" s="140" t="s">
        <v>37</v>
      </c>
      <c r="D151" s="95" t="s">
        <v>233</v>
      </c>
      <c r="E151" s="96" t="s">
        <v>234</v>
      </c>
    </row>
    <row r="152" spans="1:5" ht="14.45" customHeight="1" x14ac:dyDescent="0.25">
      <c r="A152" s="83"/>
      <c r="B152" s="131" t="s">
        <v>26</v>
      </c>
      <c r="C152" s="132" t="s">
        <v>37</v>
      </c>
      <c r="D152" s="99" t="s">
        <v>543</v>
      </c>
      <c r="E152" s="100" t="s">
        <v>544</v>
      </c>
    </row>
    <row r="153" spans="1:5" ht="14.45" customHeight="1" x14ac:dyDescent="0.25">
      <c r="A153" s="83"/>
      <c r="B153" s="133" t="s">
        <v>26</v>
      </c>
      <c r="C153" s="134" t="s">
        <v>37</v>
      </c>
      <c r="D153" s="103" t="s">
        <v>477</v>
      </c>
      <c r="E153" s="104" t="s">
        <v>478</v>
      </c>
    </row>
    <row r="154" spans="1:5" ht="14.45" customHeight="1" x14ac:dyDescent="0.25">
      <c r="A154" s="83"/>
      <c r="B154" s="135" t="s">
        <v>26</v>
      </c>
      <c r="C154" s="136" t="s">
        <v>31</v>
      </c>
      <c r="D154" s="113" t="s">
        <v>304</v>
      </c>
      <c r="E154" s="114" t="s">
        <v>545</v>
      </c>
    </row>
    <row r="155" spans="1:5" ht="14.45" customHeight="1" x14ac:dyDescent="0.25">
      <c r="A155" s="83"/>
      <c r="B155" s="131" t="s">
        <v>26</v>
      </c>
      <c r="C155" s="132" t="s">
        <v>31</v>
      </c>
      <c r="D155" s="99" t="s">
        <v>305</v>
      </c>
      <c r="E155" s="100" t="s">
        <v>546</v>
      </c>
    </row>
    <row r="156" spans="1:5" ht="14.45" customHeight="1" x14ac:dyDescent="0.25">
      <c r="A156" s="83"/>
      <c r="B156" s="137" t="s">
        <v>26</v>
      </c>
      <c r="C156" s="138" t="s">
        <v>31</v>
      </c>
      <c r="D156" s="117" t="s">
        <v>306</v>
      </c>
      <c r="E156" s="118" t="s">
        <v>329</v>
      </c>
    </row>
    <row r="157" spans="1:5" ht="14.45" customHeight="1" thickBot="1" x14ac:dyDescent="0.3">
      <c r="A157" s="83"/>
      <c r="B157" s="148" t="s">
        <v>26</v>
      </c>
      <c r="C157" s="149" t="s">
        <v>547</v>
      </c>
      <c r="D157" s="150" t="s">
        <v>548</v>
      </c>
      <c r="E157" s="151" t="s">
        <v>549</v>
      </c>
    </row>
    <row r="158" spans="1:5" ht="14.45" customHeight="1" x14ac:dyDescent="0.25">
      <c r="A158" s="83"/>
      <c r="B158" s="105" t="s">
        <v>27</v>
      </c>
      <c r="C158" s="94" t="s">
        <v>30</v>
      </c>
      <c r="D158" s="95" t="s">
        <v>307</v>
      </c>
      <c r="E158" s="152" t="s">
        <v>331</v>
      </c>
    </row>
    <row r="159" spans="1:5" ht="14.45" customHeight="1" x14ac:dyDescent="0.25">
      <c r="A159" s="83"/>
      <c r="B159" s="97" t="s">
        <v>27</v>
      </c>
      <c r="C159" s="98" t="s">
        <v>30</v>
      </c>
      <c r="D159" s="99" t="s">
        <v>483</v>
      </c>
      <c r="E159" s="153" t="s">
        <v>330</v>
      </c>
    </row>
    <row r="160" spans="1:5" ht="14.45" customHeight="1" x14ac:dyDescent="0.25">
      <c r="A160" s="83"/>
      <c r="B160" s="97" t="s">
        <v>27</v>
      </c>
      <c r="C160" s="98" t="s">
        <v>30</v>
      </c>
      <c r="D160" s="99" t="s">
        <v>484</v>
      </c>
      <c r="E160" s="153" t="s">
        <v>332</v>
      </c>
    </row>
    <row r="161" spans="1:5" ht="14.45" customHeight="1" x14ac:dyDescent="0.25">
      <c r="A161" s="83"/>
      <c r="B161" s="97" t="s">
        <v>27</v>
      </c>
      <c r="C161" s="98" t="s">
        <v>30</v>
      </c>
      <c r="D161" s="99" t="s">
        <v>485</v>
      </c>
      <c r="E161" s="153" t="s">
        <v>486</v>
      </c>
    </row>
    <row r="162" spans="1:5" ht="14.45" customHeight="1" x14ac:dyDescent="0.25">
      <c r="A162" s="83"/>
      <c r="B162" s="97" t="s">
        <v>27</v>
      </c>
      <c r="C162" s="98" t="s">
        <v>30</v>
      </c>
      <c r="D162" s="99" t="s">
        <v>487</v>
      </c>
      <c r="E162" s="153" t="s">
        <v>488</v>
      </c>
    </row>
    <row r="163" spans="1:5" ht="14.45" customHeight="1" x14ac:dyDescent="0.25">
      <c r="A163" s="83"/>
      <c r="B163" s="115" t="s">
        <v>27</v>
      </c>
      <c r="C163" s="102" t="s">
        <v>30</v>
      </c>
      <c r="D163" s="103" t="s">
        <v>489</v>
      </c>
      <c r="E163" s="154" t="s">
        <v>490</v>
      </c>
    </row>
    <row r="164" spans="1:5" ht="14.45" customHeight="1" x14ac:dyDescent="0.25">
      <c r="A164" s="83"/>
      <c r="B164" s="145" t="s">
        <v>27</v>
      </c>
      <c r="C164" s="112" t="s">
        <v>36</v>
      </c>
      <c r="D164" s="155" t="s">
        <v>550</v>
      </c>
      <c r="E164" s="156" t="s">
        <v>551</v>
      </c>
    </row>
    <row r="165" spans="1:5" ht="14.45" customHeight="1" thickBot="1" x14ac:dyDescent="0.3">
      <c r="B165" s="115" t="s">
        <v>27</v>
      </c>
      <c r="C165" s="102" t="s">
        <v>33</v>
      </c>
      <c r="D165" s="103" t="s">
        <v>482</v>
      </c>
      <c r="E165" s="104" t="s">
        <v>333</v>
      </c>
    </row>
    <row r="166" spans="1:5" ht="14.45" customHeight="1" thickBot="1" x14ac:dyDescent="0.3">
      <c r="B166" s="157" t="s">
        <v>28</v>
      </c>
      <c r="C166" s="158" t="s">
        <v>32</v>
      </c>
      <c r="D166" s="159" t="s">
        <v>491</v>
      </c>
      <c r="E166" s="160" t="s">
        <v>88</v>
      </c>
    </row>
    <row r="167" spans="1:5" ht="14.45" customHeight="1" x14ac:dyDescent="0.25">
      <c r="B167" s="105" t="s">
        <v>29</v>
      </c>
      <c r="C167" s="94" t="s">
        <v>34</v>
      </c>
      <c r="D167" s="95" t="s">
        <v>278</v>
      </c>
      <c r="E167" s="96" t="s">
        <v>492</v>
      </c>
    </row>
    <row r="168" spans="1:5" ht="14.45" customHeight="1" x14ac:dyDescent="0.25">
      <c r="B168" s="97" t="s">
        <v>29</v>
      </c>
      <c r="C168" s="98" t="s">
        <v>34</v>
      </c>
      <c r="D168" s="99" t="s">
        <v>281</v>
      </c>
      <c r="E168" s="100" t="s">
        <v>281</v>
      </c>
    </row>
    <row r="169" spans="1:5" ht="14.45" customHeight="1" x14ac:dyDescent="0.25">
      <c r="B169" s="97" t="s">
        <v>29</v>
      </c>
      <c r="C169" s="98" t="s">
        <v>34</v>
      </c>
      <c r="D169" s="99" t="s">
        <v>282</v>
      </c>
      <c r="E169" s="100" t="s">
        <v>282</v>
      </c>
    </row>
    <row r="170" spans="1:5" ht="14.45" customHeight="1" x14ac:dyDescent="0.25">
      <c r="B170" s="97" t="s">
        <v>29</v>
      </c>
      <c r="C170" s="98" t="s">
        <v>34</v>
      </c>
      <c r="D170" s="99" t="s">
        <v>493</v>
      </c>
      <c r="E170" s="100" t="s">
        <v>494</v>
      </c>
    </row>
    <row r="171" spans="1:5" ht="14.45" customHeight="1" x14ac:dyDescent="0.25">
      <c r="B171" s="97" t="s">
        <v>29</v>
      </c>
      <c r="C171" s="98" t="s">
        <v>34</v>
      </c>
      <c r="D171" s="99" t="s">
        <v>206</v>
      </c>
      <c r="E171" s="100" t="s">
        <v>206</v>
      </c>
    </row>
    <row r="172" spans="1:5" ht="14.45" customHeight="1" x14ac:dyDescent="0.25">
      <c r="B172" s="97" t="s">
        <v>29</v>
      </c>
      <c r="C172" s="98" t="s">
        <v>34</v>
      </c>
      <c r="D172" s="99" t="s">
        <v>495</v>
      </c>
      <c r="E172" s="100" t="s">
        <v>495</v>
      </c>
    </row>
    <row r="173" spans="1:5" ht="14.45" customHeight="1" x14ac:dyDescent="0.25">
      <c r="B173" s="97" t="s">
        <v>29</v>
      </c>
      <c r="C173" s="98" t="s">
        <v>34</v>
      </c>
      <c r="D173" s="99" t="s">
        <v>496</v>
      </c>
      <c r="E173" s="100" t="s">
        <v>552</v>
      </c>
    </row>
    <row r="174" spans="1:5" ht="14.45" customHeight="1" x14ac:dyDescent="0.25">
      <c r="B174" s="97" t="s">
        <v>29</v>
      </c>
      <c r="C174" s="98" t="s">
        <v>34</v>
      </c>
      <c r="D174" s="103" t="s">
        <v>553</v>
      </c>
      <c r="E174" s="100" t="s">
        <v>553</v>
      </c>
    </row>
    <row r="175" spans="1:5" ht="14.45" customHeight="1" thickBot="1" x14ac:dyDescent="0.3">
      <c r="B175" s="115" t="s">
        <v>29</v>
      </c>
      <c r="C175" s="102" t="s">
        <v>34</v>
      </c>
      <c r="D175" s="103" t="s">
        <v>279</v>
      </c>
      <c r="E175" s="104" t="s">
        <v>280</v>
      </c>
    </row>
    <row r="176" spans="1:5" ht="14.45" customHeight="1" thickBot="1" x14ac:dyDescent="0.3">
      <c r="B176" s="161" t="s">
        <v>368</v>
      </c>
      <c r="C176" s="162" t="s">
        <v>368</v>
      </c>
      <c r="D176" s="159" t="s">
        <v>368</v>
      </c>
      <c r="E176" s="160" t="s">
        <v>368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8" activePane="bottomLeft" state="frozen"/>
      <selection pane="bottomLeft" activeCell="B2" sqref="B2"/>
    </sheetView>
  </sheetViews>
  <sheetFormatPr defaultColWidth="0" defaultRowHeight="15" zeroHeight="1" x14ac:dyDescent="0.25"/>
  <cols>
    <col min="1" max="1" width="8.85546875" customWidth="1"/>
    <col min="2" max="2" width="34.42578125" customWidth="1"/>
    <col min="3" max="3" width="42" customWidth="1"/>
    <col min="4" max="4" width="8.85546875" customWidth="1"/>
    <col min="5" max="16384" width="8.85546875" hidden="1"/>
  </cols>
  <sheetData>
    <row r="1" spans="1:4" s="65" customFormat="1" ht="32.1" customHeight="1" x14ac:dyDescent="0.25">
      <c r="A1" s="67"/>
      <c r="B1" s="68" t="s">
        <v>209</v>
      </c>
      <c r="C1" s="68" t="s">
        <v>238</v>
      </c>
      <c r="D1" s="67"/>
    </row>
    <row r="2" spans="1:4" ht="20.100000000000001" customHeight="1" thickBot="1" x14ac:dyDescent="0.3">
      <c r="B2" s="69" t="s">
        <v>239</v>
      </c>
      <c r="C2" s="70" t="s">
        <v>242</v>
      </c>
    </row>
    <row r="3" spans="1:4" ht="20.100000000000001" customHeight="1" thickBot="1" x14ac:dyDescent="0.3">
      <c r="B3" s="69" t="s">
        <v>244</v>
      </c>
      <c r="C3" s="70" t="s">
        <v>242</v>
      </c>
    </row>
    <row r="4" spans="1:4" ht="20.100000000000001" customHeight="1" thickBot="1" x14ac:dyDescent="0.3">
      <c r="B4" s="69" t="s">
        <v>243</v>
      </c>
      <c r="C4" s="70" t="s">
        <v>242</v>
      </c>
    </row>
    <row r="5" spans="1:4" ht="20.100000000000001" customHeight="1" thickBot="1" x14ac:dyDescent="0.3">
      <c r="B5" s="69" t="s">
        <v>245</v>
      </c>
      <c r="C5" s="70" t="s">
        <v>242</v>
      </c>
    </row>
    <row r="6" spans="1:4" ht="20.100000000000001" customHeight="1" thickBot="1" x14ac:dyDescent="0.3">
      <c r="B6" s="69" t="s">
        <v>259</v>
      </c>
      <c r="C6" s="70" t="s">
        <v>242</v>
      </c>
    </row>
    <row r="7" spans="1:4" ht="20.100000000000001" customHeight="1" thickBot="1" x14ac:dyDescent="0.3">
      <c r="B7" s="69" t="s">
        <v>246</v>
      </c>
      <c r="C7" s="70" t="s">
        <v>241</v>
      </c>
    </row>
    <row r="8" spans="1:4" ht="20.100000000000001" customHeight="1" thickBot="1" x14ac:dyDescent="0.3">
      <c r="B8" s="69" t="s">
        <v>247</v>
      </c>
      <c r="C8" s="70" t="s">
        <v>241</v>
      </c>
    </row>
    <row r="9" spans="1:4" ht="20.100000000000001" customHeight="1" thickBot="1" x14ac:dyDescent="0.3">
      <c r="B9" s="69" t="s">
        <v>248</v>
      </c>
      <c r="C9" s="70" t="s">
        <v>241</v>
      </c>
    </row>
    <row r="10" spans="1:4" ht="20.100000000000001" customHeight="1" thickBot="1" x14ac:dyDescent="0.3">
      <c r="B10" s="69" t="s">
        <v>249</v>
      </c>
      <c r="C10" s="70" t="s">
        <v>241</v>
      </c>
    </row>
    <row r="11" spans="1:4" ht="20.100000000000001" customHeight="1" thickBot="1" x14ac:dyDescent="0.3">
      <c r="B11" s="69" t="s">
        <v>250</v>
      </c>
      <c r="C11" s="70" t="s">
        <v>241</v>
      </c>
    </row>
    <row r="12" spans="1:4" ht="20.100000000000001" customHeight="1" thickBot="1" x14ac:dyDescent="0.3">
      <c r="B12" s="69" t="s">
        <v>251</v>
      </c>
      <c r="C12" s="70" t="s">
        <v>241</v>
      </c>
    </row>
    <row r="13" spans="1:4" ht="20.100000000000001" customHeight="1" thickBot="1" x14ac:dyDescent="0.3">
      <c r="B13" s="69" t="s">
        <v>252</v>
      </c>
      <c r="C13" s="70" t="s">
        <v>241</v>
      </c>
    </row>
    <row r="14" spans="1:4" ht="20.100000000000001" customHeight="1" thickBot="1" x14ac:dyDescent="0.3">
      <c r="B14" s="69" t="s">
        <v>253</v>
      </c>
      <c r="C14" s="70" t="s">
        <v>241</v>
      </c>
    </row>
    <row r="15" spans="1:4" ht="20.100000000000001" customHeight="1" thickBot="1" x14ac:dyDescent="0.3">
      <c r="B15" s="69" t="s">
        <v>257</v>
      </c>
      <c r="C15" s="70" t="s">
        <v>241</v>
      </c>
    </row>
    <row r="16" spans="1:4" ht="20.100000000000001" customHeight="1" thickBot="1" x14ac:dyDescent="0.3">
      <c r="B16" s="69" t="s">
        <v>261</v>
      </c>
      <c r="C16" s="70" t="s">
        <v>241</v>
      </c>
    </row>
    <row r="17" spans="2:3" ht="20.100000000000001" customHeight="1" thickBot="1" x14ac:dyDescent="0.3">
      <c r="B17" s="69" t="s">
        <v>254</v>
      </c>
      <c r="C17" s="70" t="s">
        <v>241</v>
      </c>
    </row>
    <row r="18" spans="2:3" ht="20.100000000000001" customHeight="1" thickBot="1" x14ac:dyDescent="0.3">
      <c r="B18" s="69" t="s">
        <v>255</v>
      </c>
      <c r="C18" s="70" t="s">
        <v>241</v>
      </c>
    </row>
    <row r="19" spans="2:3" ht="20.100000000000001" customHeight="1" thickBot="1" x14ac:dyDescent="0.3">
      <c r="B19" s="69" t="s">
        <v>256</v>
      </c>
      <c r="C19" s="70" t="s">
        <v>241</v>
      </c>
    </row>
    <row r="20" spans="2:3" ht="20.100000000000001" customHeight="1" thickBot="1" x14ac:dyDescent="0.3">
      <c r="B20" s="69" t="s">
        <v>258</v>
      </c>
      <c r="C20" s="70" t="s">
        <v>241</v>
      </c>
    </row>
    <row r="21" spans="2:3" ht="20.100000000000001" customHeight="1" thickBot="1" x14ac:dyDescent="0.3">
      <c r="B21" s="69" t="s">
        <v>260</v>
      </c>
      <c r="C21" s="70" t="s">
        <v>241</v>
      </c>
    </row>
    <row r="22" spans="2:3" ht="20.100000000000001" customHeight="1" thickBot="1" x14ac:dyDescent="0.3">
      <c r="B22" s="69" t="s">
        <v>240</v>
      </c>
      <c r="C22" s="70" t="s">
        <v>241</v>
      </c>
    </row>
    <row r="23" spans="2:3" ht="20.100000000000001" customHeight="1" thickBot="1" x14ac:dyDescent="0.3">
      <c r="B23" s="69" t="s">
        <v>337</v>
      </c>
      <c r="C23" s="70" t="s">
        <v>241</v>
      </c>
    </row>
    <row r="24" spans="2:3" ht="15.75" x14ac:dyDescent="0.25">
      <c r="B24" s="71" t="s">
        <v>262</v>
      </c>
    </row>
    <row r="25" spans="2:3" x14ac:dyDescent="0.25"/>
    <row r="26" spans="2:3" x14ac:dyDescent="0.25"/>
    <row r="27" spans="2:3" x14ac:dyDescent="0.25"/>
    <row r="28" spans="2:3" x14ac:dyDescent="0.25"/>
    <row r="29" spans="2:3" x14ac:dyDescent="0.2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5" x14ac:dyDescent="0.25"/>
  <cols>
    <col min="1" max="1" width="85.140625" style="76" bestFit="1" customWidth="1"/>
  </cols>
  <sheetData>
    <row r="1" spans="1:1" x14ac:dyDescent="0.25">
      <c r="A1" s="77" t="s">
        <v>185</v>
      </c>
    </row>
    <row r="2" spans="1:1" x14ac:dyDescent="0.25">
      <c r="A2" s="75" t="s">
        <v>39</v>
      </c>
    </row>
    <row r="3" spans="1:1" x14ac:dyDescent="0.25">
      <c r="A3" s="75" t="s">
        <v>197</v>
      </c>
    </row>
    <row r="4" spans="1:1" x14ac:dyDescent="0.25">
      <c r="A4" s="75" t="s">
        <v>370</v>
      </c>
    </row>
    <row r="5" spans="1:1" x14ac:dyDescent="0.25">
      <c r="A5" s="75" t="s">
        <v>372</v>
      </c>
    </row>
    <row r="6" spans="1:1" x14ac:dyDescent="0.25">
      <c r="A6" s="75" t="s">
        <v>505</v>
      </c>
    </row>
    <row r="7" spans="1:1" x14ac:dyDescent="0.25">
      <c r="A7" s="75" t="s">
        <v>374</v>
      </c>
    </row>
    <row r="8" spans="1:1" x14ac:dyDescent="0.25">
      <c r="A8" s="75" t="s">
        <v>376</v>
      </c>
    </row>
    <row r="9" spans="1:1" x14ac:dyDescent="0.25">
      <c r="A9" s="75" t="s">
        <v>378</v>
      </c>
    </row>
    <row r="10" spans="1:1" x14ac:dyDescent="0.25">
      <c r="A10" s="76" t="s">
        <v>379</v>
      </c>
    </row>
    <row r="11" spans="1:1" x14ac:dyDescent="0.25">
      <c r="A11" s="76" t="s">
        <v>381</v>
      </c>
    </row>
    <row r="12" spans="1:1" x14ac:dyDescent="0.25">
      <c r="A12" s="76" t="s">
        <v>191</v>
      </c>
    </row>
    <row r="13" spans="1:1" x14ac:dyDescent="0.25">
      <c r="A13" t="s">
        <v>334</v>
      </c>
    </row>
    <row r="14" spans="1:1" x14ac:dyDescent="0.25">
      <c r="A14" t="s">
        <v>201</v>
      </c>
    </row>
    <row r="15" spans="1:1" x14ac:dyDescent="0.25">
      <c r="A15" t="s">
        <v>202</v>
      </c>
    </row>
    <row r="16" spans="1:1" x14ac:dyDescent="0.25">
      <c r="A16" t="s">
        <v>204</v>
      </c>
    </row>
    <row r="17" spans="1:1" x14ac:dyDescent="0.25">
      <c r="A17" t="s">
        <v>192</v>
      </c>
    </row>
    <row r="18" spans="1:1" x14ac:dyDescent="0.25">
      <c r="A18" t="s">
        <v>5</v>
      </c>
    </row>
    <row r="19" spans="1:1" x14ac:dyDescent="0.25">
      <c r="A19" t="s">
        <v>6</v>
      </c>
    </row>
    <row r="20" spans="1:1" x14ac:dyDescent="0.25">
      <c r="A20" t="s">
        <v>7</v>
      </c>
    </row>
    <row r="21" spans="1:1" x14ac:dyDescent="0.25">
      <c r="A21" t="s">
        <v>506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196</v>
      </c>
    </row>
    <row r="31" spans="1:1" x14ac:dyDescent="0.25">
      <c r="A31" t="s">
        <v>383</v>
      </c>
    </row>
    <row r="32" spans="1:1" x14ac:dyDescent="0.25">
      <c r="A32" t="s">
        <v>385</v>
      </c>
    </row>
    <row r="33" spans="1:1" x14ac:dyDescent="0.25">
      <c r="A33" t="s">
        <v>387</v>
      </c>
    </row>
    <row r="34" spans="1:1" x14ac:dyDescent="0.25">
      <c r="A34" t="s">
        <v>389</v>
      </c>
    </row>
    <row r="35" spans="1:1" x14ac:dyDescent="0.25">
      <c r="A35" t="s">
        <v>284</v>
      </c>
    </row>
    <row r="36" spans="1:1" x14ac:dyDescent="0.25">
      <c r="A36" t="s">
        <v>220</v>
      </c>
    </row>
    <row r="37" spans="1:1" x14ac:dyDescent="0.25">
      <c r="A37" t="s">
        <v>507</v>
      </c>
    </row>
    <row r="38" spans="1:1" x14ac:dyDescent="0.25">
      <c r="A38" t="s">
        <v>203</v>
      </c>
    </row>
    <row r="39" spans="1:1" x14ac:dyDescent="0.25">
      <c r="A39" t="s">
        <v>205</v>
      </c>
    </row>
    <row r="40" spans="1:1" x14ac:dyDescent="0.25">
      <c r="A40" t="s">
        <v>508</v>
      </c>
    </row>
    <row r="41" spans="1:1" x14ac:dyDescent="0.25">
      <c r="A41" t="s">
        <v>510</v>
      </c>
    </row>
    <row r="42" spans="1:1" x14ac:dyDescent="0.25">
      <c r="A42" t="s">
        <v>226</v>
      </c>
    </row>
    <row r="43" spans="1:1" x14ac:dyDescent="0.25">
      <c r="A43" t="s">
        <v>224</v>
      </c>
    </row>
    <row r="44" spans="1:1" x14ac:dyDescent="0.25">
      <c r="A44" t="s">
        <v>391</v>
      </c>
    </row>
    <row r="45" spans="1:1" x14ac:dyDescent="0.25">
      <c r="A45" t="s">
        <v>4</v>
      </c>
    </row>
    <row r="46" spans="1:1" x14ac:dyDescent="0.25">
      <c r="A46" t="s">
        <v>393</v>
      </c>
    </row>
    <row r="47" spans="1:1" x14ac:dyDescent="0.25">
      <c r="A47" t="s">
        <v>395</v>
      </c>
    </row>
    <row r="48" spans="1:1" x14ac:dyDescent="0.25">
      <c r="A48" t="s">
        <v>397</v>
      </c>
    </row>
    <row r="49" spans="1:1" x14ac:dyDescent="0.25">
      <c r="A49" t="s">
        <v>399</v>
      </c>
    </row>
    <row r="50" spans="1:1" x14ac:dyDescent="0.25">
      <c r="A50" t="s">
        <v>511</v>
      </c>
    </row>
    <row r="51" spans="1:1" x14ac:dyDescent="0.25">
      <c r="A51" t="s">
        <v>8</v>
      </c>
    </row>
    <row r="52" spans="1:1" x14ac:dyDescent="0.25">
      <c r="A52" t="s">
        <v>10</v>
      </c>
    </row>
    <row r="53" spans="1:1" x14ac:dyDescent="0.25">
      <c r="A53" t="s">
        <v>9</v>
      </c>
    </row>
    <row r="54" spans="1:1" x14ac:dyDescent="0.25">
      <c r="A54" t="s">
        <v>400</v>
      </c>
    </row>
    <row r="55" spans="1:1" x14ac:dyDescent="0.25">
      <c r="A55" t="s">
        <v>515</v>
      </c>
    </row>
    <row r="56" spans="1:1" x14ac:dyDescent="0.25">
      <c r="A56" t="s">
        <v>401</v>
      </c>
    </row>
    <row r="57" spans="1:1" x14ac:dyDescent="0.25">
      <c r="A57" t="s">
        <v>403</v>
      </c>
    </row>
    <row r="58" spans="1:1" x14ac:dyDescent="0.25">
      <c r="A58" t="s">
        <v>405</v>
      </c>
    </row>
    <row r="59" spans="1:1" x14ac:dyDescent="0.25">
      <c r="A59" t="s">
        <v>517</v>
      </c>
    </row>
    <row r="60" spans="1:1" x14ac:dyDescent="0.25">
      <c r="A60" t="s">
        <v>407</v>
      </c>
    </row>
    <row r="61" spans="1:1" x14ac:dyDescent="0.25">
      <c r="A61" t="s">
        <v>408</v>
      </c>
    </row>
    <row r="62" spans="1:1" x14ac:dyDescent="0.25">
      <c r="A62" t="s">
        <v>519</v>
      </c>
    </row>
    <row r="63" spans="1:1" x14ac:dyDescent="0.25">
      <c r="A63" t="s">
        <v>193</v>
      </c>
    </row>
    <row r="64" spans="1:1" x14ac:dyDescent="0.25">
      <c r="A64" t="s">
        <v>194</v>
      </c>
    </row>
    <row r="65" spans="1:1" x14ac:dyDescent="0.25">
      <c r="A65" t="s">
        <v>200</v>
      </c>
    </row>
    <row r="66" spans="1:1" x14ac:dyDescent="0.25">
      <c r="A66" t="s">
        <v>3</v>
      </c>
    </row>
    <row r="67" spans="1:1" x14ac:dyDescent="0.25">
      <c r="A67" t="s">
        <v>410</v>
      </c>
    </row>
    <row r="68" spans="1:1" x14ac:dyDescent="0.25">
      <c r="A68" t="s">
        <v>411</v>
      </c>
    </row>
    <row r="69" spans="1:1" x14ac:dyDescent="0.25">
      <c r="A69" t="s">
        <v>214</v>
      </c>
    </row>
    <row r="70" spans="1:1" x14ac:dyDescent="0.25">
      <c r="A70" t="s">
        <v>285</v>
      </c>
    </row>
    <row r="71" spans="1:1" x14ac:dyDescent="0.25">
      <c r="A71" t="s">
        <v>412</v>
      </c>
    </row>
    <row r="72" spans="1:1" x14ac:dyDescent="0.25">
      <c r="A72" t="s">
        <v>414</v>
      </c>
    </row>
    <row r="73" spans="1:1" x14ac:dyDescent="0.25">
      <c r="A73" t="s">
        <v>416</v>
      </c>
    </row>
    <row r="74" spans="1:1" x14ac:dyDescent="0.25">
      <c r="A74" t="s">
        <v>286</v>
      </c>
    </row>
    <row r="75" spans="1:1" x14ac:dyDescent="0.25">
      <c r="A75" t="s">
        <v>212</v>
      </c>
    </row>
    <row r="76" spans="1:1" x14ac:dyDescent="0.25">
      <c r="A76" t="s">
        <v>418</v>
      </c>
    </row>
    <row r="77" spans="1:1" x14ac:dyDescent="0.25">
      <c r="A77" t="s">
        <v>420</v>
      </c>
    </row>
    <row r="78" spans="1:1" x14ac:dyDescent="0.25">
      <c r="A78" t="s">
        <v>422</v>
      </c>
    </row>
    <row r="79" spans="1:1" x14ac:dyDescent="0.25">
      <c r="A79" t="s">
        <v>424</v>
      </c>
    </row>
    <row r="80" spans="1:1" x14ac:dyDescent="0.25">
      <c r="A80" t="s">
        <v>215</v>
      </c>
    </row>
    <row r="81" spans="1:1" x14ac:dyDescent="0.25">
      <c r="A81" t="s">
        <v>425</v>
      </c>
    </row>
    <row r="82" spans="1:1" x14ac:dyDescent="0.25">
      <c r="A82" t="s">
        <v>427</v>
      </c>
    </row>
    <row r="83" spans="1:1" x14ac:dyDescent="0.25">
      <c r="A83" t="s">
        <v>429</v>
      </c>
    </row>
    <row r="84" spans="1:1" x14ac:dyDescent="0.25">
      <c r="A84" t="s">
        <v>430</v>
      </c>
    </row>
    <row r="85" spans="1:1" x14ac:dyDescent="0.25">
      <c r="A85" t="s">
        <v>432</v>
      </c>
    </row>
    <row r="86" spans="1:1" x14ac:dyDescent="0.25">
      <c r="A86" t="s">
        <v>434</v>
      </c>
    </row>
    <row r="87" spans="1:1" x14ac:dyDescent="0.25">
      <c r="A87" t="s">
        <v>436</v>
      </c>
    </row>
    <row r="88" spans="1:1" x14ac:dyDescent="0.25">
      <c r="A88" t="s">
        <v>522</v>
      </c>
    </row>
    <row r="89" spans="1:1" x14ac:dyDescent="0.25">
      <c r="A89" t="s">
        <v>440</v>
      </c>
    </row>
    <row r="90" spans="1:1" x14ac:dyDescent="0.25">
      <c r="A90" t="s">
        <v>524</v>
      </c>
    </row>
    <row r="91" spans="1:1" x14ac:dyDescent="0.25">
      <c r="A91" t="s">
        <v>441</v>
      </c>
    </row>
    <row r="92" spans="1:1" x14ac:dyDescent="0.25">
      <c r="A92" t="s">
        <v>438</v>
      </c>
    </row>
    <row r="93" spans="1:1" x14ac:dyDescent="0.25">
      <c r="A93" t="s">
        <v>206</v>
      </c>
    </row>
    <row r="94" spans="1:1" x14ac:dyDescent="0.25">
      <c r="A94" t="s">
        <v>443</v>
      </c>
    </row>
    <row r="95" spans="1:1" x14ac:dyDescent="0.25">
      <c r="A95" t="s">
        <v>444</v>
      </c>
    </row>
    <row r="96" spans="1:1" x14ac:dyDescent="0.25">
      <c r="A96" t="s">
        <v>446</v>
      </c>
    </row>
    <row r="97" spans="1:1" x14ac:dyDescent="0.25">
      <c r="A97" t="s">
        <v>447</v>
      </c>
    </row>
    <row r="98" spans="1:1" x14ac:dyDescent="0.25">
      <c r="A98" t="s">
        <v>287</v>
      </c>
    </row>
    <row r="99" spans="1:1" x14ac:dyDescent="0.25">
      <c r="A99" t="s">
        <v>448</v>
      </c>
    </row>
    <row r="100" spans="1:1" x14ac:dyDescent="0.25">
      <c r="A100" t="s">
        <v>449</v>
      </c>
    </row>
    <row r="101" spans="1:1" x14ac:dyDescent="0.25">
      <c r="A101" t="s">
        <v>190</v>
      </c>
    </row>
    <row r="102" spans="1:1" x14ac:dyDescent="0.25">
      <c r="A102" t="s">
        <v>451</v>
      </c>
    </row>
    <row r="103" spans="1:1" x14ac:dyDescent="0.25">
      <c r="A103" t="s">
        <v>453</v>
      </c>
    </row>
    <row r="104" spans="1:1" x14ac:dyDescent="0.25">
      <c r="A104" t="s">
        <v>455</v>
      </c>
    </row>
    <row r="105" spans="1:1" x14ac:dyDescent="0.25">
      <c r="A105" t="s">
        <v>218</v>
      </c>
    </row>
    <row r="106" spans="1:1" x14ac:dyDescent="0.25">
      <c r="A106" t="s">
        <v>216</v>
      </c>
    </row>
    <row r="107" spans="1:1" x14ac:dyDescent="0.25">
      <c r="A107" t="s">
        <v>457</v>
      </c>
    </row>
    <row r="108" spans="1:1" x14ac:dyDescent="0.25">
      <c r="A108" t="s">
        <v>213</v>
      </c>
    </row>
    <row r="109" spans="1:1" x14ac:dyDescent="0.25">
      <c r="A109" t="s">
        <v>458</v>
      </c>
    </row>
    <row r="110" spans="1:1" x14ac:dyDescent="0.25">
      <c r="A110" t="s">
        <v>460</v>
      </c>
    </row>
    <row r="111" spans="1:1" x14ac:dyDescent="0.25">
      <c r="A111" t="s">
        <v>461</v>
      </c>
    </row>
    <row r="112" spans="1:1" x14ac:dyDescent="0.25">
      <c r="A112" t="s">
        <v>462</v>
      </c>
    </row>
    <row r="113" spans="1:1" x14ac:dyDescent="0.25">
      <c r="A113" t="s">
        <v>463</v>
      </c>
    </row>
    <row r="114" spans="1:1" x14ac:dyDescent="0.25">
      <c r="A114" t="s">
        <v>465</v>
      </c>
    </row>
    <row r="115" spans="1:1" x14ac:dyDescent="0.25">
      <c r="A115" t="s">
        <v>467</v>
      </c>
    </row>
    <row r="116" spans="1:1" x14ac:dyDescent="0.25">
      <c r="A116" t="s">
        <v>468</v>
      </c>
    </row>
    <row r="117" spans="1:1" x14ac:dyDescent="0.25">
      <c r="A117" t="s">
        <v>288</v>
      </c>
    </row>
    <row r="118" spans="1:1" x14ac:dyDescent="0.25">
      <c r="A118" t="s">
        <v>527</v>
      </c>
    </row>
    <row r="119" spans="1:1" x14ac:dyDescent="0.25">
      <c r="A119" t="s">
        <v>531</v>
      </c>
    </row>
    <row r="120" spans="1:1" x14ac:dyDescent="0.25">
      <c r="A120" t="s">
        <v>533</v>
      </c>
    </row>
    <row r="121" spans="1:1" x14ac:dyDescent="0.25">
      <c r="A121" t="s">
        <v>535</v>
      </c>
    </row>
    <row r="122" spans="1:1" x14ac:dyDescent="0.25">
      <c r="A122" t="s">
        <v>210</v>
      </c>
    </row>
    <row r="123" spans="1:1" x14ac:dyDescent="0.25">
      <c r="A123" t="s">
        <v>538</v>
      </c>
    </row>
    <row r="124" spans="1:1" x14ac:dyDescent="0.25">
      <c r="A124" t="s">
        <v>187</v>
      </c>
    </row>
    <row r="125" spans="1:1" x14ac:dyDescent="0.25">
      <c r="A125" t="s">
        <v>471</v>
      </c>
    </row>
    <row r="126" spans="1:1" x14ac:dyDescent="0.25">
      <c r="A126" t="s">
        <v>473</v>
      </c>
    </row>
    <row r="127" spans="1:1" x14ac:dyDescent="0.25">
      <c r="A127" t="s">
        <v>540</v>
      </c>
    </row>
    <row r="128" spans="1:1" x14ac:dyDescent="0.25">
      <c r="A128" t="s">
        <v>475</v>
      </c>
    </row>
    <row r="129" spans="1:1" x14ac:dyDescent="0.25">
      <c r="A129" t="s">
        <v>290</v>
      </c>
    </row>
    <row r="130" spans="1:1" x14ac:dyDescent="0.25">
      <c r="A130" t="s">
        <v>541</v>
      </c>
    </row>
    <row r="131" spans="1:1" x14ac:dyDescent="0.25">
      <c r="A131" t="s">
        <v>289</v>
      </c>
    </row>
    <row r="132" spans="1:1" x14ac:dyDescent="0.25">
      <c r="A132" t="s">
        <v>198</v>
      </c>
    </row>
    <row r="133" spans="1:1" x14ac:dyDescent="0.25">
      <c r="A133" t="s">
        <v>480</v>
      </c>
    </row>
    <row r="134" spans="1:1" x14ac:dyDescent="0.25">
      <c r="A134" t="s">
        <v>291</v>
      </c>
    </row>
    <row r="135" spans="1:1" x14ac:dyDescent="0.25">
      <c r="A135" t="s">
        <v>292</v>
      </c>
    </row>
    <row r="136" spans="1:1" x14ac:dyDescent="0.25">
      <c r="A136" t="s">
        <v>293</v>
      </c>
    </row>
    <row r="137" spans="1:1" x14ac:dyDescent="0.25">
      <c r="A137" t="s">
        <v>231</v>
      </c>
    </row>
    <row r="138" spans="1:1" x14ac:dyDescent="0.25">
      <c r="A138" t="s">
        <v>269</v>
      </c>
    </row>
    <row r="139" spans="1:1" x14ac:dyDescent="0.25">
      <c r="A139" t="s">
        <v>294</v>
      </c>
    </row>
    <row r="140" spans="1:1" x14ac:dyDescent="0.25">
      <c r="A140" t="s">
        <v>295</v>
      </c>
    </row>
    <row r="141" spans="1:1" x14ac:dyDescent="0.25">
      <c r="A141" t="s">
        <v>296</v>
      </c>
    </row>
    <row r="142" spans="1:1" x14ac:dyDescent="0.25">
      <c r="A142" t="s">
        <v>297</v>
      </c>
    </row>
    <row r="143" spans="1:1" x14ac:dyDescent="0.25">
      <c r="A143" t="s">
        <v>298</v>
      </c>
    </row>
    <row r="144" spans="1:1" x14ac:dyDescent="0.25">
      <c r="A144" t="s">
        <v>270</v>
      </c>
    </row>
    <row r="145" spans="1:1" x14ac:dyDescent="0.25">
      <c r="A145" t="s">
        <v>299</v>
      </c>
    </row>
    <row r="146" spans="1:1" x14ac:dyDescent="0.25">
      <c r="A146" t="s">
        <v>300</v>
      </c>
    </row>
    <row r="147" spans="1:1" x14ac:dyDescent="0.25">
      <c r="A147" t="s">
        <v>301</v>
      </c>
    </row>
    <row r="148" spans="1:1" x14ac:dyDescent="0.25">
      <c r="A148" t="s">
        <v>302</v>
      </c>
    </row>
    <row r="149" spans="1:1" x14ac:dyDescent="0.25">
      <c r="A149" t="s">
        <v>199</v>
      </c>
    </row>
    <row r="150" spans="1:1" x14ac:dyDescent="0.25">
      <c r="A150" t="s">
        <v>303</v>
      </c>
    </row>
    <row r="151" spans="1:1" x14ac:dyDescent="0.25">
      <c r="A151" t="s">
        <v>233</v>
      </c>
    </row>
    <row r="152" spans="1:1" x14ac:dyDescent="0.25">
      <c r="A152" t="s">
        <v>543</v>
      </c>
    </row>
    <row r="153" spans="1:1" x14ac:dyDescent="0.25">
      <c r="A153" t="s">
        <v>477</v>
      </c>
    </row>
    <row r="154" spans="1:1" x14ac:dyDescent="0.25">
      <c r="A154" t="s">
        <v>304</v>
      </c>
    </row>
    <row r="155" spans="1:1" x14ac:dyDescent="0.25">
      <c r="A155" t="s">
        <v>305</v>
      </c>
    </row>
    <row r="156" spans="1:1" x14ac:dyDescent="0.25">
      <c r="A156" t="s">
        <v>306</v>
      </c>
    </row>
    <row r="157" spans="1:1" x14ac:dyDescent="0.25">
      <c r="A157" t="s">
        <v>548</v>
      </c>
    </row>
    <row r="158" spans="1:1" x14ac:dyDescent="0.25">
      <c r="A158" t="s">
        <v>307</v>
      </c>
    </row>
    <row r="159" spans="1:1" x14ac:dyDescent="0.25">
      <c r="A159" t="s">
        <v>483</v>
      </c>
    </row>
    <row r="160" spans="1:1" x14ac:dyDescent="0.25">
      <c r="A160" t="s">
        <v>484</v>
      </c>
    </row>
    <row r="161" spans="1:1" x14ac:dyDescent="0.25">
      <c r="A161" t="s">
        <v>485</v>
      </c>
    </row>
    <row r="162" spans="1:1" x14ac:dyDescent="0.25">
      <c r="A162" t="s">
        <v>487</v>
      </c>
    </row>
    <row r="163" spans="1:1" x14ac:dyDescent="0.25">
      <c r="A163" t="s">
        <v>489</v>
      </c>
    </row>
    <row r="164" spans="1:1" x14ac:dyDescent="0.25">
      <c r="A164" t="s">
        <v>550</v>
      </c>
    </row>
    <row r="165" spans="1:1" x14ac:dyDescent="0.25">
      <c r="A165" t="s">
        <v>482</v>
      </c>
    </row>
    <row r="166" spans="1:1" x14ac:dyDescent="0.25">
      <c r="A166" t="s">
        <v>491</v>
      </c>
    </row>
    <row r="167" spans="1:1" x14ac:dyDescent="0.25">
      <c r="A167" t="s">
        <v>278</v>
      </c>
    </row>
    <row r="168" spans="1:1" x14ac:dyDescent="0.25">
      <c r="A168" t="s">
        <v>281</v>
      </c>
    </row>
    <row r="169" spans="1:1" x14ac:dyDescent="0.25">
      <c r="A169" t="s">
        <v>282</v>
      </c>
    </row>
    <row r="170" spans="1:1" x14ac:dyDescent="0.25">
      <c r="A170" t="s">
        <v>493</v>
      </c>
    </row>
    <row r="171" spans="1:1" x14ac:dyDescent="0.25">
      <c r="A171" t="s">
        <v>206</v>
      </c>
    </row>
    <row r="172" spans="1:1" x14ac:dyDescent="0.25">
      <c r="A172" t="s">
        <v>495</v>
      </c>
    </row>
    <row r="173" spans="1:1" x14ac:dyDescent="0.25">
      <c r="A173" t="s">
        <v>496</v>
      </c>
    </row>
    <row r="174" spans="1:1" x14ac:dyDescent="0.25">
      <c r="A174" t="s">
        <v>553</v>
      </c>
    </row>
    <row r="175" spans="1:1" x14ac:dyDescent="0.25">
      <c r="A175" t="s">
        <v>279</v>
      </c>
    </row>
    <row r="176" spans="1:1" x14ac:dyDescent="0.25">
      <c r="A176" t="s">
        <v>368</v>
      </c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B2DF5E-4D4E-42E3-9850-7FE1F42C79FC}"/>
</file>

<file path=customXml/itemProps2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9FB4E-4A7A-4ECB-AD7F-215646BE33EA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2b5cf8b0-9a5f-4403-80dc-a53ca24e43d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João Pedro Gonçalves Balsa Pinto Pereira</cp:lastModifiedBy>
  <dcterms:created xsi:type="dcterms:W3CDTF">2021-04-17T11:42:14Z</dcterms:created>
  <dcterms:modified xsi:type="dcterms:W3CDTF">2023-10-23T16:51:49Z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2022-03-15T10:53:18Z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