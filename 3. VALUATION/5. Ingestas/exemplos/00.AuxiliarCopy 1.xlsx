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858309\Santander Office 365\Reports Financeira - General\3. VALUATION\5. Ingestas\"/>
    </mc:Choice>
  </mc:AlternateContent>
  <bookViews>
    <workbookView xWindow="0" yWindow="0" windowWidth="20490" windowHeight="65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2" i="1" l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95" i="1" l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J1" i="1" l="1"/>
  <c r="F5" i="1"/>
  <c r="G5" i="1" s="1"/>
  <c r="H5" i="1" s="1"/>
  <c r="F6" i="1"/>
  <c r="G6" i="1" s="1"/>
  <c r="H6" i="1" s="1"/>
  <c r="F7" i="1"/>
  <c r="G7" i="1" s="1"/>
  <c r="H7" i="1" s="1"/>
  <c r="E8" i="1"/>
  <c r="F10" i="1"/>
  <c r="G10" i="1" s="1"/>
  <c r="H10" i="1" s="1"/>
  <c r="F11" i="1"/>
  <c r="G11" i="1" s="1"/>
  <c r="H11" i="1" s="1"/>
  <c r="F12" i="1"/>
  <c r="G12" i="1" s="1"/>
  <c r="H12" i="1" s="1"/>
  <c r="E13" i="1"/>
  <c r="E14" i="1"/>
  <c r="F15" i="1"/>
  <c r="G15" i="1" s="1"/>
  <c r="H15" i="1" s="1"/>
  <c r="E16" i="1"/>
  <c r="F22" i="1"/>
  <c r="G22" i="1" s="1"/>
  <c r="H22" i="1" s="1"/>
  <c r="E23" i="1"/>
  <c r="F25" i="1"/>
  <c r="G25" i="1" s="1"/>
  <c r="H25" i="1" s="1"/>
  <c r="F26" i="1"/>
  <c r="G26" i="1" s="1"/>
  <c r="H26" i="1" s="1"/>
  <c r="F27" i="1"/>
  <c r="G27" i="1" s="1"/>
  <c r="H27" i="1" s="1"/>
  <c r="E29" i="1"/>
  <c r="F30" i="1"/>
  <c r="G30" i="1" s="1"/>
  <c r="H30" i="1" s="1"/>
  <c r="E31" i="1"/>
  <c r="F33" i="1"/>
  <c r="G33" i="1" s="1"/>
  <c r="H33" i="1" s="1"/>
  <c r="F34" i="1"/>
  <c r="G34" i="1" s="1"/>
  <c r="H34" i="1" s="1"/>
  <c r="F35" i="1"/>
  <c r="G35" i="1" s="1"/>
  <c r="H35" i="1" s="1"/>
  <c r="F38" i="1"/>
  <c r="G38" i="1" s="1"/>
  <c r="H38" i="1" s="1"/>
  <c r="F39" i="1"/>
  <c r="G39" i="1" s="1"/>
  <c r="H39" i="1" s="1"/>
  <c r="E40" i="1"/>
  <c r="F42" i="1"/>
  <c r="G42" i="1" s="1"/>
  <c r="H42" i="1" s="1"/>
  <c r="F44" i="1"/>
  <c r="G44" i="1" s="1"/>
  <c r="H44" i="1" s="1"/>
  <c r="F45" i="1"/>
  <c r="G45" i="1" s="1"/>
  <c r="H45" i="1" s="1"/>
  <c r="F46" i="1"/>
  <c r="G46" i="1" s="1"/>
  <c r="H46" i="1" s="1"/>
  <c r="F47" i="1"/>
  <c r="G47" i="1" s="1"/>
  <c r="H47" i="1" s="1"/>
  <c r="E48" i="1"/>
  <c r="F51" i="1"/>
  <c r="G51" i="1" s="1"/>
  <c r="H51" i="1" s="1"/>
  <c r="E54" i="1"/>
  <c r="F55" i="1"/>
  <c r="G55" i="1" s="1"/>
  <c r="H55" i="1" s="1"/>
  <c r="E56" i="1"/>
  <c r="F57" i="1"/>
  <c r="G57" i="1" s="1"/>
  <c r="H57" i="1" s="1"/>
  <c r="F58" i="1"/>
  <c r="G58" i="1" s="1"/>
  <c r="H58" i="1" s="1"/>
  <c r="F59" i="1"/>
  <c r="G59" i="1" s="1"/>
  <c r="H59" i="1" s="1"/>
  <c r="F61" i="1"/>
  <c r="G61" i="1" s="1"/>
  <c r="H61" i="1" s="1"/>
  <c r="F62" i="1"/>
  <c r="G62" i="1" s="1"/>
  <c r="H62" i="1" s="1"/>
  <c r="F63" i="1"/>
  <c r="G63" i="1" s="1"/>
  <c r="H63" i="1" s="1"/>
  <c r="F64" i="1"/>
  <c r="G64" i="1" s="1"/>
  <c r="H64" i="1" s="1"/>
  <c r="E65" i="1"/>
  <c r="F66" i="1"/>
  <c r="G66" i="1" s="1"/>
  <c r="H66" i="1" s="1"/>
  <c r="F67" i="1"/>
  <c r="G67" i="1" s="1"/>
  <c r="H67" i="1" s="1"/>
  <c r="E69" i="1"/>
  <c r="F70" i="1"/>
  <c r="G70" i="1" s="1"/>
  <c r="H70" i="1" s="1"/>
  <c r="F71" i="1"/>
  <c r="G71" i="1" s="1"/>
  <c r="H71" i="1" s="1"/>
  <c r="F72" i="1"/>
  <c r="G72" i="1" s="1"/>
  <c r="H72" i="1" s="1"/>
  <c r="F74" i="1"/>
  <c r="G74" i="1" s="1"/>
  <c r="H74" i="1" s="1"/>
  <c r="F75" i="1"/>
  <c r="G75" i="1" s="1"/>
  <c r="H75" i="1" s="1"/>
  <c r="E77" i="1"/>
  <c r="F78" i="1"/>
  <c r="G78" i="1" s="1"/>
  <c r="H78" i="1" s="1"/>
  <c r="F79" i="1"/>
  <c r="G79" i="1" s="1"/>
  <c r="H79" i="1" s="1"/>
  <c r="F80" i="1"/>
  <c r="G80" i="1" s="1"/>
  <c r="H80" i="1" s="1"/>
  <c r="E81" i="1"/>
  <c r="E82" i="1"/>
  <c r="F83" i="1"/>
  <c r="G83" i="1" s="1"/>
  <c r="H83" i="1" s="1"/>
  <c r="E84" i="1"/>
  <c r="E85" i="1"/>
  <c r="F87" i="1"/>
  <c r="G87" i="1" s="1"/>
  <c r="H87" i="1" s="1"/>
  <c r="F88" i="1"/>
  <c r="G88" i="1" s="1"/>
  <c r="H88" i="1" s="1"/>
  <c r="F89" i="1"/>
  <c r="G89" i="1" s="1"/>
  <c r="H89" i="1" s="1"/>
  <c r="F90" i="1"/>
  <c r="G90" i="1" s="1"/>
  <c r="H90" i="1" s="1"/>
  <c r="F91" i="1"/>
  <c r="F92" i="1"/>
  <c r="G92" i="1" s="1"/>
  <c r="H92" i="1" s="1"/>
  <c r="F93" i="1"/>
  <c r="G93" i="1" s="1"/>
  <c r="H93" i="1" s="1"/>
  <c r="F94" i="1"/>
  <c r="G94" i="1" s="1"/>
  <c r="H94" i="1" s="1"/>
  <c r="F95" i="1"/>
  <c r="G95" i="1" s="1"/>
  <c r="H95" i="1" s="1"/>
  <c r="D96" i="1"/>
  <c r="F96" i="1" s="1"/>
  <c r="G96" i="1" s="1"/>
  <c r="H96" i="1" s="1"/>
  <c r="D97" i="1"/>
  <c r="F97" i="1" s="1"/>
  <c r="G97" i="1" s="1"/>
  <c r="H97" i="1" s="1"/>
  <c r="D98" i="1"/>
  <c r="F98" i="1" s="1"/>
  <c r="G98" i="1" s="1"/>
  <c r="H98" i="1" s="1"/>
  <c r="E3" i="1"/>
  <c r="F37" i="1"/>
  <c r="G37" i="1" s="1"/>
  <c r="H37" i="1" s="1"/>
  <c r="E50" i="1"/>
  <c r="E86" i="1"/>
  <c r="F116" i="1"/>
  <c r="G116" i="1" s="1"/>
  <c r="H116" i="1" s="1"/>
  <c r="F115" i="1"/>
  <c r="G115" i="1" s="1"/>
  <c r="H115" i="1" s="1"/>
  <c r="F114" i="1"/>
  <c r="G114" i="1" s="1"/>
  <c r="H114" i="1" s="1"/>
  <c r="F113" i="1"/>
  <c r="G113" i="1" s="1"/>
  <c r="H113" i="1" s="1"/>
  <c r="F112" i="1"/>
  <c r="G112" i="1" s="1"/>
  <c r="H112" i="1" s="1"/>
  <c r="F111" i="1"/>
  <c r="G111" i="1" s="1"/>
  <c r="H111" i="1" s="1"/>
  <c r="F110" i="1"/>
  <c r="G110" i="1" s="1"/>
  <c r="H110" i="1" s="1"/>
  <c r="F109" i="1"/>
  <c r="G109" i="1" s="1"/>
  <c r="H109" i="1" s="1"/>
  <c r="F108" i="1"/>
  <c r="G108" i="1" s="1"/>
  <c r="H108" i="1" s="1"/>
  <c r="F107" i="1"/>
  <c r="G107" i="1" s="1"/>
  <c r="H107" i="1" s="1"/>
  <c r="F106" i="1"/>
  <c r="G106" i="1" s="1"/>
  <c r="H106" i="1" s="1"/>
  <c r="F105" i="1"/>
  <c r="G105" i="1" s="1"/>
  <c r="H105" i="1" s="1"/>
  <c r="F104" i="1"/>
  <c r="G104" i="1" s="1"/>
  <c r="H104" i="1" s="1"/>
  <c r="F103" i="1"/>
  <c r="G103" i="1" s="1"/>
  <c r="H103" i="1" s="1"/>
  <c r="F102" i="1"/>
  <c r="G102" i="1" s="1"/>
  <c r="H102" i="1" s="1"/>
  <c r="F101" i="1"/>
  <c r="G101" i="1" s="1"/>
  <c r="H101" i="1" s="1"/>
  <c r="F100" i="1"/>
  <c r="G100" i="1" s="1"/>
  <c r="H100" i="1" s="1"/>
  <c r="F99" i="1"/>
  <c r="G99" i="1" s="1"/>
  <c r="H99" i="1" s="1"/>
  <c r="F84" i="1"/>
  <c r="G84" i="1" s="1"/>
  <c r="H84" i="1" s="1"/>
  <c r="F76" i="1"/>
  <c r="G76" i="1" s="1"/>
  <c r="H76" i="1" s="1"/>
  <c r="F73" i="1"/>
  <c r="G73" i="1" s="1"/>
  <c r="H73" i="1" s="1"/>
  <c r="F68" i="1"/>
  <c r="G68" i="1" s="1"/>
  <c r="H68" i="1" s="1"/>
  <c r="F65" i="1"/>
  <c r="G65" i="1" s="1"/>
  <c r="H65" i="1" s="1"/>
  <c r="F60" i="1"/>
  <c r="G60" i="1" s="1"/>
  <c r="H60" i="1" s="1"/>
  <c r="F53" i="1"/>
  <c r="G53" i="1" s="1"/>
  <c r="H53" i="1" s="1"/>
  <c r="F52" i="1"/>
  <c r="G52" i="1" s="1"/>
  <c r="H52" i="1" s="1"/>
  <c r="F49" i="1"/>
  <c r="G49" i="1" s="1"/>
  <c r="H49" i="1" s="1"/>
  <c r="F41" i="1"/>
  <c r="G41" i="1" s="1"/>
  <c r="H41" i="1" s="1"/>
  <c r="F36" i="1"/>
  <c r="G36" i="1" s="1"/>
  <c r="H36" i="1" s="1"/>
  <c r="F32" i="1"/>
  <c r="G32" i="1" s="1"/>
  <c r="H32" i="1" s="1"/>
  <c r="F28" i="1"/>
  <c r="G28" i="1" s="1"/>
  <c r="H28" i="1" s="1"/>
  <c r="F24" i="1"/>
  <c r="G24" i="1" s="1"/>
  <c r="H24" i="1" s="1"/>
  <c r="F9" i="1"/>
  <c r="G9" i="1" s="1"/>
  <c r="H9" i="1" s="1"/>
  <c r="E5" i="1"/>
  <c r="E9" i="1"/>
  <c r="E24" i="1"/>
  <c r="E28" i="1"/>
  <c r="E32" i="1"/>
  <c r="E36" i="1"/>
  <c r="E37" i="1"/>
  <c r="E41" i="1"/>
  <c r="E49" i="1"/>
  <c r="E52" i="1"/>
  <c r="E53" i="1"/>
  <c r="E60" i="1"/>
  <c r="E68" i="1"/>
  <c r="E72" i="1"/>
  <c r="E73" i="1"/>
  <c r="E76" i="1"/>
  <c r="E80" i="1"/>
  <c r="F8" i="1" l="1"/>
  <c r="G8" i="1" s="1"/>
  <c r="H8" i="1" s="1"/>
  <c r="F13" i="1"/>
  <c r="G13" i="1" s="1"/>
  <c r="H13" i="1" s="1"/>
  <c r="F29" i="1"/>
  <c r="G29" i="1" s="1"/>
  <c r="H29" i="1" s="1"/>
  <c r="E64" i="1"/>
  <c r="E33" i="1"/>
  <c r="E89" i="1"/>
  <c r="E25" i="1"/>
  <c r="F81" i="1"/>
  <c r="G81" i="1" s="1"/>
  <c r="H81" i="1" s="1"/>
  <c r="F48" i="1"/>
  <c r="G48" i="1" s="1"/>
  <c r="H48" i="1" s="1"/>
  <c r="F56" i="1"/>
  <c r="G56" i="1" s="1"/>
  <c r="H56" i="1" s="1"/>
  <c r="F14" i="1"/>
  <c r="G14" i="1" s="1"/>
  <c r="H14" i="1" s="1"/>
  <c r="E88" i="1"/>
  <c r="E44" i="1"/>
  <c r="E6" i="1"/>
  <c r="F40" i="1"/>
  <c r="G40" i="1" s="1"/>
  <c r="H40" i="1" s="1"/>
  <c r="E57" i="1"/>
  <c r="E70" i="1"/>
  <c r="F77" i="1"/>
  <c r="G77" i="1" s="1"/>
  <c r="H77" i="1" s="1"/>
  <c r="F85" i="1"/>
  <c r="G85" i="1" s="1"/>
  <c r="H85" i="1" s="1"/>
  <c r="F69" i="1"/>
  <c r="G69" i="1" s="1"/>
  <c r="H69" i="1" s="1"/>
  <c r="E61" i="1"/>
  <c r="E45" i="1"/>
  <c r="E39" i="1"/>
  <c r="E66" i="1"/>
  <c r="E10" i="1"/>
  <c r="E4" i="1"/>
  <c r="F54" i="1"/>
  <c r="G54" i="1" s="1"/>
  <c r="H54" i="1" s="1"/>
  <c r="F86" i="1"/>
  <c r="G86" i="1" s="1"/>
  <c r="H86" i="1" s="1"/>
  <c r="F16" i="1"/>
  <c r="G16" i="1" s="1"/>
  <c r="H16" i="1" s="1"/>
  <c r="F23" i="1"/>
  <c r="G23" i="1" s="1"/>
  <c r="H23" i="1" s="1"/>
  <c r="F50" i="1"/>
  <c r="G50" i="1" s="1"/>
  <c r="H50" i="1" s="1"/>
  <c r="F82" i="1"/>
  <c r="G82" i="1" s="1"/>
  <c r="H82" i="1" s="1"/>
  <c r="E91" i="1"/>
  <c r="E83" i="1"/>
  <c r="E75" i="1"/>
  <c r="E67" i="1"/>
  <c r="E55" i="1"/>
  <c r="E90" i="1"/>
  <c r="E78" i="1"/>
  <c r="E74" i="1"/>
  <c r="E62" i="1"/>
  <c r="E58" i="1"/>
  <c r="E46" i="1"/>
  <c r="E42" i="1"/>
  <c r="E38" i="1"/>
  <c r="E34" i="1"/>
  <c r="E30" i="1"/>
  <c r="E26" i="1"/>
  <c r="E22" i="1"/>
  <c r="E12" i="1"/>
  <c r="F4" i="1"/>
  <c r="G4" i="1" s="1"/>
  <c r="H4" i="1" s="1"/>
  <c r="F31" i="1"/>
  <c r="G31" i="1" s="1"/>
  <c r="H31" i="1" s="1"/>
  <c r="E87" i="1"/>
  <c r="E79" i="1"/>
  <c r="E71" i="1"/>
  <c r="E63" i="1"/>
  <c r="E59" i="1"/>
  <c r="E51" i="1"/>
  <c r="E47" i="1"/>
  <c r="E43" i="1"/>
  <c r="E35" i="1"/>
  <c r="E27" i="1"/>
  <c r="F43" i="1"/>
  <c r="G43" i="1" s="1"/>
  <c r="H43" i="1" s="1"/>
  <c r="G91" i="1"/>
  <c r="H91" i="1" s="1"/>
  <c r="E15" i="1"/>
  <c r="E11" i="1"/>
  <c r="E7" i="1"/>
  <c r="F3" i="1"/>
  <c r="G3" i="1" s="1"/>
  <c r="H3" i="1" s="1"/>
  <c r="E92" i="1"/>
  <c r="I92" i="1" s="1"/>
  <c r="E93" i="1"/>
  <c r="E94" i="1"/>
  <c r="E95" i="1"/>
  <c r="E96" i="1"/>
  <c r="I96" i="1" s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I111" i="1" s="1"/>
  <c r="E112" i="1"/>
  <c r="E113" i="1"/>
  <c r="E114" i="1"/>
  <c r="E115" i="1"/>
  <c r="E116" i="1"/>
  <c r="I100" i="1"/>
  <c r="I104" i="1"/>
  <c r="I116" i="1"/>
  <c r="I112" i="1"/>
  <c r="I115" i="1"/>
  <c r="I108" i="1"/>
  <c r="I99" i="1" l="1"/>
  <c r="I95" i="1"/>
  <c r="I91" i="1"/>
  <c r="I103" i="1"/>
  <c r="I107" i="1"/>
  <c r="I113" i="1"/>
  <c r="I109" i="1"/>
  <c r="I105" i="1"/>
  <c r="I101" i="1"/>
  <c r="I97" i="1"/>
  <c r="I93" i="1"/>
  <c r="I106" i="1"/>
  <c r="I98" i="1"/>
  <c r="I114" i="1"/>
  <c r="I110" i="1"/>
  <c r="I102" i="1"/>
  <c r="I94" i="1"/>
  <c r="I3" i="1"/>
  <c r="I74" i="1"/>
  <c r="I78" i="1"/>
  <c r="I90" i="1"/>
  <c r="I24" i="1" l="1"/>
  <c r="I86" i="1"/>
  <c r="I10" i="1"/>
  <c r="I28" i="1"/>
  <c r="I34" i="1"/>
  <c r="I26" i="1"/>
  <c r="I55" i="1"/>
  <c r="I22" i="1"/>
  <c r="I83" i="1"/>
  <c r="I71" i="1"/>
  <c r="I14" i="1"/>
  <c r="I85" i="1"/>
  <c r="I46" i="1"/>
  <c r="I57" i="1"/>
  <c r="I30" i="1"/>
  <c r="I82" i="1"/>
  <c r="I51" i="1"/>
  <c r="I32" i="1"/>
  <c r="I77" i="1"/>
  <c r="I75" i="1"/>
  <c r="I89" i="1"/>
  <c r="I68" i="1"/>
  <c r="I40" i="1"/>
  <c r="I70" i="1"/>
  <c r="I66" i="1"/>
  <c r="I64" i="1"/>
  <c r="I62" i="1"/>
  <c r="I60" i="1"/>
  <c r="I58" i="1"/>
  <c r="I53" i="1"/>
  <c r="I42" i="1"/>
  <c r="I49" i="1"/>
  <c r="I45" i="1"/>
  <c r="I43" i="1"/>
  <c r="I39" i="1"/>
  <c r="I37" i="1"/>
  <c r="I33" i="1"/>
  <c r="I29" i="1"/>
  <c r="I47" i="1"/>
  <c r="I54" i="1"/>
  <c r="I50" i="1"/>
  <c r="I56" i="1"/>
  <c r="I88" i="1"/>
  <c r="I52" i="1"/>
  <c r="I69" i="1"/>
  <c r="I67" i="1"/>
  <c r="I73" i="1"/>
  <c r="I80" i="1"/>
  <c r="I38" i="1"/>
  <c r="I87" i="1"/>
  <c r="I36" i="1"/>
  <c r="I76" i="1"/>
  <c r="I25" i="1"/>
  <c r="I41" i="1"/>
  <c r="I65" i="1"/>
  <c r="I81" i="1"/>
  <c r="I61" i="1"/>
  <c r="I84" i="1"/>
  <c r="I72" i="1"/>
  <c r="I48" i="1"/>
  <c r="I44" i="1"/>
  <c r="I79" i="1"/>
  <c r="I63" i="1"/>
  <c r="I59" i="1"/>
  <c r="I35" i="1"/>
  <c r="I27" i="1"/>
  <c r="I15" i="1"/>
  <c r="I31" i="1"/>
  <c r="I23" i="1"/>
  <c r="I16" i="1"/>
  <c r="I9" i="1" l="1"/>
  <c r="I8" i="1"/>
  <c r="I7" i="1"/>
  <c r="I6" i="1"/>
  <c r="I13" i="1"/>
  <c r="I5" i="1"/>
  <c r="I12" i="1"/>
  <c r="I4" i="1"/>
  <c r="I11" i="1"/>
</calcChain>
</file>

<file path=xl/sharedStrings.xml><?xml version="1.0" encoding="utf-8"?>
<sst xmlns="http://schemas.openxmlformats.org/spreadsheetml/2006/main" count="147" uniqueCount="33">
  <si>
    <t xml:space="preserve">BDR FIELD </t>
  </si>
  <si>
    <t xml:space="preserve">FIELD FORMAT </t>
  </si>
  <si>
    <t xml:space="preserve">BDR TABLE </t>
  </si>
  <si>
    <t>RESULT</t>
  </si>
  <si>
    <t>AUX_TYPE_1</t>
  </si>
  <si>
    <t>AUX_TYPE_2</t>
  </si>
  <si>
    <t>AUX_TYPE_3</t>
  </si>
  <si>
    <t>AUX_TYPE_4</t>
  </si>
  <si>
    <t>n</t>
  </si>
  <si>
    <t>DEC (05,00)</t>
  </si>
  <si>
    <t>Column1</t>
  </si>
  <si>
    <t>BDR1_TOT</t>
  </si>
  <si>
    <t>DATE</t>
  </si>
  <si>
    <t>CHAR(00001)</t>
  </si>
  <si>
    <t>JM_OUTCTND_CG</t>
  </si>
  <si>
    <t>CHAR(00040)</t>
  </si>
  <si>
    <t>CHAR(1)</t>
  </si>
  <si>
    <t>CHAR(3)</t>
  </si>
  <si>
    <t>JM_SPV</t>
  </si>
  <si>
    <t>E0691_S1EMP</t>
  </si>
  <si>
    <t>E0691_COD_SPV</t>
  </si>
  <si>
    <t>E0691_FOND_TIT</t>
  </si>
  <si>
    <t>E0691_TITU_TIP</t>
  </si>
  <si>
    <t>E0691_AMOR_ANT</t>
  </si>
  <si>
    <t>E0691_OPC_EXCL</t>
  </si>
  <si>
    <t>E0691_FECULTMO</t>
  </si>
  <si>
    <t>E0691_FLGESTPI</t>
  </si>
  <si>
    <t>E0691_FLGCPGAR</t>
  </si>
  <si>
    <t>E0691_FECDESDE</t>
  </si>
  <si>
    <t>E0691_FECHASTA</t>
  </si>
  <si>
    <t>E0691_INDTRRGO</t>
  </si>
  <si>
    <t>E0691_INDCRREL</t>
  </si>
  <si>
    <t>E0691_CODMONED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</si>
</sst>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0" xfId="0" applyNumberFormat="1"/>
  </cellXfs>
  <cellStyles count="3">
    <cellStyle name="Normal" xfId="0" builtinId="0"/>
    <cellStyle name="Normal 2" xfId="1"/>
    <cellStyle name="Normal 3" xfId="2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2:J116" totalsRowShown="0">
  <autoFilter ref="B2:J116"/>
  <tableColumns count="9">
    <tableColumn id="1" name="BDR TABLE "/>
    <tableColumn id="2" name="BDR FIELD "/>
    <tableColumn id="3" name="FIELD FORMAT "/>
    <tableColumn id="6" name="AUX_TYPE_1" dataDxfId="5">
      <calculatedColumnFormula>IF(Table1[[#This Row],[FIELD FORMAT ]]="DATE","CHAR",IF(IFERROR(FIND("DEC",Table1[[#This Row],[FIELD FORMAT ]]),0)&gt;0,"DECIMAL",IF(IFERROR(FIND("CHAR",Table1[[#This Row],[FIELD FORMAT ]]),0)&gt;0,"CHAR","ERROR")))</calculatedColumnFormula>
    </tableColumn>
    <tableColumn id="8" name="AUX_TYPE_2" dataDxfId="4">
      <calculatedColumnFormula>IFERROR(TRUNC(IF(Table1[[#This Row],[FIELD FORMAT ]]="DATE",10,_xlfn.NUMBERVALUE(LEFT(RIGHT(D3,LEN(D3)-FIND("(",D3)),FIND(")",D3)-FIND("(",D3)-1)))),"ERROR")</calculatedColumnFormula>
    </tableColumn>
    <tableColumn id="7" name="AUX_TYPE_3" dataDxfId="3">
      <calculatedColumnFormula>IFERROR(ROUND(ABS(IF(Table1[[#This Row],[FIELD FORMAT ]]="DATE",10,_xlfn.NUMBERVALUE(LEFT(RIGHT(D3,LEN(D3)-FIND("(",D3)),FIND(")",D3)-FIND("(",D3)-1)))-Table1[[#This Row],[AUX_TYPE_2]]),2),"ERROR")</calculatedColumnFormula>
    </tableColumn>
    <tableColumn id="9" name="AUX_TYPE_4" dataDxfId="2">
      <calculatedColumnFormula>IF(IFERROR(FIND(",",Table1[[#This Row],[AUX_TYPE_3]]),0)&gt; 0,_xlfn.NUMBERVALUE(RIGHT(Table1[[#This Row],[AUX_TYPE_3]],LEN(Table1[[#This Row],[AUX_TYPE_3]])-FIND(",",Table1[[#This Row],[AUX_TYPE_3]]))),0)</calculatedColumnFormula>
    </tableColumn>
    <tableColumn id="4" name="RESULT" dataDxfId="1">
      <calculatedColumnFormula>IF(Table1[[#This Row],[BDR TABLE ]]="","",CONCATENATE("NULL|",Table1[[#This Row],[BDR TABLE ]],"|",A3,"|",Table1[[#This Row],[BDR FIELD ]],"|",Table1[[#This Row],[AUX_TYPE_1]],"|",Table1[[#This Row],[AUX_TYPE_2]],"|",Table1[[#This Row],[AUX_TYPE_4]],"|0"))</calculatedColumnFormula>
    </tableColumn>
    <tableColumn id="5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6"/>
  <sheetViews>
    <sheetView showGridLines="0" tabSelected="1" workbookViewId="0">
      <selection activeCell="D13" sqref="D13"/>
    </sheetView>
  </sheetViews>
  <sheetFormatPr defaultRowHeight="15" x14ac:dyDescent="0.25"/>
  <cols>
    <col min="2" max="2" width="13.5703125" bestFit="1" customWidth="1"/>
    <col min="3" max="3" width="16.140625" bestFit="1" customWidth="1"/>
    <col min="4" max="4" width="15.85546875" bestFit="1" customWidth="1"/>
    <col min="5" max="8" width="10.140625" customWidth="1"/>
    <col min="9" max="9" width="50.42578125" bestFit="1" customWidth="1"/>
    <col min="10" max="10" width="50.5703125" bestFit="1" customWidth="1"/>
  </cols>
  <sheetData>
    <row r="1" spans="1:10" x14ac:dyDescent="0.25">
      <c r="J1">
        <f>_xlfn.NUMBERVALUE(LEFT(RIGHT(D4,LEN(D4)-FIND("(",D4)),FIND(")",D4)-FIND("(",D4)-1))</f>
        <v>40</v>
      </c>
    </row>
    <row r="2" spans="1:10" x14ac:dyDescent="0.25">
      <c r="A2" t="s">
        <v>8</v>
      </c>
      <c r="B2" t="s">
        <v>2</v>
      </c>
      <c r="C2" t="s">
        <v>0</v>
      </c>
      <c r="D2" t="s">
        <v>1</v>
      </c>
      <c r="E2" s="2" t="s">
        <v>4</v>
      </c>
      <c r="F2" s="2" t="s">
        <v>5</v>
      </c>
      <c r="G2" s="2" t="s">
        <v>6</v>
      </c>
      <c r="H2" s="2" t="s">
        <v>7</v>
      </c>
      <c r="I2" s="1" t="s">
        <v>3</v>
      </c>
      <c r="J2" t="s">
        <v>10</v>
      </c>
    </row>
    <row r="3" spans="1:10" x14ac:dyDescent="0.25">
      <c r="A3">
        <v>1</v>
      </c>
      <c r="B3" t="s">
        <v>18</v>
      </c>
      <c r="C3" t="s">
        <v>19</v>
      </c>
      <c r="D3" t="s">
        <v>9</v>
      </c>
      <c r="E3" t="str">
        <f>IF(Table1[[#This Row],[FIELD FORMAT ]]="DATE","CHAR",IF(IFERROR(FIND("DEC",Table1[[#This Row],[FIELD FORMAT ]]),0)&gt;0,"DECIMAL",IF(IFERROR(FIND("CHAR",Table1[[#This Row],[FIELD FORMAT ]]),0)&gt;0,"CHAR","ERROR")))</f>
        <v>DECIMAL</v>
      </c>
      <c r="F3">
        <f>IFERROR(TRUNC(IF(Table1[[#This Row],[FIELD FORMAT ]]="DATE",10,_xlfn.NUMBERVALUE(LEFT(RIGHT(D3,LEN(D3)-FIND("(",D3)),FIND(")",D3)-FIND("(",D3)-1)))),"ERROR")</f>
        <v>5</v>
      </c>
      <c r="G3">
        <f>IFERROR(ROUND(ABS(IF(Table1[[#This Row],[FIELD FORMAT ]]="DATE",10,_xlfn.NUMBERVALUE(LEFT(RIGHT(D3,LEN(D3)-FIND("(",D3)),FIND(")",D3)-FIND("(",D3)-1)))-Table1[[#This Row],[AUX_TYPE_2]]),2),"ERROR")</f>
        <v>0</v>
      </c>
      <c r="H3">
        <f>IF(IFERROR(FIND(",",Table1[[#This Row],[AUX_TYPE_3]]),0)&gt; 0,_xlfn.NUMBERVALUE(RIGHT(Table1[[#This Row],[AUX_TYPE_3]],LEN(Table1[[#This Row],[AUX_TYPE_3]])-FIND(",",Table1[[#This Row],[AUX_TYPE_3]]))),0)</f>
        <v>0</v>
      </c>
      <c r="I3" t="str">
        <f>IF(Table1[[#This Row],[BDR TABLE ]]="","",CONCATENATE("NULL|",Table1[[#This Row],[BDR TABLE ]],"|",A3,"|",Table1[[#This Row],[BDR FIELD ]],"|",Table1[[#This Row],[AUX_TYPE_1]],"|",Table1[[#This Row],[AUX_TYPE_2]],"|",Table1[[#This Row],[AUX_TYPE_4]],"|0"))</f>
        <v>NULL|JM_SPV|1|E0691_S1EMP|DECIMAL|5|0|0</v>
      </c>
      <c r="J3" s="3"/>
    </row>
    <row r="4" spans="1:10" x14ac:dyDescent="0.25">
      <c r="A4">
        <v>2</v>
      </c>
      <c r="B4" t="s">
        <v>18</v>
      </c>
      <c r="C4" t="s">
        <v>20</v>
      </c>
      <c r="D4" t="s">
        <v>15</v>
      </c>
      <c r="E4" t="str">
        <f>IF(Table1[[#This Row],[FIELD FORMAT ]]="DATE","CHAR",IF(IFERROR(FIND("DEC",Table1[[#This Row],[FIELD FORMAT ]]),0)&gt;0,"DECIMAL",IF(IFERROR(FIND("CHAR",Table1[[#This Row],[FIELD FORMAT ]]),0)&gt;0,"CHAR","ERROR")))</f>
        <v>CHAR</v>
      </c>
      <c r="F4">
        <f>IFERROR(TRUNC(IF(Table1[[#This Row],[FIELD FORMAT ]]="DATE",10,_xlfn.NUMBERVALUE(LEFT(RIGHT(D4,LEN(D4)-FIND("(",D4)),FIND(")",D4)-FIND("(",D4)-1)))),"ERROR")</f>
        <v>40</v>
      </c>
      <c r="G4">
        <f>IFERROR(ROUND(ABS(IF(Table1[[#This Row],[FIELD FORMAT ]]="DATE",10,_xlfn.NUMBERVALUE(LEFT(RIGHT(D4,LEN(D4)-FIND("(",D4)),FIND(")",D4)-FIND("(",D4)-1)))-Table1[[#This Row],[AUX_TYPE_2]]),2),"ERROR")</f>
        <v>0</v>
      </c>
      <c r="H4">
        <f>IF(IFERROR(FIND(",",Table1[[#This Row],[AUX_TYPE_3]]),0)&gt; 0,_xlfn.NUMBERVALUE(RIGHT(Table1[[#This Row],[AUX_TYPE_3]],LEN(Table1[[#This Row],[AUX_TYPE_3]])-FIND(",",Table1[[#This Row],[AUX_TYPE_3]]))),0)</f>
        <v>0</v>
      </c>
      <c r="I4" t="str">
        <f>IF(Table1[[#This Row],[BDR TABLE ]]="","",CONCATENATE("NULL|",Table1[[#This Row],[BDR TABLE ]],"|",A4,"|",Table1[[#This Row],[BDR FIELD ]],"|",Table1[[#This Row],[AUX_TYPE_1]],"|",Table1[[#This Row],[AUX_TYPE_2]],"|",Table1[[#This Row],[AUX_TYPE_4]],"|0"))</f>
        <v>NULL|JM_SPV|2|E0691_COD_SPV|CHAR|40|0|0</v>
      </c>
      <c r="J4" s="3"/>
    </row>
    <row r="5" spans="1:10" ht="14.45" customHeight="1" x14ac:dyDescent="0.25">
      <c r="A5">
        <v>3</v>
      </c>
      <c r="B5" t="s">
        <v>18</v>
      </c>
      <c r="C5" t="s">
        <v>21</v>
      </c>
      <c r="D5" t="s">
        <v>15</v>
      </c>
      <c r="E5" t="str">
        <f>IF(Table1[[#This Row],[FIELD FORMAT ]]="DATE","CHAR",IF(IFERROR(FIND("DEC",Table1[[#This Row],[FIELD FORMAT ]]),0)&gt;0,"DECIMAL",IF(IFERROR(FIND("CHAR",Table1[[#This Row],[FIELD FORMAT ]]),0)&gt;0,"CHAR","ERROR")))</f>
        <v>CHAR</v>
      </c>
      <c r="F5">
        <f>IFERROR(TRUNC(IF(Table1[[#This Row],[FIELD FORMAT ]]="DATE",10,_xlfn.NUMBERVALUE(LEFT(RIGHT(D5,LEN(D5)-FIND("(",D5)),FIND(")",D5)-FIND("(",D5)-1)))),"ERROR")</f>
        <v>40</v>
      </c>
      <c r="G5">
        <f>IFERROR(ROUND(ABS(IF(Table1[[#This Row],[FIELD FORMAT ]]="DATE",10,_xlfn.NUMBERVALUE(LEFT(RIGHT(D5,LEN(D5)-FIND("(",D5)),FIND(")",D5)-FIND("(",D5)-1)))-Table1[[#This Row],[AUX_TYPE_2]]),2),"ERROR")</f>
        <v>0</v>
      </c>
      <c r="H5">
        <f>IF(IFERROR(FIND(",",Table1[[#This Row],[AUX_TYPE_3]]),0)&gt; 0,_xlfn.NUMBERVALUE(RIGHT(Table1[[#This Row],[AUX_TYPE_3]],LEN(Table1[[#This Row],[AUX_TYPE_3]])-FIND(",",Table1[[#This Row],[AUX_TYPE_3]]))),0)</f>
        <v>0</v>
      </c>
      <c r="I5" t="str">
        <f>IF(Table1[[#This Row],[BDR TABLE ]]="","",CONCATENATE("NULL|",Table1[[#This Row],[BDR TABLE ]],"|",A5,"|",Table1[[#This Row],[BDR FIELD ]],"|",Table1[[#This Row],[AUX_TYPE_1]],"|",Table1[[#This Row],[AUX_TYPE_2]],"|",Table1[[#This Row],[AUX_TYPE_4]],"|0"))</f>
        <v>NULL|JM_SPV|3|E0691_FOND_TIT|CHAR|40|0|0</v>
      </c>
      <c r="J5" s="3"/>
    </row>
    <row r="6" spans="1:10" x14ac:dyDescent="0.25">
      <c r="A6">
        <v>4</v>
      </c>
      <c r="B6" t="s">
        <v>18</v>
      </c>
      <c r="C6" t="s">
        <v>22</v>
      </c>
      <c r="D6" t="s">
        <v>9</v>
      </c>
      <c r="E6" t="str">
        <f>IF(Table1[[#This Row],[FIELD FORMAT ]]="DATE","CHAR",IF(IFERROR(FIND("DEC",Table1[[#This Row],[FIELD FORMAT ]]),0)&gt;0,"DECIMAL",IF(IFERROR(FIND("CHAR",Table1[[#This Row],[FIELD FORMAT ]]),0)&gt;0,"CHAR","ERROR")))</f>
        <v>DECIMAL</v>
      </c>
      <c r="F6">
        <f>IFERROR(TRUNC(IF(Table1[[#This Row],[FIELD FORMAT ]]="DATE",10,_xlfn.NUMBERVALUE(LEFT(RIGHT(D6,LEN(D6)-FIND("(",D6)),FIND(")",D6)-FIND("(",D6)-1)))),"ERROR")</f>
        <v>5</v>
      </c>
      <c r="G6">
        <f>IFERROR(ROUND(ABS(IF(Table1[[#This Row],[FIELD FORMAT ]]="DATE",10,_xlfn.NUMBERVALUE(LEFT(RIGHT(D6,LEN(D6)-FIND("(",D6)),FIND(")",D6)-FIND("(",D6)-1)))-Table1[[#This Row],[AUX_TYPE_2]]),2),"ERROR")</f>
        <v>0</v>
      </c>
      <c r="H6">
        <f>IF(IFERROR(FIND(",",Table1[[#This Row],[AUX_TYPE_3]]),0)&gt; 0,_xlfn.NUMBERVALUE(RIGHT(Table1[[#This Row],[AUX_TYPE_3]],LEN(Table1[[#This Row],[AUX_TYPE_3]])-FIND(",",Table1[[#This Row],[AUX_TYPE_3]]))),0)</f>
        <v>0</v>
      </c>
      <c r="I6" t="str">
        <f>IF(Table1[[#This Row],[BDR TABLE ]]="","",CONCATENATE("NULL|",Table1[[#This Row],[BDR TABLE ]],"|",A6,"|",Table1[[#This Row],[BDR FIELD ]],"|",Table1[[#This Row],[AUX_TYPE_1]],"|",Table1[[#This Row],[AUX_TYPE_2]],"|",Table1[[#This Row],[AUX_TYPE_4]],"|0"))</f>
        <v>NULL|JM_SPV|4|E0691_TITU_TIP|DECIMAL|5|0|0</v>
      </c>
      <c r="J6" s="3"/>
    </row>
    <row r="7" spans="1:10" x14ac:dyDescent="0.25">
      <c r="A7">
        <v>5</v>
      </c>
      <c r="B7" t="s">
        <v>18</v>
      </c>
      <c r="C7" t="s">
        <v>23</v>
      </c>
      <c r="D7" t="s">
        <v>13</v>
      </c>
      <c r="E7" t="str">
        <f>IF(Table1[[#This Row],[FIELD FORMAT ]]="DATE","CHAR",IF(IFERROR(FIND("DEC",Table1[[#This Row],[FIELD FORMAT ]]),0)&gt;0,"DECIMAL",IF(IFERROR(FIND("CHAR",Table1[[#This Row],[FIELD FORMAT ]]),0)&gt;0,"CHAR","ERROR")))</f>
        <v>CHAR</v>
      </c>
      <c r="F7">
        <f>IFERROR(TRUNC(IF(Table1[[#This Row],[FIELD FORMAT ]]="DATE",10,_xlfn.NUMBERVALUE(LEFT(RIGHT(D7,LEN(D7)-FIND("(",D7)),FIND(")",D7)-FIND("(",D7)-1)))),"ERROR")</f>
        <v>1</v>
      </c>
      <c r="G7">
        <f>IFERROR(ROUND(ABS(IF(Table1[[#This Row],[FIELD FORMAT ]]="DATE",10,_xlfn.NUMBERVALUE(LEFT(RIGHT(D7,LEN(D7)-FIND("(",D7)),FIND(")",D7)-FIND("(",D7)-1)))-Table1[[#This Row],[AUX_TYPE_2]]),2),"ERROR")</f>
        <v>0</v>
      </c>
      <c r="H7">
        <f>IF(IFERROR(FIND(",",Table1[[#This Row],[AUX_TYPE_3]]),0)&gt; 0,_xlfn.NUMBERVALUE(RIGHT(Table1[[#This Row],[AUX_TYPE_3]],LEN(Table1[[#This Row],[AUX_TYPE_3]])-FIND(",",Table1[[#This Row],[AUX_TYPE_3]]))),0)</f>
        <v>0</v>
      </c>
      <c r="I7" t="str">
        <f>IF(Table1[[#This Row],[BDR TABLE ]]="","",CONCATENATE("NULL|",Table1[[#This Row],[BDR TABLE ]],"|",A7,"|",Table1[[#This Row],[BDR FIELD ]],"|",Table1[[#This Row],[AUX_TYPE_1]],"|",Table1[[#This Row],[AUX_TYPE_2]],"|",Table1[[#This Row],[AUX_TYPE_4]],"|0"))</f>
        <v>NULL|JM_SPV|5|E0691_AMOR_ANT|CHAR|1|0|0</v>
      </c>
      <c r="J7" s="3"/>
    </row>
    <row r="8" spans="1:10" x14ac:dyDescent="0.25">
      <c r="A8">
        <v>6</v>
      </c>
      <c r="B8" t="s">
        <v>18</v>
      </c>
      <c r="C8" t="s">
        <v>24</v>
      </c>
      <c r="D8" t="s">
        <v>13</v>
      </c>
      <c r="E8" t="str">
        <f>IF(Table1[[#This Row],[FIELD FORMAT ]]="DATE","CHAR",IF(IFERROR(FIND("DEC",Table1[[#This Row],[FIELD FORMAT ]]),0)&gt;0,"DECIMAL",IF(IFERROR(FIND("CHAR",Table1[[#This Row],[FIELD FORMAT ]]),0)&gt;0,"CHAR","ERROR")))</f>
        <v>CHAR</v>
      </c>
      <c r="F8">
        <f>IFERROR(TRUNC(IF(Table1[[#This Row],[FIELD FORMAT ]]="DATE",10,_xlfn.NUMBERVALUE(LEFT(RIGHT(D8,LEN(D8)-FIND("(",D8)),FIND(")",D8)-FIND("(",D8)-1)))),"ERROR")</f>
        <v>1</v>
      </c>
      <c r="G8">
        <f>IFERROR(ROUND(ABS(IF(Table1[[#This Row],[FIELD FORMAT ]]="DATE",10,_xlfn.NUMBERVALUE(LEFT(RIGHT(D8,LEN(D8)-FIND("(",D8)),FIND(")",D8)-FIND("(",D8)-1)))-Table1[[#This Row],[AUX_TYPE_2]]),2),"ERROR")</f>
        <v>0</v>
      </c>
      <c r="H8">
        <f>IF(IFERROR(FIND(",",Table1[[#This Row],[AUX_TYPE_3]]),0)&gt; 0,_xlfn.NUMBERVALUE(RIGHT(Table1[[#This Row],[AUX_TYPE_3]],LEN(Table1[[#This Row],[AUX_TYPE_3]])-FIND(",",Table1[[#This Row],[AUX_TYPE_3]]))),0)</f>
        <v>0</v>
      </c>
      <c r="I8" t="str">
        <f>IF(Table1[[#This Row],[BDR TABLE ]]="","",CONCATENATE("NULL|",Table1[[#This Row],[BDR TABLE ]],"|",A8,"|",Table1[[#This Row],[BDR FIELD ]],"|",Table1[[#This Row],[AUX_TYPE_1]],"|",Table1[[#This Row],[AUX_TYPE_2]],"|",Table1[[#This Row],[AUX_TYPE_4]],"|0"))</f>
        <v>NULL|JM_SPV|6|E0691_OPC_EXCL|CHAR|1|0|0</v>
      </c>
      <c r="J8" s="3"/>
    </row>
    <row r="9" spans="1:10" x14ac:dyDescent="0.25">
      <c r="A9">
        <v>7</v>
      </c>
      <c r="B9" t="s">
        <v>18</v>
      </c>
      <c r="C9" t="s">
        <v>25</v>
      </c>
      <c r="D9" t="s">
        <v>12</v>
      </c>
      <c r="E9" t="str">
        <f>IF(Table1[[#This Row],[FIELD FORMAT ]]="DATE","CHAR",IF(IFERROR(FIND("DEC",Table1[[#This Row],[FIELD FORMAT ]]),0)&gt;0,"DECIMAL",IF(IFERROR(FIND("CHAR",Table1[[#This Row],[FIELD FORMAT ]]),0)&gt;0,"CHAR","ERROR")))</f>
        <v>CHAR</v>
      </c>
      <c r="F9">
        <f>IFERROR(TRUNC(IF(Table1[[#This Row],[FIELD FORMAT ]]="DATE",10,_xlfn.NUMBERVALUE(LEFT(RIGHT(D9,LEN(D9)-FIND("(",D9)),FIND(")",D9)-FIND("(",D9)-1)))),"ERROR")</f>
        <v>10</v>
      </c>
      <c r="G9">
        <f>IFERROR(ROUND(ABS(IF(Table1[[#This Row],[FIELD FORMAT ]]="DATE",10,_xlfn.NUMBERVALUE(LEFT(RIGHT(D9,LEN(D9)-FIND("(",D9)),FIND(")",D9)-FIND("(",D9)-1)))-Table1[[#This Row],[AUX_TYPE_2]]),2),"ERROR")</f>
        <v>0</v>
      </c>
      <c r="H9">
        <f>IF(IFERROR(FIND(",",Table1[[#This Row],[AUX_TYPE_3]]),0)&gt; 0,_xlfn.NUMBERVALUE(RIGHT(Table1[[#This Row],[AUX_TYPE_3]],LEN(Table1[[#This Row],[AUX_TYPE_3]])-FIND(",",Table1[[#This Row],[AUX_TYPE_3]]))),0)</f>
        <v>0</v>
      </c>
      <c r="I9" t="str">
        <f>IF(Table1[[#This Row],[BDR TABLE ]]="","",CONCATENATE("NULL|",Table1[[#This Row],[BDR TABLE ]],"|",A9,"|",Table1[[#This Row],[BDR FIELD ]],"|",Table1[[#This Row],[AUX_TYPE_1]],"|",Table1[[#This Row],[AUX_TYPE_2]],"|",Table1[[#This Row],[AUX_TYPE_4]],"|0"))</f>
        <v>NULL|JM_SPV|7|E0691_FECULTMO|CHAR|10|0|0</v>
      </c>
      <c r="J9" s="3"/>
    </row>
    <row r="10" spans="1:10" x14ac:dyDescent="0.25">
      <c r="A10">
        <v>8</v>
      </c>
      <c r="B10" t="s">
        <v>18</v>
      </c>
      <c r="C10" t="s">
        <v>26</v>
      </c>
      <c r="D10" t="s">
        <v>13</v>
      </c>
      <c r="E10" t="str">
        <f>IF(Table1[[#This Row],[FIELD FORMAT ]]="DATE","CHAR",IF(IFERROR(FIND("DEC",Table1[[#This Row],[FIELD FORMAT ]]),0)&gt;0,"DECIMAL",IF(IFERROR(FIND("CHAR",Table1[[#This Row],[FIELD FORMAT ]]),0)&gt;0,"CHAR","ERROR")))</f>
        <v>CHAR</v>
      </c>
      <c r="F10">
        <f>IFERROR(TRUNC(IF(Table1[[#This Row],[FIELD FORMAT ]]="DATE",10,_xlfn.NUMBERVALUE(LEFT(RIGHT(D10,LEN(D10)-FIND("(",D10)),FIND(")",D10)-FIND("(",D10)-1)))),"ERROR")</f>
        <v>1</v>
      </c>
      <c r="G10">
        <f>IFERROR(ROUND(ABS(IF(Table1[[#This Row],[FIELD FORMAT ]]="DATE",10,_xlfn.NUMBERVALUE(LEFT(RIGHT(D10,LEN(D10)-FIND("(",D10)),FIND(")",D10)-FIND("(",D10)-1)))-Table1[[#This Row],[AUX_TYPE_2]]),2),"ERROR")</f>
        <v>0</v>
      </c>
      <c r="H10">
        <f>IF(IFERROR(FIND(",",Table1[[#This Row],[AUX_TYPE_3]]),0)&gt; 0,_xlfn.NUMBERVALUE(RIGHT(Table1[[#This Row],[AUX_TYPE_3]],LEN(Table1[[#This Row],[AUX_TYPE_3]])-FIND(",",Table1[[#This Row],[AUX_TYPE_3]]))),0)</f>
        <v>0</v>
      </c>
      <c r="I10" t="str">
        <f>IF(Table1[[#This Row],[BDR TABLE ]]="","",CONCATENATE("NULL|",Table1[[#This Row],[BDR TABLE ]],"|",A10,"|",Table1[[#This Row],[BDR FIELD ]],"|",Table1[[#This Row],[AUX_TYPE_1]],"|",Table1[[#This Row],[AUX_TYPE_2]],"|",Table1[[#This Row],[AUX_TYPE_4]],"|0"))</f>
        <v>NULL|JM_SPV|8|E0691_FLGESTPI|CHAR|1|0|0</v>
      </c>
      <c r="J10" s="3"/>
    </row>
    <row r="11" spans="1:10" x14ac:dyDescent="0.25">
      <c r="A11">
        <v>9</v>
      </c>
      <c r="B11" t="s">
        <v>18</v>
      </c>
      <c r="C11" t="s">
        <v>27</v>
      </c>
      <c r="D11" t="s">
        <v>13</v>
      </c>
      <c r="E11" t="str">
        <f>IF(Table1[[#This Row],[FIELD FORMAT ]]="DATE","CHAR",IF(IFERROR(FIND("DEC",Table1[[#This Row],[FIELD FORMAT ]]),0)&gt;0,"DECIMAL",IF(IFERROR(FIND("CHAR",Table1[[#This Row],[FIELD FORMAT ]]),0)&gt;0,"CHAR","ERROR")))</f>
        <v>CHAR</v>
      </c>
      <c r="F11">
        <f>IFERROR(TRUNC(IF(Table1[[#This Row],[FIELD FORMAT ]]="DATE",10,_xlfn.NUMBERVALUE(LEFT(RIGHT(D11,LEN(D11)-FIND("(",D11)),FIND(")",D11)-FIND("(",D11)-1)))),"ERROR")</f>
        <v>1</v>
      </c>
      <c r="G11">
        <f>IFERROR(ROUND(ABS(IF(Table1[[#This Row],[FIELD FORMAT ]]="DATE",10,_xlfn.NUMBERVALUE(LEFT(RIGHT(D11,LEN(D11)-FIND("(",D11)),FIND(")",D11)-FIND("(",D11)-1)))-Table1[[#This Row],[AUX_TYPE_2]]),2),"ERROR")</f>
        <v>0</v>
      </c>
      <c r="H11">
        <f>IF(IFERROR(FIND(",",Table1[[#This Row],[AUX_TYPE_3]]),0)&gt; 0,_xlfn.NUMBERVALUE(RIGHT(Table1[[#This Row],[AUX_TYPE_3]],LEN(Table1[[#This Row],[AUX_TYPE_3]])-FIND(",",Table1[[#This Row],[AUX_TYPE_3]]))),0)</f>
        <v>0</v>
      </c>
      <c r="I11" t="str">
        <f>IF(Table1[[#This Row],[BDR TABLE ]]="","",CONCATENATE("NULL|",Table1[[#This Row],[BDR TABLE ]],"|",A11,"|",Table1[[#This Row],[BDR FIELD ]],"|",Table1[[#This Row],[AUX_TYPE_1]],"|",Table1[[#This Row],[AUX_TYPE_2]],"|",Table1[[#This Row],[AUX_TYPE_4]],"|0"))</f>
        <v>NULL|JM_SPV|9|E0691_FLGCPGAR|CHAR|1|0|0</v>
      </c>
      <c r="J11" s="3"/>
    </row>
    <row r="12" spans="1:10" x14ac:dyDescent="0.25">
      <c r="A12">
        <v>10</v>
      </c>
      <c r="B12" t="s">
        <v>18</v>
      </c>
      <c r="C12" t="s">
        <v>28</v>
      </c>
      <c r="D12" t="s">
        <v>12</v>
      </c>
      <c r="E12" t="str">
        <f>IF(Table1[[#This Row],[FIELD FORMAT ]]="DATE","CHAR",IF(IFERROR(FIND("DEC",Table1[[#This Row],[FIELD FORMAT ]]),0)&gt;0,"DECIMAL",IF(IFERROR(FIND("CHAR",Table1[[#This Row],[FIELD FORMAT ]]),0)&gt;0,"CHAR","ERROR")))</f>
        <v>CHAR</v>
      </c>
      <c r="F12">
        <f>IFERROR(TRUNC(IF(Table1[[#This Row],[FIELD FORMAT ]]="DATE",10,_xlfn.NUMBERVALUE(LEFT(RIGHT(D12,LEN(D12)-FIND("(",D12)),FIND(")",D12)-FIND("(",D12)-1)))),"ERROR")</f>
        <v>10</v>
      </c>
      <c r="G12">
        <f>IFERROR(ROUND(ABS(IF(Table1[[#This Row],[FIELD FORMAT ]]="DATE",10,_xlfn.NUMBERVALUE(LEFT(RIGHT(D12,LEN(D12)-FIND("(",D12)),FIND(")",D12)-FIND("(",D12)-1)))-Table1[[#This Row],[AUX_TYPE_2]]),2),"ERROR")</f>
        <v>0</v>
      </c>
      <c r="H12">
        <f>IF(IFERROR(FIND(",",Table1[[#This Row],[AUX_TYPE_3]]),0)&gt; 0,_xlfn.NUMBERVALUE(RIGHT(Table1[[#This Row],[AUX_TYPE_3]],LEN(Table1[[#This Row],[AUX_TYPE_3]])-FIND(",",Table1[[#This Row],[AUX_TYPE_3]]))),0)</f>
        <v>0</v>
      </c>
      <c r="I12" t="str">
        <f>IF(Table1[[#This Row],[BDR TABLE ]]="","",CONCATENATE("NULL|",Table1[[#This Row],[BDR TABLE ]],"|",A12,"|",Table1[[#This Row],[BDR FIELD ]],"|",Table1[[#This Row],[AUX_TYPE_1]],"|",Table1[[#This Row],[AUX_TYPE_2]],"|",Table1[[#This Row],[AUX_TYPE_4]],"|0"))</f>
        <v>NULL|JM_SPV|10|E0691_FECDESDE|CHAR|10|0|0</v>
      </c>
      <c r="J12" s="3"/>
    </row>
    <row r="13" spans="1:10" x14ac:dyDescent="0.25">
      <c r="A13">
        <v>11</v>
      </c>
      <c r="B13" t="s">
        <v>18</v>
      </c>
      <c r="C13" t="s">
        <v>29</v>
      </c>
      <c r="D13" t="s">
        <v>12</v>
      </c>
      <c r="E13" t="str">
        <f>IF(Table1[[#This Row],[FIELD FORMAT ]]="DATE","CHAR",IF(IFERROR(FIND("DEC",Table1[[#This Row],[FIELD FORMAT ]]),0)&gt;0,"DECIMAL",IF(IFERROR(FIND("CHAR",Table1[[#This Row],[FIELD FORMAT ]]),0)&gt;0,"CHAR","ERROR")))</f>
        <v>CHAR</v>
      </c>
      <c r="F13">
        <f>IFERROR(TRUNC(IF(Table1[[#This Row],[FIELD FORMAT ]]="DATE",10,_xlfn.NUMBERVALUE(LEFT(RIGHT(D13,LEN(D13)-FIND("(",D13)),FIND(")",D13)-FIND("(",D13)-1)))),"ERROR")</f>
        <v>10</v>
      </c>
      <c r="G13">
        <f>IFERROR(ROUND(ABS(IF(Table1[[#This Row],[FIELD FORMAT ]]="DATE",10,_xlfn.NUMBERVALUE(LEFT(RIGHT(D13,LEN(D13)-FIND("(",D13)),FIND(")",D13)-FIND("(",D13)-1)))-Table1[[#This Row],[AUX_TYPE_2]]),2),"ERROR")</f>
        <v>0</v>
      </c>
      <c r="H13">
        <f>IF(IFERROR(FIND(",",Table1[[#This Row],[AUX_TYPE_3]]),0)&gt; 0,_xlfn.NUMBERVALUE(RIGHT(Table1[[#This Row],[AUX_TYPE_3]],LEN(Table1[[#This Row],[AUX_TYPE_3]])-FIND(",",Table1[[#This Row],[AUX_TYPE_3]]))),0)</f>
        <v>0</v>
      </c>
      <c r="I13" t="str">
        <f>IF(Table1[[#This Row],[BDR TABLE ]]="","",CONCATENATE("NULL|",Table1[[#This Row],[BDR TABLE ]],"|",A13,"|",Table1[[#This Row],[BDR FIELD ]],"|",Table1[[#This Row],[AUX_TYPE_1]],"|",Table1[[#This Row],[AUX_TYPE_2]],"|",Table1[[#This Row],[AUX_TYPE_4]],"|0"))</f>
        <v>NULL|JM_SPV|11|E0691_FECHASTA|CHAR|10|0|0</v>
      </c>
      <c r="J13" s="3"/>
    </row>
    <row r="14" spans="1:10" x14ac:dyDescent="0.25">
      <c r="A14">
        <v>12</v>
      </c>
      <c r="B14" t="s">
        <v>18</v>
      </c>
      <c r="C14" t="s">
        <v>30</v>
      </c>
      <c r="D14" t="s">
        <v>16</v>
      </c>
      <c r="E14" t="str">
        <f>IF(Table1[[#This Row],[FIELD FORMAT ]]="DATE","CHAR",IF(IFERROR(FIND("DEC",Table1[[#This Row],[FIELD FORMAT ]]),0)&gt;0,"DECIMAL",IF(IFERROR(FIND("CHAR",Table1[[#This Row],[FIELD FORMAT ]]),0)&gt;0,"CHAR","ERROR")))</f>
        <v>CHAR</v>
      </c>
      <c r="F14">
        <f>IFERROR(TRUNC(IF(Table1[[#This Row],[FIELD FORMAT ]]="DATE",10,_xlfn.NUMBERVALUE(LEFT(RIGHT(D14,LEN(D14)-FIND("(",D14)),FIND(")",D14)-FIND("(",D14)-1)))),"ERROR")</f>
        <v>1</v>
      </c>
      <c r="G14">
        <f>IFERROR(ROUND(ABS(IF(Table1[[#This Row],[FIELD FORMAT ]]="DATE",10,_xlfn.NUMBERVALUE(LEFT(RIGHT(D14,LEN(D14)-FIND("(",D14)),FIND(")",D14)-FIND("(",D14)-1)))-Table1[[#This Row],[AUX_TYPE_2]]),2),"ERROR")</f>
        <v>0</v>
      </c>
      <c r="H14">
        <f>IF(IFERROR(FIND(",",Table1[[#This Row],[AUX_TYPE_3]]),0)&gt; 0,_xlfn.NUMBERVALUE(RIGHT(Table1[[#This Row],[AUX_TYPE_3]],LEN(Table1[[#This Row],[AUX_TYPE_3]])-FIND(",",Table1[[#This Row],[AUX_TYPE_3]]))),0)</f>
        <v>0</v>
      </c>
      <c r="I14" t="str">
        <f>IF(Table1[[#This Row],[BDR TABLE ]]="","",CONCATENATE("NULL|",Table1[[#This Row],[BDR TABLE ]],"|",A14,"|",Table1[[#This Row],[BDR FIELD ]],"|",Table1[[#This Row],[AUX_TYPE_1]],"|",Table1[[#This Row],[AUX_TYPE_2]],"|",Table1[[#This Row],[AUX_TYPE_4]],"|0"))</f>
        <v>NULL|JM_SPV|12|E0691_INDTRRGO|CHAR|1|0|0</v>
      </c>
      <c r="J14" s="3"/>
    </row>
    <row r="15" spans="1:10" x14ac:dyDescent="0.25">
      <c r="A15">
        <v>13</v>
      </c>
      <c r="B15" t="s">
        <v>18</v>
      </c>
      <c r="C15" t="s">
        <v>31</v>
      </c>
      <c r="D15" t="s">
        <v>16</v>
      </c>
      <c r="E15" t="str">
        <f>IF(Table1[[#This Row],[FIELD FORMAT ]]="DATE","CHAR",IF(IFERROR(FIND("DEC",Table1[[#This Row],[FIELD FORMAT ]]),0)&gt;0,"DECIMAL",IF(IFERROR(FIND("CHAR",Table1[[#This Row],[FIELD FORMAT ]]),0)&gt;0,"CHAR","ERROR")))</f>
        <v>CHAR</v>
      </c>
      <c r="F15">
        <f>IFERROR(TRUNC(IF(Table1[[#This Row],[FIELD FORMAT ]]="DATE",10,_xlfn.NUMBERVALUE(LEFT(RIGHT(D15,LEN(D15)-FIND("(",D15)),FIND(")",D15)-FIND("(",D15)-1)))),"ERROR")</f>
        <v>1</v>
      </c>
      <c r="G15">
        <f>IFERROR(ROUND(ABS(IF(Table1[[#This Row],[FIELD FORMAT ]]="DATE",10,_xlfn.NUMBERVALUE(LEFT(RIGHT(D15,LEN(D15)-FIND("(",D15)),FIND(")",D15)-FIND("(",D15)-1)))-Table1[[#This Row],[AUX_TYPE_2]]),2),"ERROR")</f>
        <v>0</v>
      </c>
      <c r="H15">
        <f>IF(IFERROR(FIND(",",Table1[[#This Row],[AUX_TYPE_3]]),0)&gt; 0,_xlfn.NUMBERVALUE(RIGHT(Table1[[#This Row],[AUX_TYPE_3]],LEN(Table1[[#This Row],[AUX_TYPE_3]])-FIND(",",Table1[[#This Row],[AUX_TYPE_3]]))),0)</f>
        <v>0</v>
      </c>
      <c r="I15" t="str">
        <f>IF(Table1[[#This Row],[BDR TABLE ]]="","",CONCATENATE("NULL|",Table1[[#This Row],[BDR TABLE ]],"|",A15,"|",Table1[[#This Row],[BDR FIELD ]],"|",Table1[[#This Row],[AUX_TYPE_1]],"|",Table1[[#This Row],[AUX_TYPE_2]],"|",Table1[[#This Row],[AUX_TYPE_4]],"|0"))</f>
        <v>NULL|JM_SPV|13|E0691_INDCRREL|CHAR|1|0|0</v>
      </c>
      <c r="J15" s="3"/>
    </row>
    <row r="16" spans="1:10" x14ac:dyDescent="0.25">
      <c r="A16">
        <v>14</v>
      </c>
      <c r="B16" t="s">
        <v>18</v>
      </c>
      <c r="C16" t="s">
        <v>32</v>
      </c>
      <c r="D16" t="s">
        <v>17</v>
      </c>
      <c r="E16" t="str">
        <f>IF(Table1[[#This Row],[FIELD FORMAT ]]="DATE","CHAR",IF(IFERROR(FIND("DEC",Table1[[#This Row],[FIELD FORMAT ]]),0)&gt;0,"DECIMAL",IF(IFERROR(FIND("CHAR",Table1[[#This Row],[FIELD FORMAT ]]),0)&gt;0,"CHAR","ERROR")))</f>
        <v>CHAR</v>
      </c>
      <c r="F16">
        <f>IFERROR(TRUNC(IF(Table1[[#This Row],[FIELD FORMAT ]]="DATE",10,_xlfn.NUMBERVALUE(LEFT(RIGHT(D16,LEN(D16)-FIND("(",D16)),FIND(")",D16)-FIND("(",D16)-1)))),"ERROR")</f>
        <v>3</v>
      </c>
      <c r="G16">
        <f>IFERROR(ROUND(ABS(IF(Table1[[#This Row],[FIELD FORMAT ]]="DATE",10,_xlfn.NUMBERVALUE(LEFT(RIGHT(D16,LEN(D16)-FIND("(",D16)),FIND(")",D16)-FIND("(",D16)-1)))-Table1[[#This Row],[AUX_TYPE_2]]),2),"ERROR")</f>
        <v>0</v>
      </c>
      <c r="H16">
        <f>IF(IFERROR(FIND(",",Table1[[#This Row],[AUX_TYPE_3]]),0)&gt; 0,_xlfn.NUMBERVALUE(RIGHT(Table1[[#This Row],[AUX_TYPE_3]],LEN(Table1[[#This Row],[AUX_TYPE_3]])-FIND(",",Table1[[#This Row],[AUX_TYPE_3]]))),0)</f>
        <v>0</v>
      </c>
      <c r="I16" t="str">
        <f>IF(Table1[[#This Row],[BDR TABLE ]]="","",CONCATENATE("NULL|",Table1[[#This Row],[BDR TABLE ]],"|",A16,"|",Table1[[#This Row],[BDR FIELD ]],"|",Table1[[#This Row],[AUX_TYPE_1]],"|",Table1[[#This Row],[AUX_TYPE_2]],"|",Table1[[#This Row],[AUX_TYPE_4]],"|0"))</f>
        <v>NULL|JM_SPV|14|E0691_CODMONED|CHAR|3|0|0</v>
      </c>
      <c r="J16" s="3"/>
    </row>
    <row r="17" spans="1:10" x14ac:dyDescent="0.25">
      <c r="A17">
        <v>15</v>
      </c>
      <c r="J17" s="3"/>
    </row>
    <row r="18" spans="1:10" x14ac:dyDescent="0.25">
      <c r="A18">
        <v>16</v>
      </c>
      <c r="J18" s="3"/>
    </row>
    <row r="19" spans="1:10" x14ac:dyDescent="0.25">
      <c r="A19">
        <v>17</v>
      </c>
      <c r="J19" s="3"/>
    </row>
    <row r="20" spans="1:10" x14ac:dyDescent="0.25">
      <c r="A20">
        <v>18</v>
      </c>
      <c r="J20" s="3"/>
    </row>
    <row r="21" spans="1:10" x14ac:dyDescent="0.25">
      <c r="A21">
        <v>19</v>
      </c>
      <c r="J21" s="3"/>
    </row>
    <row r="22" spans="1:10" x14ac:dyDescent="0.25">
      <c r="A22">
        <v>20</v>
      </c>
      <c r="B22" t="s">
        <v>14</v>
      </c>
      <c r="D22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22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22" t="str">
        <f>IFERROR(TRUNC(IF(Table1[[#This Row],[FIELD FORMAT ]]="DATE",10,_xlfn.NUMBERVALUE(LEFT(RIGHT(D22,LEN(D22)-FIND("(",D22)),FIND(")",D22)-FIND("(",D22)-1)))),"ERROR")</f>
        <v>ERROR</v>
      </c>
      <c r="G22" t="str">
        <f>IFERROR(ROUND(ABS(IF(Table1[[#This Row],[FIELD FORMAT ]]="DATE",10,_xlfn.NUMBERVALUE(LEFT(RIGHT(D22,LEN(D22)-FIND("(",D22)),FIND(")",D22)-FIND("(",D22)-1)))-Table1[[#This Row],[AUX_TYPE_2]]),2),"ERROR")</f>
        <v>ERROR</v>
      </c>
      <c r="H22">
        <f>IF(IFERROR(FIND(",",Table1[[#This Row],[AUX_TYPE_3]]),0)&gt; 0,_xlfn.NUMBERVALUE(RIGHT(Table1[[#This Row],[AUX_TYPE_3]],LEN(Table1[[#This Row],[AUX_TYPE_3]])-FIND(",",Table1[[#This Row],[AUX_TYPE_3]]))),0)</f>
        <v>0</v>
      </c>
      <c r="I22" t="str">
        <f>IF(Table1[[#This Row],[BDR TABLE ]]="","",CONCATENATE("NULL|",Table1[[#This Row],[BDR TABLE ]],"|",A22,"|",Table1[[#This Row],[BDR FIELD ]],"|",Table1[[#This Row],[AUX_TYPE_1]],"|",Table1[[#This Row],[AUX_TYPE_2]],"|",Table1[[#This Row],[AUX_TYPE_4]],"|0"))</f>
        <v>NULL|JM_OUTCTND_CG|20||ERROR|ERROR|0|0</v>
      </c>
      <c r="J22" s="3"/>
    </row>
    <row r="23" spans="1:10" x14ac:dyDescent="0.25">
      <c r="A23">
        <v>21</v>
      </c>
      <c r="B23" t="s">
        <v>14</v>
      </c>
      <c r="D23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23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23" t="str">
        <f>IFERROR(TRUNC(IF(Table1[[#This Row],[FIELD FORMAT ]]="DATE",10,_xlfn.NUMBERVALUE(LEFT(RIGHT(D23,LEN(D23)-FIND("(",D23)),FIND(")",D23)-FIND("(",D23)-1)))),"ERROR")</f>
        <v>ERROR</v>
      </c>
      <c r="G23" t="str">
        <f>IFERROR(ROUND(ABS(IF(Table1[[#This Row],[FIELD FORMAT ]]="DATE",10,_xlfn.NUMBERVALUE(LEFT(RIGHT(D23,LEN(D23)-FIND("(",D23)),FIND(")",D23)-FIND("(",D23)-1)))-Table1[[#This Row],[AUX_TYPE_2]]),2),"ERROR")</f>
        <v>ERROR</v>
      </c>
      <c r="H23">
        <f>IF(IFERROR(FIND(",",Table1[[#This Row],[AUX_TYPE_3]]),0)&gt; 0,_xlfn.NUMBERVALUE(RIGHT(Table1[[#This Row],[AUX_TYPE_3]],LEN(Table1[[#This Row],[AUX_TYPE_3]])-FIND(",",Table1[[#This Row],[AUX_TYPE_3]]))),0)</f>
        <v>0</v>
      </c>
      <c r="I23" t="str">
        <f>IF(Table1[[#This Row],[BDR TABLE ]]="","",CONCATENATE("NULL|",Table1[[#This Row],[BDR TABLE ]],"|",A23,"|",Table1[[#This Row],[BDR FIELD ]],"|",Table1[[#This Row],[AUX_TYPE_1]],"|",Table1[[#This Row],[AUX_TYPE_2]],"|",Table1[[#This Row],[AUX_TYPE_4]],"|0"))</f>
        <v>NULL|JM_OUTCTND_CG|21||ERROR|ERROR|0|0</v>
      </c>
      <c r="J23" s="3"/>
    </row>
    <row r="24" spans="1:10" x14ac:dyDescent="0.25">
      <c r="A24">
        <v>22</v>
      </c>
      <c r="B24" t="s">
        <v>14</v>
      </c>
      <c r="D24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24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24" t="str">
        <f>IFERROR(TRUNC(IF(Table1[[#This Row],[FIELD FORMAT ]]="DATE",10,_xlfn.NUMBERVALUE(LEFT(RIGHT(D24,LEN(D24)-FIND("(",D24)),FIND(")",D24)-FIND("(",D24)-1)))),"ERROR")</f>
        <v>ERROR</v>
      </c>
      <c r="G24" t="str">
        <f>IFERROR(ROUND(ABS(IF(Table1[[#This Row],[FIELD FORMAT ]]="DATE",10,_xlfn.NUMBERVALUE(LEFT(RIGHT(D24,LEN(D24)-FIND("(",D24)),FIND(")",D24)-FIND("(",D24)-1)))-Table1[[#This Row],[AUX_TYPE_2]]),2),"ERROR")</f>
        <v>ERROR</v>
      </c>
      <c r="H24">
        <f>IF(IFERROR(FIND(",",Table1[[#This Row],[AUX_TYPE_3]]),0)&gt; 0,_xlfn.NUMBERVALUE(RIGHT(Table1[[#This Row],[AUX_TYPE_3]],LEN(Table1[[#This Row],[AUX_TYPE_3]])-FIND(",",Table1[[#This Row],[AUX_TYPE_3]]))),0)</f>
        <v>0</v>
      </c>
      <c r="I24" t="str">
        <f>IF(Table1[[#This Row],[BDR TABLE ]]="","",CONCATENATE("NULL|",Table1[[#This Row],[BDR TABLE ]],"|",A24,"|",Table1[[#This Row],[BDR FIELD ]],"|",Table1[[#This Row],[AUX_TYPE_1]],"|",Table1[[#This Row],[AUX_TYPE_2]],"|",Table1[[#This Row],[AUX_TYPE_4]],"|0"))</f>
        <v>NULL|JM_OUTCTND_CG|22||ERROR|ERROR|0|0</v>
      </c>
      <c r="J24" s="3"/>
    </row>
    <row r="25" spans="1:10" x14ac:dyDescent="0.25">
      <c r="A25">
        <v>23</v>
      </c>
      <c r="B25" t="s">
        <v>14</v>
      </c>
      <c r="D25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25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25" t="str">
        <f>IFERROR(TRUNC(IF(Table1[[#This Row],[FIELD FORMAT ]]="DATE",10,_xlfn.NUMBERVALUE(LEFT(RIGHT(D25,LEN(D25)-FIND("(",D25)),FIND(")",D25)-FIND("(",D25)-1)))),"ERROR")</f>
        <v>ERROR</v>
      </c>
      <c r="G25" t="str">
        <f>IFERROR(ROUND(ABS(IF(Table1[[#This Row],[FIELD FORMAT ]]="DATE",10,_xlfn.NUMBERVALUE(LEFT(RIGHT(D25,LEN(D25)-FIND("(",D25)),FIND(")",D25)-FIND("(",D25)-1)))-Table1[[#This Row],[AUX_TYPE_2]]),2),"ERROR")</f>
        <v>ERROR</v>
      </c>
      <c r="H25">
        <f>IF(IFERROR(FIND(",",Table1[[#This Row],[AUX_TYPE_3]]),0)&gt; 0,_xlfn.NUMBERVALUE(RIGHT(Table1[[#This Row],[AUX_TYPE_3]],LEN(Table1[[#This Row],[AUX_TYPE_3]])-FIND(",",Table1[[#This Row],[AUX_TYPE_3]]))),0)</f>
        <v>0</v>
      </c>
      <c r="I25" t="str">
        <f>IF(Table1[[#This Row],[BDR TABLE ]]="","",CONCATENATE("NULL|",Table1[[#This Row],[BDR TABLE ]],"|",A25,"|",Table1[[#This Row],[BDR FIELD ]],"|",Table1[[#This Row],[AUX_TYPE_1]],"|",Table1[[#This Row],[AUX_TYPE_2]],"|",Table1[[#This Row],[AUX_TYPE_4]],"|0"))</f>
        <v>NULL|JM_OUTCTND_CG|23||ERROR|ERROR|0|0</v>
      </c>
      <c r="J25" s="3"/>
    </row>
    <row r="26" spans="1:10" x14ac:dyDescent="0.25">
      <c r="A26">
        <v>24</v>
      </c>
      <c r="B26" t="s">
        <v>14</v>
      </c>
      <c r="D26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26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26" t="str">
        <f>IFERROR(TRUNC(IF(Table1[[#This Row],[FIELD FORMAT ]]="DATE",10,_xlfn.NUMBERVALUE(LEFT(RIGHT(D26,LEN(D26)-FIND("(",D26)),FIND(")",D26)-FIND("(",D26)-1)))),"ERROR")</f>
        <v>ERROR</v>
      </c>
      <c r="G26" t="str">
        <f>IFERROR(ROUND(ABS(IF(Table1[[#This Row],[FIELD FORMAT ]]="DATE",10,_xlfn.NUMBERVALUE(LEFT(RIGHT(D26,LEN(D26)-FIND("(",D26)),FIND(")",D26)-FIND("(",D26)-1)))-Table1[[#This Row],[AUX_TYPE_2]]),2),"ERROR")</f>
        <v>ERROR</v>
      </c>
      <c r="H26">
        <f>IF(IFERROR(FIND(",",Table1[[#This Row],[AUX_TYPE_3]]),0)&gt; 0,_xlfn.NUMBERVALUE(RIGHT(Table1[[#This Row],[AUX_TYPE_3]],LEN(Table1[[#This Row],[AUX_TYPE_3]])-FIND(",",Table1[[#This Row],[AUX_TYPE_3]]))),0)</f>
        <v>0</v>
      </c>
      <c r="I26" t="str">
        <f>IF(Table1[[#This Row],[BDR TABLE ]]="","",CONCATENATE("NULL|",Table1[[#This Row],[BDR TABLE ]],"|",A26,"|",Table1[[#This Row],[BDR FIELD ]],"|",Table1[[#This Row],[AUX_TYPE_1]],"|",Table1[[#This Row],[AUX_TYPE_2]],"|",Table1[[#This Row],[AUX_TYPE_4]],"|0"))</f>
        <v>NULL|JM_OUTCTND_CG|24||ERROR|ERROR|0|0</v>
      </c>
      <c r="J26" s="3"/>
    </row>
    <row r="27" spans="1:10" x14ac:dyDescent="0.25">
      <c r="A27">
        <v>25</v>
      </c>
      <c r="B27" t="s">
        <v>14</v>
      </c>
      <c r="D27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27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27" t="str">
        <f>IFERROR(TRUNC(IF(Table1[[#This Row],[FIELD FORMAT ]]="DATE",10,_xlfn.NUMBERVALUE(LEFT(RIGHT(D27,LEN(D27)-FIND("(",D27)),FIND(")",D27)-FIND("(",D27)-1)))),"ERROR")</f>
        <v>ERROR</v>
      </c>
      <c r="G27" t="str">
        <f>IFERROR(ROUND(ABS(IF(Table1[[#This Row],[FIELD FORMAT ]]="DATE",10,_xlfn.NUMBERVALUE(LEFT(RIGHT(D27,LEN(D27)-FIND("(",D27)),FIND(")",D27)-FIND("(",D27)-1)))-Table1[[#This Row],[AUX_TYPE_2]]),2),"ERROR")</f>
        <v>ERROR</v>
      </c>
      <c r="H27">
        <f>IF(IFERROR(FIND(",",Table1[[#This Row],[AUX_TYPE_3]]),0)&gt; 0,_xlfn.NUMBERVALUE(RIGHT(Table1[[#This Row],[AUX_TYPE_3]],LEN(Table1[[#This Row],[AUX_TYPE_3]])-FIND(",",Table1[[#This Row],[AUX_TYPE_3]]))),0)</f>
        <v>0</v>
      </c>
      <c r="I27" t="str">
        <f>IF(Table1[[#This Row],[BDR TABLE ]]="","",CONCATENATE("NULL|",Table1[[#This Row],[BDR TABLE ]],"|",A27,"|",Table1[[#This Row],[BDR FIELD ]],"|",Table1[[#This Row],[AUX_TYPE_1]],"|",Table1[[#This Row],[AUX_TYPE_2]],"|",Table1[[#This Row],[AUX_TYPE_4]],"|0"))</f>
        <v>NULL|JM_OUTCTND_CG|25||ERROR|ERROR|0|0</v>
      </c>
      <c r="J27" s="3"/>
    </row>
    <row r="28" spans="1:10" x14ac:dyDescent="0.25">
      <c r="A28">
        <v>26</v>
      </c>
      <c r="B28" t="s">
        <v>14</v>
      </c>
      <c r="D28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28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28" t="str">
        <f>IFERROR(TRUNC(IF(Table1[[#This Row],[FIELD FORMAT ]]="DATE",10,_xlfn.NUMBERVALUE(LEFT(RIGHT(D28,LEN(D28)-FIND("(",D28)),FIND(")",D28)-FIND("(",D28)-1)))),"ERROR")</f>
        <v>ERROR</v>
      </c>
      <c r="G28" t="str">
        <f>IFERROR(ROUND(ABS(IF(Table1[[#This Row],[FIELD FORMAT ]]="DATE",10,_xlfn.NUMBERVALUE(LEFT(RIGHT(D28,LEN(D28)-FIND("(",D28)),FIND(")",D28)-FIND("(",D28)-1)))-Table1[[#This Row],[AUX_TYPE_2]]),2),"ERROR")</f>
        <v>ERROR</v>
      </c>
      <c r="H28">
        <f>IF(IFERROR(FIND(",",Table1[[#This Row],[AUX_TYPE_3]]),0)&gt; 0,_xlfn.NUMBERVALUE(RIGHT(Table1[[#This Row],[AUX_TYPE_3]],LEN(Table1[[#This Row],[AUX_TYPE_3]])-FIND(",",Table1[[#This Row],[AUX_TYPE_3]]))),0)</f>
        <v>0</v>
      </c>
      <c r="I28" t="str">
        <f>IF(Table1[[#This Row],[BDR TABLE ]]="","",CONCATENATE("NULL|",Table1[[#This Row],[BDR TABLE ]],"|",A28,"|",Table1[[#This Row],[BDR FIELD ]],"|",Table1[[#This Row],[AUX_TYPE_1]],"|",Table1[[#This Row],[AUX_TYPE_2]],"|",Table1[[#This Row],[AUX_TYPE_4]],"|0"))</f>
        <v>NULL|JM_OUTCTND_CG|26||ERROR|ERROR|0|0</v>
      </c>
      <c r="J28" s="3"/>
    </row>
    <row r="29" spans="1:10" x14ac:dyDescent="0.25">
      <c r="A29">
        <v>27</v>
      </c>
      <c r="B29" t="s">
        <v>14</v>
      </c>
      <c r="D29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29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29" t="str">
        <f>IFERROR(TRUNC(IF(Table1[[#This Row],[FIELD FORMAT ]]="DATE",10,_xlfn.NUMBERVALUE(LEFT(RIGHT(D29,LEN(D29)-FIND("(",D29)),FIND(")",D29)-FIND("(",D29)-1)))),"ERROR")</f>
        <v>ERROR</v>
      </c>
      <c r="G29" t="str">
        <f>IFERROR(ROUND(ABS(IF(Table1[[#This Row],[FIELD FORMAT ]]="DATE",10,_xlfn.NUMBERVALUE(LEFT(RIGHT(D29,LEN(D29)-FIND("(",D29)),FIND(")",D29)-FIND("(",D29)-1)))-Table1[[#This Row],[AUX_TYPE_2]]),2),"ERROR")</f>
        <v>ERROR</v>
      </c>
      <c r="H29">
        <f>IF(IFERROR(FIND(",",Table1[[#This Row],[AUX_TYPE_3]]),0)&gt; 0,_xlfn.NUMBERVALUE(RIGHT(Table1[[#This Row],[AUX_TYPE_3]],LEN(Table1[[#This Row],[AUX_TYPE_3]])-FIND(",",Table1[[#This Row],[AUX_TYPE_3]]))),0)</f>
        <v>0</v>
      </c>
      <c r="I29" t="str">
        <f>IF(Table1[[#This Row],[BDR TABLE ]]="","",CONCATENATE("NULL|",Table1[[#This Row],[BDR TABLE ]],"|",A29,"|",Table1[[#This Row],[BDR FIELD ]],"|",Table1[[#This Row],[AUX_TYPE_1]],"|",Table1[[#This Row],[AUX_TYPE_2]],"|",Table1[[#This Row],[AUX_TYPE_4]],"|0"))</f>
        <v>NULL|JM_OUTCTND_CG|27||ERROR|ERROR|0|0</v>
      </c>
      <c r="J29" s="3"/>
    </row>
    <row r="30" spans="1:10" x14ac:dyDescent="0.25">
      <c r="A30">
        <v>28</v>
      </c>
      <c r="B30" t="s">
        <v>14</v>
      </c>
      <c r="D30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30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30" t="str">
        <f>IFERROR(TRUNC(IF(Table1[[#This Row],[FIELD FORMAT ]]="DATE",10,_xlfn.NUMBERVALUE(LEFT(RIGHT(D30,LEN(D30)-FIND("(",D30)),FIND(")",D30)-FIND("(",D30)-1)))),"ERROR")</f>
        <v>ERROR</v>
      </c>
      <c r="G30" t="str">
        <f>IFERROR(ROUND(ABS(IF(Table1[[#This Row],[FIELD FORMAT ]]="DATE",10,_xlfn.NUMBERVALUE(LEFT(RIGHT(D30,LEN(D30)-FIND("(",D30)),FIND(")",D30)-FIND("(",D30)-1)))-Table1[[#This Row],[AUX_TYPE_2]]),2),"ERROR")</f>
        <v>ERROR</v>
      </c>
      <c r="H30">
        <f>IF(IFERROR(FIND(",",Table1[[#This Row],[AUX_TYPE_3]]),0)&gt; 0,_xlfn.NUMBERVALUE(RIGHT(Table1[[#This Row],[AUX_TYPE_3]],LEN(Table1[[#This Row],[AUX_TYPE_3]])-FIND(",",Table1[[#This Row],[AUX_TYPE_3]]))),0)</f>
        <v>0</v>
      </c>
      <c r="I30" t="str">
        <f>IF(Table1[[#This Row],[BDR TABLE ]]="","",CONCATENATE("NULL|",Table1[[#This Row],[BDR TABLE ]],"|",A30,"|",Table1[[#This Row],[BDR FIELD ]],"|",Table1[[#This Row],[AUX_TYPE_1]],"|",Table1[[#This Row],[AUX_TYPE_2]],"|",Table1[[#This Row],[AUX_TYPE_4]],"|0"))</f>
        <v>NULL|JM_OUTCTND_CG|28||ERROR|ERROR|0|0</v>
      </c>
      <c r="J30" s="3"/>
    </row>
    <row r="31" spans="1:10" x14ac:dyDescent="0.25">
      <c r="A31">
        <v>29</v>
      </c>
      <c r="B31" t="s">
        <v>14</v>
      </c>
      <c r="D31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31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31" t="str">
        <f>IFERROR(TRUNC(IF(Table1[[#This Row],[FIELD FORMAT ]]="DATE",10,_xlfn.NUMBERVALUE(LEFT(RIGHT(D31,LEN(D31)-FIND("(",D31)),FIND(")",D31)-FIND("(",D31)-1)))),"ERROR")</f>
        <v>ERROR</v>
      </c>
      <c r="G31" t="str">
        <f>IFERROR(ROUND(ABS(IF(Table1[[#This Row],[FIELD FORMAT ]]="DATE",10,_xlfn.NUMBERVALUE(LEFT(RIGHT(D31,LEN(D31)-FIND("(",D31)),FIND(")",D31)-FIND("(",D31)-1)))-Table1[[#This Row],[AUX_TYPE_2]]),2),"ERROR")</f>
        <v>ERROR</v>
      </c>
      <c r="H31">
        <f>IF(IFERROR(FIND(",",Table1[[#This Row],[AUX_TYPE_3]]),0)&gt; 0,_xlfn.NUMBERVALUE(RIGHT(Table1[[#This Row],[AUX_TYPE_3]],LEN(Table1[[#This Row],[AUX_TYPE_3]])-FIND(",",Table1[[#This Row],[AUX_TYPE_3]]))),0)</f>
        <v>0</v>
      </c>
      <c r="I31" t="str">
        <f>IF(Table1[[#This Row],[BDR TABLE ]]="","",CONCATENATE("NULL|",Table1[[#This Row],[BDR TABLE ]],"|",A31,"|",Table1[[#This Row],[BDR FIELD ]],"|",Table1[[#This Row],[AUX_TYPE_1]],"|",Table1[[#This Row],[AUX_TYPE_2]],"|",Table1[[#This Row],[AUX_TYPE_4]],"|0"))</f>
        <v>NULL|JM_OUTCTND_CG|29||ERROR|ERROR|0|0</v>
      </c>
      <c r="J31" s="3"/>
    </row>
    <row r="32" spans="1:10" x14ac:dyDescent="0.25">
      <c r="A32">
        <v>30</v>
      </c>
      <c r="B32" t="s">
        <v>14</v>
      </c>
      <c r="D32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32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32" t="str">
        <f>IFERROR(TRUNC(IF(Table1[[#This Row],[FIELD FORMAT ]]="DATE",10,_xlfn.NUMBERVALUE(LEFT(RIGHT(D32,LEN(D32)-FIND("(",D32)),FIND(")",D32)-FIND("(",D32)-1)))),"ERROR")</f>
        <v>ERROR</v>
      </c>
      <c r="G32" t="str">
        <f>IFERROR(ROUND(ABS(IF(Table1[[#This Row],[FIELD FORMAT ]]="DATE",10,_xlfn.NUMBERVALUE(LEFT(RIGHT(D32,LEN(D32)-FIND("(",D32)),FIND(")",D32)-FIND("(",D32)-1)))-Table1[[#This Row],[AUX_TYPE_2]]),2),"ERROR")</f>
        <v>ERROR</v>
      </c>
      <c r="H32">
        <f>IF(IFERROR(FIND(",",Table1[[#This Row],[AUX_TYPE_3]]),0)&gt; 0,_xlfn.NUMBERVALUE(RIGHT(Table1[[#This Row],[AUX_TYPE_3]],LEN(Table1[[#This Row],[AUX_TYPE_3]])-FIND(",",Table1[[#This Row],[AUX_TYPE_3]]))),0)</f>
        <v>0</v>
      </c>
      <c r="I32" t="str">
        <f>IF(Table1[[#This Row],[BDR TABLE ]]="","",CONCATENATE("NULL|",Table1[[#This Row],[BDR TABLE ]],"|",A32,"|",Table1[[#This Row],[BDR FIELD ]],"|",Table1[[#This Row],[AUX_TYPE_1]],"|",Table1[[#This Row],[AUX_TYPE_2]],"|",Table1[[#This Row],[AUX_TYPE_4]],"|0"))</f>
        <v>NULL|JM_OUTCTND_CG|30||ERROR|ERROR|0|0</v>
      </c>
      <c r="J32" s="3"/>
    </row>
    <row r="33" spans="1:10" x14ac:dyDescent="0.25">
      <c r="A33">
        <v>31</v>
      </c>
      <c r="B33" t="s">
        <v>14</v>
      </c>
      <c r="D33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33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33" t="str">
        <f>IFERROR(TRUNC(IF(Table1[[#This Row],[FIELD FORMAT ]]="DATE",10,_xlfn.NUMBERVALUE(LEFT(RIGHT(D33,LEN(D33)-FIND("(",D33)),FIND(")",D33)-FIND("(",D33)-1)))),"ERROR")</f>
        <v>ERROR</v>
      </c>
      <c r="G33" t="str">
        <f>IFERROR(ROUND(ABS(IF(Table1[[#This Row],[FIELD FORMAT ]]="DATE",10,_xlfn.NUMBERVALUE(LEFT(RIGHT(D33,LEN(D33)-FIND("(",D33)),FIND(")",D33)-FIND("(",D33)-1)))-Table1[[#This Row],[AUX_TYPE_2]]),2),"ERROR")</f>
        <v>ERROR</v>
      </c>
      <c r="H33">
        <f>IF(IFERROR(FIND(",",Table1[[#This Row],[AUX_TYPE_3]]),0)&gt; 0,_xlfn.NUMBERVALUE(RIGHT(Table1[[#This Row],[AUX_TYPE_3]],LEN(Table1[[#This Row],[AUX_TYPE_3]])-FIND(",",Table1[[#This Row],[AUX_TYPE_3]]))),0)</f>
        <v>0</v>
      </c>
      <c r="I33" t="str">
        <f>IF(Table1[[#This Row],[BDR TABLE ]]="","",CONCATENATE("NULL|",Table1[[#This Row],[BDR TABLE ]],"|",A33,"|",Table1[[#This Row],[BDR FIELD ]],"|",Table1[[#This Row],[AUX_TYPE_1]],"|",Table1[[#This Row],[AUX_TYPE_2]],"|",Table1[[#This Row],[AUX_TYPE_4]],"|0"))</f>
        <v>NULL|JM_OUTCTND_CG|31||ERROR|ERROR|0|0</v>
      </c>
      <c r="J33" s="3"/>
    </row>
    <row r="34" spans="1:10" x14ac:dyDescent="0.25">
      <c r="A34">
        <v>32</v>
      </c>
      <c r="B34" t="s">
        <v>14</v>
      </c>
      <c r="D34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34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34" t="str">
        <f>IFERROR(TRUNC(IF(Table1[[#This Row],[FIELD FORMAT ]]="DATE",10,_xlfn.NUMBERVALUE(LEFT(RIGHT(D34,LEN(D34)-FIND("(",D34)),FIND(")",D34)-FIND("(",D34)-1)))),"ERROR")</f>
        <v>ERROR</v>
      </c>
      <c r="G34" t="str">
        <f>IFERROR(ROUND(ABS(IF(Table1[[#This Row],[FIELD FORMAT ]]="DATE",10,_xlfn.NUMBERVALUE(LEFT(RIGHT(D34,LEN(D34)-FIND("(",D34)),FIND(")",D34)-FIND("(",D34)-1)))-Table1[[#This Row],[AUX_TYPE_2]]),2),"ERROR")</f>
        <v>ERROR</v>
      </c>
      <c r="H34">
        <f>IF(IFERROR(FIND(",",Table1[[#This Row],[AUX_TYPE_3]]),0)&gt; 0,_xlfn.NUMBERVALUE(RIGHT(Table1[[#This Row],[AUX_TYPE_3]],LEN(Table1[[#This Row],[AUX_TYPE_3]])-FIND(",",Table1[[#This Row],[AUX_TYPE_3]]))),0)</f>
        <v>0</v>
      </c>
      <c r="I34" t="str">
        <f>IF(Table1[[#This Row],[BDR TABLE ]]="","",CONCATENATE("NULL|",Table1[[#This Row],[BDR TABLE ]],"|",A34,"|",Table1[[#This Row],[BDR FIELD ]],"|",Table1[[#This Row],[AUX_TYPE_1]],"|",Table1[[#This Row],[AUX_TYPE_2]],"|",Table1[[#This Row],[AUX_TYPE_4]],"|0"))</f>
        <v>NULL|JM_OUTCTND_CG|32||ERROR|ERROR|0|0</v>
      </c>
      <c r="J34" s="3"/>
    </row>
    <row r="35" spans="1:10" x14ac:dyDescent="0.25">
      <c r="A35">
        <v>33</v>
      </c>
      <c r="B35" t="s">
        <v>14</v>
      </c>
      <c r="D35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35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35" t="str">
        <f>IFERROR(TRUNC(IF(Table1[[#This Row],[FIELD FORMAT ]]="DATE",10,_xlfn.NUMBERVALUE(LEFT(RIGHT(D35,LEN(D35)-FIND("(",D35)),FIND(")",D35)-FIND("(",D35)-1)))),"ERROR")</f>
        <v>ERROR</v>
      </c>
      <c r="G35" t="str">
        <f>IFERROR(ROUND(ABS(IF(Table1[[#This Row],[FIELD FORMAT ]]="DATE",10,_xlfn.NUMBERVALUE(LEFT(RIGHT(D35,LEN(D35)-FIND("(",D35)),FIND(")",D35)-FIND("(",D35)-1)))-Table1[[#This Row],[AUX_TYPE_2]]),2),"ERROR")</f>
        <v>ERROR</v>
      </c>
      <c r="H35">
        <f>IF(IFERROR(FIND(",",Table1[[#This Row],[AUX_TYPE_3]]),0)&gt; 0,_xlfn.NUMBERVALUE(RIGHT(Table1[[#This Row],[AUX_TYPE_3]],LEN(Table1[[#This Row],[AUX_TYPE_3]])-FIND(",",Table1[[#This Row],[AUX_TYPE_3]]))),0)</f>
        <v>0</v>
      </c>
      <c r="I35" t="str">
        <f>IF(Table1[[#This Row],[BDR TABLE ]]="","",CONCATENATE("NULL|",Table1[[#This Row],[BDR TABLE ]],"|",A35,"|",Table1[[#This Row],[BDR FIELD ]],"|",Table1[[#This Row],[AUX_TYPE_1]],"|",Table1[[#This Row],[AUX_TYPE_2]],"|",Table1[[#This Row],[AUX_TYPE_4]],"|0"))</f>
        <v>NULL|JM_OUTCTND_CG|33||ERROR|ERROR|0|0</v>
      </c>
      <c r="J35" s="3"/>
    </row>
    <row r="36" spans="1:10" x14ac:dyDescent="0.25">
      <c r="A36">
        <v>34</v>
      </c>
      <c r="B36" t="s">
        <v>11</v>
      </c>
      <c r="D36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36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36" t="str">
        <f>IFERROR(TRUNC(IF(Table1[[#This Row],[FIELD FORMAT ]]="DATE",10,_xlfn.NUMBERVALUE(LEFT(RIGHT(D36,LEN(D36)-FIND("(",D36)),FIND(")",D36)-FIND("(",D36)-1)))),"ERROR")</f>
        <v>ERROR</v>
      </c>
      <c r="G36" t="str">
        <f>IFERROR(ROUND(ABS(IF(Table1[[#This Row],[FIELD FORMAT ]]="DATE",10,_xlfn.NUMBERVALUE(LEFT(RIGHT(D36,LEN(D36)-FIND("(",D36)),FIND(")",D36)-FIND("(",D36)-1)))-Table1[[#This Row],[AUX_TYPE_2]]),2),"ERROR")</f>
        <v>ERROR</v>
      </c>
      <c r="H36">
        <f>IF(IFERROR(FIND(",",Table1[[#This Row],[AUX_TYPE_3]]),0)&gt; 0,_xlfn.NUMBERVALUE(RIGHT(Table1[[#This Row],[AUX_TYPE_3]],LEN(Table1[[#This Row],[AUX_TYPE_3]])-FIND(",",Table1[[#This Row],[AUX_TYPE_3]]))),0)</f>
        <v>0</v>
      </c>
      <c r="I36" t="str">
        <f>IF(Table1[[#This Row],[BDR TABLE ]]="","",CONCATENATE("NULL|",Table1[[#This Row],[BDR TABLE ]],"|",A36,"|",Table1[[#This Row],[BDR FIELD ]],"|",Table1[[#This Row],[AUX_TYPE_1]],"|",Table1[[#This Row],[AUX_TYPE_2]],"|",Table1[[#This Row],[AUX_TYPE_4]],"|0"))</f>
        <v>NULL|BDR1_TOT|34||ERROR|ERROR|0|0</v>
      </c>
      <c r="J36" s="3"/>
    </row>
    <row r="37" spans="1:10" x14ac:dyDescent="0.25">
      <c r="A37">
        <v>35</v>
      </c>
      <c r="B37" t="s">
        <v>11</v>
      </c>
      <c r="D37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37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37" t="str">
        <f>IFERROR(TRUNC(IF(Table1[[#This Row],[FIELD FORMAT ]]="DATE",10,_xlfn.NUMBERVALUE(LEFT(RIGHT(D37,LEN(D37)-FIND("(",D37)),FIND(")",D37)-FIND("(",D37)-1)))),"ERROR")</f>
        <v>ERROR</v>
      </c>
      <c r="G37" t="str">
        <f>IFERROR(ROUND(ABS(IF(Table1[[#This Row],[FIELD FORMAT ]]="DATE",10,_xlfn.NUMBERVALUE(LEFT(RIGHT(D37,LEN(D37)-FIND("(",D37)),FIND(")",D37)-FIND("(",D37)-1)))-Table1[[#This Row],[AUX_TYPE_2]]),2),"ERROR")</f>
        <v>ERROR</v>
      </c>
      <c r="H37">
        <f>IF(IFERROR(FIND(",",Table1[[#This Row],[AUX_TYPE_3]]),0)&gt; 0,_xlfn.NUMBERVALUE(RIGHT(Table1[[#This Row],[AUX_TYPE_3]],LEN(Table1[[#This Row],[AUX_TYPE_3]])-FIND(",",Table1[[#This Row],[AUX_TYPE_3]]))),0)</f>
        <v>0</v>
      </c>
      <c r="I37" t="str">
        <f>IF(Table1[[#This Row],[BDR TABLE ]]="","",CONCATENATE("NULL|",Table1[[#This Row],[BDR TABLE ]],"|",A37,"|",Table1[[#This Row],[BDR FIELD ]],"|",Table1[[#This Row],[AUX_TYPE_1]],"|",Table1[[#This Row],[AUX_TYPE_2]],"|",Table1[[#This Row],[AUX_TYPE_4]],"|0"))</f>
        <v>NULL|BDR1_TOT|35||ERROR|ERROR|0|0</v>
      </c>
      <c r="J37" s="3"/>
    </row>
    <row r="38" spans="1:10" x14ac:dyDescent="0.25">
      <c r="A38">
        <v>36</v>
      </c>
      <c r="B38" t="s">
        <v>11</v>
      </c>
      <c r="D38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38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38" t="str">
        <f>IFERROR(TRUNC(IF(Table1[[#This Row],[FIELD FORMAT ]]="DATE",10,_xlfn.NUMBERVALUE(LEFT(RIGHT(D38,LEN(D38)-FIND("(",D38)),FIND(")",D38)-FIND("(",D38)-1)))),"ERROR")</f>
        <v>ERROR</v>
      </c>
      <c r="G38" t="str">
        <f>IFERROR(ROUND(ABS(IF(Table1[[#This Row],[FIELD FORMAT ]]="DATE",10,_xlfn.NUMBERVALUE(LEFT(RIGHT(D38,LEN(D38)-FIND("(",D38)),FIND(")",D38)-FIND("(",D38)-1)))-Table1[[#This Row],[AUX_TYPE_2]]),2),"ERROR")</f>
        <v>ERROR</v>
      </c>
      <c r="H38">
        <f>IF(IFERROR(FIND(",",Table1[[#This Row],[AUX_TYPE_3]]),0)&gt; 0,_xlfn.NUMBERVALUE(RIGHT(Table1[[#This Row],[AUX_TYPE_3]],LEN(Table1[[#This Row],[AUX_TYPE_3]])-FIND(",",Table1[[#This Row],[AUX_TYPE_3]]))),0)</f>
        <v>0</v>
      </c>
      <c r="I38" t="str">
        <f>IF(Table1[[#This Row],[BDR TABLE ]]="","",CONCATENATE("NULL|",Table1[[#This Row],[BDR TABLE ]],"|",A38,"|",Table1[[#This Row],[BDR FIELD ]],"|",Table1[[#This Row],[AUX_TYPE_1]],"|",Table1[[#This Row],[AUX_TYPE_2]],"|",Table1[[#This Row],[AUX_TYPE_4]],"|0"))</f>
        <v>NULL|BDR1_TOT|36||ERROR|ERROR|0|0</v>
      </c>
      <c r="J38" s="3"/>
    </row>
    <row r="39" spans="1:10" x14ac:dyDescent="0.25">
      <c r="A39">
        <v>37</v>
      </c>
      <c r="B39" t="s">
        <v>11</v>
      </c>
      <c r="D39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39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39" t="str">
        <f>IFERROR(TRUNC(IF(Table1[[#This Row],[FIELD FORMAT ]]="DATE",10,_xlfn.NUMBERVALUE(LEFT(RIGHT(D39,LEN(D39)-FIND("(",D39)),FIND(")",D39)-FIND("(",D39)-1)))),"ERROR")</f>
        <v>ERROR</v>
      </c>
      <c r="G39" t="str">
        <f>IFERROR(ROUND(ABS(IF(Table1[[#This Row],[FIELD FORMAT ]]="DATE",10,_xlfn.NUMBERVALUE(LEFT(RIGHT(D39,LEN(D39)-FIND("(",D39)),FIND(")",D39)-FIND("(",D39)-1)))-Table1[[#This Row],[AUX_TYPE_2]]),2),"ERROR")</f>
        <v>ERROR</v>
      </c>
      <c r="H39">
        <f>IF(IFERROR(FIND(",",Table1[[#This Row],[AUX_TYPE_3]]),0)&gt; 0,_xlfn.NUMBERVALUE(RIGHT(Table1[[#This Row],[AUX_TYPE_3]],LEN(Table1[[#This Row],[AUX_TYPE_3]])-FIND(",",Table1[[#This Row],[AUX_TYPE_3]]))),0)</f>
        <v>0</v>
      </c>
      <c r="I39" t="str">
        <f>IF(Table1[[#This Row],[BDR TABLE ]]="","",CONCATENATE("NULL|",Table1[[#This Row],[BDR TABLE ]],"|",A39,"|",Table1[[#This Row],[BDR FIELD ]],"|",Table1[[#This Row],[AUX_TYPE_1]],"|",Table1[[#This Row],[AUX_TYPE_2]],"|",Table1[[#This Row],[AUX_TYPE_4]],"|0"))</f>
        <v>NULL|BDR1_TOT|37||ERROR|ERROR|0|0</v>
      </c>
      <c r="J39" s="3"/>
    </row>
    <row r="40" spans="1:10" x14ac:dyDescent="0.25">
      <c r="A40">
        <v>38</v>
      </c>
      <c r="B40" t="s">
        <v>11</v>
      </c>
      <c r="D40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40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40" t="str">
        <f>IFERROR(TRUNC(IF(Table1[[#This Row],[FIELD FORMAT ]]="DATE",10,_xlfn.NUMBERVALUE(LEFT(RIGHT(D40,LEN(D40)-FIND("(",D40)),FIND(")",D40)-FIND("(",D40)-1)))),"ERROR")</f>
        <v>ERROR</v>
      </c>
      <c r="G40" t="str">
        <f>IFERROR(ROUND(ABS(IF(Table1[[#This Row],[FIELD FORMAT ]]="DATE",10,_xlfn.NUMBERVALUE(LEFT(RIGHT(D40,LEN(D40)-FIND("(",D40)),FIND(")",D40)-FIND("(",D40)-1)))-Table1[[#This Row],[AUX_TYPE_2]]),2),"ERROR")</f>
        <v>ERROR</v>
      </c>
      <c r="H40">
        <f>IF(IFERROR(FIND(",",Table1[[#This Row],[AUX_TYPE_3]]),0)&gt; 0,_xlfn.NUMBERVALUE(RIGHT(Table1[[#This Row],[AUX_TYPE_3]],LEN(Table1[[#This Row],[AUX_TYPE_3]])-FIND(",",Table1[[#This Row],[AUX_TYPE_3]]))),0)</f>
        <v>0</v>
      </c>
      <c r="I40" t="str">
        <f>IF(Table1[[#This Row],[BDR TABLE ]]="","",CONCATENATE("NULL|",Table1[[#This Row],[BDR TABLE ]],"|",A40,"|",Table1[[#This Row],[BDR FIELD ]],"|",Table1[[#This Row],[AUX_TYPE_1]],"|",Table1[[#This Row],[AUX_TYPE_2]],"|",Table1[[#This Row],[AUX_TYPE_4]],"|0"))</f>
        <v>NULL|BDR1_TOT|38||ERROR|ERROR|0|0</v>
      </c>
      <c r="J40" s="3"/>
    </row>
    <row r="41" spans="1:10" x14ac:dyDescent="0.25">
      <c r="A41">
        <v>39</v>
      </c>
      <c r="B41" t="s">
        <v>11</v>
      </c>
      <c r="D41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41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41" t="str">
        <f>IFERROR(TRUNC(IF(Table1[[#This Row],[FIELD FORMAT ]]="DATE",10,_xlfn.NUMBERVALUE(LEFT(RIGHT(D41,LEN(D41)-FIND("(",D41)),FIND(")",D41)-FIND("(",D41)-1)))),"ERROR")</f>
        <v>ERROR</v>
      </c>
      <c r="G41" t="str">
        <f>IFERROR(ROUND(ABS(IF(Table1[[#This Row],[FIELD FORMAT ]]="DATE",10,_xlfn.NUMBERVALUE(LEFT(RIGHT(D41,LEN(D41)-FIND("(",D41)),FIND(")",D41)-FIND("(",D41)-1)))-Table1[[#This Row],[AUX_TYPE_2]]),2),"ERROR")</f>
        <v>ERROR</v>
      </c>
      <c r="H41">
        <f>IF(IFERROR(FIND(",",Table1[[#This Row],[AUX_TYPE_3]]),0)&gt; 0,_xlfn.NUMBERVALUE(RIGHT(Table1[[#This Row],[AUX_TYPE_3]],LEN(Table1[[#This Row],[AUX_TYPE_3]])-FIND(",",Table1[[#This Row],[AUX_TYPE_3]]))),0)</f>
        <v>0</v>
      </c>
      <c r="I41" t="str">
        <f>IF(Table1[[#This Row],[BDR TABLE ]]="","",CONCATENATE("NULL|",Table1[[#This Row],[BDR TABLE ]],"|",A41,"|",Table1[[#This Row],[BDR FIELD ]],"|",Table1[[#This Row],[AUX_TYPE_1]],"|",Table1[[#This Row],[AUX_TYPE_2]],"|",Table1[[#This Row],[AUX_TYPE_4]],"|0"))</f>
        <v>NULL|BDR1_TOT|39||ERROR|ERROR|0|0</v>
      </c>
      <c r="J41" s="3"/>
    </row>
    <row r="42" spans="1:10" x14ac:dyDescent="0.25">
      <c r="A42">
        <v>40</v>
      </c>
      <c r="B42" t="s">
        <v>11</v>
      </c>
      <c r="D42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42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42" t="str">
        <f>IFERROR(TRUNC(IF(Table1[[#This Row],[FIELD FORMAT ]]="DATE",10,_xlfn.NUMBERVALUE(LEFT(RIGHT(D42,LEN(D42)-FIND("(",D42)),FIND(")",D42)-FIND("(",D42)-1)))),"ERROR")</f>
        <v>ERROR</v>
      </c>
      <c r="G42" t="str">
        <f>IFERROR(ROUND(ABS(IF(Table1[[#This Row],[FIELD FORMAT ]]="DATE",10,_xlfn.NUMBERVALUE(LEFT(RIGHT(D42,LEN(D42)-FIND("(",D42)),FIND(")",D42)-FIND("(",D42)-1)))-Table1[[#This Row],[AUX_TYPE_2]]),2),"ERROR")</f>
        <v>ERROR</v>
      </c>
      <c r="H42">
        <f>IF(IFERROR(FIND(",",Table1[[#This Row],[AUX_TYPE_3]]),0)&gt; 0,_xlfn.NUMBERVALUE(RIGHT(Table1[[#This Row],[AUX_TYPE_3]],LEN(Table1[[#This Row],[AUX_TYPE_3]])-FIND(",",Table1[[#This Row],[AUX_TYPE_3]]))),0)</f>
        <v>0</v>
      </c>
      <c r="I42" t="str">
        <f>IF(Table1[[#This Row],[BDR TABLE ]]="","",CONCATENATE("NULL|",Table1[[#This Row],[BDR TABLE ]],"|",A42,"|",Table1[[#This Row],[BDR FIELD ]],"|",Table1[[#This Row],[AUX_TYPE_1]],"|",Table1[[#This Row],[AUX_TYPE_2]],"|",Table1[[#This Row],[AUX_TYPE_4]],"|0"))</f>
        <v>NULL|BDR1_TOT|40||ERROR|ERROR|0|0</v>
      </c>
      <c r="J42" s="3"/>
    </row>
    <row r="43" spans="1:10" x14ac:dyDescent="0.25">
      <c r="A43">
        <v>41</v>
      </c>
      <c r="B43" t="s">
        <v>11</v>
      </c>
      <c r="D43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43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43" t="str">
        <f>IFERROR(TRUNC(IF(Table1[[#This Row],[FIELD FORMAT ]]="DATE",10,_xlfn.NUMBERVALUE(LEFT(RIGHT(D43,LEN(D43)-FIND("(",D43)),FIND(")",D43)-FIND("(",D43)-1)))),"ERROR")</f>
        <v>ERROR</v>
      </c>
      <c r="G43" t="str">
        <f>IFERROR(ROUND(ABS(IF(Table1[[#This Row],[FIELD FORMAT ]]="DATE",10,_xlfn.NUMBERVALUE(LEFT(RIGHT(D43,LEN(D43)-FIND("(",D43)),FIND(")",D43)-FIND("(",D43)-1)))-Table1[[#This Row],[AUX_TYPE_2]]),2),"ERROR")</f>
        <v>ERROR</v>
      </c>
      <c r="H43">
        <f>IF(IFERROR(FIND(",",Table1[[#This Row],[AUX_TYPE_3]]),0)&gt; 0,_xlfn.NUMBERVALUE(RIGHT(Table1[[#This Row],[AUX_TYPE_3]],LEN(Table1[[#This Row],[AUX_TYPE_3]])-FIND(",",Table1[[#This Row],[AUX_TYPE_3]]))),0)</f>
        <v>0</v>
      </c>
      <c r="I43" t="str">
        <f>IF(Table1[[#This Row],[BDR TABLE ]]="","",CONCATENATE("NULL|",Table1[[#This Row],[BDR TABLE ]],"|",A43,"|",Table1[[#This Row],[BDR FIELD ]],"|",Table1[[#This Row],[AUX_TYPE_1]],"|",Table1[[#This Row],[AUX_TYPE_2]],"|",Table1[[#This Row],[AUX_TYPE_4]],"|0"))</f>
        <v>NULL|BDR1_TOT|41||ERROR|ERROR|0|0</v>
      </c>
      <c r="J43" s="3"/>
    </row>
    <row r="44" spans="1:10" x14ac:dyDescent="0.25">
      <c r="A44">
        <v>42</v>
      </c>
      <c r="B44" t="s">
        <v>11</v>
      </c>
      <c r="D44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44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44" t="str">
        <f>IFERROR(TRUNC(IF(Table1[[#This Row],[FIELD FORMAT ]]="DATE",10,_xlfn.NUMBERVALUE(LEFT(RIGHT(D44,LEN(D44)-FIND("(",D44)),FIND(")",D44)-FIND("(",D44)-1)))),"ERROR")</f>
        <v>ERROR</v>
      </c>
      <c r="G44" t="str">
        <f>IFERROR(ROUND(ABS(IF(Table1[[#This Row],[FIELD FORMAT ]]="DATE",10,_xlfn.NUMBERVALUE(LEFT(RIGHT(D44,LEN(D44)-FIND("(",D44)),FIND(")",D44)-FIND("(",D44)-1)))-Table1[[#This Row],[AUX_TYPE_2]]),2),"ERROR")</f>
        <v>ERROR</v>
      </c>
      <c r="H44">
        <f>IF(IFERROR(FIND(",",Table1[[#This Row],[AUX_TYPE_3]]),0)&gt; 0,_xlfn.NUMBERVALUE(RIGHT(Table1[[#This Row],[AUX_TYPE_3]],LEN(Table1[[#This Row],[AUX_TYPE_3]])-FIND(",",Table1[[#This Row],[AUX_TYPE_3]]))),0)</f>
        <v>0</v>
      </c>
      <c r="I44" t="str">
        <f>IF(Table1[[#This Row],[BDR TABLE ]]="","",CONCATENATE("NULL|",Table1[[#This Row],[BDR TABLE ]],"|",A44,"|",Table1[[#This Row],[BDR FIELD ]],"|",Table1[[#This Row],[AUX_TYPE_1]],"|",Table1[[#This Row],[AUX_TYPE_2]],"|",Table1[[#This Row],[AUX_TYPE_4]],"|0"))</f>
        <v>NULL|BDR1_TOT|42||ERROR|ERROR|0|0</v>
      </c>
      <c r="J44" s="3"/>
    </row>
    <row r="45" spans="1:10" x14ac:dyDescent="0.25">
      <c r="A45">
        <v>43</v>
      </c>
      <c r="B45" t="s">
        <v>11</v>
      </c>
      <c r="D45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45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45" t="str">
        <f>IFERROR(TRUNC(IF(Table1[[#This Row],[FIELD FORMAT ]]="DATE",10,_xlfn.NUMBERVALUE(LEFT(RIGHT(D45,LEN(D45)-FIND("(",D45)),FIND(")",D45)-FIND("(",D45)-1)))),"ERROR")</f>
        <v>ERROR</v>
      </c>
      <c r="G45" t="str">
        <f>IFERROR(ROUND(ABS(IF(Table1[[#This Row],[FIELD FORMAT ]]="DATE",10,_xlfn.NUMBERVALUE(LEFT(RIGHT(D45,LEN(D45)-FIND("(",D45)),FIND(")",D45)-FIND("(",D45)-1)))-Table1[[#This Row],[AUX_TYPE_2]]),2),"ERROR")</f>
        <v>ERROR</v>
      </c>
      <c r="H45">
        <f>IF(IFERROR(FIND(",",Table1[[#This Row],[AUX_TYPE_3]]),0)&gt; 0,_xlfn.NUMBERVALUE(RIGHT(Table1[[#This Row],[AUX_TYPE_3]],LEN(Table1[[#This Row],[AUX_TYPE_3]])-FIND(",",Table1[[#This Row],[AUX_TYPE_3]]))),0)</f>
        <v>0</v>
      </c>
      <c r="I45" t="str">
        <f>IF(Table1[[#This Row],[BDR TABLE ]]="","",CONCATENATE("NULL|",Table1[[#This Row],[BDR TABLE ]],"|",A45,"|",Table1[[#This Row],[BDR FIELD ]],"|",Table1[[#This Row],[AUX_TYPE_1]],"|",Table1[[#This Row],[AUX_TYPE_2]],"|",Table1[[#This Row],[AUX_TYPE_4]],"|0"))</f>
        <v>NULL|BDR1_TOT|43||ERROR|ERROR|0|0</v>
      </c>
      <c r="J45" s="3"/>
    </row>
    <row r="46" spans="1:10" x14ac:dyDescent="0.25">
      <c r="A46">
        <v>44</v>
      </c>
      <c r="B46" t="s">
        <v>11</v>
      </c>
      <c r="D46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46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46" t="str">
        <f>IFERROR(TRUNC(IF(Table1[[#This Row],[FIELD FORMAT ]]="DATE",10,_xlfn.NUMBERVALUE(LEFT(RIGHT(D46,LEN(D46)-FIND("(",D46)),FIND(")",D46)-FIND("(",D46)-1)))),"ERROR")</f>
        <v>ERROR</v>
      </c>
      <c r="G46" t="str">
        <f>IFERROR(ROUND(ABS(IF(Table1[[#This Row],[FIELD FORMAT ]]="DATE",10,_xlfn.NUMBERVALUE(LEFT(RIGHT(D46,LEN(D46)-FIND("(",D46)),FIND(")",D46)-FIND("(",D46)-1)))-Table1[[#This Row],[AUX_TYPE_2]]),2),"ERROR")</f>
        <v>ERROR</v>
      </c>
      <c r="H46">
        <f>IF(IFERROR(FIND(",",Table1[[#This Row],[AUX_TYPE_3]]),0)&gt; 0,_xlfn.NUMBERVALUE(RIGHT(Table1[[#This Row],[AUX_TYPE_3]],LEN(Table1[[#This Row],[AUX_TYPE_3]])-FIND(",",Table1[[#This Row],[AUX_TYPE_3]]))),0)</f>
        <v>0</v>
      </c>
      <c r="I46" t="str">
        <f>IF(Table1[[#This Row],[BDR TABLE ]]="","",CONCATENATE("NULL|",Table1[[#This Row],[BDR TABLE ]],"|",A46,"|",Table1[[#This Row],[BDR FIELD ]],"|",Table1[[#This Row],[AUX_TYPE_1]],"|",Table1[[#This Row],[AUX_TYPE_2]],"|",Table1[[#This Row],[AUX_TYPE_4]],"|0"))</f>
        <v>NULL|BDR1_TOT|44||ERROR|ERROR|0|0</v>
      </c>
      <c r="J46" s="3"/>
    </row>
    <row r="47" spans="1:10" x14ac:dyDescent="0.25">
      <c r="A47">
        <v>45</v>
      </c>
      <c r="B47" t="s">
        <v>11</v>
      </c>
      <c r="D47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47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47" t="str">
        <f>IFERROR(TRUNC(IF(Table1[[#This Row],[FIELD FORMAT ]]="DATE",10,_xlfn.NUMBERVALUE(LEFT(RIGHT(D47,LEN(D47)-FIND("(",D47)),FIND(")",D47)-FIND("(",D47)-1)))),"ERROR")</f>
        <v>ERROR</v>
      </c>
      <c r="G47" t="str">
        <f>IFERROR(ROUND(ABS(IF(Table1[[#This Row],[FIELD FORMAT ]]="DATE",10,_xlfn.NUMBERVALUE(LEFT(RIGHT(D47,LEN(D47)-FIND("(",D47)),FIND(")",D47)-FIND("(",D47)-1)))-Table1[[#This Row],[AUX_TYPE_2]]),2),"ERROR")</f>
        <v>ERROR</v>
      </c>
      <c r="H47">
        <f>IF(IFERROR(FIND(",",Table1[[#This Row],[AUX_TYPE_3]]),0)&gt; 0,_xlfn.NUMBERVALUE(RIGHT(Table1[[#This Row],[AUX_TYPE_3]],LEN(Table1[[#This Row],[AUX_TYPE_3]])-FIND(",",Table1[[#This Row],[AUX_TYPE_3]]))),0)</f>
        <v>0</v>
      </c>
      <c r="I47" t="str">
        <f>IF(Table1[[#This Row],[BDR TABLE ]]="","",CONCATENATE("NULL|",Table1[[#This Row],[BDR TABLE ]],"|",A47,"|",Table1[[#This Row],[BDR FIELD ]],"|",Table1[[#This Row],[AUX_TYPE_1]],"|",Table1[[#This Row],[AUX_TYPE_2]],"|",Table1[[#This Row],[AUX_TYPE_4]],"|0"))</f>
        <v>NULL|BDR1_TOT|45||ERROR|ERROR|0|0</v>
      </c>
      <c r="J47" s="3"/>
    </row>
    <row r="48" spans="1:10" x14ac:dyDescent="0.25">
      <c r="A48">
        <v>46</v>
      </c>
      <c r="B48" t="s">
        <v>11</v>
      </c>
      <c r="D48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48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48" t="str">
        <f>IFERROR(TRUNC(IF(Table1[[#This Row],[FIELD FORMAT ]]="DATE",10,_xlfn.NUMBERVALUE(LEFT(RIGHT(D48,LEN(D48)-FIND("(",D48)),FIND(")",D48)-FIND("(",D48)-1)))),"ERROR")</f>
        <v>ERROR</v>
      </c>
      <c r="G48" t="str">
        <f>IFERROR(ROUND(ABS(IF(Table1[[#This Row],[FIELD FORMAT ]]="DATE",10,_xlfn.NUMBERVALUE(LEFT(RIGHT(D48,LEN(D48)-FIND("(",D48)),FIND(")",D48)-FIND("(",D48)-1)))-Table1[[#This Row],[AUX_TYPE_2]]),2),"ERROR")</f>
        <v>ERROR</v>
      </c>
      <c r="H48">
        <f>IF(IFERROR(FIND(",",Table1[[#This Row],[AUX_TYPE_3]]),0)&gt; 0,_xlfn.NUMBERVALUE(RIGHT(Table1[[#This Row],[AUX_TYPE_3]],LEN(Table1[[#This Row],[AUX_TYPE_3]])-FIND(",",Table1[[#This Row],[AUX_TYPE_3]]))),0)</f>
        <v>0</v>
      </c>
      <c r="I48" t="str">
        <f>IF(Table1[[#This Row],[BDR TABLE ]]="","",CONCATENATE("NULL|",Table1[[#This Row],[BDR TABLE ]],"|",A48,"|",Table1[[#This Row],[BDR FIELD ]],"|",Table1[[#This Row],[AUX_TYPE_1]],"|",Table1[[#This Row],[AUX_TYPE_2]],"|",Table1[[#This Row],[AUX_TYPE_4]],"|0"))</f>
        <v>NULL|BDR1_TOT|46||ERROR|ERROR|0|0</v>
      </c>
      <c r="J48" s="3"/>
    </row>
    <row r="49" spans="1:10" x14ac:dyDescent="0.25">
      <c r="A49">
        <v>47</v>
      </c>
      <c r="B49" t="s">
        <v>11</v>
      </c>
      <c r="D49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49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49" t="str">
        <f>IFERROR(TRUNC(IF(Table1[[#This Row],[FIELD FORMAT ]]="DATE",10,_xlfn.NUMBERVALUE(LEFT(RIGHT(D49,LEN(D49)-FIND("(",D49)),FIND(")",D49)-FIND("(",D49)-1)))),"ERROR")</f>
        <v>ERROR</v>
      </c>
      <c r="G49" t="str">
        <f>IFERROR(ROUND(ABS(IF(Table1[[#This Row],[FIELD FORMAT ]]="DATE",10,_xlfn.NUMBERVALUE(LEFT(RIGHT(D49,LEN(D49)-FIND("(",D49)),FIND(")",D49)-FIND("(",D49)-1)))-Table1[[#This Row],[AUX_TYPE_2]]),2),"ERROR")</f>
        <v>ERROR</v>
      </c>
      <c r="H49">
        <f>IF(IFERROR(FIND(",",Table1[[#This Row],[AUX_TYPE_3]]),0)&gt; 0,_xlfn.NUMBERVALUE(RIGHT(Table1[[#This Row],[AUX_TYPE_3]],LEN(Table1[[#This Row],[AUX_TYPE_3]])-FIND(",",Table1[[#This Row],[AUX_TYPE_3]]))),0)</f>
        <v>0</v>
      </c>
      <c r="I49" t="str">
        <f>IF(Table1[[#This Row],[BDR TABLE ]]="","",CONCATENATE("NULL|",Table1[[#This Row],[BDR TABLE ]],"|",A49,"|",Table1[[#This Row],[BDR FIELD ]],"|",Table1[[#This Row],[AUX_TYPE_1]],"|",Table1[[#This Row],[AUX_TYPE_2]],"|",Table1[[#This Row],[AUX_TYPE_4]],"|0"))</f>
        <v>NULL|BDR1_TOT|47||ERROR|ERROR|0|0</v>
      </c>
      <c r="J49" s="3"/>
    </row>
    <row r="50" spans="1:10" x14ac:dyDescent="0.25">
      <c r="A50">
        <v>48</v>
      </c>
      <c r="B50" t="s">
        <v>11</v>
      </c>
      <c r="D50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50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50" t="str">
        <f>IFERROR(TRUNC(IF(Table1[[#This Row],[FIELD FORMAT ]]="DATE",10,_xlfn.NUMBERVALUE(LEFT(RIGHT(D50,LEN(D50)-FIND("(",D50)),FIND(")",D50)-FIND("(",D50)-1)))),"ERROR")</f>
        <v>ERROR</v>
      </c>
      <c r="G50" t="str">
        <f>IFERROR(ROUND(ABS(IF(Table1[[#This Row],[FIELD FORMAT ]]="DATE",10,_xlfn.NUMBERVALUE(LEFT(RIGHT(D50,LEN(D50)-FIND("(",D50)),FIND(")",D50)-FIND("(",D50)-1)))-Table1[[#This Row],[AUX_TYPE_2]]),2),"ERROR")</f>
        <v>ERROR</v>
      </c>
      <c r="H50">
        <f>IF(IFERROR(FIND(",",Table1[[#This Row],[AUX_TYPE_3]]),0)&gt; 0,_xlfn.NUMBERVALUE(RIGHT(Table1[[#This Row],[AUX_TYPE_3]],LEN(Table1[[#This Row],[AUX_TYPE_3]])-FIND(",",Table1[[#This Row],[AUX_TYPE_3]]))),0)</f>
        <v>0</v>
      </c>
      <c r="I50" t="str">
        <f>IF(Table1[[#This Row],[BDR TABLE ]]="","",CONCATENATE("NULL|",Table1[[#This Row],[BDR TABLE ]],"|",A50,"|",Table1[[#This Row],[BDR FIELD ]],"|",Table1[[#This Row],[AUX_TYPE_1]],"|",Table1[[#This Row],[AUX_TYPE_2]],"|",Table1[[#This Row],[AUX_TYPE_4]],"|0"))</f>
        <v>NULL|BDR1_TOT|48||ERROR|ERROR|0|0</v>
      </c>
      <c r="J50" s="3"/>
    </row>
    <row r="51" spans="1:10" x14ac:dyDescent="0.25">
      <c r="A51">
        <v>49</v>
      </c>
      <c r="B51" t="s">
        <v>11</v>
      </c>
      <c r="D51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51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51" t="str">
        <f>IFERROR(TRUNC(IF(Table1[[#This Row],[FIELD FORMAT ]]="DATE",10,_xlfn.NUMBERVALUE(LEFT(RIGHT(D51,LEN(D51)-FIND("(",D51)),FIND(")",D51)-FIND("(",D51)-1)))),"ERROR")</f>
        <v>ERROR</v>
      </c>
      <c r="G51" t="str">
        <f>IFERROR(ROUND(ABS(IF(Table1[[#This Row],[FIELD FORMAT ]]="DATE",10,_xlfn.NUMBERVALUE(LEFT(RIGHT(D51,LEN(D51)-FIND("(",D51)),FIND(")",D51)-FIND("(",D51)-1)))-Table1[[#This Row],[AUX_TYPE_2]]),2),"ERROR")</f>
        <v>ERROR</v>
      </c>
      <c r="H51">
        <f>IF(IFERROR(FIND(",",Table1[[#This Row],[AUX_TYPE_3]]),0)&gt; 0,_xlfn.NUMBERVALUE(RIGHT(Table1[[#This Row],[AUX_TYPE_3]],LEN(Table1[[#This Row],[AUX_TYPE_3]])-FIND(",",Table1[[#This Row],[AUX_TYPE_3]]))),0)</f>
        <v>0</v>
      </c>
      <c r="I51" t="str">
        <f>IF(Table1[[#This Row],[BDR TABLE ]]="","",CONCATENATE("NULL|",Table1[[#This Row],[BDR TABLE ]],"|",A51,"|",Table1[[#This Row],[BDR FIELD ]],"|",Table1[[#This Row],[AUX_TYPE_1]],"|",Table1[[#This Row],[AUX_TYPE_2]],"|",Table1[[#This Row],[AUX_TYPE_4]],"|0"))</f>
        <v>NULL|BDR1_TOT|49||ERROR|ERROR|0|0</v>
      </c>
      <c r="J51" s="3"/>
    </row>
    <row r="52" spans="1:10" x14ac:dyDescent="0.25">
      <c r="A52">
        <v>50</v>
      </c>
      <c r="B52" t="s">
        <v>11</v>
      </c>
      <c r="D52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52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52" t="str">
        <f>IFERROR(TRUNC(IF(Table1[[#This Row],[FIELD FORMAT ]]="DATE",10,_xlfn.NUMBERVALUE(LEFT(RIGHT(D52,LEN(D52)-FIND("(",D52)),FIND(")",D52)-FIND("(",D52)-1)))),"ERROR")</f>
        <v>ERROR</v>
      </c>
      <c r="G52" t="str">
        <f>IFERROR(ROUND(ABS(IF(Table1[[#This Row],[FIELD FORMAT ]]="DATE",10,_xlfn.NUMBERVALUE(LEFT(RIGHT(D52,LEN(D52)-FIND("(",D52)),FIND(")",D52)-FIND("(",D52)-1)))-Table1[[#This Row],[AUX_TYPE_2]]),2),"ERROR")</f>
        <v>ERROR</v>
      </c>
      <c r="H52">
        <f>IF(IFERROR(FIND(",",Table1[[#This Row],[AUX_TYPE_3]]),0)&gt; 0,_xlfn.NUMBERVALUE(RIGHT(Table1[[#This Row],[AUX_TYPE_3]],LEN(Table1[[#This Row],[AUX_TYPE_3]])-FIND(",",Table1[[#This Row],[AUX_TYPE_3]]))),0)</f>
        <v>0</v>
      </c>
      <c r="I52" t="str">
        <f>IF(Table1[[#This Row],[BDR TABLE ]]="","",CONCATENATE("NULL|",Table1[[#This Row],[BDR TABLE ]],"|",A52,"|",Table1[[#This Row],[BDR FIELD ]],"|",Table1[[#This Row],[AUX_TYPE_1]],"|",Table1[[#This Row],[AUX_TYPE_2]],"|",Table1[[#This Row],[AUX_TYPE_4]],"|0"))</f>
        <v>NULL|BDR1_TOT|50||ERROR|ERROR|0|0</v>
      </c>
      <c r="J52" s="3"/>
    </row>
    <row r="53" spans="1:10" x14ac:dyDescent="0.25">
      <c r="A53">
        <v>51</v>
      </c>
      <c r="B53" t="s">
        <v>11</v>
      </c>
      <c r="D53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53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53" t="str">
        <f>IFERROR(TRUNC(IF(Table1[[#This Row],[FIELD FORMAT ]]="DATE",10,_xlfn.NUMBERVALUE(LEFT(RIGHT(D53,LEN(D53)-FIND("(",D53)),FIND(")",D53)-FIND("(",D53)-1)))),"ERROR")</f>
        <v>ERROR</v>
      </c>
      <c r="G53" t="str">
        <f>IFERROR(ROUND(ABS(IF(Table1[[#This Row],[FIELD FORMAT ]]="DATE",10,_xlfn.NUMBERVALUE(LEFT(RIGHT(D53,LEN(D53)-FIND("(",D53)),FIND(")",D53)-FIND("(",D53)-1)))-Table1[[#This Row],[AUX_TYPE_2]]),2),"ERROR")</f>
        <v>ERROR</v>
      </c>
      <c r="H53">
        <f>IF(IFERROR(FIND(",",Table1[[#This Row],[AUX_TYPE_3]]),0)&gt; 0,_xlfn.NUMBERVALUE(RIGHT(Table1[[#This Row],[AUX_TYPE_3]],LEN(Table1[[#This Row],[AUX_TYPE_3]])-FIND(",",Table1[[#This Row],[AUX_TYPE_3]]))),0)</f>
        <v>0</v>
      </c>
      <c r="I53" t="str">
        <f>IF(Table1[[#This Row],[BDR TABLE ]]="","",CONCATENATE("NULL|",Table1[[#This Row],[BDR TABLE ]],"|",A53,"|",Table1[[#This Row],[BDR FIELD ]],"|",Table1[[#This Row],[AUX_TYPE_1]],"|",Table1[[#This Row],[AUX_TYPE_2]],"|",Table1[[#This Row],[AUX_TYPE_4]],"|0"))</f>
        <v>NULL|BDR1_TOT|51||ERROR|ERROR|0|0</v>
      </c>
      <c r="J53" s="3"/>
    </row>
    <row r="54" spans="1:10" x14ac:dyDescent="0.25">
      <c r="A54">
        <v>52</v>
      </c>
      <c r="B54" t="s">
        <v>11</v>
      </c>
      <c r="D54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54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54" t="str">
        <f>IFERROR(TRUNC(IF(Table1[[#This Row],[FIELD FORMAT ]]="DATE",10,_xlfn.NUMBERVALUE(LEFT(RIGHT(D54,LEN(D54)-FIND("(",D54)),FIND(")",D54)-FIND("(",D54)-1)))),"ERROR")</f>
        <v>ERROR</v>
      </c>
      <c r="G54" t="str">
        <f>IFERROR(ROUND(ABS(IF(Table1[[#This Row],[FIELD FORMAT ]]="DATE",10,_xlfn.NUMBERVALUE(LEFT(RIGHT(D54,LEN(D54)-FIND("(",D54)),FIND(")",D54)-FIND("(",D54)-1)))-Table1[[#This Row],[AUX_TYPE_2]]),2),"ERROR")</f>
        <v>ERROR</v>
      </c>
      <c r="H54">
        <f>IF(IFERROR(FIND(",",Table1[[#This Row],[AUX_TYPE_3]]),0)&gt; 0,_xlfn.NUMBERVALUE(RIGHT(Table1[[#This Row],[AUX_TYPE_3]],LEN(Table1[[#This Row],[AUX_TYPE_3]])-FIND(",",Table1[[#This Row],[AUX_TYPE_3]]))),0)</f>
        <v>0</v>
      </c>
      <c r="I54" t="str">
        <f>IF(Table1[[#This Row],[BDR TABLE ]]="","",CONCATENATE("NULL|",Table1[[#This Row],[BDR TABLE ]],"|",A54,"|",Table1[[#This Row],[BDR FIELD ]],"|",Table1[[#This Row],[AUX_TYPE_1]],"|",Table1[[#This Row],[AUX_TYPE_2]],"|",Table1[[#This Row],[AUX_TYPE_4]],"|0"))</f>
        <v>NULL|BDR1_TOT|52||ERROR|ERROR|0|0</v>
      </c>
      <c r="J54" s="3"/>
    </row>
    <row r="55" spans="1:10" x14ac:dyDescent="0.25">
      <c r="A55">
        <v>53</v>
      </c>
      <c r="B55" t="s">
        <v>11</v>
      </c>
      <c r="D55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55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55" t="str">
        <f>IFERROR(TRUNC(IF(Table1[[#This Row],[FIELD FORMAT ]]="DATE",10,_xlfn.NUMBERVALUE(LEFT(RIGHT(D55,LEN(D55)-FIND("(",D55)),FIND(")",D55)-FIND("(",D55)-1)))),"ERROR")</f>
        <v>ERROR</v>
      </c>
      <c r="G55" t="str">
        <f>IFERROR(ROUND(ABS(IF(Table1[[#This Row],[FIELD FORMAT ]]="DATE",10,_xlfn.NUMBERVALUE(LEFT(RIGHT(D55,LEN(D55)-FIND("(",D55)),FIND(")",D55)-FIND("(",D55)-1)))-Table1[[#This Row],[AUX_TYPE_2]]),2),"ERROR")</f>
        <v>ERROR</v>
      </c>
      <c r="H55">
        <f>IF(IFERROR(FIND(",",Table1[[#This Row],[AUX_TYPE_3]]),0)&gt; 0,_xlfn.NUMBERVALUE(RIGHT(Table1[[#This Row],[AUX_TYPE_3]],LEN(Table1[[#This Row],[AUX_TYPE_3]])-FIND(",",Table1[[#This Row],[AUX_TYPE_3]]))),0)</f>
        <v>0</v>
      </c>
      <c r="I55" t="str">
        <f>IF(Table1[[#This Row],[BDR TABLE ]]="","",CONCATENATE("NULL|",Table1[[#This Row],[BDR TABLE ]],"|",A55,"|",Table1[[#This Row],[BDR FIELD ]],"|",Table1[[#This Row],[AUX_TYPE_1]],"|",Table1[[#This Row],[AUX_TYPE_2]],"|",Table1[[#This Row],[AUX_TYPE_4]],"|0"))</f>
        <v>NULL|BDR1_TOT|53||ERROR|ERROR|0|0</v>
      </c>
      <c r="J55" s="3"/>
    </row>
    <row r="56" spans="1:10" x14ac:dyDescent="0.25">
      <c r="A56">
        <v>54</v>
      </c>
      <c r="B56" t="s">
        <v>11</v>
      </c>
      <c r="D56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56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56" t="str">
        <f>IFERROR(TRUNC(IF(Table1[[#This Row],[FIELD FORMAT ]]="DATE",10,_xlfn.NUMBERVALUE(LEFT(RIGHT(D56,LEN(D56)-FIND("(",D56)),FIND(")",D56)-FIND("(",D56)-1)))),"ERROR")</f>
        <v>ERROR</v>
      </c>
      <c r="G56" t="str">
        <f>IFERROR(ROUND(ABS(IF(Table1[[#This Row],[FIELD FORMAT ]]="DATE",10,_xlfn.NUMBERVALUE(LEFT(RIGHT(D56,LEN(D56)-FIND("(",D56)),FIND(")",D56)-FIND("(",D56)-1)))-Table1[[#This Row],[AUX_TYPE_2]]),2),"ERROR")</f>
        <v>ERROR</v>
      </c>
      <c r="H56">
        <f>IF(IFERROR(FIND(",",Table1[[#This Row],[AUX_TYPE_3]]),0)&gt; 0,_xlfn.NUMBERVALUE(RIGHT(Table1[[#This Row],[AUX_TYPE_3]],LEN(Table1[[#This Row],[AUX_TYPE_3]])-FIND(",",Table1[[#This Row],[AUX_TYPE_3]]))),0)</f>
        <v>0</v>
      </c>
      <c r="I56" t="str">
        <f>IF(Table1[[#This Row],[BDR TABLE ]]="","",CONCATENATE("NULL|",Table1[[#This Row],[BDR TABLE ]],"|",A56,"|",Table1[[#This Row],[BDR FIELD ]],"|",Table1[[#This Row],[AUX_TYPE_1]],"|",Table1[[#This Row],[AUX_TYPE_2]],"|",Table1[[#This Row],[AUX_TYPE_4]],"|0"))</f>
        <v>NULL|BDR1_TOT|54||ERROR|ERROR|0|0</v>
      </c>
      <c r="J56" s="3"/>
    </row>
    <row r="57" spans="1:10" x14ac:dyDescent="0.25">
      <c r="A57">
        <v>55</v>
      </c>
      <c r="B57" t="s">
        <v>11</v>
      </c>
      <c r="D57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57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57" t="str">
        <f>IFERROR(TRUNC(IF(Table1[[#This Row],[FIELD FORMAT ]]="DATE",10,_xlfn.NUMBERVALUE(LEFT(RIGHT(D57,LEN(D57)-FIND("(",D57)),FIND(")",D57)-FIND("(",D57)-1)))),"ERROR")</f>
        <v>ERROR</v>
      </c>
      <c r="G57" t="str">
        <f>IFERROR(ROUND(ABS(IF(Table1[[#This Row],[FIELD FORMAT ]]="DATE",10,_xlfn.NUMBERVALUE(LEFT(RIGHT(D57,LEN(D57)-FIND("(",D57)),FIND(")",D57)-FIND("(",D57)-1)))-Table1[[#This Row],[AUX_TYPE_2]]),2),"ERROR")</f>
        <v>ERROR</v>
      </c>
      <c r="H57">
        <f>IF(IFERROR(FIND(",",Table1[[#This Row],[AUX_TYPE_3]]),0)&gt; 0,_xlfn.NUMBERVALUE(RIGHT(Table1[[#This Row],[AUX_TYPE_3]],LEN(Table1[[#This Row],[AUX_TYPE_3]])-FIND(",",Table1[[#This Row],[AUX_TYPE_3]]))),0)</f>
        <v>0</v>
      </c>
      <c r="I57" t="str">
        <f>IF(Table1[[#This Row],[BDR TABLE ]]="","",CONCATENATE("NULL|",Table1[[#This Row],[BDR TABLE ]],"|",A57,"|",Table1[[#This Row],[BDR FIELD ]],"|",Table1[[#This Row],[AUX_TYPE_1]],"|",Table1[[#This Row],[AUX_TYPE_2]],"|",Table1[[#This Row],[AUX_TYPE_4]],"|0"))</f>
        <v>NULL|BDR1_TOT|55||ERROR|ERROR|0|0</v>
      </c>
      <c r="J57" s="3"/>
    </row>
    <row r="58" spans="1:10" x14ac:dyDescent="0.25">
      <c r="A58">
        <v>56</v>
      </c>
      <c r="B58" t="s">
        <v>11</v>
      </c>
      <c r="D58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58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58" t="str">
        <f>IFERROR(TRUNC(IF(Table1[[#This Row],[FIELD FORMAT ]]="DATE",10,_xlfn.NUMBERVALUE(LEFT(RIGHT(D58,LEN(D58)-FIND("(",D58)),FIND(")",D58)-FIND("(",D58)-1)))),"ERROR")</f>
        <v>ERROR</v>
      </c>
      <c r="G58" t="str">
        <f>IFERROR(ROUND(ABS(IF(Table1[[#This Row],[FIELD FORMAT ]]="DATE",10,_xlfn.NUMBERVALUE(LEFT(RIGHT(D58,LEN(D58)-FIND("(",D58)),FIND(")",D58)-FIND("(",D58)-1)))-Table1[[#This Row],[AUX_TYPE_2]]),2),"ERROR")</f>
        <v>ERROR</v>
      </c>
      <c r="H58">
        <f>IF(IFERROR(FIND(",",Table1[[#This Row],[AUX_TYPE_3]]),0)&gt; 0,_xlfn.NUMBERVALUE(RIGHT(Table1[[#This Row],[AUX_TYPE_3]],LEN(Table1[[#This Row],[AUX_TYPE_3]])-FIND(",",Table1[[#This Row],[AUX_TYPE_3]]))),0)</f>
        <v>0</v>
      </c>
      <c r="I58" t="str">
        <f>IF(Table1[[#This Row],[BDR TABLE ]]="","",CONCATENATE("NULL|",Table1[[#This Row],[BDR TABLE ]],"|",A58,"|",Table1[[#This Row],[BDR FIELD ]],"|",Table1[[#This Row],[AUX_TYPE_1]],"|",Table1[[#This Row],[AUX_TYPE_2]],"|",Table1[[#This Row],[AUX_TYPE_4]],"|0"))</f>
        <v>NULL|BDR1_TOT|56||ERROR|ERROR|0|0</v>
      </c>
      <c r="J58" s="3"/>
    </row>
    <row r="59" spans="1:10" x14ac:dyDescent="0.25">
      <c r="A59">
        <v>57</v>
      </c>
      <c r="B59" t="s">
        <v>11</v>
      </c>
      <c r="D59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59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59" t="str">
        <f>IFERROR(TRUNC(IF(Table1[[#This Row],[FIELD FORMAT ]]="DATE",10,_xlfn.NUMBERVALUE(LEFT(RIGHT(D59,LEN(D59)-FIND("(",D59)),FIND(")",D59)-FIND("(",D59)-1)))),"ERROR")</f>
        <v>ERROR</v>
      </c>
      <c r="G59" t="str">
        <f>IFERROR(ROUND(ABS(IF(Table1[[#This Row],[FIELD FORMAT ]]="DATE",10,_xlfn.NUMBERVALUE(LEFT(RIGHT(D59,LEN(D59)-FIND("(",D59)),FIND(")",D59)-FIND("(",D59)-1)))-Table1[[#This Row],[AUX_TYPE_2]]),2),"ERROR")</f>
        <v>ERROR</v>
      </c>
      <c r="H59">
        <f>IF(IFERROR(FIND(",",Table1[[#This Row],[AUX_TYPE_3]]),0)&gt; 0,_xlfn.NUMBERVALUE(RIGHT(Table1[[#This Row],[AUX_TYPE_3]],LEN(Table1[[#This Row],[AUX_TYPE_3]])-FIND(",",Table1[[#This Row],[AUX_TYPE_3]]))),0)</f>
        <v>0</v>
      </c>
      <c r="I59" t="str">
        <f>IF(Table1[[#This Row],[BDR TABLE ]]="","",CONCATENATE("NULL|",Table1[[#This Row],[BDR TABLE ]],"|",A59,"|",Table1[[#This Row],[BDR FIELD ]],"|",Table1[[#This Row],[AUX_TYPE_1]],"|",Table1[[#This Row],[AUX_TYPE_2]],"|",Table1[[#This Row],[AUX_TYPE_4]],"|0"))</f>
        <v>NULL|BDR1_TOT|57||ERROR|ERROR|0|0</v>
      </c>
      <c r="J59" s="3"/>
    </row>
    <row r="60" spans="1:10" x14ac:dyDescent="0.25">
      <c r="A60">
        <v>58</v>
      </c>
      <c r="B60" t="s">
        <v>11</v>
      </c>
      <c r="D60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60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60" t="str">
        <f>IFERROR(TRUNC(IF(Table1[[#This Row],[FIELD FORMAT ]]="DATE",10,_xlfn.NUMBERVALUE(LEFT(RIGHT(D60,LEN(D60)-FIND("(",D60)),FIND(")",D60)-FIND("(",D60)-1)))),"ERROR")</f>
        <v>ERROR</v>
      </c>
      <c r="G60" t="str">
        <f>IFERROR(ROUND(ABS(IF(Table1[[#This Row],[FIELD FORMAT ]]="DATE",10,_xlfn.NUMBERVALUE(LEFT(RIGHT(D60,LEN(D60)-FIND("(",D60)),FIND(")",D60)-FIND("(",D60)-1)))-Table1[[#This Row],[AUX_TYPE_2]]),2),"ERROR")</f>
        <v>ERROR</v>
      </c>
      <c r="H60">
        <f>IF(IFERROR(FIND(",",Table1[[#This Row],[AUX_TYPE_3]]),0)&gt; 0,_xlfn.NUMBERVALUE(RIGHT(Table1[[#This Row],[AUX_TYPE_3]],LEN(Table1[[#This Row],[AUX_TYPE_3]])-FIND(",",Table1[[#This Row],[AUX_TYPE_3]]))),0)</f>
        <v>0</v>
      </c>
      <c r="I60" t="str">
        <f>IF(Table1[[#This Row],[BDR TABLE ]]="","",CONCATENATE("NULL|",Table1[[#This Row],[BDR TABLE ]],"|",A60,"|",Table1[[#This Row],[BDR FIELD ]],"|",Table1[[#This Row],[AUX_TYPE_1]],"|",Table1[[#This Row],[AUX_TYPE_2]],"|",Table1[[#This Row],[AUX_TYPE_4]],"|0"))</f>
        <v>NULL|BDR1_TOT|58||ERROR|ERROR|0|0</v>
      </c>
      <c r="J60" s="3"/>
    </row>
    <row r="61" spans="1:10" x14ac:dyDescent="0.25">
      <c r="A61">
        <v>59</v>
      </c>
      <c r="B61" t="s">
        <v>11</v>
      </c>
      <c r="D61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61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61" t="str">
        <f>IFERROR(TRUNC(IF(Table1[[#This Row],[FIELD FORMAT ]]="DATE",10,_xlfn.NUMBERVALUE(LEFT(RIGHT(D61,LEN(D61)-FIND("(",D61)),FIND(")",D61)-FIND("(",D61)-1)))),"ERROR")</f>
        <v>ERROR</v>
      </c>
      <c r="G61" t="str">
        <f>IFERROR(ROUND(ABS(IF(Table1[[#This Row],[FIELD FORMAT ]]="DATE",10,_xlfn.NUMBERVALUE(LEFT(RIGHT(D61,LEN(D61)-FIND("(",D61)),FIND(")",D61)-FIND("(",D61)-1)))-Table1[[#This Row],[AUX_TYPE_2]]),2),"ERROR")</f>
        <v>ERROR</v>
      </c>
      <c r="H61">
        <f>IF(IFERROR(FIND(",",Table1[[#This Row],[AUX_TYPE_3]]),0)&gt; 0,_xlfn.NUMBERVALUE(RIGHT(Table1[[#This Row],[AUX_TYPE_3]],LEN(Table1[[#This Row],[AUX_TYPE_3]])-FIND(",",Table1[[#This Row],[AUX_TYPE_3]]))),0)</f>
        <v>0</v>
      </c>
      <c r="I61" t="str">
        <f>IF(Table1[[#This Row],[BDR TABLE ]]="","",CONCATENATE("NULL|",Table1[[#This Row],[BDR TABLE ]],"|",A61,"|",Table1[[#This Row],[BDR FIELD ]],"|",Table1[[#This Row],[AUX_TYPE_1]],"|",Table1[[#This Row],[AUX_TYPE_2]],"|",Table1[[#This Row],[AUX_TYPE_4]],"|0"))</f>
        <v>NULL|BDR1_TOT|59||ERROR|ERROR|0|0</v>
      </c>
      <c r="J61" s="3"/>
    </row>
    <row r="62" spans="1:10" x14ac:dyDescent="0.25">
      <c r="A62">
        <v>60</v>
      </c>
      <c r="B62" t="s">
        <v>11</v>
      </c>
      <c r="D62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62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62" t="str">
        <f>IFERROR(TRUNC(IF(Table1[[#This Row],[FIELD FORMAT ]]="DATE",10,_xlfn.NUMBERVALUE(LEFT(RIGHT(D62,LEN(D62)-FIND("(",D62)),FIND(")",D62)-FIND("(",D62)-1)))),"ERROR")</f>
        <v>ERROR</v>
      </c>
      <c r="G62" t="str">
        <f>IFERROR(ROUND(ABS(IF(Table1[[#This Row],[FIELD FORMAT ]]="DATE",10,_xlfn.NUMBERVALUE(LEFT(RIGHT(D62,LEN(D62)-FIND("(",D62)),FIND(")",D62)-FIND("(",D62)-1)))-Table1[[#This Row],[AUX_TYPE_2]]),2),"ERROR")</f>
        <v>ERROR</v>
      </c>
      <c r="H62">
        <f>IF(IFERROR(FIND(",",Table1[[#This Row],[AUX_TYPE_3]]),0)&gt; 0,_xlfn.NUMBERVALUE(RIGHT(Table1[[#This Row],[AUX_TYPE_3]],LEN(Table1[[#This Row],[AUX_TYPE_3]])-FIND(",",Table1[[#This Row],[AUX_TYPE_3]]))),0)</f>
        <v>0</v>
      </c>
      <c r="I62" t="str">
        <f>IF(Table1[[#This Row],[BDR TABLE ]]="","",CONCATENATE("NULL|",Table1[[#This Row],[BDR TABLE ]],"|",A62,"|",Table1[[#This Row],[BDR FIELD ]],"|",Table1[[#This Row],[AUX_TYPE_1]],"|",Table1[[#This Row],[AUX_TYPE_2]],"|",Table1[[#This Row],[AUX_TYPE_4]],"|0"))</f>
        <v>NULL|BDR1_TOT|60||ERROR|ERROR|0|0</v>
      </c>
      <c r="J62" s="3"/>
    </row>
    <row r="63" spans="1:10" x14ac:dyDescent="0.25">
      <c r="A63">
        <v>61</v>
      </c>
      <c r="B63" t="s">
        <v>11</v>
      </c>
      <c r="D63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63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63" t="str">
        <f>IFERROR(TRUNC(IF(Table1[[#This Row],[FIELD FORMAT ]]="DATE",10,_xlfn.NUMBERVALUE(LEFT(RIGHT(D63,LEN(D63)-FIND("(",D63)),FIND(")",D63)-FIND("(",D63)-1)))),"ERROR")</f>
        <v>ERROR</v>
      </c>
      <c r="G63" t="str">
        <f>IFERROR(ROUND(ABS(IF(Table1[[#This Row],[FIELD FORMAT ]]="DATE",10,_xlfn.NUMBERVALUE(LEFT(RIGHT(D63,LEN(D63)-FIND("(",D63)),FIND(")",D63)-FIND("(",D63)-1)))-Table1[[#This Row],[AUX_TYPE_2]]),2),"ERROR")</f>
        <v>ERROR</v>
      </c>
      <c r="H63">
        <f>IF(IFERROR(FIND(",",Table1[[#This Row],[AUX_TYPE_3]]),0)&gt; 0,_xlfn.NUMBERVALUE(RIGHT(Table1[[#This Row],[AUX_TYPE_3]],LEN(Table1[[#This Row],[AUX_TYPE_3]])-FIND(",",Table1[[#This Row],[AUX_TYPE_3]]))),0)</f>
        <v>0</v>
      </c>
      <c r="I63" t="str">
        <f>IF(Table1[[#This Row],[BDR TABLE ]]="","",CONCATENATE("NULL|",Table1[[#This Row],[BDR TABLE ]],"|",A63,"|",Table1[[#This Row],[BDR FIELD ]],"|",Table1[[#This Row],[AUX_TYPE_1]],"|",Table1[[#This Row],[AUX_TYPE_2]],"|",Table1[[#This Row],[AUX_TYPE_4]],"|0"))</f>
        <v>NULL|BDR1_TOT|61||ERROR|ERROR|0|0</v>
      </c>
      <c r="J63" s="3"/>
    </row>
    <row r="64" spans="1:10" x14ac:dyDescent="0.25">
      <c r="A64">
        <v>62</v>
      </c>
      <c r="B64" t="s">
        <v>11</v>
      </c>
      <c r="D64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64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64" t="str">
        <f>IFERROR(TRUNC(IF(Table1[[#This Row],[FIELD FORMAT ]]="DATE",10,_xlfn.NUMBERVALUE(LEFT(RIGHT(D64,LEN(D64)-FIND("(",D64)),FIND(")",D64)-FIND("(",D64)-1)))),"ERROR")</f>
        <v>ERROR</v>
      </c>
      <c r="G64" t="str">
        <f>IFERROR(ROUND(ABS(IF(Table1[[#This Row],[FIELD FORMAT ]]="DATE",10,_xlfn.NUMBERVALUE(LEFT(RIGHT(D64,LEN(D64)-FIND("(",D64)),FIND(")",D64)-FIND("(",D64)-1)))-Table1[[#This Row],[AUX_TYPE_2]]),2),"ERROR")</f>
        <v>ERROR</v>
      </c>
      <c r="H64">
        <f>IF(IFERROR(FIND(",",Table1[[#This Row],[AUX_TYPE_3]]),0)&gt; 0,_xlfn.NUMBERVALUE(RIGHT(Table1[[#This Row],[AUX_TYPE_3]],LEN(Table1[[#This Row],[AUX_TYPE_3]])-FIND(",",Table1[[#This Row],[AUX_TYPE_3]]))),0)</f>
        <v>0</v>
      </c>
      <c r="I64" t="str">
        <f>IF(Table1[[#This Row],[BDR TABLE ]]="","",CONCATENATE("NULL|",Table1[[#This Row],[BDR TABLE ]],"|",A64,"|",Table1[[#This Row],[BDR FIELD ]],"|",Table1[[#This Row],[AUX_TYPE_1]],"|",Table1[[#This Row],[AUX_TYPE_2]],"|",Table1[[#This Row],[AUX_TYPE_4]],"|0"))</f>
        <v>NULL|BDR1_TOT|62||ERROR|ERROR|0|0</v>
      </c>
      <c r="J64" s="3"/>
    </row>
    <row r="65" spans="1:10" x14ac:dyDescent="0.25">
      <c r="A65">
        <v>63</v>
      </c>
      <c r="B65" t="s">
        <v>11</v>
      </c>
      <c r="D65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65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65" t="str">
        <f>IFERROR(TRUNC(IF(Table1[[#This Row],[FIELD FORMAT ]]="DATE",10,_xlfn.NUMBERVALUE(LEFT(RIGHT(D65,LEN(D65)-FIND("(",D65)),FIND(")",D65)-FIND("(",D65)-1)))),"ERROR")</f>
        <v>ERROR</v>
      </c>
      <c r="G65" t="str">
        <f>IFERROR(ROUND(ABS(IF(Table1[[#This Row],[FIELD FORMAT ]]="DATE",10,_xlfn.NUMBERVALUE(LEFT(RIGHT(D65,LEN(D65)-FIND("(",D65)),FIND(")",D65)-FIND("(",D65)-1)))-Table1[[#This Row],[AUX_TYPE_2]]),2),"ERROR")</f>
        <v>ERROR</v>
      </c>
      <c r="H65">
        <f>IF(IFERROR(FIND(",",Table1[[#This Row],[AUX_TYPE_3]]),0)&gt; 0,_xlfn.NUMBERVALUE(RIGHT(Table1[[#This Row],[AUX_TYPE_3]],LEN(Table1[[#This Row],[AUX_TYPE_3]])-FIND(",",Table1[[#This Row],[AUX_TYPE_3]]))),0)</f>
        <v>0</v>
      </c>
      <c r="I65" t="str">
        <f>IF(Table1[[#This Row],[BDR TABLE ]]="","",CONCATENATE("NULL|",Table1[[#This Row],[BDR TABLE ]],"|",A65,"|",Table1[[#This Row],[BDR FIELD ]],"|",Table1[[#This Row],[AUX_TYPE_1]],"|",Table1[[#This Row],[AUX_TYPE_2]],"|",Table1[[#This Row],[AUX_TYPE_4]],"|0"))</f>
        <v>NULL|BDR1_TOT|63||ERROR|ERROR|0|0</v>
      </c>
      <c r="J65" s="3"/>
    </row>
    <row r="66" spans="1:10" x14ac:dyDescent="0.25">
      <c r="A66">
        <v>64</v>
      </c>
      <c r="B66" t="s">
        <v>11</v>
      </c>
      <c r="D66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66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66" t="str">
        <f>IFERROR(TRUNC(IF(Table1[[#This Row],[FIELD FORMAT ]]="DATE",10,_xlfn.NUMBERVALUE(LEFT(RIGHT(D66,LEN(D66)-FIND("(",D66)),FIND(")",D66)-FIND("(",D66)-1)))),"ERROR")</f>
        <v>ERROR</v>
      </c>
      <c r="G66" t="str">
        <f>IFERROR(ROUND(ABS(IF(Table1[[#This Row],[FIELD FORMAT ]]="DATE",10,_xlfn.NUMBERVALUE(LEFT(RIGHT(D66,LEN(D66)-FIND("(",D66)),FIND(")",D66)-FIND("(",D66)-1)))-Table1[[#This Row],[AUX_TYPE_2]]),2),"ERROR")</f>
        <v>ERROR</v>
      </c>
      <c r="H66">
        <f>IF(IFERROR(FIND(",",Table1[[#This Row],[AUX_TYPE_3]]),0)&gt; 0,_xlfn.NUMBERVALUE(RIGHT(Table1[[#This Row],[AUX_TYPE_3]],LEN(Table1[[#This Row],[AUX_TYPE_3]])-FIND(",",Table1[[#This Row],[AUX_TYPE_3]]))),0)</f>
        <v>0</v>
      </c>
      <c r="I66" t="str">
        <f>IF(Table1[[#This Row],[BDR TABLE ]]="","",CONCATENATE("NULL|",Table1[[#This Row],[BDR TABLE ]],"|",A66,"|",Table1[[#This Row],[BDR FIELD ]],"|",Table1[[#This Row],[AUX_TYPE_1]],"|",Table1[[#This Row],[AUX_TYPE_2]],"|",Table1[[#This Row],[AUX_TYPE_4]],"|0"))</f>
        <v>NULL|BDR1_TOT|64||ERROR|ERROR|0|0</v>
      </c>
      <c r="J66" s="3"/>
    </row>
    <row r="67" spans="1:10" x14ac:dyDescent="0.25">
      <c r="A67">
        <v>65</v>
      </c>
      <c r="B67" t="s">
        <v>11</v>
      </c>
      <c r="D67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67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67" t="str">
        <f>IFERROR(TRUNC(IF(Table1[[#This Row],[FIELD FORMAT ]]="DATE",10,_xlfn.NUMBERVALUE(LEFT(RIGHT(D67,LEN(D67)-FIND("(",D67)),FIND(")",D67)-FIND("(",D67)-1)))),"ERROR")</f>
        <v>ERROR</v>
      </c>
      <c r="G67" t="str">
        <f>IFERROR(ROUND(ABS(IF(Table1[[#This Row],[FIELD FORMAT ]]="DATE",10,_xlfn.NUMBERVALUE(LEFT(RIGHT(D67,LEN(D67)-FIND("(",D67)),FIND(")",D67)-FIND("(",D67)-1)))-Table1[[#This Row],[AUX_TYPE_2]]),2),"ERROR")</f>
        <v>ERROR</v>
      </c>
      <c r="H67">
        <f>IF(IFERROR(FIND(",",Table1[[#This Row],[AUX_TYPE_3]]),0)&gt; 0,_xlfn.NUMBERVALUE(RIGHT(Table1[[#This Row],[AUX_TYPE_3]],LEN(Table1[[#This Row],[AUX_TYPE_3]])-FIND(",",Table1[[#This Row],[AUX_TYPE_3]]))),0)</f>
        <v>0</v>
      </c>
      <c r="I67" t="str">
        <f>IF(Table1[[#This Row],[BDR TABLE ]]="","",CONCATENATE("NULL|",Table1[[#This Row],[BDR TABLE ]],"|",A67,"|",Table1[[#This Row],[BDR FIELD ]],"|",Table1[[#This Row],[AUX_TYPE_1]],"|",Table1[[#This Row],[AUX_TYPE_2]],"|",Table1[[#This Row],[AUX_TYPE_4]],"|0"))</f>
        <v>NULL|BDR1_TOT|65||ERROR|ERROR|0|0</v>
      </c>
      <c r="J67" s="3"/>
    </row>
    <row r="68" spans="1:10" x14ac:dyDescent="0.25">
      <c r="A68">
        <v>66</v>
      </c>
      <c r="B68" t="s">
        <v>11</v>
      </c>
      <c r="D68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68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68" t="str">
        <f>IFERROR(TRUNC(IF(Table1[[#This Row],[FIELD FORMAT ]]="DATE",10,_xlfn.NUMBERVALUE(LEFT(RIGHT(D68,LEN(D68)-FIND("(",D68)),FIND(")",D68)-FIND("(",D68)-1)))),"ERROR")</f>
        <v>ERROR</v>
      </c>
      <c r="G68" t="str">
        <f>IFERROR(ROUND(ABS(IF(Table1[[#This Row],[FIELD FORMAT ]]="DATE",10,_xlfn.NUMBERVALUE(LEFT(RIGHT(D68,LEN(D68)-FIND("(",D68)),FIND(")",D68)-FIND("(",D68)-1)))-Table1[[#This Row],[AUX_TYPE_2]]),2),"ERROR")</f>
        <v>ERROR</v>
      </c>
      <c r="H68">
        <f>IF(IFERROR(FIND(",",Table1[[#This Row],[AUX_TYPE_3]]),0)&gt; 0,_xlfn.NUMBERVALUE(RIGHT(Table1[[#This Row],[AUX_TYPE_3]],LEN(Table1[[#This Row],[AUX_TYPE_3]])-FIND(",",Table1[[#This Row],[AUX_TYPE_3]]))),0)</f>
        <v>0</v>
      </c>
      <c r="I68" t="str">
        <f>IF(Table1[[#This Row],[BDR TABLE ]]="","",CONCATENATE("NULL|",Table1[[#This Row],[BDR TABLE ]],"|",A68,"|",Table1[[#This Row],[BDR FIELD ]],"|",Table1[[#This Row],[AUX_TYPE_1]],"|",Table1[[#This Row],[AUX_TYPE_2]],"|",Table1[[#This Row],[AUX_TYPE_4]],"|0"))</f>
        <v>NULL|BDR1_TOT|66||ERROR|ERROR|0|0</v>
      </c>
      <c r="J68" s="3"/>
    </row>
    <row r="69" spans="1:10" x14ac:dyDescent="0.25">
      <c r="A69">
        <v>67</v>
      </c>
      <c r="B69" t="s">
        <v>11</v>
      </c>
      <c r="D69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69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69" t="str">
        <f>IFERROR(TRUNC(IF(Table1[[#This Row],[FIELD FORMAT ]]="DATE",10,_xlfn.NUMBERVALUE(LEFT(RIGHT(D69,LEN(D69)-FIND("(",D69)),FIND(")",D69)-FIND("(",D69)-1)))),"ERROR")</f>
        <v>ERROR</v>
      </c>
      <c r="G69" t="str">
        <f>IFERROR(ROUND(ABS(IF(Table1[[#This Row],[FIELD FORMAT ]]="DATE",10,_xlfn.NUMBERVALUE(LEFT(RIGHT(D69,LEN(D69)-FIND("(",D69)),FIND(")",D69)-FIND("(",D69)-1)))-Table1[[#This Row],[AUX_TYPE_2]]),2),"ERROR")</f>
        <v>ERROR</v>
      </c>
      <c r="H69">
        <f>IF(IFERROR(FIND(",",Table1[[#This Row],[AUX_TYPE_3]]),0)&gt; 0,_xlfn.NUMBERVALUE(RIGHT(Table1[[#This Row],[AUX_TYPE_3]],LEN(Table1[[#This Row],[AUX_TYPE_3]])-FIND(",",Table1[[#This Row],[AUX_TYPE_3]]))),0)</f>
        <v>0</v>
      </c>
      <c r="I69" t="str">
        <f>IF(Table1[[#This Row],[BDR TABLE ]]="","",CONCATENATE("NULL|",Table1[[#This Row],[BDR TABLE ]],"|",A69,"|",Table1[[#This Row],[BDR FIELD ]],"|",Table1[[#This Row],[AUX_TYPE_1]],"|",Table1[[#This Row],[AUX_TYPE_2]],"|",Table1[[#This Row],[AUX_TYPE_4]],"|0"))</f>
        <v>NULL|BDR1_TOT|67||ERROR|ERROR|0|0</v>
      </c>
      <c r="J69" s="3"/>
    </row>
    <row r="70" spans="1:10" x14ac:dyDescent="0.25">
      <c r="A70">
        <v>68</v>
      </c>
      <c r="B70" t="s">
        <v>11</v>
      </c>
      <c r="D70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70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70" t="str">
        <f>IFERROR(TRUNC(IF(Table1[[#This Row],[FIELD FORMAT ]]="DATE",10,_xlfn.NUMBERVALUE(LEFT(RIGHT(D70,LEN(D70)-FIND("(",D70)),FIND(")",D70)-FIND("(",D70)-1)))),"ERROR")</f>
        <v>ERROR</v>
      </c>
      <c r="G70" t="str">
        <f>IFERROR(ROUND(ABS(IF(Table1[[#This Row],[FIELD FORMAT ]]="DATE",10,_xlfn.NUMBERVALUE(LEFT(RIGHT(D70,LEN(D70)-FIND("(",D70)),FIND(")",D70)-FIND("(",D70)-1)))-Table1[[#This Row],[AUX_TYPE_2]]),2),"ERROR")</f>
        <v>ERROR</v>
      </c>
      <c r="H70">
        <f>IF(IFERROR(FIND(",",Table1[[#This Row],[AUX_TYPE_3]]),0)&gt; 0,_xlfn.NUMBERVALUE(RIGHT(Table1[[#This Row],[AUX_TYPE_3]],LEN(Table1[[#This Row],[AUX_TYPE_3]])-FIND(",",Table1[[#This Row],[AUX_TYPE_3]]))),0)</f>
        <v>0</v>
      </c>
      <c r="I70" t="str">
        <f>IF(Table1[[#This Row],[BDR TABLE ]]="","",CONCATENATE("NULL|",Table1[[#This Row],[BDR TABLE ]],"|",A70,"|",Table1[[#This Row],[BDR FIELD ]],"|",Table1[[#This Row],[AUX_TYPE_1]],"|",Table1[[#This Row],[AUX_TYPE_2]],"|",Table1[[#This Row],[AUX_TYPE_4]],"|0"))</f>
        <v>NULL|BDR1_TOT|68||ERROR|ERROR|0|0</v>
      </c>
      <c r="J70" s="3"/>
    </row>
    <row r="71" spans="1:10" x14ac:dyDescent="0.25">
      <c r="A71">
        <v>69</v>
      </c>
      <c r="B71" t="s">
        <v>11</v>
      </c>
      <c r="D71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71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71" t="str">
        <f>IFERROR(TRUNC(IF(Table1[[#This Row],[FIELD FORMAT ]]="DATE",10,_xlfn.NUMBERVALUE(LEFT(RIGHT(D71,LEN(D71)-FIND("(",D71)),FIND(")",D71)-FIND("(",D71)-1)))),"ERROR")</f>
        <v>ERROR</v>
      </c>
      <c r="G71" t="str">
        <f>IFERROR(ROUND(ABS(IF(Table1[[#This Row],[FIELD FORMAT ]]="DATE",10,_xlfn.NUMBERVALUE(LEFT(RIGHT(D71,LEN(D71)-FIND("(",D71)),FIND(")",D71)-FIND("(",D71)-1)))-Table1[[#This Row],[AUX_TYPE_2]]),2),"ERROR")</f>
        <v>ERROR</v>
      </c>
      <c r="H71">
        <f>IF(IFERROR(FIND(",",Table1[[#This Row],[AUX_TYPE_3]]),0)&gt; 0,_xlfn.NUMBERVALUE(RIGHT(Table1[[#This Row],[AUX_TYPE_3]],LEN(Table1[[#This Row],[AUX_TYPE_3]])-FIND(",",Table1[[#This Row],[AUX_TYPE_3]]))),0)</f>
        <v>0</v>
      </c>
      <c r="I71" t="str">
        <f>IF(Table1[[#This Row],[BDR TABLE ]]="","",CONCATENATE("NULL|",Table1[[#This Row],[BDR TABLE ]],"|",A71,"|",Table1[[#This Row],[BDR FIELD ]],"|",Table1[[#This Row],[AUX_TYPE_1]],"|",Table1[[#This Row],[AUX_TYPE_2]],"|",Table1[[#This Row],[AUX_TYPE_4]],"|0"))</f>
        <v>NULL|BDR1_TOT|69||ERROR|ERROR|0|0</v>
      </c>
      <c r="J71" s="3"/>
    </row>
    <row r="72" spans="1:10" x14ac:dyDescent="0.25">
      <c r="A72">
        <v>70</v>
      </c>
      <c r="B72" t="s">
        <v>11</v>
      </c>
      <c r="D72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72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72" t="str">
        <f>IFERROR(TRUNC(IF(Table1[[#This Row],[FIELD FORMAT ]]="DATE",10,_xlfn.NUMBERVALUE(LEFT(RIGHT(D72,LEN(D72)-FIND("(",D72)),FIND(")",D72)-FIND("(",D72)-1)))),"ERROR")</f>
        <v>ERROR</v>
      </c>
      <c r="G72" t="str">
        <f>IFERROR(ROUND(ABS(IF(Table1[[#This Row],[FIELD FORMAT ]]="DATE",10,_xlfn.NUMBERVALUE(LEFT(RIGHT(D72,LEN(D72)-FIND("(",D72)),FIND(")",D72)-FIND("(",D72)-1)))-Table1[[#This Row],[AUX_TYPE_2]]),2),"ERROR")</f>
        <v>ERROR</v>
      </c>
      <c r="H72">
        <f>IF(IFERROR(FIND(",",Table1[[#This Row],[AUX_TYPE_3]]),0)&gt; 0,_xlfn.NUMBERVALUE(RIGHT(Table1[[#This Row],[AUX_TYPE_3]],LEN(Table1[[#This Row],[AUX_TYPE_3]])-FIND(",",Table1[[#This Row],[AUX_TYPE_3]]))),0)</f>
        <v>0</v>
      </c>
      <c r="I72" t="str">
        <f>IF(Table1[[#This Row],[BDR TABLE ]]="","",CONCATENATE("NULL|",Table1[[#This Row],[BDR TABLE ]],"|",A72,"|",Table1[[#This Row],[BDR FIELD ]],"|",Table1[[#This Row],[AUX_TYPE_1]],"|",Table1[[#This Row],[AUX_TYPE_2]],"|",Table1[[#This Row],[AUX_TYPE_4]],"|0"))</f>
        <v>NULL|BDR1_TOT|70||ERROR|ERROR|0|0</v>
      </c>
      <c r="J72" s="3"/>
    </row>
    <row r="73" spans="1:10" x14ac:dyDescent="0.25">
      <c r="A73">
        <v>71</v>
      </c>
      <c r="B73" t="s">
        <v>11</v>
      </c>
      <c r="D73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73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73" t="str">
        <f>IFERROR(TRUNC(IF(Table1[[#This Row],[FIELD FORMAT ]]="DATE",10,_xlfn.NUMBERVALUE(LEFT(RIGHT(D73,LEN(D73)-FIND("(",D73)),FIND(")",D73)-FIND("(",D73)-1)))),"ERROR")</f>
        <v>ERROR</v>
      </c>
      <c r="G73" t="str">
        <f>IFERROR(ROUND(ABS(IF(Table1[[#This Row],[FIELD FORMAT ]]="DATE",10,_xlfn.NUMBERVALUE(LEFT(RIGHT(D73,LEN(D73)-FIND("(",D73)),FIND(")",D73)-FIND("(",D73)-1)))-Table1[[#This Row],[AUX_TYPE_2]]),2),"ERROR")</f>
        <v>ERROR</v>
      </c>
      <c r="H73">
        <f>IF(IFERROR(FIND(",",Table1[[#This Row],[AUX_TYPE_3]]),0)&gt; 0,_xlfn.NUMBERVALUE(RIGHT(Table1[[#This Row],[AUX_TYPE_3]],LEN(Table1[[#This Row],[AUX_TYPE_3]])-FIND(",",Table1[[#This Row],[AUX_TYPE_3]]))),0)</f>
        <v>0</v>
      </c>
      <c r="I73" t="str">
        <f>IF(Table1[[#This Row],[BDR TABLE ]]="","",CONCATENATE("NULL|",Table1[[#This Row],[BDR TABLE ]],"|",A73,"|",Table1[[#This Row],[BDR FIELD ]],"|",Table1[[#This Row],[AUX_TYPE_1]],"|",Table1[[#This Row],[AUX_TYPE_2]],"|",Table1[[#This Row],[AUX_TYPE_4]],"|0"))</f>
        <v>NULL|BDR1_TOT|71||ERROR|ERROR|0|0</v>
      </c>
      <c r="J73" s="3"/>
    </row>
    <row r="74" spans="1:10" x14ac:dyDescent="0.25">
      <c r="A74">
        <v>72</v>
      </c>
      <c r="B74" t="s">
        <v>11</v>
      </c>
      <c r="D74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74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74" t="str">
        <f>IFERROR(TRUNC(IF(Table1[[#This Row],[FIELD FORMAT ]]="DATE",10,_xlfn.NUMBERVALUE(LEFT(RIGHT(D74,LEN(D74)-FIND("(",D74)),FIND(")",D74)-FIND("(",D74)-1)))),"ERROR")</f>
        <v>ERROR</v>
      </c>
      <c r="G74" t="str">
        <f>IFERROR(ROUND(ABS(IF(Table1[[#This Row],[FIELD FORMAT ]]="DATE",10,_xlfn.NUMBERVALUE(LEFT(RIGHT(D74,LEN(D74)-FIND("(",D74)),FIND(")",D74)-FIND("(",D74)-1)))-Table1[[#This Row],[AUX_TYPE_2]]),2),"ERROR")</f>
        <v>ERROR</v>
      </c>
      <c r="H74">
        <f>IF(IFERROR(FIND(",",Table1[[#This Row],[AUX_TYPE_3]]),0)&gt; 0,_xlfn.NUMBERVALUE(RIGHT(Table1[[#This Row],[AUX_TYPE_3]],LEN(Table1[[#This Row],[AUX_TYPE_3]])-FIND(",",Table1[[#This Row],[AUX_TYPE_3]]))),0)</f>
        <v>0</v>
      </c>
      <c r="I74" t="str">
        <f>IF(Table1[[#This Row],[BDR TABLE ]]="","",CONCATENATE("NULL|",Table1[[#This Row],[BDR TABLE ]],"|",A74,"|",Table1[[#This Row],[BDR FIELD ]],"|",Table1[[#This Row],[AUX_TYPE_1]],"|",Table1[[#This Row],[AUX_TYPE_2]],"|",Table1[[#This Row],[AUX_TYPE_4]],"|0"))</f>
        <v>NULL|BDR1_TOT|72||ERROR|ERROR|0|0</v>
      </c>
      <c r="J74" s="3"/>
    </row>
    <row r="75" spans="1:10" x14ac:dyDescent="0.25">
      <c r="A75">
        <v>73</v>
      </c>
      <c r="B75" t="s">
        <v>11</v>
      </c>
      <c r="D75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75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75" t="str">
        <f>IFERROR(TRUNC(IF(Table1[[#This Row],[FIELD FORMAT ]]="DATE",10,_xlfn.NUMBERVALUE(LEFT(RIGHT(D75,LEN(D75)-FIND("(",D75)),FIND(")",D75)-FIND("(",D75)-1)))),"ERROR")</f>
        <v>ERROR</v>
      </c>
      <c r="G75" t="str">
        <f>IFERROR(ROUND(ABS(IF(Table1[[#This Row],[FIELD FORMAT ]]="DATE",10,_xlfn.NUMBERVALUE(LEFT(RIGHT(D75,LEN(D75)-FIND("(",D75)),FIND(")",D75)-FIND("(",D75)-1)))-Table1[[#This Row],[AUX_TYPE_2]]),2),"ERROR")</f>
        <v>ERROR</v>
      </c>
      <c r="H75">
        <f>IF(IFERROR(FIND(",",Table1[[#This Row],[AUX_TYPE_3]]),0)&gt; 0,_xlfn.NUMBERVALUE(RIGHT(Table1[[#This Row],[AUX_TYPE_3]],LEN(Table1[[#This Row],[AUX_TYPE_3]])-FIND(",",Table1[[#This Row],[AUX_TYPE_3]]))),0)</f>
        <v>0</v>
      </c>
      <c r="I75" t="str">
        <f>IF(Table1[[#This Row],[BDR TABLE ]]="","",CONCATENATE("NULL|",Table1[[#This Row],[BDR TABLE ]],"|",A75,"|",Table1[[#This Row],[BDR FIELD ]],"|",Table1[[#This Row],[AUX_TYPE_1]],"|",Table1[[#This Row],[AUX_TYPE_2]],"|",Table1[[#This Row],[AUX_TYPE_4]],"|0"))</f>
        <v>NULL|BDR1_TOT|73||ERROR|ERROR|0|0</v>
      </c>
      <c r="J75" s="3"/>
    </row>
    <row r="76" spans="1:10" x14ac:dyDescent="0.25">
      <c r="A76">
        <v>74</v>
      </c>
      <c r="B76" t="s">
        <v>11</v>
      </c>
      <c r="D76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76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76" t="str">
        <f>IFERROR(TRUNC(IF(Table1[[#This Row],[FIELD FORMAT ]]="DATE",10,_xlfn.NUMBERVALUE(LEFT(RIGHT(D76,LEN(D76)-FIND("(",D76)),FIND(")",D76)-FIND("(",D76)-1)))),"ERROR")</f>
        <v>ERROR</v>
      </c>
      <c r="G76" t="str">
        <f>IFERROR(ROUND(ABS(IF(Table1[[#This Row],[FIELD FORMAT ]]="DATE",10,_xlfn.NUMBERVALUE(LEFT(RIGHT(D76,LEN(D76)-FIND("(",D76)),FIND(")",D76)-FIND("(",D76)-1)))-Table1[[#This Row],[AUX_TYPE_2]]),2),"ERROR")</f>
        <v>ERROR</v>
      </c>
      <c r="H76">
        <f>IF(IFERROR(FIND(",",Table1[[#This Row],[AUX_TYPE_3]]),0)&gt; 0,_xlfn.NUMBERVALUE(RIGHT(Table1[[#This Row],[AUX_TYPE_3]],LEN(Table1[[#This Row],[AUX_TYPE_3]])-FIND(",",Table1[[#This Row],[AUX_TYPE_3]]))),0)</f>
        <v>0</v>
      </c>
      <c r="I76" t="str">
        <f>IF(Table1[[#This Row],[BDR TABLE ]]="","",CONCATENATE("NULL|",Table1[[#This Row],[BDR TABLE ]],"|",A76,"|",Table1[[#This Row],[BDR FIELD ]],"|",Table1[[#This Row],[AUX_TYPE_1]],"|",Table1[[#This Row],[AUX_TYPE_2]],"|",Table1[[#This Row],[AUX_TYPE_4]],"|0"))</f>
        <v>NULL|BDR1_TOT|74||ERROR|ERROR|0|0</v>
      </c>
      <c r="J76" s="3"/>
    </row>
    <row r="77" spans="1:10" x14ac:dyDescent="0.25">
      <c r="A77">
        <v>75</v>
      </c>
      <c r="B77" t="s">
        <v>11</v>
      </c>
      <c r="D77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77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77" t="str">
        <f>IFERROR(TRUNC(IF(Table1[[#This Row],[FIELD FORMAT ]]="DATE",10,_xlfn.NUMBERVALUE(LEFT(RIGHT(D77,LEN(D77)-FIND("(",D77)),FIND(")",D77)-FIND("(",D77)-1)))),"ERROR")</f>
        <v>ERROR</v>
      </c>
      <c r="G77" t="str">
        <f>IFERROR(ROUND(ABS(IF(Table1[[#This Row],[FIELD FORMAT ]]="DATE",10,_xlfn.NUMBERVALUE(LEFT(RIGHT(D77,LEN(D77)-FIND("(",D77)),FIND(")",D77)-FIND("(",D77)-1)))-Table1[[#This Row],[AUX_TYPE_2]]),2),"ERROR")</f>
        <v>ERROR</v>
      </c>
      <c r="H77">
        <f>IF(IFERROR(FIND(",",Table1[[#This Row],[AUX_TYPE_3]]),0)&gt; 0,_xlfn.NUMBERVALUE(RIGHT(Table1[[#This Row],[AUX_TYPE_3]],LEN(Table1[[#This Row],[AUX_TYPE_3]])-FIND(",",Table1[[#This Row],[AUX_TYPE_3]]))),0)</f>
        <v>0</v>
      </c>
      <c r="I77" t="str">
        <f>IF(Table1[[#This Row],[BDR TABLE ]]="","",CONCATENATE("NULL|",Table1[[#This Row],[BDR TABLE ]],"|",A77,"|",Table1[[#This Row],[BDR FIELD ]],"|",Table1[[#This Row],[AUX_TYPE_1]],"|",Table1[[#This Row],[AUX_TYPE_2]],"|",Table1[[#This Row],[AUX_TYPE_4]],"|0"))</f>
        <v>NULL|BDR1_TOT|75||ERROR|ERROR|0|0</v>
      </c>
      <c r="J77" s="3"/>
    </row>
    <row r="78" spans="1:10" x14ac:dyDescent="0.25">
      <c r="A78">
        <v>76</v>
      </c>
      <c r="B78" t="s">
        <v>11</v>
      </c>
      <c r="D78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78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78" t="str">
        <f>IFERROR(TRUNC(IF(Table1[[#This Row],[FIELD FORMAT ]]="DATE",10,_xlfn.NUMBERVALUE(LEFT(RIGHT(D78,LEN(D78)-FIND("(",D78)),FIND(")",D78)-FIND("(",D78)-1)))),"ERROR")</f>
        <v>ERROR</v>
      </c>
      <c r="G78" t="str">
        <f>IFERROR(ROUND(ABS(IF(Table1[[#This Row],[FIELD FORMAT ]]="DATE",10,_xlfn.NUMBERVALUE(LEFT(RIGHT(D78,LEN(D78)-FIND("(",D78)),FIND(")",D78)-FIND("(",D78)-1)))-Table1[[#This Row],[AUX_TYPE_2]]),2),"ERROR")</f>
        <v>ERROR</v>
      </c>
      <c r="H78">
        <f>IF(IFERROR(FIND(",",Table1[[#This Row],[AUX_TYPE_3]]),0)&gt; 0,_xlfn.NUMBERVALUE(RIGHT(Table1[[#This Row],[AUX_TYPE_3]],LEN(Table1[[#This Row],[AUX_TYPE_3]])-FIND(",",Table1[[#This Row],[AUX_TYPE_3]]))),0)</f>
        <v>0</v>
      </c>
      <c r="I78" t="str">
        <f>IF(Table1[[#This Row],[BDR TABLE ]]="","",CONCATENATE("NULL|",Table1[[#This Row],[BDR TABLE ]],"|",A78,"|",Table1[[#This Row],[BDR FIELD ]],"|",Table1[[#This Row],[AUX_TYPE_1]],"|",Table1[[#This Row],[AUX_TYPE_2]],"|",Table1[[#This Row],[AUX_TYPE_4]],"|0"))</f>
        <v>NULL|BDR1_TOT|76||ERROR|ERROR|0|0</v>
      </c>
      <c r="J78" s="3"/>
    </row>
    <row r="79" spans="1:10" x14ac:dyDescent="0.25">
      <c r="A79">
        <v>77</v>
      </c>
      <c r="B79" t="s">
        <v>11</v>
      </c>
      <c r="D79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79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79" t="str">
        <f>IFERROR(TRUNC(IF(Table1[[#This Row],[FIELD FORMAT ]]="DATE",10,_xlfn.NUMBERVALUE(LEFT(RIGHT(D79,LEN(D79)-FIND("(",D79)),FIND(")",D79)-FIND("(",D79)-1)))),"ERROR")</f>
        <v>ERROR</v>
      </c>
      <c r="G79" t="str">
        <f>IFERROR(ROUND(ABS(IF(Table1[[#This Row],[FIELD FORMAT ]]="DATE",10,_xlfn.NUMBERVALUE(LEFT(RIGHT(D79,LEN(D79)-FIND("(",D79)),FIND(")",D79)-FIND("(",D79)-1)))-Table1[[#This Row],[AUX_TYPE_2]]),2),"ERROR")</f>
        <v>ERROR</v>
      </c>
      <c r="H79">
        <f>IF(IFERROR(FIND(",",Table1[[#This Row],[AUX_TYPE_3]]),0)&gt; 0,_xlfn.NUMBERVALUE(RIGHT(Table1[[#This Row],[AUX_TYPE_3]],LEN(Table1[[#This Row],[AUX_TYPE_3]])-FIND(",",Table1[[#This Row],[AUX_TYPE_3]]))),0)</f>
        <v>0</v>
      </c>
      <c r="I79" t="str">
        <f>IF(Table1[[#This Row],[BDR TABLE ]]="","",CONCATENATE("NULL|",Table1[[#This Row],[BDR TABLE ]],"|",A79,"|",Table1[[#This Row],[BDR FIELD ]],"|",Table1[[#This Row],[AUX_TYPE_1]],"|",Table1[[#This Row],[AUX_TYPE_2]],"|",Table1[[#This Row],[AUX_TYPE_4]],"|0"))</f>
        <v>NULL|BDR1_TOT|77||ERROR|ERROR|0|0</v>
      </c>
      <c r="J79" s="3"/>
    </row>
    <row r="80" spans="1:10" x14ac:dyDescent="0.25">
      <c r="A80">
        <v>78</v>
      </c>
      <c r="B80" t="s">
        <v>11</v>
      </c>
      <c r="D80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80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80" t="str">
        <f>IFERROR(TRUNC(IF(Table1[[#This Row],[FIELD FORMAT ]]="DATE",10,_xlfn.NUMBERVALUE(LEFT(RIGHT(D80,LEN(D80)-FIND("(",D80)),FIND(")",D80)-FIND("(",D80)-1)))),"ERROR")</f>
        <v>ERROR</v>
      </c>
      <c r="G80" t="str">
        <f>IFERROR(ROUND(ABS(IF(Table1[[#This Row],[FIELD FORMAT ]]="DATE",10,_xlfn.NUMBERVALUE(LEFT(RIGHT(D80,LEN(D80)-FIND("(",D80)),FIND(")",D80)-FIND("(",D80)-1)))-Table1[[#This Row],[AUX_TYPE_2]]),2),"ERROR")</f>
        <v>ERROR</v>
      </c>
      <c r="H80">
        <f>IF(IFERROR(FIND(",",Table1[[#This Row],[AUX_TYPE_3]]),0)&gt; 0,_xlfn.NUMBERVALUE(RIGHT(Table1[[#This Row],[AUX_TYPE_3]],LEN(Table1[[#This Row],[AUX_TYPE_3]])-FIND(",",Table1[[#This Row],[AUX_TYPE_3]]))),0)</f>
        <v>0</v>
      </c>
      <c r="I80" t="str">
        <f>IF(Table1[[#This Row],[BDR TABLE ]]="","",CONCATENATE("NULL|",Table1[[#This Row],[BDR TABLE ]],"|",A80,"|",Table1[[#This Row],[BDR FIELD ]],"|",Table1[[#This Row],[AUX_TYPE_1]],"|",Table1[[#This Row],[AUX_TYPE_2]],"|",Table1[[#This Row],[AUX_TYPE_4]],"|0"))</f>
        <v>NULL|BDR1_TOT|78||ERROR|ERROR|0|0</v>
      </c>
      <c r="J80" s="3"/>
    </row>
    <row r="81" spans="1:10" x14ac:dyDescent="0.25">
      <c r="A81">
        <v>79</v>
      </c>
      <c r="B81" t="s">
        <v>11</v>
      </c>
      <c r="D81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81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81" t="str">
        <f>IFERROR(TRUNC(IF(Table1[[#This Row],[FIELD FORMAT ]]="DATE",10,_xlfn.NUMBERVALUE(LEFT(RIGHT(D81,LEN(D81)-FIND("(",D81)),FIND(")",D81)-FIND("(",D81)-1)))),"ERROR")</f>
        <v>ERROR</v>
      </c>
      <c r="G81" t="str">
        <f>IFERROR(ROUND(ABS(IF(Table1[[#This Row],[FIELD FORMAT ]]="DATE",10,_xlfn.NUMBERVALUE(LEFT(RIGHT(D81,LEN(D81)-FIND("(",D81)),FIND(")",D81)-FIND("(",D81)-1)))-Table1[[#This Row],[AUX_TYPE_2]]),2),"ERROR")</f>
        <v>ERROR</v>
      </c>
      <c r="H81">
        <f>IF(IFERROR(FIND(",",Table1[[#This Row],[AUX_TYPE_3]]),0)&gt; 0,_xlfn.NUMBERVALUE(RIGHT(Table1[[#This Row],[AUX_TYPE_3]],LEN(Table1[[#This Row],[AUX_TYPE_3]])-FIND(",",Table1[[#This Row],[AUX_TYPE_3]]))),0)</f>
        <v>0</v>
      </c>
      <c r="I81" t="str">
        <f>IF(Table1[[#This Row],[BDR TABLE ]]="","",CONCATENATE("NULL|",Table1[[#This Row],[BDR TABLE ]],"|",A81,"|",Table1[[#This Row],[BDR FIELD ]],"|",Table1[[#This Row],[AUX_TYPE_1]],"|",Table1[[#This Row],[AUX_TYPE_2]],"|",Table1[[#This Row],[AUX_TYPE_4]],"|0"))</f>
        <v>NULL|BDR1_TOT|79||ERROR|ERROR|0|0</v>
      </c>
      <c r="J81" s="3"/>
    </row>
    <row r="82" spans="1:10" x14ac:dyDescent="0.25">
      <c r="A82">
        <v>80</v>
      </c>
      <c r="B82" t="s">
        <v>11</v>
      </c>
      <c r="D82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82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82" t="str">
        <f>IFERROR(TRUNC(IF(Table1[[#This Row],[FIELD FORMAT ]]="DATE",10,_xlfn.NUMBERVALUE(LEFT(RIGHT(D82,LEN(D82)-FIND("(",D82)),FIND(")",D82)-FIND("(",D82)-1)))),"ERROR")</f>
        <v>ERROR</v>
      </c>
      <c r="G82" t="str">
        <f>IFERROR(ROUND(ABS(IF(Table1[[#This Row],[FIELD FORMAT ]]="DATE",10,_xlfn.NUMBERVALUE(LEFT(RIGHT(D82,LEN(D82)-FIND("(",D82)),FIND(")",D82)-FIND("(",D82)-1)))-Table1[[#This Row],[AUX_TYPE_2]]),2),"ERROR")</f>
        <v>ERROR</v>
      </c>
      <c r="H82">
        <f>IF(IFERROR(FIND(",",Table1[[#This Row],[AUX_TYPE_3]]),0)&gt; 0,_xlfn.NUMBERVALUE(RIGHT(Table1[[#This Row],[AUX_TYPE_3]],LEN(Table1[[#This Row],[AUX_TYPE_3]])-FIND(",",Table1[[#This Row],[AUX_TYPE_3]]))),0)</f>
        <v>0</v>
      </c>
      <c r="I82" t="str">
        <f>IF(Table1[[#This Row],[BDR TABLE ]]="","",CONCATENATE("NULL|",Table1[[#This Row],[BDR TABLE ]],"|",A82,"|",Table1[[#This Row],[BDR FIELD ]],"|",Table1[[#This Row],[AUX_TYPE_1]],"|",Table1[[#This Row],[AUX_TYPE_2]],"|",Table1[[#This Row],[AUX_TYPE_4]],"|0"))</f>
        <v>NULL|BDR1_TOT|80||ERROR|ERROR|0|0</v>
      </c>
      <c r="J82" s="3"/>
    </row>
    <row r="83" spans="1:10" x14ac:dyDescent="0.25">
      <c r="A83">
        <v>81</v>
      </c>
      <c r="B83" t="s">
        <v>11</v>
      </c>
      <c r="D83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83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83" t="str">
        <f>IFERROR(TRUNC(IF(Table1[[#This Row],[FIELD FORMAT ]]="DATE",10,_xlfn.NUMBERVALUE(LEFT(RIGHT(D83,LEN(D83)-FIND("(",D83)),FIND(")",D83)-FIND("(",D83)-1)))),"ERROR")</f>
        <v>ERROR</v>
      </c>
      <c r="G83" t="str">
        <f>IFERROR(ROUND(ABS(IF(Table1[[#This Row],[FIELD FORMAT ]]="DATE",10,_xlfn.NUMBERVALUE(LEFT(RIGHT(D83,LEN(D83)-FIND("(",D83)),FIND(")",D83)-FIND("(",D83)-1)))-Table1[[#This Row],[AUX_TYPE_2]]),2),"ERROR")</f>
        <v>ERROR</v>
      </c>
      <c r="H83">
        <f>IF(IFERROR(FIND(",",Table1[[#This Row],[AUX_TYPE_3]]),0)&gt; 0,_xlfn.NUMBERVALUE(RIGHT(Table1[[#This Row],[AUX_TYPE_3]],LEN(Table1[[#This Row],[AUX_TYPE_3]])-FIND(",",Table1[[#This Row],[AUX_TYPE_3]]))),0)</f>
        <v>0</v>
      </c>
      <c r="I83" t="str">
        <f>IF(Table1[[#This Row],[BDR TABLE ]]="","",CONCATENATE("NULL|",Table1[[#This Row],[BDR TABLE ]],"|",A83,"|",Table1[[#This Row],[BDR FIELD ]],"|",Table1[[#This Row],[AUX_TYPE_1]],"|",Table1[[#This Row],[AUX_TYPE_2]],"|",Table1[[#This Row],[AUX_TYPE_4]],"|0"))</f>
        <v>NULL|BDR1_TOT|81||ERROR|ERROR|0|0</v>
      </c>
      <c r="J83" s="3"/>
    </row>
    <row r="84" spans="1:10" x14ac:dyDescent="0.25">
      <c r="A84">
        <v>82</v>
      </c>
      <c r="B84" t="s">
        <v>11</v>
      </c>
      <c r="D84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84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84" t="str">
        <f>IFERROR(TRUNC(IF(Table1[[#This Row],[FIELD FORMAT ]]="DATE",10,_xlfn.NUMBERVALUE(LEFT(RIGHT(D84,LEN(D84)-FIND("(",D84)),FIND(")",D84)-FIND("(",D84)-1)))),"ERROR")</f>
        <v>ERROR</v>
      </c>
      <c r="G84" t="str">
        <f>IFERROR(ROUND(ABS(IF(Table1[[#This Row],[FIELD FORMAT ]]="DATE",10,_xlfn.NUMBERVALUE(LEFT(RIGHT(D84,LEN(D84)-FIND("(",D84)),FIND(")",D84)-FIND("(",D84)-1)))-Table1[[#This Row],[AUX_TYPE_2]]),2),"ERROR")</f>
        <v>ERROR</v>
      </c>
      <c r="H84">
        <f>IF(IFERROR(FIND(",",Table1[[#This Row],[AUX_TYPE_3]]),0)&gt; 0,_xlfn.NUMBERVALUE(RIGHT(Table1[[#This Row],[AUX_TYPE_3]],LEN(Table1[[#This Row],[AUX_TYPE_3]])-FIND(",",Table1[[#This Row],[AUX_TYPE_3]]))),0)</f>
        <v>0</v>
      </c>
      <c r="I84" t="str">
        <f>IF(Table1[[#This Row],[BDR TABLE ]]="","",CONCATENATE("NULL|",Table1[[#This Row],[BDR TABLE ]],"|",A84,"|",Table1[[#This Row],[BDR FIELD ]],"|",Table1[[#This Row],[AUX_TYPE_1]],"|",Table1[[#This Row],[AUX_TYPE_2]],"|",Table1[[#This Row],[AUX_TYPE_4]],"|0"))</f>
        <v>NULL|BDR1_TOT|82||ERROR|ERROR|0|0</v>
      </c>
      <c r="J84" s="3"/>
    </row>
    <row r="85" spans="1:10" x14ac:dyDescent="0.25">
      <c r="A85">
        <v>83</v>
      </c>
      <c r="B85" t="s">
        <v>11</v>
      </c>
      <c r="D85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85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85" t="str">
        <f>IFERROR(TRUNC(IF(Table1[[#This Row],[FIELD FORMAT ]]="DATE",10,_xlfn.NUMBERVALUE(LEFT(RIGHT(D85,LEN(D85)-FIND("(",D85)),FIND(")",D85)-FIND("(",D85)-1)))),"ERROR")</f>
        <v>ERROR</v>
      </c>
      <c r="G85" t="str">
        <f>IFERROR(ROUND(ABS(IF(Table1[[#This Row],[FIELD FORMAT ]]="DATE",10,_xlfn.NUMBERVALUE(LEFT(RIGHT(D85,LEN(D85)-FIND("(",D85)),FIND(")",D85)-FIND("(",D85)-1)))-Table1[[#This Row],[AUX_TYPE_2]]),2),"ERROR")</f>
        <v>ERROR</v>
      </c>
      <c r="H85">
        <f>IF(IFERROR(FIND(",",Table1[[#This Row],[AUX_TYPE_3]]),0)&gt; 0,_xlfn.NUMBERVALUE(RIGHT(Table1[[#This Row],[AUX_TYPE_3]],LEN(Table1[[#This Row],[AUX_TYPE_3]])-FIND(",",Table1[[#This Row],[AUX_TYPE_3]]))),0)</f>
        <v>0</v>
      </c>
      <c r="I85" t="str">
        <f>IF(Table1[[#This Row],[BDR TABLE ]]="","",CONCATENATE("NULL|",Table1[[#This Row],[BDR TABLE ]],"|",A85,"|",Table1[[#This Row],[BDR FIELD ]],"|",Table1[[#This Row],[AUX_TYPE_1]],"|",Table1[[#This Row],[AUX_TYPE_2]],"|",Table1[[#This Row],[AUX_TYPE_4]],"|0"))</f>
        <v>NULL|BDR1_TOT|83||ERROR|ERROR|0|0</v>
      </c>
      <c r="J85" s="3"/>
    </row>
    <row r="86" spans="1:10" x14ac:dyDescent="0.25">
      <c r="A86">
        <v>84</v>
      </c>
      <c r="B86" t="s">
        <v>11</v>
      </c>
      <c r="D86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86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86" t="str">
        <f>IFERROR(TRUNC(IF(Table1[[#This Row],[FIELD FORMAT ]]="DATE",10,_xlfn.NUMBERVALUE(LEFT(RIGHT(D86,LEN(D86)-FIND("(",D86)),FIND(")",D86)-FIND("(",D86)-1)))),"ERROR")</f>
        <v>ERROR</v>
      </c>
      <c r="G86" t="str">
        <f>IFERROR(ROUND(ABS(IF(Table1[[#This Row],[FIELD FORMAT ]]="DATE",10,_xlfn.NUMBERVALUE(LEFT(RIGHT(D86,LEN(D86)-FIND("(",D86)),FIND(")",D86)-FIND("(",D86)-1)))-Table1[[#This Row],[AUX_TYPE_2]]),2),"ERROR")</f>
        <v>ERROR</v>
      </c>
      <c r="H86">
        <f>IF(IFERROR(FIND(",",Table1[[#This Row],[AUX_TYPE_3]]),0)&gt; 0,_xlfn.NUMBERVALUE(RIGHT(Table1[[#This Row],[AUX_TYPE_3]],LEN(Table1[[#This Row],[AUX_TYPE_3]])-FIND(",",Table1[[#This Row],[AUX_TYPE_3]]))),0)</f>
        <v>0</v>
      </c>
      <c r="I86" t="str">
        <f>IF(Table1[[#This Row],[BDR TABLE ]]="","",CONCATENATE("NULL|",Table1[[#This Row],[BDR TABLE ]],"|",A86,"|",Table1[[#This Row],[BDR FIELD ]],"|",Table1[[#This Row],[AUX_TYPE_1]],"|",Table1[[#This Row],[AUX_TYPE_2]],"|",Table1[[#This Row],[AUX_TYPE_4]],"|0"))</f>
        <v>NULL|BDR1_TOT|84||ERROR|ERROR|0|0</v>
      </c>
      <c r="J86" s="3"/>
    </row>
    <row r="87" spans="1:10" x14ac:dyDescent="0.25">
      <c r="A87">
        <v>85</v>
      </c>
      <c r="B87" t="s">
        <v>11</v>
      </c>
      <c r="D87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87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87" t="str">
        <f>IFERROR(TRUNC(IF(Table1[[#This Row],[FIELD FORMAT ]]="DATE",10,_xlfn.NUMBERVALUE(LEFT(RIGHT(D87,LEN(D87)-FIND("(",D87)),FIND(")",D87)-FIND("(",D87)-1)))),"ERROR")</f>
        <v>ERROR</v>
      </c>
      <c r="G87" t="str">
        <f>IFERROR(ROUND(ABS(IF(Table1[[#This Row],[FIELD FORMAT ]]="DATE",10,_xlfn.NUMBERVALUE(LEFT(RIGHT(D87,LEN(D87)-FIND("(",D87)),FIND(")",D87)-FIND("(",D87)-1)))-Table1[[#This Row],[AUX_TYPE_2]]),2),"ERROR")</f>
        <v>ERROR</v>
      </c>
      <c r="H87">
        <f>IF(IFERROR(FIND(",",Table1[[#This Row],[AUX_TYPE_3]]),0)&gt; 0,_xlfn.NUMBERVALUE(RIGHT(Table1[[#This Row],[AUX_TYPE_3]],LEN(Table1[[#This Row],[AUX_TYPE_3]])-FIND(",",Table1[[#This Row],[AUX_TYPE_3]]))),0)</f>
        <v>0</v>
      </c>
      <c r="I87" t="str">
        <f>IF(Table1[[#This Row],[BDR TABLE ]]="","",CONCATENATE("NULL|",Table1[[#This Row],[BDR TABLE ]],"|",A87,"|",Table1[[#This Row],[BDR FIELD ]],"|",Table1[[#This Row],[AUX_TYPE_1]],"|",Table1[[#This Row],[AUX_TYPE_2]],"|",Table1[[#This Row],[AUX_TYPE_4]],"|0"))</f>
        <v>NULL|BDR1_TOT|85||ERROR|ERROR|0|0</v>
      </c>
      <c r="J87" s="3"/>
    </row>
    <row r="88" spans="1:10" x14ac:dyDescent="0.25">
      <c r="A88">
        <v>86</v>
      </c>
      <c r="B88" t="s">
        <v>11</v>
      </c>
      <c r="D88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88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88" t="str">
        <f>IFERROR(TRUNC(IF(Table1[[#This Row],[FIELD FORMAT ]]="DATE",10,_xlfn.NUMBERVALUE(LEFT(RIGHT(D88,LEN(D88)-FIND("(",D88)),FIND(")",D88)-FIND("(",D88)-1)))),"ERROR")</f>
        <v>ERROR</v>
      </c>
      <c r="G88" t="str">
        <f>IFERROR(ROUND(ABS(IF(Table1[[#This Row],[FIELD FORMAT ]]="DATE",10,_xlfn.NUMBERVALUE(LEFT(RIGHT(D88,LEN(D88)-FIND("(",D88)),FIND(")",D88)-FIND("(",D88)-1)))-Table1[[#This Row],[AUX_TYPE_2]]),2),"ERROR")</f>
        <v>ERROR</v>
      </c>
      <c r="H88">
        <f>IF(IFERROR(FIND(",",Table1[[#This Row],[AUX_TYPE_3]]),0)&gt; 0,_xlfn.NUMBERVALUE(RIGHT(Table1[[#This Row],[AUX_TYPE_3]],LEN(Table1[[#This Row],[AUX_TYPE_3]])-FIND(",",Table1[[#This Row],[AUX_TYPE_3]]))),0)</f>
        <v>0</v>
      </c>
      <c r="I88" t="str">
        <f>IF(Table1[[#This Row],[BDR TABLE ]]="","",CONCATENATE("NULL|",Table1[[#This Row],[BDR TABLE ]],"|",A88,"|",Table1[[#This Row],[BDR FIELD ]],"|",Table1[[#This Row],[AUX_TYPE_1]],"|",Table1[[#This Row],[AUX_TYPE_2]],"|",Table1[[#This Row],[AUX_TYPE_4]],"|0"))</f>
        <v>NULL|BDR1_TOT|86||ERROR|ERROR|0|0</v>
      </c>
      <c r="J88" s="3"/>
    </row>
    <row r="89" spans="1:10" x14ac:dyDescent="0.25">
      <c r="A89">
        <v>87</v>
      </c>
      <c r="B89" t="s">
        <v>11</v>
      </c>
      <c r="D89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89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89" t="str">
        <f>IFERROR(TRUNC(IF(Table1[[#This Row],[FIELD FORMAT ]]="DATE",10,_xlfn.NUMBERVALUE(LEFT(RIGHT(D89,LEN(D89)-FIND("(",D89)),FIND(")",D89)-FIND("(",D89)-1)))),"ERROR")</f>
        <v>ERROR</v>
      </c>
      <c r="G89" t="str">
        <f>IFERROR(ROUND(ABS(IF(Table1[[#This Row],[FIELD FORMAT ]]="DATE",10,_xlfn.NUMBERVALUE(LEFT(RIGHT(D89,LEN(D89)-FIND("(",D89)),FIND(")",D89)-FIND("(",D89)-1)))-Table1[[#This Row],[AUX_TYPE_2]]),2),"ERROR")</f>
        <v>ERROR</v>
      </c>
      <c r="H89">
        <f>IF(IFERROR(FIND(",",Table1[[#This Row],[AUX_TYPE_3]]),0)&gt; 0,_xlfn.NUMBERVALUE(RIGHT(Table1[[#This Row],[AUX_TYPE_3]],LEN(Table1[[#This Row],[AUX_TYPE_3]])-FIND(",",Table1[[#This Row],[AUX_TYPE_3]]))),0)</f>
        <v>0</v>
      </c>
      <c r="I89" t="str">
        <f>IF(Table1[[#This Row],[BDR TABLE ]]="","",CONCATENATE("NULL|",Table1[[#This Row],[BDR TABLE ]],"|",A89,"|",Table1[[#This Row],[BDR FIELD ]],"|",Table1[[#This Row],[AUX_TYPE_1]],"|",Table1[[#This Row],[AUX_TYPE_2]],"|",Table1[[#This Row],[AUX_TYPE_4]],"|0"))</f>
        <v>NULL|BDR1_TOT|87||ERROR|ERROR|0|0</v>
      </c>
      <c r="J89" s="3"/>
    </row>
    <row r="90" spans="1:10" x14ac:dyDescent="0.25">
      <c r="A90">
        <v>88</v>
      </c>
      <c r="B90" t="s">
        <v>11</v>
      </c>
      <c r="D90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90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90" t="str">
        <f>IFERROR(TRUNC(IF(Table1[[#This Row],[FIELD FORMAT ]]="DATE",10,_xlfn.NUMBERVALUE(LEFT(RIGHT(D90,LEN(D90)-FIND("(",D90)),FIND(")",D90)-FIND("(",D90)-1)))),"ERROR")</f>
        <v>ERROR</v>
      </c>
      <c r="G90" t="str">
        <f>IFERROR(ROUND(ABS(IF(Table1[[#This Row],[FIELD FORMAT ]]="DATE",10,_xlfn.NUMBERVALUE(LEFT(RIGHT(D90,LEN(D90)-FIND("(",D90)),FIND(")",D90)-FIND("(",D90)-1)))-Table1[[#This Row],[AUX_TYPE_2]]),2),"ERROR")</f>
        <v>ERROR</v>
      </c>
      <c r="H90">
        <f>IF(IFERROR(FIND(",",Table1[[#This Row],[AUX_TYPE_3]]),0)&gt; 0,_xlfn.NUMBERVALUE(RIGHT(Table1[[#This Row],[AUX_TYPE_3]],LEN(Table1[[#This Row],[AUX_TYPE_3]])-FIND(",",Table1[[#This Row],[AUX_TYPE_3]]))),0)</f>
        <v>0</v>
      </c>
      <c r="I90" t="str">
        <f>IF(Table1[[#This Row],[BDR TABLE ]]="","",CONCATENATE("NULL|",Table1[[#This Row],[BDR TABLE ]],"|",A90,"|",Table1[[#This Row],[BDR FIELD ]],"|",Table1[[#This Row],[AUX_TYPE_1]],"|",Table1[[#This Row],[AUX_TYPE_2]],"|",Table1[[#This Row],[AUX_TYPE_4]],"|0"))</f>
        <v>NULL|BDR1_TOT|88||ERROR|ERROR|0|0</v>
      </c>
      <c r="J90" s="3"/>
    </row>
    <row r="91" spans="1:10" x14ac:dyDescent="0.25">
      <c r="A91">
        <v>89</v>
      </c>
      <c r="B91" t="s">
        <v>11</v>
      </c>
      <c r="D91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91" s="3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91" s="3" t="str">
        <f>IFERROR(TRUNC(IF(Table1[[#This Row],[FIELD FORMAT ]]="DATE",10,_xlfn.NUMBERVALUE(LEFT(RIGHT(D91,LEN(D91)-FIND("(",D91)),FIND(")",D91)-FIND("(",D91)-1)))),"ERROR")</f>
        <v>ERROR</v>
      </c>
      <c r="G91" s="3" t="str">
        <f>IFERROR(ROUND(ABS(IF(Table1[[#This Row],[FIELD FORMAT ]]="DATE",10,_xlfn.NUMBERVALUE(LEFT(RIGHT(D91,LEN(D91)-FIND("(",D91)),FIND(")",D91)-FIND("(",D91)-1)))-Table1[[#This Row],[AUX_TYPE_2]]),2),"ERROR")</f>
        <v>ERROR</v>
      </c>
      <c r="H91" s="3">
        <f>IF(IFERROR(FIND(",",Table1[[#This Row],[AUX_TYPE_3]]),0)&gt; 0,_xlfn.NUMBERVALUE(RIGHT(Table1[[#This Row],[AUX_TYPE_3]],LEN(Table1[[#This Row],[AUX_TYPE_3]])-FIND(",",Table1[[#This Row],[AUX_TYPE_3]]))),0)</f>
        <v>0</v>
      </c>
      <c r="I91" s="3" t="str">
        <f>IF(Table1[[#This Row],[BDR TABLE ]]="","",CONCATENATE("NULL|",Table1[[#This Row],[BDR TABLE ]],"|",A91,"|",Table1[[#This Row],[BDR FIELD ]],"|",Table1[[#This Row],[AUX_TYPE_1]],"|",Table1[[#This Row],[AUX_TYPE_2]],"|",Table1[[#This Row],[AUX_TYPE_4]],"|0"))</f>
        <v>NULL|BDR1_TOT|89||ERROR|ERROR|0|0</v>
      </c>
      <c r="J91" s="3"/>
    </row>
    <row r="92" spans="1:10" x14ac:dyDescent="0.25">
      <c r="A92">
        <v>90</v>
      </c>
      <c r="B92" t="s">
        <v>11</v>
      </c>
      <c r="D92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92" s="3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92" s="3" t="str">
        <f>IFERROR(TRUNC(IF(Table1[[#This Row],[FIELD FORMAT ]]="DATE",10,_xlfn.NUMBERVALUE(LEFT(RIGHT(D92,LEN(D92)-FIND("(",D92)),FIND(")",D92)-FIND("(",D92)-1)))),"ERROR")</f>
        <v>ERROR</v>
      </c>
      <c r="G92" s="3" t="str">
        <f>IFERROR(ROUND(ABS(IF(Table1[[#This Row],[FIELD FORMAT ]]="DATE",10,_xlfn.NUMBERVALUE(LEFT(RIGHT(D92,LEN(D92)-FIND("(",D92)),FIND(")",D92)-FIND("(",D92)-1)))-Table1[[#This Row],[AUX_TYPE_2]]),2),"ERROR")</f>
        <v>ERROR</v>
      </c>
      <c r="H92" s="3">
        <f>IF(IFERROR(FIND(",",Table1[[#This Row],[AUX_TYPE_3]]),0)&gt; 0,_xlfn.NUMBERVALUE(RIGHT(Table1[[#This Row],[AUX_TYPE_3]],LEN(Table1[[#This Row],[AUX_TYPE_3]])-FIND(",",Table1[[#This Row],[AUX_TYPE_3]]))),0)</f>
        <v>0</v>
      </c>
      <c r="I92" s="3" t="str">
        <f>IF(Table1[[#This Row],[BDR TABLE ]]="","",CONCATENATE("NULL|",Table1[[#This Row],[BDR TABLE ]],"|",A92,"|",Table1[[#This Row],[BDR FIELD ]],"|",Table1[[#This Row],[AUX_TYPE_1]],"|",Table1[[#This Row],[AUX_TYPE_2]],"|",Table1[[#This Row],[AUX_TYPE_4]],"|0"))</f>
        <v>NULL|BDR1_TOT|90||ERROR|ERROR|0|0</v>
      </c>
      <c r="J92" s="3"/>
    </row>
    <row r="93" spans="1:10" x14ac:dyDescent="0.25">
      <c r="A93">
        <v>91</v>
      </c>
      <c r="B93" t="s">
        <v>11</v>
      </c>
      <c r="D93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93" s="3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93" s="3" t="str">
        <f>IFERROR(TRUNC(IF(Table1[[#This Row],[FIELD FORMAT ]]="DATE",10,_xlfn.NUMBERVALUE(LEFT(RIGHT(D93,LEN(D93)-FIND("(",D93)),FIND(")",D93)-FIND("(",D93)-1)))),"ERROR")</f>
        <v>ERROR</v>
      </c>
      <c r="G93" s="3" t="str">
        <f>IFERROR(ROUND(ABS(IF(Table1[[#This Row],[FIELD FORMAT ]]="DATE",10,_xlfn.NUMBERVALUE(LEFT(RIGHT(D93,LEN(D93)-FIND("(",D93)),FIND(")",D93)-FIND("(",D93)-1)))-Table1[[#This Row],[AUX_TYPE_2]]),2),"ERROR")</f>
        <v>ERROR</v>
      </c>
      <c r="H93" s="3">
        <f>IF(IFERROR(FIND(",",Table1[[#This Row],[AUX_TYPE_3]]),0)&gt; 0,_xlfn.NUMBERVALUE(RIGHT(Table1[[#This Row],[AUX_TYPE_3]],LEN(Table1[[#This Row],[AUX_TYPE_3]])-FIND(",",Table1[[#This Row],[AUX_TYPE_3]]))),0)</f>
        <v>0</v>
      </c>
      <c r="I93" s="3" t="str">
        <f>IF(Table1[[#This Row],[BDR TABLE ]]="","",CONCATENATE("NULL|",Table1[[#This Row],[BDR TABLE ]],"|",A93,"|",Table1[[#This Row],[BDR FIELD ]],"|",Table1[[#This Row],[AUX_TYPE_1]],"|",Table1[[#This Row],[AUX_TYPE_2]],"|",Table1[[#This Row],[AUX_TYPE_4]],"|0"))</f>
        <v>NULL|BDR1_TOT|91||ERROR|ERROR|0|0</v>
      </c>
      <c r="J93" s="3"/>
    </row>
    <row r="94" spans="1:10" x14ac:dyDescent="0.25">
      <c r="A94">
        <v>92</v>
      </c>
      <c r="B94" t="s">
        <v>11</v>
      </c>
      <c r="D94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94" s="3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94" s="3" t="str">
        <f>IFERROR(TRUNC(IF(Table1[[#This Row],[FIELD FORMAT ]]="DATE",10,_xlfn.NUMBERVALUE(LEFT(RIGHT(D94,LEN(D94)-FIND("(",D94)),FIND(")",D94)-FIND("(",D94)-1)))),"ERROR")</f>
        <v>ERROR</v>
      </c>
      <c r="G94" s="3" t="str">
        <f>IFERROR(ROUND(ABS(IF(Table1[[#This Row],[FIELD FORMAT ]]="DATE",10,_xlfn.NUMBERVALUE(LEFT(RIGHT(D94,LEN(D94)-FIND("(",D94)),FIND(")",D94)-FIND("(",D94)-1)))-Table1[[#This Row],[AUX_TYPE_2]]),2),"ERROR")</f>
        <v>ERROR</v>
      </c>
      <c r="H94" s="3">
        <f>IF(IFERROR(FIND(",",Table1[[#This Row],[AUX_TYPE_3]]),0)&gt; 0,_xlfn.NUMBERVALUE(RIGHT(Table1[[#This Row],[AUX_TYPE_3]],LEN(Table1[[#This Row],[AUX_TYPE_3]])-FIND(",",Table1[[#This Row],[AUX_TYPE_3]]))),0)</f>
        <v>0</v>
      </c>
      <c r="I94" s="3" t="str">
        <f>IF(Table1[[#This Row],[BDR TABLE ]]="","",CONCATENATE("NULL|",Table1[[#This Row],[BDR TABLE ]],"|",A94,"|",Table1[[#This Row],[BDR FIELD ]],"|",Table1[[#This Row],[AUX_TYPE_1]],"|",Table1[[#This Row],[AUX_TYPE_2]],"|",Table1[[#This Row],[AUX_TYPE_4]],"|0"))</f>
        <v>NULL|BDR1_TOT|92||ERROR|ERROR|0|0</v>
      </c>
      <c r="J94" s="3"/>
    </row>
    <row r="95" spans="1:10" x14ac:dyDescent="0.25">
      <c r="A95">
        <v>93</v>
      </c>
      <c r="B95" t="s">
        <v>11</v>
      </c>
      <c r="D95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95" s="3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95" s="3" t="str">
        <f>IFERROR(TRUNC(IF(Table1[[#This Row],[FIELD FORMAT ]]="DATE",10,_xlfn.NUMBERVALUE(LEFT(RIGHT(D95,LEN(D95)-FIND("(",D95)),FIND(")",D95)-FIND("(",D95)-1)))),"ERROR")</f>
        <v>ERROR</v>
      </c>
      <c r="G95" s="3" t="str">
        <f>IFERROR(ROUND(ABS(IF(Table1[[#This Row],[FIELD FORMAT ]]="DATE",10,_xlfn.NUMBERVALUE(LEFT(RIGHT(D95,LEN(D95)-FIND("(",D95)),FIND(")",D95)-FIND("(",D95)-1)))-Table1[[#This Row],[AUX_TYPE_2]]),2),"ERROR")</f>
        <v>ERROR</v>
      </c>
      <c r="H95" s="3">
        <f>IF(IFERROR(FIND(",",Table1[[#This Row],[AUX_TYPE_3]]),0)&gt; 0,_xlfn.NUMBERVALUE(RIGHT(Table1[[#This Row],[AUX_TYPE_3]],LEN(Table1[[#This Row],[AUX_TYPE_3]])-FIND(",",Table1[[#This Row],[AUX_TYPE_3]]))),0)</f>
        <v>0</v>
      </c>
      <c r="I95" s="3" t="str">
        <f>IF(Table1[[#This Row],[BDR TABLE ]]="","",CONCATENATE("NULL|",Table1[[#This Row],[BDR TABLE ]],"|",A95,"|",Table1[[#This Row],[BDR FIELD ]],"|",Table1[[#This Row],[AUX_TYPE_1]],"|",Table1[[#This Row],[AUX_TYPE_2]],"|",Table1[[#This Row],[AUX_TYPE_4]],"|0"))</f>
        <v>NULL|BDR1_TOT|93||ERROR|ERROR|0|0</v>
      </c>
      <c r="J95" s="3"/>
    </row>
    <row r="96" spans="1:10" x14ac:dyDescent="0.25">
      <c r="A96">
        <v>94</v>
      </c>
      <c r="B96" t="s">
        <v>11</v>
      </c>
      <c r="D96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96" s="3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96" s="3" t="str">
        <f>IFERROR(TRUNC(IF(Table1[[#This Row],[FIELD FORMAT ]]="DATE",10,_xlfn.NUMBERVALUE(LEFT(RIGHT(D96,LEN(D96)-FIND("(",D96)),FIND(")",D96)-FIND("(",D96)-1)))),"ERROR")</f>
        <v>ERROR</v>
      </c>
      <c r="G96" s="3" t="str">
        <f>IFERROR(ROUND(ABS(IF(Table1[[#This Row],[FIELD FORMAT ]]="DATE",10,_xlfn.NUMBERVALUE(LEFT(RIGHT(D96,LEN(D96)-FIND("(",D96)),FIND(")",D96)-FIND("(",D96)-1)))-Table1[[#This Row],[AUX_TYPE_2]]),2),"ERROR")</f>
        <v>ERROR</v>
      </c>
      <c r="H96" s="3">
        <f>IF(IFERROR(FIND(",",Table1[[#This Row],[AUX_TYPE_3]]),0)&gt; 0,_xlfn.NUMBERVALUE(RIGHT(Table1[[#This Row],[AUX_TYPE_3]],LEN(Table1[[#This Row],[AUX_TYPE_3]])-FIND(",",Table1[[#This Row],[AUX_TYPE_3]]))),0)</f>
        <v>0</v>
      </c>
      <c r="I96" s="3" t="str">
        <f>IF(Table1[[#This Row],[BDR TABLE ]]="","",CONCATENATE("NULL|",Table1[[#This Row],[BDR TABLE ]],"|",A96,"|",Table1[[#This Row],[BDR FIELD ]],"|",Table1[[#This Row],[AUX_TYPE_1]],"|",Table1[[#This Row],[AUX_TYPE_2]],"|",Table1[[#This Row],[AUX_TYPE_4]],"|0"))</f>
        <v>NULL|BDR1_TOT|94||ERROR|ERROR|0|0</v>
      </c>
      <c r="J96" s="3"/>
    </row>
    <row r="97" spans="1:10" x14ac:dyDescent="0.25">
      <c r="A97">
        <v>95</v>
      </c>
      <c r="B97" t="s">
        <v>11</v>
      </c>
      <c r="D97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97" s="3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97" s="3" t="str">
        <f>IFERROR(TRUNC(IF(Table1[[#This Row],[FIELD FORMAT ]]="DATE",10,_xlfn.NUMBERVALUE(LEFT(RIGHT(D97,LEN(D97)-FIND("(",D97)),FIND(")",D97)-FIND("(",D97)-1)))),"ERROR")</f>
        <v>ERROR</v>
      </c>
      <c r="G97" s="3" t="str">
        <f>IFERROR(ROUND(ABS(IF(Table1[[#This Row],[FIELD FORMAT ]]="DATE",10,_xlfn.NUMBERVALUE(LEFT(RIGHT(D97,LEN(D97)-FIND("(",D97)),FIND(")",D97)-FIND("(",D97)-1)))-Table1[[#This Row],[AUX_TYPE_2]]),2),"ERROR")</f>
        <v>ERROR</v>
      </c>
      <c r="H97" s="3">
        <f>IF(IFERROR(FIND(",",Table1[[#This Row],[AUX_TYPE_3]]),0)&gt; 0,_xlfn.NUMBERVALUE(RIGHT(Table1[[#This Row],[AUX_TYPE_3]],LEN(Table1[[#This Row],[AUX_TYPE_3]])-FIND(",",Table1[[#This Row],[AUX_TYPE_3]]))),0)</f>
        <v>0</v>
      </c>
      <c r="I97" s="3" t="str">
        <f>IF(Table1[[#This Row],[BDR TABLE ]]="","",CONCATENATE("NULL|",Table1[[#This Row],[BDR TABLE ]],"|",A97,"|",Table1[[#This Row],[BDR FIELD ]],"|",Table1[[#This Row],[AUX_TYPE_1]],"|",Table1[[#This Row],[AUX_TYPE_2]],"|",Table1[[#This Row],[AUX_TYPE_4]],"|0"))</f>
        <v>NULL|BDR1_TOT|95||ERROR|ERROR|0|0</v>
      </c>
      <c r="J97" s="3"/>
    </row>
    <row r="98" spans="1:10" x14ac:dyDescent="0.25">
      <c r="A98">
        <v>96</v>
      </c>
      <c r="B98" t="s">
        <v>11</v>
      </c>
      <c r="D98">
        <f>IF(Table1[[#This Row],[Column1]]="DATE9.","DATE",IF(Table1[[#This Row],[Column1]]="BEST5.","DEC(05,00)",IF(Table1[[#This Row],[Column1]]="BEST9.","DEC(09,00)",IF(Table1[[#This Row],[Column1]]="BEST1.","DEC(01,00)",Table1[[#This Row],[Column1]]))))</f>
        <v>0</v>
      </c>
      <c r="E98" s="3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98" s="3" t="str">
        <f>IFERROR(TRUNC(IF(Table1[[#This Row],[FIELD FORMAT ]]="DATE",10,_xlfn.NUMBERVALUE(LEFT(RIGHT(D98,LEN(D98)-FIND("(",D98)),FIND(")",D98)-FIND("(",D98)-1)))),"ERROR")</f>
        <v>ERROR</v>
      </c>
      <c r="G98" s="3" t="str">
        <f>IFERROR(ROUND(ABS(IF(Table1[[#This Row],[FIELD FORMAT ]]="DATE",10,_xlfn.NUMBERVALUE(LEFT(RIGHT(D98,LEN(D98)-FIND("(",D98)),FIND(")",D98)-FIND("(",D98)-1)))-Table1[[#This Row],[AUX_TYPE_2]]),2),"ERROR")</f>
        <v>ERROR</v>
      </c>
      <c r="H98" s="3">
        <f>IF(IFERROR(FIND(",",Table1[[#This Row],[AUX_TYPE_3]]),0)&gt; 0,_xlfn.NUMBERVALUE(RIGHT(Table1[[#This Row],[AUX_TYPE_3]],LEN(Table1[[#This Row],[AUX_TYPE_3]])-FIND(",",Table1[[#This Row],[AUX_TYPE_3]]))),0)</f>
        <v>0</v>
      </c>
      <c r="I98" s="3" t="str">
        <f>IF(Table1[[#This Row],[BDR TABLE ]]="","",CONCATENATE("NULL|",Table1[[#This Row],[BDR TABLE ]],"|",A98,"|",Table1[[#This Row],[BDR FIELD ]],"|",Table1[[#This Row],[AUX_TYPE_1]],"|",Table1[[#This Row],[AUX_TYPE_2]],"|",Table1[[#This Row],[AUX_TYPE_4]],"|0"))</f>
        <v>NULL|BDR1_TOT|96||ERROR|ERROR|0|0</v>
      </c>
      <c r="J98" s="3"/>
    </row>
    <row r="99" spans="1:10" x14ac:dyDescent="0.25">
      <c r="A99">
        <v>97</v>
      </c>
      <c r="B99" t="s">
        <v>11</v>
      </c>
      <c r="E99" s="3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99" s="3" t="str">
        <f>IFERROR(TRUNC(IF(Table1[[#This Row],[FIELD FORMAT ]]="DATE",10,_xlfn.NUMBERVALUE(LEFT(RIGHT(D99,LEN(D99)-FIND("(",D99)),FIND(")",D99)-FIND("(",D99)-1)))),"ERROR")</f>
        <v>ERROR</v>
      </c>
      <c r="G99" s="3" t="str">
        <f>IFERROR(ROUND(ABS(IF(Table1[[#This Row],[FIELD FORMAT ]]="DATE",10,_xlfn.NUMBERVALUE(LEFT(RIGHT(D99,LEN(D99)-FIND("(",D99)),FIND(")",D99)-FIND("(",D99)-1)))-Table1[[#This Row],[AUX_TYPE_2]]),2),"ERROR")</f>
        <v>ERROR</v>
      </c>
      <c r="H99" s="3">
        <f>IF(IFERROR(FIND(",",Table1[[#This Row],[AUX_TYPE_3]]),0)&gt; 0,_xlfn.NUMBERVALUE(RIGHT(Table1[[#This Row],[AUX_TYPE_3]],LEN(Table1[[#This Row],[AUX_TYPE_3]])-FIND(",",Table1[[#This Row],[AUX_TYPE_3]]))),0)</f>
        <v>0</v>
      </c>
      <c r="I99" s="3" t="str">
        <f>IF(Table1[[#This Row],[BDR TABLE ]]="","",CONCATENATE("NULL|",Table1[[#This Row],[BDR TABLE ]],"|",A99,"|",Table1[[#This Row],[BDR FIELD ]],"|",Table1[[#This Row],[AUX_TYPE_1]],"|",Table1[[#This Row],[AUX_TYPE_2]],"|",Table1[[#This Row],[AUX_TYPE_4]],"|0"))</f>
        <v>NULL|BDR1_TOT|97||ERROR|ERROR|0|0</v>
      </c>
      <c r="J99" s="3"/>
    </row>
    <row r="100" spans="1:10" x14ac:dyDescent="0.25">
      <c r="A100">
        <v>98</v>
      </c>
      <c r="B100" t="s">
        <v>11</v>
      </c>
      <c r="E100" s="3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100" s="3" t="str">
        <f>IFERROR(TRUNC(IF(Table1[[#This Row],[FIELD FORMAT ]]="DATE",10,_xlfn.NUMBERVALUE(LEFT(RIGHT(D100,LEN(D100)-FIND("(",D100)),FIND(")",D100)-FIND("(",D100)-1)))),"ERROR")</f>
        <v>ERROR</v>
      </c>
      <c r="G100" s="3" t="str">
        <f>IFERROR(ROUND(ABS(IF(Table1[[#This Row],[FIELD FORMAT ]]="DATE",10,_xlfn.NUMBERVALUE(LEFT(RIGHT(D100,LEN(D100)-FIND("(",D100)),FIND(")",D100)-FIND("(",D100)-1)))-Table1[[#This Row],[AUX_TYPE_2]]),2),"ERROR")</f>
        <v>ERROR</v>
      </c>
      <c r="H100" s="3">
        <f>IF(IFERROR(FIND(",",Table1[[#This Row],[AUX_TYPE_3]]),0)&gt; 0,_xlfn.NUMBERVALUE(RIGHT(Table1[[#This Row],[AUX_TYPE_3]],LEN(Table1[[#This Row],[AUX_TYPE_3]])-FIND(",",Table1[[#This Row],[AUX_TYPE_3]]))),0)</f>
        <v>0</v>
      </c>
      <c r="I100" s="3" t="str">
        <f>IF(Table1[[#This Row],[BDR TABLE ]]="","",CONCATENATE("NULL|",Table1[[#This Row],[BDR TABLE ]],"|",A100,"|",Table1[[#This Row],[BDR FIELD ]],"|",Table1[[#This Row],[AUX_TYPE_1]],"|",Table1[[#This Row],[AUX_TYPE_2]],"|",Table1[[#This Row],[AUX_TYPE_4]],"|0"))</f>
        <v>NULL|BDR1_TOT|98||ERROR|ERROR|0|0</v>
      </c>
      <c r="J100" s="3"/>
    </row>
    <row r="101" spans="1:10" x14ac:dyDescent="0.25">
      <c r="A101">
        <v>99</v>
      </c>
      <c r="B101" t="s">
        <v>11</v>
      </c>
      <c r="E101" s="3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101" s="3" t="str">
        <f>IFERROR(TRUNC(IF(Table1[[#This Row],[FIELD FORMAT ]]="DATE",10,_xlfn.NUMBERVALUE(LEFT(RIGHT(D101,LEN(D101)-FIND("(",D101)),FIND(")",D101)-FIND("(",D101)-1)))),"ERROR")</f>
        <v>ERROR</v>
      </c>
      <c r="G101" s="3" t="str">
        <f>IFERROR(ROUND(ABS(IF(Table1[[#This Row],[FIELD FORMAT ]]="DATE",10,_xlfn.NUMBERVALUE(LEFT(RIGHT(D101,LEN(D101)-FIND("(",D101)),FIND(")",D101)-FIND("(",D101)-1)))-Table1[[#This Row],[AUX_TYPE_2]]),2),"ERROR")</f>
        <v>ERROR</v>
      </c>
      <c r="H101" s="3">
        <f>IF(IFERROR(FIND(",",Table1[[#This Row],[AUX_TYPE_3]]),0)&gt; 0,_xlfn.NUMBERVALUE(RIGHT(Table1[[#This Row],[AUX_TYPE_3]],LEN(Table1[[#This Row],[AUX_TYPE_3]])-FIND(",",Table1[[#This Row],[AUX_TYPE_3]]))),0)</f>
        <v>0</v>
      </c>
      <c r="I101" s="3" t="str">
        <f>IF(Table1[[#This Row],[BDR TABLE ]]="","",CONCATENATE("NULL|",Table1[[#This Row],[BDR TABLE ]],"|",A101,"|",Table1[[#This Row],[BDR FIELD ]],"|",Table1[[#This Row],[AUX_TYPE_1]],"|",Table1[[#This Row],[AUX_TYPE_2]],"|",Table1[[#This Row],[AUX_TYPE_4]],"|0"))</f>
        <v>NULL|BDR1_TOT|99||ERROR|ERROR|0|0</v>
      </c>
      <c r="J101" s="3"/>
    </row>
    <row r="102" spans="1:10" x14ac:dyDescent="0.25">
      <c r="A102">
        <v>100</v>
      </c>
      <c r="B102" t="s">
        <v>11</v>
      </c>
      <c r="E102" s="3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102" s="3" t="str">
        <f>IFERROR(TRUNC(IF(Table1[[#This Row],[FIELD FORMAT ]]="DATE",10,_xlfn.NUMBERVALUE(LEFT(RIGHT(D102,LEN(D102)-FIND("(",D102)),FIND(")",D102)-FIND("(",D102)-1)))),"ERROR")</f>
        <v>ERROR</v>
      </c>
      <c r="G102" s="3" t="str">
        <f>IFERROR(ROUND(ABS(IF(Table1[[#This Row],[FIELD FORMAT ]]="DATE",10,_xlfn.NUMBERVALUE(LEFT(RIGHT(D102,LEN(D102)-FIND("(",D102)),FIND(")",D102)-FIND("(",D102)-1)))-Table1[[#This Row],[AUX_TYPE_2]]),2),"ERROR")</f>
        <v>ERROR</v>
      </c>
      <c r="H102" s="3">
        <f>IF(IFERROR(FIND(",",Table1[[#This Row],[AUX_TYPE_3]]),0)&gt; 0,_xlfn.NUMBERVALUE(RIGHT(Table1[[#This Row],[AUX_TYPE_3]],LEN(Table1[[#This Row],[AUX_TYPE_3]])-FIND(",",Table1[[#This Row],[AUX_TYPE_3]]))),0)</f>
        <v>0</v>
      </c>
      <c r="I102" s="3" t="str">
        <f>IF(Table1[[#This Row],[BDR TABLE ]]="","",CONCATENATE("NULL|",Table1[[#This Row],[BDR TABLE ]],"|",A102,"|",Table1[[#This Row],[BDR FIELD ]],"|",Table1[[#This Row],[AUX_TYPE_1]],"|",Table1[[#This Row],[AUX_TYPE_2]],"|",Table1[[#This Row],[AUX_TYPE_4]],"|0"))</f>
        <v>NULL|BDR1_TOT|100||ERROR|ERROR|0|0</v>
      </c>
      <c r="J102" s="3"/>
    </row>
    <row r="103" spans="1:10" x14ac:dyDescent="0.25">
      <c r="A103">
        <v>101</v>
      </c>
      <c r="B103" t="s">
        <v>11</v>
      </c>
      <c r="E103" s="3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103" s="3" t="str">
        <f>IFERROR(TRUNC(IF(Table1[[#This Row],[FIELD FORMAT ]]="DATE",10,_xlfn.NUMBERVALUE(LEFT(RIGHT(D103,LEN(D103)-FIND("(",D103)),FIND(")",D103)-FIND("(",D103)-1)))),"ERROR")</f>
        <v>ERROR</v>
      </c>
      <c r="G103" s="3" t="str">
        <f>IFERROR(ROUND(ABS(IF(Table1[[#This Row],[FIELD FORMAT ]]="DATE",10,_xlfn.NUMBERVALUE(LEFT(RIGHT(D103,LEN(D103)-FIND("(",D103)),FIND(")",D103)-FIND("(",D103)-1)))-Table1[[#This Row],[AUX_TYPE_2]]),2),"ERROR")</f>
        <v>ERROR</v>
      </c>
      <c r="H103" s="3">
        <f>IF(IFERROR(FIND(",",Table1[[#This Row],[AUX_TYPE_3]]),0)&gt; 0,_xlfn.NUMBERVALUE(RIGHT(Table1[[#This Row],[AUX_TYPE_3]],LEN(Table1[[#This Row],[AUX_TYPE_3]])-FIND(",",Table1[[#This Row],[AUX_TYPE_3]]))),0)</f>
        <v>0</v>
      </c>
      <c r="I103" s="3" t="str">
        <f>IF(Table1[[#This Row],[BDR TABLE ]]="","",CONCATENATE("NULL|",Table1[[#This Row],[BDR TABLE ]],"|",A103,"|",Table1[[#This Row],[BDR FIELD ]],"|",Table1[[#This Row],[AUX_TYPE_1]],"|",Table1[[#This Row],[AUX_TYPE_2]],"|",Table1[[#This Row],[AUX_TYPE_4]],"|0"))</f>
        <v>NULL|BDR1_TOT|101||ERROR|ERROR|0|0</v>
      </c>
      <c r="J103" s="3"/>
    </row>
    <row r="104" spans="1:10" x14ac:dyDescent="0.25">
      <c r="A104">
        <v>102</v>
      </c>
      <c r="B104" t="s">
        <v>11</v>
      </c>
      <c r="E104" s="3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104" s="3" t="str">
        <f>IFERROR(TRUNC(IF(Table1[[#This Row],[FIELD FORMAT ]]="DATE",10,_xlfn.NUMBERVALUE(LEFT(RIGHT(D104,LEN(D104)-FIND("(",D104)),FIND(")",D104)-FIND("(",D104)-1)))),"ERROR")</f>
        <v>ERROR</v>
      </c>
      <c r="G104" s="3" t="str">
        <f>IFERROR(ROUND(ABS(IF(Table1[[#This Row],[FIELD FORMAT ]]="DATE",10,_xlfn.NUMBERVALUE(LEFT(RIGHT(D104,LEN(D104)-FIND("(",D104)),FIND(")",D104)-FIND("(",D104)-1)))-Table1[[#This Row],[AUX_TYPE_2]]),2),"ERROR")</f>
        <v>ERROR</v>
      </c>
      <c r="H104" s="3">
        <f>IF(IFERROR(FIND(",",Table1[[#This Row],[AUX_TYPE_3]]),0)&gt; 0,_xlfn.NUMBERVALUE(RIGHT(Table1[[#This Row],[AUX_TYPE_3]],LEN(Table1[[#This Row],[AUX_TYPE_3]])-FIND(",",Table1[[#This Row],[AUX_TYPE_3]]))),0)</f>
        <v>0</v>
      </c>
      <c r="I104" s="3" t="str">
        <f>IF(Table1[[#This Row],[BDR TABLE ]]="","",CONCATENATE("NULL|",Table1[[#This Row],[BDR TABLE ]],"|",A104,"|",Table1[[#This Row],[BDR FIELD ]],"|",Table1[[#This Row],[AUX_TYPE_1]],"|",Table1[[#This Row],[AUX_TYPE_2]],"|",Table1[[#This Row],[AUX_TYPE_4]],"|0"))</f>
        <v>NULL|BDR1_TOT|102||ERROR|ERROR|0|0</v>
      </c>
      <c r="J104" s="3"/>
    </row>
    <row r="105" spans="1:10" x14ac:dyDescent="0.25">
      <c r="A105">
        <v>103</v>
      </c>
      <c r="B105" t="s">
        <v>11</v>
      </c>
      <c r="E105" s="3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105" s="3" t="str">
        <f>IFERROR(TRUNC(IF(Table1[[#This Row],[FIELD FORMAT ]]="DATE",10,_xlfn.NUMBERVALUE(LEFT(RIGHT(D105,LEN(D105)-FIND("(",D105)),FIND(")",D105)-FIND("(",D105)-1)))),"ERROR")</f>
        <v>ERROR</v>
      </c>
      <c r="G105" s="3" t="str">
        <f>IFERROR(ROUND(ABS(IF(Table1[[#This Row],[FIELD FORMAT ]]="DATE",10,_xlfn.NUMBERVALUE(LEFT(RIGHT(D105,LEN(D105)-FIND("(",D105)),FIND(")",D105)-FIND("(",D105)-1)))-Table1[[#This Row],[AUX_TYPE_2]]),2),"ERROR")</f>
        <v>ERROR</v>
      </c>
      <c r="H105" s="3">
        <f>IF(IFERROR(FIND(",",Table1[[#This Row],[AUX_TYPE_3]]),0)&gt; 0,_xlfn.NUMBERVALUE(RIGHT(Table1[[#This Row],[AUX_TYPE_3]],LEN(Table1[[#This Row],[AUX_TYPE_3]])-FIND(",",Table1[[#This Row],[AUX_TYPE_3]]))),0)</f>
        <v>0</v>
      </c>
      <c r="I105" s="3" t="str">
        <f>IF(Table1[[#This Row],[BDR TABLE ]]="","",CONCATENATE("NULL|",Table1[[#This Row],[BDR TABLE ]],"|",A105,"|",Table1[[#This Row],[BDR FIELD ]],"|",Table1[[#This Row],[AUX_TYPE_1]],"|",Table1[[#This Row],[AUX_TYPE_2]],"|",Table1[[#This Row],[AUX_TYPE_4]],"|0"))</f>
        <v>NULL|BDR1_TOT|103||ERROR|ERROR|0|0</v>
      </c>
      <c r="J105" s="3"/>
    </row>
    <row r="106" spans="1:10" x14ac:dyDescent="0.25">
      <c r="A106">
        <v>104</v>
      </c>
      <c r="B106" t="s">
        <v>11</v>
      </c>
      <c r="E106" s="3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106" s="3" t="str">
        <f>IFERROR(TRUNC(IF(Table1[[#This Row],[FIELD FORMAT ]]="DATE",10,_xlfn.NUMBERVALUE(LEFT(RIGHT(D106,LEN(D106)-FIND("(",D106)),FIND(")",D106)-FIND("(",D106)-1)))),"ERROR")</f>
        <v>ERROR</v>
      </c>
      <c r="G106" s="3" t="str">
        <f>IFERROR(ROUND(ABS(IF(Table1[[#This Row],[FIELD FORMAT ]]="DATE",10,_xlfn.NUMBERVALUE(LEFT(RIGHT(D106,LEN(D106)-FIND("(",D106)),FIND(")",D106)-FIND("(",D106)-1)))-Table1[[#This Row],[AUX_TYPE_2]]),2),"ERROR")</f>
        <v>ERROR</v>
      </c>
      <c r="H106" s="3">
        <f>IF(IFERROR(FIND(",",Table1[[#This Row],[AUX_TYPE_3]]),0)&gt; 0,_xlfn.NUMBERVALUE(RIGHT(Table1[[#This Row],[AUX_TYPE_3]],LEN(Table1[[#This Row],[AUX_TYPE_3]])-FIND(",",Table1[[#This Row],[AUX_TYPE_3]]))),0)</f>
        <v>0</v>
      </c>
      <c r="I106" s="3" t="str">
        <f>IF(Table1[[#This Row],[BDR TABLE ]]="","",CONCATENATE("NULL|",Table1[[#This Row],[BDR TABLE ]],"|",A106,"|",Table1[[#This Row],[BDR FIELD ]],"|",Table1[[#This Row],[AUX_TYPE_1]],"|",Table1[[#This Row],[AUX_TYPE_2]],"|",Table1[[#This Row],[AUX_TYPE_4]],"|0"))</f>
        <v>NULL|BDR1_TOT|104||ERROR|ERROR|0|0</v>
      </c>
      <c r="J106" s="3"/>
    </row>
    <row r="107" spans="1:10" x14ac:dyDescent="0.25">
      <c r="A107">
        <v>105</v>
      </c>
      <c r="B107" t="s">
        <v>11</v>
      </c>
      <c r="E107" s="3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107" s="3" t="str">
        <f>IFERROR(TRUNC(IF(Table1[[#This Row],[FIELD FORMAT ]]="DATE",10,_xlfn.NUMBERVALUE(LEFT(RIGHT(D107,LEN(D107)-FIND("(",D107)),FIND(")",D107)-FIND("(",D107)-1)))),"ERROR")</f>
        <v>ERROR</v>
      </c>
      <c r="G107" s="3" t="str">
        <f>IFERROR(ROUND(ABS(IF(Table1[[#This Row],[FIELD FORMAT ]]="DATE",10,_xlfn.NUMBERVALUE(LEFT(RIGHT(D107,LEN(D107)-FIND("(",D107)),FIND(")",D107)-FIND("(",D107)-1)))-Table1[[#This Row],[AUX_TYPE_2]]),2),"ERROR")</f>
        <v>ERROR</v>
      </c>
      <c r="H107" s="3">
        <f>IF(IFERROR(FIND(",",Table1[[#This Row],[AUX_TYPE_3]]),0)&gt; 0,_xlfn.NUMBERVALUE(RIGHT(Table1[[#This Row],[AUX_TYPE_3]],LEN(Table1[[#This Row],[AUX_TYPE_3]])-FIND(",",Table1[[#This Row],[AUX_TYPE_3]]))),0)</f>
        <v>0</v>
      </c>
      <c r="I107" s="3" t="str">
        <f>IF(Table1[[#This Row],[BDR TABLE ]]="","",CONCATENATE("NULL|",Table1[[#This Row],[BDR TABLE ]],"|",A107,"|",Table1[[#This Row],[BDR FIELD ]],"|",Table1[[#This Row],[AUX_TYPE_1]],"|",Table1[[#This Row],[AUX_TYPE_2]],"|",Table1[[#This Row],[AUX_TYPE_4]],"|0"))</f>
        <v>NULL|BDR1_TOT|105||ERROR|ERROR|0|0</v>
      </c>
      <c r="J107" s="3"/>
    </row>
    <row r="108" spans="1:10" x14ac:dyDescent="0.25">
      <c r="A108">
        <v>106</v>
      </c>
      <c r="B108" t="s">
        <v>11</v>
      </c>
      <c r="E108" s="3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108" s="3" t="str">
        <f>IFERROR(TRUNC(IF(Table1[[#This Row],[FIELD FORMAT ]]="DATE",10,_xlfn.NUMBERVALUE(LEFT(RIGHT(D108,LEN(D108)-FIND("(",D108)),FIND(")",D108)-FIND("(",D108)-1)))),"ERROR")</f>
        <v>ERROR</v>
      </c>
      <c r="G108" s="3" t="str">
        <f>IFERROR(ROUND(ABS(IF(Table1[[#This Row],[FIELD FORMAT ]]="DATE",10,_xlfn.NUMBERVALUE(LEFT(RIGHT(D108,LEN(D108)-FIND("(",D108)),FIND(")",D108)-FIND("(",D108)-1)))-Table1[[#This Row],[AUX_TYPE_2]]),2),"ERROR")</f>
        <v>ERROR</v>
      </c>
      <c r="H108" s="3">
        <f>IF(IFERROR(FIND(",",Table1[[#This Row],[AUX_TYPE_3]]),0)&gt; 0,_xlfn.NUMBERVALUE(RIGHT(Table1[[#This Row],[AUX_TYPE_3]],LEN(Table1[[#This Row],[AUX_TYPE_3]])-FIND(",",Table1[[#This Row],[AUX_TYPE_3]]))),0)</f>
        <v>0</v>
      </c>
      <c r="I108" s="3" t="str">
        <f>IF(Table1[[#This Row],[BDR TABLE ]]="","",CONCATENATE("NULL|",Table1[[#This Row],[BDR TABLE ]],"|",A108,"|",Table1[[#This Row],[BDR FIELD ]],"|",Table1[[#This Row],[AUX_TYPE_1]],"|",Table1[[#This Row],[AUX_TYPE_2]],"|",Table1[[#This Row],[AUX_TYPE_4]],"|0"))</f>
        <v>NULL|BDR1_TOT|106||ERROR|ERROR|0|0</v>
      </c>
      <c r="J108" s="3"/>
    </row>
    <row r="109" spans="1:10" x14ac:dyDescent="0.25">
      <c r="A109">
        <v>107</v>
      </c>
      <c r="B109" t="s">
        <v>11</v>
      </c>
      <c r="E109" s="3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109" s="3" t="str">
        <f>IFERROR(TRUNC(IF(Table1[[#This Row],[FIELD FORMAT ]]="DATE",10,_xlfn.NUMBERVALUE(LEFT(RIGHT(D109,LEN(D109)-FIND("(",D109)),FIND(")",D109)-FIND("(",D109)-1)))),"ERROR")</f>
        <v>ERROR</v>
      </c>
      <c r="G109" s="3" t="str">
        <f>IFERROR(ROUND(ABS(IF(Table1[[#This Row],[FIELD FORMAT ]]="DATE",10,_xlfn.NUMBERVALUE(LEFT(RIGHT(D109,LEN(D109)-FIND("(",D109)),FIND(")",D109)-FIND("(",D109)-1)))-Table1[[#This Row],[AUX_TYPE_2]]),2),"ERROR")</f>
        <v>ERROR</v>
      </c>
      <c r="H109" s="3">
        <f>IF(IFERROR(FIND(",",Table1[[#This Row],[AUX_TYPE_3]]),0)&gt; 0,_xlfn.NUMBERVALUE(RIGHT(Table1[[#This Row],[AUX_TYPE_3]],LEN(Table1[[#This Row],[AUX_TYPE_3]])-FIND(",",Table1[[#This Row],[AUX_TYPE_3]]))),0)</f>
        <v>0</v>
      </c>
      <c r="I109" s="3" t="str">
        <f>IF(Table1[[#This Row],[BDR TABLE ]]="","",CONCATENATE("NULL|",Table1[[#This Row],[BDR TABLE ]],"|",A109,"|",Table1[[#This Row],[BDR FIELD ]],"|",Table1[[#This Row],[AUX_TYPE_1]],"|",Table1[[#This Row],[AUX_TYPE_2]],"|",Table1[[#This Row],[AUX_TYPE_4]],"|0"))</f>
        <v>NULL|BDR1_TOT|107||ERROR|ERROR|0|0</v>
      </c>
      <c r="J109" s="3"/>
    </row>
    <row r="110" spans="1:10" x14ac:dyDescent="0.25">
      <c r="A110">
        <v>108</v>
      </c>
      <c r="B110" t="s">
        <v>11</v>
      </c>
      <c r="E110" s="3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110" s="3" t="str">
        <f>IFERROR(TRUNC(IF(Table1[[#This Row],[FIELD FORMAT ]]="DATE",10,_xlfn.NUMBERVALUE(LEFT(RIGHT(D110,LEN(D110)-FIND("(",D110)),FIND(")",D110)-FIND("(",D110)-1)))),"ERROR")</f>
        <v>ERROR</v>
      </c>
      <c r="G110" s="3" t="str">
        <f>IFERROR(ROUND(ABS(IF(Table1[[#This Row],[FIELD FORMAT ]]="DATE",10,_xlfn.NUMBERVALUE(LEFT(RIGHT(D110,LEN(D110)-FIND("(",D110)),FIND(")",D110)-FIND("(",D110)-1)))-Table1[[#This Row],[AUX_TYPE_2]]),2),"ERROR")</f>
        <v>ERROR</v>
      </c>
      <c r="H110" s="3">
        <f>IF(IFERROR(FIND(",",Table1[[#This Row],[AUX_TYPE_3]]),0)&gt; 0,_xlfn.NUMBERVALUE(RIGHT(Table1[[#This Row],[AUX_TYPE_3]],LEN(Table1[[#This Row],[AUX_TYPE_3]])-FIND(",",Table1[[#This Row],[AUX_TYPE_3]]))),0)</f>
        <v>0</v>
      </c>
      <c r="I110" s="3" t="str">
        <f>IF(Table1[[#This Row],[BDR TABLE ]]="","",CONCATENATE("NULL|",Table1[[#This Row],[BDR TABLE ]],"|",A110,"|",Table1[[#This Row],[BDR FIELD ]],"|",Table1[[#This Row],[AUX_TYPE_1]],"|",Table1[[#This Row],[AUX_TYPE_2]],"|",Table1[[#This Row],[AUX_TYPE_4]],"|0"))</f>
        <v>NULL|BDR1_TOT|108||ERROR|ERROR|0|0</v>
      </c>
      <c r="J110" s="3"/>
    </row>
    <row r="111" spans="1:10" x14ac:dyDescent="0.25">
      <c r="A111">
        <v>109</v>
      </c>
      <c r="B111" t="s">
        <v>11</v>
      </c>
      <c r="E111" s="3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111" s="3" t="str">
        <f>IFERROR(TRUNC(IF(Table1[[#This Row],[FIELD FORMAT ]]="DATE",10,_xlfn.NUMBERVALUE(LEFT(RIGHT(D111,LEN(D111)-FIND("(",D111)),FIND(")",D111)-FIND("(",D111)-1)))),"ERROR")</f>
        <v>ERROR</v>
      </c>
      <c r="G111" s="3" t="str">
        <f>IFERROR(ROUND(ABS(IF(Table1[[#This Row],[FIELD FORMAT ]]="DATE",10,_xlfn.NUMBERVALUE(LEFT(RIGHT(D111,LEN(D111)-FIND("(",D111)),FIND(")",D111)-FIND("(",D111)-1)))-Table1[[#This Row],[AUX_TYPE_2]]),2),"ERROR")</f>
        <v>ERROR</v>
      </c>
      <c r="H111" s="3">
        <f>IF(IFERROR(FIND(",",Table1[[#This Row],[AUX_TYPE_3]]),0)&gt; 0,_xlfn.NUMBERVALUE(RIGHT(Table1[[#This Row],[AUX_TYPE_3]],LEN(Table1[[#This Row],[AUX_TYPE_3]])-FIND(",",Table1[[#This Row],[AUX_TYPE_3]]))),0)</f>
        <v>0</v>
      </c>
      <c r="I111" s="3" t="str">
        <f>IF(Table1[[#This Row],[BDR TABLE ]]="","",CONCATENATE("NULL|",Table1[[#This Row],[BDR TABLE ]],"|",A111,"|",Table1[[#This Row],[BDR FIELD ]],"|",Table1[[#This Row],[AUX_TYPE_1]],"|",Table1[[#This Row],[AUX_TYPE_2]],"|",Table1[[#This Row],[AUX_TYPE_4]],"|0"))</f>
        <v>NULL|BDR1_TOT|109||ERROR|ERROR|0|0</v>
      </c>
      <c r="J111" s="3"/>
    </row>
    <row r="112" spans="1:10" x14ac:dyDescent="0.25">
      <c r="A112">
        <v>110</v>
      </c>
      <c r="B112" t="s">
        <v>11</v>
      </c>
      <c r="E112" s="3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112" s="3" t="str">
        <f>IFERROR(TRUNC(IF(Table1[[#This Row],[FIELD FORMAT ]]="DATE",10,_xlfn.NUMBERVALUE(LEFT(RIGHT(D112,LEN(D112)-FIND("(",D112)),FIND(")",D112)-FIND("(",D112)-1)))),"ERROR")</f>
        <v>ERROR</v>
      </c>
      <c r="G112" s="3" t="str">
        <f>IFERROR(ROUND(ABS(IF(Table1[[#This Row],[FIELD FORMAT ]]="DATE",10,_xlfn.NUMBERVALUE(LEFT(RIGHT(D112,LEN(D112)-FIND("(",D112)),FIND(")",D112)-FIND("(",D112)-1)))-Table1[[#This Row],[AUX_TYPE_2]]),2),"ERROR")</f>
        <v>ERROR</v>
      </c>
      <c r="H112" s="3">
        <f>IF(IFERROR(FIND(",",Table1[[#This Row],[AUX_TYPE_3]]),0)&gt; 0,_xlfn.NUMBERVALUE(RIGHT(Table1[[#This Row],[AUX_TYPE_3]],LEN(Table1[[#This Row],[AUX_TYPE_3]])-FIND(",",Table1[[#This Row],[AUX_TYPE_3]]))),0)</f>
        <v>0</v>
      </c>
      <c r="I112" s="3" t="str">
        <f>IF(Table1[[#This Row],[BDR TABLE ]]="","",CONCATENATE("NULL|",Table1[[#This Row],[BDR TABLE ]],"|",A112,"|",Table1[[#This Row],[BDR FIELD ]],"|",Table1[[#This Row],[AUX_TYPE_1]],"|",Table1[[#This Row],[AUX_TYPE_2]],"|",Table1[[#This Row],[AUX_TYPE_4]],"|0"))</f>
        <v>NULL|BDR1_TOT|110||ERROR|ERROR|0|0</v>
      </c>
      <c r="J112" s="3"/>
    </row>
    <row r="113" spans="1:10" x14ac:dyDescent="0.25">
      <c r="A113">
        <v>111</v>
      </c>
      <c r="B113" t="s">
        <v>11</v>
      </c>
      <c r="E113" s="3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113" s="3" t="str">
        <f>IFERROR(TRUNC(IF(Table1[[#This Row],[FIELD FORMAT ]]="DATE",10,_xlfn.NUMBERVALUE(LEFT(RIGHT(D113,LEN(D113)-FIND("(",D113)),FIND(")",D113)-FIND("(",D113)-1)))),"ERROR")</f>
        <v>ERROR</v>
      </c>
      <c r="G113" s="3" t="str">
        <f>IFERROR(ROUND(ABS(IF(Table1[[#This Row],[FIELD FORMAT ]]="DATE",10,_xlfn.NUMBERVALUE(LEFT(RIGHT(D113,LEN(D113)-FIND("(",D113)),FIND(")",D113)-FIND("(",D113)-1)))-Table1[[#This Row],[AUX_TYPE_2]]),2),"ERROR")</f>
        <v>ERROR</v>
      </c>
      <c r="H113" s="3">
        <f>IF(IFERROR(FIND(",",Table1[[#This Row],[AUX_TYPE_3]]),0)&gt; 0,_xlfn.NUMBERVALUE(RIGHT(Table1[[#This Row],[AUX_TYPE_3]],LEN(Table1[[#This Row],[AUX_TYPE_3]])-FIND(",",Table1[[#This Row],[AUX_TYPE_3]]))),0)</f>
        <v>0</v>
      </c>
      <c r="I113" s="3" t="str">
        <f>IF(Table1[[#This Row],[BDR TABLE ]]="","",CONCATENATE("NULL|",Table1[[#This Row],[BDR TABLE ]],"|",A113,"|",Table1[[#This Row],[BDR FIELD ]],"|",Table1[[#This Row],[AUX_TYPE_1]],"|",Table1[[#This Row],[AUX_TYPE_2]],"|",Table1[[#This Row],[AUX_TYPE_4]],"|0"))</f>
        <v>NULL|BDR1_TOT|111||ERROR|ERROR|0|0</v>
      </c>
      <c r="J113" s="3"/>
    </row>
    <row r="114" spans="1:10" x14ac:dyDescent="0.25">
      <c r="A114">
        <v>112</v>
      </c>
      <c r="B114" t="s">
        <v>11</v>
      </c>
      <c r="E114" s="3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114" s="3" t="str">
        <f>IFERROR(TRUNC(IF(Table1[[#This Row],[FIELD FORMAT ]]="DATE",10,_xlfn.NUMBERVALUE(LEFT(RIGHT(D114,LEN(D114)-FIND("(",D114)),FIND(")",D114)-FIND("(",D114)-1)))),"ERROR")</f>
        <v>ERROR</v>
      </c>
      <c r="G114" s="3" t="str">
        <f>IFERROR(ROUND(ABS(IF(Table1[[#This Row],[FIELD FORMAT ]]="DATE",10,_xlfn.NUMBERVALUE(LEFT(RIGHT(D114,LEN(D114)-FIND("(",D114)),FIND(")",D114)-FIND("(",D114)-1)))-Table1[[#This Row],[AUX_TYPE_2]]),2),"ERROR")</f>
        <v>ERROR</v>
      </c>
      <c r="H114" s="3">
        <f>IF(IFERROR(FIND(",",Table1[[#This Row],[AUX_TYPE_3]]),0)&gt; 0,_xlfn.NUMBERVALUE(RIGHT(Table1[[#This Row],[AUX_TYPE_3]],LEN(Table1[[#This Row],[AUX_TYPE_3]])-FIND(",",Table1[[#This Row],[AUX_TYPE_3]]))),0)</f>
        <v>0</v>
      </c>
      <c r="I114" s="3" t="str">
        <f>IF(Table1[[#This Row],[BDR TABLE ]]="","",CONCATENATE("NULL|",Table1[[#This Row],[BDR TABLE ]],"|",A114,"|",Table1[[#This Row],[BDR FIELD ]],"|",Table1[[#This Row],[AUX_TYPE_1]],"|",Table1[[#This Row],[AUX_TYPE_2]],"|",Table1[[#This Row],[AUX_TYPE_4]],"|0"))</f>
        <v>NULL|BDR1_TOT|112||ERROR|ERROR|0|0</v>
      </c>
      <c r="J114" s="3"/>
    </row>
    <row r="115" spans="1:10" x14ac:dyDescent="0.25">
      <c r="A115">
        <v>113</v>
      </c>
      <c r="B115" t="s">
        <v>11</v>
      </c>
      <c r="E115" s="3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115" s="3" t="str">
        <f>IFERROR(TRUNC(IF(Table1[[#This Row],[FIELD FORMAT ]]="DATE",10,_xlfn.NUMBERVALUE(LEFT(RIGHT(D115,LEN(D115)-FIND("(",D115)),FIND(")",D115)-FIND("(",D115)-1)))),"ERROR")</f>
        <v>ERROR</v>
      </c>
      <c r="G115" s="3" t="str">
        <f>IFERROR(ROUND(ABS(IF(Table1[[#This Row],[FIELD FORMAT ]]="DATE",10,_xlfn.NUMBERVALUE(LEFT(RIGHT(D115,LEN(D115)-FIND("(",D115)),FIND(")",D115)-FIND("(",D115)-1)))-Table1[[#This Row],[AUX_TYPE_2]]),2),"ERROR")</f>
        <v>ERROR</v>
      </c>
      <c r="H115" s="3">
        <f>IF(IFERROR(FIND(",",Table1[[#This Row],[AUX_TYPE_3]]),0)&gt; 0,_xlfn.NUMBERVALUE(RIGHT(Table1[[#This Row],[AUX_TYPE_3]],LEN(Table1[[#This Row],[AUX_TYPE_3]])-FIND(",",Table1[[#This Row],[AUX_TYPE_3]]))),0)</f>
        <v>0</v>
      </c>
      <c r="I115" s="3" t="str">
        <f>IF(Table1[[#This Row],[BDR TABLE ]]="","",CONCATENATE("NULL|",Table1[[#This Row],[BDR TABLE ]],"|",A115,"|",Table1[[#This Row],[BDR FIELD ]],"|",Table1[[#This Row],[AUX_TYPE_1]],"|",Table1[[#This Row],[AUX_TYPE_2]],"|",Table1[[#This Row],[AUX_TYPE_4]],"|0"))</f>
        <v>NULL|BDR1_TOT|113||ERROR|ERROR|0|0</v>
      </c>
      <c r="J115" s="3"/>
    </row>
    <row r="116" spans="1:10" x14ac:dyDescent="0.25">
      <c r="A116">
        <v>114</v>
      </c>
      <c r="B116" t="s">
        <v>11</v>
      </c>
      <c r="E116" s="3" t="str">
        <f>IF(Table1[[#This Row],[FIELD FORMAT ]]="DATE","CHAR",IF(IFERROR(FIND("DEC",Table1[[#This Row],[FIELD FORMAT ]]),0)&gt;0,"DECIMAL",IF(IFERROR(FIND("CHAR",Table1[[#This Row],[FIELD FORMAT ]]),0)&gt;0,"CHAR","ERROR")))</f>
        <v>ERROR</v>
      </c>
      <c r="F116" s="3" t="str">
        <f>IFERROR(TRUNC(IF(Table1[[#This Row],[FIELD FORMAT ]]="DATE",10,_xlfn.NUMBERVALUE(LEFT(RIGHT(D116,LEN(D116)-FIND("(",D116)),FIND(")",D116)-FIND("(",D116)-1)))),"ERROR")</f>
        <v>ERROR</v>
      </c>
      <c r="G116" s="3" t="str">
        <f>IFERROR(ROUND(ABS(IF(Table1[[#This Row],[FIELD FORMAT ]]="DATE",10,_xlfn.NUMBERVALUE(LEFT(RIGHT(D116,LEN(D116)-FIND("(",D116)),FIND(")",D116)-FIND("(",D116)-1)))-Table1[[#This Row],[AUX_TYPE_2]]),2),"ERROR")</f>
        <v>ERROR</v>
      </c>
      <c r="H116" s="3">
        <f>IF(IFERROR(FIND(",",Table1[[#This Row],[AUX_TYPE_3]]),0)&gt; 0,_xlfn.NUMBERVALUE(RIGHT(Table1[[#This Row],[AUX_TYPE_3]],LEN(Table1[[#This Row],[AUX_TYPE_3]])-FIND(",",Table1[[#This Row],[AUX_TYPE_3]]))),0)</f>
        <v>0</v>
      </c>
      <c r="I116" s="3" t="str">
        <f>IF(Table1[[#This Row],[BDR TABLE ]]="","",CONCATENATE("NULL|",Table1[[#This Row],[BDR TABLE ]],"|",A116,"|",Table1[[#This Row],[BDR FIELD ]],"|",Table1[[#This Row],[AUX_TYPE_1]],"|",Table1[[#This Row],[AUX_TYPE_2]],"|",Table1[[#This Row],[AUX_TYPE_4]],"|0"))</f>
        <v>NULL|BDR1_TOT|114||ERROR|ERROR|0|0</v>
      </c>
      <c r="J116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af2f9aa599193a55c79d292d76b6e337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04b25a183bab0937220f8c9e03018195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E5FAB9-45E1-4439-9528-E1167700616D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09d3dac3-f296-4107-b579-4b1e37be6169"/>
    <ds:schemaRef ds:uri="http://schemas.microsoft.com/sharepoint/v3"/>
    <ds:schemaRef ds:uri="5ad20f8b-9281-4829-a9aa-2b5a878ba2cc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0B9EB00-84A2-4441-A136-8D89AF3322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5ad20f8b-9281-4829-a9aa-2b5a878ba2cc"/>
    <ds:schemaRef ds:uri="09d3dac3-f296-4107-b579-4b1e37be61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58EB49E-E692-4FAE-AE89-917DF6CEE53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Grupo Santander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Afonso Alexandre</dc:creator>
  <cp:lastModifiedBy>Luís Filipe da Silva Pragosa</cp:lastModifiedBy>
  <dcterms:created xsi:type="dcterms:W3CDTF">2021-03-16T20:58:02Z</dcterms:created>
  <dcterms:modified xsi:type="dcterms:W3CDTF">2024-11-04T14:44:28Z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0x0101000B6B9A5E792D2446B8986FAE34BEC557</vt:lpwstr>
  </property>
  <property fmtid="{D5CDD505-2E9C-101B-9397-08002B2CF9AE}" pid="5" name="MSIP_Label_0c2abd79-57a9-4473-8700-c843f76a1e37_Enabled">
    <vt:lpwstr>true</vt:lpwstr>
  </property>
  <property fmtid="{D5CDD505-2E9C-101B-9397-08002B2CF9AE}" pid="6" name="MSIP_Label_0c2abd79-57a9-4473-8700-c843f76a1e37_SetDate">
    <vt:lpwstr>2023-06-19T10:23:51Z</vt:lpwstr>
  </property>
  <property fmtid="{D5CDD505-2E9C-101B-9397-08002B2CF9AE}" pid="7" name="MSIP_Label_0c2abd79-57a9-4473-8700-c843f76a1e37_Method">
    <vt:lpwstr>Privileged</vt:lpwstr>
  </property>
  <property fmtid="{D5CDD505-2E9C-101B-9397-08002B2CF9AE}" pid="8" name="MSIP_Label_0c2abd79-57a9-4473-8700-c843f76a1e37_Name">
    <vt:lpwstr>Internal</vt:lpwstr>
  </property>
  <property fmtid="{D5CDD505-2E9C-101B-9397-08002B2CF9AE}" pid="9" name="MSIP_Label_0c2abd79-57a9-4473-8700-c843f76a1e37_SiteId">
    <vt:lpwstr>35595a02-4d6d-44ac-99e1-f9ab4cd872db</vt:lpwstr>
  </property>
  <property fmtid="{D5CDD505-2E9C-101B-9397-08002B2CF9AE}" pid="10" name="MSIP_Label_0c2abd79-57a9-4473-8700-c843f76a1e37_ActionId">
    <vt:lpwstr>a52b505a-f86a-4957-b1d5-a0159437e3cd</vt:lpwstr>
  </property>
  <property fmtid="{D5CDD505-2E9C-101B-9397-08002B2CF9AE}" pid="11" name="MSIP_Label_0c2abd79-57a9-4473-8700-c843f76a1e37_ContentBits">
    <vt:lpwstr>0</vt:lpwstr>
  </property>
  <property fmtid="{D5CDD505-2E9C-101B-9397-08002B2CF9AE}" pid="12" name="MediaServiceImageTags">
    <vt:lpwstr/>
  </property>
</Properties>
</file>