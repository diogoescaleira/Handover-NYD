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3. VALUATION/5. Ingestas/"/>
    </mc:Choice>
  </mc:AlternateContent>
  <xr:revisionPtr revIDLastSave="1" documentId="11_47D15147C7CC22CAC60F72D703ADA8DC4315A617" xr6:coauthVersionLast="47" xr6:coauthVersionMax="47" xr10:uidLastSave="{064F1A01-FEDA-4B15-9AE1-B207C77D1A22}"/>
  <bookViews>
    <workbookView xWindow="-108" yWindow="-108" windowWidth="23256" windowHeight="12456" activeTab="3" xr2:uid="{00000000-000D-0000-FFFF-FFFF00000000}"/>
  </bookViews>
  <sheets>
    <sheet name="Tabela" sheetId="1" r:id="rId1"/>
    <sheet name="Campos" sheetId="8" r:id="rId2"/>
    <sheet name="Usos" sheetId="4" r:id="rId3"/>
    <sheet name="Dado Base" sheetId="5" r:id="rId4"/>
    <sheet name="Filtro Dado base" sheetId="7" state="hidden" r:id="rId5"/>
  </sheets>
  <definedNames>
    <definedName name="_xlnm._FilterDatabase" localSheetId="3" hidden="1">'Dado Base'!$B$1:$E$176</definedName>
    <definedName name="Destino.tipoEscrita.modo">Tabela!$AC$65</definedName>
    <definedName name="Destino.volumetria.pre.mediaRegistos">Tabela!$AR$73</definedName>
    <definedName name="Destino.volumetria.pre.tamanhoRegisto">Tabela!$AD$73</definedName>
    <definedName name="FonteDados.ambientePre">#REF!</definedName>
    <definedName name="Governo.basedados">Tabela!$O$27</definedName>
    <definedName name="Governo.descricao">Tabela!$C$33</definedName>
    <definedName name="Governo.granularidade">Tabela!$R$37</definedName>
    <definedName name="Governo.granularidadeOutro">Tabela!$AB$37</definedName>
    <definedName name="Governo.isCloud">Tabela!$J$28</definedName>
    <definedName name="Governo.isOnPrem">Tabela!$D$28</definedName>
    <definedName name="Governo.periodicidade">Tabela!$AL$37</definedName>
    <definedName name="Governo.periodicidadeOutro">Tabela!$AV$37</definedName>
    <definedName name="Governo.tabela">Tabela!$AI$27</definedName>
    <definedName name="Governo.uso">Tabela!$C$37</definedName>
    <definedName name="Housekeeping.pre.campo">Tabela!$O$43</definedName>
    <definedName name="Housekeeping.pre.dias">Tabela!$I$43</definedName>
    <definedName name="Housekeeping.pre.expurgo">Tabela!$E$43</definedName>
    <definedName name="Housekeeping.pre.meses">Tabela!$O$46</definedName>
    <definedName name="Housekeeping.pre.mesesSN">Tabela!$E$46</definedName>
    <definedName name="Housekeeping.pro.campo">Tabela!$AR$43</definedName>
    <definedName name="Housekeeping.pro.dias">Tabela!$AL$43</definedName>
    <definedName name="Housekeeping.pro.expurgo">Tabela!$AH$43</definedName>
    <definedName name="Housekeeping.pro.meses">Tabela!$AR$46</definedName>
    <definedName name="Housekeeping.pro.mesesSN">Tabela!$AH$46</definedName>
    <definedName name="Planificacao.pre.calendario">Tabela!$D$115</definedName>
    <definedName name="Planificacao.pre.periodicidade">Tabela!$Q$115</definedName>
    <definedName name="ProfundidadeHistorica.pre.campoRetencao">Tabela!$N$93</definedName>
    <definedName name="ProfundidadeHistorica.pre.expurgo">Tabela!$D$93</definedName>
    <definedName name="ProfundidadeHistorica.pre.justificacao">Tabela!$Z$93</definedName>
    <definedName name="ProfundidadeHistorica.pre.manterUltimoDiaMes">Tabela!$D$96</definedName>
    <definedName name="ProfundidadeHistorica.pre.offset">Tabela!$H$93</definedName>
    <definedName name="ProfundidadeHistorica.pre.recuperacaoHistorico">Tabela!$D$90</definedName>
    <definedName name="ProfundidadeHistorica.pre.recuperacaoJustificacao">Tabela!$N$90</definedName>
    <definedName name="Solicitante.area">Tabela!$P$19</definedName>
    <definedName name="Solicitante.demand">Tabela!$P$20</definedName>
    <definedName name="Solicitante.email">Tabela!$P$18</definedName>
    <definedName name="Solicitante.nome">Tabela!$P$16</definedName>
    <definedName name="Solicitante.projeto">Tabela!$X$20</definedName>
    <definedName name="Solicitante.tipoPedido">Tabela!$P$22</definedName>
    <definedName name="WG.nomeA">Tabela!$AE$62</definedName>
    <definedName name="WG.nomeCDO">Tabela!$AE$56</definedName>
    <definedName name="WG.nomeDS">Tabela!$AE$59</definedName>
    <definedName name="WG.nomeSA">Tabela!$AE$65</definedName>
    <definedName name="WG.preenchidoPor">Tabela!$AE$53</definedName>
    <definedName name="WG.validadoA">Tabela!$X$62</definedName>
    <definedName name="WG.validadoArq">Tabela!$X$62</definedName>
    <definedName name="WG.validadoCDO">Tabela!$X$56</definedName>
    <definedName name="WG.validadoDS">Tabela!$X$59</definedName>
    <definedName name="WG.validadoSA">Tabela!$X$65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8" l="1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AE66" i="1"/>
  <c r="X66" i="1"/>
  <c r="AE63" i="1"/>
  <c r="X63" i="1"/>
  <c r="AE60" i="1"/>
  <c r="X60" i="1"/>
  <c r="AE57" i="1"/>
  <c r="X57" i="1"/>
  <c r="AE54" i="1"/>
  <c r="AR47" i="1"/>
  <c r="AH47" i="1"/>
  <c r="O47" i="1"/>
  <c r="E47" i="1"/>
  <c r="AR44" i="1"/>
  <c r="AL44" i="1"/>
  <c r="AH44" i="1"/>
  <c r="O44" i="1"/>
  <c r="I44" i="1"/>
  <c r="E44" i="1"/>
  <c r="AL38" i="1"/>
  <c r="R38" i="1"/>
  <c r="C38" i="1"/>
  <c r="C34" i="1"/>
  <c r="AI30" i="1"/>
  <c r="O30" i="1"/>
  <c r="C30" i="1"/>
  <c r="P17" i="1"/>
  <c r="AD69" i="1" l="1"/>
</calcChain>
</file>

<file path=xl/sharedStrings.xml><?xml version="1.0" encoding="utf-8"?>
<sst xmlns="http://schemas.openxmlformats.org/spreadsheetml/2006/main" count="1183" uniqueCount="602">
  <si>
    <t>Múltiplos</t>
  </si>
  <si>
    <t>Eliminatórios</t>
  </si>
  <si>
    <t>S/necessidade</t>
  </si>
  <si>
    <t>Identificador interno do acionista</t>
  </si>
  <si>
    <t>Grupo económico</t>
  </si>
  <si>
    <t>Dados relativos a circunstancias sociais</t>
  </si>
  <si>
    <t>Dados académicos e profissionais</t>
  </si>
  <si>
    <t>Dados relativos ao emprego</t>
  </si>
  <si>
    <t>Limites do cliente</t>
  </si>
  <si>
    <t>Avaliação de risco do cliente</t>
  </si>
  <si>
    <t>Rentabilidade do cliente</t>
  </si>
  <si>
    <t>Dados de origem étnica ou racial</t>
  </si>
  <si>
    <t>Dados de convicções políticas, religiosas e filosóficas</t>
  </si>
  <si>
    <t>Dados de filiação sindical</t>
  </si>
  <si>
    <t>Dados genéticos</t>
  </si>
  <si>
    <t>Dados de saúde</t>
  </si>
  <si>
    <t>Dados biométricos</t>
  </si>
  <si>
    <t>Dados de orientação sexual</t>
  </si>
  <si>
    <t>Dados de registos criminais</t>
  </si>
  <si>
    <t>Operações Financeiras</t>
  </si>
  <si>
    <t>Transacionalidade</t>
  </si>
  <si>
    <t>Dados de Referência</t>
  </si>
  <si>
    <t>Fluxos de liquidação</t>
  </si>
  <si>
    <t>Organizacional</t>
  </si>
  <si>
    <t>Mensagens</t>
  </si>
  <si>
    <t>Dados de mercados financeiros e económicos</t>
  </si>
  <si>
    <t>Risco, Finanças e de Capitais</t>
  </si>
  <si>
    <t>Negócio Bancário</t>
  </si>
  <si>
    <t>Resultados Analíticos</t>
  </si>
  <si>
    <t>Tecnologia &amp; Operações</t>
  </si>
  <si>
    <t>Acordos comerciais</t>
  </si>
  <si>
    <t>Apetência</t>
  </si>
  <si>
    <t>Analytics de clientes e produtos</t>
  </si>
  <si>
    <t>Campanhas comerciais e de marca</t>
  </si>
  <si>
    <t>Infraestrutura de TI</t>
  </si>
  <si>
    <t>Parâmetros de risco</t>
  </si>
  <si>
    <t>Planeamento de vendas e objetivos</t>
  </si>
  <si>
    <t>Contabilidade</t>
  </si>
  <si>
    <t>Métricas agregadas e indicadores</t>
  </si>
  <si>
    <t>Nome</t>
  </si>
  <si>
    <t>Data</t>
  </si>
  <si>
    <t>Preenchido por:</t>
  </si>
  <si>
    <t>SOLICITANTE</t>
  </si>
  <si>
    <t>Nome do Solicitante</t>
  </si>
  <si>
    <t>Área do Solicitante</t>
  </si>
  <si>
    <t>Base de Dados</t>
  </si>
  <si>
    <t>Tabela</t>
  </si>
  <si>
    <t>GOVERNO</t>
  </si>
  <si>
    <t>Descrição</t>
  </si>
  <si>
    <t>Granularidade</t>
  </si>
  <si>
    <t xml:space="preserve">
 </t>
  </si>
  <si>
    <t>Características da acomodação, moradia, situação familiar, propriedades, bens, hobbies e estilos de vida, associações a clubes e afiliações, licenças, permissões e autorizações.</t>
  </si>
  <si>
    <t>Formações, títulos, registos académicos, experiência profissional, afiliações com associações profissionais.</t>
  </si>
  <si>
    <t>Profissão, postos de trabalho, dados económicos de vencimentos, historial do empregado.</t>
  </si>
  <si>
    <t>Traços culturais, idioma, religião, celebração de alguns festejos, expressões artísticas, vestuário, ligações históricas, tipos de alimentação e, por vezes, um território.</t>
  </si>
  <si>
    <t>Fazer referencia a preferências ou opções políticas, também inclui os dados relativos a associação a associações, fundações, congregações e organizações políticas ou ideológicas. Incluídas nesta categoria estão as preferências ou opções referentes à razão ou destino do ser humano.</t>
  </si>
  <si>
    <t>Dados de associação sindical</t>
  </si>
  <si>
    <t>Dados pessoais relativos às características genéticas herdadas ou adquiridas de uma pessoa que proporcionem informação única sobre a sua fisiologia ou estado de saúde, derivadas de análises a amostras biológicas, como por exemplo, análises ao sangue.</t>
  </si>
  <si>
    <t>Qualquer informação respeitante à saúde passada, presente ou futura de uma pessoa, tanto físicos como psicológicos. Por exemplos, relatórios médicos ou clínicos.</t>
  </si>
  <si>
    <t xml:space="preserve">Exclusivamente os dados que por si mesmo, possam identificar uma pessoa. Como por exemplo dados de impressões digitais, de retina ou da íris. </t>
  </si>
  <si>
    <t>Dados que associem o titular dos dados com as suas preferências sexuais, sejam heterossexuais, homossexuais ou bissexuais.</t>
  </si>
  <si>
    <t xml:space="preserve">Dados referentes a antecedentes criminais. </t>
  </si>
  <si>
    <t>Valor máximo que pode ser concedido ao cliente pelo Banco Santander</t>
  </si>
  <si>
    <t>Rentabilidade gerada ao nível do cliente, isto é, a diferença entre as entradas de receita e as despesas (por exemplo, rentabilidade por canal, por sucursal, etc.)</t>
  </si>
  <si>
    <t>Identificação interna do banco para reconhecimento de cada acionista.</t>
  </si>
  <si>
    <t>Todos os dados do cliente e análise do produto, a fim de investigar as tendências potenciais, analisando os efeitos de certas decisões ou eventos, ou avaliar seu desempenho. O objetivo é melhorar o negócio através da aquisição de conhecimento que pode ser usado para fazer melhorias ou alterações.</t>
  </si>
  <si>
    <t>Usos</t>
  </si>
  <si>
    <t>Exemplos</t>
  </si>
  <si>
    <t>Comunicação Interna</t>
  </si>
  <si>
    <t>Comunicação interna geral</t>
  </si>
  <si>
    <t>Comunicação da informação interna para os funcionários (logística, publicidade, formação, etc.)</t>
  </si>
  <si>
    <t>Comunicação interna particular</t>
  </si>
  <si>
    <t>Comunicação interna direcionada para pessoas específicas</t>
  </si>
  <si>
    <t>Questionários internos</t>
  </si>
  <si>
    <t>Inquéritos de compromisso, a avaliação dos cursos de formação, etc.</t>
  </si>
  <si>
    <t>Comunicação Externa</t>
  </si>
  <si>
    <t>Comunicação pública</t>
  </si>
  <si>
    <t>Comunicação a imprensa, acionistas, etc.</t>
  </si>
  <si>
    <t>Comunicação a organismos públicos e reguladores</t>
  </si>
  <si>
    <t>Comunicação à CNMV e outros órgãos públicos</t>
  </si>
  <si>
    <t>Questionários de satisfação</t>
  </si>
  <si>
    <t>Para os clientes, acionistas e o público em geral</t>
  </si>
  <si>
    <t>Atenção ao cliente</t>
  </si>
  <si>
    <t>Chamadas do contact-center sucursais, consultas online, etc.</t>
  </si>
  <si>
    <t>Comunicação de Marketing e eventos</t>
  </si>
  <si>
    <t>Anúncios nos meios de comunicação, venda da marca, etc.</t>
  </si>
  <si>
    <t>Comunicação comercial</t>
  </si>
  <si>
    <t>Contato com clientes para venda de produtos</t>
  </si>
  <si>
    <t>Comunicação informativa</t>
  </si>
  <si>
    <t>Informações aos clientes sobre seus produtos (posições, data de vencimento, etc.)</t>
  </si>
  <si>
    <t>Comunicação para gestão recuperatória</t>
  </si>
  <si>
    <t>Contato com os clientes para as tarefas de recuperação de dívida</t>
  </si>
  <si>
    <t>Comunicação com fornecedores</t>
  </si>
  <si>
    <t>Gestão da comunicação com os prestadores de serviços</t>
  </si>
  <si>
    <t>Gestão</t>
  </si>
  <si>
    <t>Gestão de riscos</t>
  </si>
  <si>
    <t>Atividades de avaliação, monitorização, gestão e mitigação de riscos.</t>
  </si>
  <si>
    <t>Gestão financeira</t>
  </si>
  <si>
    <t>Análise, processamento de informação e tomada de decisões sobre aspetos financeiros e contabilísticos.</t>
  </si>
  <si>
    <t>Gestão tecnológica</t>
  </si>
  <si>
    <t>Gestão de Arquitetura tecnológica, controle de acesso, licenças, sistemas de gestão, etc.</t>
  </si>
  <si>
    <t>Gestão de fornecedores</t>
  </si>
  <si>
    <t>Homologação de fornecedores, contratos, análise global, etc.</t>
  </si>
  <si>
    <t>Gestão de empregados e familiares</t>
  </si>
  <si>
    <t>Gestão de vencimentos, avaliações, promoção, ausências, saúde, fiscalidade, etc.</t>
  </si>
  <si>
    <t>Gestão de marketing e eventos</t>
  </si>
  <si>
    <t>Organização de eventos de marketing, culturais e desportivos, gestão de campanhas de marketing, etc.</t>
  </si>
  <si>
    <t>Gestão de operativa bancaria</t>
  </si>
  <si>
    <t>Gestão de contratos, transacionais, liquidações, etc.</t>
  </si>
  <si>
    <t>Gestão de fundos e atividades de investimento</t>
  </si>
  <si>
    <t>Atividades de gestão de fundos, tesouraria, investimentos, etc.</t>
  </si>
  <si>
    <t>Gestão de processos judiciais</t>
  </si>
  <si>
    <t>Gestão de processos judiciais.</t>
  </si>
  <si>
    <t>Gestão de ativos</t>
  </si>
  <si>
    <t>Gestão de imóveis, escritórios, acesso físico, etc.</t>
  </si>
  <si>
    <t>Gestão comercial</t>
  </si>
  <si>
    <t>Gestão de campanhas comerciais, posicionamento e design de produtos, etc.</t>
  </si>
  <si>
    <t>Gestão de outros bens e serviços não financeiros</t>
  </si>
  <si>
    <t>Gestão de outros serviços e atividades (websites de emprego e universidades, portais de empresas, golfe, outros serviços a empregados e ex-empregados, etc.).</t>
  </si>
  <si>
    <t>Gestão de acionistas</t>
  </si>
  <si>
    <t>Atividades de gestão de voto dos acionistas, liquidação e pagamento de ações, etc.</t>
  </si>
  <si>
    <t>Gestão de incidências internas</t>
  </si>
  <si>
    <t>Gestão de incidentes internos (tecnológica, física, segurança, etc.).</t>
  </si>
  <si>
    <t>Gestão de incidências externas</t>
  </si>
  <si>
    <t>Gestão de incidentes com clientes, fornecedores, etc.</t>
  </si>
  <si>
    <t>Reporte interno</t>
  </si>
  <si>
    <t>Alta direção</t>
  </si>
  <si>
    <t>Elaboração de relatórios para a administração (Conselho, unidade, fator, etc.)</t>
  </si>
  <si>
    <t>Reporte entre áreas</t>
  </si>
  <si>
    <t>Relatórios para gestão entre áreas, seguimentos, etc.</t>
  </si>
  <si>
    <t>Reporte externo</t>
  </si>
  <si>
    <t>Reporte a organismos reguladores e públicos</t>
  </si>
  <si>
    <t>Relatórios para diferentes reguladores e organismos públicos</t>
  </si>
  <si>
    <t>Reporte de incidentes de segurança</t>
  </si>
  <si>
    <t>Comunicação de incidentes de segurança a vários organismos (BCE, CNPD, etc.)</t>
  </si>
  <si>
    <t>Reporte a organismos privados</t>
  </si>
  <si>
    <t>Elaboração de outros relatórios para organismos privados (agências de rating, fundos, investidores institucionais, etc.)</t>
  </si>
  <si>
    <t>Control</t>
  </si>
  <si>
    <t>Tarefas de control e oversight sobre as atividades do banco ou a serviços prestados ao banco</t>
  </si>
  <si>
    <t>Elaboração de Dashboards, seguimento de indicadores, etc.</t>
  </si>
  <si>
    <t>Tarefas de cumprimento</t>
  </si>
  <si>
    <t>Elaboração de análise de cumprimento regulatório, PBC, etc.</t>
  </si>
  <si>
    <t>Tarefas de auditoria</t>
  </si>
  <si>
    <t>Elaboração de relatórios de auditoria, recomendações, etc.</t>
  </si>
  <si>
    <t>Consolidação</t>
  </si>
  <si>
    <t>Consolidação e agregação de dados</t>
  </si>
  <si>
    <t>Tarefas de consolidação financeira, perímetro societário, etc.</t>
  </si>
  <si>
    <t>Metodologia / Analítica</t>
  </si>
  <si>
    <t>Análise estatística</t>
  </si>
  <si>
    <t>Realização de cálculos e análise de caracter estatístico</t>
  </si>
  <si>
    <t>Criação de cenários e projeções</t>
  </si>
  <si>
    <t>Elaboração de Cenários económicos, financeiros, projeções, etc.</t>
  </si>
  <si>
    <t>Criação de modelos</t>
  </si>
  <si>
    <t>Tarefas de Definição, geração e avaliação de modelos</t>
  </si>
  <si>
    <t>Análise Estratégica</t>
  </si>
  <si>
    <t>Análise estratégica</t>
  </si>
  <si>
    <t>Elaboração da estratégia de negócios global e particular, riscos, tecnologia, de dados, etc.</t>
  </si>
  <si>
    <t>Análise de movimentos societários</t>
  </si>
  <si>
    <t>Elaboração da análise de movimentos de fusões, aquisições, vendas, etc.</t>
  </si>
  <si>
    <t>Análise orçamental</t>
  </si>
  <si>
    <t>Elaboração do P20, informações para a gestão orçamental, etc.</t>
  </si>
  <si>
    <t>Dado Base</t>
  </si>
  <si>
    <t>Descrição do Dado Base</t>
  </si>
  <si>
    <t>Data do dado</t>
  </si>
  <si>
    <t>Spread aplicado ao diferencial no cálculo da taxa de juros</t>
  </si>
  <si>
    <t>Data da operação</t>
  </si>
  <si>
    <t>Tipo de garantia</t>
  </si>
  <si>
    <t>País de residência</t>
  </si>
  <si>
    <t>Data de nascimento</t>
  </si>
  <si>
    <t>Data início de relação com o banco</t>
  </si>
  <si>
    <t>Tipo de intervenção</t>
  </si>
  <si>
    <t>Identificador do grupo económico</t>
  </si>
  <si>
    <t>Denominação social</t>
  </si>
  <si>
    <t>Tipo de pessoa</t>
  </si>
  <si>
    <t>PBC</t>
  </si>
  <si>
    <t>RWA</t>
  </si>
  <si>
    <t>Número de empregado</t>
  </si>
  <si>
    <t>Estado civil</t>
  </si>
  <si>
    <t>Género</t>
  </si>
  <si>
    <t>Data de constituição</t>
  </si>
  <si>
    <t>Data de óbito</t>
  </si>
  <si>
    <t>Data de falência</t>
  </si>
  <si>
    <t>Código de aplicação</t>
  </si>
  <si>
    <r>
      <t xml:space="preserve">Uso </t>
    </r>
    <r>
      <rPr>
        <sz val="9"/>
        <rFont val="Arial"/>
        <family val="2"/>
      </rPr>
      <t>(Consultar pestana Usos)</t>
    </r>
  </si>
  <si>
    <t>Entidade</t>
  </si>
  <si>
    <t>Identificador da garantia</t>
  </si>
  <si>
    <t>Identificador do contrato</t>
  </si>
  <si>
    <t>Identificador do bem</t>
  </si>
  <si>
    <t>Identificador da proposta</t>
  </si>
  <si>
    <t>Moeda do contrato</t>
  </si>
  <si>
    <t>Moeda da garantia</t>
  </si>
  <si>
    <t>Necessária para usar a avaliação no cálculo de LTV e Alocações de Provisão.</t>
  </si>
  <si>
    <t>Valor da garantia</t>
  </si>
  <si>
    <t>Valor de avaliação da garantia (valor de mercado, exceto no caso de imóvel onde o valor a considerar é da avaliação do bem), convertido, se não estiver na moeda local (euros)</t>
  </si>
  <si>
    <t>Setor contabilístico</t>
  </si>
  <si>
    <t>Data de nascimento do cliente</t>
  </si>
  <si>
    <t>Data inicial da relação entre o cliente e a entidade (primeiro registro nas informações do cliente).</t>
  </si>
  <si>
    <t>Identificar a forma de intervenção de um cliente (Proprietário Único, Joint Venture, etc.)</t>
  </si>
  <si>
    <t>Setor corporativo de cliente</t>
  </si>
  <si>
    <t>Classificação interna do setor do cliente que encontra-se no BdP (Banco de Portugal, Caixa Econômica, Comunidades Autônomas, etc.)</t>
  </si>
  <si>
    <t>Identificador interno do cliente</t>
  </si>
  <si>
    <t>Nome pelo qual uma empresa é conhecida coletivamente. Nome oficial e legal que consta da documentação que permitiu a constituição da pessoa coletiva em questão.</t>
  </si>
  <si>
    <t>Define se é uma pessoa singular ou coletiva</t>
  </si>
  <si>
    <t>Código de identificação do setor em que o cliente desempenha a sua atividade, seja trabalhador por conta de outrem ou trabalhador independente. Por exemplo: presta serviços em espaços abertos, transporte de mercadorias, compra e venda grossista, etc. Em Portugal designa-se por CAE.</t>
  </si>
  <si>
    <t>Código do centro territorial responsável vinculado à unidade organizacional correspondente</t>
  </si>
  <si>
    <t>Montante métrica</t>
  </si>
  <si>
    <t>É o montante da métrica calculada no contrato (exposição garantia contrato, exposição contrato, exposição netting colateral, exposição ponto de controlo)</t>
  </si>
  <si>
    <t>Rubrica contabilística</t>
  </si>
  <si>
    <t>Agrupador da conta contabilística</t>
  </si>
  <si>
    <t>Beneficiário da transação realizada</t>
  </si>
  <si>
    <t>Ordenante transação</t>
  </si>
  <si>
    <t>Identificador inequívoco transação</t>
  </si>
  <si>
    <t>Semântica</t>
  </si>
  <si>
    <t>Pessoas</t>
  </si>
  <si>
    <t>Dados pessoas singulares</t>
  </si>
  <si>
    <t>Dados pessoas coletivas</t>
  </si>
  <si>
    <t>Dados específicos de empregados</t>
  </si>
  <si>
    <t>Dados específicos de acionistas</t>
  </si>
  <si>
    <t>Indicadores de controlling</t>
  </si>
  <si>
    <t>Resultado de capital económico</t>
  </si>
  <si>
    <t>Resultado de RWA</t>
  </si>
  <si>
    <t>Email do Solicitante</t>
  </si>
  <si>
    <t>Preencher a pestana de campos antes de enviar.</t>
  </si>
  <si>
    <t>#</t>
  </si>
  <si>
    <t>Campo</t>
  </si>
  <si>
    <r>
      <t xml:space="preserve">Dado Base </t>
    </r>
    <r>
      <rPr>
        <sz val="11"/>
        <color theme="0"/>
        <rFont val="Arial"/>
        <family val="2"/>
      </rPr>
      <t>(consultar pestana dado base)</t>
    </r>
  </si>
  <si>
    <t>Em caso de dúvida no preenchimento contactar cdo@santander.pt</t>
  </si>
  <si>
    <t>Especifique a granularidade</t>
  </si>
  <si>
    <t>Timestamp e utilizador de modificação</t>
  </si>
  <si>
    <t>Outros logs</t>
  </si>
  <si>
    <t>Outros logs de sistema</t>
  </si>
  <si>
    <t>Data de inserção do registo</t>
  </si>
  <si>
    <t>Data de eliminação do registo</t>
  </si>
  <si>
    <t>Identificador interno do cliente (zcliente, zcligrupo)</t>
  </si>
  <si>
    <t>Setor económico</t>
  </si>
  <si>
    <t>Informação da proposta</t>
  </si>
  <si>
    <t>Resultado da proposta</t>
  </si>
  <si>
    <t>Moeda da operação</t>
  </si>
  <si>
    <t>Mensagens contabilísticas</t>
  </si>
  <si>
    <t>Centro de estrutura</t>
  </si>
  <si>
    <t>Indicadores económicos e de mercado</t>
  </si>
  <si>
    <t>Risco de crédito</t>
  </si>
  <si>
    <t>Risco de mercado</t>
  </si>
  <si>
    <t>Risco de liquidez</t>
  </si>
  <si>
    <t>Rentabilidade</t>
  </si>
  <si>
    <t>Provisões</t>
  </si>
  <si>
    <t>Contribuição económica</t>
  </si>
  <si>
    <t>Rácios de capital económico</t>
  </si>
  <si>
    <t>Fundos próprios económicos</t>
  </si>
  <si>
    <t>Custo de capital</t>
  </si>
  <si>
    <t>Contribuição</t>
  </si>
  <si>
    <t>Rácios de capital regulatório</t>
  </si>
  <si>
    <t>Fundos próprios</t>
  </si>
  <si>
    <t>Outras medidas e indicadores não financeiros</t>
  </si>
  <si>
    <t>Alertas e alarmes</t>
  </si>
  <si>
    <t>Limites</t>
  </si>
  <si>
    <t>Regras e avaliações qualitativas</t>
  </si>
  <si>
    <t>Identificação do fornecedor</t>
  </si>
  <si>
    <t xml:space="preserve">Dados que determinam o setor em que opera a pessoa ou entidade coletiva </t>
  </si>
  <si>
    <t>Classificação da pessoa coletiva ou entidade com base no setor contabilístico</t>
  </si>
  <si>
    <t>Dados que permitem identificar a proposta, como o seu identificador (de riscos e de preços), o escritório onde se realiza, momento de realização, etc.</t>
  </si>
  <si>
    <t>Decisão final da proposta, se foi aprovada ou recusada.</t>
  </si>
  <si>
    <t>Dados obtidos das ordens de execução de um fluxo</t>
  </si>
  <si>
    <t>Dados dos indicadores económicos e de mercado</t>
  </si>
  <si>
    <t>Dados que incluem os parâmetros de risco de crédito (PD, LGD), agregações de carteira, cálculos intermédios, etc.</t>
  </si>
  <si>
    <t>Dados que incluem os parâmetros de risco de mercado e sensibilidades, carteiras de mercado, etc., medidos através da volatilidade de preços</t>
  </si>
  <si>
    <t>Dados que incluem os parâmetros e dados para gestão e cálculo de risco de liquidez</t>
  </si>
  <si>
    <t>Margens financeiras, custos</t>
  </si>
  <si>
    <t>Dados sobre a rentabilidade agregada ao nível de carteira, unidade</t>
  </si>
  <si>
    <t>Dados referidos ao cálculo de provisões</t>
  </si>
  <si>
    <t>Resultado de contribuição económica</t>
  </si>
  <si>
    <t>Resultado de todos os rácios de capital económico</t>
  </si>
  <si>
    <t>Resultado de fundos próprios económicos</t>
  </si>
  <si>
    <t>Quantidade mínima de recursos próprios que uma unidade deve ter para poder fazer frente a perdas inesperadas que podem ser causadas pelas atividades do seu próprio funcionamento. Deverá estabelecer-se um nível de confiança baixo, em função da qualificação interna objetiva, e por um período temporal de um ano</t>
  </si>
  <si>
    <t>Rentabilidade mínima de capital ajustada ao mínimo risco de operações, clientes e negócios, para não perder valor</t>
  </si>
  <si>
    <t>Resultado de contribuição</t>
  </si>
  <si>
    <t>Resultado dos rácios de capital regulatório</t>
  </si>
  <si>
    <t>Resultados dos fundos próprios do banco</t>
  </si>
  <si>
    <t>Dados de outros indicadores não financeiros</t>
  </si>
  <si>
    <t>Dados que definem as regras de demonstrações qualitativas</t>
  </si>
  <si>
    <t>Dados relativos à descrição do acordo contratual</t>
  </si>
  <si>
    <t>Dados relativos à identificação do fornecedor</t>
  </si>
  <si>
    <t>Dados que detalham o calendário do acordo</t>
  </si>
  <si>
    <t>Dados relativos à realização da campanha ou da nova marca</t>
  </si>
  <si>
    <t>País de nacionalidade</t>
  </si>
  <si>
    <t>País de residência do cliente</t>
  </si>
  <si>
    <t>País de nacionalidade do cliente</t>
  </si>
  <si>
    <t>Identificação do Projecto</t>
  </si>
  <si>
    <t>PRE</t>
  </si>
  <si>
    <t>PRO</t>
  </si>
  <si>
    <t>Sistema</t>
  </si>
  <si>
    <t>On Premise</t>
  </si>
  <si>
    <t>Cloud</t>
  </si>
  <si>
    <t>Tipo de pedido</t>
  </si>
  <si>
    <t>Dados pessoas singulares ou coletivas</t>
  </si>
  <si>
    <t>Dados específicos de clientes</t>
  </si>
  <si>
    <t>Dados de Proposta</t>
  </si>
  <si>
    <t>Dados de Contrato</t>
  </si>
  <si>
    <t>Dados da operação</t>
  </si>
  <si>
    <t>Dados de Garantia</t>
  </si>
  <si>
    <t>NA</t>
  </si>
  <si>
    <t>Nome da pessoa</t>
  </si>
  <si>
    <t>Identificador da pessoa</t>
  </si>
  <si>
    <t>Identificador de pessoa (NIF, CC-Cartão Cidadão, BI-Bilhete de Identidade)</t>
  </si>
  <si>
    <t>Morada da pessoa</t>
  </si>
  <si>
    <t>Morada da pessoa (morada de residência, morada fiscal, morada identificação pessoal)</t>
  </si>
  <si>
    <t>Contacto da pessoa</t>
  </si>
  <si>
    <t>Contacto da pessoa (telefone, email)</t>
  </si>
  <si>
    <t>Nome de pessoa singular</t>
  </si>
  <si>
    <t>Nome da pessoa singular</t>
  </si>
  <si>
    <t>Identificador da pessoa singular</t>
  </si>
  <si>
    <t>Morada de pessoa singular</t>
  </si>
  <si>
    <t>Residência ou morada de correspondência</t>
  </si>
  <si>
    <t>Contacto de pessoa singular</t>
  </si>
  <si>
    <t>(Telefone, email)</t>
  </si>
  <si>
    <t>Identificador da pessoa colectiva</t>
  </si>
  <si>
    <t>Identificação de pessoa colectiva (NIPC, NIF, ...)</t>
  </si>
  <si>
    <t>Identificador de entidades financeiras</t>
  </si>
  <si>
    <t>Dados relativos à identificação de entidades financeiras</t>
  </si>
  <si>
    <t>Morada de pessoa colectiva</t>
  </si>
  <si>
    <t>Morada da pessoa colectiva (Morada da sede, morada fiscal, …)</t>
  </si>
  <si>
    <t>Contacto de pessoa colectiva</t>
  </si>
  <si>
    <t>Contacto da pessoa colectiva (email, telefone, fax, …)</t>
  </si>
  <si>
    <t>Segmento do cliente</t>
  </si>
  <si>
    <t>Segmento de gestão, segmento comercial ou segmento de risco</t>
  </si>
  <si>
    <t>Natureza Jurídica</t>
  </si>
  <si>
    <t>Natureza jurídica do cliente</t>
  </si>
  <si>
    <t>Saldo do cliente</t>
  </si>
  <si>
    <t>Saldo total do cliente</t>
  </si>
  <si>
    <t>Responsabilidades do cliente</t>
  </si>
  <si>
    <t>Saldo total de responsabilidade do cliente</t>
  </si>
  <si>
    <t>Saldo insolvente do cliente</t>
  </si>
  <si>
    <t>Situação do cliente</t>
  </si>
  <si>
    <t>Indicador de cliente ENI</t>
  </si>
  <si>
    <t>Identifica o cliente ENI</t>
  </si>
  <si>
    <t>Indicador de cliente digital</t>
  </si>
  <si>
    <t>Identifica o cliente digital</t>
  </si>
  <si>
    <t>Identificador de cliente ativo</t>
  </si>
  <si>
    <t>Identifica a situação do cliente (ativo/inativo)</t>
  </si>
  <si>
    <t>Indicadores de cliente</t>
  </si>
  <si>
    <t>Balcão ou gestor de cliente</t>
  </si>
  <si>
    <t>Identificador do balcão ou do gestor comercial do cliente ou do gestor de risco do cliente</t>
  </si>
  <si>
    <t>Identificador da simulação</t>
  </si>
  <si>
    <t>Dados da simulação</t>
  </si>
  <si>
    <t>Situação da proposta</t>
  </si>
  <si>
    <t>Situação da proposta (pendente de aprovação, aprovada, …)</t>
  </si>
  <si>
    <t>Datas da proposta</t>
  </si>
  <si>
    <t>Datas da proposta (data de decisão, data de submissão, …)</t>
  </si>
  <si>
    <t>Montante da proposta</t>
  </si>
  <si>
    <t>Identificador do contrato (cconta, cknumcta, cnumecta, NIB…)</t>
  </si>
  <si>
    <t>Código de empresa do contrato</t>
  </si>
  <si>
    <t>Código de empresa do contrato (CEMPRESA)</t>
  </si>
  <si>
    <t>Código de produto de contrato</t>
  </si>
  <si>
    <t>Código do produto associado ao contrato</t>
  </si>
  <si>
    <t>Prazos do contrato</t>
  </si>
  <si>
    <t>Prazos e periodicidades do contrato</t>
  </si>
  <si>
    <t>Taxas e Spread do contrato</t>
  </si>
  <si>
    <t>Saldos do contrato</t>
  </si>
  <si>
    <t>Saldo do contrato</t>
  </si>
  <si>
    <t>Comissões do contrato</t>
  </si>
  <si>
    <t>Comissões associadas ao contrato</t>
  </si>
  <si>
    <t>Situação do contrato</t>
  </si>
  <si>
    <t>Datas do contrato</t>
  </si>
  <si>
    <t>Datas do contrato (data fim de contrato, prazo do contrato, ...)</t>
  </si>
  <si>
    <t>Dados de cálculo de liquidação</t>
  </si>
  <si>
    <t xml:space="preserve">Dados utilizados e resultantes do cálculo de liquidação </t>
  </si>
  <si>
    <t>Dados de incumprimento</t>
  </si>
  <si>
    <t>Dados de incumprimento associados ao contrato</t>
  </si>
  <si>
    <t>Dados de restruturação</t>
  </si>
  <si>
    <t>Dados de reestruturação</t>
  </si>
  <si>
    <t>Outros dados do contrato</t>
  </si>
  <si>
    <t>Outros dados do contrato (2º titular, …)</t>
  </si>
  <si>
    <t>Dados de moratórias</t>
  </si>
  <si>
    <t>Autorizações</t>
  </si>
  <si>
    <t>Identificador da operação</t>
  </si>
  <si>
    <t>Datas da operação</t>
  </si>
  <si>
    <t>Código de operação</t>
  </si>
  <si>
    <t>Código que permite identificar a operação</t>
  </si>
  <si>
    <t>Informação da operação</t>
  </si>
  <si>
    <t>Montante da operação</t>
  </si>
  <si>
    <t>Identificador da Garantia</t>
  </si>
  <si>
    <t>Código de produto de garantia</t>
  </si>
  <si>
    <t>Código do produto associado à garantia</t>
  </si>
  <si>
    <t>Datas da garantia</t>
  </si>
  <si>
    <t>Datas da garantia (prazos, …)</t>
  </si>
  <si>
    <t>Dados da garantia</t>
  </si>
  <si>
    <t>Dados da garantia (país da garantia, …)</t>
  </si>
  <si>
    <t>Dados da avaliação da garantia</t>
  </si>
  <si>
    <t>Dados da avaliação da garantia (estado da garantia, avaliações parciais, …)</t>
  </si>
  <si>
    <t>Estado da garantia</t>
  </si>
  <si>
    <t>Dados do bem</t>
  </si>
  <si>
    <t>Dados do bem da garantia (informação da propriedade, veículo, ...)</t>
  </si>
  <si>
    <t>Identificador da transação</t>
  </si>
  <si>
    <t>Dados do Ordenante da transação</t>
  </si>
  <si>
    <t>Dados do Beneficiário da transação</t>
  </si>
  <si>
    <t>Dados da transação</t>
  </si>
  <si>
    <t>Dados da transação (país de destino, observações da transacção, …)</t>
  </si>
  <si>
    <t>Datas da transação</t>
  </si>
  <si>
    <t>Datas da transacção</t>
  </si>
  <si>
    <t>Montante da transação</t>
  </si>
  <si>
    <t>Moeda da transação</t>
  </si>
  <si>
    <t>Moeda da transacção</t>
  </si>
  <si>
    <t>Entidade ou empresa</t>
  </si>
  <si>
    <t>Data do dia</t>
  </si>
  <si>
    <t>Identificador do dia</t>
  </si>
  <si>
    <t>Cambios</t>
  </si>
  <si>
    <t>Dados relativos aos câmbios (valor que cada tipo de cambio assume, …)</t>
  </si>
  <si>
    <t>Cotações de fundos e títulos</t>
  </si>
  <si>
    <t>Cotações de fundos e títulos (valor, mercado, …)</t>
  </si>
  <si>
    <t>Regra Contabilística</t>
  </si>
  <si>
    <t>Regras utilizadas para o cálculo contabilístico</t>
  </si>
  <si>
    <t>Dados de controlos implementados (Listas, soluções, regras,…) para PBC</t>
  </si>
  <si>
    <t>Alertas de PBC</t>
  </si>
  <si>
    <t>Dados de alertas despoletados</t>
  </si>
  <si>
    <t>Dados da campanha</t>
  </si>
  <si>
    <t>Dados do acordo de serviços ou produtos</t>
  </si>
  <si>
    <t>Datas do acordo</t>
  </si>
  <si>
    <t>Informação do produto ou serviço</t>
  </si>
  <si>
    <t>Informação específica dos produtos e serviços incluídos no acordo, assim como o preço dos produtos e serviços do acordo</t>
  </si>
  <si>
    <t>Dados do produto ou serviço</t>
  </si>
  <si>
    <t>Dados relativos aos produtos e serviços contratados</t>
  </si>
  <si>
    <t>Datas do produto ou serviço</t>
  </si>
  <si>
    <t>Datas dos produtos e serviços contratados</t>
  </si>
  <si>
    <t>Estatísticas</t>
  </si>
  <si>
    <t>Dados de registo da última alteração (Utilizador, centro, data, hora, timestamp, htimest, ckutlmod)</t>
  </si>
  <si>
    <t>Data de vigência</t>
  </si>
  <si>
    <t>Data de vigência do registo (dinicio, dfim)</t>
  </si>
  <si>
    <t>Código de ficheiro ou formato</t>
  </si>
  <si>
    <t>Identificação de registo</t>
  </si>
  <si>
    <t>Este pedido foi validado previamente por CDO?</t>
  </si>
  <si>
    <t>Este pedido foi validado previamente por Data Service?</t>
  </si>
  <si>
    <t>Este pedido foi validado previamente por Arquitetura?</t>
  </si>
  <si>
    <t xml:space="preserve">Identificador de pessoa </t>
  </si>
  <si>
    <t>Sector de atividade do cliente (CAE) da pessoa singular ou coletiva</t>
  </si>
  <si>
    <t>Sector de atividade do cliente (CAE) de pessoa singular</t>
  </si>
  <si>
    <t>Sector de atividade do cliente (CAE) de pessoas colectivas</t>
  </si>
  <si>
    <t>Tipo de entidade de negócio</t>
  </si>
  <si>
    <t>Tipo de sociedade comercial (S.L, L.DA, S.A, etc.)</t>
  </si>
  <si>
    <t>Outros dados de pessoas coletivas</t>
  </si>
  <si>
    <t>Saldo recuperado</t>
  </si>
  <si>
    <t>Saldo recuperado do cliente</t>
  </si>
  <si>
    <t>Dados para realizar uma avaliação de risco do cliente e avaliação de risco do cliente.</t>
  </si>
  <si>
    <t xml:space="preserve">Dados específicos relativos a situações do cliente (situação contabilística, situação de gestão). </t>
  </si>
  <si>
    <t>Situação de risco do cliente</t>
  </si>
  <si>
    <t>Dados sobre a situação de risco do cliente em relação ao banco. Por exemplo, se o cliente estiver em FEVE e em que grau, vigilância,…)</t>
  </si>
  <si>
    <t>Identificador de ex-cliente</t>
  </si>
  <si>
    <t>Identifica ex-clientes</t>
  </si>
  <si>
    <t>Dados de consentimento do cliente</t>
  </si>
  <si>
    <t>Dados de consentimento oferecidos pelo cliente ao Banco. Por exemplo, a aceitação do cliente em fornecer os seus dados com o objetivo de receber um serviço adequado.</t>
  </si>
  <si>
    <t>Dados da simulação (dados para realizar uma simulação de crédito, resultados do motor, …), colaborador responsável pela simulação, datas, …</t>
  </si>
  <si>
    <t>Dados de recuperação</t>
  </si>
  <si>
    <t>Dados de recuperações</t>
  </si>
  <si>
    <t>Relações entre contratos</t>
  </si>
  <si>
    <t>Relações com outros contratos, propostas ou garantias</t>
  </si>
  <si>
    <t>Dados de autorizações (transferências, débitos diretos, …)</t>
  </si>
  <si>
    <t>Mensagens não contabilísticas</t>
  </si>
  <si>
    <t>Dados das mensagens que não geram movimento contabilístico, como as confirmações, swift.</t>
  </si>
  <si>
    <t>Canais</t>
  </si>
  <si>
    <t>Descrição do canal</t>
  </si>
  <si>
    <t>Provedores de serviço</t>
  </si>
  <si>
    <t>Dados do provedor de serviços de canal</t>
  </si>
  <si>
    <t xml:space="preserve">Dados de gestão </t>
  </si>
  <si>
    <t>Dados relacionados a gestão de canais.</t>
  </si>
  <si>
    <t>Descrição do serviço/função</t>
  </si>
  <si>
    <t>Os dados relativos ao serviço ou função que o canal oferece (realizar operações, reclamações, pagamentos ...)</t>
  </si>
  <si>
    <t>Catálogos estruturais</t>
  </si>
  <si>
    <t>Parametros / tabelas gerais</t>
  </si>
  <si>
    <t xml:space="preserve">Tabelas de parâmetros, catálogos ou tabelas gerais </t>
  </si>
  <si>
    <t>Taxas de juro e indexantes</t>
  </si>
  <si>
    <t>Cenários e projeções</t>
  </si>
  <si>
    <t>Dados de Cenários e projeções</t>
  </si>
  <si>
    <t>Saldo contabilístico</t>
  </si>
  <si>
    <t>Saldo Contabilística (ex: posição IK)</t>
  </si>
  <si>
    <t>Dados de alertas detetados</t>
  </si>
  <si>
    <t>Dados de limites e de umbrais de apetência definidos (valores e definições)</t>
  </si>
  <si>
    <t>Eventos / incidentes de risco, finanças e capital</t>
  </si>
  <si>
    <t>Eventos de risco operacional</t>
  </si>
  <si>
    <t>Dados de eventos de risco operacional</t>
  </si>
  <si>
    <t>Objetivos de vendas</t>
  </si>
  <si>
    <t>Dados específicos relacionados com os objetivos de vendas definidos</t>
  </si>
  <si>
    <t>Dados de journal (DPROC, CTERM, ZJOURNAL)(empresa, centro, terminal e número DGO) e outros identificadores de registos</t>
  </si>
  <si>
    <t>Identificador de repositório documental</t>
  </si>
  <si>
    <t>PEDIDO DE TABELA APLICACIONAL</t>
  </si>
  <si>
    <t xml:space="preserve">Este formulário visa a obtenção da informação necessária para dar seguimento à análise, aprovação e execução de pedidos de novas tabelas aplicacionais no datalake. 
Nesta pestana deverão ser indicada a informação relacionada com a fonte dos dados, o destino, regras de expurgo e informação de governo. Na pestana seguinte deverão ser indicados os campos.
</t>
  </si>
  <si>
    <t>em caso de dúvida, contactar CDO</t>
  </si>
  <si>
    <t>Periodicidade</t>
  </si>
  <si>
    <t>Especifique a periodicidade</t>
  </si>
  <si>
    <t>Expurgo</t>
  </si>
  <si>
    <t>Dias de retenção</t>
  </si>
  <si>
    <t>Campo de retenção</t>
  </si>
  <si>
    <t>Meses de retenção</t>
  </si>
  <si>
    <t>Manter fim dos meses</t>
  </si>
  <si>
    <t>HOUSEKEEPING</t>
  </si>
  <si>
    <t/>
  </si>
  <si>
    <t>Este pedido foi validado previamente por Service Assembly?</t>
  </si>
  <si>
    <t>WORKINGGROUP</t>
  </si>
  <si>
    <t>VA20231003</t>
  </si>
  <si>
    <t>Reporting Hub</t>
  </si>
  <si>
    <t>X</t>
  </si>
  <si>
    <t>Não</t>
  </si>
  <si>
    <t>Alteração de Tabela</t>
  </si>
  <si>
    <t>Sim</t>
  </si>
  <si>
    <t>zcliente</t>
  </si>
  <si>
    <t>Luís Pragosa</t>
  </si>
  <si>
    <t>luis.pragosa@servexternos.santander.pt</t>
  </si>
  <si>
    <t>P2400555</t>
  </si>
  <si>
    <t>Automatização Valuation e Bail-in Data set</t>
  </si>
  <si>
    <t>cd_captools</t>
  </si>
  <si>
    <t>ct003_univ_cli</t>
  </si>
  <si>
    <t>Luís Capitão-Mor</t>
  </si>
  <si>
    <t>Cliente</t>
  </si>
  <si>
    <t>Reporte Externo</t>
  </si>
  <si>
    <t>Número de cliente</t>
  </si>
  <si>
    <t>ccli_grupo</t>
  </si>
  <si>
    <t>Código de Cliente Grupo</t>
  </si>
  <si>
    <t>gcliente</t>
  </si>
  <si>
    <t>Nome do Cliente</t>
  </si>
  <si>
    <t>iex_cliente</t>
  </si>
  <si>
    <t>Identificador de Ex-Cliente</t>
  </si>
  <si>
    <t>cnum_doc_identif2</t>
  </si>
  <si>
    <t>Identificador de Pessoa/Empresa</t>
  </si>
  <si>
    <t>ccae</t>
  </si>
  <si>
    <t>Código de Atividade Económica</t>
  </si>
  <si>
    <t>dnascimento</t>
  </si>
  <si>
    <t>Data de Nascimento do Cliente</t>
  </si>
  <si>
    <t>dconstituicao</t>
  </si>
  <si>
    <t>Data de Constituição do Cliente</t>
  </si>
  <si>
    <t>cnif_resid</t>
  </si>
  <si>
    <t>Código NIF no país de Residencia</t>
  </si>
  <si>
    <t>ctipo_doc_identif1</t>
  </si>
  <si>
    <t>Código do Tipo do Documento de Identificação</t>
  </si>
  <si>
    <t>cnum_doc_identif1</t>
  </si>
  <si>
    <t>Número do Documento de Identificação 1</t>
  </si>
  <si>
    <t>cpais_doc_identif1</t>
  </si>
  <si>
    <t>Código do Pais do Documento de Identificação 1</t>
  </si>
  <si>
    <t>cemi_doc_identif1</t>
  </si>
  <si>
    <t>Código Entidade Emitente do 1º Documento de identificação</t>
  </si>
  <si>
    <t>ctipo_doc_identif2</t>
  </si>
  <si>
    <t>Código do Tipo do Documento de Identificação 2</t>
  </si>
  <si>
    <t>cpais_doc_identif2</t>
  </si>
  <si>
    <t>Código do Pais do Documento de Identificação 2</t>
  </si>
  <si>
    <t>cnum_empreg</t>
  </si>
  <si>
    <t>Número de Empregado</t>
  </si>
  <si>
    <t>ccli_kgl</t>
  </si>
  <si>
    <t>Código do Cliente Externo.  Aplicações IRIS e AQUA</t>
  </si>
  <si>
    <t>estadent</t>
  </si>
  <si>
    <t>Estado da Entidade</t>
  </si>
  <si>
    <t>vmont_vendas</t>
  </si>
  <si>
    <t>Montante de vendas da empresa</t>
  </si>
  <si>
    <t>cseg_risc</t>
  </si>
  <si>
    <t>Código de Segmento de Risco</t>
  </si>
  <si>
    <t>dult_balanco</t>
  </si>
  <si>
    <t>Data do último balanço</t>
  </si>
  <si>
    <t>dabertura_cliente</t>
  </si>
  <si>
    <t>Data de criação do cliente</t>
  </si>
  <si>
    <t>cpersona</t>
  </si>
  <si>
    <t>Descrição cliente Partenon</t>
  </si>
  <si>
    <t>cnatureza_juri</t>
  </si>
  <si>
    <t>Código de Natureza Jurídica</t>
  </si>
  <si>
    <t>clei</t>
  </si>
  <si>
    <t>LEI Code</t>
  </si>
  <si>
    <t>nace_code</t>
  </si>
  <si>
    <t>NACE Code</t>
  </si>
  <si>
    <t>cpais_residencia</t>
  </si>
  <si>
    <t>País de Residência</t>
  </si>
  <si>
    <t>ccentro_gestor</t>
  </si>
  <si>
    <t>Código Centro Gestor</t>
  </si>
  <si>
    <t>cgestor</t>
  </si>
  <si>
    <t>Código do Gestor</t>
  </si>
  <si>
    <t>ggestor</t>
  </si>
  <si>
    <t>Nome do Gestor</t>
  </si>
  <si>
    <t>itip_cli</t>
  </si>
  <si>
    <t>csector_inst</t>
  </si>
  <si>
    <t>Setor Institucional</t>
  </si>
  <si>
    <t>contraparte</t>
  </si>
  <si>
    <t>Contraparte do Cliente</t>
  </si>
  <si>
    <t>dobito</t>
  </si>
  <si>
    <t>Data de Obito</t>
  </si>
  <si>
    <t>ctipo_trabalho</t>
  </si>
  <si>
    <t>Tipo de Trabalho</t>
  </si>
  <si>
    <t>ckutulmo</t>
  </si>
  <si>
    <t>Utilizador que despoleta o processamento</t>
  </si>
  <si>
    <t>htimest</t>
  </si>
  <si>
    <t>Timestamp de inserção do registo na tabela</t>
  </si>
  <si>
    <t>ref_date</t>
  </si>
  <si>
    <t>Timestamp de processamento do registo</t>
  </si>
  <si>
    <t>cod_visao</t>
  </si>
  <si>
    <t>Código de Visão</t>
  </si>
  <si>
    <t>origem</t>
  </si>
  <si>
    <t>Indicação de cliente manual ou automático</t>
  </si>
  <si>
    <t>nmorada</t>
  </si>
  <si>
    <t>nlocalid</t>
  </si>
  <si>
    <t>cpostal</t>
  </si>
  <si>
    <t>cnuts3</t>
  </si>
  <si>
    <t>cpaismor</t>
  </si>
  <si>
    <t>Morada Fiscal</t>
  </si>
  <si>
    <t>Localidade Fiscal</t>
  </si>
  <si>
    <t>Código Postal</t>
  </si>
  <si>
    <t>Código NUTS3</t>
  </si>
  <si>
    <t>País Fiscal</t>
  </si>
  <si>
    <t>Mensal</t>
  </si>
  <si>
    <t>Tabela de clientes do universo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</si>
</sst>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sz val="18"/>
      <color theme="1"/>
      <name val="Arial"/>
      <family val="2"/>
    </font>
    <font>
      <sz val="8"/>
      <color rgb="FFFF0000"/>
      <name val="Arial"/>
      <family val="2"/>
    </font>
    <font>
      <sz val="6"/>
      <name val="Arial"/>
      <family val="2"/>
    </font>
    <font>
      <sz val="6"/>
      <color rgb="FFFF0000"/>
      <name val="Arial"/>
      <family val="2"/>
    </font>
    <font>
      <b/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EB0000"/>
        <bgColor indexed="64"/>
      </patternFill>
    </fill>
    <fill>
      <patternFill patternType="solid">
        <fgColor rgb="FFEB0000"/>
        <bgColor rgb="FFFF00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18B8B"/>
        <bgColor indexed="64"/>
      </patternFill>
    </fill>
    <fill>
      <patternFill patternType="solid">
        <fgColor rgb="FFDC7A7A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medium">
        <color theme="1"/>
      </bottom>
      <diagonal/>
    </border>
    <border>
      <left style="thin">
        <color theme="2"/>
      </left>
      <right/>
      <top style="medium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1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theme="2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theme="1"/>
      </bottom>
      <diagonal/>
    </border>
    <border>
      <left style="thin">
        <color theme="2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theme="2"/>
      </left>
      <right style="thin">
        <color theme="2"/>
      </right>
      <top/>
      <bottom style="medium">
        <color theme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3" fillId="2" borderId="0" xfId="0" applyFont="1" applyFill="1" applyAlignment="1" applyProtection="1">
      <alignment vertical="center"/>
      <protection locked="0"/>
    </xf>
    <xf numFmtId="0" fontId="4" fillId="3" borderId="0" xfId="0" applyFont="1" applyFill="1"/>
    <xf numFmtId="0" fontId="5" fillId="2" borderId="0" xfId="0" applyFont="1" applyFill="1" applyAlignment="1" applyProtection="1">
      <alignment vertical="center"/>
      <protection locked="0"/>
    </xf>
    <xf numFmtId="0" fontId="6" fillId="3" borderId="0" xfId="0" applyFont="1" applyFill="1"/>
    <xf numFmtId="1" fontId="5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4" xfId="0" applyBorder="1"/>
    <xf numFmtId="0" fontId="0" fillId="0" borderId="5" xfId="0" applyBorder="1"/>
    <xf numFmtId="1" fontId="5" fillId="0" borderId="0" xfId="0" applyNumberFormat="1" applyFont="1" applyAlignment="1" applyProtection="1">
      <alignment horizontal="center" vertical="center" wrapText="1"/>
      <protection locked="0"/>
    </xf>
    <xf numFmtId="1" fontId="5" fillId="5" borderId="6" xfId="0" applyNumberFormat="1" applyFont="1" applyFill="1" applyBorder="1" applyAlignment="1" applyProtection="1">
      <alignment horizontal="center" vertical="center"/>
      <protection locked="0"/>
    </xf>
    <xf numFmtId="1" fontId="5" fillId="6" borderId="7" xfId="0" applyNumberFormat="1" applyFont="1" applyFill="1" applyBorder="1" applyAlignment="1" applyProtection="1">
      <alignment horizontal="center" vertical="center"/>
      <protection locked="0"/>
    </xf>
    <xf numFmtId="1" fontId="5" fillId="7" borderId="6" xfId="0" applyNumberFormat="1" applyFont="1" applyFill="1" applyBorder="1" applyAlignment="1" applyProtection="1">
      <alignment horizontal="center" vertical="center"/>
      <protection locked="0"/>
    </xf>
    <xf numFmtId="1" fontId="5" fillId="5" borderId="8" xfId="0" applyNumberFormat="1" applyFont="1" applyFill="1" applyBorder="1" applyAlignment="1" applyProtection="1">
      <alignment horizontal="center" vertical="center"/>
      <protection locked="0"/>
    </xf>
    <xf numFmtId="1" fontId="5" fillId="6" borderId="0" xfId="0" applyNumberFormat="1" applyFont="1" applyFill="1" applyAlignment="1" applyProtection="1">
      <alignment horizontal="center" vertical="center"/>
      <protection locked="0"/>
    </xf>
    <xf numFmtId="1" fontId="5" fillId="7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14" xfId="0" applyFont="1" applyBorder="1"/>
    <xf numFmtId="0" fontId="5" fillId="0" borderId="7" xfId="0" applyFont="1" applyBorder="1"/>
    <xf numFmtId="0" fontId="5" fillId="0" borderId="16" xfId="0" applyFont="1" applyBorder="1"/>
    <xf numFmtId="0" fontId="5" fillId="0" borderId="18" xfId="0" applyFont="1" applyBorder="1"/>
    <xf numFmtId="0" fontId="5" fillId="0" borderId="13" xfId="0" applyFont="1" applyBorder="1"/>
    <xf numFmtId="0" fontId="5" fillId="0" borderId="15" xfId="0" applyFont="1" applyBorder="1"/>
    <xf numFmtId="1" fontId="5" fillId="0" borderId="0" xfId="0" applyNumberFormat="1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20" xfId="0" applyBorder="1"/>
    <xf numFmtId="0" fontId="5" fillId="0" borderId="21" xfId="0" applyFont="1" applyBorder="1"/>
    <xf numFmtId="0" fontId="0" fillId="0" borderId="21" xfId="0" applyBorder="1"/>
    <xf numFmtId="0" fontId="0" fillId="0" borderId="22" xfId="0" applyBorder="1"/>
    <xf numFmtId="0" fontId="10" fillId="0" borderId="0" xfId="0" applyFont="1"/>
    <xf numFmtId="0" fontId="0" fillId="10" borderId="0" xfId="0" applyFill="1"/>
    <xf numFmtId="0" fontId="13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wrapText="1"/>
    </xf>
    <xf numFmtId="0" fontId="16" fillId="0" borderId="24" xfId="0" applyFont="1" applyBorder="1" applyAlignment="1">
      <alignment horizontal="left" vertical="center" wrapText="1" indent="1" readingOrder="1"/>
    </xf>
    <xf numFmtId="0" fontId="16" fillId="0" borderId="23" xfId="0" applyFont="1" applyBorder="1" applyAlignment="1">
      <alignment horizontal="left" vertical="center" wrapText="1" indent="1" readingOrder="1"/>
    </xf>
    <xf numFmtId="0" fontId="15" fillId="11" borderId="23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10" borderId="0" xfId="0" applyFont="1" applyFill="1" applyAlignment="1">
      <alignment wrapText="1"/>
    </xf>
    <xf numFmtId="0" fontId="18" fillId="10" borderId="0" xfId="0" applyFont="1" applyFill="1" applyAlignment="1">
      <alignment vertical="center"/>
    </xf>
    <xf numFmtId="0" fontId="21" fillId="0" borderId="0" xfId="0" applyFont="1"/>
    <xf numFmtId="0" fontId="22" fillId="0" borderId="0" xfId="0" applyFont="1"/>
    <xf numFmtId="0" fontId="2" fillId="0" borderId="0" xfId="0" applyFont="1"/>
    <xf numFmtId="49" fontId="0" fillId="0" borderId="0" xfId="0" applyNumberFormat="1"/>
    <xf numFmtId="0" fontId="5" fillId="8" borderId="9" xfId="0" applyFont="1" applyFill="1" applyBorder="1"/>
    <xf numFmtId="0" fontId="12" fillId="0" borderId="0" xfId="0" applyFont="1" applyAlignment="1">
      <alignment horizontal="left" indent="1"/>
    </xf>
    <xf numFmtId="0" fontId="5" fillId="0" borderId="17" xfId="0" applyFont="1" applyBorder="1"/>
    <xf numFmtId="0" fontId="5" fillId="0" borderId="19" xfId="0" applyFont="1" applyBorder="1"/>
    <xf numFmtId="0" fontId="1" fillId="10" borderId="26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vertical="center" wrapText="1"/>
    </xf>
    <xf numFmtId="0" fontId="0" fillId="9" borderId="30" xfId="0" applyFill="1" applyBorder="1" applyAlignment="1">
      <alignment horizontal="left"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" fillId="12" borderId="33" xfId="0" applyFont="1" applyFill="1" applyBorder="1" applyAlignment="1">
      <alignment vertical="center" wrapText="1"/>
    </xf>
    <xf numFmtId="0" fontId="0" fillId="9" borderId="34" xfId="0" applyFill="1" applyBorder="1" applyAlignment="1">
      <alignment horizontal="left" vertical="center" wrapText="1"/>
    </xf>
    <xf numFmtId="0" fontId="0" fillId="0" borderId="35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1" fillId="12" borderId="36" xfId="0" applyFont="1" applyFill="1" applyBorder="1" applyAlignment="1">
      <alignment vertical="center" wrapText="1"/>
    </xf>
    <xf numFmtId="0" fontId="0" fillId="9" borderId="37" xfId="0" applyFill="1" applyBorder="1" applyAlignment="1">
      <alignment horizontal="left" vertical="center" wrapText="1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1" fillId="12" borderId="32" xfId="0" applyFont="1" applyFill="1" applyBorder="1" applyAlignment="1">
      <alignment vertical="center" wrapText="1"/>
    </xf>
    <xf numFmtId="0" fontId="0" fillId="9" borderId="40" xfId="0" applyFill="1" applyBorder="1" applyAlignment="1">
      <alignment horizontal="left"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9" borderId="43" xfId="0" applyFill="1" applyBorder="1" applyAlignment="1">
      <alignment horizontal="left" vertical="center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9" borderId="46" xfId="0" applyFill="1" applyBorder="1" applyAlignment="1">
      <alignment horizontal="left" vertical="center" wrapText="1"/>
    </xf>
    <xf numFmtId="0" fontId="0" fillId="0" borderId="47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1" fillId="12" borderId="39" xfId="0" applyFont="1" applyFill="1" applyBorder="1" applyAlignment="1">
      <alignment vertical="center" wrapText="1"/>
    </xf>
    <xf numFmtId="0" fontId="0" fillId="9" borderId="49" xfId="0" applyFill="1" applyBorder="1" applyAlignment="1">
      <alignment horizontal="left" vertical="center" wrapText="1"/>
    </xf>
    <xf numFmtId="0" fontId="0" fillId="0" borderId="50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1" fillId="12" borderId="51" xfId="0" applyFont="1" applyFill="1" applyBorder="1" applyAlignment="1">
      <alignment vertical="center" wrapText="1"/>
    </xf>
    <xf numFmtId="0" fontId="0" fillId="9" borderId="52" xfId="0" applyFill="1" applyBorder="1" applyAlignment="1">
      <alignment horizontal="left"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1" fillId="12" borderId="55" xfId="0" applyFont="1" applyFill="1" applyBorder="1" applyAlignment="1">
      <alignment vertical="center" wrapText="1"/>
    </xf>
    <xf numFmtId="0" fontId="0" fillId="9" borderId="56" xfId="0" applyFill="1" applyBorder="1" applyAlignment="1">
      <alignment horizontal="left" vertical="center" wrapText="1"/>
    </xf>
    <xf numFmtId="0" fontId="0" fillId="0" borderId="57" xfId="0" applyBorder="1" applyAlignment="1">
      <alignment vertical="center" wrapText="1"/>
    </xf>
    <xf numFmtId="0" fontId="0" fillId="0" borderId="58" xfId="0" applyBorder="1" applyAlignment="1">
      <alignment vertical="center" wrapText="1"/>
    </xf>
    <xf numFmtId="0" fontId="1" fillId="13" borderId="29" xfId="0" applyFont="1" applyFill="1" applyBorder="1" applyAlignment="1">
      <alignment vertical="center" wrapText="1"/>
    </xf>
    <xf numFmtId="0" fontId="0" fillId="14" borderId="59" xfId="0" applyFill="1" applyBorder="1" applyAlignment="1">
      <alignment horizontal="left" vertical="center" wrapText="1"/>
    </xf>
    <xf numFmtId="0" fontId="0" fillId="0" borderId="60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1" fillId="13" borderId="33" xfId="0" applyFont="1" applyFill="1" applyBorder="1" applyAlignment="1">
      <alignment vertical="center" wrapText="1"/>
    </xf>
    <xf numFmtId="0" fontId="0" fillId="14" borderId="34" xfId="0" applyFill="1" applyBorder="1" applyAlignment="1">
      <alignment horizontal="left" vertical="center" wrapText="1"/>
    </xf>
    <xf numFmtId="0" fontId="1" fillId="13" borderId="39" xfId="0" applyFont="1" applyFill="1" applyBorder="1" applyAlignment="1">
      <alignment vertical="center" wrapText="1"/>
    </xf>
    <xf numFmtId="0" fontId="0" fillId="14" borderId="37" xfId="0" applyFill="1" applyBorder="1" applyAlignment="1">
      <alignment horizontal="left" vertical="center" wrapText="1"/>
    </xf>
    <xf numFmtId="0" fontId="1" fillId="13" borderId="48" xfId="0" applyFont="1" applyFill="1" applyBorder="1" applyAlignment="1">
      <alignment vertical="center" wrapText="1"/>
    </xf>
    <xf numFmtId="0" fontId="0" fillId="14" borderId="46" xfId="0" applyFill="1" applyBorder="1" applyAlignment="1">
      <alignment horizontal="left" vertical="center" wrapText="1"/>
    </xf>
    <xf numFmtId="0" fontId="1" fillId="13" borderId="36" xfId="0" applyFont="1" applyFill="1" applyBorder="1" applyAlignment="1">
      <alignment vertical="center" wrapText="1"/>
    </xf>
    <xf numFmtId="0" fontId="0" fillId="14" borderId="49" xfId="0" applyFill="1" applyBorder="1" applyAlignment="1">
      <alignment horizontal="left" vertical="center" wrapText="1"/>
    </xf>
    <xf numFmtId="0" fontId="1" fillId="13" borderId="32" xfId="0" applyFont="1" applyFill="1" applyBorder="1" applyAlignment="1">
      <alignment vertical="center" wrapText="1"/>
    </xf>
    <xf numFmtId="0" fontId="0" fillId="14" borderId="30" xfId="0" applyFill="1" applyBorder="1" applyAlignment="1">
      <alignment horizontal="left" vertical="center" wrapText="1"/>
    </xf>
    <xf numFmtId="0" fontId="1" fillId="13" borderId="61" xfId="0" applyFont="1" applyFill="1" applyBorder="1" applyAlignment="1">
      <alignment vertical="center" wrapText="1"/>
    </xf>
    <xf numFmtId="0" fontId="0" fillId="14" borderId="62" xfId="0" applyFill="1" applyBorder="1" applyAlignment="1">
      <alignment horizontal="left" vertical="center" wrapText="1"/>
    </xf>
    <xf numFmtId="0" fontId="0" fillId="0" borderId="63" xfId="0" applyBorder="1" applyAlignment="1">
      <alignment vertical="center" wrapText="1"/>
    </xf>
    <xf numFmtId="0" fontId="0" fillId="0" borderId="61" xfId="0" applyBorder="1" applyAlignment="1">
      <alignment vertical="center" wrapText="1"/>
    </xf>
    <xf numFmtId="0" fontId="1" fillId="12" borderId="48" xfId="0" applyFont="1" applyFill="1" applyBorder="1" applyAlignment="1">
      <alignment vertical="center" wrapText="1"/>
    </xf>
    <xf numFmtId="0" fontId="1" fillId="12" borderId="58" xfId="0" applyFont="1" applyFill="1" applyBorder="1" applyAlignment="1">
      <alignment vertical="center" wrapText="1"/>
    </xf>
    <xf numFmtId="0" fontId="0" fillId="0" borderId="64" xfId="0" applyBorder="1" applyAlignment="1">
      <alignment vertical="center" wrapText="1"/>
    </xf>
    <xf numFmtId="0" fontId="1" fillId="13" borderId="55" xfId="0" applyFont="1" applyFill="1" applyBorder="1" applyAlignment="1">
      <alignment vertical="center" wrapText="1"/>
    </xf>
    <xf numFmtId="0" fontId="0" fillId="14" borderId="65" xfId="0" applyFill="1" applyBorder="1" applyAlignment="1">
      <alignment horizontal="left" vertical="center" wrapText="1"/>
    </xf>
    <xf numFmtId="0" fontId="0" fillId="0" borderId="66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49" fontId="0" fillId="0" borderId="47" xfId="0" applyNumberFormat="1" applyBorder="1" applyAlignment="1">
      <alignment vertical="center" wrapText="1"/>
    </xf>
    <xf numFmtId="0" fontId="0" fillId="0" borderId="48" xfId="0" applyBorder="1" applyAlignment="1">
      <alignment horizontal="left" vertical="center" wrapText="1"/>
    </xf>
    <xf numFmtId="0" fontId="1" fillId="13" borderId="26" xfId="0" applyFont="1" applyFill="1" applyBorder="1" applyAlignment="1">
      <alignment vertical="center" wrapText="1"/>
    </xf>
    <xf numFmtId="0" fontId="0" fillId="14" borderId="27" xfId="0" applyFill="1" applyBorder="1" applyAlignment="1">
      <alignment horizontal="left" vertical="center" wrapText="1"/>
    </xf>
    <xf numFmtId="0" fontId="0" fillId="0" borderId="28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13" borderId="26" xfId="0" applyFont="1" applyFill="1" applyBorder="1" applyAlignment="1">
      <alignment vertical="center"/>
    </xf>
    <xf numFmtId="0" fontId="0" fillId="14" borderId="27" xfId="0" applyFill="1" applyBorder="1" applyAlignment="1">
      <alignment vertical="center" wrapText="1"/>
    </xf>
    <xf numFmtId="0" fontId="10" fillId="0" borderId="11" xfId="0" applyFont="1" applyBorder="1" applyAlignment="1">
      <alignment horizontal="left" vertical="center" indent="1"/>
    </xf>
    <xf numFmtId="0" fontId="24" fillId="0" borderId="0" xfId="0" applyFont="1"/>
    <xf numFmtId="0" fontId="10" fillId="0" borderId="13" xfId="0" applyFont="1" applyBorder="1"/>
    <xf numFmtId="0" fontId="10" fillId="0" borderId="14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3" xfId="0" applyFont="1" applyBorder="1" applyAlignment="1">
      <alignment horizontal="left" vertical="center" indent="1"/>
    </xf>
    <xf numFmtId="0" fontId="25" fillId="0" borderId="18" xfId="0" applyFont="1" applyBorder="1"/>
    <xf numFmtId="0" fontId="5" fillId="0" borderId="16" xfId="0" applyFont="1" applyBorder="1" applyAlignment="1" applyProtection="1">
      <alignment vertical="center"/>
      <protection locked="0"/>
    </xf>
    <xf numFmtId="14" fontId="5" fillId="0" borderId="16" xfId="0" applyNumberFormat="1" applyFont="1" applyBorder="1" applyAlignment="1" applyProtection="1">
      <alignment vertical="center"/>
      <protection locked="0"/>
    </xf>
    <xf numFmtId="0" fontId="26" fillId="0" borderId="0" xfId="0" applyFont="1" applyAlignment="1">
      <alignment vertical="center"/>
    </xf>
    <xf numFmtId="0" fontId="26" fillId="0" borderId="11" xfId="0" applyFont="1" applyBorder="1" applyAlignment="1">
      <alignment vertical="center"/>
    </xf>
    <xf numFmtId="0" fontId="27" fillId="0" borderId="0" xfId="0" applyFont="1"/>
    <xf numFmtId="0" fontId="24" fillId="0" borderId="0" xfId="0" applyFont="1" applyAlignment="1">
      <alignment vertical="center"/>
    </xf>
    <xf numFmtId="0" fontId="0" fillId="0" borderId="25" xfId="0" applyBorder="1"/>
    <xf numFmtId="0" fontId="12" fillId="8" borderId="14" xfId="0" applyFont="1" applyFill="1" applyBorder="1" applyAlignment="1">
      <alignment horizontal="left" vertical="center" indent="1"/>
    </xf>
    <xf numFmtId="0" fontId="12" fillId="8" borderId="7" xfId="0" applyFont="1" applyFill="1" applyBorder="1" applyAlignment="1">
      <alignment horizontal="left" vertical="center" indent="1"/>
    </xf>
    <xf numFmtId="0" fontId="12" fillId="8" borderId="15" xfId="0" applyFont="1" applyFill="1" applyBorder="1" applyAlignment="1">
      <alignment horizontal="left" vertical="center" indent="1"/>
    </xf>
    <xf numFmtId="0" fontId="12" fillId="8" borderId="16" xfId="0" applyFont="1" applyFill="1" applyBorder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2" fillId="8" borderId="17" xfId="0" applyFont="1" applyFill="1" applyBorder="1" applyAlignment="1">
      <alignment horizontal="left" vertical="center" indent="1"/>
    </xf>
    <xf numFmtId="0" fontId="12" fillId="8" borderId="18" xfId="0" applyFont="1" applyFill="1" applyBorder="1" applyAlignment="1">
      <alignment horizontal="left" vertical="center" indent="1"/>
    </xf>
    <xf numFmtId="0" fontId="12" fillId="8" borderId="13" xfId="0" applyFont="1" applyFill="1" applyBorder="1" applyAlignment="1">
      <alignment horizontal="left" vertical="center" indent="1"/>
    </xf>
    <xf numFmtId="0" fontId="12" fillId="8" borderId="19" xfId="0" applyFont="1" applyFill="1" applyBorder="1" applyAlignment="1">
      <alignment horizontal="left" vertical="center" indent="1"/>
    </xf>
    <xf numFmtId="0" fontId="12" fillId="8" borderId="10" xfId="0" applyFont="1" applyFill="1" applyBorder="1" applyAlignment="1">
      <alignment horizontal="left" vertical="center" indent="1"/>
    </xf>
    <xf numFmtId="0" fontId="12" fillId="8" borderId="11" xfId="0" applyFont="1" applyFill="1" applyBorder="1" applyAlignment="1">
      <alignment horizontal="left" vertical="center" indent="1"/>
    </xf>
    <xf numFmtId="0" fontId="12" fillId="8" borderId="12" xfId="0" applyFont="1" applyFill="1" applyBorder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 indent="1"/>
    </xf>
    <xf numFmtId="0" fontId="10" fillId="0" borderId="16" xfId="0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10" fillId="0" borderId="13" xfId="0" applyFont="1" applyBorder="1" applyAlignment="1">
      <alignment horizontal="left" vertical="center" indent="1"/>
    </xf>
    <xf numFmtId="0" fontId="5" fillId="8" borderId="10" xfId="0" applyFont="1" applyFill="1" applyBorder="1" applyAlignment="1">
      <alignment horizontal="left" vertical="center" indent="1"/>
    </xf>
    <xf numFmtId="0" fontId="5" fillId="8" borderId="11" xfId="0" applyFont="1" applyFill="1" applyBorder="1" applyAlignment="1">
      <alignment horizontal="left" vertical="center" indent="1"/>
    </xf>
    <xf numFmtId="0" fontId="5" fillId="8" borderId="12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164" fontId="12" fillId="8" borderId="10" xfId="0" applyNumberFormat="1" applyFont="1" applyFill="1" applyBorder="1" applyAlignment="1">
      <alignment horizontal="center" vertical="center"/>
    </xf>
    <xf numFmtId="164" fontId="12" fillId="8" borderId="11" xfId="0" applyNumberFormat="1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textRotation="90"/>
    </xf>
    <xf numFmtId="1" fontId="5" fillId="0" borderId="0" xfId="0" applyNumberFormat="1" applyFont="1" applyAlignment="1" applyProtection="1">
      <alignment horizontal="center" vertical="center" wrapText="1"/>
      <protection locked="0"/>
    </xf>
    <xf numFmtId="0" fontId="17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23" fillId="3" borderId="0" xfId="0" applyFont="1" applyFill="1" applyAlignment="1">
      <alignment horizontal="center" vertical="center"/>
    </xf>
    <xf numFmtId="0" fontId="10" fillId="0" borderId="10" xfId="0" applyFont="1" applyBorder="1" applyAlignment="1">
      <alignment horizontal="left" vertical="center" indent="1"/>
    </xf>
    <xf numFmtId="0" fontId="10" fillId="0" borderId="11" xfId="0" applyFont="1" applyBorder="1" applyAlignment="1">
      <alignment horizontal="left" vertical="center" indent="1"/>
    </xf>
    <xf numFmtId="0" fontId="10" fillId="0" borderId="12" xfId="0" applyFont="1" applyBorder="1" applyAlignment="1">
      <alignment horizontal="left" vertical="center" indent="1"/>
    </xf>
    <xf numFmtId="0" fontId="11" fillId="8" borderId="10" xfId="0" applyFont="1" applyFill="1" applyBorder="1" applyAlignment="1" applyProtection="1">
      <alignment horizontal="left" vertical="center" indent="1"/>
      <protection locked="0"/>
    </xf>
    <xf numFmtId="0" fontId="11" fillId="8" borderId="11" xfId="0" applyFont="1" applyFill="1" applyBorder="1" applyAlignment="1" applyProtection="1">
      <alignment horizontal="left" vertical="center" indent="1"/>
      <protection locked="0"/>
    </xf>
    <xf numFmtId="0" fontId="11" fillId="8" borderId="12" xfId="0" applyFont="1" applyFill="1" applyBorder="1" applyAlignment="1" applyProtection="1">
      <alignment horizontal="left" vertical="center" indent="1"/>
      <protection locked="0"/>
    </xf>
    <xf numFmtId="0" fontId="14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right" vertical="center" indent="1"/>
    </xf>
    <xf numFmtId="0" fontId="10" fillId="0" borderId="15" xfId="0" applyFont="1" applyBorder="1" applyAlignment="1">
      <alignment horizontal="left" vertical="center" indent="1"/>
    </xf>
    <xf numFmtId="0" fontId="10" fillId="0" borderId="17" xfId="0" applyFont="1" applyBorder="1" applyAlignment="1">
      <alignment horizontal="left" vertical="center" indent="1"/>
    </xf>
    <xf numFmtId="0" fontId="10" fillId="0" borderId="19" xfId="0" applyFont="1" applyBorder="1" applyAlignment="1">
      <alignment horizontal="left" vertical="center" inden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14" fontId="5" fillId="8" borderId="10" xfId="0" applyNumberFormat="1" applyFont="1" applyFill="1" applyBorder="1" applyAlignment="1" applyProtection="1">
      <alignment horizontal="center" vertical="center"/>
      <protection locked="0"/>
    </xf>
    <xf numFmtId="14" fontId="5" fillId="8" borderId="11" xfId="0" applyNumberFormat="1" applyFont="1" applyFill="1" applyBorder="1" applyAlignment="1" applyProtection="1">
      <alignment horizontal="center" vertical="center"/>
      <protection locked="0"/>
    </xf>
    <xf numFmtId="14" fontId="5" fillId="8" borderId="12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center"/>
    </xf>
    <xf numFmtId="0" fontId="15" fillId="11" borderId="23" xfId="0" applyFont="1" applyFill="1" applyBorder="1" applyAlignment="1">
      <alignment horizontal="center" vertical="center" wrapText="1" readingOrder="1"/>
    </xf>
    <xf numFmtId="0" fontId="13" fillId="10" borderId="0" xfId="0" applyFont="1" applyFill="1" applyAlignment="1">
      <alignment horizontal="center" vertical="center"/>
    </xf>
    <xf numFmtId="0" fontId="15" fillId="11" borderId="2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1</xdr:col>
      <xdr:colOff>85725</xdr:colOff>
      <xdr:row>2</xdr:row>
      <xdr:rowOff>914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845" y="66675"/>
          <a:ext cx="1589929" cy="273329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0</xdr:row>
      <xdr:rowOff>60960</xdr:rowOff>
    </xdr:from>
    <xdr:to>
      <xdr:col>9</xdr:col>
      <xdr:colOff>65929</xdr:colOff>
      <xdr:row>2</xdr:row>
      <xdr:rowOff>59969</xdr:rowOff>
    </xdr:to>
    <xdr:pic>
      <xdr:nvPicPr>
        <xdr:cNvPr id="4" name="Gráfico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080" y="60960"/>
          <a:ext cx="1589929" cy="273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DM517"/>
  <sheetViews>
    <sheetView showGridLines="0" showRowColHeaders="0" workbookViewId="0">
      <selection activeCell="P20" sqref="P20:BE21"/>
    </sheetView>
  </sheetViews>
  <sheetFormatPr defaultColWidth="0" defaultRowHeight="0" customHeight="1" zeroHeight="1" x14ac:dyDescent="0.3"/>
  <cols>
    <col min="1" max="2" width="2.88671875" customWidth="1"/>
    <col min="3" max="54" width="2.88671875" style="21" customWidth="1"/>
    <col min="55" max="59" width="2.88671875" customWidth="1"/>
    <col min="60" max="60" width="4.5546875" style="28" hidden="1" customWidth="1"/>
    <col min="61" max="62" width="4.5546875" style="29" hidden="1" customWidth="1"/>
    <col min="63" max="117" width="0" hidden="1" customWidth="1"/>
    <col min="118" max="16384" width="2.88671875" hidden="1"/>
  </cols>
  <sheetData>
    <row r="1" spans="1:117" s="7" customFormat="1" ht="11.1" customHeight="1" x14ac:dyDescent="0.25">
      <c r="A1" s="1"/>
      <c r="B1" s="2"/>
      <c r="C1" s="2"/>
      <c r="D1" s="2"/>
      <c r="E1" s="2"/>
      <c r="F1" s="2"/>
      <c r="G1" s="2"/>
      <c r="H1" s="3"/>
      <c r="I1" s="1"/>
      <c r="J1" s="2"/>
      <c r="K1" s="2"/>
      <c r="L1" s="2"/>
      <c r="M1" s="2"/>
      <c r="N1" s="2"/>
      <c r="O1" s="1"/>
      <c r="P1" s="2"/>
      <c r="Q1" s="2"/>
      <c r="R1" s="2"/>
      <c r="S1" s="2"/>
      <c r="T1" s="2"/>
      <c r="U1" s="1"/>
      <c r="V1" s="2"/>
      <c r="W1" s="2"/>
      <c r="X1" s="181"/>
      <c r="Y1" s="181"/>
      <c r="Z1" s="181"/>
      <c r="AA1" s="181"/>
      <c r="AB1" s="181"/>
      <c r="AC1" s="181"/>
      <c r="AD1" s="2"/>
      <c r="AE1" s="2"/>
      <c r="AF1" s="2"/>
      <c r="AG1" s="1"/>
      <c r="AH1" s="2"/>
      <c r="AI1" s="2"/>
      <c r="AJ1" s="2"/>
      <c r="AK1" s="2"/>
      <c r="AL1" s="2"/>
      <c r="AM1" s="1"/>
      <c r="AN1" s="2"/>
      <c r="AO1" s="2"/>
      <c r="AP1" s="2"/>
      <c r="AQ1" s="2"/>
      <c r="AR1" s="2"/>
      <c r="AS1" s="1"/>
      <c r="AT1" s="2"/>
      <c r="AU1" s="2"/>
      <c r="AV1" s="2"/>
      <c r="AW1" s="2"/>
      <c r="AX1" s="2"/>
      <c r="AY1" s="1"/>
      <c r="AZ1" s="2"/>
      <c r="BA1" s="2"/>
      <c r="BB1" s="2"/>
      <c r="BC1" s="4" t="s">
        <v>496</v>
      </c>
      <c r="BD1" s="2"/>
      <c r="BE1" s="1"/>
      <c r="BF1" s="2"/>
      <c r="BG1" s="2"/>
      <c r="BH1" s="5"/>
      <c r="BI1" s="5"/>
      <c r="BJ1" s="5"/>
      <c r="BK1" s="6"/>
      <c r="BL1" s="2"/>
      <c r="BM1" s="2"/>
      <c r="BN1" s="2"/>
      <c r="BO1" s="2"/>
      <c r="BP1" s="2"/>
      <c r="BQ1" s="1"/>
      <c r="BR1" s="2"/>
      <c r="BS1" s="2"/>
      <c r="BT1" s="2"/>
      <c r="BU1" s="2"/>
      <c r="BV1" s="2"/>
      <c r="BW1" s="1"/>
      <c r="BX1" s="2"/>
      <c r="BY1" s="2"/>
      <c r="BZ1" s="2"/>
      <c r="CA1" s="2"/>
      <c r="CB1" s="2"/>
      <c r="CC1" s="1"/>
      <c r="CD1" s="2"/>
      <c r="CE1" s="2"/>
      <c r="CF1" s="2"/>
      <c r="CG1" s="2"/>
      <c r="CH1" s="2"/>
      <c r="CI1" s="1"/>
      <c r="CJ1" s="2"/>
      <c r="CK1" s="2"/>
      <c r="CL1" s="2"/>
      <c r="CM1" s="2"/>
      <c r="CN1" s="2"/>
      <c r="CO1" s="1"/>
      <c r="CP1" s="2"/>
      <c r="CQ1" s="2"/>
      <c r="CR1" s="2"/>
      <c r="CS1" s="2"/>
      <c r="CT1" s="2"/>
      <c r="CU1" s="1"/>
      <c r="CV1" s="2"/>
      <c r="CW1" s="2"/>
      <c r="CX1" s="2"/>
      <c r="CY1" s="2"/>
      <c r="CZ1" s="2"/>
      <c r="DA1" s="1"/>
      <c r="DB1" s="2"/>
      <c r="DC1" s="2"/>
      <c r="DD1" s="2"/>
      <c r="DE1" s="2"/>
      <c r="DF1" s="2"/>
      <c r="DG1" s="1"/>
      <c r="DH1" s="2"/>
      <c r="DI1" s="2"/>
      <c r="DJ1" s="2"/>
      <c r="DK1" s="2"/>
      <c r="DL1" s="2"/>
      <c r="DM1" s="1"/>
    </row>
    <row r="2" spans="1:117" s="7" customFormat="1" ht="11.1" customHeight="1" x14ac:dyDescent="0.25">
      <c r="A2" s="1"/>
      <c r="B2" s="2"/>
      <c r="C2" s="2"/>
      <c r="D2" s="2"/>
      <c r="E2" s="2"/>
      <c r="F2" s="2"/>
      <c r="G2" s="2"/>
      <c r="H2" s="3"/>
      <c r="I2" s="1"/>
      <c r="J2" s="2"/>
      <c r="K2" s="2"/>
      <c r="L2" s="2"/>
      <c r="M2" s="2"/>
      <c r="N2" s="2"/>
      <c r="O2" s="1"/>
      <c r="P2" s="2"/>
      <c r="Q2" s="2"/>
      <c r="R2" s="2"/>
      <c r="S2" s="2"/>
      <c r="T2" s="2"/>
      <c r="U2" s="1"/>
      <c r="V2" s="2"/>
      <c r="W2" s="2"/>
      <c r="X2" s="181"/>
      <c r="Y2" s="181"/>
      <c r="Z2" s="181"/>
      <c r="AA2" s="181"/>
      <c r="AB2" s="181"/>
      <c r="AC2" s="181"/>
      <c r="AD2" s="2"/>
      <c r="AE2" s="2"/>
      <c r="AF2" s="2"/>
      <c r="AG2" s="1"/>
      <c r="AH2" s="2"/>
      <c r="AI2" s="2"/>
      <c r="AJ2" s="2"/>
      <c r="AK2" s="2"/>
      <c r="AL2" s="2"/>
      <c r="AM2" s="1"/>
      <c r="AN2" s="2"/>
      <c r="AO2" s="2"/>
      <c r="AP2" s="2"/>
      <c r="AQ2" s="2"/>
      <c r="AR2" s="2"/>
      <c r="AS2" s="1"/>
      <c r="AT2" s="2"/>
      <c r="AU2" s="2"/>
      <c r="AV2" s="2"/>
      <c r="AW2" s="2"/>
      <c r="AX2" s="2"/>
      <c r="AY2" s="1"/>
      <c r="AZ2" s="2"/>
      <c r="BA2" s="2"/>
      <c r="BB2" s="2"/>
      <c r="BC2" s="2"/>
      <c r="BD2" s="2"/>
      <c r="BE2" s="1"/>
      <c r="BF2" s="2"/>
      <c r="BG2" s="2"/>
      <c r="BH2" s="5"/>
      <c r="BI2" s="5"/>
      <c r="BJ2" s="5"/>
      <c r="BK2" s="6"/>
      <c r="BL2" s="2"/>
      <c r="BM2" s="2"/>
      <c r="BN2" s="2"/>
      <c r="BO2" s="2"/>
      <c r="BP2" s="2"/>
      <c r="BQ2" s="1"/>
      <c r="BR2" s="2"/>
      <c r="BS2" s="2"/>
      <c r="BT2" s="2"/>
      <c r="BU2" s="2"/>
      <c r="BV2" s="2"/>
      <c r="BW2" s="1"/>
      <c r="BX2" s="2"/>
      <c r="BY2" s="2"/>
      <c r="BZ2" s="2"/>
      <c r="CA2" s="2"/>
      <c r="CB2" s="2"/>
      <c r="CC2" s="1"/>
      <c r="CD2" s="2"/>
      <c r="CE2" s="2"/>
      <c r="CF2" s="2"/>
      <c r="CG2" s="2"/>
      <c r="CH2" s="2"/>
      <c r="CI2" s="1"/>
      <c r="CJ2" s="2"/>
      <c r="CK2" s="2"/>
      <c r="CL2" s="2"/>
      <c r="CM2" s="2"/>
      <c r="CN2" s="2"/>
      <c r="CO2" s="1"/>
      <c r="CP2" s="2"/>
      <c r="CQ2" s="2"/>
      <c r="CR2" s="2"/>
      <c r="CS2" s="2"/>
      <c r="CT2" s="2"/>
      <c r="CU2" s="1"/>
      <c r="CV2" s="2"/>
      <c r="CW2" s="2"/>
      <c r="CX2" s="2"/>
      <c r="CY2" s="2"/>
      <c r="CZ2" s="2"/>
      <c r="DA2" s="1"/>
      <c r="DB2" s="2"/>
      <c r="DC2" s="2"/>
      <c r="DD2" s="2"/>
      <c r="DE2" s="2"/>
      <c r="DF2" s="2"/>
      <c r="DG2" s="1"/>
      <c r="DH2" s="2"/>
      <c r="DI2" s="2"/>
      <c r="DJ2" s="2"/>
      <c r="DK2" s="2"/>
      <c r="DL2" s="2"/>
      <c r="DM2" s="1"/>
    </row>
    <row r="3" spans="1:117" s="7" customFormat="1" ht="11.1" customHeight="1" x14ac:dyDescent="0.25">
      <c r="A3" s="1"/>
      <c r="B3" s="2"/>
      <c r="C3" s="2"/>
      <c r="D3" s="2"/>
      <c r="E3" s="2"/>
      <c r="F3" s="2"/>
      <c r="G3" s="2"/>
      <c r="H3" s="3"/>
      <c r="I3" s="1"/>
      <c r="J3" s="2"/>
      <c r="K3" s="2"/>
      <c r="L3" s="2"/>
      <c r="M3" s="2"/>
      <c r="N3" s="2"/>
      <c r="O3" s="1"/>
      <c r="P3" s="2"/>
      <c r="Q3" s="2"/>
      <c r="R3" s="2"/>
      <c r="S3" s="2"/>
      <c r="T3" s="2"/>
      <c r="U3" s="1"/>
      <c r="V3" s="2"/>
      <c r="W3" s="2"/>
      <c r="X3" s="181"/>
      <c r="Y3" s="181"/>
      <c r="Z3" s="181"/>
      <c r="AA3" s="181"/>
      <c r="AB3" s="181"/>
      <c r="AC3" s="181"/>
      <c r="AD3" s="2"/>
      <c r="AE3" s="2"/>
      <c r="AF3" s="2"/>
      <c r="AG3" s="1"/>
      <c r="AH3" s="2"/>
      <c r="AI3" s="2"/>
      <c r="AJ3" s="2"/>
      <c r="AK3" s="2"/>
      <c r="AL3" s="2"/>
      <c r="AM3" s="1"/>
      <c r="AN3" s="2"/>
      <c r="AO3" s="2"/>
      <c r="AP3" s="2"/>
      <c r="AQ3" s="2"/>
      <c r="AR3" s="2"/>
      <c r="AS3" s="1"/>
      <c r="AT3" s="2"/>
      <c r="AU3" s="2"/>
      <c r="AV3" s="2"/>
      <c r="AW3" s="2"/>
      <c r="AX3" s="2"/>
      <c r="AY3" s="1"/>
      <c r="AZ3" s="2"/>
      <c r="BA3" s="2"/>
      <c r="BB3" s="2"/>
      <c r="BC3" s="2"/>
      <c r="BD3" s="2"/>
      <c r="BE3" s="1"/>
      <c r="BF3" s="2"/>
      <c r="BG3" s="2"/>
      <c r="BH3" s="5"/>
      <c r="BI3" s="5"/>
      <c r="BJ3" s="5"/>
      <c r="BK3" s="6"/>
      <c r="BL3" s="2"/>
      <c r="BM3" s="2"/>
      <c r="BN3" s="2"/>
      <c r="BO3" s="2"/>
      <c r="BP3" s="2"/>
      <c r="BQ3" s="1"/>
      <c r="BR3" s="2"/>
      <c r="BS3" s="2"/>
      <c r="BT3" s="2"/>
      <c r="BU3" s="2"/>
      <c r="BV3" s="2"/>
      <c r="BW3" s="1"/>
      <c r="BX3" s="2"/>
      <c r="BY3" s="2"/>
      <c r="BZ3" s="2"/>
      <c r="CA3" s="2"/>
      <c r="CB3" s="2"/>
      <c r="CC3" s="1"/>
      <c r="CD3" s="2"/>
      <c r="CE3" s="2"/>
      <c r="CF3" s="2"/>
      <c r="CG3" s="2"/>
      <c r="CH3" s="2"/>
      <c r="CI3" s="1"/>
      <c r="CJ3" s="2"/>
      <c r="CK3" s="2"/>
      <c r="CL3" s="2"/>
      <c r="CM3" s="2"/>
      <c r="CN3" s="2"/>
      <c r="CO3" s="1"/>
      <c r="CP3" s="2"/>
      <c r="CQ3" s="2"/>
      <c r="CR3" s="2"/>
      <c r="CS3" s="2"/>
      <c r="CT3" s="2"/>
      <c r="CU3" s="1"/>
      <c r="CV3" s="2"/>
      <c r="CW3" s="2"/>
      <c r="CX3" s="2"/>
      <c r="CY3" s="2"/>
      <c r="CZ3" s="2"/>
      <c r="DA3" s="1"/>
      <c r="DB3" s="2"/>
      <c r="DC3" s="2"/>
      <c r="DD3" s="2"/>
      <c r="DE3" s="2"/>
      <c r="DF3" s="2"/>
      <c r="DG3" s="1"/>
      <c r="DH3" s="2"/>
      <c r="DI3" s="2"/>
      <c r="DJ3" s="2"/>
      <c r="DK3" s="2"/>
      <c r="DL3" s="2"/>
      <c r="DM3" s="1"/>
    </row>
    <row r="4" spans="1:117" ht="14.4" x14ac:dyDescent="0.3"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H4" s="178"/>
      <c r="BI4" s="178"/>
      <c r="BJ4" s="178"/>
    </row>
    <row r="5" spans="1:117" ht="15" thickBot="1" x14ac:dyDescent="0.35"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H5" s="178"/>
      <c r="BI5" s="178"/>
      <c r="BJ5" s="178"/>
    </row>
    <row r="6" spans="1:117" ht="15" thickTop="1" x14ac:dyDescent="0.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10"/>
      <c r="BH6" s="11"/>
      <c r="BI6" s="11"/>
      <c r="BJ6" s="11"/>
    </row>
    <row r="7" spans="1:117" ht="21" x14ac:dyDescent="0.3">
      <c r="B7" s="12"/>
      <c r="C7" s="179" t="s">
        <v>482</v>
      </c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3"/>
      <c r="BH7" s="11"/>
      <c r="BI7" s="11"/>
      <c r="BJ7" s="11"/>
    </row>
    <row r="8" spans="1:117" ht="14.4" x14ac:dyDescent="0.3">
      <c r="B8" s="1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F8" s="13"/>
      <c r="BH8" s="11"/>
      <c r="BI8" s="11"/>
      <c r="BJ8" s="11"/>
    </row>
    <row r="9" spans="1:117" ht="12.15" customHeight="1" x14ac:dyDescent="0.3">
      <c r="B9" s="12"/>
      <c r="C9" s="180" t="s">
        <v>483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3"/>
      <c r="BH9" s="178" t="s">
        <v>0</v>
      </c>
      <c r="BI9" s="178" t="s">
        <v>1</v>
      </c>
      <c r="BJ9" s="178" t="s">
        <v>2</v>
      </c>
    </row>
    <row r="10" spans="1:117" ht="12.15" customHeight="1" x14ac:dyDescent="0.3">
      <c r="B10" s="12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3"/>
      <c r="BH10" s="178"/>
      <c r="BI10" s="178"/>
      <c r="BJ10" s="178"/>
    </row>
    <row r="11" spans="1:117" ht="12.15" customHeight="1" x14ac:dyDescent="0.3">
      <c r="B11" s="12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3"/>
      <c r="BH11" s="178"/>
      <c r="BI11" s="178"/>
      <c r="BJ11" s="178"/>
    </row>
    <row r="12" spans="1:117" ht="12.15" customHeight="1" x14ac:dyDescent="0.3">
      <c r="B12" s="12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3"/>
      <c r="BH12" s="14"/>
      <c r="BI12" s="14"/>
      <c r="BJ12" s="14"/>
    </row>
    <row r="13" spans="1:117" ht="14.4" x14ac:dyDescent="0.3">
      <c r="B13" s="12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F13" s="13"/>
      <c r="BH13" s="15"/>
      <c r="BI13" s="16"/>
      <c r="BJ13" s="17"/>
    </row>
    <row r="14" spans="1:117" ht="14.4" customHeight="1" x14ac:dyDescent="0.3">
      <c r="B14" s="12"/>
      <c r="C14" s="188" t="s">
        <v>42</v>
      </c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88"/>
      <c r="AW14" s="188"/>
      <c r="AX14" s="188"/>
      <c r="AY14" s="188"/>
      <c r="AZ14" s="188"/>
      <c r="BA14" s="188"/>
      <c r="BB14" s="188"/>
      <c r="BC14" s="188"/>
      <c r="BD14" s="188"/>
      <c r="BE14" s="188"/>
      <c r="BF14" s="13"/>
      <c r="BH14" s="18"/>
      <c r="BI14" s="19"/>
      <c r="BJ14" s="20"/>
    </row>
    <row r="15" spans="1:117" ht="14.4" x14ac:dyDescent="0.3">
      <c r="B15" s="12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BF15" s="13"/>
      <c r="BH15" s="18"/>
      <c r="BI15" s="19"/>
      <c r="BJ15" s="20"/>
    </row>
    <row r="16" spans="1:117" ht="24" customHeight="1" x14ac:dyDescent="0.3">
      <c r="B16" s="12"/>
      <c r="C16" s="182" t="s">
        <v>43</v>
      </c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4"/>
      <c r="P16" s="185" t="s">
        <v>503</v>
      </c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7"/>
      <c r="BF16" s="13"/>
      <c r="BH16" s="18"/>
      <c r="BI16" s="19"/>
      <c r="BJ16" s="20"/>
    </row>
    <row r="17" spans="2:62" ht="15" customHeight="1" x14ac:dyDescent="0.3">
      <c r="B17" s="12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43" t="str">
        <f>IF(OR(ISBLANK(Solicitante.nome),EXACT(Solicitante.nome,"Nome de quem faz o pedido")),"*Obrigatório","")</f>
        <v/>
      </c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3"/>
      <c r="BH17" s="18"/>
      <c r="BI17" s="19"/>
      <c r="BJ17" s="20"/>
    </row>
    <row r="18" spans="2:62" ht="24" customHeight="1" x14ac:dyDescent="0.3">
      <c r="B18" s="12"/>
      <c r="C18" s="182" t="s">
        <v>221</v>
      </c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4"/>
      <c r="P18" s="185" t="s">
        <v>504</v>
      </c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6"/>
      <c r="BB18" s="186"/>
      <c r="BC18" s="186"/>
      <c r="BD18" s="186"/>
      <c r="BE18" s="187"/>
      <c r="BF18" s="13"/>
      <c r="BH18" s="18"/>
      <c r="BI18" s="19"/>
      <c r="BJ18" s="20"/>
    </row>
    <row r="19" spans="2:62" ht="24" customHeight="1" x14ac:dyDescent="0.3">
      <c r="B19" s="12"/>
      <c r="C19" s="182" t="s">
        <v>44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4"/>
      <c r="P19" s="185" t="s">
        <v>497</v>
      </c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6"/>
      <c r="BC19" s="186"/>
      <c r="BD19" s="186"/>
      <c r="BE19" s="187"/>
      <c r="BF19" s="13"/>
      <c r="BH19" s="18"/>
      <c r="BI19" s="19"/>
      <c r="BJ19" s="20"/>
    </row>
    <row r="20" spans="2:62" ht="24" customHeight="1" x14ac:dyDescent="0.3">
      <c r="B20" s="12"/>
      <c r="C20" s="182" t="s">
        <v>287</v>
      </c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4"/>
      <c r="P20" s="185" t="s">
        <v>505</v>
      </c>
      <c r="Q20" s="186"/>
      <c r="R20" s="186"/>
      <c r="S20" s="186"/>
      <c r="T20" s="186"/>
      <c r="U20" s="186"/>
      <c r="V20" s="187"/>
      <c r="W20"/>
      <c r="X20" s="185" t="s">
        <v>506</v>
      </c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6"/>
      <c r="BB20" s="186"/>
      <c r="BC20" s="186"/>
      <c r="BD20" s="186"/>
      <c r="BE20" s="187"/>
      <c r="BF20" s="13"/>
      <c r="BH20" s="18"/>
      <c r="BI20" s="19"/>
      <c r="BJ20" s="20"/>
    </row>
    <row r="21" spans="2:62" ht="15" customHeight="1" x14ac:dyDescent="0.3">
      <c r="B21" s="12"/>
      <c r="E21"/>
      <c r="H21"/>
      <c r="M21"/>
      <c r="N21"/>
      <c r="O21"/>
      <c r="P21"/>
      <c r="Q21"/>
      <c r="R21"/>
      <c r="S21"/>
      <c r="BF21" s="13"/>
      <c r="BH21" s="18"/>
      <c r="BI21" s="19"/>
      <c r="BJ21" s="20"/>
    </row>
    <row r="22" spans="2:62" ht="24" customHeight="1" x14ac:dyDescent="0.3">
      <c r="B22" s="12"/>
      <c r="C22" s="182" t="s">
        <v>293</v>
      </c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4"/>
      <c r="P22" s="185" t="s">
        <v>500</v>
      </c>
      <c r="Q22" s="186"/>
      <c r="R22" s="186"/>
      <c r="S22" s="186"/>
      <c r="T22" s="186"/>
      <c r="U22" s="186"/>
      <c r="V22" s="187"/>
      <c r="BF22" s="13"/>
      <c r="BH22" s="18"/>
      <c r="BI22" s="19"/>
      <c r="BJ22" s="20"/>
    </row>
    <row r="23" spans="2:62" ht="15" customHeight="1" x14ac:dyDescent="0.3">
      <c r="B23" s="12"/>
      <c r="E23"/>
      <c r="H23"/>
      <c r="M23"/>
      <c r="N23"/>
      <c r="O23"/>
      <c r="P23"/>
      <c r="Q23"/>
      <c r="R23"/>
      <c r="S23"/>
      <c r="BF23" s="13"/>
      <c r="BH23" s="18"/>
      <c r="BI23" s="19"/>
      <c r="BJ23" s="20"/>
    </row>
    <row r="24" spans="2:62" ht="14.4" customHeight="1" x14ac:dyDescent="0.3">
      <c r="B24" s="12"/>
      <c r="C24" s="167" t="s">
        <v>47</v>
      </c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89" t="s">
        <v>484</v>
      </c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89"/>
      <c r="BD24" s="189"/>
      <c r="BE24" s="189"/>
      <c r="BF24" s="13"/>
      <c r="BH24" s="18"/>
      <c r="BI24" s="19"/>
      <c r="BJ24" s="20"/>
    </row>
    <row r="25" spans="2:62" ht="14.4" x14ac:dyDescent="0.3">
      <c r="B25" s="12"/>
      <c r="BF25" s="13"/>
      <c r="BH25" s="18"/>
      <c r="BI25" s="19"/>
      <c r="BJ25" s="20"/>
    </row>
    <row r="26" spans="2:62" ht="14.4" x14ac:dyDescent="0.3">
      <c r="B26" s="12"/>
      <c r="C26" s="37" t="s">
        <v>290</v>
      </c>
      <c r="O26" s="37" t="s">
        <v>45</v>
      </c>
      <c r="AE26"/>
      <c r="AF26"/>
      <c r="AI26" s="37" t="s">
        <v>46</v>
      </c>
      <c r="BF26" s="13"/>
      <c r="BH26" s="18"/>
      <c r="BI26" s="19"/>
      <c r="BJ26" s="20"/>
    </row>
    <row r="27" spans="2:62" ht="5.0999999999999996" customHeight="1" x14ac:dyDescent="0.3">
      <c r="B27" s="1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7"/>
      <c r="O27" s="145" t="s">
        <v>507</v>
      </c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7"/>
      <c r="AI27" s="145" t="s">
        <v>508</v>
      </c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7"/>
      <c r="BF27" s="13"/>
      <c r="BH27" s="18"/>
      <c r="BI27" s="19"/>
      <c r="BJ27" s="20"/>
    </row>
    <row r="28" spans="2:62" ht="14.1" customHeight="1" x14ac:dyDescent="0.3">
      <c r="B28" s="12"/>
      <c r="C28" s="24"/>
      <c r="D28" s="52" t="s">
        <v>498</v>
      </c>
      <c r="E28" s="53" t="s">
        <v>291</v>
      </c>
      <c r="J28" s="52"/>
      <c r="K28" s="53" t="s">
        <v>292</v>
      </c>
      <c r="M28" s="54"/>
      <c r="O28" s="148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50"/>
      <c r="AI28" s="148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E28" s="150"/>
      <c r="BF28" s="13"/>
      <c r="BH28" s="18"/>
      <c r="BI28" s="19"/>
      <c r="BJ28" s="20"/>
    </row>
    <row r="29" spans="2:62" ht="5.0999999999999996" customHeight="1" x14ac:dyDescent="0.3">
      <c r="B29" s="12"/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55"/>
      <c r="O29" s="151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3"/>
      <c r="AI29" s="151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3"/>
      <c r="BF29" s="13"/>
      <c r="BH29" s="18"/>
      <c r="BI29" s="19"/>
      <c r="BJ29" s="20"/>
    </row>
    <row r="30" spans="2:62" ht="14.4" x14ac:dyDescent="0.3">
      <c r="B30" s="12"/>
      <c r="C30" s="130" t="str">
        <f>IF(AND(ISBLANK(Governo.isOnPrem),ISBLANK(Governo.isCloud)),"*Obrigatório","")</f>
        <v/>
      </c>
      <c r="O30" s="130" t="str">
        <f>IF(OR(ISBLANK(Governo.basedados),EXACT(Governo.basedados,"Nome da Base de Dados")),"*Obrigatório","")</f>
        <v/>
      </c>
      <c r="AI30" s="130" t="str">
        <f>IF(OR(ISBLANK(Governo.tabela),EXACT(Governo.tabela,"Nome da Tabela")),"*Obrigatório","")</f>
        <v/>
      </c>
      <c r="BF30" s="13"/>
      <c r="BH30" s="18"/>
      <c r="BI30" s="19"/>
      <c r="BJ30" s="20"/>
    </row>
    <row r="31" spans="2:62" ht="14.4" x14ac:dyDescent="0.3">
      <c r="B31" s="12"/>
      <c r="C31" s="130"/>
      <c r="BF31" s="13"/>
      <c r="BH31" s="18"/>
      <c r="BI31" s="19"/>
      <c r="BJ31" s="20"/>
    </row>
    <row r="32" spans="2:62" ht="14.4" x14ac:dyDescent="0.3">
      <c r="B32" s="12"/>
      <c r="C32" s="37" t="s">
        <v>48</v>
      </c>
      <c r="P32"/>
      <c r="Q32"/>
      <c r="AN32" s="37"/>
      <c r="BA32"/>
      <c r="BB32"/>
      <c r="BF32" s="13"/>
      <c r="BH32" s="18"/>
      <c r="BI32" s="19"/>
      <c r="BJ32" s="20"/>
    </row>
    <row r="33" spans="2:62" ht="24" customHeight="1" x14ac:dyDescent="0.3">
      <c r="B33" s="12"/>
      <c r="C33" s="154" t="s">
        <v>601</v>
      </c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6"/>
      <c r="BF33" s="13"/>
      <c r="BH33" s="18"/>
      <c r="BI33" s="19"/>
      <c r="BJ33" s="20"/>
    </row>
    <row r="34" spans="2:62" ht="14.4" x14ac:dyDescent="0.3">
      <c r="B34" s="12"/>
      <c r="C34" s="130" t="str">
        <f>IF(OR(ISBLANK(Governo.descricao),EXACT(Governo.descricao,"Descrição curta da Tabela")),"*Obrigatório","")</f>
        <v/>
      </c>
      <c r="BF34" s="13"/>
      <c r="BH34" s="18"/>
      <c r="BI34" s="19"/>
      <c r="BJ34" s="20"/>
    </row>
    <row r="35" spans="2:62" ht="14.4" x14ac:dyDescent="0.3">
      <c r="B35" s="12"/>
      <c r="BF35" s="13"/>
      <c r="BH35" s="18"/>
      <c r="BI35" s="19"/>
      <c r="BJ35" s="20"/>
    </row>
    <row r="36" spans="2:62" ht="14.4" x14ac:dyDescent="0.3">
      <c r="B36" s="12"/>
      <c r="C36" s="37" t="s">
        <v>183</v>
      </c>
      <c r="P36"/>
      <c r="Q36"/>
      <c r="R36" s="37" t="s">
        <v>49</v>
      </c>
      <c r="AL36" s="37" t="s">
        <v>485</v>
      </c>
      <c r="BA36"/>
      <c r="BB36"/>
      <c r="BF36" s="13"/>
      <c r="BH36" s="18"/>
      <c r="BI36" s="19"/>
      <c r="BJ36" s="20"/>
    </row>
    <row r="37" spans="2:62" ht="24" customHeight="1" x14ac:dyDescent="0.3">
      <c r="B37" s="12"/>
      <c r="C37" s="154" t="s">
        <v>511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6"/>
      <c r="R37" s="154" t="s">
        <v>510</v>
      </c>
      <c r="S37" s="155"/>
      <c r="T37" s="155"/>
      <c r="U37" s="155"/>
      <c r="V37" s="155"/>
      <c r="W37" s="155"/>
      <c r="X37" s="155"/>
      <c r="Y37" s="155"/>
      <c r="Z37" s="156"/>
      <c r="AB37" s="154" t="s">
        <v>227</v>
      </c>
      <c r="AC37" s="155"/>
      <c r="AD37" s="155"/>
      <c r="AE37" s="155"/>
      <c r="AF37" s="155"/>
      <c r="AG37" s="155"/>
      <c r="AH37" s="155"/>
      <c r="AI37" s="155"/>
      <c r="AJ37" s="156"/>
      <c r="AL37" s="154" t="s">
        <v>600</v>
      </c>
      <c r="AM37" s="155"/>
      <c r="AN37" s="155"/>
      <c r="AO37" s="155"/>
      <c r="AP37" s="155"/>
      <c r="AQ37" s="155"/>
      <c r="AR37" s="155"/>
      <c r="AS37" s="155"/>
      <c r="AT37" s="156"/>
      <c r="AV37" s="154" t="s">
        <v>486</v>
      </c>
      <c r="AW37" s="155"/>
      <c r="AX37" s="155"/>
      <c r="AY37" s="155"/>
      <c r="AZ37" s="155"/>
      <c r="BA37" s="155"/>
      <c r="BB37" s="155"/>
      <c r="BC37" s="155"/>
      <c r="BD37" s="155"/>
      <c r="BE37" s="156"/>
      <c r="BF37" s="13"/>
      <c r="BH37" s="18"/>
      <c r="BI37" s="19"/>
      <c r="BJ37" s="20"/>
    </row>
    <row r="38" spans="2:62" ht="14.4" x14ac:dyDescent="0.3">
      <c r="B38" s="12"/>
      <c r="C38" s="130" t="str">
        <f>IF(ISBLANK(Governo.uso),"*Obrigatório","")</f>
        <v/>
      </c>
      <c r="R38" s="130" t="str">
        <f>IF(ISBLANK(Governo.granularidade),"*Obrigatório","")</f>
        <v/>
      </c>
      <c r="AL38" s="130" t="str">
        <f>IF(ISBLANK(Governo.periodicidade),"*Obrigatório","")</f>
        <v/>
      </c>
      <c r="BF38" s="13"/>
      <c r="BH38" s="18"/>
      <c r="BI38" s="19"/>
      <c r="BJ38" s="20"/>
    </row>
    <row r="39" spans="2:62" ht="14.4" x14ac:dyDescent="0.3">
      <c r="B39" s="12"/>
      <c r="BF39" s="13"/>
      <c r="BH39" s="18"/>
      <c r="BI39" s="19"/>
      <c r="BJ39" s="20"/>
    </row>
    <row r="40" spans="2:62" ht="14.4" customHeight="1" x14ac:dyDescent="0.3">
      <c r="B40" s="12"/>
      <c r="C40" s="167" t="s">
        <v>492</v>
      </c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3"/>
      <c r="BH40" s="18"/>
      <c r="BI40" s="19"/>
      <c r="BJ40" s="20"/>
    </row>
    <row r="41" spans="2:62" ht="14.4" x14ac:dyDescent="0.3">
      <c r="B41" s="12"/>
      <c r="BF41" s="13"/>
      <c r="BH41" s="18"/>
      <c r="BI41" s="19"/>
      <c r="BJ41" s="20"/>
    </row>
    <row r="42" spans="2:62" ht="14.4" x14ac:dyDescent="0.3">
      <c r="B42" s="12"/>
      <c r="C42" s="177" t="s">
        <v>288</v>
      </c>
      <c r="E42" s="37" t="s">
        <v>487</v>
      </c>
      <c r="I42" s="37" t="s">
        <v>488</v>
      </c>
      <c r="O42" s="37" t="s">
        <v>489</v>
      </c>
      <c r="Z42" s="37"/>
      <c r="AF42" s="177" t="s">
        <v>289</v>
      </c>
      <c r="AH42" s="37" t="s">
        <v>487</v>
      </c>
      <c r="AL42" s="37" t="s">
        <v>488</v>
      </c>
      <c r="AR42" s="37" t="s">
        <v>489</v>
      </c>
      <c r="BC42" s="37"/>
      <c r="BE42" s="21"/>
      <c r="BF42" s="13"/>
      <c r="BH42" s="18"/>
      <c r="BI42" s="19"/>
      <c r="BJ42" s="20"/>
    </row>
    <row r="43" spans="2:62" ht="24" customHeight="1" x14ac:dyDescent="0.3">
      <c r="B43" s="12"/>
      <c r="C43" s="177"/>
      <c r="E43" s="174"/>
      <c r="F43" s="175"/>
      <c r="G43" s="176"/>
      <c r="H43"/>
      <c r="I43" s="168"/>
      <c r="J43" s="169"/>
      <c r="K43" s="169"/>
      <c r="L43" s="170"/>
      <c r="M43"/>
      <c r="N43"/>
      <c r="O43" s="171"/>
      <c r="P43" s="172"/>
      <c r="Q43" s="172"/>
      <c r="R43" s="172"/>
      <c r="S43" s="172"/>
      <c r="T43" s="172"/>
      <c r="U43" s="172"/>
      <c r="V43" s="172"/>
      <c r="W43" s="172"/>
      <c r="X43" s="173"/>
      <c r="Y43"/>
      <c r="Z43" s="37"/>
      <c r="AA43" s="37"/>
      <c r="AB43" s="37"/>
      <c r="AC43" s="37"/>
      <c r="AD43" s="37"/>
      <c r="AF43" s="177"/>
      <c r="AH43" s="174"/>
      <c r="AI43" s="175"/>
      <c r="AJ43" s="176"/>
      <c r="AK43"/>
      <c r="AL43" s="168"/>
      <c r="AM43" s="169"/>
      <c r="AN43" s="169"/>
      <c r="AO43" s="170"/>
      <c r="AP43"/>
      <c r="AQ43"/>
      <c r="AR43" s="171"/>
      <c r="AS43" s="172"/>
      <c r="AT43" s="172"/>
      <c r="AU43" s="172"/>
      <c r="AV43" s="172"/>
      <c r="AW43" s="172"/>
      <c r="AX43" s="172"/>
      <c r="AY43" s="172"/>
      <c r="AZ43" s="172"/>
      <c r="BA43" s="173"/>
      <c r="BB43"/>
      <c r="BC43" s="37"/>
      <c r="BD43" s="37"/>
      <c r="BE43" s="37"/>
      <c r="BF43" s="13"/>
      <c r="BH43" s="18"/>
      <c r="BI43" s="19"/>
      <c r="BJ43" s="20"/>
    </row>
    <row r="44" spans="2:62" ht="15" customHeight="1" x14ac:dyDescent="0.3">
      <c r="B44" s="12"/>
      <c r="C44" s="177"/>
      <c r="E44" s="130" t="str">
        <f>IF(ISBLANK(Housekeeping.pre.expurgo),"*Obrigatório","")</f>
        <v>*Obrigatório</v>
      </c>
      <c r="I44" s="130" t="str">
        <f>IF(AND(EXACT(Housekeeping.pre.expurgo,"Sim"),ISBLANK(Housekeeping.pre.dias)),"*Obrigatório","")</f>
        <v/>
      </c>
      <c r="O44" s="130" t="str">
        <f>IF(AND(EXACT(Housekeeping.pre.expurgo,"Sim"),ISBLANK(Housekeeping.pre.campo)),"*Obrigatório","")</f>
        <v/>
      </c>
      <c r="W44"/>
      <c r="X44"/>
      <c r="Y44"/>
      <c r="Z44" s="37"/>
      <c r="AA44" s="37"/>
      <c r="AB44" s="37"/>
      <c r="AC44" s="37"/>
      <c r="AD44" s="37"/>
      <c r="AF44" s="177"/>
      <c r="AH44" s="130" t="str">
        <f>IF(ISBLANK(Housekeeping.pro.expurgo),"*Obrigatório","")</f>
        <v>*Obrigatório</v>
      </c>
      <c r="AL44" s="130" t="str">
        <f>IF(AND(EXACT(Housekeeping.pro.expurgo,"Sim"),ISBLANK(Housekeeping.pro.dias)),"*Obrigatório","")</f>
        <v/>
      </c>
      <c r="AR44" s="130" t="str">
        <f>IF(AND(EXACT(Housekeeping.pro.expurgo,"Sim"),ISBLANK(Housekeeping.pro.campo)),"*Obrigatório","")</f>
        <v/>
      </c>
      <c r="AZ44"/>
      <c r="BA44"/>
      <c r="BB44"/>
      <c r="BC44" s="37"/>
      <c r="BD44" s="37"/>
      <c r="BE44" s="37"/>
      <c r="BF44" s="13"/>
      <c r="BH44" s="18"/>
      <c r="BI44" s="19"/>
      <c r="BJ44" s="20"/>
    </row>
    <row r="45" spans="2:62" ht="15" customHeight="1" x14ac:dyDescent="0.3">
      <c r="B45" s="12"/>
      <c r="C45" s="177"/>
      <c r="E45" s="131" t="s">
        <v>491</v>
      </c>
      <c r="M45"/>
      <c r="N45"/>
      <c r="O45" s="37" t="s">
        <v>490</v>
      </c>
      <c r="V45"/>
      <c r="W45"/>
      <c r="X45"/>
      <c r="Y45"/>
      <c r="Z45" s="37"/>
      <c r="AA45" s="37"/>
      <c r="AB45" s="37"/>
      <c r="AC45" s="37"/>
      <c r="AD45" s="37"/>
      <c r="AF45" s="177"/>
      <c r="AH45" s="131" t="s">
        <v>491</v>
      </c>
      <c r="AP45"/>
      <c r="AQ45"/>
      <c r="AR45" s="37" t="s">
        <v>490</v>
      </c>
      <c r="AY45"/>
      <c r="AZ45"/>
      <c r="BA45"/>
      <c r="BB45"/>
      <c r="BC45" s="37"/>
      <c r="BD45" s="37"/>
      <c r="BE45" s="37"/>
      <c r="BF45" s="13"/>
      <c r="BH45" s="18"/>
      <c r="BI45" s="19"/>
      <c r="BJ45" s="20"/>
    </row>
    <row r="46" spans="2:62" ht="24" customHeight="1" x14ac:dyDescent="0.3">
      <c r="B46" s="12"/>
      <c r="C46" s="177"/>
      <c r="E46" s="174"/>
      <c r="F46" s="175"/>
      <c r="G46" s="175"/>
      <c r="H46" s="175"/>
      <c r="I46" s="175"/>
      <c r="J46" s="175"/>
      <c r="K46" s="175"/>
      <c r="L46" s="176"/>
      <c r="M46"/>
      <c r="N46"/>
      <c r="O46" s="168"/>
      <c r="P46" s="169"/>
      <c r="Q46" s="169"/>
      <c r="R46" s="170"/>
      <c r="S46"/>
      <c r="T46"/>
      <c r="U46"/>
      <c r="V46"/>
      <c r="W46"/>
      <c r="X46"/>
      <c r="Y46"/>
      <c r="Z46" s="37"/>
      <c r="AA46" s="37"/>
      <c r="AB46" s="37"/>
      <c r="AC46" s="37"/>
      <c r="AD46" s="37"/>
      <c r="AF46" s="177"/>
      <c r="AH46" s="174"/>
      <c r="AI46" s="175"/>
      <c r="AJ46" s="175"/>
      <c r="AK46" s="175"/>
      <c r="AL46" s="175"/>
      <c r="AM46" s="175"/>
      <c r="AN46" s="175"/>
      <c r="AO46" s="176"/>
      <c r="AP46"/>
      <c r="AQ46"/>
      <c r="AR46" s="168"/>
      <c r="AS46" s="169"/>
      <c r="AT46" s="169"/>
      <c r="AU46" s="170"/>
      <c r="AV46"/>
      <c r="AW46"/>
      <c r="AX46"/>
      <c r="AY46"/>
      <c r="AZ46"/>
      <c r="BA46"/>
      <c r="BB46"/>
      <c r="BC46" s="37"/>
      <c r="BD46" s="37"/>
      <c r="BE46" s="37"/>
      <c r="BF46" s="13"/>
      <c r="BH46" s="18"/>
      <c r="BI46" s="19"/>
      <c r="BJ46" s="20"/>
    </row>
    <row r="47" spans="2:62" ht="15" customHeight="1" x14ac:dyDescent="0.3">
      <c r="B47" s="12"/>
      <c r="C47" s="177"/>
      <c r="E47" s="130" t="str">
        <f>IF(AND(EXACT(Housekeeping.pre.expurgo,"Sim"),ISBLANK(Housekeeping.pre.mesesSN)),"*Obrigatório","")</f>
        <v/>
      </c>
      <c r="N47"/>
      <c r="O47" s="130" t="str">
        <f>IF(AND(EXACT(Housekeeping.pre.mesesSN,"Sim"),ISBLANK(Housekeeping.pre.meses)),"*Obrigatório","")</f>
        <v/>
      </c>
      <c r="P47"/>
      <c r="Q47"/>
      <c r="R47"/>
      <c r="S47"/>
      <c r="T47"/>
      <c r="U47"/>
      <c r="V47"/>
      <c r="X47"/>
      <c r="Y47" s="130"/>
      <c r="Z47" s="130" t="s">
        <v>493</v>
      </c>
      <c r="AA47"/>
      <c r="AB47"/>
      <c r="AC47"/>
      <c r="AD47"/>
      <c r="AF47" s="177"/>
      <c r="AH47" s="130" t="str">
        <f>IF(AND(EXACT(Housekeeping.pro.expurgo,"Sim"),ISBLANK(Housekeeping.pro.mesesSN)),"*Obrigatório","")</f>
        <v/>
      </c>
      <c r="AQ47"/>
      <c r="AR47" s="130" t="str">
        <f>IF(AND(EXACT(Housekeeping.pro.mesesSN,"Sim"),ISBLANK(Housekeeping.pro.meses)),"*Obrigatório","")</f>
        <v/>
      </c>
      <c r="AS47"/>
      <c r="AT47"/>
      <c r="AU47"/>
      <c r="AV47"/>
      <c r="AW47"/>
      <c r="AX47"/>
      <c r="AY47"/>
      <c r="BA47"/>
      <c r="BB47" s="130"/>
      <c r="BC47" s="130" t="s">
        <v>493</v>
      </c>
      <c r="BE47" s="21"/>
      <c r="BF47" s="13"/>
      <c r="BH47" s="18"/>
      <c r="BI47" s="19"/>
      <c r="BJ47" s="20"/>
    </row>
    <row r="48" spans="2:62" ht="14.4" x14ac:dyDescent="0.3">
      <c r="B48" s="12"/>
      <c r="BF48" s="13"/>
      <c r="BH48" s="18"/>
      <c r="BI48" s="19"/>
      <c r="BJ48" s="20"/>
    </row>
    <row r="49" spans="2:62" ht="14.4" customHeight="1" x14ac:dyDescent="0.3">
      <c r="B49" s="12"/>
      <c r="C49" s="167" t="s">
        <v>495</v>
      </c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67"/>
      <c r="AL49" s="167"/>
      <c r="AM49" s="167"/>
      <c r="AN49" s="167"/>
      <c r="AO49" s="167"/>
      <c r="AP49" s="167"/>
      <c r="AQ49" s="167"/>
      <c r="AR49" s="167"/>
      <c r="AS49" s="167"/>
      <c r="AT49" s="167"/>
      <c r="AU49" s="167"/>
      <c r="AV49" s="167"/>
      <c r="AW49" s="167"/>
      <c r="AX49" s="167"/>
      <c r="AY49" s="167"/>
      <c r="AZ49" s="167"/>
      <c r="BA49" s="167"/>
      <c r="BB49" s="167"/>
      <c r="BC49" s="167"/>
      <c r="BD49" s="167"/>
      <c r="BE49" s="167"/>
      <c r="BF49" s="13"/>
      <c r="BH49" s="18"/>
      <c r="BI49" s="19"/>
      <c r="BJ49" s="20"/>
    </row>
    <row r="50" spans="2:62" ht="14.4" x14ac:dyDescent="0.3">
      <c r="B50" s="12"/>
      <c r="BF50" s="13"/>
    </row>
    <row r="51" spans="2:62" s="31" customFormat="1" ht="26.1" customHeight="1" x14ac:dyDescent="0.3">
      <c r="B51" s="30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AD51" s="158" t="s">
        <v>39</v>
      </c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90"/>
      <c r="AT51" s="158" t="s">
        <v>40</v>
      </c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90"/>
      <c r="BF51" s="32"/>
      <c r="BH51" s="28"/>
      <c r="BI51" s="29"/>
      <c r="BJ51" s="29"/>
    </row>
    <row r="52" spans="2:62" ht="9.9" customHeight="1" x14ac:dyDescent="0.3">
      <c r="B52" s="30"/>
      <c r="C52" s="158" t="s">
        <v>41</v>
      </c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32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23"/>
      <c r="AT52" s="132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27"/>
      <c r="BF52" s="13"/>
    </row>
    <row r="53" spans="2:62" ht="19.95" customHeight="1" x14ac:dyDescent="0.3">
      <c r="B53" s="12"/>
      <c r="C53" s="160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38"/>
      <c r="AE53" s="164" t="s">
        <v>503</v>
      </c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5"/>
      <c r="AQ53" s="165"/>
      <c r="AR53" s="166"/>
      <c r="AT53" s="139"/>
      <c r="AU53" s="196">
        <v>45664</v>
      </c>
      <c r="AV53" s="197"/>
      <c r="AW53" s="197"/>
      <c r="AX53" s="197"/>
      <c r="AY53" s="197"/>
      <c r="AZ53" s="197"/>
      <c r="BA53" s="197"/>
      <c r="BB53" s="197"/>
      <c r="BC53" s="197"/>
      <c r="BD53" s="198"/>
      <c r="BE53" s="54"/>
      <c r="BF53" s="13"/>
    </row>
    <row r="54" spans="2:62" ht="9.9" customHeight="1" x14ac:dyDescent="0.3">
      <c r="B54" s="12"/>
      <c r="C54" s="162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35"/>
      <c r="AE54" s="140" t="str">
        <f>IF(ISBLANK(WG.preenchidoPor),"*Obrigatório","")</f>
        <v/>
      </c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26"/>
      <c r="AT54" s="135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55"/>
      <c r="BF54" s="13"/>
    </row>
    <row r="55" spans="2:62" ht="9.9" customHeight="1" x14ac:dyDescent="0.3">
      <c r="B55" s="30"/>
      <c r="C55" s="158" t="s">
        <v>429</v>
      </c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90"/>
      <c r="W55" s="22"/>
      <c r="X55" s="23"/>
      <c r="Y55" s="23"/>
      <c r="Z55" s="23"/>
      <c r="AA55" s="23"/>
      <c r="AB55" s="23"/>
      <c r="AC55" s="27"/>
      <c r="AD55" s="132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23"/>
      <c r="AT55" s="132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27"/>
      <c r="BF55" s="13"/>
    </row>
    <row r="56" spans="2:62" ht="19.95" customHeight="1" x14ac:dyDescent="0.3">
      <c r="B56" s="12"/>
      <c r="C56" s="160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91"/>
      <c r="W56" s="24"/>
      <c r="X56" s="193" t="s">
        <v>501</v>
      </c>
      <c r="Y56" s="194"/>
      <c r="Z56" s="195"/>
      <c r="AC56" s="54"/>
      <c r="AD56" s="138"/>
      <c r="AE56" s="164" t="s">
        <v>509</v>
      </c>
      <c r="AF56" s="165"/>
      <c r="AG56" s="165"/>
      <c r="AH56" s="165"/>
      <c r="AI56" s="165"/>
      <c r="AJ56" s="165"/>
      <c r="AK56" s="165"/>
      <c r="AL56" s="165"/>
      <c r="AM56" s="165"/>
      <c r="AN56" s="165"/>
      <c r="AO56" s="165"/>
      <c r="AP56" s="165"/>
      <c r="AQ56" s="165"/>
      <c r="AR56" s="166"/>
      <c r="AT56" s="139"/>
      <c r="AU56" s="196">
        <v>45664</v>
      </c>
      <c r="AV56" s="197"/>
      <c r="AW56" s="197"/>
      <c r="AX56" s="197"/>
      <c r="AY56" s="197"/>
      <c r="AZ56" s="197"/>
      <c r="BA56" s="197"/>
      <c r="BB56" s="197"/>
      <c r="BC56" s="197"/>
      <c r="BD56" s="198"/>
      <c r="BE56" s="54"/>
      <c r="BF56" s="13"/>
    </row>
    <row r="57" spans="2:62" ht="9.9" customHeight="1" x14ac:dyDescent="0.3">
      <c r="B57" s="12"/>
      <c r="C57" s="162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92"/>
      <c r="W57" s="137"/>
      <c r="X57" s="140" t="str">
        <f>IF(ISBLANK(WG.validadoCDO),"*Obrigatório","")</f>
        <v/>
      </c>
      <c r="Y57" s="26"/>
      <c r="Z57" s="26"/>
      <c r="AA57" s="26"/>
      <c r="AB57" s="26"/>
      <c r="AC57" s="55"/>
      <c r="AD57" s="135"/>
      <c r="AE57" s="140" t="str">
        <f>IF(AND(EXACT(WG.validadoCDO,"Sim"),ISBLANK(WG.nomeCDO)),"*Obrigatório","")</f>
        <v/>
      </c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26"/>
      <c r="AT57" s="135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55"/>
      <c r="BF57" s="13"/>
    </row>
    <row r="58" spans="2:62" ht="9.9" customHeight="1" x14ac:dyDescent="0.3">
      <c r="B58" s="30"/>
      <c r="C58" s="158" t="s">
        <v>430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90"/>
      <c r="W58" s="22"/>
      <c r="X58" s="23"/>
      <c r="Y58" s="23"/>
      <c r="Z58" s="23"/>
      <c r="AA58" s="23"/>
      <c r="AB58" s="23"/>
      <c r="AC58" s="27"/>
      <c r="AD58" s="132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23"/>
      <c r="AT58" s="132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27"/>
      <c r="BF58" s="13"/>
    </row>
    <row r="59" spans="2:62" ht="19.95" customHeight="1" x14ac:dyDescent="0.3">
      <c r="B59" s="12"/>
      <c r="C59" s="160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91"/>
      <c r="W59" s="24"/>
      <c r="X59" s="193" t="s">
        <v>499</v>
      </c>
      <c r="Y59" s="194"/>
      <c r="Z59" s="195"/>
      <c r="AC59" s="54"/>
      <c r="AD59" s="138"/>
      <c r="AE59" s="164"/>
      <c r="AF59" s="165"/>
      <c r="AG59" s="165"/>
      <c r="AH59" s="165"/>
      <c r="AI59" s="165"/>
      <c r="AJ59" s="165"/>
      <c r="AK59" s="165"/>
      <c r="AL59" s="165"/>
      <c r="AM59" s="165"/>
      <c r="AN59" s="165"/>
      <c r="AO59" s="165"/>
      <c r="AP59" s="165"/>
      <c r="AQ59" s="165"/>
      <c r="AR59" s="166"/>
      <c r="AT59" s="139"/>
      <c r="AU59" s="196"/>
      <c r="AV59" s="197"/>
      <c r="AW59" s="197"/>
      <c r="AX59" s="197"/>
      <c r="AY59" s="197"/>
      <c r="AZ59" s="197"/>
      <c r="BA59" s="197"/>
      <c r="BB59" s="197"/>
      <c r="BC59" s="197"/>
      <c r="BD59" s="198"/>
      <c r="BE59" s="54"/>
      <c r="BF59" s="13"/>
    </row>
    <row r="60" spans="2:62" ht="9.9" customHeight="1" x14ac:dyDescent="0.3">
      <c r="B60" s="12"/>
      <c r="C60" s="162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92"/>
      <c r="W60" s="25"/>
      <c r="X60" s="140" t="str">
        <f>IF(ISBLANK(WG.validadoDS),"*Obrigatório","")</f>
        <v/>
      </c>
      <c r="Y60" s="26"/>
      <c r="Z60" s="26"/>
      <c r="AA60" s="26"/>
      <c r="AB60" s="26"/>
      <c r="AC60" s="55"/>
      <c r="AD60" s="135"/>
      <c r="AE60" s="140" t="str">
        <f>IF(AND(EXACT(WG.validadoDS,"Sim"),ISBLANK(WG.nomeDS)),"*Obrigatório","")</f>
        <v/>
      </c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26"/>
      <c r="AT60" s="135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55"/>
      <c r="BF60" s="13"/>
    </row>
    <row r="61" spans="2:62" ht="9.9" customHeight="1" x14ac:dyDescent="0.3">
      <c r="B61" s="30"/>
      <c r="C61" s="158" t="s">
        <v>431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90"/>
      <c r="W61" s="22"/>
      <c r="X61" s="23"/>
      <c r="Y61" s="23"/>
      <c r="Z61" s="23"/>
      <c r="AA61" s="23"/>
      <c r="AB61" s="23"/>
      <c r="AC61" s="27"/>
      <c r="AD61" s="132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23"/>
      <c r="AT61" s="132"/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27"/>
      <c r="BF61" s="13"/>
    </row>
    <row r="62" spans="2:62" ht="19.95" customHeight="1" x14ac:dyDescent="0.3">
      <c r="B62" s="12"/>
      <c r="C62" s="160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91"/>
      <c r="W62" s="24"/>
      <c r="X62" s="193" t="s">
        <v>499</v>
      </c>
      <c r="Y62" s="194"/>
      <c r="Z62" s="195"/>
      <c r="AC62" s="54"/>
      <c r="AD62" s="138"/>
      <c r="AE62" s="164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6"/>
      <c r="AT62" s="139"/>
      <c r="AU62" s="196"/>
      <c r="AV62" s="197"/>
      <c r="AW62" s="197"/>
      <c r="AX62" s="197"/>
      <c r="AY62" s="197"/>
      <c r="AZ62" s="197"/>
      <c r="BA62" s="197"/>
      <c r="BB62" s="197"/>
      <c r="BC62" s="197"/>
      <c r="BD62" s="198"/>
      <c r="BE62" s="54"/>
      <c r="BF62" s="13"/>
    </row>
    <row r="63" spans="2:62" ht="9.9" customHeight="1" x14ac:dyDescent="0.3">
      <c r="B63" s="12"/>
      <c r="C63" s="162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92"/>
      <c r="W63" s="25"/>
      <c r="X63" s="140" t="str">
        <f>IF(ISBLANK(WG.validadoA),"*Obrigatório","")</f>
        <v/>
      </c>
      <c r="Y63" s="26"/>
      <c r="Z63" s="26"/>
      <c r="AA63" s="26"/>
      <c r="AB63" s="26"/>
      <c r="AC63" s="55"/>
      <c r="AD63" s="135"/>
      <c r="AE63" s="140" t="str">
        <f>IF(AND(EXACT(WG.validadoA,"Sim"),ISBLANK(WG.nomeA)),"*Obrigatório","")</f>
        <v/>
      </c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26"/>
      <c r="AT63" s="135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55"/>
      <c r="BF63" s="13"/>
    </row>
    <row r="64" spans="2:62" ht="9.9" customHeight="1" x14ac:dyDescent="0.3">
      <c r="B64" s="30"/>
      <c r="C64" s="158" t="s">
        <v>494</v>
      </c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90"/>
      <c r="W64" s="22"/>
      <c r="X64" s="23"/>
      <c r="Y64" s="23"/>
      <c r="Z64" s="23"/>
      <c r="AA64" s="23"/>
      <c r="AB64" s="23"/>
      <c r="AC64" s="27"/>
      <c r="AD64" s="132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23"/>
      <c r="AT64" s="132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27"/>
      <c r="BF64" s="13"/>
    </row>
    <row r="65" spans="2:62" ht="19.95" customHeight="1" x14ac:dyDescent="0.3">
      <c r="B65" s="12"/>
      <c r="C65" s="160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91"/>
      <c r="W65" s="24"/>
      <c r="X65" s="193" t="s">
        <v>499</v>
      </c>
      <c r="Y65" s="194"/>
      <c r="Z65" s="195"/>
      <c r="AC65" s="54"/>
      <c r="AD65" s="138"/>
      <c r="AE65" s="164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5"/>
      <c r="AR65" s="166"/>
      <c r="AT65" s="139"/>
      <c r="AU65" s="196"/>
      <c r="AV65" s="197"/>
      <c r="AW65" s="197"/>
      <c r="AX65" s="197"/>
      <c r="AY65" s="197"/>
      <c r="AZ65" s="197"/>
      <c r="BA65" s="197"/>
      <c r="BB65" s="197"/>
      <c r="BC65" s="197"/>
      <c r="BD65" s="198"/>
      <c r="BE65" s="54"/>
      <c r="BF65" s="13"/>
    </row>
    <row r="66" spans="2:62" ht="9.9" customHeight="1" x14ac:dyDescent="0.3">
      <c r="B66" s="12"/>
      <c r="C66" s="162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92"/>
      <c r="W66" s="25"/>
      <c r="X66" s="141" t="str">
        <f>IF(ISBLANK(WG.validadoSA),"*Obrigatório","")</f>
        <v/>
      </c>
      <c r="Y66" s="26"/>
      <c r="Z66" s="26"/>
      <c r="AA66" s="26"/>
      <c r="AB66" s="26"/>
      <c r="AC66" s="55"/>
      <c r="AD66" s="135"/>
      <c r="AE66" s="141" t="str">
        <f>IF(AND(EXACT(WG.validadoSA,"Sim"),ISBLANK(WG.nomeSA)),"*Obrigatório","")</f>
        <v/>
      </c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26"/>
      <c r="AT66" s="135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55"/>
      <c r="BF66" s="13"/>
    </row>
    <row r="67" spans="2:62" ht="9.9" customHeight="1" x14ac:dyDescent="0.3">
      <c r="B67" s="12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  <c r="V67" s="134"/>
      <c r="X67" s="140"/>
      <c r="AD67" s="134"/>
      <c r="AE67" s="140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21"/>
      <c r="BF67" s="13"/>
    </row>
    <row r="68" spans="2:62" ht="9.9" customHeight="1" x14ac:dyDescent="0.3">
      <c r="B68" s="12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X68" s="140"/>
      <c r="AD68" s="134"/>
      <c r="AE68" s="140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21"/>
      <c r="BF68" s="13"/>
    </row>
    <row r="69" spans="2:62" ht="15.6" x14ac:dyDescent="0.3">
      <c r="B69" s="12"/>
      <c r="C69" s="49" t="s">
        <v>222</v>
      </c>
      <c r="AD69" s="142" t="str">
        <f>IF(COUNTIF(B14:BF68,"*Obrigatório")&gt;0,"*Há campos de preenchimento obrigatório que não estão preenchidos.","")</f>
        <v>*Há campos de preenchimento obrigatório que não estão preenchidos.</v>
      </c>
      <c r="BF69" s="13"/>
    </row>
    <row r="70" spans="2:62" ht="15" thickBot="1" x14ac:dyDescent="0.35">
      <c r="B70" s="33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5"/>
      <c r="BD70" s="35"/>
      <c r="BE70" s="35"/>
      <c r="BF70" s="36"/>
      <c r="BH70"/>
      <c r="BI70"/>
      <c r="BJ70"/>
    </row>
    <row r="71" spans="2:62" ht="15" thickTop="1" x14ac:dyDescent="0.3"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H71"/>
      <c r="BI71"/>
      <c r="BJ71"/>
    </row>
    <row r="72" spans="2:62" ht="15" hidden="1" customHeight="1" x14ac:dyDescent="0.3"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</row>
    <row r="73" spans="2:62" ht="15" hidden="1" customHeight="1" x14ac:dyDescent="0.3"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</row>
    <row r="74" spans="2:62" ht="15" hidden="1" customHeight="1" x14ac:dyDescent="0.3"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</row>
    <row r="75" spans="2:62" ht="15" hidden="1" customHeight="1" x14ac:dyDescent="0.3"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</row>
    <row r="76" spans="2:62" ht="15" hidden="1" customHeight="1" x14ac:dyDescent="0.3"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</row>
    <row r="77" spans="2:62" ht="15" hidden="1" customHeight="1" x14ac:dyDescent="0.3"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2:62" ht="15" hidden="1" customHeight="1" x14ac:dyDescent="0.3"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</row>
    <row r="79" spans="2:62" ht="15" hidden="1" customHeight="1" x14ac:dyDescent="0.3"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</row>
    <row r="80" spans="2:62" ht="15" hidden="1" customHeight="1" x14ac:dyDescent="0.3"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</row>
    <row r="81" spans="3:62" ht="15" hidden="1" customHeight="1" x14ac:dyDescent="0.3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</row>
    <row r="82" spans="3:62" ht="15" hidden="1" customHeight="1" x14ac:dyDescent="0.3"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</row>
    <row r="83" spans="3:62" ht="15" hidden="1" customHeight="1" x14ac:dyDescent="0.3"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</row>
    <row r="84" spans="3:62" ht="15" hidden="1" customHeight="1" x14ac:dyDescent="0.3"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3:62" ht="15" hidden="1" customHeight="1" x14ac:dyDescent="0.3"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</row>
    <row r="86" spans="3:62" ht="15" hidden="1" customHeight="1" x14ac:dyDescent="0.3"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</row>
    <row r="87" spans="3:62" ht="15" hidden="1" customHeight="1" x14ac:dyDescent="0.3"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H87"/>
      <c r="BI87"/>
      <c r="BJ87"/>
    </row>
    <row r="88" spans="3:62" ht="15" hidden="1" customHeight="1" x14ac:dyDescent="0.3"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H88"/>
      <c r="BI88"/>
      <c r="BJ88"/>
    </row>
    <row r="89" spans="3:62" ht="15" hidden="1" customHeight="1" x14ac:dyDescent="0.3"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H89"/>
      <c r="BI89"/>
      <c r="BJ89"/>
    </row>
    <row r="90" spans="3:62" ht="15" hidden="1" customHeight="1" x14ac:dyDescent="0.3"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H90"/>
      <c r="BI90"/>
      <c r="BJ90"/>
    </row>
    <row r="91" spans="3:62" ht="15" hidden="1" customHeight="1" x14ac:dyDescent="0.3"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H91"/>
      <c r="BI91"/>
      <c r="BJ91"/>
    </row>
    <row r="92" spans="3:62" ht="15" hidden="1" customHeight="1" x14ac:dyDescent="0.3"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H92"/>
      <c r="BI92"/>
      <c r="BJ92"/>
    </row>
    <row r="93" spans="3:62" ht="15" hidden="1" customHeight="1" x14ac:dyDescent="0.3"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H93"/>
      <c r="BI93"/>
      <c r="BJ93"/>
    </row>
    <row r="94" spans="3:62" ht="15" hidden="1" customHeight="1" x14ac:dyDescent="0.3"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H94"/>
      <c r="BI94"/>
      <c r="BJ94"/>
    </row>
    <row r="95" spans="3:62" ht="15" hidden="1" customHeight="1" x14ac:dyDescent="0.3"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H95"/>
      <c r="BI95"/>
      <c r="BJ95"/>
    </row>
    <row r="96" spans="3:62" ht="15" hidden="1" customHeight="1" x14ac:dyDescent="0.3"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H96"/>
      <c r="BI96"/>
      <c r="BJ96"/>
    </row>
    <row r="97" customFormat="1" ht="15" hidden="1" customHeight="1" x14ac:dyDescent="0.3"/>
    <row r="98" customFormat="1" ht="15" hidden="1" customHeight="1" x14ac:dyDescent="0.3"/>
    <row r="99" customFormat="1" ht="15" hidden="1" customHeight="1" x14ac:dyDescent="0.3"/>
    <row r="100" customFormat="1" ht="15" hidden="1" customHeight="1" x14ac:dyDescent="0.3"/>
    <row r="101" customFormat="1" ht="15" hidden="1" customHeight="1" x14ac:dyDescent="0.3"/>
    <row r="102" customFormat="1" ht="15" hidden="1" customHeight="1" x14ac:dyDescent="0.3"/>
    <row r="103" customFormat="1" ht="15" hidden="1" customHeight="1" x14ac:dyDescent="0.3"/>
    <row r="104" customFormat="1" ht="15" hidden="1" customHeight="1" x14ac:dyDescent="0.3"/>
    <row r="105" customFormat="1" ht="15" hidden="1" customHeight="1" x14ac:dyDescent="0.3"/>
    <row r="106" customFormat="1" ht="15" hidden="1" customHeight="1" x14ac:dyDescent="0.3"/>
    <row r="107" customFormat="1" ht="15" hidden="1" customHeight="1" x14ac:dyDescent="0.3"/>
    <row r="108" customFormat="1" ht="15" hidden="1" customHeight="1" x14ac:dyDescent="0.3"/>
    <row r="109" customFormat="1" ht="15" hidden="1" customHeight="1" x14ac:dyDescent="0.3"/>
    <row r="110" customFormat="1" ht="15" hidden="1" customHeight="1" x14ac:dyDescent="0.3"/>
    <row r="111" customFormat="1" ht="15" hidden="1" customHeight="1" x14ac:dyDescent="0.3"/>
    <row r="112" customFormat="1" ht="15" hidden="1" customHeight="1" x14ac:dyDescent="0.3"/>
    <row r="113" customFormat="1" ht="15" hidden="1" customHeight="1" x14ac:dyDescent="0.3"/>
    <row r="114" customFormat="1" ht="15" hidden="1" customHeight="1" x14ac:dyDescent="0.3"/>
    <row r="115" customFormat="1" ht="15" hidden="1" customHeight="1" x14ac:dyDescent="0.3"/>
    <row r="116" customFormat="1" ht="15" hidden="1" customHeight="1" x14ac:dyDescent="0.3"/>
    <row r="117" customFormat="1" ht="15" hidden="1" customHeight="1" x14ac:dyDescent="0.3"/>
    <row r="118" customFormat="1" ht="15" hidden="1" customHeight="1" x14ac:dyDescent="0.3"/>
    <row r="119" customFormat="1" ht="15" hidden="1" customHeight="1" x14ac:dyDescent="0.3"/>
    <row r="120" customFormat="1" ht="15" hidden="1" customHeight="1" x14ac:dyDescent="0.3"/>
    <row r="121" customFormat="1" ht="15" hidden="1" customHeight="1" x14ac:dyDescent="0.3"/>
    <row r="122" customFormat="1" ht="15" hidden="1" customHeight="1" x14ac:dyDescent="0.3"/>
    <row r="123" customFormat="1" ht="15" hidden="1" customHeight="1" x14ac:dyDescent="0.3"/>
    <row r="124" customFormat="1" ht="15" hidden="1" customHeight="1" x14ac:dyDescent="0.3"/>
    <row r="125" customFormat="1" ht="15" hidden="1" customHeight="1" x14ac:dyDescent="0.3"/>
    <row r="126" customFormat="1" ht="15" hidden="1" customHeight="1" x14ac:dyDescent="0.3"/>
    <row r="127" customFormat="1" ht="15" hidden="1" customHeight="1" x14ac:dyDescent="0.3"/>
    <row r="128" customFormat="1" ht="15" hidden="1" customHeight="1" x14ac:dyDescent="0.3"/>
    <row r="129" customFormat="1" ht="15" hidden="1" customHeight="1" x14ac:dyDescent="0.3"/>
    <row r="130" customFormat="1" ht="15" hidden="1" customHeight="1" x14ac:dyDescent="0.3"/>
    <row r="131" customFormat="1" ht="15" hidden="1" customHeight="1" x14ac:dyDescent="0.3"/>
    <row r="132" customFormat="1" ht="15" hidden="1" customHeight="1" x14ac:dyDescent="0.3"/>
    <row r="133" customFormat="1" ht="15" hidden="1" customHeight="1" x14ac:dyDescent="0.3"/>
    <row r="134" customFormat="1" ht="15" hidden="1" customHeight="1" x14ac:dyDescent="0.3"/>
    <row r="135" customFormat="1" ht="15" hidden="1" customHeight="1" x14ac:dyDescent="0.3"/>
    <row r="136" customFormat="1" ht="15" hidden="1" customHeight="1" x14ac:dyDescent="0.3"/>
    <row r="137" customFormat="1" ht="15" hidden="1" customHeight="1" x14ac:dyDescent="0.3"/>
    <row r="138" customFormat="1" ht="15" hidden="1" customHeight="1" x14ac:dyDescent="0.3"/>
    <row r="139" customFormat="1" ht="15" hidden="1" customHeight="1" x14ac:dyDescent="0.3"/>
    <row r="140" customFormat="1" ht="15" hidden="1" customHeight="1" x14ac:dyDescent="0.3"/>
    <row r="141" customFormat="1" ht="15" hidden="1" customHeight="1" x14ac:dyDescent="0.3"/>
    <row r="142" customFormat="1" ht="15" hidden="1" customHeight="1" x14ac:dyDescent="0.3"/>
    <row r="143" customFormat="1" ht="15" hidden="1" customHeight="1" x14ac:dyDescent="0.3"/>
    <row r="144" customFormat="1" ht="15" hidden="1" customHeight="1" x14ac:dyDescent="0.3"/>
    <row r="145" customFormat="1" ht="15" hidden="1" customHeight="1" x14ac:dyDescent="0.3"/>
    <row r="146" customFormat="1" ht="15" hidden="1" customHeight="1" x14ac:dyDescent="0.3"/>
    <row r="147" customFormat="1" ht="15" hidden="1" customHeight="1" x14ac:dyDescent="0.3"/>
    <row r="148" customFormat="1" ht="15" hidden="1" customHeight="1" x14ac:dyDescent="0.3"/>
    <row r="149" customFormat="1" ht="15" hidden="1" customHeight="1" x14ac:dyDescent="0.3"/>
    <row r="150" customFormat="1" ht="15" hidden="1" customHeight="1" x14ac:dyDescent="0.3"/>
    <row r="151" customFormat="1" ht="15" hidden="1" customHeight="1" x14ac:dyDescent="0.3"/>
    <row r="152" customFormat="1" ht="15" hidden="1" customHeight="1" x14ac:dyDescent="0.3"/>
    <row r="153" customFormat="1" ht="15" hidden="1" customHeight="1" x14ac:dyDescent="0.3"/>
    <row r="154" customFormat="1" ht="15" hidden="1" customHeight="1" x14ac:dyDescent="0.3"/>
    <row r="155" customFormat="1" ht="15" hidden="1" customHeight="1" x14ac:dyDescent="0.3"/>
    <row r="156" customFormat="1" ht="15" hidden="1" customHeight="1" x14ac:dyDescent="0.3"/>
    <row r="157" customFormat="1" ht="15" hidden="1" customHeight="1" x14ac:dyDescent="0.3"/>
    <row r="158" customFormat="1" ht="15" hidden="1" customHeight="1" x14ac:dyDescent="0.3"/>
    <row r="159" customFormat="1" ht="15" hidden="1" customHeight="1" x14ac:dyDescent="0.3"/>
    <row r="160" customFormat="1" ht="15" hidden="1" customHeight="1" x14ac:dyDescent="0.3"/>
    <row r="161" customFormat="1" ht="15" hidden="1" customHeight="1" x14ac:dyDescent="0.3"/>
    <row r="162" customFormat="1" ht="15" hidden="1" customHeight="1" x14ac:dyDescent="0.3"/>
    <row r="163" customFormat="1" ht="15" hidden="1" customHeight="1" x14ac:dyDescent="0.3"/>
    <row r="164" customFormat="1" ht="15" hidden="1" customHeight="1" x14ac:dyDescent="0.3"/>
    <row r="165" customFormat="1" ht="15" hidden="1" customHeight="1" x14ac:dyDescent="0.3"/>
    <row r="166" customFormat="1" ht="15" hidden="1" customHeight="1" x14ac:dyDescent="0.3"/>
    <row r="167" customFormat="1" ht="15" hidden="1" customHeight="1" x14ac:dyDescent="0.3"/>
    <row r="168" customFormat="1" ht="15" hidden="1" customHeight="1" x14ac:dyDescent="0.3"/>
    <row r="169" customFormat="1" ht="15" hidden="1" customHeight="1" x14ac:dyDescent="0.3"/>
    <row r="170" customFormat="1" ht="15" hidden="1" customHeight="1" x14ac:dyDescent="0.3"/>
    <row r="171" customFormat="1" ht="15" hidden="1" customHeight="1" x14ac:dyDescent="0.3"/>
    <row r="172" customFormat="1" ht="15" hidden="1" customHeight="1" x14ac:dyDescent="0.3"/>
    <row r="173" customFormat="1" ht="15" hidden="1" customHeight="1" x14ac:dyDescent="0.3"/>
    <row r="174" customFormat="1" ht="15" hidden="1" customHeight="1" x14ac:dyDescent="0.3"/>
    <row r="175" customFormat="1" ht="15" hidden="1" customHeight="1" x14ac:dyDescent="0.3"/>
    <row r="176" customFormat="1" ht="15" hidden="1" customHeight="1" x14ac:dyDescent="0.3"/>
    <row r="177" customFormat="1" ht="15" hidden="1" customHeight="1" x14ac:dyDescent="0.3"/>
    <row r="178" customFormat="1" ht="15" hidden="1" customHeight="1" x14ac:dyDescent="0.3"/>
    <row r="179" customFormat="1" ht="15" hidden="1" customHeight="1" x14ac:dyDescent="0.3"/>
    <row r="180" customFormat="1" ht="15" hidden="1" customHeight="1" x14ac:dyDescent="0.3"/>
    <row r="181" customFormat="1" ht="15" hidden="1" customHeight="1" x14ac:dyDescent="0.3"/>
    <row r="182" customFormat="1" ht="15" hidden="1" customHeight="1" x14ac:dyDescent="0.3"/>
    <row r="183" customFormat="1" ht="15" hidden="1" customHeight="1" x14ac:dyDescent="0.3"/>
    <row r="184" customFormat="1" ht="15" hidden="1" customHeight="1" x14ac:dyDescent="0.3"/>
    <row r="185" customFormat="1" ht="15" hidden="1" customHeight="1" x14ac:dyDescent="0.3"/>
    <row r="186" customFormat="1" ht="15" hidden="1" customHeight="1" x14ac:dyDescent="0.3"/>
    <row r="187" customFormat="1" ht="15" hidden="1" customHeight="1" x14ac:dyDescent="0.3"/>
    <row r="188" customFormat="1" ht="15" hidden="1" customHeight="1" x14ac:dyDescent="0.3"/>
    <row r="189" customFormat="1" ht="15" hidden="1" customHeight="1" x14ac:dyDescent="0.3"/>
    <row r="190" customFormat="1" ht="15" hidden="1" customHeight="1" x14ac:dyDescent="0.3"/>
    <row r="191" customFormat="1" ht="15" hidden="1" customHeight="1" x14ac:dyDescent="0.3"/>
    <row r="192" customFormat="1" ht="15" hidden="1" customHeight="1" x14ac:dyDescent="0.3"/>
    <row r="193" customFormat="1" ht="15" hidden="1" customHeight="1" x14ac:dyDescent="0.3"/>
    <row r="194" customFormat="1" ht="15" hidden="1" customHeight="1" x14ac:dyDescent="0.3"/>
    <row r="195" customFormat="1" ht="15" hidden="1" customHeight="1" x14ac:dyDescent="0.3"/>
    <row r="196" customFormat="1" ht="15" hidden="1" customHeight="1" x14ac:dyDescent="0.3"/>
    <row r="197" customFormat="1" ht="15" hidden="1" customHeight="1" x14ac:dyDescent="0.3"/>
    <row r="198" customFormat="1" ht="15" hidden="1" customHeight="1" x14ac:dyDescent="0.3"/>
    <row r="199" customFormat="1" ht="15" hidden="1" customHeight="1" x14ac:dyDescent="0.3"/>
    <row r="200" customFormat="1" ht="15" hidden="1" customHeight="1" x14ac:dyDescent="0.3"/>
    <row r="201" customFormat="1" ht="15" hidden="1" customHeight="1" x14ac:dyDescent="0.3"/>
    <row r="202" customFormat="1" ht="15" hidden="1" customHeight="1" x14ac:dyDescent="0.3"/>
    <row r="203" customFormat="1" ht="15" hidden="1" customHeight="1" x14ac:dyDescent="0.3"/>
    <row r="204" customFormat="1" ht="15" hidden="1" customHeight="1" x14ac:dyDescent="0.3"/>
    <row r="205" customFormat="1" ht="15" hidden="1" customHeight="1" x14ac:dyDescent="0.3"/>
    <row r="206" customFormat="1" ht="15" hidden="1" customHeight="1" x14ac:dyDescent="0.3"/>
    <row r="207" customFormat="1" ht="15" hidden="1" customHeight="1" x14ac:dyDescent="0.3"/>
    <row r="208" customFormat="1" ht="15" hidden="1" customHeight="1" x14ac:dyDescent="0.3"/>
    <row r="209" customFormat="1" ht="15" hidden="1" customHeight="1" x14ac:dyDescent="0.3"/>
    <row r="210" customFormat="1" ht="15" hidden="1" customHeight="1" x14ac:dyDescent="0.3"/>
    <row r="211" customFormat="1" ht="15" hidden="1" customHeight="1" x14ac:dyDescent="0.3"/>
    <row r="212" customFormat="1" ht="15" hidden="1" customHeight="1" x14ac:dyDescent="0.3"/>
    <row r="213" customFormat="1" ht="15" hidden="1" customHeight="1" x14ac:dyDescent="0.3"/>
    <row r="214" customFormat="1" ht="15" hidden="1" customHeight="1" x14ac:dyDescent="0.3"/>
    <row r="215" customFormat="1" ht="15" hidden="1" customHeight="1" x14ac:dyDescent="0.3"/>
    <row r="216" customFormat="1" ht="15" hidden="1" customHeight="1" x14ac:dyDescent="0.3"/>
    <row r="217" customFormat="1" ht="15" hidden="1" customHeight="1" x14ac:dyDescent="0.3"/>
    <row r="218" customFormat="1" ht="15" hidden="1" customHeight="1" x14ac:dyDescent="0.3"/>
    <row r="219" customFormat="1" ht="15" hidden="1" customHeight="1" x14ac:dyDescent="0.3"/>
    <row r="220" customFormat="1" ht="15" hidden="1" customHeight="1" x14ac:dyDescent="0.3"/>
    <row r="221" customFormat="1" ht="15" hidden="1" customHeight="1" x14ac:dyDescent="0.3"/>
    <row r="222" customFormat="1" ht="15" hidden="1" customHeight="1" x14ac:dyDescent="0.3"/>
    <row r="223" customFormat="1" ht="15" hidden="1" customHeight="1" x14ac:dyDescent="0.3"/>
    <row r="224" customFormat="1" ht="15" hidden="1" customHeight="1" x14ac:dyDescent="0.3"/>
    <row r="225" customFormat="1" ht="15" hidden="1" customHeight="1" x14ac:dyDescent="0.3"/>
    <row r="226" customFormat="1" ht="15" hidden="1" customHeight="1" x14ac:dyDescent="0.3"/>
    <row r="227" customFormat="1" ht="15" hidden="1" customHeight="1" x14ac:dyDescent="0.3"/>
    <row r="228" customFormat="1" ht="15" hidden="1" customHeight="1" x14ac:dyDescent="0.3"/>
    <row r="229" customFormat="1" ht="15" hidden="1" customHeight="1" x14ac:dyDescent="0.3"/>
    <row r="230" customFormat="1" ht="15" hidden="1" customHeight="1" x14ac:dyDescent="0.3"/>
    <row r="231" customFormat="1" ht="15" hidden="1" customHeight="1" x14ac:dyDescent="0.3"/>
    <row r="232" customFormat="1" ht="15" hidden="1" customHeight="1" x14ac:dyDescent="0.3"/>
    <row r="233" customFormat="1" ht="15" hidden="1" customHeight="1" x14ac:dyDescent="0.3"/>
    <row r="234" customFormat="1" ht="15" hidden="1" customHeight="1" x14ac:dyDescent="0.3"/>
    <row r="235" customFormat="1" ht="15" hidden="1" customHeight="1" x14ac:dyDescent="0.3"/>
    <row r="236" customFormat="1" ht="15" hidden="1" customHeight="1" x14ac:dyDescent="0.3"/>
    <row r="237" customFormat="1" ht="15" hidden="1" customHeight="1" x14ac:dyDescent="0.3"/>
    <row r="238" customFormat="1" ht="15" hidden="1" customHeight="1" x14ac:dyDescent="0.3"/>
    <row r="239" customFormat="1" ht="15" hidden="1" customHeight="1" x14ac:dyDescent="0.3"/>
    <row r="240" customFormat="1" ht="15" hidden="1" customHeight="1" x14ac:dyDescent="0.3"/>
    <row r="241" customFormat="1" ht="15" hidden="1" customHeight="1" x14ac:dyDescent="0.3"/>
    <row r="242" customFormat="1" ht="15" hidden="1" customHeight="1" x14ac:dyDescent="0.3"/>
    <row r="243" customFormat="1" ht="15" hidden="1" customHeight="1" x14ac:dyDescent="0.3"/>
    <row r="244" customFormat="1" ht="15" hidden="1" customHeight="1" x14ac:dyDescent="0.3"/>
    <row r="245" customFormat="1" ht="15" hidden="1" customHeight="1" x14ac:dyDescent="0.3"/>
    <row r="246" customFormat="1" ht="15" hidden="1" customHeight="1" x14ac:dyDescent="0.3"/>
    <row r="247" customFormat="1" ht="15" hidden="1" customHeight="1" x14ac:dyDescent="0.3"/>
    <row r="248" customFormat="1" ht="15" hidden="1" customHeight="1" x14ac:dyDescent="0.3"/>
    <row r="249" customFormat="1" ht="15" hidden="1" customHeight="1" x14ac:dyDescent="0.3"/>
    <row r="250" customFormat="1" ht="15" hidden="1" customHeight="1" x14ac:dyDescent="0.3"/>
    <row r="251" customFormat="1" ht="15" hidden="1" customHeight="1" x14ac:dyDescent="0.3"/>
    <row r="252" customFormat="1" ht="15" hidden="1" customHeight="1" x14ac:dyDescent="0.3"/>
    <row r="253" customFormat="1" ht="15" hidden="1" customHeight="1" x14ac:dyDescent="0.3"/>
    <row r="254" customFormat="1" ht="15" hidden="1" customHeight="1" x14ac:dyDescent="0.3"/>
    <row r="255" customFormat="1" ht="15" hidden="1" customHeight="1" x14ac:dyDescent="0.3"/>
    <row r="256" customFormat="1" ht="15" hidden="1" customHeight="1" x14ac:dyDescent="0.3"/>
    <row r="257" customFormat="1" ht="15" hidden="1" customHeight="1" x14ac:dyDescent="0.3"/>
    <row r="258" customFormat="1" ht="15" hidden="1" customHeight="1" x14ac:dyDescent="0.3"/>
    <row r="259" customFormat="1" ht="15" hidden="1" customHeight="1" x14ac:dyDescent="0.3"/>
    <row r="260" customFormat="1" ht="15" hidden="1" customHeight="1" x14ac:dyDescent="0.3"/>
    <row r="261" customFormat="1" ht="15" hidden="1" customHeight="1" x14ac:dyDescent="0.3"/>
    <row r="262" customFormat="1" ht="15" hidden="1" customHeight="1" x14ac:dyDescent="0.3"/>
    <row r="263" customFormat="1" ht="15" hidden="1" customHeight="1" x14ac:dyDescent="0.3"/>
    <row r="264" customFormat="1" ht="15" hidden="1" customHeight="1" x14ac:dyDescent="0.3"/>
    <row r="265" customFormat="1" ht="15" hidden="1" customHeight="1" x14ac:dyDescent="0.3"/>
    <row r="266" customFormat="1" ht="15" hidden="1" customHeight="1" x14ac:dyDescent="0.3"/>
    <row r="267" customFormat="1" ht="15" hidden="1" customHeight="1" x14ac:dyDescent="0.3"/>
    <row r="268" customFormat="1" ht="15" hidden="1" customHeight="1" x14ac:dyDescent="0.3"/>
    <row r="269" customFormat="1" ht="15" hidden="1" customHeight="1" x14ac:dyDescent="0.3"/>
    <row r="270" customFormat="1" ht="15" hidden="1" customHeight="1" x14ac:dyDescent="0.3"/>
    <row r="271" customFormat="1" ht="15" hidden="1" customHeight="1" x14ac:dyDescent="0.3"/>
    <row r="272" customFormat="1" ht="15" hidden="1" customHeight="1" x14ac:dyDescent="0.3"/>
    <row r="273" customFormat="1" ht="15" hidden="1" customHeight="1" x14ac:dyDescent="0.3"/>
    <row r="274" customFormat="1" ht="15" hidden="1" customHeight="1" x14ac:dyDescent="0.3"/>
    <row r="275" customFormat="1" ht="15" hidden="1" customHeight="1" x14ac:dyDescent="0.3"/>
    <row r="276" customFormat="1" ht="15" hidden="1" customHeight="1" x14ac:dyDescent="0.3"/>
    <row r="277" customFormat="1" ht="15" hidden="1" customHeight="1" x14ac:dyDescent="0.3"/>
    <row r="278" customFormat="1" ht="15" hidden="1" customHeight="1" x14ac:dyDescent="0.3"/>
    <row r="279" customFormat="1" ht="15" hidden="1" customHeight="1" x14ac:dyDescent="0.3"/>
    <row r="280" customFormat="1" ht="15" hidden="1" customHeight="1" x14ac:dyDescent="0.3"/>
    <row r="281" customFormat="1" ht="15" hidden="1" customHeight="1" x14ac:dyDescent="0.3"/>
    <row r="282" customFormat="1" ht="15" hidden="1" customHeight="1" x14ac:dyDescent="0.3"/>
    <row r="283" customFormat="1" ht="15" hidden="1" customHeight="1" x14ac:dyDescent="0.3"/>
    <row r="284" customFormat="1" ht="15" hidden="1" customHeight="1" x14ac:dyDescent="0.3"/>
    <row r="285" customFormat="1" ht="15" hidden="1" customHeight="1" x14ac:dyDescent="0.3"/>
    <row r="286" customFormat="1" ht="15" hidden="1" customHeight="1" x14ac:dyDescent="0.3"/>
    <row r="287" customFormat="1" ht="15" hidden="1" customHeight="1" x14ac:dyDescent="0.3"/>
    <row r="288" customFormat="1" ht="15" hidden="1" customHeight="1" x14ac:dyDescent="0.3"/>
    <row r="289" customFormat="1" ht="15" hidden="1" customHeight="1" x14ac:dyDescent="0.3"/>
    <row r="290" customFormat="1" ht="15" hidden="1" customHeight="1" x14ac:dyDescent="0.3"/>
    <row r="291" customFormat="1" ht="15" hidden="1" customHeight="1" x14ac:dyDescent="0.3"/>
    <row r="292" customFormat="1" ht="15" hidden="1" customHeight="1" x14ac:dyDescent="0.3"/>
    <row r="293" customFormat="1" ht="15" hidden="1" customHeight="1" x14ac:dyDescent="0.3"/>
    <row r="294" customFormat="1" ht="15" hidden="1" customHeight="1" x14ac:dyDescent="0.3"/>
    <row r="295" customFormat="1" ht="15" hidden="1" customHeight="1" x14ac:dyDescent="0.3"/>
    <row r="296" customFormat="1" ht="15" hidden="1" customHeight="1" x14ac:dyDescent="0.3"/>
    <row r="297" customFormat="1" ht="15" hidden="1" customHeight="1" x14ac:dyDescent="0.3"/>
    <row r="298" customFormat="1" ht="15" hidden="1" customHeight="1" x14ac:dyDescent="0.3"/>
    <row r="299" customFormat="1" ht="15" hidden="1" customHeight="1" x14ac:dyDescent="0.3"/>
    <row r="300" customFormat="1" ht="15" hidden="1" customHeight="1" x14ac:dyDescent="0.3"/>
    <row r="301" customFormat="1" ht="15" hidden="1" customHeight="1" x14ac:dyDescent="0.3"/>
    <row r="302" customFormat="1" ht="15" hidden="1" customHeight="1" x14ac:dyDescent="0.3"/>
    <row r="303" customFormat="1" ht="15" hidden="1" customHeight="1" x14ac:dyDescent="0.3"/>
    <row r="304" customFormat="1" ht="15" hidden="1" customHeight="1" x14ac:dyDescent="0.3"/>
    <row r="305" customFormat="1" ht="15" hidden="1" customHeight="1" x14ac:dyDescent="0.3"/>
    <row r="306" customFormat="1" ht="15" hidden="1" customHeight="1" x14ac:dyDescent="0.3"/>
    <row r="307" customFormat="1" ht="15" hidden="1" customHeight="1" x14ac:dyDescent="0.3"/>
    <row r="308" customFormat="1" ht="15" hidden="1" customHeight="1" x14ac:dyDescent="0.3"/>
    <row r="309" customFormat="1" ht="15" hidden="1" customHeight="1" x14ac:dyDescent="0.3"/>
    <row r="310" customFormat="1" ht="15" hidden="1" customHeight="1" x14ac:dyDescent="0.3"/>
    <row r="311" customFormat="1" ht="15" hidden="1" customHeight="1" x14ac:dyDescent="0.3"/>
    <row r="312" customFormat="1" ht="15" hidden="1" customHeight="1" x14ac:dyDescent="0.3"/>
    <row r="313" customFormat="1" ht="15" hidden="1" customHeight="1" x14ac:dyDescent="0.3"/>
    <row r="314" customFormat="1" ht="15" hidden="1" customHeight="1" x14ac:dyDescent="0.3"/>
    <row r="315" customFormat="1" ht="15" hidden="1" customHeight="1" x14ac:dyDescent="0.3"/>
    <row r="316" customFormat="1" ht="15" hidden="1" customHeight="1" x14ac:dyDescent="0.3"/>
    <row r="317" customFormat="1" ht="15" hidden="1" customHeight="1" x14ac:dyDescent="0.3"/>
    <row r="318" customFormat="1" ht="15" hidden="1" customHeight="1" x14ac:dyDescent="0.3"/>
    <row r="319" customFormat="1" ht="15" hidden="1" customHeight="1" x14ac:dyDescent="0.3"/>
    <row r="320" customFormat="1" ht="15" hidden="1" customHeight="1" x14ac:dyDescent="0.3"/>
    <row r="321" customFormat="1" ht="15" hidden="1" customHeight="1" x14ac:dyDescent="0.3"/>
    <row r="322" customFormat="1" ht="15" hidden="1" customHeight="1" x14ac:dyDescent="0.3"/>
    <row r="323" customFormat="1" ht="15" hidden="1" customHeight="1" x14ac:dyDescent="0.3"/>
    <row r="324" customFormat="1" ht="15" hidden="1" customHeight="1" x14ac:dyDescent="0.3"/>
    <row r="325" customFormat="1" ht="15" hidden="1" customHeight="1" x14ac:dyDescent="0.3"/>
    <row r="326" customFormat="1" ht="15" hidden="1" customHeight="1" x14ac:dyDescent="0.3"/>
    <row r="327" customFormat="1" ht="15" hidden="1" customHeight="1" x14ac:dyDescent="0.3"/>
    <row r="328" customFormat="1" ht="15" hidden="1" customHeight="1" x14ac:dyDescent="0.3"/>
    <row r="329" customFormat="1" ht="15" hidden="1" customHeight="1" x14ac:dyDescent="0.3"/>
    <row r="330" customFormat="1" ht="15" hidden="1" customHeight="1" x14ac:dyDescent="0.3"/>
    <row r="331" customFormat="1" ht="15" hidden="1" customHeight="1" x14ac:dyDescent="0.3"/>
    <row r="332" customFormat="1" ht="15" hidden="1" customHeight="1" x14ac:dyDescent="0.3"/>
    <row r="333" customFormat="1" ht="15" hidden="1" customHeight="1" x14ac:dyDescent="0.3"/>
    <row r="334" customFormat="1" ht="15" hidden="1" customHeight="1" x14ac:dyDescent="0.3"/>
    <row r="335" customFormat="1" ht="15" hidden="1" customHeight="1" x14ac:dyDescent="0.3"/>
    <row r="336" customFormat="1" ht="15" hidden="1" customHeight="1" x14ac:dyDescent="0.3"/>
    <row r="337" customFormat="1" ht="15" hidden="1" customHeight="1" x14ac:dyDescent="0.3"/>
    <row r="338" customFormat="1" ht="15" hidden="1" customHeight="1" x14ac:dyDescent="0.3"/>
    <row r="339" customFormat="1" ht="15" hidden="1" customHeight="1" x14ac:dyDescent="0.3"/>
    <row r="340" customFormat="1" ht="15" hidden="1" customHeight="1" x14ac:dyDescent="0.3"/>
    <row r="341" customFormat="1" ht="15" hidden="1" customHeight="1" x14ac:dyDescent="0.3"/>
    <row r="342" customFormat="1" ht="15" hidden="1" customHeight="1" x14ac:dyDescent="0.3"/>
    <row r="343" customFormat="1" ht="15" hidden="1" customHeight="1" x14ac:dyDescent="0.3"/>
    <row r="344" customFormat="1" ht="15" hidden="1" customHeight="1" x14ac:dyDescent="0.3"/>
    <row r="345" customFormat="1" ht="15" hidden="1" customHeight="1" x14ac:dyDescent="0.3"/>
    <row r="346" customFormat="1" ht="15" hidden="1" customHeight="1" x14ac:dyDescent="0.3"/>
    <row r="347" customFormat="1" ht="15" hidden="1" customHeight="1" x14ac:dyDescent="0.3"/>
    <row r="348" customFormat="1" ht="15" hidden="1" customHeight="1" x14ac:dyDescent="0.3"/>
    <row r="349" customFormat="1" ht="15" hidden="1" customHeight="1" x14ac:dyDescent="0.3"/>
    <row r="350" customFormat="1" ht="15" hidden="1" customHeight="1" x14ac:dyDescent="0.3"/>
    <row r="351" customFormat="1" ht="15" hidden="1" customHeight="1" x14ac:dyDescent="0.3"/>
    <row r="352" customFormat="1" ht="15" hidden="1" customHeight="1" x14ac:dyDescent="0.3"/>
    <row r="353" customFormat="1" ht="15" hidden="1" customHeight="1" x14ac:dyDescent="0.3"/>
    <row r="354" customFormat="1" ht="15" hidden="1" customHeight="1" x14ac:dyDescent="0.3"/>
    <row r="355" customFormat="1" ht="15" hidden="1" customHeight="1" x14ac:dyDescent="0.3"/>
    <row r="356" customFormat="1" ht="15" hidden="1" customHeight="1" x14ac:dyDescent="0.3"/>
    <row r="357" customFormat="1" ht="15" hidden="1" customHeight="1" x14ac:dyDescent="0.3"/>
    <row r="358" customFormat="1" ht="15" hidden="1" customHeight="1" x14ac:dyDescent="0.3"/>
    <row r="359" customFormat="1" ht="15" hidden="1" customHeight="1" x14ac:dyDescent="0.3"/>
    <row r="360" customFormat="1" ht="15" hidden="1" customHeight="1" x14ac:dyDescent="0.3"/>
    <row r="361" customFormat="1" ht="15" hidden="1" customHeight="1" x14ac:dyDescent="0.3"/>
    <row r="362" customFormat="1" ht="15" hidden="1" customHeight="1" x14ac:dyDescent="0.3"/>
    <row r="363" customFormat="1" ht="15" hidden="1" customHeight="1" x14ac:dyDescent="0.3"/>
    <row r="364" customFormat="1" ht="15" hidden="1" customHeight="1" x14ac:dyDescent="0.3"/>
    <row r="365" customFormat="1" ht="15" hidden="1" customHeight="1" x14ac:dyDescent="0.3"/>
    <row r="366" customFormat="1" ht="15" hidden="1" customHeight="1" x14ac:dyDescent="0.3"/>
    <row r="367" customFormat="1" ht="15" hidden="1" customHeight="1" x14ac:dyDescent="0.3"/>
    <row r="368" customFormat="1" ht="15" hidden="1" customHeight="1" x14ac:dyDescent="0.3"/>
    <row r="369" customFormat="1" ht="15" hidden="1" customHeight="1" x14ac:dyDescent="0.3"/>
    <row r="370" customFormat="1" ht="15" hidden="1" customHeight="1" x14ac:dyDescent="0.3"/>
    <row r="371" customFormat="1" ht="15" hidden="1" customHeight="1" x14ac:dyDescent="0.3"/>
    <row r="372" customFormat="1" ht="15" hidden="1" customHeight="1" x14ac:dyDescent="0.3"/>
    <row r="373" customFormat="1" ht="15" hidden="1" customHeight="1" x14ac:dyDescent="0.3"/>
    <row r="374" customFormat="1" ht="15" hidden="1" customHeight="1" x14ac:dyDescent="0.3"/>
    <row r="375" customFormat="1" ht="15" hidden="1" customHeight="1" x14ac:dyDescent="0.3"/>
    <row r="376" customFormat="1" ht="15" hidden="1" customHeight="1" x14ac:dyDescent="0.3"/>
    <row r="377" customFormat="1" ht="15" hidden="1" customHeight="1" x14ac:dyDescent="0.3"/>
    <row r="378" customFormat="1" ht="15" hidden="1" customHeight="1" x14ac:dyDescent="0.3"/>
    <row r="379" customFormat="1" ht="15" hidden="1" customHeight="1" x14ac:dyDescent="0.3"/>
    <row r="380" customFormat="1" ht="15" hidden="1" customHeight="1" x14ac:dyDescent="0.3"/>
    <row r="381" customFormat="1" ht="15" hidden="1" customHeight="1" x14ac:dyDescent="0.3"/>
    <row r="382" customFormat="1" ht="15" hidden="1" customHeight="1" x14ac:dyDescent="0.3"/>
    <row r="383" customFormat="1" ht="15" hidden="1" customHeight="1" x14ac:dyDescent="0.3"/>
    <row r="384" customFormat="1" ht="15" hidden="1" customHeight="1" x14ac:dyDescent="0.3"/>
    <row r="385" customFormat="1" ht="15" hidden="1" customHeight="1" x14ac:dyDescent="0.3"/>
    <row r="386" customFormat="1" ht="15" hidden="1" customHeight="1" x14ac:dyDescent="0.3"/>
    <row r="387" customFormat="1" ht="15" hidden="1" customHeight="1" x14ac:dyDescent="0.3"/>
    <row r="388" customFormat="1" ht="15" hidden="1" customHeight="1" x14ac:dyDescent="0.3"/>
    <row r="389" customFormat="1" ht="15" hidden="1" customHeight="1" x14ac:dyDescent="0.3"/>
    <row r="390" customFormat="1" ht="15" hidden="1" customHeight="1" x14ac:dyDescent="0.3"/>
    <row r="391" customFormat="1" ht="15" hidden="1" customHeight="1" x14ac:dyDescent="0.3"/>
    <row r="392" customFormat="1" ht="15" hidden="1" customHeight="1" x14ac:dyDescent="0.3"/>
    <row r="393" customFormat="1" ht="15" hidden="1" customHeight="1" x14ac:dyDescent="0.3"/>
    <row r="394" customFormat="1" ht="15" hidden="1" customHeight="1" x14ac:dyDescent="0.3"/>
    <row r="395" customFormat="1" ht="15" hidden="1" customHeight="1" x14ac:dyDescent="0.3"/>
    <row r="396" customFormat="1" ht="15" hidden="1" customHeight="1" x14ac:dyDescent="0.3"/>
    <row r="397" customFormat="1" ht="15" hidden="1" customHeight="1" x14ac:dyDescent="0.3"/>
    <row r="398" customFormat="1" ht="15" hidden="1" customHeight="1" x14ac:dyDescent="0.3"/>
    <row r="399" customFormat="1" ht="15" hidden="1" customHeight="1" x14ac:dyDescent="0.3"/>
    <row r="400" customFormat="1" ht="15" hidden="1" customHeight="1" x14ac:dyDescent="0.3"/>
    <row r="401" spans="3:62" ht="15" hidden="1" customHeight="1" x14ac:dyDescent="0.3"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H401"/>
      <c r="BI401"/>
      <c r="BJ401"/>
    </row>
    <row r="402" spans="3:62" ht="15" hidden="1" customHeight="1" x14ac:dyDescent="0.3"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H402"/>
      <c r="BI402"/>
      <c r="BJ402"/>
    </row>
    <row r="403" spans="3:62" ht="15" hidden="1" customHeight="1" x14ac:dyDescent="0.3"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H403"/>
      <c r="BI403"/>
      <c r="BJ403"/>
    </row>
    <row r="404" spans="3:62" ht="15" hidden="1" customHeight="1" x14ac:dyDescent="0.3"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H404"/>
      <c r="BI404"/>
      <c r="BJ404"/>
    </row>
    <row r="405" spans="3:62" ht="15" hidden="1" customHeight="1" x14ac:dyDescent="0.3"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H405"/>
      <c r="BI405"/>
      <c r="BJ405"/>
    </row>
    <row r="406" spans="3:62" ht="15" hidden="1" customHeight="1" x14ac:dyDescent="0.3"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H406"/>
      <c r="BI406"/>
      <c r="BJ406"/>
    </row>
    <row r="407" spans="3:62" ht="15" hidden="1" customHeight="1" x14ac:dyDescent="0.3"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H407"/>
      <c r="BI407"/>
      <c r="BJ407"/>
    </row>
    <row r="408" spans="3:62" ht="15" hidden="1" customHeight="1" x14ac:dyDescent="0.3"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H408"/>
      <c r="BI408"/>
      <c r="BJ408"/>
    </row>
    <row r="409" spans="3:62" ht="15" hidden="1" customHeight="1" x14ac:dyDescent="0.3"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H409"/>
      <c r="BI409"/>
      <c r="BJ409"/>
    </row>
    <row r="410" spans="3:62" ht="15" hidden="1" customHeight="1" x14ac:dyDescent="0.3"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H410"/>
      <c r="BI410"/>
      <c r="BJ410"/>
    </row>
    <row r="411" spans="3:62" ht="15" hidden="1" customHeight="1" x14ac:dyDescent="0.3"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H411"/>
      <c r="BI411"/>
      <c r="BJ411"/>
    </row>
    <row r="412" spans="3:62" ht="15" hidden="1" customHeight="1" x14ac:dyDescent="0.3"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H412"/>
      <c r="BI412"/>
      <c r="BJ412"/>
    </row>
    <row r="413" spans="3:62" ht="15" hidden="1" customHeight="1" x14ac:dyDescent="0.3"/>
    <row r="414" spans="3:62" ht="15" hidden="1" customHeight="1" x14ac:dyDescent="0.3"/>
    <row r="415" spans="3:62" ht="15" hidden="1" customHeight="1" x14ac:dyDescent="0.3"/>
    <row r="416" spans="3:62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</sheetData>
  <sheetProtection algorithmName="SHA-512" hashValue="hFyxBEG7771SWq85CDqQO3Y4mpBnQPmj5zQLaBw6rrRl97VhTdjEQMk6IyFxBgxer7V83uiOJQBUCUAuxdYWdQ==" saltValue="/QxBcXoTpfVY2N112KuEWg==" spinCount="100000" sheet="1" objects="1" scenarios="1"/>
  <protectedRanges>
    <protectedRange sqref="AE53:AR53 AU53:BD53 AU56:BD56 AU59:BD59 AU62:BD62 AU65:BD65 AE65:AR65 AE62:AR62 AE59:AR59 AE56:AR56 X56:Z56 X59:Z59 X62:Z62 X65:Z65" name="Workinggroup"/>
    <protectedRange sqref="E43:G43 I43:L43 O43:X43 E46:L46 O46:R46 AH43:AJ43 AL43:AO43 AR43:BA43 AH46:AO46 AR46:AU46" name="Housekeeping"/>
    <protectedRange sqref="P16:BE16 P18:BE18 P19:BE19 P20:V20 X20:BE20 P22:V22" name="Solicitante"/>
    <protectedRange sqref="D28 J28 O27:AG29 AI27:BE29 C33:BE33 C37:P37 R37:Z37 AB37:AJ37 AL37:AT37 AV37:BE37" name="Governo"/>
  </protectedRanges>
  <dataConsolidate/>
  <mergeCells count="67">
    <mergeCell ref="AU65:BD65"/>
    <mergeCell ref="AT51:BE51"/>
    <mergeCell ref="AD51:AS51"/>
    <mergeCell ref="AE53:AR53"/>
    <mergeCell ref="AU53:BD53"/>
    <mergeCell ref="AE65:AR65"/>
    <mergeCell ref="AU56:BD56"/>
    <mergeCell ref="AU59:BD59"/>
    <mergeCell ref="AU62:BD62"/>
    <mergeCell ref="C64:V66"/>
    <mergeCell ref="C55:V57"/>
    <mergeCell ref="C58:V60"/>
    <mergeCell ref="X56:Z56"/>
    <mergeCell ref="C61:V63"/>
    <mergeCell ref="X59:Z59"/>
    <mergeCell ref="X62:Z62"/>
    <mergeCell ref="X65:Z65"/>
    <mergeCell ref="X1:AC3"/>
    <mergeCell ref="O27:AG29"/>
    <mergeCell ref="C22:O22"/>
    <mergeCell ref="P22:V22"/>
    <mergeCell ref="C20:O20"/>
    <mergeCell ref="P20:V20"/>
    <mergeCell ref="X20:BE20"/>
    <mergeCell ref="C14:BE14"/>
    <mergeCell ref="C16:O16"/>
    <mergeCell ref="P16:BE16"/>
    <mergeCell ref="P18:BE18"/>
    <mergeCell ref="P19:BE19"/>
    <mergeCell ref="C18:O18"/>
    <mergeCell ref="C19:O19"/>
    <mergeCell ref="C24:AB24"/>
    <mergeCell ref="AC24:BE24"/>
    <mergeCell ref="BJ4:BJ5"/>
    <mergeCell ref="C7:BE7"/>
    <mergeCell ref="C9:BE12"/>
    <mergeCell ref="BH9:BH11"/>
    <mergeCell ref="BI9:BI11"/>
    <mergeCell ref="BJ9:BJ11"/>
    <mergeCell ref="BH4:BH5"/>
    <mergeCell ref="BI4:BI5"/>
    <mergeCell ref="C49:BE49"/>
    <mergeCell ref="C40:BE40"/>
    <mergeCell ref="I43:L43"/>
    <mergeCell ref="O43:X43"/>
    <mergeCell ref="E46:L46"/>
    <mergeCell ref="AR43:BA43"/>
    <mergeCell ref="AH46:AO46"/>
    <mergeCell ref="AR46:AU46"/>
    <mergeCell ref="E43:G43"/>
    <mergeCell ref="O46:R46"/>
    <mergeCell ref="C42:C47"/>
    <mergeCell ref="AF42:AF47"/>
    <mergeCell ref="AH43:AJ43"/>
    <mergeCell ref="AL43:AO43"/>
    <mergeCell ref="C51:Q51"/>
    <mergeCell ref="C52:AC54"/>
    <mergeCell ref="AE56:AR56"/>
    <mergeCell ref="AE59:AR59"/>
    <mergeCell ref="AE62:AR62"/>
    <mergeCell ref="AI27:BE29"/>
    <mergeCell ref="C33:BE33"/>
    <mergeCell ref="C37:P37"/>
    <mergeCell ref="AB37:AJ37"/>
    <mergeCell ref="AL37:AT37"/>
    <mergeCell ref="AV37:BE37"/>
    <mergeCell ref="R37:Z37"/>
  </mergeCells>
  <conditionalFormatting sqref="C42 AF42 E42:AD43 AH42:BE43 F44:AD44 AI44:BE44 E45:AD47 AH45:BE47">
    <cfRule type="expression" dxfId="84" priority="2">
      <formula>FonteDados.ambientePre&lt;&gt;"Sim"</formula>
    </cfRule>
  </conditionalFormatting>
  <conditionalFormatting sqref="O45:U45 O46">
    <cfRule type="expression" dxfId="83" priority="3">
      <formula>FonteDados.ambientePre&lt;&gt;"Sim"</formula>
    </cfRule>
  </conditionalFormatting>
  <conditionalFormatting sqref="AB37:AJ37">
    <cfRule type="expression" dxfId="82" priority="5">
      <formula>NOT(EXACT($R$37,"Outro"))</formula>
    </cfRule>
  </conditionalFormatting>
  <conditionalFormatting sqref="AR45:AX45 AR46">
    <cfRule type="expression" dxfId="81" priority="1">
      <formula>FonteDados.ambientePre&lt;&gt;"Sim"</formula>
    </cfRule>
  </conditionalFormatting>
  <conditionalFormatting sqref="AV37:BE37">
    <cfRule type="expression" dxfId="80" priority="4">
      <formula>NOT(EXACT($AL$37,"Outro"))</formula>
    </cfRule>
  </conditionalFormatting>
  <dataValidations count="6">
    <dataValidation type="list" allowBlank="1" showInputMessage="1" showErrorMessage="1" sqref="C37:P37" xr:uid="{00000000-0002-0000-0000-000000000000}">
      <formula1>"Comunicação Interna, Comunicação Externa, Gestão, Reporte Interno, Reporte Externo, Controlo e Oversight, Consolidação, Metodologia e Analítica, Análise Estratégica"</formula1>
    </dataValidation>
    <dataValidation type="list" allowBlank="1" showInputMessage="1" showErrorMessage="1" sqref="R37:Z37" xr:uid="{00000000-0002-0000-0000-000001000000}">
      <formula1>"Centro,Cliente,Contrato,Operação,Outro"</formula1>
    </dataValidation>
    <dataValidation type="list" allowBlank="1" showInputMessage="1" showErrorMessage="1" sqref="P22:V22" xr:uid="{00000000-0002-0000-0000-000002000000}">
      <formula1>"Nova Tabela, Alteração de Tabela"</formula1>
    </dataValidation>
    <dataValidation type="list" allowBlank="1" showInputMessage="1" showErrorMessage="1" sqref="AL37:AT37" xr:uid="{00000000-0002-0000-0000-000003000000}">
      <formula1>"Diário,Semanal,Mensal,Trimestral,Outro"</formula1>
    </dataValidation>
    <dataValidation type="whole" operator="greaterThan" allowBlank="1" showInputMessage="1" showErrorMessage="1" sqref="I43 O46 AL43 AR46" xr:uid="{00000000-0002-0000-0000-000004000000}">
      <formula1>0</formula1>
    </dataValidation>
    <dataValidation type="list" allowBlank="1" showInputMessage="1" showErrorMessage="1" sqref="E46 E43 AH46 AH43 X56:Z56 X59:Z59 X62:Z62 X65:Z65" xr:uid="{00000000-0002-0000-0000-000005000000}">
      <formula1>"Sim,Não"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A1:G172"/>
  <sheetViews>
    <sheetView showGridLines="0" showRowColHeaders="0" workbookViewId="0">
      <pane ySplit="2" topLeftCell="A3" activePane="bottomLeft" state="frozen"/>
      <selection pane="bottomLeft" activeCell="E3" sqref="E3"/>
    </sheetView>
  </sheetViews>
  <sheetFormatPr defaultColWidth="0" defaultRowHeight="14.4" zeroHeight="1" x14ac:dyDescent="0.3"/>
  <cols>
    <col min="1" max="2" width="8.88671875" customWidth="1"/>
    <col min="3" max="3" width="21" customWidth="1"/>
    <col min="4" max="4" width="61.44140625" customWidth="1"/>
    <col min="5" max="5" width="39.6640625" bestFit="1" customWidth="1"/>
    <col min="6" max="6" width="19.33203125" customWidth="1"/>
    <col min="7" max="7" width="0" hidden="1" customWidth="1"/>
    <col min="8" max="16384" width="8.88671875" hidden="1"/>
  </cols>
  <sheetData>
    <row r="1" spans="2:6" ht="18" x14ac:dyDescent="0.35">
      <c r="C1" s="199" t="s">
        <v>226</v>
      </c>
      <c r="D1" s="199"/>
      <c r="E1" s="199"/>
    </row>
    <row r="2" spans="2:6" ht="24" customHeight="1" x14ac:dyDescent="0.3">
      <c r="B2" s="47" t="s">
        <v>223</v>
      </c>
      <c r="C2" s="47" t="s">
        <v>224</v>
      </c>
      <c r="D2" s="47" t="s">
        <v>48</v>
      </c>
      <c r="E2" s="47" t="s">
        <v>225</v>
      </c>
    </row>
    <row r="3" spans="2:6" x14ac:dyDescent="0.3">
      <c r="B3">
        <v>1</v>
      </c>
      <c r="C3" s="144" t="s">
        <v>502</v>
      </c>
      <c r="D3" s="144" t="s">
        <v>512</v>
      </c>
      <c r="E3" s="144" t="s">
        <v>200</v>
      </c>
      <c r="F3" s="48" t="str">
        <f>IF(OR(COUNTIF('Filtro Dado base'!$A$2:$A$176,Campos!E3)&gt;0,ISBLANK(E3)),"","Dado base inválido")</f>
        <v/>
      </c>
    </row>
    <row r="4" spans="2:6" x14ac:dyDescent="0.3">
      <c r="B4">
        <v>2</v>
      </c>
      <c r="C4" s="144" t="s">
        <v>513</v>
      </c>
      <c r="D4" s="144" t="s">
        <v>514</v>
      </c>
      <c r="E4" s="144" t="s">
        <v>200</v>
      </c>
      <c r="F4" s="48" t="str">
        <f>IF(OR(COUNTIF('Filtro Dado base'!$A$2:$A$176,Campos!E4)&gt;0,ISBLANK(E4)),"","Dado base inválido")</f>
        <v/>
      </c>
    </row>
    <row r="5" spans="2:6" x14ac:dyDescent="0.3">
      <c r="B5">
        <v>3</v>
      </c>
      <c r="C5" s="144" t="s">
        <v>515</v>
      </c>
      <c r="D5" s="79" t="s">
        <v>516</v>
      </c>
      <c r="E5" s="144" t="s">
        <v>39</v>
      </c>
      <c r="F5" s="48" t="str">
        <f>IF(OR(COUNTIF('Filtro Dado base'!$A$2:$A$176,Campos!E5)&gt;0,ISBLANK(E5)),"","Dado base inválido")</f>
        <v/>
      </c>
    </row>
    <row r="6" spans="2:6" x14ac:dyDescent="0.3">
      <c r="B6">
        <v>4</v>
      </c>
      <c r="C6" s="144" t="s">
        <v>517</v>
      </c>
      <c r="D6" s="144" t="s">
        <v>518</v>
      </c>
      <c r="E6" s="144" t="s">
        <v>445</v>
      </c>
      <c r="F6" s="48" t="str">
        <f>IF(OR(COUNTIF('Filtro Dado base'!$A$2:$A$176,Campos!E6)&gt;0,ISBLANK(E6)),"","Dado base inválido")</f>
        <v/>
      </c>
    </row>
    <row r="7" spans="2:6" x14ac:dyDescent="0.3">
      <c r="B7">
        <v>5</v>
      </c>
      <c r="C7" s="144" t="s">
        <v>519</v>
      </c>
      <c r="D7" s="144" t="s">
        <v>520</v>
      </c>
      <c r="E7" s="144" t="s">
        <v>350</v>
      </c>
      <c r="F7" s="48" t="str">
        <f>IF(OR(COUNTIF('Filtro Dado base'!$A$2:$A$176,Campos!E7)&gt;0,ISBLANK(E7)),"","Dado base inválido")</f>
        <v/>
      </c>
    </row>
    <row r="8" spans="2:6" x14ac:dyDescent="0.3">
      <c r="B8">
        <v>6</v>
      </c>
      <c r="C8" s="144" t="s">
        <v>521</v>
      </c>
      <c r="D8" s="144" t="s">
        <v>522</v>
      </c>
      <c r="E8" s="144" t="s">
        <v>433</v>
      </c>
      <c r="F8" s="48" t="str">
        <f>IF(OR(COUNTIF('Filtro Dado base'!$A$2:$A$176,Campos!E8)&gt;0,ISBLANK(E8)),"","Dado base inválido")</f>
        <v/>
      </c>
    </row>
    <row r="9" spans="2:6" x14ac:dyDescent="0.3">
      <c r="B9">
        <v>7</v>
      </c>
      <c r="C9" s="144" t="s">
        <v>523</v>
      </c>
      <c r="D9" s="144" t="s">
        <v>524</v>
      </c>
      <c r="E9" s="144" t="s">
        <v>168</v>
      </c>
      <c r="F9" s="48" t="str">
        <f>IF(OR(COUNTIF('Filtro Dado base'!$A$2:$A$176,Campos!E9)&gt;0,ISBLANK(E9)),"","Dado base inválido")</f>
        <v/>
      </c>
    </row>
    <row r="10" spans="2:6" x14ac:dyDescent="0.3">
      <c r="B10">
        <v>8</v>
      </c>
      <c r="C10" s="144" t="s">
        <v>525</v>
      </c>
      <c r="D10" s="144" t="s">
        <v>526</v>
      </c>
      <c r="E10" s="65" t="s">
        <v>179</v>
      </c>
      <c r="F10" s="48" t="str">
        <f>IF(OR(COUNTIF('Filtro Dado base'!$A$2:$A$176,Campos!E10)&gt;0,ISBLANK(E10)),"","Dado base inválido")</f>
        <v/>
      </c>
    </row>
    <row r="11" spans="2:6" x14ac:dyDescent="0.3">
      <c r="B11">
        <v>9</v>
      </c>
      <c r="C11" s="144" t="s">
        <v>527</v>
      </c>
      <c r="D11" s="144" t="s">
        <v>528</v>
      </c>
      <c r="E11" s="144" t="s">
        <v>302</v>
      </c>
      <c r="F11" s="48" t="str">
        <f>IF(OR(COUNTIF('Filtro Dado base'!$A$2:$A$176,Campos!E11)&gt;0,ISBLANK(E11)),"","Dado base inválido")</f>
        <v/>
      </c>
    </row>
    <row r="12" spans="2:6" x14ac:dyDescent="0.3">
      <c r="B12">
        <v>10</v>
      </c>
      <c r="C12" s="144" t="s">
        <v>529</v>
      </c>
      <c r="D12" s="144" t="s">
        <v>530</v>
      </c>
      <c r="E12" s="144" t="s">
        <v>302</v>
      </c>
      <c r="F12" s="48" t="str">
        <f>IF(OR(COUNTIF('Filtro Dado base'!$A$2:$A$176,Campos!E12)&gt;0,ISBLANK(E12)),"","Dado base inválido")</f>
        <v/>
      </c>
    </row>
    <row r="13" spans="2:6" x14ac:dyDescent="0.3">
      <c r="B13">
        <v>11</v>
      </c>
      <c r="C13" s="144" t="s">
        <v>531</v>
      </c>
      <c r="D13" s="144" t="s">
        <v>532</v>
      </c>
      <c r="E13" s="144" t="s">
        <v>302</v>
      </c>
      <c r="F13" s="48" t="str">
        <f>IF(OR(COUNTIF('Filtro Dado base'!$A$2:$A$176,Campos!E13)&gt;0,ISBLANK(E13)),"","Dado base inválido")</f>
        <v/>
      </c>
    </row>
    <row r="14" spans="2:6" x14ac:dyDescent="0.3">
      <c r="B14">
        <v>12</v>
      </c>
      <c r="C14" s="144" t="s">
        <v>533</v>
      </c>
      <c r="D14" s="144" t="s">
        <v>534</v>
      </c>
      <c r="E14" s="144" t="s">
        <v>302</v>
      </c>
      <c r="F14" s="48" t="str">
        <f>IF(OR(COUNTIF('Filtro Dado base'!$A$2:$A$176,Campos!E14)&gt;0,ISBLANK(E14)),"","Dado base inválido")</f>
        <v/>
      </c>
    </row>
    <row r="15" spans="2:6" x14ac:dyDescent="0.3">
      <c r="B15">
        <v>13</v>
      </c>
      <c r="C15" s="144" t="s">
        <v>535</v>
      </c>
      <c r="D15" s="144" t="s">
        <v>536</v>
      </c>
      <c r="E15" s="144" t="s">
        <v>302</v>
      </c>
      <c r="F15" s="48" t="str">
        <f>IF(OR(COUNTIF('Filtro Dado base'!$A$2:$A$176,Campos!E15)&gt;0,ISBLANK(E15)),"","Dado base inválido")</f>
        <v/>
      </c>
    </row>
    <row r="16" spans="2:6" x14ac:dyDescent="0.3">
      <c r="B16">
        <v>14</v>
      </c>
      <c r="C16" s="144" t="s">
        <v>537</v>
      </c>
      <c r="D16" s="144" t="s">
        <v>538</v>
      </c>
      <c r="E16" s="144" t="s">
        <v>302</v>
      </c>
      <c r="F16" s="48" t="str">
        <f>IF(OR(COUNTIF('Filtro Dado base'!$A$2:$A$176,Campos!E16)&gt;0,ISBLANK(E16)),"","Dado base inválido")</f>
        <v/>
      </c>
    </row>
    <row r="17" spans="2:6" x14ac:dyDescent="0.3">
      <c r="B17">
        <v>15</v>
      </c>
      <c r="C17" s="144" t="s">
        <v>539</v>
      </c>
      <c r="D17" s="144" t="s">
        <v>540</v>
      </c>
      <c r="E17" s="144" t="s">
        <v>302</v>
      </c>
      <c r="F17" s="48" t="str">
        <f>IF(OR(COUNTIF('Filtro Dado base'!$A$2:$A$176,Campos!E17)&gt;0,ISBLANK(E17)),"","Dado base inválido")</f>
        <v/>
      </c>
    </row>
    <row r="18" spans="2:6" x14ac:dyDescent="0.3">
      <c r="B18">
        <v>16</v>
      </c>
      <c r="C18" s="144" t="s">
        <v>541</v>
      </c>
      <c r="D18" s="144" t="s">
        <v>542</v>
      </c>
      <c r="E18" s="144" t="s">
        <v>176</v>
      </c>
      <c r="F18" s="48" t="str">
        <f>IF(OR(COUNTIF('Filtro Dado base'!$A$2:$A$176,Campos!E18)&gt;0,ISBLANK(E18)),"","Dado base inválido")</f>
        <v/>
      </c>
    </row>
    <row r="19" spans="2:6" x14ac:dyDescent="0.3">
      <c r="B19">
        <v>17</v>
      </c>
      <c r="C19" s="144" t="s">
        <v>543</v>
      </c>
      <c r="D19" s="144" t="s">
        <v>544</v>
      </c>
      <c r="E19" s="144" t="s">
        <v>302</v>
      </c>
      <c r="F19" s="48" t="str">
        <f>IF(OR(COUNTIF('Filtro Dado base'!$A$2:$A$176,Campos!E19)&gt;0,ISBLANK(E19)),"","Dado base inválido")</f>
        <v/>
      </c>
    </row>
    <row r="20" spans="2:6" x14ac:dyDescent="0.3">
      <c r="B20">
        <v>18</v>
      </c>
      <c r="C20" s="144" t="s">
        <v>545</v>
      </c>
      <c r="D20" s="144" t="s">
        <v>546</v>
      </c>
      <c r="E20" s="144" t="s">
        <v>438</v>
      </c>
      <c r="F20" s="48" t="str">
        <f>IF(OR(COUNTIF('Filtro Dado base'!$A$2:$A$176,Campos!E20)&gt;0,ISBLANK(E20)),"","Dado base inválido")</f>
        <v/>
      </c>
    </row>
    <row r="21" spans="2:6" x14ac:dyDescent="0.3">
      <c r="B21">
        <v>19</v>
      </c>
      <c r="C21" s="144" t="s">
        <v>547</v>
      </c>
      <c r="D21" s="144" t="s">
        <v>548</v>
      </c>
      <c r="E21" s="144" t="s">
        <v>438</v>
      </c>
      <c r="F21" s="48" t="str">
        <f>IF(OR(COUNTIF('Filtro Dado base'!$A$2:$A$176,Campos!E21)&gt;0,ISBLANK(E21)),"","Dado base inválido")</f>
        <v/>
      </c>
    </row>
    <row r="22" spans="2:6" x14ac:dyDescent="0.3">
      <c r="B22">
        <v>20</v>
      </c>
      <c r="C22" s="144" t="s">
        <v>549</v>
      </c>
      <c r="D22" s="144" t="s">
        <v>550</v>
      </c>
      <c r="E22" s="144" t="s">
        <v>323</v>
      </c>
      <c r="F22" s="48" t="str">
        <f>IF(OR(COUNTIF('Filtro Dado base'!$A$2:$A$176,Campos!E22)&gt;0,ISBLANK(E22)),"","Dado base inválido")</f>
        <v/>
      </c>
    </row>
    <row r="23" spans="2:6" x14ac:dyDescent="0.3">
      <c r="B23">
        <v>21</v>
      </c>
      <c r="C23" s="144" t="s">
        <v>551</v>
      </c>
      <c r="D23" s="144" t="s">
        <v>552</v>
      </c>
      <c r="E23" s="144" t="s">
        <v>438</v>
      </c>
      <c r="F23" s="48" t="str">
        <f>IF(OR(COUNTIF('Filtro Dado base'!$A$2:$A$176,Campos!E23)&gt;0,ISBLANK(E23)),"","Dado base inválido")</f>
        <v/>
      </c>
    </row>
    <row r="24" spans="2:6" x14ac:dyDescent="0.3">
      <c r="B24">
        <v>22</v>
      </c>
      <c r="C24" s="144" t="s">
        <v>553</v>
      </c>
      <c r="D24" s="144" t="s">
        <v>554</v>
      </c>
      <c r="E24" s="144" t="s">
        <v>169</v>
      </c>
      <c r="F24" s="48" t="str">
        <f>IF(OR(COUNTIF('Filtro Dado base'!$A$2:$A$176,Campos!E24)&gt;0,ISBLANK(E24)),"","Dado base inválido")</f>
        <v/>
      </c>
    </row>
    <row r="25" spans="2:6" x14ac:dyDescent="0.3">
      <c r="B25">
        <v>23</v>
      </c>
      <c r="C25" s="144" t="s">
        <v>555</v>
      </c>
      <c r="D25" s="144" t="s">
        <v>556</v>
      </c>
      <c r="E25" s="144" t="s">
        <v>445</v>
      </c>
      <c r="F25" s="48" t="str">
        <f>IF(OR(COUNTIF('Filtro Dado base'!$A$2:$A$176,Campos!E25)&gt;0,ISBLANK(E25)),"","Dado base inválido")</f>
        <v/>
      </c>
    </row>
    <row r="26" spans="2:6" x14ac:dyDescent="0.3">
      <c r="B26">
        <v>24</v>
      </c>
      <c r="C26" s="144" t="s">
        <v>557</v>
      </c>
      <c r="D26" s="65" t="s">
        <v>558</v>
      </c>
      <c r="E26" s="144" t="s">
        <v>325</v>
      </c>
      <c r="F26" s="48" t="str">
        <f>IF(OR(COUNTIF('Filtro Dado base'!$A$2:$A$176,Campos!E26)&gt;0,ISBLANK(E26)),"","Dado base inválido")</f>
        <v/>
      </c>
    </row>
    <row r="27" spans="2:6" x14ac:dyDescent="0.3">
      <c r="B27">
        <v>25</v>
      </c>
      <c r="C27" s="144" t="s">
        <v>559</v>
      </c>
      <c r="D27" s="144" t="s">
        <v>560</v>
      </c>
      <c r="E27" s="144" t="s">
        <v>315</v>
      </c>
      <c r="F27" s="48" t="str">
        <f>IF(OR(COUNTIF('Filtro Dado base'!$A$2:$A$176,Campos!E27)&gt;0,ISBLANK(E27)),"","Dado base inválido")</f>
        <v/>
      </c>
    </row>
    <row r="28" spans="2:6" x14ac:dyDescent="0.3">
      <c r="B28">
        <v>26</v>
      </c>
      <c r="C28" s="144" t="s">
        <v>561</v>
      </c>
      <c r="D28" s="144" t="s">
        <v>562</v>
      </c>
      <c r="E28" s="144" t="s">
        <v>438</v>
      </c>
      <c r="F28" s="48" t="str">
        <f>IF(OR(COUNTIF('Filtro Dado base'!$A$2:$A$176,Campos!E28)&gt;0,ISBLANK(E28)),"","Dado base inválido")</f>
        <v/>
      </c>
    </row>
    <row r="29" spans="2:6" x14ac:dyDescent="0.3">
      <c r="B29">
        <v>27</v>
      </c>
      <c r="C29" s="144" t="s">
        <v>590</v>
      </c>
      <c r="D29" s="144" t="s">
        <v>595</v>
      </c>
      <c r="E29" s="144" t="s">
        <v>304</v>
      </c>
      <c r="F29" s="48" t="str">
        <f>IF(OR(COUNTIF('Filtro Dado base'!$A$2:$A$176,Campos!E29)&gt;0,ISBLANK(E29)),"","Dado base inválido")</f>
        <v/>
      </c>
    </row>
    <row r="30" spans="2:6" x14ac:dyDescent="0.3">
      <c r="B30">
        <v>28</v>
      </c>
      <c r="C30" s="144" t="s">
        <v>591</v>
      </c>
      <c r="D30" s="144" t="s">
        <v>596</v>
      </c>
      <c r="E30" s="144" t="s">
        <v>304</v>
      </c>
      <c r="F30" s="48" t="str">
        <f>IF(OR(COUNTIF('Filtro Dado base'!$A$2:$A$176,Campos!E30)&gt;0,ISBLANK(E30)),"","Dado base inválido")</f>
        <v/>
      </c>
    </row>
    <row r="31" spans="2:6" x14ac:dyDescent="0.3">
      <c r="B31">
        <v>29</v>
      </c>
      <c r="C31" s="144" t="s">
        <v>592</v>
      </c>
      <c r="D31" s="144" t="s">
        <v>597</v>
      </c>
      <c r="E31" s="144" t="s">
        <v>304</v>
      </c>
      <c r="F31" s="48" t="str">
        <f>IF(OR(COUNTIF('Filtro Dado base'!$A$2:$A$176,Campos!E31)&gt;0,ISBLANK(E31)),"","Dado base inválido")</f>
        <v/>
      </c>
    </row>
    <row r="32" spans="2:6" x14ac:dyDescent="0.3">
      <c r="B32">
        <v>30</v>
      </c>
      <c r="C32" s="144" t="s">
        <v>593</v>
      </c>
      <c r="D32" s="144" t="s">
        <v>598</v>
      </c>
      <c r="E32" s="144" t="s">
        <v>304</v>
      </c>
      <c r="F32" s="48" t="str">
        <f>IF(OR(COUNTIF('Filtro Dado base'!$A$2:$A$176,Campos!E32)&gt;0,ISBLANK(E32)),"","Dado base inválido")</f>
        <v/>
      </c>
    </row>
    <row r="33" spans="2:6" x14ac:dyDescent="0.3">
      <c r="B33">
        <v>31</v>
      </c>
      <c r="C33" s="144" t="s">
        <v>594</v>
      </c>
      <c r="D33" s="144" t="s">
        <v>599</v>
      </c>
      <c r="E33" s="144" t="s">
        <v>304</v>
      </c>
      <c r="F33" s="48" t="str">
        <f>IF(OR(COUNTIF('Filtro Dado base'!$A$2:$A$176,Campos!E33)&gt;0,ISBLANK(E33)),"","Dado base inválido")</f>
        <v/>
      </c>
    </row>
    <row r="34" spans="2:6" x14ac:dyDescent="0.3">
      <c r="B34">
        <v>32</v>
      </c>
      <c r="C34" s="144" t="s">
        <v>563</v>
      </c>
      <c r="D34" s="144" t="s">
        <v>564</v>
      </c>
      <c r="E34" s="144" t="s">
        <v>167</v>
      </c>
      <c r="F34" s="48" t="str">
        <f>IF(OR(COUNTIF('Filtro Dado base'!$A$2:$A$176,Campos!E34)&gt;0,ISBLANK(E34)),"","Dado base inválido")</f>
        <v/>
      </c>
    </row>
    <row r="35" spans="2:6" x14ac:dyDescent="0.3">
      <c r="B35">
        <v>33</v>
      </c>
      <c r="C35" s="144" t="s">
        <v>565</v>
      </c>
      <c r="D35" s="144" t="s">
        <v>566</v>
      </c>
      <c r="E35" s="144" t="s">
        <v>340</v>
      </c>
      <c r="F35" s="48" t="str">
        <f>IF(OR(COUNTIF('Filtro Dado base'!$A$2:$A$176,Campos!E35)&gt;0,ISBLANK(E35)),"","Dado base inválido")</f>
        <v/>
      </c>
    </row>
    <row r="36" spans="2:6" x14ac:dyDescent="0.3">
      <c r="B36">
        <v>34</v>
      </c>
      <c r="C36" s="144" t="s">
        <v>567</v>
      </c>
      <c r="D36" s="144" t="s">
        <v>568</v>
      </c>
      <c r="E36" s="144" t="s">
        <v>340</v>
      </c>
      <c r="F36" s="48" t="str">
        <f>IF(OR(COUNTIF('Filtro Dado base'!$A$2:$A$176,Campos!E36)&gt;0,ISBLANK(E36)),"","Dado base inválido")</f>
        <v/>
      </c>
    </row>
    <row r="37" spans="2:6" x14ac:dyDescent="0.3">
      <c r="B37">
        <v>35</v>
      </c>
      <c r="C37" s="144" t="s">
        <v>569</v>
      </c>
      <c r="D37" s="144" t="s">
        <v>570</v>
      </c>
      <c r="E37" s="144" t="s">
        <v>340</v>
      </c>
      <c r="F37" s="48" t="str">
        <f>IF(OR(COUNTIF('Filtro Dado base'!$A$2:$A$176,Campos!E37)&gt;0,ISBLANK(E37)),"","Dado base inválido")</f>
        <v/>
      </c>
    </row>
    <row r="38" spans="2:6" x14ac:dyDescent="0.3">
      <c r="B38">
        <v>36</v>
      </c>
      <c r="C38" s="144" t="s">
        <v>571</v>
      </c>
      <c r="D38" s="144" t="s">
        <v>173</v>
      </c>
      <c r="E38" s="144" t="s">
        <v>173</v>
      </c>
      <c r="F38" s="48" t="str">
        <f>IF(OR(COUNTIF('Filtro Dado base'!$A$2:$A$176,Campos!E38)&gt;0,ISBLANK(E38)),"","Dado base inválido")</f>
        <v/>
      </c>
    </row>
    <row r="39" spans="2:6" x14ac:dyDescent="0.3">
      <c r="B39">
        <v>37</v>
      </c>
      <c r="C39" s="144" t="s">
        <v>572</v>
      </c>
      <c r="D39" s="144" t="s">
        <v>573</v>
      </c>
      <c r="E39" s="144" t="s">
        <v>198</v>
      </c>
      <c r="F39" s="48" t="str">
        <f>IF(OR(COUNTIF('Filtro Dado base'!$A$2:$A$176,Campos!E39)&gt;0,ISBLANK(E39)),"","Dado base inválido")</f>
        <v/>
      </c>
    </row>
    <row r="40" spans="2:6" x14ac:dyDescent="0.3">
      <c r="B40">
        <v>38</v>
      </c>
      <c r="C40" s="144" t="s">
        <v>574</v>
      </c>
      <c r="D40" s="144" t="s">
        <v>575</v>
      </c>
      <c r="E40" s="144" t="s">
        <v>323</v>
      </c>
      <c r="F40" s="48" t="str">
        <f>IF(OR(COUNTIF('Filtro Dado base'!$A$2:$A$176,Campos!E40)&gt;0,ISBLANK(E40)),"","Dado base inválido")</f>
        <v/>
      </c>
    </row>
    <row r="41" spans="2:6" x14ac:dyDescent="0.3">
      <c r="B41">
        <v>39</v>
      </c>
      <c r="C41" s="144" t="s">
        <v>576</v>
      </c>
      <c r="D41" s="144" t="s">
        <v>577</v>
      </c>
      <c r="E41" s="144" t="s">
        <v>180</v>
      </c>
      <c r="F41" s="48" t="str">
        <f>IF(OR(COUNTIF('Filtro Dado base'!$A$2:$A$176,Campos!E41)&gt;0,ISBLANK(E41)),"","Dado base inválido")</f>
        <v/>
      </c>
    </row>
    <row r="42" spans="2:6" x14ac:dyDescent="0.3">
      <c r="B42">
        <v>40</v>
      </c>
      <c r="C42" s="144" t="s">
        <v>578</v>
      </c>
      <c r="D42" s="144" t="s">
        <v>579</v>
      </c>
      <c r="E42" s="65" t="s">
        <v>339</v>
      </c>
      <c r="F42" s="48" t="str">
        <f>IF(OR(COUNTIF('Filtro Dado base'!$A$2:$A$176,Campos!E42)&gt;0,ISBLANK(E42)),"","Dado base inválido")</f>
        <v/>
      </c>
    </row>
    <row r="43" spans="2:6" x14ac:dyDescent="0.3">
      <c r="B43">
        <v>41</v>
      </c>
      <c r="C43" s="144" t="s">
        <v>580</v>
      </c>
      <c r="D43" s="144" t="s">
        <v>581</v>
      </c>
      <c r="E43" s="144" t="s">
        <v>228</v>
      </c>
      <c r="F43" s="48" t="str">
        <f>IF(OR(COUNTIF('Filtro Dado base'!$A$2:$A$176,Campos!E43)&gt;0,ISBLANK(E43)),"","Dado base inválido")</f>
        <v/>
      </c>
    </row>
    <row r="44" spans="2:6" x14ac:dyDescent="0.3">
      <c r="B44">
        <v>42</v>
      </c>
      <c r="C44" s="144" t="s">
        <v>582</v>
      </c>
      <c r="D44" s="144" t="s">
        <v>583</v>
      </c>
      <c r="E44" s="144" t="s">
        <v>228</v>
      </c>
      <c r="F44" s="48" t="str">
        <f>IF(OR(COUNTIF('Filtro Dado base'!$A$2:$A$176,Campos!E44)&gt;0,ISBLANK(E44)),"","Dado base inválido")</f>
        <v/>
      </c>
    </row>
    <row r="45" spans="2:6" x14ac:dyDescent="0.3">
      <c r="B45">
        <v>43</v>
      </c>
      <c r="C45" s="144" t="s">
        <v>584</v>
      </c>
      <c r="D45" s="144" t="s">
        <v>585</v>
      </c>
      <c r="E45" s="144" t="s">
        <v>228</v>
      </c>
      <c r="F45" s="48" t="str">
        <f>IF(OR(COUNTIF('Filtro Dado base'!$A$2:$A$176,Campos!E45)&gt;0,ISBLANK(E45)),"","Dado base inválido")</f>
        <v/>
      </c>
    </row>
    <row r="46" spans="2:6" x14ac:dyDescent="0.3">
      <c r="B46">
        <v>44</v>
      </c>
      <c r="C46" s="144" t="s">
        <v>586</v>
      </c>
      <c r="D46" s="144" t="s">
        <v>587</v>
      </c>
      <c r="E46" s="144" t="s">
        <v>339</v>
      </c>
      <c r="F46" s="48" t="str">
        <f>IF(OR(COUNTIF('Filtro Dado base'!$A$2:$A$176,Campos!E46)&gt;0,ISBLANK(E46)),"","Dado base inválido")</f>
        <v/>
      </c>
    </row>
    <row r="47" spans="2:6" x14ac:dyDescent="0.3">
      <c r="B47">
        <v>45</v>
      </c>
      <c r="C47" s="144" t="s">
        <v>588</v>
      </c>
      <c r="D47" s="144" t="s">
        <v>589</v>
      </c>
      <c r="E47" s="65" t="s">
        <v>339</v>
      </c>
      <c r="F47" s="48" t="str">
        <f>IF(OR(COUNTIF('Filtro Dado base'!$A$2:$A$176,Campos!E47)&gt;0,ISBLANK(E47)),"","Dado base inválido")</f>
        <v/>
      </c>
    </row>
    <row r="48" spans="2:6" x14ac:dyDescent="0.3">
      <c r="B48">
        <v>46</v>
      </c>
      <c r="C48" s="144"/>
      <c r="D48" s="144"/>
      <c r="E48" s="144"/>
      <c r="F48" s="48" t="str">
        <f>IF(OR(COUNTIF('Filtro Dado base'!$A$2:$A$176,Campos!E48)&gt;0,ISBLANK(E48)),"","Dado base inválido")</f>
        <v/>
      </c>
    </row>
    <row r="49" spans="2:6" x14ac:dyDescent="0.3">
      <c r="B49">
        <v>47</v>
      </c>
      <c r="C49" s="144"/>
      <c r="D49" s="144"/>
      <c r="E49" s="144"/>
      <c r="F49" s="48" t="str">
        <f>IF(OR(COUNTIF('Filtro Dado base'!$A$2:$A$176,Campos!E49)&gt;0,ISBLANK(E49)),"","Dado base inválido")</f>
        <v/>
      </c>
    </row>
    <row r="50" spans="2:6" x14ac:dyDescent="0.3">
      <c r="B50">
        <v>48</v>
      </c>
      <c r="C50" s="144"/>
      <c r="D50" s="144"/>
      <c r="E50" s="144"/>
      <c r="F50" s="48" t="str">
        <f>IF(OR(COUNTIF('Filtro Dado base'!$A$2:$A$176,Campos!E50)&gt;0,ISBLANK(E50)),"","Dado base inválido")</f>
        <v/>
      </c>
    </row>
    <row r="51" spans="2:6" x14ac:dyDescent="0.3">
      <c r="B51">
        <v>49</v>
      </c>
      <c r="C51" s="144"/>
      <c r="D51" s="144"/>
      <c r="E51" s="144"/>
      <c r="F51" s="48" t="str">
        <f>IF(OR(COUNTIF('Filtro Dado base'!$A$2:$A$176,Campos!E51)&gt;0,ISBLANK(E51)),"","Dado base inválido")</f>
        <v/>
      </c>
    </row>
    <row r="52" spans="2:6" x14ac:dyDescent="0.3">
      <c r="B52">
        <v>50</v>
      </c>
      <c r="C52" s="144"/>
      <c r="D52" s="144"/>
      <c r="E52" s="65"/>
      <c r="F52" s="48" t="str">
        <f>IF(OR(COUNTIF('Filtro Dado base'!$A$2:$A$176,Campos!E52)&gt;0,ISBLANK(E52)),"","Dado base inválido")</f>
        <v/>
      </c>
    </row>
    <row r="53" spans="2:6" x14ac:dyDescent="0.3">
      <c r="B53">
        <v>51</v>
      </c>
      <c r="C53" s="144"/>
      <c r="D53" s="144"/>
      <c r="E53" s="144"/>
      <c r="F53" s="48" t="str">
        <f>IF(OR(COUNTIF('Filtro Dado base'!$A$2:$A$176,Campos!E53)&gt;0,ISBLANK(E53)),"","Dado base inválido")</f>
        <v/>
      </c>
    </row>
    <row r="54" spans="2:6" x14ac:dyDescent="0.3">
      <c r="B54">
        <v>52</v>
      </c>
      <c r="C54" s="144"/>
      <c r="D54" s="144"/>
      <c r="E54" s="144"/>
      <c r="F54" s="48" t="str">
        <f>IF(OR(COUNTIF('Filtro Dado base'!$A$2:$A$176,Campos!E54)&gt;0,ISBLANK(E54)),"","Dado base inválido")</f>
        <v/>
      </c>
    </row>
    <row r="55" spans="2:6" x14ac:dyDescent="0.3">
      <c r="B55">
        <v>53</v>
      </c>
      <c r="C55" s="144"/>
      <c r="D55" s="144"/>
      <c r="E55" s="144"/>
      <c r="F55" s="48" t="str">
        <f>IF(OR(COUNTIF('Filtro Dado base'!$A$2:$A$176,Campos!E55)&gt;0,ISBLANK(E55)),"","Dado base inválido")</f>
        <v/>
      </c>
    </row>
    <row r="56" spans="2:6" x14ac:dyDescent="0.3">
      <c r="B56">
        <v>54</v>
      </c>
      <c r="C56" s="144"/>
      <c r="D56" s="144"/>
      <c r="E56" s="65"/>
      <c r="F56" s="48" t="str">
        <f>IF(OR(COUNTIF('Filtro Dado base'!$A$2:$A$176,Campos!E56)&gt;0,ISBLANK(E56)),"","Dado base inválido")</f>
        <v/>
      </c>
    </row>
    <row r="57" spans="2:6" x14ac:dyDescent="0.3">
      <c r="B57">
        <v>55</v>
      </c>
      <c r="C57" s="144"/>
      <c r="D57" s="144"/>
      <c r="E57" s="65"/>
      <c r="F57" s="48" t="str">
        <f>IF(OR(COUNTIF('Filtro Dado base'!$A$2:$A$176,Campos!E57)&gt;0,ISBLANK(E57)),"","Dado base inválido")</f>
        <v/>
      </c>
    </row>
    <row r="58" spans="2:6" x14ac:dyDescent="0.3">
      <c r="B58">
        <v>56</v>
      </c>
      <c r="C58" s="144"/>
      <c r="D58" s="144"/>
      <c r="E58" s="144"/>
      <c r="F58" s="48" t="str">
        <f>IF(OR(COUNTIF('Filtro Dado base'!$A$2:$A$176,Campos!E58)&gt;0,ISBLANK(E58)),"","Dado base inválido")</f>
        <v/>
      </c>
    </row>
    <row r="59" spans="2:6" x14ac:dyDescent="0.3">
      <c r="B59">
        <v>57</v>
      </c>
      <c r="C59" s="144"/>
      <c r="D59" s="144"/>
      <c r="E59" s="144"/>
      <c r="F59" s="48" t="str">
        <f>IF(OR(COUNTIF('Filtro Dado base'!$A$2:$A$176,Campos!E59)&gt;0,ISBLANK(E59)),"","Dado base inválido")</f>
        <v/>
      </c>
    </row>
    <row r="60" spans="2:6" x14ac:dyDescent="0.3">
      <c r="B60">
        <v>58</v>
      </c>
      <c r="C60" s="144"/>
      <c r="D60" s="144"/>
      <c r="E60" s="144"/>
      <c r="F60" s="48" t="str">
        <f>IF(OR(COUNTIF('Filtro Dado base'!$A$2:$A$176,Campos!E60)&gt;0,ISBLANK(E60)),"","Dado base inválido")</f>
        <v/>
      </c>
    </row>
    <row r="61" spans="2:6" x14ac:dyDescent="0.3">
      <c r="B61">
        <v>59</v>
      </c>
      <c r="C61" s="144"/>
      <c r="D61" s="144"/>
      <c r="E61" s="144"/>
      <c r="F61" s="48" t="str">
        <f>IF(OR(COUNTIF('Filtro Dado base'!$A$2:$A$176,Campos!E61)&gt;0,ISBLANK(E61)),"","Dado base inválido")</f>
        <v/>
      </c>
    </row>
    <row r="62" spans="2:6" x14ac:dyDescent="0.3">
      <c r="B62">
        <v>60</v>
      </c>
      <c r="C62" s="144"/>
      <c r="D62" s="144"/>
      <c r="E62" s="144"/>
      <c r="F62" s="48" t="str">
        <f>IF(OR(COUNTIF('Filtro Dado base'!$A$2:$A$176,Campos!E62)&gt;0,ISBLANK(E62)),"","Dado base inválido")</f>
        <v/>
      </c>
    </row>
    <row r="63" spans="2:6" x14ac:dyDescent="0.3">
      <c r="B63">
        <v>61</v>
      </c>
      <c r="C63" s="144"/>
      <c r="D63" s="144"/>
      <c r="E63" s="144"/>
      <c r="F63" s="48" t="str">
        <f>IF(OR(COUNTIF('Filtro Dado base'!$A$2:$A$176,Campos!E63)&gt;0,ISBLANK(E63)),"","Dado base inválido")</f>
        <v/>
      </c>
    </row>
    <row r="64" spans="2:6" x14ac:dyDescent="0.3">
      <c r="B64">
        <v>62</v>
      </c>
      <c r="C64" s="144"/>
      <c r="D64" s="144"/>
      <c r="E64" s="144"/>
      <c r="F64" s="48" t="str">
        <f>IF(OR(COUNTIF('Filtro Dado base'!$A$2:$A$176,Campos!E64)&gt;0,ISBLANK(E64)),"","Dado base inválido")</f>
        <v/>
      </c>
    </row>
    <row r="65" spans="2:6" x14ac:dyDescent="0.3">
      <c r="B65">
        <v>63</v>
      </c>
      <c r="C65" s="144"/>
      <c r="D65" s="144"/>
      <c r="E65" s="144"/>
      <c r="F65" s="48" t="str">
        <f>IF(OR(COUNTIF('Filtro Dado base'!$A$2:$A$176,Campos!E65)&gt;0,ISBLANK(E65)),"","Dado base inválido")</f>
        <v/>
      </c>
    </row>
    <row r="66" spans="2:6" x14ac:dyDescent="0.3">
      <c r="B66">
        <v>64</v>
      </c>
      <c r="C66" s="144"/>
      <c r="D66" s="144"/>
      <c r="E66" s="144"/>
      <c r="F66" s="48" t="str">
        <f>IF(OR(COUNTIF('Filtro Dado base'!$A$2:$A$176,Campos!E66)&gt;0,ISBLANK(E66)),"","Dado base inválido")</f>
        <v/>
      </c>
    </row>
    <row r="67" spans="2:6" x14ac:dyDescent="0.3">
      <c r="B67">
        <v>65</v>
      </c>
      <c r="C67" s="144"/>
      <c r="D67" s="144"/>
      <c r="E67" s="144"/>
      <c r="F67" s="48" t="str">
        <f>IF(OR(COUNTIF('Filtro Dado base'!$A$2:$A$176,Campos!E67)&gt;0,ISBLANK(E67)),"","Dado base inválido")</f>
        <v/>
      </c>
    </row>
    <row r="68" spans="2:6" x14ac:dyDescent="0.3">
      <c r="B68">
        <v>66</v>
      </c>
      <c r="C68" s="144"/>
      <c r="D68" s="144"/>
      <c r="E68" s="144"/>
      <c r="F68" s="48" t="str">
        <f>IF(OR(COUNTIF('Filtro Dado base'!$A$2:$A$176,Campos!E68)&gt;0,ISBLANK(E68)),"","Dado base inválido")</f>
        <v/>
      </c>
    </row>
    <row r="69" spans="2:6" x14ac:dyDescent="0.3">
      <c r="B69">
        <v>67</v>
      </c>
      <c r="C69" s="144"/>
      <c r="D69" s="144"/>
      <c r="E69" s="144"/>
      <c r="F69" s="48" t="str">
        <f>IF(OR(COUNTIF('Filtro Dado base'!$A$2:$A$176,Campos!E69)&gt;0,ISBLANK(E69)),"","Dado base inválido")</f>
        <v/>
      </c>
    </row>
    <row r="70" spans="2:6" x14ac:dyDescent="0.3">
      <c r="B70">
        <v>68</v>
      </c>
      <c r="C70" s="144"/>
      <c r="D70" s="144"/>
      <c r="E70" s="144"/>
      <c r="F70" s="48" t="str">
        <f>IF(OR(COUNTIF('Filtro Dado base'!$A$2:$A$176,Campos!E70)&gt;0,ISBLANK(E70)),"","Dado base inválido")</f>
        <v/>
      </c>
    </row>
    <row r="71" spans="2:6" x14ac:dyDescent="0.3">
      <c r="B71">
        <v>69</v>
      </c>
      <c r="C71" s="144"/>
      <c r="D71" s="144"/>
      <c r="E71" s="144"/>
      <c r="F71" s="48" t="str">
        <f>IF(OR(COUNTIF('Filtro Dado base'!$A$2:$A$176,Campos!E71)&gt;0,ISBLANK(E71)),"","Dado base inválido")</f>
        <v/>
      </c>
    </row>
    <row r="72" spans="2:6" x14ac:dyDescent="0.3">
      <c r="B72">
        <v>70</v>
      </c>
      <c r="C72" s="144"/>
      <c r="D72" s="144"/>
      <c r="E72" s="144"/>
      <c r="F72" s="48" t="str">
        <f>IF(OR(COUNTIF('Filtro Dado base'!$A$2:$A$176,Campos!E72)&gt;0,ISBLANK(E72)),"","Dado base inválido")</f>
        <v/>
      </c>
    </row>
    <row r="73" spans="2:6" x14ac:dyDescent="0.3">
      <c r="B73">
        <v>71</v>
      </c>
      <c r="C73" s="144"/>
      <c r="D73" s="144"/>
      <c r="E73" s="144"/>
      <c r="F73" s="48" t="str">
        <f>IF(OR(COUNTIF('Filtro Dado base'!$A$2:$A$176,Campos!E73)&gt;0,ISBLANK(E73)),"","Dado base inválido")</f>
        <v/>
      </c>
    </row>
    <row r="74" spans="2:6" x14ac:dyDescent="0.3">
      <c r="B74">
        <v>72</v>
      </c>
      <c r="C74" s="144"/>
      <c r="D74" s="144"/>
      <c r="E74" s="144"/>
      <c r="F74" s="48" t="str">
        <f>IF(OR(COUNTIF('Filtro Dado base'!$A$2:$A$176,Campos!E74)&gt;0,ISBLANK(E74)),"","Dado base inválido")</f>
        <v/>
      </c>
    </row>
    <row r="75" spans="2:6" x14ac:dyDescent="0.3">
      <c r="B75">
        <v>73</v>
      </c>
      <c r="C75" s="144"/>
      <c r="D75" s="144"/>
      <c r="E75" s="144"/>
      <c r="F75" s="48" t="str">
        <f>IF(OR(COUNTIF('Filtro Dado base'!$A$2:$A$176,Campos!E75)&gt;0,ISBLANK(E75)),"","Dado base inválido")</f>
        <v/>
      </c>
    </row>
    <row r="76" spans="2:6" x14ac:dyDescent="0.3">
      <c r="B76">
        <v>74</v>
      </c>
      <c r="C76" s="144"/>
      <c r="D76" s="144"/>
      <c r="E76" s="144"/>
      <c r="F76" s="48" t="str">
        <f>IF(OR(COUNTIF('Filtro Dado base'!$A$2:$A$176,Campos!E76)&gt;0,ISBLANK(E76)),"","Dado base inválido")</f>
        <v/>
      </c>
    </row>
    <row r="77" spans="2:6" x14ac:dyDescent="0.3">
      <c r="B77">
        <v>75</v>
      </c>
      <c r="C77" s="144"/>
      <c r="D77" s="144"/>
      <c r="E77" s="144"/>
      <c r="F77" s="48" t="str">
        <f>IF(OR(COUNTIF('Filtro Dado base'!$A$2:$A$176,Campos!E77)&gt;0,ISBLANK(E77)),"","Dado base inválido")</f>
        <v/>
      </c>
    </row>
    <row r="78" spans="2:6" x14ac:dyDescent="0.3">
      <c r="B78">
        <v>76</v>
      </c>
      <c r="C78" s="144"/>
      <c r="D78" s="144"/>
      <c r="E78" s="144"/>
      <c r="F78" s="48" t="str">
        <f>IF(OR(COUNTIF('Filtro Dado base'!$A$2:$A$176,Campos!E78)&gt;0,ISBLANK(E78)),"","Dado base inválido")</f>
        <v/>
      </c>
    </row>
    <row r="79" spans="2:6" x14ac:dyDescent="0.3">
      <c r="B79">
        <v>77</v>
      </c>
      <c r="C79" s="144"/>
      <c r="D79" s="144"/>
      <c r="E79" s="144"/>
      <c r="F79" s="48" t="str">
        <f>IF(OR(COUNTIF('Filtro Dado base'!$A$2:$A$176,Campos!E79)&gt;0,ISBLANK(E79)),"","Dado base inválido")</f>
        <v/>
      </c>
    </row>
    <row r="80" spans="2:6" x14ac:dyDescent="0.3">
      <c r="B80">
        <v>78</v>
      </c>
      <c r="C80" s="144"/>
      <c r="D80" s="144"/>
      <c r="E80" s="144"/>
      <c r="F80" s="48" t="str">
        <f>IF(OR(COUNTIF('Filtro Dado base'!$A$2:$A$176,Campos!E80)&gt;0,ISBLANK(E80)),"","Dado base inválido")</f>
        <v/>
      </c>
    </row>
    <row r="81" spans="2:6" x14ac:dyDescent="0.3">
      <c r="B81">
        <v>79</v>
      </c>
      <c r="C81" s="144"/>
      <c r="D81" s="144"/>
      <c r="E81" s="144"/>
      <c r="F81" s="48" t="str">
        <f>IF(OR(COUNTIF('Filtro Dado base'!$A$2:$A$176,Campos!E81)&gt;0,ISBLANK(E81)),"","Dado base inválido")</f>
        <v/>
      </c>
    </row>
    <row r="82" spans="2:6" x14ac:dyDescent="0.3">
      <c r="B82">
        <v>80</v>
      </c>
      <c r="C82" s="144"/>
      <c r="D82" s="144"/>
      <c r="E82" s="144"/>
      <c r="F82" s="48" t="str">
        <f>IF(OR(COUNTIF('Filtro Dado base'!$A$2:$A$176,Campos!E82)&gt;0,ISBLANK(E82)),"","Dado base inválido")</f>
        <v/>
      </c>
    </row>
    <row r="83" spans="2:6" x14ac:dyDescent="0.3">
      <c r="B83">
        <v>81</v>
      </c>
      <c r="C83" s="144"/>
      <c r="D83" s="144"/>
      <c r="E83" s="144"/>
      <c r="F83" s="48" t="str">
        <f>IF(OR(COUNTIF('Filtro Dado base'!$A$2:$A$176,Campos!E83)&gt;0,ISBLANK(E83)),"","Dado base inválido")</f>
        <v/>
      </c>
    </row>
    <row r="84" spans="2:6" x14ac:dyDescent="0.3">
      <c r="B84">
        <v>82</v>
      </c>
      <c r="C84" s="144"/>
      <c r="D84" s="144"/>
      <c r="E84" s="144"/>
      <c r="F84" s="48" t="str">
        <f>IF(OR(COUNTIF('Filtro Dado base'!$A$2:$A$176,Campos!E84)&gt;0,ISBLANK(E84)),"","Dado base inválido")</f>
        <v/>
      </c>
    </row>
    <row r="85" spans="2:6" x14ac:dyDescent="0.3">
      <c r="B85">
        <v>83</v>
      </c>
      <c r="C85" s="144"/>
      <c r="D85" s="144"/>
      <c r="E85" s="144"/>
      <c r="F85" s="48" t="str">
        <f>IF(OR(COUNTIF('Filtro Dado base'!$A$2:$A$176,Campos!E85)&gt;0,ISBLANK(E85)),"","Dado base inválido")</f>
        <v/>
      </c>
    </row>
    <row r="86" spans="2:6" x14ac:dyDescent="0.3">
      <c r="B86">
        <v>84</v>
      </c>
      <c r="C86" s="144"/>
      <c r="D86" s="144"/>
      <c r="E86" s="144"/>
      <c r="F86" s="48" t="str">
        <f>IF(OR(COUNTIF('Filtro Dado base'!$A$2:$A$176,Campos!E86)&gt;0,ISBLANK(E86)),"","Dado base inválido")</f>
        <v/>
      </c>
    </row>
    <row r="87" spans="2:6" x14ac:dyDescent="0.3">
      <c r="B87">
        <v>85</v>
      </c>
      <c r="C87" s="144"/>
      <c r="D87" s="144"/>
      <c r="E87" s="144"/>
      <c r="F87" s="48" t="str">
        <f>IF(OR(COUNTIF('Filtro Dado base'!$A$2:$A$176,Campos!E87)&gt;0,ISBLANK(E87)),"","Dado base inválido")</f>
        <v/>
      </c>
    </row>
    <row r="88" spans="2:6" x14ac:dyDescent="0.3">
      <c r="B88">
        <v>86</v>
      </c>
      <c r="C88" s="144"/>
      <c r="D88" s="144"/>
      <c r="E88" s="144"/>
      <c r="F88" s="48" t="str">
        <f>IF(OR(COUNTIF('Filtro Dado base'!$A$2:$A$176,Campos!E88)&gt;0,ISBLANK(E88)),"","Dado base inválido")</f>
        <v/>
      </c>
    </row>
    <row r="89" spans="2:6" x14ac:dyDescent="0.3">
      <c r="B89">
        <v>87</v>
      </c>
      <c r="C89" s="144"/>
      <c r="D89" s="144"/>
      <c r="E89" s="144"/>
      <c r="F89" s="48" t="str">
        <f>IF(OR(COUNTIF('Filtro Dado base'!$A$2:$A$176,Campos!E89)&gt;0,ISBLANK(E89)),"","Dado base inválido")</f>
        <v/>
      </c>
    </row>
    <row r="90" spans="2:6" x14ac:dyDescent="0.3">
      <c r="B90">
        <v>88</v>
      </c>
      <c r="C90" s="144"/>
      <c r="D90" s="144"/>
      <c r="E90" s="144"/>
      <c r="F90" s="48" t="str">
        <f>IF(OR(COUNTIF('Filtro Dado base'!$A$2:$A$176,Campos!E90)&gt;0,ISBLANK(E90)),"","Dado base inválido")</f>
        <v/>
      </c>
    </row>
    <row r="91" spans="2:6" x14ac:dyDescent="0.3">
      <c r="B91">
        <v>89</v>
      </c>
      <c r="C91" s="144"/>
      <c r="D91" s="144"/>
      <c r="E91" s="144"/>
      <c r="F91" s="48" t="str">
        <f>IF(OR(COUNTIF('Filtro Dado base'!$A$2:$A$176,Campos!E91)&gt;0,ISBLANK(E91)),"","Dado base inválido")</f>
        <v/>
      </c>
    </row>
    <row r="92" spans="2:6" x14ac:dyDescent="0.3">
      <c r="B92">
        <v>90</v>
      </c>
      <c r="C92" s="144"/>
      <c r="D92" s="144"/>
      <c r="E92" s="144"/>
      <c r="F92" s="48" t="str">
        <f>IF(OR(COUNTIF('Filtro Dado base'!$A$2:$A$176,Campos!E92)&gt;0,ISBLANK(E92)),"","Dado base inválido")</f>
        <v/>
      </c>
    </row>
    <row r="93" spans="2:6" x14ac:dyDescent="0.3">
      <c r="B93">
        <v>91</v>
      </c>
      <c r="C93" s="144"/>
      <c r="D93" s="144"/>
      <c r="E93" s="144"/>
      <c r="F93" s="48" t="str">
        <f>IF(OR(COUNTIF('Filtro Dado base'!$A$2:$A$176,Campos!E93)&gt;0,ISBLANK(E93)),"","Dado base inválido")</f>
        <v/>
      </c>
    </row>
    <row r="94" spans="2:6" x14ac:dyDescent="0.3">
      <c r="B94">
        <v>92</v>
      </c>
      <c r="C94" s="144"/>
      <c r="D94" s="144"/>
      <c r="E94" s="144"/>
      <c r="F94" s="48" t="str">
        <f>IF(OR(COUNTIF('Filtro Dado base'!$A$2:$A$176,Campos!E94)&gt;0,ISBLANK(E94)),"","Dado base inválido")</f>
        <v/>
      </c>
    </row>
    <row r="95" spans="2:6" x14ac:dyDescent="0.3">
      <c r="B95">
        <v>93</v>
      </c>
      <c r="C95" s="144"/>
      <c r="D95" s="144"/>
      <c r="E95" s="144"/>
      <c r="F95" s="48" t="str">
        <f>IF(OR(COUNTIF('Filtro Dado base'!$A$2:$A$176,Campos!E95)&gt;0,ISBLANK(E95)),"","Dado base inválido")</f>
        <v/>
      </c>
    </row>
    <row r="96" spans="2:6" x14ac:dyDescent="0.3">
      <c r="B96">
        <v>94</v>
      </c>
      <c r="C96" s="144"/>
      <c r="D96" s="144"/>
      <c r="E96" s="144"/>
      <c r="F96" s="48" t="str">
        <f>IF(OR(COUNTIF('Filtro Dado base'!$A$2:$A$176,Campos!E96)&gt;0,ISBLANK(E96)),"","Dado base inválido")</f>
        <v/>
      </c>
    </row>
    <row r="97" spans="2:6" x14ac:dyDescent="0.3">
      <c r="B97">
        <v>95</v>
      </c>
      <c r="C97" s="144"/>
      <c r="D97" s="144"/>
      <c r="E97" s="144"/>
      <c r="F97" s="48" t="str">
        <f>IF(OR(COUNTIF('Filtro Dado base'!$A$2:$A$176,Campos!E97)&gt;0,ISBLANK(E97)),"","Dado base inválido")</f>
        <v/>
      </c>
    </row>
    <row r="98" spans="2:6" x14ac:dyDescent="0.3">
      <c r="B98">
        <v>96</v>
      </c>
      <c r="C98" s="144"/>
      <c r="D98" s="144"/>
      <c r="E98" s="144"/>
      <c r="F98" s="48" t="str">
        <f>IF(OR(COUNTIF('Filtro Dado base'!$A$2:$A$176,Campos!E98)&gt;0,ISBLANK(E98)),"","Dado base inválido")</f>
        <v/>
      </c>
    </row>
    <row r="99" spans="2:6" x14ac:dyDescent="0.3">
      <c r="B99">
        <v>97</v>
      </c>
      <c r="C99" s="144"/>
      <c r="D99" s="144"/>
      <c r="E99" s="144"/>
      <c r="F99" s="48" t="str">
        <f>IF(OR(COUNTIF('Filtro Dado base'!$A$2:$A$176,Campos!E99)&gt;0,ISBLANK(E99)),"","Dado base inválido")</f>
        <v/>
      </c>
    </row>
    <row r="100" spans="2:6" x14ac:dyDescent="0.3">
      <c r="B100">
        <v>98</v>
      </c>
      <c r="C100" s="144"/>
      <c r="D100" s="144"/>
      <c r="E100" s="144"/>
      <c r="F100" s="48" t="str">
        <f>IF(OR(COUNTIF('Filtro Dado base'!$A$2:$A$176,Campos!E100)&gt;0,ISBLANK(E100)),"","Dado base inválido")</f>
        <v/>
      </c>
    </row>
    <row r="101" spans="2:6" x14ac:dyDescent="0.3">
      <c r="B101">
        <v>99</v>
      </c>
      <c r="C101" s="144"/>
      <c r="D101" s="144"/>
      <c r="E101" s="144"/>
      <c r="F101" s="48" t="str">
        <f>IF(OR(COUNTIF('Filtro Dado base'!$A$2:$A$176,Campos!E101)&gt;0,ISBLANK(E101)),"","Dado base inválido")</f>
        <v/>
      </c>
    </row>
    <row r="102" spans="2:6" x14ac:dyDescent="0.3">
      <c r="B102">
        <v>100</v>
      </c>
      <c r="C102" s="144"/>
      <c r="D102" s="144"/>
      <c r="E102" s="144"/>
      <c r="F102" s="48" t="str">
        <f>IF(OR(COUNTIF('Filtro Dado base'!$A$2:$A$176,Campos!E102)&gt;0,ISBLANK(E102)),"","Dado base inválido")</f>
        <v/>
      </c>
    </row>
    <row r="103" spans="2:6" x14ac:dyDescent="0.3">
      <c r="B103">
        <v>101</v>
      </c>
      <c r="C103" s="144"/>
      <c r="D103" s="144"/>
      <c r="E103" s="144"/>
      <c r="F103" s="48" t="str">
        <f>IF(OR(COUNTIF('Filtro Dado base'!$A$2:$A$176,Campos!E103)&gt;0,ISBLANK(E103)),"","Dado base inválido")</f>
        <v/>
      </c>
    </row>
    <row r="104" spans="2:6" x14ac:dyDescent="0.3">
      <c r="B104">
        <v>102</v>
      </c>
      <c r="C104" s="144"/>
      <c r="D104" s="144"/>
      <c r="E104" s="144"/>
      <c r="F104" s="48" t="str">
        <f>IF(OR(COUNTIF('Filtro Dado base'!$A$2:$A$176,Campos!E104)&gt;0,ISBLANK(E104)),"","Dado base inválido")</f>
        <v/>
      </c>
    </row>
    <row r="105" spans="2:6" x14ac:dyDescent="0.3">
      <c r="B105">
        <v>103</v>
      </c>
      <c r="C105" s="144"/>
      <c r="D105" s="144"/>
      <c r="E105" s="144"/>
      <c r="F105" s="48" t="str">
        <f>IF(OR(COUNTIF('Filtro Dado base'!$A$2:$A$176,Campos!E105)&gt;0,ISBLANK(E105)),"","Dado base inválido")</f>
        <v/>
      </c>
    </row>
    <row r="106" spans="2:6" x14ac:dyDescent="0.3">
      <c r="B106">
        <v>104</v>
      </c>
      <c r="C106" s="144"/>
      <c r="D106" s="144"/>
      <c r="E106" s="144"/>
      <c r="F106" s="48" t="str">
        <f>IF(OR(COUNTIF('Filtro Dado base'!$A$2:$A$176,Campos!E106)&gt;0,ISBLANK(E106)),"","Dado base inválido")</f>
        <v/>
      </c>
    </row>
    <row r="107" spans="2:6" x14ac:dyDescent="0.3">
      <c r="B107">
        <v>105</v>
      </c>
      <c r="C107" s="144"/>
      <c r="D107" s="144"/>
      <c r="E107" s="144"/>
      <c r="F107" s="48" t="str">
        <f>IF(OR(COUNTIF('Filtro Dado base'!$A$2:$A$176,Campos!E107)&gt;0,ISBLANK(E107)),"","Dado base inválido")</f>
        <v/>
      </c>
    </row>
    <row r="108" spans="2:6" x14ac:dyDescent="0.3">
      <c r="B108">
        <v>106</v>
      </c>
      <c r="C108" s="144"/>
      <c r="D108" s="144"/>
      <c r="E108" s="144"/>
      <c r="F108" s="48" t="str">
        <f>IF(OR(COUNTIF('Filtro Dado base'!$A$2:$A$176,Campos!E108)&gt;0,ISBLANK(E108)),"","Dado base inválido")</f>
        <v/>
      </c>
    </row>
    <row r="109" spans="2:6" x14ac:dyDescent="0.3">
      <c r="B109">
        <v>107</v>
      </c>
      <c r="C109" s="144"/>
      <c r="D109" s="144"/>
      <c r="E109" s="144"/>
      <c r="F109" s="48" t="str">
        <f>IF(OR(COUNTIF('Filtro Dado base'!$A$2:$A$176,Campos!E109)&gt;0,ISBLANK(E109)),"","Dado base inválido")</f>
        <v/>
      </c>
    </row>
    <row r="110" spans="2:6" x14ac:dyDescent="0.3">
      <c r="B110">
        <v>108</v>
      </c>
      <c r="C110" s="144"/>
      <c r="D110" s="144"/>
      <c r="E110" s="144"/>
      <c r="F110" s="48" t="str">
        <f>IF(OR(COUNTIF('Filtro Dado base'!$A$2:$A$176,Campos!E110)&gt;0,ISBLANK(E110)),"","Dado base inválido")</f>
        <v/>
      </c>
    </row>
    <row r="111" spans="2:6" x14ac:dyDescent="0.3">
      <c r="B111">
        <v>109</v>
      </c>
      <c r="C111" s="144"/>
      <c r="D111" s="144"/>
      <c r="E111" s="144"/>
      <c r="F111" s="48" t="str">
        <f>IF(OR(COUNTIF('Filtro Dado base'!$A$2:$A$176,Campos!E111)&gt;0,ISBLANK(E111)),"","Dado base inválido")</f>
        <v/>
      </c>
    </row>
    <row r="112" spans="2:6" x14ac:dyDescent="0.3">
      <c r="B112">
        <v>110</v>
      </c>
      <c r="C112" s="144"/>
      <c r="D112" s="144"/>
      <c r="E112" s="144"/>
      <c r="F112" s="48" t="str">
        <f>IF(OR(COUNTIF('Filtro Dado base'!$A$2:$A$176,Campos!E112)&gt;0,ISBLANK(E112)),"","Dado base inválido")</f>
        <v/>
      </c>
    </row>
    <row r="113" spans="2:6" x14ac:dyDescent="0.3">
      <c r="B113">
        <v>111</v>
      </c>
      <c r="C113" s="144"/>
      <c r="D113" s="144"/>
      <c r="E113" s="144"/>
      <c r="F113" s="48" t="str">
        <f>IF(OR(COUNTIF('Filtro Dado base'!$A$2:$A$176,Campos!E113)&gt;0,ISBLANK(E113)),"","Dado base inválido")</f>
        <v/>
      </c>
    </row>
    <row r="114" spans="2:6" x14ac:dyDescent="0.3">
      <c r="B114">
        <v>112</v>
      </c>
      <c r="C114" s="144"/>
      <c r="D114" s="144"/>
      <c r="E114" s="144"/>
      <c r="F114" s="48" t="str">
        <f>IF(OR(COUNTIF('Filtro Dado base'!$A$2:$A$176,Campos!E114)&gt;0,ISBLANK(E114)),"","Dado base inválido")</f>
        <v/>
      </c>
    </row>
    <row r="115" spans="2:6" x14ac:dyDescent="0.3">
      <c r="B115">
        <v>113</v>
      </c>
      <c r="C115" s="144"/>
      <c r="D115" s="144"/>
      <c r="E115" s="144"/>
      <c r="F115" s="48" t="str">
        <f>IF(OR(COUNTIF('Filtro Dado base'!$A$2:$A$176,Campos!E115)&gt;0,ISBLANK(E115)),"","Dado base inválido")</f>
        <v/>
      </c>
    </row>
    <row r="116" spans="2:6" x14ac:dyDescent="0.3">
      <c r="B116">
        <v>114</v>
      </c>
      <c r="C116" s="144"/>
      <c r="D116" s="144"/>
      <c r="E116" s="144"/>
      <c r="F116" s="48" t="str">
        <f>IF(OR(COUNTIF('Filtro Dado base'!$A$2:$A$176,Campos!E116)&gt;0,ISBLANK(E116)),"","Dado base inválido")</f>
        <v/>
      </c>
    </row>
    <row r="117" spans="2:6" x14ac:dyDescent="0.3">
      <c r="B117">
        <v>115</v>
      </c>
      <c r="C117" s="144"/>
      <c r="D117" s="144"/>
      <c r="E117" s="144"/>
      <c r="F117" s="48" t="str">
        <f>IF(OR(COUNTIF('Filtro Dado base'!$A$2:$A$176,Campos!E117)&gt;0,ISBLANK(E117)),"","Dado base inválido")</f>
        <v/>
      </c>
    </row>
    <row r="118" spans="2:6" x14ac:dyDescent="0.3">
      <c r="B118">
        <v>116</v>
      </c>
      <c r="C118" s="144"/>
      <c r="D118" s="144"/>
      <c r="E118" s="144"/>
      <c r="F118" s="48" t="str">
        <f>IF(OR(COUNTIF('Filtro Dado base'!$A$2:$A$176,Campos!E118)&gt;0,ISBLANK(E118)),"","Dado base inválido")</f>
        <v/>
      </c>
    </row>
    <row r="119" spans="2:6" x14ac:dyDescent="0.3">
      <c r="B119">
        <v>117</v>
      </c>
      <c r="C119" s="144"/>
      <c r="D119" s="144"/>
      <c r="E119" s="144"/>
      <c r="F119" s="48" t="str">
        <f>IF(OR(COUNTIF('Filtro Dado base'!$A$2:$A$176,Campos!E119)&gt;0,ISBLANK(E119)),"","Dado base inválido")</f>
        <v/>
      </c>
    </row>
    <row r="120" spans="2:6" x14ac:dyDescent="0.3">
      <c r="B120">
        <v>118</v>
      </c>
      <c r="C120" s="144"/>
      <c r="D120" s="144"/>
      <c r="E120" s="144"/>
      <c r="F120" s="48" t="str">
        <f>IF(OR(COUNTIF('Filtro Dado base'!$A$2:$A$176,Campos!E120)&gt;0,ISBLANK(E120)),"","Dado base inválido")</f>
        <v/>
      </c>
    </row>
    <row r="121" spans="2:6" x14ac:dyDescent="0.3">
      <c r="B121">
        <v>119</v>
      </c>
      <c r="C121" s="144"/>
      <c r="D121" s="144"/>
      <c r="E121" s="144"/>
      <c r="F121" s="48" t="str">
        <f>IF(OR(COUNTIF('Filtro Dado base'!$A$2:$A$176,Campos!E121)&gt;0,ISBLANK(E121)),"","Dado base inválido")</f>
        <v/>
      </c>
    </row>
    <row r="122" spans="2:6" x14ac:dyDescent="0.3">
      <c r="B122">
        <v>120</v>
      </c>
      <c r="C122" s="144"/>
      <c r="D122" s="144"/>
      <c r="E122" s="144"/>
      <c r="F122" s="48" t="str">
        <f>IF(OR(COUNTIF('Filtro Dado base'!$A$2:$A$176,Campos!E122)&gt;0,ISBLANK(E122)),"","Dado base inválido")</f>
        <v/>
      </c>
    </row>
    <row r="123" spans="2:6" x14ac:dyDescent="0.3">
      <c r="B123">
        <v>121</v>
      </c>
      <c r="C123" s="144"/>
      <c r="D123" s="144"/>
      <c r="E123" s="144"/>
      <c r="F123" s="48" t="str">
        <f>IF(OR(COUNTIF('Filtro Dado base'!$A$2:$A$176,Campos!E123)&gt;0,ISBLANK(E123)),"","Dado base inválido")</f>
        <v/>
      </c>
    </row>
    <row r="124" spans="2:6" x14ac:dyDescent="0.3">
      <c r="B124">
        <v>122</v>
      </c>
      <c r="C124" s="144"/>
      <c r="D124" s="144"/>
      <c r="E124" s="144"/>
      <c r="F124" s="48" t="str">
        <f>IF(OR(COUNTIF('Filtro Dado base'!$A$2:$A$176,Campos!E124)&gt;0,ISBLANK(E124)),"","Dado base inválido")</f>
        <v/>
      </c>
    </row>
    <row r="125" spans="2:6" x14ac:dyDescent="0.3">
      <c r="B125">
        <v>123</v>
      </c>
      <c r="C125" s="144"/>
      <c r="D125" s="144"/>
      <c r="E125" s="144"/>
      <c r="F125" s="48" t="str">
        <f>IF(OR(COUNTIF('Filtro Dado base'!$A$2:$A$176,Campos!E125)&gt;0,ISBLANK(E125)),"","Dado base inválido")</f>
        <v/>
      </c>
    </row>
    <row r="126" spans="2:6" x14ac:dyDescent="0.3">
      <c r="B126">
        <v>124</v>
      </c>
      <c r="C126" s="144"/>
      <c r="D126" s="144"/>
      <c r="E126" s="144"/>
      <c r="F126" s="48" t="str">
        <f>IF(OR(COUNTIF('Filtro Dado base'!$A$2:$A$176,Campos!E126)&gt;0,ISBLANK(E126)),"","Dado base inválido")</f>
        <v/>
      </c>
    </row>
    <row r="127" spans="2:6" x14ac:dyDescent="0.3">
      <c r="B127">
        <v>125</v>
      </c>
      <c r="C127" s="144"/>
      <c r="D127" s="144"/>
      <c r="E127" s="144"/>
      <c r="F127" s="48" t="str">
        <f>IF(OR(COUNTIF('Filtro Dado base'!$A$2:$A$176,Campos!E127)&gt;0,ISBLANK(E127)),"","Dado base inválido")</f>
        <v/>
      </c>
    </row>
    <row r="128" spans="2:6" x14ac:dyDescent="0.3">
      <c r="B128">
        <v>126</v>
      </c>
      <c r="C128" s="144"/>
      <c r="D128" s="144"/>
      <c r="E128" s="144"/>
      <c r="F128" s="48" t="str">
        <f>IF(OR(COUNTIF('Filtro Dado base'!$A$2:$A$176,Campos!E128)&gt;0,ISBLANK(E128)),"","Dado base inválido")</f>
        <v/>
      </c>
    </row>
    <row r="129" spans="2:6" x14ac:dyDescent="0.3">
      <c r="B129">
        <v>127</v>
      </c>
      <c r="C129" s="144"/>
      <c r="D129" s="144"/>
      <c r="E129" s="144"/>
      <c r="F129" s="48" t="str">
        <f>IF(OR(COUNTIF('Filtro Dado base'!$A$2:$A$176,Campos!E129)&gt;0,ISBLANK(E129)),"","Dado base inválido")</f>
        <v/>
      </c>
    </row>
    <row r="130" spans="2:6" x14ac:dyDescent="0.3">
      <c r="B130">
        <v>128</v>
      </c>
      <c r="C130" s="144"/>
      <c r="D130" s="144"/>
      <c r="E130" s="144"/>
      <c r="F130" s="48" t="str">
        <f>IF(OR(COUNTIF('Filtro Dado base'!$A$2:$A$176,Campos!E130)&gt;0,ISBLANK(E130)),"","Dado base inválido")</f>
        <v/>
      </c>
    </row>
    <row r="131" spans="2:6" x14ac:dyDescent="0.3">
      <c r="B131">
        <v>129</v>
      </c>
      <c r="C131" s="144"/>
      <c r="D131" s="144"/>
      <c r="E131" s="144"/>
      <c r="F131" s="48" t="str">
        <f>IF(OR(COUNTIF('Filtro Dado base'!$A$2:$A$176,Campos!E131)&gt;0,ISBLANK(E131)),"","Dado base inválido")</f>
        <v/>
      </c>
    </row>
    <row r="132" spans="2:6" x14ac:dyDescent="0.3">
      <c r="B132">
        <v>130</v>
      </c>
      <c r="C132" s="144"/>
      <c r="D132" s="144"/>
      <c r="E132" s="144"/>
      <c r="F132" s="48" t="str">
        <f>IF(OR(COUNTIF('Filtro Dado base'!$A$2:$A$176,Campos!E132)&gt;0,ISBLANK(E132)),"","Dado base inválido")</f>
        <v/>
      </c>
    </row>
    <row r="133" spans="2:6" x14ac:dyDescent="0.3">
      <c r="B133">
        <v>131</v>
      </c>
      <c r="C133" s="144"/>
      <c r="D133" s="144"/>
      <c r="E133" s="144"/>
      <c r="F133" s="48" t="str">
        <f>IF(OR(COUNTIF('Filtro Dado base'!$A$2:$A$176,Campos!E133)&gt;0,ISBLANK(E133)),"","Dado base inválido")</f>
        <v/>
      </c>
    </row>
    <row r="134" spans="2:6" x14ac:dyDescent="0.3">
      <c r="B134">
        <v>132</v>
      </c>
      <c r="C134" s="144"/>
      <c r="D134" s="144"/>
      <c r="E134" s="144"/>
      <c r="F134" s="48" t="str">
        <f>IF(OR(COUNTIF('Filtro Dado base'!$A$2:$A$176,Campos!E134)&gt;0,ISBLANK(E134)),"","Dado base inválido")</f>
        <v/>
      </c>
    </row>
    <row r="135" spans="2:6" x14ac:dyDescent="0.3">
      <c r="B135">
        <v>133</v>
      </c>
      <c r="C135" s="144"/>
      <c r="D135" s="144"/>
      <c r="E135" s="144"/>
      <c r="F135" s="48" t="str">
        <f>IF(OR(COUNTIF('Filtro Dado base'!$A$2:$A$176,Campos!E135)&gt;0,ISBLANK(E135)),"","Dado base inválido")</f>
        <v/>
      </c>
    </row>
    <row r="136" spans="2:6" x14ac:dyDescent="0.3">
      <c r="B136">
        <v>134</v>
      </c>
      <c r="C136" s="144"/>
      <c r="D136" s="144"/>
      <c r="E136" s="144"/>
      <c r="F136" s="48" t="str">
        <f>IF(OR(COUNTIF('Filtro Dado base'!$A$2:$A$176,Campos!E136)&gt;0,ISBLANK(E136)),"","Dado base inválido")</f>
        <v/>
      </c>
    </row>
    <row r="137" spans="2:6" x14ac:dyDescent="0.3">
      <c r="B137">
        <v>135</v>
      </c>
      <c r="C137" s="144"/>
      <c r="D137" s="144"/>
      <c r="E137" s="144"/>
      <c r="F137" s="48" t="str">
        <f>IF(OR(COUNTIF('Filtro Dado base'!$A$2:$A$176,Campos!E137)&gt;0,ISBLANK(E137)),"","Dado base inválido")</f>
        <v/>
      </c>
    </row>
    <row r="138" spans="2:6" x14ac:dyDescent="0.3">
      <c r="B138">
        <v>136</v>
      </c>
      <c r="C138" s="144"/>
      <c r="D138" s="144"/>
      <c r="E138" s="144"/>
      <c r="F138" s="48" t="str">
        <f>IF(OR(COUNTIF('Filtro Dado base'!$A$2:$A$176,Campos!E138)&gt;0,ISBLANK(E138)),"","Dado base inválido")</f>
        <v/>
      </c>
    </row>
    <row r="139" spans="2:6" x14ac:dyDescent="0.3">
      <c r="B139">
        <v>137</v>
      </c>
      <c r="C139" s="144"/>
      <c r="D139" s="144"/>
      <c r="E139" s="144"/>
      <c r="F139" s="48" t="str">
        <f>IF(OR(COUNTIF('Filtro Dado base'!$A$2:$A$176,Campos!E139)&gt;0,ISBLANK(E139)),"","Dado base inválido")</f>
        <v/>
      </c>
    </row>
    <row r="140" spans="2:6" x14ac:dyDescent="0.3">
      <c r="B140">
        <v>138</v>
      </c>
      <c r="C140" s="144"/>
      <c r="D140" s="144"/>
      <c r="E140" s="144"/>
      <c r="F140" s="48" t="str">
        <f>IF(OR(COUNTIF('Filtro Dado base'!$A$2:$A$176,Campos!E140)&gt;0,ISBLANK(E140)),"","Dado base inválido")</f>
        <v/>
      </c>
    </row>
    <row r="141" spans="2:6" x14ac:dyDescent="0.3">
      <c r="B141">
        <v>139</v>
      </c>
      <c r="C141" s="144"/>
      <c r="D141" s="144"/>
      <c r="E141" s="144"/>
      <c r="F141" s="48" t="str">
        <f>IF(OR(COUNTIF('Filtro Dado base'!$A$2:$A$176,Campos!E141)&gt;0,ISBLANK(E141)),"","Dado base inválido")</f>
        <v/>
      </c>
    </row>
    <row r="142" spans="2:6" x14ac:dyDescent="0.3">
      <c r="B142">
        <v>140</v>
      </c>
      <c r="C142" s="144"/>
      <c r="D142" s="144"/>
      <c r="E142" s="144"/>
      <c r="F142" s="48" t="str">
        <f>IF(OR(COUNTIF('Filtro Dado base'!$A$2:$A$176,Campos!E142)&gt;0,ISBLANK(E142)),"","Dado base inválido")</f>
        <v/>
      </c>
    </row>
    <row r="143" spans="2:6" x14ac:dyDescent="0.3">
      <c r="B143">
        <v>141</v>
      </c>
      <c r="C143" s="144"/>
      <c r="D143" s="144"/>
      <c r="E143" s="144"/>
      <c r="F143" s="48" t="str">
        <f>IF(OR(COUNTIF('Filtro Dado base'!$A$2:$A$176,Campos!E143)&gt;0,ISBLANK(E143)),"","Dado base inválido")</f>
        <v/>
      </c>
    </row>
    <row r="144" spans="2:6" x14ac:dyDescent="0.3">
      <c r="B144">
        <v>142</v>
      </c>
      <c r="C144" s="144"/>
      <c r="D144" s="144"/>
      <c r="E144" s="144"/>
      <c r="F144" s="48" t="str">
        <f>IF(OR(COUNTIF('Filtro Dado base'!$A$2:$A$176,Campos!E144)&gt;0,ISBLANK(E144)),"","Dado base inválido")</f>
        <v/>
      </c>
    </row>
    <row r="145" spans="2:6" x14ac:dyDescent="0.3">
      <c r="B145">
        <v>143</v>
      </c>
      <c r="C145" s="144"/>
      <c r="D145" s="144"/>
      <c r="E145" s="144"/>
      <c r="F145" s="48" t="str">
        <f>IF(OR(COUNTIF('Filtro Dado base'!$A$2:$A$176,Campos!E145)&gt;0,ISBLANK(E145)),"","Dado base inválido")</f>
        <v/>
      </c>
    </row>
    <row r="146" spans="2:6" x14ac:dyDescent="0.3">
      <c r="B146">
        <v>144</v>
      </c>
      <c r="C146" s="144"/>
      <c r="D146" s="144"/>
      <c r="E146" s="144"/>
      <c r="F146" s="48" t="str">
        <f>IF(OR(COUNTIF('Filtro Dado base'!$A$2:$A$176,Campos!E146)&gt;0,ISBLANK(E146)),"","Dado base inválido")</f>
        <v/>
      </c>
    </row>
    <row r="147" spans="2:6" x14ac:dyDescent="0.3">
      <c r="B147">
        <v>145</v>
      </c>
      <c r="C147" s="144"/>
      <c r="D147" s="144"/>
      <c r="E147" s="144"/>
      <c r="F147" s="48" t="str">
        <f>IF(OR(COUNTIF('Filtro Dado base'!$A$2:$A$176,Campos!E147)&gt;0,ISBLANK(E147)),"","Dado base inválido")</f>
        <v/>
      </c>
    </row>
    <row r="148" spans="2:6" x14ac:dyDescent="0.3">
      <c r="B148">
        <v>146</v>
      </c>
      <c r="C148" s="144"/>
      <c r="D148" s="144"/>
      <c r="E148" s="144"/>
      <c r="F148" s="48" t="str">
        <f>IF(OR(COUNTIF('Filtro Dado base'!$A$2:$A$176,Campos!E148)&gt;0,ISBLANK(E148)),"","Dado base inválido")</f>
        <v/>
      </c>
    </row>
    <row r="149" spans="2:6" x14ac:dyDescent="0.3">
      <c r="B149">
        <v>147</v>
      </c>
      <c r="C149" s="144"/>
      <c r="D149" s="144"/>
      <c r="E149" s="144"/>
      <c r="F149" s="48" t="str">
        <f>IF(OR(COUNTIF('Filtro Dado base'!$A$2:$A$176,Campos!E149)&gt;0,ISBLANK(E149)),"","Dado base inválido")</f>
        <v/>
      </c>
    </row>
    <row r="150" spans="2:6" x14ac:dyDescent="0.3">
      <c r="B150">
        <v>148</v>
      </c>
      <c r="C150" s="144"/>
      <c r="D150" s="144"/>
      <c r="E150" s="144"/>
      <c r="F150" s="48" t="str">
        <f>IF(OR(COUNTIF('Filtro Dado base'!$A$2:$A$176,Campos!E150)&gt;0,ISBLANK(E150)),"","Dado base inválido")</f>
        <v/>
      </c>
    </row>
    <row r="151" spans="2:6" x14ac:dyDescent="0.3">
      <c r="B151">
        <v>149</v>
      </c>
      <c r="C151" s="144"/>
      <c r="D151" s="144"/>
      <c r="E151" s="144"/>
      <c r="F151" s="48" t="str">
        <f>IF(OR(COUNTIF('Filtro Dado base'!$A$2:$A$176,Campos!E151)&gt;0,ISBLANK(E151)),"","Dado base inválido")</f>
        <v/>
      </c>
    </row>
    <row r="152" spans="2:6" x14ac:dyDescent="0.3">
      <c r="B152">
        <v>150</v>
      </c>
      <c r="C152" s="144"/>
      <c r="D152" s="144"/>
      <c r="E152" s="144"/>
      <c r="F152" s="48" t="str">
        <f>IF(OR(COUNTIF('Filtro Dado base'!$A$2:$A$176,Campos!E152)&gt;0,ISBLANK(E152)),"","Dado base inválido")</f>
        <v/>
      </c>
    </row>
    <row r="153" spans="2:6" x14ac:dyDescent="0.3">
      <c r="B153">
        <v>151</v>
      </c>
      <c r="C153" s="144"/>
      <c r="D153" s="144"/>
      <c r="E153" s="144"/>
      <c r="F153" s="48" t="str">
        <f>IF(OR(COUNTIF('Filtro Dado base'!$A$2:$A$176,Campos!E153)&gt;0,ISBLANK(E153)),"","Dado base inválido")</f>
        <v/>
      </c>
    </row>
    <row r="154" spans="2:6" x14ac:dyDescent="0.3">
      <c r="B154">
        <v>152</v>
      </c>
      <c r="C154" s="144"/>
      <c r="D154" s="144"/>
      <c r="E154" s="144"/>
      <c r="F154" s="48" t="str">
        <f>IF(OR(COUNTIF('Filtro Dado base'!$A$2:$A$176,Campos!E154)&gt;0,ISBLANK(E154)),"","Dado base inválido")</f>
        <v/>
      </c>
    </row>
    <row r="155" spans="2:6" x14ac:dyDescent="0.3">
      <c r="B155">
        <v>153</v>
      </c>
      <c r="C155" s="144"/>
      <c r="D155" s="144"/>
      <c r="E155" s="144"/>
      <c r="F155" s="48" t="str">
        <f>IF(OR(COUNTIF('Filtro Dado base'!$A$2:$A$176,Campos!E155)&gt;0,ISBLANK(E155)),"","Dado base inválido")</f>
        <v/>
      </c>
    </row>
    <row r="156" spans="2:6" x14ac:dyDescent="0.3">
      <c r="B156">
        <v>154</v>
      </c>
      <c r="C156" s="144"/>
      <c r="D156" s="144"/>
      <c r="E156" s="144"/>
      <c r="F156" s="48" t="str">
        <f>IF(OR(COUNTIF('Filtro Dado base'!$A$2:$A$176,Campos!E156)&gt;0,ISBLANK(E156)),"","Dado base inválido")</f>
        <v/>
      </c>
    </row>
    <row r="157" spans="2:6" x14ac:dyDescent="0.3">
      <c r="B157">
        <v>155</v>
      </c>
      <c r="C157" s="144"/>
      <c r="D157" s="144"/>
      <c r="E157" s="144"/>
      <c r="F157" s="48" t="str">
        <f>IF(OR(COUNTIF('Filtro Dado base'!$A$2:$A$176,Campos!E157)&gt;0,ISBLANK(E157)),"","Dado base inválido")</f>
        <v/>
      </c>
    </row>
    <row r="158" spans="2:6" x14ac:dyDescent="0.3">
      <c r="B158">
        <v>156</v>
      </c>
      <c r="C158" s="144"/>
      <c r="D158" s="144"/>
      <c r="E158" s="144"/>
      <c r="F158" s="48" t="str">
        <f>IF(OR(COUNTIF('Filtro Dado base'!$A$2:$A$176,Campos!E158)&gt;0,ISBLANK(E158)),"","Dado base inválido")</f>
        <v/>
      </c>
    </row>
    <row r="159" spans="2:6" x14ac:dyDescent="0.3">
      <c r="B159">
        <v>157</v>
      </c>
      <c r="C159" s="144"/>
      <c r="D159" s="144"/>
      <c r="E159" s="144"/>
      <c r="F159" s="48" t="str">
        <f>IF(OR(COUNTIF('Filtro Dado base'!$A$2:$A$176,Campos!E159)&gt;0,ISBLANK(E159)),"","Dado base inválido")</f>
        <v/>
      </c>
    </row>
    <row r="160" spans="2:6" x14ac:dyDescent="0.3">
      <c r="B160">
        <v>158</v>
      </c>
      <c r="C160" s="144"/>
      <c r="D160" s="144"/>
      <c r="E160" s="144"/>
      <c r="F160" s="48" t="str">
        <f>IF(OR(COUNTIF('Filtro Dado base'!$A$2:$A$176,Campos!E160)&gt;0,ISBLANK(E160)),"","Dado base inválido")</f>
        <v/>
      </c>
    </row>
    <row r="161" spans="2:6" x14ac:dyDescent="0.3">
      <c r="B161">
        <v>159</v>
      </c>
      <c r="C161" s="144"/>
      <c r="D161" s="144"/>
      <c r="E161" s="144"/>
      <c r="F161" s="48" t="str">
        <f>IF(OR(COUNTIF('Filtro Dado base'!$A$2:$A$176,Campos!E161)&gt;0,ISBLANK(E161)),"","Dado base inválido")</f>
        <v/>
      </c>
    </row>
    <row r="162" spans="2:6" x14ac:dyDescent="0.3">
      <c r="B162">
        <v>160</v>
      </c>
      <c r="C162" s="144"/>
      <c r="D162" s="144"/>
      <c r="E162" s="144"/>
      <c r="F162" s="48" t="str">
        <f>IF(OR(COUNTIF('Filtro Dado base'!$A$2:$A$176,Campos!E162)&gt;0,ISBLANK(E162)),"","Dado base inválido")</f>
        <v/>
      </c>
    </row>
    <row r="163" spans="2:6" x14ac:dyDescent="0.3">
      <c r="B163">
        <v>161</v>
      </c>
      <c r="C163" s="144"/>
      <c r="D163" s="144"/>
      <c r="E163" s="144"/>
      <c r="F163" s="48" t="str">
        <f>IF(OR(COUNTIF('Filtro Dado base'!$A$2:$A$176,Campos!E163)&gt;0,ISBLANK(E163)),"","Dado base inválido")</f>
        <v/>
      </c>
    </row>
    <row r="164" spans="2:6" x14ac:dyDescent="0.3">
      <c r="B164">
        <v>162</v>
      </c>
      <c r="C164" s="144"/>
      <c r="D164" s="144"/>
      <c r="E164" s="144"/>
      <c r="F164" s="48" t="str">
        <f>IF(OR(COUNTIF('Filtro Dado base'!$A$2:$A$176,Campos!E164)&gt;0,ISBLANK(E164)),"","Dado base inválido")</f>
        <v/>
      </c>
    </row>
    <row r="165" spans="2:6" x14ac:dyDescent="0.3">
      <c r="B165">
        <v>163</v>
      </c>
      <c r="C165" s="144"/>
      <c r="D165" s="144"/>
      <c r="E165" s="144"/>
      <c r="F165" s="48" t="str">
        <f>IF(OR(COUNTIF('Filtro Dado base'!$A$2:$A$176,Campos!E165)&gt;0,ISBLANK(E165)),"","Dado base inválido")</f>
        <v/>
      </c>
    </row>
    <row r="166" spans="2:6" x14ac:dyDescent="0.3">
      <c r="B166">
        <v>164</v>
      </c>
      <c r="C166" s="144"/>
      <c r="D166" s="144"/>
      <c r="E166" s="144"/>
      <c r="F166" s="48" t="str">
        <f>IF(OR(COUNTIF('Filtro Dado base'!$A$2:$A$176,Campos!E166)&gt;0,ISBLANK(E166)),"","Dado base inválido")</f>
        <v/>
      </c>
    </row>
    <row r="167" spans="2:6" x14ac:dyDescent="0.3">
      <c r="B167">
        <v>165</v>
      </c>
      <c r="C167" s="144"/>
      <c r="D167" s="144"/>
      <c r="E167" s="144"/>
      <c r="F167" s="48" t="str">
        <f>IF(OR(COUNTIF('Filtro Dado base'!$A$2:$A$176,Campos!E167)&gt;0,ISBLANK(E167)),"","Dado base inválido")</f>
        <v/>
      </c>
    </row>
    <row r="168" spans="2:6" x14ac:dyDescent="0.3">
      <c r="B168">
        <v>166</v>
      </c>
      <c r="C168" s="144"/>
      <c r="D168" s="144"/>
      <c r="E168" s="144"/>
      <c r="F168" s="48" t="str">
        <f>IF(OR(COUNTIF('Filtro Dado base'!$A$2:$A$176,Campos!E168)&gt;0,ISBLANK(E168)),"","Dado base inválido")</f>
        <v/>
      </c>
    </row>
    <row r="169" spans="2:6" x14ac:dyDescent="0.3">
      <c r="B169">
        <v>167</v>
      </c>
      <c r="C169" s="144"/>
      <c r="D169" s="144"/>
      <c r="E169" s="144"/>
      <c r="F169" s="48" t="str">
        <f>IF(OR(COUNTIF('Filtro Dado base'!$A$2:$A$176,Campos!E169)&gt;0,ISBLANK(E169)),"","Dado base inválido")</f>
        <v/>
      </c>
    </row>
    <row r="170" spans="2:6" x14ac:dyDescent="0.3">
      <c r="B170">
        <v>168</v>
      </c>
      <c r="C170" s="144"/>
      <c r="D170" s="144"/>
      <c r="E170" s="144"/>
      <c r="F170" s="48" t="str">
        <f>IF(OR(COUNTIF('Filtro Dado base'!$A$2:$A$176,Campos!E170)&gt;0,ISBLANK(E170)),"","Dado base inválido")</f>
        <v/>
      </c>
    </row>
    <row r="171" spans="2:6" x14ac:dyDescent="0.3">
      <c r="B171">
        <v>169</v>
      </c>
      <c r="C171" s="144"/>
      <c r="D171" s="144"/>
      <c r="E171" s="144"/>
      <c r="F171" s="48" t="str">
        <f>IF(OR(COUNTIF('Filtro Dado base'!$A$2:$A$176,Campos!E171)&gt;0,ISBLANK(E171)),"","Dado base inválido")</f>
        <v/>
      </c>
    </row>
    <row r="172" spans="2:6" x14ac:dyDescent="0.3">
      <c r="B172">
        <v>170</v>
      </c>
      <c r="C172" s="144"/>
      <c r="D172" s="144"/>
      <c r="E172" s="144"/>
      <c r="F172" s="48" t="str">
        <f>IF(OR(COUNTIF('Filtro Dado base'!$A$2:$A$176,Campos!E172)&gt;0,ISBLANK(E172)),"","Dado base inválido")</f>
        <v/>
      </c>
    </row>
  </sheetData>
  <sheetProtection algorithmName="SHA-512" hashValue="SAgbvpThsAAU6ET0NIcw1oITA6xyjS2NdXJowK2gpdiWRR7nAvRieu41+i+FR7wz9obeeIwfFygHGhtaYPT3CQ==" saltValue="7u27UzkwFCiYxzzVW25JhA==" spinCount="100000" sheet="1" objects="1" scenarios="1" insertRows="0"/>
  <protectedRanges>
    <protectedRange sqref="C3:E172" name="Campos"/>
  </protectedRanges>
  <mergeCells count="1">
    <mergeCell ref="C1:E1"/>
  </mergeCells>
  <conditionalFormatting sqref="D5">
    <cfRule type="duplicateValues" dxfId="79" priority="115"/>
  </conditionalFormatting>
  <conditionalFormatting sqref="E10">
    <cfRule type="duplicateValues" dxfId="78" priority="71"/>
  </conditionalFormatting>
  <conditionalFormatting sqref="E16">
    <cfRule type="duplicateValues" dxfId="77" priority="109"/>
  </conditionalFormatting>
  <conditionalFormatting sqref="E17">
    <cfRule type="duplicateValues" dxfId="76" priority="112"/>
  </conditionalFormatting>
  <conditionalFormatting sqref="E18">
    <cfRule type="duplicateValues" dxfId="75" priority="111"/>
  </conditionalFormatting>
  <conditionalFormatting sqref="E19">
    <cfRule type="duplicateValues" dxfId="74" priority="66"/>
  </conditionalFormatting>
  <conditionalFormatting sqref="E20">
    <cfRule type="duplicateValues" dxfId="73" priority="65"/>
  </conditionalFormatting>
  <conditionalFormatting sqref="E21">
    <cfRule type="duplicateValues" dxfId="72" priority="64"/>
  </conditionalFormatting>
  <conditionalFormatting sqref="E22">
    <cfRule type="duplicateValues" dxfId="71" priority="55"/>
  </conditionalFormatting>
  <conditionalFormatting sqref="E23">
    <cfRule type="duplicateValues" dxfId="70" priority="63"/>
  </conditionalFormatting>
  <conditionalFormatting sqref="E24">
    <cfRule type="duplicateValues" dxfId="69" priority="95"/>
  </conditionalFormatting>
  <conditionalFormatting sqref="E25:E28 E34:E35">
    <cfRule type="duplicateValues" dxfId="68" priority="54"/>
  </conditionalFormatting>
  <conditionalFormatting sqref="E29">
    <cfRule type="duplicateValues" dxfId="67" priority="9"/>
  </conditionalFormatting>
  <conditionalFormatting sqref="E30">
    <cfRule type="duplicateValues" dxfId="66" priority="8"/>
  </conditionalFormatting>
  <conditionalFormatting sqref="E31">
    <cfRule type="duplicateValues" dxfId="65" priority="7"/>
  </conditionalFormatting>
  <conditionalFormatting sqref="E32">
    <cfRule type="duplicateValues" dxfId="64" priority="6"/>
  </conditionalFormatting>
  <conditionalFormatting sqref="E33">
    <cfRule type="duplicateValues" dxfId="63" priority="5"/>
  </conditionalFormatting>
  <conditionalFormatting sqref="E34 E38:E40">
    <cfRule type="duplicateValues" dxfId="62" priority="23"/>
  </conditionalFormatting>
  <conditionalFormatting sqref="E37">
    <cfRule type="duplicateValues" dxfId="61" priority="53"/>
  </conditionalFormatting>
  <conditionalFormatting sqref="E38">
    <cfRule type="duplicateValues" dxfId="60" priority="105"/>
    <cfRule type="duplicateValues" dxfId="59" priority="90"/>
    <cfRule type="duplicateValues" dxfId="58" priority="113"/>
  </conditionalFormatting>
  <conditionalFormatting sqref="E39">
    <cfRule type="duplicateValues" dxfId="57" priority="101"/>
    <cfRule type="duplicateValues" dxfId="56" priority="91"/>
    <cfRule type="duplicateValues" dxfId="55" priority="96"/>
    <cfRule type="duplicateValues" dxfId="54" priority="114"/>
  </conditionalFormatting>
  <conditionalFormatting sqref="E40">
    <cfRule type="duplicateValues" dxfId="53" priority="49"/>
    <cfRule type="duplicateValues" dxfId="52" priority="47"/>
    <cfRule type="duplicateValues" dxfId="51" priority="50"/>
    <cfRule type="duplicateValues" dxfId="50" priority="48"/>
  </conditionalFormatting>
  <conditionalFormatting sqref="E41">
    <cfRule type="duplicateValues" dxfId="49" priority="46"/>
  </conditionalFormatting>
  <conditionalFormatting sqref="E42">
    <cfRule type="duplicateValues" dxfId="48" priority="22"/>
    <cfRule type="duplicateValues" dxfId="47" priority="52"/>
  </conditionalFormatting>
  <conditionalFormatting sqref="E43">
    <cfRule type="duplicateValues" dxfId="46" priority="24"/>
    <cfRule type="duplicateValues" dxfId="45" priority="99"/>
    <cfRule type="duplicateValues" dxfId="44" priority="28"/>
    <cfRule type="duplicateValues" dxfId="43" priority="29"/>
    <cfRule type="duplicateValues" dxfId="42" priority="100"/>
  </conditionalFormatting>
  <conditionalFormatting sqref="E44 E48:E50">
    <cfRule type="duplicateValues" dxfId="41" priority="38"/>
  </conditionalFormatting>
  <conditionalFormatting sqref="E44">
    <cfRule type="duplicateValues" dxfId="40" priority="30"/>
    <cfRule type="duplicateValues" dxfId="39" priority="27"/>
    <cfRule type="duplicateValues" dxfId="38" priority="26"/>
    <cfRule type="duplicateValues" dxfId="37" priority="25"/>
  </conditionalFormatting>
  <conditionalFormatting sqref="E45">
    <cfRule type="duplicateValues" dxfId="36" priority="20"/>
    <cfRule type="duplicateValues" dxfId="35" priority="19"/>
    <cfRule type="duplicateValues" dxfId="34" priority="18"/>
    <cfRule type="duplicateValues" dxfId="33" priority="17"/>
  </conditionalFormatting>
  <conditionalFormatting sqref="E46">
    <cfRule type="duplicateValues" dxfId="32" priority="1"/>
    <cfRule type="duplicateValues" dxfId="31" priority="4"/>
    <cfRule type="duplicateValues" dxfId="30" priority="3"/>
    <cfRule type="duplicateValues" dxfId="29" priority="2"/>
  </conditionalFormatting>
  <conditionalFormatting sqref="E47">
    <cfRule type="duplicateValues" dxfId="28" priority="21"/>
  </conditionalFormatting>
  <conditionalFormatting sqref="E52">
    <cfRule type="duplicateValues" dxfId="27" priority="37"/>
  </conditionalFormatting>
  <conditionalFormatting sqref="E53">
    <cfRule type="duplicateValues" dxfId="26" priority="39"/>
    <cfRule type="duplicateValues" dxfId="25" priority="43"/>
    <cfRule type="duplicateValues" dxfId="24" priority="44"/>
  </conditionalFormatting>
  <conditionalFormatting sqref="E54">
    <cfRule type="duplicateValues" dxfId="23" priority="40"/>
    <cfRule type="duplicateValues" dxfId="22" priority="42"/>
    <cfRule type="duplicateValues" dxfId="21" priority="41"/>
    <cfRule type="duplicateValues" dxfId="20" priority="45"/>
  </conditionalFormatting>
  <conditionalFormatting sqref="E55">
    <cfRule type="duplicateValues" dxfId="19" priority="33"/>
    <cfRule type="duplicateValues" dxfId="18" priority="35"/>
    <cfRule type="duplicateValues" dxfId="17" priority="34"/>
    <cfRule type="duplicateValues" dxfId="16" priority="32"/>
  </conditionalFormatting>
  <conditionalFormatting sqref="E56">
    <cfRule type="duplicateValues" dxfId="15" priority="31"/>
  </conditionalFormatting>
  <conditionalFormatting sqref="E57">
    <cfRule type="duplicateValues" dxfId="14" priority="36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DropDown="1" showErrorMessage="1" errorTitle="Dado inválido" error="Seleccine um dado da pestana de Dados Base" xr:uid="{00000000-0002-0000-0100-000000000000}">
          <x14:formula1>
            <xm:f>'Filtro Dado base'!$A$2:$A$176</xm:f>
          </x14:formula1>
          <xm:sqref>E3:E172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 tint="0.79998168889431442"/>
  </sheetPr>
  <dimension ref="A1:E45"/>
  <sheetViews>
    <sheetView showGridLines="0" showRowColHeaders="0" workbookViewId="0">
      <pane ySplit="1" topLeftCell="A2" activePane="bottomLeft" state="frozen"/>
      <selection pane="bottomLeft" activeCell="A2" sqref="A2"/>
    </sheetView>
  </sheetViews>
  <sheetFormatPr defaultColWidth="0" defaultRowHeight="14.4" zeroHeight="1" x14ac:dyDescent="0.3"/>
  <cols>
    <col min="1" max="1" width="5.5546875" customWidth="1"/>
    <col min="2" max="2" width="28.109375" style="44" customWidth="1"/>
    <col min="3" max="3" width="68.44140625" style="44" customWidth="1"/>
    <col min="4" max="4" width="80.5546875" customWidth="1"/>
    <col min="5" max="5" width="5.5546875" customWidth="1"/>
    <col min="6" max="16384" width="9.109375" hidden="1"/>
  </cols>
  <sheetData>
    <row r="1" spans="1:5" ht="28.8" x14ac:dyDescent="0.3">
      <c r="A1" s="38"/>
      <c r="B1" s="201" t="s">
        <v>66</v>
      </c>
      <c r="C1" s="201"/>
      <c r="D1" s="39" t="s">
        <v>67</v>
      </c>
      <c r="E1" s="40" t="s">
        <v>50</v>
      </c>
    </row>
    <row r="2" spans="1:5" ht="31.8" thickBot="1" x14ac:dyDescent="0.35">
      <c r="B2" s="202" t="s">
        <v>68</v>
      </c>
      <c r="C2" s="41" t="s">
        <v>69</v>
      </c>
      <c r="D2" s="41" t="s">
        <v>70</v>
      </c>
    </row>
    <row r="3" spans="1:5" ht="16.2" thickBot="1" x14ac:dyDescent="0.35">
      <c r="B3" s="200"/>
      <c r="C3" s="42" t="s">
        <v>71</v>
      </c>
      <c r="D3" s="42" t="s">
        <v>72</v>
      </c>
    </row>
    <row r="4" spans="1:5" ht="16.2" thickBot="1" x14ac:dyDescent="0.35">
      <c r="B4" s="200"/>
      <c r="C4" s="42" t="s">
        <v>73</v>
      </c>
      <c r="D4" s="42" t="s">
        <v>74</v>
      </c>
    </row>
    <row r="5" spans="1:5" ht="16.2" thickBot="1" x14ac:dyDescent="0.35">
      <c r="B5" s="200" t="s">
        <v>75</v>
      </c>
      <c r="C5" s="42" t="s">
        <v>76</v>
      </c>
      <c r="D5" s="42" t="s">
        <v>77</v>
      </c>
    </row>
    <row r="6" spans="1:5" ht="16.2" thickBot="1" x14ac:dyDescent="0.35">
      <c r="B6" s="200"/>
      <c r="C6" s="42" t="s">
        <v>78</v>
      </c>
      <c r="D6" s="42" t="s">
        <v>79</v>
      </c>
    </row>
    <row r="7" spans="1:5" ht="16.2" thickBot="1" x14ac:dyDescent="0.35">
      <c r="B7" s="200"/>
      <c r="C7" s="42" t="s">
        <v>80</v>
      </c>
      <c r="D7" s="42" t="s">
        <v>81</v>
      </c>
    </row>
    <row r="8" spans="1:5" ht="16.2" thickBot="1" x14ac:dyDescent="0.35">
      <c r="B8" s="200"/>
      <c r="C8" s="42" t="s">
        <v>82</v>
      </c>
      <c r="D8" s="42" t="s">
        <v>83</v>
      </c>
    </row>
    <row r="9" spans="1:5" ht="16.2" thickBot="1" x14ac:dyDescent="0.35">
      <c r="B9" s="200"/>
      <c r="C9" s="42" t="s">
        <v>84</v>
      </c>
      <c r="D9" s="42" t="s">
        <v>85</v>
      </c>
    </row>
    <row r="10" spans="1:5" ht="16.2" thickBot="1" x14ac:dyDescent="0.35">
      <c r="B10" s="200"/>
      <c r="C10" s="42" t="s">
        <v>86</v>
      </c>
      <c r="D10" s="42" t="s">
        <v>87</v>
      </c>
    </row>
    <row r="11" spans="1:5" ht="31.8" thickBot="1" x14ac:dyDescent="0.35">
      <c r="B11" s="200"/>
      <c r="C11" s="42" t="s">
        <v>88</v>
      </c>
      <c r="D11" s="42" t="s">
        <v>89</v>
      </c>
    </row>
    <row r="12" spans="1:5" ht="16.2" thickBot="1" x14ac:dyDescent="0.35">
      <c r="B12" s="200"/>
      <c r="C12" s="42" t="s">
        <v>90</v>
      </c>
      <c r="D12" s="42" t="s">
        <v>91</v>
      </c>
    </row>
    <row r="13" spans="1:5" ht="16.2" thickBot="1" x14ac:dyDescent="0.35">
      <c r="B13" s="200"/>
      <c r="C13" s="42" t="s">
        <v>92</v>
      </c>
      <c r="D13" s="42" t="s">
        <v>93</v>
      </c>
    </row>
    <row r="14" spans="1:5" ht="16.5" customHeight="1" thickBot="1" x14ac:dyDescent="0.35">
      <c r="B14" s="200" t="s">
        <v>94</v>
      </c>
      <c r="C14" s="42" t="s">
        <v>95</v>
      </c>
      <c r="D14" s="42" t="s">
        <v>96</v>
      </c>
    </row>
    <row r="15" spans="1:5" ht="31.8" thickBot="1" x14ac:dyDescent="0.35">
      <c r="B15" s="200"/>
      <c r="C15" s="42" t="s">
        <v>97</v>
      </c>
      <c r="D15" s="42" t="s">
        <v>98</v>
      </c>
    </row>
    <row r="16" spans="1:5" ht="31.8" thickBot="1" x14ac:dyDescent="0.35">
      <c r="B16" s="200"/>
      <c r="C16" s="42" t="s">
        <v>99</v>
      </c>
      <c r="D16" s="42" t="s">
        <v>100</v>
      </c>
    </row>
    <row r="17" spans="2:4" ht="16.5" customHeight="1" thickBot="1" x14ac:dyDescent="0.35">
      <c r="B17" s="200"/>
      <c r="C17" s="42" t="s">
        <v>101</v>
      </c>
      <c r="D17" s="42" t="s">
        <v>102</v>
      </c>
    </row>
    <row r="18" spans="2:4" ht="16.2" thickBot="1" x14ac:dyDescent="0.35">
      <c r="B18" s="200"/>
      <c r="C18" s="42" t="s">
        <v>103</v>
      </c>
      <c r="D18" s="42" t="s">
        <v>104</v>
      </c>
    </row>
    <row r="19" spans="2:4" ht="31.8" thickBot="1" x14ac:dyDescent="0.35">
      <c r="B19" s="200"/>
      <c r="C19" s="42" t="s">
        <v>105</v>
      </c>
      <c r="D19" s="42" t="s">
        <v>106</v>
      </c>
    </row>
    <row r="20" spans="2:4" ht="16.5" customHeight="1" thickBot="1" x14ac:dyDescent="0.35">
      <c r="B20" s="200"/>
      <c r="C20" s="42" t="s">
        <v>107</v>
      </c>
      <c r="D20" s="42" t="s">
        <v>108</v>
      </c>
    </row>
    <row r="21" spans="2:4" ht="16.5" customHeight="1" thickBot="1" x14ac:dyDescent="0.35">
      <c r="B21" s="200"/>
      <c r="C21" s="42" t="s">
        <v>109</v>
      </c>
      <c r="D21" s="42" t="s">
        <v>110</v>
      </c>
    </row>
    <row r="22" spans="2:4" ht="15.75" customHeight="1" thickBot="1" x14ac:dyDescent="0.35">
      <c r="B22" s="200"/>
      <c r="C22" s="42" t="s">
        <v>111</v>
      </c>
      <c r="D22" s="42" t="s">
        <v>112</v>
      </c>
    </row>
    <row r="23" spans="2:4" ht="16.5" customHeight="1" thickBot="1" x14ac:dyDescent="0.35">
      <c r="B23" s="200"/>
      <c r="C23" s="42" t="s">
        <v>113</v>
      </c>
      <c r="D23" s="42" t="s">
        <v>114</v>
      </c>
    </row>
    <row r="24" spans="2:4" ht="16.5" customHeight="1" thickBot="1" x14ac:dyDescent="0.35">
      <c r="B24" s="200"/>
      <c r="C24" s="42" t="s">
        <v>115</v>
      </c>
      <c r="D24" s="42" t="s">
        <v>116</v>
      </c>
    </row>
    <row r="25" spans="2:4" ht="31.8" thickBot="1" x14ac:dyDescent="0.35">
      <c r="B25" s="200"/>
      <c r="C25" s="42" t="s">
        <v>117</v>
      </c>
      <c r="D25" s="42" t="s">
        <v>118</v>
      </c>
    </row>
    <row r="26" spans="2:4" ht="31.8" thickBot="1" x14ac:dyDescent="0.35">
      <c r="B26" s="200"/>
      <c r="C26" s="42" t="s">
        <v>119</v>
      </c>
      <c r="D26" s="42" t="s">
        <v>120</v>
      </c>
    </row>
    <row r="27" spans="2:4" ht="16.5" customHeight="1" thickBot="1" x14ac:dyDescent="0.35">
      <c r="B27" s="200"/>
      <c r="C27" s="42" t="s">
        <v>121</v>
      </c>
      <c r="D27" s="42" t="s">
        <v>122</v>
      </c>
    </row>
    <row r="28" spans="2:4" ht="15.75" customHeight="1" thickBot="1" x14ac:dyDescent="0.35">
      <c r="B28" s="200"/>
      <c r="C28" s="42" t="s">
        <v>123</v>
      </c>
      <c r="D28" s="42" t="s">
        <v>124</v>
      </c>
    </row>
    <row r="29" spans="2:4" ht="16.2" thickBot="1" x14ac:dyDescent="0.35">
      <c r="B29" s="200" t="s">
        <v>125</v>
      </c>
      <c r="C29" s="42" t="s">
        <v>126</v>
      </c>
      <c r="D29" s="42" t="s">
        <v>127</v>
      </c>
    </row>
    <row r="30" spans="2:4" ht="16.2" thickBot="1" x14ac:dyDescent="0.35">
      <c r="B30" s="200"/>
      <c r="C30" s="42" t="s">
        <v>128</v>
      </c>
      <c r="D30" s="42" t="s">
        <v>129</v>
      </c>
    </row>
    <row r="31" spans="2:4" ht="16.2" thickBot="1" x14ac:dyDescent="0.35">
      <c r="B31" s="200" t="s">
        <v>130</v>
      </c>
      <c r="C31" s="42" t="s">
        <v>131</v>
      </c>
      <c r="D31" s="42" t="s">
        <v>132</v>
      </c>
    </row>
    <row r="32" spans="2:4" ht="16.2" thickBot="1" x14ac:dyDescent="0.35">
      <c r="B32" s="200"/>
      <c r="C32" s="42" t="s">
        <v>133</v>
      </c>
      <c r="D32" s="42" t="s">
        <v>134</v>
      </c>
    </row>
    <row r="33" spans="2:4" ht="31.8" thickBot="1" x14ac:dyDescent="0.35">
      <c r="B33" s="200"/>
      <c r="C33" s="42" t="s">
        <v>135</v>
      </c>
      <c r="D33" s="42" t="s">
        <v>136</v>
      </c>
    </row>
    <row r="34" spans="2:4" ht="31.8" thickBot="1" x14ac:dyDescent="0.35">
      <c r="B34" s="200" t="s">
        <v>137</v>
      </c>
      <c r="C34" s="42" t="s">
        <v>138</v>
      </c>
      <c r="D34" s="42" t="s">
        <v>139</v>
      </c>
    </row>
    <row r="35" spans="2:4" ht="16.2" thickBot="1" x14ac:dyDescent="0.35">
      <c r="B35" s="200"/>
      <c r="C35" s="42" t="s">
        <v>140</v>
      </c>
      <c r="D35" s="42" t="s">
        <v>141</v>
      </c>
    </row>
    <row r="36" spans="2:4" ht="16.2" thickBot="1" x14ac:dyDescent="0.35">
      <c r="B36" s="200"/>
      <c r="C36" s="42" t="s">
        <v>142</v>
      </c>
      <c r="D36" s="42" t="s">
        <v>143</v>
      </c>
    </row>
    <row r="37" spans="2:4" ht="18.600000000000001" thickBot="1" x14ac:dyDescent="0.35">
      <c r="B37" s="43" t="s">
        <v>144</v>
      </c>
      <c r="C37" s="42" t="s">
        <v>145</v>
      </c>
      <c r="D37" s="42" t="s">
        <v>146</v>
      </c>
    </row>
    <row r="38" spans="2:4" ht="16.2" thickBot="1" x14ac:dyDescent="0.35">
      <c r="B38" s="200" t="s">
        <v>147</v>
      </c>
      <c r="C38" s="42" t="s">
        <v>148</v>
      </c>
      <c r="D38" s="42" t="s">
        <v>149</v>
      </c>
    </row>
    <row r="39" spans="2:4" ht="16.2" thickBot="1" x14ac:dyDescent="0.35">
      <c r="B39" s="200"/>
      <c r="C39" s="42" t="s">
        <v>150</v>
      </c>
      <c r="D39" s="42" t="s">
        <v>151</v>
      </c>
    </row>
    <row r="40" spans="2:4" ht="16.2" thickBot="1" x14ac:dyDescent="0.35">
      <c r="B40" s="200"/>
      <c r="C40" s="42" t="s">
        <v>152</v>
      </c>
      <c r="D40" s="42" t="s">
        <v>153</v>
      </c>
    </row>
    <row r="41" spans="2:4" ht="31.8" thickBot="1" x14ac:dyDescent="0.35">
      <c r="B41" s="200" t="s">
        <v>154</v>
      </c>
      <c r="C41" s="42" t="s">
        <v>155</v>
      </c>
      <c r="D41" s="42" t="s">
        <v>156</v>
      </c>
    </row>
    <row r="42" spans="2:4" ht="16.2" thickBot="1" x14ac:dyDescent="0.35">
      <c r="B42" s="200"/>
      <c r="C42" s="42" t="s">
        <v>157</v>
      </c>
      <c r="D42" s="42" t="s">
        <v>158</v>
      </c>
    </row>
    <row r="43" spans="2:4" ht="16.2" thickBot="1" x14ac:dyDescent="0.35">
      <c r="B43" s="200"/>
      <c r="C43" s="42" t="s">
        <v>159</v>
      </c>
      <c r="D43" s="42" t="s">
        <v>160</v>
      </c>
    </row>
    <row r="44" spans="2:4" x14ac:dyDescent="0.3"/>
    <row r="45" spans="2:4" x14ac:dyDescent="0.3"/>
  </sheetData>
  <sheetProtection algorithmName="SHA-512" hashValue="PUW9xNNxm4Qw57DiS9L4kzY7Cc+ZBUgON3L7dK5GMiFejxe5b6MDtSjLlt7dT7ljXNXFf1lRmc5uiVUAfUvZfA==" saltValue="R7jGvuzNUftCYDkT4g14dw==" spinCount="100000" sheet="1" objects="1" scenarios="1"/>
  <mergeCells count="9">
    <mergeCell ref="B34:B36"/>
    <mergeCell ref="B38:B40"/>
    <mergeCell ref="B41:B43"/>
    <mergeCell ref="B1:C1"/>
    <mergeCell ref="B2:B4"/>
    <mergeCell ref="B5:B13"/>
    <mergeCell ref="B14:B28"/>
    <mergeCell ref="B29:B30"/>
    <mergeCell ref="B31:B3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8" tint="0.79998168889431442"/>
  </sheetPr>
  <dimension ref="A1:R176"/>
  <sheetViews>
    <sheetView showGridLines="0" showRowColHeaders="0" tabSelected="1" zoomScaleNormal="100" workbookViewId="0">
      <pane ySplit="1" topLeftCell="A8" activePane="bottomLeft" state="frozen"/>
      <selection pane="bottomLeft" activeCell="D12" sqref="D12"/>
    </sheetView>
  </sheetViews>
  <sheetFormatPr defaultColWidth="0" defaultRowHeight="14.4" customHeight="1" x14ac:dyDescent="0.3"/>
  <cols>
    <col min="1" max="1" width="8.88671875" customWidth="1"/>
    <col min="2" max="2" width="43.6640625" customWidth="1"/>
    <col min="3" max="3" width="43.6640625" style="45" customWidth="1"/>
    <col min="4" max="4" width="36.44140625" style="45" customWidth="1"/>
    <col min="5" max="5" width="53.6640625" style="45" customWidth="1"/>
    <col min="6" max="6" width="8.88671875" customWidth="1"/>
    <col min="7" max="9" width="8.88671875" hidden="1" customWidth="1"/>
    <col min="10" max="10" width="0" hidden="1" customWidth="1"/>
    <col min="11" max="11" width="8.88671875" hidden="1" customWidth="1"/>
    <col min="12" max="12" width="0" hidden="1" customWidth="1"/>
    <col min="13" max="13" width="8.88671875" hidden="1" customWidth="1"/>
    <col min="14" max="14" width="0" hidden="1" customWidth="1"/>
    <col min="15" max="15" width="8.88671875" hidden="1" customWidth="1"/>
    <col min="16" max="18" width="0" hidden="1" customWidth="1"/>
    <col min="19" max="16384" width="8.88671875" hidden="1"/>
  </cols>
  <sheetData>
    <row r="1" spans="1:6" ht="14.4" customHeight="1" thickBot="1" x14ac:dyDescent="0.35">
      <c r="B1" s="56" t="s">
        <v>212</v>
      </c>
      <c r="C1" s="57" t="s">
        <v>212</v>
      </c>
      <c r="D1" s="58" t="s">
        <v>161</v>
      </c>
      <c r="E1" s="56" t="s">
        <v>162</v>
      </c>
    </row>
    <row r="2" spans="1:6" ht="14.4" customHeight="1" x14ac:dyDescent="0.3">
      <c r="A2" s="51"/>
      <c r="B2" s="59" t="s">
        <v>213</v>
      </c>
      <c r="C2" s="60" t="s">
        <v>294</v>
      </c>
      <c r="D2" s="61" t="s">
        <v>39</v>
      </c>
      <c r="E2" s="62" t="s">
        <v>301</v>
      </c>
    </row>
    <row r="3" spans="1:6" ht="14.4" customHeight="1" x14ac:dyDescent="0.3">
      <c r="A3" s="51"/>
      <c r="B3" s="63" t="s">
        <v>213</v>
      </c>
      <c r="C3" s="64" t="s">
        <v>294</v>
      </c>
      <c r="D3" s="65" t="s">
        <v>173</v>
      </c>
      <c r="E3" s="66" t="s">
        <v>202</v>
      </c>
    </row>
    <row r="4" spans="1:6" ht="14.4" customHeight="1" x14ac:dyDescent="0.3">
      <c r="A4" s="51"/>
      <c r="B4" s="63" t="s">
        <v>213</v>
      </c>
      <c r="C4" s="64" t="s">
        <v>294</v>
      </c>
      <c r="D4" s="65" t="s">
        <v>302</v>
      </c>
      <c r="E4" s="66" t="s">
        <v>432</v>
      </c>
    </row>
    <row r="5" spans="1:6" ht="14.4" customHeight="1" x14ac:dyDescent="0.3">
      <c r="A5" s="51"/>
      <c r="B5" s="63" t="s">
        <v>213</v>
      </c>
      <c r="C5" s="64" t="s">
        <v>294</v>
      </c>
      <c r="D5" s="65" t="s">
        <v>304</v>
      </c>
      <c r="E5" s="66" t="s">
        <v>305</v>
      </c>
    </row>
    <row r="6" spans="1:6" ht="14.4" customHeight="1" x14ac:dyDescent="0.3">
      <c r="A6" s="51"/>
      <c r="B6" s="63" t="s">
        <v>213</v>
      </c>
      <c r="C6" s="64" t="s">
        <v>294</v>
      </c>
      <c r="D6" s="65" t="s">
        <v>433</v>
      </c>
      <c r="E6" s="66" t="s">
        <v>203</v>
      </c>
    </row>
    <row r="7" spans="1:6" ht="14.4" customHeight="1" x14ac:dyDescent="0.3">
      <c r="A7" s="51"/>
      <c r="B7" s="67" t="s">
        <v>213</v>
      </c>
      <c r="C7" s="68" t="s">
        <v>294</v>
      </c>
      <c r="D7" s="69" t="s">
        <v>306</v>
      </c>
      <c r="E7" s="70" t="s">
        <v>307</v>
      </c>
    </row>
    <row r="8" spans="1:6" ht="14.4" customHeight="1" x14ac:dyDescent="0.3">
      <c r="A8" s="51"/>
      <c r="B8" s="71" t="s">
        <v>213</v>
      </c>
      <c r="C8" s="72" t="s">
        <v>214</v>
      </c>
      <c r="D8" s="73" t="s">
        <v>308</v>
      </c>
      <c r="E8" s="74" t="s">
        <v>309</v>
      </c>
    </row>
    <row r="9" spans="1:6" ht="14.4" customHeight="1" x14ac:dyDescent="0.3">
      <c r="A9" s="51"/>
      <c r="B9" s="63" t="s">
        <v>213</v>
      </c>
      <c r="C9" s="64" t="s">
        <v>214</v>
      </c>
      <c r="D9" s="65" t="s">
        <v>310</v>
      </c>
      <c r="E9" s="66" t="s">
        <v>303</v>
      </c>
    </row>
    <row r="10" spans="1:6" ht="14.4" customHeight="1" x14ac:dyDescent="0.3">
      <c r="A10" s="51"/>
      <c r="B10" s="63" t="s">
        <v>213</v>
      </c>
      <c r="C10" s="64" t="s">
        <v>214</v>
      </c>
      <c r="D10" s="65" t="s">
        <v>311</v>
      </c>
      <c r="E10" s="66" t="s">
        <v>312</v>
      </c>
      <c r="F10" s="50"/>
    </row>
    <row r="11" spans="1:6" ht="14.4" customHeight="1" x14ac:dyDescent="0.3">
      <c r="A11" s="51"/>
      <c r="B11" s="63" t="s">
        <v>213</v>
      </c>
      <c r="C11" s="64" t="s">
        <v>214</v>
      </c>
      <c r="D11" s="65" t="s">
        <v>313</v>
      </c>
      <c r="E11" s="66" t="s">
        <v>314</v>
      </c>
      <c r="F11" s="50"/>
    </row>
    <row r="12" spans="1:6" ht="14.4" customHeight="1" x14ac:dyDescent="0.3">
      <c r="A12" s="51"/>
      <c r="B12" s="63" t="s">
        <v>213</v>
      </c>
      <c r="C12" s="64" t="s">
        <v>214</v>
      </c>
      <c r="D12" s="65" t="s">
        <v>167</v>
      </c>
      <c r="E12" s="66" t="s">
        <v>285</v>
      </c>
    </row>
    <row r="13" spans="1:6" ht="14.4" customHeight="1" x14ac:dyDescent="0.3">
      <c r="A13" s="51"/>
      <c r="B13" s="63" t="s">
        <v>213</v>
      </c>
      <c r="C13" s="64" t="s">
        <v>214</v>
      </c>
      <c r="D13" s="65" t="s">
        <v>284</v>
      </c>
      <c r="E13" s="66" t="s">
        <v>286</v>
      </c>
    </row>
    <row r="14" spans="1:6" ht="14.4" customHeight="1" x14ac:dyDescent="0.3">
      <c r="A14" s="51"/>
      <c r="B14" s="63" t="s">
        <v>213</v>
      </c>
      <c r="C14" s="64" t="s">
        <v>214</v>
      </c>
      <c r="D14" s="65" t="s">
        <v>177</v>
      </c>
      <c r="E14" s="66" t="s">
        <v>177</v>
      </c>
    </row>
    <row r="15" spans="1:6" ht="14.4" customHeight="1" x14ac:dyDescent="0.3">
      <c r="A15" s="51"/>
      <c r="B15" s="63" t="s">
        <v>213</v>
      </c>
      <c r="C15" s="64" t="s">
        <v>214</v>
      </c>
      <c r="D15" s="65" t="s">
        <v>178</v>
      </c>
      <c r="E15" s="66" t="s">
        <v>178</v>
      </c>
    </row>
    <row r="16" spans="1:6" ht="14.4" customHeight="1" x14ac:dyDescent="0.3">
      <c r="A16" s="51"/>
      <c r="B16" s="63" t="s">
        <v>213</v>
      </c>
      <c r="C16" s="64" t="s">
        <v>214</v>
      </c>
      <c r="D16" s="65" t="s">
        <v>180</v>
      </c>
      <c r="E16" s="66" t="s">
        <v>180</v>
      </c>
    </row>
    <row r="17" spans="1:5" ht="14.4" customHeight="1" x14ac:dyDescent="0.3">
      <c r="A17" s="51"/>
      <c r="B17" s="63" t="s">
        <v>213</v>
      </c>
      <c r="C17" s="64" t="s">
        <v>214</v>
      </c>
      <c r="D17" s="65" t="s">
        <v>168</v>
      </c>
      <c r="E17" s="66" t="s">
        <v>195</v>
      </c>
    </row>
    <row r="18" spans="1:5" ht="14.4" customHeight="1" x14ac:dyDescent="0.3">
      <c r="A18" s="51"/>
      <c r="B18" s="63" t="s">
        <v>213</v>
      </c>
      <c r="C18" s="64" t="s">
        <v>214</v>
      </c>
      <c r="D18" s="65" t="s">
        <v>5</v>
      </c>
      <c r="E18" s="66" t="s">
        <v>51</v>
      </c>
    </row>
    <row r="19" spans="1:5" ht="14.4" customHeight="1" x14ac:dyDescent="0.3">
      <c r="A19" s="51"/>
      <c r="B19" s="63" t="s">
        <v>213</v>
      </c>
      <c r="C19" s="64" t="s">
        <v>214</v>
      </c>
      <c r="D19" s="65" t="s">
        <v>6</v>
      </c>
      <c r="E19" s="66" t="s">
        <v>52</v>
      </c>
    </row>
    <row r="20" spans="1:5" ht="14.4" customHeight="1" x14ac:dyDescent="0.3">
      <c r="A20" s="51"/>
      <c r="B20" s="63" t="s">
        <v>213</v>
      </c>
      <c r="C20" s="64" t="s">
        <v>214</v>
      </c>
      <c r="D20" s="65" t="s">
        <v>7</v>
      </c>
      <c r="E20" s="66" t="s">
        <v>53</v>
      </c>
    </row>
    <row r="21" spans="1:5" ht="14.4" customHeight="1" x14ac:dyDescent="0.3">
      <c r="A21" s="51"/>
      <c r="B21" s="63" t="s">
        <v>213</v>
      </c>
      <c r="C21" s="64" t="s">
        <v>214</v>
      </c>
      <c r="D21" s="65" t="s">
        <v>434</v>
      </c>
      <c r="E21" s="66" t="s">
        <v>203</v>
      </c>
    </row>
    <row r="22" spans="1:5" ht="14.4" customHeight="1" x14ac:dyDescent="0.3">
      <c r="A22" s="51"/>
      <c r="B22" s="63" t="s">
        <v>213</v>
      </c>
      <c r="C22" s="64" t="s">
        <v>214</v>
      </c>
      <c r="D22" s="65" t="s">
        <v>11</v>
      </c>
      <c r="E22" s="66" t="s">
        <v>54</v>
      </c>
    </row>
    <row r="23" spans="1:5" ht="14.4" customHeight="1" x14ac:dyDescent="0.3">
      <c r="A23" s="51"/>
      <c r="B23" s="63" t="s">
        <v>213</v>
      </c>
      <c r="C23" s="64" t="s">
        <v>214</v>
      </c>
      <c r="D23" s="65" t="s">
        <v>12</v>
      </c>
      <c r="E23" s="66" t="s">
        <v>55</v>
      </c>
    </row>
    <row r="24" spans="1:5" ht="14.4" customHeight="1" x14ac:dyDescent="0.3">
      <c r="A24" s="51"/>
      <c r="B24" s="63" t="s">
        <v>213</v>
      </c>
      <c r="C24" s="64" t="s">
        <v>214</v>
      </c>
      <c r="D24" s="65" t="s">
        <v>13</v>
      </c>
      <c r="E24" s="66" t="s">
        <v>56</v>
      </c>
    </row>
    <row r="25" spans="1:5" ht="14.4" customHeight="1" x14ac:dyDescent="0.3">
      <c r="A25" s="51"/>
      <c r="B25" s="63" t="s">
        <v>213</v>
      </c>
      <c r="C25" s="64" t="s">
        <v>214</v>
      </c>
      <c r="D25" s="65" t="s">
        <v>14</v>
      </c>
      <c r="E25" s="66" t="s">
        <v>57</v>
      </c>
    </row>
    <row r="26" spans="1:5" ht="14.4" customHeight="1" x14ac:dyDescent="0.3">
      <c r="A26" s="51"/>
      <c r="B26" s="63" t="s">
        <v>213</v>
      </c>
      <c r="C26" s="64" t="s">
        <v>214</v>
      </c>
      <c r="D26" s="65" t="s">
        <v>15</v>
      </c>
      <c r="E26" s="66" t="s">
        <v>58</v>
      </c>
    </row>
    <row r="27" spans="1:5" ht="14.4" customHeight="1" x14ac:dyDescent="0.3">
      <c r="A27" s="51"/>
      <c r="B27" s="63" t="s">
        <v>213</v>
      </c>
      <c r="C27" s="64" t="s">
        <v>214</v>
      </c>
      <c r="D27" s="65" t="s">
        <v>16</v>
      </c>
      <c r="E27" s="66" t="s">
        <v>59</v>
      </c>
    </row>
    <row r="28" spans="1:5" ht="14.4" customHeight="1" x14ac:dyDescent="0.3">
      <c r="A28" s="51"/>
      <c r="B28" s="63" t="s">
        <v>213</v>
      </c>
      <c r="C28" s="64" t="s">
        <v>214</v>
      </c>
      <c r="D28" s="65" t="s">
        <v>17</v>
      </c>
      <c r="E28" s="66" t="s">
        <v>60</v>
      </c>
    </row>
    <row r="29" spans="1:5" ht="14.4" customHeight="1" x14ac:dyDescent="0.3">
      <c r="A29" s="51"/>
      <c r="B29" s="67" t="s">
        <v>213</v>
      </c>
      <c r="C29" s="75" t="s">
        <v>214</v>
      </c>
      <c r="D29" s="76" t="s">
        <v>18</v>
      </c>
      <c r="E29" s="77" t="s">
        <v>61</v>
      </c>
    </row>
    <row r="30" spans="1:5" ht="14.4" customHeight="1" x14ac:dyDescent="0.3">
      <c r="A30" s="51"/>
      <c r="B30" s="71" t="s">
        <v>213</v>
      </c>
      <c r="C30" s="60" t="s">
        <v>215</v>
      </c>
      <c r="D30" s="61" t="s">
        <v>172</v>
      </c>
      <c r="E30" s="62" t="s">
        <v>201</v>
      </c>
    </row>
    <row r="31" spans="1:5" ht="14.4" customHeight="1" x14ac:dyDescent="0.3">
      <c r="A31" s="51"/>
      <c r="B31" s="63" t="s">
        <v>213</v>
      </c>
      <c r="C31" s="64" t="s">
        <v>215</v>
      </c>
      <c r="D31" s="65" t="s">
        <v>315</v>
      </c>
      <c r="E31" s="66" t="s">
        <v>316</v>
      </c>
    </row>
    <row r="32" spans="1:5" ht="14.4" customHeight="1" x14ac:dyDescent="0.3">
      <c r="A32" s="51"/>
      <c r="B32" s="63" t="s">
        <v>213</v>
      </c>
      <c r="C32" s="64" t="s">
        <v>215</v>
      </c>
      <c r="D32" s="65" t="s">
        <v>317</v>
      </c>
      <c r="E32" s="66" t="s">
        <v>318</v>
      </c>
    </row>
    <row r="33" spans="1:5" ht="14.4" customHeight="1" x14ac:dyDescent="0.3">
      <c r="A33" s="51"/>
      <c r="B33" s="63" t="s">
        <v>213</v>
      </c>
      <c r="C33" s="64" t="s">
        <v>215</v>
      </c>
      <c r="D33" s="65" t="s">
        <v>319</v>
      </c>
      <c r="E33" s="66" t="s">
        <v>320</v>
      </c>
    </row>
    <row r="34" spans="1:5" ht="14.4" customHeight="1" x14ac:dyDescent="0.3">
      <c r="A34" s="51"/>
      <c r="B34" s="63" t="s">
        <v>213</v>
      </c>
      <c r="C34" s="64" t="s">
        <v>215</v>
      </c>
      <c r="D34" s="65" t="s">
        <v>321</v>
      </c>
      <c r="E34" s="66" t="s">
        <v>322</v>
      </c>
    </row>
    <row r="35" spans="1:5" ht="14.4" customHeight="1" x14ac:dyDescent="0.3">
      <c r="A35" s="51"/>
      <c r="B35" s="63" t="s">
        <v>213</v>
      </c>
      <c r="C35" s="64" t="s">
        <v>215</v>
      </c>
      <c r="D35" s="65" t="s">
        <v>234</v>
      </c>
      <c r="E35" s="66" t="s">
        <v>258</v>
      </c>
    </row>
    <row r="36" spans="1:5" ht="14.4" customHeight="1" x14ac:dyDescent="0.3">
      <c r="A36" s="51"/>
      <c r="B36" s="63" t="s">
        <v>213</v>
      </c>
      <c r="C36" s="64" t="s">
        <v>215</v>
      </c>
      <c r="D36" s="65" t="s">
        <v>194</v>
      </c>
      <c r="E36" s="66" t="s">
        <v>259</v>
      </c>
    </row>
    <row r="37" spans="1:5" ht="14.4" customHeight="1" x14ac:dyDescent="0.3">
      <c r="A37" s="51"/>
      <c r="B37" s="63" t="s">
        <v>213</v>
      </c>
      <c r="C37" s="64" t="s">
        <v>215</v>
      </c>
      <c r="D37" s="65" t="s">
        <v>435</v>
      </c>
      <c r="E37" s="66" t="s">
        <v>203</v>
      </c>
    </row>
    <row r="38" spans="1:5" ht="14.4" customHeight="1" x14ac:dyDescent="0.3">
      <c r="A38" s="51"/>
      <c r="B38" s="63" t="s">
        <v>213</v>
      </c>
      <c r="C38" s="64" t="s">
        <v>215</v>
      </c>
      <c r="D38" s="65" t="s">
        <v>179</v>
      </c>
      <c r="E38" s="66" t="s">
        <v>179</v>
      </c>
    </row>
    <row r="39" spans="1:5" ht="14.4" customHeight="1" x14ac:dyDescent="0.3">
      <c r="A39" s="51"/>
      <c r="B39" s="63" t="s">
        <v>213</v>
      </c>
      <c r="C39" s="64" t="s">
        <v>215</v>
      </c>
      <c r="D39" s="65" t="s">
        <v>181</v>
      </c>
      <c r="E39" s="66" t="s">
        <v>181</v>
      </c>
    </row>
    <row r="40" spans="1:5" ht="14.4" customHeight="1" x14ac:dyDescent="0.3">
      <c r="A40" s="51"/>
      <c r="B40" s="63" t="s">
        <v>213</v>
      </c>
      <c r="C40" s="64" t="s">
        <v>215</v>
      </c>
      <c r="D40" s="65" t="s">
        <v>436</v>
      </c>
      <c r="E40" s="66" t="s">
        <v>437</v>
      </c>
    </row>
    <row r="41" spans="1:5" ht="14.4" customHeight="1" x14ac:dyDescent="0.3">
      <c r="A41" s="51"/>
      <c r="B41" s="67" t="s">
        <v>213</v>
      </c>
      <c r="C41" s="68" t="s">
        <v>215</v>
      </c>
      <c r="D41" s="69" t="s">
        <v>438</v>
      </c>
      <c r="E41" s="70"/>
    </row>
    <row r="42" spans="1:5" ht="14.4" customHeight="1" x14ac:dyDescent="0.3">
      <c r="A42" s="51"/>
      <c r="B42" s="71" t="s">
        <v>213</v>
      </c>
      <c r="C42" s="78" t="s">
        <v>295</v>
      </c>
      <c r="D42" s="79" t="s">
        <v>200</v>
      </c>
      <c r="E42" s="80" t="s">
        <v>233</v>
      </c>
    </row>
    <row r="43" spans="1:5" ht="14.4" customHeight="1" x14ac:dyDescent="0.3">
      <c r="A43" s="51"/>
      <c r="B43" s="63" t="s">
        <v>213</v>
      </c>
      <c r="C43" s="64" t="s">
        <v>295</v>
      </c>
      <c r="D43" s="65" t="s">
        <v>198</v>
      </c>
      <c r="E43" s="66" t="s">
        <v>199</v>
      </c>
    </row>
    <row r="44" spans="1:5" ht="14.4" customHeight="1" x14ac:dyDescent="0.3">
      <c r="A44" s="51"/>
      <c r="B44" s="63" t="s">
        <v>213</v>
      </c>
      <c r="C44" s="64" t="s">
        <v>295</v>
      </c>
      <c r="D44" s="65" t="s">
        <v>323</v>
      </c>
      <c r="E44" s="66" t="s">
        <v>324</v>
      </c>
    </row>
    <row r="45" spans="1:5" ht="14.4" customHeight="1" x14ac:dyDescent="0.3">
      <c r="A45" s="51"/>
      <c r="B45" s="63" t="s">
        <v>213</v>
      </c>
      <c r="C45" s="64" t="s">
        <v>295</v>
      </c>
      <c r="D45" s="65" t="s">
        <v>4</v>
      </c>
      <c r="E45" s="66" t="s">
        <v>171</v>
      </c>
    </row>
    <row r="46" spans="1:5" ht="14.4" customHeight="1" x14ac:dyDescent="0.3">
      <c r="A46" s="51"/>
      <c r="B46" s="63" t="s">
        <v>213</v>
      </c>
      <c r="C46" s="64" t="s">
        <v>295</v>
      </c>
      <c r="D46" s="65" t="s">
        <v>325</v>
      </c>
      <c r="E46" s="66" t="s">
        <v>326</v>
      </c>
    </row>
    <row r="47" spans="1:5" ht="14.4" customHeight="1" x14ac:dyDescent="0.3">
      <c r="A47" s="51"/>
      <c r="B47" s="63" t="s">
        <v>213</v>
      </c>
      <c r="C47" s="64" t="s">
        <v>295</v>
      </c>
      <c r="D47" s="65" t="s">
        <v>327</v>
      </c>
      <c r="E47" s="66" t="s">
        <v>328</v>
      </c>
    </row>
    <row r="48" spans="1:5" ht="14.4" customHeight="1" x14ac:dyDescent="0.3">
      <c r="A48" s="51"/>
      <c r="B48" s="63" t="s">
        <v>213</v>
      </c>
      <c r="C48" s="64" t="s">
        <v>295</v>
      </c>
      <c r="D48" s="65" t="s">
        <v>329</v>
      </c>
      <c r="E48" s="66" t="s">
        <v>330</v>
      </c>
    </row>
    <row r="49" spans="1:5" ht="14.4" customHeight="1" x14ac:dyDescent="0.3">
      <c r="A49" s="51"/>
      <c r="B49" s="63" t="s">
        <v>213</v>
      </c>
      <c r="C49" s="64" t="s">
        <v>295</v>
      </c>
      <c r="D49" s="65" t="s">
        <v>331</v>
      </c>
      <c r="E49" s="66" t="s">
        <v>331</v>
      </c>
    </row>
    <row r="50" spans="1:5" ht="14.4" customHeight="1" x14ac:dyDescent="0.3">
      <c r="A50" s="51"/>
      <c r="B50" s="63" t="s">
        <v>213</v>
      </c>
      <c r="C50" s="64" t="s">
        <v>295</v>
      </c>
      <c r="D50" s="65" t="s">
        <v>439</v>
      </c>
      <c r="E50" s="66" t="s">
        <v>440</v>
      </c>
    </row>
    <row r="51" spans="1:5" ht="14.4" customHeight="1" x14ac:dyDescent="0.3">
      <c r="A51" s="51"/>
      <c r="B51" s="63" t="s">
        <v>213</v>
      </c>
      <c r="C51" s="64" t="s">
        <v>295</v>
      </c>
      <c r="D51" s="65" t="s">
        <v>8</v>
      </c>
      <c r="E51" s="66" t="s">
        <v>62</v>
      </c>
    </row>
    <row r="52" spans="1:5" ht="14.4" customHeight="1" x14ac:dyDescent="0.3">
      <c r="A52" s="51"/>
      <c r="B52" s="63" t="s">
        <v>213</v>
      </c>
      <c r="C52" s="64" t="s">
        <v>295</v>
      </c>
      <c r="D52" s="65" t="s">
        <v>10</v>
      </c>
      <c r="E52" s="66" t="s">
        <v>63</v>
      </c>
    </row>
    <row r="53" spans="1:5" ht="14.4" customHeight="1" x14ac:dyDescent="0.3">
      <c r="A53" s="51"/>
      <c r="B53" s="63" t="s">
        <v>213</v>
      </c>
      <c r="C53" s="64" t="s">
        <v>295</v>
      </c>
      <c r="D53" s="65" t="s">
        <v>9</v>
      </c>
      <c r="E53" s="66" t="s">
        <v>441</v>
      </c>
    </row>
    <row r="54" spans="1:5" ht="14.4" customHeight="1" x14ac:dyDescent="0.3">
      <c r="A54" s="51"/>
      <c r="B54" s="63" t="s">
        <v>213</v>
      </c>
      <c r="C54" s="64" t="s">
        <v>295</v>
      </c>
      <c r="D54" s="65" t="s">
        <v>332</v>
      </c>
      <c r="E54" s="66" t="s">
        <v>442</v>
      </c>
    </row>
    <row r="55" spans="1:5" ht="14.4" customHeight="1" x14ac:dyDescent="0.3">
      <c r="A55" s="51"/>
      <c r="B55" s="63" t="s">
        <v>213</v>
      </c>
      <c r="C55" s="64" t="s">
        <v>295</v>
      </c>
      <c r="D55" s="65" t="s">
        <v>443</v>
      </c>
      <c r="E55" s="66" t="s">
        <v>444</v>
      </c>
    </row>
    <row r="56" spans="1:5" ht="14.4" customHeight="1" x14ac:dyDescent="0.3">
      <c r="A56" s="51"/>
      <c r="B56" s="63" t="s">
        <v>213</v>
      </c>
      <c r="C56" s="64" t="s">
        <v>295</v>
      </c>
      <c r="D56" s="65" t="s">
        <v>333</v>
      </c>
      <c r="E56" s="66" t="s">
        <v>334</v>
      </c>
    </row>
    <row r="57" spans="1:5" ht="14.4" customHeight="1" x14ac:dyDescent="0.3">
      <c r="A57" s="51"/>
      <c r="B57" s="63" t="s">
        <v>213</v>
      </c>
      <c r="C57" s="64" t="s">
        <v>295</v>
      </c>
      <c r="D57" s="65" t="s">
        <v>335</v>
      </c>
      <c r="E57" s="66" t="s">
        <v>336</v>
      </c>
    </row>
    <row r="58" spans="1:5" ht="14.4" customHeight="1" x14ac:dyDescent="0.3">
      <c r="A58" s="51"/>
      <c r="B58" s="63" t="s">
        <v>213</v>
      </c>
      <c r="C58" s="64" t="s">
        <v>295</v>
      </c>
      <c r="D58" s="65" t="s">
        <v>337</v>
      </c>
      <c r="E58" s="66" t="s">
        <v>338</v>
      </c>
    </row>
    <row r="59" spans="1:5" ht="14.4" customHeight="1" x14ac:dyDescent="0.3">
      <c r="A59" s="51"/>
      <c r="B59" s="63" t="s">
        <v>213</v>
      </c>
      <c r="C59" s="64" t="s">
        <v>295</v>
      </c>
      <c r="D59" s="65" t="s">
        <v>445</v>
      </c>
      <c r="E59" s="66" t="s">
        <v>446</v>
      </c>
    </row>
    <row r="60" spans="1:5" ht="14.4" customHeight="1" x14ac:dyDescent="0.3">
      <c r="A60" s="51"/>
      <c r="B60" s="63" t="s">
        <v>213</v>
      </c>
      <c r="C60" s="64" t="s">
        <v>295</v>
      </c>
      <c r="D60" s="65" t="s">
        <v>339</v>
      </c>
      <c r="E60" s="66" t="s">
        <v>339</v>
      </c>
    </row>
    <row r="61" spans="1:5" ht="14.4" customHeight="1" x14ac:dyDescent="0.3">
      <c r="A61" s="51"/>
      <c r="B61" s="63" t="s">
        <v>213</v>
      </c>
      <c r="C61" s="64" t="s">
        <v>295</v>
      </c>
      <c r="D61" s="65" t="s">
        <v>340</v>
      </c>
      <c r="E61" s="66" t="s">
        <v>341</v>
      </c>
    </row>
    <row r="62" spans="1:5" ht="14.4" customHeight="1" x14ac:dyDescent="0.3">
      <c r="A62" s="51"/>
      <c r="B62" s="63" t="s">
        <v>213</v>
      </c>
      <c r="C62" s="64" t="s">
        <v>295</v>
      </c>
      <c r="D62" s="65" t="s">
        <v>447</v>
      </c>
      <c r="E62" s="66" t="s">
        <v>448</v>
      </c>
    </row>
    <row r="63" spans="1:5" ht="14.4" customHeight="1" x14ac:dyDescent="0.3">
      <c r="A63" s="51"/>
      <c r="B63" s="63" t="s">
        <v>213</v>
      </c>
      <c r="C63" s="64" t="s">
        <v>295</v>
      </c>
      <c r="D63" s="65" t="s">
        <v>169</v>
      </c>
      <c r="E63" s="66" t="s">
        <v>196</v>
      </c>
    </row>
    <row r="64" spans="1:5" ht="14.4" customHeight="1" x14ac:dyDescent="0.3">
      <c r="A64" s="51"/>
      <c r="B64" s="81" t="s">
        <v>213</v>
      </c>
      <c r="C64" s="82" t="s">
        <v>295</v>
      </c>
      <c r="D64" s="83" t="s">
        <v>170</v>
      </c>
      <c r="E64" s="84" t="s">
        <v>197</v>
      </c>
    </row>
    <row r="65" spans="1:5" ht="14.4" customHeight="1" x14ac:dyDescent="0.3">
      <c r="A65" s="51"/>
      <c r="B65" s="85" t="s">
        <v>213</v>
      </c>
      <c r="C65" s="86" t="s">
        <v>216</v>
      </c>
      <c r="D65" s="87" t="s">
        <v>176</v>
      </c>
      <c r="E65" s="88" t="s">
        <v>176</v>
      </c>
    </row>
    <row r="66" spans="1:5" ht="14.4" customHeight="1" thickBot="1" x14ac:dyDescent="0.35">
      <c r="A66" s="51"/>
      <c r="B66" s="89" t="s">
        <v>213</v>
      </c>
      <c r="C66" s="90" t="s">
        <v>217</v>
      </c>
      <c r="D66" s="91" t="s">
        <v>3</v>
      </c>
      <c r="E66" s="92" t="s">
        <v>64</v>
      </c>
    </row>
    <row r="67" spans="1:5" ht="14.4" customHeight="1" x14ac:dyDescent="0.3">
      <c r="A67" s="51"/>
      <c r="B67" s="93" t="s">
        <v>19</v>
      </c>
      <c r="C67" s="94" t="s">
        <v>296</v>
      </c>
      <c r="D67" s="95" t="s">
        <v>342</v>
      </c>
      <c r="E67" s="96" t="s">
        <v>342</v>
      </c>
    </row>
    <row r="68" spans="1:5" ht="14.4" customHeight="1" x14ac:dyDescent="0.3">
      <c r="A68" s="51"/>
      <c r="B68" s="97" t="s">
        <v>19</v>
      </c>
      <c r="C68" s="98" t="s">
        <v>296</v>
      </c>
      <c r="D68" s="65" t="s">
        <v>343</v>
      </c>
      <c r="E68" s="66" t="s">
        <v>449</v>
      </c>
    </row>
    <row r="69" spans="1:5" ht="14.4" customHeight="1" x14ac:dyDescent="0.3">
      <c r="A69" s="51"/>
      <c r="B69" s="97" t="s">
        <v>19</v>
      </c>
      <c r="C69" s="98" t="s">
        <v>296</v>
      </c>
      <c r="D69" s="65" t="s">
        <v>188</v>
      </c>
      <c r="E69" s="66" t="s">
        <v>188</v>
      </c>
    </row>
    <row r="70" spans="1:5" ht="14.4" customHeight="1" x14ac:dyDescent="0.3">
      <c r="A70" s="51"/>
      <c r="B70" s="97" t="s">
        <v>19</v>
      </c>
      <c r="C70" s="98" t="s">
        <v>296</v>
      </c>
      <c r="D70" s="65" t="s">
        <v>235</v>
      </c>
      <c r="E70" s="66" t="s">
        <v>260</v>
      </c>
    </row>
    <row r="71" spans="1:5" ht="14.4" customHeight="1" x14ac:dyDescent="0.3">
      <c r="A71" s="51"/>
      <c r="B71" s="97" t="s">
        <v>19</v>
      </c>
      <c r="C71" s="98" t="s">
        <v>296</v>
      </c>
      <c r="D71" s="65" t="s">
        <v>344</v>
      </c>
      <c r="E71" s="66" t="s">
        <v>345</v>
      </c>
    </row>
    <row r="72" spans="1:5" ht="14.4" customHeight="1" x14ac:dyDescent="0.3">
      <c r="A72" s="51"/>
      <c r="B72" s="97" t="s">
        <v>19</v>
      </c>
      <c r="C72" s="98" t="s">
        <v>296</v>
      </c>
      <c r="D72" s="65" t="s">
        <v>346</v>
      </c>
      <c r="E72" s="66" t="s">
        <v>347</v>
      </c>
    </row>
    <row r="73" spans="1:5" ht="14.4" customHeight="1" x14ac:dyDescent="0.3">
      <c r="A73" s="51"/>
      <c r="B73" s="97" t="s">
        <v>19</v>
      </c>
      <c r="C73" s="98" t="s">
        <v>296</v>
      </c>
      <c r="D73" s="65" t="s">
        <v>348</v>
      </c>
      <c r="E73" s="66" t="s">
        <v>348</v>
      </c>
    </row>
    <row r="74" spans="1:5" ht="14.4" customHeight="1" x14ac:dyDescent="0.3">
      <c r="A74" s="51"/>
      <c r="B74" s="99" t="s">
        <v>19</v>
      </c>
      <c r="C74" s="100" t="s">
        <v>296</v>
      </c>
      <c r="D74" s="69" t="s">
        <v>236</v>
      </c>
      <c r="E74" s="70" t="s">
        <v>261</v>
      </c>
    </row>
    <row r="75" spans="1:5" ht="14.4" customHeight="1" x14ac:dyDescent="0.3">
      <c r="A75" s="51"/>
      <c r="B75" s="101" t="s">
        <v>19</v>
      </c>
      <c r="C75" s="102" t="s">
        <v>297</v>
      </c>
      <c r="D75" s="79" t="s">
        <v>186</v>
      </c>
      <c r="E75" s="80" t="s">
        <v>349</v>
      </c>
    </row>
    <row r="76" spans="1:5" ht="14.4" customHeight="1" x14ac:dyDescent="0.3">
      <c r="A76" s="51"/>
      <c r="B76" s="97" t="s">
        <v>19</v>
      </c>
      <c r="C76" s="98" t="s">
        <v>297</v>
      </c>
      <c r="D76" s="65" t="s">
        <v>350</v>
      </c>
      <c r="E76" s="66" t="s">
        <v>351</v>
      </c>
    </row>
    <row r="77" spans="1:5" ht="14.4" customHeight="1" x14ac:dyDescent="0.3">
      <c r="A77" s="51"/>
      <c r="B77" s="97" t="s">
        <v>19</v>
      </c>
      <c r="C77" s="98" t="s">
        <v>297</v>
      </c>
      <c r="D77" s="65" t="s">
        <v>352</v>
      </c>
      <c r="E77" s="66" t="s">
        <v>353</v>
      </c>
    </row>
    <row r="78" spans="1:5" ht="14.4" customHeight="1" x14ac:dyDescent="0.3">
      <c r="A78" s="51"/>
      <c r="B78" s="97" t="s">
        <v>19</v>
      </c>
      <c r="C78" s="98" t="s">
        <v>297</v>
      </c>
      <c r="D78" s="65" t="s">
        <v>354</v>
      </c>
      <c r="E78" s="66" t="s">
        <v>355</v>
      </c>
    </row>
    <row r="79" spans="1:5" ht="14.4" customHeight="1" x14ac:dyDescent="0.3">
      <c r="A79" s="51"/>
      <c r="B79" s="97" t="s">
        <v>19</v>
      </c>
      <c r="C79" s="98" t="s">
        <v>297</v>
      </c>
      <c r="D79" s="65" t="s">
        <v>356</v>
      </c>
      <c r="E79" s="66" t="s">
        <v>164</v>
      </c>
    </row>
    <row r="80" spans="1:5" ht="14.4" customHeight="1" x14ac:dyDescent="0.3">
      <c r="A80" s="51"/>
      <c r="B80" s="97" t="s">
        <v>19</v>
      </c>
      <c r="C80" s="98" t="s">
        <v>297</v>
      </c>
      <c r="D80" s="65" t="s">
        <v>189</v>
      </c>
      <c r="E80" s="66" t="s">
        <v>189</v>
      </c>
    </row>
    <row r="81" spans="1:6" ht="14.4" customHeight="1" x14ac:dyDescent="0.3">
      <c r="A81" s="51"/>
      <c r="B81" s="97" t="s">
        <v>19</v>
      </c>
      <c r="C81" s="98" t="s">
        <v>297</v>
      </c>
      <c r="D81" s="65" t="s">
        <v>357</v>
      </c>
      <c r="E81" s="66" t="s">
        <v>358</v>
      </c>
    </row>
    <row r="82" spans="1:6" ht="14.4" customHeight="1" x14ac:dyDescent="0.3">
      <c r="A82" s="51"/>
      <c r="B82" s="97" t="s">
        <v>19</v>
      </c>
      <c r="C82" s="98" t="s">
        <v>297</v>
      </c>
      <c r="D82" s="65" t="s">
        <v>359</v>
      </c>
      <c r="E82" s="66" t="s">
        <v>360</v>
      </c>
    </row>
    <row r="83" spans="1:6" ht="14.4" customHeight="1" x14ac:dyDescent="0.3">
      <c r="A83" s="51"/>
      <c r="B83" s="97" t="s">
        <v>19</v>
      </c>
      <c r="C83" s="98" t="s">
        <v>297</v>
      </c>
      <c r="D83" s="65" t="s">
        <v>361</v>
      </c>
      <c r="E83" s="66" t="s">
        <v>361</v>
      </c>
    </row>
    <row r="84" spans="1:6" ht="14.4" customHeight="1" x14ac:dyDescent="0.3">
      <c r="A84" s="51"/>
      <c r="B84" s="97" t="s">
        <v>19</v>
      </c>
      <c r="C84" s="98" t="s">
        <v>297</v>
      </c>
      <c r="D84" s="65" t="s">
        <v>362</v>
      </c>
      <c r="E84" s="66" t="s">
        <v>363</v>
      </c>
    </row>
    <row r="85" spans="1:6" ht="14.4" customHeight="1" x14ac:dyDescent="0.3">
      <c r="A85" s="51"/>
      <c r="B85" s="97" t="s">
        <v>19</v>
      </c>
      <c r="C85" s="98" t="s">
        <v>297</v>
      </c>
      <c r="D85" s="65" t="s">
        <v>364</v>
      </c>
      <c r="E85" s="66" t="s">
        <v>365</v>
      </c>
      <c r="F85" s="50"/>
    </row>
    <row r="86" spans="1:6" ht="14.4" customHeight="1" x14ac:dyDescent="0.3">
      <c r="A86" s="51"/>
      <c r="B86" s="97" t="s">
        <v>19</v>
      </c>
      <c r="C86" s="98" t="s">
        <v>297</v>
      </c>
      <c r="D86" s="65" t="s">
        <v>366</v>
      </c>
      <c r="E86" s="66" t="s">
        <v>367</v>
      </c>
    </row>
    <row r="87" spans="1:6" ht="14.4" customHeight="1" x14ac:dyDescent="0.3">
      <c r="A87" s="51"/>
      <c r="B87" s="97" t="s">
        <v>19</v>
      </c>
      <c r="C87" s="98" t="s">
        <v>297</v>
      </c>
      <c r="D87" s="65" t="s">
        <v>368</v>
      </c>
      <c r="E87" s="66" t="s">
        <v>369</v>
      </c>
    </row>
    <row r="88" spans="1:6" ht="14.4" customHeight="1" x14ac:dyDescent="0.3">
      <c r="A88" s="51"/>
      <c r="B88" s="97" t="s">
        <v>19</v>
      </c>
      <c r="C88" s="98" t="s">
        <v>297</v>
      </c>
      <c r="D88" s="65" t="s">
        <v>450</v>
      </c>
      <c r="E88" s="66" t="s">
        <v>451</v>
      </c>
    </row>
    <row r="89" spans="1:6" ht="14.4" customHeight="1" x14ac:dyDescent="0.3">
      <c r="A89" s="51"/>
      <c r="B89" s="97" t="s">
        <v>19</v>
      </c>
      <c r="C89" s="98" t="s">
        <v>297</v>
      </c>
      <c r="D89" s="65" t="s">
        <v>372</v>
      </c>
      <c r="E89" s="66" t="s">
        <v>372</v>
      </c>
    </row>
    <row r="90" spans="1:6" ht="14.4" customHeight="1" x14ac:dyDescent="0.3">
      <c r="A90" s="51"/>
      <c r="B90" s="97" t="s">
        <v>19</v>
      </c>
      <c r="C90" s="98" t="s">
        <v>297</v>
      </c>
      <c r="D90" s="65" t="s">
        <v>452</v>
      </c>
      <c r="E90" s="66" t="s">
        <v>453</v>
      </c>
    </row>
    <row r="91" spans="1:6" ht="14.4" customHeight="1" x14ac:dyDescent="0.3">
      <c r="A91" s="51"/>
      <c r="B91" s="97" t="s">
        <v>19</v>
      </c>
      <c r="C91" s="98" t="s">
        <v>297</v>
      </c>
      <c r="D91" s="65" t="s">
        <v>373</v>
      </c>
      <c r="E91" s="66" t="s">
        <v>454</v>
      </c>
    </row>
    <row r="92" spans="1:6" ht="14.4" customHeight="1" x14ac:dyDescent="0.3">
      <c r="A92" s="51"/>
      <c r="B92" s="103" t="s">
        <v>19</v>
      </c>
      <c r="C92" s="104" t="s">
        <v>297</v>
      </c>
      <c r="D92" s="83" t="s">
        <v>370</v>
      </c>
      <c r="E92" s="84" t="s">
        <v>371</v>
      </c>
    </row>
    <row r="93" spans="1:6" ht="14.4" customHeight="1" x14ac:dyDescent="0.3">
      <c r="A93" s="51"/>
      <c r="B93" s="105" t="s">
        <v>19</v>
      </c>
      <c r="C93" s="106" t="s">
        <v>298</v>
      </c>
      <c r="D93" s="79" t="s">
        <v>182</v>
      </c>
      <c r="E93" s="62" t="s">
        <v>374</v>
      </c>
    </row>
    <row r="94" spans="1:6" ht="14.4" customHeight="1" x14ac:dyDescent="0.3">
      <c r="A94" s="51"/>
      <c r="B94" s="97" t="s">
        <v>19</v>
      </c>
      <c r="C94" s="98" t="s">
        <v>298</v>
      </c>
      <c r="D94" s="65" t="s">
        <v>375</v>
      </c>
      <c r="E94" s="66" t="s">
        <v>165</v>
      </c>
    </row>
    <row r="95" spans="1:6" ht="14.4" customHeight="1" x14ac:dyDescent="0.3">
      <c r="A95" s="51"/>
      <c r="B95" s="97" t="s">
        <v>19</v>
      </c>
      <c r="C95" s="98" t="s">
        <v>298</v>
      </c>
      <c r="D95" s="65" t="s">
        <v>376</v>
      </c>
      <c r="E95" s="66" t="s">
        <v>377</v>
      </c>
    </row>
    <row r="96" spans="1:6" ht="14.4" customHeight="1" x14ac:dyDescent="0.3">
      <c r="A96" s="51"/>
      <c r="B96" s="97" t="s">
        <v>19</v>
      </c>
      <c r="C96" s="98" t="s">
        <v>298</v>
      </c>
      <c r="D96" s="65" t="s">
        <v>378</v>
      </c>
      <c r="E96" s="66" t="s">
        <v>378</v>
      </c>
    </row>
    <row r="97" spans="1:5" ht="14.4" customHeight="1" x14ac:dyDescent="0.3">
      <c r="A97" s="51"/>
      <c r="B97" s="97" t="s">
        <v>19</v>
      </c>
      <c r="C97" s="98" t="s">
        <v>298</v>
      </c>
      <c r="D97" s="65" t="s">
        <v>379</v>
      </c>
      <c r="E97" s="66" t="s">
        <v>379</v>
      </c>
    </row>
    <row r="98" spans="1:5" ht="14.4" customHeight="1" x14ac:dyDescent="0.3">
      <c r="A98" s="51"/>
      <c r="B98" s="99" t="s">
        <v>19</v>
      </c>
      <c r="C98" s="100" t="s">
        <v>298</v>
      </c>
      <c r="D98" s="69" t="s">
        <v>237</v>
      </c>
      <c r="E98" s="70" t="s">
        <v>237</v>
      </c>
    </row>
    <row r="99" spans="1:5" ht="14.4" customHeight="1" x14ac:dyDescent="0.3">
      <c r="A99" s="51"/>
      <c r="B99" s="101" t="s">
        <v>19</v>
      </c>
      <c r="C99" s="102" t="s">
        <v>299</v>
      </c>
      <c r="D99" s="79" t="s">
        <v>380</v>
      </c>
      <c r="E99" s="80" t="s">
        <v>185</v>
      </c>
    </row>
    <row r="100" spans="1:5" ht="14.4" customHeight="1" x14ac:dyDescent="0.3">
      <c r="A100" s="51"/>
      <c r="B100" s="97" t="s">
        <v>19</v>
      </c>
      <c r="C100" s="98" t="s">
        <v>299</v>
      </c>
      <c r="D100" s="65" t="s">
        <v>381</v>
      </c>
      <c r="E100" s="66" t="s">
        <v>382</v>
      </c>
    </row>
    <row r="101" spans="1:5" ht="14.4" customHeight="1" x14ac:dyDescent="0.3">
      <c r="A101" s="51"/>
      <c r="B101" s="97" t="s">
        <v>19</v>
      </c>
      <c r="C101" s="98" t="s">
        <v>299</v>
      </c>
      <c r="D101" s="65" t="s">
        <v>166</v>
      </c>
      <c r="E101" s="66" t="s">
        <v>166</v>
      </c>
    </row>
    <row r="102" spans="1:5" ht="14.4" customHeight="1" x14ac:dyDescent="0.3">
      <c r="A102" s="51"/>
      <c r="B102" s="97" t="s">
        <v>19</v>
      </c>
      <c r="C102" s="98" t="s">
        <v>299</v>
      </c>
      <c r="D102" s="65" t="s">
        <v>383</v>
      </c>
      <c r="E102" s="66" t="s">
        <v>384</v>
      </c>
    </row>
    <row r="103" spans="1:5" ht="14.4" customHeight="1" x14ac:dyDescent="0.3">
      <c r="A103" s="51"/>
      <c r="B103" s="97" t="s">
        <v>19</v>
      </c>
      <c r="C103" s="98" t="s">
        <v>299</v>
      </c>
      <c r="D103" s="65" t="s">
        <v>385</v>
      </c>
      <c r="E103" s="66" t="s">
        <v>386</v>
      </c>
    </row>
    <row r="104" spans="1:5" ht="14.4" customHeight="1" x14ac:dyDescent="0.3">
      <c r="A104" s="51"/>
      <c r="B104" s="97" t="s">
        <v>19</v>
      </c>
      <c r="C104" s="98" t="s">
        <v>299</v>
      </c>
      <c r="D104" s="65" t="s">
        <v>387</v>
      </c>
      <c r="E104" s="66" t="s">
        <v>388</v>
      </c>
    </row>
    <row r="105" spans="1:5" ht="14.4" customHeight="1" x14ac:dyDescent="0.3">
      <c r="A105" s="51"/>
      <c r="B105" s="97" t="s">
        <v>19</v>
      </c>
      <c r="C105" s="98" t="s">
        <v>299</v>
      </c>
      <c r="D105" s="65" t="s">
        <v>192</v>
      </c>
      <c r="E105" s="66" t="s">
        <v>193</v>
      </c>
    </row>
    <row r="106" spans="1:5" ht="14.4" customHeight="1" x14ac:dyDescent="0.3">
      <c r="A106" s="51"/>
      <c r="B106" s="97" t="s">
        <v>19</v>
      </c>
      <c r="C106" s="98" t="s">
        <v>299</v>
      </c>
      <c r="D106" s="65" t="s">
        <v>190</v>
      </c>
      <c r="E106" s="66" t="s">
        <v>191</v>
      </c>
    </row>
    <row r="107" spans="1:5" ht="14.4" customHeight="1" x14ac:dyDescent="0.3">
      <c r="A107" s="51"/>
      <c r="B107" s="97" t="s">
        <v>19</v>
      </c>
      <c r="C107" s="98" t="s">
        <v>299</v>
      </c>
      <c r="D107" s="65" t="s">
        <v>389</v>
      </c>
      <c r="E107" s="66" t="s">
        <v>389</v>
      </c>
    </row>
    <row r="108" spans="1:5" ht="14.4" customHeight="1" x14ac:dyDescent="0.3">
      <c r="A108" s="51"/>
      <c r="B108" s="97" t="s">
        <v>19</v>
      </c>
      <c r="C108" s="98" t="s">
        <v>299</v>
      </c>
      <c r="D108" s="65" t="s">
        <v>187</v>
      </c>
      <c r="E108" s="66" t="s">
        <v>187</v>
      </c>
    </row>
    <row r="109" spans="1:5" ht="14.4" customHeight="1" thickBot="1" x14ac:dyDescent="0.35">
      <c r="A109" s="51"/>
      <c r="B109" s="107" t="s">
        <v>19</v>
      </c>
      <c r="C109" s="108" t="s">
        <v>299</v>
      </c>
      <c r="D109" s="109" t="s">
        <v>390</v>
      </c>
      <c r="E109" s="110" t="s">
        <v>391</v>
      </c>
    </row>
    <row r="110" spans="1:5" ht="14.4" customHeight="1" x14ac:dyDescent="0.3">
      <c r="A110" s="51"/>
      <c r="B110" s="71" t="s">
        <v>20</v>
      </c>
      <c r="C110" s="60" t="s">
        <v>22</v>
      </c>
      <c r="D110" s="61" t="s">
        <v>392</v>
      </c>
      <c r="E110" s="62" t="s">
        <v>211</v>
      </c>
    </row>
    <row r="111" spans="1:5" ht="14.4" customHeight="1" x14ac:dyDescent="0.3">
      <c r="A111" s="51"/>
      <c r="B111" s="63" t="s">
        <v>20</v>
      </c>
      <c r="C111" s="64" t="s">
        <v>22</v>
      </c>
      <c r="D111" s="65" t="s">
        <v>393</v>
      </c>
      <c r="E111" s="66" t="s">
        <v>210</v>
      </c>
    </row>
    <row r="112" spans="1:5" ht="14.4" customHeight="1" x14ac:dyDescent="0.3">
      <c r="A112" s="51"/>
      <c r="B112" s="63" t="s">
        <v>20</v>
      </c>
      <c r="C112" s="64" t="s">
        <v>22</v>
      </c>
      <c r="D112" s="65" t="s">
        <v>394</v>
      </c>
      <c r="E112" s="66" t="s">
        <v>209</v>
      </c>
    </row>
    <row r="113" spans="1:5" ht="14.4" customHeight="1" x14ac:dyDescent="0.3">
      <c r="A113" s="51"/>
      <c r="B113" s="63" t="s">
        <v>20</v>
      </c>
      <c r="C113" s="64" t="s">
        <v>22</v>
      </c>
      <c r="D113" s="65" t="s">
        <v>395</v>
      </c>
      <c r="E113" s="66" t="s">
        <v>396</v>
      </c>
    </row>
    <row r="114" spans="1:5" ht="14.4" customHeight="1" x14ac:dyDescent="0.3">
      <c r="A114" s="51"/>
      <c r="B114" s="63" t="s">
        <v>20</v>
      </c>
      <c r="C114" s="64" t="s">
        <v>22</v>
      </c>
      <c r="D114" s="65" t="s">
        <v>397</v>
      </c>
      <c r="E114" s="66" t="s">
        <v>398</v>
      </c>
    </row>
    <row r="115" spans="1:5" ht="14.4" customHeight="1" x14ac:dyDescent="0.3">
      <c r="A115" s="51"/>
      <c r="B115" s="63" t="s">
        <v>20</v>
      </c>
      <c r="C115" s="64" t="s">
        <v>22</v>
      </c>
      <c r="D115" s="65" t="s">
        <v>399</v>
      </c>
      <c r="E115" s="66" t="s">
        <v>399</v>
      </c>
    </row>
    <row r="116" spans="1:5" ht="14.4" customHeight="1" x14ac:dyDescent="0.3">
      <c r="A116" s="51"/>
      <c r="B116" s="81" t="s">
        <v>20</v>
      </c>
      <c r="C116" s="68" t="s">
        <v>22</v>
      </c>
      <c r="D116" s="69" t="s">
        <v>400</v>
      </c>
      <c r="E116" s="70" t="s">
        <v>401</v>
      </c>
    </row>
    <row r="117" spans="1:5" ht="14.4" customHeight="1" x14ac:dyDescent="0.3">
      <c r="A117" s="51"/>
      <c r="B117" s="111" t="s">
        <v>20</v>
      </c>
      <c r="C117" s="78" t="s">
        <v>24</v>
      </c>
      <c r="D117" s="79" t="s">
        <v>238</v>
      </c>
      <c r="E117" s="80" t="s">
        <v>262</v>
      </c>
    </row>
    <row r="118" spans="1:5" ht="14.4" customHeight="1" thickBot="1" x14ac:dyDescent="0.35">
      <c r="A118" s="51"/>
      <c r="B118" s="107" t="s">
        <v>20</v>
      </c>
      <c r="C118" s="68" t="s">
        <v>24</v>
      </c>
      <c r="D118" s="69" t="s">
        <v>455</v>
      </c>
      <c r="E118" s="70" t="s">
        <v>456</v>
      </c>
    </row>
    <row r="119" spans="1:5" ht="14.4" customHeight="1" x14ac:dyDescent="0.3">
      <c r="A119" s="51"/>
      <c r="B119" s="71" t="s">
        <v>457</v>
      </c>
      <c r="C119" s="94" t="s">
        <v>458</v>
      </c>
      <c r="D119" s="95" t="s">
        <v>459</v>
      </c>
      <c r="E119" s="96" t="s">
        <v>460</v>
      </c>
    </row>
    <row r="120" spans="1:5" ht="14.4" customHeight="1" x14ac:dyDescent="0.3">
      <c r="A120" s="51"/>
      <c r="B120" s="97" t="s">
        <v>457</v>
      </c>
      <c r="C120" s="98" t="s">
        <v>458</v>
      </c>
      <c r="D120" s="65" t="s">
        <v>461</v>
      </c>
      <c r="E120" s="66" t="s">
        <v>462</v>
      </c>
    </row>
    <row r="121" spans="1:5" ht="14.4" customHeight="1" thickBot="1" x14ac:dyDescent="0.35">
      <c r="A121" s="51"/>
      <c r="B121" s="107" t="s">
        <v>457</v>
      </c>
      <c r="C121" s="108" t="s">
        <v>458</v>
      </c>
      <c r="D121" s="69" t="s">
        <v>463</v>
      </c>
      <c r="E121" s="70" t="s">
        <v>464</v>
      </c>
    </row>
    <row r="122" spans="1:5" ht="14.4" customHeight="1" x14ac:dyDescent="0.3">
      <c r="A122" s="51"/>
      <c r="B122" s="71" t="s">
        <v>21</v>
      </c>
      <c r="C122" s="60" t="s">
        <v>465</v>
      </c>
      <c r="D122" s="95" t="s">
        <v>184</v>
      </c>
      <c r="E122" s="96" t="s">
        <v>402</v>
      </c>
    </row>
    <row r="123" spans="1:5" ht="14.4" customHeight="1" x14ac:dyDescent="0.3">
      <c r="A123" s="51"/>
      <c r="B123" s="63" t="s">
        <v>21</v>
      </c>
      <c r="C123" s="60" t="s">
        <v>465</v>
      </c>
      <c r="D123" s="65" t="s">
        <v>466</v>
      </c>
      <c r="E123" s="66" t="s">
        <v>467</v>
      </c>
    </row>
    <row r="124" spans="1:5" ht="14.4" customHeight="1" x14ac:dyDescent="0.3">
      <c r="A124" s="51"/>
      <c r="B124" s="63" t="s">
        <v>21</v>
      </c>
      <c r="C124" s="60" t="s">
        <v>465</v>
      </c>
      <c r="D124" s="65" t="s">
        <v>163</v>
      </c>
      <c r="E124" s="66" t="s">
        <v>163</v>
      </c>
    </row>
    <row r="125" spans="1:5" ht="14.4" customHeight="1" x14ac:dyDescent="0.3">
      <c r="A125" s="51"/>
      <c r="B125" s="81" t="s">
        <v>21</v>
      </c>
      <c r="C125" s="86" t="s">
        <v>465</v>
      </c>
      <c r="D125" s="69" t="s">
        <v>403</v>
      </c>
      <c r="E125" s="70" t="s">
        <v>404</v>
      </c>
    </row>
    <row r="126" spans="1:5" ht="14.4" customHeight="1" x14ac:dyDescent="0.3">
      <c r="A126" s="51"/>
      <c r="B126" s="111" t="s">
        <v>21</v>
      </c>
      <c r="C126" s="78" t="s">
        <v>25</v>
      </c>
      <c r="D126" s="79" t="s">
        <v>405</v>
      </c>
      <c r="E126" s="80" t="s">
        <v>406</v>
      </c>
    </row>
    <row r="127" spans="1:5" ht="14.4" customHeight="1" x14ac:dyDescent="0.3">
      <c r="A127" s="51"/>
      <c r="B127" s="63" t="s">
        <v>21</v>
      </c>
      <c r="C127" s="60" t="s">
        <v>25</v>
      </c>
      <c r="D127" s="61" t="s">
        <v>468</v>
      </c>
      <c r="E127" s="66" t="s">
        <v>468</v>
      </c>
    </row>
    <row r="128" spans="1:5" ht="14.4" customHeight="1" x14ac:dyDescent="0.3">
      <c r="A128" s="51"/>
      <c r="B128" s="63" t="s">
        <v>21</v>
      </c>
      <c r="C128" s="60" t="s">
        <v>25</v>
      </c>
      <c r="D128" s="65" t="s">
        <v>407</v>
      </c>
      <c r="E128" s="66" t="s">
        <v>408</v>
      </c>
    </row>
    <row r="129" spans="1:5" ht="14.4" customHeight="1" x14ac:dyDescent="0.3">
      <c r="A129" s="51"/>
      <c r="B129" s="63" t="s">
        <v>21</v>
      </c>
      <c r="C129" s="60" t="s">
        <v>25</v>
      </c>
      <c r="D129" s="65" t="s">
        <v>240</v>
      </c>
      <c r="E129" s="66" t="s">
        <v>263</v>
      </c>
    </row>
    <row r="130" spans="1:5" ht="14.4" customHeight="1" x14ac:dyDescent="0.3">
      <c r="A130" s="51"/>
      <c r="B130" s="81" t="s">
        <v>21</v>
      </c>
      <c r="C130" s="86" t="s">
        <v>25</v>
      </c>
      <c r="D130" s="69" t="s">
        <v>469</v>
      </c>
      <c r="E130" s="70" t="s">
        <v>470</v>
      </c>
    </row>
    <row r="131" spans="1:5" ht="14.4" customHeight="1" thickBot="1" x14ac:dyDescent="0.35">
      <c r="A131" s="51"/>
      <c r="B131" s="112" t="s">
        <v>21</v>
      </c>
      <c r="C131" s="90" t="s">
        <v>23</v>
      </c>
      <c r="D131" s="91" t="s">
        <v>239</v>
      </c>
      <c r="E131" s="113" t="s">
        <v>204</v>
      </c>
    </row>
    <row r="132" spans="1:5" ht="14.4" customHeight="1" x14ac:dyDescent="0.3">
      <c r="A132" s="51"/>
      <c r="B132" s="93" t="s">
        <v>26</v>
      </c>
      <c r="C132" s="94" t="s">
        <v>35</v>
      </c>
      <c r="D132" s="95" t="s">
        <v>174</v>
      </c>
      <c r="E132" s="96" t="s">
        <v>411</v>
      </c>
    </row>
    <row r="133" spans="1:5" ht="14.4" customHeight="1" x14ac:dyDescent="0.3">
      <c r="A133" s="51"/>
      <c r="B133" s="97" t="s">
        <v>26</v>
      </c>
      <c r="C133" s="98" t="s">
        <v>35</v>
      </c>
      <c r="D133" s="65" t="s">
        <v>412</v>
      </c>
      <c r="E133" s="66" t="s">
        <v>413</v>
      </c>
    </row>
    <row r="134" spans="1:5" ht="14.4" customHeight="1" x14ac:dyDescent="0.3">
      <c r="A134" s="51"/>
      <c r="B134" s="97" t="s">
        <v>26</v>
      </c>
      <c r="C134" s="98" t="s">
        <v>35</v>
      </c>
      <c r="D134" s="65" t="s">
        <v>241</v>
      </c>
      <c r="E134" s="66" t="s">
        <v>264</v>
      </c>
    </row>
    <row r="135" spans="1:5" ht="14.4" customHeight="1" x14ac:dyDescent="0.3">
      <c r="A135" s="51"/>
      <c r="B135" s="97" t="s">
        <v>26</v>
      </c>
      <c r="C135" s="98" t="s">
        <v>35</v>
      </c>
      <c r="D135" s="65" t="s">
        <v>242</v>
      </c>
      <c r="E135" s="66" t="s">
        <v>265</v>
      </c>
    </row>
    <row r="136" spans="1:5" ht="14.4" customHeight="1" x14ac:dyDescent="0.3">
      <c r="A136" s="51"/>
      <c r="B136" s="99" t="s">
        <v>26</v>
      </c>
      <c r="C136" s="100" t="s">
        <v>35</v>
      </c>
      <c r="D136" s="69" t="s">
        <v>243</v>
      </c>
      <c r="E136" s="70" t="s">
        <v>266</v>
      </c>
    </row>
    <row r="137" spans="1:5" ht="14.4" customHeight="1" x14ac:dyDescent="0.3">
      <c r="A137" s="51"/>
      <c r="B137" s="101" t="s">
        <v>26</v>
      </c>
      <c r="C137" s="102" t="s">
        <v>38</v>
      </c>
      <c r="D137" s="79" t="s">
        <v>205</v>
      </c>
      <c r="E137" s="80" t="s">
        <v>206</v>
      </c>
    </row>
    <row r="138" spans="1:5" ht="14.4" customHeight="1" x14ac:dyDescent="0.3">
      <c r="A138" s="51"/>
      <c r="B138" s="97" t="s">
        <v>26</v>
      </c>
      <c r="C138" s="98" t="s">
        <v>38</v>
      </c>
      <c r="D138" s="65" t="s">
        <v>218</v>
      </c>
      <c r="E138" s="66" t="s">
        <v>267</v>
      </c>
    </row>
    <row r="139" spans="1:5" ht="14.4" customHeight="1" x14ac:dyDescent="0.3">
      <c r="A139" s="51"/>
      <c r="B139" s="97" t="s">
        <v>26</v>
      </c>
      <c r="C139" s="98" t="s">
        <v>38</v>
      </c>
      <c r="D139" s="65" t="s">
        <v>244</v>
      </c>
      <c r="E139" s="66" t="s">
        <v>268</v>
      </c>
    </row>
    <row r="140" spans="1:5" ht="14.4" customHeight="1" x14ac:dyDescent="0.3">
      <c r="A140" s="51"/>
      <c r="B140" s="97" t="s">
        <v>26</v>
      </c>
      <c r="C140" s="98" t="s">
        <v>38</v>
      </c>
      <c r="D140" s="65" t="s">
        <v>245</v>
      </c>
      <c r="E140" s="66" t="s">
        <v>269</v>
      </c>
    </row>
    <row r="141" spans="1:5" ht="14.4" customHeight="1" x14ac:dyDescent="0.3">
      <c r="A141" s="51"/>
      <c r="B141" s="97" t="s">
        <v>26</v>
      </c>
      <c r="C141" s="98" t="s">
        <v>38</v>
      </c>
      <c r="D141" s="65" t="s">
        <v>246</v>
      </c>
      <c r="E141" s="66" t="s">
        <v>270</v>
      </c>
    </row>
    <row r="142" spans="1:5" ht="14.4" customHeight="1" x14ac:dyDescent="0.3">
      <c r="A142" s="51"/>
      <c r="B142" s="97" t="s">
        <v>26</v>
      </c>
      <c r="C142" s="98" t="s">
        <v>38</v>
      </c>
      <c r="D142" s="65" t="s">
        <v>247</v>
      </c>
      <c r="E142" s="66" t="s">
        <v>271</v>
      </c>
    </row>
    <row r="143" spans="1:5" ht="14.4" customHeight="1" x14ac:dyDescent="0.3">
      <c r="A143" s="51"/>
      <c r="B143" s="97" t="s">
        <v>26</v>
      </c>
      <c r="C143" s="98" t="s">
        <v>38</v>
      </c>
      <c r="D143" s="65" t="s">
        <v>248</v>
      </c>
      <c r="E143" s="66" t="s">
        <v>272</v>
      </c>
    </row>
    <row r="144" spans="1:5" ht="14.4" customHeight="1" x14ac:dyDescent="0.3">
      <c r="A144" s="51"/>
      <c r="B144" s="97" t="s">
        <v>26</v>
      </c>
      <c r="C144" s="98" t="s">
        <v>38</v>
      </c>
      <c r="D144" s="65" t="s">
        <v>219</v>
      </c>
      <c r="E144" s="66" t="s">
        <v>273</v>
      </c>
    </row>
    <row r="145" spans="1:5" ht="14.4" customHeight="1" x14ac:dyDescent="0.3">
      <c r="A145" s="51"/>
      <c r="B145" s="97" t="s">
        <v>26</v>
      </c>
      <c r="C145" s="98" t="s">
        <v>38</v>
      </c>
      <c r="D145" s="65" t="s">
        <v>249</v>
      </c>
      <c r="E145" s="66" t="s">
        <v>274</v>
      </c>
    </row>
    <row r="146" spans="1:5" ht="14.4" customHeight="1" x14ac:dyDescent="0.3">
      <c r="A146" s="51"/>
      <c r="B146" s="97" t="s">
        <v>26</v>
      </c>
      <c r="C146" s="98" t="s">
        <v>38</v>
      </c>
      <c r="D146" s="65" t="s">
        <v>250</v>
      </c>
      <c r="E146" s="66" t="s">
        <v>275</v>
      </c>
    </row>
    <row r="147" spans="1:5" ht="14.4" customHeight="1" x14ac:dyDescent="0.3">
      <c r="A147" s="51"/>
      <c r="B147" s="97" t="s">
        <v>26</v>
      </c>
      <c r="C147" s="98" t="s">
        <v>38</v>
      </c>
      <c r="D147" s="65" t="s">
        <v>251</v>
      </c>
      <c r="E147" s="66" t="s">
        <v>276</v>
      </c>
    </row>
    <row r="148" spans="1:5" ht="14.4" customHeight="1" x14ac:dyDescent="0.3">
      <c r="A148" s="51"/>
      <c r="B148" s="97" t="s">
        <v>26</v>
      </c>
      <c r="C148" s="98" t="s">
        <v>38</v>
      </c>
      <c r="D148" s="65" t="s">
        <v>252</v>
      </c>
      <c r="E148" s="66" t="s">
        <v>277</v>
      </c>
    </row>
    <row r="149" spans="1:5" ht="14.4" customHeight="1" x14ac:dyDescent="0.3">
      <c r="A149" s="51"/>
      <c r="B149" s="97" t="s">
        <v>26</v>
      </c>
      <c r="C149" s="98" t="s">
        <v>38</v>
      </c>
      <c r="D149" s="65" t="s">
        <v>175</v>
      </c>
      <c r="E149" s="66" t="s">
        <v>220</v>
      </c>
    </row>
    <row r="150" spans="1:5" ht="14.4" customHeight="1" x14ac:dyDescent="0.3">
      <c r="A150" s="51"/>
      <c r="B150" s="103" t="s">
        <v>26</v>
      </c>
      <c r="C150" s="104" t="s">
        <v>38</v>
      </c>
      <c r="D150" s="83" t="s">
        <v>253</v>
      </c>
      <c r="E150" s="84" t="s">
        <v>278</v>
      </c>
    </row>
    <row r="151" spans="1:5" ht="14.4" customHeight="1" x14ac:dyDescent="0.3">
      <c r="A151" s="51"/>
      <c r="B151" s="105" t="s">
        <v>26</v>
      </c>
      <c r="C151" s="106" t="s">
        <v>37</v>
      </c>
      <c r="D151" s="61" t="s">
        <v>207</v>
      </c>
      <c r="E151" s="62" t="s">
        <v>208</v>
      </c>
    </row>
    <row r="152" spans="1:5" ht="14.4" customHeight="1" x14ac:dyDescent="0.3">
      <c r="A152" s="51"/>
      <c r="B152" s="97" t="s">
        <v>26</v>
      </c>
      <c r="C152" s="98" t="s">
        <v>37</v>
      </c>
      <c r="D152" s="65" t="s">
        <v>471</v>
      </c>
      <c r="E152" s="66" t="s">
        <v>472</v>
      </c>
    </row>
    <row r="153" spans="1:5" ht="14.4" customHeight="1" x14ac:dyDescent="0.3">
      <c r="A153" s="51"/>
      <c r="B153" s="99" t="s">
        <v>26</v>
      </c>
      <c r="C153" s="100" t="s">
        <v>37</v>
      </c>
      <c r="D153" s="69" t="s">
        <v>409</v>
      </c>
      <c r="E153" s="70" t="s">
        <v>410</v>
      </c>
    </row>
    <row r="154" spans="1:5" ht="14.4" customHeight="1" x14ac:dyDescent="0.3">
      <c r="A154" s="51"/>
      <c r="B154" s="101" t="s">
        <v>26</v>
      </c>
      <c r="C154" s="102" t="s">
        <v>31</v>
      </c>
      <c r="D154" s="79" t="s">
        <v>254</v>
      </c>
      <c r="E154" s="80" t="s">
        <v>473</v>
      </c>
    </row>
    <row r="155" spans="1:5" ht="14.4" customHeight="1" x14ac:dyDescent="0.3">
      <c r="A155" s="51"/>
      <c r="B155" s="97" t="s">
        <v>26</v>
      </c>
      <c r="C155" s="98" t="s">
        <v>31</v>
      </c>
      <c r="D155" s="65" t="s">
        <v>255</v>
      </c>
      <c r="E155" s="66" t="s">
        <v>474</v>
      </c>
    </row>
    <row r="156" spans="1:5" ht="14.4" customHeight="1" x14ac:dyDescent="0.3">
      <c r="A156" s="51"/>
      <c r="B156" s="103" t="s">
        <v>26</v>
      </c>
      <c r="C156" s="104" t="s">
        <v>31</v>
      </c>
      <c r="D156" s="83" t="s">
        <v>256</v>
      </c>
      <c r="E156" s="84" t="s">
        <v>279</v>
      </c>
    </row>
    <row r="157" spans="1:5" ht="14.4" customHeight="1" thickBot="1" x14ac:dyDescent="0.35">
      <c r="A157" s="51"/>
      <c r="B157" s="114" t="s">
        <v>26</v>
      </c>
      <c r="C157" s="115" t="s">
        <v>475</v>
      </c>
      <c r="D157" s="116" t="s">
        <v>476</v>
      </c>
      <c r="E157" s="117" t="s">
        <v>477</v>
      </c>
    </row>
    <row r="158" spans="1:5" ht="14.4" customHeight="1" x14ac:dyDescent="0.3">
      <c r="A158" s="51"/>
      <c r="B158" s="71" t="s">
        <v>27</v>
      </c>
      <c r="C158" s="60" t="s">
        <v>30</v>
      </c>
      <c r="D158" s="61" t="s">
        <v>257</v>
      </c>
      <c r="E158" s="118" t="s">
        <v>281</v>
      </c>
    </row>
    <row r="159" spans="1:5" ht="14.4" customHeight="1" x14ac:dyDescent="0.3">
      <c r="A159" s="51"/>
      <c r="B159" s="63" t="s">
        <v>27</v>
      </c>
      <c r="C159" s="64" t="s">
        <v>30</v>
      </c>
      <c r="D159" s="65" t="s">
        <v>415</v>
      </c>
      <c r="E159" s="119" t="s">
        <v>280</v>
      </c>
    </row>
    <row r="160" spans="1:5" ht="14.4" customHeight="1" x14ac:dyDescent="0.3">
      <c r="A160" s="51"/>
      <c r="B160" s="63" t="s">
        <v>27</v>
      </c>
      <c r="C160" s="64" t="s">
        <v>30</v>
      </c>
      <c r="D160" s="65" t="s">
        <v>416</v>
      </c>
      <c r="E160" s="119" t="s">
        <v>282</v>
      </c>
    </row>
    <row r="161" spans="1:5" ht="14.4" customHeight="1" x14ac:dyDescent="0.3">
      <c r="A161" s="51"/>
      <c r="B161" s="63" t="s">
        <v>27</v>
      </c>
      <c r="C161" s="64" t="s">
        <v>30</v>
      </c>
      <c r="D161" s="65" t="s">
        <v>417</v>
      </c>
      <c r="E161" s="119" t="s">
        <v>418</v>
      </c>
    </row>
    <row r="162" spans="1:5" ht="14.4" customHeight="1" x14ac:dyDescent="0.3">
      <c r="A162" s="51"/>
      <c r="B162" s="63" t="s">
        <v>27</v>
      </c>
      <c r="C162" s="64" t="s">
        <v>30</v>
      </c>
      <c r="D162" s="65" t="s">
        <v>419</v>
      </c>
      <c r="E162" s="119" t="s">
        <v>420</v>
      </c>
    </row>
    <row r="163" spans="1:5" ht="14.4" customHeight="1" x14ac:dyDescent="0.3">
      <c r="A163" s="51"/>
      <c r="B163" s="81" t="s">
        <v>27</v>
      </c>
      <c r="C163" s="68" t="s">
        <v>30</v>
      </c>
      <c r="D163" s="69" t="s">
        <v>421</v>
      </c>
      <c r="E163" s="120" t="s">
        <v>422</v>
      </c>
    </row>
    <row r="164" spans="1:5" ht="14.4" customHeight="1" x14ac:dyDescent="0.3">
      <c r="A164" s="51"/>
      <c r="B164" s="111" t="s">
        <v>27</v>
      </c>
      <c r="C164" s="78" t="s">
        <v>36</v>
      </c>
      <c r="D164" s="121" t="s">
        <v>478</v>
      </c>
      <c r="E164" s="122" t="s">
        <v>479</v>
      </c>
    </row>
    <row r="165" spans="1:5" ht="14.4" customHeight="1" thickBot="1" x14ac:dyDescent="0.35">
      <c r="B165" s="81" t="s">
        <v>27</v>
      </c>
      <c r="C165" s="68" t="s">
        <v>33</v>
      </c>
      <c r="D165" s="69" t="s">
        <v>414</v>
      </c>
      <c r="E165" s="70" t="s">
        <v>283</v>
      </c>
    </row>
    <row r="166" spans="1:5" ht="14.4" customHeight="1" thickBot="1" x14ac:dyDescent="0.35">
      <c r="B166" s="123" t="s">
        <v>28</v>
      </c>
      <c r="C166" s="124" t="s">
        <v>32</v>
      </c>
      <c r="D166" s="125" t="s">
        <v>423</v>
      </c>
      <c r="E166" s="126" t="s">
        <v>65</v>
      </c>
    </row>
    <row r="167" spans="1:5" ht="14.4" customHeight="1" x14ac:dyDescent="0.3">
      <c r="B167" s="71" t="s">
        <v>29</v>
      </c>
      <c r="C167" s="60" t="s">
        <v>34</v>
      </c>
      <c r="D167" s="61" t="s">
        <v>228</v>
      </c>
      <c r="E167" s="62" t="s">
        <v>424</v>
      </c>
    </row>
    <row r="168" spans="1:5" ht="14.4" customHeight="1" x14ac:dyDescent="0.3">
      <c r="B168" s="63" t="s">
        <v>29</v>
      </c>
      <c r="C168" s="64" t="s">
        <v>34</v>
      </c>
      <c r="D168" s="65" t="s">
        <v>231</v>
      </c>
      <c r="E168" s="66" t="s">
        <v>231</v>
      </c>
    </row>
    <row r="169" spans="1:5" ht="14.4" customHeight="1" x14ac:dyDescent="0.3">
      <c r="B169" s="63" t="s">
        <v>29</v>
      </c>
      <c r="C169" s="64" t="s">
        <v>34</v>
      </c>
      <c r="D169" s="65" t="s">
        <v>232</v>
      </c>
      <c r="E169" s="66" t="s">
        <v>232</v>
      </c>
    </row>
    <row r="170" spans="1:5" ht="14.4" customHeight="1" x14ac:dyDescent="0.3">
      <c r="B170" s="63" t="s">
        <v>29</v>
      </c>
      <c r="C170" s="64" t="s">
        <v>34</v>
      </c>
      <c r="D170" s="65" t="s">
        <v>425</v>
      </c>
      <c r="E170" s="66" t="s">
        <v>426</v>
      </c>
    </row>
    <row r="171" spans="1:5" ht="14.4" customHeight="1" x14ac:dyDescent="0.3">
      <c r="B171" s="63" t="s">
        <v>29</v>
      </c>
      <c r="C171" s="64" t="s">
        <v>34</v>
      </c>
      <c r="D171" s="65" t="s">
        <v>182</v>
      </c>
      <c r="E171" s="66" t="s">
        <v>182</v>
      </c>
    </row>
    <row r="172" spans="1:5" ht="14.4" customHeight="1" x14ac:dyDescent="0.3">
      <c r="B172" s="63" t="s">
        <v>29</v>
      </c>
      <c r="C172" s="64" t="s">
        <v>34</v>
      </c>
      <c r="D172" s="65" t="s">
        <v>427</v>
      </c>
      <c r="E172" s="66" t="s">
        <v>427</v>
      </c>
    </row>
    <row r="173" spans="1:5" ht="14.4" customHeight="1" x14ac:dyDescent="0.3">
      <c r="B173" s="63" t="s">
        <v>29</v>
      </c>
      <c r="C173" s="64" t="s">
        <v>34</v>
      </c>
      <c r="D173" s="65" t="s">
        <v>428</v>
      </c>
      <c r="E173" s="66" t="s">
        <v>480</v>
      </c>
    </row>
    <row r="174" spans="1:5" ht="14.4" customHeight="1" x14ac:dyDescent="0.3">
      <c r="B174" s="63" t="s">
        <v>29</v>
      </c>
      <c r="C174" s="64" t="s">
        <v>34</v>
      </c>
      <c r="D174" s="69" t="s">
        <v>481</v>
      </c>
      <c r="E174" s="66" t="s">
        <v>481</v>
      </c>
    </row>
    <row r="175" spans="1:5" ht="14.4" customHeight="1" thickBot="1" x14ac:dyDescent="0.35">
      <c r="B175" s="81" t="s">
        <v>29</v>
      </c>
      <c r="C175" s="68" t="s">
        <v>34</v>
      </c>
      <c r="D175" s="69" t="s">
        <v>229</v>
      </c>
      <c r="E175" s="70" t="s">
        <v>230</v>
      </c>
    </row>
    <row r="176" spans="1:5" ht="14.4" customHeight="1" thickBot="1" x14ac:dyDescent="0.35">
      <c r="B176" s="127" t="s">
        <v>300</v>
      </c>
      <c r="C176" s="128" t="s">
        <v>300</v>
      </c>
      <c r="D176" s="125" t="s">
        <v>300</v>
      </c>
      <c r="E176" s="126" t="s">
        <v>300</v>
      </c>
    </row>
  </sheetData>
  <sheetProtection algorithmName="SHA-512" hashValue="dFGc4ROQB/GqwJ+BM78Xkf+uVJpWMky4WYCZVX+u0SXJ/0GjKP2QTCHPAwHp8T4UxCMpK7BEdbmLUqtURil4VQ==" saltValue="aaobo/Sus0sgvw0jzK7YUg==" spinCount="100000" sheet="1" objects="1" scenarios="1" autoFilter="0" pivotTables="0"/>
  <protectedRanges>
    <protectedRange sqref="D93" name="Campos"/>
  </protectedRanges>
  <autoFilter ref="B1:E176" xr:uid="{00000000-0009-0000-0000-000003000000}"/>
  <conditionalFormatting sqref="D40:D41">
    <cfRule type="duplicateValues" dxfId="13" priority="14"/>
  </conditionalFormatting>
  <conditionalFormatting sqref="D50">
    <cfRule type="duplicateValues" dxfId="12" priority="12"/>
  </conditionalFormatting>
  <conditionalFormatting sqref="D55:D59">
    <cfRule type="duplicateValues" dxfId="11" priority="13"/>
  </conditionalFormatting>
  <conditionalFormatting sqref="D88">
    <cfRule type="duplicateValues" dxfId="10" priority="11"/>
  </conditionalFormatting>
  <conditionalFormatting sqref="D90">
    <cfRule type="duplicateValues" dxfId="9" priority="9"/>
  </conditionalFormatting>
  <conditionalFormatting sqref="D91">
    <cfRule type="duplicateValues" dxfId="8" priority="15"/>
  </conditionalFormatting>
  <conditionalFormatting sqref="D92 D42:D49 D1:D39 D60:D87 D51:D54 D89 D94:D117 D123:D129 D131:D176">
    <cfRule type="duplicateValues" dxfId="7" priority="16"/>
  </conditionalFormatting>
  <conditionalFormatting sqref="D93">
    <cfRule type="duplicateValues" dxfId="6" priority="10"/>
  </conditionalFormatting>
  <conditionalFormatting sqref="D118">
    <cfRule type="duplicateValues" dxfId="5" priority="5"/>
  </conditionalFormatting>
  <conditionalFormatting sqref="D119">
    <cfRule type="duplicateValues" dxfId="4" priority="4"/>
  </conditionalFormatting>
  <conditionalFormatting sqref="D120">
    <cfRule type="duplicateValues" dxfId="3" priority="1"/>
  </conditionalFormatting>
  <conditionalFormatting sqref="D121">
    <cfRule type="duplicateValues" dxfId="2" priority="2"/>
  </conditionalFormatting>
  <conditionalFormatting sqref="D122">
    <cfRule type="duplicateValues" dxfId="1" priority="3"/>
  </conditionalFormatting>
  <conditionalFormatting sqref="D130"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8" tint="0.79998168889431442"/>
  </sheetPr>
  <dimension ref="A1:A207"/>
  <sheetViews>
    <sheetView topLeftCell="A162" workbookViewId="0">
      <selection activeCell="A2" sqref="A2:A176"/>
    </sheetView>
  </sheetViews>
  <sheetFormatPr defaultRowHeight="14.4" x14ac:dyDescent="0.3"/>
  <cols>
    <col min="1" max="1" width="85.33203125" style="45" bestFit="1" customWidth="1"/>
  </cols>
  <sheetData>
    <row r="1" spans="1:1" x14ac:dyDescent="0.3">
      <c r="A1" s="46" t="s">
        <v>161</v>
      </c>
    </row>
    <row r="2" spans="1:1" x14ac:dyDescent="0.3">
      <c r="A2" s="45" t="s">
        <v>39</v>
      </c>
    </row>
    <row r="3" spans="1:1" x14ac:dyDescent="0.3">
      <c r="A3" s="45" t="s">
        <v>173</v>
      </c>
    </row>
    <row r="4" spans="1:1" x14ac:dyDescent="0.3">
      <c r="A4" s="45" t="s">
        <v>302</v>
      </c>
    </row>
    <row r="5" spans="1:1" x14ac:dyDescent="0.3">
      <c r="A5" s="45" t="s">
        <v>304</v>
      </c>
    </row>
    <row r="6" spans="1:1" x14ac:dyDescent="0.3">
      <c r="A6" s="45" t="s">
        <v>433</v>
      </c>
    </row>
    <row r="7" spans="1:1" x14ac:dyDescent="0.3">
      <c r="A7" s="45" t="s">
        <v>306</v>
      </c>
    </row>
    <row r="8" spans="1:1" x14ac:dyDescent="0.3">
      <c r="A8" s="45" t="s">
        <v>308</v>
      </c>
    </row>
    <row r="9" spans="1:1" x14ac:dyDescent="0.3">
      <c r="A9" s="45" t="s">
        <v>310</v>
      </c>
    </row>
    <row r="10" spans="1:1" x14ac:dyDescent="0.3">
      <c r="A10" s="45" t="s">
        <v>311</v>
      </c>
    </row>
    <row r="11" spans="1:1" x14ac:dyDescent="0.3">
      <c r="A11" s="45" t="s">
        <v>313</v>
      </c>
    </row>
    <row r="12" spans="1:1" x14ac:dyDescent="0.3">
      <c r="A12" s="45" t="s">
        <v>167</v>
      </c>
    </row>
    <row r="13" spans="1:1" x14ac:dyDescent="0.3">
      <c r="A13" t="s">
        <v>284</v>
      </c>
    </row>
    <row r="14" spans="1:1" x14ac:dyDescent="0.3">
      <c r="A14" t="s">
        <v>177</v>
      </c>
    </row>
    <row r="15" spans="1:1" x14ac:dyDescent="0.3">
      <c r="A15" t="s">
        <v>178</v>
      </c>
    </row>
    <row r="16" spans="1:1" x14ac:dyDescent="0.3">
      <c r="A16" t="s">
        <v>180</v>
      </c>
    </row>
    <row r="17" spans="1:1" x14ac:dyDescent="0.3">
      <c r="A17" t="s">
        <v>168</v>
      </c>
    </row>
    <row r="18" spans="1:1" x14ac:dyDescent="0.3">
      <c r="A18" t="s">
        <v>5</v>
      </c>
    </row>
    <row r="19" spans="1:1" x14ac:dyDescent="0.3">
      <c r="A19" t="s">
        <v>6</v>
      </c>
    </row>
    <row r="20" spans="1:1" x14ac:dyDescent="0.3">
      <c r="A20" t="s">
        <v>7</v>
      </c>
    </row>
    <row r="21" spans="1:1" x14ac:dyDescent="0.3">
      <c r="A21" t="s">
        <v>434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  <row r="28" spans="1:1" x14ac:dyDescent="0.3">
      <c r="A28" t="s">
        <v>17</v>
      </c>
    </row>
    <row r="29" spans="1:1" x14ac:dyDescent="0.3">
      <c r="A29" t="s">
        <v>18</v>
      </c>
    </row>
    <row r="30" spans="1:1" x14ac:dyDescent="0.3">
      <c r="A30" t="s">
        <v>172</v>
      </c>
    </row>
    <row r="31" spans="1:1" x14ac:dyDescent="0.3">
      <c r="A31" t="s">
        <v>315</v>
      </c>
    </row>
    <row r="32" spans="1:1" x14ac:dyDescent="0.3">
      <c r="A32" t="s">
        <v>317</v>
      </c>
    </row>
    <row r="33" spans="1:1" x14ac:dyDescent="0.3">
      <c r="A33" t="s">
        <v>319</v>
      </c>
    </row>
    <row r="34" spans="1:1" x14ac:dyDescent="0.3">
      <c r="A34" t="s">
        <v>321</v>
      </c>
    </row>
    <row r="35" spans="1:1" x14ac:dyDescent="0.3">
      <c r="A35" t="s">
        <v>234</v>
      </c>
    </row>
    <row r="36" spans="1:1" x14ac:dyDescent="0.3">
      <c r="A36" t="s">
        <v>194</v>
      </c>
    </row>
    <row r="37" spans="1:1" x14ac:dyDescent="0.3">
      <c r="A37" t="s">
        <v>435</v>
      </c>
    </row>
    <row r="38" spans="1:1" x14ac:dyDescent="0.3">
      <c r="A38" t="s">
        <v>179</v>
      </c>
    </row>
    <row r="39" spans="1:1" x14ac:dyDescent="0.3">
      <c r="A39" t="s">
        <v>181</v>
      </c>
    </row>
    <row r="40" spans="1:1" x14ac:dyDescent="0.3">
      <c r="A40" t="s">
        <v>436</v>
      </c>
    </row>
    <row r="41" spans="1:1" x14ac:dyDescent="0.3">
      <c r="A41" t="s">
        <v>438</v>
      </c>
    </row>
    <row r="42" spans="1:1" x14ac:dyDescent="0.3">
      <c r="A42" t="s">
        <v>200</v>
      </c>
    </row>
    <row r="43" spans="1:1" x14ac:dyDescent="0.3">
      <c r="A43" t="s">
        <v>198</v>
      </c>
    </row>
    <row r="44" spans="1:1" x14ac:dyDescent="0.3">
      <c r="A44" t="s">
        <v>323</v>
      </c>
    </row>
    <row r="45" spans="1:1" x14ac:dyDescent="0.3">
      <c r="A45" t="s">
        <v>4</v>
      </c>
    </row>
    <row r="46" spans="1:1" x14ac:dyDescent="0.3">
      <c r="A46" t="s">
        <v>325</v>
      </c>
    </row>
    <row r="47" spans="1:1" x14ac:dyDescent="0.3">
      <c r="A47" t="s">
        <v>327</v>
      </c>
    </row>
    <row r="48" spans="1:1" x14ac:dyDescent="0.3">
      <c r="A48" t="s">
        <v>329</v>
      </c>
    </row>
    <row r="49" spans="1:1" x14ac:dyDescent="0.3">
      <c r="A49" t="s">
        <v>331</v>
      </c>
    </row>
    <row r="50" spans="1:1" x14ac:dyDescent="0.3">
      <c r="A50" t="s">
        <v>439</v>
      </c>
    </row>
    <row r="51" spans="1:1" x14ac:dyDescent="0.3">
      <c r="A51" t="s">
        <v>8</v>
      </c>
    </row>
    <row r="52" spans="1:1" x14ac:dyDescent="0.3">
      <c r="A52" t="s">
        <v>10</v>
      </c>
    </row>
    <row r="53" spans="1:1" x14ac:dyDescent="0.3">
      <c r="A53" t="s">
        <v>9</v>
      </c>
    </row>
    <row r="54" spans="1:1" x14ac:dyDescent="0.3">
      <c r="A54" t="s">
        <v>332</v>
      </c>
    </row>
    <row r="55" spans="1:1" x14ac:dyDescent="0.3">
      <c r="A55" t="s">
        <v>443</v>
      </c>
    </row>
    <row r="56" spans="1:1" x14ac:dyDescent="0.3">
      <c r="A56" t="s">
        <v>333</v>
      </c>
    </row>
    <row r="57" spans="1:1" x14ac:dyDescent="0.3">
      <c r="A57" t="s">
        <v>335</v>
      </c>
    </row>
    <row r="58" spans="1:1" x14ac:dyDescent="0.3">
      <c r="A58" t="s">
        <v>337</v>
      </c>
    </row>
    <row r="59" spans="1:1" x14ac:dyDescent="0.3">
      <c r="A59" t="s">
        <v>445</v>
      </c>
    </row>
    <row r="60" spans="1:1" x14ac:dyDescent="0.3">
      <c r="A60" t="s">
        <v>339</v>
      </c>
    </row>
    <row r="61" spans="1:1" x14ac:dyDescent="0.3">
      <c r="A61" t="s">
        <v>340</v>
      </c>
    </row>
    <row r="62" spans="1:1" x14ac:dyDescent="0.3">
      <c r="A62" t="s">
        <v>447</v>
      </c>
    </row>
    <row r="63" spans="1:1" x14ac:dyDescent="0.3">
      <c r="A63" t="s">
        <v>169</v>
      </c>
    </row>
    <row r="64" spans="1:1" x14ac:dyDescent="0.3">
      <c r="A64" t="s">
        <v>170</v>
      </c>
    </row>
    <row r="65" spans="1:1" x14ac:dyDescent="0.3">
      <c r="A65" t="s">
        <v>176</v>
      </c>
    </row>
    <row r="66" spans="1:1" x14ac:dyDescent="0.3">
      <c r="A66" t="s">
        <v>3</v>
      </c>
    </row>
    <row r="67" spans="1:1" x14ac:dyDescent="0.3">
      <c r="A67" t="s">
        <v>342</v>
      </c>
    </row>
    <row r="68" spans="1:1" x14ac:dyDescent="0.3">
      <c r="A68" t="s">
        <v>343</v>
      </c>
    </row>
    <row r="69" spans="1:1" x14ac:dyDescent="0.3">
      <c r="A69" t="s">
        <v>188</v>
      </c>
    </row>
    <row r="70" spans="1:1" x14ac:dyDescent="0.3">
      <c r="A70" t="s">
        <v>235</v>
      </c>
    </row>
    <row r="71" spans="1:1" x14ac:dyDescent="0.3">
      <c r="A71" t="s">
        <v>344</v>
      </c>
    </row>
    <row r="72" spans="1:1" x14ac:dyDescent="0.3">
      <c r="A72" t="s">
        <v>346</v>
      </c>
    </row>
    <row r="73" spans="1:1" x14ac:dyDescent="0.3">
      <c r="A73" t="s">
        <v>348</v>
      </c>
    </row>
    <row r="74" spans="1:1" x14ac:dyDescent="0.3">
      <c r="A74" t="s">
        <v>236</v>
      </c>
    </row>
    <row r="75" spans="1:1" x14ac:dyDescent="0.3">
      <c r="A75" t="s">
        <v>186</v>
      </c>
    </row>
    <row r="76" spans="1:1" x14ac:dyDescent="0.3">
      <c r="A76" t="s">
        <v>350</v>
      </c>
    </row>
    <row r="77" spans="1:1" x14ac:dyDescent="0.3">
      <c r="A77" t="s">
        <v>352</v>
      </c>
    </row>
    <row r="78" spans="1:1" x14ac:dyDescent="0.3">
      <c r="A78" t="s">
        <v>354</v>
      </c>
    </row>
    <row r="79" spans="1:1" x14ac:dyDescent="0.3">
      <c r="A79" t="s">
        <v>356</v>
      </c>
    </row>
    <row r="80" spans="1:1" x14ac:dyDescent="0.3">
      <c r="A80" t="s">
        <v>189</v>
      </c>
    </row>
    <row r="81" spans="1:1" x14ac:dyDescent="0.3">
      <c r="A81" t="s">
        <v>357</v>
      </c>
    </row>
    <row r="82" spans="1:1" x14ac:dyDescent="0.3">
      <c r="A82" t="s">
        <v>359</v>
      </c>
    </row>
    <row r="83" spans="1:1" x14ac:dyDescent="0.3">
      <c r="A83" t="s">
        <v>361</v>
      </c>
    </row>
    <row r="84" spans="1:1" x14ac:dyDescent="0.3">
      <c r="A84" t="s">
        <v>362</v>
      </c>
    </row>
    <row r="85" spans="1:1" x14ac:dyDescent="0.3">
      <c r="A85" t="s">
        <v>364</v>
      </c>
    </row>
    <row r="86" spans="1:1" x14ac:dyDescent="0.3">
      <c r="A86" t="s">
        <v>366</v>
      </c>
    </row>
    <row r="87" spans="1:1" x14ac:dyDescent="0.3">
      <c r="A87" t="s">
        <v>368</v>
      </c>
    </row>
    <row r="88" spans="1:1" x14ac:dyDescent="0.3">
      <c r="A88" t="s">
        <v>450</v>
      </c>
    </row>
    <row r="89" spans="1:1" x14ac:dyDescent="0.3">
      <c r="A89" t="s">
        <v>372</v>
      </c>
    </row>
    <row r="90" spans="1:1" x14ac:dyDescent="0.3">
      <c r="A90" t="s">
        <v>452</v>
      </c>
    </row>
    <row r="91" spans="1:1" x14ac:dyDescent="0.3">
      <c r="A91" t="s">
        <v>373</v>
      </c>
    </row>
    <row r="92" spans="1:1" x14ac:dyDescent="0.3">
      <c r="A92" t="s">
        <v>370</v>
      </c>
    </row>
    <row r="93" spans="1:1" x14ac:dyDescent="0.3">
      <c r="A93" t="s">
        <v>182</v>
      </c>
    </row>
    <row r="94" spans="1:1" x14ac:dyDescent="0.3">
      <c r="A94" t="s">
        <v>375</v>
      </c>
    </row>
    <row r="95" spans="1:1" x14ac:dyDescent="0.3">
      <c r="A95" t="s">
        <v>376</v>
      </c>
    </row>
    <row r="96" spans="1:1" x14ac:dyDescent="0.3">
      <c r="A96" t="s">
        <v>378</v>
      </c>
    </row>
    <row r="97" spans="1:1" x14ac:dyDescent="0.3">
      <c r="A97" t="s">
        <v>379</v>
      </c>
    </row>
    <row r="98" spans="1:1" x14ac:dyDescent="0.3">
      <c r="A98" t="s">
        <v>237</v>
      </c>
    </row>
    <row r="99" spans="1:1" x14ac:dyDescent="0.3">
      <c r="A99" t="s">
        <v>380</v>
      </c>
    </row>
    <row r="100" spans="1:1" x14ac:dyDescent="0.3">
      <c r="A100" t="s">
        <v>381</v>
      </c>
    </row>
    <row r="101" spans="1:1" x14ac:dyDescent="0.3">
      <c r="A101" t="s">
        <v>166</v>
      </c>
    </row>
    <row r="102" spans="1:1" x14ac:dyDescent="0.3">
      <c r="A102" t="s">
        <v>383</v>
      </c>
    </row>
    <row r="103" spans="1:1" x14ac:dyDescent="0.3">
      <c r="A103" t="s">
        <v>385</v>
      </c>
    </row>
    <row r="104" spans="1:1" x14ac:dyDescent="0.3">
      <c r="A104" t="s">
        <v>387</v>
      </c>
    </row>
    <row r="105" spans="1:1" x14ac:dyDescent="0.3">
      <c r="A105" t="s">
        <v>192</v>
      </c>
    </row>
    <row r="106" spans="1:1" x14ac:dyDescent="0.3">
      <c r="A106" t="s">
        <v>190</v>
      </c>
    </row>
    <row r="107" spans="1:1" x14ac:dyDescent="0.3">
      <c r="A107" t="s">
        <v>389</v>
      </c>
    </row>
    <row r="108" spans="1:1" x14ac:dyDescent="0.3">
      <c r="A108" t="s">
        <v>187</v>
      </c>
    </row>
    <row r="109" spans="1:1" x14ac:dyDescent="0.3">
      <c r="A109" t="s">
        <v>390</v>
      </c>
    </row>
    <row r="110" spans="1:1" x14ac:dyDescent="0.3">
      <c r="A110" t="s">
        <v>392</v>
      </c>
    </row>
    <row r="111" spans="1:1" x14ac:dyDescent="0.3">
      <c r="A111" t="s">
        <v>393</v>
      </c>
    </row>
    <row r="112" spans="1:1" x14ac:dyDescent="0.3">
      <c r="A112" t="s">
        <v>394</v>
      </c>
    </row>
    <row r="113" spans="1:1" x14ac:dyDescent="0.3">
      <c r="A113" t="s">
        <v>395</v>
      </c>
    </row>
    <row r="114" spans="1:1" x14ac:dyDescent="0.3">
      <c r="A114" t="s">
        <v>397</v>
      </c>
    </row>
    <row r="115" spans="1:1" x14ac:dyDescent="0.3">
      <c r="A115" t="s">
        <v>399</v>
      </c>
    </row>
    <row r="116" spans="1:1" x14ac:dyDescent="0.3">
      <c r="A116" t="s">
        <v>400</v>
      </c>
    </row>
    <row r="117" spans="1:1" x14ac:dyDescent="0.3">
      <c r="A117" t="s">
        <v>238</v>
      </c>
    </row>
    <row r="118" spans="1:1" x14ac:dyDescent="0.3">
      <c r="A118" t="s">
        <v>455</v>
      </c>
    </row>
    <row r="119" spans="1:1" x14ac:dyDescent="0.3">
      <c r="A119" t="s">
        <v>459</v>
      </c>
    </row>
    <row r="120" spans="1:1" x14ac:dyDescent="0.3">
      <c r="A120" t="s">
        <v>461</v>
      </c>
    </row>
    <row r="121" spans="1:1" x14ac:dyDescent="0.3">
      <c r="A121" t="s">
        <v>463</v>
      </c>
    </row>
    <row r="122" spans="1:1" x14ac:dyDescent="0.3">
      <c r="A122" t="s">
        <v>184</v>
      </c>
    </row>
    <row r="123" spans="1:1" x14ac:dyDescent="0.3">
      <c r="A123" t="s">
        <v>466</v>
      </c>
    </row>
    <row r="124" spans="1:1" x14ac:dyDescent="0.3">
      <c r="A124" t="s">
        <v>163</v>
      </c>
    </row>
    <row r="125" spans="1:1" x14ac:dyDescent="0.3">
      <c r="A125" t="s">
        <v>403</v>
      </c>
    </row>
    <row r="126" spans="1:1" x14ac:dyDescent="0.3">
      <c r="A126" t="s">
        <v>405</v>
      </c>
    </row>
    <row r="127" spans="1:1" x14ac:dyDescent="0.3">
      <c r="A127" t="s">
        <v>468</v>
      </c>
    </row>
    <row r="128" spans="1:1" x14ac:dyDescent="0.3">
      <c r="A128" t="s">
        <v>407</v>
      </c>
    </row>
    <row r="129" spans="1:1" x14ac:dyDescent="0.3">
      <c r="A129" t="s">
        <v>240</v>
      </c>
    </row>
    <row r="130" spans="1:1" x14ac:dyDescent="0.3">
      <c r="A130" t="s">
        <v>469</v>
      </c>
    </row>
    <row r="131" spans="1:1" x14ac:dyDescent="0.3">
      <c r="A131" t="s">
        <v>239</v>
      </c>
    </row>
    <row r="132" spans="1:1" x14ac:dyDescent="0.3">
      <c r="A132" t="s">
        <v>174</v>
      </c>
    </row>
    <row r="133" spans="1:1" x14ac:dyDescent="0.3">
      <c r="A133" t="s">
        <v>412</v>
      </c>
    </row>
    <row r="134" spans="1:1" x14ac:dyDescent="0.3">
      <c r="A134" t="s">
        <v>241</v>
      </c>
    </row>
    <row r="135" spans="1:1" x14ac:dyDescent="0.3">
      <c r="A135" t="s">
        <v>242</v>
      </c>
    </row>
    <row r="136" spans="1:1" x14ac:dyDescent="0.3">
      <c r="A136" t="s">
        <v>243</v>
      </c>
    </row>
    <row r="137" spans="1:1" x14ac:dyDescent="0.3">
      <c r="A137" t="s">
        <v>205</v>
      </c>
    </row>
    <row r="138" spans="1:1" x14ac:dyDescent="0.3">
      <c r="A138" t="s">
        <v>218</v>
      </c>
    </row>
    <row r="139" spans="1:1" x14ac:dyDescent="0.3">
      <c r="A139" t="s">
        <v>244</v>
      </c>
    </row>
    <row r="140" spans="1:1" x14ac:dyDescent="0.3">
      <c r="A140" t="s">
        <v>245</v>
      </c>
    </row>
    <row r="141" spans="1:1" x14ac:dyDescent="0.3">
      <c r="A141" t="s">
        <v>246</v>
      </c>
    </row>
    <row r="142" spans="1:1" x14ac:dyDescent="0.3">
      <c r="A142" t="s">
        <v>247</v>
      </c>
    </row>
    <row r="143" spans="1:1" x14ac:dyDescent="0.3">
      <c r="A143" t="s">
        <v>248</v>
      </c>
    </row>
    <row r="144" spans="1:1" x14ac:dyDescent="0.3">
      <c r="A144" t="s">
        <v>219</v>
      </c>
    </row>
    <row r="145" spans="1:1" x14ac:dyDescent="0.3">
      <c r="A145" t="s">
        <v>249</v>
      </c>
    </row>
    <row r="146" spans="1:1" x14ac:dyDescent="0.3">
      <c r="A146" t="s">
        <v>250</v>
      </c>
    </row>
    <row r="147" spans="1:1" x14ac:dyDescent="0.3">
      <c r="A147" t="s">
        <v>251</v>
      </c>
    </row>
    <row r="148" spans="1:1" x14ac:dyDescent="0.3">
      <c r="A148" t="s">
        <v>252</v>
      </c>
    </row>
    <row r="149" spans="1:1" x14ac:dyDescent="0.3">
      <c r="A149" t="s">
        <v>175</v>
      </c>
    </row>
    <row r="150" spans="1:1" x14ac:dyDescent="0.3">
      <c r="A150" t="s">
        <v>253</v>
      </c>
    </row>
    <row r="151" spans="1:1" x14ac:dyDescent="0.3">
      <c r="A151" t="s">
        <v>207</v>
      </c>
    </row>
    <row r="152" spans="1:1" x14ac:dyDescent="0.3">
      <c r="A152" t="s">
        <v>471</v>
      </c>
    </row>
    <row r="153" spans="1:1" x14ac:dyDescent="0.3">
      <c r="A153" t="s">
        <v>409</v>
      </c>
    </row>
    <row r="154" spans="1:1" x14ac:dyDescent="0.3">
      <c r="A154" t="s">
        <v>254</v>
      </c>
    </row>
    <row r="155" spans="1:1" x14ac:dyDescent="0.3">
      <c r="A155" t="s">
        <v>255</v>
      </c>
    </row>
    <row r="156" spans="1:1" x14ac:dyDescent="0.3">
      <c r="A156" t="s">
        <v>256</v>
      </c>
    </row>
    <row r="157" spans="1:1" x14ac:dyDescent="0.3">
      <c r="A157" t="s">
        <v>476</v>
      </c>
    </row>
    <row r="158" spans="1:1" x14ac:dyDescent="0.3">
      <c r="A158" t="s">
        <v>257</v>
      </c>
    </row>
    <row r="159" spans="1:1" x14ac:dyDescent="0.3">
      <c r="A159" t="s">
        <v>415</v>
      </c>
    </row>
    <row r="160" spans="1:1" x14ac:dyDescent="0.3">
      <c r="A160" t="s">
        <v>416</v>
      </c>
    </row>
    <row r="161" spans="1:1" x14ac:dyDescent="0.3">
      <c r="A161" t="s">
        <v>417</v>
      </c>
    </row>
    <row r="162" spans="1:1" x14ac:dyDescent="0.3">
      <c r="A162" t="s">
        <v>419</v>
      </c>
    </row>
    <row r="163" spans="1:1" x14ac:dyDescent="0.3">
      <c r="A163" t="s">
        <v>421</v>
      </c>
    </row>
    <row r="164" spans="1:1" x14ac:dyDescent="0.3">
      <c r="A164" t="s">
        <v>478</v>
      </c>
    </row>
    <row r="165" spans="1:1" x14ac:dyDescent="0.3">
      <c r="A165" t="s">
        <v>414</v>
      </c>
    </row>
    <row r="166" spans="1:1" x14ac:dyDescent="0.3">
      <c r="A166" t="s">
        <v>423</v>
      </c>
    </row>
    <row r="167" spans="1:1" x14ac:dyDescent="0.3">
      <c r="A167" t="s">
        <v>228</v>
      </c>
    </row>
    <row r="168" spans="1:1" x14ac:dyDescent="0.3">
      <c r="A168" t="s">
        <v>231</v>
      </c>
    </row>
    <row r="169" spans="1:1" x14ac:dyDescent="0.3">
      <c r="A169" t="s">
        <v>232</v>
      </c>
    </row>
    <row r="170" spans="1:1" x14ac:dyDescent="0.3">
      <c r="A170" t="s">
        <v>425</v>
      </c>
    </row>
    <row r="171" spans="1:1" x14ac:dyDescent="0.3">
      <c r="A171" t="s">
        <v>182</v>
      </c>
    </row>
    <row r="172" spans="1:1" x14ac:dyDescent="0.3">
      <c r="A172" t="s">
        <v>427</v>
      </c>
    </row>
    <row r="173" spans="1:1" x14ac:dyDescent="0.3">
      <c r="A173" t="s">
        <v>428</v>
      </c>
    </row>
    <row r="174" spans="1:1" x14ac:dyDescent="0.3">
      <c r="A174" t="s">
        <v>481</v>
      </c>
    </row>
    <row r="175" spans="1:1" x14ac:dyDescent="0.3">
      <c r="A175" t="s">
        <v>229</v>
      </c>
    </row>
    <row r="176" spans="1:1" x14ac:dyDescent="0.3">
      <c r="A176" t="s">
        <v>300</v>
      </c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</sheetData>
  <sheetProtection algorithmName="SHA-512" hashValue="5WcZ/eOBzJYF5IZiQJYzalN0le3rYQtVj1i3pW6+LQTz9JJavXb6CebDRgQu2iorfFkgBJmp1g9KX3XCWuTrRw==" saltValue="WRs9aw/yTMsxnUoitfa/Fg==" spinCount="100000" sheet="1" objects="1" scenarios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073379-24F5-4E76-AE1C-77876A0632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366346-D60A-4BDF-9975-DF7E09A0024E}"/>
</file>

<file path=customXml/itemProps3.xml><?xml version="1.0" encoding="utf-8"?>
<ds:datastoreItem xmlns:ds="http://schemas.openxmlformats.org/officeDocument/2006/customXml" ds:itemID="{3499FB4E-4A7A-4ECB-AD7F-215646BE33EA}">
  <ds:schemaRefs>
    <ds:schemaRef ds:uri="http://purl.org/dc/terms/"/>
    <ds:schemaRef ds:uri="5ad20f8b-9281-4829-a9aa-2b5a878ba2cc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9d3dac3-f296-4107-b579-4b1e37be6169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48</vt:i4>
      </vt:variant>
    </vt:vector>
  </HeadingPairs>
  <TitlesOfParts>
    <vt:vector size="53" baseType="lpstr">
      <vt:lpstr>Tabela</vt:lpstr>
      <vt:lpstr>Campos</vt:lpstr>
      <vt:lpstr>Usos</vt:lpstr>
      <vt:lpstr>Dado Base</vt:lpstr>
      <vt:lpstr>Filtro Dado base</vt:lpstr>
      <vt:lpstr>Destino.tipoEscrita.modo</vt:lpstr>
      <vt:lpstr>Destino.volumetria.pre.mediaRegistos</vt:lpstr>
      <vt:lpstr>Destino.volumetria.pre.tamanhoRegisto</vt:lpstr>
      <vt:lpstr>Governo.basedados</vt:lpstr>
      <vt:lpstr>Governo.descricao</vt:lpstr>
      <vt:lpstr>Governo.granularidade</vt:lpstr>
      <vt:lpstr>Governo.granularidadeOutro</vt:lpstr>
      <vt:lpstr>Governo.isCloud</vt:lpstr>
      <vt:lpstr>Governo.isOnPrem</vt:lpstr>
      <vt:lpstr>Governo.periodicidade</vt:lpstr>
      <vt:lpstr>Governo.periodicidadeOutro</vt:lpstr>
      <vt:lpstr>Governo.tabela</vt:lpstr>
      <vt:lpstr>Governo.uso</vt:lpstr>
      <vt:lpstr>Housekeeping.pre.campo</vt:lpstr>
      <vt:lpstr>Housekeeping.pre.dias</vt:lpstr>
      <vt:lpstr>Housekeeping.pre.expurgo</vt:lpstr>
      <vt:lpstr>Housekeeping.pre.meses</vt:lpstr>
      <vt:lpstr>Housekeeping.pre.mesesSN</vt:lpstr>
      <vt:lpstr>Housekeeping.pro.campo</vt:lpstr>
      <vt:lpstr>Housekeeping.pro.dias</vt:lpstr>
      <vt:lpstr>Housekeeping.pro.expurgo</vt:lpstr>
      <vt:lpstr>Housekeeping.pro.meses</vt:lpstr>
      <vt:lpstr>Housekeeping.pro.mesesSN</vt:lpstr>
      <vt:lpstr>Planificacao.pre.calendario</vt:lpstr>
      <vt:lpstr>Planificacao.pre.periodicidade</vt:lpstr>
      <vt:lpstr>ProfundidadeHistorica.pre.campoRetencao</vt:lpstr>
      <vt:lpstr>ProfundidadeHistorica.pre.expurgo</vt:lpstr>
      <vt:lpstr>ProfundidadeHistorica.pre.justificacao</vt:lpstr>
      <vt:lpstr>ProfundidadeHistorica.pre.manterUltimoDiaMes</vt:lpstr>
      <vt:lpstr>ProfundidadeHistorica.pre.offset</vt:lpstr>
      <vt:lpstr>ProfundidadeHistorica.pre.recuperacaoHistorico</vt:lpstr>
      <vt:lpstr>ProfundidadeHistorica.pre.recuperacaoJustificacao</vt:lpstr>
      <vt:lpstr>Solicitante.area</vt:lpstr>
      <vt:lpstr>Solicitante.demand</vt:lpstr>
      <vt:lpstr>Solicitante.email</vt:lpstr>
      <vt:lpstr>Solicitante.nome</vt:lpstr>
      <vt:lpstr>Solicitante.projeto</vt:lpstr>
      <vt:lpstr>Solicitante.tipoPedido</vt:lpstr>
      <vt:lpstr>WG.nomeA</vt:lpstr>
      <vt:lpstr>WG.nomeCDO</vt:lpstr>
      <vt:lpstr>WG.nomeDS</vt:lpstr>
      <vt:lpstr>WG.nomeSA</vt:lpstr>
      <vt:lpstr>WG.preenchidoPor</vt:lpstr>
      <vt:lpstr>WG.validadoA</vt:lpstr>
      <vt:lpstr>WG.validadoArq</vt:lpstr>
      <vt:lpstr>WG.validadoCDO</vt:lpstr>
      <vt:lpstr>WG.validadoDS</vt:lpstr>
      <vt:lpstr>WG.validadoSA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Adónis</dc:creator>
  <cp:lastModifiedBy>Luís Filipe da Silva Pragosa</cp:lastModifiedBy>
  <dcterms:created xsi:type="dcterms:W3CDTF">2021-04-17T11:42:14Z</dcterms:created>
  <dcterms:modified xsi:type="dcterms:W3CDTF">2025-10-21T16:28:02Z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ediaServiceImageTags">
    <vt:lpwstr/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2023-11-17T15:24:31Z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69f56dcd-61bb-4f8b-964c-e3764b4e93bc</vt:lpwstr>
  </property>
  <property fmtid="{D5CDD505-2E9C-101B-9397-08002B2CF9AE}" pid="12" name="MSIP_Label_0c2abd79-57a9-4473-8700-c843f76a1e37_ContentBits">
    <vt:lpwstr>0</vt:lpwstr>
  </property>
</Properties>
</file>