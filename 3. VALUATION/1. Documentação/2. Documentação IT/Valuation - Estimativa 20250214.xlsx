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09"/>
  <workbookPr/>
  <mc:AlternateContent xmlns:mc="http://schemas.openxmlformats.org/markup-compatibility/2006">
    <mc:Choice Requires="x15">
      <x15ac:absPath xmlns:x15ac="http://schemas.microsoft.com/office/spreadsheetml/2010/11/ac" url="C:\Users\E804022\Desktop\"/>
    </mc:Choice>
  </mc:AlternateContent>
  <xr:revisionPtr revIDLastSave="44" documentId="11_AB2DBDFB2796AA141ACDEEDDC74AE9C37F827207" xr6:coauthVersionLast="47" xr6:coauthVersionMax="47" xr10:uidLastSave="{559D1571-48E1-4E02-B080-CE3AD33FB12D}"/>
  <bookViews>
    <workbookView xWindow="0" yWindow="0" windowWidth="6640" windowHeight="1880" xr2:uid="{00000000-000D-0000-FFFF-FFFF00000000}"/>
  </bookViews>
  <sheets>
    <sheet name="Estimativa" sheetId="4" r:id="rId1"/>
    <sheet name="Análise por campo" sheetId="2" r:id="rId2"/>
  </sheets>
  <definedNames>
    <definedName name="_xlnm._FilterDatabase" localSheetId="1" hidden="1">'Análise por campo'!$B$2:$C$2</definedName>
  </definedNames>
  <calcPr calcId="191028"/>
  <pivotCaches>
    <pivotCache cacheId="623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 l="1"/>
  <c r="E4" i="4"/>
  <c r="E5" i="4"/>
  <c r="E6" i="4"/>
  <c r="E7" i="4"/>
  <c r="E8" i="4"/>
  <c r="E9" i="4"/>
  <c r="E10" i="4"/>
  <c r="E12" i="4"/>
  <c r="E13" i="4"/>
  <c r="E14" i="4"/>
  <c r="E15" i="4"/>
  <c r="D37" i="2" l="1"/>
  <c r="D11" i="4" s="1"/>
  <c r="D16" i="4" l="1"/>
  <c r="E11" i="4"/>
  <c r="E16" i="4" s="1"/>
</calcChain>
</file>

<file path=xl/sharedStrings.xml><?xml version="1.0" encoding="utf-8"?>
<sst xmlns="http://schemas.openxmlformats.org/spreadsheetml/2006/main" count="141" uniqueCount="97">
  <si>
    <t>Grupo</t>
  </si>
  <si>
    <t>Tarefa</t>
  </si>
  <si>
    <t>Horas</t>
  </si>
  <si>
    <t>Dias</t>
  </si>
  <si>
    <t>Comentários</t>
  </si>
  <si>
    <t>Desenvolvimento</t>
  </si>
  <si>
    <t>Alterações de Ingestas SIGOM</t>
  </si>
  <si>
    <t>Alteração de 9 ingestas para incluir os novos dados (sigom_cib, sigom_fx, sigom_almrepos, sigom_mm, sigom_ppc, sigom_irl_ppc, cq_isda, sigom_pc, sigom_irl_pc)
9 ingestas x 1500 eur= 13500 eur.  13500/50=270 h</t>
  </si>
  <si>
    <t>Desenvolvimentos ALM</t>
  </si>
  <si>
    <t>Estimativa facultada por Luís Barata 282h - Necessário definir qual a distribuição deste bolo de horas pelos vários projetos envolvidos</t>
  </si>
  <si>
    <t>Desenvolvimento da nova tabela CT de Tipos de Securitização (ctxxx_securitis_cap)</t>
  </si>
  <si>
    <t>Desenvolvimentos dos campos em aberto no motor Loan Tape</t>
  </si>
  <si>
    <t>Desenvolvimento estrutural no motor Loan Tape - Fator de escala</t>
  </si>
  <si>
    <t>Desenvolvimento estrutural no motor Loan Tape - Possibilidade de atualizar/inserir registos nas tabelas de output</t>
  </si>
  <si>
    <t>Não prioritário</t>
  </si>
  <si>
    <t>Desenvolvimentos não previstos</t>
  </si>
  <si>
    <t>Ingestas campos não previstas</t>
  </si>
  <si>
    <t>2 ingestas x 3200 eur= 6400 eur.    6400/50=128 h</t>
  </si>
  <si>
    <t>Análise</t>
  </si>
  <si>
    <t>Definição da especificação dos campos em aberto</t>
  </si>
  <si>
    <t>Consultar sheet 'Análise por campo'</t>
  </si>
  <si>
    <t>Suporte/análise às questões levantadas pela equipa de testes</t>
  </si>
  <si>
    <t>0.5h * 2 (meses) * 22 (dias/mes) = 22 h</t>
  </si>
  <si>
    <t>Documentação</t>
  </si>
  <si>
    <t>Documento de Regras/Mapeamentos</t>
  </si>
  <si>
    <t>Melhorias DDR</t>
  </si>
  <si>
    <t>Manual de Utilizador</t>
  </si>
  <si>
    <t>Data field</t>
  </si>
  <si>
    <t>Análise IT</t>
  </si>
  <si>
    <t>Estimativa Análise</t>
  </si>
  <si>
    <t>Dificuldade de implementação</t>
  </si>
  <si>
    <t>Desenvolvimento pendente de outras equipas</t>
  </si>
  <si>
    <t>INTEREST_RATE_CAP</t>
  </si>
  <si>
    <t>Desenvolvimento Luís Barata na cd_alm.al029_cnt_core_m / Desenvolvimento SIGOM</t>
  </si>
  <si>
    <t>Fácil</t>
  </si>
  <si>
    <t>Em análise</t>
  </si>
  <si>
    <t>INTEREST_RATE_FLOOR</t>
  </si>
  <si>
    <t>TYPE_SECURITIZATION</t>
  </si>
  <si>
    <t>Desenvolvimento da nova cd_captools.ctxxx_securitis_cap</t>
  </si>
  <si>
    <t>Médio</t>
  </si>
  <si>
    <t>Row Labels</t>
  </si>
  <si>
    <t>Count of Data field</t>
  </si>
  <si>
    <t>UNIQUE_TRADE_ID</t>
  </si>
  <si>
    <t>Desenvolvimento ALM / Desenvolvimento SIGOM</t>
  </si>
  <si>
    <t>Dificil</t>
  </si>
  <si>
    <t>BASE_PRODUCT</t>
  </si>
  <si>
    <t>GOVERNING_LAW</t>
  </si>
  <si>
    <t>CONTRACT_RECOGN_WRITE_DOWN</t>
  </si>
  <si>
    <t xml:space="preserve">Desenvolvimento Luís Barata na cd_alm.al012_cq_alm </t>
  </si>
  <si>
    <t>Grand Total</t>
  </si>
  <si>
    <t>CONTRACT_RECOGN_SUSPENSION</t>
  </si>
  <si>
    <t>CONTRACT_RECOGN_RESOLUTION</t>
  </si>
  <si>
    <t>ADDRESS_STREET</t>
  </si>
  <si>
    <t>Obter o OK do desenvolvimento na cd_captools.ct003_univ_cli, e passar a PRO</t>
  </si>
  <si>
    <t>ADDRESS_CITY_TOWN_VILLAGE</t>
  </si>
  <si>
    <t>ADDRESS_COUNTY_ADM_DIV</t>
  </si>
  <si>
    <t>HEDGE_ID</t>
  </si>
  <si>
    <t>LT002_INSTRUMENT.HEDGE_ID
Luís Capitão-Mor sugeriu realizar uma reunião com Carlos Fernandes e Rafael Pessoa, para recordar a lógica que foi implementada para este campo, e alinhar a lógica a aplicar a derivados (a lógica atual apenas foi pensada para o universo de títulos).
Luís Capitão-Mor comentou que os resultados do Hedge_id que se encontravam na tabela LT002_INSTRMNT não lhe pareciam corretos ('19971,15836,15824,15840'; 'P14241'; 'P14242'), estaria à espera de encontrar sempre o mesmo output ('19971,15836,15824,15840'). 
Luís Capitão-Mor pediu que antes da reunião acima se tentasse perceber como estava a ser feita a ligação entre o universo de títulos (tabela CT610_TITULOS) e o de derivados (AL011_DERIVADOS).
Segue-se a análise efetuada:
    - A query seguinte replica a lógica definida para este campo no documento de especificação do Loan Tape:
 SELECT CONCAT(univ.CEMPRESA_FR, univ.CBALCAO_FR, univ.CNUMECTA_FR, univ.ZDEPOSIT_FR) as instrmnt_id, group_concat(DISTINCT code_pcd, ',') as hedge_id FROM
(
    SELECT chave_alm.CEMPRESA, chave_alm.CBALCAO, chave_alm.CNUMECTA, chave_alm.ZDEPOSIT, chave_alm.CEMPRESA_MASTER, chave_alm.CBALCAO_MASTER, chave_alm.CNUMECTA_MASTER, chave_alm.ZDEPOSIT_MASTER, fr004.CEMPRESA as CEMPRESA_FR, fr004.CBALCAO as CBALCAO_FR, fr004.CNUMECTA as CNUMECTA_FR, fr004.ZDEPOSIT as ZDEPOSIT_FR FROM
    (
        SELECT * FROM cd_captools.fr004_cto
        WHERE ref_date = '2023-12-31'
    ) as fr004
    LEFT JOIN
    (
        SELECT * FROM cd_captools.KT_CHAVES_FINREP
        WHERE ref_date = '2023-12-31'
    ) as chave_fr
    ON CONCAT(fr004.CEMPRESA, fr004.CBALCAO, fr004.CNUMECTA, fr004.ZDEPOSIT) = CONCAT(chave_fr.CEMPRESA_FR, chave_fr.CBALCAO_FR, chave_fr.CNUMECTA_FR, chave_fr.ZDEPOSIT_FR)
    INNER JOIN 
    (
        SELECT * FROM cd_alm.KT_CHAVES_ALM_M
        WHERE ref_date = '2023-12-31'
    ) chave_alm
    ON CONCAT(chave_fr.CEMPRESA, chave_fr.CBALCAO, chave_fr.CNUMECTA, chave_fr.ZDEPOSIT) = CONCAT(chave_alm.CEMPRESA_MASTER, chave_alm.CBALCAO_MASTER, chave_alm.CNUMECTA_MASTER, chave_alm.ZDEPOSIT_MASTER)
) as univ
LEFT JOIN 
(
    SELECT CEMPRESA, CBALCAO, CNUMECTA, ZDEPOSIT, TIPO_TITULO, SOBERANO, CONCAT(substr(DT_VENCIM,7,4),'-',substr(DT_VENCIM,4,2),'-',substr(DT_VENCIM,1,2)) as DT_VENCIM FROM cd_captools.CT610_TITULOS
    WHERE ref_date = '2023-12-31'
)as ct610
ON CONCAT(ct610.CEMPRESA, ct610.CBALCAO, ct610.CNUMECTA, ct610.ZDEPOSIT) = CONCAT(univ.CEMPRESA_MASTER, univ.CBALCAO_MASTER, univ.CNUMECTA_MASTER, univ.ZDEPOSIT_MASTER)
LEFT JOIN 
(
    SELECT CEMPRESA, CBALCAO, CNUMECTA, ZDEPOSIT, GPORTFOLIO, CODE_PCD, DT_MATURITY FROM cd_alm.AL011_DERIVADOS
    WHERE ref_date = '2023-12-31'
)as al011
ON al011.DT_MATURITY = ct610.DT_VENCIM --Esta ligação parece estranha, uma vez que não é utilizada a chave do contrato (cempresa, cbalcao, cnumecta, zdeposit)
LEFT JOIN
(
    SELECT * FROM cd_loan_tapes_bce.lt818_hedge_id
    WHERE ref_date = '2023-12-31'
) as lt818
ON lt818.TIPO_TITULO = ct610.TIPO_TITULO 
AND lt818.SOBERANO = ct610.SOBERANO 
AND lt818.GPORTFOLIO = al011.GPORTFOLIO
WHERE lt818.TIPO_TITULO IS NOT NULL -- Remover os casos em que não é feita a ligação com a tabela de parametrização lt818_hedge_id
GROUP BY instrmnt_id
    - A query acima replica exatamente o que está no campo HEDGE_ID da tabela lt002_instrmnt:
SELECT instrmnt_id, HEDGE_ID, ambito, nome_perimetro, segmento, entidade FROM cd_loan_tapes_bce.lt002_instrument
WHERE ref_date = '2023-12-31' 
AND HEDGE_ID &lt;&gt; 'N/A'
    - A ligação das tabelas ct610 e al011 é feita ligando as datas (al011.DT_MATURITY = ct610.DT_VENCIM) sem utilizar a chave do contrato. Esta ligação não parece estar correta e pode ser daqui que vêm as incoêrencias registadas.
    - Tema identificado: Os universos de contratos das tabelas ct610 e al011 são mutuamente exclusivos:
SELECT * FROM
(
    SELECT CEMPRESA, CBALCAO, CNUMECTA, ZDEPOSIT, TIPO_TITULO, SOBERANO, CONCAT(substr(DT_VENCIM,7,4),'-',substr(DT_VENCIM,4,2),'-',substr(DT_VENCIM,1,2)) as DT_VENCIM, ref_date FROM cd_captools.CT610_TITULOS
)as ct610
INNER JOIN 
(
    SELECT * FROM cd_alm.KT_CHAVES_ALM_M
) chave_alm
ON CONCAT(ct610.CEMPRESA, ct610.CBALCAO, ct610.CNUMECTA, ct610.ZDEPOSIT) = CONCAT(chave_alm.CEMPRESA_MASTER, chave_alm.CBALCAO_MASTER, chave_alm.CNUMECTA_MASTER, chave_alm.ZDEPOSIT_MASTER)
AND ct610.ref_date = chave_alm.ref_date
LEFT JOIN 
(
    SELECT CEMPRESA, CBALCAO, CNUMECTA, ZDEPOSIT, GPORTFOLIO, CODE_PCD, DT_MATURITY, ref_date FROM cd_alm.AL011_DERIVADOS
)as al011
ON  CONCAT(al011.CEMPRESA, al011.CBALCAO, al011.CNUMECTA, al011.ZDEPOSIT) = CONCAT(chave_alm.CEMPRESA, chave_alm.CBALCAO, chave_alm.CNUMECTA, chave_alm.ZDEPOSIT)
AND al011.ref_date = chave_alm.ref_date
WHERE al011.cempresa IS NOT NULL
    - Será necessário rever a ligação das tab</t>
  </si>
  <si>
    <t>ISSR_CNTRY</t>
  </si>
  <si>
    <t>Mapeamento LT:
Deverá ser usado o campo do Loan Tapes:
LT002_INSTRUMENT.ISSR_CNTRY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Parametrização:
‣ Ver sheet 'LT803'</t>
  </si>
  <si>
    <t>SRCS_ENCMBRNC</t>
  </si>
  <si>
    <t>‣ Mapeamento com o campo LT002_INSTRUMENT.SRCS_ENCMBRNC, no entanto foi detetado que a regra e parametrização implementadas no âmbito do Loan Tape Estrutural não estavam corretas/completas (confirmado com Cláudia Correia e Luís Capitão-Mor na reunião de 07/02/2025).
‣ Pedro Mendes ficou de agendar uma reunião com Cláudia Correia e com os correspondentes das áreas de Riscos de Mercado e Loan Tape do lado da Coporação, para esclarecer o tema.
‣ Parametrização atual na sheet 'LT803'</t>
  </si>
  <si>
    <t>COUNTERPARTY_COUNTRY</t>
  </si>
  <si>
    <t>Mapeamento LT:
Reunião 09/12/2024 Luís Capitão-Mor, Mariana Romão, Pedro Oliveira: Foi definido que se trata de um campo novo na tabela LT002, e que será preenchido apenas para os universos de Derivados e REPOS seguindo os seguintes passos:
NOTA: Os passos 1 e 2 são iguais ao campo 'counterparty_id', ou seja ambos os campos deveriam ser produzidos em conjunto.
1º Passo - Cruzar LT002_INSTRUMENT com as tabelas AL005_DET_SWAPC, AL011_DERIVADOS, AL602_REPOS_ALM, AL611_DERIV_AUX, AL613_SWAPSC_AUX, para filtrar apenas o universo de contratos de Derivados e REPOS:
SELECT
    lt002.INSTRMNT_ID,
    kt_chaves_fr.INSTRMNT_ID_MASTER
FROM
(
    SELECT
        INSTRMNT_ID 
    FROM cd_loan_tapes_bce.lt002_instrument
    WHERE ref_date = '2024-09-30'
) as lt002
INNER JOIN
(
    SELECT
        CONCAT(cempresa_fr,cbalcao_fr,cnumecta_fr,zdeposit_fr) as INSTRMNT_ID,
        CONCAT(cempresa,cbalcao,cnumecta,zdeposit) as INSTRMNT_ID_MASTER
    FROM cd_captools.kt_chaves_finrep
    WHERE ref_date = '2024-09-30'
) as kt_chaves_fr
ON lt002.INSTRMNT_ID = kt_chaves_fr.INSTRMNT_ID
INNER JOIN
(
    SELECT
        CONCAT(cempresa_master,cbalcao_master,cnumecta_master,zdeposit_master) as INSTRMNT_ID_MASTER,
        CONCAT(cempresa,cbalcao,cnumecta,zdeposit) as INSTRMNT_ID_ALM
    FROM cd_alm.kt_chaves_alm_m
    WHERE ref_date = '2024-09-30'
) as kt_chaves_alm
ON kt_chaves_fr.INSTRMNT_ID_MASTER = kt_chaves_alm.INSTRMNT_ID_MASTER
INNER JOIN
(
    SELECT
        CONCAT(cempresa,cbalcao,cnumecta,zdeposit) as INSTRMNT_ID_ALM
    FROM cd_alm.al005_det_swapc
    WHERE ref_date = '2024-09-30'
    UNION
    SELECT
        CONCAT(cempresa,cbalcao,cnumecta,zdeposit) as INSTRMNT_ID_ALM
    FROM cd_alm.al011_derivados
    WHERE ref_date = '2024-09-30'
    UNION
    SELECT
        CONCAT(cempresa,cbalcao,cnumecta,zdeposit) as INSTRMNT_ID_ALM
    FROM cd_alm.al602_repos_alm
    WHERE ref_date = '2024-09-30'
    AND flag_ativo = '1'
    UNION
    SELECT
        CONCAT(cempresa,cbalcao,cnumecta,zdeposit) as INSTRMNT_ID_ALM
    FROM cd_alm.al611_deriv_aux
    WHERE ref_date = '2024-09-30'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FROM cd_alm. al613_swapsc_aux
    WHERE ref_date = '2024-09-30'
) as cntr_derv_repo
ON cntr_derv_repo.INSTRMNT_ID_ALM = kt_chaves_alm.INSTRMNT_ID_ALM
2º Passo - Cruzar o universo de contratos definido acima (UNIV) com a tabela CL001_INTERV_CTO, de forma a determinar para cada contrato o 1º titular (UNIV_DERV_REPO). Se para um contrato não houver um 1º titular associado na cl001 então usar o zcliente contabilistico (fr004):
SELECT
    UNIV.INSTRMNT_ID,
    NVL(cl001.zcliente, fr004.zcliente) as ENTTY_ID
FROM
    UNIV
LEFT JOIN
(
    SELECT
        CONCAT(cempresa,cbalcao,cnumecta,zdeposit) as INSTRMNT_ID_MASTER,
        zcliente
    FROM cd_clientes.cl001_interv_cto
    WHERE ref_date = '2024-08-31'
    AND TRIM(crelacao_cl_cnt) = '1'
    AND csequencia_rel ='00001'
) as cl001
ON cl001.INSTRMNT_ID_MASTER = UNIV.INSTRMNT_ID_MASTER
LEFT JOIN
(
    SELECT
        CONCAT(cempresa,cbalcao,cnumecta,zdeposit) as INSTRMNT_ID,
        zcliente
    FROM cd_captools.fr004_cto
    WHERE ref_date = '2024-08-31'
) as fr004
ON fr004.INSTRMNT_ID = UNIV.INSTRMNT_ID
3º Passo - Agora que se obteve o universo de contratos de Derivados e REPOs associados aos seus primeiros titulares, deve-se replicar exatamente a mesma lógica aplicada no campo ISSR_CNTRY da tabela LT002:
NOTA: Como é um novo campo e já se confirmou que a parametrização presente no campo_lt = 'CNTRY' da tabela LT803 não responde ao pedido pelo SRB, então terá de se criar uma nova parametrização na nova tabela MULTIVARIADA. 
Metodologia de cruzamento (Alterar quando se fechar a parametrização):
 1) Cruzar o universo obtido no 2º Passo (UNIV_DERV_REPO) com o universo de clientes para obter o CPAIS_RESIDENCIA.
 UNIV_DERV_REPO
 LEFT JOIN
 (SELECT * FROM CT003_UNIV_CLI) 
 ON ZCLIENTE = UNIV_DERV_REPO.ENTTY_ID
 2) Cruzar com a informação da tabela de parametrização
 LEFT JOIN
 SELECT * FROM LT803_CODIGOS_LT 
 ON VALOR_ORIGEM = CPAIS_RESIDENCIA
Metodologia de Cálculo (Alterar quando se fechar a parametrização):
 VALOR_LT
 WHERE CAMPO_LT = 'CNTRY'
 AND VALOR_ORIGEM = CPAIS_RESIDENCIA
Comentários IT:
Mapeamento antigo: LT002_INSTRUMENT.ISSR_CNTRY
Agendar reunião com LCM
‣ Ver sheet 'LT803'</t>
  </si>
  <si>
    <t>NOMINAL_INTEREST_RATE_FEE</t>
  </si>
  <si>
    <t xml:space="preserve">Luís Capitão-Mor, Ana Clara, Alexandre Feliciano, Luís Barata Barata não conhecem o conceito. Como tal, questionou-se a Corporação.
Email de Pedro Mendes (13/05/2024 08:58)
Questão Pedro Mendes: 
"¿Qué tasa utilizan?  ¿La TAE (tasa anual efectiva)?"
Resposta Corporação:
"Como es el módulo de Off-balance nosotros en este campo no le veíamos sentido informar un interest rate y lo que estamos haciendo es informar cualquier comisión (“fee”), principalmente las asociadas a avales. Si en vuestro caso sí le veis sentido informar un interest rate y tenéis esta duda entonces habría que preguntar al SRB porque yo no tengo la respuesta. Decidnos y se le puede trasladar para que nos aclaren." 
Agendada Sessão com Ana Clara, Luís Velez, Luís Capitão-Mor para 17/10 conforme solicitado por Luís Capitão-Mor (email 04/10/2024 13:20)
</t>
  </si>
  <si>
    <t>COLLATERAL_PORTFOLIO</t>
  </si>
  <si>
    <t>Novo campo
Comentário Luís Capitão-Mor:
IM (Initial Margin) e VM (Variation Margin) são os 2 tipos de Colateral de Derivados. A colaterização pode ser feito por Cash e por Títulos (terá de se apanhar as duas)
Ações solicitadas por Luís Capitão-Mor:
- Pedro Mendes deverá questionar a Corporação: Os que não estão sujeitos a IM (Initial Margin) e VM (Variation Margin) reporta-se 'N/A' ou 'NO'? 
- Analisar documento 08. MODELO E WORKFLOW DL - ALM v3 em conjunto com Luís Barata</t>
  </si>
  <si>
    <t>COLLATERAL_POSTED</t>
  </si>
  <si>
    <t>Novo campo
Ações solicitadas por Luís Capitão-Mor:
- Analisar documento 08. MODELO E WORKFLOW DL - ALM v3 em conjunto com Luís Barata
Reunião 27/09/2024: 
-------------Derivados colaterizados por cash para initial ou variation margin –&gt; cd_alm.al614_colt_totta
select * from cd_alm.al614_colt_totta where ref_date='2024-08-31'; 
--front_id (liga com o cod_ref_int da al011_derivados)
--collateral_agree (liga com o cod_cbrt da al810_clt_cbrt)
-------------Elementos colaterizados por títulos constituídos para initial margin
select * from  cd_alm.al609_init_marg 
-------------A relação entre o colateral em cash e os derivados colaterizados -&gt; cd_alm.al810_clt_cbrt
--O propósito da tabela cd_alm.al810_clt_cbrt é, (i) para cada propósito de initial margin ou variation margin, por um lado, (ii) identificar o colateral prestado e/ou recebido da contraparte e, por outro lado, (iii) relacionar cada um desses colaterais com os respetivos elementos que são colaterizados.
--Note-se que esta tabela de parametrização serve tanto para colaterais em cash como para colaterais em títulos – mas sempre para initial margin ou variation margin, seja de derivados ou repos.
select distinct cod_cbrt from cd_alm.al810_clt_cbrt --where ref_date='2024-08-31' and cod_cbrt='CSA-BSTV-BSTE (VM)'; 
;</t>
  </si>
  <si>
    <t>COLLATERAL_POSTED_CURRENCY</t>
  </si>
  <si>
    <t>Novo campo
Ações solicitadas por Luís Capitão-Mor:
- Analisar documento 08. MODELO E WORKFLOW DL - ALM v3 em conjunto com Luís Barata</t>
  </si>
  <si>
    <t>COLLATERAL_RECEIVED</t>
  </si>
  <si>
    <t>COLLATERAL_RECEIVED_CURRENCY</t>
  </si>
  <si>
    <t>HIERARCHY</t>
  </si>
  <si>
    <t xml:space="preserve">Reunião com Cláudia Correia, Luís Capitão-Mor, Pedro Mendes (22/05/2024):
- Terá de ser adicionada uma coluna nova à tabela do dicionário de títulos (isto para Títulos);
- Para os restantes (que não Títulos), terá de ser criada uma tabela de parametrização com os seguintes campos: carteira_contabilistica, cempresa, cbalcao, cnumecta, zdeposit, folder murex (que existe na al011_derivados e al005_det_swapc) e hierarquia. Neste ponto, Luís Capitão-Mor sugeriu que se pense numa sugestão de preenchimento da tabela e que se verifique a mesma com Cláudia Correia;
- Luís Capitão-Mor irá reunir com Henrique Vaz e Pedro Mendes para se perceber quem será o Owner da informação. </t>
  </si>
  <si>
    <t>SECURITY_RATING</t>
  </si>
  <si>
    <t>Campo a revisitar no futuro</t>
  </si>
  <si>
    <t>IFRS9_PROB_DEFAULT_IMPAIRMENT</t>
  </si>
  <si>
    <t>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Como tal, deverá confirmar-se com Luís Capitão-Mor a lógica de preenchimento deste novo campo: 
-Se stage 1: Se loss_type LIKE 'Lifetime expected credit losses%' selecionar PD_LT_IFRS9 da tabela BU_IFRS9.IFRS9_OUT_EXPECTED_LOSS_REPORTING, caso contrário selecionar PD12M_IFRS9 da tabela BU_IFRS9.IFRS9_OUT_EXPECTED_LOSS_REPORTING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
Reunião com Luís Capitão-Mor 8 /11/2024 14:30: Foi pedido que fosse marcada uma reunião com David Texugo e Alexandre Gonçalves para revisitar os conceitos de PD pedidos pelo BCE e comparar com o pedido no report Valuation, o objetivo será perceber se é necessário criar um campo novo no Loan Tapes ou se é necessário alterar a lógica de algum dos campos PD do Loan Tapes para refletir a lógica pedida pelo SRB. Foi também comentado que houve uma OSI em Maio/Junho e que se deveria questionar a David Texugo e Alexandre Gonçalves se esta informação de PDs foi pedida e se houve alterações nos conceitos pedidos.
Lógica proposta para a criação do novo campo na LT002:
    CASE
             WHEN IMPRMNT_STTS_INSTRMNT = '23'  --(Stage 1)
             THEN IF( loss_type LIKE 'Lifetime expected credit losses%', PD_LT_IFRS9, PD12M_IFRS9)
             WHEN IMPRMNT_STTS_INSTRMNT = '24'  --(Stage 2)
             THEN PD_LT_IFRS9
             WHEN IMPRMNT_STTS_INSTRMNT = '25'  --(Stage 3)
             THEN 1
             ELSE ??????N/A or MISS?????                        --(O que fazer nos casos em que o stage 'IMPRMNT_STTS_INSTRMNT ' não está preenchido?)
    END as PD_IFRS9_12M_LFTM_RD                         --(Confirmar o nome que este novo campo deve tomar)
    WHERE IMCATF046_FLAG_FECHO.CMES = REF_DATE
Lógica proposta para a criação do novo campo na LT003:
1) Identificar contratos onde o cliente é o 1º Titular:
    LT005_INSTR_ENT
    WHERE CRELACAO_CL_CNT = '1'
    AND CSEQUENCIA_REL = '00001'
2) Aplicar o seguinte cáclulo por entidade:
    CASE
             WHEN SUM(IFRS9_EAD)&lt;&gt; 0
             THEN SUM(PD_IFRS9_12M_LFTM_RD * IFRS9_EAD) / SUM(IFRS9_EAD) 
             ELSE AVG(PD_IFRS9_12M_LFTM_RD)
    END as ifrs9_prob_default_impairment
Análise:
QUERY que permite perceber a realção entre o stage e o loss_type:
SELECT
        --core.contract_id_fr,
        core.stage_atual,
        ifrs9_os_8_7.loss_type,
        IF(tradutor.contract_id_fr IS NOT NULL, '1', '0') as flag,
        COUNT(*)
    --SELECT COUNT(DISTINCT ifrs9_oel_8_7.contract_id_ifrs9)
    --SELECT COUNT(DISTINCT core.contract_id_fr)
    --SELECT COUNT(*)
    FROM
    (
        SELECT 
            fr004.contract_id as contract_id_fr, stage_atual
        FROM
        (
            SELECT
                CONCAT(cempresa, cbalcao, cnumecta, zdeposit) as contract_id,
                stage_atual
            FROM cd_captools.fr004_cto
            WHERE ref_date = '2024-09-30' 
            --AND contraparte &lt;&gt; 'particulares'
        ) as fr004
        LEFT JOIN
        (
            SELECT
                CONCAT(cempresa, cbalcao, cnumecta, zdeposit) as contract_id,
                ccontab_final_ifrs
            FROM cd_captools.fr001_univ_saldo
            WHERE ref_date = '2024-09-30'
        ) as fr001
        ON fr001.contract_id = fr004.contract_id
        INNER JOIN
        (
            SELECT
                conta, tipo_conta
            FROM cd_captools.fr802_pl_contas
            WHERE ref_date = '2024-09-30'
            AND cod_plano = 'BST_IND'
            AND ((TRIM(tipo_conta) ='A' AND instrumento_financeiro='credito concedido e outros ativos financeiros') OR TRIM(tipo_conta) = 'EA')
            --AND NVL(contraparte_i, '') &lt;&gt; 'particulares'
        ) as fr802
        ON fr802.conta = fr001.ccontab_final_ifrs
    ) as core
    LEFT JOIN
    (
        SELECT 
            trad_fr.contract_id_fr, 
            trad_ifrs9.contract_id_ifrs9
        FROM 
        (
            SELECT
                CONCAT(cempresa_fr, cbalcao_fr, cnumecta_fr, zdeposit_fr) as contract_id_fr,
                CONCAT(cempresa, cbalcao, cnumecta, zdeposit) as contract_id_ct
            FROM cd_captools.kt_chaves_finrep
            WHERE ref_date = '2024-09-30'
        ) as trad_fr 
        INNER JOIN
        (
            SELECT
                contract_id as contract_id_ifrs9,
                CONCAT(cempresa, cbalcao, cnumecta, zdeposit) as contract_id_ct
            FROM cd_captools.kt_chaves_ifrs9
            WHERE ref_date = '2024-09-30'
        ) as trad_ifrs9
        ON trad_ifrs9.contract_id_ct = trad_fr.contract_id_ct
    ) as tradutor
    ON tradutor.contract_id_fr = core.contract_id_fr
    --WHERE tradutor.contract_id_fr IS NULL -- Temos 1447 contratos LEGALP, NATP e OFFBAL de um total de 2054616 contratos que existem no universo FINREP mas não estão no universo IFRS9
    LEFT JOIN
    (
        SELECT
            contract_id as contract_id_ifrs9, loss_type
        FROM cd_captools.ifrs9_out_staging_8_7
        WHERE data_date_part = (SELECT MIN(data_date_part) FROM cd_captools.ifrs9_out_staging_8_7 WHERE data_date_part &gt;= '2024-09-30')
        GROUP BY contract_id_ifrs9, loss_type
    ) as ifrs9_os_8_7
    ON ifrs9_os_8_7.contract_id_ifrs9 = tradutor.contract_id_ifrs9
    GROUP BY core.stage_atual, ifrs9_os_8_7.loss_type, flag</t>
  </si>
  <si>
    <t>HEAD_OFFICE_UNDERTAKING_ID</t>
  </si>
  <si>
    <t xml:space="preserve">‣ Não encontrado no Loan Tape (confirmar com Nádia Ahmad e Dora Roxo); 
Considerando que o termo "domestic" não releva,  no entendimento de Luís Capitão-Mor pretende-se saber se existe uma hierarquia de Cliente que responda ao solicitado. 
Exemplo: a empresa A é detida pela empresa B que por sua vez é detida pela empresa C que por sua vez é detida pela empresa D, então:
Immediate parent undertaking identifier: empresa B
Ultimate parent undertaking identifier: empresa D
Ações solicitadas por Luís Capitão-Mor:
1ª Ação: 
Questionar a Corporação sobre o conceito. 
Questão Pedro Mendes: "cual es vuestra interpretación de estos data-points. Como lo manejáis? Aquí lo que nos lía es la expresión “domestic part” que nos complica nuestro raciocionio…."
Resposta Corporação: "Los 3 campos se reportan al ECB en Anacredit y en el siguiente enlace se recoge definición más detallada para cada uno de ellos (apartados 12.4.4, 12.4.5 y 12.4.6, respectivamente)
https://www.ecb.europa.eu/pub/pdf/other/AnaCredit_Manual_Part_II_Datasets_and_data_attributes_201905~cc9f4ded23.en.pdf"
2ª Ação: 
Questionar Luís Bastos (Riscos) se esta informação existe no Mágico ou algures noutro sítio (para clientes em Portugal) -&gt; Segundo Luís Bastos não está no Mágico
Questionar Catarina Carvalho (Riscos) se esta informação existe no aqua ou algures noutro sítio (para clientes CIB) -&gt; Email Catarina Carvalho 19/04/2024 10:13 "Esta info está no CREAM (cuja a origem é JQUEST, aplicativo corporativo ao qual não temos acesso em Portugal).
No AQUA penso que também existem códigos de 4 e 5, no entanto não sei se aparecem as hierarquias e não sei como é alimentado, já que é um aplicativo usado essencialmente por Admissão."
Outro ponto de contacto para o ponto acima: João Luís Almeida -&gt; Apenas conhece a LMT11
Alternativas sugeridas por Luís Capitão-Mor:
1ª Alternativa: 
Questionar Rui Machinho e Nuno Almeida se esta informação existe no GBO 
Segundo Rui Machinho (Email 19/03/2024 16:45), "Do que sabemos do GBO, não temos conhecimento que a hierarquia de Cliente conste no GBO, nem percentagem de detenção."
Segundo Nuno Almeida (Email 19/03/2024 17:07), "o GBO/Sigom não tem a informação ao nível das hierarquias. O único sistema global que conheço e que consta essa informação é o CREAM (exemplo do informe abaixo). Mas esta informação apenas consta para clientes/grupo CIB. Adicionalmente informar que os códigos identificativos dos clientes/grupos são corporativos."
2ª Alternativa: 
Luís Capitão-Mor comentou que há um ficheiro que a Cristiana está a trabalhar e que vem do JQUEST (aplicação da Corporação com a relação dos grupos económicos em códigos KGL). 
Luís Capitão-Mor enviou Email (18/03/2024 11:34) onde solicitou a ingesta deste ficheiro.
3ª Alternativa:
Ver se existe no DB Informa no Datalake (Nuno Parreiras tem o dicionário). Se não existir, questionar a DB Informa (Fornecedor) como obter esta informação da informação que o banco está a receber.
</t>
  </si>
  <si>
    <t>IMMEDIATE_PARENT_UNDERTAKING_ID</t>
  </si>
  <si>
    <t>‣ Não encontrado no Loan Tape (confirmar com Nádia Ahmad e Dora Roxo); 
‣ Ver comentário do campo acima dado que estes 3 campos terão de ser analisados em conjunto (Head office undertaking identifier, Immediate parent undertaking identifier e Ultimate parent undertaking identifier).</t>
  </si>
  <si>
    <t>ULTIMATE_PARENT_UNDERTAKING_ID</t>
  </si>
  <si>
    <t>LEGAL_FORM</t>
  </si>
  <si>
    <t>‣ Não encontrado no Loan Tape (confirmar com Nádia Ahmad e Dora Roxo); 
‣ Email Luís Bastos (Riscos) 02/04/2024 18:06: "É preenchida manualmente a forma jurídica numa transação do mágico (MA01), como tal não temos como garantir que terá a informação para todos os clientes."
‣ Segundo João Luís Almeida via teams (03/04/2024) o campo cformjur da tabela MAT05 vem da MA01.
‣ Reunião com Luís Capitão-Mor/Raul Custódio/Alexandre Dionísio Esteves 02/04/2024: Alexandre Dionísio Esteves referiu que esta informação se encontra no campo cformjur da MAT05 e a descodificação na TAT264.
‣ Segundo Pedro Almeida (Email 03/04/2024 11:20) e Pedro Inácio (Email 03/04/2024 14:33) esta informação não consta na BDR.
‣ Verificou-se que a MAT05 tem os campos zcligrupo, cformjur. Como tal, terá de se ligar a MAT05 (zcligrupo) com a ct003_univ_cli (ccli_grupo), para obter o zcliente. 
‣ Reunião com Luís Capitão-Mor 11/11/2024: Nesta reunião foram comentadas as análises acima, nomeadamente a falta de informação da MAT05 para uma grande parte de pessoas jurídicas, quando este campo deveria vir preenchido para todos os clientes deste tipo. Luís Capitão-Mor comentou que esta informação poderá constar também no Data Warehouse do DB Informa, ou seja tem de se explorar esta possível fonte. Para além da fonte adicional finalizou-se também a regra que se deve aplica neste campo: 1) Se o cliente for uma pessoa física este conceito não é aplicável, ou seja o campo deve vir informado com 'N/A'; 2.1) Se o cliente for uma pessoa jurídica então deve-se aplicar a lógica de ataque à tabela MAT05, de forma a recuperar o campo 'cformjur' que posteriormente será traduzido pela TAT264 (ou não dependendo se a parametrização da LT803 refletir esta mesma parametrização); 2.2) Caso o ataque à MAT05 não retornar valor para este campo, então deve-se recuperar esta informação do DB Informa (complementar esta lógica assim que se tiver explorado a documentação do DB Informa);
‣ Email enviado a Susana Moutinho a 22/11/2024 11:50, aguarda-se resposta: 
     "A tabela DWT1734_EMPRESAS_SNC não existe no Datalake on-prem, como tal, seria possível enviarem uma amostra dos dados da mesma e o respetivo modelo de dados? 
O objetivo é percebermos se esta tabela tem efetivamente o que necessitamos, e em caso afirmativo, solicitarmos a respetiva ingesta para o Datalake."
‣ Chamada Teams com Susana Moutinho a 10/12/2024 11:50: Susana Moutinho ficou de validar o Universo de NIFs da tabela DWT1734_EMPRESAS_SNC e da tabela DWT509_DADOS_NCLIE, no sentido de se perceber se a tabela DWT1734_EMPRESAS_SNC (que não está no DL) tem um Universo superior à DWT509_DADOS_NCLIE (que está no DL), isto porque a  DWT509_DADOS_NCLIE apenas complementou  o legal form de uma quantidade reduzida de Clientes (daí ter de se avaliar se se justifica solicitar a ingesta da  DWT1734_EMPRESAS_SNC). Adicionalmente, ficou de confirmar se o campo GNATUREZA_JURI comum às 2 tabelas representa o mesmo conceito.  -&gt; Pressionado via Teams a 19/12
‣ Schema DL: cd_captools; cd_alm
‣ Tabela / Ficheiro: CT003_UNIV_CLI; MAT05_DADOSEMP; TAT91_TABELAS
‣ Campo: ccli_grupo; cformjur; tayd91c0_gelemtab
‣ Metodologia de Cálculo:
    "tayd91c0_gelemtab
     WHERE TAT91_TABELAS.tayd91c0_ctabela = '264'
     AND TAT91_TABELAS.tayd91c0_celemtab = MAT05_DADOSEMP.cformjur
     AND lpad(MAT05_DADOSEMP.zcligrupo,10,'0') = CT003_UNIV_CLI.ccli_grupo"
‣ Metodologia de cruzamento
    "1) Cruzar LT003_ENTITY com CT003_UNIV_CLI para obter o ccli_grupo:
     LT003_ENTITY
     LEFT JOIN
     (SELECT * FORM CD_CAPTOOLS.CT003_UNIV_CLI)
     ON ENTTY_ID = ZCLIENTE
     2) Cruzar ccli_grupo da CT003_UNIV_CLI  com o  zcligrupo  da MAT05_DADOSEMP para obter o cformjur:
     MAT05_DADOSEMP 
     INNER JOIN
     (SELECT zcligrupo, MAX(dano) FROM CD_CAPTOOLS.MAT05_DADOSEMP WHERE data_date_part &lt;= REF_DATE)
     ON zcligrupo = zcligrupo
     AND dano = MAX(dano)
     3) Cruzar com tabela TAT 264 para descodificar o cformjur:
     LEFT JOIN 
     (SELECT * FROM TAT91_TABELAS)
     ON cformjur = tayd91c0_celemtab"
‣ Query usada para adicionar o Legal Form à tabela lt003:
SELECT
    lt003.entty_id,
    ct003.itip_cli,
    ct003.ccli_grupo,
    mat05.cformjur,
    tat.tayd91c0_gelemtab
FROM
(
    SELECT
        entty_id
    FROM bu_loantape_work.lt003_entity_srb
    WHERE ambito = 'SRB_VALUATION'
    AND segmento = 'Off-balance sheet exposures'
    AND ref_date = '2024-11-30'
) as lt003 -- 792516
LEFT JOIN
(
    SELECT
        zcliente,
        itip_cli,
        ccli_grupo as ccli_grupo
    FROM cd_captools.ct003_univ_cli
    WHERE ref_date = '2024-11-30'
) as ct003
ON lt003.entty_id = ct003.zcliente -- 792516
LEFT JOIN
(
    SELECT
        lpad(CAST(zcligrupo AS STRING),10,'0') as zcligrupo,
        cformjur,
        ROW_NUMBER() OVER(PARTITION BY zcligrupo ORDER BY dano DESC) as row_num
    FROM cd_alm.mat05_dadosemp 
    WHERE data_date_part = (SELECT MAX(data_date_part) FROM cd_alm.mat05_dadosemp WHERE data_date_part &lt; '2024-11-30') -- Ultima versão da tabela gerada antes ou na data de execução (ref_date)
    AND dano &lt;= CAST(SUBSTR('2024-11-30',1,4) AS INT) -- Parte de ano da ref_date. Não trazer info posterior à data em questão
) as mat05
ON ct003.ccli_grupo = mat05.zcligrupo
AND mat05.row_num = 1  -- 792516
LEFT JOIN
(
    SELECT
        tayd91c0_celemtab,
        tayd91c0_gelemtab
    FROM cd_estruturais.tat91_tabelas 
    WHERE data_date_part = (SELECT MAX(data_date_part) FROM cd_estruturais.tat91_tabelas)
    AND tayd91c0_ctabela = '264'
) as tat
ON mat05.cformjur = tat.tayd91c0_celemtab -- 792516
WHERE ct003.itip_cli = 'J' -- 53192
AND mat05.zcligrupo IS NOT NULL -- 50372
AND TRIM(mat05.cformjur) &lt;&gt; '' -- 47888
-- De 792516 cliente de Off-Balance apenas 53192 são clientes Juridicos (53192/792516 ~= 6.7%)
-- Destes 53192 clientes Juridicos, 2820 não têm o seu ccligrupo refletido no campo zcligrupo da tabela mat05, ou seja ficamos com 50372 clientes 
-- Destes 50372 clientes Juridicos, 2484 não têm o campo cformjur preenchido (está a vazio), ou seja ficamos com 47888 clientes Juridicos para os quais foi possivel identificar o Legal Form (47888/53192 ~= 90%)</t>
  </si>
  <si>
    <t>DET_TYPE_SHIP_COLLATERAL</t>
  </si>
  <si>
    <t>‣ Email Paulo Oliveira 23/04/2024 20:24:
"1) Não tenho conhecimento que existam shipping portfolios no Banco, confirmas? 
Pode ser que seja categorizado pelo Banco de outra forma. Asset lending não, mas não descartava que houvesse alguns barcos financiados em leasing nomeadamente para empresas do sector. Perguntava á Leasing. Não sei se não haverá como colateral algum cliente que tenha dado o seu barco de recreio (iate).
2) Se eventualmente existisse uma Empresa que quisesse dar alguma destas opções como colateral, o Banco aceitava? 
Sim, são activos com valor de mercado. Tal como aceitamos aviões, aceitariamos navios como colateral 
3) Em caso afirmativo ao ponto 2), sabes de algum caso em concreto para que possa ir verificar e ver como fica registado no Banco? 
Não me lembro de nenhum  Acho que deveramos ir analisar as empresas de navegação com frota."
‣ Email Rute Ferreira 22/04/2024 20:17 com o Histórico de conversações (ver pasta Emails: "RE  IR   RH   Report Valuation - Campo  Detailed type of Shipping collateral")
‣ Falar com Pedro Mendes.</t>
  </si>
  <si>
    <t>LEG_1_REFERENCE_RATE</t>
  </si>
  <si>
    <t xml:space="preserve">Mapeamento LT:
al011_derivados.taxa_var_1
Comentários IT:
Atenção que este campo não vem de acordo com as opções do SRB (EUR, LIBOR UK, LIBOR USD, etc.), vem no seguinte formato:
B.BANKERS ASSOC-EUR-5IBOR-3M
B.BANKERS ASSOC-LIBOR-GBP-3M
B.BANKERS ASSOC-LIBOR-GBP-6M
B.BANKERS ASSOC-LIBOR-USD-3M
B.BANKERS ASSOC-LIBOR-USD-6M
ECB FIXING-CMS_EONIA-10Y
ECB FIXING-CMS_EONIA-2Y
ECB FIXING-EURIBORCOL-12M
ECB FIXING-EURIBORCOL-3M
ECB FIXING-EURIBORCOL-6M
EURIBOR-EURIBOR-1M
EURIBOR-EURIBOR-1Y
EURIBOR-EURIBOR-3M
EURIBOR-EURIBOR-6M
FEDN-SOFR FB3M-SPT
LONDON CLOSING-SONIA FB3M-SPT
LONDON CLOSING-SONIA FB6M-SPT
Duvida: O universo de derivados não está integralmente refletido na al011, necessário confirmar se não haverá gap de informação
Query de apoio para recuperar as reference rates e periods das opções apresentadas acima:
SELECT
    tx,
    CASE
        WHEN tx LIKE '%EURIBOR%' THEN 'EURIBOR' 
        WHEN tx LIKE '%EONIA%' THEN 'EONIA'
        WHEN tx LIKE '%EUR-5IBOR%' THEN 'LIBOR EUR'
        WHEN tx LIKE '%LIBOR-GBP%' THEN 'LIBOR UK'
        WHEN tx LIKE '%LIBOR-USD%' THEN 'LIBOR US'
        WHEN tx LIKE '%SOFR%' THEN 'SOFR'
        WHEN tx LIKE '%SONIA%' THEN 'SONIA'
        ELSE 'MISS'
    END as leg_x_reference_rate,
    regexp_extract( tx, "\\d+[a-zA-Z](?!.*\\d+[a-zA-Z])", 0 ) as perd,
    MAX(ref_date) as latest_ref_date
FROM
(
    SELECT taxa_var_1 as tx, ref_date
    FROM cd_alm.al011_derivados
    UNION ALL
    SELECT taxa_var_2 as tx, ref_date
    FROM cd_alm.al011_derivados
) as a
GROUP BY tx
 </t>
  </si>
  <si>
    <t>LEG_2_REFERENCE_RATE</t>
  </si>
  <si>
    <t>Mapeamento LT:
al011_derivados.taxa_var_2
Comentários IT:
Atenção que este campo não vem de acordo com as opções do SRB (EUR, LIBOR UK, LIBOR USD, etc.), vem no seguinte formato:
B.BANKERS ASSOC-EUR-5IBOR-3M
B.BANKERS ASSOC-LIBOR-GBP-3M
B.BANKERS ASSOC-LIBOR-GBP-6M
B.BANKERS ASSOC-LIBOR-USD-3M
B.BANKERS ASSOC-LIBOR-USD-6M
ECB FIXING-CMS_EONIA-10Y
ECB FIXING-CMS_EONIA-2Y
ECB FIXING-EURIBORCOL-12M
ECB FIXING-EURIBORCOL-3M
ECB FIXING-EURIBORCOL-6M
EURIBOR-EURIBOR-1M
EURIBOR-EURIBOR-1Y
EURIBOR-EURIBOR-3M
EURIBOR-EURIBOR-6M
FEDN-SOFR FB3M-SPT
LONDON CLOSING-SONIA FB3M-SPT
LONDON CLOSING-SONIA FB6M-SPT
Duvida: O universo de derivados não está integralmente refletido na al011, necessário confirmar se não haverá gap de informação
Query de apoio para recuperar as reference rates e periods das opções apresentadas acima:
SELECT
    tx,
    CASE
        WHEN tx LIKE '%EURIBOR%' THEN 'EURIBOR' 
        WHEN tx LIKE '%EONIA%' THEN 'EONIA'
        WHEN tx LIKE '%EUR-5IBOR%' THEN 'LIBOR EUR'
        WHEN tx LIKE '%LIBOR-GBP%' THEN 'LIBOR UK'
        WHEN tx LIKE '%LIBOR-USD%' THEN 'LIBOR US'
        WHEN tx LIKE '%SOFR%' THEN 'SOFR'
        WHEN tx LIKE '%SONIA%' THEN 'SONIA'
        ELSE 'MISS'
    END as leg_x_reference_rate,
    regexp_extract( tx, "\\d+[a-zA-Z](?!.*\\d+[a-zA-Z])", 0 ) as perd,
    MAX(ref_date) as latest_ref_date
FROM
(
    SELECT taxa_var_1 as tx, ref_date
    FROM cd_alm.al011_derivados
    UNION ALL
    SELECT taxa_var_2 as tx, ref_date
    FROM cd_alm.al011_derivados
) as a
GROUP BY tx</t>
  </si>
  <si>
    <t>LEG_1_REFERENCE_PERIOD</t>
  </si>
  <si>
    <t>Ações solicitadas por Luís Capitão-Mor:
- Pedro Mendes deverá questionar a Corporação sobre este campo (email enviado por Luís Pragosa 15/05/2024).
Email Pedro Mendes (01/10/2024 12:21) com resposta da Corporação:
"4. ¿En los derivados, los data-points “Leg 1 reference period” e ”Leg 2 reference period” son referentes a lo período de refijación de intereses o período de cálculo de intereses (u otro)? 
No sé si entiendo bien la duda. Nosotros, si por ejemplo es EURIBOR a 3 meses pues en ese campo pondríamos 3M"
- Após essa clarificação, deverá confirmar-se se o campo já existe no Loan Tape.
Caso não exista no Loan Tape, ver com Luís Barata como é que os campos de taxa presentes na al011_derivados são alimentados a partir da ingesta/tabela SIGOM_CIB. Em seguida, questionar Rogério Sacadura sobre o conceito inerente a cada campo de taxa da ingesta/tabela SIGOM_CIB para se perceber exatamente qual o campo a consumir. 
Query de apoio para recuperar as reference rates e periods das opções apresentadas nos campos de leg1/2_reference_rate:
SELECT
    tx,
    CASE
        WHEN tx LIKE '%EURIBOR%' THEN 'EURIBOR' 
        WHEN tx LIKE '%EONIA%' THEN 'EONIA'
        WHEN tx LIKE '%EUR-5IBOR%' THEN 'LIBOR EUR'
        WHEN tx LIKE '%LIBOR-GBP%' THEN 'LIBOR UK'
        WHEN tx LIKE '%LIBOR-USD%' THEN 'LIBOR US'
        WHEN tx LIKE '%SOFR%' THEN 'SOFR'
        WHEN tx LIKE '%SONIA%' THEN 'SONIA'
        ELSE 'MISS'
    END as leg_x_reference_rate,
    regexp_extract( tx, "\\d+[a-zA-Z](?!.*\\d+[a-zA-Z])", 0 ) as perd,
    MAX(ref_date) as latest_ref_date
FROM
(
    SELECT taxa_var_1 as tx, ref_date
    FROM cd_alm.al011_derivados
    UNION ALL
    SELECT taxa_var_2 as tx, ref_date
    FROM cd_alm.al011_derivados
) as a
GROUP BY tx
IMPORTANTE:
Se a fonte forem os campos cod_freq_tx_fixa_1/2 então a seguinte query permite recuperar esta informação sem necessidade de parametrizações adicionais:
SELECT
    al011.cod_freq_tx_fixa_1,
    tat_1.leg_reference_period as leg_reference_period_1,
    al011.cod_freq_tx_fixa_2,
    tat_2.leg_reference_period as leg_reference_period_2
FROM
(
    SELECT
        --taxa_var_1, taxa_var_2,
        cod_freq_tx_fixa_1, cod_freq_tx_fixa_2
    FROM cd_alm.al011_derivados -- COUNT() -&gt; 115261
) as al011
LEFT JOIN
(
    SELECT
        cod_freq_tx_fixa,
        CASE
            WHEN split_part(leg_reference_period,' ',2) LIKE 'DIA%'
            THEN CONCAT(split_part(leg_reference_period,' ',1),'d')
            WHEN split_part(leg_reference_period,' ',2) LIKE 'MES%'
            THEN CONCAT(split_part(leg_reference_period,' ',1),'M')
            WHEN split_part(leg_reference_period,' ',2) LIKE 'TRIMESTRE%'
            THEN CONCAT(CAST(CAST(split_part(leg_reference_period,' ',1) AS INT)*3 AS STRING),'M')
            WHEN split_part(leg_reference_period,' ',2) LIKE 'SEMESTRE%'
            THEN CONCAT(CAST(CAST(split_part(leg_reference_period,' ',1) AS INT)*6 AS STRING),'M')
            WHEN split_part(leg_reference_period,' ',2) LIKE 'ANO%'
            THEN CONCAT(split_part(leg_reference_period,' ',1),'A')
            WHEN leg_reference_period = 'SEM PERIODICIDADE'
            THEN 'MISS'
            ELSE leg_reference_period
        END as leg_reference_period
    FROM
    (
        SELECT 
            tayd91c0_celemtab as cod_freq_tx_fixa,
            CASE
                WHEN tayd91c0_gelemtab = 'ANUAL' THEN '1 ANO'
                WHEN tayd91c0_gelemtab = 'SEMESTRAL' THEN '6 MESES'
                WHEN tayd91c0_gelemtab = 'TRIMESTRAL' THEN '3 MESES'
                WHEN tayd91c0_gelemtab = 'MENSAL' THEN '1 MES'
                ELSE tayd91c0_gelemtab
            END as leg_reference_period
        FROM cd_estruturais.tat91_tabelas
        WHERE data_date_part = '2024-12-31'
        AND tayd91c0_ctabela in ('047', '785', '954')
        GROUP BY 1,2
    ) as tat
) as tat_1
ON al011.cod_freq_tx_fixa_1 = tat_1.cod_freq_tx_fixa
LEFT JOIN
(
    SELECT
        cod_freq_tx_fixa,
        CASE
            WHEN split_part(leg_reference_period,' ',2) LIKE 'DIA%'
            THEN CONCAT(split_part(leg_reference_period,' ',1),'d')
            WHEN split_part(leg_reference_period,' ',2) LIKE 'MES%'
            THEN CONCAT(split_part(leg_reference_period,' ',1),'M')
            WHEN split_part(leg_reference_period,' ',2) LIKE 'TRIMESTRE%'
            THEN CONCAT(CAST(CAST(split_part(leg_reference_period,' ',1) AS INT)*3 AS STRING),'M')
            WHEN split_part(leg_reference_period,' ',2) LIKE 'SEMESTRE%'
            THEN CONCAT(CAST(CAST(split_part(leg_reference_period,' ',1) AS INT)*6 AS STRING),'M')
            WHEN split_part(leg_reference_period,' ',2) LIKE 'ANO%'
            THEN CONCAT(split_part(leg_reference_period,' ',1),'A')
            WHEN leg_reference_period = 'SEM PERIODICIDADE'
            THEN 'MISS'
            ELSE leg_reference_period
        END as leg_reference_period
    FROM
    (
        SELECT 
            tayd91c0_celemtab as cod_freq_tx_fixa,
            CASE
                WHEN tayd91c0_gelemtab = 'ANUAL' THEN '1 ANO'
                WHEN tayd91c0_gelemtab = 'SEMESTRAL' THEN '6 MESES'
                WHEN tayd91c0_gelemtab = 'TRIMESTRAL' THEN '3 MESES'
                WHEN tayd91c0_gelemtab = 'MENSAL' THEN '1 MES'
                ELSE tayd91c0_gelemtab
            END as leg_reference_period
        FROM cd_estruturais.tat91_tabelas
        WHERE data_date_part = '2024-12-31'
        AND tayd91c0_ctabela in ('047', '785', '954')
        GROUP BY 1,2
    ) as tat
) as tat_2
ON al011.cod_freq_tx_fixa_2 = tat_2.cod_freq_tx_fixa</t>
  </si>
  <si>
    <t>LEG_2_REFERENCE_PERIOD</t>
  </si>
  <si>
    <t>Aplica-se  o mesmo comentário do campo acima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</si>
</sst>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9"/>
      <color rgb="FFFFFFFF"/>
      <name val="Calibri"/>
      <family val="2"/>
      <scheme val="minor"/>
    </font>
    <font>
      <sz val="9"/>
      <color rgb="FF000000"/>
      <name val="Calibri"/>
      <family val="2"/>
      <scheme val="minor"/>
    </font>
    <font>
      <sz val="10.5"/>
      <color theme="1"/>
      <name val="Calibri"/>
      <family val="2"/>
      <scheme val="minor"/>
    </font>
  </fonts>
  <fills count="7">
    <fill>
      <patternFill patternType="none"/>
    </fill>
    <fill>
      <patternFill patternType="gray125"/>
    </fill>
    <fill>
      <patternFill patternType="solid">
        <fgColor rgb="FFFF0000"/>
        <bgColor rgb="FF000000"/>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s>
  <borders count="39">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s>
  <cellStyleXfs count="1">
    <xf numFmtId="0" fontId="0" fillId="0" borderId="0"/>
  </cellStyleXfs>
  <cellXfs count="76">
    <xf numFmtId="0" fontId="0" fillId="0" borderId="0" xfId="0"/>
    <xf numFmtId="0" fontId="0" fillId="3" borderId="0" xfId="0" applyFill="1"/>
    <xf numFmtId="0" fontId="0" fillId="5" borderId="0" xfId="0" applyFill="1"/>
    <xf numFmtId="0" fontId="0" fillId="4" borderId="0" xfId="0" applyFill="1"/>
    <xf numFmtId="0" fontId="0" fillId="3" borderId="0" xfId="0" applyFill="1" applyAlignment="1">
      <alignment vertical="top"/>
    </xf>
    <xf numFmtId="0" fontId="0" fillId="3" borderId="0" xfId="0" applyFill="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1" fillId="0" borderId="11" xfId="0" applyFont="1" applyBorder="1" applyAlignment="1">
      <alignment horizontal="center" vertical="center"/>
    </xf>
    <xf numFmtId="0" fontId="0" fillId="3" borderId="0" xfId="0" applyFill="1" applyAlignment="1">
      <alignment vertical="center"/>
    </xf>
    <xf numFmtId="0" fontId="0" fillId="3" borderId="0" xfId="0" applyFill="1" applyAlignment="1">
      <alignment vertical="center" wrapText="1"/>
    </xf>
    <xf numFmtId="0" fontId="0" fillId="3" borderId="0" xfId="0" applyFill="1" applyAlignment="1">
      <alignment horizontal="left" vertical="center" wrapText="1"/>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1" fillId="0" borderId="14" xfId="0" applyFont="1" applyBorder="1" applyAlignment="1">
      <alignment horizontal="left" vertical="center" wrapText="1"/>
    </xf>
    <xf numFmtId="0" fontId="0" fillId="3" borderId="15" xfId="0" applyFill="1" applyBorder="1" applyAlignment="1">
      <alignment horizontal="left" vertical="center" wrapText="1"/>
    </xf>
    <xf numFmtId="0" fontId="0" fillId="3" borderId="16" xfId="0" applyFill="1" applyBorder="1" applyAlignment="1">
      <alignment horizontal="left" vertical="center" wrapText="1"/>
    </xf>
    <xf numFmtId="0" fontId="0" fillId="3" borderId="17" xfId="0" applyFill="1" applyBorder="1" applyAlignment="1">
      <alignment horizontal="left" vertical="center" wrapText="1"/>
    </xf>
    <xf numFmtId="0" fontId="0" fillId="0" borderId="18" xfId="0" applyBorder="1" applyAlignment="1">
      <alignment horizontal="left" vertical="center" wrapText="1"/>
    </xf>
    <xf numFmtId="0" fontId="0" fillId="0" borderId="17"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1" fillId="0" borderId="12" xfId="0" applyFont="1" applyBorder="1" applyAlignment="1">
      <alignment horizontal="center" vertical="center"/>
    </xf>
    <xf numFmtId="0" fontId="0" fillId="3" borderId="1" xfId="0" applyFill="1" applyBorder="1" applyAlignment="1">
      <alignment horizontal="center" vertical="center"/>
    </xf>
    <xf numFmtId="0" fontId="0" fillId="0" borderId="2" xfId="0" applyBorder="1" applyAlignment="1">
      <alignment horizontal="center" vertical="center"/>
    </xf>
    <xf numFmtId="0" fontId="0" fillId="3" borderId="3" xfId="0" applyFill="1" applyBorder="1" applyAlignment="1">
      <alignment horizontal="center" vertical="center"/>
    </xf>
    <xf numFmtId="0" fontId="0" fillId="0" borderId="4" xfId="0" applyBorder="1" applyAlignment="1">
      <alignment horizontal="center" vertical="center"/>
    </xf>
    <xf numFmtId="0" fontId="0" fillId="3" borderId="5" xfId="0" applyFill="1"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1" fillId="0" borderId="13" xfId="0" applyFont="1" applyBorder="1" applyAlignment="1">
      <alignment horizontal="center" vertical="center" wrapText="1"/>
    </xf>
    <xf numFmtId="0" fontId="1" fillId="0" borderId="23" xfId="0" applyFont="1" applyBorder="1" applyAlignment="1">
      <alignment horizontal="center" vertical="center"/>
    </xf>
    <xf numFmtId="0" fontId="0" fillId="6" borderId="20" xfId="0" applyFill="1" applyBorder="1" applyAlignment="1">
      <alignment vertical="center"/>
    </xf>
    <xf numFmtId="0" fontId="0" fillId="6" borderId="20" xfId="0" applyFill="1" applyBorder="1"/>
    <xf numFmtId="0" fontId="0" fillId="6" borderId="19" xfId="0" applyFill="1" applyBorder="1" applyAlignment="1">
      <alignment vertical="center"/>
    </xf>
    <xf numFmtId="0" fontId="0" fillId="6" borderId="21" xfId="0" applyFill="1" applyBorder="1"/>
    <xf numFmtId="0" fontId="0" fillId="0" borderId="22" xfId="0" applyBorder="1" applyAlignment="1">
      <alignment horizontal="left" vertical="center" wrapText="1"/>
    </xf>
    <xf numFmtId="0" fontId="0" fillId="0" borderId="21"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vertical="center" wrapText="1"/>
    </xf>
    <xf numFmtId="0" fontId="3" fillId="5" borderId="28" xfId="0" applyFont="1" applyFill="1" applyBorder="1" applyAlignment="1">
      <alignment horizontal="center" vertical="center"/>
    </xf>
    <xf numFmtId="0" fontId="3" fillId="5" borderId="28" xfId="0" applyFont="1" applyFill="1" applyBorder="1" applyAlignment="1">
      <alignment vertical="top"/>
    </xf>
    <xf numFmtId="0" fontId="3" fillId="4" borderId="28" xfId="0" applyFont="1" applyFill="1" applyBorder="1" applyAlignment="1">
      <alignment horizontal="center" vertical="center"/>
    </xf>
    <xf numFmtId="0" fontId="3" fillId="4" borderId="28" xfId="0" applyFont="1" applyFill="1" applyBorder="1" applyAlignment="1">
      <alignment vertical="top" wrapText="1"/>
    </xf>
    <xf numFmtId="0" fontId="3" fillId="4" borderId="28" xfId="0" applyFont="1" applyFill="1" applyBorder="1" applyAlignment="1">
      <alignment horizontal="center" vertical="center" wrapText="1"/>
    </xf>
    <xf numFmtId="0" fontId="3" fillId="4" borderId="28" xfId="0" quotePrefix="1" applyFont="1" applyFill="1" applyBorder="1" applyAlignment="1">
      <alignment vertical="top" wrapText="1"/>
    </xf>
    <xf numFmtId="0" fontId="3" fillId="4" borderId="28" xfId="0" quotePrefix="1" applyFont="1" applyFill="1" applyBorder="1" applyAlignment="1">
      <alignment horizontal="center" vertical="center" wrapText="1"/>
    </xf>
    <xf numFmtId="0" fontId="3" fillId="4" borderId="28" xfId="0" applyFont="1" applyFill="1" applyBorder="1" applyAlignment="1">
      <alignment vertical="center"/>
    </xf>
    <xf numFmtId="0" fontId="2" fillId="2" borderId="29" xfId="0" applyFont="1" applyFill="1" applyBorder="1" applyAlignment="1">
      <alignment horizontal="center" vertical="center"/>
    </xf>
    <xf numFmtId="0" fontId="2"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3" fillId="5" borderId="32" xfId="0" applyFont="1" applyFill="1" applyBorder="1" applyAlignment="1">
      <alignment horizontal="center" vertical="center"/>
    </xf>
    <xf numFmtId="0" fontId="3" fillId="5" borderId="33" xfId="0" applyFont="1" applyFill="1" applyBorder="1" applyAlignment="1">
      <alignment horizontal="center" vertical="center"/>
    </xf>
    <xf numFmtId="0" fontId="3" fillId="4" borderId="32" xfId="0" applyFont="1" applyFill="1" applyBorder="1" applyAlignment="1">
      <alignment horizontal="center" vertical="center"/>
    </xf>
    <xf numFmtId="0" fontId="3" fillId="4" borderId="33" xfId="0" applyFont="1" applyFill="1" applyBorder="1" applyAlignment="1">
      <alignment horizontal="center" vertical="center" wrapText="1"/>
    </xf>
    <xf numFmtId="0" fontId="3" fillId="4" borderId="34" xfId="0" applyFont="1" applyFill="1" applyBorder="1" applyAlignment="1">
      <alignment horizontal="center" vertical="center"/>
    </xf>
    <xf numFmtId="0" fontId="3" fillId="4" borderId="35" xfId="0" applyFont="1" applyFill="1" applyBorder="1" applyAlignment="1">
      <alignment vertical="center"/>
    </xf>
    <xf numFmtId="0" fontId="3" fillId="4" borderId="36" xfId="0" applyFont="1" applyFill="1" applyBorder="1" applyAlignment="1">
      <alignment horizontal="center" vertical="center" wrapText="1"/>
    </xf>
    <xf numFmtId="0" fontId="0" fillId="3" borderId="37" xfId="0" applyFill="1" applyBorder="1" applyAlignment="1">
      <alignment horizontal="center" vertical="center"/>
    </xf>
    <xf numFmtId="0" fontId="3" fillId="4" borderId="38" xfId="0" applyFont="1" applyFill="1" applyBorder="1" applyAlignment="1">
      <alignment horizontal="center" vertical="center" wrapText="1"/>
    </xf>
    <xf numFmtId="0" fontId="0" fillId="0" borderId="29" xfId="0" applyBorder="1"/>
    <xf numFmtId="0" fontId="0" fillId="0" borderId="31" xfId="0" applyBorder="1"/>
    <xf numFmtId="0" fontId="0" fillId="0" borderId="32" xfId="0" applyBorder="1" applyAlignment="1">
      <alignment horizontal="left"/>
    </xf>
    <xf numFmtId="0" fontId="0" fillId="0" borderId="33" xfId="0" applyBorder="1"/>
    <xf numFmtId="0" fontId="0" fillId="0" borderId="34" xfId="0" applyBorder="1" applyAlignment="1">
      <alignment horizontal="left"/>
    </xf>
    <xf numFmtId="0" fontId="0" fillId="0" borderId="36" xfId="0" applyBorder="1"/>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cellXfs>
  <cellStyles count="1">
    <cellStyle name="Normal" xfId="0" builtinId="0"/>
  </cellStyles>
  <dxfs count="7">
    <dxf>
      <fill>
        <patternFill patternType="solid">
          <fgColor rgb="FFFFF2CC"/>
          <bgColor rgb="FF000000"/>
        </patternFill>
      </fill>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Duarte Cardoso Rodrigues" refreshedDate="45701.512202430553" createdVersion="6" refreshedVersion="6" minRefreshableVersion="3" recordCount="34" xr:uid="{00000000-000A-0000-FFFF-FFFF02000000}">
  <cacheSource type="worksheet">
    <worksheetSource ref="A1:B35" sheet="Sheet3"/>
  </cacheSource>
  <cacheFields count="2">
    <cacheField name="Data field" numFmtId="0">
      <sharedItems/>
    </cacheField>
    <cacheField name="Dificuldade de implementação" numFmtId="0">
      <sharedItems count="3">
        <s v="Fácil"/>
        <s v="Médio"/>
        <s v="Difici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4">
  <r>
    <s v="INTEREST_RATE_CAP"/>
    <x v="0"/>
  </r>
  <r>
    <s v="INTEREST_RATE_FLOOR"/>
    <x v="0"/>
  </r>
  <r>
    <s v="TYPE_SECURITIZATION"/>
    <x v="1"/>
  </r>
  <r>
    <s v="UNIQUE_TRADE_ID"/>
    <x v="0"/>
  </r>
  <r>
    <s v="BASE_PRODUCT"/>
    <x v="1"/>
  </r>
  <r>
    <s v="GOVERNING_LAW"/>
    <x v="1"/>
  </r>
  <r>
    <s v="CONTRACT_RECOGN_WRITE_DOWN"/>
    <x v="0"/>
  </r>
  <r>
    <s v="CONTRACT_RECOGN_SUSPENSION"/>
    <x v="0"/>
  </r>
  <r>
    <s v="CONTRACT_RECOGN_RESOLUTION"/>
    <x v="0"/>
  </r>
  <r>
    <s v="ADDRESS_STREET"/>
    <x v="0"/>
  </r>
  <r>
    <s v="ADDRESS_CITY_TOWN_VILLAGE"/>
    <x v="0"/>
  </r>
  <r>
    <s v="ADDRESS_COUNTY_ADM_DIV"/>
    <x v="0"/>
  </r>
  <r>
    <s v="HEDGE_ID"/>
    <x v="1"/>
  </r>
  <r>
    <s v="ISSR_CNTRY"/>
    <x v="0"/>
  </r>
  <r>
    <s v="SRCS_ENCMBRNC"/>
    <x v="1"/>
  </r>
  <r>
    <s v="COUNTERPARTY_COUNTRY"/>
    <x v="1"/>
  </r>
  <r>
    <s v="NOMINAL_INTEREST_RATE_FEE"/>
    <x v="2"/>
  </r>
  <r>
    <s v="COLLATERAL_PORTFOLIO"/>
    <x v="2"/>
  </r>
  <r>
    <s v="COLLATERAL_POSTED"/>
    <x v="2"/>
  </r>
  <r>
    <s v="COLLATERAL_POSTED_CURRENCY"/>
    <x v="1"/>
  </r>
  <r>
    <s v="COLLATERAL_RECEIVED"/>
    <x v="2"/>
  </r>
  <r>
    <s v="COLLATERAL_RECEIVED_CURRENCY"/>
    <x v="1"/>
  </r>
  <r>
    <s v="HIERARCHY"/>
    <x v="2"/>
  </r>
  <r>
    <s v="SECURITY_RATING"/>
    <x v="2"/>
  </r>
  <r>
    <s v="IFRS9_PROB_DEFAULT_IMPAIRMENT"/>
    <x v="1"/>
  </r>
  <r>
    <s v="HEAD_OFFICE_UNDERTAKING_ID"/>
    <x v="1"/>
  </r>
  <r>
    <s v="IMMEDIATE_PARENT_UNDERTAKING_ID"/>
    <x v="1"/>
  </r>
  <r>
    <s v="ULTIMATE_PARENT_UNDERTAKING_ID"/>
    <x v="1"/>
  </r>
  <r>
    <s v="LEGAL_FORM"/>
    <x v="2"/>
  </r>
  <r>
    <s v="DET_TYPE_SHIP_COLLATERAL"/>
    <x v="1"/>
  </r>
  <r>
    <s v="LEG_1_REFERENCE_RATE"/>
    <x v="0"/>
  </r>
  <r>
    <s v="LEG_2_REFERENCE_RATE"/>
    <x v="0"/>
  </r>
  <r>
    <s v="LEG_1_REFERENCE_PERIOD"/>
    <x v="1"/>
  </r>
  <r>
    <s v="LEG_2_REFERENCE_PERIO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68016C-4BDC-43D3-9EF9-B4247B69D55C}" name="PivotTable1" cacheId="623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5:H9" firstHeaderRow="1" firstDataRow="1" firstDataCol="1"/>
  <pivotFields count="2">
    <pivotField dataField="1" showAll="0"/>
    <pivotField axis="axisRow" showAll="0">
      <items count="4">
        <item x="2"/>
        <item x="0"/>
        <item x="1"/>
        <item t="default"/>
      </items>
    </pivotField>
  </pivotFields>
  <rowFields count="1">
    <field x="1"/>
  </rowFields>
  <rowItems count="4">
    <i>
      <x/>
    </i>
    <i>
      <x v="1"/>
    </i>
    <i>
      <x v="2"/>
    </i>
    <i t="grand">
      <x/>
    </i>
  </rowItems>
  <colItems count="1">
    <i/>
  </colItems>
  <dataFields count="1">
    <dataField name="Count of Data field" fld="0" subtotal="count" baseField="0" baseItem="0"/>
  </dataFields>
  <formats count="6">
    <format dxfId="1">
      <pivotArea type="all" dataOnly="0" outline="0" fieldPosition="0"/>
    </format>
    <format dxfId="2">
      <pivotArea outline="0" collapsedLevelsAreSubtotals="1" fieldPosition="0"/>
    </format>
    <format dxfId="3">
      <pivotArea field="1" type="button" dataOnly="0" labelOnly="1" outline="0" axis="axisRow" fieldPosition="0"/>
    </format>
    <format dxfId="4">
      <pivotArea dataOnly="0" labelOnly="1" fieldPosition="0">
        <references count="1">
          <reference field="1" count="0"/>
        </references>
      </pivotArea>
    </format>
    <format dxfId="5">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G19"/>
  <sheetViews>
    <sheetView tabSelected="1" zoomScaleNormal="100" workbookViewId="0">
      <selection activeCell="C4" sqref="C4"/>
    </sheetView>
  </sheetViews>
  <sheetFormatPr defaultColWidth="8.7109375" defaultRowHeight="14.45"/>
  <cols>
    <col min="1" max="1" width="3.7109375" style="1" customWidth="1"/>
    <col min="2" max="2" width="16.7109375" style="1" customWidth="1"/>
    <col min="3" max="3" width="99.85546875" style="1" bestFit="1" customWidth="1"/>
    <col min="4" max="4" width="12.7109375" style="1" customWidth="1"/>
    <col min="5" max="5" width="12.140625" style="1" customWidth="1"/>
    <col min="6" max="6" width="94.42578125" style="1" customWidth="1"/>
    <col min="7" max="16384" width="8.7109375" style="1"/>
  </cols>
  <sheetData>
    <row r="1" spans="2:7" ht="15" thickBot="1"/>
    <row r="2" spans="2:7" ht="15" thickBot="1">
      <c r="B2" s="33" t="s">
        <v>0</v>
      </c>
      <c r="C2" s="32" t="s">
        <v>1</v>
      </c>
      <c r="D2" s="10" t="s">
        <v>2</v>
      </c>
      <c r="E2" s="24" t="s">
        <v>3</v>
      </c>
      <c r="F2" s="16" t="s">
        <v>4</v>
      </c>
      <c r="G2" s="11"/>
    </row>
    <row r="3" spans="2:7" ht="45.75">
      <c r="B3" s="69" t="s">
        <v>5</v>
      </c>
      <c r="C3" s="36" t="s">
        <v>6</v>
      </c>
      <c r="D3" s="25">
        <v>270</v>
      </c>
      <c r="E3" s="26">
        <f t="shared" ref="E3:E9" si="0">D3/8</f>
        <v>33.75</v>
      </c>
      <c r="F3" s="17" t="s">
        <v>7</v>
      </c>
      <c r="G3" s="11"/>
    </row>
    <row r="4" spans="2:7" ht="30.75">
      <c r="B4" s="70"/>
      <c r="C4" s="34" t="s">
        <v>8</v>
      </c>
      <c r="D4" s="27"/>
      <c r="E4" s="28">
        <f t="shared" si="0"/>
        <v>0</v>
      </c>
      <c r="F4" s="18" t="s">
        <v>9</v>
      </c>
      <c r="G4" s="11"/>
    </row>
    <row r="5" spans="2:7">
      <c r="B5" s="70"/>
      <c r="C5" s="35" t="s">
        <v>10</v>
      </c>
      <c r="D5" s="27">
        <v>16</v>
      </c>
      <c r="E5" s="28">
        <f t="shared" si="0"/>
        <v>2</v>
      </c>
      <c r="F5" s="18"/>
      <c r="G5" s="11"/>
    </row>
    <row r="6" spans="2:7" ht="15">
      <c r="B6" s="70"/>
      <c r="C6" s="35" t="s">
        <v>11</v>
      </c>
      <c r="D6" s="27">
        <v>271</v>
      </c>
      <c r="E6" s="28">
        <f t="shared" si="0"/>
        <v>33.875</v>
      </c>
      <c r="F6" s="18"/>
      <c r="G6" s="11"/>
    </row>
    <row r="7" spans="2:7" ht="15">
      <c r="B7" s="70"/>
      <c r="C7" s="35" t="s">
        <v>12</v>
      </c>
      <c r="D7" s="27">
        <v>46</v>
      </c>
      <c r="E7" s="28">
        <f t="shared" si="0"/>
        <v>5.75</v>
      </c>
      <c r="F7" s="18"/>
      <c r="G7" s="11"/>
    </row>
    <row r="8" spans="2:7" ht="15">
      <c r="B8" s="70"/>
      <c r="C8" s="35" t="s">
        <v>13</v>
      </c>
      <c r="D8" s="27"/>
      <c r="E8" s="28">
        <f t="shared" si="0"/>
        <v>0</v>
      </c>
      <c r="F8" s="18" t="s">
        <v>14</v>
      </c>
      <c r="G8" s="11"/>
    </row>
    <row r="9" spans="2:7">
      <c r="B9" s="70"/>
      <c r="C9" s="35" t="s">
        <v>15</v>
      </c>
      <c r="D9" s="27">
        <v>60</v>
      </c>
      <c r="E9" s="28">
        <f t="shared" si="0"/>
        <v>7.5</v>
      </c>
      <c r="F9" s="18"/>
      <c r="G9" s="11"/>
    </row>
    <row r="10" spans="2:7" ht="15" thickBot="1">
      <c r="B10" s="71"/>
      <c r="C10" s="37" t="s">
        <v>16</v>
      </c>
      <c r="D10" s="29">
        <v>128</v>
      </c>
      <c r="E10" s="30">
        <f t="shared" ref="E10:E15" si="1">D10/8</f>
        <v>16</v>
      </c>
      <c r="F10" s="19" t="s">
        <v>17</v>
      </c>
      <c r="G10" s="11"/>
    </row>
    <row r="11" spans="2:7">
      <c r="B11" s="72" t="s">
        <v>18</v>
      </c>
      <c r="C11" s="38" t="s">
        <v>19</v>
      </c>
      <c r="D11" s="6">
        <f>'Análise por campo'!D37</f>
        <v>454</v>
      </c>
      <c r="E11" s="31">
        <f t="shared" si="1"/>
        <v>56.75</v>
      </c>
      <c r="F11" s="20" t="s">
        <v>20</v>
      </c>
      <c r="G11" s="11"/>
    </row>
    <row r="12" spans="2:7" ht="15" thickBot="1">
      <c r="B12" s="71"/>
      <c r="C12" s="39" t="s">
        <v>21</v>
      </c>
      <c r="D12" s="8">
        <v>22</v>
      </c>
      <c r="E12" s="30">
        <f t="shared" si="1"/>
        <v>2.75</v>
      </c>
      <c r="F12" s="21" t="s">
        <v>22</v>
      </c>
      <c r="G12" s="11"/>
    </row>
    <row r="13" spans="2:7">
      <c r="B13" s="73" t="s">
        <v>23</v>
      </c>
      <c r="C13" s="40" t="s">
        <v>24</v>
      </c>
      <c r="D13" s="9">
        <v>16</v>
      </c>
      <c r="E13" s="26">
        <f t="shared" si="1"/>
        <v>2</v>
      </c>
      <c r="F13" s="22"/>
      <c r="G13" s="11"/>
    </row>
    <row r="14" spans="2:7">
      <c r="B14" s="74"/>
      <c r="C14" s="41" t="s">
        <v>25</v>
      </c>
      <c r="D14" s="7">
        <v>8</v>
      </c>
      <c r="E14" s="28">
        <f t="shared" si="1"/>
        <v>1</v>
      </c>
      <c r="F14" s="23"/>
      <c r="G14" s="11"/>
    </row>
    <row r="15" spans="2:7" ht="15" thickBot="1">
      <c r="B15" s="75"/>
      <c r="C15" s="42" t="s">
        <v>26</v>
      </c>
      <c r="D15" s="8">
        <v>16</v>
      </c>
      <c r="E15" s="30">
        <f t="shared" si="1"/>
        <v>2</v>
      </c>
      <c r="F15" s="21"/>
      <c r="G15" s="11"/>
    </row>
    <row r="16" spans="2:7" ht="15" thickBot="1">
      <c r="B16" s="5"/>
      <c r="C16" s="12"/>
      <c r="D16" s="14">
        <f>SUM(D3:D15)</f>
        <v>1307</v>
      </c>
      <c r="E16" s="15">
        <f>SUM(E3:E15)</f>
        <v>163.375</v>
      </c>
      <c r="F16" s="13"/>
      <c r="G16" s="11"/>
    </row>
    <row r="17" spans="2:7">
      <c r="B17" s="5"/>
      <c r="C17" s="11"/>
      <c r="D17" s="5"/>
      <c r="E17" s="5"/>
      <c r="F17" s="13"/>
      <c r="G17" s="11"/>
    </row>
    <row r="18" spans="2:7">
      <c r="B18" s="5"/>
      <c r="C18" s="12"/>
      <c r="D18" s="5"/>
      <c r="E18" s="5"/>
      <c r="F18" s="13"/>
      <c r="G18" s="11"/>
    </row>
    <row r="19" spans="2:7" ht="15"/>
  </sheetData>
  <mergeCells count="3">
    <mergeCell ref="B3:B10"/>
    <mergeCell ref="B11:B12"/>
    <mergeCell ref="B13:B1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38"/>
  <sheetViews>
    <sheetView zoomScale="85" zoomScaleNormal="85" workbookViewId="0">
      <selection activeCell="D14" sqref="B14:D14"/>
    </sheetView>
  </sheetViews>
  <sheetFormatPr defaultColWidth="8.7109375" defaultRowHeight="14.45"/>
  <cols>
    <col min="1" max="1" width="3" style="1" customWidth="1"/>
    <col min="2" max="2" width="28.42578125" style="1" bestFit="1" customWidth="1"/>
    <col min="3" max="3" width="89.5703125" style="4" customWidth="1"/>
    <col min="4" max="5" width="36.5703125" style="5" customWidth="1"/>
    <col min="6" max="6" width="3.7109375" style="1" customWidth="1"/>
    <col min="7" max="7" width="41" style="1" bestFit="1" customWidth="1"/>
    <col min="8" max="8" width="17.5703125" style="1" bestFit="1" customWidth="1"/>
    <col min="9" max="16384" width="8.7109375" style="1"/>
  </cols>
  <sheetData>
    <row r="1" spans="2:8" ht="15">
      <c r="C1" s="1"/>
      <c r="D1" s="1"/>
      <c r="E1" s="1"/>
    </row>
    <row r="2" spans="2:8" ht="15">
      <c r="B2" s="51" t="s">
        <v>27</v>
      </c>
      <c r="C2" s="52" t="s">
        <v>28</v>
      </c>
      <c r="D2" s="52" t="s">
        <v>29</v>
      </c>
      <c r="E2" s="53" t="s">
        <v>30</v>
      </c>
      <c r="G2" s="2" t="s">
        <v>31</v>
      </c>
    </row>
    <row r="3" spans="2:8" ht="15">
      <c r="B3" s="54" t="s">
        <v>32</v>
      </c>
      <c r="C3" s="44" t="s">
        <v>33</v>
      </c>
      <c r="D3" s="43">
        <v>8</v>
      </c>
      <c r="E3" s="55" t="s">
        <v>34</v>
      </c>
      <c r="G3" s="3" t="s">
        <v>35</v>
      </c>
    </row>
    <row r="4" spans="2:8" ht="15">
      <c r="B4" s="54" t="s">
        <v>36</v>
      </c>
      <c r="C4" s="44" t="s">
        <v>33</v>
      </c>
      <c r="D4" s="43">
        <v>8</v>
      </c>
      <c r="E4" s="55" t="s">
        <v>34</v>
      </c>
    </row>
    <row r="5" spans="2:8" ht="15">
      <c r="B5" s="54" t="s">
        <v>37</v>
      </c>
      <c r="C5" s="44" t="s">
        <v>38</v>
      </c>
      <c r="D5" s="43">
        <v>8</v>
      </c>
      <c r="E5" s="55" t="s">
        <v>39</v>
      </c>
      <c r="G5" s="63" t="s">
        <v>40</v>
      </c>
      <c r="H5" s="64" t="s">
        <v>41</v>
      </c>
    </row>
    <row r="6" spans="2:8" ht="15">
      <c r="B6" s="54" t="s">
        <v>42</v>
      </c>
      <c r="C6" s="44" t="s">
        <v>43</v>
      </c>
      <c r="D6" s="43">
        <v>8</v>
      </c>
      <c r="E6" s="55" t="s">
        <v>34</v>
      </c>
      <c r="G6" s="65" t="s">
        <v>44</v>
      </c>
      <c r="H6" s="66">
        <v>7</v>
      </c>
    </row>
    <row r="7" spans="2:8" ht="15">
      <c r="B7" s="54" t="s">
        <v>45</v>
      </c>
      <c r="C7" s="44" t="s">
        <v>43</v>
      </c>
      <c r="D7" s="43">
        <v>16</v>
      </c>
      <c r="E7" s="55" t="s">
        <v>39</v>
      </c>
      <c r="G7" s="65" t="s">
        <v>34</v>
      </c>
      <c r="H7" s="66">
        <v>12</v>
      </c>
    </row>
    <row r="8" spans="2:8" ht="15">
      <c r="B8" s="54" t="s">
        <v>46</v>
      </c>
      <c r="C8" s="44" t="s">
        <v>43</v>
      </c>
      <c r="D8" s="43">
        <v>12</v>
      </c>
      <c r="E8" s="55" t="s">
        <v>39</v>
      </c>
      <c r="G8" s="65" t="s">
        <v>39</v>
      </c>
      <c r="H8" s="66">
        <v>15</v>
      </c>
    </row>
    <row r="9" spans="2:8" ht="15">
      <c r="B9" s="54" t="s">
        <v>47</v>
      </c>
      <c r="C9" s="44" t="s">
        <v>48</v>
      </c>
      <c r="D9" s="43">
        <v>8</v>
      </c>
      <c r="E9" s="55" t="s">
        <v>34</v>
      </c>
      <c r="G9" s="67" t="s">
        <v>49</v>
      </c>
      <c r="H9" s="68">
        <v>34</v>
      </c>
    </row>
    <row r="10" spans="2:8" ht="15">
      <c r="B10" s="54" t="s">
        <v>50</v>
      </c>
      <c r="C10" s="44" t="s">
        <v>48</v>
      </c>
      <c r="D10" s="43">
        <v>8</v>
      </c>
      <c r="E10" s="55" t="s">
        <v>34</v>
      </c>
    </row>
    <row r="11" spans="2:8" ht="15">
      <c r="B11" s="54" t="s">
        <v>51</v>
      </c>
      <c r="C11" s="44" t="s">
        <v>48</v>
      </c>
      <c r="D11" s="43">
        <v>8</v>
      </c>
      <c r="E11" s="55" t="s">
        <v>34</v>
      </c>
    </row>
    <row r="12" spans="2:8" ht="15">
      <c r="B12" s="54" t="s">
        <v>52</v>
      </c>
      <c r="C12" s="44" t="s">
        <v>53</v>
      </c>
      <c r="D12" s="43">
        <v>8</v>
      </c>
      <c r="E12" s="55" t="s">
        <v>34</v>
      </c>
    </row>
    <row r="13" spans="2:8" ht="15">
      <c r="B13" s="54" t="s">
        <v>54</v>
      </c>
      <c r="C13" s="44" t="s">
        <v>53</v>
      </c>
      <c r="D13" s="43">
        <v>8</v>
      </c>
      <c r="E13" s="55" t="s">
        <v>34</v>
      </c>
    </row>
    <row r="14" spans="2:8" ht="15">
      <c r="B14" s="54" t="s">
        <v>55</v>
      </c>
      <c r="C14" s="44" t="s">
        <v>53</v>
      </c>
      <c r="D14" s="43">
        <v>8</v>
      </c>
      <c r="E14" s="55" t="s">
        <v>34</v>
      </c>
    </row>
    <row r="15" spans="2:8" ht="49.5" customHeight="1">
      <c r="B15" s="56" t="s">
        <v>56</v>
      </c>
      <c r="C15" s="46" t="s">
        <v>57</v>
      </c>
      <c r="D15" s="47">
        <v>16</v>
      </c>
      <c r="E15" s="57" t="s">
        <v>39</v>
      </c>
    </row>
    <row r="16" spans="2:8" ht="49.5" customHeight="1">
      <c r="B16" s="56" t="s">
        <v>58</v>
      </c>
      <c r="C16" s="46" t="s">
        <v>59</v>
      </c>
      <c r="D16" s="47">
        <v>8</v>
      </c>
      <c r="E16" s="57" t="s">
        <v>34</v>
      </c>
    </row>
    <row r="17" spans="2:5" ht="49.5" customHeight="1">
      <c r="B17" s="56" t="s">
        <v>60</v>
      </c>
      <c r="C17" s="46" t="s">
        <v>61</v>
      </c>
      <c r="D17" s="47">
        <v>16</v>
      </c>
      <c r="E17" s="57" t="s">
        <v>39</v>
      </c>
    </row>
    <row r="18" spans="2:5" ht="49.5" customHeight="1">
      <c r="B18" s="56" t="s">
        <v>62</v>
      </c>
      <c r="C18" s="46" t="s">
        <v>63</v>
      </c>
      <c r="D18" s="47">
        <v>8</v>
      </c>
      <c r="E18" s="57" t="s">
        <v>39</v>
      </c>
    </row>
    <row r="19" spans="2:5" ht="49.5" customHeight="1">
      <c r="B19" s="56" t="s">
        <v>64</v>
      </c>
      <c r="C19" s="46" t="s">
        <v>65</v>
      </c>
      <c r="D19" s="47">
        <v>16</v>
      </c>
      <c r="E19" s="57" t="s">
        <v>44</v>
      </c>
    </row>
    <row r="20" spans="2:5" ht="49.5" customHeight="1">
      <c r="B20" s="56" t="s">
        <v>66</v>
      </c>
      <c r="C20" s="46" t="s">
        <v>67</v>
      </c>
      <c r="D20" s="47">
        <v>16</v>
      </c>
      <c r="E20" s="57" t="s">
        <v>44</v>
      </c>
    </row>
    <row r="21" spans="2:5" ht="49.5" customHeight="1">
      <c r="B21" s="56" t="s">
        <v>68</v>
      </c>
      <c r="C21" s="46" t="s">
        <v>69</v>
      </c>
      <c r="D21" s="47">
        <v>16</v>
      </c>
      <c r="E21" s="57" t="s">
        <v>44</v>
      </c>
    </row>
    <row r="22" spans="2:5" ht="49.5" customHeight="1">
      <c r="B22" s="56" t="s">
        <v>70</v>
      </c>
      <c r="C22" s="46" t="s">
        <v>71</v>
      </c>
      <c r="D22" s="47">
        <v>16</v>
      </c>
      <c r="E22" s="57" t="s">
        <v>39</v>
      </c>
    </row>
    <row r="23" spans="2:5" ht="49.5" customHeight="1">
      <c r="B23" s="56" t="s">
        <v>72</v>
      </c>
      <c r="C23" s="46" t="s">
        <v>71</v>
      </c>
      <c r="D23" s="47">
        <v>16</v>
      </c>
      <c r="E23" s="57" t="s">
        <v>44</v>
      </c>
    </row>
    <row r="24" spans="2:5" ht="49.5" customHeight="1">
      <c r="B24" s="56" t="s">
        <v>73</v>
      </c>
      <c r="C24" s="46" t="s">
        <v>69</v>
      </c>
      <c r="D24" s="47">
        <v>16</v>
      </c>
      <c r="E24" s="57" t="s">
        <v>39</v>
      </c>
    </row>
    <row r="25" spans="2:5" ht="49.5" customHeight="1">
      <c r="B25" s="56" t="s">
        <v>74</v>
      </c>
      <c r="C25" s="48" t="s">
        <v>75</v>
      </c>
      <c r="D25" s="49">
        <v>20</v>
      </c>
      <c r="E25" s="57" t="s">
        <v>44</v>
      </c>
    </row>
    <row r="26" spans="2:5" ht="49.5" customHeight="1">
      <c r="B26" s="56" t="s">
        <v>76</v>
      </c>
      <c r="C26" s="50" t="s">
        <v>77</v>
      </c>
      <c r="D26" s="45">
        <v>20</v>
      </c>
      <c r="E26" s="57" t="s">
        <v>44</v>
      </c>
    </row>
    <row r="27" spans="2:5" ht="49.5" customHeight="1">
      <c r="B27" s="56" t="s">
        <v>78</v>
      </c>
      <c r="C27" s="46" t="s">
        <v>79</v>
      </c>
      <c r="D27" s="47">
        <v>10</v>
      </c>
      <c r="E27" s="57" t="s">
        <v>39</v>
      </c>
    </row>
    <row r="28" spans="2:5" ht="49.5" customHeight="1">
      <c r="B28" s="56" t="s">
        <v>80</v>
      </c>
      <c r="C28" s="46" t="s">
        <v>81</v>
      </c>
      <c r="D28" s="45">
        <v>20</v>
      </c>
      <c r="E28" s="57" t="s">
        <v>39</v>
      </c>
    </row>
    <row r="29" spans="2:5" ht="49.5" customHeight="1">
      <c r="B29" s="56" t="s">
        <v>82</v>
      </c>
      <c r="C29" s="46" t="s">
        <v>83</v>
      </c>
      <c r="D29" s="45">
        <v>20</v>
      </c>
      <c r="E29" s="57" t="s">
        <v>39</v>
      </c>
    </row>
    <row r="30" spans="2:5" ht="49.5" customHeight="1">
      <c r="B30" s="56" t="s">
        <v>84</v>
      </c>
      <c r="C30" s="46" t="s">
        <v>83</v>
      </c>
      <c r="D30" s="45">
        <v>20</v>
      </c>
      <c r="E30" s="57" t="s">
        <v>39</v>
      </c>
    </row>
    <row r="31" spans="2:5" ht="49.5" customHeight="1">
      <c r="B31" s="56" t="s">
        <v>85</v>
      </c>
      <c r="C31" s="46" t="s">
        <v>86</v>
      </c>
      <c r="D31" s="47">
        <v>8</v>
      </c>
      <c r="E31" s="57" t="s">
        <v>44</v>
      </c>
    </row>
    <row r="32" spans="2:5" ht="49.5" customHeight="1">
      <c r="B32" s="56" t="s">
        <v>87</v>
      </c>
      <c r="C32" s="46" t="s">
        <v>88</v>
      </c>
      <c r="D32" s="45">
        <v>20</v>
      </c>
      <c r="E32" s="57" t="s">
        <v>39</v>
      </c>
    </row>
    <row r="33" spans="2:5" ht="49.5" customHeight="1">
      <c r="B33" s="56" t="s">
        <v>89</v>
      </c>
      <c r="C33" s="46" t="s">
        <v>90</v>
      </c>
      <c r="D33" s="47">
        <v>16</v>
      </c>
      <c r="E33" s="57" t="s">
        <v>34</v>
      </c>
    </row>
    <row r="34" spans="2:5" ht="49.5" customHeight="1">
      <c r="B34" s="56" t="s">
        <v>91</v>
      </c>
      <c r="C34" s="46" t="s">
        <v>92</v>
      </c>
      <c r="D34" s="47">
        <v>16</v>
      </c>
      <c r="E34" s="57" t="s">
        <v>34</v>
      </c>
    </row>
    <row r="35" spans="2:5" ht="49.5" customHeight="1">
      <c r="B35" s="56" t="s">
        <v>93</v>
      </c>
      <c r="C35" s="46" t="s">
        <v>94</v>
      </c>
      <c r="D35" s="47">
        <v>16</v>
      </c>
      <c r="E35" s="57" t="s">
        <v>39</v>
      </c>
    </row>
    <row r="36" spans="2:5" ht="49.5" customHeight="1">
      <c r="B36" s="58" t="s">
        <v>95</v>
      </c>
      <c r="C36" s="59" t="s">
        <v>96</v>
      </c>
      <c r="D36" s="62">
        <v>16</v>
      </c>
      <c r="E36" s="60" t="s">
        <v>39</v>
      </c>
    </row>
    <row r="37" spans="2:5" ht="15">
      <c r="D37" s="61">
        <f>SUM(D3:D36)</f>
        <v>454</v>
      </c>
    </row>
    <row r="38" spans="2:5" ht="15"/>
  </sheetData>
  <autoFilter ref="B2:C2" xr:uid="{00000000-0009-0000-0000-000001000000}"/>
  <sortState xmlns:xlrd2="http://schemas.microsoft.com/office/spreadsheetml/2017/richdata2" ref="B3:B36">
    <sortCondition sortBy="cellColor" ref="B3:B36" dxfId="0"/>
  </sortState>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957d4738f1d1e166fc13770b60709182">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b7fa339bda5bab1ae0eb643f6cbab087"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21F2B6-A975-4915-B1D5-133E68D55002}"/>
</file>

<file path=customXml/itemProps2.xml><?xml version="1.0" encoding="utf-8"?>
<ds:datastoreItem xmlns:ds="http://schemas.openxmlformats.org/officeDocument/2006/customXml" ds:itemID="{4994B703-61F6-4A39-9150-90886F0075B9}"/>
</file>

<file path=customXml/itemProps3.xml><?xml version="1.0" encoding="utf-8"?>
<ds:datastoreItem xmlns:ds="http://schemas.openxmlformats.org/officeDocument/2006/customXml" ds:itemID="{240E090B-02A8-4A5D-8B53-2631D077FBF5}"/>
</file>

<file path=docProps/app.xml><?xml version="1.0" encoding="utf-8"?>
<Properties xmlns="http://schemas.openxmlformats.org/officeDocument/2006/extended-properties" xmlns:vt="http://schemas.openxmlformats.org/officeDocument/2006/docPropsVTypes">
  <Application>Microsoft Excel Online</Application>
  <Manager/>
  <Company>Banco Santander Portugal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Duarte Cardoso Rodrigues</dc:creator>
  <cp:keywords/>
  <dc:description/>
  <cp:lastModifiedBy>Luís Filipe da Silva Pragosa</cp:lastModifiedBy>
  <cp:revision/>
  <dcterms:created xsi:type="dcterms:W3CDTF">2025-02-12T10:35:26Z</dcterms:created>
  <dcterms:modified xsi:type="dcterms:W3CDTF">2025-02-14T16:45:29Z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2025-02-12T19:01:35Z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3bbe6262-d8b9-49b9-aaa1-54932632b8b8</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