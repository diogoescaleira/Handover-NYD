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858309\Santander Office 365\Reports Financeira - General\3. VALUATION\1. Documentação\2. Documentação IT\"/>
    </mc:Choice>
  </mc:AlternateContent>
  <bookViews>
    <workbookView xWindow="0" yWindow="0" windowWidth="19185" windowHeight="2250" tabRatio="914"/>
  </bookViews>
  <sheets>
    <sheet name="PDS" sheetId="52" r:id="rId1"/>
    <sheet name="UNIVERSOS" sheetId="36" r:id="rId2"/>
    <sheet name="LEGAL PERSONS DATA SETS" sheetId="19" r:id="rId3"/>
    <sheet name="LEGALP_INSTRUMENTS" sheetId="2" r:id="rId4"/>
    <sheet name="LEGALP_COUNTERPARTIES" sheetId="20" r:id="rId5"/>
    <sheet name="LEGALP_PROTECTIONS" sheetId="21" r:id="rId6"/>
    <sheet name="LEGALP_INSTRUMENT_COUNTERPARTY" sheetId="37" r:id="rId7"/>
    <sheet name="LEGALP_INSTRUMENT_PROTECTION" sheetId="38" r:id="rId8"/>
    <sheet name="NATURAL PERSONS DATA SETS" sheetId="23" r:id="rId9"/>
    <sheet name="NATURALP_INSTRUMENTS" sheetId="24" r:id="rId10"/>
    <sheet name="NATURALP_COUNTERPARTIES" sheetId="25" r:id="rId11"/>
    <sheet name="NATURALP_PROTECTIONS" sheetId="26" r:id="rId12"/>
    <sheet name="NATURALP_INSTRUMENT_COUNTERPART" sheetId="39" r:id="rId13"/>
    <sheet name="NATURALP_INSTRUMENT_PROTECTION" sheetId="40" r:id="rId14"/>
    <sheet name="OFF-BALANCE DATA SETS" sheetId="28" r:id="rId15"/>
    <sheet name="OFFBAL_INSTRUMENTS" sheetId="30" r:id="rId16"/>
    <sheet name="OFFBAL_COUNTERPARTIES" sheetId="27" r:id="rId17"/>
    <sheet name="OFFBAL_PROTECTIONS" sheetId="31" r:id="rId18"/>
    <sheet name="OFFBAL_INSTRUMENT_COUNTERPARTY" sheetId="41" r:id="rId19"/>
    <sheet name="OFFBAL_INSTRUMENT_PROTECTION" sheetId="42" r:id="rId20"/>
    <sheet name="DERIVATIVES Data Set" sheetId="33" r:id="rId21"/>
    <sheet name="DERIVATIVES" sheetId="32" r:id="rId22"/>
    <sheet name="DEBT SECURITIES Data Set" sheetId="44" r:id="rId23"/>
    <sheet name="DEBT_SECURITIES" sheetId="34" r:id="rId24"/>
    <sheet name="EQUITY INSTRUMENTS Data Set" sheetId="45" r:id="rId25"/>
    <sheet name="EQUITY_INSTRUMENTS" sheetId="35" r:id="rId26"/>
    <sheet name="DTA DTC Data Set" sheetId="46" r:id="rId27"/>
    <sheet name="DTA_DTC" sheetId="47" r:id="rId28"/>
    <sheet name="INTANGIBLE ASSETS Data Set" sheetId="48" r:id="rId29"/>
    <sheet name="INTANGIBLE_ASSETS" sheetId="49" r:id="rId30"/>
    <sheet name="LT803_CODIGOS_LT" sheetId="51" r:id="rId31"/>
    <sheet name="AUX" sheetId="50" r:id="rId32"/>
  </sheets>
  <definedNames>
    <definedName name="_xlnm._FilterDatabase" localSheetId="23" hidden="1">DEBT_SECURITIES!$A$2:$U$77</definedName>
    <definedName name="_xlnm._FilterDatabase" localSheetId="21" hidden="1">DERIVATIVES!$A$1:$U$69</definedName>
    <definedName name="_xlnm._FilterDatabase" localSheetId="25" hidden="1">EQUITY_INSTRUMENTS!$A$2:$K$2</definedName>
    <definedName name="_xlnm._FilterDatabase" localSheetId="9" hidden="1">NATURALP_INSTRUMENTS!$A$1:$T$142</definedName>
    <definedName name="_xlnm._FilterDatabase" localSheetId="16" hidden="1">OFFBAL_COUNTERPARTIES!$A$2:$V$59</definedName>
    <definedName name="_xlnm._FilterDatabase" localSheetId="15" hidden="1">OFFBAL_INSTRUMENTS!$A$2:$V$67</definedName>
    <definedName name="_xlnm._FilterDatabase" localSheetId="17" hidden="1">OFFBAL_PROTECTIONS!$A$2:$K$2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3" i="52" l="1"/>
  <c r="F21" i="52" l="1"/>
  <c r="F23" i="52"/>
  <c r="F4" i="52"/>
  <c r="T21" i="52"/>
  <c r="T23" i="52"/>
  <c r="T4" i="52"/>
  <c r="S22" i="52" l="1"/>
  <c r="T22" i="52" s="1"/>
  <c r="Q22" i="52"/>
  <c r="O22" i="52"/>
  <c r="M22" i="52"/>
  <c r="K22" i="52"/>
  <c r="I22" i="52"/>
  <c r="G22" i="52"/>
  <c r="S23" i="52"/>
  <c r="Q23" i="52"/>
  <c r="O23" i="52"/>
  <c r="M23" i="52"/>
  <c r="K23" i="52"/>
  <c r="L23" i="52" s="1"/>
  <c r="I23" i="52"/>
  <c r="G23" i="52"/>
  <c r="E23" i="52"/>
  <c r="E22" i="52"/>
  <c r="S21" i="52"/>
  <c r="Q21" i="52"/>
  <c r="O21" i="52"/>
  <c r="M21" i="52"/>
  <c r="K21" i="52"/>
  <c r="I21" i="52"/>
  <c r="G21" i="52"/>
  <c r="E21" i="52"/>
  <c r="S6" i="52"/>
  <c r="S5" i="52"/>
  <c r="T5" i="52" s="1"/>
  <c r="S4" i="52"/>
  <c r="N21" i="52" l="1"/>
  <c r="N23" i="52"/>
  <c r="R21" i="52"/>
  <c r="R22" i="52"/>
  <c r="R23" i="52"/>
  <c r="P22" i="52"/>
  <c r="P23" i="52"/>
  <c r="P21" i="52"/>
  <c r="N22" i="52"/>
  <c r="L21" i="52"/>
  <c r="L22" i="52"/>
  <c r="J21" i="52"/>
  <c r="J22" i="52"/>
  <c r="J23" i="52"/>
  <c r="H21" i="52"/>
  <c r="H23" i="52"/>
  <c r="H22" i="52"/>
  <c r="G4" i="52"/>
  <c r="S20" i="52"/>
  <c r="Q20" i="52"/>
  <c r="R20" i="52" s="1"/>
  <c r="O20" i="52"/>
  <c r="M20" i="52"/>
  <c r="K20" i="52"/>
  <c r="I20" i="52"/>
  <c r="G20" i="52"/>
  <c r="E20" i="52"/>
  <c r="S19" i="52"/>
  <c r="T19" i="52" s="1"/>
  <c r="Q19" i="52"/>
  <c r="O19" i="52"/>
  <c r="M19" i="52"/>
  <c r="K19" i="52"/>
  <c r="I19" i="52"/>
  <c r="G19" i="52"/>
  <c r="E19" i="52"/>
  <c r="S18" i="52"/>
  <c r="T18" i="52" s="1"/>
  <c r="Q18" i="52"/>
  <c r="R18" i="52" s="1"/>
  <c r="O18" i="52"/>
  <c r="M18" i="52"/>
  <c r="K18" i="52"/>
  <c r="I18" i="52"/>
  <c r="G18" i="52"/>
  <c r="E18" i="52"/>
  <c r="S17" i="52"/>
  <c r="T17" i="52" s="1"/>
  <c r="Q17" i="52"/>
  <c r="R17" i="52" s="1"/>
  <c r="O17" i="52"/>
  <c r="M17" i="52"/>
  <c r="K17" i="52"/>
  <c r="I17" i="52"/>
  <c r="G17" i="52"/>
  <c r="E17" i="52"/>
  <c r="S16" i="52"/>
  <c r="Q16" i="52"/>
  <c r="O16" i="52"/>
  <c r="M16" i="52"/>
  <c r="K16" i="52"/>
  <c r="I16" i="52"/>
  <c r="G16" i="52"/>
  <c r="E16" i="52"/>
  <c r="S15" i="52"/>
  <c r="Q15" i="52"/>
  <c r="O15" i="52"/>
  <c r="M15" i="52"/>
  <c r="K15" i="52"/>
  <c r="I15" i="52"/>
  <c r="G15" i="52"/>
  <c r="E15" i="52"/>
  <c r="S14" i="52"/>
  <c r="Q14" i="52"/>
  <c r="O14" i="52"/>
  <c r="M14" i="52"/>
  <c r="K14" i="52"/>
  <c r="I14" i="52"/>
  <c r="G14" i="52"/>
  <c r="E14" i="52"/>
  <c r="S13" i="52"/>
  <c r="T13" i="52" s="1"/>
  <c r="Q13" i="52"/>
  <c r="R13" i="52" s="1"/>
  <c r="O13" i="52"/>
  <c r="M13" i="52"/>
  <c r="K13" i="52"/>
  <c r="I13" i="52"/>
  <c r="G13" i="52"/>
  <c r="E13" i="52"/>
  <c r="S12" i="52"/>
  <c r="T12" i="52" s="1"/>
  <c r="Q12" i="52"/>
  <c r="R12" i="52" s="1"/>
  <c r="O12" i="52"/>
  <c r="M12" i="52"/>
  <c r="K12" i="52"/>
  <c r="I12" i="52"/>
  <c r="G12" i="52"/>
  <c r="E12" i="52"/>
  <c r="S11" i="52"/>
  <c r="Q11" i="52"/>
  <c r="O11" i="52"/>
  <c r="M11" i="52"/>
  <c r="K11" i="52"/>
  <c r="I11" i="52"/>
  <c r="G11" i="52"/>
  <c r="E11" i="52"/>
  <c r="S10" i="52"/>
  <c r="T10" i="52" s="1"/>
  <c r="Q10" i="52"/>
  <c r="R10" i="52" s="1"/>
  <c r="O10" i="52"/>
  <c r="M10" i="52"/>
  <c r="K10" i="52"/>
  <c r="I10" i="52"/>
  <c r="G10" i="52"/>
  <c r="E10" i="52"/>
  <c r="S9" i="52"/>
  <c r="Q9" i="52"/>
  <c r="O9" i="52"/>
  <c r="M9" i="52"/>
  <c r="K9" i="52"/>
  <c r="I9" i="52"/>
  <c r="G9" i="52"/>
  <c r="E9" i="52"/>
  <c r="T9" i="52" s="1"/>
  <c r="S8" i="52"/>
  <c r="T8" i="52" s="1"/>
  <c r="Q8" i="52"/>
  <c r="R8" i="52" s="1"/>
  <c r="O8" i="52"/>
  <c r="M8" i="52"/>
  <c r="K8" i="52"/>
  <c r="I8" i="52"/>
  <c r="G8" i="52"/>
  <c r="E8" i="52"/>
  <c r="S7" i="52"/>
  <c r="T7" i="52" s="1"/>
  <c r="Q7" i="52"/>
  <c r="R7" i="52" s="1"/>
  <c r="O7" i="52"/>
  <c r="M7" i="52"/>
  <c r="K7" i="52"/>
  <c r="I7" i="52"/>
  <c r="G7" i="52"/>
  <c r="E7" i="52"/>
  <c r="Q6" i="52"/>
  <c r="O6" i="52"/>
  <c r="M6" i="52"/>
  <c r="K6" i="52"/>
  <c r="I6" i="52"/>
  <c r="G6" i="52"/>
  <c r="E6" i="52"/>
  <c r="T6" i="52" s="1"/>
  <c r="Q5" i="52"/>
  <c r="O5" i="52"/>
  <c r="M5" i="52"/>
  <c r="K5" i="52"/>
  <c r="I5" i="52"/>
  <c r="G5" i="52"/>
  <c r="E5" i="52"/>
  <c r="Q4" i="52"/>
  <c r="O4" i="52"/>
  <c r="M4" i="52"/>
  <c r="K4" i="52"/>
  <c r="I4" i="52"/>
  <c r="E4" i="52"/>
  <c r="T20" i="52" l="1"/>
  <c r="R19" i="52"/>
  <c r="R9" i="52"/>
  <c r="R14" i="52"/>
  <c r="T14" i="52"/>
  <c r="T16" i="52"/>
  <c r="R16" i="52"/>
  <c r="R11" i="52"/>
  <c r="T11" i="52"/>
  <c r="R6" i="52"/>
  <c r="F22" i="52"/>
  <c r="R15" i="52"/>
  <c r="T15" i="52"/>
  <c r="S24" i="52"/>
  <c r="N4" i="52"/>
  <c r="N5" i="52"/>
  <c r="R5" i="52"/>
  <c r="R4" i="52"/>
  <c r="P7" i="52"/>
  <c r="P8" i="52"/>
  <c r="P9" i="52"/>
  <c r="P10" i="52"/>
  <c r="P11" i="52"/>
  <c r="P12" i="52"/>
  <c r="P13" i="52"/>
  <c r="P14" i="52"/>
  <c r="P15" i="52"/>
  <c r="P16" i="52"/>
  <c r="P17" i="52"/>
  <c r="P18" i="52"/>
  <c r="P19" i="52"/>
  <c r="P20" i="52"/>
  <c r="P6" i="52"/>
  <c r="P5" i="52"/>
  <c r="P4" i="52"/>
  <c r="N7" i="52"/>
  <c r="N8" i="52"/>
  <c r="N9" i="52"/>
  <c r="N10" i="52"/>
  <c r="N11" i="52"/>
  <c r="N12" i="52"/>
  <c r="N13" i="52"/>
  <c r="N14" i="52"/>
  <c r="N15" i="52"/>
  <c r="N16" i="52"/>
  <c r="N17" i="52"/>
  <c r="N18" i="52"/>
  <c r="N19" i="52"/>
  <c r="N20" i="52"/>
  <c r="L5" i="52"/>
  <c r="N6" i="52"/>
  <c r="L4" i="52"/>
  <c r="J6" i="52"/>
  <c r="L7" i="52"/>
  <c r="L8" i="52"/>
  <c r="L9" i="52"/>
  <c r="L10" i="52"/>
  <c r="L11" i="52"/>
  <c r="L12" i="52"/>
  <c r="L14" i="52"/>
  <c r="L15" i="52"/>
  <c r="L16" i="52"/>
  <c r="L17" i="52"/>
  <c r="L18" i="52"/>
  <c r="L19" i="52"/>
  <c r="L20" i="52"/>
  <c r="L6" i="52"/>
  <c r="J5" i="52"/>
  <c r="J4" i="52"/>
  <c r="J7" i="52"/>
  <c r="J8" i="52"/>
  <c r="J9" i="52"/>
  <c r="J10" i="52"/>
  <c r="J11" i="52"/>
  <c r="J12" i="52"/>
  <c r="J13" i="52"/>
  <c r="J14" i="52"/>
  <c r="J15" i="52"/>
  <c r="J16" i="52"/>
  <c r="J17" i="52"/>
  <c r="J18" i="52"/>
  <c r="J19" i="52"/>
  <c r="J20" i="52"/>
  <c r="H9" i="52"/>
  <c r="H14" i="52"/>
  <c r="H15" i="52"/>
  <c r="H17" i="52"/>
  <c r="H18" i="52"/>
  <c r="H20" i="52"/>
  <c r="H7" i="52"/>
  <c r="F7" i="52" s="1"/>
  <c r="H8" i="52"/>
  <c r="F8" i="52" s="1"/>
  <c r="H10" i="52"/>
  <c r="H16" i="52"/>
  <c r="H19" i="52"/>
  <c r="H11" i="52"/>
  <c r="H12" i="52"/>
  <c r="H13" i="52"/>
  <c r="H6" i="52"/>
  <c r="H5" i="52"/>
  <c r="H4" i="52"/>
  <c r="E24" i="52"/>
  <c r="O24" i="52"/>
  <c r="G24" i="52"/>
  <c r="I24" i="52"/>
  <c r="Q24" i="52"/>
  <c r="K24" i="52"/>
  <c r="M24" i="52"/>
  <c r="F19" i="52" l="1"/>
  <c r="F20" i="52"/>
  <c r="F18" i="52"/>
  <c r="F12" i="52"/>
  <c r="F9" i="52"/>
  <c r="F14" i="52"/>
  <c r="F17" i="52"/>
  <c r="F13" i="52"/>
  <c r="F16" i="52"/>
  <c r="F11" i="52"/>
  <c r="F6" i="52"/>
  <c r="R24" i="52"/>
  <c r="N24" i="52"/>
  <c r="H24" i="52"/>
  <c r="L24" i="52"/>
  <c r="P24" i="52"/>
  <c r="T24" i="52"/>
  <c r="J24" i="52"/>
  <c r="F15" i="52"/>
  <c r="F10" i="52"/>
  <c r="F5" i="52"/>
  <c r="F24" i="52" l="1"/>
</calcChain>
</file>

<file path=xl/sharedStrings.xml><?xml version="1.0" encoding="utf-8"?>
<sst xmlns="http://schemas.openxmlformats.org/spreadsheetml/2006/main" count="5278" uniqueCount="1733">
  <si>
    <t>O Report Valuation está dividido em vários Universos. 
De seguida iremos explicar como separar entre:
‣ LEGAL PERSON;
‣ NATURAL PERSON;
‣ OFF-BALANCE;
‣ DERIVATIVE;
‣ DEBT SECURITIES;
‣ EQUITY INSTRUMENTS</t>
  </si>
  <si>
    <t>DERIVATIVE</t>
  </si>
  <si>
    <t>DEBT SECURITIES</t>
  </si>
  <si>
    <t>EQUITY INSTRUMENTS</t>
  </si>
  <si>
    <t>OFF-BALANCE</t>
  </si>
  <si>
    <t>Todos os contratos da tabela cd_alm.al011_derivados</t>
  </si>
  <si>
    <t>Para filtrar este universo de contratos é necessário ligar a tabela cd_captools.ct610_titulos com a tabela cd_captools.ct010_dim_valor (filtrado por id_dimensao = 76) através dos campos "nome_atributo_dim"="tipo_titulo". 
O universo de DEBT SECURITIES trata-se dos contratos da tabela  cd_captools.ct610_titulos cujo campo "cod_atributo_dim" resultante da ligação com a tabela cd_captools.ct010_dim_valor começa por "Inst_Div".</t>
  </si>
  <si>
    <t>Para filtrar este universo de contratos é necessário ligar a tabela cd_captools.ct610_titulos com a tabela cd_captools.ct010_dim_valor (filtrado por id_dimensao = 76) através dos campos "nome_atributo_dim"="tipo_titulo". 
O universo de DEBT SECURITIES trata-se dos contratos da tabela  cd_captools.ct610_titulos cujo campo "cod_atributo_dim" resultante da ligação com a tabela cd_captools.ct010_dim_valor começa por "Inst_Cap".</t>
  </si>
  <si>
    <r>
      <rPr>
        <b/>
        <u/>
        <sz val="14"/>
        <color theme="1"/>
        <rFont val="Calibri"/>
        <family val="2"/>
        <scheme val="minor"/>
      </rPr>
      <t>SRB DATA SET FOR EXPOSURES TO LEGAL PERSONS</t>
    </r>
    <r>
      <rPr>
        <b/>
        <sz val="11"/>
        <color theme="1"/>
        <rFont val="Calibri"/>
        <family val="2"/>
        <scheme val="minor"/>
      </rPr>
      <t xml:space="preserve">
A base de dados AnaCredit disponibiliza informação muito detalhada e individualizada sobre exposições a pessoas coletivas. O dataset de avaliação do SRB complementa a base de dados AnaCredit e fornece campos de dados por segmentos, o que permite mapear exposições individuais com segmentos de reporte prudencial (FINREP e COREP) e parâmetros de dados de risco de crédito destinados a apoiar os avaliadores. O dataset de avaliação do CUR também fornece campos de dados sobre parâmetros de risco fornecidos pelos modelos de risco internos dos bancos, nos quais os avaliadores podem confiar para realizar avaliações numa base agregada, sempre que necessário.
Serão produzidos três ficheiros de report referentes a Legal Persons:
‣  SRB Instruments Data Set for exposures to legal persons (VDS_OUT_LEGALP_INSTRUMENTS);
‣  SRB Counterparties Data Set for exposures to legal persons (VDS_OUT_LEGALP_COUNTERPARTIES);
‣  SRB Protection received Data Set for exposures to legal persons (VDS_OUT_LEGALP_PROTECTIONS).</t>
    </r>
  </si>
  <si>
    <t>SRB Instruments Data Set for exposures to legal persons</t>
  </si>
  <si>
    <t>ID</t>
  </si>
  <si>
    <t>Categoria</t>
  </si>
  <si>
    <t>Coluna</t>
  </si>
  <si>
    <t>Tipo de dados</t>
  </si>
  <si>
    <t>Descrição</t>
  </si>
  <si>
    <t>Fontes de Informação</t>
  </si>
  <si>
    <t>Filtros</t>
  </si>
  <si>
    <t>Campo</t>
  </si>
  <si>
    <t>Regras de Preenchimento</t>
  </si>
  <si>
    <t>Agrupações</t>
  </si>
  <si>
    <t>V_1</t>
  </si>
  <si>
    <t>Instrument Identifier</t>
  </si>
  <si>
    <t>Alphanumeric</t>
  </si>
  <si>
    <t>Um identificador aplicado para identificar exclusivamente cada instrumento. Cada instrumento deve ter um identificador de instrumento.</t>
  </si>
  <si>
    <t>cd_alm.al029_cnt_core_m</t>
  </si>
  <si>
    <t>‣ ref_date = data do report</t>
  </si>
  <si>
    <t>cempresa</t>
  </si>
  <si>
    <t>‣ Concatenação dos campos mencionados anteriormente:
     cempresa + "_" + cbalcao + "_" + cnumecta + "_" + zdeposit</t>
  </si>
  <si>
    <t>cbalcao</t>
  </si>
  <si>
    <t>cnumecta</t>
  </si>
  <si>
    <t>zdeposit</t>
  </si>
  <si>
    <t>V_2</t>
  </si>
  <si>
    <t>Counterparty Identifier</t>
  </si>
  <si>
    <t>Identificador aplicado para identificar exclusivamente cada contraparte</t>
  </si>
  <si>
    <t>zcliente</t>
  </si>
  <si>
    <t>‣ Direto</t>
  </si>
  <si>
    <t>Se se alterar o universo trazer o zcliente respetivo</t>
  </si>
  <si>
    <t>V_3</t>
  </si>
  <si>
    <t>CRR Exposure class</t>
  </si>
  <si>
    <t>String</t>
  </si>
  <si>
    <t>As classes de posições em risco para o cálculo dos ativos ponderados pelo risco (RWA) para riscos de crédito são as seguintes (não aplicável quando as posições em risco são classificadas na carteira de negociação do CRR, conforme definido no artigo 4(1)(86), do Regulamento (UE) No 575 /2013). 
Informação deriva de uma lista baseada na classificação da facilidade utilizando a classe de risco, conforme descrito no artigo 112 do Regulamento (UE) No 575/2013 para bancos que utilizam a abordagem padrão) e no artigo 147 do Regulamento (UE) No 575/2013 (para bancos que utilizam abordagem baseada em classificações internas (IRB))
Quando um banco utiliza a abordagem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securitisation positions
‣ Other non-credit-obligation assets (IOTHERC)</t>
  </si>
  <si>
    <t>Tabela de parametrização: codemapping</t>
  </si>
  <si>
    <t>‣ dd_field_id = "3"</t>
  </si>
  <si>
    <t>dd_code</t>
  </si>
  <si>
    <t>‣ Tradução do campo "segmento_corep_final" através de uma ligação com o campo "dd_code" para obter o campo:
     dd_value</t>
  </si>
  <si>
    <t>dd_value</t>
  </si>
  <si>
    <t>cd_captools.ct013_rwa_princ</t>
  </si>
  <si>
    <t>‣ ref_date = data do report
‣ flag_cons_cap = 1
‣ exercicio = 'REAL'</t>
  </si>
  <si>
    <t>segmento_corep_final</t>
  </si>
  <si>
    <t>V_4</t>
  </si>
  <si>
    <t>FINREP Exposure class</t>
  </si>
  <si>
    <t>Classificação da instalação (exposure class) conforme definido na ITS 680/2014 Anexo V Instruções FINREP (Counterparty breakdown).
Opções:
‣ Central banks
‣ Central
governments
‣ Credit institutions
‣ Other financial
corporations
‣ Non-financial
corporations
‣ Households</t>
  </si>
  <si>
    <t>‣ dd_field_id = "4"</t>
  </si>
  <si>
    <t>‣ Inicialmente para cada combinação dos campos "cempresa", "cbalcao", "cnumecta", "zdeposit" iremos recuperar o MAX(contraparte_i):
     ‣ Este campo MAX(contraparte_i) será traduzido através de uma ligação com o campo "dd_code" para obter o campo:
          dd_value</t>
  </si>
  <si>
    <t>Pragosa diz que o LCM já indicou reapontar a ct081_finrep para a fr004</t>
  </si>
  <si>
    <t>cd_captools.ct081_finrep</t>
  </si>
  <si>
    <t>contraparte_i</t>
  </si>
  <si>
    <t>V_5</t>
  </si>
  <si>
    <t>Total Risk Exposure Amount</t>
  </si>
  <si>
    <t>Numeric (euro)</t>
  </si>
  <si>
    <t>O montante total das posições em risco do instrumento, calculado de acordo com o artigo 92(3) e 92(4) do Regulamento (UE) No 575/2013 (CRR), quando aplicável.</t>
  </si>
  <si>
    <t>s1emp</t>
  </si>
  <si>
    <t>‣ Para cada Instrument Identifier é somada a:
     ‣ Média do campo "rwa_final" para cada par de campos "s1emp", "contra1"</t>
  </si>
  <si>
    <t>A agrupação é feita segundo o campo "Instrument Identifier" deste mesmo documento</t>
  </si>
  <si>
    <t>Dependendo do instrument id indicado, este campo deverá ser a soma do rwa_final</t>
  </si>
  <si>
    <t>contra1</t>
  </si>
  <si>
    <t>rwa_final</t>
  </si>
  <si>
    <t>V_6</t>
  </si>
  <si>
    <t>CRR Loss given default</t>
  </si>
  <si>
    <t>Numeric. Basis points</t>
  </si>
  <si>
    <t>Nível atual da "Loss given default" do empréstimo, determinado em conformidade com os artigos 161, 164, 179 e 181 do Regulamento (UE) No 575/2013.</t>
  </si>
  <si>
    <t>‣ Para cada Instrument Identifier é calculada a:
     ‣ Média ponderada do campo "lgdfinal" em relação à:
          ‣ Média do campo "ead_final_bruta" para cada par dos campos "s1emp", "contra1"</t>
  </si>
  <si>
    <t>Dependendo do instrument id indicado, este campo deverá ser a média ponderada de lgd_final por ead_final_bruta</t>
  </si>
  <si>
    <t>ead_final_bruta</t>
  </si>
  <si>
    <t>cd_captools.ct014_rwa_irb</t>
  </si>
  <si>
    <t>lgdfinal</t>
  </si>
  <si>
    <t>V_7</t>
  </si>
  <si>
    <t>IFRS 9 Loss given default</t>
  </si>
  <si>
    <t>Nível atual da "Loss given default" do empréstimo determinado para efeitos contabilísticos.</t>
  </si>
  <si>
    <t>cd_captools.ifrs9_out_expected_loss_8_7</t>
  </si>
  <si>
    <t>‣ Apenas são trazidos os "contract_id"s que têm "exec_id_part" correspondente na tabela cd_captools.imcatf046_flag_fecho à data ("cmes") do report</t>
  </si>
  <si>
    <t>contract_id</t>
  </si>
  <si>
    <t>‣ Para cada Instrument Identifier é calculada a:
     ‣ Média ponderada do campo "lgd_ifrs9" em relação à:
          ‣ Média do campo "ead" para cada "contract_id"</t>
  </si>
  <si>
    <t>Tal como nos anteriores explorar porque é feita a média do ead</t>
  </si>
  <si>
    <t>lgd_ifrs9</t>
  </si>
  <si>
    <t>ead</t>
  </si>
  <si>
    <t>SRB Counterparties Data Set for exposures to legal persons</t>
  </si>
  <si>
    <t>Comentários</t>
  </si>
  <si>
    <t>Identificador aplicado para identificar exclusivamente cada contraparte.</t>
  </si>
  <si>
    <t>V_8</t>
  </si>
  <si>
    <t>cd_loan_tapes_bce.lt003_entity</t>
  </si>
  <si>
    <t>intrnl_rtng</t>
  </si>
  <si>
    <t>‣ Para cada Counterparty Identifier é obtido o:
     MAX(intrnl_rtng)</t>
  </si>
  <si>
    <t>A agrupação é feita segundo o campo "Counterparty Identifier" deste mesmo documento</t>
  </si>
  <si>
    <t>Explorar alternativas para ir buscar este campo</t>
  </si>
  <si>
    <t>V_9</t>
  </si>
  <si>
    <t>extrnl_rtng</t>
  </si>
  <si>
    <t>‣ Para cada Counterparty Identifier é obtido o:
     MAX(extrnl_rtng)</t>
  </si>
  <si>
    <t>V_10</t>
  </si>
  <si>
    <t>‣ Este campo tem de ser calculado por fases:
     ‣ 1º - Calculamos o campo auxiliar "ead_final_liquida_grup":
          ‣ Para cada combinação dos campos "cempresa", "cbalcao", "cnumecta", "zdeposit" iremos SOMAR as:
              Médias do campo "ead_final_liquida" para cada par dos campos "s1emp", "contra1";
     ‣ 2º - Calculamos o campo auxiliar "final_stage_grup":
          ‣ Para cada combinação dos campos "cempresa", "cbalcao", "cnumecta", "zdeposit" iremos calcular "final_stage" máximo:
              MAX(final_stage);
     ‣ 3º - Calculamos o campo auxiliar "pd12m_ifrs9_grup":
          ‣ Para cada combinação dos campos "cempresa", "cbalcao", "cnumecta", "zdeposit" iremos calcular a média ponderada do campo "pd12m_ifrs9" ao campo "ead":
              SUM(ead * pd12m_ifrs9) / SUM(ead);
     ‣ 4º - Calculamos o campo auxiliar "pd_lt_ifrs9_grup":
          ‣ Para cada combinação dos campos "cempresa", "cbalcao", "cnumecta", "zdeposit" iremos calcular a média ponderada do campo "pd_lt_ifrs9" ao campo "ead":
              SUM(pd_lt_ifrs9 * ead) / SUM(ead);
     ‣ 5º - Calculamos o campo auxiliar "pd_ifrs9_grup":
          ‣ Se final_stage_grup = '1':
              pd12m_ifrs9_grup;
          ‣ Caso contrário:
              pd_lt_ifrs9_grup;
‣ Finalmente para cada Counterparty Identifier calculamos a média ponderada do campo auxiliar "pd_ifrs9_grup" ao campo auxiliar "ead_final_liquida_grup":
     SUM(pd_ifrs9_grup * ead_final_liquida_grup) / SUM(ead_final_liquida_grup)</t>
  </si>
  <si>
    <t>A agrupação final é feita segundo o campo "Counterparty Identifier" deste mesmo documento</t>
  </si>
  <si>
    <t>Esta lógica pode mudar se o Instrument Identifier for redefinido.
Explorar também a média do ead_liquida</t>
  </si>
  <si>
    <t>ead_final_liquida</t>
  </si>
  <si>
    <t>ifrs9_out_expected_loss_8_7</t>
  </si>
  <si>
    <t>pd12m_ifrs9</t>
  </si>
  <si>
    <t>pd_lt_ifrs9</t>
  </si>
  <si>
    <t>ifrs9_out_staging_8_7</t>
  </si>
  <si>
    <t>final_stage</t>
  </si>
  <si>
    <t>V_11</t>
  </si>
  <si>
    <t>N/A</t>
  </si>
  <si>
    <t>SRB Protection received Data Set for exposures to legal persons</t>
  </si>
  <si>
    <t>V_12</t>
  </si>
  <si>
    <t>Protection identifier</t>
  </si>
  <si>
    <t>cd_captools.fr003_colaterais</t>
  </si>
  <si>
    <t>cbalcao_caucao</t>
  </si>
  <si>
    <t>cnumecta_caucao</t>
  </si>
  <si>
    <t>zcaucao</t>
  </si>
  <si>
    <t>cd_alm.kt_chaves_alm_m</t>
  </si>
  <si>
    <t>V_187</t>
  </si>
  <si>
    <t>Type of collateral</t>
  </si>
  <si>
    <t>‣ dd_field_id = "187"</t>
  </si>
  <si>
    <t>‣ Tradução do campo "typ_prtctn" através de uma ligação com o campo "dd_code" para obter o campo:
     dd_value</t>
  </si>
  <si>
    <t>cd_loan_tapes_bce.lt004_protection</t>
  </si>
  <si>
    <t>typ_prtctn</t>
  </si>
  <si>
    <t>V_14</t>
  </si>
  <si>
    <t>Building Area (M2)</t>
  </si>
  <si>
    <t>Numeric</t>
  </si>
  <si>
    <t>‣ Forçado a NULL</t>
  </si>
  <si>
    <t>V_15</t>
  </si>
  <si>
    <t>Land Area (M2)</t>
  </si>
  <si>
    <t>V_16</t>
  </si>
  <si>
    <t>Location</t>
  </si>
  <si>
    <t>Property postcode</t>
  </si>
  <si>
    <t>rl_estt_pst_cd</t>
  </si>
  <si>
    <t>V_17</t>
  </si>
  <si>
    <t>Lien position</t>
  </si>
  <si>
    <t>A(s) posição(ões) mais elevada(s) em relação às garantias detidas pela contraparte para garantir a instalação. Se a instalação tiver vários ônus sobre uma garantia, a reivindicação mais alta será relatada neste campo de dados.</t>
  </si>
  <si>
    <t>cd_loan_tapes_bce.lt006_instr_prot</t>
  </si>
  <si>
    <t>thrd_prty_prrty_clms</t>
  </si>
  <si>
    <t>V_18</t>
  </si>
  <si>
    <t>Detailed type of Shipping collateral</t>
  </si>
  <si>
    <t>Tipo detalhado de garantia recebida. Aplicável apenas a portfólios de remessa.
Opções:
‣ Bulker (1)
‣ Container (2)
‣ Crude Oil Tanker (3)
‣ Product Tanker (4)
‣ Chemical Tanker (5)
‣ Cruise Ship (6)
‣ Ferry (7)
‣ LPG Carrier (8)
‣ Offshore (9)
‣ Other (10)</t>
  </si>
  <si>
    <t>SRB Instruments Data Set for exposures to natural persons</t>
  </si>
  <si>
    <t>V_139</t>
  </si>
  <si>
    <t>Reporting data identifier</t>
  </si>
  <si>
    <t>O identificador da contraparte do agente inquirido que comunica os dados.</t>
  </si>
  <si>
    <t>‣ Forçado a "549300URJH9VSI58CS32" (código lei do BANCO SANTANDER TOTTA, S.A.)</t>
  </si>
  <si>
    <t>V_140</t>
  </si>
  <si>
    <t>Observed agent identifier</t>
  </si>
  <si>
    <t>O identificador da contraparte do agente observado (ou seja, uma unidade institucional do agente inquirido) cujos dados são comunicados pelo agente inquirido.</t>
  </si>
  <si>
    <t>V_141</t>
  </si>
  <si>
    <t>Contract identifier</t>
  </si>
  <si>
    <t>Um identificador aplicado pelo agente inquirido para identificar de forma única cada contrato. O identificador do contrato refere-se ao contrato de crédito entre duas ou mais partes ao abrigo do qual o instrumento é criado.</t>
  </si>
  <si>
    <t>V_35</t>
  </si>
  <si>
    <t>Type of instrument</t>
  </si>
  <si>
    <t>Classificação do instrumento de acordo com o tipo de termos contratuais acordados entre as partes.
Opções:
‣ Overdraft
‣ Credit card debt
‣ Revolving credit other than
overdrafts and credit card debt
‣ Credit lines other than
revolving credit
‣ Financial lease
‣ Loan
‣ Other</t>
  </si>
  <si>
    <t>V_142</t>
  </si>
  <si>
    <t>Amortization type</t>
  </si>
  <si>
    <t>Tipo de amortização do instrumento incluindo capital e juros à data de referência do relato.
Opções:
‣ French
‣ German
‣ Fixed amortisation schedule
‣ Bullet
‣ Other</t>
  </si>
  <si>
    <t>V_143</t>
  </si>
  <si>
    <t>Currency</t>
  </si>
  <si>
    <t>Denominação monetária dos instrumentos, de acordo com a norma ISO 4217.</t>
  </si>
  <si>
    <t>V_144</t>
  </si>
  <si>
    <t>Inception date</t>
  </si>
  <si>
    <t>DD/MM/AA</t>
  </si>
  <si>
    <t>A data em que a relação contratual se originou, ou seja, a data em que o acordo contratual se torna vinculativo para todas as partes.</t>
  </si>
  <si>
    <t>V_145</t>
  </si>
  <si>
    <t>End date of interest-only period</t>
  </si>
  <si>
    <t>A data em que termina o período somente de juros.</t>
  </si>
  <si>
    <t>V_146</t>
  </si>
  <si>
    <t>Interest rate cap</t>
  </si>
  <si>
    <t>Numeric. Reported in basis points with the same convention as for the attribute “interest rate spread/margin”.</t>
  </si>
  <si>
    <t>A taxa de juros máxima anual que pode ser cobrada sobre o valor nominal em dívida (ou partes dele).</t>
  </si>
  <si>
    <t>V_147</t>
  </si>
  <si>
    <t>Interest rate floor</t>
  </si>
  <si>
    <t>A taxa de juros mínima anual que pode ser cobrada sobre o valor nominal em dívida (ou partes dele).</t>
  </si>
  <si>
    <t>V_148</t>
  </si>
  <si>
    <t>Interest rate reset frequency</t>
  </si>
  <si>
    <t>Frequência com que a taxa de juro é reposta após o período inicial de taxa fixa, se existir.
Opções:
‣ Overnight
‣ Monthly/quarterly/semiannual/
annual
‣ At creditor discretion
‣ Other frequency</t>
  </si>
  <si>
    <t>V_149</t>
  </si>
  <si>
    <t>Interest rate spread/margin</t>
  </si>
  <si>
    <t>Numeric (percentage)</t>
  </si>
  <si>
    <t>Margem ou spread a adicionar à taxa de referência utilizada para o cálculo da taxa de juro em pontos de base. Isto aplica-se às taxas de juro cobradas pelos empréstimos com juros variáveis.</t>
  </si>
  <si>
    <t>V_150</t>
  </si>
  <si>
    <t>Interest rate type</t>
  </si>
  <si>
    <t>Classificação das posições em risco de crédito com base na taxa de base para determinar a taxa de juro para cada período de pagamento.
Opções:
‣ Fixed
‣ Variable
‣ Mixed</t>
  </si>
  <si>
    <t>V_151</t>
  </si>
  <si>
    <t>Legal final maturity date</t>
  </si>
  <si>
    <t>A data de vencimento contratual do instrumento, tendo em conta quaisquer acordos que alterem contratos iniciais.</t>
  </si>
  <si>
    <t>V_152</t>
  </si>
  <si>
    <t>Commitment amount at inception</t>
  </si>
  <si>
    <t>Exposição máxima do agente observado ao risco de crédito na data de início do instrumento, sem ter em conta qualquer proteção detida ou outras melhorias de crédito.</t>
  </si>
  <si>
    <t>V_153</t>
  </si>
  <si>
    <t>Payment frequency</t>
  </si>
  <si>
    <t>Periodicidade dos pagamentos devidos, quer de capital quer de juros, ou seja, número de meses entre pagamentos na data de referência de relato.</t>
  </si>
  <si>
    <t>V_154</t>
  </si>
  <si>
    <t>Reference rate</t>
  </si>
  <si>
    <t>Taxa de referência utilizada para o cálculo da taxa de juro efetiva. O código da taxa de referência é uma combinação do valor da taxa de referência e do valor do prazo de vencimento.
Opções:
‣ EURIBOR
‣ USD LIBOR
‣ GBP LIBOR
‣ EUR LIBOR
‣ JPY LIBOR
‣ CHF LIBOR
‣ MIBOR
‣ OTHER SINGLE REFERENCE RATES
‣ OTHER MULTIPLE REFERENCE RATES</t>
  </si>
  <si>
    <t>V_155</t>
  </si>
  <si>
    <t>Settlement date</t>
  </si>
  <si>
    <t>A data em que as condições especificadas no contrato são ou podem ser executadas pela primeira vez, ou seja, a data em que os instrumentos financeiros são inicialmente trocados ou criados.</t>
  </si>
  <si>
    <t>V_156</t>
  </si>
  <si>
    <t>Interest rate</t>
  </si>
  <si>
    <t>Numeric (percentage with two decimals, both positive and negative values).</t>
  </si>
  <si>
    <t>Taxa acordada numa base anual ou taxa de juro estritamente definida de acordo com a parte 1 do anexo I do Regulamento (UE) No 1072/2013 do Banco Central Europeu (BCE/2013/34)</t>
  </si>
  <si>
    <t>V_157</t>
  </si>
  <si>
    <t>Next interest rate reset date</t>
  </si>
  <si>
    <t>A data em que ocorre a próxima reposição da taxa de juro, tal como definida na parte 3 do anexo I do Regulamento (UE) No 1071/2013 (BCE/2013/33).</t>
  </si>
  <si>
    <t>V_158</t>
  </si>
  <si>
    <t>Informação financeira</t>
  </si>
  <si>
    <t>Default status of the instrument</t>
  </si>
  <si>
    <t>Identificação da situação de incumprimento do instrumento em conformidade com o artigo 178 do Regulamento (UE) No 575/2013.
Opções:
‣ Not in default
‣ Default because unlikely to pay (not more than 90/180 days past due)
‣ Default because more than 90/180 days past due
‣ Default because both unlikely to pay and more than 90/180 days past due.</t>
  </si>
  <si>
    <t>V_159</t>
  </si>
  <si>
    <t>Date of the default status of the instrument</t>
  </si>
  <si>
    <t>A data em que o status padrão, conforme relatado no atributo de dados "Default status of the instrument", é considerado como tendo ocorrido.</t>
  </si>
  <si>
    <t>V_160</t>
  </si>
  <si>
    <t>Transferred amount</t>
  </si>
  <si>
    <t>Montante transferido da propriedade económica do ativo financeiro para terceiros. Este atributo de dados capta a parte do montante nominal pendente que foi transferida para outro credor.</t>
  </si>
  <si>
    <t>V_161</t>
  </si>
  <si>
    <t>Arrears for the instrument</t>
  </si>
  <si>
    <t>Montante agregado do capital, juros e quaisquer pagamentos de comissões pendentes à data de relato, contratualmente devidos e não pagos (vencidos).</t>
  </si>
  <si>
    <t>V_162</t>
  </si>
  <si>
    <t>Date of past due for the instrument</t>
  </si>
  <si>
    <t>Data de vencimento do ato, em conformidade com a parte 2.96 do anexo V do Regulamento de Execução (UE) No 680/2014 alterado.</t>
  </si>
  <si>
    <t>V_163</t>
  </si>
  <si>
    <t>Type of securitization</t>
  </si>
  <si>
    <t>Abrange o tipo de titularização, se for caso disso, a que o instrumento foi sujeito, em conformidade com o artigo 242(10), (11), 243 e 244 do Regulamento (UE) No 575/2013.
Opções:
‣ Traditional securitisation
‣ Synthetic securitisation
‣ Not securitised</t>
  </si>
  <si>
    <t>V_164</t>
  </si>
  <si>
    <t>Outstanding nominal amount</t>
  </si>
  <si>
    <t>Montante de capital em dívida no final da data de referência do relato, incluindo juros vencidos não pagos, mas excluindo juros vencidos, líquidos de anulações e amortizações, conforme determinado pelas práticas contabilísticas relevantes.</t>
  </si>
  <si>
    <t>V_165</t>
  </si>
  <si>
    <t>Accrued interest</t>
  </si>
  <si>
    <t>O montante dos juros vencidos sobre empréstimos na data de referência de reporte, tal como definido no Regulamento (UE) No 1071/2013 (BCE/2013/33).</t>
  </si>
  <si>
    <t>V_166</t>
  </si>
  <si>
    <t>Off-balancesheet amount</t>
  </si>
  <si>
    <t>Montante nominal total das posições em risco extrapatrimoniais.</t>
  </si>
  <si>
    <t>V_167</t>
  </si>
  <si>
    <t>Joint liabilities amount</t>
  </si>
  <si>
    <t>Montante nominal pendente pelo qual cada devedor é responsável em relação a um único instrumento, caso existam dois ou mais devedores.</t>
  </si>
  <si>
    <t>V_168</t>
  </si>
  <si>
    <t>Accounting classification of instruments</t>
  </si>
  <si>
    <t>Carteira contabilística em que o instrumento é registado de acordo com a norma contabilística – IFRS ou GAAP nacionais – nos termos do Regulamento (UE) 2015/534 (BCE/2015/13) aplicada pela entidade jurídica do agente observado.
Opções:</t>
  </si>
  <si>
    <t>V_169</t>
  </si>
  <si>
    <t>Balance sheet recognition</t>
  </si>
  <si>
    <t>Reconhecimento de balanço do ativo financeiro. Este atributo de dados classifica os instrumentos reportados de acordo com o seu reconhecimento no balanço de acordo com o anexo III e o modelo 15 do anexo IV da ITS.
Opções:
‣ Entirely recognised
‣ Recognised to the extent of
the institution’s continuing
involvement
‣ Entirely derecognised</t>
  </si>
  <si>
    <t>V_170</t>
  </si>
  <si>
    <t>Accumulated write-offs</t>
  </si>
  <si>
    <t>Montante acumulado de capital e juros vencidos de qualquer instrumento de dívida que a instituição deixou de reconhecer por serem considerados incobráveis, independentemente da carteira em que estavam incluídos.</t>
  </si>
  <si>
    <t>V_171</t>
  </si>
  <si>
    <t>Accumulated impairment amount</t>
  </si>
  <si>
    <t>A quantia de provisões para perdas detidas ou imputadas ao instrumento na data de referência do relato. Este atributo de dados aplica-se a instrumentos sujeitos a imparidade ao abrigo da norma contabilística aplicada. Em IFRS, a imparidade acumulada respeita aos seguintes montantes:
(i) provisão para perdas em um valor igual às perdas de crédito esperadas para 12 meses;
(ii) provisão para perdas em montante igual às perdas de crédito esperadas ao longo da vida. De acordo com os GAAP, a imparidade acumulada refere-se aos seguintes montantes:
     (ii.i) provisão para perdas em montante igual às provisões gerais;
     (ii.ii) provisão para perdas em valor igual às provisões específicas.</t>
  </si>
  <si>
    <t>V_172</t>
  </si>
  <si>
    <t>Type of impairment</t>
  </si>
  <si>
    <t>Este atributo de dados indica o tipo de imparidade a que o instrumento é sujeito.
Opções:
‣ Stage 1 (IFRS)
‣ Stage 2 (IFRS)
‣ Stage 3 (IFRS)
‣ General allowances (GAAP)
‣ Specific allowances (GAAP)</t>
  </si>
  <si>
    <t>V_173</t>
  </si>
  <si>
    <t>Impairment assessment method</t>
  </si>
  <si>
    <t>O método pelo qual a imparidade é avaliada, se o instrumento está sujeito a imparidade de acordo com as normas aplicadas à contabilidade. 
Opções: 
‣ Individually assessed
‣ Collectively assessed</t>
  </si>
  <si>
    <t>V_174</t>
  </si>
  <si>
    <t>Sources of encumbrance</t>
  </si>
  <si>
    <t>Tipo de operação em que o risco é onerado de acordo com o Regulamento de Execução (UE) n.o 680/2014. Um ativo será tratado como onerado se tiver sido penhorado ou se estiver sujeito a qualquer forma de acordo para garantir, caucionar ou reforçar o crédito instrumento do qual não pode ser livremente retirado.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</si>
  <si>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V_175</t>
  </si>
  <si>
    <t>Performing status of the instrument</t>
  </si>
  <si>
    <t>O instrumento deve ser classificado na data de referência do relatório, em conformidade com o Regulamento de Execução (UE) n.o 680/2014.</t>
  </si>
  <si>
    <t>V_176</t>
  </si>
  <si>
    <t>Date of the performing status of the instrument</t>
  </si>
  <si>
    <t>DD/MM/YYYY</t>
  </si>
  <si>
    <t>A data em que o status de desempenho conforme relatado em "desempenho o estatuto do instrumento" for considerado como tendo sido estabelecido ou alterado.</t>
  </si>
  <si>
    <t>V_177</t>
  </si>
  <si>
    <t>Provisions associated with off-balancesheet exposures</t>
  </si>
  <si>
    <t>Este atributo de dados fornece informações sobre o montante das provisões (se for caso disso) associados a montantes extrapatrimoniais (de instrumentos para que existe um montante extrapatrimonial) que pode ser convertido em ativos no balanço.</t>
  </si>
  <si>
    <t>V_178</t>
  </si>
  <si>
    <t>Status of forbearance and renegotiation</t>
  </si>
  <si>
    <t>Identificação de instrumentos adulterados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</si>
  <si>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V_179</t>
  </si>
  <si>
    <t>Date of the forbearance and renegotiation status</t>
  </si>
  <si>
    <t>A data em que se considera ter ocorrido um estatuto de diferimento ou de renegociação, tal como comunicado em "estado de tolerância e renegociação".</t>
  </si>
  <si>
    <t>V_180</t>
  </si>
  <si>
    <t>Cumulative recoveries since default</t>
  </si>
  <si>
    <t>O montante total recuperado desde a data do incumprimento recebido em relação a um instrumento em incumprimento durante o último período de incumprimento e apenas durante esse período.</t>
  </si>
  <si>
    <t>V_181</t>
  </si>
  <si>
    <t>Carrying amount</t>
  </si>
  <si>
    <t>A quantia transitada em conformidade com o anexo V do Regulamento de Execução (UE) n.o 680/2014.</t>
  </si>
  <si>
    <t>V_182</t>
  </si>
  <si>
    <t>Prudential portfolio</t>
  </si>
  <si>
    <t>Classificação das posições em risco na carteira de negociação, tal como definida no artigo 4.o, n.o 1 (86), do Regulamento (UE) n.o 575/2013.
Opções:
‣ Trading book
‣ Non- trading book</t>
  </si>
  <si>
    <t>V_183</t>
  </si>
  <si>
    <t>Accumulated changes in fair value due to credit risk</t>
  </si>
  <si>
    <t>Variações acumuladas no justo valor devidas ao risco de crédito, em conformidade com o anexo V, parte 2.46, do Regulamento de Execução (UE) n.o 680/2014.</t>
  </si>
  <si>
    <t>SRB Counterparties Data Set for exposures to natural persons</t>
  </si>
  <si>
    <t>Probability of default</t>
  </si>
  <si>
    <t>Numeric. Basis points.</t>
  </si>
  <si>
    <t>A probabilidade de incumprimento da contraparte durante um ano, determinada nos termos dos artigos 160.o, 163.o, 179.o e 180.o do Regulamento (UE) n.o 575/2013. A probabilidade de incumprimento (PD) está em conformidade com os requisitos específicos para a estimativa da PD, tal como estabelecido no CRR. No caso de PD produzidos apenas ao nível do instrumento (o chamado PD do produto), o PD da contraparte é reportado como o PD médio ponderado da posição em risco de todos os instrumentos da contraparte. Se, para uma dada contraparte, for estimado um PD tanto para a contraparte como para (alguns dos) produtos da contraparte, deve ser comunicado o PD da contraparte.</t>
  </si>
  <si>
    <t>Current Internal Credit Rating/Scoring</t>
  </si>
  <si>
    <t>Numeric / Alphanumeric</t>
  </si>
  <si>
    <t>Notação de risco interna emitida para a Contraparte.</t>
  </si>
  <si>
    <t>IFRS 9 Probability of default/impairment</t>
  </si>
  <si>
    <t>A probabilidade de incumprimento/imparidade é calculada de acordo com os requisitos específicos para a estimativa de PD, tal como estabelecido no quadro contabilístico. Se os PD forem produzidos apenas ao nível do instrumento, o PD da contraparte deve ser reportado como o PD médio ponderado pelas posições em risco nos PD de todos os instrumentos da contraparte. Se, para uma dada contraparte, as PD forem estimadas tanto para a contraparte como para (alguns)
dos produtos da contraparte, é o PD da contraparte que deve ser comunicado.</t>
  </si>
  <si>
    <t>Probability of default (others)</t>
  </si>
  <si>
    <t>Aplicável apenas às instituições que não utilizam modelos de estimativa Imparidades IFRS 9 nem modelos de IRB CRR. Estas instituições devem: manter registos das probabilidades de incumprimento ou das pontuações fornecidas por modelos de pontuação/classificação.No caso de PD produzidos apenas ao nível do instrumento, o PD da contraparte deve ser reportado como o PD médio ponderado pela posição em risco entre os PD de todos os instrumentos de a contraparte. Se, para uma dada contraparte, as PD forem estimadas tanto para a contraparte como para (alguns dos) produtos da contraparte, são as PD da contraparte que devem ser comunicadas.</t>
  </si>
  <si>
    <t>V_184</t>
  </si>
  <si>
    <t>Counterparty role</t>
  </si>
  <si>
    <t>As funções que as contrapartes assumem em relação a um instrumento registados no conjunto de dados do instrumento são registados no conjunto de dados contraparte-instrumento.
Opções:
‣ Creditor
‣ Debtor
‣ Servicer
‣ Originator</t>
  </si>
  <si>
    <t>V_185</t>
  </si>
  <si>
    <t xml:space="preserve"> Default status of the counterparty</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</si>
  <si>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</si>
  <si>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V_186</t>
  </si>
  <si>
    <t>Date of the default status of the counterparty</t>
  </si>
  <si>
    <t>A data em que se considera que surgiu o estatuto de incumprimento, tal como indicado no atributo de dados "Estado de incumprimento da contraparte".</t>
  </si>
  <si>
    <t>SRB Protection received Data Set for exposures to natural persons</t>
  </si>
  <si>
    <t>Um identificador aplicado para identificar exclusivamente cada proteção/garantia usada para proteger o instrumento.</t>
  </si>
  <si>
    <t>V_219</t>
  </si>
  <si>
    <t>Protection provider identifier</t>
  </si>
  <si>
    <t>O identificador do prestador de proteção é o identificador da contraparte que concede proteção contra um acontecimento de crédito negativo contratualmente acordado e que é obrigada a efetuar pagamentos ao credor se o devedor não cumprir a obrigação de efetuar reembolsos decorrentes do instrumento garantido pelo elemento de proteção.</t>
  </si>
  <si>
    <t>A rubrica "tipo de proteção" da AnaCredit (Secção 9.4.3 do Manual de Comunicação de Informação AnaCredit Parte II – Conjuntos de dados e atributos de dados) fornece uma discriminação das garantias elegíveis de acordo com o RRFP (CRR).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</si>
  <si>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Área de construção do edifício em metros quadrados. Aplicável apenas a garantias imobiliárias residenciais, escritórios e estabelecimentos comerciais, garantias imobiliárias comerciais, hotéis e entretenimento, fábricas – armazéns.</t>
  </si>
  <si>
    <t>Área do terreno da propriedade em metros quadrados.</t>
  </si>
  <si>
    <t>Código postal onde o imóvel está localizado. Aplicável apenas a
Garantias imobiliárias residenciais, Escritórios e espaços comerciais, Garantias imobiliárias comerciais, Hotéis e entretenimento, Fábricas – Armazéns.</t>
  </si>
  <si>
    <t>A(s) posição(ões) mais elevada(s) em relação às garantias detidas pela contraparte para garantir a facilidade. No caso de a facilidade ter vários ónus sobre uma garantia, o crédito mais elevado é comunicado neste campo de dados.</t>
  </si>
  <si>
    <t>V_188</t>
  </si>
  <si>
    <t>Date of protection value</t>
  </si>
  <si>
    <t>A data em que a última avaliação ou avaliação da proteção foi realizada antes da data de referência do relatório, ou seja, a data
em que a quantidade relatada no atributo "valor de proteção" do tipo de valor relatado no atributo "tipo de proteção
valor" foi estabelecido de acordo com o método de avaliação relatado na abordagem de avaliação de proteção de atributos.</t>
  </si>
  <si>
    <t>V_220</t>
  </si>
  <si>
    <t>Protection value</t>
  </si>
  <si>
    <t>O montante do valor de proteção é o valor monetário da proteção que foi estabelecido na última data de avaliação</t>
  </si>
  <si>
    <t>V_189</t>
  </si>
  <si>
    <t>Maturity date of the protection</t>
  </si>
  <si>
    <t>A data de vencimento contratual da proteção, que é a data mais próxima em que a proteção pode cessar ou cessou, tendo em conta quaisquer acordos que alterem contratos iniciais.</t>
  </si>
  <si>
    <t>V_190</t>
  </si>
  <si>
    <t>Original protection value</t>
  </si>
  <si>
    <t>O valor monetário do item de proteção que foi estabelecido na data em que o item de proteção foi originalmente recebido como proteção de crédito.</t>
  </si>
  <si>
    <t>V_191</t>
  </si>
  <si>
    <t>Date of original protection value</t>
  </si>
  <si>
    <t>O tipo do valor relatado do item de proteção conforme relatado no atributo de dados.
Opção:
‣ Notional amount
‣ Fair value
‣ Market value
‣ Long-term sustainable value
‣ Other protection value</t>
  </si>
  <si>
    <t>V_192</t>
  </si>
  <si>
    <t>Type of protection value</t>
  </si>
  <si>
    <t>O tipo do valor relatado do item de proteção conforme relatado no atributo de dados.
Opções:
‣ Notional amount
‣ Fair value
‣ Market value
‣ Long-term sustainable value
‣ Other protection value</t>
  </si>
  <si>
    <t>V_221</t>
  </si>
  <si>
    <t>Protection valuation approach</t>
  </si>
  <si>
    <t>Método utilizado para determinar o valor da proteção.
Opções:
‣ Mark-to-to-market valuation
‣ Counterparty estimation
‣ Creditor valuation
‣ Third party valuation</t>
  </si>
  <si>
    <t>V_193</t>
  </si>
  <si>
    <t>Protection allocated value</t>
  </si>
  <si>
    <t>O montante máximo do valor de proteção que pode ser considerado como proteção de crédito para o instrumento. A quantidade das reivindicações de prioridade de terceiros existentes ou agentes observados contra a proteção devem ser excluídas no valor atribuído à proteção.</t>
  </si>
  <si>
    <t>V_194</t>
  </si>
  <si>
    <t>Third-partypriority claims against the protection</t>
  </si>
  <si>
    <t>O montante máximo de quaisquer ónus de grau superior existentes em relação a terceiros que não o agente observado contra o
proteção.</t>
  </si>
  <si>
    <r>
      <rPr>
        <b/>
        <u/>
        <sz val="14"/>
        <color theme="1"/>
        <rFont val="Calibri"/>
        <family val="2"/>
        <scheme val="minor"/>
      </rPr>
      <t>SRB OFF-BALANCE SHEET EXPOSURES DATA SETS</t>
    </r>
    <r>
      <rPr>
        <b/>
        <sz val="11"/>
        <color theme="1"/>
        <rFont val="Calibri"/>
        <family val="2"/>
        <scheme val="minor"/>
      </rPr>
      <t xml:space="preserve">
Os requisitos de 'Off-balance sheet exposures', não se enquadram no  âmbito do report da AnaCredit. O conjunto de dados de avaliação do CUR (SBR) para posições em risco extrapatrimoniais introduz pontos de dados para estas exposições e combinar dados de diferentes fontes: existentes Conjuntos de dados do CUR para posições em risco sobre pessoas coletivas e a base de dados AnaCredit. Além disso, um conjunto
dos pontos de dados ad hoc abrange as características básicas das posições em risco extrapatrimoniais. As posições em risco extrapatrimoniais devem incluir os elementos extrapatrimoniais enumerados no anexo I do CRR. Este conjunto de dados não inclui dados sobre derivados de crédito, que são abrangidos pelo conjunto de dados de avaliação do CUR sobre derivados.
Serão produzidos três ficheiros de report referentes a Natural Persons:
‣  SRB Instruments Data Set for off-balance sheet exposures (VDS_OUT_OFFBAL_INSTRUMENTS);
‣  SRB Counterparties Data Set for off-balance sheet exposure (VDS_OUT_OFFBAL_COUNTERPARTIES);
‣  SRB Protection received Data Set for off-balance sheet
exposures (VDS_OUT_OFFBAL_PROTECTIONS).</t>
    </r>
  </si>
  <si>
    <t>SRB Instruments Data Set for off-balance sheet exposures</t>
  </si>
  <si>
    <t>The reporting agent identifier is the counterparty identifier of the reporting agent which reports the data.</t>
  </si>
  <si>
    <t>O identificador do agente observado é o identificador da contraparte do agente observado (ou seja, uma unidade institucional do agente inquirido) cujos dados são comunicados pelo agente inquirido.</t>
  </si>
  <si>
    <t>Um identificador aplicado pelo agente relator para identificar exclusivamente cada contrato. O identificador do contrato refere-se ao contrato de crédito entre duas ou mais partes ao abrigo do qual o instrumento é criado.</t>
  </si>
  <si>
    <t>V_222</t>
  </si>
  <si>
    <t>Tipo de compromisso ou garantia de acordo com a classificação FINREP.
Opções:
‣ Loan commitments given
‣ Financial guarantees given
‣ Other commitments given</t>
  </si>
  <si>
    <t>As classes de posições em risco para o cálculo dos ativos ponderados pelo risco de crédito são as seguintes (não aplicáveis quando as posições são classificadas na carteira de negociação do RRFP, tal como definida no artigo 4.o, n.o 1, ponto 86, do Regulamento (UE) n.o 575/2013):
Caso um banco utilize o método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</si>
  <si>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Classificação da facilidade (classe de exposição), tal como definida no anexo V do ITS 680/2014, Instruções FINREP (desagregação da contraparte).
Opções:
‣ Central banks
‣ Central governments
‣ Credit institutions
‣ Other financial corporations
‣ Non-financial corporations
‣ Households</t>
  </si>
  <si>
    <t>V_23</t>
  </si>
  <si>
    <t>Credit conversion factor</t>
  </si>
  <si>
    <t>Fator de conversão de crédito, tal como definido pelo CRR.</t>
  </si>
  <si>
    <t>O montante total das posições em risco do instrumento, calculado em conformidade com o artigo 92.o, n.os 3 e 4, do Regulamento (UE) n.o 575/2013 (CRR), em que aplicável.</t>
  </si>
  <si>
    <t>Nível atual das «perdas em caso de incumprimento» do empréstimo, determinado em conformidade com os artigos 161.o, 164.o, 179.o e 181.o do Regulamento (UE) n.o 575/2013.</t>
  </si>
  <si>
    <t>Nível atual da «Perda em caso de incumprimento» do empréstimo determinado para efeitos contabilísticos.</t>
  </si>
  <si>
    <t>V_223</t>
  </si>
  <si>
    <t>Nominal amount</t>
  </si>
  <si>
    <t>Montante nominal total da posição em risco extrapatrimonial de acordo com a IFRS 9.</t>
  </si>
  <si>
    <t>V_224</t>
  </si>
  <si>
    <t>Maturity / expiry date</t>
  </si>
  <si>
    <t>DD/MM/YY</t>
  </si>
  <si>
    <t>Data de validade.</t>
  </si>
  <si>
    <t>V_225</t>
  </si>
  <si>
    <t>Nominal interest rate or fee</t>
  </si>
  <si>
    <t>Notional interest rate or fee as agreed and payable.</t>
  </si>
  <si>
    <t>Identificação da situação de incumprimento do instrumento em conformidade com o artigo 178.o do Regulamento (UE) n.o 575/2013.
Opções:
‣ Not in default
‣ Default because unlikely to pay
(not more than 90/180 days
past due).
‣ Default because more than
90/180 days past due
‣ Default because both unlikely
to pay and more than 90/180
days past due.</t>
  </si>
  <si>
    <t>A data em que o status padrão, conforme relatado no atributo de dados "status padrão do instrumento", é considerado como tendo ocorrido.</t>
  </si>
  <si>
    <t>Montante agregado do pagamento nominal, de juros e de quaisquer comissões pendentes à data de relato, que é contratualmente devido e não foi pago (vencido).</t>
  </si>
  <si>
    <t>Data de vencimento do ato, em conformidade com o anexo V, parte 2.96, do Regulamento de Execução (UE) n.o 680/2014 alterado.</t>
  </si>
  <si>
    <t>Montante nominal pendente pelo qual cada devedor é responsável em relação a um único instrumento, quando existam dois ou mais devedores.</t>
  </si>
  <si>
    <t xml:space="preserve">A quantidade de licenças para perdas detidas ou atribuídas ao instrumento na data de referência de relato. Este atributo de dados aplica-se a instrumentos sujeitos a imparidade de acordo com a norma contabilística aplicada.
De acordo com as IFRS, a imparidade acumulada refere-se aos seguintes montantes:
i) Provisão para perdas num montante igual a perdas de crédito esperadas para 12 meses;
ii) Provisão para perdas num montante igual às perdas de crédito esperadas ao longo da vida. De acordo com os GAAP, a imparidade acumulada refere-se aos seguintes montantes:
i) Indemnização por perdas num montante igual aos subsídios gerais;
ii) Indemnização por perdas num montante igual a licenças específicas.
</t>
  </si>
  <si>
    <t>Este atributo de dados indica o tipo de deficiência a que o instrumento está sujeito.
Opções:
‣ Stage 1 (IFRS)
‣ Stage 2 (IFRS)
‣ Stage 3 (IFRS)
‣ General allowances (GAAP)
‣ Specific allowances (GAAP)</t>
  </si>
  <si>
    <t>O método pelo qual a imparidade é avaliada, se o instrumento estiver sujeito a imparidade de acordo com a contabilidade aplicada normas.
Opções:
‣ Individually assessed
‣ Collectively assessed</t>
  </si>
  <si>
    <t>O instrumento deve ser classificado na data de referência do relatório, em conformidade com o Regulamento de Execução (UE) n.o 680/2014.
Opções:
‣ Non-performing
‣ Performing</t>
  </si>
  <si>
    <t>A data em que o status de desempenho conforme relatado em "desempenho estatuto do instrumento" é considerado como tendo sido estabelecido ou alterado.</t>
  </si>
  <si>
    <t>Identificação de instrumentos perdiados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</si>
  <si>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SRB Counterparties Data Set for off-balance sheet exposure</t>
  </si>
  <si>
    <t>A probabilidade de incumprimento da contraparte durante um ano, determinada em conformidade com os artigos 160.o, 163.o, 179.o e 180.o do Regulamento (UE) n.o 575/2013. A probabilidade de incumprimento (PD) está de acordo com
com os requisitos específicos para a estimativa da DP, tal como estabelecido no CRR. No caso dos PD produzidos apenas ao nível do instrumento (o chamado PD do produto), o PD da contraparte é reportado como o PD médio ponderado das posições em risco de todos os instrumentos da contraparte. Se, para uma dada contraparte, for estimado um PD tanto para a contraparte como para (alguns dos) produtos da contraparte, deve ser comunicado o PD da contraparte.</t>
  </si>
  <si>
    <t>External Credit Rating</t>
  </si>
  <si>
    <t>Notação de risco externa emitida para a Contraparte (se for caso disso).</t>
  </si>
  <si>
    <t>A probabilidade de incumprimento é calculada de acordo com os requisitos específicos da estimativa da PD, tal como estabelecidos na contabilidade enquadramento. Se os PD forem produzidos apenas ao nível do instrumento, a seringa
O PD da contraparte deve ser reportado como o PD médio ponderado pela posição em risco nos PD de todos os instrumentos da contraparte. Se, para uma dada contraparte, as PD forem estimadas tanto para a contraparte como para (algumas dos produtos da contraparte, é o PD da contraparte que deve ser comunicado.</t>
  </si>
  <si>
    <t>Aplicável apenas às instituições que não utilizam modelos de estimativa das IFRS 9 imparidades nem modelos CRR IRB. Estas instituições devem manter registos das probabilidades de incumprimento ou das pontuações fornecidas pelos modelos de pontuação/notação. No caso dos PD produzidos ao nível do instrumento, o
O PD da contraparte deve ser reportado como o PD médio ponderado pela posição em risco nos PD de todos os instrumentos da contraparte. Se, para uma dada contraparte, as PD forem estimadas tanto para a contraparte como para (algumas dos produtos da contraparte, são os PD da contraparte que deve ser comunicada.</t>
  </si>
  <si>
    <t>Default status of the counterparty</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</si>
  <si>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</si>
  <si>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V_195</t>
  </si>
  <si>
    <t>Legal entity identifier (LEI)</t>
  </si>
  <si>
    <t>O identificador de entidade jurídica (LEI) é o identificador de contraparte atribuído de acordo com a Organização Internacional de Normalização Norma (ISO) 17442.</t>
  </si>
  <si>
    <t>V_196</t>
  </si>
  <si>
    <t>National identifier</t>
  </si>
  <si>
    <t>Um identificador nacional é um identificador comummente utilizado  código de identificação que permite a identificação inequívoca de uma contraparte ou da entidade jurídica de que a contraparte faz parte no seu país de residência.</t>
  </si>
  <si>
    <t>V_197</t>
  </si>
  <si>
    <t>Head office undertaking identifier</t>
  </si>
  <si>
    <t>O identificador da empresa da sede social é o identificador da contraparte da parte interna da entidade jurídica de que faz parte a unidade institucional uma parte legalmente dependente.</t>
  </si>
  <si>
    <t>V_198</t>
  </si>
  <si>
    <t>Immediate parent undertaking identifier</t>
  </si>
  <si>
    <t>O identificador da empresa-mãe imediata é o identificador da contraparte da parte interna da entidade jurídica que é a empresa-mãe imediata da contraparte.</t>
  </si>
  <si>
    <t>V_199</t>
  </si>
  <si>
    <t>Ultimate parent undertaking identifier</t>
  </si>
  <si>
    <t>O identificador final da empresa-mãe é o identificador da contraparte para a parte interna da entidade jurídica que é a empresa-mãe final da contraparte.</t>
  </si>
  <si>
    <t>V_200</t>
  </si>
  <si>
    <t>Name</t>
  </si>
  <si>
    <t>A denominação jurídica completa da contraparte.</t>
  </si>
  <si>
    <t>V_201</t>
  </si>
  <si>
    <t>Address: street</t>
  </si>
  <si>
    <t>The counterparty’s street address, including the street number.</t>
  </si>
  <si>
    <t>V_202</t>
  </si>
  <si>
    <t>Address: city/town/village</t>
  </si>
  <si>
    <t>Cidade, vila ou aldeia da contraparte.</t>
  </si>
  <si>
    <t>V_203</t>
  </si>
  <si>
    <t>Address: postal code</t>
  </si>
  <si>
    <t>Código postal da contraparte.</t>
  </si>
  <si>
    <t>V_204</t>
  </si>
  <si>
    <t>Address: county/administrative division</t>
  </si>
  <si>
    <t>Divisão administrativa distrital ou similar das contrapartes residentes nos Estados-Membros da União Europeia, de acordo com a classificação NUTS 3.</t>
  </si>
  <si>
    <t>V_205</t>
  </si>
  <si>
    <t>Address: country</t>
  </si>
  <si>
    <t xml:space="preserve">O país da contraparte.
Opções: ISO 3166-1 alpha-2
codes: ISO 3166-1 alpha-2 code of
the country
</t>
  </si>
  <si>
    <t>V_206</t>
  </si>
  <si>
    <t>Legal form</t>
  </si>
  <si>
    <t>O tipo de entidade empresarial tal como definido no sistema jurídico nacional.</t>
  </si>
  <si>
    <t>V_207</t>
  </si>
  <si>
    <t>Institutional sector</t>
  </si>
  <si>
    <t>setores institucionais, em conformidade com o Regulamento (UE) n.o 549/2013, Regulamento (UE) n.º 575/2013 e Regulamento (UE) n.º 1075/2013 do Banco Central Europeu (BCE/2013/40).
Opções: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</si>
  <si>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V_208</t>
  </si>
  <si>
    <t>Economic activity</t>
  </si>
  <si>
    <t>A atividade económica é uma classificação das contrapartes de acordo com as suas atividades económicas, de acordo com as estatísticas da NACE Rev. 2
classificação estabelecida no Regulamento (CE) n.o 1893/2006 do Parlamento Europeu e do Conselho.
Opções:
NACE code: a level two, three or four NACE code in
accordance with Regulation (EC) No 1893/2006.</t>
  </si>
  <si>
    <t>V_209</t>
  </si>
  <si>
    <t>Status of legal proceedings</t>
  </si>
  <si>
    <t>O estatuto dos processos judiciais abrange as categorias que descrevem o estatuto jurídico de uma contraparte em relação à sua solvência, com base no quadro jurídico nacional. O BCN deve transpor estes valores
(enumerados infra) no quadro jurídico nacional.
Opções:
‣ No legal actions taken
‣ Under judicial administration,
receivership or similar
measures
‣ Bankruptcy/insolvency
‣ Other legal measures</t>
  </si>
  <si>
    <t>V_210</t>
  </si>
  <si>
    <t>Date of initiation of legal proceedings</t>
  </si>
  <si>
    <t>A data em que o processo judicial, conforme relatado sob o atributo "status de processo judicial", foi iniciado. Esta data deve ser a data relevante mais recente antes da data de relato.</t>
  </si>
  <si>
    <t>V_211</t>
  </si>
  <si>
    <t>Enterprise size</t>
  </si>
  <si>
    <t>A classificação das empresas por dimensão, em conformidade com o anexo à Recomendação 2003/361/CE da Comissão.
Opções:
‣ Large enterprise
‣ Medium enterprise
‣ Small enterprise
‣ Microenterprise</t>
  </si>
  <si>
    <t>V_212</t>
  </si>
  <si>
    <t>Date of enterprise size</t>
  </si>
  <si>
    <t>A data a que se refere o valor indicado na "dimensão da empresa". Esta é a data dos últimos dados utilizados para classificar ou rever a classificação da empresa.</t>
  </si>
  <si>
    <t>V_213</t>
  </si>
  <si>
    <t>Number of employees</t>
  </si>
  <si>
    <t>Número de trabalhadores que trabalham para a contraparte, em conformidade com o artigo 5.o do anexo da Recomendação 2003/361/CE.</t>
  </si>
  <si>
    <t>V_214</t>
  </si>
  <si>
    <t>Balance sheet total</t>
  </si>
  <si>
    <t>O valor contabilístico do total dos ativos da contraparte, em conformidade com o Regulamento (UE) n.o 549/2013.</t>
  </si>
  <si>
    <t>V_215</t>
  </si>
  <si>
    <t>Annual turnover</t>
  </si>
  <si>
    <t>Numeric in euro</t>
  </si>
  <si>
    <t>The annual sales volume net of all discounts and sales taxes of the counterparty in accordance with Recommendation 2003/361/EC.</t>
  </si>
  <si>
    <t>V_216</t>
  </si>
  <si>
    <t>Accounting standard</t>
  </si>
  <si>
    <t>Norma contabilística utilizada pela entidade jurídica do agente observado.
Opções:
‣ IFRS
‣ National GAAP consistent
with IFRS
‣ National GAAP not consistent
with IFRS</t>
  </si>
  <si>
    <t>SRB Protection received Data Set for off-balance sheet
exposures</t>
  </si>
  <si>
    <t>Um identificador aplicado para identificar exclusivamente cada proteção/garantia utilizados para fixar o instrumento.</t>
  </si>
  <si>
    <t>A rubrica "tipo de proteção" da AnaCredit (Secção 9.4.3 do Manual de Comunicação de Informação AnaCredit Parte II – Conjuntos de dados e atributos de dados) fornece uma discriminação das garantias elegíveis de acordo com o RRFP.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</si>
  <si>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Área de construção do edifício em metros quadrados. Aplicável apenas a garantias imobiliárias residenciais, escritórios e estabelecimentos comerciais, Garantias imobiliárias comerciais, Hotéis e entretenimento, Fábricas – armazéns.</t>
  </si>
  <si>
    <t>Área do terreno da propriedade em metros quadrados. Aplicável apenas a terrenos.</t>
  </si>
  <si>
    <t xml:space="preserve">Código postal onde o imóvel está localizado. Aplicável apenas a garantias imobiliárias residenciais, escritórios e estabelecimentos comerciais, garantias imobiliárias comerciais, hotéis e entretenimento, fábricas – armazéns.
</t>
  </si>
  <si>
    <t>A(s) posição(ões) mais elevada(s) em relação às garantias detidas para garantir o mecanismo. No caso da facilidade ter vários ónus sobre uma garantia, o crédito mais elevado é comunicado neste campo de dados.</t>
  </si>
  <si>
    <t>Data em que a última avaliação ou avaliação da proteção foi efetuada antes da data de referência do relatório.</t>
  </si>
  <si>
    <t>O montante do valor de proteção é o valor monetário da
proteção estabelecida na última data de avaliação</t>
  </si>
  <si>
    <t>A data de vencimento contratual da proteção, que é a data mais próxima em que a proteção pode cessar ou ser rescindida, tendo em conta quaisquer acordos que alterem os contratos iniciais.</t>
  </si>
  <si>
    <t>Data em que a última avaliação ou avaliação da proteção foi efetuada antes da sua receção inicial como proteção de crédito.</t>
  </si>
  <si>
    <t>O tipo de valor relatado do item de proteção, conforme relatado no atributo de dados "valor de proteção".
Opções:
‣ Notional amount
‣ Fair value
‣ Market value
‣ Long-term sustainable value
‣ Other protection value</t>
  </si>
  <si>
    <t>V_217</t>
  </si>
  <si>
    <t>O montante máximo do valor de proteção que pode ser considerado como proteção de crédito para o instrumento. O montante das reivindicações de prioridade de terceiros existentes ou agentes observados contra a proteção deve ser excluído no valor atribuído à proteção.</t>
  </si>
  <si>
    <t>V_218</t>
  </si>
  <si>
    <t>Third-party priority claims against the protection</t>
  </si>
  <si>
    <t>O montante máximo de quaisquer ónus de grau superior existentes em relação a terceiros que não o agente observado contra a proteção</t>
  </si>
  <si>
    <r>
      <rPr>
        <b/>
        <u/>
        <sz val="14"/>
        <color theme="1"/>
        <rFont val="Calibri"/>
        <family val="2"/>
        <scheme val="minor"/>
      </rPr>
      <t>SRB derivatives Data Set</t>
    </r>
    <r>
      <rPr>
        <b/>
        <sz val="11"/>
        <color theme="1"/>
        <rFont val="Calibri"/>
        <family val="2"/>
        <scheme val="minor"/>
      </rPr>
      <t xml:space="preserve">
O conjunto de dados de avaliação do CUR não abrange os dados comunicados nos termos do artigo 9.º do Regulamento (UE) n.º 648/2012 (Regulamento sobre a Infraestrutura do Mercado Europeu (EMIR)), conforme detalhado no Regulamento Delegado (UE) n.º 148/2013 da Comissão, que impõe obrigações de comunicação de informações às contrapartes7 e às contrapartes centrais de compensação (CCP). As obrigações de comunicação abrangem qualquer contrato de derivativos que possam ter celebrado e qualquer modificação ou rescisão do contrato. As contrapartes devem comunicar essas informações a entidades registadas ou reconhecidas.
repositórios de transações o mais tardar no dia útil seguinte à conclusão, modificação ou rescisão do contrato. Caso não esteja disponível um repositório de transações para registar os dados de um contrato de derivados, as contrapartes e as CCP devem garantir que esses dados são comunicados às a Autoridade Europeia dos Valores Mobiliários e dos Mercados (ESMA).
Nos termos do artigo 2.º do Regulamento de Execução (UE) n.º 1247/2012, as avaliações «avaliação ao mercado» ou «avaliação ao modelo» devem ser comunicadas diariamente. Quaisquer outros elementos de reporte devem ser reportados à medida que ocorrem ou mudam, tendo em conta os prazos previstos no artigo 9.º do EMIR, nomeadamente no que diz respeito à celebração, alteração ou rescisão de um contrato.
Além das obrigações de comunicação decorrentes do EMIR, o Regulamento Delegado (UE) 2016/1712, que complementa a BRRD, estabelece normas que especificam o conjunto mínimo de informações sobre contratos financeiros8 que devem constar dos registros detalhados. Como nos termos do presente regulamento, as entidades abrangidas pela BRRD devem manter registos detalhados dos contratos financeiros relativamente aos quais o plano de resolução prevê a tomada de medidas de resolução. A EBA O Dicionário de Dados e o Conjunto de Dados de Avaliação SRB levam em consideração muitos dos pontos de dados contidas no Regulamento Delegado.
Artigo 2.º, n.º 16, do Regulamento Delegado (UE) n.º 151/2013 da Comissão, alterado por Regulamento Delegado (UE) n.º 2019/361 da Comissão no que diz respeito ao acesso aos dados conservados nos 
repositórios de transações estabelece que o repositório de transações deve fornecer ao CUR acesso a todos os dados de transações sobre derivados celebrados por contrapartes abrangidas pelo âmbito de aplicação do Regulamento (UE) n.º 806/2014 (SRMR).
Serão produzidos três ficheiros de report referentes a Natural Persons:
‣  SRB derivatives Data Set (VDS_OUT_DERIVATIVES);
</t>
    </r>
  </si>
  <si>
    <t>Unique trade identifier</t>
  </si>
  <si>
    <t>Until global UTI is available, up to 52 alphanumerical character code including four special characters :
“”. - _.””. Special characters are not allowed at the beginning and at the end of the code. No space allowed.</t>
  </si>
  <si>
    <t>De acordo com o Artigo 4a revisado do ITS do EMIR.</t>
  </si>
  <si>
    <t>Counterparty ID</t>
  </si>
  <si>
    <t>Código utilizado para identificar a contraparte que reporta. Onde um contrato é celebrado numa plataforma de negociação e compensado por uma CCP de tal forma que uma contraparte não tem conhecimento da identidade da outra contraparte, a entidade deve identificar essa CCP como sua contraparte.</t>
  </si>
  <si>
    <t>V_24</t>
  </si>
  <si>
    <t>Type of ID of the counterparty of the reporting entity</t>
  </si>
  <si>
    <t>Tipo de código utilizado para identificar a contraparte declarante.</t>
  </si>
  <si>
    <t>V_25</t>
  </si>
  <si>
    <t>Country of the counterparty</t>
  </si>
  <si>
    <t>O código do país onde está localizada a sede social da contraparte.</t>
  </si>
  <si>
    <t>V_26</t>
  </si>
  <si>
    <t>Base product</t>
  </si>
  <si>
    <t>Opções: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</si>
  <si>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V_27</t>
  </si>
  <si>
    <t>Product ID</t>
  </si>
  <si>
    <t>V_28</t>
  </si>
  <si>
    <t>Governing law</t>
  </si>
  <si>
    <t>Identifique a lei que rege o contrato financeiro.</t>
  </si>
  <si>
    <t>V_29</t>
  </si>
  <si>
    <t>O prazo contratual exigido nos termos do artigo 55.º, n.º 1, da BRRD. Quando tal termo contratual estiver incluído em um acordo-quadro e se aplicar a todas as negociações regidas por este acordo, ele poderá ser registrado no nível do contrato-quadro.
Opções:
‣ YES (1)
‣ NO (2)</t>
  </si>
  <si>
    <t>V_30</t>
  </si>
  <si>
    <t>O termo contratual pelo qual o credor ou parte no acordo que cria o passivo reconhece o poder da autoridade de resolução de um Estado-Membro para suspender os direitos de rescisão. Quando tal termo contratual estiver incluído em um acordo-quadro e se aplicar a todas as negociações regidas por este acordo, ele poderá ser registrado no nível do contrato-quadro.
Opções:
‣ YES (1)
‣ NO (2)</t>
  </si>
  <si>
    <t>V_31</t>
  </si>
  <si>
    <t>Contractual recognition – Resolution powers (only for contracts governed by third-country laws)</t>
  </si>
  <si>
    <t>A cláusula contratual, se existir, pela qual o credor ou a parte no acordo que cria o passivo reconhece o poder da autoridade de resolução de um Estado-Membro para aplicar poderes de resolução que não sejam a redução e a conversão/suspensão. Quando tal termo contratual estiver incluído em um acordo-quadro e se aplicar a todas as negociações regidas por este acordo, ele poderá ser registrado no nível do contrato-quadro.
Opções:
‣ YES (1)
‣ NO (2)</t>
  </si>
  <si>
    <t>V_32</t>
  </si>
  <si>
    <t>Collateral portfolio</t>
  </si>
  <si>
    <t>Indicar se a garantia foi realizada com base na carteira. Carteira significa a garantia calculada com base nas posições líquidas resultantes de um conjunto de contratos, e não por negociação.
Opções:
‣ YES (1)
‣ NO (2)</t>
  </si>
  <si>
    <t>V_33</t>
  </si>
  <si>
    <t>Collateral posted</t>
  </si>
  <si>
    <t>Valor da garantia prestada pela contraparte notificadora à outra contraparte. Carteira significa a garantia líquida prestada calculada com base nas posições líquidas resultantes de um conjunto de contratos.</t>
  </si>
  <si>
    <t>V_34</t>
  </si>
  <si>
    <t>Currency of the collateral posted</t>
  </si>
  <si>
    <t>Especifique a moeda da margem inicial lançada.</t>
  </si>
  <si>
    <t>V_37</t>
  </si>
  <si>
    <t>Collateral received</t>
  </si>
  <si>
    <t>Valor das garantias recebidas pela contraparte que reporta da outra contraparte. Carteira significa a garantia líquida recebida calculada com base nas posições líquidas resultantes de um conjunto de contratos.</t>
  </si>
  <si>
    <t>V_38</t>
  </si>
  <si>
    <t>Currency of the collateral received</t>
  </si>
  <si>
    <t>Especifique a moeda da garantia recebida.</t>
  </si>
  <si>
    <t>V_41</t>
  </si>
  <si>
    <t>Leg 1 cash flow</t>
  </si>
  <si>
    <t>Série de fluxos de caixa da perna 1 (estimados) correspondentes às datas de liquidação, incluindo troca de notional, se aplicável. Isso deve ser
relatado como multidimensional, ou seja, um campo contendo um pequeno conjunto de dados (uma matriz).</t>
  </si>
  <si>
    <t>V_42</t>
  </si>
  <si>
    <t>Leg 2 cash flow</t>
  </si>
  <si>
    <t>Série de fluxos de caixa da perna 2 (estimados) correspondentes às datas de liquidação, incluindo troca de notional, se aplicável. Isso deve ser relatado como multidimensional, ou seja, um campo contendo um pequeno conjunto de dados (uma matriz).</t>
  </si>
  <si>
    <t>V_43</t>
  </si>
  <si>
    <t>Leg 1 reference rate</t>
  </si>
  <si>
    <t>Alphanumeric. String</t>
  </si>
  <si>
    <t>Taxa à qual o pagamento da etapa 1 está vinculado, por ex. LIBOR USD, EUR, etc.
Opções:
EUR, LIBOR UK, LIBOR USD, etc.</t>
  </si>
  <si>
    <t>V_44</t>
  </si>
  <si>
    <t>Leg 2 reference rate</t>
  </si>
  <si>
    <t>Taxa à qual o pagamento da etapa 2 está vinculado, por ex. LIBOR USD, EUR, etc.</t>
  </si>
  <si>
    <t>V_45</t>
  </si>
  <si>
    <t>Leg 1 reference period</t>
  </si>
  <si>
    <t>Período de referência.
Opções:
1d, 1w, 1M, 3M, 6M, 12M, 2Y, 3Y, etc</t>
  </si>
  <si>
    <t>V_46</t>
  </si>
  <si>
    <t>Leg 2 reference period</t>
  </si>
  <si>
    <t>V_49</t>
  </si>
  <si>
    <t>Premium</t>
  </si>
  <si>
    <t>Prêmio pago sobre contrato de credit default swap (CDS).</t>
  </si>
  <si>
    <t>V_51</t>
  </si>
  <si>
    <t>Netting agreement</t>
  </si>
  <si>
    <t>Se o contrato financeiro fizer parte de um acordo de compensação na aceção do artigo 2.º, n.º 1, ponto 98, da Diretiva 2014/59/UE, uma referência única do arranjo.</t>
  </si>
  <si>
    <t>V_52</t>
  </si>
  <si>
    <t>Valor contábil do derivativo conforme reportado nas últimas demonstrações financeiras reportadas.</t>
  </si>
  <si>
    <t>V_53</t>
  </si>
  <si>
    <t>Accounting standards</t>
  </si>
  <si>
    <t>Norma contábil aplicada.
Opções:
(1) IFRS
(2) National GAAP</t>
  </si>
  <si>
    <t>V_54</t>
  </si>
  <si>
    <t>Accounting classification</t>
  </si>
  <si>
    <t>A carteira contabilística onde o derivado é registado de acordo com a norma contabilística aplicada pela contraparte que reporta.
Opções:
(1) Trading book
(2) Non-trading book</t>
  </si>
  <si>
    <t>V_55</t>
  </si>
  <si>
    <t>Hierarchy</t>
  </si>
  <si>
    <t>Classificação nos níveis da hierarquia de valor justo da IFRS 13, onde as exposições de nível 3 são aquelas cuja avaliação é baseada em parâmetros de dados de modelos não observáveis.
Opções:
(1) Level 1
(2) Level 2
(3) Level 3</t>
  </si>
  <si>
    <t>V_56</t>
  </si>
  <si>
    <t>Hedge ID</t>
  </si>
  <si>
    <t>ID do hedge se a posição fizer parte de um hedge econômico/contábil</t>
  </si>
  <si>
    <t>O ponderador de risco atribuído ao instrumento, calculado de acordo com o artigo 92.º, n.º 3, e o artigo 92.º, n.º 4, do Regulamento (UE) n.º 575/2013 (CRR), quando aplicável.</t>
  </si>
  <si>
    <t>SRB FINANCIAL ASSETS – DEBT SECURITIES DATA SET</t>
  </si>
  <si>
    <t>V_58</t>
  </si>
  <si>
    <t>Financial contract ID</t>
  </si>
  <si>
    <t>Identificador único do título de dívida.</t>
  </si>
  <si>
    <t>V_59</t>
  </si>
  <si>
    <t>ISIN</t>
  </si>
  <si>
    <t>Número Internacional de Identificação de Valores Mobiliários (ISIN).</t>
  </si>
  <si>
    <t>V_60</t>
  </si>
  <si>
    <t>ID of the issuer</t>
  </si>
  <si>
    <t>Código único (identificador de entidade jurídica (LEI), quando disponível) que identifica a contraparte que reporta (entidade jurídica).</t>
  </si>
  <si>
    <t>V_61</t>
  </si>
  <si>
    <t>Type of ID of the issuer</t>
  </si>
  <si>
    <t>Tipo de código utilizado para identificar o emissor (Pessoa Jurídica).</t>
  </si>
  <si>
    <t>V_62</t>
  </si>
  <si>
    <t>Country of the issuer</t>
  </si>
  <si>
    <t>O código do país onde está localizada a sede social do emitente. A preencher apenas quando não for fornecido nenhum ISIN.</t>
  </si>
  <si>
    <t>V_63</t>
  </si>
  <si>
    <t>Issuer ESA 2010</t>
  </si>
  <si>
    <t>Setor do Sistema Europeu de Contas Nacionais e Regionais (SEC 2010) do emitente.</t>
  </si>
  <si>
    <t>V_64</t>
  </si>
  <si>
    <t>Issuer NACE sector</t>
  </si>
  <si>
    <t>Setor de acordo com a classificação NACE.</t>
  </si>
  <si>
    <t>V_65</t>
  </si>
  <si>
    <t xml:space="preserve"> Issuer Rating(s)</t>
  </si>
  <si>
    <t>Rating da contraparte na data de corte. No caso de múltiplas classificações, estas devem ser separadas por vírgula, e a ordem deve ser a mesma relativa aos limites de classificação que são reportados no campo XYZ. Se não for classificado, insira ‘NR’.</t>
  </si>
  <si>
    <t>V_66</t>
  </si>
  <si>
    <t>Issuer Rating(s) Sources</t>
  </si>
  <si>
    <t>O nome da agência que fornece a classificação. Incluir apenas as classificações das agências de classificação especificadas na documentação de securitização. No caso de classificações múltiplas, as fontes devem ser
separados por vírgulas e sua ordem será a mesma dos limites e classificações fornecidos em outros campos.</t>
  </si>
  <si>
    <t>V_67</t>
  </si>
  <si>
    <t>Type of Issuer</t>
  </si>
  <si>
    <t>Outra entidade do grupo refere-se a entidades que fazem parte do mesmo grupo do banco (exposições interafiliadas). Terceiro refere-se a partes externas.
Opções:
‣ Other group entity (1)
‣ Third party (2)</t>
  </si>
  <si>
    <t>V_68</t>
  </si>
  <si>
    <t>Currency of the value</t>
  </si>
  <si>
    <t>A moeda utilizada para a avaliação do título.</t>
  </si>
  <si>
    <t>V_69</t>
  </si>
  <si>
    <t>Valuation timestamp</t>
  </si>
  <si>
    <t>Data e hora da última avaliação.</t>
  </si>
  <si>
    <t>V_70</t>
  </si>
  <si>
    <t>Valuation type</t>
  </si>
  <si>
    <t>Indique se a avaliação foi realizada por marcação a mercado ou por modelo.
Opções:
‣ Mark-to-market (1)
‣ Mark-to-model (2)</t>
  </si>
  <si>
    <t>V_71</t>
  </si>
  <si>
    <t>Classe de instrumento</t>
  </si>
  <si>
    <t>A classe do instrumento de acordo com SEC 2010.</t>
  </si>
  <si>
    <t>V_72</t>
  </si>
  <si>
    <t>Primary asset classification</t>
  </si>
  <si>
    <t>Tipo de instrumento.</t>
  </si>
  <si>
    <t>V_73</t>
  </si>
  <si>
    <t>Asset securitisation class</t>
  </si>
  <si>
    <t>A reportar se o instrumento for uma titularização ou uma obrigação coberta.</t>
  </si>
  <si>
    <t>V_74</t>
  </si>
  <si>
    <t>Type of placement</t>
  </si>
  <si>
    <t>Público ou privado. «Público» refere-se a emissões nos mercados de capitais às quais foi atribuído um ISIN. Privado refere-se a títulos estruturados para clientes ou outros terceiros que foram vendidos bilateralmente.
Opções:
‣ Public (1)
‣ Private (2)</t>
  </si>
  <si>
    <t>V_75</t>
  </si>
  <si>
    <t>Issuance date</t>
  </si>
  <si>
    <t>Data de emissão.</t>
  </si>
  <si>
    <t>V_76</t>
  </si>
  <si>
    <t>Maturity date</t>
  </si>
  <si>
    <t>Data de vencimento. Não aplicável para instrumentos perpétuos.</t>
  </si>
  <si>
    <t>V_77</t>
  </si>
  <si>
    <t>Guarantor ID</t>
  </si>
  <si>
    <t>Identificador do fiador se tiver sido prestada uma garantia.</t>
  </si>
  <si>
    <t>V_78</t>
  </si>
  <si>
    <t>Guarantor ID type</t>
  </si>
  <si>
    <t>V_79</t>
  </si>
  <si>
    <t>Rating of the security</t>
  </si>
  <si>
    <t>Classificação de crédito de segurança. Classificação do título na data de corte. No caso de classificações múltiplas, estas devem ser separadas por vírgulas e a ordem deve ser a mesma relativa aos limites de classificação que são reportados no campo XYZ. Se não for classificado, insira ‘NR’.</t>
  </si>
  <si>
    <t>V_80</t>
  </si>
  <si>
    <t>Instrument seniority type</t>
  </si>
  <si>
    <t>Tipo de instrumento de acordo com sua antiguidade.</t>
  </si>
  <si>
    <t>V_81</t>
  </si>
  <si>
    <t>Coupon type</t>
  </si>
  <si>
    <t>Tipo de cupom.
Opções:
‣ Fixed (1)
‣ Floating (2)
‣ Zero coupon (3)
‣ Other (4)</t>
  </si>
  <si>
    <t>V_82</t>
  </si>
  <si>
    <t>Coupon frequency</t>
  </si>
  <si>
    <t>Frequência de pagamento do cupom.
Opções:
‣ Monthly (1)
‣ Semi-annual (2)
‣ Annual (3)
‣ Other (4)</t>
  </si>
  <si>
    <t>V_83</t>
  </si>
  <si>
    <t>Coupon currency</t>
  </si>
  <si>
    <t>Moeda em que o cupom é pago.</t>
  </si>
  <si>
    <t>V_84</t>
  </si>
  <si>
    <t>Coupon rate</t>
  </si>
  <si>
    <t>Taxa de cupom (se fixa).</t>
  </si>
  <si>
    <t>V_85</t>
  </si>
  <si>
    <t>Taxa de cupom (se flutuante).</t>
  </si>
  <si>
    <t>V_86</t>
  </si>
  <si>
    <t>Spread</t>
  </si>
  <si>
    <t>Spread sobre a taxa de referência (se flutuante).</t>
  </si>
  <si>
    <t>V_87</t>
  </si>
  <si>
    <t>Currency of the nominal amount</t>
  </si>
  <si>
    <t>Moeda para expressar o nominal do título.</t>
  </si>
  <si>
    <t>V_88</t>
  </si>
  <si>
    <t>Purchased under resale agreement</t>
  </si>
  <si>
    <t>Indique se o título foi adquirido com um acordo de revenda posterior (por exemplo, acordo de recompra inverso, swap de garantia, etc.).
Opções:
‣ Yes (1)
‣ No (2)</t>
  </si>
  <si>
    <t>V_89</t>
  </si>
  <si>
    <t>Indique a fonte de oneração do título.</t>
  </si>
  <si>
    <t>V_90</t>
  </si>
  <si>
    <t>Eligibility for standard central bank (ECB) operations</t>
  </si>
  <si>
    <t>Indique se o título cumpre os critérios de elegibilidade para operações normais do banco central (BCE).
Opções:
‣ Yes (1)
‣ No (2)</t>
  </si>
  <si>
    <t>V_91</t>
  </si>
  <si>
    <t>Part of LCR buffer</t>
  </si>
  <si>
    <t>Indique se o título atende aos critérios de elegibilidade para operações padrão do banco central.
Opções:
‣ Yes (1)
‣ No (2)</t>
  </si>
  <si>
    <t>V_92</t>
  </si>
  <si>
    <t>Category of LCR buffer</t>
  </si>
  <si>
    <t>Indique de qual parte do buffer LCR o título fazia parte.
Opções:
‣ L1 (1)
‣ L2A (2)
‣ L2B (3)</t>
  </si>
  <si>
    <t>V_93</t>
  </si>
  <si>
    <t>Accounting classification of the instrument</t>
  </si>
  <si>
    <t>Classificação contábil do instrumento de acordo com as IFRS ou princípios contábeis nacionais geralmente aceitos (GAAP).</t>
  </si>
  <si>
    <t>V_94</t>
  </si>
  <si>
    <t>Status de execução do instrumento: em execução vs não em execução.</t>
  </si>
  <si>
    <t>V_95</t>
  </si>
  <si>
    <t>Prudential portfolio of the instrument</t>
  </si>
  <si>
    <t>Indicar se o instrumento está classificado na carteira de negociação ou na carteira bancária para efeitos prudenciais.</t>
  </si>
  <si>
    <t>V_96</t>
  </si>
  <si>
    <t>ID do hedge se a posição fizer parte de um hedge econômico/contábil.</t>
  </si>
  <si>
    <t>SRB FINANCIAL ASSETS – EQUITY INSTRUMENTS DATA SET</t>
  </si>
  <si>
    <t>Identificador exclusivo do título de investimento em ações.</t>
  </si>
  <si>
    <t>Código ISIN.</t>
  </si>
  <si>
    <t>cd_captools.ct610_titulos</t>
  </si>
  <si>
    <t>isin</t>
  </si>
  <si>
    <t>‣Direto</t>
  </si>
  <si>
    <t>Código único (LEI, quando disponível) que identifica a contraparte que reporta (entidade jurídica).</t>
  </si>
  <si>
    <t>cd_loan_tapes_bce.lt002_instrument</t>
  </si>
  <si>
    <t>issr_id</t>
  </si>
  <si>
    <t>Tipo de código utilizado para identificar o emissor (pessoa jurídica).</t>
  </si>
  <si>
    <t>Não está implementado</t>
  </si>
  <si>
    <t>cd_captools.tat91_015</t>
  </si>
  <si>
    <t>tayd91c0_nelemc09</t>
  </si>
  <si>
    <t>Setor SEC 2010 do emitente.</t>
  </si>
  <si>
    <t>issr_esa_2010</t>
  </si>
  <si>
    <t>ecnmc_actvty</t>
  </si>
  <si>
    <t>Issuer Rating(s)</t>
  </si>
  <si>
    <t xml:space="preserve"> Rating da contraparte na data de corte. No caso de múltiplas classificações, estas devem ser separadas por vírgula, e a ordem deve ser a mesma relativa aos limites de classificação que são reportados no campo XYZ. Se não for classificado, insira ‘NR’.</t>
  </si>
  <si>
    <t>Issuer Rating(s) Source(S)</t>
  </si>
  <si>
    <t>issr_typ</t>
  </si>
  <si>
    <t>cd_captools.tat91_206</t>
  </si>
  <si>
    <t>tayd91c0_nelemc01</t>
  </si>
  <si>
    <t>dt_vltn</t>
  </si>
  <si>
    <t>‣ dd_field_id = "70"</t>
  </si>
  <si>
    <t>‣ Tradução do campo "vltn_typ" através de uma ligação com o campo "dd_code" para obter o campo:
     dd_value</t>
  </si>
  <si>
    <t>vltn_typ</t>
  </si>
  <si>
    <t>Part of LCR
buffer</t>
  </si>
  <si>
    <t>‣ dd_field_id = "91"</t>
  </si>
  <si>
    <t>‣ Tradução do campo "eleg_eurosistema" através de uma ligação com o campo "dd_code" para obter o campo:
dd_value</t>
  </si>
  <si>
    <t>eleg_eurosistema</t>
  </si>
  <si>
    <t>‣ dd_field_id = "93"</t>
  </si>
  <si>
    <t>‣ Inicialmente para cada combinação dos campos "cempresa", "cbalcao", "cnumecta", "zdeposit" iremos recuperar o MAX(carteira_contabilistica):
     ‣ Este campo MAX(carteira_contabilistica) será traduzido através de uma ligação com o campo "dd_code" para obter o campo:
          dd_value</t>
  </si>
  <si>
    <t>carteira_contabilistica</t>
  </si>
  <si>
    <t>Prudential portfolio of the
instrument</t>
  </si>
  <si>
    <t>‣ dd_field_id = "95"</t>
  </si>
  <si>
    <t>Todos os contratos da tabela cd_captools.ct001_univ_saldo cuja ligação com a tabela cd_captools.fr802_pl_contas (cod_plano = "BST_IND") resulte no campo "carteira_contabilistica" = "garantias e compromissos concedidos" e o campo "produto" entre as opções ("compromissos de credito concedidos", "garantias financeiras prestadas", "outras responsabilidades perante terceiros")
NOTA: Rever criação da variável "produto_off_bal" com Pedro Mendes, penso que o filtro feito ao campo produto da tabela vds_inp_fr_pl_contas não está retornar o que devia</t>
  </si>
  <si>
    <t>LEGAL PERSON</t>
  </si>
  <si>
    <t>Todos os clientes (zcliente) da tabela cd_captools.ct003_univ_cli onde o campo "itip_cli" = "J"</t>
  </si>
  <si>
    <t>NATURAL PERSON</t>
  </si>
  <si>
    <t>Tudo o resto</t>
  </si>
  <si>
    <t>‣ dd_field_id = "35"</t>
  </si>
  <si>
    <t>typ_instrmnt</t>
  </si>
  <si>
    <t>‣ Tradução do campo "typ_instrmnt" através de uma ligação com o campo "dd_code" para obter o campo:
     dd_value</t>
  </si>
  <si>
    <t>typ_amrtstn</t>
  </si>
  <si>
    <t>‣ Tradução do campo "typ_amrtstn" através de uma ligação com o campo "dd_code" para obter o campo:
     dd_value</t>
  </si>
  <si>
    <t>cmoeda_pas</t>
  </si>
  <si>
    <t>cmoeda_act</t>
  </si>
  <si>
    <t>‣ Se o contrato for ativo:
     cmoeda_act
‣ Se o contrato for passivo:
     cmoeda_pas</t>
  </si>
  <si>
    <t>dinicio</t>
  </si>
  <si>
    <t>dfim_care</t>
  </si>
  <si>
    <t>Não foi implementado</t>
  </si>
  <si>
    <t>cod_freq_taxa_pas</t>
  </si>
  <si>
    <t>cod_freq_taxa_act</t>
  </si>
  <si>
    <t>‣ Inicialmente é obtida a varivel intermedia "cod_freq_taxa":
     ‣ Se o contrato for ativo:
          cod_freq_taxa_act
     ‣ Se o contrato for passivo:
          cod_freq_taxa_pas
‣ De seguida é obtido este campo aplicando as seguintes regras:
     ‣ Se cod_freq_taxa for "0":
          "OVERNIGHT"
     ‣ Se cod_freq_taxa for "2" ou "M" e se as 8 posições após o primeiro caracter retornarem "1":
          "MONTHLY"
     ‣ Se cod_freq_taxa for "2" ou "M" e se as 8 posições após o primeiro caracter retornarem "3":
          "QUARTERLY"
     ‣ Se (cod_freq_taxa for "2" ou "M" e se as 8 posições após o primeiro caracter retornarem "6") ou se (cod_freq_taxa for "R" e se as 8 posições após o primeiro caracter retornarem "2") ou se (cod_freq_taxa for "E" e se as 8 posições após o primeiro caracter retornarem "1"):
          "SEMI-ANNUAL"
     ‣ Se (cod_freq_taxa for "2" ou "M" e se as 8 posições após o primeiro caracter retornarem "12") ou se (cod_freq_taxa for "R" e se as 8 posições após o primeiro caracter retornarem "4") ou se (cod_freq_taxa for "E" e se as 8 posições após o primeiro caracter retornarem "2") ou se (cod_freq_taxa for "3" ou "N" e se as 8 posições após o primeiro caracter retornarem "1"):
          "ANNUAL"
     ‣ Caso contrário:
          "OTHER FREQUENCY"
Nota esta regra está mal definida logo pelo facto de a mesma string não poder ser igual a um caracter "2" ou "M" por exemplo e depois ter também 8 caracteres a seguir com "1". Necessário rever este campo</t>
  </si>
  <si>
    <t>INSTRUMENT-INSTRMNT_ID</t>
  </si>
  <si>
    <t>Not applicable: To be reported as "N/A". 
This information will be availabe in "02_04_nat_instr_count" table</t>
  </si>
  <si>
    <t>INSTRUMENT-COD_SOC</t>
  </si>
  <si>
    <t>INSTRUMENT-OBSRVD_AGNT_ID</t>
  </si>
  <si>
    <t>Mapeamentos Corporação (LT)</t>
  </si>
  <si>
    <t>INSTRUMENT-CNTRCT_ID</t>
  </si>
  <si>
    <t>INSTRUMENT-LGD</t>
  </si>
  <si>
    <t>INSTRUMENT-IFRS9_LGD</t>
  </si>
  <si>
    <t>INSTRUMENT-TYP_INSTRMNT</t>
  </si>
  <si>
    <t>INSTRUMENT-TYP_AMRTSTN</t>
  </si>
  <si>
    <t>INSTRUMENT-CRRNCY_DNMNTN</t>
  </si>
  <si>
    <t>INSTRUMENT-DT_INCPTN</t>
  </si>
  <si>
    <t>INSTRUMENT-DT_END_INTRST_ONLY</t>
  </si>
  <si>
    <t>INSTRUMENT-INTRST_RT_RST_FRQNCY</t>
  </si>
  <si>
    <t>INSTRUMENT-TYP_INTRST_RT</t>
  </si>
  <si>
    <t>INSTRUMENT-DT_LGL_FNL_MTRTY</t>
  </si>
  <si>
    <t>INSTRUMENT-CMMTMNT_INCPTN_INSTRMNT</t>
  </si>
  <si>
    <t>INSTRUMENT-PYMNT_FRQNCY</t>
  </si>
  <si>
    <t>-</t>
  </si>
  <si>
    <t>INSTRUMENT-ANNLSD_AGRD_RT</t>
  </si>
  <si>
    <t>INSTRUMENT-DT_NXT_INTRST_RT_RST</t>
  </si>
  <si>
    <t>INSTRUMENT-DFLT_STTS_INSTRMNT</t>
  </si>
  <si>
    <t>INSTRUMENT-DT_DFLT_STTS_INSTRMNT</t>
  </si>
  <si>
    <t>INSTRUMENT-ARRRS_INSTRMNT</t>
  </si>
  <si>
    <t>INSTRUMENT-DT_PST_D</t>
  </si>
  <si>
    <t>INSTRUMENT-OTSTNDNG_NMNL_AMNT_INSTRMNT</t>
  </si>
  <si>
    <t>INSTRUMENT-ACCRD_INTRST_INSTRMNT</t>
  </si>
  <si>
    <t>INSTRUMENT-OFF_BLNC_SHT_AMNT_INSTRMNT</t>
  </si>
  <si>
    <t>Not applicable: To be reported as "11111111111". 
This information will be availabe in "02_04_nat_instr_count" table</t>
  </si>
  <si>
    <t>INSTRUMENT-ACCNTNG_CLSSFCTN</t>
  </si>
  <si>
    <t>INSTRUMENT-ACCMLTD_WRTFFS_INSTRMNT</t>
  </si>
  <si>
    <t>INSTRUMENT-ACCMLTD_IMPRMNT_INSTRMNT</t>
  </si>
  <si>
    <t>INSTRUMENT-IMPRMNT_STTS</t>
  </si>
  <si>
    <t>INSTRUMENT-IMPRMNT_ASSSSMNT_MTHD</t>
  </si>
  <si>
    <t>INSTRUMENT-PRFRMNG_STTS</t>
  </si>
  <si>
    <t>INSTRUMENT-DT_PRFRMNG_STTS</t>
  </si>
  <si>
    <t>INSTRUMENT-PRVSNS_OFF_BLNC_SHT</t>
  </si>
  <si>
    <t>INSTRUMENT-FRBRNC_STTS_INSTRMNT</t>
  </si>
  <si>
    <t>INSTRUMENT-DT_FRBRNC_STTS</t>
  </si>
  <si>
    <t>INSTRUMENT-CMLTV_RCVRS_SNC_DFLT_INSTRMNT</t>
  </si>
  <si>
    <t>INSTRUMENT-CRRYNG_AMNT_INSTRMNT</t>
  </si>
  <si>
    <t>INSTRUMENT-ACCMLTD_CHNGS_FV_CR_INSTRMNT</t>
  </si>
  <si>
    <t>Após reunião com LCM foi indicado que este campo deveria ser na mesma o cempresa … zeposit mas da tabela fr001/fr004 em vez da al029 isto porque tendo que conciliar com o finrep, faz sentido que tenha a mesma granularidade</t>
  </si>
  <si>
    <t>tx_spread_act_1</t>
  </si>
  <si>
    <t>tx_spread_pas_1</t>
  </si>
  <si>
    <t>‣ Se o contrato for ativo:
     tx_spread_act_1
‣ Se o contrato for passivo:
     tx_spread_pas_1</t>
  </si>
  <si>
    <t>cod_tipo_taxa_ref_act</t>
  </si>
  <si>
    <t>cod_tipo_taxa_ref_pas</t>
  </si>
  <si>
    <t>‣ Inicialmente é obtida a varivel intermedia "cod_tipo_taxa_ref":
     ‣ Se o contrato for ativo:
          cod_tipo_taxa_ref_act
     ‣ Se o contrato for passivo:
          cod_tipo_taxa_ref_pas
‣ De seguida é obtido este campo aplicando as seguintes regras:
     ‣ Se  cod_tipo_taxa_ref = "V":
          "Variable"
     ‣ Se  cod_tipo_taxa_ref = "F":
          "Fixed"
     ‣ Caso contrário:
          "Mixed"</t>
  </si>
  <si>
    <t>dfim</t>
  </si>
  <si>
    <t>cmmtmnt_incptn_instrmnt</t>
  </si>
  <si>
    <t>tx_contrato_act</t>
  </si>
  <si>
    <t>tx_contrato_pas</t>
  </si>
  <si>
    <t>cod_tipo_amortizacao</t>
  </si>
  <si>
    <t>cod_freq_liq_jur_act</t>
  </si>
  <si>
    <t>cod_freq_liq_jur_pas</t>
  </si>
  <si>
    <t>cod_freq_amort_capital_act</t>
  </si>
  <si>
    <t>cod_freq_amort_capital_pas</t>
  </si>
  <si>
    <t>‣ Este campo está dividido em dois outros v_153_interest_payment_freq e v_153_capital_payment_freq
‣ v_153_interest_payment_freq:
     ‣ Inicialmente são obtidas as variváveis intermedias "tx_contrato" e "cod_freq_liq_jur":
          ‣ Se o contrato for ativo:
               tx_contrato_act;
               cod_freq_liq_jur_act;
          ‣ Se o contrato for passivo:
               tx_contrato_pas;
               cod_freq_liq_jur_pas;
     ‣ De seguida é obtido este campo aplicando as seguintes regras:
          ‣ Se tx_contrato for 0:
               "Zero Coupon"
          ‣ Se cod_freq_liq_jur for "2" ou "M" e se as 8 posições após o primeiro caracter retornarem "1":
               "Monthly"
          ‣ Se (cod_freq_liq_jur for "2" ou "M" e se as 8 posições após o primeiro caracter retornarem "3") ou se (cod_freq_liq_jur for "R" e se as 8 posições após o primeiro caracter retornarem "1"):
               "Quarterly"
          ‣ Se (cod_freq_liq_jur for "2" ou "M" e se as 8 posições após o primeiro caracter retornarem "6") ou se (cod_freq_liq_jur for "R" e se as 8 posições após o primeiro caracter retornarem "2") ou se (cod_freq_liq_jur for "E" e se as 8 posições após o primeiro caracter retornarem "1"):
               "Semi-annual"
          ‣ Se (cod_freq_liq_jur for "2" ou "M" e se as 8 posições após o primeiro caracter retornarem "12") ou se (cod_freq_liq_jur for "R" e se as 8 posições após o primeiro caracter retornarem "4") ou se (cod_freq_liq_jur for "E" e se as 8 posições após o primeiro caracter retornarem "2") ou se (cod_freq_liq_jur for "3" ou "N" e se as 8 posições após o primeiro caracter retornarem "1"):
               "Annual"
          ‣ Caso contrário:
               "Other frequency"
‣ v_153_capital_payment_freq:
     ‣ Inicialmente é obtida a varivável intermedia "cod_freq_amort_capital":
          ‣ Se o contrato for ativo:
               cod_freq_amort_capital_act;
          ‣ Se o contrato for passivo:
               cod_freq_amort_capital_pas;
     ‣ De seguida é obtido este campo aplicando as seguintes regras:
          ‣ Se cod_tipo_amortizacao for "A" ou "U":
               "Bullet"
          ‣ Se cod_freq_amort_capital for "2" ou "M" e se as 8 posições após o primeiro caracter retornarem "1":
               "Monthly"
          ‣ Se (cod_freq_amort_capital for "2" ou "M" e se as 8 posições após o primeiro caracter retornarem "3") ou se (cod_freq_amort_capital for "R" e se as 8 posições após o primeiro caracter retornarem "1"):
               "Quarterly"
          ‣ Se (cod_freq_amort_capital for "2" ou "M" e se as 8 posições após o primeiro caracter retornarem "6") ou se (cod_freq_amort_capital for "R" e se as 8 posições após o primeiro caracter retornarem "2") ou se (cod_freq_amort_capital for "E" e se as 8 posições após o primeiro caracter retornarem "1"):
               "Semi-annual"
          ‣ Se (cod_freq_amort_capital for "2" ou "M" e se as 8 posições após o primeiro caracter retornarem "12") ou se (cod_freq_amort_capital for "R" e se as 8 posições após o primeiro caracter retornarem "4") ou se (cod_freq_amort_capital for "E" e se as 8 posições após o primeiro caracter retornarem "2") ou se (cod_freq_amort_capital for "3" ou "N" e se as 8 posições após o primeiro caracter retornarem "1"):
               "Annual"
          ‣ Caso contrário:
               "Other frequency"</t>
  </si>
  <si>
    <t>‣ Se o contrato for ativo:
     cod_tipo_taxa_ref_act
‣ Se o contrato for passivo:
     cod_tipo_taxa_ref_pas</t>
  </si>
  <si>
    <t>cd_alm.al007_prog_ppc</t>
  </si>
  <si>
    <t>dbreak_clause</t>
  </si>
  <si>
    <t>‣ Se o contrato for ativo:
     tx_contrato_act
‣ Se o contrato for passivo:
     tx_contrato_pas</t>
  </si>
  <si>
    <t>dt_prox_renov_taxa_act</t>
  </si>
  <si>
    <t>dt_prox_renov_taxa_pas</t>
  </si>
  <si>
    <t>‣ Se o contrato for ativo:
     dt_prox_renov_taxa_act
‣ Se o contrato for passivo:
     dt_prox_renov_taxa_pas</t>
  </si>
  <si>
    <t>‣ dd_field_id = "158"</t>
  </si>
  <si>
    <t>dflt_stts_instrmnt</t>
  </si>
  <si>
    <t>‣ Tradução do campo "dflt_stts_instrmnt" através de uma ligação com o campo "dd_code" para obter o campo:
     dd_value</t>
  </si>
  <si>
    <t>dt_dflt_stts_instrmnt</t>
  </si>
  <si>
    <t>arrrs_instrmnt</t>
  </si>
  <si>
    <t>cd_captools.ct004_univ_cto</t>
  </si>
  <si>
    <t>dincump</t>
  </si>
  <si>
    <t>cod_spv</t>
  </si>
  <si>
    <t>‣ Se o campo "cod_spv" começar por "SYN":
     "SYNTHETIC SECURITISATION"
‣ Se o campo "cod_spv" não for "" (vazio):
     "TRADITIONAL SECURITISATION"
‣ Caso contrário (se o contrato não estiver na tabela ct013_rwa_princ):
     "NOT SECURITISED"</t>
  </si>
  <si>
    <t>otstndng_nmnl_amnt_instrmnt</t>
  </si>
  <si>
    <t>PROTECTION-PRTCTN_ID</t>
  </si>
  <si>
    <t>Not applicable: To be reported as "N/A". 
This information will be availabe in "02_05_nat_instr_prot" table</t>
  </si>
  <si>
    <t>PROTECTION-TYP_PRTCTN</t>
  </si>
  <si>
    <t>Ver se não devemos ir antes às tabelas de garantias (gts)</t>
  </si>
  <si>
    <t>É necessário verificar onde existe esta informação (ex: cd_emprestimos.gpt32_bemimove)</t>
  </si>
  <si>
    <t>Confirmar se este é o campo correto para recuperar esta informação</t>
  </si>
  <si>
    <t>Não existe este genero de operativa</t>
  </si>
  <si>
    <t>Replicar o Instrument_id</t>
  </si>
  <si>
    <t>Não trazer componente passiva, e o universo pode alterar para as fr</t>
  </si>
  <si>
    <t>Alterando a granularidade também deveriamos trazer esta info de outro lado</t>
  </si>
  <si>
    <t>Ver como são obtidos no ALM.</t>
  </si>
  <si>
    <t>cd_alm.al030_sld_core_m</t>
  </si>
  <si>
    <t>mon_extrapatri</t>
  </si>
  <si>
    <t>Ignorei a parte em que também se traz a componente passiva</t>
  </si>
  <si>
    <t>cd_loan_tapes_bce.lt005_instr_ent</t>
  </si>
  <si>
    <t>Comentários reuniões</t>
  </si>
  <si>
    <t>‣ Concatenação dos campos mencionados anteriormente:
     cempresa + cbalcao + cnumecta + zdeposit</t>
  </si>
  <si>
    <t>‣ Concatenação dos campos mencionados anteriormente:
     cempresa + cbalcao_caucao + cnumecta_caucao + zcaucao</t>
  </si>
  <si>
    <t>Not applicable: To be reported as "N/A". 
This information will be availabe in "01_04_leg_instr_count" table</t>
  </si>
  <si>
    <t>ENTITY-ENTTY_ID</t>
  </si>
  <si>
    <t>ENTITY-INTRNL_RTNG</t>
  </si>
  <si>
    <t>ENTITY-EXTRNL_RTNG</t>
  </si>
  <si>
    <t>ENTITY-PD_IFRS9_12M_RD</t>
  </si>
  <si>
    <t>Not applicable: To be reported as "N/A". 
This information will be availabe in "01_05_leg_instr_prot" table</t>
  </si>
  <si>
    <t>PROTECTION-RL_ESTT_PST_CD</t>
  </si>
  <si>
    <t>jnt_lblty_amnt</t>
  </si>
  <si>
    <t>‣ dd_field_id = "168"</t>
  </si>
  <si>
    <t>mon_imparid_patri</t>
  </si>
  <si>
    <t>mon_imparidade_extra</t>
  </si>
  <si>
    <t>‣ Soma dos campos mencionados anteriormente:
     mon_imparid_patri + mon_imparidade_extra</t>
  </si>
  <si>
    <t>‣ ref_date = data do report
‣ tipo_balanco = "A"</t>
  </si>
  <si>
    <t>stage</t>
  </si>
  <si>
    <t>‣ Tradução do campo "stage" através de uma ligação com o campo "dd_code" para obter o campo:
     dd_value</t>
  </si>
  <si>
    <t>‣ dd_field_id = "173"</t>
  </si>
  <si>
    <t>‣ dd_field_id = "172"</t>
  </si>
  <si>
    <t>tipo_analise</t>
  </si>
  <si>
    <t>‣ Tradução do campo "tipo_analise" através de uma ligação com o campo "dd_code" para obter o campo:
     dd_value</t>
  </si>
  <si>
    <t>‣ dd_field_id = "174"</t>
  </si>
  <si>
    <t>srcs_encmbrnc</t>
  </si>
  <si>
    <t>‣ Tradução do campo "srcs_encmbrnc" através de uma ligação com o campo "dd_code" para obter o campo:
     dd_value</t>
  </si>
  <si>
    <t>‣ Se o campo "final_stage" for "3":
     "Non-performing"
‣ Caso contrário:
     "Performing"</t>
  </si>
  <si>
    <t>‣ dd_field_id = "178"</t>
  </si>
  <si>
    <t>frbrnc_stts_instrmnt</t>
  </si>
  <si>
    <t>‣ Tradução do campo "frbrnc_stts_instrmnt" através de uma ligação com o campo "dd_code" para obter o campo:
     dd_value</t>
  </si>
  <si>
    <t>dt_frbrnc_stts</t>
  </si>
  <si>
    <t>valor</t>
  </si>
  <si>
    <t>cd_captools.fr009_recup</t>
  </si>
  <si>
    <t>mon_comissoes</t>
  </si>
  <si>
    <t>mon_despesas</t>
  </si>
  <si>
    <t>mon_cap_st1_vivo</t>
  </si>
  <si>
    <t>mon_cap_st1_c0</t>
  </si>
  <si>
    <t>mon_cap_st1_c1</t>
  </si>
  <si>
    <t>mon_cap_st1_co</t>
  </si>
  <si>
    <t>mon_cap_st2_vivo</t>
  </si>
  <si>
    <t>mon_cap_st2_c0</t>
  </si>
  <si>
    <t>mon_cap_st2_c1</t>
  </si>
  <si>
    <t>mon_cap_st2_co</t>
  </si>
  <si>
    <t>mon_cap_st3_vivo</t>
  </si>
  <si>
    <t>mon_cap_st3_c0</t>
  </si>
  <si>
    <t>mon_cap_st3_c1</t>
  </si>
  <si>
    <t>mon_cap_st3_co</t>
  </si>
  <si>
    <t>mon_jur_st1</t>
  </si>
  <si>
    <t>mon_jur_st1_c0</t>
  </si>
  <si>
    <t>mon_jur_st1_c1</t>
  </si>
  <si>
    <t>mon_jur_st1_co</t>
  </si>
  <si>
    <t>mon_jur_st2</t>
  </si>
  <si>
    <t>mon_jur_st2_c0</t>
  </si>
  <si>
    <t>mon_jur_st2_c1</t>
  </si>
  <si>
    <t>mon_jur_st2_co</t>
  </si>
  <si>
    <t>mon_jur_st3</t>
  </si>
  <si>
    <t>mon_jur_st3_c0</t>
  </si>
  <si>
    <t>mon_jur_st3_c1</t>
  </si>
  <si>
    <t>mon_jur_st3_co</t>
  </si>
  <si>
    <t>‣ Soma dos campos mencionados anteriormente:
     mon_cap_st1_vivo + mon_cap_st1_c0 + mon_cap_st1_c1 + mon_cap_st1_co + mon_cap_st2_vivo + mon_cap_st2_c0 + mon_cap_st2_c1 + mon_cap_st2_co + mon_cap_st3_vivo + mon_cap_st3_c0 + mon_cap_st3_c1 + mon_cap_st3_co + mon_jur_st1 + mon_jur_st1_c0 + mon_jur_st1_c1 + mon_jur_st1_co + mon_jur_st2 + mon_jur_st2_c0 + mon_jur_st2_c1 + mon_jur_st2_co + mon_jur_st3 + mon_jur_st3_c0 + mon_jur_st3_c1 + mon_jur_st3_co + mon_imparid_patri + mon_comissoes + mon_despesas</t>
  </si>
  <si>
    <t>‣ dd_field_id = "182"</t>
  </si>
  <si>
    <t>accmltd_chngs_fv_cr_instrmnt</t>
  </si>
  <si>
    <t>ENTITY-PD_CRR_RD</t>
  </si>
  <si>
    <t>ENTITY-DFLT_STTS</t>
  </si>
  <si>
    <t>ENTITY-DT_DFLT_STTS</t>
  </si>
  <si>
    <t>in_pdini</t>
  </si>
  <si>
    <t>‣ Este campo tem de ser calculado por fases:
     ‣ 1º - Calculamos o campo auxiliar "ead_final_bruta_grup1":
          Média do campo "ead_final_bruta" para cada par dos campos "s1emp", "contra1";
     ‣ 2º - Calculamos o campo auxiliar "in_pdini_grup1":
          ‣ Para cada par dos campos "s1emp", "contra1", calculamos a média ponderada do campo "in_pdini" em relação ao campo "ead_final_bruta":
               SUM(in_pdini * ead_final_bruta) / SUM(ead_final_bruta)
     ‣ 3º - Calculamos o campo auxiliar "ead_final_bruta_grup2":
          Soma do campo auxiliar "ead_final_bruta_grup1" para cada combinação dos campos "cempresa", "cbalcao", "cnumecta", "zdeposit";
     ‣ 4º - Calculamos o campo auxiliar "in_pdini_grup2":
          ‣ Para cada combinação dos campos "cempresa", "cbalcao", "cnumecta", "zdeposit", calculamos a média ponderada do campo auxiliar "in_pdini_grup1" em relação ao campo auxiliar "ead_final_bruta_grup1":
               SUM(in_pdini_grup1 * ead_final_bruta_grup1) / SUM(ead_final_bruta_grup1)
‣ Finalmente para cada Counterparty Identifier calculamos a média ponderada do campo auxiliar "in_pdini_grup2" em relação ao campo auxiliar "ead_final_bruta_grup2":
     SUM(in_pdini_grup2 * ead_final_bruta_grup2) / SUM(ead_final_bruta_grup2)</t>
  </si>
  <si>
    <t>‣ Este campo tem de ser calculado por fases:
     ‣ 1º - Para cada Counterparty Identifier calculamos o máximo do campo "dflt_stts_instrmnt":
          MAX(dflt_stts_instrmnt);
     ‣ 2º - Tradução do MAX(dflt_stts_instrmnt) através de uma ligação com o campo "dd_code" para obter o campo:
          dd_value.</t>
  </si>
  <si>
    <t>‣ Para cada Counterparty Identifier calculamos o minimo do campo "dt_dflt_stts_instrmnt":
     MIN(dt_dflt_stts_instrmnt)</t>
  </si>
  <si>
    <t>PROTECTION-PRTCTN_PRVDR_ID</t>
  </si>
  <si>
    <t>PROTECTION-DT_PRTCTN_VL</t>
  </si>
  <si>
    <t>PROTECTION-PRTCTN_VL</t>
  </si>
  <si>
    <t>PROTECTION-DT_MTRTY_PRTCTN</t>
  </si>
  <si>
    <t>PROTECTION-ORGNL_PRTCTN_VL</t>
  </si>
  <si>
    <t>PROTECTION-DT_ORGNL_PRTCTN_VL</t>
  </si>
  <si>
    <t>PROTECTION-TYP_PRTCTN_VL</t>
  </si>
  <si>
    <t>PROTECTION-PRTCTN_VLTN_APPRCH</t>
  </si>
  <si>
    <t>Not applicable: To be reported as "11111111111". 
This information will be availabe in "02_05_nat_instr_prot" table</t>
  </si>
  <si>
    <t>Identification information</t>
  </si>
  <si>
    <t>Descrição - Português</t>
  </si>
  <si>
    <t>An identifier applied to uniquely identify each instrument. Each instrument must have one instrument identifier</t>
  </si>
  <si>
    <t>Identifier applied to uniquely identify each counterparty.</t>
  </si>
  <si>
    <t>The exposures classes for the calculation of risk-weighted assets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</si>
  <si>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The total risk exposure amount of the instrument, calculated according to Articles 92(3) and 92(4) of Regulation (EU) No 575/2013 (CRR), where applicable.</t>
  </si>
  <si>
    <t>Current level of the ‘Loss given default’ of the loan, determined in accordance with Articles 161, 164, 179 and 181 of Regulation (EU) No 575/2013.</t>
  </si>
  <si>
    <t>Current level of the ‘Loss given default’ of the loan determined for accounting purposes.</t>
  </si>
  <si>
    <t>Risk parameters</t>
  </si>
  <si>
    <t>Exposure class</t>
  </si>
  <si>
    <t>External Credit rating</t>
  </si>
  <si>
    <t>Internal credit rating/scoring issued to the counterparty.</t>
  </si>
  <si>
    <t>External credit rating issued to the counterparty at cut-off date. In case several ratings are assigned, the approach described in Art. 138 of the CRR applies.</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</si>
  <si>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</si>
  <si>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</si>
  <si>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Size collateral</t>
  </si>
  <si>
    <t>Lien</t>
  </si>
  <si>
    <t>Collateral
characteristics</t>
  </si>
  <si>
    <t>An identifier applied to uniquely identify each protection/collateral used to secure the instrument.</t>
  </si>
  <si>
    <t>An identifier applied to uniquely identify each instrument. Each instrument must have one instrument identifier.</t>
  </si>
  <si>
    <t>The AnaCredit item “type of protection” (Section 9.4.3. of the Anacredit Reporting Manual part II - Dataset and data attributes) provides a breakdown of collateral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</si>
  <si>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Building area of the building in square metres. Only applicable to Residential real estate collateral, Offices and commercial premises, Commercial real estate collateral, Hotels &amp; entertainment, Factories – warehouses.</t>
  </si>
  <si>
    <t>Land area of the property in square metres, including any land surrounding the building(s) on the property that is part of the property.</t>
  </si>
  <si>
    <t>Postcode where the property is located. Only applicable to Residential real estate collateral, Offices and commercial premises, Commercial real estate collateral, Hotels &amp; entertainment, Factories – warehouses.</t>
  </si>
  <si>
    <t>Classificação/pontuação de crédito interna emitida para a contraparte.</t>
  </si>
  <si>
    <t>Rating de crédito externo emitido para a contraparte na data de corte. Caso sejam atribuídas diversas classificações, aplica-se a abordagem descrita no Art. 138 do CRR.</t>
  </si>
  <si>
    <t>A probabilidade de incumprimento/imparidade é calculada de acordo com os requisitos específicos para a estimativa da probabilidade de incumprimento (PD) definidos no quadro contabilístico. Se as PDs forem produzidas apenas ao nível do instrumento, a PD da contraparte deve ser reportada como a PD média ponderada pela exposição entre as PD de todos os instrumentos da contraparte. Se, para uma determinada contraparte, forem estimadas PDs tanto para a contraparte como para (alguns dos) produtos da contraparte, é a PD da contraparte que deve ser reportada.</t>
  </si>
  <si>
    <t>Aplicável apenas a instituições que não utilizam modelos CRR IRB. Estas instituições devem manter registos das probabilidades de incumprimento ou das pontuações fornecidas pelos modelos de pontuação/rating.
No caso de PDs produzidas apenas ao nível do instrumento, a PD da contraparte deve ser relatada como a PD média ponderada pela exposição entre as PDs de todos os instrumentos da contraparte. Se, para uma determinada contraparte, forem estimadas PDs tanto para a contraparte como para (alguns dos) produtos da contraparte, é a PD da contraparte que deve ser reportada.</t>
  </si>
  <si>
    <t>Um identificador aplicado para identificar exclusivamente cada proteção/garantia utilizada para garantir o instrumento.</t>
  </si>
  <si>
    <t>O item "type of protection" da AnaCredit (Secção 9.4.3. do Anacredit Reporting Manual parte II - Dataset and data attributes) fornece uma discriminação das garantias elegíveis de acordo com o CRR. A repartição proposta acrescenta diversas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</si>
  <si>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Área de construção do edifício em metros quadrados. Aplicável apenas a Garantias imobiliárias residenciais, Escritórios e instalações comerciais, Garantias imobiliárias comerciais, Hotéis e entretenimento, Fábricas – armazéns.</t>
  </si>
  <si>
    <t>Área do terreno do imóvel em metros quadrados, incluindo qualquer terreno ao redor do(s) edifício(s) do imóvel que faz parte do imóvel.</t>
  </si>
  <si>
    <t>Código postal onde o imóvel está localizado. Aplicável apenas a Garantias imobiliárias residenciais, Escritórios e instalações comerciais, Garantias imobiliárias comerciais, Hotéis e entretenimento, Fábricas – armazéns.</t>
  </si>
  <si>
    <t>Detailed type of collateral received. Applicable only to shipping portfolios.
Options:
‣ Bulker (1)
‣ Container (2)
‣ Crude Oil Tanker (3)
‣ Product Tanker (4)
‣ Chemical Tanker (5)
‣ Cruise Ship (6)
‣ Ferry (7)
‣ LPG Carrier (8)
‣ Offshore (9)
‣ Other (10)</t>
  </si>
  <si>
    <t>Observações Maria</t>
  </si>
  <si>
    <t>Unique identifier for the equity investment security.</t>
  </si>
  <si>
    <t>ISIN code.</t>
  </si>
  <si>
    <t>Unique code (LEI where available) identifying the reporting counterparty (legal entity).</t>
  </si>
  <si>
    <t>issr_id_typ</t>
  </si>
  <si>
    <t>No script não está a chamá-lo no final</t>
  </si>
  <si>
    <t>Rating of counterparty as of the cut-off date. In the event of multiple ratings, these should be separated by commas and the order should be the same as that relating to the rating thresholds reported in field XYZ. If not rated, enter ‘NR’.</t>
  </si>
  <si>
    <t>The name of the agency providing the rating. In the event of multiple ratings, the sources should be separated by commas and their order should be the same as the thresholds and ratings provided in other fields.</t>
  </si>
  <si>
    <t>issr_rtng_src</t>
  </si>
  <si>
    <t>Other group entity’ refers to entities which form part of the same group as the bank (inter-affiliate exposures). ‘Third party’ refers to external parties.
Options:
‣ Other group entity (1)
‣ Third party (2)</t>
  </si>
  <si>
    <t>Date and time of the last valuation.</t>
  </si>
  <si>
    <t>Indicate whether the valuation was performed mark-to-market or mark-to-model.
Options:
‣ Mark-to-market (1)
‣ Mark-to-model (2)</t>
  </si>
  <si>
    <t>V_97</t>
  </si>
  <si>
    <t>Dividend yield</t>
  </si>
  <si>
    <t>Average expected yearly dividends over the next three years.
Options:
‣ Yes (1)
‣ No (2)</t>
  </si>
  <si>
    <t>Dividendos anuais médios esperados nos próximos três anos.
Opções:
‣ Yes (1)
‣ No (2)</t>
  </si>
  <si>
    <t>Indicate whether the security meets the eligibility criteria for standard central bank operations.
Options:
‣ Yes (1)
‣ No (2)</t>
  </si>
  <si>
    <t>The risk weight allocated to the instrument, calculated according to Articles 92(3) and 92(4) of Regulation (EU) No 575/2013 (CRR), where applicable.</t>
  </si>
  <si>
    <t>Descrição português</t>
  </si>
  <si>
    <t>Unique identifier for the debt security.</t>
  </si>
  <si>
    <t>‣ Concatenação dos campos mencionados anteriormente:
 cempresa + "_" + cbalcao + "_" + cnumecta + "_" + zdeposit</t>
  </si>
  <si>
    <t>International Securities Identification Number (ISIN).</t>
  </si>
  <si>
    <t>INSTRUMENT-ISIN</t>
  </si>
  <si>
    <t>Unique code (Legal Entity Identifier (LEI) where available) identifying the reporting counterparty (legal entity).</t>
  </si>
  <si>
    <t>INSTRUMENT-ISSR_ID</t>
  </si>
  <si>
    <t>INSTRUMENT-ISSR_ID_TYP</t>
  </si>
  <si>
    <t>INSTRUMENT-ISSR_CNTRY</t>
  </si>
  <si>
    <t>INSTRUMENT-ISSR_ESA_2010</t>
  </si>
  <si>
    <t>d_loan_tapes_bce.lt003_entity</t>
  </si>
  <si>
    <t>INSTRUMENT-ISSR_NACE_SCTR</t>
  </si>
  <si>
    <t>Rating of counterparty as of cut-off date. In the event of multiple ratings, these should be separated by comma, and the order should be the same that relating to the rating thresholds that are reported in field XYZ. If not rated, enter ‘NR’.</t>
  </si>
  <si>
    <t>INSTRUMENT-ISSR_RTNG</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</si>
  <si>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</si>
  <si>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INSTRUMENT-ISSR_RTNG_SRC</t>
  </si>
  <si>
    <t>Other group entity refers to entities that are part of the same group as the bank (inter-affiliate exposures). Third party refers to external parties.
Options:
‣ Other group entity (1)
‣ Third party (2)</t>
  </si>
  <si>
    <t>INSTRUMENT-ISSR_TYP</t>
  </si>
  <si>
    <t>INSTRUMENT-VLTN_CRRNCY</t>
  </si>
  <si>
    <t>INSTRUMENT-DT_VLTN</t>
  </si>
  <si>
    <t>Indicate whether valuation was performed mark-to-market or markto- model.
Options:
‣ Mark-to-market (1)
‣ Mark-to-model (2)</t>
  </si>
  <si>
    <t>‣dd_field_id = "70"</t>
  </si>
  <si>
    <t>‣ Tradução do campo "vltn_typ" através de uma ligação com o campo "dd_code" para obter o campo:
dd_value</t>
  </si>
  <si>
    <t>INSTRUMENT-VLTN_TYP</t>
  </si>
  <si>
    <t>‣ dd_field_id = "71"</t>
  </si>
  <si>
    <t>‣ Tradução do campo "instrmnt_clss" através de uma ligação com o campo "dd_code" para obter o campo:
dd_value</t>
  </si>
  <si>
    <t>INSTRUMENT-INSTRMNT_CLSS</t>
  </si>
  <si>
    <t>instrmnt_clss</t>
  </si>
  <si>
    <t>Type of instrument.</t>
  </si>
  <si>
    <t>‣ dd_field_id = "72"</t>
  </si>
  <si>
    <t>‣ Tradução do campo "prmry_asst_clssf" através de uma ligação com o campo "dd_code" para obter o campo:
dd_value</t>
  </si>
  <si>
    <t>INSTRUMENT-PRMRY_ASST_CLSSF</t>
  </si>
  <si>
    <t>prmry_asst_clssf</t>
  </si>
  <si>
    <t>To be reported if the instrument is a securitisation or covered bond.</t>
  </si>
  <si>
    <t>‣ dd_field_id = "73"</t>
  </si>
  <si>
    <t>‣ Tradução do campo "asst_scrt_clss" através de uma ligação com o campo "dd_code" para obter o campo:
dd_value</t>
  </si>
  <si>
    <t>INSTRUMENT-ASST_SCRT_CLSS</t>
  </si>
  <si>
    <t>asst_scrt_clss</t>
  </si>
  <si>
    <t>Public or private. ‘Public’ refers to issuances in capital markets that have been allocated an ISIN. Private refers to securities structured for clients or other third parties that were sold bilaterally.
Options:
‣ Public (1)
‣ Private (2)</t>
  </si>
  <si>
    <t>tipo_oferta</t>
  </si>
  <si>
    <t>‣ Se o campo "tipo_oferta" for "Particular": 
     "Private (2)";
‣ Caso contrário:
     "Public (1)";</t>
  </si>
  <si>
    <t>INSTRUMENT-TYPE_OF_PLCMNT</t>
  </si>
  <si>
    <t>Issuance date.</t>
  </si>
  <si>
    <t>dt_emissao</t>
  </si>
  <si>
    <t>Maturity date. Not applicable for perpetual instruments.</t>
  </si>
  <si>
    <t>dt_vencim</t>
  </si>
  <si>
    <t>Guarantor identifier if a guarantee has been provided.</t>
  </si>
  <si>
    <t>cd_captools.ct003_univ_cli</t>
  </si>
  <si>
    <t>clei</t>
  </si>
  <si>
    <t>‣ Se clei for NULL: 
     cnum_doc_identif1;
‣ Caso contrário:
     clei;</t>
  </si>
  <si>
    <t>INSTRUMENT-GRNTR_ID</t>
  </si>
  <si>
    <t>cnum_doc_identif1</t>
  </si>
  <si>
    <t>‣ ref_date = data do report
‣ zcliente IS NOT NULL</t>
  </si>
  <si>
    <t>grntr_id_typ</t>
  </si>
  <si>
    <t>INSTRUMENT-GRNTR_ID_TYP</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</si>
  <si>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</si>
  <si>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INSTRUMENT-INTRNL_RTNG</t>
  </si>
  <si>
    <t>Instrument type according to its seniority.</t>
  </si>
  <si>
    <t>‣ dd_field_id = "80"</t>
  </si>
  <si>
    <t>‣ Tradução do campo "instr_snrty_clss" através de uma ligação com o campo "dd_code" para obter o campo:
dd_value</t>
  </si>
  <si>
    <t>INSTRUMENT-INSTR_SNRTY_CLSS</t>
  </si>
  <si>
    <t>instr_snrty_clss</t>
  </si>
  <si>
    <t>Type of coupon.
Options:
‣ Fixed (1)
‣ Floating (2)
‣ Zero coupon (3)
‣ Other (4)</t>
  </si>
  <si>
    <t>tipo_tx</t>
  </si>
  <si>
    <t>‣  Se o campo "tipo_tx" for "FIXA":
     "Fixed";
‣  Se o campo "tipo_tx" for "VARIAVEL":
     "Floating";
‣  Se o campo "tx_fixa" for "0" e se o primeiro elemento do campo "sprd_tx_var" seprado por ";" for "0":
     "Zero coupon";
‣  Caso contrário:
     "Other";</t>
  </si>
  <si>
    <t>tx_fixa</t>
  </si>
  <si>
    <t>sprd_tx_var</t>
  </si>
  <si>
    <t>Frequency of coupon payment.
Options:
‣ Monthly (1)
‣ Semi-annual (2)
‣ Annual (3)
‣ Other (4)</t>
  </si>
  <si>
    <t>frq_liq_jur</t>
  </si>
  <si>
    <t xml:space="preserve">‣ Se o primeiro caracter do campo "frq_liq_jur" for "M":
     "Monthly";
‣ Se o primeiro caracter do campo "frq_liq_jur" for "A":
     "Annual";
‣ Se o campo "frq_liq_jur" for "M06":
     "Semi-annual";
‣ Caso contrário:
     "Other";
</t>
  </si>
  <si>
    <t>Currency in which the coupon is paid.</t>
  </si>
  <si>
    <t>‣  dd_field_id = "83"</t>
  </si>
  <si>
    <t>‣ Tradução do campo "tayd91c0_nelemc01" através de uma ligação com o campo "dd_code" para obter o campo:
dd_value</t>
  </si>
  <si>
    <t>INSTRUMENT-CPN_CRRNCY</t>
  </si>
  <si>
    <t>Coupon rate (if fixed).</t>
  </si>
  <si>
    <t>INSTRUMENT-CPN_RT</t>
  </si>
  <si>
    <t>Coupon rate (if floating).</t>
  </si>
  <si>
    <t>tx_vigente</t>
  </si>
  <si>
    <t>INSTRUMENT-RFRNC_RT</t>
  </si>
  <si>
    <t>Spread over the reference rate (if floating).</t>
  </si>
  <si>
    <t xml:space="preserve">‣ Traz apenas o primeiro elemento do campo "sprd_tx_var" seprado por ";" </t>
  </si>
  <si>
    <t>INSTRUMENT-SPRD</t>
  </si>
  <si>
    <t>‣ dd_field_id = "87"</t>
  </si>
  <si>
    <t>Indicate whether the security was purchased with an agreement to resell it at a later stage (e.g. reverse repo, collateral swap, etc.).
Options:
‣ Yes (1)
‣ No (2)</t>
  </si>
  <si>
    <t>‣ dd_field_id = "88"</t>
  </si>
  <si>
    <t>‣ Tradução do campo "prch_undr_rsl_agr" através de uma ligação com o campo "dd_code" para obter o campo:
dd_value</t>
  </si>
  <si>
    <t>INSTRUMENT-PRCH_UNDR_RSL_AGR</t>
  </si>
  <si>
    <t>prch_undr_rsl_agr</t>
  </si>
  <si>
    <t>Indicate the source of encumbrance for the security.</t>
  </si>
  <si>
    <t>‣ dd_field_id = "89"</t>
  </si>
  <si>
    <t>‣ Tradução do campo "srcs_encmbrnc" através de uma ligação com o campo "dd_code" para obter o campo:
dd_value</t>
  </si>
  <si>
    <t>INSTRUMENT-SRCS_ENCMBRNC</t>
  </si>
  <si>
    <t>Indicate whether the security meets the eligibility criteria for standard central bank (ECB) operations.</t>
  </si>
  <si>
    <t>INSTRUMENT-ELGBLTY_ECB</t>
  </si>
  <si>
    <t>INSTRUMENT-PRT_LCR_BFFR</t>
  </si>
  <si>
    <t>Indicate which part of the LCR buffer the security was part of.
Options:
‣ L1 (1)
‣ L2A (2)
‣ L2B (3)</t>
  </si>
  <si>
    <t>grau_liquidez</t>
  </si>
  <si>
    <t>‣ Se o campo "grau_liquidez" tiver algum destes valores 'L1', 'L2A', 'L2B':
     grau_liquidez;
‣ Caso contrário:
     "";</t>
  </si>
  <si>
    <t>INSTRUMENT-LCR_BFFR_CTGRY</t>
  </si>
  <si>
    <t>‣ Se o campo "stage" for '3':
     "NON-PERFORMING";
‣ Caso contrário:
     "PERFORMING";</t>
  </si>
  <si>
    <t>INSTRUMENT-PRDNTL_PRTFL</t>
  </si>
  <si>
    <t>Hedge ID if the position is part of an economic / accounting hedge.</t>
  </si>
  <si>
    <t>hedge_id</t>
  </si>
  <si>
    <t>INSTRUMENT-HEDGE_ID</t>
  </si>
  <si>
    <t>As per EMIR revised ITS Article 4a.</t>
  </si>
  <si>
    <t xml:space="preserve">cd_alm.al029_cnt_core_m </t>
  </si>
  <si>
    <t>Code used to identify the reporting counterparty. Where a contract is concluded in a trading venue and cleared by a CCP such that a counterparty is not aware of the identity of the other counterparty, the entity must identify that CCP as its counterparty.</t>
  </si>
  <si>
    <t>cproduto_mis</t>
  </si>
  <si>
    <t>The contractual term required under Article 55(1) of the BRRD. When such a contractual term is included in a master agreement and applies to all trades governed by this agreement, it can be recorded at the master agreement level.
Options:
‣ YES (1)
‣ NO (2)</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</si>
  <si>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
Options:
‣ YES (1)
‣ NO (2)</t>
  </si>
  <si>
    <t>State whether the collateralisation was performed on a portfolio basis. Portfolio means the collateral calculated on the basis of net positions resulting from a set of contracts, rather than per trade.
Options:
‣ YES (1)
‣ NO (2)</t>
  </si>
  <si>
    <t>Value of the collateral posted by the reporting counterparty to the other counterparty. Portfolio means the net collateral posted calculated on the basis of net positions resulting from a set of contracts.</t>
  </si>
  <si>
    <t>In case that a unique trade identifier had more than one collateral posted, the equivalent values in euro will be summed</t>
  </si>
  <si>
    <t>Value of the collateral received by the reporting counterparty from the other counterparty. Portfolio means the net collateral received calculated on the basis of net positions resulting from a set of contracts.</t>
  </si>
  <si>
    <t>In case that a unique trade identifier had more than one collateral received, the equivalent values in euro will be summed</t>
  </si>
  <si>
    <t>Series of leg 1 cash flows (estimated) corresponding to settlement dates, including exchange of notional, if applicable. This should be reported as multidimensional i.e. one field containing a small data set (an array).</t>
  </si>
  <si>
    <t>It will be computed by reporting the cash flow corresponding to each of the settlement periods from the data date, as follows: 
a|b|c|d|e
    a: &lt;=30 days
    b: (30,90] days
    c: (90,365] days
    d: (365,1825] days
    e: &gt;1825 days</t>
  </si>
  <si>
    <t>Rate to which the leg 1 payment is attached, e.g. LIBOR USD, EUR, etc.
Options:
EUR, LIBOR UK, LIBOR USD, etc.</t>
  </si>
  <si>
    <t>Rate to which the leg 2 payment is attached, e.g. LIBOR USD, EUR, etc.</t>
  </si>
  <si>
    <t>Reference period.
Options:
1d, 1w, 1M, 3M, 6M, 12M, 2Y, 3Y, etc</t>
  </si>
  <si>
    <t>‣ dd_field_id = "45"</t>
  </si>
  <si>
    <t>‣ Tradução do campo "cod_freq_taxa_act" através de uma ligação com o campo "dd_code" para obter o campo:
dd_value</t>
  </si>
  <si>
    <t>‣ dd_field_id = "46"</t>
  </si>
  <si>
    <t>‣ Tradução do campo "cod_freq_taxa_pas" através de uma ligação com o campo "dd_code" para obter o campo:
dd_value</t>
  </si>
  <si>
    <t>Premium paid on credit default swap (CDS) contract.</t>
  </si>
  <si>
    <t>If the financial contract is a part of a netting arrangement as defined in Article 2(1)(98) of Directive 2014/59/EU, a unique reference of the arrangement.</t>
  </si>
  <si>
    <t>cd_alm.al005_det_swapc</t>
  </si>
  <si>
    <t>code_pcd</t>
  </si>
  <si>
    <t>Carrying amount of the derivative as reported in the last reported financial statements.</t>
  </si>
  <si>
    <t>‣ Soma dos campos anteriores
‣ Para cada Instrument Identifier e zcliente são somados os campos:
     ‣ campo "rwa_final" para cada par de campos "s1emp", "contra1"</t>
  </si>
  <si>
    <t>A agrupação é feita segundo o campo "Instrument Identifier" e  "zcliente" deste mesmo documento</t>
  </si>
  <si>
    <t>Applied accounting standard.
Options:
(1) IFRS
(2) National GAAP</t>
  </si>
  <si>
    <t>The accounting portfolio where the derivative is recorded in accordance with the accounting standard applied by the reporting counterparty.
Options:
(1) Trading book
(2) Non-trading book</t>
  </si>
  <si>
    <t>‣ dd_field_id = "54"</t>
  </si>
  <si>
    <t>Classification into the levels of IFRS 13 fair value hierarchy, where level 3 exposures are those for which valuation is based on unobservable model input parameters.
Options:
(1) Level 1
(2) Level 2
(3) Level 3</t>
  </si>
  <si>
    <t>SRB DERIVATIVES DATA SET</t>
  </si>
  <si>
    <t xml:space="preserve">An identifier applied to uniquely identify each protection/collateral used to secure the instrument.  </t>
  </si>
  <si>
    <t>‣ Concatenação dos campos mencionados anteriormente:
 cempresa + "_" + cbalcao_caucao + "_" + cnumecta_caucao + "_" + zcaucao</t>
  </si>
  <si>
    <t>cd_alm.AL006_SAQ_PPC</t>
  </si>
  <si>
    <t>Not applicable: To be reported as "N/A". 
This information will be availabe in "03_05_off_instr_prot" table</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</si>
  <si>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</si>
  <si>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garante</t>
  </si>
  <si>
    <t>The AnaCredit item “type of protection” (Section 9.4.3. of the AnaCredit Reporting Manual Part II – Datasets and data attributes) provides a breakdown of collaterals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</si>
  <si>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 Tradução do campo "typ_prtctn" através de uma ligação com o campo "dd_code" para obter o campo:
dd_value</t>
  </si>
  <si>
    <t>Building area of the building in square meters. Only applicable to Residential real estate collateral, Offices and commercial premises, Commercial real estate collateral, Hotels &amp; entertainment, Factories – warehouses.</t>
  </si>
  <si>
    <t>Land area of the property in square meters. Only applicable to land.</t>
  </si>
  <si>
    <t>Postcode where the property is located. Only applicable to Residential real estate collateral, Offices and commercial premises, Commercial real estate collateral, Hotels &amp; entertainment, Factories – Warehouses.</t>
  </si>
  <si>
    <t>The date on which the latest appraisal or valuation of the protection was carried out prior to the reporting reference date.</t>
  </si>
  <si>
    <t>dultmod</t>
  </si>
  <si>
    <t>The amount of the protection value is the monetary value of the protection that was established at the latest valuation date</t>
  </si>
  <si>
    <t>mavaliaa</t>
  </si>
  <si>
    <t>The contractual maturity date of the protection, which is the earliest date at which the protection may terminate or be terminated, taking into account any agreements amending initial contracts.</t>
  </si>
  <si>
    <t>dvencime</t>
  </si>
  <si>
    <t>The monetary value of the protection item that was established at the date when the protection item was originally received as a credit protection.</t>
  </si>
  <si>
    <t>mavaliai</t>
  </si>
  <si>
    <t>The date on which the latest appraisal or valuation of the protection was carried out prior to its initial receipt as credit protection.</t>
  </si>
  <si>
    <t>dabertur</t>
  </si>
  <si>
    <t>The type of the reported value of the protection item as reported in the data attribute “protection value”.
Options:
‣ Notional amount
‣ Fair value
‣ Market value
‣ Long-term sustainable value
‣ Other protection value</t>
  </si>
  <si>
    <t>‣ Forçado a "Fair value"</t>
  </si>
  <si>
    <t>Method used to determine the protection value.
Options:
‣ Mark-to-to-market valuation
‣ Counterparty estimation
‣ Creditor valuation
‣ Third party valuation</t>
  </si>
  <si>
    <t>‣ Forçado a "Mark-to-to-market valuation"</t>
  </si>
  <si>
    <t>The maximum amount of the protection value that can be considered as credit protection for the instrument. The amount of the existing third parties or observed agent priority claims against the protection must be excluded in the protection allocated value.</t>
  </si>
  <si>
    <t>prtctn_allctd_vl</t>
  </si>
  <si>
    <t>Not applicable: To be reported as "11111111111". 
This information will be availabe in "03_05_off_instr_prot" table</t>
  </si>
  <si>
    <t>The maximum amount of any existing higher ranked liens with respect to third parties other than the observed agent against the protection.</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</si>
  <si>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</si>
  <si>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"in_pdini_final":
          ‣ a) Calculamos o campo auxiliar "ead_avg":
               Média do campo "ead_final_bruta" para cada par dos campos "s1emp", "contra1";
          ‣ b) Calculamos o campo auxiliar "pdini_ead_ponderado":
               ‣ Para cada par dos campos "s1emp", "contra1", iremos calcular a média ponderada do campo "in_pdini" em relação ao campo "ead_final_bruta":
                    SUM(in_pdini * ead_final_bruta) / SUM(ead_final_bruta);
          ‣ c) Finalmente calculamos o campo auxiliar "in_pdini_final" através de uma média ponderada do campo "pdini_ead_ponderado" em relação ao campo "ead_avg":
               SUM(pdini_ead_ponderado * ead_avg) / SUM(ead_avg);
‣ Finalmente para cada Counterparty Identifier calculamos a média ponderada do campo auxiliar "in_pdini_final" em relação ao campo auxiliar "ead_final_bruta_grup":
     SUM(in_pdini_final * ead_final_bruta_grup) / SUM(ead_final_bruta_grup)</t>
  </si>
  <si>
    <t xml:space="preserve">No script não está a chamá-lo no final
</t>
  </si>
  <si>
    <t>Internal credit rating/scoring issued to the Counterparty.</t>
  </si>
  <si>
    <t>External credit rating issued to the Counterparty (if any).</t>
  </si>
  <si>
    <t>The probability of default is calculated in accordance with the requirements specific to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</si>
  <si>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cd_captools.ifrs9_out_staging_8_7</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</si>
  <si>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the counterparty’s PD is to be reported as the exposure weighted average PD across the PDs of all instruments of the counterparty. If, for a given counterparty, PDs are estimated for both the counterparty and (some of) the products of the counterparty, it is the counterparty’s PDs which is to be reported.</t>
  </si>
  <si>
    <t>Identification of the default status of the counterparty. Categories describing the motives for which the counterparty can be in default in accordance with Article 178 of Regulation (EU) No 575/2013.
Options:
‣ Not in default
‣ Default because unlikely to pay
‣ Default because more than 90/180 days past due
‣ Default because both unlikely to pay and more than 90/180 days past due</t>
  </si>
  <si>
    <t>‣ dd_field_id = "185"</t>
  </si>
  <si>
    <t>‣ Para cada Counterparty Identifier é obtido o:
     MAX(dflt_stts_instrmnt)
‣ Tradução do campo "dflt_stts_instrmnt" através de uma ligação com o campo "dd_code" para obter o campo:
dd_value</t>
  </si>
  <si>
    <t>The date on which the default status, as reported in the data attribute
“Default status of the counterparty”, is considered to have arisen.</t>
  </si>
  <si>
    <t>‣ Para cada Counterparty Identifier é obtido o:
     MIN(dt_dflt_stts_instrmnt)</t>
  </si>
  <si>
    <t>The legal entity identifier (LEI) is the counterparty identifier assigned in accordance with the International Organization for Standardization (ISO) 17442 standard.</t>
  </si>
  <si>
    <t>‣ Para cada Counterparty Identifier é obtido o:
     MAX(clei)</t>
  </si>
  <si>
    <t>ENTITY-LEI</t>
  </si>
  <si>
    <t>A national identifier is a commonly used identification code which enables the unambiguous identification of a counterparty or of the legal entity of which the counterparty forms part within its country of residency.</t>
  </si>
  <si>
    <t>cnif_resid</t>
  </si>
  <si>
    <t>‣ Para cada Counterparty Identifier é obtido o:
     MAX(cnif_resid)</t>
  </si>
  <si>
    <t>ENTITY-TAX_ID</t>
  </si>
  <si>
    <t>The head office undertaking identifier is the counterparty identifier of the domestic part of the legal entity of which the institutional unit is a legally dependent part.</t>
  </si>
  <si>
    <t>cd_captools.ct070_univ_gr_cli</t>
  </si>
  <si>
    <t>zgrupo</t>
  </si>
  <si>
    <t>‣ Para cada Counterparty Identifier é obtido o:
     MAX(zgrupo)</t>
  </si>
  <si>
    <t>The immediate parent undertaking identifier is the counterparty identifier for the domestic part of the legal entity which is the immediate parent undertaking of the counterparty.</t>
  </si>
  <si>
    <t>The ultimate parent undertaking identifier is the counterparty identifier for the domestic part of the legal entity which is the ultimate parent undertaking of the counterparty.</t>
  </si>
  <si>
    <t>The full legal name of the counterparty.</t>
  </si>
  <si>
    <t>gcliente</t>
  </si>
  <si>
    <t>‣ Para cada Counterparty Identifier é obtido o:
     MAX(gcliente)</t>
  </si>
  <si>
    <t>ENTITY-ENTTY_NM</t>
  </si>
  <si>
    <t>cd_estruturais.interface_moradas</t>
  </si>
  <si>
    <t>clyr7003_nmorada</t>
  </si>
  <si>
    <t>‣ Para cada Counterparty Identifier é obtido o:
     MAX(clyr7003_nmorada)</t>
  </si>
  <si>
    <t>The counterparty’s city, town or village.</t>
  </si>
  <si>
    <t>‣ clyr7003_zmorada = 1</t>
  </si>
  <si>
    <t>clyr7003_nlocalid</t>
  </si>
  <si>
    <t>‣ Para cada Counterparty Identifier é obtido o:
     MAX(clyr7003_nlocalid)</t>
  </si>
  <si>
    <t>The counterparty’s postal code.</t>
  </si>
  <si>
    <t>clyr7003_cpostal</t>
  </si>
  <si>
    <t>‣ Para cada Counterparty Identifier é obtido o:
     MAX(clyr7003_cpostal)</t>
  </si>
  <si>
    <t>The county or similar administrative division of counterparties resident in European Union Member States as per NUTS 3 classification.</t>
  </si>
  <si>
    <t>‣ Para cada Counterparty Identifier é obtido o:
     MAX(tayd91c0_nelemc09)</t>
  </si>
  <si>
    <t>ENTITY-CNTRY</t>
  </si>
  <si>
    <t>The type of business entity as defined in the national legal system.</t>
  </si>
  <si>
    <t>ccae</t>
  </si>
  <si>
    <t>‣ Para cada Counterparty Identifier é obtido o:
     MAX(ccae)</t>
  </si>
  <si>
    <t>‣ dd_field_id = "207"</t>
  </si>
  <si>
    <t>‣ Tradução do campo "csector_inst" através de uma ligação com o campo "dd_code" para obter o campo:
dd_value
‣ Para cada Counterparty Identifier é obtido o:
     MAX(dd_Value)</t>
  </si>
  <si>
    <t>csector_inst</t>
  </si>
  <si>
    <t>nace_code</t>
  </si>
  <si>
    <t>‣ Para cada Counterparty Identifier é obtido o:
     MAX(nace_code)</t>
  </si>
  <si>
    <t>ENTITY-ECNMC_ACTVTY</t>
  </si>
  <si>
    <t>‣ dd_field_id = "209"</t>
  </si>
  <si>
    <t>‣ Tradução do campo "lgl_prcdng_stts_le" através de uma ligação com o campo "dd_code" para obter o campo:
dd_value
‣ Para cada Counterparty Identifier é obtido o:
     MAX(dd_Value)</t>
  </si>
  <si>
    <t>ENTITY-LGL_PRCDNG_STTS_LE</t>
  </si>
  <si>
    <t>lgl_prcdng_stts_le</t>
  </si>
  <si>
    <t>dt_inttn_lgl_prcdngs_le</t>
  </si>
  <si>
    <t>‣ Para cada Counterparty Identifier é obtido o:
     MAX(dt_inttn_lgl_prcdngs_le)</t>
  </si>
  <si>
    <t>ENTITY-DT_INTTN_LGL_PRCDNGS_LE</t>
  </si>
  <si>
    <t>The classification of enterprises by size, in accordance with the Annex to Commission Recommendation 2003/361/EC.
Options:
‣ Large enterprise
‣ Medium enterprise
‣ Small enterprise
‣ Microenterprise</t>
  </si>
  <si>
    <t>‣ dd_field_id = "211"</t>
  </si>
  <si>
    <t>‣ Tradução do campo "entrprs_sz_le" através de uma ligação com o campo "dd_code" para obter o campo:
dd_value
‣ Para cada Counterparty Identifier é obtido o:
     MAX(dd_value)</t>
  </si>
  <si>
    <t>ENTITY-ENTRPRS_SZ_LE</t>
  </si>
  <si>
    <t>entrprs_sz_le</t>
  </si>
  <si>
    <t>The date to which the value provided in the “enterprise size” refers. This is the date of the latest data used to classify or review the classification of the enterprise.</t>
  </si>
  <si>
    <t>Number of employees working for the counterparty, in accordance with Article 5 of the Annex to Recommendation 2003/361/EC.</t>
  </si>
  <si>
    <t>cd_captools.ct021_rwa_cli</t>
  </si>
  <si>
    <t>num_empl</t>
  </si>
  <si>
    <t>‣ Para cada Counterparty Identifier é obtido o:
     MAX(num_empl)</t>
  </si>
  <si>
    <t>The carrying value of the counterparty’s total assets in accordance with Regulation (EU) No 549/2013.</t>
  </si>
  <si>
    <t>tot_acti</t>
  </si>
  <si>
    <t>‣ Para cada Counterparty Identifier é obtido o:
     MAX(tot_acti)</t>
  </si>
  <si>
    <t>annl_trnvr_le</t>
  </si>
  <si>
    <t>‣ Para cada Counterparty Identifier é obtido o:
     MAX(annl_trnvr_le)</t>
  </si>
  <si>
    <t>ENTITY-ANNL_TRNVR_LE</t>
  </si>
  <si>
    <t>‣ Forçado a "IFRS"</t>
  </si>
  <si>
    <t>ENTITY-ACCNTNG_FRMWRK_SL</t>
  </si>
  <si>
    <t>Not applicable: To be reported as "N/A". 
This information will be availabe in "03_04_off_instr_count" table</t>
  </si>
  <si>
    <t>The observed agent identifier is the counterparty identifier of the observed agent (i.e. an institutional unit of the reporting agent) whose data are reported by the reporting agent.</t>
  </si>
  <si>
    <t>An identifier applied by the reporting agent to uniquely identify each contract. The contract identifier refers to the credit agreement between two or more parties under which the instrument is created.</t>
  </si>
  <si>
    <t>Type of commitment or guarantee as per FINREP classification.
Options:
‣ Loan commitments given
‣ Financial guarantees given
‣ Other commitments given</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</si>
  <si>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</si>
  <si>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 Tradução do campo "segmento_corep_final" através de uma ligação com o campo "dd_code" para obter o campo:
dd_value</t>
  </si>
  <si>
    <t>‣ ref_date = data do report
‣ flag_cons_cap = 1
‣ exercicio = 'REAL</t>
  </si>
  <si>
    <t>Classification of the facility (exposure class) as defined in ITS 680/2014 Annex V Instructions FINREP (Counterparty breakdown).
Options:
‣ Central banks
‣ Central governments
‣ Credit institutions
‣ Other financial corporations
‣ Non-financial corporations
‣ Households</t>
  </si>
  <si>
    <t>‣ Inicialmente para cada combinação dos campos "cempresa", "cbalcao", "cnumecta", "zdeposit" iremos recuperar o MAX(carteira_contabilistica):
     ‣ Este campo MAX(contraparte_i) será traduzido através de uma ligação com o campo "dd_code" para obter o campo:
          dd_value</t>
  </si>
  <si>
    <t>Credit conversion factor as defined by the CRR.</t>
  </si>
  <si>
    <t>k2</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</si>
  <si>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"k2_final":
          ‣ a) Calculamos o campo auxiliar "ead_avg":
               Média do campo "ead_final_bruta" para cada par dos campos "s1emp", "contra1";
          ‣ b) Calculamos o campo auxiliar "k2_ponderado":
               ‣ Para cada par dos campos "s1emp", "contra1", iremos calcular a média ponderada do campo "k2" em relação ao campo "ead_final_bruta":
                    SUM(k2 * ead_final_bruta) / SUM(ead_final_bruta);
          ‣ c) Finalmente calculamos o campo auxiliar "k2_final" através de uma média ponderada do campo "k2_ponderado" em relação ao campo "ead_avg":
               SUM(k2_ponderado * ead_avg) / SUM(ead_avg);
‣ Finalmente para cada Counterparty Identifier calculamos a média ponderada do campo auxiliar "k2_final" em relação ao campo auxiliar "ead_final_bruta_grup":
     SUM(k2_final * ead_final_bruta_grup) / SUM(ead_final_bruta_grup)</t>
  </si>
  <si>
    <t>INSTRUMENT-CCF</t>
  </si>
  <si>
    <t>contr1</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</si>
  <si>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"lgdfinal_final":
          ‣ a) Calculamos o campo auxiliar "ead_avg":
               Média do campo "ead_final_bruta" para cada par dos campos "s1emp", "contra1";
          ‣ b) Calculamos o campo auxiliar "lgdfinal_ponderado":
               ‣ Para cada par dos campos "s1emp", "contra1", iremos calcular a média ponderada do campo "lgdfinal" em relação ao campo "ead_final_bruta":
                    SUM(lgdfinal * ead_final_bruta) / SUM(ead_final_bruta);
          ‣ c) Finalmente calculamos o campo auxiliar "lgdfinal_final" através de uma média ponderada do campo "lgdfinal_ponderado" em relação ao campo "ead_avg":
               SUM(lgdfinal_ponderado * ead_avg) / SUM(ead_avg);
‣ Finalmente para cada Counterparty Identifier calculamos a média ponderada do campo auxiliar "lgdfinal_final" em relação ao campo auxiliar "ead_final_bruta_grup":
     SUM(lgdfinal_final * ead_final_bruta_grup) / SUM(ead_final_bruta_grup)</t>
  </si>
  <si>
    <t>Total nominal amount of off-balance-sheet exposure under IFRS 9.</t>
  </si>
  <si>
    <t>A agrupação é feita segundo o campo "Instrument Identifier" e "Counterparty Identifier" deste mesmo documento</t>
  </si>
  <si>
    <t>verificar a agrupação com o miguel visto que vem de tabelas difetentes</t>
  </si>
  <si>
    <t>Expiry date.</t>
  </si>
  <si>
    <t>Identification of the default status of the instrument in accordance with Article 178 of Regulation (EU) No 575/2013.
Options:
‣ Not in default
‣ Default because unlikely to pay
(not more than 90/180 days
past due).
‣ Default because more than
90/180 days past due
‣ Default because both unlikely
to pay and more than 90/180
days past due.</t>
  </si>
  <si>
    <t>‣ Tradução do campo "dflt_stts_instrmnt" através de uma ligação com o campo "dd_code" para obter o campo:
dd_value</t>
  </si>
  <si>
    <t>The date on which the default status, as reported in the data attribute “default status of the instrument”, is considered to have occurred.</t>
  </si>
  <si>
    <t>Aggregated amount of the nominal, interest and any fee payment outstanding at the reporting date, which is contractually due and has not been paid (past due).</t>
  </si>
  <si>
    <t>No Script não está a ser chamado no final</t>
  </si>
  <si>
    <t>The date on which the instrument became past due in accordance with Part 2.96 of Annex V to the amended Implementing Regulation (EU) No 680/2014.</t>
  </si>
  <si>
    <t>CD_CAPTOOLS.ct004_univ_cto</t>
  </si>
  <si>
    <t>Outstanding nominal amount for which each debtor is liable in relation to a single instrument where there are two or more debtors.</t>
  </si>
  <si>
    <t>Not applicable: To be reported as "11111111111". 
This information will be availabe in "03_04_off_instr_count" table</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</si>
  <si>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</si>
  <si>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necessario ver o instrument id e o counterparty identifier</t>
  </si>
  <si>
    <t>This data attribute indicates the type of impairment to which the instrument is subject.
Options:
‣ Stage 1 (IFRS)
‣ Stage 2 (IFRS)
‣ Stage 3 (IFRS)
‣ General allowances (GAAP)
‣ Specific allowances (GAAP)</t>
  </si>
  <si>
    <t>‣ Tradução do campo "stage" através de uma ligação com o campo "dd_code" para obter o campo:
dd_value</t>
  </si>
  <si>
    <t>The method by which the impairment is assessed, if the instrument is subject to impairment in accordance with applied accounting standards.
Options:
‣ Individually assessed
‣ Collectively assessed</t>
  </si>
  <si>
    <t>‣ Tradução do campo "tipo_analise" através de uma ligação com o campo "dd_code" para obter o campo:
dd_value</t>
  </si>
  <si>
    <t>The instrument is to be classified on the reporting reference date, in accordance with Implementing Regulation (EU) No 680/2014.
Options:
‣ Non-performing
‣ Performing</t>
  </si>
  <si>
    <t>‣ Para cada combinação dos campos "cempresa", "cbalcao", "cnumecta", "zdeposit" iremos calcular "final_stage" máximo:
     MAX(final_stage);
‣ Se o campo "final_stage" máximo for 3:
     "Non-performing";
‣ Caso contrário:
     "Performing";</t>
  </si>
  <si>
    <t>The date on which the performing status as reported in “performing status of the instrument” is considered to have been established or changed.</t>
  </si>
  <si>
    <t>Identification of forborne and renegotiated instruments.</t>
  </si>
  <si>
    <t>‣ Tradução do campo "frbrnc_stts_instrmnt" através de uma ligação com o campo "dd_code" para obter o campo:
dd_value</t>
  </si>
  <si>
    <t>The date on which a forbearance or renegotiation status as reported under “status of forbearance and renegotiation” is considered to have occurred.</t>
  </si>
  <si>
    <t xml:space="preserve">cd_captools.fr003_colaterais </t>
  </si>
  <si>
    <t>Land area of the property in square meters.</t>
  </si>
  <si>
    <t>The highest ranking position(s) in relation to the collateral held by the counterparty to secure the facility. In case the facility has several liens on one collateral, the highest claim is reported in this data field.</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</si>
  <si>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</si>
  <si>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SRB Instrument/Counterparty mapping Data Set for exposures to legal persons</t>
  </si>
  <si>
    <t>SRB Instrument/Protection mapping Data Set for exposures to legal persons</t>
  </si>
  <si>
    <r>
      <rPr>
        <b/>
        <u/>
        <sz val="14"/>
        <color theme="1"/>
        <rFont val="Calibri"/>
        <family val="2"/>
        <scheme val="minor"/>
      </rPr>
      <t>SRB DATA SET FOR EXPOSURES TO NATURAL PERSONS</t>
    </r>
    <r>
      <rPr>
        <b/>
        <sz val="11"/>
        <color theme="1"/>
        <rFont val="Calibri"/>
        <family val="2"/>
        <scheme val="minor"/>
      </rPr>
      <t xml:space="preserve">
O seguinte data set abrange exposições a pessoas singulares, que, em muitos casos, representam o principal tipo de exposições nos balanços dos bancos (por exemplo, instituições de retalho ou instituições hipotecárias). Essas exposições podem incluir produtos de empréstimo, como hipotecas, empréstimos pessoais, cartões de crédito, etc.
As avaliações de carteiras de retalho são geralmente feitas com menos granularidade do que as avaliações de carteiras corporativas. No entanto, em circunstâncias específicas (por exemplo, elevadas taxas de incumprimento em carteiras hipotecárias), uma avaliação colectiva pode não ser suficiente e o avaliador pode basear-se numa abordagem mais granular para avaliar qualitativa e quantitativamente o nível de imparidade económica das exposições a pessoas singulares que normalmente seriam prejudicadas numa base colectiva ao abrigo da International Financial Reporting Standard (IFRS 9). Neste caso, o avaliador necessitaria de um conjunto de dados mais granular para realizar avaliações.
Para evitar qualquer duplicação de pontos de dados ou definições, o data set para exposições a pessoas singulares baseia-se nos pontos de dados e definições da AnaCredit para pessoas coletivas. No entanto, as instituições podem aproveitar as definições, os pontos de dados e os limites de reporte das normas ou legislação local, desde que essas definições e pontos de dados sejam, na opinião do IRT, equivalentes aos previstos para o AnaCredit.
Serão produzidos cinco ficheiros de report referentes a Natural Persons:
‣  SRB Instruments Data Set for exposures to natural persons (VDS_OUT_NATURALP_INSTRUMENTS);
‣  SRB Counterparties Data Set for exposures to natural persons (VDS_OUT_NATURALP_COUNTERPARTIES);
‣  SRB Protection received Data Set for exposures to natural persons (VDS_OUT_NATURALP_PROTECTIONS).</t>
    </r>
  </si>
  <si>
    <t>Instruments characteristics</t>
  </si>
  <si>
    <t>Interest rate information</t>
  </si>
  <si>
    <t>Instrument characteristics</t>
  </si>
  <si>
    <t>Financial information</t>
  </si>
  <si>
    <t>Financial information/Instrument characteristics</t>
  </si>
  <si>
    <t>Instrument charcteristics</t>
  </si>
  <si>
    <t>Forbearance information</t>
  </si>
  <si>
    <t>Default information</t>
  </si>
  <si>
    <t>Valuation</t>
  </si>
  <si>
    <t>Counterparty characteristics</t>
  </si>
  <si>
    <t>Identifier applied to uniquely identify each instrument. Each instrument must have one instrument identifier.</t>
  </si>
  <si>
    <t>The counterparty identifier of the reporting agent which reports the data.</t>
  </si>
  <si>
    <t>The counterparty identifier of the observed agent (i.e. an institutional unit of the reporting agent) whose data are reported by the reporting agent.</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</si>
  <si>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</si>
  <si>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Classification of the facility (exposure class) as defined in ITS 680/2014 Annex V Instructions FINREP (Counterparty breakdown).
Opções:
‣ Central banks
‣ Central
governments
‣ Credit institutions
‣ Other financial
corporations
‣ Non-financial
corporations
‣ Households</t>
  </si>
  <si>
    <t>Classification of the instrument according to the type of contractual terms agreed between the parties.
Opções:
‣ Overdraft
‣ Credit card debt
‣ Revolving credit other than
overdrafts and credit card debt
‣ Credit lines other than
revolving credit
‣ Financial lease
‣ Loan
‣ Other</t>
  </si>
  <si>
    <t>Type of amortisation of the instrument including principal and interest at the reporting reference date.
Opções:
‣ French
‣ German
‣ Fixed amortisation schedule
‣ Bullet
‣ Other</t>
  </si>
  <si>
    <t>Currency denomination of instruments, in accordance with the ISO 4217 standard.</t>
  </si>
  <si>
    <t>The date on which the contractual relationship originated, i.e. the date on which the contract agreement becomes binding for all parties.</t>
  </si>
  <si>
    <t>The date on which the interest-only period ends.</t>
  </si>
  <si>
    <t>The maximum interest rate per annum that can be charged on the outstanding nominal amount (or parts thereof).</t>
  </si>
  <si>
    <t>The minimum interest rate per annum that can be charged on the outstanding nominal amount (or parts thereof).</t>
  </si>
  <si>
    <t>Frequency at which the interest rate is reset after the initial fixed-rate period, if any.
Opções:
‣ Overnight
‣ Monthly/quarterly/semiannual/
annual
‣ At creditor discretion
‣ Other frequency</t>
  </si>
  <si>
    <t>Margin or spread to add to the reference rate that is used for the calculation of the interest rate in basis points. This applies to interest rates charged for variable interest loans.</t>
  </si>
  <si>
    <t>Classification of credit exposures based on the base rate for establishing the interest rate for each payment period.
Opções:
‣ Fixed
‣ Variable
‣ Mixed</t>
  </si>
  <si>
    <t>The contractual maturity date of the instrument, taking into account any agreements amending initial contracts.</t>
  </si>
  <si>
    <t>Reference rate used for the calculation of the actual interest rate. The reference rate code is a combination of the reference rate value and maturity value.
Opções:
‣ EURIBOR
‣ USD LIBOR
‣ GBP LIBOR
‣ EUR LIBOR
‣ JPY LIBOR
‣ CHF LIBOR
‣ MIBOR
‣ OTHER SINGLE REFERENCE RATES
‣ OTHER MULTIPLE REFERENCE RATES</t>
  </si>
  <si>
    <t>The date on which the conditions specified in the contract are or can be executed for the first time, i.e. the date on which financial instruments are initially exchanged or created.</t>
  </si>
  <si>
    <t>Annualised agreed rate or narrowly defined interest rate in accordance with Part 1 of Annex I to Regulation (EU) No 1072/2013 of the European Central Bank (ECB/2013/34)</t>
  </si>
  <si>
    <t>The date when the next interest rate reset, as defined in Part 3 of Annex I to Regulation (EU) No 1071/2013 (ECB/2013/33), takes place.</t>
  </si>
  <si>
    <t>Identification of the default status of the instrument in accordance with Article 178 of Regulation (EU) No 575/2013.
Opções:
‣ Not in default
‣ Default because unlikely to pay (not more than 90/180 days past due)
‣ Default because more than 90/180 days past due
‣ Default because both unlikely to pay and more than 90/180 days past due.</t>
  </si>
  <si>
    <t>Transferred amount of the economic ownership of the financial asset to third parties. This data attribute captures the part of the outstanding nominal amount that has been transferred to another creditor.</t>
  </si>
  <si>
    <t>Aggregated amount of the principal, interest and any fee payment outstanding at the reporting date, which is contractually due and has not been paid (past due).</t>
  </si>
  <si>
    <t>Captures the type of securitisation, if any, to which the instrument has been subject, in accordance with Article 242(10), (11), 243 and 244 of Regulation (EU) No 575/2013.
Opções:
‣ Traditional securitisation
‣ Synthetic securitisation
‣ Not securitised</t>
  </si>
  <si>
    <t>Principal amount outstanding at the end of the reporting reference date, including unpaid past due interest but excluding accrued interest, net of write-offs and write-downs as determined by the relevant accounting practices.</t>
  </si>
  <si>
    <t>The amount of accrued interest on loans at the reporting reference date as defined in Regulation (EU) No 1071/2013 (ECB/2013/33).</t>
  </si>
  <si>
    <t>Total nominal amount of off-balance-sheet exposures.</t>
  </si>
  <si>
    <t>Accounting portfolio where the instrument is recorded in accordance with the accounting standard – IFRS or national GAAP – under Regulation (EU) 2015/534 (ECB/2015/13) applied by the observed agent’s legal entity.
Opções:</t>
  </si>
  <si>
    <t>Cumulative amount of principal and past due interest of any debt instrument that the institution is no longer recognising because they are considered uncollectible, independently of the portfolio in which they were included.</t>
  </si>
  <si>
    <t>This data attribute indicates the type of impairment to which the instrument is subject.
Opções:
‣ Stage 1 (IFRS)
‣ Stage 2 (IFRS)
‣ Stage 3 (IFRS)
‣ General allowances (GAAP)
‣ Specific allowances (GAAP)</t>
  </si>
  <si>
    <t>The method by which the impairment is assessed, if the instrument is subject to impairment in accordance with applied accounting standards.
Opções: 
‣ Individually assessed
‣ Collectively assessed</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</si>
  <si>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</si>
  <si>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This data attribute provides information on the amount of provisions (if any) associated with off-balance-sheet amounts (of instruments for which there is an off-balance-sheet amount) that can be converted to assets in the balance sheet.</t>
  </si>
  <si>
    <t>The total amount recovered since the date of default received in relation to a defaulted instrument during the latest default period and only during that period.</t>
  </si>
  <si>
    <t>The carrying amount in accordance with Annex V to Implementing Regulation (EU) No 680/2014.</t>
  </si>
  <si>
    <t>Classification of exposures in the trading book as defined in Article 4(1)(86) of Regulation (EU) No 575/2013.
Opções:
‣ Trading book
‣ Non- trading book</t>
  </si>
  <si>
    <t>Accumulated changes in fair value due to credit risk in accordance with Part 2.46 of Annex V to Implementing Regulation (EU) No 680/2014.</t>
  </si>
  <si>
    <t>The probability of default/impairment is calculated in accordance with the requirements specific to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</si>
  <si>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t>
  </si>
  <si>
    <t>The roles that counterparties assume in relation to an instrument recorded in the instrument dataset are recorded in the counterparty-instrument dataset.
Opções:
‣ Creditor
‣ Debtor
‣ Servicer
‣ Originator</t>
  </si>
  <si>
    <t>The date on which the default status, as reported in the data attribute “Default status of the counterparty”, is considered to have arisen.</t>
  </si>
  <si>
    <t>Protection characteristics</t>
  </si>
  <si>
    <t>SRB Instrument/Counterparty mapping Data Set for exposures to natural persons</t>
  </si>
  <si>
    <r>
      <rPr>
        <b/>
        <u/>
        <sz val="14"/>
        <color theme="1"/>
        <rFont val="Calibri"/>
        <family val="2"/>
        <scheme val="minor"/>
      </rPr>
      <t>SRB DATA SET FOR EXPOSURES TO LEGAL PERSONS</t>
    </r>
    <r>
      <rPr>
        <b/>
        <sz val="11"/>
        <color theme="1"/>
        <rFont val="Calibri"/>
        <family val="2"/>
        <scheme val="minor"/>
      </rPr>
      <t xml:space="preserve">
The AnaCredit database provides very detailed and individual information concerning exposures to legal persons. The SRB Valuation Data Set complements the AnaCredit database and provides data fields on segments, which allows mapping individual exposures with prudential reporting segments (FINREP and COREP), and credit risk data parameters aimed at supporting valuers. The SRB Valuation Data Set also provides data fields on risk parameters provided by banks’ internal risk models, which valuers are able to rely on in order to perform valuations on an aggregated basis, where necessary.
Serão produzidos cinco ficheiros de report referentes a Legal Persons:
‣  SRB Instruments Data Set for exposures to legal persons (LEGALP_INSTRUMENTS);
‣  SRB Counterparties Data Set for exposures to legal persons (LEGALP_COUNTERPARTIES);
‣  SRB Protection received Data Set for exposures to legal persons (LEGALP_PROTECTIONS);
‣  SRB Instrument/Counterparty mapping Data Set for exposures to legal persons (LEGALP_INSTRUMENT_COUNTERPARTY);
‣  SRB Instrument/Protection mapping Data Set for exposures to legal persons (LEGALP_INSTRUMENT_PROTECTION);</t>
    </r>
  </si>
  <si>
    <r>
      <rPr>
        <b/>
        <u/>
        <sz val="14"/>
        <color theme="1"/>
        <rFont val="Calibri"/>
        <family val="2"/>
        <scheme val="minor"/>
      </rPr>
      <t>SRB DATA SET FOR EXPOSURES TO NATURAL PERSONS</t>
    </r>
    <r>
      <rPr>
        <b/>
        <sz val="11"/>
        <color theme="1"/>
        <rFont val="Calibri"/>
        <family val="2"/>
        <scheme val="minor"/>
      </rPr>
      <t xml:space="preserve">
The following data set covers exposures to natural persons, which, in many cases, represent the main type of exposures on banks’ balance sheets (e.g. retail institutions or mortgage institutions). Such exposures might comprise lending products such as mortgages, consumer loans, credit cards, etc.
Valuations of retail portfolios are usually made with lesser granularity than valuations of corporate portfolios. However, in specific circumstances (e.g. high default rates in mortgage portfolios) a collective assessment might not suffice and the valuer might rely on a more granular approach for qualitatively and quantitatively assessing the level of economic impairment of exposures to natural persons that would typically be impaired on a collective basis under International Financial Reporting Standard (IFRS 9). In this case, the valuer would require a more granular data set to perform valuations.
To avoid any duplication of data points or definitions, the data set for exposures to natural persons is based on the AnaCredit data points and definitions for legal persons. However, institutions can leverage on the definitions, data points and reporting thresholds of local standards or legislation, provided those definitions and data points are, in the IRT’s view, equivalent to those envisaged for AnaCredit.
Serão produzidos cinco ficheiros de report referentes a Natural Persons:
‣  SRB Instruments Data Set for exposures to natural persons (NATURALP_INSTRUMENTS);
‣  SRB Counterparties Data Set for exposures to natural persons (NATURALP_COUNTERPARTIES);
‣  SRB Protection received Data Set for exposures to natural persons (NATURALP_PROTECTIONS);
‣  SRB Instrument/Counterparty mapping Data Set for exposures to natural persons (NATURALP_INSTRUMENT_COUNTERPARTY);
‣  SRB Instrument/Protection mapping Data Set for exposures to natural persons (NATURALP_INSTRUMENT_PROTECTION);</t>
    </r>
  </si>
  <si>
    <t xml:space="preserve">‣ Para cada "Counterparty Identifier" e "Instrument Identifier" é calculado a soma do campo mon_extraptri </t>
  </si>
  <si>
    <t>‣ Para cada Counterparty Identifier e Instrument Identifier é obtido os seguintes campos:
     SUM(mon_imparid_patri)
     SUM(mon_imparidade_extra)
     ‣ Após o calculo dos campos anteriores, calcula-se o seguinte:
          SUM(mon_imparid_patri + mon_imparidade_extra)</t>
  </si>
  <si>
    <t>c</t>
  </si>
  <si>
    <t>Location information</t>
  </si>
  <si>
    <t>INSTR_ENTITY-JNT_LBLTY_AMNT</t>
  </si>
  <si>
    <t>INSTR_PROTECTION-INSTRMNT_ID</t>
  </si>
  <si>
    <t>INSTR_PROTECTION-PRTCTN_ID</t>
  </si>
  <si>
    <t>INSTR_ENTITY-INSTRMNT_ID</t>
  </si>
  <si>
    <t>INSTR_ENTITY-ENTTY_ID</t>
  </si>
  <si>
    <t>INSTR_PROTECTION-PRTCTN_ALLCTD_VL</t>
  </si>
  <si>
    <t>INSTR_PROTECTION-THRD_PRTY_PRRTY_CLMS</t>
  </si>
  <si>
    <t>Parties to the financial contract</t>
  </si>
  <si>
    <t>Specific information</t>
  </si>
  <si>
    <t>Collateral information</t>
  </si>
  <si>
    <t>Specific information derivatives</t>
  </si>
  <si>
    <t>Specific information: interest rate derivatives</t>
  </si>
  <si>
    <t>Specific information: credit derivatives</t>
  </si>
  <si>
    <t>Details on the transaction</t>
  </si>
  <si>
    <t>Accounting information</t>
  </si>
  <si>
    <t>Financial contract type</t>
  </si>
  <si>
    <t>Issuer identification</t>
  </si>
  <si>
    <t>Issuer data</t>
  </si>
  <si>
    <t>Security characteristics</t>
  </si>
  <si>
    <t>Use of security</t>
  </si>
  <si>
    <r>
      <rPr>
        <b/>
        <u/>
        <sz val="14"/>
        <color theme="1"/>
        <rFont val="Calibri"/>
        <family val="2"/>
        <scheme val="minor"/>
      </rPr>
      <t>SRB FINANCIAL ASSETS – DEBT SECURITIES DATA SET</t>
    </r>
    <r>
      <rPr>
        <b/>
        <sz val="11"/>
        <color theme="1"/>
        <rFont val="Calibri"/>
        <family val="2"/>
        <scheme val="minor"/>
      </rPr>
      <t xml:space="preserve">
The SRB Valuation Data Set for debt securities covers data on exposures to financial assets in the form of debt securities and any security purchased with an agreement to resell it at a later stage, including reverse repurchase agreements and collateral swaps. The data set combines data from the Regulation (EU) No 1011/2012 of the European Central Bank concerning statistics on holdings of securities (SHS Regulation) and additional data points, which may serve different purposes in addition to valuation, e.g. monitor the counterbalancing capacity of the institution in resolution, liquidity risks assessments, etc.
Será produzido o ficheiro:
‣  SRB FINANCIAL ASSETS – DEBT SECURITIES DATA SET (DEBT_SECURITIES);
</t>
    </r>
  </si>
  <si>
    <r>
      <rPr>
        <b/>
        <u/>
        <sz val="14"/>
        <color theme="1"/>
        <rFont val="Calibri"/>
        <family val="2"/>
        <scheme val="minor"/>
      </rPr>
      <t>SRB FINANCIAL ASSETS – EQUITY INSTRUMENTS DATA SET</t>
    </r>
    <r>
      <rPr>
        <b/>
        <sz val="11"/>
        <color theme="1"/>
        <rFont val="Calibri"/>
        <family val="2"/>
        <scheme val="minor"/>
      </rPr>
      <t xml:space="preserve">
The SRB Valuation Data Set for equity instruments covers data on participations in equity instruments issued by affiliates, subsidiaries or by other entities or corporations in which the reporting entity does not have a significant influence on its decisions. It combines data fields from the SHS Regulation and additional data points suitable for conducting valuations.
Será produzido o ficheiro:
‣  SRB FINANCIAL ASSETS – EQUITY INSTRUMENTS DATA SET (EQUITY_INSTRUMENTS);
</t>
    </r>
  </si>
  <si>
    <t>Issuer characteristics</t>
  </si>
  <si>
    <t>V_98</t>
  </si>
  <si>
    <t>V_99</t>
  </si>
  <si>
    <t>V_100</t>
  </si>
  <si>
    <t>V_101</t>
  </si>
  <si>
    <t>V_102</t>
  </si>
  <si>
    <t>V_103</t>
  </si>
  <si>
    <t>V_104</t>
  </si>
  <si>
    <t>V_105</t>
  </si>
  <si>
    <t>V_106</t>
  </si>
  <si>
    <t>V_107</t>
  </si>
  <si>
    <t>V_108</t>
  </si>
  <si>
    <t>V_109</t>
  </si>
  <si>
    <t>V_110</t>
  </si>
  <si>
    <t>V_111</t>
  </si>
  <si>
    <t>V_112</t>
  </si>
  <si>
    <t>V_113</t>
  </si>
  <si>
    <t>V_114</t>
  </si>
  <si>
    <t>DTA</t>
  </si>
  <si>
    <t>Origin</t>
  </si>
  <si>
    <t>Conditions</t>
  </si>
  <si>
    <t>Expiry date of DTA</t>
  </si>
  <si>
    <t>Tax group</t>
  </si>
  <si>
    <t>Jurisdiction</t>
  </si>
  <si>
    <t>Tax rate</t>
  </si>
  <si>
    <t>Profit of relevant tax group</t>
  </si>
  <si>
    <r>
      <rPr>
        <b/>
        <u/>
        <sz val="14"/>
        <color theme="1"/>
        <rFont val="Calibri"/>
        <family val="2"/>
        <scheme val="minor"/>
      </rPr>
      <t>SRB DATA SET FOR DEFERRED TAX ASSETS/CREDIT</t>
    </r>
    <r>
      <rPr>
        <b/>
        <sz val="11"/>
        <color theme="1"/>
        <rFont val="Calibri"/>
        <family val="2"/>
        <scheme val="minor"/>
      </rPr>
      <t xml:space="preserve">
An entity in resolution may have accumulated deferred tax assets and credit as a result of past losses. Therefore, institutions with material amounts of deferred tax assets or deferred tax credit should keep records of detailed information, as defined in the list below.
Será produzido o ficheiro:
‣  SRB DATA SET FOR DEFERRED TAX ASSETS/CREDIT ( DTA DTC );
</t>
    </r>
  </si>
  <si>
    <t>Existence of a cap on DTA/DTC recognition</t>
  </si>
  <si>
    <t>DTA/DTC due to losses</t>
  </si>
  <si>
    <t>DTA/DTC due to temporary differences</t>
  </si>
  <si>
    <t>DTA/DTC conditional on future profitability</t>
  </si>
  <si>
    <t>DTA/DTC not conditional on future profitability</t>
  </si>
  <si>
    <t>DTA/DTC subject to other conditions</t>
  </si>
  <si>
    <t>DTA/DTC expiring within a year</t>
  </si>
  <si>
    <t>DTA/DTC without an expiry date</t>
  </si>
  <si>
    <t>DTA/DTC expiring within one to two years</t>
  </si>
  <si>
    <t>DTA/DTC expiring within two to three years</t>
  </si>
  <si>
    <t>DTA/DTC expiring within three to four years</t>
  </si>
  <si>
    <t>DTA/DTC expiring within four to five years</t>
  </si>
  <si>
    <t>DTA/DTC expiring in more than five years</t>
  </si>
  <si>
    <t>Group or tax group where the DTA/DTC is recognised.</t>
  </si>
  <si>
    <t>The tax jurisdiction in which the DTA/DTC is recognised.</t>
  </si>
  <si>
    <t>Current relevant tax rate.</t>
  </si>
  <si>
    <t>Profit of relevant tax group as per last account reported.</t>
  </si>
  <si>
    <t>Is tax group subject to a cap or limit (established in tax regulations) on the total value of DTA/DTC that it can recognise?
Opções:
‣ Yes (1)
‣ No (2)</t>
  </si>
  <si>
    <t>Value of recognised DTA/DTC due to losses.</t>
  </si>
  <si>
    <t>Value of recognised DTA/DTC due to temporary differences.</t>
  </si>
  <si>
    <t>Value of recognised DTA/DTC without conditionality on future profitability of the tax group.</t>
  </si>
  <si>
    <t>Value of recognised DTA/DTC with a conditionality on future profitability of the tax group.</t>
  </si>
  <si>
    <t>Value of recognised DTA/DTC subject to conditions other than future profitability of the tax group.</t>
  </si>
  <si>
    <t>Value of recognised DTA/DTC without an expiry date.</t>
  </si>
  <si>
    <t>Value of recognised DTA/DTC with an expiry date of less than 1 year.</t>
  </si>
  <si>
    <t>Value of recognised DTA/DTC with an expiry date of more than 1 but less than 2 years.</t>
  </si>
  <si>
    <t>Value of recognised DTA/DTC with an expiry date of more than 2 but less than 3 years.</t>
  </si>
  <si>
    <t>Value of recognised DTA/DTC with an expiry date of more than 3 but less than 4 years.</t>
  </si>
  <si>
    <t>Value of recognised DTA/DTC with an expiry date of more than 4 but less than 5 years.</t>
  </si>
  <si>
    <t>Value of recognised DTA/DTC with an expiry date of more than 5 years.</t>
  </si>
  <si>
    <t>SRB DATA SET FOR DEFERRED TAX ASSETS/CREDIT</t>
  </si>
  <si>
    <r>
      <rPr>
        <b/>
        <u/>
        <sz val="14"/>
        <color theme="1"/>
        <rFont val="Calibri"/>
        <family val="2"/>
        <scheme val="minor"/>
      </rPr>
      <t>SRB DATA SET FOR INTANGIBLE ASSETS</t>
    </r>
    <r>
      <rPr>
        <b/>
        <sz val="11"/>
        <color theme="1"/>
        <rFont val="Calibri"/>
        <family val="2"/>
        <scheme val="minor"/>
      </rPr>
      <t xml:space="preserve">
The data set below lists the data items to cover intangible assets. The SRB Valuation Data Set for intangible assets should be applicable for each individual credit institution based on the size of intangible assets in its balance sheet. It is important to note that intangibles (e.g. goodwill) usually arise in acquisition. Therefore, for certain types of intangibles, the consolidated view may be relevant.
Será produzido o ficheiro:
‣  SRB DATA SET FOR INTANGIBLE ASSETS ( INTANGIBLE ASSETS );
</t>
    </r>
  </si>
  <si>
    <t>V_115</t>
  </si>
  <si>
    <t>V_116</t>
  </si>
  <si>
    <t>V_117</t>
  </si>
  <si>
    <t>V_118</t>
  </si>
  <si>
    <t>V_119</t>
  </si>
  <si>
    <t>V_120</t>
  </si>
  <si>
    <t>V_121</t>
  </si>
  <si>
    <t>V_122</t>
  </si>
  <si>
    <t>V_123</t>
  </si>
  <si>
    <t>V_125</t>
  </si>
  <si>
    <t>V_126</t>
  </si>
  <si>
    <t>V_127</t>
  </si>
  <si>
    <t>Asset characteristics</t>
  </si>
  <si>
    <t>Valuation information</t>
  </si>
  <si>
    <t>Asset identifier ID</t>
  </si>
  <si>
    <t>Intangible asset class</t>
  </si>
  <si>
    <t>Acquisition/capitalisation date</t>
  </si>
  <si>
    <t>Initial fair value</t>
  </si>
  <si>
    <t>Cumulative amortisation</t>
  </si>
  <si>
    <t>Impairment amount</t>
  </si>
  <si>
    <t>Current carrying amount</t>
  </si>
  <si>
    <t>Original accounting life</t>
  </si>
  <si>
    <t>Remaining economic life</t>
  </si>
  <si>
    <t>Approach to determining carrying amount</t>
  </si>
  <si>
    <t>Internal/External Latest Valuation</t>
  </si>
  <si>
    <t>Unique identifier for the asset.</t>
  </si>
  <si>
    <t>Date on which the asset was originally acquired/capitalised.</t>
  </si>
  <si>
    <t>Options: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t>
  </si>
  <si>
    <t>Fair value estimated on acquisition / capitalisation date.</t>
  </si>
  <si>
    <t>Cumulative amortisation since acquisition/capitalisation date, where the asset is amortised.</t>
  </si>
  <si>
    <t>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paragraphs 11, 69, 71 and 110 of Part 2 of Annex V to Council Implementing Regulation (EU) No 680/2014 (FINREP).</t>
  </si>
  <si>
    <t>The carrying amount of the asset as of the cut-off date.</t>
  </si>
  <si>
    <t>The accounting life used for amortisation purposes (as of the acquisition date).</t>
  </si>
  <si>
    <t>The remaining useful economic life (until the asset is considered economically obsolete).</t>
  </si>
  <si>
    <t>Not applicable: To be reported as "N/A". This information will be availabe in "01_04_leg_instr_count" table</t>
  </si>
  <si>
    <r>
      <rPr>
        <b/>
        <u/>
        <sz val="14"/>
        <color theme="1"/>
        <rFont val="Calibri"/>
        <family val="2"/>
        <scheme val="minor"/>
      </rPr>
      <t>SRB OFF-BALANCE SHEET EXPOSURES DATA SETS</t>
    </r>
    <r>
      <rPr>
        <b/>
        <sz val="11"/>
        <color theme="1"/>
        <rFont val="Calibri"/>
        <family val="2"/>
        <scheme val="minor"/>
      </rPr>
      <t xml:space="preserve">
Off-balance sheet exposures do not fall under the scope of the AnaCredit reporting requirements. The SRB Valuation Data Sets for off-balance sheet exposures introduces adhoc data points for these exposures and combine data from difference sources: existing SRB Data Sets for exposures to legal persons and the AnaCredit database. Additionally a set of ad hoc data points covers basic features of off-balance sheet exposures. Off-balance sheet exposures shall include the off-balance sheet items as listed in Annex I of CRR. This data set does not include data on credit derivatives, which are covered by the SRB Valuation Data Set on derivatives.
Serão produzidos cinco ficheiros de report referentes a Off-Balance Sheet Exposures:
‣  SRB Instruments Data Set for off-balance sheet exposures (OFFBAL_INSTRUMENTS);
‣  SRB Counterparties Data Set for off-balance sheet exposure (OFFBAL_COUNTERPARTIES);
‣  SRB Protection received Data Set for off-balance sheet exposures (OFFBAL_PROTECTIONS);
‣  SRB Instrument/Counterparty mapping Data Set for off-balance sheet exposures (OFFBAL_INSTRUMENT_COUNTERPARTY);
‣  SRB Instrument/Protection mapping Data Set for off-balance sheet exposures (OFFBAL_INSTRUMENT_PROTECTION);</t>
    </r>
  </si>
  <si>
    <t>The highest ranking position(s) in relation to the collateral held by the counterparty to secure the facility. If the facility has several liens on one collateral, the highest claim is reported in this data field.</t>
  </si>
  <si>
    <t>Numeric / alphanumeric</t>
  </si>
  <si>
    <t>Observed agent’s maximum exposure to credit risk on the inception date of the instrument, without taking into account any protection held or other credit enhancements.</t>
  </si>
  <si>
    <t>Balance sheet recognition of the financial asset. This data attribute classifies the reported instruments pursuant to their balance sheet recognition in accordance with Annex III and Template 15 in Annex IV to the ITS.
Opções:
‣ Entirely recognised
‣ Recognised to the extent of the institution’s continuing involvement
‣ Entirely derecognised</t>
  </si>
  <si>
    <t>Identification of forborne and renegotiated instruments.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</si>
  <si>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Additional Guidance (LT)</t>
  </si>
  <si>
    <t>Descrição (LT)</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</si>
  <si>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</si>
  <si>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</si>
  <si>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Entity code of the informing society.</t>
  </si>
  <si>
    <t>Cargabal code or internal identifier of the informing society.</t>
  </si>
  <si>
    <t>Counterparty identifier for the observed agent. If there are several observed agents to be reported please separate by comma (,).</t>
  </si>
  <si>
    <t>Contract ID</t>
  </si>
  <si>
    <t>An identifier applied by the reporting agent to uniquely identify each contract. Each contract must have one contract identifier. This value will not change over time and cannot be used as the contract identifier for any other contract.</t>
  </si>
  <si>
    <t>Regulatory LGD</t>
  </si>
  <si>
    <t>If differences between regulatory and internal LGD exist, use regulatory LGD (according to Regulation (EU) No 575/2013). In particular, in IRB-F use regulatory LGD values.</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</si>
  <si>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</si>
  <si>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</si>
  <si>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Classification of the instrument according to the type of contractual terms agreed between the parties.</t>
  </si>
  <si>
    <t>Type of amortisation</t>
  </si>
  <si>
    <t>Type of amortisation of the instrument including principal and interest.</t>
  </si>
  <si>
    <t>Currency denomination</t>
  </si>
  <si>
    <t>Date of inception</t>
  </si>
  <si>
    <t>The date on which the contractual relationship originated, i.e. the date on which the contract agreement becomes binding for all parties</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</si>
  <si>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</si>
  <si>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</si>
  <si>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Frequency at which the interest rate is reset after the initial fixed-rate period, if any.</t>
  </si>
  <si>
    <t>Type of interest rate</t>
  </si>
  <si>
    <t>Classification of credit exposures based on the base rate for establishing the interest rate for each payment period.</t>
  </si>
  <si>
    <t>Legal final maturity date (latest repayment date)</t>
  </si>
  <si>
    <t>The contractual maturity date of the instrument, taking into account any agreements amending initial contracts. As for retail revolving credit facilities this attribute is to be reported "not applicable".</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</si>
  <si>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</si>
  <si>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Frequency of payments due, either of principal or interest, i.e. number of months between payments.</t>
  </si>
  <si>
    <t>Interest rate at the reference date</t>
  </si>
  <si>
    <t>Annualised agreed rate or narrowly defined interest rate at reference date in accordance with Regulation (EU) No 1072/2013 of the European Central Bank (ECB/2013/34).</t>
  </si>
  <si>
    <t>Identification of the default status of the instrument. Categories describing the situations in which an instrument can be described as being at default in accordance with Article 178 of Regulation (EU) No 575/2013.</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</si>
  <si>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</si>
  <si>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</si>
  <si>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Total exposure in arrears</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</si>
  <si>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</si>
  <si>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</si>
  <si>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</si>
  <si>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</si>
  <si>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</si>
  <si>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</si>
  <si>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</si>
  <si>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</si>
  <si>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Accounting portfolio</t>
  </si>
  <si>
    <t>Accounting portfolio where the instrument is recorded in accordance with the accounting standard – IFRS or national GAAP – under Regulation (EU) 2015/534 (ECB/2015/13) applied by the observed agent’s legal entity.</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</si>
  <si>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</si>
  <si>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</si>
  <si>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</si>
  <si>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GAAP, the accumulated impairment relates to the following amounts:
(i) loss allowance at an amount equal to general allowances;
(ii) loss allowance at an amount equal to specific allowances.</t>
  </si>
  <si>
    <t>Impairment status</t>
  </si>
  <si>
    <t>Type of impairment.</t>
  </si>
  <si>
    <t>The method by which the impairment is assessed, if the instrument is subject to impairment in accordance with applied accounting standards. Collective and individual methods are distinguished.</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</si>
  <si>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</si>
  <si>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</si>
  <si>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</si>
  <si>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</si>
  <si>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</si>
  <si>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</si>
  <si>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Forbearance status</t>
  </si>
  <si>
    <t>Date of forbearance status</t>
  </si>
  <si>
    <t>Date of forbearance status. If the instrument has never been subject to forbearance measure then this date would be equal to the inception date.</t>
  </si>
  <si>
    <t>The total amount recovered since the date of default.</t>
  </si>
  <si>
    <t>Net carrying amount including accrued interest as laid down in Annex 5 Regulation 680/2014.</t>
  </si>
  <si>
    <t>Este campo é Not Applicable, reportar:
11111111111</t>
  </si>
  <si>
    <t>INSTRUMENT-DT_INCPTN
Devido ao facto do DT_INCPTN ser usado em 2 campos do CSV (Inception date e Settlement date) terá de se ver com Mónica se isto é possível. Em caso negativo terá de se alterar o processo para permitir.</t>
  </si>
  <si>
    <t>Estado especificação</t>
  </si>
  <si>
    <t>Concluido</t>
  </si>
  <si>
    <t>Mapeamento com LT fechado, mas parametrização pendente</t>
  </si>
  <si>
    <t>‣ Não encontramos no LT -&gt; Confirmar com Nádia Ahmad e Dora Roxo; 
Segundo LCM, terá de se adicionar um campo novo a constar na al029_cnt_core_m</t>
  </si>
  <si>
    <t>‣ Não encontramos no LT -&gt; Confirmar com Nádia Ahmad e Dora Roxo; 
‣ Se não existir no LT, consumir o campo "cod_tipo_taxa_ref_act" da tabela al029_cnt_core_m;
‣ Segundo Pedro Mendes LIBOR foram todas descontinuadas, é necessário definir um novo mapeamento (questionar corporação).</t>
  </si>
  <si>
    <t>Novo campo, mapeamento datalake fechado, com necessidade de criar parametrização</t>
  </si>
  <si>
    <t>Novo campo, mapeamento datalake fechado, sem necessidade de criar parametrização</t>
  </si>
  <si>
    <t>Novo campo, mapeamento datalake pendente, com necessidade de criar parametrização</t>
  </si>
  <si>
    <t>Novo campo, mapeamento datalake pendente, sem necessidade de criar parametrização</t>
  </si>
  <si>
    <t>Por iniciar</t>
  </si>
  <si>
    <t>Estados possiveis</t>
  </si>
  <si>
    <t>Type</t>
  </si>
  <si>
    <t>Credit conversion factor (CCF) according to CRR</t>
  </si>
  <si>
    <t>Credit conversion factor according to regulation (EU) No 575/2013.</t>
  </si>
  <si>
    <t>The amount of loss allowances that are held against or are allocated to the instrument on the reporting reference date. This data attribute applies to instruments subject to impairment under the applied accounting standard.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</si>
  <si>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</si>
  <si>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</si>
  <si>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Internal rating at reference date</t>
  </si>
  <si>
    <t>Internal rating at the reference date according to Regulation (EU) No 575/2013.
Please also add in sheet "Code List" the list of values used, i.e. bank-internal masterscale.</t>
  </si>
  <si>
    <t>External rating</t>
  </si>
  <si>
    <t>External rating at the reference date.</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</si>
  <si>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</si>
  <si>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</si>
  <si>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INSTRUMENT-INTRNL_SGMNT
Segundo LCM cada contrato tem apenas 1 segmento FINREP</t>
  </si>
  <si>
    <t>INSTRUMENT-RWA</t>
  </si>
  <si>
    <t>Frequency of payments due, either of principal or interest, i.e. number of months between payments at the reporting reference date.
Opções:
‣ Monthly/quarterly/semiannual/annual
‣ Bullet
‣ Zero coupon
‣ Other</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</si>
  <si>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</si>
  <si>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</si>
  <si>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Protection type</t>
  </si>
  <si>
    <t>Type of protection received, irrespective of its eligibility for credit risk mitigation.</t>
  </si>
  <si>
    <t>Post code / ZIP</t>
  </si>
  <si>
    <t>Post code / ZIP.</t>
  </si>
  <si>
    <t>The instrument is to be classified on the reporting reference date, in accordance with Implementing Regulation (EU) No 680/2014.
Opções:
‣ Non-performing
‣ Performing</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</si>
  <si>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</si>
  <si>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</si>
  <si>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</si>
  <si>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</si>
  <si>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</si>
  <si>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Legal entity identifier Counterparty</t>
  </si>
  <si>
    <t>Legal entity identifier counterparty.</t>
  </si>
  <si>
    <t>Fiscal ID</t>
  </si>
  <si>
    <t>Fiscal ID (CIF, NIF, Tax number, etc).</t>
  </si>
  <si>
    <t>Name Counterparty</t>
  </si>
  <si>
    <t>Country of counterparty residence</t>
  </si>
  <si>
    <t>Country of counterparty residence.</t>
  </si>
  <si>
    <t>Economic activity counterparty</t>
  </si>
  <si>
    <t>The level four NACE code in accordance with Regulation (EC) No 1893/2006 is generally reported. If the level four NACE code is not available it may be allowed to report a level three or level two NACE code.</t>
  </si>
  <si>
    <t>Legal proceedings status Counterparty (LE)</t>
  </si>
  <si>
    <t>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</si>
  <si>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</si>
  <si>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</si>
  <si>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</si>
  <si>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</si>
  <si>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</si>
  <si>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</si>
  <si>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Accounting standard counterparty</t>
  </si>
  <si>
    <t>Accounting standard counterparty.</t>
  </si>
  <si>
    <t>Protection Provider ID (Guarantor)</t>
  </si>
  <si>
    <t>Counterparty identifier for the protection provider. If the protection provider is not a legal entity, the protection provider identifier is not required to be reported.</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</si>
  <si>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</si>
  <si>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</si>
  <si>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Original protection value (at inception)</t>
  </si>
  <si>
    <t>The original protection value is the monetary value of the protection item that was established at the date when the protection item was originally received as a credit protection.</t>
  </si>
  <si>
    <t>The date of original protection value is the date on which the latest appraisal or valuation of the protection was carried out prior to its initial receipt as credit protection.</t>
  </si>
  <si>
    <t>Identification of the type of value provided in the data attribute “Protection value”.</t>
  </si>
  <si>
    <t>Type of protection valuation; method used to determine the protection value.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</si>
  <si>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</si>
  <si>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</si>
  <si>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</si>
  <si>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</si>
  <si>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</si>
  <si>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Third party priority claims against the protection </t>
  </si>
  <si>
    <t>Third party priority claims against the protection</t>
  </si>
  <si>
    <t>International Securities Identification Number (ISIN)</t>
  </si>
  <si>
    <t>Type of code used to identify the issuer (Legal entity)</t>
  </si>
  <si>
    <t>The country code of the country where the registered office of the issuer is located. To be completed only where no ISIN has been provided</t>
  </si>
  <si>
    <t>Sector according to NACE classification</t>
  </si>
  <si>
    <t>European System of National and Regional Accounts (ESA) 2010 sector of the issuer.</t>
  </si>
  <si>
    <t>Rating of the counterparty as of cut-off date.In the event of multiple ratings, these should be separated by comma, and the order should be the same that relating to the rating thresholds that are reported in field XYZ. If not rated, enter 'NR'.</t>
  </si>
  <si>
    <t>Issuer Rating(s) Source(s)</t>
  </si>
  <si>
    <t>Other group entity refers to entities that are part of the same group as the bank (inter-affiliate exposures). Third party refers to external parties.</t>
  </si>
  <si>
    <t>The currency used for the valuation of the security. (local accounting currency)</t>
  </si>
  <si>
    <t>Valuation date</t>
  </si>
  <si>
    <t>Date of the last valuation.</t>
  </si>
  <si>
    <t>Indicate whether valuation was performed mark-to-market or mark-to-model.</t>
  </si>
  <si>
    <t>Instrument class</t>
  </si>
  <si>
    <t xml:space="preserve">The class of the instrument according to ESA 2010. </t>
  </si>
  <si>
    <t xml:space="preserve">Public or private. Public refers to issuances in capital markets that have been allocated an ISIN. Private refers to securities structured for clients or other third parties that were sold bilaterally </t>
  </si>
  <si>
    <t>Type of guarantor identifier if a guarantee has been provided.</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</si>
  <si>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</si>
  <si>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 xml:space="preserve">Coupon currency </t>
  </si>
  <si>
    <t>Indicate weather the security was purchased with an agreement to resell it at a later stage (e.g. reverse repo, collateral swap, etc.).</t>
  </si>
  <si>
    <t>Indicate whether the security meets the eligibility criteria for LCR buffer.</t>
  </si>
  <si>
    <t>Indicate which part of the LCR buffer the security was part of.</t>
  </si>
  <si>
    <t xml:space="preserve">Indicate if the instrument is classified in the trading book or in the banking book for prudential purposes. </t>
  </si>
  <si>
    <t>Hedge ID if the position is part of an economic/accounting hedge.</t>
  </si>
  <si>
    <t>DT_LGL_FNL_MTRTY</t>
  </si>
  <si>
    <t>‣ Não encontramos no LT -&gt; Confirmar com Nádia Ahmad e Dora Roxo; 
Resposta do Email a Pedro Inacio (19:44 12-03-2024): 
"Essa informação pode ser obtida no campo “Tipo de Titulización” da tabela SPV da BDR (E0691_TITU_TIP), com o seguinte detalhe:
      00 - 'No informado'
      01 - 'Tradicional'
      02 - 'Sintética'
99999 - 'No aplica' "</t>
  </si>
  <si>
    <t>Identification of the default status of the counterparty.
Categories describing the motives for which the counterparty can be in default in accordance with Article 178 of Regulation (EU) No 575/2013.
Opções:
‣ Not in default
‣ Default because unlikely to pay
‣ Default because more than 90/180 days past due
‣ Default because both unlikely to pay and more than 90/180 days past due</t>
  </si>
  <si>
    <t>Economic activity is a classification of counterparties according to their economic activities, in accordance with the NACE revision 2 statistical classification as laid down in Regulation (EC) No 1893/2006 of the European Parliament and of the Council.
Options:
NACE code: a level two, three or four NACE code in accordance with Regulation (EC) No 1893/2006.</t>
  </si>
  <si>
    <t>The status of legal proceedings covers the categories describing a counterparty’s legal status in relation to its solvency based on the national legal framework. The NCB should transpose these values (listed below) into the national legal framework.
Options:
‣ No legal actions taken
‣ Under judicial administration, receivership or similar measures
‣ Bankruptcy/insolvency
‣ Other legal measures</t>
  </si>
  <si>
    <t>The date on which the legal proceedings, as reported under the attribute “status of legal proceedings”, were initiated. This date should be the most recent relevant date prior to the reporting date.</t>
  </si>
  <si>
    <t>Accounting standard used by the observed agent’s legal entity.
Options:
‣ IFRS
‣ National GAAP consistent with IFRS
‣ National GAAP not consistent with IFRS</t>
  </si>
  <si>
    <t>RWA</t>
  </si>
  <si>
    <t>RWA according to Regulation (EU) No 575/2013.</t>
  </si>
  <si>
    <t>SRB DATA SET FOR INTANGIBLE ASSETS</t>
  </si>
  <si>
    <t>Identification of forborne and renegotiated instruments.
Options:
‣ Forborne: instruments with modified interest rate below market conditions
‣ Forborne: instruments with other modified terms and conditions
‣ Forborne: totally or partially refinanced debt
‣ Renegotiated instrument without forbearance measures
‣ Not forborne or renegotiated</t>
  </si>
  <si>
    <t xml:space="preserve">The counterparty’s country.
Options: 
ISO 3166-1 alpha-2 codes: ISO 3166-1 alpha-2 code of the country
</t>
  </si>
  <si>
    <t>Type of code used to identify the reporting counterparty.
Options based on ECB’s Securities Holding Statistics (field CL_SHS_ID_TYPE)</t>
  </si>
  <si>
    <t>The country code of the country where the registered office of the counterparty is located.
based on ECB’s Securities Holding Statistics (field CL_SHS_ISSUER_AREA)</t>
  </si>
  <si>
    <t>Options: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</si>
  <si>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Identify the law governing the financial contract.
Options based on ECB’s Securities Holding Statistics (field CL_SHS_ISSUER_AREA)</t>
  </si>
  <si>
    <t>Specify the currency of the initial margin posted.
Options:
ISO 4217 Currency Codes</t>
  </si>
  <si>
    <t>Specify the currency of the collateral received.
Options:
ISO 4217 Currency Codes</t>
  </si>
  <si>
    <t>Type of code used to identify the issuer (Legal entity).
Options based on ECB’s Securities Holding Statistics (field CL_SHS_ID_TYPE)</t>
  </si>
  <si>
    <t>The country code of the country where the registered office of the issuer is located. To be completed only where no ISIN has been provided.
Options based on ECB’s Securities Holding Statistics (field CL_SHS_ISSUER_AREA)</t>
  </si>
  <si>
    <t>European System of National and Regional Accounts (ESA 2010) sector of the issuer.
Options based on ECB’s Securities Holding Statistics (field CL_SHS_ISSUER_ESA_2010)</t>
  </si>
  <si>
    <t>Sector according to NACE classification.
Options based on ECB’s Securities Holding Statistics (field CL_SHS_NACE)</t>
  </si>
  <si>
    <t>The currency used for the valuation of the security.
Options based on ECB’s Securities Holding Statistics (field CL_SHS_CURRENCY)</t>
  </si>
  <si>
    <t>The class of the instrument according to ESA 2010.
Options based on ECB’s Securities Holding Statistics (field CL_SHS_INSTR_ESA2010)</t>
  </si>
  <si>
    <t>Type of instrument.
Options based on ECB’s Securities Holding Statistics (field CL_SHS_PRIMARY_ASSET_CLASS)</t>
  </si>
  <si>
    <t>To be reported if the instrument is a securitisation or covered bond.
Options based on ECB’s Securities Holding Statistics (field CL_SHS_ ASSET__SECURITISATION_TYPE)</t>
  </si>
  <si>
    <t>Options based on ECB’s Securities Holding Statistics (field CL_ID_TYPE)</t>
  </si>
  <si>
    <t>Instrument type according to its seniority.
Options based on ECB’s Securities Holding Statistics (field CL_SENIORITY_TYPE)</t>
  </si>
  <si>
    <t>Currency in which the coupon is paid.
Options based on ISO 4217 Currency Codes</t>
  </si>
  <si>
    <t>Currency for expressing the nominal of the security.
Options based on ISO 4217 Currency Codes</t>
  </si>
  <si>
    <t>Indicate the source of encumbrance for the security.
Options based on ECB’s Securities Holding Statistics (field CL_SHS_SRC_ENCMBRNC)</t>
  </si>
  <si>
    <t>Indicate whether the security meets the eligibility criteria for standard central bank (ECB) operations.
Options:
‣ Yes (1)
‣ No (2)</t>
  </si>
  <si>
    <t>Accounting classification to the instrument according to the IFRS or national general accepted accounting principles (GAAP).
Options based on ECB’s Securities Holding Statistics (field CL_SHS_ACCNTNG_CLSSFCTN)</t>
  </si>
  <si>
    <t>Performing status of the instrument: performing vs non-performing.
Options based on ECB’s Securities Holding Statistics (field CL_SHS_PRFRMNG_STTS)</t>
  </si>
  <si>
    <t>Indicate if the instrument is classified in the trading book or in the banking book for prudential purposes.
Options based on ECB’s Securities Holding Statistics (field CL_SHS_PRDNTL_PRTFL)</t>
  </si>
  <si>
    <t>Type of code used to identify the issuer (legal entity).
Options based on ECB’s Securities Holding Statistics (field CL_SHS_ID_TYPE)</t>
  </si>
  <si>
    <t>The country code of the country where the registered office of the issuer is located. To be completed only when no ISIN has been provided.
Options based on ECB’s Securities Holding Statistics (field CL_SHS_ISSUER_AREA)</t>
  </si>
  <si>
    <t>ESA 2010 sector of the issuer.
Options based on ECB’s Securities Holding Statistics (field CL_SHS_ISSUER_ESA_2010)</t>
  </si>
  <si>
    <t>Sector according to the NACE classification.
Options based on ECB’s Securities Holding Statistics (field CL_SHS_NACE)</t>
  </si>
  <si>
    <t>Accounting classification of the instrument according to the IFRS or National GAAP.
Options based on ECB’s Securities Holding Statistics (field CL_SHS_ACCNTNG_CLSSFCTN)</t>
  </si>
  <si>
    <t>The currency in which the acquisition, costs, impairment and carrying amount are estimated.
Options:
ISO 4217 Currency Codes</t>
  </si>
  <si>
    <t>The valuation approach or method used to determine the carrying amount of the asset.
Options:
‣ Full appraisal (1)
‣ Drive-by (2)
‣ Automated Valuation model (3)
‣ Indexed (4)
‣ Desktop (5)
‣ Managing or Estate agent (6)
‣ Purchase price (7)
‣ Hair cut (8)
‣ Mark to market (9)
‣ Counterparties valuation (10)
‣ Cost model (i.e. value equals cost minus depreciation) (11)
‣ Other (12)</t>
  </si>
  <si>
    <t>Indicate as to whether the latest valuation was performed internally or by an external appraiser.
Options:
(1) Internal
(2) External</t>
  </si>
  <si>
    <t xml:space="preserve">Módulo </t>
  </si>
  <si>
    <t>Submódulo</t>
  </si>
  <si>
    <t>Nome do Ficheiro</t>
  </si>
  <si>
    <t>Total 
(%)</t>
  </si>
  <si>
    <t>Novo campo, 
mapeamento datalake pendente, 
com necessidade de criar parametrização</t>
  </si>
  <si>
    <t>Novo campo, 
mapeamento datalake pendente, 
sem necessidade de criar parametrização</t>
  </si>
  <si>
    <t>Instruments</t>
  </si>
  <si>
    <t>XXXXX_YYYYMMDD_01_01_leg_instr.csv</t>
  </si>
  <si>
    <t>Counterparties</t>
  </si>
  <si>
    <t>XXXXX_YYYYMMDD_01_02_leg_count.csv</t>
  </si>
  <si>
    <t>Protections</t>
  </si>
  <si>
    <t>XXXXX_YYYYMMDD_01_03_leg_prot.csv</t>
  </si>
  <si>
    <t>Instrument-Counterparty relation</t>
  </si>
  <si>
    <t>XXXXX_YYYYMMDD_01_04_leg_instr_count.csv</t>
  </si>
  <si>
    <t>Instrument-Protection relation</t>
  </si>
  <si>
    <t>XXXXX_YYYYMMDD_01_05_leg_instr_prot.csv</t>
  </si>
  <si>
    <t>XXXXX_YYYYMMDD_02_01_nat_instr.csv</t>
  </si>
  <si>
    <t>XXXXX_YYYYMMDD_02_02_nat_count.csv</t>
  </si>
  <si>
    <t>XXXXX_YYYYMMDD_02_03_nat_prot.csv</t>
  </si>
  <si>
    <t>XXXXX_YYYYMMDD_02_04_nat_instr_count.csv</t>
  </si>
  <si>
    <t>XXXXX_YYYYMMDD_02_05_nat_instr_prot.csv</t>
  </si>
  <si>
    <t>XXXXX_YYYYMMDD_03_01_off_instr.csv</t>
  </si>
  <si>
    <t>XXXXX_YYYYMMDD_03_02_off_count.csv</t>
  </si>
  <si>
    <t>XXXXX_YYYYMMDD_03_03_off_prot.csv</t>
  </si>
  <si>
    <t>XXXXX_YYYYMMDD_03_04_off_instr_count.csv</t>
  </si>
  <si>
    <t>XXXXX_YYYYMMDD_03_05_off_instr_prot.csv</t>
  </si>
  <si>
    <t>XXXXX_YYYYMMDD_04_01_derivatives.csv</t>
  </si>
  <si>
    <t>XXXXX_YYYYMMDD_05_01_debtsecurities.csv</t>
  </si>
  <si>
    <t>XXXXX_YYYYMMDD_06_01_equity.csv</t>
  </si>
  <si>
    <t>XXXXX_YYYYMMDD_07_01_dtasdtcs.csv</t>
  </si>
  <si>
    <t>XXXXX_YYYYMMDD_08_01_intangible.csv</t>
  </si>
  <si>
    <t>Total</t>
  </si>
  <si>
    <t>%</t>
  </si>
  <si>
    <t>abs</t>
  </si>
  <si>
    <t>Exposures to legal persons</t>
  </si>
  <si>
    <t>Exposures to natural persons</t>
  </si>
  <si>
    <t>Off-balance sheet exposures</t>
  </si>
  <si>
    <t>Derivatives</t>
  </si>
  <si>
    <t>Debt securities</t>
  </si>
  <si>
    <t>Equity</t>
  </si>
  <si>
    <t>DTAs/DTCs</t>
  </si>
  <si>
    <t>Intangible assets</t>
  </si>
  <si>
    <t xml:space="preserve"> </t>
  </si>
  <si>
    <t xml:space="preserve">
ENTITY-DT_INTTN_LGL_PRCDNGS_LE</t>
  </si>
  <si>
    <t>campo_lt</t>
  </si>
  <si>
    <t>valor_origem</t>
  </si>
  <si>
    <t>valor_lt</t>
  </si>
  <si>
    <t>descritivo_lt</t>
  </si>
  <si>
    <t>ckutulmo</t>
  </si>
  <si>
    <t>htimest</t>
  </si>
  <si>
    <t>ref_date</t>
  </si>
  <si>
    <t>cod_visao</t>
  </si>
  <si>
    <t>ambito</t>
  </si>
  <si>
    <t>Institutional sectors in accordance with Regulation (EU) No 549/2013, Regulation (EU) No 575/2013 and Regulation (EU) No 1075/2013 of the European Central Bank (ECB/2013/40).
Options: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</si>
  <si>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Contractual recognition – Write down and conversion powers (only for contracts governed by thirdcountry laws subject to the requirement of the contractual terms under the first subparagraph of Article 55(1) of BRRD)</t>
  </si>
  <si>
    <t>Contractual recognition – Suspension of termination rights (only for contracts governed by third-country laws) under Article 7 BRRD</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</si>
  <si>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
Options:
‣ YES (1)
‣ NO (2)</t>
  </si>
  <si>
    <t xml:space="preserve">Series of leg 2 cash flows (estimated) corresponding to settlement dates, including exchange of notional, if applicable. This should be reported as multidimensional i.e. one field containing a small data set (an array).
</t>
  </si>
  <si>
    <r>
      <rPr>
        <b/>
        <u/>
        <sz val="14"/>
        <color theme="1"/>
        <rFont val="Calibri"/>
        <family val="2"/>
        <scheme val="minor"/>
      </rPr>
      <t>SRB DERIVATIVES DATA SET</t>
    </r>
    <r>
      <rPr>
        <b/>
        <sz val="11"/>
        <color theme="1"/>
        <rFont val="Calibri"/>
        <family val="2"/>
        <scheme val="minor"/>
      </rPr>
      <t xml:space="preserve">
The SRB Valuation Data Set does not cover data points reported under Article 9 of Regulation (EU) No 648/2012 (European Market Infrastructure Regulation (EMIR)), as detailed under the Commission Delegated Regulation (EU) No 148/2013, which imposes reporting obligations to counterparties and central clearing counterparties (CCPs). Reporting obligations cover any derivative contract that they may have concluded and any modification or termination of the contract. Counterparties should report such information to registered or recognized trade repositories no later than the working day following the conclusion, modification or termination of the contract. Where a trade repository is not available to record the details of a derivative contract, counterparties and CCPs must ensure that such details are reported to the European Securities and market Authority (ESMA).
Pursuant to Article 2 of Implementing Regulation (EU) No 1247/2012, ‘mark-to market’ or ‘mark-to-model’ valuations must be reported on a daily basis. Any other reporting elements must be reported as they occur or change, taking into account time limits envisaged in Article 9 of EMIR, notably as regards the conclusion, modification or termination of a contract.
In addition to reporting obligations stemming from EMIR, Delegated Regulation (EU) No 2016/1712 supplementing BRRD establishes standards that specify the minimum set of information on financial contracts that should be contained within the detailed records. As per this Regulation, entities under the scope of the BRRD should maintain detailed records of financial contracts where the resolution plan foresees taking resolution actions. The EBA Data Dictionary and the SRB Valuation Data Set take into account many of the data points contained in the Delegated Regulation.
Article 2 (16) of Commission Delegated Regulation (EU) No 151/2013 amended by Commission Delegated Regulation (EU) No 2019/361 with regard to access to the data held in trade repositories establishes that trade repository shall provide the SRB with access to all transaction data on derivatives concluded by counterparties that fall under the scope of Regulation (EU) No 806/2014 (SRMR).
As stressed above, the SRB Valuation Data Set, which is comprised of various subsets, should be defined by the IRT for each individual credit institution9 based on various considerations including the business model and risk profile. Valuations in resolution may be negatively affected by economic losses arising from derivatives’ portfolios. Should derivatives allocated in the trading book or derivatives priced or valued using ‘mark-to-model’ (i.e. Level 3) be of relevance in the balance sheet of credit institutions, the latter should keep records of such exposures.
The SRB Valuation Data Set covers a detailed list of data points on derivatives contracts irrespective of their positive / negative fair value on the date of valuation.
The data listed in the derivatives table should be reported at single contract level and take into account specificities regarding margin requirements.
Será produzido o ficheiro:
‣  SRB DERIVATIVES DATA SET (DERIVATIVES);
</t>
    </r>
  </si>
  <si>
    <t xml:space="preserve">Pedro Mendes endereçar as seguintes 4 questões à Corporação:
</t>
  </si>
  <si>
    <r>
      <t xml:space="preserve">‣ Não encontramos no LT -&gt; Confirmar com Nádia Ahmad e Dora Roxo; 
</t>
    </r>
    <r>
      <rPr>
        <b/>
        <sz val="11"/>
        <color theme="1"/>
        <rFont val="Calibri"/>
        <family val="2"/>
        <scheme val="minor"/>
      </rPr>
      <t xml:space="preserve">‣ Segundo Luís Bastos esta informação "É preenchida manualmente a forma jurídica numa transação do mágico (MA01), como tal não temos como garantir que terá a informação para todos os clientes." (email 02/04/2024 18:06). </t>
    </r>
    <r>
      <rPr>
        <sz val="11"/>
        <color theme="1"/>
        <rFont val="Calibri"/>
        <family val="2"/>
        <scheme val="minor"/>
      </rPr>
      <t xml:space="preserve">
‣ Segundo João Luís Almeida via teams (03/04/2024) o campo cformjur da tabela MAT05 vem da MA01.
‣ Na reunião de 02/04/2024 com LCM/Raul/Alexandre, o Alexandre referiu que esta informação encontra-se no campo cformjur da MAT05 e a descodificação na TAT264.
‣ Segundo Pedro Almeida (03/04/2024 11:20) e Pedro Inácio (03/04/2024 14:33) esta informação não consta na BDR.
‣ Verificámos que a MAT05 tem os campos zcligrupo, cformjur. Como tal, terá de se ligar a MAT05 (zcligrupo) com a CT003 (ccli_grupo), para obter o zcliente. 
‣ Schema DL: cd_captools; cd_alm
‣ Tabela / Ficheiro: CT003_UNIV_CLI; MAT05_DADOSEMP; TAT91_TABELAS
‣ Campo: ccli_grupo; cformjur; tayd91c0_gelemtab
‣ Metodologia de Cálculo:
    "tayd91c0_gelemtab
     WHERE TAT91_TABELAS.tayd91c0_ctabela = '264'
     AND TAT91_TABELAS.tayd91c0_celemtab = MAT05_DADOSEMP.cformjur
     AND lpad(MAT05_DADOSEMP.zcligrupo,10,'0') = CT003_UNIV_CLI.ccli_grupo"
‣ Metodologia de cruzamento
    "1) Cruzar LT003_ENTITY com CT003_UNIV_CLI para obter o ccli_grupo:
     LT003_ENTITY
     LEFT JOIN
     (SELECT * FORM CD_CAPTOOLS.CT003_UNIV_CLI)
     ON ENTTY_ID = ZCLIENTE
     2) Cruzar MAT05_DADOSEMP com ela própria para obter apenas os dados relativos à ref_date em questão:
     MAT05_DADOSEMP 
     INNER JOIN
     (SELECT zcligrupo, MAX(dano) FROM CD_CAPTOOLS.MAT05_DADOSEMP WHERE data_date_part &lt;= REF_DATE)
     ON zcligrupo = zcligrupo
     AND dano = MAX(dano)
     3) Cruzar CT003_UNIV_CLI com MAT05_DADOSEMP_FILTRADA para obter cformjur:
     CT003_UNIV_CLI
     LEFT JOIN
     (SELECT *, lpad(zcligrupo,10,'0') as zcligrupo_pad FROM CD_CAPTOOLS.MAT05_DADOSEMP_FILTRADA)
     ON ccli_grupo = zcligrupo_pad
     4) Cruzar com tabela TAT 264 para descodificar o cformjur:
     LEFT JOIN 
     (SELECT * FROM TAT91_TABELAS)
     ON cformjur = tayd91c0_celemtab"
‣ Query usada para adicionar o Legal Form à tabela ct003:
SELECT ct003.zcliente, tat.tayd91c0_gelemtab
FROM
(
    SELECT zcliente, ccli_grupo as ccli_grupo FROM cd_captools.ct003_univ_cli
    WHERE ref_date = '2023-12-31'
) as ct003
LEFT JOIN
(
    SELECT lpad(CAST(a.zcligrupo AS STRING),10,'0') as zcligrupo, a.cformjur FROM
    (
        SELECT zcligrupo, dano, cformjur FROM cd_alm.mat05_dadosemp 
        WHERE data_date_part = (SELECT MAX(data_date_part) FROM cd_alm.mat05_dadosemp WHERE data_date_part &lt; '2023-12-31') -- Ultima versão da tabela gerada antes ou na data de execução (ref_date)
    ) as a
    INNER JOIN
    (
        SELECT zcligrupo, MAX(dano) as dano FROM cd_alm.mat05_dadosemp 
        WHERE data_date_part = (SELECT MAX(data_date_part) FROM cd_alm.mat05_dadosemp WHERE data_date_part &lt; '2023-12-31') -- Ultima versão da tabela gerada antes ou na data de execução (ref_date)
        AND dano &lt;= 2023 -- Parte de ano da ref_date
        GROUP BY zcligrupo
    ) as b
    ON a.zcligrupo = b.zcligrupo
    AND a.dano = b.dano
) as mat05
ON ct003.ccli_grupo = mat05.zcligrupo
LEFT JOIN
(
    SELECT tayd91c0_celemtab, tayd91c0_gelemtab FROM cd_estruturais.tat91_tabelas 
    WHERE data_date_part = (SELECT MAX(data_date_part) FROM cd_estruturais.tat91_tabelas)
    AND tayd91c0_ctabela = '264'
) as tat
ON mat05.cformjur = tat.tayd91c0_celemtab</t>
    </r>
  </si>
  <si>
    <t xml:space="preserve">ENTITY-INTRNL_RTNG
Segundo o documento "Especificação - BCE Loan Tape - Internal Ratings_v1.4", é referido:  
"Nível do cliente: deverá ser consultada a tabela CD_CAPTOOLS.JM_CAL_IN_CL;" ou seja, vem do input Capital.
</t>
  </si>
  <si>
    <t>ENTITY-INTRNL_RTNG
Segundo o documento "Especificação - BCE Loan Tape - Internal Ratings_v1.4", é referido:  
"Nível do cliente: deverá ser consultada a tabela CD_CAPTOOLS.JM_CAL_IN_CL;" ou seja, vem do input Capital.</t>
  </si>
  <si>
    <t>‣ Não encontramos no LT -&gt; Confirmar com Nádia Ahmad e Dora Roxo; 
‣ Se não existir no LT trazer o segmento_corep_final da ct013, tendo em atenção RWA_mtethod (se for IRB ou STD)
‣ Temos de explorar como ligar o universo lt ao de capital (O)
‣Email de Pedro Mendes com a resposta da Corporação (26/03/2024 17:28)
‣ No LT para calculo do LGD que vem da ct013, quando existe IRB e STD, escolhe-se IRB. Contudo, é preciso clarificar o que se envia quando existem vários segmentos IRB ou também quando existem vários segmentos STD.</t>
  </si>
  <si>
    <t xml:space="preserve">No documento de "Feedback Statement in response to the consultation on the SRB valuation data set" tem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assim: 
-Se stage 1 selecionar PD12M_IFRS9 da tabela BU_IFRS9.IFRS9_OUT_EXPECTED_LOSS_REPORTING (confirmar que neste campo já está incluída a lógica de David Texugo)
-Se stage 2 selecionar PD_LT_IFRS9 da tabela BU_IFRS9.IFRS9_OUT_EXPECTED_LOSS_REPORTING
-Se stage 3 forçar 1
Sugere-se criar o campo na  LT002_INSTRUMENT e não na LT003_ENTITY porque após consultar a a LT003_ENTITY verificámos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sugerimos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t>
  </si>
  <si>
    <t xml:space="preserve">No documento de "Feedback Statement in response to the consultation on the SRB valuation data set" tem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assim: 
-Se stage 1 selecionar PD12M_IFRS9 da tabela BU_IFRS9.IFRS9_OUT_EXPECTED_LOSS_REPORTING (confirmar que neste campo já está incluída a lógica de David Texugo)
-Se stage 2 selecionar PD_LT_IFRS9 da tabela BU_IFRS9.IFRS9_OUT_EXPECTED_LOSS_REPORTING
-Se stage 3 forçar 1
Sugere-se criar o campo na  LT002_INSTRUMENT e não na LT003_ENTITY porque após consultar a a LT003_ENTITY verificámos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sugerimos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t>
  </si>
  <si>
    <t xml:space="preserve">‣ Não encontramos no LT -&gt; Confirmar com Nádia Ahmad e Dora Roxo; 
[Reunião 2024-04-08] Segundo Luís Capitão-Mor, o Banco só aceita primeiras hipotecas, como tal,
este campo deverá ser sempre preenchido com '1'. </t>
  </si>
  <si>
    <t xml:space="preserve">‣ Não encontramos no LT -&gt; Confirmar com Nádia Ahmad e Dora Roxo; 
‣ Segundo Luís Capitão-Mor, estes campos deverão vir do MUG (Modelo Único de Garantias). 
‣ Reunião Alexandre Dionísio Esteves (08-04-2024): 
1)  Estes campos ainda não existem no MUG.
2) Esta informação existe na GPT32, embora nessa tabela estes campos não sejam de preenchimento obrigatório, como tal, existem GAPs de informação.
3) Foi-nos também comentado que o universo completo de imóveis está na tabela gpt18 os quais não estão 100% mapeados na gpt32.
4) Alexandre irá analisar em detalhe e irá marcar reunião com Luís Capitão-Mor para a semana de 15/04/2024
</t>
  </si>
  <si>
    <t>‣ Não encontramos no LT -&gt; Confirmar com Nádia Ahmad e Dora Roxo; 
‣ Segundo Luís Capitão-Mor, estes campos deverão vir do MUG (Modelo Único de Garantias). 
‣ Reunião Alexandre Dionísio Esteves (08-04-2024): 
1)  Estes campos ainda não existem no MUG.
2) Esta informação existe na GPT32, embora nessa tabela estes campos não sejam de preenchimento obrigatório, como tal, existem GAPs de informação.
3) Foi-nos também comentado que o universo completo de imóveis está na tabela gpt18 os quais não estão 100% mapeados na gpt32.
4) Alexandre irá analisar em detalhe e irá marcar reunião com Luís Capitão-Mor para a semana de 15/04/2024</t>
  </si>
  <si>
    <t>PROTECTION-PRTCTN_VL
Como o banco só aceita 1ªs hipotecas este campo é exatamente igual ao PROTECTION-PRTCTN_VL, e como tal da perspetiva de Luis Capitão-Mor deve ser reportado aqui.
Desta forma terá de se confirmar com a corporação se podemos reportar o referido anteriormente, se não continua a vir "11111111111" (Not applicable).</t>
  </si>
  <si>
    <r>
      <t xml:space="preserve">INSTRUMENT-OFF_BLNC_SHT_AMNT_INSTRMNT
O SRB solicita o Total nominal amount of off-balance-sheet exposure </t>
    </r>
    <r>
      <rPr>
        <u/>
        <sz val="11"/>
        <color theme="1"/>
        <rFont val="Calibri"/>
        <family val="2"/>
        <scheme val="minor"/>
      </rPr>
      <t xml:space="preserve">de </t>
    </r>
    <r>
      <rPr>
        <b/>
        <u/>
        <sz val="11"/>
        <color theme="1"/>
        <rFont val="Calibri"/>
        <family val="2"/>
        <scheme val="minor"/>
      </rPr>
      <t>IFRS9</t>
    </r>
    <r>
      <rPr>
        <sz val="11"/>
        <color theme="1"/>
        <rFont val="Calibri"/>
        <family val="2"/>
        <scheme val="minor"/>
      </rPr>
      <t>, contudo, no LT o campo OFF_BLNC_SHT_AMNT_INSTRMNT está a ser obtido da Contabilidade (FR004/LT001), ou seja não está a ser obtido de IFRS9.
Portanto, para utilizar o campo LT indicado foi necessário confirmar com IFRS9 que o valor que IFRS9 tem é o da Contabilidade: Segundo David Texugo (email 01/04/2024 17:23), "Os saldos que constam em IFRS9 são reconciliados pela Contabilidade, tratando-se de um subset de contas contabilísticas das carteiras IC que é definido pela Contabilidade."
Adicionalmente, confirmou-se na query abaixo: 
- O campo "amount" da  tabela ifrs9_input_motor_8_7 filtrada para amount_type='#903' (off balance) bate certo com o campo valor_bruto_off_a da FR004.
- O campo "undrawn_balance" da tabela ifrs9_out_expected_loss_8_7 bate certo com o campo valor_bruto_off_a da FR004.
PREOCUPAÇÃO: Não haverá a possibilidade de existirem contratos off balance na fr004 que não existem em IFRS9? Em caso afirmativo, significa que iríamos preencher um valor que não seria o de IFRS9 para estes casos (mas sim o da Contabilidade).
SELECT contract_id, montante_ifrs9, montante_fr, montante_fr+montante_ifrs9 as dif
FROM
-- (
-- select contract_id, CAST(replace(amount,'#','') as DECIMAL(30,8)) as montante_ifrs9 
-- from cd_captools.ifrs9_input_motor_8_7 where data_date_part='2023-10-31' and amount_type='#903'
-- ) as ifrs9
(
select contract_id, CAST(undrawn_balance as DECIMAL(30,8)) as montante_ifrs9
from cd_captools.ifrs9_out_expected_loss_8_7 where data_date_part='2023-11-03'
) as ifrs9
INNER JOIN
(
    SELECT 
    CONCAT(contract_id) as IFRS9_ID, 
    CONCAT(CEMPRESA_FR, CBALCAO_FR, CNUMECTA_FR, ZDEPOSIT_FR) as FR_ID
    FROM 
    (SELECT * FROM cd_captools.KT_CHAVES_FINREP where ref_date = '2023-10-31') as a 
    INNER JOIN
    (SELECT * FROM cd_captools.KT_CHAVES_IFRS9 where ref_date = '2023-10-31' ) as b
    ON a.CEMPRESA = b.CEMPRESA
    AND a.CBALCAO = b.CBALCAO
    AND a.CNUMECTA = b.CNUMECTA
    AND a.ZDEPOSIT = b.ZDEPOSIT
) as tradutor
on tradutor.IFRS9_ID = ifrs9.contract_id
INNER JOIN
(
select concat(cempresa, cbalcao, cnumecta, zdeposit) as contr_id, CAST(valor_bruto_off_a as DECIMAL(30,8)) as montante_fr
from cd_captools.fr004_cto where ref_date='2023-10-31' 
) as fr
ON fr.contr_id = tradutor.FR_ID
HAVING dif &lt;&gt; 0</t>
    </r>
  </si>
  <si>
    <t>?ANNLSD_AGRD_RT?
Ana Clara/Alexandre Fel./Barata não conhecem o conceito. Questionar Corporação?</t>
  </si>
  <si>
    <t xml:space="preserve">   </t>
  </si>
  <si>
    <t>PROTECTION-DT_ORGNL_PRTCTN_VL
As regras de preenchimento deste campo encontram-se no documento de especificação (existiam colunas a hide no documento).
Avaliar as regras de preenchimento deste campo, de forma a perceber se se está a recuperar a data mais antiga de uma garantia, ou a mais antiga que continua viva, ou a mais recente anterior à data de inicio do contrato onde o bem foi dado como garantia (pensamos ser este o pedido).</t>
  </si>
  <si>
    <t>‣ Não encontramos no LT -&gt; Confirmar com Nádia Ahmad e Dora Roxo; 
‣ Campo "clyr7003_nmorada" da tabela cd_estruturais.interface_moradas
‣ 16/04/2024 Reunião com Ana Gomes da Silva/Alexandra Reis:  
 - Algumas aplicações Sintra consomem este Interface de Moradas (que é produzido com base na Base de Datos de Personas), outras aplicações Sintra consomem diretamente a Base de Datos de Personas e existem ainda outras aplicações Sintra que têm registos de Moradas nas suas próprias tabelas;
- Ana Gomes da Silva/Alexandra Reis alertaram que os Clientes com Morada Fiscal Estrangeira não têm código postal associado;
- Ana Gomes da Silva/Alexandra Reis indicaram que o campo "clyr7003_zmorada" se trata de um sequencial referente à ordem de entrada do registo;
- Ana Gomes da Silva/Alexandra Reis indicaram que cada Cliente tem apenas uma morada fiscal. Após consultar a tabela cd_estruturais.interface_moradas verificou-se que existem Clientes sem morada fiscal (clyr7003_imorfisc sempre igual a 'N' -&gt; ~100 registos). Enviaram-se estes Clientes para análise de  Ana Gomes da Silva/Alexandra Reis, dado que não é suposto acontecer (ver query infra);
select distinct clyr7003_zcliente
from
(
select clyr7003_zcliente, group_concat(distinct clyr7003_imorfisc, "|") as conc 
from cd_estruturais.interface_moradas where data_date_part = '2024-04-05'
group by 1
) d where conc='N'
‣ 08-04-2024 Reunião com LCM/João Godinho: Não se justifica replicar a lógica do Modelo Único de Dados pois no futuro este campo deverá ser reapontado para o mesmo, como tal, poderá usar-se a a tabela cd_estruturais.interface_moradas;
‣ 08/04/2024 17:09 Email Raul Custódio: Concordou com a utilização da tabela cd_estruturais.interface_moradas
‣ Verificou-se que apenas existe uma morada fiscal para cada Cliente (ver query infra):
SELECT a.data_date_part, (zcliente-dist_zcliente) as dif FROM
    (
        SELECT data_date_part, COUNT(clyr7003_zcliente) as zcliente FROM cd_estruturais.interface_moradas 
        WHERE clyr7003_imorfisc = 'S'
        AND data_date_part &gt;= '2023-01-01'
        GROUP BY data_date_part
    ) as a
    INNER JOIN 
    (
        SELECT data_date_part, COUNT( distinct clyr7003_zcliente) as dist_zcliente FROM cd_estruturais.interface_moradas 
        WHERE clyr7003_imorfisc = 'S'
        AND data_date_part &gt;= '2023-01-01'
        GROUP BY data_date_part
    ) as b
    ON a.data_date_part = b.data_date_part
    having  dif &lt;&gt;0</t>
  </si>
  <si>
    <t>‣ Não encontramos no LT -&gt; Confirmar com Nádia Ahmad e Dora Roxo; 
‣ Campo "clyr7003_nlocalid" da tabela cd_estruturais.interface_moradas
‣ 16/04/2024 Reunião com Ana Gomes da Silva/Alexandra Reis:  
 - Algumas aplicações Sintra consomem este Interface de Moradas (que é produzido com base na Base de Datos de Personas), outras aplicações Sintra consomem diretamente a Base de Datos de Personas e existem ainda outras aplicações Sintra que têm registos de Moradas nas suas próprias tabelas;
- Ana Gomes da Silva/Alexandra Reis alertaram que os Clientes com Morada Fiscal Estrangeira não têm código postal associado;
- Ana Gomes da Silva/Alexandra Reis indicaram que o campo "clyr7003_zmorada" se trata de um sequencial referente à ordem de entrada do registo;
- Ana Gomes da Silva/Alexandra Reis indicaram que cada Cliente tem apenas uma morada fiscal. Após consultar a tabela cd_estruturais.interface_moradas verificou-se que existem Clientes sem morada fiscal (clyr7003_imorfisc sempre igual a 'N' -&gt; ~100 registos). Enviaram-se estes Clientes para análise de  Ana Gomes da Silva/Alexandra Reis, dado que não é suposto acontecer (ver query infra);
select distinct clyr7003_zcliente
from
(
select clyr7003_zcliente, group_concat(distinct clyr7003_imorfisc, "|") as conc 
from cd_estruturais.interface_moradas where data_date_part = '2024-04-05'
group by 1
) d where conc='N'
‣ 08-04-2024 Reunião com LCM/João Godinho: Não se justifica replicar a lógica do Modelo Único de Dados pois no futuro este campo deverá ser reapontado para o mesmo, como tal, poderá usar-se a a tabela cd_estruturais.interface_moradas;
‣ 08/04/2024 17:09 Email Raul Custódio: Concordou com a utilização da tabela cd_estruturais.interface_moradas
‣ Verificou-se que apenas existe uma morada fiscal para cada Cliente (ver query infra):
SELECT a.data_date_part, (zcliente-dist_zcliente) as dif FROM
    (
        SELECT data_date_part, COUNT(clyr7003_zcliente) as zcliente FROM cd_estruturais.interface_moradas 
        WHERE clyr7003_imorfisc = 'S'
        AND data_date_part &gt;= '2023-01-01'
        GROUP BY data_date_part
    ) as a
    INNER JOIN 
    (
        SELECT data_date_part, COUNT( distinct clyr7003_zcliente) as dist_zcliente FROM cd_estruturais.interface_moradas 
        WHERE clyr7003_imorfisc = 'S'
        AND data_date_part &gt;= '2023-01-01'
        GROUP BY data_date_part
    ) as b
    ON a.data_date_part = b.data_date_part
    having  dif &lt;&gt;0</t>
  </si>
  <si>
    <t>‣ Não encontramos no LT -&gt; Confirmar com Nádia Ahmad e Dora Roxo; 
‣ Concatenação dos Campos "clyr7003_cpostal" + "clyr7003_cp3", da tabela cd_estruturais.interface_moradas
‣ 16/04/2024 Reunião com Ana Gomes da Silva/Alexandra Reis:  
 - Algumas aplicações Sintra consomem este Interface de Moradas (que é produzido com base na Base de Datos de Personas), outras aplicações Sintra consomem diretamente a Base de Datos de Personas e existem ainda outras aplicações Sintra que têm registos de Moradas nas suas próprias tabelas;
- Ana Gomes da Silva/Alexandra Reis alertaram que os Clientes com Morada Fiscal Estrangeira não têm código postal associado;
- Ana Gomes da Silva/Alexandra Reis indicaram que o campo "clyr7003_zmorada" se trata de um sequencial referente à ordem de entrada do registo;
- Ana Gomes da Silva/Alexandra Reis indicaram que cada Cliente tem apenas uma morada fiscal. Após consultar a tabela cd_estruturais.interface_moradas verificou-se que existem Clientes sem morada fiscal (clyr7003_imorfisc sempre igual a 'N' -&gt; ~100 registos). Enviaram-se estes Clientes para análise de  Ana Gomes da Silva/Alexandra Reis, dado que não é suposto acontecer (ver query infra);
select distinct clyr7003_zcliente
from
(
select clyr7003_zcliente, group_concat(distinct clyr7003_imorfisc, "|") as conc 
from cd_estruturais.interface_moradas where data_date_part = '2024-04-05'
group by 1
) d where conc='N'
‣ 08-04-2024 Reunião com LCM/João Godinho: Não se justifica replicar a lógica do Modelo Único de Dados pois no futuro este campo deverá ser reapontado para o mesmo, como tal, poderá usar-se a a tabela cd_estruturais.interface_moradas;
‣ 08/04/2024 17:09 Email Raul Custódio: Concordou com a utilização da tabela cd_estruturais.interface_moradas
‣ Verificou-se que apenas existe uma morada fiscal para cada Cliente (ver query infra):
   SELECT a.data_date_part, (zcliente-dist_zcliente) as dif FROM
    (
        SELECT data_date_part, COUNT(clyr7003_zcliente) as zcliente FROM cd_estruturais.interface_moradas 
        WHERE clyr7003_imorfisc = 'S'
        AND data_date_part &gt;= '2023-01-01'
        GROUP BY data_date_part
    ) as a
    INNER JOIN 
    (
        SELECT data_date_part, COUNT( distinct clyr7003_zcliente) as dist_zcliente FROM cd_estruturais.interface_moradas 
        WHERE clyr7003_imorfisc = 'S'
        AND data_date_part &gt;= '2023-01-01'
        GROUP BY data_date_part
    ) as b
    ON a.data_date_part = b.data_date_part
    having  dif &lt;&gt;0</t>
  </si>
  <si>
    <t>ENTITY-CNTRY
Devemos revisitar este campo em função do que virá a ser definido para os capos de morada acima, dado que atualmente vai à ct003 e convem que toda a informação de morada venha do mesmo sitio.</t>
  </si>
  <si>
    <t>não existe cashflow na al011 (mas existe no SIGOM)</t>
  </si>
  <si>
    <t>está na al011 cod taxa ref</t>
  </si>
  <si>
    <t>al029</t>
  </si>
  <si>
    <t>Not applicable: To be reported as "11111111111". 
This information will be availabe in "02_05_nat_instr_prot" table
Como o banco só aceita 1ªs hipotecas, este campo deverá ser reportado com 0. 
Desta forma terá de se confirmar com a corporação se podemos reportar o referido anteriormente, se não continua a vir "11111111111" (Not applicable).</t>
  </si>
  <si>
    <t>Na Parametrização atual do LT só são selecionados Titulares. Como tal, aqui no Valuation se fizermos a mesma parametrização, e dado que o report é sobre o Ativo, então o valor é sempre Debtor.
Contudo, é necessário validar melhor porque sera um campo novo e que noutros casos que nao o Valuation, por exemplo o Bail In sobre passivom então este campo deveria ser Creditor.
Ou não se cria o campo na tabela e fica apenas na exportação? (O)</t>
  </si>
  <si>
    <t>‣Não encontramos no LT -&gt; Confirmar com Nádia Ahmad e Dora Roxo; 
‣ Regra definida por Alexandre Esteves - CDO (email 09/04/2024 15:51). Contudo, salienta-se desde já que apenas se definiu regra para os casos em que a morada fiscal do cliente é portuguesa. Portanto, o que se faz com os restantes?
‣ A query proposta é a seguinte:
Nota 1: Quando não existe NUTS atribuído a um dos códigos postais de 7 dígitos, tenta-se fazer esta ligação apenas com os 4 primeiros dígitos, esta operação em certos casos (poucos) causa uma ambiguidade entre 2 NUTS em zonas de fronteira entre regiões. Este tema será contornado selecionando apenas uma das opções;
Nota 2: Esta query apenas irá recuperar o NUTS para clientes com morada fiscal portuguesa, mas mesmo dentro destes clientes por vezes não é possível associar um código NUTS.
SELECT 
    zcliente,
    IF(vias_pt.tayd91c0_nelemc05 IS NULL, vias_pt_redux.tayd91c0_nelemc05, vias_pt.tayd91c0_nelemc05) as nut_code
FROM
(
    SELECT clyr7003_zcliente as zcliente, CONCAT(clyr7003_cpostal,clyr7003_cp3) AS codigo_postal, clyr7003_cpostal as codigo_postal_redux
    FROM cd_estruturais.interface_moradas 
    WHERE data_date_part = (SELECT MAX(data_date_part) FROM cd_estruturais.interface_moradas WHERE data_date_part &lt; {REF_DATE})
    AND clyr7003_imorfisc = 'S'
) AS interface_moradas
LEFT JOIN
(
    SELECT 
        a.codigo_postal,
        tat91.tayd91c0_nelemc05
    FROM
    (
        SELECT concat(zona, codcomp) as codigo_postal, concat(coddis, codcon, fregna) as cod_distconfreg, fecalta
        FROM cd_estruturais.vias_pt
        WHERE data_date_part = (SELECT MAX(data_date_part)FROM cd_estruturais.vias_pt WHERE data_date_part &lt; {REF_DATE})
        AND fecbaja &gt; {REF_DATE}
        GROUP BY codigo_postal, cod_distconfreg, fecalta
    ) as a
    INNER JOIN
    (
        SELECT concat(zona, codcomp) as codigo_postal, MAX(fecalta) as max_fecalta
        FROM cd_estruturais.vias_pt
        WHERE data_date_part = (SELECT MAX(data_date_part)FROM cd_estruturais.vias_pt WHERE data_date_part &lt; {REF_DATE})
        AND fecbaja &gt; {REF_DATE}
        GROUP BY codigo_postal
    ) as b
    ON a.codigo_postal = b.codigo_postal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 tayd91c0_nelemc05
) as vias_pt
ON interface_moradas.codigo_postal = vias_pt.codigo_postal
LEFT JOIN
(
    -- Quando ligamos a tabela vias_pt à tat_91 apenas utilizando os primeiros 4 digitos do código postal ficamos com alguns casos de códigos postais com dois NUTS diferentes. Analisámos alguns casos e esta ambiguidade aparece em regiões
    -- que fazem fronteira, ou seja, pensamos que se tratam de casos em que uma rua atravessa a fronteira das regiões delineadas pelo código NUTS e que sem expecificar o código postal todo fica-se sem saber de que lado está. 
    -- Em reunião com Alexandre Esteves decidiu-se que não sendo possivel resolver esta ambiguidade deveriamos trazer sempre apenas um dos códigos NUTS encontrados cegamente. 
    SELECT 
        a.codigo_postal_redux,
        SPLIT_PART(GROUP_CONCAT(DISTINCT tat91.tayd91c0_nelemc05, '#'),'#',1) as tayd91c0_nelemc05
    FROM
    (
        SELECT zona as codigo_postal_redux, concat(coddis, codcon, '00') as cod_distconfreg, fecalta
        FROM cd_estruturais.vias_pt
        WHERE data_date_part = (SELECT MAX(data_date_part) FROM cd_estruturais.vias_pt WHERE data_date_part &lt; {REF_DATE})
        AND fecbaja &gt; {REF_DATE}
        GROUP BY codigo_postal_redux, cod_distconfreg, fecalta
    ) as a
    INNER JOIN
    (
        SELECT zona as codigo_postal_redux, MAX(fecalta) as max_fecalta
        FROM cd_estruturais.vias_pt
        WHERE data_date_part = (SELECT MAX(data_date_part)FROM cd_estruturais.vias_pt WHERE data_date_part &lt; {REF_DATE})
        AND fecbaja &gt; {REF_DATE}
        GROUP BY codigo_postal_redux
    ) as b
    ON a.codigo_postal_redux = b.codigo_postal_redux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codigo_postal_redux
) as vias_pt_redux
ON interface_moradas.codigo_postal_redux = vias_pt_redux.codigo_postal_redux</t>
  </si>
  <si>
    <t>‣ Não encontramos no LT -&gt; Confirmar com Nádia Ahmad e Dora Roxo; 
‣ Definiu-se a parametrizaçao necessária na reunião de 08-04-2024 com Sandra Brito, Rafael Pessoa e Claudia Correia (distintos códigos da tat91 ("H01","Y86")) partindo do campo "csector_inst" da tabela cd_captools.ct003_univ_cli (documento Sector Institucional mapeamento)</t>
  </si>
  <si>
    <t xml:space="preserve">‣ Não encontramos no LT -&gt; Confirmar com Nádia Ahmad e Dora Roxo; 
‣Analisar com LCM o email de Pedro Mendes com a resposta da Corporação (26/03/2024 17:28)
"Lo que se pide es la fecha en la que se actualizó por última vez el dato “Enterprise size”, un poco para saber cómo de actualizado/obsoleto está ese dato (puede que lleve sin recalcularse mucho tiempo)."
</t>
  </si>
  <si>
    <t>‣ Não encontramos no LT -&gt; Confirmar com Nádia Ahmad e Dora Roxo; 
Está a ser criada uma nova tabela que neste momento existe apenas em testes na bu_captools_work.fr044_univ_pme (no futuro: BD -&gt; business_sem2003361
Tabela -&gt; smefin_out_sme2003361), que contém  num_empg_indv e num_empg_grup. Contudo, LCM solicitou a João Pereira a adição de um novo campo que indique se foi utilizada informação do Grupo ou Individual.
Se  novo campo for Individual usar num_empg_indv
Se novo campo for Grupo usar num_empg_grup
João Pereira comentou a 18/04/2024 que não criou o novo campo que LCM solicitou dado que já existe nesta tabela o campo tipo_empr, que assume apenas 2 valores: Associada (quando é Grupo) ou Autonoma (quando é Individual)</t>
  </si>
  <si>
    <t>‣ Não encontramos no LT -&gt; Confirmar com Nádia Ahmad e Dora Roxo; 
Está a ser criada uma nova tabela que neste momento existe apenas em testes na bu_captools_work.fr044_univ_pme (no futuro: BD -&gt; business_sem2003361
Tabela -&gt; smefin_out_sme2003361), que contém  ativo_indv e ativo_grup. Contudo, LCM solicitou a João Pereira a adição de um novo campo que indique se foi utilizada informação do Grupo ou Individual.
se  novo campo for Individual usar ativo_indv
se novo campo for Grupo usar ativo_grup
João Pereira comentou a 18/04/2024 que não criou o novo campo que LCM solicitou dado que já existe nesta tabela o campo tipo_empr, que assume apenas 2 valores: Associada (quando é Grupo) ou Autonoma (quando é Individual)</t>
  </si>
  <si>
    <t xml:space="preserve">‣ Não encontramos no LT -&gt; Confirmar com Nádia Ahmad e Dora Roxo
16/04/2024 08:59 Email Luísa Quendera: 
     ‣ Este campo deve ser obtido a partir da tabela fr802_pl_contas:
          1º - Ligar o universo de INSTRUMENTS à tabela fr802_pl_contas através do campo conta, filtrando a tabela pelo campo carteira_contabilistica = 'garantias e compromissos concedidos';
          2º - Nesta tabela filtrada como é referido acima, obtemos as seguintes opções para o campo produto e as respetivas correspondências para o mapeamento pedido pelo SRB:
                         -&gt; ''                                                                                         --corresponde a---&gt; '' (não indicado pela Luísa -&gt; Questionar)
                         -&gt; 'garantias financeiras prestadas'                          --corresponde a---&gt; ?????'Financial guarantees given'????? (não indicado pela Luísa -&gt; Questionar)
                         -&gt; 'garantias prestadas'                                                  --corresponde a---&gt; 'Financial guarantees given'
                         -&gt; 'compromissos perante terceiros'                        --corresponde a---&gt; 'Loan commitments given'
                         -&gt; 'compromissos de credito concedidos'              --corresponde a---&gt; ?????'Loan commitments given'????? (não indicado pela Luísa -&gt; Questionar)
                         -&gt; 'outras responsabilidades perante terceiros'  --corresponde a---&gt; 'Other Commitments given'
METEDOLOGIA DE CRUZAMENTO:
1) Cruzar LT002_INSTRUMENT com FR001_UNIV_SALDO para obter o campo  contas contabílisticas:
LT002_INSTRUMENT 
LEFT JOIN 
(SELECT * FROM FR001_UNIV_SALDO)
ON INSTRMNT_ID = CONCAT(CEMPRESA, CBALCAO, CNUMECTA, ZDEPOSIT)
2) Cruzar o campo obtido no passo anterior com o plano de contas através da tabela FR802_PL_CONTAS:
(SELECT * FROM FR802_PL_CONTAS
 WHERE cod_plano = '[Perimetro]')
ON [CONTA] = CONTA
NOTA: A variável [CONTA] proveniente da tabela FR001_UNIV_SALDO varia entre CCONTAB_FINAL_IFRS, CCONTAB_FINAL_ST_SGPS, CCONTAB_FINAL_SGPS_CONS, CCONTAB_FINAL_CARGABAL consoante o nome_perimetro calculado.
             Como o nosso processo é sobre o Individual Local, devemos usar o campo CCONTAB_FINAL_IFRS e no filtro da tabela FR802 indicado em cima [Perimetro] devemos colocar 'BST_IND', embora o prcesso Loan Tapes tem de estar preparado para qualquer perimetro visto que é uma wallet de campos e outros projetos podem necessitar desta informação para outro perimetro.
</t>
  </si>
  <si>
    <t>procurar na al030 os saldos  (a dtt somou vários campos)</t>
  </si>
  <si>
    <t>The risk weight allocated to the instrument, calculated according to Articles 92(3) and 92(4) of Regulation (EU) No 575/2013 (CRR), where
applicable.</t>
  </si>
  <si>
    <t>INSTRUMENT-ISSR_RTNG_SRC
Nota: Atualmente este campo do LT apenas apresenta os valores: 'MISS' ou 'N/A'. Está a ser alimentado pela ct619_ratings, contudo,  esta tabela não está a ser aprovisionada. Portanto, no futuro terá de se identificar a fonte da verdade desta informação para se aprovisionar a tabela ct619_ratings.</t>
  </si>
  <si>
    <t xml:space="preserve">‣ Não encontramos no LT -&gt; Confirmar com Nádia Ahmad e Dora Roxo; 
1ª Ação: Pedro Mendes vai questionar a Corporação sobre o conceito. (particularmente o tema do "domestic") -&gt; Ler documento anacredit 
Considerando que o termo "domestic",  no entendimento do LCM então pretende-se saber se existe uma hierarquia de Cliente que responda ao solicitado. Exemplo: a empresa A é detida pela empresa B que por sua vez é detida pela empresa C que por sua vez é detida pela empresa D, então:
Immediate parent undertaking identifier: empresa B
Ultimate parent undertaking identifier: empresa D
2ª Ação:
Falar com Luís Bastos (Riscos):Ver se  existe esta informação no Mágico ou algures noutro sítio (para clientes em Portugal) -&gt; Segundo Luís Bastos no Mágico não está
Catarina Carvalho (Riscos): Ver se existe esta informação no aqua ou algures noutro sítio (para clientes CIB) -&gt; email 19/04/2024 10:13 "Esta info está no CREAM (cuja a origem é JQUEST, aplicativo corporativo ao qual não temos acesso em Portugal).
No AQUA penso que também existem códigos de 4 e 5, no entanto não sei se aparecem as hierarquias e não sei como é alimentado, já que é um aplicativo usado essencialmente por Admissão."
Outro ponto de contacto para o ponto acima: João Luís Almeida (apenas conhece a LMT11)
1ª Alternativa 
Rui Machinho e Nuno Almeida. Ver se no GBO existe esta informação
Segundo Rui Machinho (email 19/03/2024 16:45), "Do que sabemos do GBO, não temos conhecimento que a hierarquia de Cliente conste no GBO, nem percentagem de detenção."
Segundo Nuno Almeida (email 19/03/2024 17:07), "o GBO/Sigom não tem a informação ao nível das hierarquias. O único sistema global que conheço e que consta essa informação é o CREAM (exemplo do informe abaixo). Mas esta informação apenas consta para clientes/grupo CIB. Adicionalmente informar que os códigos identificativos dos clientes/grupos são corporativos."
2ª Alternativa: 
LCM comentou que há um ficheiro que a Cristiana está a trabalhar e que vem do JQUEST (aplicação da Corporação com a relação dos grupos económicos em códigos KGL). 
LCM enviou email (18/03/2024 11:34) onde solicitou a ingesta deste ficheiro.
3ª Alternativa:
Ver se existe no DB Informa no Datalake (Nuno Parreiras tem o dicionário). Se não existir, questionar a DB Informa (Fornecedor) como obter esta informação da informação que o banco está a receber.
</t>
  </si>
  <si>
    <t>INSTRUMENT-DT_VLTN
Nas tabelas LT e no próprio ficheiro que é enviado, as datas constam no fomato YYYY-MM-DD.
Terá de se questionar a Corporação se se pode enviar no formato  YYYY-MM-DD (tal como hoje se envia no LT) ou se tem mesmo de ser nos formatos solicitados pelo SRB: 
DD/MM/AA, DD/MM/YY</t>
  </si>
  <si>
    <t>Campo a revisitar no futuro</t>
  </si>
  <si>
    <t>INSTRUMENT-GRNTR_ID
Nota: O input do campo do LT vai alterar no futuro</t>
  </si>
  <si>
    <t xml:space="preserve">INSTRUMENT-INSTR_SNRTY_CLSS
</t>
  </si>
  <si>
    <t>INSTRUMENT-SPRD
Nota: Este campo está mapeado com o mesmo que mapeamos para o V_149 da sheet Natural Person Instruments.(ou seja na realidade deveriam ter o mesmo id)</t>
  </si>
  <si>
    <t>Novo campo: valor 'MISS' para Equity e 'N/A' os restantes. Ou seja, a regra a aplicar estará dependente da definição do Universo de Equity Instruments.
Único campo que não existe no Debt Securities (todos os outros existem)</t>
  </si>
  <si>
    <t xml:space="preserve">‣ emaill 22/04/2024 20:17 Rute Ferreira com o Histórico de conversações:
- Carmo Rodrigues não conseguiu esclarecer as 3 questões endereçadas.
‣ email 23/04/2024 20:24 de Paulo Oliveira:
1) Não tenho conhecimento que existam shipping portfolios no Banco, confirmas? 
Pode ser que seja categorizado pelo Banco de outra forma. Asset lending não, mas não descartava que houvesse alguns barcos financiados em leasing nomeadamente para empresas do sector. Perguntava á Leasing. Não sei se não haverá como colateral algum cliente que tenha dado o seu barco de recreio (iate).
2) Se eventualmente existisse uma Empresa que quisesse dar alguma destas opções como colateral, o Banco aceitava? 
Sim, são activos com valor de mercado. Tal como aceitamos aviões, aceitariamos navios como colateral 
3) Em caso afirmativo ao ponto 2), sabes de algum caso em concreto para que possa ir verificar e ver como fica registado no Banco? 
Não me lembro de nenhum  Acho que deveramos ir analisar as empresas de navegação com frota.
</t>
  </si>
  <si>
    <t>‣ Não encontramos no LT -&gt; Confirmar com Nádia Ahmad e Dora Roxo
Foi marcada uma reuniao com Luisa/Rafael (02-04-2024) para discutir este campo juntamente com o campo "Off-balance sheet":
Questionar LCM com que entendimento ficou? Sempre  'Entirely recognised' ou sempre 'NA'.</t>
  </si>
  <si>
    <t>Cada contrato de derivados tem apenas um zcliente associado em todo o histórico da al011_derivados (confirmado na query infra), contudo, no futuro não sabemos se não poderão exisitr várias contrapartes para  o mesmo contrato, e nesse caso teria de existir uma sheets de traçabilidade INSTRUMENT_COUNTERPARTY. 
Novo campo (este campo não consta atualmente na tabela de Instrumentos). Poderá ser preenchido com o campo "zcliente" da al011_derivados? E seria preenchido apenas para derivados? ou preenchia-se para todos e trazia-se apenas os primeiros titulares.
SELECT cempresa,cbalcao, cnumecta, zdeposit, ref_date, COUNT(DISTINCT zcliente) as contagem FROM al011_derivados
GROUP BY cempresa,cbalcao, cnumecta,zdeposit, ref_date
HAVING contagem &gt; 1</t>
  </si>
  <si>
    <t>INSTRUMENT-ISSR_ID_TYP : Type of code used to identify the issuer (Legal entity)</t>
  </si>
  <si>
    <t>INSTRUMENT-ISSR_CNTRY : The country code of the country where the registered office of the issuer is located. To be completed only where no ISIN has been provided</t>
  </si>
  <si>
    <t>Pedro Mendes vai verificar</t>
  </si>
  <si>
    <t>questionar Pedro Mendes/LCM</t>
  </si>
  <si>
    <t>Campo "'instrumento" da tabela cd_alm.al011_derivados?
Este campo (vem as is do SIGOM) divide os contratos de derivados em:
‣ Swap
‣ Caps And Floors
‣ OTC Option
‣ FX Non Delivery Forward
‣ BOND FORWARD
Devemos ainda considerar al005_swapc que tem os SWAPs Cambiais? Seriam que instrumento?</t>
  </si>
  <si>
    <t xml:space="preserve">Pedro Mendes vai verificar </t>
  </si>
  <si>
    <t>A al011/al005 tem apenas a  indicação do gportfolio, ou seja, não refere se é ou não colaterizado.
Perguntar ao Pedro Mendes</t>
  </si>
  <si>
    <t>Partindo da al011, vai-se ao Ficheiro all deals Totta (vem de Espanha) com indicação do que entra para IM ou VM (que é al614). Nesta tabela o front id é o deal e existe a indicação de qual o portfolio no campo "portfolio"
Depois al015_act_fin no cod_prop ver VM Derivados e IM Derivados. Ver qual o campo de montante a trazer</t>
  </si>
  <si>
    <t>Campo "trade_keyword_uti_reference" da tabela cd_alm.al614_colt_totta?
632 derivados na al011 (2023-12-31):
--142 estão na al614
--490 não estão na al614
Rogério Sacadura: "O UTI é um dos atributos das operações que guardamos para efeitos de reporte regulatório." 
Pedro Mendes: "Em relação ao UTI (identificador dos derivados com as Câmaras - LCH e EUREX).
 O mesmo é capturado no SIGOM como Alias.
 O que me disseram é que há um ficheiro chamado "all deals" (?) em que esse dado está lá."
Em princípio não poderá ser:
INSTRUMENT-INSTRMNT_ID tem o tema de ter espaços no contrato (cnumecta tem espaços nestes contratos)
ou o código do deal?</t>
  </si>
  <si>
    <t>cod_moeda_1 al015_act_fin
Será "principal_ccy" e/ou "principal_2_ccy " da al614_colt_totta??</t>
  </si>
  <si>
    <t>Ver Perna1 e Perna2</t>
  </si>
  <si>
    <t>O banco tem  Credit Default Swap (CDS) ?
Sugestão: Tabela al005_swapc através dos campos mon_premio ou mon_premio_amort complementado pelo seu sinal representado no campo "csinal_mon_premio"
Para o resto dos derivados (al011) não encontrei nenhum campo que represente este conceito diretamente</t>
  </si>
  <si>
    <t>INSTRUMENT-HEDGE_ID: Hedge ID if the position is part of an economic/accounting hedge</t>
  </si>
  <si>
    <t>INSTRUMENT-ACCNTNG_CLSSFCTN: 
Accounting portfolio where the instrument is recorded in accordance with the accounting standard – IFRS or national GAAP – under Regulation (EU) 2015/534 (ECB/2015/13) applied by the observed agent’s legal entity.
O codelist deste campo no LT: 
2 IFRS: Financial assets held for trading
3 nGAAP: Trading Financial assets
4 IFRS: Financial assets designated at fair value through profit or loss
5 nGAAP: Available-for-sale financial assets
6 IFRS: Financial assets at amortised cost
7 nGAAP: Non-trading non-derivative financial assets measured at fair value through profit or loss
8 IFRS: Financial assets at fair value through other comprehensive income
9 nGAAP: Non-trading non-derivative financial assets measured at fair value to equity
10 nGAAP: Loans and receivables
12 nGAAP: Held-to-maturity investments
13 nGAAP: Non-trading non-derivative financial instruments measured at a cost-based method
14 IFRS: Cash balances at central banks and other demand deposits
15 nGAAP: Other Non-trading Non-derivative Financial assets
41 IFRS: Non-trading financial assets mandatorily at fair value through profit or loss
45 nGAAP: Cash balances at central banks and other demand deposits
46 nGAAP: Financial assets held for trading
47 nGAAP: Financial assets designated at fair value through profit or loss
48 nGAAP: Non-trading financial assets mandatorily at fair value through profit or loss</t>
  </si>
  <si>
    <t xml:space="preserve">INSTRUMENT-PRDNTL_PRTFL: Indicate if the instrument is classified in the trading book or in the banking book for prudential purposes.
O codelist deste campo no LT: 
1 Trading book
2 Non-trading book
</t>
  </si>
  <si>
    <t>Não é o 'INSTRUMENT-IMPRMNT_STTS: Impairment status pois não?
O codelist deste campo no LT: 
21  General allowances (GAAP)
23  Stage 1 (IFRS)
24  Stage 2 (IFRS)
25  Stage 3 (IFRS)
26  Specific allowances (GAAP)</t>
  </si>
  <si>
    <t>Não tem guidance.
'INSTRUMENT-PRDCT
Este campo no LT tem a concatenação do produto + subproduto +  Descrição: 
O produto e o subproduto vêm dos campos CPRODUTO, CSUBPRODUTO  da FR004_CTO e a descrição vem do campo TAYD91C0_GELEMTAB da tabela  TAT91_TABELAS WHERE TAYD91C0_CTABELA = '927'
Ex de valor na LT002: 000003 - RENTING
No caso concreto de Derivados seria: 
101IGS - SWAPS IRS GRUPO
102PF7 - OPCOES VENDA DE PUT FX GRUPO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</si>
</sst>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1"/>
      <name val="Calibri"/>
      <family val="2"/>
      <scheme val="minor"/>
    </font>
    <font>
      <b/>
      <u/>
      <sz val="14"/>
      <color theme="1"/>
      <name val="Calibri"/>
      <family val="2"/>
      <scheme val="minor"/>
    </font>
    <font>
      <sz val="11"/>
      <color rgb="FF3C4043"/>
      <name val="Calibri"/>
      <family val="2"/>
      <scheme val="minor"/>
    </font>
    <font>
      <b/>
      <sz val="11"/>
      <color theme="0"/>
      <name val="Calibri"/>
      <family val="2"/>
      <scheme val="minor"/>
    </font>
    <font>
      <sz val="10"/>
      <name val="Arial"/>
      <family val="2"/>
    </font>
    <font>
      <sz val="11"/>
      <name val="Calibri"/>
      <family val="2"/>
      <scheme val="minor"/>
    </font>
    <font>
      <u/>
      <sz val="11"/>
      <color theme="10"/>
      <name val="Calibri"/>
      <family val="2"/>
      <scheme val="minor"/>
    </font>
    <font>
      <sz val="11"/>
      <color theme="0"/>
      <name val="Calibri"/>
      <family val="2"/>
      <scheme val="minor"/>
    </font>
    <font>
      <sz val="6"/>
      <color rgb="FF787878"/>
      <name val="Arial"/>
      <family val="2"/>
    </font>
    <font>
      <u/>
      <sz val="11"/>
      <color theme="1"/>
      <name val="Calibri"/>
      <family val="2"/>
      <scheme val="minor"/>
    </font>
    <font>
      <b/>
      <u/>
      <sz val="11"/>
      <color theme="1"/>
      <name val="Calibri"/>
      <family val="2"/>
      <scheme val="minor"/>
    </font>
  </fonts>
  <fills count="32">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theme="4" tint="0.79998168889431442"/>
      </patternFill>
    </fill>
    <fill>
      <patternFill patternType="solid">
        <fgColor theme="4" tint="0.79998168889431442"/>
        <bgColor indexed="64"/>
      </patternFill>
    </fill>
    <fill>
      <patternFill patternType="solid">
        <fgColor rgb="FFFFFF00"/>
        <bgColor theme="4" tint="0.79998168889431442"/>
      </patternFill>
    </fill>
    <fill>
      <patternFill patternType="solid">
        <fgColor theme="9" tint="0.39997558519241921"/>
        <bgColor indexed="64"/>
      </patternFill>
    </fill>
    <fill>
      <patternFill patternType="solid">
        <fgColor theme="9" tint="0.39997558519241921"/>
        <bgColor theme="4" tint="0.79998168889431442"/>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theme="7" tint="0.79998168889431442"/>
        <bgColor theme="4" tint="0.79998168889431442"/>
      </patternFill>
    </fill>
    <fill>
      <patternFill patternType="solid">
        <fgColor theme="9" tint="0.79998168889431442"/>
        <bgColor theme="4" tint="0.79998168889431442"/>
      </patternFill>
    </fill>
    <fill>
      <patternFill patternType="solid">
        <fgColor theme="9" tint="0.79998168889431442"/>
        <bgColor indexed="64"/>
      </patternFill>
    </fill>
    <fill>
      <patternFill patternType="solid">
        <fgColor theme="7"/>
        <bgColor indexed="64"/>
      </patternFill>
    </fill>
    <fill>
      <patternFill patternType="solid">
        <fgColor rgb="FFFFFF00"/>
        <bgColor indexed="64"/>
      </patternFill>
    </fill>
    <fill>
      <patternFill patternType="solid">
        <fgColor theme="0"/>
        <bgColor indexed="64"/>
      </patternFill>
    </fill>
    <fill>
      <patternFill patternType="solid">
        <fgColor theme="0"/>
        <bgColor theme="4"/>
      </patternFill>
    </fill>
    <fill>
      <patternFill patternType="solid">
        <fgColor theme="5"/>
        <bgColor theme="4"/>
      </patternFill>
    </fill>
    <fill>
      <patternFill patternType="solid">
        <fgColor theme="6" tint="0.79998168889431442"/>
        <bgColor theme="4" tint="0.79998168889431442"/>
      </patternFill>
    </fill>
    <fill>
      <patternFill patternType="solid">
        <fgColor theme="6"/>
        <bgColor theme="4"/>
      </patternFill>
    </fill>
    <fill>
      <patternFill patternType="solid">
        <fgColor theme="9"/>
        <bgColor theme="4"/>
      </patternFill>
    </fill>
    <fill>
      <patternFill patternType="solid">
        <fgColor theme="5"/>
        <bgColor indexed="64"/>
      </patternFill>
    </fill>
    <fill>
      <patternFill patternType="solid">
        <fgColor theme="5" tint="0.39997558519241921"/>
        <bgColor theme="4"/>
      </patternFill>
    </fill>
    <fill>
      <patternFill patternType="solid">
        <fgColor theme="6" tint="0.79998168889431442"/>
        <bgColor indexed="64"/>
      </patternFill>
    </fill>
    <fill>
      <patternFill patternType="solid">
        <fgColor theme="0" tint="-4.9989318521683403E-2"/>
        <bgColor theme="4" tint="0.79998168889431442"/>
      </patternFill>
    </fill>
    <fill>
      <patternFill patternType="solid">
        <fgColor theme="6"/>
        <bgColor indexed="64"/>
      </patternFill>
    </fill>
    <fill>
      <patternFill patternType="solid">
        <fgColor theme="9"/>
        <bgColor indexed="64"/>
      </patternFill>
    </fill>
    <fill>
      <patternFill patternType="solid">
        <fgColor theme="5"/>
        <bgColor theme="4" tint="0.79998168889431442"/>
      </patternFill>
    </fill>
    <fill>
      <patternFill patternType="solid">
        <fgColor theme="2"/>
        <bgColor indexed="64"/>
      </patternFill>
    </fill>
    <fill>
      <patternFill patternType="solid">
        <fgColor theme="2"/>
        <bgColor theme="4" tint="0.79998168889431442"/>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top/>
      <bottom/>
      <diagonal/>
    </border>
  </borders>
  <cellStyleXfs count="3">
    <xf numFmtId="0" fontId="0" fillId="0" borderId="0"/>
    <xf numFmtId="0" fontId="5" fillId="0" borderId="0"/>
    <xf numFmtId="0" fontId="7" fillId="0" borderId="0" applyNumberFormat="0" applyFill="0" applyBorder="0" applyAlignment="0" applyProtection="0"/>
  </cellStyleXfs>
  <cellXfs count="1150">
    <xf numFmtId="0" fontId="0" fillId="0" borderId="0" xfId="0"/>
    <xf numFmtId="0" fontId="1" fillId="2" borderId="7"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wrapText="1"/>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0" fillId="3" borderId="23" xfId="0" applyFill="1" applyBorder="1" applyAlignment="1">
      <alignment horizontal="center" vertical="center" wrapText="1"/>
    </xf>
    <xf numFmtId="0" fontId="4" fillId="4" borderId="5" xfId="0" applyFont="1" applyFill="1" applyBorder="1" applyAlignment="1">
      <alignment horizontal="center" vertical="center"/>
    </xf>
    <xf numFmtId="0" fontId="0" fillId="0" borderId="0" xfId="0" applyAlignment="1">
      <alignment horizontal="left"/>
    </xf>
    <xf numFmtId="0" fontId="0" fillId="0" borderId="0" xfId="0" applyAlignment="1">
      <alignment horizontal="left" vertical="top"/>
    </xf>
    <xf numFmtId="0" fontId="1" fillId="0" borderId="0" xfId="0" applyFont="1" applyAlignment="1">
      <alignment horizontal="center" vertical="center" wrapText="1"/>
    </xf>
    <xf numFmtId="0" fontId="1" fillId="0" borderId="0" xfId="0" applyFont="1" applyAlignment="1">
      <alignment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6" fillId="5" borderId="1" xfId="0" applyFont="1" applyFill="1" applyBorder="1" applyAlignment="1">
      <alignment horizontal="left" vertical="center" wrapText="1"/>
    </xf>
    <xf numFmtId="0" fontId="0" fillId="0" borderId="1" xfId="0" applyBorder="1" applyAlignment="1">
      <alignment vertical="center" wrapText="1"/>
    </xf>
    <xf numFmtId="0" fontId="0" fillId="0" borderId="12" xfId="0" applyBorder="1" applyAlignment="1">
      <alignment horizontal="center" vertical="center" wrapText="1"/>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4" fillId="4" borderId="4"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0" borderId="15" xfId="0" applyBorder="1" applyAlignment="1">
      <alignment horizontal="center" vertical="center" wrapText="1"/>
    </xf>
    <xf numFmtId="0" fontId="0" fillId="0" borderId="0" xfId="0" applyAlignment="1">
      <alignment horizontal="center" vertical="center"/>
    </xf>
    <xf numFmtId="0" fontId="0" fillId="0" borderId="1" xfId="0" quotePrefix="1" applyBorder="1" applyAlignment="1">
      <alignment horizontal="center" vertical="center" wrapText="1"/>
    </xf>
    <xf numFmtId="0" fontId="0" fillId="17" borderId="1" xfId="0" applyFill="1" applyBorder="1" applyAlignment="1">
      <alignment horizontal="left" vertical="center" wrapText="1"/>
    </xf>
    <xf numFmtId="0" fontId="4" fillId="18" borderId="0" xfId="0" applyFont="1" applyFill="1" applyBorder="1" applyAlignment="1">
      <alignment horizontal="center" vertical="center"/>
    </xf>
    <xf numFmtId="0" fontId="0" fillId="5" borderId="0" xfId="0" applyFill="1" applyBorder="1" applyAlignment="1">
      <alignment horizontal="left" vertical="center" wrapText="1"/>
    </xf>
    <xf numFmtId="0" fontId="0" fillId="17" borderId="0" xfId="0" applyFill="1" applyBorder="1" applyAlignment="1">
      <alignment horizontal="left" vertical="center" wrapText="1"/>
    </xf>
    <xf numFmtId="0" fontId="4" fillId="4" borderId="29" xfId="0" applyFont="1" applyFill="1" applyBorder="1" applyAlignment="1">
      <alignment horizontal="center" vertical="center"/>
    </xf>
    <xf numFmtId="0" fontId="0" fillId="0" borderId="35" xfId="0" applyBorder="1" applyAlignment="1">
      <alignment horizontal="left" vertical="center" wrapText="1"/>
    </xf>
    <xf numFmtId="0" fontId="0" fillId="0" borderId="13" xfId="0" applyBorder="1" applyAlignment="1">
      <alignment horizontal="left" vertical="center" wrapText="1"/>
    </xf>
    <xf numFmtId="0" fontId="0" fillId="0" borderId="0" xfId="0" applyBorder="1"/>
    <xf numFmtId="0" fontId="0" fillId="0" borderId="0" xfId="0" applyBorder="1" applyAlignment="1">
      <alignment horizontal="left"/>
    </xf>
    <xf numFmtId="0" fontId="0" fillId="0" borderId="0" xfId="0" applyBorder="1" applyAlignment="1">
      <alignment horizontal="left" vertical="center"/>
    </xf>
    <xf numFmtId="0" fontId="0" fillId="0" borderId="0" xfId="0" applyBorder="1" applyAlignment="1">
      <alignment horizontal="center" vertical="center"/>
    </xf>
    <xf numFmtId="0" fontId="0" fillId="0" borderId="12" xfId="0" applyBorder="1" applyAlignment="1">
      <alignment horizontal="left" vertical="center" wrapText="1"/>
    </xf>
    <xf numFmtId="0" fontId="4" fillId="4" borderId="33" xfId="0" applyFont="1" applyFill="1" applyBorder="1" applyAlignment="1">
      <alignment horizontal="center" vertical="center"/>
    </xf>
    <xf numFmtId="0" fontId="0" fillId="16" borderId="37" xfId="0" applyFill="1" applyBorder="1" applyAlignment="1">
      <alignment horizontal="left" vertical="center" wrapText="1"/>
    </xf>
    <xf numFmtId="0" fontId="0" fillId="16" borderId="36" xfId="0" applyFill="1" applyBorder="1" applyAlignment="1">
      <alignment horizontal="left" vertical="center" wrapText="1"/>
    </xf>
    <xf numFmtId="0" fontId="0" fillId="3" borderId="16" xfId="0" applyFill="1" applyBorder="1" applyAlignment="1">
      <alignment horizontal="left" vertical="center" wrapText="1"/>
    </xf>
    <xf numFmtId="0" fontId="4" fillId="4" borderId="11" xfId="0" applyFont="1" applyFill="1" applyBorder="1" applyAlignment="1">
      <alignment horizontal="center" vertical="center"/>
    </xf>
    <xf numFmtId="0" fontId="4" fillId="4" borderId="40" xfId="0" applyFont="1" applyFill="1" applyBorder="1" applyAlignment="1">
      <alignment horizontal="center" vertical="center"/>
    </xf>
    <xf numFmtId="0" fontId="0" fillId="0" borderId="16" xfId="0" applyBorder="1" applyAlignment="1">
      <alignment horizontal="left" vertical="top" wrapText="1"/>
    </xf>
    <xf numFmtId="0" fontId="0" fillId="14" borderId="37" xfId="0" applyFill="1" applyBorder="1" applyAlignment="1">
      <alignment horizontal="left" vertical="center" wrapText="1"/>
    </xf>
    <xf numFmtId="0" fontId="0" fillId="14" borderId="38" xfId="0" applyFill="1" applyBorder="1" applyAlignment="1">
      <alignment horizontal="left" vertical="center" wrapText="1"/>
    </xf>
    <xf numFmtId="0" fontId="0" fillId="0" borderId="14" xfId="0" applyBorder="1" applyAlignment="1">
      <alignment horizontal="center" vertical="center" wrapText="1"/>
    </xf>
    <xf numFmtId="0" fontId="0" fillId="0" borderId="15" xfId="0" applyBorder="1" applyAlignment="1">
      <alignment horizontal="left" vertical="top" wrapText="1"/>
    </xf>
    <xf numFmtId="0" fontId="4" fillId="22" borderId="3" xfId="0" applyFont="1" applyFill="1" applyBorder="1" applyAlignment="1">
      <alignment horizontal="center" vertical="center"/>
    </xf>
    <xf numFmtId="0" fontId="4" fillId="22" borderId="4" xfId="0" applyFont="1" applyFill="1" applyBorder="1" applyAlignment="1">
      <alignment horizontal="center" vertical="center"/>
    </xf>
    <xf numFmtId="0" fontId="4" fillId="22" borderId="5" xfId="0" applyFont="1" applyFill="1" applyBorder="1" applyAlignment="1">
      <alignment horizontal="center" vertical="center"/>
    </xf>
    <xf numFmtId="0" fontId="0" fillId="13" borderId="2" xfId="0" applyFill="1" applyBorder="1" applyAlignment="1">
      <alignment horizontal="center" vertical="center" wrapText="1"/>
    </xf>
    <xf numFmtId="0" fontId="0" fillId="13" borderId="1" xfId="0" applyFill="1" applyBorder="1" applyAlignment="1">
      <alignment horizontal="center" vertical="center" wrapText="1"/>
    </xf>
    <xf numFmtId="0" fontId="0" fillId="13" borderId="12" xfId="0" applyFill="1" applyBorder="1" applyAlignment="1">
      <alignment horizontal="left" vertical="center" wrapText="1"/>
    </xf>
    <xf numFmtId="0" fontId="0" fillId="13" borderId="1" xfId="0" applyFill="1" applyBorder="1" applyAlignment="1">
      <alignment vertical="center" wrapText="1"/>
    </xf>
    <xf numFmtId="0" fontId="0" fillId="13" borderId="15" xfId="0" applyFill="1" applyBorder="1" applyAlignment="1">
      <alignment horizontal="center" vertical="center" wrapText="1"/>
    </xf>
    <xf numFmtId="0" fontId="4" fillId="21" borderId="33" xfId="0" applyFont="1" applyFill="1" applyBorder="1" applyAlignment="1">
      <alignment horizontal="center" vertical="center"/>
    </xf>
    <xf numFmtId="0" fontId="4" fillId="22" borderId="9" xfId="0" applyFont="1" applyFill="1" applyBorder="1" applyAlignment="1">
      <alignment horizontal="center" vertical="center"/>
    </xf>
    <xf numFmtId="0" fontId="4" fillId="22" borderId="10" xfId="0" applyFont="1" applyFill="1" applyBorder="1" applyAlignment="1">
      <alignment horizontal="center" vertical="center"/>
    </xf>
    <xf numFmtId="0" fontId="4" fillId="22" borderId="11" xfId="0" applyFont="1" applyFill="1" applyBorder="1" applyAlignment="1">
      <alignment horizontal="center" vertical="center" wrapText="1"/>
    </xf>
    <xf numFmtId="0" fontId="0" fillId="13" borderId="12" xfId="0" applyFill="1" applyBorder="1" applyAlignment="1">
      <alignment horizontal="left" vertical="center"/>
    </xf>
    <xf numFmtId="0" fontId="0" fillId="13" borderId="1" xfId="0" applyFill="1" applyBorder="1" applyAlignment="1">
      <alignment horizontal="center" vertical="center"/>
    </xf>
    <xf numFmtId="0" fontId="4" fillId="21" borderId="40" xfId="0" applyFont="1" applyFill="1" applyBorder="1" applyAlignment="1">
      <alignment horizontal="center" vertical="center"/>
    </xf>
    <xf numFmtId="0" fontId="0" fillId="13" borderId="12" xfId="0" applyFill="1" applyBorder="1" applyAlignment="1">
      <alignment vertical="center" wrapText="1"/>
    </xf>
    <xf numFmtId="0" fontId="2" fillId="2" borderId="32" xfId="0" applyFont="1" applyFill="1" applyBorder="1" applyAlignment="1">
      <alignment horizontal="left" vertical="center" wrapText="1"/>
    </xf>
    <xf numFmtId="0" fontId="0" fillId="0" borderId="37" xfId="0" applyBorder="1" applyAlignment="1">
      <alignment horizontal="center" vertical="center" wrapText="1"/>
    </xf>
    <xf numFmtId="0" fontId="0" fillId="13" borderId="21" xfId="0" applyFill="1" applyBorder="1" applyAlignment="1">
      <alignment horizontal="left" vertical="center" wrapText="1"/>
    </xf>
    <xf numFmtId="0" fontId="0" fillId="13" borderId="2" xfId="0" applyFill="1" applyBorder="1" applyAlignment="1">
      <alignment horizontal="left" vertical="center" wrapText="1"/>
    </xf>
    <xf numFmtId="0" fontId="0" fillId="13" borderId="1" xfId="0" applyFill="1" applyBorder="1" applyAlignment="1">
      <alignment horizontal="left" vertical="center" wrapText="1"/>
    </xf>
    <xf numFmtId="0" fontId="0" fillId="13" borderId="24" xfId="0" applyFill="1" applyBorder="1" applyAlignment="1">
      <alignment horizontal="left" vertical="center" wrapText="1"/>
    </xf>
    <xf numFmtId="0" fontId="0" fillId="13" borderId="13" xfId="0" applyFill="1" applyBorder="1" applyAlignment="1">
      <alignment horizontal="left" vertical="center" wrapText="1"/>
    </xf>
    <xf numFmtId="0" fontId="0" fillId="13" borderId="1" xfId="0" applyFill="1" applyBorder="1" applyAlignment="1">
      <alignment vertical="center" wrapText="1"/>
    </xf>
    <xf numFmtId="0" fontId="0" fillId="3" borderId="35" xfId="0" applyFill="1" applyBorder="1" applyAlignment="1">
      <alignment horizontal="left" vertical="center" wrapText="1"/>
    </xf>
    <xf numFmtId="0" fontId="0" fillId="3" borderId="24" xfId="0" applyFill="1" applyBorder="1" applyAlignment="1">
      <alignment horizontal="left" vertical="center" wrapText="1"/>
    </xf>
    <xf numFmtId="0" fontId="0" fillId="8" borderId="37" xfId="0" applyFill="1" applyBorder="1" applyAlignment="1">
      <alignment horizontal="left" vertical="center" wrapText="1"/>
    </xf>
    <xf numFmtId="0" fontId="0" fillId="11" borderId="37" xfId="0" applyFill="1" applyBorder="1" applyAlignment="1">
      <alignment horizontal="left" vertical="center" wrapText="1"/>
    </xf>
    <xf numFmtId="0" fontId="0" fillId="3" borderId="18" xfId="0" applyFill="1" applyBorder="1" applyAlignment="1">
      <alignment horizontal="left" vertical="center" wrapText="1"/>
    </xf>
    <xf numFmtId="0" fontId="0" fillId="20" borderId="37" xfId="0" applyFill="1" applyBorder="1" applyAlignment="1">
      <alignment horizontal="center" vertical="center" wrapText="1"/>
    </xf>
    <xf numFmtId="0" fontId="0" fillId="3" borderId="1"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35"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0" fillId="13" borderId="16" xfId="0" applyFill="1" applyBorder="1" applyAlignment="1">
      <alignment horizontal="left" vertical="center" wrapText="1"/>
    </xf>
    <xf numFmtId="0" fontId="0" fillId="13" borderId="15" xfId="0" applyFill="1" applyBorder="1" applyAlignment="1">
      <alignment horizontal="left"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5" borderId="21" xfId="0" applyFill="1" applyBorder="1" applyAlignment="1">
      <alignment horizontal="left" vertical="center" wrapText="1"/>
    </xf>
    <xf numFmtId="0" fontId="0" fillId="13" borderId="13" xfId="0" applyFill="1" applyBorder="1" applyAlignment="1">
      <alignment horizontal="center" vertical="center" wrapText="1"/>
    </xf>
    <xf numFmtId="0" fontId="0" fillId="5" borderId="1" xfId="0" applyFill="1" applyBorder="1" applyAlignment="1">
      <alignment vertical="center" wrapText="1"/>
    </xf>
    <xf numFmtId="0" fontId="0" fillId="0" borderId="13" xfId="0" applyBorder="1" applyAlignment="1">
      <alignment horizontal="center" vertical="center" wrapText="1"/>
    </xf>
    <xf numFmtId="0" fontId="0" fillId="5" borderId="12" xfId="0" applyFill="1" applyBorder="1" applyAlignment="1">
      <alignment horizontal="left" vertical="center" wrapText="1"/>
    </xf>
    <xf numFmtId="0" fontId="0" fillId="0" borderId="12" xfId="0" applyBorder="1" applyAlignment="1">
      <alignment horizontal="left" vertical="center"/>
    </xf>
    <xf numFmtId="0" fontId="0" fillId="0" borderId="1" xfId="0" applyBorder="1" applyAlignment="1">
      <alignment horizontal="center" vertical="center"/>
    </xf>
    <xf numFmtId="0" fontId="0" fillId="5" borderId="1" xfId="0" applyFill="1" applyBorder="1" applyAlignment="1">
      <alignment horizontal="left" vertical="center" wrapText="1"/>
    </xf>
    <xf numFmtId="0" fontId="0" fillId="3" borderId="12" xfId="0" applyFill="1" applyBorder="1" applyAlignment="1">
      <alignment horizontal="center" vertical="center"/>
    </xf>
    <xf numFmtId="0" fontId="0" fillId="3" borderId="1" xfId="0" applyFill="1" applyBorder="1" applyAlignment="1">
      <alignment horizontal="center" vertical="center"/>
    </xf>
    <xf numFmtId="0" fontId="3" fillId="3" borderId="2" xfId="0" applyFont="1" applyFill="1" applyBorder="1" applyAlignment="1">
      <alignment horizontal="center" vertical="center" wrapText="1"/>
    </xf>
    <xf numFmtId="0" fontId="0" fillId="3" borderId="13" xfId="0" applyFill="1" applyBorder="1" applyAlignment="1">
      <alignment horizontal="left" vertical="center" wrapText="1"/>
    </xf>
    <xf numFmtId="0" fontId="0" fillId="13" borderId="12" xfId="0" applyFill="1" applyBorder="1" applyAlignment="1">
      <alignment horizontal="left" vertical="center" wrapText="1"/>
    </xf>
    <xf numFmtId="0" fontId="0" fillId="5" borderId="13" xfId="0" applyFill="1" applyBorder="1" applyAlignment="1">
      <alignment horizontal="left" vertical="center" wrapText="1"/>
    </xf>
    <xf numFmtId="0" fontId="0" fillId="12" borderId="37" xfId="0" applyFill="1" applyBorder="1" applyAlignment="1">
      <alignment horizontal="left" vertical="center" wrapText="1"/>
    </xf>
    <xf numFmtId="0" fontId="0" fillId="13" borderId="1" xfId="0" applyFill="1" applyBorder="1" applyAlignment="1">
      <alignment horizontal="left" vertical="center"/>
    </xf>
    <xf numFmtId="0" fontId="0" fillId="3" borderId="1" xfId="0" applyFill="1" applyBorder="1" applyAlignment="1">
      <alignment horizontal="left" vertical="center" wrapText="1"/>
    </xf>
    <xf numFmtId="0" fontId="0" fillId="5" borderId="2" xfId="0" applyFill="1" applyBorder="1" applyAlignment="1">
      <alignment horizontal="left" vertical="center" wrapText="1"/>
    </xf>
    <xf numFmtId="0" fontId="0" fillId="3" borderId="6" xfId="0" applyFill="1" applyBorder="1" applyAlignment="1">
      <alignment horizontal="center" vertical="center" wrapText="1"/>
    </xf>
    <xf numFmtId="0" fontId="0" fillId="13" borderId="18" xfId="0" applyFill="1" applyBorder="1" applyAlignment="1">
      <alignment horizontal="center" vertical="center" wrapText="1"/>
    </xf>
    <xf numFmtId="0" fontId="0" fillId="5" borderId="2" xfId="0" applyFill="1" applyBorder="1" applyAlignment="1">
      <alignment horizontal="center" vertical="center" wrapText="1"/>
    </xf>
    <xf numFmtId="0" fontId="0" fillId="5" borderId="6" xfId="0" applyFill="1" applyBorder="1" applyAlignment="1">
      <alignment horizontal="center" vertical="center" wrapText="1"/>
    </xf>
    <xf numFmtId="0" fontId="0" fillId="3" borderId="2" xfId="0" applyFont="1" applyFill="1" applyBorder="1" applyAlignment="1">
      <alignment horizontal="center" vertical="center" wrapText="1"/>
    </xf>
    <xf numFmtId="0" fontId="0" fillId="3" borderId="21" xfId="0" applyFont="1" applyFill="1" applyBorder="1" applyAlignment="1">
      <alignment horizontal="center" vertical="center" wrapText="1"/>
    </xf>
    <xf numFmtId="0" fontId="0" fillId="0" borderId="1" xfId="0" applyBorder="1" applyAlignment="1">
      <alignment horizontal="left" vertical="center"/>
    </xf>
    <xf numFmtId="0" fontId="0" fillId="3" borderId="6" xfId="0" applyFill="1" applyBorder="1" applyAlignment="1">
      <alignment horizontal="center" vertical="center"/>
    </xf>
    <xf numFmtId="0" fontId="0" fillId="17" borderId="1" xfId="0" applyFill="1" applyBorder="1" applyAlignment="1">
      <alignment horizontal="center" vertical="center"/>
    </xf>
    <xf numFmtId="0" fontId="0" fillId="17" borderId="1" xfId="0" applyFill="1" applyBorder="1" applyAlignment="1">
      <alignment horizontal="left" vertical="center"/>
    </xf>
    <xf numFmtId="0" fontId="0" fillId="5" borderId="15" xfId="0" applyFill="1" applyBorder="1" applyAlignment="1">
      <alignment horizontal="center" vertical="center" wrapText="1"/>
    </xf>
    <xf numFmtId="0" fontId="2" fillId="2" borderId="0" xfId="0" applyFont="1" applyFill="1" applyBorder="1" applyAlignment="1">
      <alignment horizontal="left" vertical="center" wrapText="1"/>
    </xf>
    <xf numFmtId="0" fontId="1" fillId="23" borderId="0"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5" borderId="1" xfId="0" applyFont="1" applyFill="1" applyBorder="1" applyAlignment="1">
      <alignment horizontal="center" vertical="center" wrapText="1"/>
    </xf>
    <xf numFmtId="0" fontId="0" fillId="16" borderId="43" xfId="0" applyFont="1" applyFill="1" applyBorder="1" applyAlignment="1">
      <alignment horizontal="center" vertical="center" wrapText="1"/>
    </xf>
    <xf numFmtId="0" fontId="0" fillId="7" borderId="43" xfId="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3" xfId="0" applyFont="1" applyBorder="1" applyAlignment="1">
      <alignment horizontal="center" vertical="center" wrapText="1"/>
    </xf>
    <xf numFmtId="0" fontId="0" fillId="0" borderId="1" xfId="0" applyFont="1" applyBorder="1" applyAlignment="1">
      <alignment horizontal="left" vertical="center"/>
    </xf>
    <xf numFmtId="0" fontId="0" fillId="0" borderId="1" xfId="0" applyFont="1" applyFill="1" applyBorder="1" applyAlignment="1">
      <alignment horizontal="left" vertical="center" wrapText="1"/>
    </xf>
    <xf numFmtId="0" fontId="0" fillId="11" borderId="43" xfId="0" applyFont="1" applyFill="1" applyBorder="1" applyAlignment="1">
      <alignment horizontal="center" vertical="center" wrapText="1"/>
    </xf>
    <xf numFmtId="0" fontId="0" fillId="0" borderId="14"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15" xfId="0" applyFont="1" applyBorder="1" applyAlignment="1">
      <alignment horizontal="left" vertical="center" wrapText="1"/>
    </xf>
    <xf numFmtId="0" fontId="0" fillId="17" borderId="6" xfId="0" applyFill="1" applyBorder="1" applyAlignment="1">
      <alignment horizontal="center" vertical="center"/>
    </xf>
    <xf numFmtId="0" fontId="0" fillId="5" borderId="6" xfId="0" applyFill="1" applyBorder="1" applyAlignment="1">
      <alignment horizontal="center" vertical="center"/>
    </xf>
    <xf numFmtId="0" fontId="0" fillId="5" borderId="26" xfId="0" applyFill="1" applyBorder="1" applyAlignment="1">
      <alignment horizontal="center" vertical="center"/>
    </xf>
    <xf numFmtId="0" fontId="0" fillId="5" borderId="18" xfId="0" applyFill="1" applyBorder="1" applyAlignment="1">
      <alignment horizontal="center" vertical="center" wrapText="1"/>
    </xf>
    <xf numFmtId="0" fontId="2" fillId="2" borderId="0" xfId="0" applyFont="1" applyFill="1" applyBorder="1" applyAlignment="1">
      <alignment vertical="center" wrapText="1"/>
    </xf>
    <xf numFmtId="0" fontId="0" fillId="10" borderId="43" xfId="0" applyFont="1" applyFill="1" applyBorder="1" applyAlignment="1">
      <alignment horizontal="center" vertical="center" wrapText="1"/>
    </xf>
    <xf numFmtId="0" fontId="0" fillId="3" borderId="14" xfId="0" applyFont="1" applyFill="1" applyBorder="1" applyAlignment="1">
      <alignment horizontal="center" vertical="center" wrapText="1"/>
    </xf>
    <xf numFmtId="0" fontId="0" fillId="3" borderId="15" xfId="0" applyFont="1" applyFill="1" applyBorder="1" applyAlignment="1">
      <alignment horizontal="center" vertical="center" wrapText="1"/>
    </xf>
    <xf numFmtId="0" fontId="0" fillId="3" borderId="13" xfId="0" applyFont="1" applyFill="1" applyBorder="1" applyAlignment="1">
      <alignment horizontal="left" vertical="center" wrapText="1"/>
    </xf>
    <xf numFmtId="0" fontId="0" fillId="10" borderId="43" xfId="0" applyFont="1" applyFill="1" applyBorder="1" applyAlignment="1">
      <alignment horizontal="left" vertical="center" wrapText="1"/>
    </xf>
    <xf numFmtId="0" fontId="0" fillId="7" borderId="43" xfId="0" applyFont="1" applyFill="1" applyBorder="1" applyAlignment="1">
      <alignment horizontal="left" vertical="center" wrapText="1"/>
    </xf>
    <xf numFmtId="0" fontId="0" fillId="0" borderId="13" xfId="0" applyFont="1" applyBorder="1" applyAlignment="1">
      <alignment horizontal="left" vertical="center" wrapText="1"/>
    </xf>
    <xf numFmtId="0" fontId="0" fillId="16" borderId="43" xfId="0" applyFont="1" applyFill="1" applyBorder="1" applyAlignment="1">
      <alignment horizontal="left" vertical="center" wrapText="1"/>
    </xf>
    <xf numFmtId="0" fontId="0" fillId="11" borderId="43" xfId="0" applyFont="1" applyFill="1" applyBorder="1" applyAlignment="1">
      <alignment horizontal="left" vertical="center" wrapText="1"/>
    </xf>
    <xf numFmtId="0" fontId="0" fillId="3" borderId="16" xfId="0" applyFont="1" applyFill="1" applyBorder="1" applyAlignment="1">
      <alignment horizontal="left" vertical="center" wrapText="1"/>
    </xf>
    <xf numFmtId="0" fontId="1" fillId="24" borderId="49" xfId="0" applyFont="1" applyFill="1" applyBorder="1" applyAlignment="1">
      <alignment horizontal="center" vertical="center"/>
    </xf>
    <xf numFmtId="0" fontId="0" fillId="10" borderId="47" xfId="0" applyFont="1" applyFill="1" applyBorder="1" applyAlignment="1">
      <alignment horizontal="center" vertical="center" wrapText="1"/>
    </xf>
    <xf numFmtId="0" fontId="0" fillId="11" borderId="47" xfId="0" applyFont="1" applyFill="1" applyBorder="1" applyAlignment="1">
      <alignment horizontal="center" vertical="center" wrapText="1"/>
    </xf>
    <xf numFmtId="0" fontId="0" fillId="7" borderId="47" xfId="0" applyFont="1" applyFill="1" applyBorder="1" applyAlignment="1">
      <alignment horizontal="center" vertical="center" wrapText="1"/>
    </xf>
    <xf numFmtId="0" fontId="0" fillId="16" borderId="47" xfId="0" applyFont="1" applyFill="1" applyBorder="1" applyAlignment="1">
      <alignment horizontal="center" vertical="center" wrapText="1"/>
    </xf>
    <xf numFmtId="0" fontId="0" fillId="10" borderId="50" xfId="0" applyFont="1" applyFill="1" applyBorder="1" applyAlignment="1">
      <alignment horizontal="center" vertical="center" wrapText="1"/>
    </xf>
    <xf numFmtId="0" fontId="0" fillId="10" borderId="8" xfId="0" applyFont="1" applyFill="1" applyBorder="1" applyAlignment="1">
      <alignment horizontal="center" vertical="center" wrapText="1"/>
    </xf>
    <xf numFmtId="0" fontId="0" fillId="10" borderId="49" xfId="0" applyFont="1" applyFill="1" applyBorder="1" applyAlignment="1">
      <alignment horizontal="center" vertical="center" wrapText="1"/>
    </xf>
    <xf numFmtId="0" fontId="0" fillId="11" borderId="51" xfId="0" applyFont="1" applyFill="1" applyBorder="1" applyAlignment="1">
      <alignment horizontal="center" vertical="center" wrapText="1"/>
    </xf>
    <xf numFmtId="0" fontId="1" fillId="24" borderId="43" xfId="0" applyFont="1" applyFill="1" applyBorder="1" applyAlignment="1">
      <alignment horizontal="center" vertical="center"/>
    </xf>
    <xf numFmtId="0" fontId="0" fillId="11" borderId="43" xfId="0" applyFill="1" applyBorder="1" applyAlignment="1">
      <alignment horizontal="left" vertical="center" wrapText="1"/>
    </xf>
    <xf numFmtId="0" fontId="0" fillId="16" borderId="43" xfId="0" applyFill="1" applyBorder="1" applyAlignment="1">
      <alignment horizontal="left" vertical="center" wrapText="1"/>
    </xf>
    <xf numFmtId="0" fontId="2" fillId="2" borderId="34" xfId="0" applyFont="1" applyFill="1" applyBorder="1" applyAlignment="1">
      <alignment vertical="center" wrapText="1"/>
    </xf>
    <xf numFmtId="0" fontId="0" fillId="17" borderId="12" xfId="0" applyFont="1" applyFill="1" applyBorder="1" applyAlignment="1">
      <alignment horizontal="center" vertical="center" wrapText="1"/>
    </xf>
    <xf numFmtId="0" fontId="4" fillId="22" borderId="11" xfId="0" applyFont="1" applyFill="1" applyBorder="1" applyAlignment="1">
      <alignment horizontal="center" vertical="center"/>
    </xf>
    <xf numFmtId="0" fontId="0" fillId="13" borderId="0" xfId="0" applyFill="1" applyBorder="1" applyAlignment="1">
      <alignment horizontal="left" vertical="center" wrapText="1"/>
    </xf>
    <xf numFmtId="0" fontId="0" fillId="5" borderId="18" xfId="0" applyFill="1" applyBorder="1" applyAlignment="1">
      <alignment horizontal="left" vertical="center" wrapText="1"/>
    </xf>
    <xf numFmtId="0" fontId="4" fillId="22" borderId="5" xfId="0" applyFont="1" applyFill="1" applyBorder="1" applyAlignment="1">
      <alignment horizontal="center" vertical="center" wrapText="1"/>
    </xf>
    <xf numFmtId="0" fontId="0" fillId="5" borderId="9" xfId="0" applyFill="1" applyBorder="1" applyAlignment="1">
      <alignment horizontal="left" vertical="center"/>
    </xf>
    <xf numFmtId="0" fontId="0" fillId="5" borderId="10" xfId="0" applyFill="1" applyBorder="1" applyAlignment="1">
      <alignment horizontal="left" vertical="center"/>
    </xf>
    <xf numFmtId="0" fontId="0" fillId="5" borderId="10" xfId="0" applyFill="1" applyBorder="1" applyAlignment="1">
      <alignment horizontal="center" vertical="center"/>
    </xf>
    <xf numFmtId="0" fontId="0" fillId="5" borderId="11" xfId="0" applyFill="1" applyBorder="1" applyAlignment="1">
      <alignment horizontal="left" vertical="center" wrapText="1"/>
    </xf>
    <xf numFmtId="0" fontId="0" fillId="5" borderId="9" xfId="0" applyFill="1" applyBorder="1" applyAlignment="1">
      <alignment horizontal="center" vertical="center"/>
    </xf>
    <xf numFmtId="0" fontId="3" fillId="5" borderId="10" xfId="0" applyFont="1" applyFill="1" applyBorder="1" applyAlignment="1">
      <alignment horizontal="center" vertical="center"/>
    </xf>
    <xf numFmtId="0" fontId="0" fillId="5" borderId="10" xfId="0" applyFill="1" applyBorder="1" applyAlignment="1">
      <alignment horizontal="center" vertical="center" wrapText="1"/>
    </xf>
    <xf numFmtId="0" fontId="0" fillId="5" borderId="0" xfId="0" applyFill="1" applyBorder="1" applyAlignment="1">
      <alignment horizontal="center" vertical="center" wrapText="1"/>
    </xf>
    <xf numFmtId="0" fontId="4" fillId="17" borderId="0" xfId="0" applyFont="1" applyFill="1" applyBorder="1" applyAlignment="1">
      <alignment horizontal="center" vertical="center"/>
    </xf>
    <xf numFmtId="0" fontId="4" fillId="18" borderId="0" xfId="0" applyFont="1" applyFill="1" applyBorder="1" applyAlignment="1">
      <alignment horizontal="center" vertical="center" wrapText="1"/>
    </xf>
    <xf numFmtId="0" fontId="0" fillId="13" borderId="23" xfId="0" applyFill="1" applyBorder="1" applyAlignment="1">
      <alignment horizontal="center" vertical="center" wrapText="1"/>
    </xf>
    <xf numFmtId="0" fontId="0" fillId="17" borderId="0" xfId="0" applyFill="1" applyBorder="1" applyAlignment="1">
      <alignment horizontal="center" vertical="center" wrapText="1"/>
    </xf>
    <xf numFmtId="0" fontId="0" fillId="9" borderId="37" xfId="0" applyFill="1" applyBorder="1" applyAlignment="1">
      <alignment horizontal="center" vertical="center" wrapText="1"/>
    </xf>
    <xf numFmtId="0" fontId="0" fillId="13" borderId="12" xfId="0" applyFill="1" applyBorder="1" applyAlignment="1">
      <alignment horizontal="center" vertical="center" wrapText="1"/>
    </xf>
    <xf numFmtId="0" fontId="0" fillId="8" borderId="37" xfId="0" applyFill="1" applyBorder="1" applyAlignment="1">
      <alignment horizontal="center" vertical="center" wrapText="1"/>
    </xf>
    <xf numFmtId="0" fontId="0" fillId="5" borderId="0" xfId="0" quotePrefix="1" applyFill="1" applyBorder="1" applyAlignment="1">
      <alignment horizontal="center" vertical="center" wrapText="1"/>
    </xf>
    <xf numFmtId="0" fontId="0" fillId="17" borderId="0" xfId="0" quotePrefix="1" applyFill="1" applyBorder="1" applyAlignment="1">
      <alignment horizontal="center" vertical="center" wrapText="1"/>
    </xf>
    <xf numFmtId="0" fontId="0" fillId="14" borderId="1" xfId="0" applyFill="1" applyBorder="1" applyAlignment="1">
      <alignment horizontal="center" vertical="center" wrapText="1"/>
    </xf>
    <xf numFmtId="0" fontId="0" fillId="14" borderId="6" xfId="0" applyFill="1" applyBorder="1" applyAlignment="1">
      <alignment horizontal="center" vertical="center" wrapText="1"/>
    </xf>
    <xf numFmtId="0" fontId="0" fillId="14" borderId="26" xfId="0" applyFill="1" applyBorder="1" applyAlignment="1">
      <alignment horizontal="left" vertical="center" wrapText="1"/>
    </xf>
    <xf numFmtId="0" fontId="0" fillId="14" borderId="6" xfId="0" applyFill="1" applyBorder="1" applyAlignment="1">
      <alignment vertical="center" wrapText="1"/>
    </xf>
    <xf numFmtId="0" fontId="0" fillId="14" borderId="12" xfId="0" applyFill="1" applyBorder="1" applyAlignment="1">
      <alignment horizontal="left" vertical="center" wrapText="1"/>
    </xf>
    <xf numFmtId="0" fontId="0" fillId="14" borderId="1" xfId="0" applyFill="1" applyBorder="1" applyAlignment="1">
      <alignment horizontal="left" vertical="center" wrapText="1"/>
    </xf>
    <xf numFmtId="0" fontId="0" fillId="14" borderId="13" xfId="0" applyFill="1" applyBorder="1" applyAlignment="1">
      <alignment horizontal="left" vertical="center" wrapText="1"/>
    </xf>
    <xf numFmtId="0" fontId="0" fillId="13" borderId="37" xfId="0" applyFill="1" applyBorder="1" applyAlignment="1">
      <alignment horizontal="center" vertical="center" wrapText="1"/>
    </xf>
    <xf numFmtId="0" fontId="0" fillId="14" borderId="37" xfId="0" applyFill="1" applyBorder="1" applyAlignment="1">
      <alignment horizontal="center" vertical="center" wrapText="1"/>
    </xf>
    <xf numFmtId="0" fontId="6" fillId="5" borderId="0" xfId="0" applyFont="1" applyFill="1" applyBorder="1" applyAlignment="1">
      <alignment horizontal="center" vertical="center" wrapText="1"/>
    </xf>
    <xf numFmtId="0" fontId="6" fillId="5" borderId="12" xfId="0" applyFont="1" applyFill="1" applyBorder="1" applyAlignment="1">
      <alignment horizontal="left" vertical="center" wrapText="1"/>
    </xf>
    <xf numFmtId="0" fontId="6" fillId="5" borderId="13" xfId="0" applyFont="1" applyFill="1" applyBorder="1" applyAlignment="1">
      <alignment horizontal="left" vertical="center" wrapText="1"/>
    </xf>
    <xf numFmtId="0" fontId="0" fillId="17" borderId="12" xfId="0" applyFill="1" applyBorder="1" applyAlignment="1">
      <alignment horizontal="left" vertical="center" wrapText="1"/>
    </xf>
    <xf numFmtId="0" fontId="0" fillId="17" borderId="13" xfId="0" applyFill="1" applyBorder="1" applyAlignment="1">
      <alignment horizontal="left" vertical="center" wrapText="1"/>
    </xf>
    <xf numFmtId="0" fontId="0" fillId="14" borderId="1" xfId="0" applyFill="1" applyBorder="1" applyAlignment="1">
      <alignment vertical="center"/>
    </xf>
    <xf numFmtId="0" fontId="0" fillId="20" borderId="38" xfId="0" applyFill="1" applyBorder="1" applyAlignment="1">
      <alignment horizontal="center" vertical="center" wrapText="1"/>
    </xf>
    <xf numFmtId="0" fontId="0" fillId="13" borderId="14" xfId="0" applyFill="1" applyBorder="1" applyAlignment="1">
      <alignment horizontal="left" vertical="center" wrapText="1"/>
    </xf>
    <xf numFmtId="0" fontId="0" fillId="8" borderId="38" xfId="0" applyFill="1" applyBorder="1" applyAlignment="1">
      <alignment horizontal="left" vertical="center" wrapText="1"/>
    </xf>
    <xf numFmtId="0" fontId="0" fillId="3" borderId="24" xfId="0" applyFont="1" applyFill="1" applyBorder="1" applyAlignment="1">
      <alignment horizontal="left" vertical="center" wrapText="1"/>
    </xf>
    <xf numFmtId="0" fontId="0" fillId="5" borderId="0" xfId="0" applyFont="1" applyFill="1" applyBorder="1" applyAlignment="1">
      <alignment horizontal="left" vertical="center" wrapText="1"/>
    </xf>
    <xf numFmtId="0" fontId="0" fillId="13" borderId="21" xfId="0" applyFont="1" applyFill="1" applyBorder="1" applyAlignment="1">
      <alignment horizontal="left" vertical="center"/>
    </xf>
    <xf numFmtId="0" fontId="0" fillId="13" borderId="2" xfId="0" applyFont="1" applyFill="1" applyBorder="1" applyAlignment="1">
      <alignment horizontal="left" vertical="center"/>
    </xf>
    <xf numFmtId="0" fontId="0" fillId="13" borderId="2" xfId="0" applyFont="1" applyFill="1" applyBorder="1" applyAlignment="1">
      <alignment horizontal="center" vertical="center"/>
    </xf>
    <xf numFmtId="0" fontId="0" fillId="13" borderId="24" xfId="0" applyFont="1" applyFill="1" applyBorder="1" applyAlignment="1">
      <alignment horizontal="left" vertical="center" wrapText="1"/>
    </xf>
    <xf numFmtId="0" fontId="0" fillId="17" borderId="0" xfId="0" applyFont="1" applyFill="1" applyBorder="1" applyAlignment="1">
      <alignment horizontal="left" vertical="center" wrapText="1"/>
    </xf>
    <xf numFmtId="0" fontId="0" fillId="0" borderId="12" xfId="0" applyFont="1" applyBorder="1" applyAlignment="1">
      <alignment horizontal="left" vertical="center" wrapText="1"/>
    </xf>
    <xf numFmtId="0" fontId="0" fillId="13" borderId="12" xfId="0" applyFont="1" applyFill="1" applyBorder="1" applyAlignment="1">
      <alignment horizontal="left" vertical="center"/>
    </xf>
    <xf numFmtId="0" fontId="0" fillId="13" borderId="1" xfId="0" applyFont="1" applyFill="1" applyBorder="1" applyAlignment="1">
      <alignment horizontal="left" vertical="center"/>
    </xf>
    <xf numFmtId="0" fontId="0" fillId="13" borderId="1" xfId="0" applyFont="1" applyFill="1" applyBorder="1" applyAlignment="1">
      <alignment horizontal="center" vertical="center"/>
    </xf>
    <xf numFmtId="0" fontId="0" fillId="13" borderId="1" xfId="0" applyFont="1" applyFill="1" applyBorder="1" applyAlignment="1">
      <alignment horizontal="left" vertical="center" wrapText="1"/>
    </xf>
    <xf numFmtId="0" fontId="0" fillId="13" borderId="13" xfId="0" applyFont="1" applyFill="1" applyBorder="1" applyAlignment="1">
      <alignment horizontal="left" vertical="center" wrapText="1"/>
    </xf>
    <xf numFmtId="0" fontId="0" fillId="13" borderId="12" xfId="0" applyFill="1" applyBorder="1" applyAlignment="1">
      <alignment horizontal="center" vertical="center"/>
    </xf>
    <xf numFmtId="0" fontId="0" fillId="13" borderId="13" xfId="0" applyFill="1" applyBorder="1" applyAlignment="1">
      <alignment horizontal="left" vertical="center"/>
    </xf>
    <xf numFmtId="0" fontId="0" fillId="0" borderId="16" xfId="0" applyFont="1" applyBorder="1" applyAlignment="1">
      <alignment horizontal="left" vertical="center" wrapText="1"/>
    </xf>
    <xf numFmtId="0" fontId="0" fillId="0" borderId="14" xfId="0" applyFont="1" applyBorder="1" applyAlignment="1">
      <alignment horizontal="left" vertical="center" wrapText="1"/>
    </xf>
    <xf numFmtId="0" fontId="4" fillId="21" borderId="55" xfId="0" applyFont="1" applyFill="1" applyBorder="1" applyAlignment="1">
      <alignment horizontal="center" vertical="center"/>
    </xf>
    <xf numFmtId="0" fontId="4" fillId="4" borderId="34" xfId="0" applyFont="1" applyFill="1" applyBorder="1" applyAlignment="1">
      <alignment horizontal="center" vertical="center"/>
    </xf>
    <xf numFmtId="0" fontId="4" fillId="22" borderId="21" xfId="0" applyFont="1" applyFill="1" applyBorder="1" applyAlignment="1">
      <alignment horizontal="center" vertical="center"/>
    </xf>
    <xf numFmtId="0" fontId="4" fillId="22" borderId="2" xfId="0" applyFont="1" applyFill="1" applyBorder="1" applyAlignment="1">
      <alignment horizontal="left" vertical="center"/>
    </xf>
    <xf numFmtId="0" fontId="4" fillId="22" borderId="2" xfId="0" applyFont="1" applyFill="1" applyBorder="1" applyAlignment="1">
      <alignment horizontal="center" vertical="center"/>
    </xf>
    <xf numFmtId="0" fontId="0" fillId="5" borderId="0" xfId="0" applyFont="1" applyFill="1" applyBorder="1" applyAlignment="1">
      <alignment horizontal="center" vertical="center" wrapText="1"/>
    </xf>
    <xf numFmtId="0" fontId="0" fillId="13" borderId="1" xfId="0" applyFont="1" applyFill="1" applyBorder="1" applyAlignment="1">
      <alignment horizontal="center" vertical="center" wrapText="1"/>
    </xf>
    <xf numFmtId="0" fontId="0" fillId="0" borderId="35" xfId="0" applyFont="1" applyBorder="1" applyAlignment="1">
      <alignment horizontal="left" vertical="center" wrapText="1"/>
    </xf>
    <xf numFmtId="0" fontId="0" fillId="17" borderId="0" xfId="0" applyFont="1" applyFill="1" applyBorder="1" applyAlignment="1">
      <alignment horizontal="center" vertical="center" wrapText="1"/>
    </xf>
    <xf numFmtId="0" fontId="0" fillId="3" borderId="35" xfId="0" applyFont="1" applyFill="1" applyBorder="1" applyAlignment="1">
      <alignment horizontal="left" vertical="center" wrapText="1"/>
    </xf>
    <xf numFmtId="0" fontId="0" fillId="13" borderId="12" xfId="0" applyFont="1" applyFill="1" applyBorder="1" applyAlignment="1">
      <alignment horizontal="left" vertical="center" wrapText="1"/>
    </xf>
    <xf numFmtId="0" fontId="0" fillId="13" borderId="13" xfId="0" applyFont="1" applyFill="1" applyBorder="1" applyAlignment="1">
      <alignment horizontal="center" vertical="center" wrapText="1"/>
    </xf>
    <xf numFmtId="0" fontId="0" fillId="3" borderId="52" xfId="0" applyFont="1" applyFill="1" applyBorder="1" applyAlignment="1">
      <alignment horizontal="left" vertical="center" wrapText="1"/>
    </xf>
    <xf numFmtId="0" fontId="0" fillId="13" borderId="14" xfId="0" applyFont="1" applyFill="1" applyBorder="1" applyAlignment="1">
      <alignment horizontal="left" vertical="center" wrapText="1"/>
    </xf>
    <xf numFmtId="0" fontId="0" fillId="13" borderId="15" xfId="0" applyFont="1" applyFill="1" applyBorder="1" applyAlignment="1">
      <alignment horizontal="left" vertical="center" wrapText="1"/>
    </xf>
    <xf numFmtId="0" fontId="0" fillId="13" borderId="15" xfId="0" applyFont="1" applyFill="1" applyBorder="1" applyAlignment="1">
      <alignment horizontal="center" vertical="center" wrapText="1"/>
    </xf>
    <xf numFmtId="0" fontId="0" fillId="13" borderId="16" xfId="0" applyFont="1" applyFill="1" applyBorder="1" applyAlignment="1">
      <alignment horizontal="center" vertical="center" wrapText="1"/>
    </xf>
    <xf numFmtId="0" fontId="0" fillId="3" borderId="49" xfId="0" applyFill="1" applyBorder="1" applyAlignment="1">
      <alignment horizontal="left" vertical="center" wrapText="1"/>
    </xf>
    <xf numFmtId="0" fontId="0" fillId="3" borderId="47" xfId="0" applyFill="1" applyBorder="1" applyAlignment="1">
      <alignment horizontal="left" vertical="center" wrapText="1"/>
    </xf>
    <xf numFmtId="0" fontId="0" fillId="0" borderId="47" xfId="0" applyFont="1" applyBorder="1" applyAlignment="1">
      <alignment horizontal="left" vertical="center" wrapText="1"/>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17" xfId="0" applyFont="1" applyFill="1" applyBorder="1" applyAlignment="1">
      <alignment horizontal="center" vertical="center"/>
    </xf>
    <xf numFmtId="0" fontId="0" fillId="5" borderId="1" xfId="0" applyFill="1" applyBorder="1" applyAlignment="1">
      <alignment horizontal="center" vertical="center"/>
    </xf>
    <xf numFmtId="0" fontId="3" fillId="5" borderId="1" xfId="0" applyFont="1" applyFill="1" applyBorder="1" applyAlignment="1">
      <alignment horizontal="center" vertical="center"/>
    </xf>
    <xf numFmtId="0" fontId="0" fillId="5" borderId="12" xfId="0" applyFill="1" applyBorder="1" applyAlignment="1">
      <alignment horizontal="center" vertical="center"/>
    </xf>
    <xf numFmtId="0" fontId="4" fillId="22" borderId="20" xfId="0" applyFont="1" applyFill="1" applyBorder="1" applyAlignment="1">
      <alignment horizontal="center" vertical="center"/>
    </xf>
    <xf numFmtId="0" fontId="4" fillId="22" borderId="22" xfId="0" applyFont="1" applyFill="1" applyBorder="1" applyAlignment="1">
      <alignment horizontal="center" vertical="center"/>
    </xf>
    <xf numFmtId="0" fontId="4" fillId="22" borderId="17" xfId="0" applyFont="1" applyFill="1" applyBorder="1" applyAlignment="1">
      <alignment horizontal="center" vertical="center" wrapText="1"/>
    </xf>
    <xf numFmtId="0" fontId="0" fillId="5" borderId="1" xfId="0" applyFill="1" applyBorder="1" applyAlignment="1">
      <alignment horizontal="left" vertical="center"/>
    </xf>
    <xf numFmtId="0" fontId="0" fillId="5" borderId="12" xfId="0" applyFill="1" applyBorder="1" applyAlignment="1">
      <alignment horizontal="left" vertical="center"/>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3" borderId="42" xfId="0" applyFill="1" applyBorder="1" applyAlignment="1">
      <alignment horizontal="left" vertical="center" wrapText="1"/>
    </xf>
    <xf numFmtId="0" fontId="0" fillId="5" borderId="14" xfId="0" applyFont="1" applyFill="1" applyBorder="1" applyAlignment="1">
      <alignment horizontal="center" vertical="center" wrapText="1"/>
    </xf>
    <xf numFmtId="0" fontId="0" fillId="5" borderId="15" xfId="0" applyFont="1" applyFill="1" applyBorder="1" applyAlignment="1">
      <alignment horizontal="center" vertical="center" wrapText="1"/>
    </xf>
    <xf numFmtId="0" fontId="0" fillId="5" borderId="16" xfId="0" applyFont="1" applyFill="1" applyBorder="1" applyAlignment="1">
      <alignment horizontal="left" vertical="center" wrapText="1"/>
    </xf>
    <xf numFmtId="0" fontId="0" fillId="5" borderId="52" xfId="0" applyFont="1" applyFill="1" applyBorder="1" applyAlignment="1">
      <alignment horizontal="left" vertical="center" wrapText="1"/>
    </xf>
    <xf numFmtId="0" fontId="0" fillId="5" borderId="14" xfId="0" applyFont="1" applyFill="1" applyBorder="1" applyAlignment="1">
      <alignment horizontal="left" vertical="center" wrapText="1"/>
    </xf>
    <xf numFmtId="0" fontId="0" fillId="5" borderId="15" xfId="0" applyFont="1" applyFill="1" applyBorder="1" applyAlignment="1">
      <alignment horizontal="left" vertical="center" wrapText="1"/>
    </xf>
    <xf numFmtId="0" fontId="0" fillId="5" borderId="16" xfId="0" applyFont="1" applyFill="1" applyBorder="1" applyAlignment="1">
      <alignment horizontal="center" vertical="center" wrapText="1"/>
    </xf>
    <xf numFmtId="0" fontId="4" fillId="22" borderId="24" xfId="0" applyFont="1" applyFill="1" applyBorder="1" applyAlignment="1">
      <alignment horizontal="left" vertical="center"/>
    </xf>
    <xf numFmtId="0" fontId="0" fillId="13" borderId="16" xfId="0" applyFont="1" applyFill="1" applyBorder="1" applyAlignment="1">
      <alignment horizontal="left" vertical="center" wrapText="1"/>
    </xf>
    <xf numFmtId="0" fontId="0" fillId="14" borderId="1" xfId="0" applyFont="1" applyFill="1" applyBorder="1" applyAlignment="1">
      <alignment horizontal="center" vertical="center" wrapText="1"/>
    </xf>
    <xf numFmtId="0" fontId="0" fillId="0" borderId="52" xfId="0" applyFont="1" applyBorder="1" applyAlignment="1">
      <alignment horizontal="left" vertical="center" wrapText="1"/>
    </xf>
    <xf numFmtId="0" fontId="4" fillId="18" borderId="0" xfId="0" applyFont="1" applyFill="1" applyBorder="1" applyAlignment="1">
      <alignment horizontal="left" vertical="center"/>
    </xf>
    <xf numFmtId="0" fontId="4" fillId="28" borderId="41" xfId="0" applyFont="1" applyFill="1" applyBorder="1" applyAlignment="1">
      <alignment horizontal="center" vertical="center"/>
    </xf>
    <xf numFmtId="0" fontId="4" fillId="28" borderId="23" xfId="0" applyFont="1" applyFill="1" applyBorder="1" applyAlignment="1">
      <alignment horizontal="center" vertical="center"/>
    </xf>
    <xf numFmtId="0" fontId="4" fillId="28" borderId="42" xfId="0" applyFont="1" applyFill="1" applyBorder="1" applyAlignment="1">
      <alignment horizontal="center" vertical="center"/>
    </xf>
    <xf numFmtId="0" fontId="4" fillId="22" borderId="41" xfId="0" applyFont="1" applyFill="1" applyBorder="1" applyAlignment="1">
      <alignment horizontal="left" vertical="center"/>
    </xf>
    <xf numFmtId="0" fontId="4" fillId="22" borderId="23" xfId="0" applyFont="1" applyFill="1" applyBorder="1" applyAlignment="1">
      <alignment horizontal="left" vertical="center"/>
    </xf>
    <xf numFmtId="0" fontId="4" fillId="22" borderId="23" xfId="0" applyFont="1" applyFill="1" applyBorder="1" applyAlignment="1">
      <alignment horizontal="center" vertical="center"/>
    </xf>
    <xf numFmtId="0" fontId="4" fillId="22" borderId="42" xfId="0" applyFont="1" applyFill="1" applyBorder="1" applyAlignment="1">
      <alignment horizontal="center" vertical="center"/>
    </xf>
    <xf numFmtId="0" fontId="0" fillId="13" borderId="13" xfId="0" applyFont="1" applyFill="1" applyBorder="1" applyAlignment="1">
      <alignment vertical="center" wrapText="1"/>
    </xf>
    <xf numFmtId="0" fontId="0" fillId="0" borderId="13" xfId="0" applyFont="1" applyBorder="1" applyAlignment="1">
      <alignment vertical="center" wrapText="1"/>
    </xf>
    <xf numFmtId="0" fontId="0" fillId="13" borderId="12" xfId="0" applyFont="1" applyFill="1" applyBorder="1" applyAlignment="1">
      <alignment horizontal="center" vertical="center" wrapText="1"/>
    </xf>
    <xf numFmtId="0" fontId="4" fillId="22" borderId="21" xfId="0" applyFont="1" applyFill="1" applyBorder="1" applyAlignment="1">
      <alignment horizontal="left" vertical="center"/>
    </xf>
    <xf numFmtId="0" fontId="4" fillId="22" borderId="24" xfId="0" applyFont="1" applyFill="1" applyBorder="1" applyAlignment="1">
      <alignment horizontal="center" vertical="center"/>
    </xf>
    <xf numFmtId="0" fontId="0" fillId="0" borderId="12" xfId="0" applyFont="1" applyBorder="1" applyAlignment="1">
      <alignment horizontal="left" vertical="center"/>
    </xf>
    <xf numFmtId="0" fontId="0" fillId="14" borderId="1" xfId="0" applyFont="1" applyFill="1" applyBorder="1" applyAlignment="1">
      <alignment horizontal="center" vertical="center"/>
    </xf>
    <xf numFmtId="0" fontId="0" fillId="0" borderId="12" xfId="0" applyFont="1" applyFill="1" applyBorder="1" applyAlignment="1">
      <alignment horizontal="left" vertical="center" wrapText="1"/>
    </xf>
    <xf numFmtId="0" fontId="0" fillId="10" borderId="1" xfId="0" quotePrefix="1" applyFill="1" applyBorder="1" applyAlignment="1">
      <alignment horizontal="center" vertical="center" wrapText="1"/>
    </xf>
    <xf numFmtId="0" fontId="0" fillId="14" borderId="1" xfId="0" applyFill="1" applyBorder="1" applyAlignment="1">
      <alignment horizontal="center" vertical="center"/>
    </xf>
    <xf numFmtId="0" fontId="0" fillId="14" borderId="12" xfId="0" applyFill="1" applyBorder="1" applyAlignment="1">
      <alignment horizontal="left" vertical="center"/>
    </xf>
    <xf numFmtId="0" fontId="0" fillId="14" borderId="1" xfId="0" applyFill="1" applyBorder="1" applyAlignment="1">
      <alignment horizontal="left" vertical="center"/>
    </xf>
    <xf numFmtId="0" fontId="0" fillId="17" borderId="12" xfId="0" applyFill="1" applyBorder="1" applyAlignment="1">
      <alignment horizontal="left" vertical="center"/>
    </xf>
    <xf numFmtId="0" fontId="0" fillId="13" borderId="26" xfId="0" applyFill="1" applyBorder="1" applyAlignment="1">
      <alignment horizontal="left" vertical="center"/>
    </xf>
    <xf numFmtId="0" fontId="0" fillId="13" borderId="6" xfId="0" applyFill="1" applyBorder="1" applyAlignment="1">
      <alignment horizontal="left" vertical="center"/>
    </xf>
    <xf numFmtId="0" fontId="0" fillId="0" borderId="16" xfId="0" applyBorder="1" applyAlignment="1">
      <alignment horizontal="center" vertical="center" wrapText="1"/>
    </xf>
    <xf numFmtId="0" fontId="0" fillId="14" borderId="6" xfId="0" applyFill="1" applyBorder="1" applyAlignment="1">
      <alignment horizontal="center" vertical="center"/>
    </xf>
    <xf numFmtId="0" fontId="0" fillId="13" borderId="14" xfId="0" applyFill="1" applyBorder="1" applyAlignment="1">
      <alignment horizontal="left" vertical="center"/>
    </xf>
    <xf numFmtId="0" fontId="0" fillId="13" borderId="15" xfId="0" applyFill="1" applyBorder="1" applyAlignment="1">
      <alignment horizontal="left" vertical="center"/>
    </xf>
    <xf numFmtId="0" fontId="0" fillId="14" borderId="15" xfId="0" applyFill="1" applyBorder="1" applyAlignment="1">
      <alignment horizontal="center" vertical="center"/>
    </xf>
    <xf numFmtId="0" fontId="0" fillId="13" borderId="16" xfId="0" applyFill="1" applyBorder="1" applyAlignment="1">
      <alignment horizontal="center" vertical="center" wrapText="1"/>
    </xf>
    <xf numFmtId="0" fontId="4" fillId="22" borderId="41" xfId="0" applyFont="1" applyFill="1" applyBorder="1" applyAlignment="1">
      <alignment horizontal="center" vertical="center"/>
    </xf>
    <xf numFmtId="0" fontId="0" fillId="5" borderId="26" xfId="0" applyFill="1" applyBorder="1" applyAlignment="1">
      <alignment horizontal="left" vertical="center"/>
    </xf>
    <xf numFmtId="0" fontId="0" fillId="5" borderId="6" xfId="0" applyFill="1" applyBorder="1" applyAlignment="1">
      <alignment horizontal="left" vertical="center"/>
    </xf>
    <xf numFmtId="0" fontId="0" fillId="17" borderId="0" xfId="0" applyFill="1"/>
    <xf numFmtId="0" fontId="1" fillId="2" borderId="7" xfId="0" applyFont="1" applyFill="1" applyBorder="1" applyAlignment="1">
      <alignment horizontal="left" vertical="top" wrapText="1"/>
    </xf>
    <xf numFmtId="0" fontId="0" fillId="3" borderId="41" xfId="0" applyFill="1" applyBorder="1" applyAlignment="1">
      <alignment horizontal="center" vertical="center"/>
    </xf>
    <xf numFmtId="0" fontId="0" fillId="3" borderId="23" xfId="0" applyFill="1" applyBorder="1" applyAlignment="1">
      <alignment horizontal="center" vertical="center"/>
    </xf>
    <xf numFmtId="0" fontId="4" fillId="4" borderId="29" xfId="0" applyFont="1" applyFill="1" applyBorder="1" applyAlignment="1">
      <alignment horizontal="center" vertical="center" wrapText="1"/>
    </xf>
    <xf numFmtId="0" fontId="4" fillId="22" borderId="3" xfId="0" applyFont="1" applyFill="1" applyBorder="1" applyAlignment="1">
      <alignment horizontal="center" vertical="center" wrapText="1"/>
    </xf>
    <xf numFmtId="0" fontId="4" fillId="22" borderId="4" xfId="0" applyFont="1" applyFill="1" applyBorder="1" applyAlignment="1">
      <alignment horizontal="center" vertical="center" wrapText="1"/>
    </xf>
    <xf numFmtId="0" fontId="4" fillId="4" borderId="40" xfId="0" applyFont="1" applyFill="1" applyBorder="1" applyAlignment="1">
      <alignment horizontal="center" vertical="center" wrapText="1"/>
    </xf>
    <xf numFmtId="0" fontId="0" fillId="13" borderId="14" xfId="0" applyFill="1" applyBorder="1" applyAlignment="1">
      <alignment horizontal="center" vertical="center" wrapText="1"/>
    </xf>
    <xf numFmtId="0" fontId="4" fillId="22" borderId="9" xfId="0" applyFont="1" applyFill="1" applyBorder="1" applyAlignment="1">
      <alignment horizontal="center" vertical="center" wrapText="1"/>
    </xf>
    <xf numFmtId="0" fontId="4" fillId="22" borderId="10" xfId="0" applyFont="1" applyFill="1" applyBorder="1" applyAlignment="1">
      <alignment horizontal="center" vertical="center" wrapText="1"/>
    </xf>
    <xf numFmtId="0" fontId="0" fillId="3" borderId="16" xfId="0" applyFill="1" applyBorder="1" applyAlignment="1">
      <alignment horizontal="left" vertical="top" wrapText="1"/>
    </xf>
    <xf numFmtId="0" fontId="0" fillId="0" borderId="13" xfId="0" applyBorder="1" applyAlignment="1">
      <alignment horizontal="left" vertical="top" wrapText="1"/>
    </xf>
    <xf numFmtId="0" fontId="0" fillId="3" borderId="13" xfId="0" applyFill="1" applyBorder="1" applyAlignment="1">
      <alignment horizontal="left" vertical="top" wrapText="1"/>
    </xf>
    <xf numFmtId="0" fontId="4" fillId="19" borderId="20" xfId="0" applyFont="1" applyFill="1" applyBorder="1" applyAlignment="1">
      <alignment horizontal="center" vertical="center" wrapText="1"/>
    </xf>
    <xf numFmtId="0" fontId="4" fillId="19" borderId="22" xfId="0" applyFont="1" applyFill="1" applyBorder="1" applyAlignment="1">
      <alignment horizontal="center" vertical="center" wrapText="1"/>
    </xf>
    <xf numFmtId="0" fontId="4" fillId="19" borderId="17" xfId="0" applyFont="1" applyFill="1" applyBorder="1" applyAlignment="1">
      <alignment horizontal="center" vertical="center" wrapText="1"/>
    </xf>
    <xf numFmtId="0" fontId="0" fillId="11" borderId="1" xfId="0" quotePrefix="1" applyFill="1" applyBorder="1" applyAlignment="1">
      <alignment horizontal="center" vertical="center" wrapText="1"/>
    </xf>
    <xf numFmtId="0" fontId="0" fillId="10" borderId="12" xfId="0" applyFill="1" applyBorder="1" applyAlignment="1">
      <alignment horizontal="center" vertical="center" wrapText="1"/>
    </xf>
    <xf numFmtId="0" fontId="0" fillId="0" borderId="12" xfId="0" quotePrefix="1" applyBorder="1" applyAlignment="1">
      <alignment horizontal="center" vertical="center" wrapText="1"/>
    </xf>
    <xf numFmtId="0" fontId="0" fillId="0" borderId="13" xfId="0" quotePrefix="1" applyBorder="1" applyAlignment="1">
      <alignment horizontal="center" vertical="center" wrapText="1"/>
    </xf>
    <xf numFmtId="0" fontId="0" fillId="11" borderId="12" xfId="0" quotePrefix="1" applyFill="1" applyBorder="1" applyAlignment="1">
      <alignment horizontal="center" vertical="center" wrapText="1"/>
    </xf>
    <xf numFmtId="0" fontId="0" fillId="11" borderId="13" xfId="0" quotePrefix="1" applyFill="1" applyBorder="1" applyAlignment="1">
      <alignment horizontal="center" vertical="center" wrapText="1"/>
    </xf>
    <xf numFmtId="0" fontId="6" fillId="5" borderId="12" xfId="0" applyFont="1" applyFill="1" applyBorder="1" applyAlignment="1">
      <alignment horizontal="center" vertical="center" wrapText="1"/>
    </xf>
    <xf numFmtId="0" fontId="0" fillId="10" borderId="14" xfId="0" applyFill="1" applyBorder="1" applyAlignment="1">
      <alignment horizontal="center" vertical="center" wrapText="1"/>
    </xf>
    <xf numFmtId="0" fontId="0" fillId="10" borderId="1" xfId="0" applyFill="1" applyBorder="1" applyAlignment="1">
      <alignment horizontal="left" vertical="center" wrapText="1"/>
    </xf>
    <xf numFmtId="0" fontId="0" fillId="10" borderId="13" xfId="0" applyFill="1" applyBorder="1" applyAlignment="1">
      <alignment horizontal="left" vertical="center" wrapText="1"/>
    </xf>
    <xf numFmtId="0" fontId="0" fillId="10" borderId="15" xfId="0" applyFill="1" applyBorder="1" applyAlignment="1">
      <alignment horizontal="left" vertical="center" wrapText="1"/>
    </xf>
    <xf numFmtId="0" fontId="0" fillId="10" borderId="16" xfId="0" applyFill="1" applyBorder="1" applyAlignment="1">
      <alignment horizontal="left" vertical="center" wrapText="1"/>
    </xf>
    <xf numFmtId="0" fontId="0" fillId="10" borderId="13" xfId="0" applyFill="1" applyBorder="1" applyAlignment="1">
      <alignment horizontal="left" vertical="top" wrapText="1"/>
    </xf>
    <xf numFmtId="0" fontId="6" fillId="5" borderId="13" xfId="0" applyFont="1" applyFill="1" applyBorder="1" applyAlignment="1">
      <alignment horizontal="left" vertical="top" wrapText="1"/>
    </xf>
    <xf numFmtId="0" fontId="0" fillId="0" borderId="1" xfId="0" applyBorder="1" applyAlignment="1">
      <alignment horizontal="center" vertical="top" wrapText="1"/>
    </xf>
    <xf numFmtId="0" fontId="0" fillId="3" borderId="1" xfId="0" applyFill="1" applyBorder="1" applyAlignment="1">
      <alignment horizontal="center" vertical="top" wrapText="1"/>
    </xf>
    <xf numFmtId="0" fontId="0" fillId="17" borderId="12" xfId="0" applyFill="1" applyBorder="1" applyAlignment="1">
      <alignment horizontal="center" vertical="center" wrapText="1"/>
    </xf>
    <xf numFmtId="0" fontId="0" fillId="17" borderId="13" xfId="0" applyFill="1" applyBorder="1" applyAlignment="1">
      <alignment horizontal="left" vertical="top" wrapText="1"/>
    </xf>
    <xf numFmtId="0" fontId="0" fillId="10" borderId="12" xfId="0" applyFill="1" applyBorder="1" applyAlignment="1">
      <alignment horizontal="center" vertical="top" wrapText="1"/>
    </xf>
    <xf numFmtId="0" fontId="0" fillId="10" borderId="13" xfId="0" quotePrefix="1" applyFill="1" applyBorder="1" applyAlignment="1">
      <alignment horizontal="center" vertical="center" wrapText="1"/>
    </xf>
    <xf numFmtId="0" fontId="0" fillId="0" borderId="13" xfId="0" applyBorder="1" applyAlignment="1">
      <alignment horizontal="left" vertical="top" wrapText="1"/>
    </xf>
    <xf numFmtId="0" fontId="0" fillId="17" borderId="37" xfId="0" applyFill="1" applyBorder="1" applyAlignment="1">
      <alignment horizontal="center" vertical="center" wrapText="1"/>
    </xf>
    <xf numFmtId="0" fontId="0" fillId="0" borderId="37" xfId="0" applyBorder="1" applyAlignment="1">
      <alignment horizontal="center" vertical="center" wrapText="1"/>
    </xf>
    <xf numFmtId="0" fontId="0" fillId="20" borderId="37" xfId="0" applyFill="1" applyBorder="1" applyAlignment="1">
      <alignment horizontal="center" vertical="center" wrapText="1"/>
    </xf>
    <xf numFmtId="0" fontId="0" fillId="17" borderId="37" xfId="0" applyFill="1"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left" vertical="center" wrapText="1"/>
    </xf>
    <xf numFmtId="0" fontId="0" fillId="20" borderId="37" xfId="0" applyFill="1" applyBorder="1" applyAlignment="1">
      <alignment horizontal="center" vertical="center" wrapText="1"/>
    </xf>
    <xf numFmtId="0" fontId="0" fillId="10" borderId="1" xfId="0" applyFill="1" applyBorder="1" applyAlignment="1">
      <alignment horizontal="left" vertical="center" wrapText="1"/>
    </xf>
    <xf numFmtId="0" fontId="0" fillId="0" borderId="13" xfId="0" applyBorder="1" applyAlignment="1">
      <alignment horizontal="left" vertical="top" wrapText="1"/>
    </xf>
    <xf numFmtId="0" fontId="0" fillId="10" borderId="12" xfId="0" applyFill="1" applyBorder="1" applyAlignment="1">
      <alignment horizontal="center" vertical="center" wrapText="1"/>
    </xf>
    <xf numFmtId="0" fontId="0" fillId="10" borderId="23" xfId="0" applyFill="1" applyBorder="1" applyAlignment="1">
      <alignment horizontal="left" vertical="center" wrapText="1"/>
    </xf>
    <xf numFmtId="0" fontId="0" fillId="10" borderId="13" xfId="0" applyFill="1" applyBorder="1" applyAlignment="1">
      <alignment horizontal="left" vertical="center" wrapText="1"/>
    </xf>
    <xf numFmtId="0" fontId="0" fillId="10" borderId="41" xfId="0" applyFill="1" applyBorder="1" applyAlignment="1">
      <alignment horizontal="center" vertical="center" wrapText="1"/>
    </xf>
    <xf numFmtId="0" fontId="0" fillId="10" borderId="12" xfId="0" quotePrefix="1" applyFill="1" applyBorder="1" applyAlignment="1">
      <alignment horizontal="center" vertical="center" wrapText="1"/>
    </xf>
    <xf numFmtId="0" fontId="0" fillId="0" borderId="1" xfId="0" applyFont="1" applyBorder="1" applyAlignment="1">
      <alignment horizontal="left" vertical="center" wrapText="1"/>
    </xf>
    <xf numFmtId="0" fontId="0" fillId="0" borderId="13" xfId="0" applyFont="1" applyBorder="1" applyAlignment="1">
      <alignment horizontal="left" vertical="center" wrapText="1"/>
    </xf>
    <xf numFmtId="0" fontId="0" fillId="0" borderId="12" xfId="0" applyFont="1" applyBorder="1" applyAlignment="1">
      <alignment horizontal="center" vertical="center" wrapText="1"/>
    </xf>
    <xf numFmtId="0" fontId="0" fillId="20" borderId="12" xfId="0" applyFill="1" applyBorder="1" applyAlignment="1">
      <alignment horizontal="center" vertical="center" wrapText="1"/>
    </xf>
    <xf numFmtId="0" fontId="0" fillId="30" borderId="37" xfId="0" quotePrefix="1" applyFill="1" applyBorder="1" applyAlignment="1">
      <alignment horizontal="left" vertical="center" wrapText="1"/>
    </xf>
    <xf numFmtId="0" fontId="0" fillId="17" borderId="37" xfId="0" quotePrefix="1" applyFill="1" applyBorder="1" applyAlignment="1">
      <alignment horizontal="left" vertical="center" wrapText="1"/>
    </xf>
    <xf numFmtId="0" fontId="0" fillId="30" borderId="37" xfId="0" quotePrefix="1" applyFill="1" applyBorder="1" applyAlignment="1">
      <alignment horizontal="left" vertical="top" wrapText="1"/>
    </xf>
    <xf numFmtId="0" fontId="0" fillId="17" borderId="37" xfId="0" quotePrefix="1" applyFill="1" applyBorder="1" applyAlignment="1">
      <alignment horizontal="left" vertical="top" wrapText="1"/>
    </xf>
    <xf numFmtId="0" fontId="0" fillId="0" borderId="12" xfId="0" applyBorder="1" applyAlignment="1">
      <alignment horizontal="center" vertical="center" wrapText="1"/>
    </xf>
    <xf numFmtId="0" fontId="0" fillId="0" borderId="1" xfId="0" applyBorder="1" applyAlignment="1">
      <alignment horizontal="left" vertical="center" wrapText="1"/>
    </xf>
    <xf numFmtId="0" fontId="0" fillId="0" borderId="13" xfId="0" applyBorder="1" applyAlignment="1">
      <alignment horizontal="center" vertical="center" wrapText="1"/>
    </xf>
    <xf numFmtId="0" fontId="0" fillId="0" borderId="13" xfId="0" applyBorder="1" applyAlignment="1">
      <alignment horizontal="left" vertical="center" wrapText="1"/>
    </xf>
    <xf numFmtId="0" fontId="0" fillId="10" borderId="13" xfId="0" quotePrefix="1" applyFill="1" applyBorder="1" applyAlignment="1">
      <alignment horizontal="center" vertical="center" wrapText="1"/>
    </xf>
    <xf numFmtId="0" fontId="0" fillId="0" borderId="13" xfId="0" quotePrefix="1" applyBorder="1" applyAlignment="1">
      <alignment horizontal="center" vertical="center" wrapText="1"/>
    </xf>
    <xf numFmtId="0" fontId="0" fillId="10" borderId="12" xfId="0" applyFill="1" applyBorder="1" applyAlignment="1">
      <alignment horizontal="center" vertical="center" wrapText="1"/>
    </xf>
    <xf numFmtId="0" fontId="0" fillId="5" borderId="12" xfId="0" applyFill="1" applyBorder="1" applyAlignment="1">
      <alignment horizontal="center" vertical="center" wrapText="1"/>
    </xf>
    <xf numFmtId="0" fontId="0" fillId="10" borderId="12" xfId="0" quotePrefix="1" applyFill="1" applyBorder="1" applyAlignment="1">
      <alignment horizontal="center" vertical="center" wrapText="1"/>
    </xf>
    <xf numFmtId="0" fontId="0" fillId="5" borderId="12" xfId="0" quotePrefix="1" applyFill="1" applyBorder="1" applyAlignment="1">
      <alignment horizontal="center" vertical="center" wrapText="1"/>
    </xf>
    <xf numFmtId="0" fontId="0" fillId="0" borderId="1" xfId="0" quotePrefix="1" applyBorder="1" applyAlignment="1">
      <alignment horizontal="center" vertical="center" wrapText="1"/>
    </xf>
    <xf numFmtId="0" fontId="0" fillId="5" borderId="1" xfId="0" quotePrefix="1" applyFill="1" applyBorder="1" applyAlignment="1">
      <alignment horizontal="center" vertical="center" wrapText="1"/>
    </xf>
    <xf numFmtId="0" fontId="0" fillId="5" borderId="13" xfId="0" quotePrefix="1" applyFill="1" applyBorder="1" applyAlignment="1">
      <alignment horizontal="center" vertical="center" wrapText="1"/>
    </xf>
    <xf numFmtId="0" fontId="0" fillId="10" borderId="1" xfId="0" quotePrefix="1" applyFill="1" applyBorder="1" applyAlignment="1">
      <alignment horizontal="center" vertical="center" wrapText="1"/>
    </xf>
    <xf numFmtId="0" fontId="0" fillId="0" borderId="12"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4" xfId="0" applyFont="1" applyBorder="1" applyAlignment="1">
      <alignment horizontal="center" vertical="center" wrapText="1"/>
    </xf>
    <xf numFmtId="0" fontId="0" fillId="0" borderId="37" xfId="0" applyBorder="1"/>
    <xf numFmtId="0" fontId="8" fillId="27" borderId="56" xfId="0" applyFont="1" applyFill="1" applyBorder="1" applyAlignment="1">
      <alignment horizontal="center"/>
    </xf>
    <xf numFmtId="0" fontId="0" fillId="25" borderId="37" xfId="0" applyFill="1" applyBorder="1"/>
    <xf numFmtId="0" fontId="0" fillId="25" borderId="38" xfId="0" applyFill="1" applyBorder="1"/>
    <xf numFmtId="0" fontId="0" fillId="10" borderId="1" xfId="0" applyFont="1" applyFill="1" applyBorder="1" applyAlignment="1">
      <alignment horizontal="center" vertical="center" wrapText="1"/>
    </xf>
    <xf numFmtId="0" fontId="0" fillId="10" borderId="1" xfId="0" quotePrefix="1" applyFont="1" applyFill="1" applyBorder="1" applyAlignment="1">
      <alignment horizontal="center" vertical="center" wrapText="1"/>
    </xf>
    <xf numFmtId="0" fontId="0" fillId="10" borderId="41" xfId="0" applyFont="1" applyFill="1" applyBorder="1" applyAlignment="1">
      <alignment horizontal="center" vertical="center" wrapText="1"/>
    </xf>
    <xf numFmtId="0" fontId="0" fillId="10" borderId="13" xfId="0" applyFont="1" applyFill="1" applyBorder="1" applyAlignment="1">
      <alignment horizontal="center" vertical="center" wrapText="1"/>
    </xf>
    <xf numFmtId="0" fontId="0" fillId="10" borderId="12" xfId="0" applyFont="1" applyFill="1" applyBorder="1" applyAlignment="1">
      <alignment horizontal="center" vertical="center" wrapText="1"/>
    </xf>
    <xf numFmtId="0" fontId="0" fillId="10" borderId="12" xfId="0" quotePrefix="1" applyFont="1" applyFill="1" applyBorder="1" applyAlignment="1">
      <alignment horizontal="center" vertical="center" wrapText="1"/>
    </xf>
    <xf numFmtId="0" fontId="0" fillId="10" borderId="13" xfId="0" quotePrefix="1" applyFont="1" applyFill="1" applyBorder="1" applyAlignment="1">
      <alignment horizontal="center" vertical="center" wrapText="1"/>
    </xf>
    <xf numFmtId="0" fontId="0" fillId="0" borderId="13" xfId="0" applyFont="1" applyBorder="1" applyAlignment="1">
      <alignment horizontal="center" vertical="center" wrapText="1"/>
    </xf>
    <xf numFmtId="0" fontId="0" fillId="10" borderId="14" xfId="0" applyFont="1" applyFill="1" applyBorder="1" applyAlignment="1">
      <alignment horizontal="center" vertical="center" wrapText="1"/>
    </xf>
    <xf numFmtId="0" fontId="0" fillId="20" borderId="41" xfId="0" applyFont="1" applyFill="1" applyBorder="1" applyAlignment="1">
      <alignment horizontal="center" vertical="center" wrapText="1"/>
    </xf>
    <xf numFmtId="0" fontId="0" fillId="20" borderId="42" xfId="0" applyFont="1" applyFill="1" applyBorder="1" applyAlignment="1">
      <alignment horizontal="center" vertical="center" wrapText="1"/>
    </xf>
    <xf numFmtId="0" fontId="0" fillId="10" borderId="13" xfId="0" applyFont="1" applyFill="1" applyBorder="1" applyAlignment="1">
      <alignment horizontal="left" vertical="center" wrapText="1"/>
    </xf>
    <xf numFmtId="0" fontId="0" fillId="0" borderId="12" xfId="0" quotePrefix="1" applyFont="1" applyBorder="1" applyAlignment="1">
      <alignment horizontal="center" vertical="center" wrapText="1"/>
    </xf>
    <xf numFmtId="0" fontId="0" fillId="0" borderId="1" xfId="0" quotePrefix="1" applyFont="1" applyBorder="1" applyAlignment="1">
      <alignment horizontal="center" vertical="center" wrapText="1"/>
    </xf>
    <xf numFmtId="0" fontId="0" fillId="0" borderId="13" xfId="0" quotePrefix="1" applyFont="1" applyBorder="1" applyAlignment="1">
      <alignment horizontal="center" vertical="center" wrapText="1"/>
    </xf>
    <xf numFmtId="0" fontId="0" fillId="10" borderId="13" xfId="0" applyFont="1" applyFill="1" applyBorder="1" applyAlignment="1">
      <alignment horizontal="left" vertical="top" wrapText="1"/>
    </xf>
    <xf numFmtId="0" fontId="0" fillId="0" borderId="13" xfId="0" applyFont="1" applyBorder="1" applyAlignment="1">
      <alignment horizontal="left" vertical="top" wrapText="1"/>
    </xf>
    <xf numFmtId="0" fontId="0" fillId="10" borderId="16" xfId="0" applyFont="1" applyFill="1" applyBorder="1" applyAlignment="1">
      <alignment horizontal="left" vertical="top" wrapText="1"/>
    </xf>
    <xf numFmtId="0" fontId="0" fillId="10" borderId="1" xfId="0" applyFont="1" applyFill="1" applyBorder="1" applyAlignment="1">
      <alignment horizontal="left" vertical="center" wrapText="1"/>
    </xf>
    <xf numFmtId="0" fontId="0" fillId="10" borderId="15" xfId="0" applyFont="1" applyFill="1" applyBorder="1" applyAlignment="1">
      <alignment horizontal="left" vertical="center" wrapText="1"/>
    </xf>
    <xf numFmtId="0" fontId="0" fillId="20" borderId="12" xfId="0" applyFont="1" applyFill="1" applyBorder="1" applyAlignment="1">
      <alignment horizontal="center" vertical="center" wrapText="1"/>
    </xf>
    <xf numFmtId="0" fontId="0" fillId="20" borderId="13" xfId="0" applyFont="1" applyFill="1" applyBorder="1" applyAlignment="1">
      <alignment horizontal="center" vertical="center" wrapText="1"/>
    </xf>
    <xf numFmtId="0" fontId="0" fillId="20" borderId="14" xfId="0" applyFont="1" applyFill="1" applyBorder="1" applyAlignment="1">
      <alignment horizontal="center" vertical="center" wrapText="1"/>
    </xf>
    <xf numFmtId="0" fontId="0" fillId="20" borderId="16" xfId="0" applyFont="1" applyFill="1" applyBorder="1" applyAlignment="1">
      <alignment horizontal="center" vertical="center" wrapText="1"/>
    </xf>
    <xf numFmtId="0" fontId="0" fillId="3" borderId="1" xfId="0" applyFont="1" applyFill="1" applyBorder="1" applyAlignment="1">
      <alignment horizontal="center" vertical="top" wrapText="1"/>
    </xf>
    <xf numFmtId="0" fontId="0" fillId="0" borderId="1" xfId="0" applyFont="1" applyBorder="1" applyAlignment="1">
      <alignment horizontal="center" vertical="top" wrapText="1"/>
    </xf>
    <xf numFmtId="0" fontId="0" fillId="3" borderId="13" xfId="0" applyFont="1" applyFill="1" applyBorder="1" applyAlignment="1">
      <alignment horizontal="left" vertical="top" wrapText="1"/>
    </xf>
    <xf numFmtId="0" fontId="0" fillId="10" borderId="14" xfId="0" quotePrefix="1" applyFill="1" applyBorder="1" applyAlignment="1">
      <alignment horizontal="center" vertical="center" wrapText="1"/>
    </xf>
    <xf numFmtId="0" fontId="0" fillId="10" borderId="15" xfId="0" quotePrefix="1" applyFill="1" applyBorder="1" applyAlignment="1">
      <alignment horizontal="center" vertical="center" wrapText="1"/>
    </xf>
    <xf numFmtId="0" fontId="0" fillId="10" borderId="16" xfId="0" quotePrefix="1" applyFill="1" applyBorder="1" applyAlignment="1">
      <alignment horizontal="center" vertical="center" wrapText="1"/>
    </xf>
    <xf numFmtId="0" fontId="0" fillId="20" borderId="14" xfId="0" applyFill="1" applyBorder="1" applyAlignment="1">
      <alignment horizontal="center" vertical="center" wrapText="1"/>
    </xf>
    <xf numFmtId="0" fontId="0" fillId="20" borderId="16" xfId="0" applyFill="1" applyBorder="1" applyAlignment="1">
      <alignment horizontal="center" vertical="center" wrapText="1"/>
    </xf>
    <xf numFmtId="0" fontId="0" fillId="10" borderId="42" xfId="0" applyFill="1" applyBorder="1" applyAlignment="1">
      <alignment horizontal="left" vertical="top" wrapText="1"/>
    </xf>
    <xf numFmtId="0" fontId="0" fillId="5" borderId="13" xfId="0" applyFill="1" applyBorder="1" applyAlignment="1">
      <alignment horizontal="center" vertical="center" wrapText="1"/>
    </xf>
    <xf numFmtId="0" fontId="0" fillId="0" borderId="14" xfId="0" quotePrefix="1" applyBorder="1" applyAlignment="1">
      <alignment horizontal="center" vertical="center" wrapText="1"/>
    </xf>
    <xf numFmtId="0" fontId="0" fillId="0" borderId="15" xfId="0" quotePrefix="1" applyBorder="1" applyAlignment="1">
      <alignment horizontal="center" vertical="center" wrapText="1"/>
    </xf>
    <xf numFmtId="0" fontId="0" fillId="0" borderId="16" xfId="0" quotePrefix="1" applyBorder="1" applyAlignment="1">
      <alignment horizontal="center" vertical="center" wrapText="1"/>
    </xf>
    <xf numFmtId="0" fontId="0" fillId="20" borderId="12" xfId="0" applyFill="1" applyBorder="1" applyAlignment="1">
      <alignment horizontal="center" vertical="center" wrapText="1"/>
    </xf>
    <xf numFmtId="0" fontId="0" fillId="20" borderId="13" xfId="0" applyFill="1" applyBorder="1" applyAlignment="1">
      <alignment horizontal="center" vertical="center" wrapText="1"/>
    </xf>
    <xf numFmtId="0" fontId="0" fillId="5" borderId="14" xfId="0" applyFill="1" applyBorder="1" applyAlignment="1">
      <alignment horizontal="center" vertical="center" wrapText="1"/>
    </xf>
    <xf numFmtId="0" fontId="0" fillId="0" borderId="16" xfId="0" applyFont="1" applyBorder="1" applyAlignment="1">
      <alignment horizontal="center" vertical="center" wrapText="1"/>
    </xf>
    <xf numFmtId="0" fontId="0" fillId="0" borderId="14" xfId="0" quotePrefix="1" applyFont="1" applyBorder="1" applyAlignment="1">
      <alignment horizontal="center" vertical="center" wrapText="1"/>
    </xf>
    <xf numFmtId="0" fontId="0" fillId="0" borderId="15" xfId="0" quotePrefix="1" applyFont="1" applyBorder="1" applyAlignment="1">
      <alignment horizontal="center" vertical="center" wrapText="1"/>
    </xf>
    <xf numFmtId="0" fontId="0" fillId="0" borderId="16" xfId="0" quotePrefix="1" applyFont="1" applyBorder="1" applyAlignment="1">
      <alignment horizontal="center" vertical="center" wrapText="1"/>
    </xf>
    <xf numFmtId="0" fontId="4" fillId="21" borderId="20" xfId="0" applyFont="1" applyFill="1" applyBorder="1" applyAlignment="1">
      <alignment horizontal="center" vertical="center"/>
    </xf>
    <xf numFmtId="0" fontId="4" fillId="21" borderId="17" xfId="0" applyFont="1" applyFill="1" applyBorder="1" applyAlignment="1">
      <alignment horizontal="center" vertical="center"/>
    </xf>
    <xf numFmtId="0" fontId="0" fillId="10" borderId="41" xfId="0" quotePrefix="1" applyFill="1" applyBorder="1" applyAlignment="1">
      <alignment horizontal="center" vertical="center" wrapText="1"/>
    </xf>
    <xf numFmtId="0" fontId="0" fillId="10" borderId="23" xfId="0" quotePrefix="1" applyFill="1" applyBorder="1" applyAlignment="1">
      <alignment horizontal="center" vertical="center" wrapText="1"/>
    </xf>
    <xf numFmtId="0" fontId="0" fillId="10" borderId="42" xfId="0" quotePrefix="1" applyFill="1" applyBorder="1" applyAlignment="1">
      <alignment horizontal="center" vertical="center" wrapText="1"/>
    </xf>
    <xf numFmtId="0" fontId="0" fillId="20" borderId="41" xfId="0" applyFill="1" applyBorder="1" applyAlignment="1">
      <alignment horizontal="center" vertical="center" wrapText="1"/>
    </xf>
    <xf numFmtId="0" fontId="0" fillId="20" borderId="42" xfId="0" applyFill="1" applyBorder="1" applyAlignment="1">
      <alignment horizontal="center" vertical="center" wrapText="1"/>
    </xf>
    <xf numFmtId="0" fontId="0" fillId="23" borderId="12" xfId="0" applyFont="1" applyFill="1" applyBorder="1" applyAlignment="1">
      <alignment horizontal="left" vertical="center" wrapText="1"/>
    </xf>
    <xf numFmtId="0" fontId="0" fillId="3" borderId="1" xfId="0" applyFill="1" applyBorder="1" applyAlignment="1">
      <alignment horizontal="center" vertical="center" wrapText="1"/>
    </xf>
    <xf numFmtId="0" fontId="0" fillId="3" borderId="12" xfId="0" applyFill="1"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13" xfId="0" applyBorder="1" applyAlignment="1">
      <alignment horizontal="left" vertical="center" wrapText="1"/>
    </xf>
    <xf numFmtId="0" fontId="0" fillId="5" borderId="1" xfId="0" applyFill="1" applyBorder="1" applyAlignment="1">
      <alignment horizontal="left" vertical="center" wrapText="1"/>
    </xf>
    <xf numFmtId="0" fontId="0" fillId="10" borderId="23" xfId="0" applyFill="1" applyBorder="1" applyAlignment="1">
      <alignment horizontal="left" vertical="center" wrapText="1"/>
    </xf>
    <xf numFmtId="0" fontId="0" fillId="10" borderId="1" xfId="0" applyFill="1" applyBorder="1" applyAlignment="1">
      <alignment horizontal="left" vertical="center" wrapText="1"/>
    </xf>
    <xf numFmtId="0" fontId="0" fillId="5" borderId="13" xfId="0" applyFill="1" applyBorder="1" applyAlignment="1">
      <alignment horizontal="left" vertical="center" wrapText="1"/>
    </xf>
    <xf numFmtId="0" fontId="0" fillId="3" borderId="13" xfId="0" applyFill="1" applyBorder="1" applyAlignment="1">
      <alignment horizontal="left" vertical="center" wrapText="1"/>
    </xf>
    <xf numFmtId="0" fontId="0" fillId="5" borderId="15" xfId="0" applyFill="1" applyBorder="1" applyAlignment="1">
      <alignment horizontal="left" vertical="center" wrapText="1"/>
    </xf>
    <xf numFmtId="0" fontId="0" fillId="11" borderId="1" xfId="0" applyFill="1" applyBorder="1" applyAlignment="1">
      <alignment horizontal="left" vertical="center" wrapText="1"/>
    </xf>
    <xf numFmtId="0" fontId="0" fillId="10" borderId="13" xfId="0" applyFill="1" applyBorder="1" applyAlignment="1">
      <alignment horizontal="left" vertical="top" wrapText="1"/>
    </xf>
    <xf numFmtId="0" fontId="0" fillId="11" borderId="13" xfId="0" applyFill="1" applyBorder="1" applyAlignment="1">
      <alignment horizontal="left" vertical="top" wrapText="1"/>
    </xf>
    <xf numFmtId="0" fontId="0" fillId="5" borderId="13" xfId="0" applyFill="1" applyBorder="1" applyAlignment="1">
      <alignment horizontal="left" vertical="top" wrapText="1"/>
    </xf>
    <xf numFmtId="0" fontId="0" fillId="0" borderId="12"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 xfId="0" applyFont="1" applyBorder="1" applyAlignment="1">
      <alignment horizontal="center" vertical="center" wrapText="1"/>
    </xf>
    <xf numFmtId="0" fontId="0" fillId="10" borderId="1" xfId="0" applyFont="1" applyFill="1" applyBorder="1" applyAlignment="1">
      <alignment horizontal="center" vertical="center" wrapText="1"/>
    </xf>
    <xf numFmtId="0" fontId="0" fillId="10" borderId="13" xfId="0" applyFont="1" applyFill="1" applyBorder="1" applyAlignment="1">
      <alignment horizontal="center" vertical="center" wrapText="1"/>
    </xf>
    <xf numFmtId="0" fontId="0" fillId="10" borderId="1" xfId="0" applyFont="1" applyFill="1" applyBorder="1" applyAlignment="1">
      <alignment horizontal="left" vertical="center" wrapText="1"/>
    </xf>
    <xf numFmtId="0" fontId="0" fillId="10" borderId="13" xfId="0" applyFont="1" applyFill="1" applyBorder="1" applyAlignment="1">
      <alignment horizontal="left" vertical="top" wrapText="1"/>
    </xf>
    <xf numFmtId="0" fontId="0" fillId="0" borderId="1" xfId="0" applyFont="1" applyBorder="1" applyAlignment="1">
      <alignment horizontal="left" vertical="center" wrapText="1"/>
    </xf>
    <xf numFmtId="0" fontId="0" fillId="0" borderId="13" xfId="0" applyFont="1" applyBorder="1" applyAlignment="1">
      <alignment horizontal="left" vertical="center" wrapText="1"/>
    </xf>
    <xf numFmtId="0" fontId="0" fillId="0" borderId="13" xfId="0" applyFont="1" applyBorder="1" applyAlignment="1">
      <alignment horizontal="left" vertical="top" wrapText="1"/>
    </xf>
    <xf numFmtId="0" fontId="0" fillId="10" borderId="1" xfId="0" quotePrefix="1" applyFont="1" applyFill="1" applyBorder="1" applyAlignment="1">
      <alignment horizontal="center" vertical="center" wrapText="1"/>
    </xf>
    <xf numFmtId="0" fontId="0" fillId="10" borderId="13" xfId="0" quotePrefix="1" applyFont="1" applyFill="1" applyBorder="1" applyAlignment="1">
      <alignment horizontal="center" vertical="center" wrapText="1"/>
    </xf>
    <xf numFmtId="0" fontId="0" fillId="10" borderId="13" xfId="0" applyFont="1" applyFill="1" applyBorder="1" applyAlignment="1">
      <alignment horizontal="left" vertical="center" wrapText="1"/>
    </xf>
    <xf numFmtId="0" fontId="0" fillId="0" borderId="1" xfId="0" quotePrefix="1" applyFont="1" applyBorder="1" applyAlignment="1">
      <alignment horizontal="center" vertical="center" wrapText="1"/>
    </xf>
    <xf numFmtId="0" fontId="0" fillId="0" borderId="13" xfId="0" quotePrefix="1" applyFont="1" applyBorder="1" applyAlignment="1">
      <alignment horizontal="center" vertical="center" wrapText="1"/>
    </xf>
    <xf numFmtId="0" fontId="0" fillId="10" borderId="12" xfId="0" quotePrefix="1" applyFont="1" applyFill="1" applyBorder="1" applyAlignment="1">
      <alignment horizontal="center" vertical="center" wrapText="1"/>
    </xf>
    <xf numFmtId="0" fontId="0" fillId="0" borderId="12" xfId="0" quotePrefix="1" applyFont="1" applyBorder="1" applyAlignment="1">
      <alignment horizontal="center" vertical="center" wrapText="1"/>
    </xf>
    <xf numFmtId="0" fontId="0" fillId="0" borderId="15" xfId="0" applyFont="1" applyBorder="1" applyAlignment="1">
      <alignment horizontal="left" vertical="center" wrapText="1"/>
    </xf>
    <xf numFmtId="0" fontId="0" fillId="0" borderId="16" xfId="0" applyFont="1" applyBorder="1" applyAlignment="1">
      <alignment horizontal="left" vertical="center" wrapText="1"/>
    </xf>
    <xf numFmtId="0" fontId="0" fillId="0" borderId="37" xfId="0" applyFill="1" applyBorder="1" applyAlignment="1">
      <alignment horizontal="center" vertical="center" wrapText="1"/>
    </xf>
    <xf numFmtId="0" fontId="0" fillId="30" borderId="37" xfId="0" applyFill="1" applyBorder="1" applyAlignment="1">
      <alignment horizontal="center" vertical="center" wrapText="1"/>
    </xf>
    <xf numFmtId="0" fontId="0" fillId="31" borderId="37" xfId="0" applyFill="1" applyBorder="1" applyAlignment="1">
      <alignment horizontal="center" vertical="center" wrapText="1"/>
    </xf>
    <xf numFmtId="0" fontId="0" fillId="31" borderId="38" xfId="0" applyFill="1" applyBorder="1" applyAlignment="1">
      <alignment horizontal="center" vertical="center" wrapText="1"/>
    </xf>
    <xf numFmtId="0" fontId="0" fillId="17" borderId="12" xfId="0" applyFill="1" applyBorder="1" applyAlignment="1">
      <alignment horizontal="center" vertical="center" wrapText="1"/>
    </xf>
    <xf numFmtId="0" fontId="0" fillId="17" borderId="1" xfId="0" quotePrefix="1" applyFill="1" applyBorder="1" applyAlignment="1">
      <alignment horizontal="center" vertical="center" wrapText="1"/>
    </xf>
    <xf numFmtId="0" fontId="0" fillId="17" borderId="13" xfId="0" quotePrefix="1" applyFill="1" applyBorder="1" applyAlignment="1">
      <alignment horizontal="center" vertical="center" wrapText="1"/>
    </xf>
    <xf numFmtId="0" fontId="0" fillId="0" borderId="16" xfId="0" applyFont="1" applyBorder="1" applyAlignment="1">
      <alignment horizontal="left" vertical="top" wrapText="1"/>
    </xf>
    <xf numFmtId="0" fontId="0" fillId="0" borderId="12" xfId="0" applyFont="1" applyBorder="1" applyAlignment="1">
      <alignment horizontal="center" vertical="top" wrapText="1"/>
    </xf>
    <xf numFmtId="0" fontId="0" fillId="3" borderId="16" xfId="0" applyFont="1" applyFill="1" applyBorder="1" applyAlignment="1">
      <alignment horizontal="left" vertical="top" wrapText="1"/>
    </xf>
    <xf numFmtId="0" fontId="0" fillId="10" borderId="14" xfId="0" applyFont="1" applyFill="1" applyBorder="1" applyAlignment="1">
      <alignment horizontal="center" vertical="top" wrapText="1"/>
    </xf>
    <xf numFmtId="0" fontId="0" fillId="10" borderId="15" xfId="0" quotePrefix="1" applyFont="1" applyFill="1" applyBorder="1" applyAlignment="1">
      <alignment horizontal="center" vertical="center" wrapText="1"/>
    </xf>
    <xf numFmtId="0" fontId="0" fillId="10" borderId="16" xfId="0" quotePrefix="1" applyFont="1" applyFill="1" applyBorder="1" applyAlignment="1">
      <alignment horizontal="center" vertical="center" wrapText="1"/>
    </xf>
    <xf numFmtId="0" fontId="0" fillId="5" borderId="16" xfId="0" applyFill="1" applyBorder="1" applyAlignment="1">
      <alignment horizontal="left" vertical="top" wrapText="1"/>
    </xf>
    <xf numFmtId="0" fontId="6" fillId="5" borderId="1" xfId="0" applyFont="1" applyFill="1" applyBorder="1" applyAlignment="1">
      <alignment horizontal="center" vertical="center" wrapText="1"/>
    </xf>
    <xf numFmtId="0" fontId="0" fillId="10" borderId="12" xfId="0" applyFont="1" applyFill="1" applyBorder="1" applyAlignment="1">
      <alignment horizontal="center" vertical="top" wrapText="1"/>
    </xf>
    <xf numFmtId="0" fontId="0" fillId="17" borderId="13" xfId="0" applyFont="1" applyFill="1" applyBorder="1" applyAlignment="1">
      <alignment horizontal="center" vertical="center" wrapText="1"/>
    </xf>
    <xf numFmtId="0" fontId="0" fillId="0" borderId="13" xfId="0" applyBorder="1" applyAlignment="1">
      <alignment horizontal="center" vertical="center" wrapText="1"/>
    </xf>
    <xf numFmtId="0" fontId="0" fillId="5" borderId="13" xfId="0" applyFill="1" applyBorder="1" applyAlignment="1">
      <alignment horizontal="center" vertical="center" wrapText="1"/>
    </xf>
    <xf numFmtId="0" fontId="0" fillId="20" borderId="13" xfId="0" applyFill="1" applyBorder="1" applyAlignment="1">
      <alignment horizontal="center" vertical="center" wrapText="1"/>
    </xf>
    <xf numFmtId="0" fontId="0" fillId="3" borderId="13" xfId="0" applyFill="1" applyBorder="1" applyAlignment="1">
      <alignment horizontal="left" vertical="center" wrapText="1"/>
    </xf>
    <xf numFmtId="0" fontId="0" fillId="0" borderId="13" xfId="0" applyFont="1" applyBorder="1" applyAlignment="1">
      <alignment horizontal="center" vertical="center" wrapText="1"/>
    </xf>
    <xf numFmtId="0" fontId="0" fillId="20" borderId="13" xfId="0" applyFont="1" applyFill="1" applyBorder="1" applyAlignment="1">
      <alignment horizontal="center" vertical="center" wrapText="1"/>
    </xf>
    <xf numFmtId="0" fontId="0" fillId="0" borderId="13" xfId="0" applyFont="1" applyBorder="1" applyAlignment="1">
      <alignment horizontal="left" vertical="center" wrapText="1"/>
    </xf>
    <xf numFmtId="0" fontId="0" fillId="29" borderId="13" xfId="0" applyFont="1" applyFill="1" applyBorder="1" applyAlignment="1">
      <alignment horizontal="center" vertical="center" wrapText="1"/>
    </xf>
    <xf numFmtId="0" fontId="0" fillId="0" borderId="13" xfId="0" applyFont="1" applyBorder="1" applyAlignment="1">
      <alignment horizontal="left" vertical="top" wrapText="1"/>
    </xf>
    <xf numFmtId="0" fontId="0" fillId="0" borderId="1" xfId="0" applyFont="1" applyBorder="1" applyAlignment="1">
      <alignment horizontal="center" vertical="center" wrapText="1"/>
    </xf>
    <xf numFmtId="0" fontId="0" fillId="20" borderId="42" xfId="0" applyFill="1" applyBorder="1" applyAlignment="1">
      <alignment horizontal="center" vertical="center" wrapText="1"/>
    </xf>
    <xf numFmtId="0" fontId="0" fillId="29" borderId="12" xfId="0" applyFont="1" applyFill="1" applyBorder="1" applyAlignment="1">
      <alignment horizontal="center" vertical="center" wrapText="1"/>
    </xf>
    <xf numFmtId="0" fontId="0" fillId="5" borderId="16" xfId="0" applyFill="1" applyBorder="1" applyAlignment="1">
      <alignment horizontal="center" vertical="center" wrapText="1"/>
    </xf>
    <xf numFmtId="0" fontId="0" fillId="23" borderId="13" xfId="0" applyFont="1" applyFill="1" applyBorder="1" applyAlignment="1">
      <alignment horizontal="center" vertical="center" wrapText="1"/>
    </xf>
    <xf numFmtId="0" fontId="0" fillId="29" borderId="37" xfId="0" applyFill="1" applyBorder="1" applyAlignment="1">
      <alignment horizontal="left" vertical="center" wrapText="1"/>
    </xf>
    <xf numFmtId="0" fontId="0" fillId="29" borderId="37" xfId="0" applyFill="1" applyBorder="1" applyAlignment="1">
      <alignment horizontal="center" vertical="center" wrapText="1"/>
    </xf>
    <xf numFmtId="0" fontId="0" fillId="5" borderId="0" xfId="0" applyFill="1" applyBorder="1" applyAlignment="1">
      <alignment horizontal="left" vertical="center" wrapText="1"/>
    </xf>
    <xf numFmtId="0" fontId="0" fillId="0" borderId="0" xfId="0" applyAlignment="1">
      <alignment horizontal="center"/>
    </xf>
    <xf numFmtId="0" fontId="1" fillId="0" borderId="0" xfId="0" applyFont="1" applyAlignment="1">
      <alignment horizontal="center" vertical="center"/>
    </xf>
    <xf numFmtId="0" fontId="0" fillId="0" borderId="0" xfId="0" applyFill="1" applyAlignment="1">
      <alignment horizontal="center"/>
    </xf>
    <xf numFmtId="0" fontId="0" fillId="0" borderId="0" xfId="0" applyFill="1"/>
    <xf numFmtId="0" fontId="0" fillId="0" borderId="0" xfId="0" applyFill="1" applyBorder="1"/>
    <xf numFmtId="0" fontId="0" fillId="0" borderId="12" xfId="0" quotePrefix="1" applyFont="1" applyBorder="1" applyAlignment="1">
      <alignment horizontal="center" vertical="center" wrapText="1"/>
    </xf>
    <xf numFmtId="0" fontId="1" fillId="30" borderId="43" xfId="0" applyFont="1" applyFill="1" applyBorder="1" applyAlignment="1">
      <alignment horizontal="center" vertical="center"/>
    </xf>
    <xf numFmtId="0" fontId="1" fillId="30" borderId="2" xfId="0" applyFont="1" applyFill="1" applyBorder="1" applyAlignment="1">
      <alignment horizontal="right"/>
    </xf>
    <xf numFmtId="0" fontId="1" fillId="30" borderId="41" xfId="0" applyFont="1" applyFill="1" applyBorder="1" applyAlignment="1">
      <alignment horizontal="center" vertical="center"/>
    </xf>
    <xf numFmtId="0" fontId="1" fillId="30" borderId="42" xfId="0" applyFont="1" applyFill="1" applyBorder="1" applyAlignment="1">
      <alignment horizontal="center" vertical="center"/>
    </xf>
    <xf numFmtId="0" fontId="0" fillId="0" borderId="13" xfId="0" applyFill="1" applyBorder="1"/>
    <xf numFmtId="0" fontId="0" fillId="0" borderId="12" xfId="0" applyFill="1" applyBorder="1" applyAlignment="1">
      <alignment horizontal="left"/>
    </xf>
    <xf numFmtId="0" fontId="0" fillId="0" borderId="14" xfId="0" applyFill="1" applyBorder="1" applyAlignment="1">
      <alignment horizontal="left"/>
    </xf>
    <xf numFmtId="0" fontId="0" fillId="0" borderId="16" xfId="0" applyFill="1" applyBorder="1"/>
    <xf numFmtId="0" fontId="1" fillId="30" borderId="35" xfId="0" applyFont="1" applyFill="1" applyBorder="1" applyAlignment="1">
      <alignment horizontal="center" vertical="center"/>
    </xf>
    <xf numFmtId="0" fontId="0" fillId="0" borderId="35" xfId="0" applyFill="1" applyBorder="1"/>
    <xf numFmtId="0" fontId="1" fillId="30" borderId="57" xfId="0" applyFont="1" applyFill="1" applyBorder="1"/>
    <xf numFmtId="0" fontId="1" fillId="30" borderId="12" xfId="0" applyFont="1" applyFill="1" applyBorder="1" applyAlignment="1">
      <alignment horizontal="center" vertical="center"/>
    </xf>
    <xf numFmtId="0" fontId="1" fillId="30" borderId="13" xfId="0" applyFont="1" applyFill="1" applyBorder="1" applyAlignment="1">
      <alignment horizontal="center" vertical="center"/>
    </xf>
    <xf numFmtId="0" fontId="1" fillId="0" borderId="12" xfId="0" applyFont="1" applyFill="1" applyBorder="1" applyAlignment="1">
      <alignment horizontal="center"/>
    </xf>
    <xf numFmtId="10" fontId="0" fillId="0" borderId="13" xfId="0" applyNumberFormat="1" applyFill="1" applyBorder="1" applyAlignment="1">
      <alignment horizontal="center"/>
    </xf>
    <xf numFmtId="0" fontId="1" fillId="30" borderId="14" xfId="0" applyFont="1" applyFill="1" applyBorder="1" applyAlignment="1">
      <alignment horizontal="center"/>
    </xf>
    <xf numFmtId="10" fontId="1" fillId="30" borderId="16" xfId="0" applyNumberFormat="1" applyFont="1" applyFill="1" applyBorder="1" applyAlignment="1">
      <alignment horizontal="center"/>
    </xf>
    <xf numFmtId="0" fontId="0" fillId="0" borderId="12" xfId="0" applyFill="1" applyBorder="1" applyAlignment="1">
      <alignment horizontal="center"/>
    </xf>
    <xf numFmtId="0" fontId="0" fillId="0" borderId="43" xfId="0" applyNumberFormat="1" applyFill="1" applyBorder="1" applyAlignment="1">
      <alignment horizontal="center"/>
    </xf>
    <xf numFmtId="0" fontId="1" fillId="30" borderId="60" xfId="0" applyFont="1" applyFill="1" applyBorder="1" applyAlignment="1">
      <alignment horizontal="center"/>
    </xf>
    <xf numFmtId="0" fontId="1" fillId="30" borderId="13" xfId="0" applyFont="1" applyFill="1" applyBorder="1" applyAlignment="1">
      <alignment horizontal="center" vertical="center" wrapText="1"/>
    </xf>
    <xf numFmtId="10" fontId="1" fillId="0" borderId="13" xfId="0" applyNumberFormat="1" applyFont="1" applyFill="1" applyBorder="1" applyAlignment="1">
      <alignment horizontal="center"/>
    </xf>
    <xf numFmtId="0" fontId="0" fillId="0" borderId="13" xfId="0" applyFont="1" applyBorder="1" applyAlignment="1">
      <alignment horizontal="left" vertical="top" wrapText="1"/>
    </xf>
    <xf numFmtId="0" fontId="0" fillId="23" borderId="13" xfId="0" applyFill="1" applyBorder="1" applyAlignment="1">
      <alignment horizontal="center" vertical="center" wrapText="1"/>
    </xf>
    <xf numFmtId="0" fontId="0" fillId="0" borderId="13" xfId="0" applyFont="1" applyBorder="1" applyAlignment="1">
      <alignment horizontal="center" vertical="center" wrapText="1"/>
    </xf>
    <xf numFmtId="0" fontId="0" fillId="0" borderId="12" xfId="0" applyFont="1" applyBorder="1" applyAlignment="1">
      <alignment horizontal="center" vertical="center" wrapText="1"/>
    </xf>
    <xf numFmtId="0" fontId="0" fillId="0" borderId="1" xfId="0" quotePrefix="1" applyFont="1" applyBorder="1" applyAlignment="1">
      <alignment horizontal="center" vertical="center" wrapText="1"/>
    </xf>
    <xf numFmtId="0" fontId="0" fillId="29" borderId="13" xfId="0" applyFont="1" applyFill="1" applyBorder="1" applyAlignment="1">
      <alignment horizontal="center" vertical="center" wrapText="1"/>
    </xf>
    <xf numFmtId="0" fontId="0" fillId="30" borderId="41" xfId="0" applyFill="1" applyBorder="1" applyAlignment="1">
      <alignment horizontal="center" vertical="center" wrapText="1"/>
    </xf>
    <xf numFmtId="0" fontId="0" fillId="23" borderId="12" xfId="0" applyFill="1" applyBorder="1" applyAlignment="1">
      <alignment horizontal="center" vertical="center" wrapText="1"/>
    </xf>
    <xf numFmtId="0" fontId="0" fillId="31" borderId="14" xfId="0" applyFill="1" applyBorder="1" applyAlignment="1">
      <alignment horizontal="center" vertical="center" wrapText="1"/>
    </xf>
    <xf numFmtId="0" fontId="0" fillId="31" borderId="16" xfId="0"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12" xfId="0" applyFont="1" applyFill="1" applyBorder="1" applyAlignment="1">
      <alignment horizontal="center" vertical="center" wrapText="1"/>
    </xf>
    <xf numFmtId="0" fontId="0" fillId="30" borderId="12" xfId="0" applyFont="1" applyFill="1" applyBorder="1" applyAlignment="1">
      <alignment horizontal="center" vertical="center" wrapText="1"/>
    </xf>
    <xf numFmtId="0" fontId="0" fillId="23" borderId="12" xfId="0" applyFont="1" applyFill="1" applyBorder="1" applyAlignment="1">
      <alignment horizontal="left" vertical="top" wrapText="1"/>
    </xf>
    <xf numFmtId="0" fontId="0" fillId="0" borderId="12" xfId="0" applyFont="1" applyBorder="1" applyAlignment="1">
      <alignment horizontal="center" vertical="center" wrapText="1"/>
    </xf>
    <xf numFmtId="0" fontId="0" fillId="20" borderId="41" xfId="0" applyFont="1" applyFill="1" applyBorder="1" applyAlignment="1">
      <alignment horizontal="center" vertical="center" wrapText="1"/>
    </xf>
    <xf numFmtId="0" fontId="0" fillId="29" borderId="12" xfId="0" applyFont="1" applyFill="1" applyBorder="1" applyAlignment="1">
      <alignment horizontal="left" vertical="center" wrapText="1"/>
    </xf>
    <xf numFmtId="0" fontId="0" fillId="17" borderId="12" xfId="0" applyFont="1" applyFill="1" applyBorder="1" applyAlignment="1">
      <alignment horizontal="center" vertical="center" wrapText="1"/>
    </xf>
    <xf numFmtId="0" fontId="0" fillId="29" borderId="12" xfId="0" applyFont="1" applyFill="1" applyBorder="1" applyAlignment="1">
      <alignment horizontal="left" vertical="center" wrapText="1"/>
    </xf>
    <xf numFmtId="0" fontId="0" fillId="31" borderId="12" xfId="0" applyFill="1" applyBorder="1" applyAlignment="1">
      <alignment horizontal="center" vertical="center" wrapText="1"/>
    </xf>
    <xf numFmtId="0" fontId="0" fillId="17" borderId="12" xfId="0" applyFont="1" applyFill="1" applyBorder="1" applyAlignment="1">
      <alignment horizontal="center" vertical="center" wrapText="1"/>
    </xf>
    <xf numFmtId="0" fontId="0" fillId="5" borderId="1" xfId="0" applyFill="1" applyBorder="1" applyAlignment="1">
      <alignment horizontal="center" vertical="center"/>
    </xf>
    <xf numFmtId="0" fontId="0" fillId="0" borderId="13" xfId="0" applyFont="1" applyFill="1" applyBorder="1" applyAlignment="1">
      <alignment horizontal="center" vertical="center" wrapText="1"/>
    </xf>
    <xf numFmtId="0" fontId="9" fillId="0" borderId="0" xfId="0" applyFont="1" applyAlignment="1">
      <alignment horizontal="left" vertical="center"/>
    </xf>
    <xf numFmtId="0" fontId="0" fillId="0" borderId="0" xfId="0" applyFill="1" applyBorder="1" applyAlignment="1">
      <alignment horizontal="left"/>
    </xf>
    <xf numFmtId="0" fontId="0" fillId="0" borderId="12" xfId="0" applyFont="1" applyBorder="1" applyAlignment="1">
      <alignment horizontal="center" vertical="center" wrapText="1"/>
    </xf>
    <xf numFmtId="0" fontId="0" fillId="20" borderId="12" xfId="0" applyFont="1" applyFill="1" applyBorder="1" applyAlignment="1">
      <alignment horizontal="center" vertical="center" wrapText="1"/>
    </xf>
    <xf numFmtId="0" fontId="0" fillId="17" borderId="12" xfId="0" applyFill="1" applyBorder="1" applyAlignment="1">
      <alignment horizontal="center" vertical="center" wrapText="1"/>
    </xf>
    <xf numFmtId="0" fontId="0" fillId="23" borderId="13" xfId="0" applyFill="1" applyBorder="1" applyAlignment="1">
      <alignment horizontal="center" vertical="center" wrapText="1"/>
    </xf>
    <xf numFmtId="0" fontId="0" fillId="31" borderId="12" xfId="0" applyFont="1" applyFill="1" applyBorder="1" applyAlignment="1">
      <alignment horizontal="center" vertical="center" wrapText="1"/>
    </xf>
    <xf numFmtId="0" fontId="0" fillId="31" borderId="13" xfId="0" applyFont="1" applyFill="1" applyBorder="1" applyAlignment="1">
      <alignment horizontal="center" vertical="center" wrapText="1"/>
    </xf>
    <xf numFmtId="0" fontId="0" fillId="10" borderId="41" xfId="0" quotePrefix="1" applyFill="1" applyBorder="1" applyAlignment="1">
      <alignment horizontal="center" vertical="center" wrapText="1"/>
    </xf>
    <xf numFmtId="0" fontId="0" fillId="0" borderId="16" xfId="0" applyFont="1" applyFill="1" applyBorder="1" applyAlignment="1">
      <alignment horizontal="center" vertical="center" wrapText="1"/>
    </xf>
    <xf numFmtId="0" fontId="0" fillId="23" borderId="12" xfId="0" applyFill="1" applyBorder="1" applyAlignment="1">
      <alignment horizontal="center" vertical="top" wrapText="1"/>
    </xf>
    <xf numFmtId="0" fontId="0" fillId="16" borderId="0" xfId="0" applyFill="1" applyAlignment="1">
      <alignment wrapText="1"/>
    </xf>
    <xf numFmtId="0" fontId="0" fillId="30" borderId="12" xfId="0" applyFill="1" applyBorder="1" applyAlignment="1">
      <alignment horizontal="center" vertical="center" wrapText="1"/>
    </xf>
    <xf numFmtId="0" fontId="0" fillId="31" borderId="13" xfId="0" applyFill="1" applyBorder="1" applyAlignment="1">
      <alignment horizontal="center" vertical="center" wrapText="1"/>
    </xf>
    <xf numFmtId="0" fontId="0" fillId="23" borderId="16" xfId="0" applyFill="1" applyBorder="1" applyAlignment="1">
      <alignment horizontal="center" vertical="center" wrapText="1"/>
    </xf>
    <xf numFmtId="0" fontId="0" fillId="23" borderId="12" xfId="0" applyFill="1" applyBorder="1" applyAlignment="1">
      <alignment horizontal="left" vertical="top" wrapText="1"/>
    </xf>
    <xf numFmtId="0" fontId="0" fillId="0" borderId="13" xfId="0" quotePrefix="1" applyBorder="1" applyAlignment="1">
      <alignment horizontal="center" vertical="center" wrapText="1"/>
    </xf>
    <xf numFmtId="0" fontId="0" fillId="17" borderId="12" xfId="0" applyFill="1" applyBorder="1" applyAlignment="1">
      <alignment horizontal="center" vertical="center" wrapText="1"/>
    </xf>
    <xf numFmtId="0" fontId="0" fillId="23" borderId="12" xfId="0" applyFill="1" applyBorder="1" applyAlignment="1">
      <alignment horizontal="left" vertical="top" wrapText="1"/>
    </xf>
    <xf numFmtId="0" fontId="0" fillId="5" borderId="13" xfId="0" applyFill="1" applyBorder="1" applyAlignment="1">
      <alignment horizontal="center" vertical="center" wrapText="1"/>
    </xf>
    <xf numFmtId="0" fontId="0" fillId="20" borderId="12" xfId="0" applyFont="1" applyFill="1" applyBorder="1" applyAlignment="1">
      <alignment horizontal="center" vertical="center" wrapText="1"/>
    </xf>
    <xf numFmtId="0" fontId="0" fillId="17" borderId="12" xfId="0" applyFont="1" applyFill="1" applyBorder="1" applyAlignment="1">
      <alignment horizontal="center" vertical="center" wrapText="1"/>
    </xf>
    <xf numFmtId="0" fontId="0" fillId="29" borderId="13" xfId="0" applyFont="1" applyFill="1" applyBorder="1" applyAlignment="1">
      <alignment horizontal="center" vertical="center" wrapText="1"/>
    </xf>
    <xf numFmtId="0" fontId="0" fillId="23" borderId="14" xfId="0" applyFill="1" applyBorder="1" applyAlignment="1">
      <alignment horizontal="left" vertical="center" wrapText="1"/>
    </xf>
    <xf numFmtId="0" fontId="0" fillId="29" borderId="12" xfId="0" applyFont="1" applyFill="1" applyBorder="1" applyAlignment="1">
      <alignment horizontal="center" vertical="top" wrapText="1"/>
    </xf>
    <xf numFmtId="0" fontId="0" fillId="23" borderId="12" xfId="0" applyFont="1" applyFill="1" applyBorder="1" applyAlignment="1">
      <alignment horizontal="center" vertical="center" wrapText="1"/>
    </xf>
    <xf numFmtId="0" fontId="0" fillId="17" borderId="12"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0" fillId="5" borderId="14" xfId="0" applyFill="1" applyBorder="1" applyAlignment="1">
      <alignment horizontal="center" vertical="center" wrapText="1"/>
    </xf>
    <xf numFmtId="0" fontId="0" fillId="20" borderId="13" xfId="0" applyFont="1" applyFill="1" applyBorder="1" applyAlignment="1">
      <alignment horizontal="center" vertical="center" wrapText="1"/>
    </xf>
    <xf numFmtId="0" fontId="0" fillId="31" borderId="12" xfId="0" applyFont="1" applyFill="1" applyBorder="1" applyAlignment="1">
      <alignment horizontal="center" vertical="center" wrapText="1"/>
    </xf>
    <xf numFmtId="0" fontId="0" fillId="17" borderId="12" xfId="0" applyFont="1" applyFill="1" applyBorder="1" applyAlignment="1">
      <alignment horizontal="center" vertical="center" wrapText="1"/>
    </xf>
    <xf numFmtId="0" fontId="0" fillId="20" borderId="12" xfId="0" applyFont="1" applyFill="1" applyBorder="1" applyAlignment="1">
      <alignment horizontal="center" vertical="center" wrapText="1"/>
    </xf>
    <xf numFmtId="0" fontId="0" fillId="29" borderId="13" xfId="0" applyFont="1" applyFill="1" applyBorder="1" applyAlignment="1">
      <alignment horizontal="center" vertical="center" wrapText="1"/>
    </xf>
    <xf numFmtId="0" fontId="0" fillId="30" borderId="13" xfId="0" applyFont="1" applyFill="1" applyBorder="1" applyAlignment="1">
      <alignment horizontal="center" vertical="center" wrapText="1"/>
    </xf>
    <xf numFmtId="0" fontId="0" fillId="31" borderId="13" xfId="0" applyFont="1" applyFill="1" applyBorder="1" applyAlignment="1">
      <alignment horizontal="center" vertical="center" wrapText="1"/>
    </xf>
    <xf numFmtId="0" fontId="0" fillId="29" borderId="12" xfId="0" applyFont="1" applyFill="1" applyBorder="1" applyAlignment="1">
      <alignment horizontal="left" vertical="center" wrapText="1"/>
    </xf>
    <xf numFmtId="0" fontId="0" fillId="31" borderId="12" xfId="0" applyFont="1" applyFill="1" applyBorder="1" applyAlignment="1">
      <alignment horizontal="left" vertical="center" wrapText="1"/>
    </xf>
    <xf numFmtId="0" fontId="0" fillId="30" borderId="12" xfId="0" applyFont="1" applyFill="1" applyBorder="1" applyAlignment="1">
      <alignment horizontal="left" vertical="center" wrapText="1"/>
    </xf>
    <xf numFmtId="0" fontId="0" fillId="31" borderId="12" xfId="0" applyFill="1" applyBorder="1" applyAlignment="1">
      <alignment horizontal="center" vertical="center" wrapText="1"/>
    </xf>
    <xf numFmtId="0" fontId="0" fillId="31" borderId="12" xfId="0" applyFont="1" applyFill="1" applyBorder="1" applyAlignment="1">
      <alignment horizontal="center" vertical="center" wrapText="1"/>
    </xf>
    <xf numFmtId="0" fontId="0" fillId="17" borderId="12" xfId="0" applyFont="1" applyFill="1" applyBorder="1" applyAlignment="1">
      <alignment horizontal="center" vertical="center" wrapText="1"/>
    </xf>
    <xf numFmtId="0" fontId="0" fillId="29" borderId="13" xfId="0" applyFont="1" applyFill="1" applyBorder="1" applyAlignment="1">
      <alignment horizontal="center" vertical="center" wrapText="1"/>
    </xf>
    <xf numFmtId="0" fontId="0" fillId="31" borderId="13" xfId="0" applyFont="1" applyFill="1" applyBorder="1" applyAlignment="1">
      <alignment horizontal="center" vertical="center" wrapText="1"/>
    </xf>
    <xf numFmtId="0" fontId="0" fillId="29" borderId="12" xfId="0" applyFont="1" applyFill="1" applyBorder="1" applyAlignment="1">
      <alignment horizontal="center" vertical="center" wrapText="1"/>
    </xf>
    <xf numFmtId="0" fontId="0" fillId="29" borderId="14" xfId="0" applyFont="1" applyFill="1" applyBorder="1" applyAlignment="1">
      <alignment horizontal="center" vertical="center" wrapText="1"/>
    </xf>
    <xf numFmtId="0" fontId="0" fillId="29" borderId="16" xfId="0" applyFont="1" applyFill="1" applyBorder="1" applyAlignment="1">
      <alignment horizontal="center" vertical="center" wrapText="1"/>
    </xf>
    <xf numFmtId="0" fontId="0" fillId="23" borderId="14" xfId="0" applyFont="1" applyFill="1" applyBorder="1" applyAlignment="1">
      <alignment horizontal="center" vertical="center" wrapText="1"/>
    </xf>
    <xf numFmtId="0" fontId="0" fillId="23" borderId="16" xfId="0" applyFont="1" applyFill="1" applyBorder="1" applyAlignment="1">
      <alignment horizontal="center" vertical="center" wrapText="1"/>
    </xf>
    <xf numFmtId="0" fontId="0" fillId="30" borderId="14" xfId="0" applyFill="1" applyBorder="1" applyAlignment="1">
      <alignment horizontal="center" vertical="center" wrapText="1"/>
    </xf>
    <xf numFmtId="0" fontId="0" fillId="30" borderId="16"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2" xfId="0" applyFill="1" applyBorder="1"/>
    <xf numFmtId="0" fontId="0" fillId="0" borderId="12" xfId="0" applyFont="1" applyFill="1" applyBorder="1" applyAlignment="1">
      <alignment horizontal="left" vertical="top" wrapText="1"/>
    </xf>
    <xf numFmtId="0" fontId="0" fillId="30" borderId="12" xfId="0" applyFont="1" applyFill="1" applyBorder="1" applyAlignment="1">
      <alignment horizontal="left" vertical="top" wrapText="1"/>
    </xf>
    <xf numFmtId="0" fontId="0" fillId="31" borderId="12" xfId="0" applyFont="1" applyFill="1" applyBorder="1" applyAlignment="1">
      <alignment horizontal="center" vertical="center" wrapText="1"/>
    </xf>
    <xf numFmtId="0" fontId="0" fillId="17" borderId="12" xfId="0" applyFont="1" applyFill="1" applyBorder="1" applyAlignment="1">
      <alignment horizontal="center" vertical="center" wrapText="1"/>
    </xf>
    <xf numFmtId="0" fontId="0" fillId="31" borderId="13" xfId="0" applyFont="1" applyFill="1" applyBorder="1" applyAlignment="1">
      <alignment horizontal="center" vertical="center" wrapText="1"/>
    </xf>
    <xf numFmtId="0" fontId="0" fillId="31" borderId="12" xfId="0" applyFont="1" applyFill="1" applyBorder="1" applyAlignment="1">
      <alignment horizontal="center" vertical="center" wrapText="1"/>
    </xf>
    <xf numFmtId="0" fontId="0" fillId="31" borderId="13" xfId="0" applyFont="1" applyFill="1" applyBorder="1" applyAlignment="1">
      <alignment horizontal="center" vertical="center" wrapText="1"/>
    </xf>
    <xf numFmtId="0" fontId="0" fillId="29" borderId="12" xfId="0" applyFont="1" applyFill="1" applyBorder="1" applyAlignment="1">
      <alignment horizontal="left" vertical="center" wrapText="1"/>
    </xf>
    <xf numFmtId="0" fontId="0" fillId="31" borderId="12" xfId="0" applyFont="1" applyFill="1" applyBorder="1" applyAlignment="1">
      <alignment horizontal="center" vertical="center" wrapText="1"/>
    </xf>
    <xf numFmtId="0" fontId="0" fillId="17" borderId="12" xfId="0" applyFont="1" applyFill="1" applyBorder="1" applyAlignment="1">
      <alignment horizontal="center" vertical="center" wrapText="1"/>
    </xf>
    <xf numFmtId="0" fontId="0" fillId="31" borderId="13" xfId="0" applyFont="1" applyFill="1" applyBorder="1" applyAlignment="1">
      <alignment horizontal="center" vertical="center" wrapText="1"/>
    </xf>
    <xf numFmtId="0" fontId="0" fillId="17" borderId="13" xfId="0" applyFont="1" applyFill="1" applyBorder="1" applyAlignment="1">
      <alignment horizontal="center" vertical="center" wrapText="1"/>
    </xf>
    <xf numFmtId="0" fontId="0" fillId="31" borderId="12" xfId="0" applyFont="1" applyFill="1" applyBorder="1" applyAlignment="1">
      <alignment horizontal="center" vertical="center" wrapText="1"/>
    </xf>
    <xf numFmtId="0" fontId="0" fillId="31" borderId="13" xfId="0" applyFont="1" applyFill="1" applyBorder="1" applyAlignment="1">
      <alignment horizontal="center" vertical="center" wrapText="1"/>
    </xf>
    <xf numFmtId="0" fontId="0" fillId="23" borderId="12" xfId="0" applyFont="1" applyFill="1" applyBorder="1" applyAlignment="1">
      <alignment horizontal="left" vertical="center" wrapText="1"/>
    </xf>
    <xf numFmtId="0" fontId="0" fillId="29" borderId="12" xfId="0" applyFont="1" applyFill="1" applyBorder="1" applyAlignment="1">
      <alignment horizontal="left" vertical="center" wrapText="1"/>
    </xf>
    <xf numFmtId="0" fontId="0" fillId="23" borderId="12" xfId="0" applyFont="1" applyFill="1" applyBorder="1" applyAlignment="1">
      <alignment horizontal="left" vertical="center" wrapText="1"/>
    </xf>
    <xf numFmtId="0" fontId="1" fillId="30" borderId="41" xfId="0" applyFont="1" applyFill="1" applyBorder="1" applyAlignment="1">
      <alignment horizontal="center" vertical="center" wrapText="1"/>
    </xf>
    <xf numFmtId="0" fontId="1" fillId="30" borderId="42" xfId="0" applyFont="1" applyFill="1" applyBorder="1" applyAlignment="1">
      <alignment horizontal="center" vertical="center" wrapText="1"/>
    </xf>
    <xf numFmtId="0" fontId="0" fillId="0" borderId="26" xfId="0" applyFill="1" applyBorder="1" applyAlignment="1">
      <alignment horizontal="left" vertical="center"/>
    </xf>
    <xf numFmtId="0" fontId="0" fillId="0" borderId="27" xfId="0" applyFill="1" applyBorder="1" applyAlignment="1">
      <alignment horizontal="left" vertical="center"/>
    </xf>
    <xf numFmtId="0" fontId="0" fillId="0" borderId="21" xfId="0" applyFill="1" applyBorder="1" applyAlignment="1">
      <alignment horizontal="left" vertical="center"/>
    </xf>
    <xf numFmtId="0" fontId="1" fillId="30" borderId="58" xfId="0" applyFont="1" applyFill="1" applyBorder="1" applyAlignment="1">
      <alignment horizontal="center" vertical="center" wrapText="1"/>
    </xf>
    <xf numFmtId="0" fontId="1" fillId="30" borderId="61" xfId="0" applyFont="1" applyFill="1" applyBorder="1" applyAlignment="1">
      <alignment horizontal="center" vertical="center" wrapText="1"/>
    </xf>
    <xf numFmtId="0" fontId="1" fillId="30" borderId="59" xfId="0" applyFont="1" applyFill="1" applyBorder="1" applyAlignment="1">
      <alignment horizontal="center" vertical="center" wrapText="1"/>
    </xf>
    <xf numFmtId="0" fontId="0" fillId="0" borderId="0" xfId="0" applyAlignment="1">
      <alignment horizontal="left" vertical="top" wrapText="1"/>
    </xf>
    <xf numFmtId="0" fontId="0" fillId="10" borderId="21" xfId="0" applyFill="1" applyBorder="1" applyAlignment="1">
      <alignment horizontal="center" vertical="center" wrapText="1"/>
    </xf>
    <xf numFmtId="0" fontId="0" fillId="10" borderId="12" xfId="0" applyFill="1" applyBorder="1" applyAlignment="1">
      <alignment horizontal="center" vertical="center" wrapText="1"/>
    </xf>
    <xf numFmtId="0" fontId="0" fillId="10" borderId="12" xfId="0" quotePrefix="1" applyFill="1" applyBorder="1" applyAlignment="1">
      <alignment horizontal="center" vertical="center" wrapText="1"/>
    </xf>
    <xf numFmtId="0" fontId="0" fillId="17" borderId="12" xfId="0" quotePrefix="1" applyFill="1" applyBorder="1" applyAlignment="1">
      <alignment horizontal="center" vertical="center" wrapText="1"/>
    </xf>
    <xf numFmtId="0" fontId="0" fillId="17" borderId="12" xfId="0" applyFill="1" applyBorder="1" applyAlignment="1">
      <alignment horizontal="center" vertical="center" wrapText="1"/>
    </xf>
    <xf numFmtId="0" fontId="0" fillId="20" borderId="55" xfId="0" applyFill="1" applyBorder="1" applyAlignment="1">
      <alignment horizontal="center" vertical="center" wrapText="1"/>
    </xf>
    <xf numFmtId="0" fontId="0" fillId="20" borderId="54" xfId="0" applyFill="1" applyBorder="1" applyAlignment="1">
      <alignment horizontal="center" vertical="center" wrapText="1"/>
    </xf>
    <xf numFmtId="0" fontId="0" fillId="20" borderId="36" xfId="0" applyFill="1" applyBorder="1" applyAlignment="1">
      <alignment horizontal="center" vertical="center" wrapText="1"/>
    </xf>
    <xf numFmtId="0" fontId="0" fillId="29" borderId="53" xfId="0" quotePrefix="1" applyFill="1" applyBorder="1" applyAlignment="1">
      <alignment horizontal="left" vertical="center" wrapText="1"/>
    </xf>
    <xf numFmtId="0" fontId="0" fillId="29" borderId="54" xfId="0" quotePrefix="1" applyFill="1" applyBorder="1" applyAlignment="1">
      <alignment horizontal="left" vertical="center" wrapText="1"/>
    </xf>
    <xf numFmtId="0" fontId="0" fillId="29" borderId="36" xfId="0" quotePrefix="1" applyFill="1" applyBorder="1" applyAlignment="1">
      <alignment horizontal="left" vertical="center" wrapText="1"/>
    </xf>
    <xf numFmtId="0" fontId="6" fillId="17" borderId="53" xfId="2" quotePrefix="1" applyFont="1" applyFill="1" applyBorder="1" applyAlignment="1">
      <alignment horizontal="center" vertical="center" wrapText="1"/>
    </xf>
    <xf numFmtId="0" fontId="6" fillId="17" borderId="54" xfId="2" quotePrefix="1" applyFont="1" applyFill="1" applyBorder="1" applyAlignment="1">
      <alignment horizontal="center" vertical="center" wrapText="1"/>
    </xf>
    <xf numFmtId="0" fontId="6" fillId="17" borderId="36" xfId="2" quotePrefix="1" applyFont="1" applyFill="1" applyBorder="1" applyAlignment="1">
      <alignment horizontal="center" vertical="center" wrapText="1"/>
    </xf>
    <xf numFmtId="0" fontId="0" fillId="20" borderId="53" xfId="0" applyFill="1" applyBorder="1" applyAlignment="1">
      <alignment horizontal="center" vertical="center" wrapText="1"/>
    </xf>
    <xf numFmtId="0" fontId="0" fillId="17" borderId="53" xfId="0" applyFill="1" applyBorder="1" applyAlignment="1">
      <alignment horizontal="center" vertical="center" wrapText="1"/>
    </xf>
    <xf numFmtId="0" fontId="0" fillId="17" borderId="54" xfId="0" applyFill="1" applyBorder="1" applyAlignment="1">
      <alignment horizontal="center" vertical="center" wrapText="1"/>
    </xf>
    <xf numFmtId="0" fontId="0" fillId="17" borderId="36" xfId="0" applyFill="1" applyBorder="1" applyAlignment="1">
      <alignment horizontal="center" vertical="center" wrapText="1"/>
    </xf>
    <xf numFmtId="0" fontId="0" fillId="13" borderId="2" xfId="0" applyFill="1" applyBorder="1" applyAlignment="1">
      <alignment horizontal="left" vertical="center" wrapText="1"/>
    </xf>
    <xf numFmtId="0" fontId="0" fillId="13" borderId="1" xfId="0" applyFill="1" applyBorder="1" applyAlignment="1">
      <alignment horizontal="left" vertical="center" wrapText="1"/>
    </xf>
    <xf numFmtId="0" fontId="0" fillId="13" borderId="24" xfId="0" applyFill="1" applyBorder="1" applyAlignment="1">
      <alignment horizontal="left" vertical="center" wrapText="1"/>
    </xf>
    <xf numFmtId="0" fontId="0" fillId="13" borderId="13" xfId="0" applyFill="1" applyBorder="1" applyAlignment="1">
      <alignment horizontal="left" vertical="center" wrapText="1"/>
    </xf>
    <xf numFmtId="0" fontId="0" fillId="13" borderId="2" xfId="0" applyFill="1" applyBorder="1" applyAlignment="1">
      <alignment vertical="center" wrapText="1"/>
    </xf>
    <xf numFmtId="0" fontId="0" fillId="13" borderId="1" xfId="0" applyFill="1" applyBorder="1" applyAlignment="1">
      <alignment vertical="center" wrapText="1"/>
    </xf>
    <xf numFmtId="0" fontId="0" fillId="3" borderId="34" xfId="0" applyFill="1" applyBorder="1" applyAlignment="1">
      <alignment horizontal="left" vertical="center" wrapText="1"/>
    </xf>
    <xf numFmtId="0" fontId="0" fillId="3" borderId="35" xfId="0" applyFill="1" applyBorder="1" applyAlignment="1">
      <alignment horizontal="left" vertical="center" wrapText="1"/>
    </xf>
    <xf numFmtId="0" fontId="0" fillId="3" borderId="17" xfId="0" applyFill="1" applyBorder="1" applyAlignment="1">
      <alignment horizontal="left" vertical="center" wrapText="1"/>
    </xf>
    <xf numFmtId="0" fontId="0" fillId="3" borderId="19" xfId="0" applyFill="1" applyBorder="1" applyAlignment="1">
      <alignment horizontal="left" vertical="center" wrapText="1"/>
    </xf>
    <xf numFmtId="0" fontId="0" fillId="3" borderId="24" xfId="0" applyFill="1" applyBorder="1" applyAlignment="1">
      <alignment horizontal="left" vertical="center" wrapText="1"/>
    </xf>
    <xf numFmtId="0" fontId="0" fillId="10" borderId="37" xfId="0" applyFill="1" applyBorder="1" applyAlignment="1">
      <alignment horizontal="left" vertical="center" wrapText="1"/>
    </xf>
    <xf numFmtId="0" fontId="0" fillId="10" borderId="38" xfId="0" applyFill="1" applyBorder="1" applyAlignment="1">
      <alignment horizontal="left" vertical="center" wrapText="1"/>
    </xf>
    <xf numFmtId="0" fontId="0" fillId="7" borderId="36" xfId="0" applyFill="1" applyBorder="1" applyAlignment="1">
      <alignment horizontal="left" vertical="center" wrapText="1"/>
    </xf>
    <xf numFmtId="0" fontId="0" fillId="7" borderId="37" xfId="0" applyFill="1" applyBorder="1" applyAlignment="1">
      <alignment horizontal="left" vertical="center" wrapText="1"/>
    </xf>
    <xf numFmtId="0" fontId="0" fillId="9" borderId="37" xfId="0" applyFill="1" applyBorder="1" applyAlignment="1">
      <alignment horizontal="left" vertical="center" wrapText="1"/>
    </xf>
    <xf numFmtId="0" fontId="0" fillId="8" borderId="37" xfId="0" applyFill="1" applyBorder="1" applyAlignment="1">
      <alignment horizontal="left" vertical="center" wrapText="1"/>
    </xf>
    <xf numFmtId="0" fontId="0" fillId="11" borderId="37" xfId="0" applyFill="1" applyBorder="1" applyAlignment="1">
      <alignment horizontal="left" vertical="center" wrapText="1"/>
    </xf>
    <xf numFmtId="0" fontId="0" fillId="3" borderId="18" xfId="0" applyFill="1"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4" xfId="0" applyBorder="1" applyAlignment="1">
      <alignment horizontal="left" vertical="center" wrapText="1"/>
    </xf>
    <xf numFmtId="0" fontId="0" fillId="3" borderId="11" xfId="0" applyFill="1" applyBorder="1" applyAlignment="1">
      <alignment horizontal="left" vertical="center" wrapText="1"/>
    </xf>
    <xf numFmtId="0" fontId="0" fillId="20" borderId="40" xfId="0" applyFill="1" applyBorder="1" applyAlignment="1">
      <alignment horizontal="center" vertical="center" wrapText="1"/>
    </xf>
    <xf numFmtId="0" fontId="0" fillId="13" borderId="20" xfId="0" applyFill="1" applyBorder="1" applyAlignment="1">
      <alignment horizontal="left" vertical="center" wrapText="1"/>
    </xf>
    <xf numFmtId="0" fontId="0" fillId="13" borderId="27" xfId="0" applyFill="1" applyBorder="1" applyAlignment="1">
      <alignment horizontal="left" vertical="center" wrapText="1"/>
    </xf>
    <xf numFmtId="0" fontId="0" fillId="13" borderId="21" xfId="0" applyFill="1" applyBorder="1" applyAlignment="1">
      <alignment horizontal="left" vertical="center" wrapText="1"/>
    </xf>
    <xf numFmtId="0" fontId="0" fillId="3" borderId="1"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35" xfId="0" applyBorder="1" applyAlignment="1">
      <alignment horizontal="left" vertical="center" wrapText="1"/>
    </xf>
    <xf numFmtId="0" fontId="0" fillId="13" borderId="16" xfId="0" applyFill="1" applyBorder="1" applyAlignment="1">
      <alignment horizontal="left" vertical="center" wrapText="1"/>
    </xf>
    <xf numFmtId="0" fontId="0" fillId="13" borderId="15" xfId="0" applyFill="1" applyBorder="1" applyAlignment="1">
      <alignment horizontal="left"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39" xfId="0" applyFill="1" applyBorder="1" applyAlignment="1">
      <alignment horizontal="left" vertical="center" wrapText="1"/>
    </xf>
    <xf numFmtId="0" fontId="0" fillId="13" borderId="15" xfId="0" applyFill="1" applyBorder="1" applyAlignment="1">
      <alignment vertical="center" wrapText="1"/>
    </xf>
    <xf numFmtId="0" fontId="0" fillId="13" borderId="26" xfId="0" applyFill="1" applyBorder="1" applyAlignment="1">
      <alignment horizontal="left" vertical="center" wrapText="1"/>
    </xf>
    <xf numFmtId="0" fontId="0" fillId="13" borderId="9" xfId="0" applyFill="1" applyBorder="1" applyAlignment="1">
      <alignment horizontal="left" vertical="center" wrapText="1"/>
    </xf>
    <xf numFmtId="0" fontId="0" fillId="10" borderId="14"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21" xfId="0" applyBorder="1" applyAlignment="1">
      <alignment horizontal="left" vertical="center" wrapText="1"/>
    </xf>
    <xf numFmtId="0" fontId="2" fillId="2" borderId="28" xfId="0" applyFont="1" applyFill="1" applyBorder="1" applyAlignment="1">
      <alignment horizontal="left" vertical="center" wrapText="1"/>
    </xf>
    <xf numFmtId="0" fontId="2" fillId="2" borderId="29"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0" xfId="0" applyFont="1" applyFill="1" applyBorder="1" applyAlignment="1">
      <alignment horizontal="left" vertical="center" wrapText="1"/>
    </xf>
    <xf numFmtId="0" fontId="0" fillId="5" borderId="26" xfId="0" applyFill="1" applyBorder="1" applyAlignment="1">
      <alignment horizontal="left" vertical="center" wrapText="1"/>
    </xf>
    <xf numFmtId="0" fontId="0" fillId="5" borderId="21" xfId="0" applyFill="1" applyBorder="1" applyAlignment="1">
      <alignment horizontal="left" vertical="center" wrapText="1"/>
    </xf>
    <xf numFmtId="0" fontId="0" fillId="5" borderId="27" xfId="0" applyFill="1" applyBorder="1" applyAlignment="1">
      <alignment horizontal="left" vertical="center" wrapText="1"/>
    </xf>
    <xf numFmtId="0" fontId="0" fillId="13" borderId="13" xfId="0" applyFill="1" applyBorder="1" applyAlignment="1">
      <alignment horizontal="center" vertical="center" wrapText="1"/>
    </xf>
    <xf numFmtId="0" fontId="0" fillId="5" borderId="1" xfId="0" applyFill="1" applyBorder="1" applyAlignment="1">
      <alignment vertical="center" wrapText="1"/>
    </xf>
    <xf numFmtId="0" fontId="0" fillId="0" borderId="13" xfId="0" applyBorder="1" applyAlignment="1">
      <alignment horizontal="center" vertical="center" wrapText="1"/>
    </xf>
    <xf numFmtId="0" fontId="0" fillId="20" borderId="37" xfId="0" applyFill="1" applyBorder="1" applyAlignment="1">
      <alignment horizontal="center" vertical="center" wrapText="1"/>
    </xf>
    <xf numFmtId="0" fontId="0" fillId="29" borderId="53" xfId="0" quotePrefix="1" applyFill="1" applyBorder="1" applyAlignment="1">
      <alignment horizontal="center" vertical="center" wrapText="1"/>
    </xf>
    <xf numFmtId="0" fontId="0" fillId="29" borderId="54" xfId="0" quotePrefix="1" applyFill="1" applyBorder="1" applyAlignment="1">
      <alignment horizontal="center" vertical="center" wrapText="1"/>
    </xf>
    <xf numFmtId="0" fontId="0" fillId="29" borderId="36" xfId="0" quotePrefix="1" applyFill="1" applyBorder="1" applyAlignment="1">
      <alignment horizontal="center" vertical="center" wrapText="1"/>
    </xf>
    <xf numFmtId="0" fontId="0" fillId="17" borderId="1" xfId="0" applyFill="1" applyBorder="1" applyAlignment="1">
      <alignment horizontal="left" vertical="center" wrapText="1"/>
    </xf>
    <xf numFmtId="0" fontId="0" fillId="17" borderId="13" xfId="0" applyFill="1" applyBorder="1" applyAlignment="1">
      <alignment horizontal="left" vertical="center" wrapText="1"/>
    </xf>
    <xf numFmtId="0" fontId="0" fillId="10" borderId="1" xfId="0" applyFill="1" applyBorder="1" applyAlignment="1">
      <alignment horizontal="left" vertical="center" wrapText="1"/>
    </xf>
    <xf numFmtId="0" fontId="0" fillId="10" borderId="15" xfId="0" applyFill="1" applyBorder="1" applyAlignment="1">
      <alignment horizontal="left" vertical="center" wrapText="1"/>
    </xf>
    <xf numFmtId="0" fontId="0" fillId="10" borderId="13" xfId="0" applyFill="1" applyBorder="1" applyAlignment="1">
      <alignment horizontal="left" vertical="center" wrapText="1"/>
    </xf>
    <xf numFmtId="0" fontId="0" fillId="10" borderId="16" xfId="0" applyFill="1" applyBorder="1" applyAlignment="1">
      <alignment horizontal="left" vertical="center" wrapText="1"/>
    </xf>
    <xf numFmtId="0" fontId="0" fillId="10" borderId="2" xfId="0" applyFill="1" applyBorder="1" applyAlignment="1">
      <alignment horizontal="left" vertical="center" wrapText="1"/>
    </xf>
    <xf numFmtId="0" fontId="0" fillId="10" borderId="24" xfId="0" applyFill="1" applyBorder="1" applyAlignment="1">
      <alignment horizontal="left" vertical="center" wrapText="1"/>
    </xf>
    <xf numFmtId="0" fontId="0" fillId="10" borderId="1" xfId="0" quotePrefix="1" applyFill="1" applyBorder="1" applyAlignment="1">
      <alignment horizontal="center" vertical="center" wrapText="1"/>
    </xf>
    <xf numFmtId="0" fontId="0" fillId="10" borderId="1" xfId="0" applyFill="1" applyBorder="1" applyAlignment="1">
      <alignment horizontal="center" vertical="center" wrapText="1"/>
    </xf>
    <xf numFmtId="0" fontId="0" fillId="10" borderId="13" xfId="0" quotePrefix="1" applyFill="1" applyBorder="1" applyAlignment="1">
      <alignment horizontal="center" vertical="center" wrapText="1"/>
    </xf>
    <xf numFmtId="0" fontId="0" fillId="10" borderId="13" xfId="0" applyFill="1" applyBorder="1" applyAlignment="1">
      <alignment horizontal="center" vertical="center" wrapText="1"/>
    </xf>
    <xf numFmtId="0" fontId="0" fillId="17" borderId="1" xfId="0" quotePrefix="1" applyFill="1" applyBorder="1" applyAlignment="1">
      <alignment horizontal="center" vertical="center" wrapText="1"/>
    </xf>
    <xf numFmtId="0" fontId="0" fillId="17" borderId="1" xfId="0" applyFill="1" applyBorder="1" applyAlignment="1">
      <alignment horizontal="center" vertical="center" wrapText="1"/>
    </xf>
    <xf numFmtId="0" fontId="0" fillId="17" borderId="13" xfId="0" quotePrefix="1" applyFill="1" applyBorder="1" applyAlignment="1">
      <alignment horizontal="center" vertical="center" wrapText="1"/>
    </xf>
    <xf numFmtId="0" fontId="0" fillId="17" borderId="13" xfId="0" applyFill="1" applyBorder="1" applyAlignment="1">
      <alignment horizontal="center" vertical="center" wrapText="1"/>
    </xf>
    <xf numFmtId="0" fontId="0" fillId="5" borderId="12" xfId="0" applyFill="1" applyBorder="1" applyAlignment="1">
      <alignment horizontal="left" vertical="center" wrapText="1"/>
    </xf>
    <xf numFmtId="0" fontId="0" fillId="23" borderId="13" xfId="0" applyFill="1" applyBorder="1" applyAlignment="1">
      <alignment horizontal="center" vertical="center" wrapText="1"/>
    </xf>
    <xf numFmtId="0" fontId="0" fillId="5" borderId="1" xfId="0" applyFill="1" applyBorder="1" applyAlignment="1">
      <alignment horizontal="left" vertical="center" wrapText="1"/>
    </xf>
    <xf numFmtId="0" fontId="2" fillId="2" borderId="28" xfId="0" applyFont="1" applyFill="1" applyBorder="1" applyAlignment="1">
      <alignment horizontal="left" wrapText="1"/>
    </xf>
    <xf numFmtId="0" fontId="2" fillId="2" borderId="29" xfId="0" applyFont="1" applyFill="1" applyBorder="1" applyAlignment="1">
      <alignment horizontal="left" wrapText="1"/>
    </xf>
    <xf numFmtId="0" fontId="2" fillId="2" borderId="30" xfId="0" applyFont="1" applyFill="1" applyBorder="1" applyAlignment="1">
      <alignment horizontal="left" wrapText="1"/>
    </xf>
    <xf numFmtId="0" fontId="0" fillId="23" borderId="12" xfId="0" applyFill="1" applyBorder="1" applyAlignment="1">
      <alignment horizontal="left" vertical="top" wrapText="1"/>
    </xf>
    <xf numFmtId="0" fontId="0" fillId="0" borderId="12" xfId="0" applyBorder="1" applyAlignment="1">
      <alignment horizontal="left" vertical="center" wrapText="1"/>
    </xf>
    <xf numFmtId="0" fontId="0" fillId="0" borderId="1" xfId="0" applyBorder="1" applyAlignment="1">
      <alignment horizontal="left" vertical="top" wrapText="1"/>
    </xf>
    <xf numFmtId="0" fontId="0" fillId="10" borderId="23" xfId="0" applyFill="1" applyBorder="1" applyAlignment="1">
      <alignment horizontal="left" vertical="center" wrapText="1"/>
    </xf>
    <xf numFmtId="0" fontId="0" fillId="10" borderId="42" xfId="0" applyFill="1" applyBorder="1" applyAlignment="1">
      <alignment horizontal="left" vertical="center" wrapText="1"/>
    </xf>
    <xf numFmtId="0" fontId="0" fillId="5" borderId="1" xfId="0" quotePrefix="1" applyFill="1" applyBorder="1" applyAlignment="1">
      <alignment horizontal="center" vertical="center" wrapText="1"/>
    </xf>
    <xf numFmtId="0" fontId="0" fillId="5" borderId="1" xfId="0" applyFill="1" applyBorder="1" applyAlignment="1">
      <alignment horizontal="center" vertical="center" wrapText="1"/>
    </xf>
    <xf numFmtId="0" fontId="0" fillId="5" borderId="13" xfId="0" quotePrefix="1" applyFill="1" applyBorder="1" applyAlignment="1">
      <alignment horizontal="center" vertical="center" wrapText="1"/>
    </xf>
    <xf numFmtId="0" fontId="0" fillId="5" borderId="13" xfId="0" applyFill="1" applyBorder="1" applyAlignment="1">
      <alignment horizontal="center" vertical="center" wrapText="1"/>
    </xf>
    <xf numFmtId="0" fontId="0" fillId="31" borderId="12" xfId="0" applyFill="1" applyBorder="1" applyAlignment="1">
      <alignment horizontal="center" vertical="center" wrapText="1"/>
    </xf>
    <xf numFmtId="0" fontId="0" fillId="13" borderId="12" xfId="0" applyFill="1" applyBorder="1" applyAlignment="1">
      <alignment horizontal="left" vertical="center" wrapText="1"/>
    </xf>
    <xf numFmtId="0" fontId="0" fillId="31" borderId="21" xfId="0" applyFill="1" applyBorder="1" applyAlignment="1">
      <alignment horizontal="center" vertical="center" wrapText="1"/>
    </xf>
    <xf numFmtId="0" fontId="0" fillId="20" borderId="24" xfId="0" applyFill="1" applyBorder="1" applyAlignment="1">
      <alignment horizontal="center" vertical="center" wrapText="1"/>
    </xf>
    <xf numFmtId="0" fontId="0" fillId="20" borderId="13" xfId="0" applyFill="1" applyBorder="1" applyAlignment="1">
      <alignment horizontal="center" vertical="center" wrapText="1"/>
    </xf>
    <xf numFmtId="0" fontId="0" fillId="5" borderId="13" xfId="0" applyFill="1" applyBorder="1" applyAlignment="1">
      <alignment horizontal="left" vertical="center" wrapText="1"/>
    </xf>
    <xf numFmtId="0" fontId="3" fillId="3"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5" borderId="12" xfId="0" applyFill="1" applyBorder="1" applyAlignment="1">
      <alignment horizontal="center" vertical="center" wrapText="1"/>
    </xf>
    <xf numFmtId="0" fontId="0" fillId="10" borderId="41" xfId="0" applyFill="1" applyBorder="1" applyAlignment="1">
      <alignment horizontal="center" vertical="center" wrapText="1"/>
    </xf>
    <xf numFmtId="0" fontId="2" fillId="2" borderId="31" xfId="0" applyFont="1" applyFill="1" applyBorder="1" applyAlignment="1">
      <alignment horizontal="left" wrapText="1"/>
    </xf>
    <xf numFmtId="0" fontId="0" fillId="13" borderId="37" xfId="0" applyFill="1" applyBorder="1" applyAlignment="1">
      <alignment horizontal="left" vertical="center" wrapText="1"/>
    </xf>
    <xf numFmtId="0" fontId="0" fillId="13" borderId="36" xfId="0" applyFill="1" applyBorder="1" applyAlignment="1">
      <alignment horizontal="left" vertical="center" wrapText="1"/>
    </xf>
    <xf numFmtId="0" fontId="0" fillId="12" borderId="37" xfId="0" applyFill="1" applyBorder="1" applyAlignment="1">
      <alignment horizontal="left" vertical="center" wrapText="1"/>
    </xf>
    <xf numFmtId="0" fontId="0" fillId="3" borderId="2" xfId="0" applyFill="1" applyBorder="1" applyAlignment="1">
      <alignment horizontal="left" vertical="center" wrapText="1"/>
    </xf>
    <xf numFmtId="0" fontId="0" fillId="3" borderId="1" xfId="0" applyFill="1" applyBorder="1" applyAlignment="1">
      <alignment horizontal="left" vertical="center" wrapText="1"/>
    </xf>
    <xf numFmtId="0" fontId="0" fillId="3" borderId="13" xfId="0" applyFill="1" applyBorder="1" applyAlignment="1">
      <alignment horizontal="left" vertical="center" wrapText="1"/>
    </xf>
    <xf numFmtId="0" fontId="0" fillId="13" borderId="55" xfId="0" applyFill="1" applyBorder="1" applyAlignment="1">
      <alignment horizontal="left" vertical="center" wrapText="1"/>
    </xf>
    <xf numFmtId="0" fontId="0" fillId="13" borderId="54" xfId="0" applyFill="1" applyBorder="1" applyAlignment="1">
      <alignment horizontal="left" vertical="center" wrapText="1"/>
    </xf>
    <xf numFmtId="0" fontId="0" fillId="31" borderId="41" xfId="0" applyFill="1" applyBorder="1" applyAlignment="1">
      <alignment horizontal="center" vertical="center" wrapText="1"/>
    </xf>
    <xf numFmtId="0" fontId="0" fillId="10" borderId="42" xfId="0" applyFill="1" applyBorder="1" applyAlignment="1">
      <alignment horizontal="left" vertical="top" wrapText="1"/>
    </xf>
    <xf numFmtId="0" fontId="0" fillId="10" borderId="13" xfId="0" applyFill="1" applyBorder="1" applyAlignment="1">
      <alignment horizontal="left" vertical="top" wrapText="1"/>
    </xf>
    <xf numFmtId="0" fontId="0" fillId="26" borderId="42" xfId="0" applyFill="1" applyBorder="1" applyAlignment="1">
      <alignment horizontal="center" vertical="center" wrapText="1"/>
    </xf>
    <xf numFmtId="0" fontId="0" fillId="26" borderId="13" xfId="0" applyFill="1" applyBorder="1" applyAlignment="1">
      <alignment horizontal="center" vertical="center" wrapText="1"/>
    </xf>
    <xf numFmtId="0" fontId="0" fillId="5" borderId="24" xfId="0" applyFill="1" applyBorder="1" applyAlignment="1">
      <alignment horizontal="left" vertical="center" wrapText="1"/>
    </xf>
    <xf numFmtId="0" fontId="0" fillId="5" borderId="16" xfId="0" applyFill="1" applyBorder="1" applyAlignment="1">
      <alignment horizontal="left" vertical="center" wrapText="1"/>
    </xf>
    <xf numFmtId="0" fontId="0" fillId="5" borderId="21" xfId="0" applyFill="1" applyBorder="1" applyAlignment="1">
      <alignment horizontal="center" vertical="center"/>
    </xf>
    <xf numFmtId="0" fontId="0" fillId="5" borderId="12" xfId="0" applyFill="1" applyBorder="1" applyAlignment="1">
      <alignment horizontal="center" vertical="center"/>
    </xf>
    <xf numFmtId="0" fontId="0" fillId="5" borderId="14" xfId="0" applyFill="1" applyBorder="1" applyAlignment="1">
      <alignment horizontal="center" vertical="center"/>
    </xf>
    <xf numFmtId="0" fontId="3" fillId="5" borderId="2"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5" borderId="15" xfId="0" applyFont="1" applyFill="1" applyBorder="1" applyAlignment="1">
      <alignment horizontal="center" vertical="center"/>
    </xf>
    <xf numFmtId="0" fontId="0" fillId="5" borderId="2" xfId="0" applyFill="1" applyBorder="1" applyAlignment="1">
      <alignment horizontal="center" vertical="center"/>
    </xf>
    <xf numFmtId="0" fontId="0" fillId="5" borderId="1" xfId="0" applyFill="1" applyBorder="1" applyAlignment="1">
      <alignment horizontal="center" vertical="center"/>
    </xf>
    <xf numFmtId="0" fontId="0" fillId="5" borderId="15" xfId="0" applyFill="1" applyBorder="1" applyAlignment="1">
      <alignment horizontal="center" vertical="center"/>
    </xf>
    <xf numFmtId="0" fontId="0" fillId="5" borderId="2" xfId="0" applyFill="1" applyBorder="1" applyAlignment="1">
      <alignment horizontal="center" vertical="center" wrapText="1"/>
    </xf>
    <xf numFmtId="0" fontId="0" fillId="5" borderId="15" xfId="0" applyFill="1" applyBorder="1" applyAlignment="1">
      <alignment horizontal="center" vertical="center" wrapText="1"/>
    </xf>
    <xf numFmtId="0" fontId="0" fillId="5" borderId="2" xfId="0" applyFill="1" applyBorder="1" applyAlignment="1">
      <alignment horizontal="left" vertical="center" wrapText="1"/>
    </xf>
    <xf numFmtId="0" fontId="0" fillId="5" borderId="14" xfId="0" applyFill="1" applyBorder="1" applyAlignment="1">
      <alignment horizontal="center" vertical="center" wrapText="1"/>
    </xf>
    <xf numFmtId="0" fontId="0" fillId="5" borderId="14" xfId="0" applyFill="1" applyBorder="1" applyAlignment="1">
      <alignment horizontal="left" vertical="center" wrapText="1"/>
    </xf>
    <xf numFmtId="0" fontId="0" fillId="5" borderId="15" xfId="0" applyFill="1" applyBorder="1" applyAlignment="1">
      <alignment horizontal="left" vertical="center" wrapText="1"/>
    </xf>
    <xf numFmtId="0" fontId="0" fillId="5" borderId="16" xfId="0" applyFill="1" applyBorder="1" applyAlignment="1">
      <alignment horizontal="center" vertical="center" wrapText="1"/>
    </xf>
    <xf numFmtId="0" fontId="0" fillId="31" borderId="42" xfId="0" applyFill="1" applyBorder="1" applyAlignment="1">
      <alignment horizontal="center" vertical="center" wrapText="1"/>
    </xf>
    <xf numFmtId="0" fontId="0" fillId="31" borderId="13" xfId="0" applyFill="1" applyBorder="1" applyAlignment="1">
      <alignment horizontal="center" vertical="center" wrapText="1"/>
    </xf>
    <xf numFmtId="0" fontId="0" fillId="0" borderId="1" xfId="0" quotePrefix="1"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36" xfId="0" applyBorder="1" applyAlignment="1">
      <alignment horizontal="center" vertical="center" wrapText="1"/>
    </xf>
    <xf numFmtId="0" fontId="0" fillId="11" borderId="1" xfId="0" quotePrefix="1" applyFill="1" applyBorder="1" applyAlignment="1">
      <alignment horizontal="center" vertical="center" wrapText="1"/>
    </xf>
    <xf numFmtId="0" fontId="0" fillId="11" borderId="13" xfId="0" quotePrefix="1" applyFill="1" applyBorder="1" applyAlignment="1">
      <alignment horizontal="center" vertical="center" wrapText="1"/>
    </xf>
    <xf numFmtId="0" fontId="0" fillId="11" borderId="1" xfId="0" applyFill="1" applyBorder="1" applyAlignment="1">
      <alignment horizontal="left" vertical="center" wrapText="1"/>
    </xf>
    <xf numFmtId="0" fontId="0" fillId="10" borderId="53" xfId="0" applyFill="1" applyBorder="1" applyAlignment="1">
      <alignment horizontal="center" vertical="center" wrapText="1"/>
    </xf>
    <xf numFmtId="0" fontId="0" fillId="10" borderId="36" xfId="0" applyFill="1" applyBorder="1" applyAlignment="1">
      <alignment horizontal="center" vertical="center" wrapText="1"/>
    </xf>
    <xf numFmtId="0" fontId="0" fillId="11" borderId="53" xfId="0" applyFill="1" applyBorder="1" applyAlignment="1">
      <alignment horizontal="center" vertical="center" wrapText="1"/>
    </xf>
    <xf numFmtId="0" fontId="0" fillId="11" borderId="36" xfId="0" applyFill="1" applyBorder="1" applyAlignment="1">
      <alignment horizontal="center" vertical="center" wrapText="1"/>
    </xf>
    <xf numFmtId="0" fontId="0" fillId="15" borderId="53" xfId="0" applyFill="1" applyBorder="1" applyAlignment="1">
      <alignment horizontal="center" vertical="center" wrapText="1"/>
    </xf>
    <xf numFmtId="0" fontId="0" fillId="15" borderId="36" xfId="0" applyFill="1" applyBorder="1" applyAlignment="1">
      <alignment horizontal="center" vertical="center" wrapText="1"/>
    </xf>
    <xf numFmtId="0" fontId="0" fillId="14" borderId="53" xfId="0" applyFill="1" applyBorder="1" applyAlignment="1">
      <alignment horizontal="center" vertical="center" wrapText="1"/>
    </xf>
    <xf numFmtId="0" fontId="0" fillId="14" borderId="36" xfId="0" applyFill="1" applyBorder="1" applyAlignment="1">
      <alignment horizontal="center" vertical="center" wrapText="1"/>
    </xf>
    <xf numFmtId="0" fontId="0" fillId="13" borderId="53" xfId="0" applyFill="1" applyBorder="1" applyAlignment="1">
      <alignment horizontal="center" vertical="center" wrapText="1"/>
    </xf>
    <xf numFmtId="0" fontId="0" fillId="13" borderId="36" xfId="0" applyFill="1" applyBorder="1" applyAlignment="1">
      <alignment horizontal="center" vertical="center" wrapText="1"/>
    </xf>
    <xf numFmtId="0" fontId="0" fillId="7" borderId="55" xfId="0" applyFill="1" applyBorder="1" applyAlignment="1">
      <alignment horizontal="center" vertical="center" wrapText="1"/>
    </xf>
    <xf numFmtId="0" fontId="0" fillId="7" borderId="54" xfId="0" applyFill="1" applyBorder="1" applyAlignment="1">
      <alignment horizontal="center" vertical="center" wrapText="1"/>
    </xf>
    <xf numFmtId="0" fontId="0" fillId="7" borderId="36" xfId="0" applyFill="1" applyBorder="1" applyAlignment="1">
      <alignment horizontal="center" vertical="center" wrapText="1"/>
    </xf>
    <xf numFmtId="0" fontId="0" fillId="9" borderId="53" xfId="0" applyFill="1" applyBorder="1" applyAlignment="1">
      <alignment horizontal="center" vertical="center" wrapText="1"/>
    </xf>
    <xf numFmtId="0" fontId="0" fillId="9" borderId="54" xfId="0" applyFill="1" applyBorder="1" applyAlignment="1">
      <alignment horizontal="center" vertical="center" wrapText="1"/>
    </xf>
    <xf numFmtId="0" fontId="0" fillId="9" borderId="36" xfId="0" applyFill="1" applyBorder="1" applyAlignment="1">
      <alignment horizontal="center" vertical="center" wrapText="1"/>
    </xf>
    <xf numFmtId="0" fontId="0" fillId="8" borderId="53" xfId="0" applyFill="1" applyBorder="1" applyAlignment="1">
      <alignment horizontal="center" vertical="center" wrapText="1"/>
    </xf>
    <xf numFmtId="0" fontId="0" fillId="8" borderId="54" xfId="0" applyFill="1" applyBorder="1" applyAlignment="1">
      <alignment horizontal="center" vertical="center" wrapText="1"/>
    </xf>
    <xf numFmtId="0" fontId="0" fillId="8" borderId="36" xfId="0" applyFill="1" applyBorder="1" applyAlignment="1">
      <alignment horizontal="center" vertical="center" wrapText="1"/>
    </xf>
    <xf numFmtId="0" fontId="0" fillId="10" borderId="53" xfId="0" applyFill="1" applyBorder="1" applyAlignment="1">
      <alignment horizontal="left" vertical="center" wrapText="1"/>
    </xf>
    <xf numFmtId="0" fontId="0" fillId="10" borderId="54" xfId="0" applyFill="1" applyBorder="1" applyAlignment="1">
      <alignment horizontal="left" vertical="center" wrapText="1"/>
    </xf>
    <xf numFmtId="0" fontId="0" fillId="10" borderId="36" xfId="0" applyFill="1" applyBorder="1" applyAlignment="1">
      <alignment horizontal="left" vertical="center" wrapText="1"/>
    </xf>
    <xf numFmtId="0" fontId="0" fillId="11" borderId="53" xfId="0" applyFill="1" applyBorder="1" applyAlignment="1">
      <alignment horizontal="left" vertical="center" wrapText="1"/>
    </xf>
    <xf numFmtId="0" fontId="0" fillId="11" borderId="54" xfId="0" applyFill="1" applyBorder="1" applyAlignment="1">
      <alignment horizontal="left" vertical="center" wrapText="1"/>
    </xf>
    <xf numFmtId="0" fontId="0" fillId="11" borderId="36" xfId="0" applyFill="1" applyBorder="1" applyAlignment="1">
      <alignment horizontal="left" vertical="center" wrapText="1"/>
    </xf>
    <xf numFmtId="0" fontId="0" fillId="10" borderId="40" xfId="0" applyFill="1" applyBorder="1" applyAlignment="1">
      <alignment horizontal="left" vertical="center" wrapText="1"/>
    </xf>
    <xf numFmtId="0" fontId="0" fillId="9" borderId="55" xfId="0" applyFill="1" applyBorder="1" applyAlignment="1">
      <alignment horizontal="center" vertical="center" wrapText="1"/>
    </xf>
    <xf numFmtId="0" fontId="0" fillId="13" borderId="6" xfId="0" applyFill="1" applyBorder="1" applyAlignment="1">
      <alignment horizontal="left" vertical="center" wrapText="1"/>
    </xf>
    <xf numFmtId="0" fontId="0" fillId="13" borderId="25" xfId="0" applyFill="1" applyBorder="1" applyAlignment="1">
      <alignment horizontal="left" vertical="center" wrapText="1"/>
    </xf>
    <xf numFmtId="0" fontId="0" fillId="13" borderId="18" xfId="0" applyFill="1" applyBorder="1" applyAlignment="1">
      <alignment horizontal="left" vertical="center" wrapText="1"/>
    </xf>
    <xf numFmtId="0" fontId="0" fillId="13" borderId="19" xfId="0" applyFill="1" applyBorder="1" applyAlignment="1">
      <alignment horizontal="left" vertical="center" wrapText="1"/>
    </xf>
    <xf numFmtId="0" fontId="0" fillId="5" borderId="6" xfId="0" applyFill="1" applyBorder="1" applyAlignment="1">
      <alignment horizontal="left" vertical="center" wrapText="1"/>
    </xf>
    <xf numFmtId="0" fontId="0" fillId="17" borderId="6" xfId="0" applyFill="1" applyBorder="1" applyAlignment="1">
      <alignment horizontal="left" vertical="center" wrapText="1"/>
    </xf>
    <xf numFmtId="0" fontId="0" fillId="17" borderId="25" xfId="0" applyFill="1" applyBorder="1" applyAlignment="1">
      <alignment horizontal="left" vertical="center" wrapText="1"/>
    </xf>
    <xf numFmtId="0" fontId="0" fillId="17" borderId="2" xfId="0" applyFill="1" applyBorder="1" applyAlignment="1">
      <alignment horizontal="left" vertical="center" wrapText="1"/>
    </xf>
    <xf numFmtId="0" fontId="0" fillId="5" borderId="25" xfId="0" applyFill="1" applyBorder="1" applyAlignment="1">
      <alignment horizontal="left" vertical="center" wrapText="1"/>
    </xf>
    <xf numFmtId="0" fontId="0" fillId="14" borderId="6" xfId="0" applyFill="1" applyBorder="1" applyAlignment="1">
      <alignment horizontal="left" vertical="center" wrapText="1"/>
    </xf>
    <xf numFmtId="0" fontId="0" fillId="14" borderId="25" xfId="0" applyFill="1" applyBorder="1" applyAlignment="1">
      <alignment horizontal="left" vertical="center" wrapText="1"/>
    </xf>
    <xf numFmtId="0" fontId="0" fillId="14" borderId="2" xfId="0" applyFill="1" applyBorder="1" applyAlignment="1">
      <alignment horizontal="left" vertical="center" wrapText="1"/>
    </xf>
    <xf numFmtId="0" fontId="0" fillId="0" borderId="6" xfId="0" applyBorder="1" applyAlignment="1">
      <alignment horizontal="left" vertical="center" wrapText="1"/>
    </xf>
    <xf numFmtId="0" fontId="0" fillId="0" borderId="25" xfId="0" applyBorder="1" applyAlignment="1">
      <alignment horizontal="left" vertical="center" wrapText="1"/>
    </xf>
    <xf numFmtId="0" fontId="0" fillId="0" borderId="2" xfId="0" applyBorder="1" applyAlignment="1">
      <alignment horizontal="left" vertical="center" wrapText="1"/>
    </xf>
    <xf numFmtId="0" fontId="0" fillId="0" borderId="37" xfId="0" applyFill="1" applyBorder="1" applyAlignment="1">
      <alignment horizontal="center" vertical="center" wrapText="1"/>
    </xf>
    <xf numFmtId="0" fontId="0" fillId="0" borderId="13" xfId="0" applyBorder="1" applyAlignment="1">
      <alignment horizontal="left" vertical="top" wrapText="1"/>
    </xf>
    <xf numFmtId="0" fontId="0" fillId="13" borderId="6" xfId="0" applyFill="1" applyBorder="1" applyAlignment="1">
      <alignment horizontal="left" vertical="top" wrapText="1"/>
    </xf>
    <xf numFmtId="0" fontId="0" fillId="13" borderId="25" xfId="0" applyFill="1" applyBorder="1" applyAlignment="1">
      <alignment horizontal="left" vertical="top" wrapText="1"/>
    </xf>
    <xf numFmtId="0" fontId="0" fillId="13" borderId="2" xfId="0" applyFill="1" applyBorder="1" applyAlignment="1">
      <alignment horizontal="left" vertical="top" wrapText="1"/>
    </xf>
    <xf numFmtId="0" fontId="0" fillId="11" borderId="12" xfId="0" applyFill="1" applyBorder="1" applyAlignment="1">
      <alignment horizontal="center" vertical="center" wrapText="1"/>
    </xf>
    <xf numFmtId="0" fontId="0" fillId="14" borderId="26" xfId="0" applyFill="1" applyBorder="1" applyAlignment="1">
      <alignment horizontal="left" vertical="center" wrapText="1"/>
    </xf>
    <xf numFmtId="0" fontId="0" fillId="14" borderId="27" xfId="0" applyFill="1" applyBorder="1" applyAlignment="1">
      <alignment horizontal="left" vertical="center" wrapText="1"/>
    </xf>
    <xf numFmtId="0" fontId="0" fillId="14" borderId="21" xfId="0" applyFill="1" applyBorder="1" applyAlignment="1">
      <alignment horizontal="left" vertical="center" wrapText="1"/>
    </xf>
    <xf numFmtId="0" fontId="0" fillId="14" borderId="6" xfId="0" applyFill="1" applyBorder="1" applyAlignment="1">
      <alignment vertical="center" wrapText="1"/>
    </xf>
    <xf numFmtId="0" fontId="0" fillId="14" borderId="25" xfId="0" applyFill="1" applyBorder="1" applyAlignment="1">
      <alignment vertical="center" wrapText="1"/>
    </xf>
    <xf numFmtId="0" fontId="0" fillId="14" borderId="2" xfId="0" applyFill="1" applyBorder="1" applyAlignment="1">
      <alignment vertical="center" wrapText="1"/>
    </xf>
    <xf numFmtId="0" fontId="0" fillId="14" borderId="18" xfId="0" applyFill="1" applyBorder="1" applyAlignment="1">
      <alignment horizontal="left" vertical="center" wrapText="1"/>
    </xf>
    <xf numFmtId="0" fontId="0" fillId="14" borderId="19" xfId="0" applyFill="1" applyBorder="1" applyAlignment="1">
      <alignment horizontal="left" vertical="center" wrapText="1"/>
    </xf>
    <xf numFmtId="0" fontId="0" fillId="14" borderId="24" xfId="0" applyFill="1" applyBorder="1" applyAlignment="1">
      <alignment horizontal="left" vertical="center" wrapText="1"/>
    </xf>
    <xf numFmtId="0" fontId="0" fillId="5" borderId="18" xfId="0" applyFill="1" applyBorder="1" applyAlignment="1">
      <alignment horizontal="left" vertical="center" wrapText="1"/>
    </xf>
    <xf numFmtId="0" fontId="0" fillId="5" borderId="19" xfId="0" applyFill="1" applyBorder="1" applyAlignment="1">
      <alignment horizontal="left" vertical="center" wrapText="1"/>
    </xf>
    <xf numFmtId="0" fontId="0" fillId="13" borderId="6" xfId="0" applyFill="1" applyBorder="1" applyAlignment="1">
      <alignment vertical="center" wrapText="1"/>
    </xf>
    <xf numFmtId="0" fontId="0" fillId="25" borderId="53" xfId="0" applyFill="1" applyBorder="1" applyAlignment="1">
      <alignment horizontal="center" vertical="center" wrapText="1"/>
    </xf>
    <xf numFmtId="0" fontId="0" fillId="25" borderId="54" xfId="0" applyFill="1" applyBorder="1" applyAlignment="1">
      <alignment horizontal="center" vertical="center" wrapText="1"/>
    </xf>
    <xf numFmtId="0" fontId="0" fillId="25" borderId="36" xfId="0" applyFill="1" applyBorder="1" applyAlignment="1">
      <alignment horizontal="center" vertical="center" wrapText="1"/>
    </xf>
    <xf numFmtId="0" fontId="0" fillId="13" borderId="25" xfId="0" applyFill="1" applyBorder="1" applyAlignment="1">
      <alignment vertical="center" wrapText="1"/>
    </xf>
    <xf numFmtId="0" fontId="0" fillId="5" borderId="6" xfId="0" applyFill="1" applyBorder="1" applyAlignment="1">
      <alignment vertical="center" wrapText="1"/>
    </xf>
    <xf numFmtId="0" fontId="0" fillId="5" borderId="2" xfId="0" applyFill="1" applyBorder="1" applyAlignment="1">
      <alignment vertical="center" wrapText="1"/>
    </xf>
    <xf numFmtId="0" fontId="0" fillId="5" borderId="53" xfId="0" applyFill="1" applyBorder="1" applyAlignment="1">
      <alignment horizontal="center" vertical="center" wrapText="1"/>
    </xf>
    <xf numFmtId="0" fontId="0" fillId="5" borderId="54" xfId="0" applyFill="1" applyBorder="1" applyAlignment="1">
      <alignment horizontal="center" vertical="center" wrapText="1"/>
    </xf>
    <xf numFmtId="0" fontId="0" fillId="5" borderId="36" xfId="0" applyFill="1" applyBorder="1" applyAlignment="1">
      <alignment horizontal="center" vertical="center" wrapText="1"/>
    </xf>
    <xf numFmtId="0" fontId="0" fillId="13" borderId="22" xfId="0" applyFill="1" applyBorder="1" applyAlignment="1">
      <alignment horizontal="left" vertical="center" wrapText="1"/>
    </xf>
    <xf numFmtId="0" fontId="0" fillId="13" borderId="17" xfId="0" applyFill="1" applyBorder="1" applyAlignment="1">
      <alignment horizontal="left" vertical="center" wrapText="1"/>
    </xf>
    <xf numFmtId="0" fontId="0" fillId="5" borderId="12" xfId="0" quotePrefix="1" applyFill="1" applyBorder="1" applyAlignment="1">
      <alignment horizontal="center" vertical="center" wrapText="1"/>
    </xf>
    <xf numFmtId="0" fontId="0" fillId="3" borderId="22" xfId="0" applyFill="1" applyBorder="1" applyAlignment="1">
      <alignment horizontal="center" vertical="center" wrapText="1"/>
    </xf>
    <xf numFmtId="0" fontId="0" fillId="3" borderId="25" xfId="0" applyFill="1" applyBorder="1" applyAlignment="1">
      <alignment horizontal="center" vertical="center" wrapText="1"/>
    </xf>
    <xf numFmtId="0" fontId="0" fillId="3" borderId="20" xfId="0" applyFill="1" applyBorder="1" applyAlignment="1">
      <alignment horizontal="center" vertical="center" wrapText="1"/>
    </xf>
    <xf numFmtId="0" fontId="0" fillId="3" borderId="27" xfId="0" applyFill="1" applyBorder="1" applyAlignment="1">
      <alignment horizontal="center" vertical="center" wrapText="1"/>
    </xf>
    <xf numFmtId="0" fontId="0" fillId="0" borderId="6" xfId="0" applyBorder="1" applyAlignment="1">
      <alignment horizontal="center" vertical="center" wrapText="1"/>
    </xf>
    <xf numFmtId="0" fontId="0" fillId="0" borderId="25" xfId="0" applyBorder="1" applyAlignment="1">
      <alignment horizontal="center" vertical="center" wrapText="1"/>
    </xf>
    <xf numFmtId="0" fontId="0" fillId="0" borderId="2" xfId="0" applyBorder="1" applyAlignment="1">
      <alignment horizontal="center" vertical="center" wrapText="1"/>
    </xf>
    <xf numFmtId="0" fontId="0" fillId="13" borderId="22" xfId="0" applyFill="1" applyBorder="1" applyAlignment="1">
      <alignment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1" xfId="0" applyBorder="1" applyAlignment="1">
      <alignment horizontal="center" vertical="center" wrapText="1"/>
    </xf>
    <xf numFmtId="0" fontId="0" fillId="0" borderId="13" xfId="0" quotePrefix="1" applyBorder="1" applyAlignment="1">
      <alignment horizontal="center" vertical="center" wrapText="1"/>
    </xf>
    <xf numFmtId="0" fontId="0" fillId="31" borderId="37" xfId="0" applyFill="1" applyBorder="1" applyAlignment="1">
      <alignment horizontal="center" vertical="center" wrapText="1"/>
    </xf>
    <xf numFmtId="0" fontId="0" fillId="3" borderId="26" xfId="0" applyFill="1" applyBorder="1" applyAlignment="1">
      <alignment horizontal="center" vertical="center" wrapText="1"/>
    </xf>
    <xf numFmtId="0" fontId="0" fillId="3" borderId="6" xfId="0" applyFill="1" applyBorder="1" applyAlignment="1">
      <alignment horizontal="center" vertical="center"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4" xfId="0" applyBorder="1" applyAlignment="1">
      <alignment horizontal="left" vertical="top" wrapText="1"/>
    </xf>
    <xf numFmtId="0" fontId="0" fillId="17" borderId="37" xfId="0" applyFill="1" applyBorder="1" applyAlignment="1">
      <alignment horizontal="center" vertical="center" wrapText="1"/>
    </xf>
    <xf numFmtId="0" fontId="0" fillId="17" borderId="37" xfId="0" applyFill="1" applyBorder="1" applyAlignment="1">
      <alignment horizontal="left" vertical="center" wrapText="1"/>
    </xf>
    <xf numFmtId="0" fontId="6" fillId="25" borderId="53" xfId="2" quotePrefix="1" applyFont="1" applyFill="1" applyBorder="1" applyAlignment="1">
      <alignment horizontal="center" vertical="center" wrapText="1"/>
    </xf>
    <xf numFmtId="0" fontId="6" fillId="25" borderId="54" xfId="2" quotePrefix="1" applyFont="1" applyFill="1" applyBorder="1" applyAlignment="1">
      <alignment horizontal="center" vertical="center" wrapText="1"/>
    </xf>
    <xf numFmtId="0" fontId="6" fillId="25" borderId="36" xfId="2" quotePrefix="1" applyFont="1" applyFill="1" applyBorder="1" applyAlignment="1">
      <alignment horizontal="center" vertical="center" wrapText="1"/>
    </xf>
    <xf numFmtId="0" fontId="0" fillId="11" borderId="12" xfId="0" quotePrefix="1" applyFill="1" applyBorder="1" applyAlignment="1">
      <alignment horizontal="center" vertical="center" wrapText="1"/>
    </xf>
    <xf numFmtId="0" fontId="0" fillId="11" borderId="13" xfId="0" applyFill="1" applyBorder="1" applyAlignment="1">
      <alignment horizontal="left" vertical="top" wrapText="1"/>
    </xf>
    <xf numFmtId="0" fontId="0" fillId="5" borderId="13" xfId="0" applyFill="1" applyBorder="1" applyAlignment="1">
      <alignment horizontal="left" vertical="top" wrapText="1"/>
    </xf>
    <xf numFmtId="0" fontId="0" fillId="5" borderId="25" xfId="0" applyFill="1" applyBorder="1" applyAlignment="1">
      <alignment vertical="center" wrapText="1"/>
    </xf>
    <xf numFmtId="0" fontId="0" fillId="0" borderId="37" xfId="0" applyBorder="1" applyAlignment="1">
      <alignment horizontal="center" vertical="center" wrapText="1"/>
    </xf>
    <xf numFmtId="0" fontId="0" fillId="13" borderId="18" xfId="0" applyFont="1" applyFill="1" applyBorder="1" applyAlignment="1">
      <alignment horizontal="left" vertical="center" wrapText="1"/>
    </xf>
    <xf numFmtId="0" fontId="0" fillId="13" borderId="19" xfId="0" applyFont="1" applyFill="1" applyBorder="1" applyAlignment="1">
      <alignment horizontal="left" vertical="center" wrapText="1"/>
    </xf>
    <xf numFmtId="0" fontId="0" fillId="13" borderId="24" xfId="0" applyFont="1" applyFill="1" applyBorder="1" applyAlignment="1">
      <alignment horizontal="left" vertical="center" wrapText="1"/>
    </xf>
    <xf numFmtId="0" fontId="0" fillId="0" borderId="18" xfId="0" applyFont="1" applyBorder="1" applyAlignment="1">
      <alignment horizontal="left" vertical="center" wrapText="1"/>
    </xf>
    <xf numFmtId="0" fontId="0" fillId="0" borderId="19" xfId="0" applyFont="1" applyBorder="1" applyAlignment="1">
      <alignment horizontal="left" vertical="center" wrapText="1"/>
    </xf>
    <xf numFmtId="0" fontId="0" fillId="0" borderId="24" xfId="0" applyFont="1" applyBorder="1" applyAlignment="1">
      <alignment horizontal="left" vertical="center" wrapText="1"/>
    </xf>
    <xf numFmtId="0" fontId="0" fillId="3" borderId="18" xfId="0" applyFont="1" applyFill="1" applyBorder="1" applyAlignment="1">
      <alignment horizontal="left" vertical="center" wrapText="1"/>
    </xf>
    <xf numFmtId="0" fontId="0" fillId="3" borderId="19" xfId="0" applyFont="1" applyFill="1" applyBorder="1" applyAlignment="1">
      <alignment horizontal="left" vertical="center" wrapText="1"/>
    </xf>
    <xf numFmtId="0" fontId="0" fillId="3" borderId="24" xfId="0" applyFont="1" applyFill="1" applyBorder="1" applyAlignment="1">
      <alignment horizontal="left" vertical="center" wrapText="1"/>
    </xf>
    <xf numFmtId="0" fontId="0" fillId="0" borderId="12" xfId="0" applyFont="1" applyBorder="1" applyAlignment="1">
      <alignment horizontal="center" vertical="center" wrapText="1"/>
    </xf>
    <xf numFmtId="0" fontId="0" fillId="0" borderId="12" xfId="0" applyBorder="1" applyAlignment="1">
      <alignment horizontal="left" vertical="center"/>
    </xf>
    <xf numFmtId="0" fontId="0" fillId="31" borderId="12" xfId="0" applyFont="1" applyFill="1" applyBorder="1" applyAlignment="1">
      <alignment horizontal="center" vertical="center" wrapText="1"/>
    </xf>
    <xf numFmtId="0" fontId="0" fillId="10" borderId="12" xfId="0" applyFont="1" applyFill="1" applyBorder="1" applyAlignment="1">
      <alignment horizontal="center" vertical="center" wrapText="1"/>
    </xf>
    <xf numFmtId="0" fontId="0" fillId="0" borderId="6" xfId="0" applyFont="1" applyBorder="1" applyAlignment="1">
      <alignment horizontal="left" vertical="center" wrapText="1"/>
    </xf>
    <xf numFmtId="0" fontId="0" fillId="0" borderId="25" xfId="0" applyFont="1" applyBorder="1" applyAlignment="1">
      <alignment horizontal="left" vertical="center" wrapText="1"/>
    </xf>
    <xf numFmtId="0" fontId="0" fillId="0" borderId="2" xfId="0" applyFont="1" applyBorder="1" applyAlignment="1">
      <alignment horizontal="left" vertical="center" wrapText="1"/>
    </xf>
    <xf numFmtId="0" fontId="0" fillId="0" borderId="6" xfId="0" applyFont="1" applyBorder="1" applyAlignment="1">
      <alignment horizontal="center" vertical="center" wrapText="1"/>
    </xf>
    <xf numFmtId="0" fontId="0" fillId="0" borderId="25" xfId="0" applyFont="1" applyBorder="1" applyAlignment="1">
      <alignment horizontal="center" vertical="center" wrapText="1"/>
    </xf>
    <xf numFmtId="0" fontId="0" fillId="0" borderId="2" xfId="0" applyFont="1" applyBorder="1" applyAlignment="1">
      <alignment horizontal="center" vertical="center" wrapText="1"/>
    </xf>
    <xf numFmtId="0" fontId="0" fillId="0" borderId="26" xfId="0" applyFont="1" applyBorder="1" applyAlignment="1">
      <alignment horizontal="center" vertical="center" wrapText="1"/>
    </xf>
    <xf numFmtId="0" fontId="0" fillId="0" borderId="27" xfId="0" applyFont="1" applyBorder="1" applyAlignment="1">
      <alignment horizontal="center" vertical="center" wrapText="1"/>
    </xf>
    <xf numFmtId="0" fontId="0" fillId="0" borderId="21" xfId="0" applyFont="1" applyBorder="1" applyAlignment="1">
      <alignment horizontal="center" vertical="center" wrapText="1"/>
    </xf>
    <xf numFmtId="0" fontId="0" fillId="3" borderId="26" xfId="0" applyFont="1" applyFill="1" applyBorder="1" applyAlignment="1">
      <alignment horizontal="center" vertical="center" wrapText="1"/>
    </xf>
    <xf numFmtId="0" fontId="0" fillId="3" borderId="27" xfId="0" applyFont="1" applyFill="1" applyBorder="1" applyAlignment="1">
      <alignment horizontal="center" vertical="center" wrapText="1"/>
    </xf>
    <xf numFmtId="0" fontId="0" fillId="3" borderId="21" xfId="0" applyFont="1" applyFill="1" applyBorder="1" applyAlignment="1">
      <alignment horizontal="center" vertical="center" wrapText="1"/>
    </xf>
    <xf numFmtId="0" fontId="0" fillId="3" borderId="6" xfId="0" applyFont="1" applyFill="1" applyBorder="1" applyAlignment="1">
      <alignment horizontal="center" vertical="center" wrapText="1"/>
    </xf>
    <xf numFmtId="0" fontId="0" fillId="3" borderId="25" xfId="0" applyFont="1" applyFill="1" applyBorder="1" applyAlignment="1">
      <alignment horizontal="center" vertical="center" wrapText="1"/>
    </xf>
    <xf numFmtId="0" fontId="0" fillId="3" borderId="2" xfId="0" applyFont="1" applyFill="1" applyBorder="1" applyAlignment="1">
      <alignment horizontal="center" vertical="center" wrapText="1"/>
    </xf>
    <xf numFmtId="0" fontId="0" fillId="3" borderId="18" xfId="0" applyFont="1" applyFill="1" applyBorder="1" applyAlignment="1">
      <alignment horizontal="left" vertical="top" wrapText="1"/>
    </xf>
    <xf numFmtId="0" fontId="0" fillId="3" borderId="19" xfId="0" applyFont="1" applyFill="1" applyBorder="1" applyAlignment="1">
      <alignment horizontal="left" vertical="top" wrapText="1"/>
    </xf>
    <xf numFmtId="0" fontId="0" fillId="3" borderId="24" xfId="0" applyFont="1" applyFill="1" applyBorder="1" applyAlignment="1">
      <alignment horizontal="left" vertical="top" wrapText="1"/>
    </xf>
    <xf numFmtId="0" fontId="0" fillId="0" borderId="13" xfId="0" applyFont="1" applyBorder="1" applyAlignment="1">
      <alignment horizontal="center" vertical="center" wrapText="1"/>
    </xf>
    <xf numFmtId="0" fontId="0" fillId="20" borderId="13" xfId="0" applyFont="1" applyFill="1" applyBorder="1" applyAlignment="1">
      <alignment horizontal="center" vertical="center" wrapText="1"/>
    </xf>
    <xf numFmtId="0" fontId="0" fillId="0" borderId="1" xfId="0" applyFont="1" applyBorder="1" applyAlignment="1">
      <alignment horizontal="left" vertical="center" wrapText="1"/>
    </xf>
    <xf numFmtId="0" fontId="0" fillId="0" borderId="13" xfId="0" applyFont="1" applyBorder="1" applyAlignment="1">
      <alignment horizontal="left" vertical="center" wrapText="1"/>
    </xf>
    <xf numFmtId="0" fontId="0" fillId="10" borderId="1" xfId="0" applyFont="1" applyFill="1" applyBorder="1" applyAlignment="1">
      <alignment horizontal="left" vertical="center" wrapText="1"/>
    </xf>
    <xf numFmtId="0" fontId="0" fillId="10" borderId="13" xfId="0" applyFont="1" applyFill="1" applyBorder="1" applyAlignment="1">
      <alignment horizontal="left" vertical="top" wrapText="1"/>
    </xf>
    <xf numFmtId="0" fontId="0" fillId="13" borderId="6" xfId="0" applyFont="1" applyFill="1" applyBorder="1" applyAlignment="1">
      <alignment horizontal="left" vertical="center" wrapText="1"/>
    </xf>
    <xf numFmtId="0" fontId="0" fillId="13" borderId="25" xfId="0" applyFont="1" applyFill="1" applyBorder="1" applyAlignment="1">
      <alignment horizontal="left" vertical="center" wrapText="1"/>
    </xf>
    <xf numFmtId="0" fontId="0" fillId="13" borderId="2" xfId="0" applyFont="1" applyFill="1" applyBorder="1" applyAlignment="1">
      <alignment horizontal="left" vertical="center" wrapText="1"/>
    </xf>
    <xf numFmtId="0" fontId="0" fillId="13" borderId="18" xfId="0" applyFont="1" applyFill="1" applyBorder="1" applyAlignment="1">
      <alignment horizontal="center" vertical="center" wrapText="1"/>
    </xf>
    <xf numFmtId="0" fontId="0" fillId="13" borderId="19" xfId="0" applyFont="1" applyFill="1" applyBorder="1" applyAlignment="1">
      <alignment horizontal="center" vertical="center" wrapText="1"/>
    </xf>
    <xf numFmtId="0" fontId="0" fillId="13" borderId="24" xfId="0" applyFont="1" applyFill="1" applyBorder="1" applyAlignment="1">
      <alignment horizontal="center" vertical="center" wrapText="1"/>
    </xf>
    <xf numFmtId="0" fontId="0" fillId="0" borderId="26" xfId="0" applyFont="1" applyBorder="1" applyAlignment="1">
      <alignment horizontal="left" vertical="center" wrapText="1"/>
    </xf>
    <xf numFmtId="0" fontId="0" fillId="0" borderId="21" xfId="0" applyFont="1" applyBorder="1" applyAlignment="1">
      <alignment horizontal="left" vertical="center" wrapText="1"/>
    </xf>
    <xf numFmtId="0" fontId="0" fillId="0" borderId="18" xfId="0" applyFont="1" applyBorder="1" applyAlignment="1">
      <alignment horizontal="center" vertical="center" wrapText="1"/>
    </xf>
    <xf numFmtId="0" fontId="0" fillId="0" borderId="19" xfId="0" applyFont="1" applyBorder="1" applyAlignment="1">
      <alignment horizontal="center" vertical="center" wrapText="1"/>
    </xf>
    <xf numFmtId="0" fontId="0" fillId="0" borderId="24" xfId="0" applyFont="1" applyBorder="1" applyAlignment="1">
      <alignment horizontal="center" vertical="center" wrapText="1"/>
    </xf>
    <xf numFmtId="0" fontId="0" fillId="13" borderId="26" xfId="0" applyFont="1" applyFill="1" applyBorder="1" applyAlignment="1">
      <alignment horizontal="left" vertical="center" wrapText="1"/>
    </xf>
    <xf numFmtId="0" fontId="0" fillId="13" borderId="27" xfId="0" applyFont="1" applyFill="1" applyBorder="1" applyAlignment="1">
      <alignment horizontal="left" vertical="center" wrapText="1"/>
    </xf>
    <xf numFmtId="0" fontId="0" fillId="13" borderId="21" xfId="0" applyFont="1" applyFill="1" applyBorder="1" applyAlignment="1">
      <alignment horizontal="left" vertical="center" wrapText="1"/>
    </xf>
    <xf numFmtId="0" fontId="0" fillId="3" borderId="39"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0" fillId="3" borderId="34" xfId="0" applyFont="1" applyFill="1" applyBorder="1" applyAlignment="1">
      <alignment horizontal="center" vertical="center" wrapText="1"/>
    </xf>
    <xf numFmtId="0" fontId="0" fillId="20" borderId="41" xfId="0" applyFont="1" applyFill="1" applyBorder="1" applyAlignment="1">
      <alignment horizontal="center" vertical="center" wrapText="1"/>
    </xf>
    <xf numFmtId="0" fontId="0" fillId="20" borderId="12" xfId="0" applyFont="1" applyFill="1" applyBorder="1" applyAlignment="1">
      <alignment horizontal="center" vertical="center" wrapText="1"/>
    </xf>
    <xf numFmtId="0" fontId="0" fillId="10" borderId="41" xfId="0" applyFont="1" applyFill="1" applyBorder="1" applyAlignment="1">
      <alignment horizontal="center" vertical="center" wrapText="1"/>
    </xf>
    <xf numFmtId="0" fontId="0" fillId="20" borderId="42" xfId="0" applyFont="1" applyFill="1" applyBorder="1" applyAlignment="1">
      <alignment horizontal="center" vertical="center" wrapText="1"/>
    </xf>
    <xf numFmtId="0" fontId="0" fillId="10" borderId="23" xfId="0" applyFont="1" applyFill="1" applyBorder="1" applyAlignment="1">
      <alignment horizontal="left" vertical="center" wrapText="1"/>
    </xf>
    <xf numFmtId="0" fontId="0" fillId="10" borderId="42" xfId="0" applyFont="1" applyFill="1" applyBorder="1" applyAlignment="1">
      <alignment horizontal="left" vertical="center" wrapText="1"/>
    </xf>
    <xf numFmtId="0" fontId="0" fillId="10" borderId="13" xfId="0" applyFont="1" applyFill="1" applyBorder="1" applyAlignment="1">
      <alignment horizontal="left" vertical="center" wrapText="1"/>
    </xf>
    <xf numFmtId="0" fontId="0" fillId="10" borderId="1" xfId="0" quotePrefix="1" applyFont="1"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13" xfId="0" quotePrefix="1" applyFont="1" applyFill="1" applyBorder="1" applyAlignment="1">
      <alignment horizontal="center" vertical="center" wrapText="1"/>
    </xf>
    <xf numFmtId="0" fontId="0" fillId="10" borderId="13" xfId="0" applyFont="1" applyFill="1" applyBorder="1" applyAlignment="1">
      <alignment horizontal="center" vertical="center" wrapText="1"/>
    </xf>
    <xf numFmtId="0" fontId="0" fillId="0" borderId="39" xfId="0" applyFont="1" applyBorder="1" applyAlignment="1">
      <alignment horizontal="center" vertical="center" wrapText="1"/>
    </xf>
    <xf numFmtId="0" fontId="0" fillId="0" borderId="0" xfId="0" applyFont="1" applyBorder="1" applyAlignment="1">
      <alignment horizontal="center" vertical="center" wrapText="1"/>
    </xf>
    <xf numFmtId="0" fontId="0" fillId="0" borderId="34" xfId="0" applyFont="1" applyBorder="1" applyAlignment="1">
      <alignment horizontal="center" vertical="center" wrapText="1"/>
    </xf>
    <xf numFmtId="0" fontId="0" fillId="17" borderId="12" xfId="0" applyFont="1" applyFill="1" applyBorder="1" applyAlignment="1">
      <alignment horizontal="center" vertical="center" wrapText="1"/>
    </xf>
    <xf numFmtId="0" fontId="0" fillId="13" borderId="42" xfId="0" applyFill="1" applyBorder="1" applyAlignment="1">
      <alignment horizontal="left" vertical="center" wrapText="1"/>
    </xf>
    <xf numFmtId="0" fontId="0" fillId="13" borderId="32" xfId="0" applyFill="1" applyBorder="1" applyAlignment="1">
      <alignment horizontal="left" vertical="center" wrapText="1"/>
    </xf>
    <xf numFmtId="0" fontId="0" fillId="13" borderId="8" xfId="0" applyFill="1" applyBorder="1" applyAlignment="1">
      <alignment horizontal="left" vertical="center" wrapText="1"/>
    </xf>
    <xf numFmtId="0" fontId="0" fillId="13" borderId="49" xfId="0" applyFill="1" applyBorder="1" applyAlignment="1">
      <alignment horizontal="left" vertical="center" wrapText="1"/>
    </xf>
    <xf numFmtId="0" fontId="0" fillId="3" borderId="41"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42" xfId="0" applyFill="1" applyBorder="1" applyAlignment="1">
      <alignment horizontal="left" vertical="center" wrapText="1"/>
    </xf>
    <xf numFmtId="0" fontId="0" fillId="26" borderId="20" xfId="0" applyFill="1" applyBorder="1" applyAlignment="1">
      <alignment horizontal="center" vertical="center" wrapText="1"/>
    </xf>
    <xf numFmtId="0" fontId="0" fillId="26" borderId="27" xfId="0" applyFill="1" applyBorder="1" applyAlignment="1">
      <alignment horizontal="center" vertical="center" wrapText="1"/>
    </xf>
    <xf numFmtId="0" fontId="0" fillId="26" borderId="21" xfId="0" applyFill="1" applyBorder="1" applyAlignment="1">
      <alignment horizontal="center" vertical="center" wrapText="1"/>
    </xf>
    <xf numFmtId="0" fontId="0" fillId="13" borderId="41" xfId="0" applyFill="1" applyBorder="1" applyAlignment="1">
      <alignment horizontal="left" vertical="center" wrapText="1"/>
    </xf>
    <xf numFmtId="0" fontId="0" fillId="26" borderId="17" xfId="0" applyFill="1" applyBorder="1" applyAlignment="1">
      <alignment horizontal="center" vertical="center" wrapText="1"/>
    </xf>
    <xf numFmtId="0" fontId="0" fillId="26" borderId="19" xfId="0" applyFill="1" applyBorder="1" applyAlignment="1">
      <alignment horizontal="center" vertical="center" wrapText="1"/>
    </xf>
    <xf numFmtId="0" fontId="0" fillId="26" borderId="24" xfId="0" applyFill="1" applyBorder="1" applyAlignment="1">
      <alignment horizontal="center" vertical="center" wrapText="1"/>
    </xf>
    <xf numFmtId="0" fontId="0" fillId="13" borderId="23" xfId="0" applyFill="1" applyBorder="1" applyAlignment="1">
      <alignment vertical="center" wrapText="1"/>
    </xf>
    <xf numFmtId="0" fontId="0" fillId="13" borderId="23" xfId="0" applyFill="1" applyBorder="1" applyAlignment="1">
      <alignment horizontal="left" vertical="center" wrapText="1"/>
    </xf>
    <xf numFmtId="0" fontId="0" fillId="5" borderId="12" xfId="0" applyFont="1" applyFill="1" applyBorder="1" applyAlignment="1">
      <alignment horizontal="center" vertical="center" wrapText="1"/>
    </xf>
    <xf numFmtId="0" fontId="0" fillId="0" borderId="12" xfId="0" applyFont="1" applyFill="1" applyBorder="1" applyAlignment="1">
      <alignment horizontal="center" vertical="center" wrapText="1"/>
    </xf>
    <xf numFmtId="0" fontId="0" fillId="5" borderId="12" xfId="0" applyFont="1" applyFill="1" applyBorder="1" applyAlignment="1">
      <alignment horizontal="left" vertical="center" wrapText="1"/>
    </xf>
    <xf numFmtId="0" fontId="0" fillId="5" borderId="1" xfId="0" applyFont="1" applyFill="1" applyBorder="1" applyAlignment="1">
      <alignment horizontal="left" vertical="center" wrapText="1"/>
    </xf>
    <xf numFmtId="0" fontId="0" fillId="5" borderId="13" xfId="0" applyFont="1" applyFill="1" applyBorder="1" applyAlignment="1">
      <alignment horizontal="center" vertical="center" wrapText="1"/>
    </xf>
    <xf numFmtId="0" fontId="0" fillId="5" borderId="39" xfId="0" applyFont="1" applyFill="1" applyBorder="1" applyAlignment="1">
      <alignment horizontal="center" vertical="center" wrapText="1"/>
    </xf>
    <xf numFmtId="0" fontId="0" fillId="5" borderId="0" xfId="0" applyFont="1" applyFill="1" applyBorder="1" applyAlignment="1">
      <alignment horizontal="center" vertical="center" wrapText="1"/>
    </xf>
    <xf numFmtId="0" fontId="0" fillId="5" borderId="34"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13" xfId="0" applyFont="1" applyFill="1" applyBorder="1" applyAlignment="1">
      <alignment horizontal="left" vertical="center" wrapText="1"/>
    </xf>
    <xf numFmtId="0" fontId="0" fillId="0" borderId="13" xfId="0" applyFont="1" applyFill="1" applyBorder="1" applyAlignment="1">
      <alignment horizontal="center" vertical="center" wrapText="1"/>
    </xf>
    <xf numFmtId="0" fontId="0" fillId="20" borderId="24" xfId="0" applyFont="1" applyFill="1" applyBorder="1" applyAlignment="1">
      <alignment horizontal="center" vertical="center" wrapText="1"/>
    </xf>
    <xf numFmtId="0" fontId="0" fillId="29" borderId="13" xfId="0" applyFont="1" applyFill="1" applyBorder="1" applyAlignment="1">
      <alignment horizontal="center" vertical="center" wrapText="1"/>
    </xf>
    <xf numFmtId="0" fontId="0" fillId="31" borderId="13" xfId="0" applyFont="1" applyFill="1" applyBorder="1" applyAlignment="1">
      <alignment horizontal="center" vertical="center" wrapText="1"/>
    </xf>
    <xf numFmtId="0" fontId="0" fillId="20" borderId="18" xfId="0" applyFont="1" applyFill="1" applyBorder="1" applyAlignment="1">
      <alignment horizontal="center" vertical="center" wrapText="1"/>
    </xf>
    <xf numFmtId="0" fontId="0" fillId="0" borderId="13" xfId="0" applyFont="1" applyBorder="1" applyAlignment="1">
      <alignment horizontal="left" vertical="top" wrapText="1"/>
    </xf>
    <xf numFmtId="0" fontId="0" fillId="0" borderId="1" xfId="0" quotePrefix="1" applyFont="1" applyBorder="1" applyAlignment="1">
      <alignment horizontal="center" vertical="center" wrapText="1"/>
    </xf>
    <xf numFmtId="0" fontId="0" fillId="0" borderId="1" xfId="0" applyFont="1" applyBorder="1" applyAlignment="1">
      <alignment horizontal="center" vertical="center" wrapText="1"/>
    </xf>
    <xf numFmtId="0" fontId="0" fillId="0" borderId="13" xfId="0" quotePrefix="1" applyFont="1" applyBorder="1" applyAlignment="1">
      <alignment horizontal="center" vertical="center" wrapText="1"/>
    </xf>
    <xf numFmtId="0" fontId="0" fillId="11" borderId="44" xfId="0" applyFill="1" applyBorder="1" applyAlignment="1">
      <alignment horizontal="center" vertical="center" wrapText="1"/>
    </xf>
    <xf numFmtId="0" fontId="0" fillId="11" borderId="46" xfId="0" applyFill="1" applyBorder="1" applyAlignment="1">
      <alignment horizontal="center" vertical="center" wrapText="1"/>
    </xf>
    <xf numFmtId="0" fontId="0" fillId="11" borderId="45" xfId="0" applyFill="1" applyBorder="1" applyAlignment="1">
      <alignment horizontal="center" vertical="center" wrapText="1"/>
    </xf>
    <xf numFmtId="0" fontId="0" fillId="0" borderId="39" xfId="0" applyFont="1" applyBorder="1" applyAlignment="1">
      <alignment horizontal="left" vertical="center" wrapText="1"/>
    </xf>
    <xf numFmtId="0" fontId="0" fillId="0" borderId="0" xfId="0" applyFont="1" applyBorder="1" applyAlignment="1">
      <alignment horizontal="left" vertical="center" wrapText="1"/>
    </xf>
    <xf numFmtId="0" fontId="0" fillId="0" borderId="34" xfId="0" applyFont="1" applyBorder="1" applyAlignment="1">
      <alignment horizontal="left" vertical="center" wrapText="1"/>
    </xf>
    <xf numFmtId="0" fontId="0" fillId="3" borderId="39" xfId="0" applyFont="1" applyFill="1" applyBorder="1" applyAlignment="1">
      <alignment horizontal="left" vertical="center" wrapText="1"/>
    </xf>
    <xf numFmtId="0" fontId="0" fillId="3" borderId="0" xfId="0" applyFont="1" applyFill="1" applyBorder="1" applyAlignment="1">
      <alignment horizontal="left" vertical="center" wrapText="1"/>
    </xf>
    <xf numFmtId="0" fontId="0" fillId="3" borderId="34" xfId="0" applyFont="1" applyFill="1" applyBorder="1" applyAlignment="1">
      <alignment horizontal="left" vertical="center" wrapText="1"/>
    </xf>
    <xf numFmtId="0" fontId="0" fillId="20" borderId="26" xfId="0" applyFont="1" applyFill="1" applyBorder="1" applyAlignment="1">
      <alignment horizontal="center" vertical="center" wrapText="1"/>
    </xf>
    <xf numFmtId="0" fontId="0" fillId="20" borderId="21" xfId="0" applyFont="1" applyFill="1" applyBorder="1" applyAlignment="1">
      <alignment horizontal="center" vertical="center" wrapText="1"/>
    </xf>
    <xf numFmtId="0" fontId="0" fillId="10" borderId="12" xfId="0" quotePrefix="1" applyFont="1" applyFill="1" applyBorder="1" applyAlignment="1">
      <alignment horizontal="center" vertical="center" wrapText="1"/>
    </xf>
    <xf numFmtId="0" fontId="0" fillId="29" borderId="12" xfId="0" applyFont="1" applyFill="1" applyBorder="1" applyAlignment="1">
      <alignment horizontal="center" vertical="center" wrapText="1"/>
    </xf>
    <xf numFmtId="0" fontId="0" fillId="0" borderId="27" xfId="0" applyFont="1" applyBorder="1" applyAlignment="1">
      <alignment horizontal="left" vertical="center" wrapText="1"/>
    </xf>
    <xf numFmtId="0" fontId="0" fillId="0" borderId="12" xfId="0" quotePrefix="1" applyFont="1" applyBorder="1" applyAlignment="1">
      <alignment horizontal="center" vertical="center" wrapText="1"/>
    </xf>
    <xf numFmtId="0" fontId="0" fillId="3" borderId="12"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13" borderId="1" xfId="0" applyFont="1" applyFill="1" applyBorder="1" applyAlignment="1">
      <alignment horizontal="left" vertical="center" wrapText="1"/>
    </xf>
    <xf numFmtId="0" fontId="0" fillId="13" borderId="13" xfId="0" applyFont="1" applyFill="1" applyBorder="1" applyAlignment="1">
      <alignment horizontal="left" vertical="center" wrapText="1"/>
    </xf>
    <xf numFmtId="0" fontId="0" fillId="16" borderId="43" xfId="0" applyFill="1" applyBorder="1" applyAlignment="1">
      <alignment horizontal="center" wrapText="1"/>
    </xf>
    <xf numFmtId="0" fontId="0" fillId="10" borderId="50" xfId="0" applyFont="1" applyFill="1" applyBorder="1" applyAlignment="1">
      <alignment horizontal="center" vertical="center" wrapText="1"/>
    </xf>
    <xf numFmtId="0" fontId="0" fillId="10" borderId="8" xfId="0" applyFont="1" applyFill="1" applyBorder="1" applyAlignment="1">
      <alignment horizontal="center" vertical="center" wrapText="1"/>
    </xf>
    <xf numFmtId="0" fontId="0" fillId="10" borderId="49" xfId="0" applyFont="1" applyFill="1" applyBorder="1" applyAlignment="1">
      <alignment horizontal="center" vertical="center" wrapText="1"/>
    </xf>
    <xf numFmtId="0" fontId="0" fillId="3" borderId="35" xfId="0" applyFont="1" applyFill="1" applyBorder="1" applyAlignment="1">
      <alignment horizontal="left" vertical="center" wrapText="1"/>
    </xf>
    <xf numFmtId="0" fontId="0" fillId="13" borderId="12" xfId="0" applyFont="1" applyFill="1" applyBorder="1" applyAlignment="1">
      <alignment horizontal="left" vertical="center" wrapText="1"/>
    </xf>
    <xf numFmtId="0" fontId="0" fillId="0" borderId="12" xfId="0" applyFont="1" applyBorder="1" applyAlignment="1">
      <alignment horizontal="left" vertical="center" wrapText="1"/>
    </xf>
    <xf numFmtId="0" fontId="0" fillId="29" borderId="12" xfId="0" applyFont="1" applyFill="1" applyBorder="1" applyAlignment="1">
      <alignment horizontal="left" vertical="center" wrapText="1"/>
    </xf>
    <xf numFmtId="0" fontId="0" fillId="13" borderId="1" xfId="0" applyFont="1" applyFill="1" applyBorder="1" applyAlignment="1">
      <alignment horizontal="center" vertical="center" wrapText="1"/>
    </xf>
    <xf numFmtId="0" fontId="0" fillId="0" borderId="35" xfId="0" applyFont="1" applyBorder="1" applyAlignment="1">
      <alignment horizontal="left" vertical="center" wrapText="1"/>
    </xf>
    <xf numFmtId="0" fontId="0" fillId="31" borderId="12" xfId="0" applyFont="1" applyFill="1" applyBorder="1" applyAlignment="1">
      <alignment horizontal="left" vertical="center" wrapText="1"/>
    </xf>
    <xf numFmtId="0" fontId="0" fillId="10" borderId="44" xfId="0" applyFont="1" applyFill="1" applyBorder="1" applyAlignment="1">
      <alignment horizontal="center" vertical="center" wrapText="1"/>
    </xf>
    <xf numFmtId="0" fontId="0" fillId="10" borderId="45" xfId="0" applyFont="1" applyFill="1" applyBorder="1" applyAlignment="1">
      <alignment horizontal="center" vertical="center" wrapText="1"/>
    </xf>
    <xf numFmtId="0" fontId="0" fillId="10" borderId="46" xfId="0" applyFont="1" applyFill="1" applyBorder="1" applyAlignment="1">
      <alignment horizontal="center" vertical="center" wrapText="1"/>
    </xf>
    <xf numFmtId="0" fontId="0" fillId="11" borderId="44" xfId="0" applyFont="1" applyFill="1" applyBorder="1" applyAlignment="1">
      <alignment horizontal="center" vertical="center" wrapText="1"/>
    </xf>
    <xf numFmtId="0" fontId="0" fillId="11" borderId="45" xfId="0" applyFont="1" applyFill="1" applyBorder="1" applyAlignment="1">
      <alignment horizontal="center" vertical="center" wrapText="1"/>
    </xf>
    <xf numFmtId="0" fontId="0" fillId="11" borderId="46"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2" fillId="2" borderId="0" xfId="0" applyFont="1" applyFill="1" applyBorder="1" applyAlignment="1">
      <alignment horizontal="left" vertical="center" wrapText="1"/>
    </xf>
    <xf numFmtId="0" fontId="0" fillId="26" borderId="41" xfId="0" applyFill="1" applyBorder="1" applyAlignment="1">
      <alignment horizontal="center" vertical="center" wrapText="1"/>
    </xf>
    <xf numFmtId="0" fontId="0" fillId="26" borderId="12" xfId="0" applyFill="1" applyBorder="1" applyAlignment="1">
      <alignment horizontal="center" vertical="center" wrapText="1"/>
    </xf>
    <xf numFmtId="0" fontId="0" fillId="13" borderId="13" xfId="0" applyFont="1" applyFill="1" applyBorder="1" applyAlignment="1">
      <alignment vertical="center" wrapText="1"/>
    </xf>
    <xf numFmtId="0" fontId="0" fillId="10" borderId="43" xfId="0" applyFont="1" applyFill="1" applyBorder="1" applyAlignment="1">
      <alignment horizontal="center" vertical="center" wrapText="1"/>
    </xf>
    <xf numFmtId="0" fontId="0" fillId="0" borderId="13" xfId="0" applyFont="1" applyBorder="1" applyAlignment="1">
      <alignment vertical="center" wrapText="1"/>
    </xf>
    <xf numFmtId="0" fontId="0" fillId="13" borderId="15" xfId="0" applyFont="1" applyFill="1" applyBorder="1" applyAlignment="1">
      <alignment horizontal="left" vertical="center" wrapText="1"/>
    </xf>
    <xf numFmtId="0" fontId="0" fillId="13" borderId="16" xfId="0" applyFont="1" applyFill="1" applyBorder="1" applyAlignment="1">
      <alignment vertical="center" wrapText="1"/>
    </xf>
    <xf numFmtId="0" fontId="0" fillId="11" borderId="43" xfId="0" applyFont="1" applyFill="1" applyBorder="1" applyAlignment="1">
      <alignment horizontal="center" vertical="center" wrapText="1"/>
    </xf>
    <xf numFmtId="0" fontId="0" fillId="13" borderId="14" xfId="0" applyFont="1" applyFill="1" applyBorder="1" applyAlignment="1">
      <alignment horizontal="left" vertical="center" wrapText="1"/>
    </xf>
    <xf numFmtId="0" fontId="0" fillId="10" borderId="41" xfId="0" quotePrefix="1" applyFont="1" applyFill="1" applyBorder="1" applyAlignment="1">
      <alignment horizontal="center" vertical="center" wrapText="1"/>
    </xf>
    <xf numFmtId="0" fontId="2" fillId="2" borderId="48" xfId="0" applyFont="1" applyFill="1" applyBorder="1" applyAlignment="1">
      <alignment horizontal="left" vertical="center" wrapText="1"/>
    </xf>
    <xf numFmtId="0" fontId="0" fillId="29" borderId="41" xfId="0" applyFont="1" applyFill="1" applyBorder="1" applyAlignment="1">
      <alignment horizontal="left" vertical="center" wrapText="1"/>
    </xf>
    <xf numFmtId="0" fontId="0" fillId="10" borderId="23" xfId="0" quotePrefix="1" applyFont="1" applyFill="1" applyBorder="1" applyAlignment="1">
      <alignment horizontal="center" vertical="center" wrapText="1"/>
    </xf>
    <xf numFmtId="0" fontId="0" fillId="10" borderId="42" xfId="0" quotePrefix="1" applyFont="1" applyFill="1" applyBorder="1" applyAlignment="1">
      <alignment horizontal="center" vertical="center" wrapText="1"/>
    </xf>
    <xf numFmtId="0" fontId="0" fillId="23" borderId="12" xfId="0" applyFont="1" applyFill="1" applyBorder="1" applyAlignment="1">
      <alignment horizontal="left" vertical="center" wrapText="1"/>
    </xf>
    <xf numFmtId="0" fontId="0" fillId="3" borderId="14" xfId="0" applyFont="1" applyFill="1" applyBorder="1" applyAlignment="1">
      <alignment horizontal="center" vertical="center" wrapText="1"/>
    </xf>
    <xf numFmtId="0" fontId="0" fillId="3" borderId="15" xfId="0" applyFont="1" applyFill="1" applyBorder="1" applyAlignment="1">
      <alignment horizontal="center" vertical="center" wrapText="1"/>
    </xf>
    <xf numFmtId="0" fontId="0" fillId="3" borderId="11" xfId="0" applyFont="1" applyFill="1" applyBorder="1" applyAlignment="1">
      <alignment horizontal="left" vertical="center" wrapText="1"/>
    </xf>
    <xf numFmtId="0" fontId="0" fillId="3" borderId="52" xfId="0" applyFont="1" applyFill="1" applyBorder="1" applyAlignment="1">
      <alignment horizontal="left" vertical="center" wrapText="1"/>
    </xf>
    <xf numFmtId="0" fontId="0" fillId="10" borderId="14" xfId="0" applyFont="1" applyFill="1" applyBorder="1" applyAlignment="1">
      <alignment horizontal="center" vertical="center" wrapText="1"/>
    </xf>
    <xf numFmtId="0" fontId="0" fillId="10" borderId="15" xfId="0" applyFont="1" applyFill="1" applyBorder="1" applyAlignment="1">
      <alignment horizontal="center" vertical="center" wrapText="1"/>
    </xf>
    <xf numFmtId="0" fontId="0" fillId="10" borderId="16" xfId="0" applyFont="1" applyFill="1" applyBorder="1" applyAlignment="1">
      <alignment horizontal="center" vertical="center" wrapText="1"/>
    </xf>
    <xf numFmtId="0" fontId="0" fillId="20" borderId="16" xfId="0" applyFont="1" applyFill="1" applyBorder="1" applyAlignment="1">
      <alignment horizontal="center" vertical="center" wrapText="1"/>
    </xf>
    <xf numFmtId="0" fontId="0" fillId="0" borderId="15" xfId="0" applyFont="1" applyBorder="1" applyAlignment="1">
      <alignment horizontal="left" vertical="center" wrapText="1"/>
    </xf>
    <xf numFmtId="0" fontId="0" fillId="0" borderId="16" xfId="0" applyFont="1" applyBorder="1" applyAlignment="1">
      <alignment horizontal="left" vertical="center" wrapText="1"/>
    </xf>
    <xf numFmtId="0" fontId="0" fillId="0" borderId="14" xfId="0" applyFont="1" applyBorder="1" applyAlignment="1">
      <alignment horizontal="left" vertical="center" wrapText="1"/>
    </xf>
    <xf numFmtId="0" fontId="0" fillId="17" borderId="13" xfId="0" applyFont="1" applyFill="1" applyBorder="1" applyAlignment="1">
      <alignment horizontal="center" vertical="center" wrapText="1"/>
    </xf>
    <xf numFmtId="0" fontId="0" fillId="17" borderId="16" xfId="0" applyFont="1" applyFill="1" applyBorder="1" applyAlignment="1">
      <alignment horizontal="center" vertical="center" wrapText="1"/>
    </xf>
    <xf numFmtId="0" fontId="0" fillId="0" borderId="1" xfId="0" applyFont="1" applyBorder="1" applyAlignment="1">
      <alignment horizontal="left" vertical="center"/>
    </xf>
    <xf numFmtId="0" fontId="0" fillId="31" borderId="42" xfId="0" applyFont="1" applyFill="1" applyBorder="1" applyAlignment="1">
      <alignment horizontal="center" vertical="center" wrapText="1"/>
    </xf>
    <xf numFmtId="0" fontId="0" fillId="31" borderId="41" xfId="0" applyFont="1" applyFill="1" applyBorder="1" applyAlignment="1">
      <alignment horizontal="center" vertical="center" wrapText="1"/>
    </xf>
    <xf numFmtId="0" fontId="0" fillId="10" borderId="42" xfId="0" applyFont="1" applyFill="1" applyBorder="1" applyAlignment="1">
      <alignment horizontal="left" vertical="top" wrapText="1"/>
    </xf>
    <xf numFmtId="0" fontId="0" fillId="0" borderId="52" xfId="0" applyFont="1" applyBorder="1" applyAlignment="1">
      <alignment horizontal="left" vertical="center" wrapText="1"/>
    </xf>
    <xf numFmtId="0" fontId="0" fillId="0" borderId="14" xfId="0" applyFont="1" applyBorder="1" applyAlignment="1">
      <alignment horizontal="center" vertical="center" wrapText="1"/>
    </xf>
    <xf numFmtId="0" fontId="0" fillId="17" borderId="14" xfId="0" applyFont="1" applyFill="1" applyBorder="1" applyAlignment="1">
      <alignment horizontal="center" vertical="center" wrapText="1"/>
    </xf>
    <xf numFmtId="0" fontId="0" fillId="0" borderId="15" xfId="0" applyFont="1" applyBorder="1" applyAlignment="1">
      <alignment horizontal="center" vertical="center" wrapText="1"/>
    </xf>
    <xf numFmtId="0" fontId="0" fillId="0" borderId="11" xfId="0" applyFont="1" applyBorder="1" applyAlignment="1">
      <alignment horizontal="left" vertical="center" wrapText="1"/>
    </xf>
    <xf numFmtId="0" fontId="0" fillId="14" borderId="6" xfId="0" applyFill="1" applyBorder="1" applyAlignment="1">
      <alignment horizontal="left" vertical="center"/>
    </xf>
    <xf numFmtId="0" fontId="0" fillId="14" borderId="2" xfId="0" applyFill="1" applyBorder="1" applyAlignment="1">
      <alignment horizontal="left" vertical="center"/>
    </xf>
    <xf numFmtId="0" fontId="0" fillId="14" borderId="18" xfId="0" applyFill="1" applyBorder="1" applyAlignment="1">
      <alignment horizontal="center" vertical="center" wrapText="1"/>
    </xf>
    <xf numFmtId="0" fontId="0" fillId="14" borderId="19" xfId="0" applyFill="1" applyBorder="1" applyAlignment="1">
      <alignment horizontal="center" vertical="center" wrapText="1"/>
    </xf>
    <xf numFmtId="0" fontId="0" fillId="14" borderId="24" xfId="0" applyFill="1" applyBorder="1" applyAlignment="1">
      <alignment horizontal="center" vertical="center" wrapText="1"/>
    </xf>
    <xf numFmtId="0" fontId="0" fillId="17" borderId="10" xfId="0" applyFill="1" applyBorder="1" applyAlignment="1">
      <alignment horizontal="left" vertical="center" wrapText="1"/>
    </xf>
    <xf numFmtId="0" fontId="0" fillId="17" borderId="18" xfId="0" applyFill="1" applyBorder="1" applyAlignment="1">
      <alignment horizontal="left" vertical="center" wrapText="1"/>
    </xf>
    <xf numFmtId="0" fontId="0" fillId="17" borderId="19" xfId="0" applyFill="1" applyBorder="1" applyAlignment="1">
      <alignment horizontal="left" vertical="center" wrapText="1"/>
    </xf>
    <xf numFmtId="0" fontId="0" fillId="17" borderId="11" xfId="0" applyFill="1" applyBorder="1" applyAlignment="1">
      <alignment horizontal="left" vertical="center" wrapText="1"/>
    </xf>
    <xf numFmtId="0" fontId="0" fillId="14" borderId="26" xfId="0" applyFill="1" applyBorder="1" applyAlignment="1">
      <alignment horizontal="left" vertical="center"/>
    </xf>
    <xf numFmtId="0" fontId="0" fillId="14" borderId="21" xfId="0" applyFill="1" applyBorder="1" applyAlignment="1">
      <alignment horizontal="left" vertical="center"/>
    </xf>
    <xf numFmtId="0" fontId="0" fillId="5" borderId="39" xfId="0" applyFill="1" applyBorder="1" applyAlignment="1">
      <alignment horizontal="left" vertical="center" wrapText="1"/>
    </xf>
    <xf numFmtId="0" fontId="0" fillId="5" borderId="0" xfId="0" applyFill="1" applyBorder="1" applyAlignment="1">
      <alignment horizontal="left" vertical="center" wrapText="1"/>
    </xf>
    <xf numFmtId="0" fontId="0" fillId="5" borderId="34" xfId="0" applyFill="1" applyBorder="1" applyAlignment="1">
      <alignment horizontal="left" vertical="center" wrapText="1"/>
    </xf>
    <xf numFmtId="0" fontId="0" fillId="17" borderId="26" xfId="0" applyFill="1" applyBorder="1" applyAlignment="1">
      <alignment horizontal="left" vertical="center"/>
    </xf>
    <xf numFmtId="0" fontId="0" fillId="17" borderId="21" xfId="0" applyFill="1" applyBorder="1" applyAlignment="1">
      <alignment horizontal="left" vertical="center"/>
    </xf>
    <xf numFmtId="0" fontId="0" fillId="17" borderId="6" xfId="0" applyFill="1" applyBorder="1" applyAlignment="1">
      <alignment horizontal="left" vertical="center"/>
    </xf>
    <xf numFmtId="0" fontId="0" fillId="17" borderId="2" xfId="0" applyFill="1" applyBorder="1" applyAlignment="1">
      <alignment horizontal="left" vertical="center"/>
    </xf>
    <xf numFmtId="0" fontId="0" fillId="17" borderId="18" xfId="0" applyFill="1" applyBorder="1" applyAlignment="1">
      <alignment horizontal="center" vertical="center" wrapText="1"/>
    </xf>
    <xf numFmtId="0" fontId="0" fillId="17" borderId="19" xfId="0" applyFill="1" applyBorder="1" applyAlignment="1">
      <alignment horizontal="center" vertical="center" wrapText="1"/>
    </xf>
    <xf numFmtId="0" fontId="0" fillId="17" borderId="24" xfId="0" applyFill="1" applyBorder="1" applyAlignment="1">
      <alignment horizontal="center" vertical="center" wrapText="1"/>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6" xfId="0" applyFill="1" applyBorder="1" applyAlignment="1">
      <alignment horizontal="center" vertical="center" wrapText="1"/>
    </xf>
    <xf numFmtId="0" fontId="0" fillId="5" borderId="25" xfId="0" applyFill="1" applyBorder="1" applyAlignment="1">
      <alignment horizontal="center" vertical="center" wrapText="1"/>
    </xf>
    <xf numFmtId="0" fontId="0" fillId="25" borderId="12" xfId="0" applyFill="1" applyBorder="1" applyAlignment="1">
      <alignment horizontal="center" vertical="center" wrapText="1"/>
    </xf>
    <xf numFmtId="0" fontId="0" fillId="13" borderId="18" xfId="0" applyFill="1" applyBorder="1" applyAlignment="1">
      <alignment horizontal="center" vertical="center" wrapText="1"/>
    </xf>
    <xf numFmtId="0" fontId="0" fillId="13" borderId="19" xfId="0" applyFill="1" applyBorder="1" applyAlignment="1">
      <alignment horizontal="center" vertical="center" wrapText="1"/>
    </xf>
    <xf numFmtId="0" fontId="0" fillId="13" borderId="24" xfId="0" applyFill="1" applyBorder="1" applyAlignment="1">
      <alignment horizontal="center" vertical="center" wrapText="1"/>
    </xf>
    <xf numFmtId="0" fontId="0" fillId="13" borderId="26" xfId="0" applyFill="1" applyBorder="1" applyAlignment="1">
      <alignment horizontal="left" vertical="center"/>
    </xf>
    <xf numFmtId="0" fontId="0" fillId="13" borderId="21" xfId="0" applyFill="1" applyBorder="1" applyAlignment="1">
      <alignment horizontal="left" vertical="center"/>
    </xf>
    <xf numFmtId="0" fontId="0" fillId="13" borderId="6" xfId="0" applyFill="1" applyBorder="1" applyAlignment="1">
      <alignment horizontal="left" vertical="center"/>
    </xf>
    <xf numFmtId="0" fontId="0" fillId="13" borderId="2" xfId="0" applyFill="1" applyBorder="1" applyAlignment="1">
      <alignment horizontal="left" vertical="center"/>
    </xf>
    <xf numFmtId="0" fontId="0" fillId="5" borderId="18" xfId="0" applyFill="1" applyBorder="1" applyAlignment="1">
      <alignment horizontal="center" vertical="center" wrapText="1"/>
    </xf>
    <xf numFmtId="0" fontId="0" fillId="5" borderId="19" xfId="0" applyFill="1" applyBorder="1" applyAlignment="1">
      <alignment horizontal="center" vertical="center" wrapText="1"/>
    </xf>
    <xf numFmtId="0" fontId="0" fillId="5" borderId="24" xfId="0" applyFill="1" applyBorder="1" applyAlignment="1">
      <alignment horizontal="center" vertical="center" wrapText="1"/>
    </xf>
    <xf numFmtId="0" fontId="0" fillId="13" borderId="27" xfId="0" applyFill="1" applyBorder="1" applyAlignment="1">
      <alignment horizontal="left" vertical="center"/>
    </xf>
    <xf numFmtId="0" fontId="0" fillId="13" borderId="25" xfId="0" applyFill="1" applyBorder="1" applyAlignment="1">
      <alignment horizontal="left" vertical="center"/>
    </xf>
    <xf numFmtId="0" fontId="0" fillId="3" borderId="0" xfId="0" applyFill="1" applyBorder="1" applyAlignment="1">
      <alignment horizontal="left" vertical="center" wrapText="1"/>
    </xf>
    <xf numFmtId="0" fontId="0" fillId="10" borderId="41" xfId="0" quotePrefix="1" applyFill="1" applyBorder="1" applyAlignment="1">
      <alignment horizontal="center" vertical="center" wrapText="1"/>
    </xf>
    <xf numFmtId="0" fontId="0" fillId="20" borderId="12" xfId="0" applyFill="1" applyBorder="1" applyAlignment="1">
      <alignment horizontal="center" vertical="center" wrapText="1"/>
    </xf>
    <xf numFmtId="0" fontId="0" fillId="10" borderId="23" xfId="0" quotePrefix="1" applyFill="1" applyBorder="1" applyAlignment="1">
      <alignment horizontal="center" vertical="center" wrapText="1"/>
    </xf>
    <xf numFmtId="0" fontId="0" fillId="10" borderId="42" xfId="0" quotePrefix="1" applyFill="1" applyBorder="1" applyAlignment="1">
      <alignment horizontal="center" vertical="center" wrapText="1"/>
    </xf>
    <xf numFmtId="0" fontId="0" fillId="6" borderId="39" xfId="0" applyFill="1" applyBorder="1" applyAlignment="1">
      <alignment horizontal="left" vertical="center" wrapText="1"/>
    </xf>
    <xf numFmtId="0" fontId="0" fillId="6" borderId="0" xfId="0" applyFill="1" applyBorder="1" applyAlignment="1">
      <alignment horizontal="left" vertical="center" wrapText="1"/>
    </xf>
    <xf numFmtId="0" fontId="0" fillId="6" borderId="34" xfId="0" applyFill="1" applyBorder="1" applyAlignment="1">
      <alignment horizontal="left" vertical="center" wrapText="1"/>
    </xf>
    <xf numFmtId="0" fontId="0" fillId="6" borderId="12"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3" xfId="0" applyFill="1" applyBorder="1" applyAlignment="1">
      <alignment horizontal="left" vertical="center" wrapText="1"/>
    </xf>
    <xf numFmtId="0" fontId="0" fillId="17" borderId="39" xfId="0" applyFill="1" applyBorder="1" applyAlignment="1">
      <alignment horizontal="left" vertical="center" wrapText="1"/>
    </xf>
    <xf numFmtId="0" fontId="0" fillId="17" borderId="0" xfId="0" applyFill="1" applyBorder="1" applyAlignment="1">
      <alignment horizontal="left" vertical="center" wrapText="1"/>
    </xf>
    <xf numFmtId="0" fontId="0" fillId="17" borderId="34" xfId="0" applyFill="1" applyBorder="1" applyAlignment="1">
      <alignment horizontal="left" vertical="center" wrapText="1"/>
    </xf>
    <xf numFmtId="0" fontId="0" fillId="17" borderId="14" xfId="0" applyFill="1" applyBorder="1" applyAlignment="1">
      <alignment horizontal="center" vertical="center" wrapText="1"/>
    </xf>
    <xf numFmtId="0" fontId="0" fillId="17" borderId="15" xfId="0" applyFill="1" applyBorder="1" applyAlignment="1">
      <alignment horizontal="center" vertical="center" wrapText="1"/>
    </xf>
    <xf numFmtId="0" fontId="0" fillId="17" borderId="16" xfId="0" applyFill="1" applyBorder="1" applyAlignment="1">
      <alignment horizontal="left" vertical="center" wrapText="1"/>
    </xf>
    <xf numFmtId="0" fontId="0" fillId="17" borderId="7" xfId="0" applyFill="1" applyBorder="1" applyAlignment="1">
      <alignment horizontal="left" vertical="center" wrapText="1"/>
    </xf>
    <xf numFmtId="0" fontId="0" fillId="17" borderId="27" xfId="0" applyFill="1" applyBorder="1" applyAlignment="1">
      <alignment horizontal="left" vertical="center"/>
    </xf>
    <xf numFmtId="0" fontId="0" fillId="17" borderId="9" xfId="0" applyFill="1" applyBorder="1" applyAlignment="1">
      <alignment horizontal="left" vertical="center"/>
    </xf>
    <xf numFmtId="0" fontId="0" fillId="11" borderId="1" xfId="0" applyFill="1" applyBorder="1" applyAlignment="1">
      <alignment horizontal="center" vertical="center" wrapText="1"/>
    </xf>
    <xf numFmtId="0" fontId="0" fillId="11" borderId="13" xfId="0" applyFill="1" applyBorder="1" applyAlignment="1">
      <alignment horizontal="center" vertical="center" wrapText="1"/>
    </xf>
    <xf numFmtId="0" fontId="0" fillId="17" borderId="16" xfId="0" applyFill="1" applyBorder="1" applyAlignment="1">
      <alignment horizontal="center" vertical="center" wrapText="1"/>
    </xf>
    <xf numFmtId="0" fontId="0" fillId="20" borderId="42" xfId="0" applyFill="1" applyBorder="1" applyAlignment="1">
      <alignment horizontal="center" vertical="center" wrapText="1"/>
    </xf>
    <xf numFmtId="0" fontId="0" fillId="25" borderId="13" xfId="0" applyFill="1" applyBorder="1" applyAlignment="1">
      <alignment horizontal="center" vertical="center" wrapText="1"/>
    </xf>
    <xf numFmtId="0" fontId="0" fillId="20" borderId="41" xfId="0" applyFill="1" applyBorder="1" applyAlignment="1">
      <alignment horizontal="center" vertical="center" wrapText="1"/>
    </xf>
    <xf numFmtId="0" fontId="0" fillId="16" borderId="12" xfId="0" applyFont="1" applyFill="1" applyBorder="1" applyAlignment="1">
      <alignment horizontal="left" vertical="center" wrapText="1"/>
    </xf>
    <xf numFmtId="0" fontId="0" fillId="16" borderId="12" xfId="0" applyFont="1" applyFill="1" applyBorder="1" applyAlignment="1">
      <alignment horizontal="left" vertical="center" wrapText="1"/>
    </xf>
    <xf numFmtId="0" fontId="0" fillId="29" borderId="14" xfId="0" applyFont="1" applyFill="1" applyBorder="1" applyAlignment="1">
      <alignment horizontal="left" vertical="center" wrapText="1"/>
    </xf>
    <xf numFmtId="0" fontId="0" fillId="7" borderId="12" xfId="0" applyFont="1" applyFill="1" applyBorder="1" applyAlignment="1">
      <alignment horizontal="left" vertical="center" wrapText="1"/>
    </xf>
    <xf numFmtId="0" fontId="0" fillId="29" borderId="12" xfId="0" quotePrefix="1" applyFont="1" applyFill="1" applyBorder="1" applyAlignment="1">
      <alignment horizontal="left" vertical="center" wrapText="1"/>
    </xf>
    <xf numFmtId="0" fontId="0" fillId="23" borderId="12" xfId="0" quotePrefix="1" applyFont="1" applyFill="1" applyBorder="1" applyAlignment="1">
      <alignment horizontal="left" vertical="center" wrapText="1"/>
    </xf>
    <xf numFmtId="0" fontId="0" fillId="23" borderId="12" xfId="0" quotePrefix="1" applyFont="1" applyFill="1" applyBorder="1" applyAlignment="1">
      <alignment horizontal="left" vertical="center" wrapText="1"/>
    </xf>
  </cellXfs>
  <cellStyles count="3">
    <cellStyle name="Hyperlink" xfId="2" builtinId="8"/>
    <cellStyle name="Normal" xfId="0" builtinId="0"/>
    <cellStyle name="Normal 2" xfId="1"/>
  </cellStyles>
  <dxfs count="0"/>
  <tableStyles count="0" defaultTableStyle="TableStyleMedium2" defaultPivotStyle="PivotStyleLight16"/>
  <colors>
    <mruColors>
      <color rgb="FF0EF2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2371725</xdr:colOff>
          <xdr:row>83</xdr:row>
          <xdr:rowOff>9525</xdr:rowOff>
        </xdr:from>
        <xdr:to>
          <xdr:col>4</xdr:col>
          <xdr:colOff>2905125</xdr:colOff>
          <xdr:row>85</xdr:row>
          <xdr:rowOff>66675</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29"/>
  <sheetViews>
    <sheetView tabSelected="1" zoomScale="80" zoomScaleNormal="80" workbookViewId="0">
      <selection activeCell="G28" sqref="G28"/>
    </sheetView>
  </sheetViews>
  <sheetFormatPr defaultRowHeight="15" x14ac:dyDescent="0.25"/>
  <cols>
    <col min="1" max="1" width="0.5703125" customWidth="1"/>
    <col min="2" max="2" width="29" customWidth="1"/>
    <col min="3" max="3" width="32.85546875" customWidth="1"/>
    <col min="4" max="4" width="43.140625" hidden="1" customWidth="1"/>
    <col min="5" max="5" width="5.42578125" style="505" bestFit="1" customWidth="1"/>
    <col min="6" max="7" width="8.7109375" style="505" customWidth="1"/>
    <col min="8" max="8" width="9.28515625" style="505" customWidth="1"/>
    <col min="9" max="10" width="9" style="505" customWidth="1"/>
    <col min="11" max="12" width="12.85546875" style="505" customWidth="1"/>
    <col min="13" max="14" width="13.28515625" style="505" customWidth="1"/>
    <col min="15" max="16" width="13.85546875" style="505" customWidth="1"/>
    <col min="17" max="18" width="13.42578125" style="505" customWidth="1"/>
    <col min="19" max="20" width="9.7109375" style="505" customWidth="1"/>
    <col min="21" max="23" width="9.140625" style="505"/>
  </cols>
  <sheetData>
    <row r="1" spans="2:23" ht="1.5" customHeight="1" thickBot="1" x14ac:dyDescent="0.3"/>
    <row r="2" spans="2:23" s="2" customFormat="1" ht="75" customHeight="1" thickBot="1" x14ac:dyDescent="0.3">
      <c r="E2" s="632" t="s">
        <v>1645</v>
      </c>
      <c r="F2" s="633"/>
      <c r="G2" s="634" t="s">
        <v>1476</v>
      </c>
      <c r="H2" s="628"/>
      <c r="I2" s="627" t="s">
        <v>1477</v>
      </c>
      <c r="J2" s="628"/>
      <c r="K2" s="627" t="s">
        <v>1480</v>
      </c>
      <c r="L2" s="628"/>
      <c r="M2" s="627" t="s">
        <v>1481</v>
      </c>
      <c r="N2" s="628"/>
      <c r="O2" s="627" t="s">
        <v>1618</v>
      </c>
      <c r="P2" s="628"/>
      <c r="Q2" s="627" t="s">
        <v>1619</v>
      </c>
      <c r="R2" s="628"/>
      <c r="S2" s="627" t="s">
        <v>1484</v>
      </c>
      <c r="T2" s="628"/>
    </row>
    <row r="3" spans="2:23" s="506" customFormat="1" ht="14.25" customHeight="1" x14ac:dyDescent="0.25">
      <c r="B3" s="513" t="s">
        <v>1614</v>
      </c>
      <c r="C3" s="514" t="s">
        <v>1615</v>
      </c>
      <c r="D3" s="519" t="s">
        <v>1616</v>
      </c>
      <c r="E3" s="522" t="s">
        <v>1647</v>
      </c>
      <c r="F3" s="531" t="s">
        <v>1617</v>
      </c>
      <c r="G3" s="511" t="s">
        <v>1647</v>
      </c>
      <c r="H3" s="523" t="s">
        <v>1646</v>
      </c>
      <c r="I3" s="522" t="s">
        <v>1647</v>
      </c>
      <c r="J3" s="523" t="s">
        <v>1646</v>
      </c>
      <c r="K3" s="522" t="s">
        <v>1647</v>
      </c>
      <c r="L3" s="523" t="s">
        <v>1646</v>
      </c>
      <c r="M3" s="522" t="s">
        <v>1647</v>
      </c>
      <c r="N3" s="523" t="s">
        <v>1646</v>
      </c>
      <c r="O3" s="522" t="s">
        <v>1647</v>
      </c>
      <c r="P3" s="523" t="s">
        <v>1646</v>
      </c>
      <c r="Q3" s="522" t="s">
        <v>1647</v>
      </c>
      <c r="R3" s="523" t="s">
        <v>1646</v>
      </c>
      <c r="S3" s="522" t="s">
        <v>1647</v>
      </c>
      <c r="T3" s="523" t="s">
        <v>1646</v>
      </c>
    </row>
    <row r="4" spans="2:23" x14ac:dyDescent="0.25">
      <c r="B4" s="629" t="s">
        <v>1648</v>
      </c>
      <c r="C4" s="515" t="s">
        <v>1620</v>
      </c>
      <c r="D4" s="520" t="s">
        <v>1621</v>
      </c>
      <c r="E4" s="524">
        <f>COUNTA(LEGALP_INSTRUMENTS!A3:A27)</f>
        <v>7</v>
      </c>
      <c r="F4" s="532">
        <f>SUM(H4,J4,L4,N4,P4,R4,T4)</f>
        <v>1</v>
      </c>
      <c r="G4" s="529">
        <f>COUNTIF(LEGALP_INSTRUMENTS!M:M,"Concluido")</f>
        <v>5</v>
      </c>
      <c r="H4" s="525">
        <f>G4/E4</f>
        <v>0.7142857142857143</v>
      </c>
      <c r="I4" s="528">
        <f>COUNTIF(LEGALP_INSTRUMENTS!M:M,"Mapeamento com LT fechado, mas parametrização pendente")</f>
        <v>1</v>
      </c>
      <c r="J4" s="525">
        <f>I4/E4</f>
        <v>0.14285714285714285</v>
      </c>
      <c r="K4" s="528">
        <f>COUNTIF(LEGALP_INSTRUMENTS!M:M,"Novo campo, mapeamento datalake fechado, com necessidade de criar parametrização")</f>
        <v>0</v>
      </c>
      <c r="L4" s="525">
        <f>K4/E4</f>
        <v>0</v>
      </c>
      <c r="M4" s="528">
        <f>COUNTIF(LEGALP_INSTRUMENTS!M:M,"Novo campo, mapeamento datalake fechado, sem necessidade de criar parametrização")</f>
        <v>0</v>
      </c>
      <c r="N4" s="525">
        <f>M4/E4</f>
        <v>0</v>
      </c>
      <c r="O4" s="528">
        <f>COUNTIF(LEGALP_INSTRUMENTS!M:M,"Novo campo, mapeamento datalake pendente, com necessidade de criar parametrização")</f>
        <v>1</v>
      </c>
      <c r="P4" s="525">
        <f>O4/E4</f>
        <v>0.14285714285714285</v>
      </c>
      <c r="Q4" s="528">
        <f>COUNTIF(LEGALP_INSTRUMENTS!M:M,"Novo campo, mapeamento datalake pendente, sem necessidade de criar parametrização")</f>
        <v>0</v>
      </c>
      <c r="R4" s="525">
        <f>Q4/E4</f>
        <v>0</v>
      </c>
      <c r="S4" s="528">
        <f>COUNTIF(LEGALP_INSTRUMENTS!M:M,"Por iniciar")</f>
        <v>0</v>
      </c>
      <c r="T4" s="525">
        <f>S4/E4</f>
        <v>0</v>
      </c>
      <c r="U4" s="507"/>
    </row>
    <row r="5" spans="2:23" x14ac:dyDescent="0.25">
      <c r="B5" s="630"/>
      <c r="C5" s="515" t="s">
        <v>1622</v>
      </c>
      <c r="D5" s="520" t="s">
        <v>1623</v>
      </c>
      <c r="E5" s="524">
        <f>COUNTA(LEGALP_COUNTERPARTIES!A3:A27)</f>
        <v>5</v>
      </c>
      <c r="F5" s="532">
        <f t="shared" ref="F5:F23" si="0">SUM(H5,J5,L5,N5,P5,R5,T5)</f>
        <v>1</v>
      </c>
      <c r="G5" s="529">
        <f>COUNTIF(LEGALP_COUNTERPARTIES!M:M,"Concluido")</f>
        <v>4</v>
      </c>
      <c r="H5" s="525">
        <f t="shared" ref="H5:H24" si="1">G5/E5</f>
        <v>0.8</v>
      </c>
      <c r="I5" s="528">
        <f>COUNTIF(LEGALP_COUNTERPARTIES!M:M,"Mapeamento com LT fechado, mas parametrização pendente")</f>
        <v>0</v>
      </c>
      <c r="J5" s="525">
        <f t="shared" ref="J5:J24" si="2">I5/E5</f>
        <v>0</v>
      </c>
      <c r="K5" s="528">
        <f>COUNTIF(LEGALP_COUNTERPARTIES!M:M,"Novo campo, mapeamento datalake fechado, com necessidade de criar parametrização")</f>
        <v>0</v>
      </c>
      <c r="L5" s="525">
        <f t="shared" ref="L5:L24" si="3">K5/E5</f>
        <v>0</v>
      </c>
      <c r="M5" s="528">
        <f>COUNTIF(LEGALP_COUNTERPARTIES!M:M,"Novo campo, mapeamento datalake fechado, sem necessidade de criar parametrização")</f>
        <v>0</v>
      </c>
      <c r="N5" s="525">
        <f t="shared" ref="N5:N24" si="4">M5/E5</f>
        <v>0</v>
      </c>
      <c r="O5" s="528">
        <f>COUNTIF(LEGALP_COUNTERPARTIES!M:M,"Novo campo, mapeamento datalake pendente, com necessidade de criar parametrização")</f>
        <v>0</v>
      </c>
      <c r="P5" s="525">
        <f t="shared" ref="P5:P24" si="5">O5/E5</f>
        <v>0</v>
      </c>
      <c r="Q5" s="528">
        <f>COUNTIF(LEGALP_COUNTERPARTIES!M:M,"Novo campo, mapeamento datalake pendente, sem necessidade de criar parametrização")</f>
        <v>0</v>
      </c>
      <c r="R5" s="525">
        <f t="shared" ref="R5:R24" si="6">Q5/E5</f>
        <v>0</v>
      </c>
      <c r="S5" s="528">
        <f>COUNTIF(LEGALP_COUNTERPARTIES!M:M,"Por iniciar")</f>
        <v>1</v>
      </c>
      <c r="T5" s="525">
        <f t="shared" ref="T5:T24" si="7">S5/E5</f>
        <v>0.2</v>
      </c>
      <c r="U5" s="507"/>
    </row>
    <row r="6" spans="2:23" s="508" customFormat="1" x14ac:dyDescent="0.25">
      <c r="B6" s="630"/>
      <c r="C6" s="515" t="s">
        <v>1624</v>
      </c>
      <c r="D6" s="520" t="s">
        <v>1625</v>
      </c>
      <c r="E6" s="524">
        <f>COUNTA(LEGALP_PROTECTIONS!A3:A18)</f>
        <v>8</v>
      </c>
      <c r="F6" s="532">
        <f t="shared" si="0"/>
        <v>1</v>
      </c>
      <c r="G6" s="529">
        <f>COUNTIF(LEGALP_PROTECTIONS!M:M,"Concluido")</f>
        <v>3</v>
      </c>
      <c r="H6" s="525">
        <f t="shared" si="1"/>
        <v>0.375</v>
      </c>
      <c r="I6" s="528">
        <f>COUNTIF(LEGALP_PROTECTIONS!M:M,"Mapeamento com LT fechado, mas parametrização pendente")</f>
        <v>1</v>
      </c>
      <c r="J6" s="525">
        <f t="shared" si="2"/>
        <v>0.125</v>
      </c>
      <c r="K6" s="528">
        <f>COUNTIF(LEGALP_PROTECTIONS!M:M,"Novo campo, mapeamento datalake fechado, com necessidade de criar parametrização")</f>
        <v>0</v>
      </c>
      <c r="L6" s="525">
        <f t="shared" si="3"/>
        <v>0</v>
      </c>
      <c r="M6" s="528">
        <f>COUNTIF(LEGALP_PROTECTIONS!M:M,"Novo campo, mapeamento datalake fechado, sem necessidade de criar parametrização")</f>
        <v>1</v>
      </c>
      <c r="N6" s="525">
        <f t="shared" si="4"/>
        <v>0.125</v>
      </c>
      <c r="O6" s="528">
        <f>COUNTIF(LEGALP_PROTECTIONS!M:M,"Novo campo, mapeamento datalake pendente, com necessidade de criar parametrização")</f>
        <v>1</v>
      </c>
      <c r="P6" s="525">
        <f t="shared" si="5"/>
        <v>0.125</v>
      </c>
      <c r="Q6" s="528">
        <f>COUNTIF(LEGALP_PROTECTIONS!M:M,"Novo campo, mapeamento datalake pendente, sem necessidade de criar parametrização")</f>
        <v>2</v>
      </c>
      <c r="R6" s="525">
        <f t="shared" si="6"/>
        <v>0.25</v>
      </c>
      <c r="S6" s="528">
        <f>COUNTIF(LEGALP_PROTECTIONS!M:M,"Por iniciar")</f>
        <v>0</v>
      </c>
      <c r="T6" s="525">
        <f t="shared" si="7"/>
        <v>0</v>
      </c>
      <c r="U6" s="507"/>
      <c r="V6" s="507"/>
      <c r="W6" s="507"/>
    </row>
    <row r="7" spans="2:23" x14ac:dyDescent="0.25">
      <c r="B7" s="630"/>
      <c r="C7" s="515" t="s">
        <v>1626</v>
      </c>
      <c r="D7" s="520" t="s">
        <v>1627</v>
      </c>
      <c r="E7" s="524">
        <f>COUNTA(LEGALP_INSTRUMENT_COUNTERPARTY!A3:A7)</f>
        <v>2</v>
      </c>
      <c r="F7" s="532">
        <f t="shared" si="0"/>
        <v>1</v>
      </c>
      <c r="G7" s="529">
        <f>COUNTIF(LEGALP_INSTRUMENT_COUNTERPARTY!M:M,"Concluido")</f>
        <v>2</v>
      </c>
      <c r="H7" s="525">
        <f t="shared" si="1"/>
        <v>1</v>
      </c>
      <c r="I7" s="528">
        <f>COUNTIF(LEGALP_INSTRUMENT_COUNTERPARTY!M:M,"Mapeamento com LT fechado, mas parametrização pendente")</f>
        <v>0</v>
      </c>
      <c r="J7" s="525">
        <f t="shared" si="2"/>
        <v>0</v>
      </c>
      <c r="K7" s="528">
        <f>COUNTIF(LEGALP_INSTRUMENT_COUNTERPARTY!M:M,"Novo campo, mapeamento datalake fechado, com necessidade de criar parametrização")</f>
        <v>0</v>
      </c>
      <c r="L7" s="525">
        <f t="shared" si="3"/>
        <v>0</v>
      </c>
      <c r="M7" s="528">
        <f>COUNTIF(LEGALP_INSTRUMENT_COUNTERPARTY!M:M,"Novo campo, mapeamento datalake fechado, sem necessidade de criar parametrização")</f>
        <v>0</v>
      </c>
      <c r="N7" s="525">
        <f t="shared" si="4"/>
        <v>0</v>
      </c>
      <c r="O7" s="528">
        <f>COUNTIF(LEGALP_INSTRUMENT_COUNTERPARTY!M:M,"Novo campo, mapeamento datalake pendente, com necessidade de criar parametrização")</f>
        <v>0</v>
      </c>
      <c r="P7" s="525">
        <f t="shared" si="5"/>
        <v>0</v>
      </c>
      <c r="Q7" s="528">
        <f>COUNTIF(LEGALP_INSTRUMENT_COUNTERPARTY!M:M,"Novo campo, mapeamento datalake pendente, sem necessidade de criar parametrização")</f>
        <v>0</v>
      </c>
      <c r="R7" s="525">
        <f t="shared" si="6"/>
        <v>0</v>
      </c>
      <c r="S7" s="528">
        <f>COUNTIF(LEGALP_INSTRUMENT_COUNTERPARTY!M:M,"Por iniciar")</f>
        <v>0</v>
      </c>
      <c r="T7" s="525">
        <f t="shared" si="7"/>
        <v>0</v>
      </c>
      <c r="U7" s="507"/>
    </row>
    <row r="8" spans="2:23" x14ac:dyDescent="0.25">
      <c r="B8" s="631"/>
      <c r="C8" s="515" t="s">
        <v>1628</v>
      </c>
      <c r="D8" s="520" t="s">
        <v>1629</v>
      </c>
      <c r="E8" s="524">
        <f>COUNTA(LEGALP_INSTRUMENT_PROTECTION!A3:A10)</f>
        <v>2</v>
      </c>
      <c r="F8" s="532">
        <f t="shared" si="0"/>
        <v>1</v>
      </c>
      <c r="G8" s="529">
        <f>COUNTIF(LEGALP_INSTRUMENT_PROTECTION!M:M,"Concluido")</f>
        <v>2</v>
      </c>
      <c r="H8" s="525">
        <f t="shared" si="1"/>
        <v>1</v>
      </c>
      <c r="I8" s="528">
        <f>COUNTIF(LEGALP_INSTRUMENT_PROTECTION!M:M,"Mapeamento com LT fechado, mas parametrização pendente")</f>
        <v>0</v>
      </c>
      <c r="J8" s="525">
        <f t="shared" si="2"/>
        <v>0</v>
      </c>
      <c r="K8" s="528">
        <f>COUNTIF(LEGALP_INSTRUMENT_PROTECTION!M:M,"Novo campo, mapeamento datalake fechado, com necessidade de criar parametrização")</f>
        <v>0</v>
      </c>
      <c r="L8" s="525">
        <f t="shared" si="3"/>
        <v>0</v>
      </c>
      <c r="M8" s="528">
        <f>COUNTIF(LEGALP_INSTRUMENT_PROTECTION!M:M,"Novo campo, mapeamento datalake fechado, sem necessidade de criar parametrização")</f>
        <v>0</v>
      </c>
      <c r="N8" s="525">
        <f t="shared" si="4"/>
        <v>0</v>
      </c>
      <c r="O8" s="528">
        <f>COUNTIF(LEGALP_INSTRUMENT_PROTECTION!M:M,"Novo campo, mapeamento datalake pendente, com necessidade de criar parametrização")</f>
        <v>0</v>
      </c>
      <c r="P8" s="525">
        <f t="shared" si="5"/>
        <v>0</v>
      </c>
      <c r="Q8" s="528">
        <f>COUNTIF(LEGALP_INSTRUMENT_PROTECTION!M:M,"Novo campo, mapeamento datalake pendente, sem necessidade de criar parametrização")</f>
        <v>0</v>
      </c>
      <c r="R8" s="525">
        <f t="shared" si="6"/>
        <v>0</v>
      </c>
      <c r="S8" s="528">
        <f>COUNTIF(LEGALP_INSTRUMENT_PROTECTION!M:M,"Por iniciar")</f>
        <v>0</v>
      </c>
      <c r="T8" s="525">
        <f t="shared" si="7"/>
        <v>0</v>
      </c>
      <c r="U8" s="507"/>
    </row>
    <row r="9" spans="2:23" x14ac:dyDescent="0.25">
      <c r="B9" s="629" t="s">
        <v>1649</v>
      </c>
      <c r="C9" s="515" t="s">
        <v>1620</v>
      </c>
      <c r="D9" s="520" t="s">
        <v>1630</v>
      </c>
      <c r="E9" s="524">
        <f>COUNTA(NATURALP_INSTRUMENTS!A3:A142)</f>
        <v>53</v>
      </c>
      <c r="F9" s="532">
        <f t="shared" si="0"/>
        <v>1</v>
      </c>
      <c r="G9" s="529">
        <f>COUNTIF(NATURALP_INSTRUMENTS!M:M,"Concluido")</f>
        <v>32</v>
      </c>
      <c r="H9" s="525">
        <f t="shared" si="1"/>
        <v>0.60377358490566035</v>
      </c>
      <c r="I9" s="528">
        <f>COUNTIF(NATURALP_INSTRUMENTS!M:M,"Mapeamento com LT fechado, mas parametrização pendente")</f>
        <v>15</v>
      </c>
      <c r="J9" s="525">
        <f t="shared" si="2"/>
        <v>0.28301886792452829</v>
      </c>
      <c r="K9" s="528">
        <f>COUNTIF(NATURALP_INSTRUMENTS!M:M,"Novo campo, mapeamento datalake fechado, com necessidade de criar parametrização")</f>
        <v>1</v>
      </c>
      <c r="L9" s="525">
        <f t="shared" si="3"/>
        <v>1.8867924528301886E-2</v>
      </c>
      <c r="M9" s="528">
        <f>COUNTIF(NATURALP_INSTRUMENTS!M:M,"Novo campo, mapeamento datalake fechado, sem necessidade de criar parametrização")</f>
        <v>0</v>
      </c>
      <c r="N9" s="525">
        <f t="shared" si="4"/>
        <v>0</v>
      </c>
      <c r="O9" s="528">
        <f>COUNTIF(NATURALP_INSTRUMENTS!M:M,"Novo campo, mapeamento datalake pendente, com necessidade de criar parametrização")</f>
        <v>3</v>
      </c>
      <c r="P9" s="525">
        <f t="shared" si="5"/>
        <v>5.6603773584905662E-2</v>
      </c>
      <c r="Q9" s="528">
        <f>COUNTIF(NATURALP_INSTRUMENTS!M:M,"Novo campo, mapeamento datalake pendente, sem necessidade de criar parametrização")</f>
        <v>2</v>
      </c>
      <c r="R9" s="525">
        <f t="shared" si="6"/>
        <v>3.7735849056603772E-2</v>
      </c>
      <c r="S9" s="528">
        <f>COUNTIF(NATURALP_INSTRUMENTS!M:M,"Por iniciar")</f>
        <v>0</v>
      </c>
      <c r="T9" s="525">
        <f t="shared" si="7"/>
        <v>0</v>
      </c>
      <c r="U9" s="507"/>
    </row>
    <row r="10" spans="2:23" x14ac:dyDescent="0.25">
      <c r="B10" s="630"/>
      <c r="C10" s="515" t="s">
        <v>1622</v>
      </c>
      <c r="D10" s="520" t="s">
        <v>1631</v>
      </c>
      <c r="E10" s="524">
        <f>COUNTA(NATURALP_COUNTERPARTIES!A3:A29)</f>
        <v>8</v>
      </c>
      <c r="F10" s="532">
        <f t="shared" si="0"/>
        <v>1</v>
      </c>
      <c r="G10" s="529">
        <f>COUNTIF(NATURALP_COUNTERPARTIES!M:M,"Concluido")</f>
        <v>6</v>
      </c>
      <c r="H10" s="525">
        <f t="shared" si="1"/>
        <v>0.75</v>
      </c>
      <c r="I10" s="528">
        <f>COUNTIF(NATURALP_COUNTERPARTIES!M:M,"Mapeamento com LT fechado, mas parametrização pendente")</f>
        <v>1</v>
      </c>
      <c r="J10" s="525">
        <f t="shared" si="2"/>
        <v>0.125</v>
      </c>
      <c r="K10" s="528">
        <f>COUNTIF(NATURALP_COUNTERPARTIES!M:M,"Novo campo, mapeamento datalake fechado, com necessidade de criar parametrização")</f>
        <v>0</v>
      </c>
      <c r="L10" s="525">
        <f t="shared" si="3"/>
        <v>0</v>
      </c>
      <c r="M10" s="528">
        <f>COUNTIF(NATURALP_COUNTERPARTIES!M:M,"Novo campo, mapeamento datalake fechado, sem necessidade de criar parametrização")</f>
        <v>0</v>
      </c>
      <c r="N10" s="525">
        <f t="shared" si="4"/>
        <v>0</v>
      </c>
      <c r="O10" s="528">
        <f>COUNTIF(NATURALP_COUNTERPARTIES!M:M,"Novo campo, mapeamento datalake pendente, com necessidade de criar parametrização")</f>
        <v>0</v>
      </c>
      <c r="P10" s="525">
        <f t="shared" si="5"/>
        <v>0</v>
      </c>
      <c r="Q10" s="528">
        <f>COUNTIF(NATURALP_COUNTERPARTIES!M:M,"Novo campo, mapeamento datalake pendente, sem necessidade de criar parametrização")</f>
        <v>0</v>
      </c>
      <c r="R10" s="525">
        <f t="shared" si="6"/>
        <v>0</v>
      </c>
      <c r="S10" s="528">
        <f>COUNTIF(NATURALP_COUNTERPARTIES!M:M,"Por iniciar")</f>
        <v>1</v>
      </c>
      <c r="T10" s="525">
        <f t="shared" si="7"/>
        <v>0.125</v>
      </c>
      <c r="U10" s="507"/>
    </row>
    <row r="11" spans="2:23" x14ac:dyDescent="0.25">
      <c r="B11" s="630"/>
      <c r="C11" s="515" t="s">
        <v>1624</v>
      </c>
      <c r="D11" s="520" t="s">
        <v>1632</v>
      </c>
      <c r="E11" s="524">
        <f>COUNTA(NATURALP_PROTECTIONS!A3:A27)</f>
        <v>17</v>
      </c>
      <c r="F11" s="532">
        <f t="shared" si="0"/>
        <v>1</v>
      </c>
      <c r="G11" s="529">
        <f>COUNTIF(NATURALP_PROTECTIONS!M:M,"Concluido")</f>
        <v>11</v>
      </c>
      <c r="H11" s="525">
        <f t="shared" si="1"/>
        <v>0.6470588235294118</v>
      </c>
      <c r="I11" s="528">
        <f>COUNTIF(NATURALP_PROTECTIONS!M:M,"Mapeamento com LT fechado, mas parametrização pendente")</f>
        <v>3</v>
      </c>
      <c r="J11" s="525">
        <f t="shared" si="2"/>
        <v>0.17647058823529413</v>
      </c>
      <c r="K11" s="528">
        <f>COUNTIF(NATURALP_PROTECTIONS!M:M,"Novo campo, mapeamento datalake fechado, com necessidade de criar parametrização")</f>
        <v>0</v>
      </c>
      <c r="L11" s="525">
        <f t="shared" si="3"/>
        <v>0</v>
      </c>
      <c r="M11" s="528">
        <f>COUNTIF(NATURALP_PROTECTIONS!M:M,"Novo campo, mapeamento datalake fechado, sem necessidade de criar parametrização")</f>
        <v>1</v>
      </c>
      <c r="N11" s="525">
        <f t="shared" si="4"/>
        <v>5.8823529411764705E-2</v>
      </c>
      <c r="O11" s="528">
        <f>COUNTIF(NATURALP_PROTECTIONS!M:M,"Novo campo, mapeamento datalake pendente, com necessidade de criar parametrização")</f>
        <v>0</v>
      </c>
      <c r="P11" s="525">
        <f t="shared" si="5"/>
        <v>0</v>
      </c>
      <c r="Q11" s="528">
        <f>COUNTIF(NATURALP_PROTECTIONS!M:M,"Novo campo, mapeamento datalake pendente, sem necessidade de criar parametrização")</f>
        <v>2</v>
      </c>
      <c r="R11" s="525">
        <f t="shared" si="6"/>
        <v>0.11764705882352941</v>
      </c>
      <c r="S11" s="528">
        <f>COUNTIF(NATURALP_PROTECTIONS!M:M,"Por iniciar")</f>
        <v>0</v>
      </c>
      <c r="T11" s="525">
        <f t="shared" si="7"/>
        <v>0</v>
      </c>
      <c r="U11" s="507"/>
    </row>
    <row r="12" spans="2:23" x14ac:dyDescent="0.25">
      <c r="B12" s="630"/>
      <c r="C12" s="515" t="s">
        <v>1626</v>
      </c>
      <c r="D12" s="520" t="s">
        <v>1633</v>
      </c>
      <c r="E12" s="524">
        <f>COUNTA(NATURALP_INSTRUMENT_COUNTERPART!A3:A9)</f>
        <v>4</v>
      </c>
      <c r="F12" s="532">
        <f t="shared" si="0"/>
        <v>1</v>
      </c>
      <c r="G12" s="529">
        <f>COUNTIF(NATURALP_INSTRUMENT_COUNTERPART!M:M,"Concluido")</f>
        <v>3</v>
      </c>
      <c r="H12" s="525">
        <f t="shared" si="1"/>
        <v>0.75</v>
      </c>
      <c r="I12" s="528">
        <f>COUNTIF(NATURALP_INSTRUMENT_COUNTERPART!M:M,"Mapeamento com LT fechado, mas parametrização pendente")</f>
        <v>0</v>
      </c>
      <c r="J12" s="525">
        <f t="shared" si="2"/>
        <v>0</v>
      </c>
      <c r="K12" s="528">
        <f>COUNTIF(NATURALP_INSTRUMENT_COUNTERPART!M:M,"Novo campo, mapeamento datalake fechado, com necessidade de criar parametrização")</f>
        <v>0</v>
      </c>
      <c r="L12" s="525">
        <f t="shared" si="3"/>
        <v>0</v>
      </c>
      <c r="M12" s="528">
        <f>COUNTIF(NATURALP_INSTRUMENT_COUNTERPART!M:M,"Novo campo, mapeamento datalake fechado, sem necessidade de criar parametrização")</f>
        <v>0</v>
      </c>
      <c r="N12" s="525">
        <f t="shared" si="4"/>
        <v>0</v>
      </c>
      <c r="O12" s="528">
        <f>COUNTIF(NATURALP_INSTRUMENT_COUNTERPART!M:M,"Novo campo, mapeamento datalake pendente, com necessidade de criar parametrização")</f>
        <v>1</v>
      </c>
      <c r="P12" s="525">
        <f t="shared" si="5"/>
        <v>0.25</v>
      </c>
      <c r="Q12" s="528">
        <f>COUNTIF(NATURALP_INSTRUMENT_COUNTERPART!M:M,"Novo campo, mapeamento datalake pendente, sem necessidade de criar parametrização")</f>
        <v>0</v>
      </c>
      <c r="R12" s="525">
        <f t="shared" si="6"/>
        <v>0</v>
      </c>
      <c r="S12" s="528">
        <f>COUNTIF(NATURALP_INSTRUMENT_COUNTERPART!M:M,"Por iniciar")</f>
        <v>0</v>
      </c>
      <c r="T12" s="525">
        <f t="shared" si="7"/>
        <v>0</v>
      </c>
      <c r="U12" s="507"/>
    </row>
    <row r="13" spans="2:23" x14ac:dyDescent="0.25">
      <c r="B13" s="631"/>
      <c r="C13" s="515" t="s">
        <v>1628</v>
      </c>
      <c r="D13" s="520" t="s">
        <v>1634</v>
      </c>
      <c r="E13" s="524">
        <f>COUNTA(NATURALP_INSTRUMENT_PROTECTION!A3:A12)</f>
        <v>4</v>
      </c>
      <c r="F13" s="532">
        <f t="shared" si="0"/>
        <v>1</v>
      </c>
      <c r="G13" s="529">
        <f>COUNTIF(NATURALP_INSTRUMENT_PROTECTION!M:M,"Concluido")</f>
        <v>4</v>
      </c>
      <c r="H13" s="525">
        <f t="shared" si="1"/>
        <v>1</v>
      </c>
      <c r="I13" s="528">
        <f>COUNTIF(NATURALP_INSTRUMENT_PROTECTION!M:M,"Mapeamento com LT fechado, mas parametrização pendente")</f>
        <v>0</v>
      </c>
      <c r="J13" s="525">
        <f t="shared" si="2"/>
        <v>0</v>
      </c>
      <c r="K13" s="528">
        <f>COUNTIF(NATURALP_INSTRUMENT_PROTECTION!M:M,"Novo campo, mapeamento datalake fechado, com necessidade de criar parametrização")</f>
        <v>0</v>
      </c>
      <c r="L13" s="525">
        <f t="shared" si="3"/>
        <v>0</v>
      </c>
      <c r="M13" s="528">
        <f>COUNTIF(NATURALP_INSTRUMENT_PROTECTION!M:M,"Novo campo, mapeamento datalake fechado, sem necessidade de criar parametrização")</f>
        <v>0</v>
      </c>
      <c r="N13" s="525">
        <f t="shared" si="4"/>
        <v>0</v>
      </c>
      <c r="O13" s="528">
        <f>COUNTIF(NATURALP_INSTRUMENT_PROTECTION!M:M,"Novo campo, mapeamento datalake pendente, com necessidade de criar parametrização")</f>
        <v>0</v>
      </c>
      <c r="P13" s="525">
        <f t="shared" si="5"/>
        <v>0</v>
      </c>
      <c r="Q13" s="528">
        <f>COUNTIF(NATURALP_INSTRUMENT_PROTECTION!M:M,"Novo campo, mapeamento datalake pendente, sem necessidade de criar parametrização")</f>
        <v>0</v>
      </c>
      <c r="R13" s="525">
        <f t="shared" si="6"/>
        <v>0</v>
      </c>
      <c r="S13" s="528">
        <f>COUNTIF(NATURALP_INSTRUMENT_PROTECTION!M:M,"Por iniciar")</f>
        <v>0</v>
      </c>
      <c r="T13" s="525">
        <f t="shared" si="7"/>
        <v>0</v>
      </c>
      <c r="U13" s="507"/>
    </row>
    <row r="14" spans="2:23" x14ac:dyDescent="0.25">
      <c r="B14" s="629" t="s">
        <v>1650</v>
      </c>
      <c r="C14" s="515" t="s">
        <v>1620</v>
      </c>
      <c r="D14" s="520" t="s">
        <v>1635</v>
      </c>
      <c r="E14" s="524">
        <f>COUNTA(OFFBAL_INSTRUMENTS!A3:A67)</f>
        <v>27</v>
      </c>
      <c r="F14" s="532">
        <f t="shared" si="0"/>
        <v>1</v>
      </c>
      <c r="G14" s="529">
        <f>COUNTIF(OFFBAL_INSTRUMENTS!M:M,"Concluido")</f>
        <v>18</v>
      </c>
      <c r="H14" s="525">
        <f t="shared" si="1"/>
        <v>0.66666666666666663</v>
      </c>
      <c r="I14" s="528">
        <f>COUNTIF(OFFBAL_INSTRUMENTS!M:M,"Mapeamento com LT fechado, mas parametrização pendente")</f>
        <v>6</v>
      </c>
      <c r="J14" s="525">
        <f t="shared" si="2"/>
        <v>0.22222222222222221</v>
      </c>
      <c r="K14" s="528">
        <f>COUNTIF(OFFBAL_INSTRUMENTS!M:M,"Novo campo, mapeamento datalake fechado, com necessidade de criar parametrização")</f>
        <v>0</v>
      </c>
      <c r="L14" s="525">
        <f t="shared" si="3"/>
        <v>0</v>
      </c>
      <c r="M14" s="528">
        <f>COUNTIF(OFFBAL_INSTRUMENTS!M:M,"Novo campo, mapeamento datalake fechado, sem necessidade de criar parametrização")</f>
        <v>0</v>
      </c>
      <c r="N14" s="525">
        <f t="shared" si="4"/>
        <v>0</v>
      </c>
      <c r="O14" s="528">
        <f>COUNTIF(OFFBAL_INSTRUMENTS!M:M,"Novo campo, mapeamento datalake pendente, com necessidade de criar parametrização")</f>
        <v>2</v>
      </c>
      <c r="P14" s="525">
        <f t="shared" si="5"/>
        <v>7.407407407407407E-2</v>
      </c>
      <c r="Q14" s="528">
        <f>COUNTIF(OFFBAL_INSTRUMENTS!M:M,"Novo campo, mapeamento datalake pendente, sem necessidade de criar parametrização")</f>
        <v>1</v>
      </c>
      <c r="R14" s="525">
        <f t="shared" si="6"/>
        <v>3.7037037037037035E-2</v>
      </c>
      <c r="S14" s="528">
        <f>COUNTIF(OFFBAL_INSTRUMENTS!M:M,"Por iniciar")</f>
        <v>0</v>
      </c>
      <c r="T14" s="525">
        <f t="shared" si="7"/>
        <v>0</v>
      </c>
      <c r="U14" s="507"/>
    </row>
    <row r="15" spans="2:23" x14ac:dyDescent="0.25">
      <c r="B15" s="630"/>
      <c r="C15" s="515" t="s">
        <v>1622</v>
      </c>
      <c r="D15" s="520" t="s">
        <v>1636</v>
      </c>
      <c r="E15" s="524">
        <f>COUNTA(OFFBAL_COUNTERPARTIES!A3:A59)</f>
        <v>30</v>
      </c>
      <c r="F15" s="532">
        <f t="shared" si="0"/>
        <v>0.99999999999999989</v>
      </c>
      <c r="G15" s="529">
        <f>COUNTIF(OFFBAL_COUNTERPARTIES!M:M,"Concluido")</f>
        <v>12</v>
      </c>
      <c r="H15" s="525">
        <f t="shared" si="1"/>
        <v>0.4</v>
      </c>
      <c r="I15" s="528">
        <f>COUNTIF(OFFBAL_COUNTERPARTIES!M:M,"Mapeamento com LT fechado, mas parametrização pendente")</f>
        <v>5</v>
      </c>
      <c r="J15" s="525">
        <f t="shared" si="2"/>
        <v>0.16666666666666666</v>
      </c>
      <c r="K15" s="528">
        <f>COUNTIF(OFFBAL_COUNTERPARTIES!M:M,"Novo campo, mapeamento datalake fechado, com necessidade de criar parametrização")</f>
        <v>0</v>
      </c>
      <c r="L15" s="525">
        <f t="shared" si="3"/>
        <v>0</v>
      </c>
      <c r="M15" s="528">
        <f>COUNTIF(OFFBAL_COUNTERPARTIES!M:M,"Novo campo, mapeamento datalake fechado, sem necessidade de criar parametrização")</f>
        <v>0</v>
      </c>
      <c r="N15" s="525">
        <f t="shared" si="4"/>
        <v>0</v>
      </c>
      <c r="O15" s="528">
        <f>COUNTIF(OFFBAL_COUNTERPARTIES!M:M,"Novo campo, mapeamento datalake pendente, com necessidade de criar parametrização")</f>
        <v>2</v>
      </c>
      <c r="P15" s="525">
        <f t="shared" si="5"/>
        <v>6.6666666666666666E-2</v>
      </c>
      <c r="Q15" s="528">
        <f>COUNTIF(OFFBAL_COUNTERPARTIES!M:M,"Novo campo, mapeamento datalake pendente, sem necessidade de criar parametrização")</f>
        <v>10</v>
      </c>
      <c r="R15" s="525">
        <f t="shared" si="6"/>
        <v>0.33333333333333331</v>
      </c>
      <c r="S15" s="528">
        <f>COUNTIF(OFFBAL_COUNTERPARTIES!M:M,"Por iniciar")</f>
        <v>1</v>
      </c>
      <c r="T15" s="525">
        <f t="shared" si="7"/>
        <v>3.3333333333333333E-2</v>
      </c>
      <c r="U15" s="507"/>
    </row>
    <row r="16" spans="2:23" x14ac:dyDescent="0.25">
      <c r="B16" s="630"/>
      <c r="C16" s="515" t="s">
        <v>1624</v>
      </c>
      <c r="D16" s="520" t="s">
        <v>1637</v>
      </c>
      <c r="E16" s="524">
        <f>COUNTA(OFFBAL_PROTECTIONS!A3:A27)</f>
        <v>17</v>
      </c>
      <c r="F16" s="532">
        <f t="shared" si="0"/>
        <v>1</v>
      </c>
      <c r="G16" s="529">
        <f>COUNTIF(OFFBAL_PROTECTIONS!M:M,"Concluido")</f>
        <v>11</v>
      </c>
      <c r="H16" s="525">
        <f t="shared" si="1"/>
        <v>0.6470588235294118</v>
      </c>
      <c r="I16" s="528">
        <f>COUNTIF(OFFBAL_PROTECTIONS!M:M,"Mapeamento com LT fechado, mas parametrização pendente")</f>
        <v>3</v>
      </c>
      <c r="J16" s="525">
        <f t="shared" si="2"/>
        <v>0.17647058823529413</v>
      </c>
      <c r="K16" s="528">
        <f>COUNTIF(OFFBAL_PROTECTIONS!M:M,"Novo campo, mapeamento datalake fechado, com necessidade de criar parametrização")</f>
        <v>0</v>
      </c>
      <c r="L16" s="525">
        <f t="shared" si="3"/>
        <v>0</v>
      </c>
      <c r="M16" s="528">
        <f>COUNTIF(OFFBAL_PROTECTIONS!M:M,"Novo campo, mapeamento datalake fechado, sem necessidade de criar parametrização")</f>
        <v>1</v>
      </c>
      <c r="N16" s="525">
        <f t="shared" si="4"/>
        <v>5.8823529411764705E-2</v>
      </c>
      <c r="O16" s="528">
        <f>COUNTIF(OFFBAL_PROTECTIONS!M:M,"Novo campo, mapeamento datalake pendente, com necessidade de criar parametrização")</f>
        <v>0</v>
      </c>
      <c r="P16" s="525">
        <f t="shared" si="5"/>
        <v>0</v>
      </c>
      <c r="Q16" s="528">
        <f>COUNTIF(OFFBAL_PROTECTIONS!M:M,"Novo campo, mapeamento datalake pendente, sem necessidade de criar parametrização")</f>
        <v>2</v>
      </c>
      <c r="R16" s="525">
        <f t="shared" si="6"/>
        <v>0.11764705882352941</v>
      </c>
      <c r="S16" s="528">
        <f>COUNTIF(OFFBAL_PROTECTIONS!M:M,"Por iniciar")</f>
        <v>0</v>
      </c>
      <c r="T16" s="525">
        <f t="shared" si="7"/>
        <v>0</v>
      </c>
      <c r="U16" s="507"/>
    </row>
    <row r="17" spans="2:21" x14ac:dyDescent="0.25">
      <c r="B17" s="630"/>
      <c r="C17" s="515" t="s">
        <v>1626</v>
      </c>
      <c r="D17" s="520" t="s">
        <v>1638</v>
      </c>
      <c r="E17" s="524">
        <f>COUNTA(OFFBAL_INSTRUMENT_COUNTERPARTY!A3:A8)</f>
        <v>3</v>
      </c>
      <c r="F17" s="532">
        <f t="shared" si="0"/>
        <v>1</v>
      </c>
      <c r="G17" s="529">
        <f>COUNTIF(OFFBAL_INSTRUMENT_COUNTERPARTY!M:M,"Concluido")</f>
        <v>3</v>
      </c>
      <c r="H17" s="525">
        <f t="shared" si="1"/>
        <v>1</v>
      </c>
      <c r="I17" s="528">
        <f>COUNTIF(OFFBAL_INSTRUMENT_COUNTERPARTY!M:M,"Mapeamento com LT fechado, mas parametrização pendente")</f>
        <v>0</v>
      </c>
      <c r="J17" s="525">
        <f t="shared" si="2"/>
        <v>0</v>
      </c>
      <c r="K17" s="528">
        <f>COUNTIF(OFFBAL_INSTRUMENT_COUNTERPARTY!M:M,"Novo campo, mapeamento datalake fechado, com necessidade de criar parametrização")</f>
        <v>0</v>
      </c>
      <c r="L17" s="525">
        <f t="shared" si="3"/>
        <v>0</v>
      </c>
      <c r="M17" s="528">
        <f>COUNTIF(OFFBAL_INSTRUMENT_COUNTERPARTY!M:M,"Novo campo, mapeamento datalake fechado, sem necessidade de criar parametrização")</f>
        <v>0</v>
      </c>
      <c r="N17" s="525">
        <f t="shared" si="4"/>
        <v>0</v>
      </c>
      <c r="O17" s="528">
        <f>COUNTIF(OFFBAL_INSTRUMENT_COUNTERPARTY!M:M,"Novo campo, mapeamento datalake pendente, com necessidade de criar parametrização")</f>
        <v>0</v>
      </c>
      <c r="P17" s="525">
        <f t="shared" si="5"/>
        <v>0</v>
      </c>
      <c r="Q17" s="528">
        <f>COUNTIF(OFFBAL_INSTRUMENT_COUNTERPARTY!M:M,"Novo campo, mapeamento datalake pendente, sem necessidade de criar parametrização")</f>
        <v>0</v>
      </c>
      <c r="R17" s="525">
        <f t="shared" si="6"/>
        <v>0</v>
      </c>
      <c r="S17" s="528">
        <f>COUNTIF(OFFBAL_INSTRUMENT_COUNTERPARTY!M:M,"Por iniciar")</f>
        <v>0</v>
      </c>
      <c r="T17" s="525">
        <f t="shared" si="7"/>
        <v>0</v>
      </c>
      <c r="U17" s="507"/>
    </row>
    <row r="18" spans="2:21" x14ac:dyDescent="0.25">
      <c r="B18" s="631"/>
      <c r="C18" s="515" t="s">
        <v>1628</v>
      </c>
      <c r="D18" s="520" t="s">
        <v>1639</v>
      </c>
      <c r="E18" s="524">
        <f>COUNTA(OFFBAL_INSTRUMENT_PROTECTION!A3:A12)</f>
        <v>4</v>
      </c>
      <c r="F18" s="532">
        <f t="shared" si="0"/>
        <v>1</v>
      </c>
      <c r="G18" s="529">
        <f>COUNTIF(OFFBAL_INSTRUMENT_PROTECTION!M:M,"Concluido")</f>
        <v>4</v>
      </c>
      <c r="H18" s="525">
        <f t="shared" si="1"/>
        <v>1</v>
      </c>
      <c r="I18" s="528">
        <f>COUNTIF(OFFBAL_INSTRUMENT_PROTECTION!M:M,"Mapeamento com LT fechado, mas parametrização pendente")</f>
        <v>0</v>
      </c>
      <c r="J18" s="525">
        <f t="shared" si="2"/>
        <v>0</v>
      </c>
      <c r="K18" s="528">
        <f>COUNTIF(OFFBAL_INSTRUMENT_PROTECTION!M:M,"Novo campo, mapeamento datalake fechado, com necessidade de criar parametrização")</f>
        <v>0</v>
      </c>
      <c r="L18" s="525">
        <f t="shared" si="3"/>
        <v>0</v>
      </c>
      <c r="M18" s="528">
        <f>COUNTIF(OFFBAL_INSTRUMENT_PROTECTION!M:M,"Novo campo, mapeamento datalake fechado, sem necessidade de criar parametrização")</f>
        <v>0</v>
      </c>
      <c r="N18" s="525">
        <f t="shared" si="4"/>
        <v>0</v>
      </c>
      <c r="O18" s="528">
        <f>COUNTIF(OFFBAL_INSTRUMENT_PROTECTION!M:M,"Novo campo, mapeamento datalake pendente, com necessidade de criar parametrização")</f>
        <v>0</v>
      </c>
      <c r="P18" s="525">
        <f t="shared" si="5"/>
        <v>0</v>
      </c>
      <c r="Q18" s="528">
        <f>COUNTIF(OFFBAL_INSTRUMENT_PROTECTION!M:M,"Novo campo, mapeamento datalake pendente, sem necessidade de criar parametrização")</f>
        <v>0</v>
      </c>
      <c r="R18" s="525">
        <f t="shared" si="6"/>
        <v>0</v>
      </c>
      <c r="S18" s="528">
        <f>COUNTIF(OFFBAL_INSTRUMENT_PROTECTION!M:M,"Por iniciar")</f>
        <v>0</v>
      </c>
      <c r="T18" s="525">
        <f t="shared" si="7"/>
        <v>0</v>
      </c>
      <c r="U18" s="507"/>
    </row>
    <row r="19" spans="2:21" x14ac:dyDescent="0.25">
      <c r="B19" s="516" t="s">
        <v>1651</v>
      </c>
      <c r="C19" s="515" t="s">
        <v>739</v>
      </c>
      <c r="D19" s="520" t="s">
        <v>1640</v>
      </c>
      <c r="E19" s="524">
        <f>COUNTA(DERIVATIVES!A3:A69)</f>
        <v>29</v>
      </c>
      <c r="F19" s="532">
        <f t="shared" si="0"/>
        <v>1</v>
      </c>
      <c r="G19" s="529">
        <f>COUNTIF(DERIVATIVES!M:M,"Concluido")</f>
        <v>0</v>
      </c>
      <c r="H19" s="525">
        <f t="shared" si="1"/>
        <v>0</v>
      </c>
      <c r="I19" s="528">
        <f>COUNTIF(DERIVATIVES!M:M,"Mapeamento com LT fechado, mas parametrização pendente")</f>
        <v>0</v>
      </c>
      <c r="J19" s="525">
        <f t="shared" si="2"/>
        <v>0</v>
      </c>
      <c r="K19" s="528">
        <f>COUNTIF(DERIVATIVES!M:M,"Novo campo, mapeamento datalake fechado, com necessidade de criar parametrização")</f>
        <v>0</v>
      </c>
      <c r="L19" s="525">
        <f t="shared" si="3"/>
        <v>0</v>
      </c>
      <c r="M19" s="528">
        <f>COUNTIF(DERIVATIVES!M:M,"Novo campo, mapeamento datalake fechado, sem necessidade de criar parametrização")</f>
        <v>0</v>
      </c>
      <c r="N19" s="525">
        <f t="shared" si="4"/>
        <v>0</v>
      </c>
      <c r="O19" s="528">
        <f>COUNTIF(DERIVATIVES!M:M,"Novo campo, mapeamento datalake pendente, com necessidade de criar parametrização")</f>
        <v>0</v>
      </c>
      <c r="P19" s="525">
        <f t="shared" si="5"/>
        <v>0</v>
      </c>
      <c r="Q19" s="528">
        <f>COUNTIF(DERIVATIVES!M:M,"Novo campo, mapeamento datalake pendente, sem necessidade de criar parametrização")</f>
        <v>0</v>
      </c>
      <c r="R19" s="525">
        <f t="shared" si="6"/>
        <v>0</v>
      </c>
      <c r="S19" s="528">
        <f>COUNTIF(DERIVATIVES!M:M,"Por iniciar")</f>
        <v>29</v>
      </c>
      <c r="T19" s="525">
        <f t="shared" si="7"/>
        <v>1</v>
      </c>
      <c r="U19" s="507"/>
    </row>
    <row r="20" spans="2:21" x14ac:dyDescent="0.25">
      <c r="B20" s="516" t="s">
        <v>1652</v>
      </c>
      <c r="C20" s="515" t="s">
        <v>739</v>
      </c>
      <c r="D20" s="520" t="s">
        <v>1641</v>
      </c>
      <c r="E20" s="524">
        <f>COUNTA(DEBT_SECURITIES!A3:A77)</f>
        <v>40</v>
      </c>
      <c r="F20" s="532">
        <f t="shared" si="0"/>
        <v>1</v>
      </c>
      <c r="G20" s="529">
        <f>COUNTIF(DEBT_SECURITIES!M:M,"Concluido")</f>
        <v>14</v>
      </c>
      <c r="H20" s="525">
        <f t="shared" si="1"/>
        <v>0.35</v>
      </c>
      <c r="I20" s="528">
        <f>COUNTIF(DEBT_SECURITIES!M:M,"Mapeamento com LT fechado, mas parametrização pendente")</f>
        <v>25</v>
      </c>
      <c r="J20" s="525">
        <f t="shared" si="2"/>
        <v>0.625</v>
      </c>
      <c r="K20" s="528">
        <f>COUNTIF(DEBT_SECURITIES!M:M,"Novo campo, mapeamento datalake fechado, com necessidade de criar parametrização")</f>
        <v>0</v>
      </c>
      <c r="L20" s="525">
        <f t="shared" si="3"/>
        <v>0</v>
      </c>
      <c r="M20" s="528">
        <f>COUNTIF(DEBT_SECURITIES!M:M,"Novo campo, mapeamento datalake fechado, sem necessidade de criar parametrização")</f>
        <v>0</v>
      </c>
      <c r="N20" s="525">
        <f t="shared" si="4"/>
        <v>0</v>
      </c>
      <c r="O20" s="528">
        <f>COUNTIF(DEBT_SECURITIES!M:M,"Novo campo, mapeamento datalake pendente, com necessidade de criar parametrização")</f>
        <v>0</v>
      </c>
      <c r="P20" s="525">
        <f t="shared" si="5"/>
        <v>0</v>
      </c>
      <c r="Q20" s="528">
        <f>COUNTIF(DEBT_SECURITIES!M:M,"Novo campo, mapeamento datalake pendente, sem necessidade de criar parametrização")</f>
        <v>0</v>
      </c>
      <c r="R20" s="525">
        <f t="shared" si="6"/>
        <v>0</v>
      </c>
      <c r="S20" s="528">
        <f>COUNTIF(DEBT_SECURITIES!M:M,"Por iniciar")</f>
        <v>1</v>
      </c>
      <c r="T20" s="525">
        <f t="shared" si="7"/>
        <v>2.5000000000000001E-2</v>
      </c>
      <c r="U20" s="507"/>
    </row>
    <row r="21" spans="2:21" x14ac:dyDescent="0.25">
      <c r="B21" s="516" t="s">
        <v>1653</v>
      </c>
      <c r="C21" s="515" t="s">
        <v>739</v>
      </c>
      <c r="D21" s="520" t="s">
        <v>1642</v>
      </c>
      <c r="E21" s="524">
        <f>COUNTA(EQUITY_INSTRUMENTS!A3:A35)</f>
        <v>18</v>
      </c>
      <c r="F21" s="532">
        <f t="shared" si="0"/>
        <v>1</v>
      </c>
      <c r="G21" s="529">
        <f>COUNTIF(EQUITY_INSTRUMENTS!M:M,"Concluido")</f>
        <v>0</v>
      </c>
      <c r="H21" s="525">
        <f t="shared" si="1"/>
        <v>0</v>
      </c>
      <c r="I21" s="528">
        <f>COUNTIF(EQUITY_INSTRUMENTS!M:M,"Mapeamento com LT fechado, mas parametrização pendente")</f>
        <v>0</v>
      </c>
      <c r="J21" s="525">
        <f t="shared" si="2"/>
        <v>0</v>
      </c>
      <c r="K21" s="528">
        <f>COUNTIF(EQUITY_INSTRUMENTS!M:M,"Novo campo, mapeamento datalake fechado, com necessidade de criar parametrização")</f>
        <v>0</v>
      </c>
      <c r="L21" s="525">
        <f t="shared" si="3"/>
        <v>0</v>
      </c>
      <c r="M21" s="528">
        <f>COUNTIF(EQUITY_INSTRUMENTS!M:M,"Novo campo, mapeamento datalake fechado, sem necessidade de criar parametrização")</f>
        <v>0</v>
      </c>
      <c r="N21" s="525">
        <f t="shared" si="4"/>
        <v>0</v>
      </c>
      <c r="O21" s="528">
        <f>COUNTIF(EQUITY_INSTRUMENTS!M:M,"Novo campo, mapeamento datalake pendente, com necessidade de criar parametrização")</f>
        <v>0</v>
      </c>
      <c r="P21" s="525">
        <f t="shared" si="5"/>
        <v>0</v>
      </c>
      <c r="Q21" s="528">
        <f>COUNTIF(EQUITY_INSTRUMENTS!M:M,"Novo campo, mapeamento datalake pendente, sem necessidade de criar parametrização")</f>
        <v>0</v>
      </c>
      <c r="R21" s="525">
        <f t="shared" si="6"/>
        <v>0</v>
      </c>
      <c r="S21" s="528">
        <f>COUNTIF(EQUITY_INSTRUMENTS!M:M,"Por iniciar")</f>
        <v>18</v>
      </c>
      <c r="T21" s="525">
        <f t="shared" si="7"/>
        <v>1</v>
      </c>
      <c r="U21" s="507"/>
    </row>
    <row r="22" spans="2:21" x14ac:dyDescent="0.25">
      <c r="B22" s="516" t="s">
        <v>1654</v>
      </c>
      <c r="C22" s="515" t="s">
        <v>739</v>
      </c>
      <c r="D22" s="520" t="s">
        <v>1643</v>
      </c>
      <c r="E22" s="524">
        <f>COUNTA(DTA_DTC!A3:A19)</f>
        <v>17</v>
      </c>
      <c r="F22" s="532">
        <f t="shared" si="0"/>
        <v>1</v>
      </c>
      <c r="G22" s="529">
        <f>COUNTIF(DTA_DTC!M:M,"Concluido")</f>
        <v>0</v>
      </c>
      <c r="H22" s="525">
        <f t="shared" si="1"/>
        <v>0</v>
      </c>
      <c r="I22" s="528">
        <f>COUNTIF(DTA_DTC!M:M,"Mapeamento com LT fechado, mas parametrização pendente")</f>
        <v>0</v>
      </c>
      <c r="J22" s="525">
        <f t="shared" si="2"/>
        <v>0</v>
      </c>
      <c r="K22" s="528">
        <f>COUNTIF(DTA_DTC!M:M,"Novo campo, mapeamento datalake fechado, com necessidade de criar parametrização")</f>
        <v>0</v>
      </c>
      <c r="L22" s="525">
        <f t="shared" si="3"/>
        <v>0</v>
      </c>
      <c r="M22" s="528">
        <f>COUNTIF(DTA_DTC!M:M,"Novo campo, mapeamento datalake fechado, sem necessidade de criar parametrização")</f>
        <v>0</v>
      </c>
      <c r="N22" s="525">
        <f t="shared" si="4"/>
        <v>0</v>
      </c>
      <c r="O22" s="528">
        <f>COUNTIF(DTA_DTC!M:M,"Novo campo, mapeamento datalake pendente, com necessidade de criar parametrização")</f>
        <v>0</v>
      </c>
      <c r="P22" s="525">
        <f t="shared" si="5"/>
        <v>0</v>
      </c>
      <c r="Q22" s="528">
        <f>COUNTIF(DTA_DTC!M:M,"Novo campo, mapeamento datalake pendente, sem necessidade de criar parametrização")</f>
        <v>0</v>
      </c>
      <c r="R22" s="525">
        <f t="shared" si="6"/>
        <v>0</v>
      </c>
      <c r="S22" s="528">
        <f>COUNTIF(DTA_DTC!M:M,"Por iniciar")</f>
        <v>17</v>
      </c>
      <c r="T22" s="525">
        <f t="shared" si="7"/>
        <v>1</v>
      </c>
      <c r="U22" s="507"/>
    </row>
    <row r="23" spans="2:21" ht="15.75" thickBot="1" x14ac:dyDescent="0.3">
      <c r="B23" s="517" t="s">
        <v>1655</v>
      </c>
      <c r="C23" s="518" t="s">
        <v>739</v>
      </c>
      <c r="D23" s="520" t="s">
        <v>1644</v>
      </c>
      <c r="E23" s="524">
        <f>COUNTA(INTANGIBLE_ASSETS!A3:A15)</f>
        <v>13</v>
      </c>
      <c r="F23" s="532">
        <f t="shared" si="0"/>
        <v>1</v>
      </c>
      <c r="G23" s="529">
        <f>COUNTIF(INTANGIBLE_ASSETS!M:M,"Concluido")</f>
        <v>0</v>
      </c>
      <c r="H23" s="525">
        <f t="shared" si="1"/>
        <v>0</v>
      </c>
      <c r="I23" s="528">
        <f>COUNTIF(INTANGIBLE_ASSETS!M:M,"Mapeamento com LT fechado, mas parametrização pendente")</f>
        <v>0</v>
      </c>
      <c r="J23" s="525">
        <f t="shared" si="2"/>
        <v>0</v>
      </c>
      <c r="K23" s="528">
        <f>COUNTIF(INTANGIBLE_ASSETS!M:M,"Novo campo, mapeamento datalake fechado, com necessidade de criar parametrização")</f>
        <v>0</v>
      </c>
      <c r="L23" s="525">
        <f t="shared" si="3"/>
        <v>0</v>
      </c>
      <c r="M23" s="528">
        <f>COUNTIF(INTANGIBLE_ASSETS!M:M,"Novo campo, mapeamento datalake fechado, sem necessidade de criar parametrização")</f>
        <v>0</v>
      </c>
      <c r="N23" s="525">
        <f t="shared" si="4"/>
        <v>0</v>
      </c>
      <c r="O23" s="528">
        <f>COUNTIF(INTANGIBLE_ASSETS!M:M,"Novo campo, mapeamento datalake pendente, com necessidade de criar parametrização")</f>
        <v>0</v>
      </c>
      <c r="P23" s="525">
        <f t="shared" si="5"/>
        <v>0</v>
      </c>
      <c r="Q23" s="528">
        <f>COUNTIF(INTANGIBLE_ASSETS!M:M,"Novo campo, mapeamento datalake pendente, sem necessidade de criar parametrização")</f>
        <v>0</v>
      </c>
      <c r="R23" s="525">
        <f t="shared" si="6"/>
        <v>0</v>
      </c>
      <c r="S23" s="528">
        <f>COUNTIF(INTANGIBLE_ASSETS!M:M,"Por iniciar")</f>
        <v>13</v>
      </c>
      <c r="T23" s="525">
        <f t="shared" si="7"/>
        <v>1</v>
      </c>
      <c r="U23" s="507"/>
    </row>
    <row r="24" spans="2:21" ht="15.75" thickBot="1" x14ac:dyDescent="0.3">
      <c r="B24" s="509"/>
      <c r="C24" s="512" t="s">
        <v>1645</v>
      </c>
      <c r="D24" s="521"/>
      <c r="E24" s="526">
        <f>SUM(E4:E23)</f>
        <v>308</v>
      </c>
      <c r="F24" s="527">
        <f>SUM(H24,J24,L24,N24,P24,R24,T24)</f>
        <v>1</v>
      </c>
      <c r="G24" s="530">
        <f>SUM(G4:G23)</f>
        <v>134</v>
      </c>
      <c r="H24" s="527">
        <f t="shared" si="1"/>
        <v>0.43506493506493504</v>
      </c>
      <c r="I24" s="526">
        <f t="shared" ref="I24:S24" si="8">SUM(I4:I23)</f>
        <v>60</v>
      </c>
      <c r="J24" s="527">
        <f t="shared" si="2"/>
        <v>0.19480519480519481</v>
      </c>
      <c r="K24" s="526">
        <f t="shared" si="8"/>
        <v>1</v>
      </c>
      <c r="L24" s="527">
        <f t="shared" si="3"/>
        <v>3.246753246753247E-3</v>
      </c>
      <c r="M24" s="526">
        <f t="shared" si="8"/>
        <v>3</v>
      </c>
      <c r="N24" s="527">
        <f t="shared" si="4"/>
        <v>9.74025974025974E-3</v>
      </c>
      <c r="O24" s="526">
        <f t="shared" si="8"/>
        <v>10</v>
      </c>
      <c r="P24" s="527">
        <f t="shared" si="5"/>
        <v>3.2467532467532464E-2</v>
      </c>
      <c r="Q24" s="526">
        <f t="shared" si="8"/>
        <v>19</v>
      </c>
      <c r="R24" s="527">
        <f t="shared" si="6"/>
        <v>6.1688311688311688E-2</v>
      </c>
      <c r="S24" s="526">
        <f t="shared" si="8"/>
        <v>81</v>
      </c>
      <c r="T24" s="527">
        <f t="shared" si="7"/>
        <v>0.26298701298701299</v>
      </c>
      <c r="U24" s="507"/>
    </row>
    <row r="25" spans="2:21" x14ac:dyDescent="0.25">
      <c r="B25" s="508"/>
      <c r="C25" s="609" t="s">
        <v>1656</v>
      </c>
      <c r="D25" s="508"/>
      <c r="E25" s="507"/>
      <c r="F25" s="507"/>
      <c r="G25" s="507"/>
      <c r="H25" s="507"/>
      <c r="I25" s="507"/>
      <c r="J25" s="507"/>
      <c r="K25" s="507"/>
      <c r="L25" s="507"/>
      <c r="M25" s="507"/>
      <c r="N25" s="507"/>
      <c r="O25" s="507"/>
      <c r="P25" s="507"/>
      <c r="Q25" s="507"/>
      <c r="R25" s="507"/>
      <c r="S25" s="507"/>
      <c r="T25" s="507"/>
      <c r="U25" s="507"/>
    </row>
    <row r="26" spans="2:21" x14ac:dyDescent="0.25">
      <c r="B26" s="557" t="s">
        <v>1656</v>
      </c>
      <c r="C26" s="509" t="s">
        <v>1686</v>
      </c>
    </row>
    <row r="29" spans="2:21" x14ac:dyDescent="0.25">
      <c r="B29" t="s">
        <v>1656</v>
      </c>
    </row>
  </sheetData>
  <mergeCells count="11">
    <mergeCell ref="Q2:R2"/>
    <mergeCell ref="S2:T2"/>
    <mergeCell ref="B4:B8"/>
    <mergeCell ref="B9:B13"/>
    <mergeCell ref="B14:B18"/>
    <mergeCell ref="E2:F2"/>
    <mergeCell ref="G2:H2"/>
    <mergeCell ref="I2:J2"/>
    <mergeCell ref="K2:L2"/>
    <mergeCell ref="M2:N2"/>
    <mergeCell ref="O2:P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9" zoomScale="85" zoomScaleNormal="85" workbookViewId="0">
      <selection activeCell="C25" sqref="C25"/>
    </sheetView>
  </sheetViews>
  <sheetFormatPr defaultRowHeight="15" x14ac:dyDescent="0.25"/>
  <cols>
    <col min="1" max="6" width="32.85546875" customWidth="1"/>
  </cols>
  <sheetData>
    <row r="1" spans="1:6" ht="14.45" customHeight="1" x14ac:dyDescent="0.25">
      <c r="A1" s="635" t="s">
        <v>0</v>
      </c>
      <c r="B1" s="635"/>
      <c r="C1" s="635"/>
      <c r="D1" s="635"/>
      <c r="E1" s="635"/>
      <c r="F1" s="635"/>
    </row>
    <row r="2" spans="1:6" x14ac:dyDescent="0.25">
      <c r="A2" s="635"/>
      <c r="B2" s="635"/>
      <c r="C2" s="635"/>
      <c r="D2" s="635"/>
      <c r="E2" s="635"/>
      <c r="F2" s="635"/>
    </row>
    <row r="3" spans="1:6" x14ac:dyDescent="0.25">
      <c r="A3" s="635"/>
      <c r="B3" s="635"/>
      <c r="C3" s="635"/>
      <c r="D3" s="635"/>
      <c r="E3" s="635"/>
      <c r="F3" s="635"/>
    </row>
    <row r="4" spans="1:6" x14ac:dyDescent="0.25">
      <c r="A4" s="635"/>
      <c r="B4" s="635"/>
      <c r="C4" s="635"/>
      <c r="D4" s="635"/>
      <c r="E4" s="635"/>
      <c r="F4" s="635"/>
    </row>
    <row r="5" spans="1:6" x14ac:dyDescent="0.25">
      <c r="A5" s="635"/>
      <c r="B5" s="635"/>
      <c r="C5" s="635"/>
      <c r="D5" s="635"/>
      <c r="E5" s="635"/>
      <c r="F5" s="635"/>
    </row>
    <row r="6" spans="1:6" x14ac:dyDescent="0.25">
      <c r="A6" s="635"/>
      <c r="B6" s="635"/>
      <c r="C6" s="635"/>
      <c r="D6" s="635"/>
      <c r="E6" s="635"/>
      <c r="F6" s="635"/>
    </row>
    <row r="7" spans="1:6" x14ac:dyDescent="0.25">
      <c r="A7" s="635"/>
      <c r="B7" s="635"/>
      <c r="C7" s="635"/>
      <c r="D7" s="635"/>
      <c r="E7" s="635"/>
      <c r="F7" s="635"/>
    </row>
    <row r="8" spans="1:6" x14ac:dyDescent="0.25">
      <c r="A8" s="635"/>
      <c r="B8" s="635"/>
      <c r="C8" s="635"/>
      <c r="D8" s="635"/>
      <c r="E8" s="635"/>
      <c r="F8" s="635"/>
    </row>
    <row r="9" spans="1:6" x14ac:dyDescent="0.25">
      <c r="A9" s="6"/>
      <c r="B9" s="6"/>
      <c r="C9" s="6"/>
      <c r="D9" s="6"/>
      <c r="E9" s="6"/>
      <c r="F9" s="6"/>
    </row>
    <row r="10" spans="1:6" x14ac:dyDescent="0.25">
      <c r="A10" s="13" t="s">
        <v>1</v>
      </c>
      <c r="B10" s="13" t="s">
        <v>2</v>
      </c>
      <c r="C10" s="13" t="s">
        <v>3</v>
      </c>
      <c r="D10" s="13" t="s">
        <v>4</v>
      </c>
      <c r="E10" s="13" t="s">
        <v>703</v>
      </c>
      <c r="F10" s="14" t="s">
        <v>705</v>
      </c>
    </row>
    <row r="11" spans="1:6" ht="300" x14ac:dyDescent="0.25">
      <c r="A11" s="5" t="s">
        <v>5</v>
      </c>
      <c r="B11" s="5" t="s">
        <v>6</v>
      </c>
      <c r="C11" s="5" t="s">
        <v>7</v>
      </c>
      <c r="D11" s="5" t="s">
        <v>702</v>
      </c>
      <c r="E11" s="5" t="s">
        <v>704</v>
      </c>
      <c r="F11" s="12" t="s">
        <v>706</v>
      </c>
    </row>
  </sheetData>
  <mergeCells count="1">
    <mergeCell ref="A1:F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Normal="100" workbookViewId="0">
      <selection activeCell="A15" sqref="A15"/>
    </sheetView>
  </sheetViews>
  <sheetFormatPr defaultRowHeight="15" x14ac:dyDescent="0.25"/>
  <cols>
    <col min="1" max="1" width="167.85546875" customWidth="1"/>
  </cols>
  <sheetData>
    <row r="1" spans="1:1" ht="199.5" thickBot="1" x14ac:dyDescent="0.3">
      <c r="A1" s="305" t="s">
        <v>1283</v>
      </c>
    </row>
    <row r="2" spans="1:1" ht="169.5" hidden="1" thickBot="1" x14ac:dyDescent="0.3">
      <c r="A2" s="1" t="s">
        <v>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zoomScale="70" zoomScaleNormal="70" workbookViewId="0">
      <pane xSplit="6" ySplit="2" topLeftCell="G3" activePane="bottomRight" state="frozen"/>
      <selection pane="topRight" activeCell="G1" sqref="G1"/>
      <selection pane="bottomLeft" activeCell="A3" sqref="A3"/>
      <selection pane="bottomRight" activeCell="M11" sqref="L11:M17"/>
    </sheetView>
  </sheetViews>
  <sheetFormatPr defaultColWidth="8.7109375" defaultRowHeight="15" x14ac:dyDescent="0.25"/>
  <cols>
    <col min="1" max="1" width="5.5703125" style="34" customWidth="1"/>
    <col min="2" max="2" width="13.42578125" style="34" customWidth="1"/>
    <col min="3" max="3" width="24.42578125" style="34" bestFit="1" customWidth="1"/>
    <col min="4" max="4" width="16.28515625" style="34" customWidth="1"/>
    <col min="5" max="5" width="48" style="35" customWidth="1"/>
    <col min="6" max="6" width="78.85546875" style="36" hidden="1" customWidth="1"/>
    <col min="7" max="7" width="2" style="36" customWidth="1"/>
    <col min="8" max="8" width="36.140625" style="36" customWidth="1"/>
    <col min="9" max="9" width="23.85546875" style="36" bestFit="1" customWidth="1"/>
    <col min="10" max="10" width="36.140625" style="36" customWidth="1"/>
    <col min="11" max="11" width="2.28515625" style="36" customWidth="1"/>
    <col min="12" max="12" width="51" style="36" customWidth="1"/>
    <col min="13" max="13" width="36.42578125" style="37" customWidth="1"/>
    <col min="14" max="14" width="4.140625" style="36" customWidth="1"/>
    <col min="15" max="15" width="33.85546875" style="36" customWidth="1"/>
    <col min="16" max="16" width="27.5703125" style="36" customWidth="1"/>
    <col min="17" max="17" width="35.28515625" style="34" bestFit="1" customWidth="1"/>
    <col min="18" max="18" width="75.28515625" style="36" customWidth="1"/>
    <col min="19" max="19" width="52.42578125" style="36" customWidth="1"/>
    <col min="20" max="20" width="4.140625" style="37" customWidth="1"/>
    <col min="21" max="21" width="34.140625" style="34" hidden="1" customWidth="1"/>
    <col min="22" max="16384" width="8.7109375" style="34"/>
  </cols>
  <sheetData>
    <row r="1" spans="1:21" customFormat="1" ht="18.95" customHeight="1" thickBot="1" x14ac:dyDescent="0.3">
      <c r="A1" s="703" t="s">
        <v>9</v>
      </c>
      <c r="B1" s="704"/>
      <c r="C1" s="704"/>
      <c r="D1" s="704"/>
      <c r="E1" s="704"/>
      <c r="F1" s="704"/>
      <c r="G1" s="705"/>
      <c r="H1" s="705"/>
      <c r="I1" s="705"/>
      <c r="J1" s="705"/>
      <c r="K1" s="705"/>
      <c r="L1" s="705"/>
      <c r="M1" s="705"/>
      <c r="N1" s="705"/>
      <c r="O1" s="704"/>
      <c r="P1" s="704"/>
      <c r="Q1" s="704"/>
      <c r="R1" s="704"/>
      <c r="S1" s="704"/>
      <c r="T1" s="704"/>
      <c r="U1" s="706"/>
    </row>
    <row r="2" spans="1:21" customFormat="1" ht="15" customHeight="1" thickBot="1" x14ac:dyDescent="0.3">
      <c r="A2" s="7" t="s">
        <v>10</v>
      </c>
      <c r="B2" s="8" t="s">
        <v>11</v>
      </c>
      <c r="C2" s="8" t="s">
        <v>12</v>
      </c>
      <c r="D2" s="8" t="s">
        <v>13</v>
      </c>
      <c r="E2" s="10" t="s">
        <v>14</v>
      </c>
      <c r="F2" s="31" t="s">
        <v>890</v>
      </c>
      <c r="G2" s="28"/>
      <c r="H2" s="318" t="s">
        <v>725</v>
      </c>
      <c r="I2" s="319" t="s">
        <v>1412</v>
      </c>
      <c r="J2" s="320" t="s">
        <v>1411</v>
      </c>
      <c r="K2" s="28"/>
      <c r="L2" s="58" t="s">
        <v>87</v>
      </c>
      <c r="M2" s="58" t="s">
        <v>1475</v>
      </c>
      <c r="N2" s="28"/>
      <c r="O2" s="50" t="s">
        <v>15</v>
      </c>
      <c r="P2" s="51" t="s">
        <v>16</v>
      </c>
      <c r="Q2" s="51" t="s">
        <v>17</v>
      </c>
      <c r="R2" s="51" t="s">
        <v>18</v>
      </c>
      <c r="S2" s="52" t="s">
        <v>19</v>
      </c>
      <c r="T2" s="28"/>
      <c r="U2" s="39" t="s">
        <v>812</v>
      </c>
    </row>
    <row r="3" spans="1:21" customFormat="1" x14ac:dyDescent="0.25">
      <c r="A3" s="682" t="s">
        <v>20</v>
      </c>
      <c r="B3" s="684" t="s">
        <v>889</v>
      </c>
      <c r="C3" s="684" t="s">
        <v>21</v>
      </c>
      <c r="D3" s="684" t="s">
        <v>22</v>
      </c>
      <c r="E3" s="662" t="s">
        <v>891</v>
      </c>
      <c r="F3" s="660" t="s">
        <v>23</v>
      </c>
      <c r="G3" s="29"/>
      <c r="H3" s="636" t="s">
        <v>721</v>
      </c>
      <c r="I3" s="723" t="s">
        <v>1413</v>
      </c>
      <c r="J3" s="724" t="s">
        <v>1414</v>
      </c>
      <c r="K3" s="29"/>
      <c r="L3" s="641" t="s">
        <v>721</v>
      </c>
      <c r="M3" s="643" t="s">
        <v>1476</v>
      </c>
      <c r="N3" s="29"/>
      <c r="O3" s="678" t="s">
        <v>24</v>
      </c>
      <c r="P3" s="658" t="s">
        <v>25</v>
      </c>
      <c r="Q3" s="53" t="s">
        <v>26</v>
      </c>
      <c r="R3" s="654" t="s">
        <v>813</v>
      </c>
      <c r="S3" s="656"/>
      <c r="T3" s="29"/>
      <c r="U3" s="667" t="s">
        <v>763</v>
      </c>
    </row>
    <row r="4" spans="1:21" customFormat="1" x14ac:dyDescent="0.25">
      <c r="A4" s="683"/>
      <c r="B4" s="681"/>
      <c r="C4" s="681"/>
      <c r="D4" s="681"/>
      <c r="E4" s="663"/>
      <c r="F4" s="661"/>
      <c r="G4" s="29"/>
      <c r="H4" s="637"/>
      <c r="I4" s="719"/>
      <c r="J4" s="721"/>
      <c r="K4" s="29"/>
      <c r="L4" s="642"/>
      <c r="M4" s="713"/>
      <c r="N4" s="29"/>
      <c r="O4" s="679"/>
      <c r="P4" s="659"/>
      <c r="Q4" s="54" t="s">
        <v>28</v>
      </c>
      <c r="R4" s="655"/>
      <c r="S4" s="657"/>
      <c r="T4" s="29"/>
      <c r="U4" s="668"/>
    </row>
    <row r="5" spans="1:21" customFormat="1" x14ac:dyDescent="0.25">
      <c r="A5" s="683"/>
      <c r="B5" s="681"/>
      <c r="C5" s="681"/>
      <c r="D5" s="681"/>
      <c r="E5" s="663"/>
      <c r="F5" s="661"/>
      <c r="G5" s="29"/>
      <c r="H5" s="637"/>
      <c r="I5" s="719"/>
      <c r="J5" s="721"/>
      <c r="K5" s="29"/>
      <c r="L5" s="642"/>
      <c r="M5" s="713"/>
      <c r="N5" s="29"/>
      <c r="O5" s="679"/>
      <c r="P5" s="659"/>
      <c r="Q5" s="54" t="s">
        <v>29</v>
      </c>
      <c r="R5" s="655"/>
      <c r="S5" s="657"/>
      <c r="T5" s="29"/>
      <c r="U5" s="668"/>
    </row>
    <row r="6" spans="1:21" customFormat="1" x14ac:dyDescent="0.25">
      <c r="A6" s="683"/>
      <c r="B6" s="681"/>
      <c r="C6" s="681"/>
      <c r="D6" s="681"/>
      <c r="E6" s="664"/>
      <c r="F6" s="661"/>
      <c r="G6" s="29"/>
      <c r="H6" s="637"/>
      <c r="I6" s="719"/>
      <c r="J6" s="721"/>
      <c r="K6" s="29"/>
      <c r="L6" s="643"/>
      <c r="M6" s="713"/>
      <c r="N6" s="29"/>
      <c r="O6" s="680"/>
      <c r="P6" s="659"/>
      <c r="Q6" s="54" t="s">
        <v>30</v>
      </c>
      <c r="R6" s="655"/>
      <c r="S6" s="657"/>
      <c r="T6" s="29"/>
      <c r="U6" s="668"/>
    </row>
    <row r="7" spans="1:21" customFormat="1" ht="60" x14ac:dyDescent="0.25">
      <c r="A7" s="19" t="s">
        <v>31</v>
      </c>
      <c r="B7" s="16" t="s">
        <v>889</v>
      </c>
      <c r="C7" s="16" t="s">
        <v>32</v>
      </c>
      <c r="D7" s="16" t="s">
        <v>22</v>
      </c>
      <c r="E7" s="33" t="s">
        <v>892</v>
      </c>
      <c r="F7" s="32" t="s">
        <v>33</v>
      </c>
      <c r="G7" s="30"/>
      <c r="H7" s="475" t="s">
        <v>1404</v>
      </c>
      <c r="I7" s="476" t="s">
        <v>739</v>
      </c>
      <c r="J7" s="477" t="s">
        <v>739</v>
      </c>
      <c r="K7" s="30"/>
      <c r="L7" s="342" t="s">
        <v>815</v>
      </c>
      <c r="M7" s="342" t="s">
        <v>1476</v>
      </c>
      <c r="N7" s="30"/>
      <c r="O7" s="38" t="s">
        <v>24</v>
      </c>
      <c r="P7" s="18" t="s">
        <v>25</v>
      </c>
      <c r="Q7" s="16" t="s">
        <v>34</v>
      </c>
      <c r="R7" s="15" t="s">
        <v>35</v>
      </c>
      <c r="S7" s="33"/>
      <c r="T7" s="30"/>
      <c r="U7" s="40" t="s">
        <v>36</v>
      </c>
    </row>
    <row r="8" spans="1:21" customFormat="1" ht="14.45" customHeight="1" x14ac:dyDescent="0.25">
      <c r="A8" s="683" t="s">
        <v>37</v>
      </c>
      <c r="B8" s="681" t="s">
        <v>898</v>
      </c>
      <c r="C8" s="681" t="s">
        <v>38</v>
      </c>
      <c r="D8" s="681" t="s">
        <v>39</v>
      </c>
      <c r="E8" s="672" t="s">
        <v>893</v>
      </c>
      <c r="F8" s="661" t="s">
        <v>40</v>
      </c>
      <c r="G8" s="29"/>
      <c r="H8" s="638" t="s">
        <v>739</v>
      </c>
      <c r="I8" s="725" t="s">
        <v>739</v>
      </c>
      <c r="J8" s="727" t="s">
        <v>739</v>
      </c>
      <c r="K8" s="29"/>
      <c r="L8" s="644" t="s">
        <v>1677</v>
      </c>
      <c r="M8" s="714" t="s">
        <v>1482</v>
      </c>
      <c r="N8" s="29"/>
      <c r="O8" s="694" t="s">
        <v>41</v>
      </c>
      <c r="P8" s="659" t="s">
        <v>42</v>
      </c>
      <c r="Q8" s="54" t="s">
        <v>43</v>
      </c>
      <c r="R8" s="655" t="s">
        <v>44</v>
      </c>
      <c r="S8" s="710"/>
      <c r="T8" s="29"/>
      <c r="U8" s="669"/>
    </row>
    <row r="9" spans="1:21" customFormat="1" x14ac:dyDescent="0.25">
      <c r="A9" s="683"/>
      <c r="B9" s="681"/>
      <c r="C9" s="681"/>
      <c r="D9" s="681"/>
      <c r="E9" s="663"/>
      <c r="F9" s="661"/>
      <c r="G9" s="29"/>
      <c r="H9" s="637"/>
      <c r="I9" s="726"/>
      <c r="J9" s="728"/>
      <c r="K9" s="29"/>
      <c r="L9" s="645"/>
      <c r="M9" s="715"/>
      <c r="N9" s="29"/>
      <c r="O9" s="680"/>
      <c r="P9" s="659"/>
      <c r="Q9" s="54" t="s">
        <v>45</v>
      </c>
      <c r="R9" s="655"/>
      <c r="S9" s="710"/>
      <c r="T9" s="29"/>
      <c r="U9" s="669"/>
    </row>
    <row r="10" spans="1:21" customFormat="1" ht="122.25" customHeight="1" x14ac:dyDescent="0.25">
      <c r="A10" s="683"/>
      <c r="B10" s="681"/>
      <c r="C10" s="681"/>
      <c r="D10" s="681"/>
      <c r="E10" s="664"/>
      <c r="F10" s="661"/>
      <c r="G10" s="29"/>
      <c r="H10" s="637"/>
      <c r="I10" s="726"/>
      <c r="J10" s="728"/>
      <c r="K10" s="29"/>
      <c r="L10" s="646"/>
      <c r="M10" s="716"/>
      <c r="N10" s="29"/>
      <c r="O10" s="55" t="s">
        <v>46</v>
      </c>
      <c r="P10" s="56" t="s">
        <v>47</v>
      </c>
      <c r="Q10" s="54" t="s">
        <v>48</v>
      </c>
      <c r="R10" s="655"/>
      <c r="S10" s="710"/>
      <c r="T10" s="29"/>
      <c r="U10" s="669"/>
    </row>
    <row r="11" spans="1:21" customFormat="1" ht="14.45" customHeight="1" x14ac:dyDescent="0.25">
      <c r="A11" s="685" t="s">
        <v>49</v>
      </c>
      <c r="B11" s="686" t="s">
        <v>898</v>
      </c>
      <c r="C11" s="686" t="s">
        <v>50</v>
      </c>
      <c r="D11" s="686" t="s">
        <v>39</v>
      </c>
      <c r="E11" s="673" t="s">
        <v>1190</v>
      </c>
      <c r="F11" s="687" t="s">
        <v>51</v>
      </c>
      <c r="G11" s="30"/>
      <c r="H11" s="639" t="s">
        <v>739</v>
      </c>
      <c r="I11" s="729" t="s">
        <v>739</v>
      </c>
      <c r="J11" s="731" t="s">
        <v>739</v>
      </c>
      <c r="K11" s="30"/>
      <c r="L11" s="647" t="s">
        <v>1498</v>
      </c>
      <c r="M11" s="647" t="s">
        <v>1477</v>
      </c>
      <c r="N11" s="30"/>
      <c r="O11" s="707" t="s">
        <v>41</v>
      </c>
      <c r="P11" s="711" t="s">
        <v>52</v>
      </c>
      <c r="Q11" s="23" t="s">
        <v>43</v>
      </c>
      <c r="R11" s="698" t="s">
        <v>53</v>
      </c>
      <c r="S11" s="712"/>
      <c r="T11" s="30"/>
      <c r="U11" s="670" t="s">
        <v>54</v>
      </c>
    </row>
    <row r="12" spans="1:21" customFormat="1" x14ac:dyDescent="0.25">
      <c r="A12" s="685"/>
      <c r="B12" s="686"/>
      <c r="C12" s="686"/>
      <c r="D12" s="686"/>
      <c r="E12" s="674"/>
      <c r="F12" s="687"/>
      <c r="G12" s="30"/>
      <c r="H12" s="640"/>
      <c r="I12" s="730"/>
      <c r="J12" s="732"/>
      <c r="K12" s="30"/>
      <c r="L12" s="648"/>
      <c r="M12" s="648"/>
      <c r="N12" s="30"/>
      <c r="O12" s="708"/>
      <c r="P12" s="711"/>
      <c r="Q12" s="23" t="s">
        <v>45</v>
      </c>
      <c r="R12" s="698"/>
      <c r="S12" s="712"/>
      <c r="T12" s="30"/>
      <c r="U12" s="670"/>
    </row>
    <row r="13" spans="1:21" customFormat="1" x14ac:dyDescent="0.25">
      <c r="A13" s="685"/>
      <c r="B13" s="686"/>
      <c r="C13" s="686"/>
      <c r="D13" s="686"/>
      <c r="E13" s="674"/>
      <c r="F13" s="687"/>
      <c r="G13" s="30"/>
      <c r="H13" s="640"/>
      <c r="I13" s="730"/>
      <c r="J13" s="732"/>
      <c r="K13" s="30"/>
      <c r="L13" s="648"/>
      <c r="M13" s="648"/>
      <c r="N13" s="30"/>
      <c r="O13" s="707" t="s">
        <v>55</v>
      </c>
      <c r="P13" s="711" t="s">
        <v>25</v>
      </c>
      <c r="Q13" s="23" t="s">
        <v>26</v>
      </c>
      <c r="R13" s="698"/>
      <c r="S13" s="712"/>
      <c r="T13" s="30"/>
      <c r="U13" s="670"/>
    </row>
    <row r="14" spans="1:21" customFormat="1" x14ac:dyDescent="0.25">
      <c r="A14" s="685"/>
      <c r="B14" s="686"/>
      <c r="C14" s="686"/>
      <c r="D14" s="686"/>
      <c r="E14" s="674"/>
      <c r="F14" s="687"/>
      <c r="G14" s="30"/>
      <c r="H14" s="640"/>
      <c r="I14" s="730"/>
      <c r="J14" s="732"/>
      <c r="K14" s="30"/>
      <c r="L14" s="648"/>
      <c r="M14" s="648"/>
      <c r="N14" s="30"/>
      <c r="O14" s="709"/>
      <c r="P14" s="711"/>
      <c r="Q14" s="23" t="s">
        <v>28</v>
      </c>
      <c r="R14" s="698"/>
      <c r="S14" s="712"/>
      <c r="T14" s="30"/>
      <c r="U14" s="670"/>
    </row>
    <row r="15" spans="1:21" customFormat="1" x14ac:dyDescent="0.25">
      <c r="A15" s="685"/>
      <c r="B15" s="686"/>
      <c r="C15" s="686"/>
      <c r="D15" s="686"/>
      <c r="E15" s="674"/>
      <c r="F15" s="687"/>
      <c r="G15" s="30"/>
      <c r="H15" s="640"/>
      <c r="I15" s="730"/>
      <c r="J15" s="732"/>
      <c r="K15" s="30"/>
      <c r="L15" s="648"/>
      <c r="M15" s="648"/>
      <c r="N15" s="30"/>
      <c r="O15" s="709"/>
      <c r="P15" s="711"/>
      <c r="Q15" s="23" t="s">
        <v>29</v>
      </c>
      <c r="R15" s="698"/>
      <c r="S15" s="712"/>
      <c r="T15" s="30"/>
      <c r="U15" s="670"/>
    </row>
    <row r="16" spans="1:21" customFormat="1" x14ac:dyDescent="0.25">
      <c r="A16" s="685"/>
      <c r="B16" s="686"/>
      <c r="C16" s="686"/>
      <c r="D16" s="686"/>
      <c r="E16" s="674"/>
      <c r="F16" s="687"/>
      <c r="G16" s="30"/>
      <c r="H16" s="640"/>
      <c r="I16" s="730"/>
      <c r="J16" s="732"/>
      <c r="K16" s="30"/>
      <c r="L16" s="648"/>
      <c r="M16" s="648"/>
      <c r="N16" s="30"/>
      <c r="O16" s="709"/>
      <c r="P16" s="711"/>
      <c r="Q16" s="23" t="s">
        <v>30</v>
      </c>
      <c r="R16" s="698"/>
      <c r="S16" s="712"/>
      <c r="T16" s="30"/>
      <c r="U16" s="670"/>
    </row>
    <row r="17" spans="1:21" customFormat="1" x14ac:dyDescent="0.25">
      <c r="A17" s="685"/>
      <c r="B17" s="686"/>
      <c r="C17" s="686"/>
      <c r="D17" s="686"/>
      <c r="E17" s="675"/>
      <c r="F17" s="687"/>
      <c r="G17" s="30"/>
      <c r="H17" s="640"/>
      <c r="I17" s="730"/>
      <c r="J17" s="732"/>
      <c r="K17" s="30"/>
      <c r="L17" s="649"/>
      <c r="M17" s="649"/>
      <c r="N17" s="30"/>
      <c r="O17" s="708"/>
      <c r="P17" s="711"/>
      <c r="Q17" s="23" t="s">
        <v>56</v>
      </c>
      <c r="R17" s="698"/>
      <c r="S17" s="712"/>
      <c r="T17" s="30"/>
      <c r="U17" s="670"/>
    </row>
    <row r="18" spans="1:21" customFormat="1" ht="14.45" customHeight="1" x14ac:dyDescent="0.25">
      <c r="A18" s="683" t="s">
        <v>57</v>
      </c>
      <c r="B18" s="681" t="s">
        <v>897</v>
      </c>
      <c r="C18" s="681" t="s">
        <v>58</v>
      </c>
      <c r="D18" s="681" t="s">
        <v>59</v>
      </c>
      <c r="E18" s="672" t="s">
        <v>894</v>
      </c>
      <c r="F18" s="661" t="s">
        <v>60</v>
      </c>
      <c r="G18" s="29"/>
      <c r="H18" s="637" t="s">
        <v>1499</v>
      </c>
      <c r="I18" s="719" t="s">
        <v>1578</v>
      </c>
      <c r="J18" s="721" t="s">
        <v>1579</v>
      </c>
      <c r="K18" s="29"/>
      <c r="L18" s="650" t="s">
        <v>1499</v>
      </c>
      <c r="M18" s="650" t="s">
        <v>1476</v>
      </c>
      <c r="N18" s="29"/>
      <c r="O18" s="694" t="s">
        <v>46</v>
      </c>
      <c r="P18" s="659" t="s">
        <v>47</v>
      </c>
      <c r="Q18" s="54" t="s">
        <v>61</v>
      </c>
      <c r="R18" s="655" t="s">
        <v>62</v>
      </c>
      <c r="S18" s="657" t="s">
        <v>63</v>
      </c>
      <c r="T18" s="29"/>
      <c r="U18" s="665" t="s">
        <v>64</v>
      </c>
    </row>
    <row r="19" spans="1:21" customFormat="1" x14ac:dyDescent="0.25">
      <c r="A19" s="683"/>
      <c r="B19" s="681"/>
      <c r="C19" s="681"/>
      <c r="D19" s="681"/>
      <c r="E19" s="663"/>
      <c r="F19" s="661"/>
      <c r="G19" s="29"/>
      <c r="H19" s="637"/>
      <c r="I19" s="719"/>
      <c r="J19" s="721"/>
      <c r="K19" s="29"/>
      <c r="L19" s="642"/>
      <c r="M19" s="642"/>
      <c r="N19" s="29"/>
      <c r="O19" s="679"/>
      <c r="P19" s="659"/>
      <c r="Q19" s="54" t="s">
        <v>65</v>
      </c>
      <c r="R19" s="655"/>
      <c r="S19" s="657"/>
      <c r="T19" s="29"/>
      <c r="U19" s="665"/>
    </row>
    <row r="20" spans="1:21" customFormat="1" x14ac:dyDescent="0.25">
      <c r="A20" s="683"/>
      <c r="B20" s="681"/>
      <c r="C20" s="681"/>
      <c r="D20" s="681"/>
      <c r="E20" s="664"/>
      <c r="F20" s="661"/>
      <c r="G20" s="29"/>
      <c r="H20" s="637"/>
      <c r="I20" s="719"/>
      <c r="J20" s="721"/>
      <c r="K20" s="29"/>
      <c r="L20" s="643"/>
      <c r="M20" s="643"/>
      <c r="N20" s="29"/>
      <c r="O20" s="680"/>
      <c r="P20" s="659"/>
      <c r="Q20" s="54" t="s">
        <v>66</v>
      </c>
      <c r="R20" s="655"/>
      <c r="S20" s="657"/>
      <c r="T20" s="29"/>
      <c r="U20" s="665"/>
    </row>
    <row r="21" spans="1:21" customFormat="1" x14ac:dyDescent="0.25">
      <c r="A21" s="685" t="s">
        <v>67</v>
      </c>
      <c r="B21" s="686" t="s">
        <v>897</v>
      </c>
      <c r="C21" s="686" t="s">
        <v>68</v>
      </c>
      <c r="D21" s="686" t="s">
        <v>69</v>
      </c>
      <c r="E21" s="673" t="s">
        <v>895</v>
      </c>
      <c r="F21" s="687" t="s">
        <v>70</v>
      </c>
      <c r="G21" s="30"/>
      <c r="H21" s="640" t="s">
        <v>727</v>
      </c>
      <c r="I21" s="717" t="s">
        <v>1420</v>
      </c>
      <c r="J21" s="718" t="s">
        <v>1421</v>
      </c>
      <c r="K21" s="30"/>
      <c r="L21" s="651" t="s">
        <v>727</v>
      </c>
      <c r="M21" s="651" t="s">
        <v>1476</v>
      </c>
      <c r="N21" s="30"/>
      <c r="O21" s="700" t="s">
        <v>46</v>
      </c>
      <c r="P21" s="697" t="s">
        <v>47</v>
      </c>
      <c r="Q21" s="16" t="s">
        <v>61</v>
      </c>
      <c r="R21" s="698" t="s">
        <v>71</v>
      </c>
      <c r="S21" s="699" t="s">
        <v>63</v>
      </c>
      <c r="T21" s="30"/>
      <c r="U21" s="671" t="s">
        <v>72</v>
      </c>
    </row>
    <row r="22" spans="1:21" customFormat="1" x14ac:dyDescent="0.25">
      <c r="A22" s="685"/>
      <c r="B22" s="686"/>
      <c r="C22" s="686"/>
      <c r="D22" s="686"/>
      <c r="E22" s="674"/>
      <c r="F22" s="687"/>
      <c r="G22" s="30"/>
      <c r="H22" s="640"/>
      <c r="I22" s="717"/>
      <c r="J22" s="718"/>
      <c r="K22" s="30"/>
      <c r="L22" s="652"/>
      <c r="M22" s="652"/>
      <c r="N22" s="30"/>
      <c r="O22" s="701"/>
      <c r="P22" s="697"/>
      <c r="Q22" s="16" t="s">
        <v>65</v>
      </c>
      <c r="R22" s="698"/>
      <c r="S22" s="699"/>
      <c r="T22" s="30"/>
      <c r="U22" s="671"/>
    </row>
    <row r="23" spans="1:21" customFormat="1" x14ac:dyDescent="0.25">
      <c r="A23" s="685"/>
      <c r="B23" s="686"/>
      <c r="C23" s="686"/>
      <c r="D23" s="686"/>
      <c r="E23" s="674"/>
      <c r="F23" s="687"/>
      <c r="G23" s="30"/>
      <c r="H23" s="640"/>
      <c r="I23" s="717"/>
      <c r="J23" s="718"/>
      <c r="K23" s="30"/>
      <c r="L23" s="652"/>
      <c r="M23" s="652"/>
      <c r="N23" s="30"/>
      <c r="O23" s="702"/>
      <c r="P23" s="697"/>
      <c r="Q23" s="16" t="s">
        <v>73</v>
      </c>
      <c r="R23" s="698"/>
      <c r="S23" s="699"/>
      <c r="T23" s="30"/>
      <c r="U23" s="671"/>
    </row>
    <row r="24" spans="1:21" customFormat="1" x14ac:dyDescent="0.25">
      <c r="A24" s="685"/>
      <c r="B24" s="686"/>
      <c r="C24" s="686"/>
      <c r="D24" s="686"/>
      <c r="E24" s="675"/>
      <c r="F24" s="687"/>
      <c r="G24" s="30"/>
      <c r="H24" s="640"/>
      <c r="I24" s="717"/>
      <c r="J24" s="718"/>
      <c r="K24" s="30"/>
      <c r="L24" s="653"/>
      <c r="M24" s="653"/>
      <c r="N24" s="30"/>
      <c r="O24" s="38" t="s">
        <v>74</v>
      </c>
      <c r="P24" s="18" t="s">
        <v>25</v>
      </c>
      <c r="Q24" s="16" t="s">
        <v>75</v>
      </c>
      <c r="R24" s="698"/>
      <c r="S24" s="699"/>
      <c r="T24" s="30"/>
      <c r="U24" s="671"/>
    </row>
    <row r="25" spans="1:21" customFormat="1" x14ac:dyDescent="0.25">
      <c r="A25" s="683" t="s">
        <v>76</v>
      </c>
      <c r="B25" s="681" t="s">
        <v>897</v>
      </c>
      <c r="C25" s="681" t="s">
        <v>77</v>
      </c>
      <c r="D25" s="681" t="s">
        <v>69</v>
      </c>
      <c r="E25" s="672" t="s">
        <v>896</v>
      </c>
      <c r="F25" s="661" t="s">
        <v>78</v>
      </c>
      <c r="G25" s="29"/>
      <c r="H25" s="637" t="s">
        <v>728</v>
      </c>
      <c r="I25" s="719" t="s">
        <v>1422</v>
      </c>
      <c r="J25" s="721" t="s">
        <v>1423</v>
      </c>
      <c r="K25" s="29"/>
      <c r="L25" s="650" t="s">
        <v>728</v>
      </c>
      <c r="M25" s="650" t="s">
        <v>1476</v>
      </c>
      <c r="N25" s="29"/>
      <c r="O25" s="694" t="s">
        <v>79</v>
      </c>
      <c r="P25" s="659" t="s">
        <v>80</v>
      </c>
      <c r="Q25" s="54" t="s">
        <v>81</v>
      </c>
      <c r="R25" s="655" t="s">
        <v>82</v>
      </c>
      <c r="S25" s="657" t="s">
        <v>63</v>
      </c>
      <c r="T25" s="29"/>
      <c r="U25" s="665" t="s">
        <v>83</v>
      </c>
    </row>
    <row r="26" spans="1:21" customFormat="1" x14ac:dyDescent="0.25">
      <c r="A26" s="683"/>
      <c r="B26" s="681"/>
      <c r="C26" s="681"/>
      <c r="D26" s="681"/>
      <c r="E26" s="663"/>
      <c r="F26" s="661"/>
      <c r="G26" s="29"/>
      <c r="H26" s="637"/>
      <c r="I26" s="719"/>
      <c r="J26" s="721"/>
      <c r="K26" s="29"/>
      <c r="L26" s="642"/>
      <c r="M26" s="642"/>
      <c r="N26" s="29"/>
      <c r="O26" s="679"/>
      <c r="P26" s="659"/>
      <c r="Q26" s="54" t="s">
        <v>84</v>
      </c>
      <c r="R26" s="655"/>
      <c r="S26" s="657"/>
      <c r="T26" s="29"/>
      <c r="U26" s="665"/>
    </row>
    <row r="27" spans="1:21" customFormat="1" ht="15.75" thickBot="1" x14ac:dyDescent="0.3">
      <c r="A27" s="690"/>
      <c r="B27" s="691"/>
      <c r="C27" s="691"/>
      <c r="D27" s="691"/>
      <c r="E27" s="676"/>
      <c r="F27" s="692"/>
      <c r="G27" s="29"/>
      <c r="H27" s="696"/>
      <c r="I27" s="720"/>
      <c r="J27" s="722"/>
      <c r="K27" s="29"/>
      <c r="L27" s="677"/>
      <c r="M27" s="677"/>
      <c r="N27" s="29"/>
      <c r="O27" s="695"/>
      <c r="P27" s="693"/>
      <c r="Q27" s="57" t="s">
        <v>85</v>
      </c>
      <c r="R27" s="689"/>
      <c r="S27" s="688"/>
      <c r="T27" s="29"/>
      <c r="U27" s="666"/>
    </row>
  </sheetData>
  <mergeCells count="99">
    <mergeCell ref="I21:I24"/>
    <mergeCell ref="J21:J24"/>
    <mergeCell ref="I25:I27"/>
    <mergeCell ref="J25:J27"/>
    <mergeCell ref="I3:I6"/>
    <mergeCell ref="J3:J6"/>
    <mergeCell ref="I8:I10"/>
    <mergeCell ref="J8:J10"/>
    <mergeCell ref="I11:I17"/>
    <mergeCell ref="J11:J17"/>
    <mergeCell ref="I18:I20"/>
    <mergeCell ref="J18:J20"/>
    <mergeCell ref="M3:M6"/>
    <mergeCell ref="M8:M10"/>
    <mergeCell ref="M11:M17"/>
    <mergeCell ref="M18:M20"/>
    <mergeCell ref="M21:M24"/>
    <mergeCell ref="A1:U1"/>
    <mergeCell ref="D11:D17"/>
    <mergeCell ref="C11:C17"/>
    <mergeCell ref="B11:B17"/>
    <mergeCell ref="A11:A17"/>
    <mergeCell ref="O11:O12"/>
    <mergeCell ref="O13:O17"/>
    <mergeCell ref="O8:O9"/>
    <mergeCell ref="P8:P9"/>
    <mergeCell ref="R8:R10"/>
    <mergeCell ref="S8:S10"/>
    <mergeCell ref="F11:F17"/>
    <mergeCell ref="P11:P12"/>
    <mergeCell ref="R11:R17"/>
    <mergeCell ref="S11:S17"/>
    <mergeCell ref="P13:P17"/>
    <mergeCell ref="F8:F10"/>
    <mergeCell ref="D8:D10"/>
    <mergeCell ref="C8:C10"/>
    <mergeCell ref="B8:B10"/>
    <mergeCell ref="A8:A10"/>
    <mergeCell ref="P21:P23"/>
    <mergeCell ref="R21:R24"/>
    <mergeCell ref="S21:S24"/>
    <mergeCell ref="P18:P20"/>
    <mergeCell ref="O18:O20"/>
    <mergeCell ref="O21:O23"/>
    <mergeCell ref="S25:S27"/>
    <mergeCell ref="R25:R27"/>
    <mergeCell ref="A25:A27"/>
    <mergeCell ref="B25:B27"/>
    <mergeCell ref="C25:C27"/>
    <mergeCell ref="D25:D27"/>
    <mergeCell ref="F25:F27"/>
    <mergeCell ref="P25:P27"/>
    <mergeCell ref="O25:O27"/>
    <mergeCell ref="H25:H27"/>
    <mergeCell ref="M25:M27"/>
    <mergeCell ref="A21:A24"/>
    <mergeCell ref="B21:B24"/>
    <mergeCell ref="C21:C24"/>
    <mergeCell ref="D21:D24"/>
    <mergeCell ref="F21:F24"/>
    <mergeCell ref="D18:D20"/>
    <mergeCell ref="C18:C20"/>
    <mergeCell ref="A3:A6"/>
    <mergeCell ref="B3:B6"/>
    <mergeCell ref="C3:C6"/>
    <mergeCell ref="D3:D6"/>
    <mergeCell ref="B18:B20"/>
    <mergeCell ref="A18:A20"/>
    <mergeCell ref="F3:F6"/>
    <mergeCell ref="E3:E6"/>
    <mergeCell ref="U25:U27"/>
    <mergeCell ref="U3:U6"/>
    <mergeCell ref="U8:U10"/>
    <mergeCell ref="U11:U17"/>
    <mergeCell ref="U18:U20"/>
    <mergeCell ref="U21:U24"/>
    <mergeCell ref="E8:E10"/>
    <mergeCell ref="E11:E17"/>
    <mergeCell ref="E18:E20"/>
    <mergeCell ref="E21:E24"/>
    <mergeCell ref="E25:E27"/>
    <mergeCell ref="L25:L27"/>
    <mergeCell ref="F18:F20"/>
    <mergeCell ref="O3:O6"/>
    <mergeCell ref="R3:R6"/>
    <mergeCell ref="S3:S6"/>
    <mergeCell ref="P3:P6"/>
    <mergeCell ref="R18:R20"/>
    <mergeCell ref="S18:S20"/>
    <mergeCell ref="L3:L6"/>
    <mergeCell ref="L8:L10"/>
    <mergeCell ref="L11:L17"/>
    <mergeCell ref="L18:L20"/>
    <mergeCell ref="L21:L24"/>
    <mergeCell ref="H3:H6"/>
    <mergeCell ref="H8:H10"/>
    <mergeCell ref="H11:H17"/>
    <mergeCell ref="H18:H20"/>
    <mergeCell ref="H21:H2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
  <sheetViews>
    <sheetView zoomScale="70" zoomScaleNormal="70" workbookViewId="0">
      <pane xSplit="6" ySplit="2" topLeftCell="G15" activePane="bottomRight" state="frozen"/>
      <selection pane="topRight" activeCell="G1" sqref="G1"/>
      <selection pane="bottomLeft" activeCell="A3" sqref="A3"/>
      <selection pane="bottomRight" activeCell="L6" sqref="L6:L16"/>
    </sheetView>
  </sheetViews>
  <sheetFormatPr defaultRowHeight="15" x14ac:dyDescent="0.25"/>
  <cols>
    <col min="1" max="1" width="6" bestFit="1" customWidth="1"/>
    <col min="2" max="2" width="13.28515625" hidden="1" customWidth="1"/>
    <col min="3" max="3" width="23" customWidth="1"/>
    <col min="4" max="4" width="15.42578125" customWidth="1"/>
    <col min="5" max="5" width="47.7109375" customWidth="1"/>
    <col min="6" max="6" width="78.85546875" hidden="1" customWidth="1"/>
    <col min="7" max="7" width="1.7109375" customWidth="1"/>
    <col min="8" max="8" width="35.85546875" customWidth="1"/>
    <col min="9" max="9" width="31" customWidth="1"/>
    <col min="10" max="10" width="39.7109375" customWidth="1"/>
    <col min="11" max="11" width="1.5703125" customWidth="1"/>
    <col min="12" max="13" width="52.42578125" customWidth="1"/>
    <col min="14" max="14" width="4.140625" customWidth="1"/>
    <col min="15" max="15" width="33.85546875" customWidth="1"/>
    <col min="16" max="16" width="27.5703125" customWidth="1"/>
    <col min="17" max="17" width="35.28515625" style="6" bestFit="1" customWidth="1"/>
    <col min="18" max="18" width="75.28515625" style="2" customWidth="1"/>
    <col min="19" max="19" width="52.42578125" style="2" customWidth="1"/>
    <col min="20" max="20" width="39.42578125" style="4" hidden="1" customWidth="1"/>
  </cols>
  <sheetData>
    <row r="1" spans="1:20" ht="15.95" customHeight="1" thickBot="1" x14ac:dyDescent="0.35">
      <c r="A1" s="736" t="s">
        <v>86</v>
      </c>
      <c r="B1" s="737"/>
      <c r="C1" s="737"/>
      <c r="D1" s="737"/>
      <c r="E1" s="737"/>
      <c r="F1" s="737"/>
      <c r="G1" s="737"/>
      <c r="H1" s="737"/>
      <c r="I1" s="737"/>
      <c r="J1" s="737"/>
      <c r="K1" s="737"/>
      <c r="L1" s="737"/>
      <c r="M1" s="737"/>
      <c r="N1" s="737"/>
      <c r="O1" s="737"/>
      <c r="P1" s="737"/>
      <c r="Q1" s="737"/>
      <c r="R1" s="737"/>
      <c r="S1" s="737"/>
      <c r="T1" s="738"/>
    </row>
    <row r="2" spans="1:20" ht="15" customHeight="1" thickBot="1" x14ac:dyDescent="0.3">
      <c r="A2" s="7" t="s">
        <v>10</v>
      </c>
      <c r="B2" s="8" t="s">
        <v>11</v>
      </c>
      <c r="C2" s="8" t="s">
        <v>12</v>
      </c>
      <c r="D2" s="8" t="s">
        <v>13</v>
      </c>
      <c r="E2" s="10" t="s">
        <v>14</v>
      </c>
      <c r="F2" s="308" t="s">
        <v>890</v>
      </c>
      <c r="G2" s="183"/>
      <c r="H2" s="318" t="s">
        <v>725</v>
      </c>
      <c r="I2" s="319" t="s">
        <v>1412</v>
      </c>
      <c r="J2" s="320" t="s">
        <v>1411</v>
      </c>
      <c r="K2" s="183"/>
      <c r="L2" s="226" t="s">
        <v>87</v>
      </c>
      <c r="M2" s="226" t="s">
        <v>1475</v>
      </c>
      <c r="N2" s="183"/>
      <c r="O2" s="309" t="s">
        <v>15</v>
      </c>
      <c r="P2" s="310" t="s">
        <v>16</v>
      </c>
      <c r="Q2" s="310" t="s">
        <v>17</v>
      </c>
      <c r="R2" s="310" t="s">
        <v>18</v>
      </c>
      <c r="S2" s="173" t="s">
        <v>19</v>
      </c>
      <c r="T2" s="311" t="s">
        <v>812</v>
      </c>
    </row>
    <row r="3" spans="1:20" ht="58.5" customHeight="1" x14ac:dyDescent="0.25">
      <c r="A3" s="81" t="s">
        <v>31</v>
      </c>
      <c r="B3" s="104" t="s">
        <v>889</v>
      </c>
      <c r="C3" s="83" t="s">
        <v>32</v>
      </c>
      <c r="D3" s="83" t="s">
        <v>22</v>
      </c>
      <c r="E3" s="75" t="s">
        <v>892</v>
      </c>
      <c r="F3" s="75" t="s">
        <v>88</v>
      </c>
      <c r="G3" s="29"/>
      <c r="H3" s="354" t="s">
        <v>816</v>
      </c>
      <c r="I3" s="352" t="s">
        <v>1490</v>
      </c>
      <c r="J3" s="417" t="s">
        <v>1491</v>
      </c>
      <c r="K3" s="29"/>
      <c r="L3" s="539" t="s">
        <v>816</v>
      </c>
      <c r="M3" s="498" t="s">
        <v>1476</v>
      </c>
      <c r="N3" s="29"/>
      <c r="O3" s="68" t="s">
        <v>24</v>
      </c>
      <c r="P3" s="69" t="s">
        <v>25</v>
      </c>
      <c r="Q3" s="53" t="s">
        <v>34</v>
      </c>
      <c r="R3" s="69" t="s">
        <v>35</v>
      </c>
      <c r="S3" s="71"/>
      <c r="T3" s="41" t="s">
        <v>36</v>
      </c>
    </row>
    <row r="4" spans="1:20" ht="120" customHeight="1" x14ac:dyDescent="0.25">
      <c r="A4" s="84" t="s">
        <v>89</v>
      </c>
      <c r="B4" s="85" t="s">
        <v>897</v>
      </c>
      <c r="C4" s="85" t="s">
        <v>292</v>
      </c>
      <c r="D4" s="85" t="s">
        <v>1407</v>
      </c>
      <c r="E4" s="89" t="s">
        <v>900</v>
      </c>
      <c r="F4" s="89" t="s">
        <v>913</v>
      </c>
      <c r="G4" s="29"/>
      <c r="H4" s="346" t="s">
        <v>817</v>
      </c>
      <c r="I4" s="347" t="s">
        <v>1492</v>
      </c>
      <c r="J4" s="350" t="s">
        <v>1493</v>
      </c>
      <c r="K4" s="29"/>
      <c r="L4" s="540" t="s">
        <v>1675</v>
      </c>
      <c r="M4" s="534" t="s">
        <v>1476</v>
      </c>
      <c r="N4" s="29"/>
      <c r="O4" s="38" t="s">
        <v>90</v>
      </c>
      <c r="P4" s="88" t="s">
        <v>25</v>
      </c>
      <c r="Q4" s="85" t="s">
        <v>91</v>
      </c>
      <c r="R4" s="88" t="s">
        <v>92</v>
      </c>
      <c r="S4" s="89" t="s">
        <v>93</v>
      </c>
      <c r="T4" s="77" t="s">
        <v>94</v>
      </c>
    </row>
    <row r="5" spans="1:20" ht="60" x14ac:dyDescent="0.25">
      <c r="A5" s="82" t="s">
        <v>95</v>
      </c>
      <c r="B5" s="80" t="s">
        <v>897</v>
      </c>
      <c r="C5" s="80" t="s">
        <v>899</v>
      </c>
      <c r="D5" s="80" t="s">
        <v>22</v>
      </c>
      <c r="E5" s="105" t="s">
        <v>901</v>
      </c>
      <c r="F5" s="105" t="s">
        <v>914</v>
      </c>
      <c r="G5" s="29"/>
      <c r="H5" s="351" t="s">
        <v>818</v>
      </c>
      <c r="I5" s="349" t="s">
        <v>1494</v>
      </c>
      <c r="J5" s="353" t="s">
        <v>1495</v>
      </c>
      <c r="K5" s="29"/>
      <c r="L5" s="552" t="s">
        <v>818</v>
      </c>
      <c r="M5" s="490" t="s">
        <v>1476</v>
      </c>
      <c r="N5" s="29"/>
      <c r="O5" s="106" t="s">
        <v>90</v>
      </c>
      <c r="P5" s="70" t="s">
        <v>25</v>
      </c>
      <c r="Q5" s="54" t="s">
        <v>96</v>
      </c>
      <c r="R5" s="70" t="s">
        <v>97</v>
      </c>
      <c r="S5" s="72" t="s">
        <v>93</v>
      </c>
      <c r="T5" s="77" t="s">
        <v>94</v>
      </c>
    </row>
    <row r="6" spans="1:20" x14ac:dyDescent="0.25">
      <c r="A6" s="685" t="s">
        <v>98</v>
      </c>
      <c r="B6" s="686" t="s">
        <v>897</v>
      </c>
      <c r="C6" s="686" t="s">
        <v>295</v>
      </c>
      <c r="D6" s="686" t="s">
        <v>69</v>
      </c>
      <c r="E6" s="699" t="s">
        <v>902</v>
      </c>
      <c r="F6" s="699" t="s">
        <v>915</v>
      </c>
      <c r="G6" s="29"/>
      <c r="H6" s="685" t="s">
        <v>819</v>
      </c>
      <c r="I6" s="698" t="s">
        <v>1496</v>
      </c>
      <c r="J6" s="699" t="s">
        <v>1497</v>
      </c>
      <c r="K6" s="29"/>
      <c r="L6" s="739" t="s">
        <v>1678</v>
      </c>
      <c r="M6" s="734" t="s">
        <v>1484</v>
      </c>
      <c r="N6" s="29"/>
      <c r="O6" s="740" t="s">
        <v>46</v>
      </c>
      <c r="P6" s="698" t="s">
        <v>47</v>
      </c>
      <c r="Q6" s="85" t="s">
        <v>61</v>
      </c>
      <c r="R6" s="741" t="s">
        <v>99</v>
      </c>
      <c r="S6" s="699" t="s">
        <v>100</v>
      </c>
      <c r="T6" s="671" t="s">
        <v>101</v>
      </c>
    </row>
    <row r="7" spans="1:20" x14ac:dyDescent="0.25">
      <c r="A7" s="685"/>
      <c r="B7" s="686"/>
      <c r="C7" s="686"/>
      <c r="D7" s="686"/>
      <c r="E7" s="699"/>
      <c r="F7" s="699"/>
      <c r="G7" s="30"/>
      <c r="H7" s="685"/>
      <c r="I7" s="698"/>
      <c r="J7" s="699"/>
      <c r="K7" s="30"/>
      <c r="L7" s="739"/>
      <c r="M7" s="734"/>
      <c r="N7" s="30"/>
      <c r="O7" s="740"/>
      <c r="P7" s="698"/>
      <c r="Q7" s="85" t="s">
        <v>65</v>
      </c>
      <c r="R7" s="741"/>
      <c r="S7" s="699"/>
      <c r="T7" s="671"/>
    </row>
    <row r="8" spans="1:20" x14ac:dyDescent="0.25">
      <c r="A8" s="685"/>
      <c r="B8" s="686"/>
      <c r="C8" s="686"/>
      <c r="D8" s="686"/>
      <c r="E8" s="699"/>
      <c r="F8" s="699"/>
      <c r="G8" s="29"/>
      <c r="H8" s="685"/>
      <c r="I8" s="698"/>
      <c r="J8" s="699"/>
      <c r="K8" s="29"/>
      <c r="L8" s="739"/>
      <c r="M8" s="734"/>
      <c r="N8" s="29"/>
      <c r="O8" s="740"/>
      <c r="P8" s="698"/>
      <c r="Q8" s="85" t="s">
        <v>102</v>
      </c>
      <c r="R8" s="741"/>
      <c r="S8" s="699"/>
      <c r="T8" s="671"/>
    </row>
    <row r="9" spans="1:20" x14ac:dyDescent="0.25">
      <c r="A9" s="685"/>
      <c r="B9" s="686"/>
      <c r="C9" s="686"/>
      <c r="D9" s="686"/>
      <c r="E9" s="699"/>
      <c r="F9" s="699"/>
      <c r="G9" s="29"/>
      <c r="H9" s="685"/>
      <c r="I9" s="698"/>
      <c r="J9" s="699"/>
      <c r="K9" s="29"/>
      <c r="L9" s="739"/>
      <c r="M9" s="734"/>
      <c r="N9" s="29"/>
      <c r="O9" s="733" t="s">
        <v>24</v>
      </c>
      <c r="P9" s="711" t="s">
        <v>25</v>
      </c>
      <c r="Q9" s="23" t="s">
        <v>26</v>
      </c>
      <c r="R9" s="741"/>
      <c r="S9" s="699"/>
      <c r="T9" s="671"/>
    </row>
    <row r="10" spans="1:20" x14ac:dyDescent="0.25">
      <c r="A10" s="685"/>
      <c r="B10" s="686"/>
      <c r="C10" s="686"/>
      <c r="D10" s="686"/>
      <c r="E10" s="699"/>
      <c r="F10" s="699"/>
      <c r="G10" s="29"/>
      <c r="H10" s="685"/>
      <c r="I10" s="698"/>
      <c r="J10" s="699"/>
      <c r="K10" s="29"/>
      <c r="L10" s="739"/>
      <c r="M10" s="734"/>
      <c r="N10" s="29"/>
      <c r="O10" s="733"/>
      <c r="P10" s="711"/>
      <c r="Q10" s="23" t="s">
        <v>28</v>
      </c>
      <c r="R10" s="741"/>
      <c r="S10" s="699"/>
      <c r="T10" s="671"/>
    </row>
    <row r="11" spans="1:20" x14ac:dyDescent="0.25">
      <c r="A11" s="685"/>
      <c r="B11" s="686"/>
      <c r="C11" s="686"/>
      <c r="D11" s="686"/>
      <c r="E11" s="699"/>
      <c r="F11" s="699"/>
      <c r="G11" s="30"/>
      <c r="H11" s="685"/>
      <c r="I11" s="698"/>
      <c r="J11" s="699"/>
      <c r="K11" s="30"/>
      <c r="L11" s="739"/>
      <c r="M11" s="734"/>
      <c r="N11" s="30"/>
      <c r="O11" s="733"/>
      <c r="P11" s="711"/>
      <c r="Q11" s="23" t="s">
        <v>29</v>
      </c>
      <c r="R11" s="741"/>
      <c r="S11" s="699"/>
      <c r="T11" s="671"/>
    </row>
    <row r="12" spans="1:20" x14ac:dyDescent="0.25">
      <c r="A12" s="685"/>
      <c r="B12" s="686"/>
      <c r="C12" s="686"/>
      <c r="D12" s="686"/>
      <c r="E12" s="699"/>
      <c r="F12" s="699"/>
      <c r="G12" s="30"/>
      <c r="H12" s="685"/>
      <c r="I12" s="698"/>
      <c r="J12" s="699"/>
      <c r="K12" s="30"/>
      <c r="L12" s="739"/>
      <c r="M12" s="734"/>
      <c r="N12" s="30"/>
      <c r="O12" s="733"/>
      <c r="P12" s="711"/>
      <c r="Q12" s="23" t="s">
        <v>30</v>
      </c>
      <c r="R12" s="741"/>
      <c r="S12" s="699"/>
      <c r="T12" s="671"/>
    </row>
    <row r="13" spans="1:20" x14ac:dyDescent="0.25">
      <c r="A13" s="685"/>
      <c r="B13" s="686"/>
      <c r="C13" s="686"/>
      <c r="D13" s="686"/>
      <c r="E13" s="699"/>
      <c r="F13" s="699"/>
      <c r="G13" s="30"/>
      <c r="H13" s="685"/>
      <c r="I13" s="698"/>
      <c r="J13" s="699"/>
      <c r="K13" s="30"/>
      <c r="L13" s="739"/>
      <c r="M13" s="734"/>
      <c r="N13" s="30"/>
      <c r="O13" s="733" t="s">
        <v>103</v>
      </c>
      <c r="P13" s="735" t="s">
        <v>80</v>
      </c>
      <c r="Q13" s="23" t="s">
        <v>104</v>
      </c>
      <c r="R13" s="741"/>
      <c r="S13" s="699"/>
      <c r="T13" s="671"/>
    </row>
    <row r="14" spans="1:20" x14ac:dyDescent="0.25">
      <c r="A14" s="685"/>
      <c r="B14" s="686"/>
      <c r="C14" s="686"/>
      <c r="D14" s="686"/>
      <c r="E14" s="699"/>
      <c r="F14" s="699"/>
      <c r="G14" s="30"/>
      <c r="H14" s="685"/>
      <c r="I14" s="698"/>
      <c r="J14" s="699"/>
      <c r="K14" s="30"/>
      <c r="L14" s="739"/>
      <c r="M14" s="734"/>
      <c r="N14" s="30"/>
      <c r="O14" s="733"/>
      <c r="P14" s="735"/>
      <c r="Q14" s="23" t="s">
        <v>105</v>
      </c>
      <c r="R14" s="741"/>
      <c r="S14" s="699"/>
      <c r="T14" s="671"/>
    </row>
    <row r="15" spans="1:20" x14ac:dyDescent="0.25">
      <c r="A15" s="685"/>
      <c r="B15" s="686"/>
      <c r="C15" s="686"/>
      <c r="D15" s="686"/>
      <c r="E15" s="699"/>
      <c r="F15" s="699"/>
      <c r="G15" s="30"/>
      <c r="H15" s="685"/>
      <c r="I15" s="698"/>
      <c r="J15" s="699"/>
      <c r="K15" s="30"/>
      <c r="L15" s="739"/>
      <c r="M15" s="734"/>
      <c r="N15" s="30"/>
      <c r="O15" s="733"/>
      <c r="P15" s="735"/>
      <c r="Q15" s="23" t="s">
        <v>85</v>
      </c>
      <c r="R15" s="741"/>
      <c r="S15" s="699"/>
      <c r="T15" s="671"/>
    </row>
    <row r="16" spans="1:20" ht="82.5" customHeight="1" x14ac:dyDescent="0.25">
      <c r="A16" s="685"/>
      <c r="B16" s="686"/>
      <c r="C16" s="686"/>
      <c r="D16" s="686"/>
      <c r="E16" s="699"/>
      <c r="F16" s="699"/>
      <c r="G16" s="30"/>
      <c r="H16" s="685"/>
      <c r="I16" s="698"/>
      <c r="J16" s="699"/>
      <c r="K16" s="30"/>
      <c r="L16" s="739"/>
      <c r="M16" s="734"/>
      <c r="N16" s="30"/>
      <c r="O16" s="98" t="s">
        <v>106</v>
      </c>
      <c r="P16" s="101" t="s">
        <v>80</v>
      </c>
      <c r="Q16" s="23" t="s">
        <v>107</v>
      </c>
      <c r="R16" s="741"/>
      <c r="S16" s="699"/>
      <c r="T16" s="671"/>
    </row>
    <row r="17" spans="1:20" ht="180.75" thickBot="1" x14ac:dyDescent="0.3">
      <c r="A17" s="92" t="s">
        <v>108</v>
      </c>
      <c r="B17" s="93" t="s">
        <v>897</v>
      </c>
      <c r="C17" s="93" t="s">
        <v>297</v>
      </c>
      <c r="D17" s="93" t="s">
        <v>69</v>
      </c>
      <c r="E17" s="315" t="s">
        <v>903</v>
      </c>
      <c r="F17" s="42" t="s">
        <v>916</v>
      </c>
      <c r="G17" s="30"/>
      <c r="H17" s="412" t="s">
        <v>739</v>
      </c>
      <c r="I17" s="413" t="s">
        <v>739</v>
      </c>
      <c r="J17" s="414" t="s">
        <v>739</v>
      </c>
      <c r="K17" s="30"/>
      <c r="L17" s="541" t="s">
        <v>1473</v>
      </c>
      <c r="M17" s="542" t="s">
        <v>1476</v>
      </c>
      <c r="N17" s="30"/>
      <c r="O17" s="312" t="s">
        <v>109</v>
      </c>
      <c r="P17" s="57" t="s">
        <v>109</v>
      </c>
      <c r="Q17" s="57" t="s">
        <v>109</v>
      </c>
      <c r="R17" s="57" t="s">
        <v>109</v>
      </c>
      <c r="S17" s="300" t="s">
        <v>109</v>
      </c>
      <c r="T17" s="208"/>
    </row>
  </sheetData>
  <mergeCells count="21">
    <mergeCell ref="S6:S16"/>
    <mergeCell ref="A1:T1"/>
    <mergeCell ref="T6:T16"/>
    <mergeCell ref="D6:D16"/>
    <mergeCell ref="C6:C16"/>
    <mergeCell ref="B6:B16"/>
    <mergeCell ref="A6:A16"/>
    <mergeCell ref="E6:E16"/>
    <mergeCell ref="F6:F16"/>
    <mergeCell ref="H6:H16"/>
    <mergeCell ref="L6:L16"/>
    <mergeCell ref="O6:O8"/>
    <mergeCell ref="P6:P8"/>
    <mergeCell ref="R6:R16"/>
    <mergeCell ref="O9:O12"/>
    <mergeCell ref="P9:P12"/>
    <mergeCell ref="O13:O15"/>
    <mergeCell ref="I6:I16"/>
    <mergeCell ref="J6:J16"/>
    <mergeCell ref="M6:M16"/>
    <mergeCell ref="P13:P15"/>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zoomScale="70" zoomScaleNormal="70" workbookViewId="0">
      <pane xSplit="6" ySplit="2" topLeftCell="G21" activePane="bottomRight" state="frozen"/>
      <selection pane="topRight" activeCell="G1" sqref="G1"/>
      <selection pane="bottomLeft" activeCell="A3" sqref="A3"/>
      <selection pane="bottomRight" activeCell="L18" sqref="L18"/>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140625" customWidth="1"/>
    <col min="8" max="8" width="34.140625" customWidth="1"/>
    <col min="9" max="9" width="18.28515625" bestFit="1" customWidth="1"/>
    <col min="10" max="10" width="44" customWidth="1"/>
    <col min="11" max="11" width="4" customWidth="1"/>
    <col min="12" max="12" width="52.42578125" style="505" customWidth="1"/>
    <col min="13" max="13" width="52.42578125" customWidth="1"/>
    <col min="14" max="14" width="4.140625" customWidth="1"/>
    <col min="15" max="15" width="38" customWidth="1"/>
    <col min="16" max="16" width="36" customWidth="1"/>
    <col min="17" max="17" width="35.28515625" customWidth="1"/>
    <col min="18" max="18" width="82" customWidth="1"/>
    <col min="19" max="19" width="52.42578125" customWidth="1"/>
    <col min="20" max="20" width="52.42578125" style="4" hidden="1" customWidth="1"/>
    <col min="21" max="21" width="37.5703125" customWidth="1"/>
  </cols>
  <sheetData>
    <row r="1" spans="1:20" ht="15.95" customHeight="1" thickBot="1" x14ac:dyDescent="0.35">
      <c r="A1" s="736" t="s">
        <v>110</v>
      </c>
      <c r="B1" s="737"/>
      <c r="C1" s="737"/>
      <c r="D1" s="737"/>
      <c r="E1" s="737"/>
      <c r="F1" s="737"/>
      <c r="G1" s="737"/>
      <c r="H1" s="737"/>
      <c r="I1" s="737"/>
      <c r="J1" s="737"/>
      <c r="K1" s="737"/>
      <c r="L1" s="758"/>
      <c r="M1" s="758"/>
      <c r="N1" s="737"/>
      <c r="O1" s="737"/>
      <c r="P1" s="737"/>
      <c r="Q1" s="737"/>
      <c r="R1" s="737"/>
      <c r="S1" s="737"/>
      <c r="T1" s="738"/>
    </row>
    <row r="2" spans="1:20" ht="31.5" customHeight="1" thickBot="1" x14ac:dyDescent="0.3">
      <c r="A2" s="7" t="s">
        <v>10</v>
      </c>
      <c r="B2" s="8" t="s">
        <v>11</v>
      </c>
      <c r="C2" s="8" t="s">
        <v>12</v>
      </c>
      <c r="D2" s="8" t="s">
        <v>13</v>
      </c>
      <c r="E2" s="10" t="s">
        <v>14</v>
      </c>
      <c r="F2" s="22" t="s">
        <v>890</v>
      </c>
      <c r="G2" s="183"/>
      <c r="H2" s="318" t="s">
        <v>725</v>
      </c>
      <c r="I2" s="319" t="s">
        <v>1412</v>
      </c>
      <c r="J2" s="320" t="s">
        <v>1411</v>
      </c>
      <c r="K2" s="183"/>
      <c r="L2" s="226" t="s">
        <v>87</v>
      </c>
      <c r="M2" s="226" t="s">
        <v>1475</v>
      </c>
      <c r="N2" s="183"/>
      <c r="O2" s="313" t="s">
        <v>15</v>
      </c>
      <c r="P2" s="314" t="s">
        <v>16</v>
      </c>
      <c r="Q2" s="314" t="s">
        <v>17</v>
      </c>
      <c r="R2" s="314" t="s">
        <v>18</v>
      </c>
      <c r="S2" s="61" t="s">
        <v>19</v>
      </c>
      <c r="T2" s="311" t="s">
        <v>812</v>
      </c>
    </row>
    <row r="3" spans="1:20" x14ac:dyDescent="0.25">
      <c r="A3" s="682" t="s">
        <v>111</v>
      </c>
      <c r="B3" s="754" t="s">
        <v>889</v>
      </c>
      <c r="C3" s="684" t="s">
        <v>112</v>
      </c>
      <c r="D3" s="684" t="s">
        <v>22</v>
      </c>
      <c r="E3" s="664" t="s">
        <v>907</v>
      </c>
      <c r="F3" s="762" t="s">
        <v>917</v>
      </c>
      <c r="G3" s="30"/>
      <c r="H3" s="757" t="s">
        <v>797</v>
      </c>
      <c r="I3" s="742" t="s">
        <v>1501</v>
      </c>
      <c r="J3" s="743" t="s">
        <v>1502</v>
      </c>
      <c r="K3" s="30"/>
      <c r="L3" s="750" t="s">
        <v>797</v>
      </c>
      <c r="M3" s="751" t="s">
        <v>1476</v>
      </c>
      <c r="N3" s="30"/>
      <c r="O3" s="680" t="s">
        <v>113</v>
      </c>
      <c r="P3" s="654" t="s">
        <v>25</v>
      </c>
      <c r="Q3" s="53" t="s">
        <v>26</v>
      </c>
      <c r="R3" s="654" t="s">
        <v>814</v>
      </c>
      <c r="S3" s="656"/>
      <c r="T3" s="760" t="s">
        <v>800</v>
      </c>
    </row>
    <row r="4" spans="1:20" x14ac:dyDescent="0.25">
      <c r="A4" s="683"/>
      <c r="B4" s="755"/>
      <c r="C4" s="681"/>
      <c r="D4" s="681"/>
      <c r="E4" s="764"/>
      <c r="F4" s="763"/>
      <c r="G4" s="30"/>
      <c r="H4" s="637"/>
      <c r="I4" s="719"/>
      <c r="J4" s="721"/>
      <c r="K4" s="30"/>
      <c r="L4" s="748"/>
      <c r="M4" s="752"/>
      <c r="N4" s="30"/>
      <c r="O4" s="749"/>
      <c r="P4" s="655"/>
      <c r="Q4" s="54" t="s">
        <v>114</v>
      </c>
      <c r="R4" s="655"/>
      <c r="S4" s="657"/>
      <c r="T4" s="759"/>
    </row>
    <row r="5" spans="1:20" ht="29.25" customHeight="1" x14ac:dyDescent="0.25">
      <c r="A5" s="683"/>
      <c r="B5" s="755"/>
      <c r="C5" s="681"/>
      <c r="D5" s="681"/>
      <c r="E5" s="764"/>
      <c r="F5" s="763"/>
      <c r="G5" s="30"/>
      <c r="H5" s="637"/>
      <c r="I5" s="719"/>
      <c r="J5" s="721"/>
      <c r="K5" s="30"/>
      <c r="L5" s="748"/>
      <c r="M5" s="752"/>
      <c r="N5" s="30"/>
      <c r="O5" s="749"/>
      <c r="P5" s="655"/>
      <c r="Q5" s="54" t="s">
        <v>115</v>
      </c>
      <c r="R5" s="655"/>
      <c r="S5" s="657"/>
      <c r="T5" s="759"/>
    </row>
    <row r="6" spans="1:20" ht="40.5" customHeight="1" x14ac:dyDescent="0.25">
      <c r="A6" s="683"/>
      <c r="B6" s="755"/>
      <c r="C6" s="681"/>
      <c r="D6" s="681"/>
      <c r="E6" s="764"/>
      <c r="F6" s="763"/>
      <c r="G6" s="30"/>
      <c r="H6" s="637"/>
      <c r="I6" s="719"/>
      <c r="J6" s="721"/>
      <c r="K6" s="30"/>
      <c r="L6" s="748"/>
      <c r="M6" s="752"/>
      <c r="N6" s="30"/>
      <c r="O6" s="749"/>
      <c r="P6" s="655"/>
      <c r="Q6" s="54" t="s">
        <v>116</v>
      </c>
      <c r="R6" s="655"/>
      <c r="S6" s="657"/>
      <c r="T6" s="759"/>
    </row>
    <row r="7" spans="1:20" x14ac:dyDescent="0.25">
      <c r="A7" s="685" t="s">
        <v>20</v>
      </c>
      <c r="B7" s="686" t="s">
        <v>889</v>
      </c>
      <c r="C7" s="686" t="s">
        <v>21</v>
      </c>
      <c r="D7" s="686" t="s">
        <v>22</v>
      </c>
      <c r="E7" s="699" t="s">
        <v>908</v>
      </c>
      <c r="F7" s="698" t="s">
        <v>23</v>
      </c>
      <c r="G7" s="30"/>
      <c r="H7" s="756" t="s">
        <v>820</v>
      </c>
      <c r="I7" s="744" t="s">
        <v>739</v>
      </c>
      <c r="J7" s="746" t="s">
        <v>739</v>
      </c>
      <c r="K7" s="30"/>
      <c r="L7" s="756" t="s">
        <v>820</v>
      </c>
      <c r="M7" s="747" t="s">
        <v>1476</v>
      </c>
      <c r="N7" s="30"/>
      <c r="O7" s="733" t="s">
        <v>117</v>
      </c>
      <c r="P7" s="735" t="s">
        <v>25</v>
      </c>
      <c r="Q7" s="23" t="s">
        <v>26</v>
      </c>
      <c r="R7" s="735" t="s">
        <v>813</v>
      </c>
      <c r="S7" s="753"/>
      <c r="T7" s="761" t="s">
        <v>763</v>
      </c>
    </row>
    <row r="8" spans="1:20" x14ac:dyDescent="0.25">
      <c r="A8" s="685"/>
      <c r="B8" s="686"/>
      <c r="C8" s="686"/>
      <c r="D8" s="686"/>
      <c r="E8" s="699"/>
      <c r="F8" s="698"/>
      <c r="G8" s="30"/>
      <c r="H8" s="756"/>
      <c r="I8" s="745"/>
      <c r="J8" s="747"/>
      <c r="K8" s="30"/>
      <c r="L8" s="756"/>
      <c r="M8" s="747"/>
      <c r="N8" s="30"/>
      <c r="O8" s="733"/>
      <c r="P8" s="735"/>
      <c r="Q8" s="23" t="s">
        <v>28</v>
      </c>
      <c r="R8" s="735"/>
      <c r="S8" s="753"/>
      <c r="T8" s="761"/>
    </row>
    <row r="9" spans="1:20" x14ac:dyDescent="0.25">
      <c r="A9" s="685"/>
      <c r="B9" s="686"/>
      <c r="C9" s="686"/>
      <c r="D9" s="686"/>
      <c r="E9" s="699"/>
      <c r="F9" s="698"/>
      <c r="G9" s="30"/>
      <c r="H9" s="756"/>
      <c r="I9" s="745"/>
      <c r="J9" s="747"/>
      <c r="K9" s="30"/>
      <c r="L9" s="756"/>
      <c r="M9" s="747"/>
      <c r="N9" s="30"/>
      <c r="O9" s="733"/>
      <c r="P9" s="735"/>
      <c r="Q9" s="23" t="s">
        <v>29</v>
      </c>
      <c r="R9" s="735"/>
      <c r="S9" s="753"/>
      <c r="T9" s="761"/>
    </row>
    <row r="10" spans="1:20" ht="53.25" customHeight="1" x14ac:dyDescent="0.25">
      <c r="A10" s="685"/>
      <c r="B10" s="686"/>
      <c r="C10" s="686"/>
      <c r="D10" s="686"/>
      <c r="E10" s="699"/>
      <c r="F10" s="698"/>
      <c r="G10" s="30"/>
      <c r="H10" s="756"/>
      <c r="I10" s="745"/>
      <c r="J10" s="747"/>
      <c r="K10" s="30"/>
      <c r="L10" s="756"/>
      <c r="M10" s="747"/>
      <c r="N10" s="30"/>
      <c r="O10" s="733"/>
      <c r="P10" s="735"/>
      <c r="Q10" s="23" t="s">
        <v>30</v>
      </c>
      <c r="R10" s="735"/>
      <c r="S10" s="753"/>
      <c r="T10" s="761"/>
    </row>
    <row r="11" spans="1:20" ht="14.45" customHeight="1" x14ac:dyDescent="0.25">
      <c r="A11" s="683" t="s">
        <v>118</v>
      </c>
      <c r="B11" s="755" t="s">
        <v>889</v>
      </c>
      <c r="C11" s="681" t="s">
        <v>119</v>
      </c>
      <c r="D11" s="681" t="s">
        <v>39</v>
      </c>
      <c r="E11" s="764" t="s">
        <v>909</v>
      </c>
      <c r="F11" s="763" t="s">
        <v>918</v>
      </c>
      <c r="G11" s="30"/>
      <c r="H11" s="637" t="s">
        <v>799</v>
      </c>
      <c r="I11" s="719" t="s">
        <v>1503</v>
      </c>
      <c r="J11" s="721" t="s">
        <v>1504</v>
      </c>
      <c r="K11" s="30"/>
      <c r="L11" s="748" t="s">
        <v>799</v>
      </c>
      <c r="M11" s="752" t="s">
        <v>1477</v>
      </c>
      <c r="N11" s="30"/>
      <c r="O11" s="749" t="s">
        <v>41</v>
      </c>
      <c r="P11" s="655" t="s">
        <v>120</v>
      </c>
      <c r="Q11" s="54" t="s">
        <v>43</v>
      </c>
      <c r="R11" s="655" t="s">
        <v>121</v>
      </c>
      <c r="S11" s="710"/>
      <c r="T11" s="759"/>
    </row>
    <row r="12" spans="1:20" x14ac:dyDescent="0.25">
      <c r="A12" s="683"/>
      <c r="B12" s="755"/>
      <c r="C12" s="681"/>
      <c r="D12" s="681"/>
      <c r="E12" s="764"/>
      <c r="F12" s="763"/>
      <c r="G12" s="30"/>
      <c r="H12" s="637"/>
      <c r="I12" s="719"/>
      <c r="J12" s="721"/>
      <c r="K12" s="30"/>
      <c r="L12" s="748"/>
      <c r="M12" s="752"/>
      <c r="N12" s="30"/>
      <c r="O12" s="749"/>
      <c r="P12" s="655"/>
      <c r="Q12" s="54" t="s">
        <v>45</v>
      </c>
      <c r="R12" s="655"/>
      <c r="S12" s="710"/>
      <c r="T12" s="759"/>
    </row>
    <row r="13" spans="1:20" ht="239.25" customHeight="1" x14ac:dyDescent="0.25">
      <c r="A13" s="683"/>
      <c r="B13" s="755"/>
      <c r="C13" s="681"/>
      <c r="D13" s="681"/>
      <c r="E13" s="764"/>
      <c r="F13" s="763"/>
      <c r="G13" s="30"/>
      <c r="H13" s="637"/>
      <c r="I13" s="719"/>
      <c r="J13" s="721"/>
      <c r="K13" s="30"/>
      <c r="L13" s="748"/>
      <c r="M13" s="752"/>
      <c r="N13" s="30"/>
      <c r="O13" s="65" t="s">
        <v>122</v>
      </c>
      <c r="P13" s="73" t="s">
        <v>25</v>
      </c>
      <c r="Q13" s="54" t="s">
        <v>123</v>
      </c>
      <c r="R13" s="655"/>
      <c r="S13" s="710"/>
      <c r="T13" s="759"/>
    </row>
    <row r="14" spans="1:20" ht="225" x14ac:dyDescent="0.25">
      <c r="A14" s="84" t="s">
        <v>124</v>
      </c>
      <c r="B14" s="85" t="s">
        <v>904</v>
      </c>
      <c r="C14" s="85" t="s">
        <v>125</v>
      </c>
      <c r="D14" s="85" t="s">
        <v>126</v>
      </c>
      <c r="E14" s="316" t="s">
        <v>910</v>
      </c>
      <c r="F14" s="88" t="s">
        <v>919</v>
      </c>
      <c r="G14" s="30"/>
      <c r="H14" s="323" t="s">
        <v>739</v>
      </c>
      <c r="I14" s="374" t="s">
        <v>739</v>
      </c>
      <c r="J14" s="572" t="s">
        <v>739</v>
      </c>
      <c r="K14" s="30"/>
      <c r="L14" s="571" t="s">
        <v>1681</v>
      </c>
      <c r="M14" s="561" t="s">
        <v>1483</v>
      </c>
      <c r="N14" s="30"/>
      <c r="O14" s="38"/>
      <c r="P14" s="88"/>
      <c r="Q14" s="85"/>
      <c r="R14" s="88" t="s">
        <v>127</v>
      </c>
      <c r="S14" s="97"/>
      <c r="T14" s="671" t="s">
        <v>801</v>
      </c>
    </row>
    <row r="15" spans="1:20" ht="210" x14ac:dyDescent="0.25">
      <c r="A15" s="82" t="s">
        <v>128</v>
      </c>
      <c r="B15" s="80" t="s">
        <v>904</v>
      </c>
      <c r="C15" s="80" t="s">
        <v>129</v>
      </c>
      <c r="D15" s="80" t="s">
        <v>126</v>
      </c>
      <c r="E15" s="491" t="s">
        <v>911</v>
      </c>
      <c r="F15" s="110" t="s">
        <v>920</v>
      </c>
      <c r="G15" s="30"/>
      <c r="H15" s="355" t="s">
        <v>739</v>
      </c>
      <c r="I15" s="377" t="s">
        <v>739</v>
      </c>
      <c r="J15" s="368" t="s">
        <v>739</v>
      </c>
      <c r="K15" s="30"/>
      <c r="L15" s="566" t="s">
        <v>1682</v>
      </c>
      <c r="M15" s="561" t="s">
        <v>1483</v>
      </c>
      <c r="N15" s="30"/>
      <c r="O15" s="106"/>
      <c r="P15" s="70"/>
      <c r="Q15" s="54"/>
      <c r="R15" s="70" t="s">
        <v>127</v>
      </c>
      <c r="S15" s="95"/>
      <c r="T15" s="671"/>
    </row>
    <row r="16" spans="1:20" ht="57.95" customHeight="1" x14ac:dyDescent="0.25">
      <c r="A16" s="84" t="s">
        <v>130</v>
      </c>
      <c r="B16" s="85" t="s">
        <v>131</v>
      </c>
      <c r="C16" s="85" t="s">
        <v>132</v>
      </c>
      <c r="D16" s="85" t="s">
        <v>126</v>
      </c>
      <c r="E16" s="316" t="s">
        <v>912</v>
      </c>
      <c r="F16" s="88" t="s">
        <v>921</v>
      </c>
      <c r="G16" s="30"/>
      <c r="H16" s="346" t="s">
        <v>821</v>
      </c>
      <c r="I16" s="365" t="s">
        <v>1505</v>
      </c>
      <c r="J16" s="367" t="s">
        <v>1506</v>
      </c>
      <c r="K16" s="30"/>
      <c r="L16" s="560" t="s">
        <v>821</v>
      </c>
      <c r="M16" s="488" t="s">
        <v>1476</v>
      </c>
      <c r="N16" s="30"/>
      <c r="O16" s="38" t="s">
        <v>122</v>
      </c>
      <c r="P16" s="88" t="s">
        <v>25</v>
      </c>
      <c r="Q16" s="85" t="s">
        <v>133</v>
      </c>
      <c r="R16" s="88" t="s">
        <v>35</v>
      </c>
      <c r="S16" s="97"/>
      <c r="T16" s="46"/>
    </row>
    <row r="17" spans="1:20" ht="149.25" customHeight="1" x14ac:dyDescent="0.25">
      <c r="A17" s="82" t="s">
        <v>134</v>
      </c>
      <c r="B17" s="80" t="s">
        <v>905</v>
      </c>
      <c r="C17" s="80" t="s">
        <v>135</v>
      </c>
      <c r="D17" s="80" t="s">
        <v>126</v>
      </c>
      <c r="E17" s="105" t="s">
        <v>1406</v>
      </c>
      <c r="F17" s="110" t="s">
        <v>136</v>
      </c>
      <c r="G17" s="30"/>
      <c r="H17" s="355" t="s">
        <v>739</v>
      </c>
      <c r="I17" s="377" t="s">
        <v>739</v>
      </c>
      <c r="J17" s="368" t="s">
        <v>739</v>
      </c>
      <c r="K17" s="30"/>
      <c r="L17" s="568" t="s">
        <v>1680</v>
      </c>
      <c r="M17" s="569" t="s">
        <v>1481</v>
      </c>
      <c r="N17" s="30"/>
      <c r="O17" s="106" t="s">
        <v>137</v>
      </c>
      <c r="P17" s="73" t="s">
        <v>25</v>
      </c>
      <c r="Q17" s="54" t="s">
        <v>138</v>
      </c>
      <c r="R17" s="70" t="s">
        <v>35</v>
      </c>
      <c r="S17" s="95"/>
      <c r="T17" s="108" t="s">
        <v>802</v>
      </c>
    </row>
    <row r="18" spans="1:20" ht="405.75" thickBot="1" x14ac:dyDescent="0.3">
      <c r="A18" s="48" t="s">
        <v>139</v>
      </c>
      <c r="B18" s="24" t="s">
        <v>906</v>
      </c>
      <c r="C18" s="24" t="s">
        <v>140</v>
      </c>
      <c r="D18" s="24" t="s">
        <v>39</v>
      </c>
      <c r="E18" s="45" t="s">
        <v>922</v>
      </c>
      <c r="F18" s="49" t="s">
        <v>141</v>
      </c>
      <c r="G18" s="30"/>
      <c r="H18" s="419" t="s">
        <v>739</v>
      </c>
      <c r="I18" s="420" t="s">
        <v>739</v>
      </c>
      <c r="J18" s="421" t="s">
        <v>739</v>
      </c>
      <c r="K18" s="30"/>
      <c r="L18" s="579" t="s">
        <v>1713</v>
      </c>
      <c r="M18" s="570" t="s">
        <v>1482</v>
      </c>
      <c r="N18" s="30"/>
      <c r="O18" s="48" t="s">
        <v>109</v>
      </c>
      <c r="P18" s="24" t="s">
        <v>109</v>
      </c>
      <c r="Q18" s="24" t="s">
        <v>109</v>
      </c>
      <c r="R18" s="24" t="s">
        <v>109</v>
      </c>
      <c r="S18" s="295" t="s">
        <v>109</v>
      </c>
      <c r="T18" s="47" t="s">
        <v>803</v>
      </c>
    </row>
  </sheetData>
  <mergeCells count="50">
    <mergeCell ref="A1:T1"/>
    <mergeCell ref="T11:T13"/>
    <mergeCell ref="T3:T6"/>
    <mergeCell ref="T7:T10"/>
    <mergeCell ref="A11:A13"/>
    <mergeCell ref="B11:B13"/>
    <mergeCell ref="C11:C13"/>
    <mergeCell ref="D11:D13"/>
    <mergeCell ref="F3:F6"/>
    <mergeCell ref="F7:F10"/>
    <mergeCell ref="F11:F13"/>
    <mergeCell ref="E3:E6"/>
    <mergeCell ref="P7:P10"/>
    <mergeCell ref="H11:H13"/>
    <mergeCell ref="O3:O6"/>
    <mergeCell ref="E11:E13"/>
    <mergeCell ref="T14:T15"/>
    <mergeCell ref="S3:S6"/>
    <mergeCell ref="S7:S10"/>
    <mergeCell ref="S11:S13"/>
    <mergeCell ref="A3:A6"/>
    <mergeCell ref="A7:A10"/>
    <mergeCell ref="B7:B10"/>
    <mergeCell ref="C7:C10"/>
    <mergeCell ref="D7:D10"/>
    <mergeCell ref="D3:D6"/>
    <mergeCell ref="C3:C6"/>
    <mergeCell ref="B3:B6"/>
    <mergeCell ref="L7:L10"/>
    <mergeCell ref="E7:E10"/>
    <mergeCell ref="H3:H6"/>
    <mergeCell ref="H7:H10"/>
    <mergeCell ref="R3:R6"/>
    <mergeCell ref="O7:O10"/>
    <mergeCell ref="R7:R10"/>
    <mergeCell ref="L11:L13"/>
    <mergeCell ref="O11:O12"/>
    <mergeCell ref="P11:P12"/>
    <mergeCell ref="R11:R13"/>
    <mergeCell ref="L3:L6"/>
    <mergeCell ref="P3:P6"/>
    <mergeCell ref="M3:M6"/>
    <mergeCell ref="M7:M10"/>
    <mergeCell ref="M11:M13"/>
    <mergeCell ref="I3:I6"/>
    <mergeCell ref="J3:J6"/>
    <mergeCell ref="I7:I10"/>
    <mergeCell ref="J7:J10"/>
    <mergeCell ref="I11:I13"/>
    <mergeCell ref="J11:J13"/>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
  <sheetViews>
    <sheetView zoomScale="70" zoomScaleNormal="70" workbookViewId="0">
      <pane xSplit="6" ySplit="2" topLeftCell="J3" activePane="bottomRight" state="frozen"/>
      <selection pane="topRight" activeCell="G1" sqref="G1"/>
      <selection pane="bottomLeft" activeCell="A3" sqref="A3"/>
      <selection pane="bottomRight" activeCell="H37" sqref="H37"/>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140625" customWidth="1"/>
    <col min="12" max="13" width="52.42578125" customWidth="1"/>
    <col min="14" max="14" width="4.140625" customWidth="1"/>
    <col min="15" max="15" width="36" bestFit="1" customWidth="1"/>
    <col min="16" max="16" width="27.5703125" customWidth="1"/>
    <col min="17" max="17" width="35.28515625" bestFit="1" customWidth="1"/>
    <col min="18" max="18" width="75.28515625" customWidth="1"/>
    <col min="19" max="19" width="52.42578125" customWidth="1"/>
    <col min="20" max="20" width="0" hidden="1" customWidth="1"/>
  </cols>
  <sheetData>
    <row r="1" spans="1:20" ht="19.5" thickBot="1" x14ac:dyDescent="0.35">
      <c r="A1" s="736" t="s">
        <v>1227</v>
      </c>
      <c r="B1" s="737"/>
      <c r="C1" s="737"/>
      <c r="D1" s="737"/>
      <c r="E1" s="737"/>
      <c r="F1" s="737"/>
      <c r="G1" s="737"/>
      <c r="H1" s="737"/>
      <c r="I1" s="737"/>
      <c r="J1" s="737"/>
      <c r="K1" s="737"/>
      <c r="L1" s="737"/>
      <c r="M1" s="737"/>
      <c r="N1" s="737"/>
      <c r="O1" s="737"/>
      <c r="P1" s="737"/>
      <c r="Q1" s="737"/>
      <c r="R1" s="737"/>
      <c r="S1" s="737"/>
      <c r="T1" s="738"/>
    </row>
    <row r="2" spans="1:20" ht="15.75" thickBot="1" x14ac:dyDescent="0.3">
      <c r="A2" s="7" t="s">
        <v>10</v>
      </c>
      <c r="B2" s="8" t="s">
        <v>11</v>
      </c>
      <c r="C2" s="8" t="s">
        <v>12</v>
      </c>
      <c r="D2" s="8" t="s">
        <v>13</v>
      </c>
      <c r="E2" s="10" t="s">
        <v>14</v>
      </c>
      <c r="F2" s="8" t="s">
        <v>890</v>
      </c>
      <c r="G2" s="28"/>
      <c r="H2" s="318" t="s">
        <v>725</v>
      </c>
      <c r="I2" s="319" t="s">
        <v>1412</v>
      </c>
      <c r="J2" s="320" t="s">
        <v>1411</v>
      </c>
      <c r="K2" s="28"/>
      <c r="L2" s="226" t="s">
        <v>87</v>
      </c>
      <c r="M2" s="226" t="s">
        <v>1475</v>
      </c>
      <c r="N2" s="28"/>
      <c r="O2" s="50" t="s">
        <v>15</v>
      </c>
      <c r="P2" s="51" t="s">
        <v>16</v>
      </c>
      <c r="Q2" s="51" t="s">
        <v>17</v>
      </c>
      <c r="R2" s="51" t="s">
        <v>18</v>
      </c>
      <c r="S2" s="173" t="s">
        <v>19</v>
      </c>
      <c r="T2" s="44" t="s">
        <v>812</v>
      </c>
    </row>
    <row r="3" spans="1:20" x14ac:dyDescent="0.25">
      <c r="A3" s="682" t="s">
        <v>20</v>
      </c>
      <c r="B3" s="684" t="s">
        <v>889</v>
      </c>
      <c r="C3" s="684" t="s">
        <v>21</v>
      </c>
      <c r="D3" s="684" t="s">
        <v>22</v>
      </c>
      <c r="E3" s="662" t="s">
        <v>891</v>
      </c>
      <c r="F3" s="660" t="s">
        <v>23</v>
      </c>
      <c r="G3" s="29"/>
      <c r="H3" s="757" t="s">
        <v>1292</v>
      </c>
      <c r="I3" s="742" t="s">
        <v>1413</v>
      </c>
      <c r="J3" s="768" t="s">
        <v>1541</v>
      </c>
      <c r="K3" s="29"/>
      <c r="L3" s="767" t="s">
        <v>1292</v>
      </c>
      <c r="M3" s="770" t="s">
        <v>1476</v>
      </c>
      <c r="N3" s="29"/>
      <c r="O3" s="678" t="s">
        <v>24</v>
      </c>
      <c r="P3" s="658" t="s">
        <v>25</v>
      </c>
      <c r="Q3" s="53" t="s">
        <v>26</v>
      </c>
      <c r="R3" s="654" t="s">
        <v>813</v>
      </c>
      <c r="S3" s="656"/>
      <c r="T3" s="765" t="s">
        <v>800</v>
      </c>
    </row>
    <row r="4" spans="1:20" x14ac:dyDescent="0.25">
      <c r="A4" s="683"/>
      <c r="B4" s="681"/>
      <c r="C4" s="681"/>
      <c r="D4" s="681"/>
      <c r="E4" s="663"/>
      <c r="F4" s="661"/>
      <c r="G4" s="29"/>
      <c r="H4" s="637"/>
      <c r="I4" s="719"/>
      <c r="J4" s="769"/>
      <c r="K4" s="29"/>
      <c r="L4" s="748"/>
      <c r="M4" s="771"/>
      <c r="N4" s="29"/>
      <c r="O4" s="679"/>
      <c r="P4" s="659"/>
      <c r="Q4" s="54" t="s">
        <v>28</v>
      </c>
      <c r="R4" s="655"/>
      <c r="S4" s="657"/>
      <c r="T4" s="766"/>
    </row>
    <row r="5" spans="1:20" x14ac:dyDescent="0.25">
      <c r="A5" s="683"/>
      <c r="B5" s="681"/>
      <c r="C5" s="681"/>
      <c r="D5" s="681"/>
      <c r="E5" s="663"/>
      <c r="F5" s="661"/>
      <c r="G5" s="29"/>
      <c r="H5" s="637"/>
      <c r="I5" s="719"/>
      <c r="J5" s="769"/>
      <c r="K5" s="29"/>
      <c r="L5" s="748"/>
      <c r="M5" s="771"/>
      <c r="N5" s="29"/>
      <c r="O5" s="679"/>
      <c r="P5" s="659"/>
      <c r="Q5" s="54" t="s">
        <v>29</v>
      </c>
      <c r="R5" s="655"/>
      <c r="S5" s="657"/>
      <c r="T5" s="766"/>
    </row>
    <row r="6" spans="1:20" x14ac:dyDescent="0.25">
      <c r="A6" s="683"/>
      <c r="B6" s="681"/>
      <c r="C6" s="681"/>
      <c r="D6" s="681"/>
      <c r="E6" s="664"/>
      <c r="F6" s="661"/>
      <c r="G6" s="29"/>
      <c r="H6" s="637"/>
      <c r="I6" s="719"/>
      <c r="J6" s="769"/>
      <c r="K6" s="29"/>
      <c r="L6" s="748"/>
      <c r="M6" s="771"/>
      <c r="N6" s="29"/>
      <c r="O6" s="680"/>
      <c r="P6" s="659"/>
      <c r="Q6" s="54" t="s">
        <v>30</v>
      </c>
      <c r="R6" s="655"/>
      <c r="S6" s="657"/>
      <c r="T6" s="760"/>
    </row>
    <row r="7" spans="1:20" ht="45.6" customHeight="1" thickBot="1" x14ac:dyDescent="0.3">
      <c r="A7" s="178" t="s">
        <v>31</v>
      </c>
      <c r="B7" s="179" t="s">
        <v>889</v>
      </c>
      <c r="C7" s="180" t="s">
        <v>32</v>
      </c>
      <c r="D7" s="180" t="s">
        <v>22</v>
      </c>
      <c r="E7" s="177" t="s">
        <v>892</v>
      </c>
      <c r="F7" s="75" t="s">
        <v>88</v>
      </c>
      <c r="G7" s="29"/>
      <c r="H7" s="424" t="s">
        <v>1293</v>
      </c>
      <c r="I7" s="447" t="s">
        <v>1490</v>
      </c>
      <c r="J7" s="484" t="s">
        <v>1542</v>
      </c>
      <c r="K7" s="29"/>
      <c r="L7" s="585" t="s">
        <v>1293</v>
      </c>
      <c r="M7" s="500" t="s">
        <v>1476</v>
      </c>
      <c r="N7" s="29"/>
      <c r="O7" s="174" t="s">
        <v>24</v>
      </c>
      <c r="P7" s="175" t="s">
        <v>25</v>
      </c>
      <c r="Q7" s="176" t="s">
        <v>34</v>
      </c>
      <c r="R7" s="175" t="s">
        <v>35</v>
      </c>
      <c r="S7" s="177"/>
    </row>
  </sheetData>
  <mergeCells count="17">
    <mergeCell ref="R3:R6"/>
    <mergeCell ref="S3:S6"/>
    <mergeCell ref="T3:T6"/>
    <mergeCell ref="A1:T1"/>
    <mergeCell ref="D3:D6"/>
    <mergeCell ref="C3:C6"/>
    <mergeCell ref="B3:B6"/>
    <mergeCell ref="A3:A6"/>
    <mergeCell ref="O3:O6"/>
    <mergeCell ref="L3:L6"/>
    <mergeCell ref="H3:H6"/>
    <mergeCell ref="F3:F6"/>
    <mergeCell ref="E3:E6"/>
    <mergeCell ref="I3:I6"/>
    <mergeCell ref="J3:J6"/>
    <mergeCell ref="M3:M6"/>
    <mergeCell ref="P3:P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zoomScale="70" zoomScaleNormal="70" workbookViewId="0">
      <pane xSplit="6" ySplit="2" topLeftCell="G3" activePane="bottomRight" state="frozen"/>
      <selection pane="topRight" activeCell="G1" sqref="G1"/>
      <selection pane="bottomLeft" activeCell="A3" sqref="A3"/>
      <selection pane="bottomRight" activeCell="J17" sqref="J17"/>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140625" customWidth="1"/>
    <col min="12" max="13" width="52.42578125" customWidth="1"/>
    <col min="14" max="14" width="4.140625" customWidth="1"/>
    <col min="15" max="15" width="38" customWidth="1"/>
    <col min="16" max="16" width="36" customWidth="1"/>
    <col min="17" max="17" width="35.28515625" customWidth="1"/>
    <col min="18" max="18" width="82" customWidth="1"/>
    <col min="19" max="19" width="52.42578125" customWidth="1"/>
    <col min="20" max="20" width="0" hidden="1" customWidth="1"/>
  </cols>
  <sheetData>
    <row r="1" spans="1:20" ht="19.5" thickBot="1" x14ac:dyDescent="0.35">
      <c r="A1" s="736" t="s">
        <v>1228</v>
      </c>
      <c r="B1" s="737"/>
      <c r="C1" s="737"/>
      <c r="D1" s="737"/>
      <c r="E1" s="737"/>
      <c r="F1" s="737"/>
      <c r="G1" s="737"/>
      <c r="H1" s="737"/>
      <c r="I1" s="737"/>
      <c r="J1" s="737"/>
      <c r="K1" s="737"/>
      <c r="L1" s="737"/>
      <c r="M1" s="737"/>
      <c r="N1" s="737"/>
      <c r="O1" s="737"/>
      <c r="P1" s="737"/>
      <c r="Q1" s="737"/>
      <c r="R1" s="737"/>
      <c r="S1" s="737"/>
      <c r="T1" s="738"/>
    </row>
    <row r="2" spans="1:20" ht="15.75" thickBot="1" x14ac:dyDescent="0.3">
      <c r="A2" s="7" t="s">
        <v>10</v>
      </c>
      <c r="B2" s="8" t="s">
        <v>11</v>
      </c>
      <c r="C2" s="8" t="s">
        <v>12</v>
      </c>
      <c r="D2" s="8" t="s">
        <v>13</v>
      </c>
      <c r="E2" s="10" t="s">
        <v>14</v>
      </c>
      <c r="F2" s="8" t="s">
        <v>890</v>
      </c>
      <c r="G2" s="28"/>
      <c r="H2" s="318" t="s">
        <v>725</v>
      </c>
      <c r="I2" s="319" t="s">
        <v>1412</v>
      </c>
      <c r="J2" s="320" t="s">
        <v>1411</v>
      </c>
      <c r="K2" s="28"/>
      <c r="L2" s="226" t="s">
        <v>87</v>
      </c>
      <c r="M2" s="226" t="s">
        <v>1475</v>
      </c>
      <c r="N2" s="28"/>
      <c r="O2" s="50" t="s">
        <v>15</v>
      </c>
      <c r="P2" s="51" t="s">
        <v>16</v>
      </c>
      <c r="Q2" s="51" t="s">
        <v>17</v>
      </c>
      <c r="R2" s="51" t="s">
        <v>18</v>
      </c>
      <c r="S2" s="173" t="s">
        <v>19</v>
      </c>
      <c r="T2" s="44" t="s">
        <v>812</v>
      </c>
    </row>
    <row r="3" spans="1:20" x14ac:dyDescent="0.25">
      <c r="A3" s="682" t="s">
        <v>20</v>
      </c>
      <c r="B3" s="684" t="s">
        <v>889</v>
      </c>
      <c r="C3" s="684" t="s">
        <v>21</v>
      </c>
      <c r="D3" s="684" t="s">
        <v>22</v>
      </c>
      <c r="E3" s="662" t="s">
        <v>891</v>
      </c>
      <c r="F3" s="660" t="s">
        <v>23</v>
      </c>
      <c r="G3" s="29"/>
      <c r="H3" s="757" t="s">
        <v>1290</v>
      </c>
      <c r="I3" s="742" t="s">
        <v>1413</v>
      </c>
      <c r="J3" s="743" t="s">
        <v>1541</v>
      </c>
      <c r="K3" s="29"/>
      <c r="L3" s="767" t="s">
        <v>1290</v>
      </c>
      <c r="M3" s="790" t="s">
        <v>1476</v>
      </c>
      <c r="N3" s="29"/>
      <c r="O3" s="678" t="s">
        <v>24</v>
      </c>
      <c r="P3" s="658" t="s">
        <v>25</v>
      </c>
      <c r="Q3" s="53" t="s">
        <v>26</v>
      </c>
      <c r="R3" s="654" t="s">
        <v>813</v>
      </c>
      <c r="S3" s="656"/>
      <c r="T3" s="765" t="s">
        <v>800</v>
      </c>
    </row>
    <row r="4" spans="1:20" x14ac:dyDescent="0.25">
      <c r="A4" s="683"/>
      <c r="B4" s="681"/>
      <c r="C4" s="681"/>
      <c r="D4" s="681"/>
      <c r="E4" s="663"/>
      <c r="F4" s="661"/>
      <c r="G4" s="29"/>
      <c r="H4" s="637"/>
      <c r="I4" s="719"/>
      <c r="J4" s="721"/>
      <c r="K4" s="29"/>
      <c r="L4" s="748"/>
      <c r="M4" s="791"/>
      <c r="N4" s="29"/>
      <c r="O4" s="679"/>
      <c r="P4" s="659"/>
      <c r="Q4" s="54" t="s">
        <v>28</v>
      </c>
      <c r="R4" s="655"/>
      <c r="S4" s="657"/>
      <c r="T4" s="766"/>
    </row>
    <row r="5" spans="1:20" x14ac:dyDescent="0.25">
      <c r="A5" s="683"/>
      <c r="B5" s="681"/>
      <c r="C5" s="681"/>
      <c r="D5" s="681"/>
      <c r="E5" s="663"/>
      <c r="F5" s="661"/>
      <c r="G5" s="29"/>
      <c r="H5" s="637"/>
      <c r="I5" s="719"/>
      <c r="J5" s="721"/>
      <c r="K5" s="29"/>
      <c r="L5" s="748"/>
      <c r="M5" s="791"/>
      <c r="N5" s="29"/>
      <c r="O5" s="679"/>
      <c r="P5" s="659"/>
      <c r="Q5" s="54" t="s">
        <v>29</v>
      </c>
      <c r="R5" s="655"/>
      <c r="S5" s="657"/>
      <c r="T5" s="766"/>
    </row>
    <row r="6" spans="1:20" x14ac:dyDescent="0.25">
      <c r="A6" s="683"/>
      <c r="B6" s="681"/>
      <c r="C6" s="681"/>
      <c r="D6" s="681"/>
      <c r="E6" s="664"/>
      <c r="F6" s="661"/>
      <c r="G6" s="29"/>
      <c r="H6" s="637"/>
      <c r="I6" s="719"/>
      <c r="J6" s="721"/>
      <c r="K6" s="29"/>
      <c r="L6" s="748"/>
      <c r="M6" s="791"/>
      <c r="N6" s="29"/>
      <c r="O6" s="680"/>
      <c r="P6" s="659"/>
      <c r="Q6" s="54" t="s">
        <v>30</v>
      </c>
      <c r="R6" s="655"/>
      <c r="S6" s="657"/>
      <c r="T6" s="760"/>
    </row>
    <row r="7" spans="1:20" x14ac:dyDescent="0.25">
      <c r="A7" s="774" t="s">
        <v>111</v>
      </c>
      <c r="B7" s="777" t="s">
        <v>889</v>
      </c>
      <c r="C7" s="780" t="s">
        <v>112</v>
      </c>
      <c r="D7" s="783" t="s">
        <v>22</v>
      </c>
      <c r="E7" s="772" t="s">
        <v>907</v>
      </c>
      <c r="F7" s="785" t="s">
        <v>917</v>
      </c>
      <c r="G7" s="30"/>
      <c r="H7" s="756" t="s">
        <v>1291</v>
      </c>
      <c r="I7" s="735" t="s">
        <v>1501</v>
      </c>
      <c r="J7" s="753" t="s">
        <v>1543</v>
      </c>
      <c r="K7" s="30"/>
      <c r="L7" s="756" t="s">
        <v>1291</v>
      </c>
      <c r="M7" s="747" t="s">
        <v>1476</v>
      </c>
      <c r="N7" s="30"/>
      <c r="O7" s="708" t="s">
        <v>113</v>
      </c>
      <c r="P7" s="785" t="s">
        <v>25</v>
      </c>
      <c r="Q7" s="114" t="s">
        <v>26</v>
      </c>
      <c r="R7" s="785" t="s">
        <v>814</v>
      </c>
      <c r="S7" s="772"/>
    </row>
    <row r="8" spans="1:20" x14ac:dyDescent="0.25">
      <c r="A8" s="775"/>
      <c r="B8" s="778"/>
      <c r="C8" s="781"/>
      <c r="D8" s="745"/>
      <c r="E8" s="753"/>
      <c r="F8" s="735"/>
      <c r="G8" s="30"/>
      <c r="H8" s="756"/>
      <c r="I8" s="735"/>
      <c r="J8" s="753"/>
      <c r="K8" s="30"/>
      <c r="L8" s="756"/>
      <c r="M8" s="747"/>
      <c r="N8" s="30"/>
      <c r="O8" s="733"/>
      <c r="P8" s="735"/>
      <c r="Q8" s="23" t="s">
        <v>114</v>
      </c>
      <c r="R8" s="735"/>
      <c r="S8" s="753"/>
    </row>
    <row r="9" spans="1:20" x14ac:dyDescent="0.25">
      <c r="A9" s="775"/>
      <c r="B9" s="778"/>
      <c r="C9" s="781"/>
      <c r="D9" s="745"/>
      <c r="E9" s="753"/>
      <c r="F9" s="735"/>
      <c r="G9" s="30"/>
      <c r="H9" s="756"/>
      <c r="I9" s="735"/>
      <c r="J9" s="753"/>
      <c r="K9" s="30"/>
      <c r="L9" s="756"/>
      <c r="M9" s="747"/>
      <c r="N9" s="30"/>
      <c r="O9" s="733"/>
      <c r="P9" s="735"/>
      <c r="Q9" s="23" t="s">
        <v>115</v>
      </c>
      <c r="R9" s="735"/>
      <c r="S9" s="753"/>
    </row>
    <row r="10" spans="1:20" ht="15.75" thickBot="1" x14ac:dyDescent="0.3">
      <c r="A10" s="776"/>
      <c r="B10" s="779"/>
      <c r="C10" s="782"/>
      <c r="D10" s="784"/>
      <c r="E10" s="773"/>
      <c r="F10" s="735"/>
      <c r="G10" s="30"/>
      <c r="H10" s="786"/>
      <c r="I10" s="788"/>
      <c r="J10" s="773"/>
      <c r="K10" s="30"/>
      <c r="L10" s="786"/>
      <c r="M10" s="789"/>
      <c r="N10" s="30"/>
      <c r="O10" s="787"/>
      <c r="P10" s="788"/>
      <c r="Q10" s="122" t="s">
        <v>116</v>
      </c>
      <c r="R10" s="788"/>
      <c r="S10" s="773"/>
    </row>
  </sheetData>
  <mergeCells count="32">
    <mergeCell ref="R3:R6"/>
    <mergeCell ref="S3:S6"/>
    <mergeCell ref="T3:T6"/>
    <mergeCell ref="A1:T1"/>
    <mergeCell ref="A3:A6"/>
    <mergeCell ref="B3:B6"/>
    <mergeCell ref="C3:C6"/>
    <mergeCell ref="D3:D6"/>
    <mergeCell ref="E3:E6"/>
    <mergeCell ref="F3:F6"/>
    <mergeCell ref="H3:H6"/>
    <mergeCell ref="L3:L6"/>
    <mergeCell ref="O3:O6"/>
    <mergeCell ref="M3:M6"/>
    <mergeCell ref="I3:I6"/>
    <mergeCell ref="J3:J6"/>
    <mergeCell ref="P3:P6"/>
    <mergeCell ref="S7:S10"/>
    <mergeCell ref="A7:A10"/>
    <mergeCell ref="B7:B10"/>
    <mergeCell ref="C7:C10"/>
    <mergeCell ref="D7:D10"/>
    <mergeCell ref="E7:E10"/>
    <mergeCell ref="F7:F10"/>
    <mergeCell ref="H7:H10"/>
    <mergeCell ref="L7:L10"/>
    <mergeCell ref="O7:O10"/>
    <mergeCell ref="P7:P10"/>
    <mergeCell ref="R7:R10"/>
    <mergeCell ref="M7:M10"/>
    <mergeCell ref="I7:I10"/>
    <mergeCell ref="J7:J1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Normal="100" workbookViewId="0">
      <selection activeCell="A21" sqref="A21"/>
    </sheetView>
  </sheetViews>
  <sheetFormatPr defaultRowHeight="15" x14ac:dyDescent="0.25"/>
  <cols>
    <col min="1" max="1" width="167.85546875" customWidth="1"/>
  </cols>
  <sheetData>
    <row r="1" spans="1:1" ht="274.5" thickBot="1" x14ac:dyDescent="0.3">
      <c r="A1" s="305" t="s">
        <v>1284</v>
      </c>
    </row>
    <row r="2" spans="1:1" ht="259.5" hidden="1" thickBot="1" x14ac:dyDescent="0.3">
      <c r="A2" s="1" t="s">
        <v>1229</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42"/>
  <sheetViews>
    <sheetView zoomScale="70" zoomScaleNormal="70" workbookViewId="0">
      <pane xSplit="6" ySplit="2" topLeftCell="G3" activePane="bottomRight" state="frozen"/>
      <selection pane="topRight" activeCell="G1" sqref="G1"/>
      <selection pane="bottomLeft" activeCell="A3" sqref="A3"/>
      <selection pane="bottomRight" activeCell="E14" sqref="E14:E16"/>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 customWidth="1"/>
    <col min="8" max="8" width="34.140625" customWidth="1"/>
    <col min="9" max="9" width="35.85546875" customWidth="1"/>
    <col min="10" max="10" width="47.5703125" customWidth="1"/>
    <col min="11" max="11" width="4" customWidth="1"/>
    <col min="12" max="13" width="52.42578125" customWidth="1"/>
    <col min="14" max="14" width="4" customWidth="1"/>
    <col min="15" max="15" width="38" style="25" customWidth="1"/>
    <col min="16" max="16" width="36" customWidth="1"/>
    <col min="17" max="17" width="35.28515625" customWidth="1"/>
    <col min="18" max="18" width="82" customWidth="1"/>
    <col min="19" max="19" width="52.42578125" customWidth="1"/>
    <col min="20" max="20" width="52.42578125" hidden="1" customWidth="1"/>
  </cols>
  <sheetData>
    <row r="1" spans="1:20" ht="18.95" customHeight="1" thickBot="1" x14ac:dyDescent="0.3">
      <c r="A1" s="703" t="s">
        <v>142</v>
      </c>
      <c r="B1" s="704"/>
      <c r="C1" s="704"/>
      <c r="D1" s="704"/>
      <c r="E1" s="704"/>
      <c r="F1" s="704"/>
      <c r="G1" s="704"/>
      <c r="H1" s="705"/>
      <c r="I1" s="705"/>
      <c r="J1" s="705"/>
      <c r="K1" s="704"/>
      <c r="L1" s="704"/>
      <c r="M1" s="704"/>
      <c r="N1" s="704"/>
      <c r="O1" s="704"/>
      <c r="P1" s="704"/>
      <c r="Q1" s="704"/>
      <c r="R1" s="704"/>
      <c r="S1" s="706"/>
    </row>
    <row r="2" spans="1:20" ht="15" customHeight="1" thickBot="1" x14ac:dyDescent="0.3">
      <c r="A2" s="7" t="s">
        <v>10</v>
      </c>
      <c r="B2" s="8" t="s">
        <v>11</v>
      </c>
      <c r="C2" s="8" t="s">
        <v>12</v>
      </c>
      <c r="D2" s="8" t="s">
        <v>13</v>
      </c>
      <c r="E2" s="10" t="s">
        <v>14</v>
      </c>
      <c r="F2" s="43" t="s">
        <v>14</v>
      </c>
      <c r="G2" s="182"/>
      <c r="H2" s="318" t="s">
        <v>725</v>
      </c>
      <c r="I2" s="319" t="s">
        <v>1412</v>
      </c>
      <c r="J2" s="320" t="s">
        <v>1411</v>
      </c>
      <c r="K2" s="183"/>
      <c r="L2" s="226" t="s">
        <v>87</v>
      </c>
      <c r="M2" s="226" t="s">
        <v>1475</v>
      </c>
      <c r="N2" s="183"/>
      <c r="O2" s="59" t="s">
        <v>15</v>
      </c>
      <c r="P2" s="60" t="s">
        <v>16</v>
      </c>
      <c r="Q2" s="60" t="s">
        <v>17</v>
      </c>
      <c r="R2" s="60" t="s">
        <v>18</v>
      </c>
      <c r="S2" s="61" t="s">
        <v>19</v>
      </c>
      <c r="T2" s="64" t="s">
        <v>812</v>
      </c>
    </row>
    <row r="3" spans="1:20" ht="14.45" customHeight="1" x14ac:dyDescent="0.25">
      <c r="A3" s="873" t="s">
        <v>20</v>
      </c>
      <c r="B3" s="871" t="s">
        <v>889</v>
      </c>
      <c r="C3" s="871" t="s">
        <v>21</v>
      </c>
      <c r="D3" s="871" t="s">
        <v>22</v>
      </c>
      <c r="E3" s="662" t="s">
        <v>1240</v>
      </c>
      <c r="F3" s="662" t="s">
        <v>23</v>
      </c>
      <c r="G3" s="30"/>
      <c r="H3" s="757" t="s">
        <v>721</v>
      </c>
      <c r="I3" s="742" t="s">
        <v>1413</v>
      </c>
      <c r="J3" s="743" t="s">
        <v>1414</v>
      </c>
      <c r="K3" s="181"/>
      <c r="L3" s="641" t="s">
        <v>721</v>
      </c>
      <c r="M3" s="641" t="s">
        <v>1476</v>
      </c>
      <c r="N3" s="181"/>
      <c r="O3" s="678" t="s">
        <v>24</v>
      </c>
      <c r="P3" s="878" t="s">
        <v>25</v>
      </c>
      <c r="Q3" s="184" t="s">
        <v>26</v>
      </c>
      <c r="R3" s="868" t="s">
        <v>813</v>
      </c>
      <c r="S3" s="869"/>
      <c r="T3" s="809" t="s">
        <v>763</v>
      </c>
    </row>
    <row r="4" spans="1:20" ht="14.45" customHeight="1" x14ac:dyDescent="0.25">
      <c r="A4" s="874"/>
      <c r="B4" s="872"/>
      <c r="C4" s="872"/>
      <c r="D4" s="872"/>
      <c r="E4" s="663"/>
      <c r="F4" s="663"/>
      <c r="G4" s="30"/>
      <c r="H4" s="637"/>
      <c r="I4" s="719"/>
      <c r="J4" s="721"/>
      <c r="K4" s="181"/>
      <c r="L4" s="642"/>
      <c r="M4" s="642"/>
      <c r="N4" s="181"/>
      <c r="O4" s="679"/>
      <c r="P4" s="862"/>
      <c r="Q4" s="53" t="s">
        <v>28</v>
      </c>
      <c r="R4" s="827"/>
      <c r="S4" s="829"/>
      <c r="T4" s="810"/>
    </row>
    <row r="5" spans="1:20" ht="14.45" customHeight="1" x14ac:dyDescent="0.25">
      <c r="A5" s="874"/>
      <c r="B5" s="872"/>
      <c r="C5" s="872"/>
      <c r="D5" s="872"/>
      <c r="E5" s="663"/>
      <c r="F5" s="663"/>
      <c r="G5" s="30"/>
      <c r="H5" s="637"/>
      <c r="I5" s="719"/>
      <c r="J5" s="721"/>
      <c r="K5" s="181"/>
      <c r="L5" s="642"/>
      <c r="M5" s="642"/>
      <c r="N5" s="181"/>
      <c r="O5" s="679"/>
      <c r="P5" s="862"/>
      <c r="Q5" s="53" t="s">
        <v>29</v>
      </c>
      <c r="R5" s="827"/>
      <c r="S5" s="829"/>
      <c r="T5" s="810"/>
    </row>
    <row r="6" spans="1:20" ht="14.45" customHeight="1" x14ac:dyDescent="0.25">
      <c r="A6" s="682"/>
      <c r="B6" s="684"/>
      <c r="C6" s="684"/>
      <c r="D6" s="684"/>
      <c r="E6" s="664"/>
      <c r="F6" s="664"/>
      <c r="G6" s="30"/>
      <c r="H6" s="637"/>
      <c r="I6" s="719"/>
      <c r="J6" s="721"/>
      <c r="K6" s="181"/>
      <c r="L6" s="643"/>
      <c r="M6" s="643"/>
      <c r="N6" s="181"/>
      <c r="O6" s="680"/>
      <c r="P6" s="658"/>
      <c r="Q6" s="53" t="s">
        <v>30</v>
      </c>
      <c r="R6" s="654"/>
      <c r="S6" s="656"/>
      <c r="T6" s="811"/>
    </row>
    <row r="7" spans="1:20" ht="43.5" customHeight="1" x14ac:dyDescent="0.25">
      <c r="A7" s="84" t="s">
        <v>31</v>
      </c>
      <c r="B7" s="85" t="s">
        <v>889</v>
      </c>
      <c r="C7" s="85" t="s">
        <v>32</v>
      </c>
      <c r="D7" s="85" t="s">
        <v>22</v>
      </c>
      <c r="E7" s="89" t="s">
        <v>892</v>
      </c>
      <c r="F7" s="89" t="s">
        <v>88</v>
      </c>
      <c r="G7" s="30"/>
      <c r="H7" s="84" t="s">
        <v>722</v>
      </c>
      <c r="I7" s="26" t="s">
        <v>739</v>
      </c>
      <c r="J7" s="324" t="s">
        <v>739</v>
      </c>
      <c r="K7" s="185"/>
      <c r="L7" s="342" t="s">
        <v>722</v>
      </c>
      <c r="M7" s="342" t="s">
        <v>1476</v>
      </c>
      <c r="N7" s="185"/>
      <c r="O7" s="38" t="s">
        <v>24</v>
      </c>
      <c r="P7" s="87" t="s">
        <v>25</v>
      </c>
      <c r="Q7" s="85" t="s">
        <v>34</v>
      </c>
      <c r="R7" s="88" t="s">
        <v>35</v>
      </c>
      <c r="S7" s="89"/>
      <c r="T7" s="76" t="s">
        <v>36</v>
      </c>
    </row>
    <row r="8" spans="1:20" ht="14.45" customHeight="1" x14ac:dyDescent="0.25">
      <c r="A8" s="82" t="s">
        <v>143</v>
      </c>
      <c r="B8" s="80" t="s">
        <v>889</v>
      </c>
      <c r="C8" s="80" t="s">
        <v>144</v>
      </c>
      <c r="D8" s="80" t="s">
        <v>22</v>
      </c>
      <c r="E8" s="105" t="s">
        <v>1241</v>
      </c>
      <c r="F8" s="105" t="s">
        <v>145</v>
      </c>
      <c r="G8" s="30"/>
      <c r="H8" s="322" t="s">
        <v>723</v>
      </c>
      <c r="I8" s="329" t="s">
        <v>1415</v>
      </c>
      <c r="J8" s="330" t="s">
        <v>1416</v>
      </c>
      <c r="K8" s="181"/>
      <c r="L8" s="344" t="s">
        <v>723</v>
      </c>
      <c r="M8" s="344" t="s">
        <v>1476</v>
      </c>
      <c r="N8" s="181"/>
      <c r="O8" s="187"/>
      <c r="P8" s="54"/>
      <c r="Q8" s="54"/>
      <c r="R8" s="70" t="s">
        <v>146</v>
      </c>
      <c r="S8" s="72"/>
      <c r="T8" s="186"/>
    </row>
    <row r="9" spans="1:20" ht="29.1" customHeight="1" x14ac:dyDescent="0.25">
      <c r="A9" s="84" t="s">
        <v>147</v>
      </c>
      <c r="B9" s="85" t="s">
        <v>889</v>
      </c>
      <c r="C9" s="85" t="s">
        <v>148</v>
      </c>
      <c r="D9" s="85" t="s">
        <v>22</v>
      </c>
      <c r="E9" s="316" t="s">
        <v>1242</v>
      </c>
      <c r="F9" s="89" t="s">
        <v>149</v>
      </c>
      <c r="G9" s="30"/>
      <c r="H9" s="84" t="s">
        <v>724</v>
      </c>
      <c r="I9" s="88" t="s">
        <v>148</v>
      </c>
      <c r="J9" s="316" t="s">
        <v>1417</v>
      </c>
      <c r="K9" s="185"/>
      <c r="L9" s="342" t="s">
        <v>724</v>
      </c>
      <c r="M9" s="342" t="s">
        <v>1476</v>
      </c>
      <c r="N9" s="185"/>
      <c r="O9" s="84"/>
      <c r="P9" s="85"/>
      <c r="Q9" s="85"/>
      <c r="R9" s="88" t="s">
        <v>146</v>
      </c>
      <c r="S9" s="89"/>
      <c r="T9" s="188"/>
    </row>
    <row r="10" spans="1:20" ht="14.45" customHeight="1" x14ac:dyDescent="0.25">
      <c r="A10" s="884" t="s">
        <v>150</v>
      </c>
      <c r="B10" s="885" t="s">
        <v>889</v>
      </c>
      <c r="C10" s="885" t="s">
        <v>151</v>
      </c>
      <c r="D10" s="885" t="s">
        <v>22</v>
      </c>
      <c r="E10" s="672" t="s">
        <v>1185</v>
      </c>
      <c r="F10" s="672" t="s">
        <v>152</v>
      </c>
      <c r="G10" s="30"/>
      <c r="H10" s="637" t="s">
        <v>726</v>
      </c>
      <c r="I10" s="719" t="s">
        <v>1418</v>
      </c>
      <c r="J10" s="769" t="s">
        <v>1419</v>
      </c>
      <c r="K10" s="181"/>
      <c r="L10" s="650" t="s">
        <v>726</v>
      </c>
      <c r="M10" s="650" t="s">
        <v>1476</v>
      </c>
      <c r="N10" s="181"/>
      <c r="O10" s="694" t="s">
        <v>24</v>
      </c>
      <c r="P10" s="858" t="s">
        <v>25</v>
      </c>
      <c r="Q10" s="54" t="s">
        <v>26</v>
      </c>
      <c r="R10" s="826" t="s">
        <v>27</v>
      </c>
      <c r="S10" s="828"/>
      <c r="T10" s="812" t="s">
        <v>804</v>
      </c>
    </row>
    <row r="11" spans="1:20" ht="14.45" customHeight="1" x14ac:dyDescent="0.25">
      <c r="A11" s="874"/>
      <c r="B11" s="872"/>
      <c r="C11" s="872"/>
      <c r="D11" s="872"/>
      <c r="E11" s="663"/>
      <c r="F11" s="663"/>
      <c r="G11" s="30"/>
      <c r="H11" s="637"/>
      <c r="I11" s="719"/>
      <c r="J11" s="769"/>
      <c r="K11" s="181"/>
      <c r="L11" s="642"/>
      <c r="M11" s="642"/>
      <c r="N11" s="181"/>
      <c r="O11" s="679"/>
      <c r="P11" s="862"/>
      <c r="Q11" s="54" t="s">
        <v>28</v>
      </c>
      <c r="R11" s="827"/>
      <c r="S11" s="829"/>
      <c r="T11" s="813"/>
    </row>
    <row r="12" spans="1:20" ht="14.45" customHeight="1" x14ac:dyDescent="0.25">
      <c r="A12" s="874"/>
      <c r="B12" s="872"/>
      <c r="C12" s="872"/>
      <c r="D12" s="872"/>
      <c r="E12" s="663"/>
      <c r="F12" s="663"/>
      <c r="G12" s="30"/>
      <c r="H12" s="637"/>
      <c r="I12" s="719"/>
      <c r="J12" s="769"/>
      <c r="K12" s="181"/>
      <c r="L12" s="642"/>
      <c r="M12" s="642"/>
      <c r="N12" s="181"/>
      <c r="O12" s="679"/>
      <c r="P12" s="862"/>
      <c r="Q12" s="54" t="s">
        <v>29</v>
      </c>
      <c r="R12" s="827"/>
      <c r="S12" s="829"/>
      <c r="T12" s="813"/>
    </row>
    <row r="13" spans="1:20" ht="14.45" customHeight="1" x14ac:dyDescent="0.25">
      <c r="A13" s="682"/>
      <c r="B13" s="684"/>
      <c r="C13" s="684"/>
      <c r="D13" s="684"/>
      <c r="E13" s="664"/>
      <c r="F13" s="664"/>
      <c r="G13" s="30"/>
      <c r="H13" s="637"/>
      <c r="I13" s="719"/>
      <c r="J13" s="769"/>
      <c r="K13" s="181"/>
      <c r="L13" s="643"/>
      <c r="M13" s="643"/>
      <c r="N13" s="181"/>
      <c r="O13" s="680"/>
      <c r="P13" s="658"/>
      <c r="Q13" s="54" t="s">
        <v>30</v>
      </c>
      <c r="R13" s="654"/>
      <c r="S13" s="656"/>
      <c r="T13" s="814"/>
    </row>
    <row r="14" spans="1:20" ht="14.45" customHeight="1" x14ac:dyDescent="0.25">
      <c r="A14" s="879" t="s">
        <v>37</v>
      </c>
      <c r="B14" s="875" t="s">
        <v>898</v>
      </c>
      <c r="C14" s="875" t="s">
        <v>38</v>
      </c>
      <c r="D14" s="875" t="s">
        <v>39</v>
      </c>
      <c r="E14" s="673" t="s">
        <v>1243</v>
      </c>
      <c r="F14" s="673" t="s">
        <v>40</v>
      </c>
      <c r="G14" s="30"/>
      <c r="H14" s="870" t="s">
        <v>739</v>
      </c>
      <c r="I14" s="744" t="s">
        <v>739</v>
      </c>
      <c r="J14" s="746" t="s">
        <v>739</v>
      </c>
      <c r="K14" s="189"/>
      <c r="L14" s="644" t="s">
        <v>1677</v>
      </c>
      <c r="M14" s="714" t="s">
        <v>1482</v>
      </c>
      <c r="N14" s="189"/>
      <c r="O14" s="707" t="s">
        <v>41</v>
      </c>
      <c r="P14" s="863" t="s">
        <v>42</v>
      </c>
      <c r="Q14" s="23" t="s">
        <v>43</v>
      </c>
      <c r="R14" s="830" t="s">
        <v>44</v>
      </c>
      <c r="S14" s="856"/>
      <c r="T14" s="815"/>
    </row>
    <row r="15" spans="1:20" ht="14.45" customHeight="1" x14ac:dyDescent="0.25">
      <c r="A15" s="880"/>
      <c r="B15" s="876"/>
      <c r="C15" s="876"/>
      <c r="D15" s="876"/>
      <c r="E15" s="674"/>
      <c r="F15" s="674"/>
      <c r="G15" s="30"/>
      <c r="H15" s="870"/>
      <c r="I15" s="744"/>
      <c r="J15" s="746"/>
      <c r="K15" s="181"/>
      <c r="L15" s="645"/>
      <c r="M15" s="715"/>
      <c r="N15" s="181"/>
      <c r="O15" s="708"/>
      <c r="P15" s="864"/>
      <c r="Q15" s="23" t="s">
        <v>45</v>
      </c>
      <c r="R15" s="834"/>
      <c r="S15" s="857"/>
      <c r="T15" s="816"/>
    </row>
    <row r="16" spans="1:20" ht="170.25" customHeight="1" x14ac:dyDescent="0.25">
      <c r="A16" s="881"/>
      <c r="B16" s="877"/>
      <c r="C16" s="877"/>
      <c r="D16" s="877"/>
      <c r="E16" s="675"/>
      <c r="F16" s="675"/>
      <c r="G16" s="30"/>
      <c r="H16" s="870"/>
      <c r="I16" s="744"/>
      <c r="J16" s="746"/>
      <c r="K16" s="181"/>
      <c r="L16" s="646"/>
      <c r="M16" s="716"/>
      <c r="N16" s="181"/>
      <c r="O16" s="98" t="s">
        <v>46</v>
      </c>
      <c r="P16" s="96" t="s">
        <v>47</v>
      </c>
      <c r="Q16" s="23" t="s">
        <v>48</v>
      </c>
      <c r="R16" s="785"/>
      <c r="S16" s="772"/>
      <c r="T16" s="817"/>
    </row>
    <row r="17" spans="1:20" ht="14.45" customHeight="1" x14ac:dyDescent="0.25">
      <c r="A17" s="884" t="s">
        <v>49</v>
      </c>
      <c r="B17" s="885" t="s">
        <v>898</v>
      </c>
      <c r="C17" s="885" t="s">
        <v>50</v>
      </c>
      <c r="D17" s="885" t="s">
        <v>39</v>
      </c>
      <c r="E17" s="672" t="s">
        <v>1244</v>
      </c>
      <c r="F17" s="672" t="s">
        <v>51</v>
      </c>
      <c r="G17" s="30"/>
      <c r="H17" s="894" t="s">
        <v>739</v>
      </c>
      <c r="I17" s="796" t="s">
        <v>739</v>
      </c>
      <c r="J17" s="797" t="s">
        <v>739</v>
      </c>
      <c r="K17" s="190"/>
      <c r="L17" s="891" t="s">
        <v>1498</v>
      </c>
      <c r="M17" s="891" t="s">
        <v>1477</v>
      </c>
      <c r="N17" s="190"/>
      <c r="O17" s="694" t="s">
        <v>41</v>
      </c>
      <c r="P17" s="858" t="s">
        <v>52</v>
      </c>
      <c r="Q17" s="54" t="s">
        <v>43</v>
      </c>
      <c r="R17" s="835" t="s">
        <v>53</v>
      </c>
      <c r="S17" s="853"/>
      <c r="T17" s="812"/>
    </row>
    <row r="18" spans="1:20" ht="14.45" customHeight="1" x14ac:dyDescent="0.25">
      <c r="A18" s="874"/>
      <c r="B18" s="872"/>
      <c r="C18" s="872"/>
      <c r="D18" s="872"/>
      <c r="E18" s="663"/>
      <c r="F18" s="663"/>
      <c r="G18" s="30"/>
      <c r="H18" s="894"/>
      <c r="I18" s="796"/>
      <c r="J18" s="797"/>
      <c r="K18" s="185"/>
      <c r="L18" s="892"/>
      <c r="M18" s="892"/>
      <c r="N18" s="185"/>
      <c r="O18" s="680"/>
      <c r="P18" s="658"/>
      <c r="Q18" s="54" t="s">
        <v>45</v>
      </c>
      <c r="R18" s="836"/>
      <c r="S18" s="854"/>
      <c r="T18" s="813"/>
    </row>
    <row r="19" spans="1:20" ht="14.45" customHeight="1" x14ac:dyDescent="0.25">
      <c r="A19" s="874"/>
      <c r="B19" s="872"/>
      <c r="C19" s="872"/>
      <c r="D19" s="872"/>
      <c r="E19" s="663"/>
      <c r="F19" s="663"/>
      <c r="G19" s="30"/>
      <c r="H19" s="894"/>
      <c r="I19" s="796"/>
      <c r="J19" s="797"/>
      <c r="K19" s="185"/>
      <c r="L19" s="892"/>
      <c r="M19" s="892"/>
      <c r="N19" s="185"/>
      <c r="O19" s="694" t="s">
        <v>55</v>
      </c>
      <c r="P19" s="858" t="s">
        <v>25</v>
      </c>
      <c r="Q19" s="54" t="s">
        <v>26</v>
      </c>
      <c r="R19" s="836"/>
      <c r="S19" s="854"/>
      <c r="T19" s="813"/>
    </row>
    <row r="20" spans="1:20" ht="14.45" customHeight="1" x14ac:dyDescent="0.25">
      <c r="A20" s="874"/>
      <c r="B20" s="872"/>
      <c r="C20" s="872"/>
      <c r="D20" s="872"/>
      <c r="E20" s="663"/>
      <c r="F20" s="663"/>
      <c r="G20" s="30"/>
      <c r="H20" s="894"/>
      <c r="I20" s="796"/>
      <c r="J20" s="797"/>
      <c r="K20" s="185"/>
      <c r="L20" s="892"/>
      <c r="M20" s="892"/>
      <c r="N20" s="185"/>
      <c r="O20" s="679"/>
      <c r="P20" s="862"/>
      <c r="Q20" s="54" t="s">
        <v>28</v>
      </c>
      <c r="R20" s="836"/>
      <c r="S20" s="854"/>
      <c r="T20" s="813"/>
    </row>
    <row r="21" spans="1:20" ht="14.45" customHeight="1" x14ac:dyDescent="0.25">
      <c r="A21" s="874"/>
      <c r="B21" s="872"/>
      <c r="C21" s="872"/>
      <c r="D21" s="872"/>
      <c r="E21" s="663"/>
      <c r="F21" s="663"/>
      <c r="G21" s="30"/>
      <c r="H21" s="894"/>
      <c r="I21" s="796"/>
      <c r="J21" s="797"/>
      <c r="K21" s="185"/>
      <c r="L21" s="892"/>
      <c r="M21" s="892"/>
      <c r="N21" s="185"/>
      <c r="O21" s="679"/>
      <c r="P21" s="862"/>
      <c r="Q21" s="54" t="s">
        <v>29</v>
      </c>
      <c r="R21" s="836"/>
      <c r="S21" s="854"/>
      <c r="T21" s="813"/>
    </row>
    <row r="22" spans="1:20" ht="14.45" customHeight="1" x14ac:dyDescent="0.25">
      <c r="A22" s="874"/>
      <c r="B22" s="872"/>
      <c r="C22" s="872"/>
      <c r="D22" s="872"/>
      <c r="E22" s="663"/>
      <c r="F22" s="663"/>
      <c r="G22" s="30"/>
      <c r="H22" s="894"/>
      <c r="I22" s="796"/>
      <c r="J22" s="797"/>
      <c r="K22" s="185"/>
      <c r="L22" s="892"/>
      <c r="M22" s="892"/>
      <c r="N22" s="185"/>
      <c r="O22" s="679"/>
      <c r="P22" s="862"/>
      <c r="Q22" s="54" t="s">
        <v>30</v>
      </c>
      <c r="R22" s="836"/>
      <c r="S22" s="854"/>
      <c r="T22" s="813"/>
    </row>
    <row r="23" spans="1:20" ht="14.45" customHeight="1" x14ac:dyDescent="0.25">
      <c r="A23" s="682"/>
      <c r="B23" s="684"/>
      <c r="C23" s="684"/>
      <c r="D23" s="684"/>
      <c r="E23" s="664"/>
      <c r="F23" s="664"/>
      <c r="G23" s="30"/>
      <c r="H23" s="894"/>
      <c r="I23" s="796"/>
      <c r="J23" s="797"/>
      <c r="K23" s="185"/>
      <c r="L23" s="893"/>
      <c r="M23" s="893"/>
      <c r="N23" s="185"/>
      <c r="O23" s="680"/>
      <c r="P23" s="658"/>
      <c r="Q23" s="54" t="s">
        <v>56</v>
      </c>
      <c r="R23" s="837"/>
      <c r="S23" s="855"/>
      <c r="T23" s="814"/>
    </row>
    <row r="24" spans="1:20" ht="14.45" customHeight="1" x14ac:dyDescent="0.25">
      <c r="A24" s="879" t="s">
        <v>57</v>
      </c>
      <c r="B24" s="875" t="s">
        <v>897</v>
      </c>
      <c r="C24" s="875" t="s">
        <v>58</v>
      </c>
      <c r="D24" s="875" t="s">
        <v>59</v>
      </c>
      <c r="E24" s="673" t="s">
        <v>894</v>
      </c>
      <c r="F24" s="673" t="s">
        <v>60</v>
      </c>
      <c r="G24" s="30"/>
      <c r="H24" s="756" t="s">
        <v>1499</v>
      </c>
      <c r="I24" s="735" t="s">
        <v>1578</v>
      </c>
      <c r="J24" s="753" t="s">
        <v>1579</v>
      </c>
      <c r="K24" s="181"/>
      <c r="L24" s="865" t="s">
        <v>1499</v>
      </c>
      <c r="M24" s="865" t="s">
        <v>1476</v>
      </c>
      <c r="N24" s="181"/>
      <c r="O24" s="707" t="s">
        <v>46</v>
      </c>
      <c r="P24" s="863" t="s">
        <v>47</v>
      </c>
      <c r="Q24" s="23" t="s">
        <v>61</v>
      </c>
      <c r="R24" s="830" t="s">
        <v>62</v>
      </c>
      <c r="S24" s="856" t="s">
        <v>63</v>
      </c>
      <c r="T24" s="818" t="s">
        <v>64</v>
      </c>
    </row>
    <row r="25" spans="1:20" ht="14.45" customHeight="1" x14ac:dyDescent="0.25">
      <c r="A25" s="880"/>
      <c r="B25" s="876"/>
      <c r="C25" s="876"/>
      <c r="D25" s="876"/>
      <c r="E25" s="674"/>
      <c r="F25" s="674"/>
      <c r="G25" s="30"/>
      <c r="H25" s="756"/>
      <c r="I25" s="735"/>
      <c r="J25" s="753"/>
      <c r="K25" s="181"/>
      <c r="L25" s="866"/>
      <c r="M25" s="866"/>
      <c r="N25" s="181"/>
      <c r="O25" s="709"/>
      <c r="P25" s="897"/>
      <c r="Q25" s="23" t="s">
        <v>65</v>
      </c>
      <c r="R25" s="834"/>
      <c r="S25" s="857"/>
      <c r="T25" s="819"/>
    </row>
    <row r="26" spans="1:20" ht="14.45" customHeight="1" x14ac:dyDescent="0.25">
      <c r="A26" s="881"/>
      <c r="B26" s="877"/>
      <c r="C26" s="877"/>
      <c r="D26" s="877"/>
      <c r="E26" s="675"/>
      <c r="F26" s="675"/>
      <c r="G26" s="30"/>
      <c r="H26" s="756"/>
      <c r="I26" s="735"/>
      <c r="J26" s="753"/>
      <c r="K26" s="181"/>
      <c r="L26" s="867"/>
      <c r="M26" s="867"/>
      <c r="N26" s="181"/>
      <c r="O26" s="708"/>
      <c r="P26" s="864"/>
      <c r="Q26" s="23" t="s">
        <v>66</v>
      </c>
      <c r="R26" s="785"/>
      <c r="S26" s="772"/>
      <c r="T26" s="820"/>
    </row>
    <row r="27" spans="1:20" ht="14.45" customHeight="1" x14ac:dyDescent="0.25">
      <c r="A27" s="884" t="s">
        <v>67</v>
      </c>
      <c r="B27" s="885" t="s">
        <v>897</v>
      </c>
      <c r="C27" s="885" t="s">
        <v>68</v>
      </c>
      <c r="D27" s="885" t="s">
        <v>69</v>
      </c>
      <c r="E27" s="672" t="s">
        <v>895</v>
      </c>
      <c r="F27" s="672" t="s">
        <v>70</v>
      </c>
      <c r="G27" s="30"/>
      <c r="H27" s="846" t="s">
        <v>727</v>
      </c>
      <c r="I27" s="798" t="s">
        <v>1420</v>
      </c>
      <c r="J27" s="895" t="s">
        <v>1421</v>
      </c>
      <c r="K27" s="185"/>
      <c r="L27" s="859" t="s">
        <v>727</v>
      </c>
      <c r="M27" s="859" t="s">
        <v>1476</v>
      </c>
      <c r="N27" s="185"/>
      <c r="O27" s="847" t="s">
        <v>46</v>
      </c>
      <c r="P27" s="850" t="s">
        <v>47</v>
      </c>
      <c r="Q27" s="191" t="s">
        <v>61</v>
      </c>
      <c r="R27" s="835" t="s">
        <v>71</v>
      </c>
      <c r="S27" s="853" t="s">
        <v>63</v>
      </c>
      <c r="T27" s="821" t="s">
        <v>72</v>
      </c>
    </row>
    <row r="28" spans="1:20" ht="14.45" customHeight="1" x14ac:dyDescent="0.25">
      <c r="A28" s="874"/>
      <c r="B28" s="872"/>
      <c r="C28" s="872"/>
      <c r="D28" s="872"/>
      <c r="E28" s="663"/>
      <c r="F28" s="663"/>
      <c r="G28" s="30"/>
      <c r="H28" s="846"/>
      <c r="I28" s="798"/>
      <c r="J28" s="895"/>
      <c r="K28" s="185"/>
      <c r="L28" s="860"/>
      <c r="M28" s="860"/>
      <c r="N28" s="185"/>
      <c r="O28" s="848"/>
      <c r="P28" s="851"/>
      <c r="Q28" s="192" t="s">
        <v>65</v>
      </c>
      <c r="R28" s="836"/>
      <c r="S28" s="854"/>
      <c r="T28" s="822"/>
    </row>
    <row r="29" spans="1:20" ht="14.45" customHeight="1" x14ac:dyDescent="0.25">
      <c r="A29" s="874"/>
      <c r="B29" s="872"/>
      <c r="C29" s="872"/>
      <c r="D29" s="872"/>
      <c r="E29" s="663"/>
      <c r="F29" s="663"/>
      <c r="G29" s="30"/>
      <c r="H29" s="846"/>
      <c r="I29" s="798"/>
      <c r="J29" s="895"/>
      <c r="K29" s="185"/>
      <c r="L29" s="860"/>
      <c r="M29" s="860"/>
      <c r="N29" s="185"/>
      <c r="O29" s="849"/>
      <c r="P29" s="852"/>
      <c r="Q29" s="192" t="s">
        <v>73</v>
      </c>
      <c r="R29" s="836"/>
      <c r="S29" s="854"/>
      <c r="T29" s="822"/>
    </row>
    <row r="30" spans="1:20" ht="14.45" customHeight="1" x14ac:dyDescent="0.25">
      <c r="A30" s="682"/>
      <c r="B30" s="684"/>
      <c r="C30" s="684"/>
      <c r="D30" s="684"/>
      <c r="E30" s="664"/>
      <c r="F30" s="664"/>
      <c r="G30" s="30"/>
      <c r="H30" s="846"/>
      <c r="I30" s="798"/>
      <c r="J30" s="895"/>
      <c r="K30" s="185"/>
      <c r="L30" s="861"/>
      <c r="M30" s="861"/>
      <c r="N30" s="185"/>
      <c r="O30" s="193" t="s">
        <v>74</v>
      </c>
      <c r="P30" s="194" t="s">
        <v>25</v>
      </c>
      <c r="Q30" s="192" t="s">
        <v>75</v>
      </c>
      <c r="R30" s="837"/>
      <c r="S30" s="855"/>
      <c r="T30" s="823"/>
    </row>
    <row r="31" spans="1:20" ht="14.45" customHeight="1" x14ac:dyDescent="0.25">
      <c r="A31" s="879" t="s">
        <v>76</v>
      </c>
      <c r="B31" s="875" t="s">
        <v>897</v>
      </c>
      <c r="C31" s="875" t="s">
        <v>77</v>
      </c>
      <c r="D31" s="875" t="s">
        <v>69</v>
      </c>
      <c r="E31" s="673" t="s">
        <v>896</v>
      </c>
      <c r="F31" s="673" t="s">
        <v>78</v>
      </c>
      <c r="G31" s="30"/>
      <c r="H31" s="756" t="s">
        <v>728</v>
      </c>
      <c r="I31" s="735" t="s">
        <v>1422</v>
      </c>
      <c r="J31" s="896" t="s">
        <v>1423</v>
      </c>
      <c r="K31" s="181"/>
      <c r="L31" s="865" t="s">
        <v>728</v>
      </c>
      <c r="M31" s="865" t="s">
        <v>1476</v>
      </c>
      <c r="N31" s="181"/>
      <c r="O31" s="707" t="s">
        <v>79</v>
      </c>
      <c r="P31" s="863" t="s">
        <v>80</v>
      </c>
      <c r="Q31" s="23" t="s">
        <v>81</v>
      </c>
      <c r="R31" s="830" t="s">
        <v>82</v>
      </c>
      <c r="S31" s="856" t="s">
        <v>63</v>
      </c>
      <c r="T31" s="818" t="s">
        <v>83</v>
      </c>
    </row>
    <row r="32" spans="1:20" ht="14.45" customHeight="1" x14ac:dyDescent="0.25">
      <c r="A32" s="880"/>
      <c r="B32" s="876"/>
      <c r="C32" s="876"/>
      <c r="D32" s="876"/>
      <c r="E32" s="674"/>
      <c r="F32" s="674"/>
      <c r="G32" s="30"/>
      <c r="H32" s="756"/>
      <c r="I32" s="735"/>
      <c r="J32" s="896"/>
      <c r="K32" s="181"/>
      <c r="L32" s="866"/>
      <c r="M32" s="866"/>
      <c r="N32" s="181"/>
      <c r="O32" s="709"/>
      <c r="P32" s="897"/>
      <c r="Q32" s="115" t="s">
        <v>84</v>
      </c>
      <c r="R32" s="834"/>
      <c r="S32" s="857"/>
      <c r="T32" s="819"/>
    </row>
    <row r="33" spans="1:20" ht="15.75" thickBot="1" x14ac:dyDescent="0.3">
      <c r="A33" s="881"/>
      <c r="B33" s="877"/>
      <c r="C33" s="877"/>
      <c r="D33" s="877"/>
      <c r="E33" s="675"/>
      <c r="F33" s="675"/>
      <c r="G33" s="30"/>
      <c r="H33" s="756"/>
      <c r="I33" s="735"/>
      <c r="J33" s="896"/>
      <c r="K33" s="181"/>
      <c r="L33" s="867"/>
      <c r="M33" s="867"/>
      <c r="N33" s="181"/>
      <c r="O33" s="708"/>
      <c r="P33" s="864"/>
      <c r="Q33" s="23" t="s">
        <v>85</v>
      </c>
      <c r="R33" s="785"/>
      <c r="S33" s="772"/>
      <c r="T33" s="824"/>
    </row>
    <row r="34" spans="1:20" ht="14.45" customHeight="1" x14ac:dyDescent="0.25">
      <c r="A34" s="884" t="s">
        <v>153</v>
      </c>
      <c r="B34" s="885" t="s">
        <v>1230</v>
      </c>
      <c r="C34" s="885" t="s">
        <v>154</v>
      </c>
      <c r="D34" s="885" t="s">
        <v>39</v>
      </c>
      <c r="E34" s="672" t="s">
        <v>1245</v>
      </c>
      <c r="F34" s="672" t="s">
        <v>155</v>
      </c>
      <c r="G34" s="30"/>
      <c r="H34" s="637" t="s">
        <v>729</v>
      </c>
      <c r="I34" s="719" t="s">
        <v>154</v>
      </c>
      <c r="J34" s="769" t="s">
        <v>1424</v>
      </c>
      <c r="K34" s="181"/>
      <c r="L34" s="642" t="s">
        <v>729</v>
      </c>
      <c r="M34" s="642" t="s">
        <v>1477</v>
      </c>
      <c r="N34" s="181"/>
      <c r="O34" s="694" t="s">
        <v>41</v>
      </c>
      <c r="P34" s="858" t="s">
        <v>707</v>
      </c>
      <c r="Q34" s="54" t="s">
        <v>43</v>
      </c>
      <c r="R34" s="826" t="s">
        <v>709</v>
      </c>
      <c r="S34" s="828"/>
      <c r="T34" s="825"/>
    </row>
    <row r="35" spans="1:20" ht="14.45" customHeight="1" x14ac:dyDescent="0.25">
      <c r="A35" s="874"/>
      <c r="B35" s="872"/>
      <c r="C35" s="872"/>
      <c r="D35" s="872"/>
      <c r="E35" s="663"/>
      <c r="F35" s="663"/>
      <c r="G35" s="30"/>
      <c r="H35" s="637"/>
      <c r="I35" s="719"/>
      <c r="J35" s="769"/>
      <c r="K35" s="181"/>
      <c r="L35" s="642"/>
      <c r="M35" s="642"/>
      <c r="N35" s="181"/>
      <c r="O35" s="680"/>
      <c r="P35" s="658"/>
      <c r="Q35" s="54" t="s">
        <v>45</v>
      </c>
      <c r="R35" s="827"/>
      <c r="S35" s="829"/>
      <c r="T35" s="813"/>
    </row>
    <row r="36" spans="1:20" ht="14.45" customHeight="1" x14ac:dyDescent="0.25">
      <c r="A36" s="682"/>
      <c r="B36" s="684"/>
      <c r="C36" s="684"/>
      <c r="D36" s="684"/>
      <c r="E36" s="664"/>
      <c r="F36" s="664"/>
      <c r="G36" s="30"/>
      <c r="H36" s="637"/>
      <c r="I36" s="719"/>
      <c r="J36" s="769"/>
      <c r="K36" s="181"/>
      <c r="L36" s="643"/>
      <c r="M36" s="643"/>
      <c r="N36" s="181"/>
      <c r="O36" s="68" t="s">
        <v>674</v>
      </c>
      <c r="P36" s="69" t="s">
        <v>25</v>
      </c>
      <c r="Q36" s="53" t="s">
        <v>708</v>
      </c>
      <c r="R36" s="654"/>
      <c r="S36" s="656"/>
      <c r="T36" s="814"/>
    </row>
    <row r="37" spans="1:20" ht="14.45" customHeight="1" x14ac:dyDescent="0.25">
      <c r="A37" s="879" t="s">
        <v>156</v>
      </c>
      <c r="B37" s="875" t="s">
        <v>1230</v>
      </c>
      <c r="C37" s="875" t="s">
        <v>157</v>
      </c>
      <c r="D37" s="875" t="s">
        <v>39</v>
      </c>
      <c r="E37" s="673" t="s">
        <v>1246</v>
      </c>
      <c r="F37" s="673" t="s">
        <v>158</v>
      </c>
      <c r="G37" s="30"/>
      <c r="H37" s="685" t="s">
        <v>730</v>
      </c>
      <c r="I37" s="698" t="s">
        <v>1425</v>
      </c>
      <c r="J37" s="699" t="s">
        <v>1426</v>
      </c>
      <c r="K37" s="185"/>
      <c r="L37" s="651" t="s">
        <v>730</v>
      </c>
      <c r="M37" s="651" t="s">
        <v>1477</v>
      </c>
      <c r="N37" s="185"/>
      <c r="O37" s="707" t="s">
        <v>41</v>
      </c>
      <c r="P37" s="863" t="s">
        <v>42</v>
      </c>
      <c r="Q37" s="23" t="s">
        <v>43</v>
      </c>
      <c r="R37" s="838" t="s">
        <v>711</v>
      </c>
      <c r="S37" s="673"/>
      <c r="T37" s="815"/>
    </row>
    <row r="38" spans="1:20" ht="14.45" customHeight="1" x14ac:dyDescent="0.25">
      <c r="A38" s="880"/>
      <c r="B38" s="876"/>
      <c r="C38" s="876"/>
      <c r="D38" s="876"/>
      <c r="E38" s="674"/>
      <c r="F38" s="674"/>
      <c r="G38" s="30"/>
      <c r="H38" s="685"/>
      <c r="I38" s="698"/>
      <c r="J38" s="699"/>
      <c r="K38" s="185"/>
      <c r="L38" s="652"/>
      <c r="M38" s="652"/>
      <c r="N38" s="185"/>
      <c r="O38" s="708"/>
      <c r="P38" s="864"/>
      <c r="Q38" s="23" t="s">
        <v>45</v>
      </c>
      <c r="R38" s="839"/>
      <c r="S38" s="674"/>
      <c r="T38" s="816"/>
    </row>
    <row r="39" spans="1:20" ht="14.45" customHeight="1" x14ac:dyDescent="0.25">
      <c r="A39" s="881"/>
      <c r="B39" s="877"/>
      <c r="C39" s="877"/>
      <c r="D39" s="877"/>
      <c r="E39" s="675"/>
      <c r="F39" s="675"/>
      <c r="G39" s="30"/>
      <c r="H39" s="685"/>
      <c r="I39" s="698"/>
      <c r="J39" s="699"/>
      <c r="K39" s="185"/>
      <c r="L39" s="653"/>
      <c r="M39" s="653"/>
      <c r="N39" s="185"/>
      <c r="O39" s="94" t="s">
        <v>674</v>
      </c>
      <c r="P39" s="111" t="s">
        <v>25</v>
      </c>
      <c r="Q39" s="114" t="s">
        <v>710</v>
      </c>
      <c r="R39" s="840"/>
      <c r="S39" s="675"/>
      <c r="T39" s="817"/>
    </row>
    <row r="40" spans="1:20" ht="30.95" customHeight="1" x14ac:dyDescent="0.25">
      <c r="A40" s="884" t="s">
        <v>159</v>
      </c>
      <c r="B40" s="885" t="s">
        <v>1230</v>
      </c>
      <c r="C40" s="885" t="s">
        <v>160</v>
      </c>
      <c r="D40" s="885" t="s">
        <v>39</v>
      </c>
      <c r="E40" s="672" t="s">
        <v>1247</v>
      </c>
      <c r="F40" s="672" t="s">
        <v>161</v>
      </c>
      <c r="G40" s="30"/>
      <c r="H40" s="637" t="s">
        <v>731</v>
      </c>
      <c r="I40" s="719" t="s">
        <v>1427</v>
      </c>
      <c r="J40" s="721" t="s">
        <v>1247</v>
      </c>
      <c r="K40" s="181"/>
      <c r="L40" s="650" t="s">
        <v>731</v>
      </c>
      <c r="M40" s="650" t="s">
        <v>1477</v>
      </c>
      <c r="N40" s="181"/>
      <c r="O40" s="694" t="s">
        <v>24</v>
      </c>
      <c r="P40" s="826" t="s">
        <v>25</v>
      </c>
      <c r="Q40" s="54" t="s">
        <v>713</v>
      </c>
      <c r="R40" s="826" t="s">
        <v>714</v>
      </c>
      <c r="S40" s="828"/>
      <c r="T40" s="799" t="s">
        <v>805</v>
      </c>
    </row>
    <row r="41" spans="1:20" ht="30.95" customHeight="1" x14ac:dyDescent="0.25">
      <c r="A41" s="682"/>
      <c r="B41" s="684"/>
      <c r="C41" s="684"/>
      <c r="D41" s="684"/>
      <c r="E41" s="664"/>
      <c r="F41" s="664"/>
      <c r="G41" s="30"/>
      <c r="H41" s="637"/>
      <c r="I41" s="719"/>
      <c r="J41" s="721"/>
      <c r="K41" s="181"/>
      <c r="L41" s="643"/>
      <c r="M41" s="643"/>
      <c r="N41" s="181"/>
      <c r="O41" s="680"/>
      <c r="P41" s="654"/>
      <c r="Q41" s="54" t="s">
        <v>712</v>
      </c>
      <c r="R41" s="654"/>
      <c r="S41" s="656"/>
      <c r="T41" s="800"/>
    </row>
    <row r="42" spans="1:20" ht="29.1" customHeight="1" x14ac:dyDescent="0.25">
      <c r="A42" s="84" t="s">
        <v>162</v>
      </c>
      <c r="B42" s="85" t="s">
        <v>1230</v>
      </c>
      <c r="C42" s="85" t="s">
        <v>163</v>
      </c>
      <c r="D42" s="85" t="s">
        <v>164</v>
      </c>
      <c r="E42" s="316" t="s">
        <v>1248</v>
      </c>
      <c r="F42" s="89" t="s">
        <v>165</v>
      </c>
      <c r="G42" s="30"/>
      <c r="H42" s="84" t="s">
        <v>732</v>
      </c>
      <c r="I42" s="88" t="s">
        <v>1428</v>
      </c>
      <c r="J42" s="316" t="s">
        <v>1429</v>
      </c>
      <c r="K42" s="185"/>
      <c r="L42" s="337" t="s">
        <v>732</v>
      </c>
      <c r="M42" s="337" t="s">
        <v>1476</v>
      </c>
      <c r="N42" s="185"/>
      <c r="O42" s="38" t="s">
        <v>24</v>
      </c>
      <c r="P42" s="111" t="s">
        <v>25</v>
      </c>
      <c r="Q42" s="85" t="s">
        <v>715</v>
      </c>
      <c r="R42" s="88" t="s">
        <v>35</v>
      </c>
      <c r="S42" s="89"/>
      <c r="T42" s="801" t="s">
        <v>806</v>
      </c>
    </row>
    <row r="43" spans="1:20" ht="29.1" customHeight="1" x14ac:dyDescent="0.25">
      <c r="A43" s="82" t="s">
        <v>166</v>
      </c>
      <c r="B43" s="80" t="s">
        <v>1231</v>
      </c>
      <c r="C43" s="80" t="s">
        <v>167</v>
      </c>
      <c r="D43" s="80" t="s">
        <v>164</v>
      </c>
      <c r="E43" s="105" t="s">
        <v>1249</v>
      </c>
      <c r="F43" s="105" t="s">
        <v>168</v>
      </c>
      <c r="G43" s="30"/>
      <c r="H43" s="322" t="s">
        <v>733</v>
      </c>
      <c r="I43" s="329" t="s">
        <v>1430</v>
      </c>
      <c r="J43" s="333" t="s">
        <v>1431</v>
      </c>
      <c r="K43" s="181"/>
      <c r="L43" s="359" t="s">
        <v>733</v>
      </c>
      <c r="M43" s="359" t="s">
        <v>1476</v>
      </c>
      <c r="N43" s="181"/>
      <c r="O43" s="106" t="s">
        <v>24</v>
      </c>
      <c r="P43" s="70" t="s">
        <v>25</v>
      </c>
      <c r="Q43" s="54" t="s">
        <v>716</v>
      </c>
      <c r="R43" s="70" t="s">
        <v>35</v>
      </c>
      <c r="S43" s="72"/>
      <c r="T43" s="802"/>
    </row>
    <row r="44" spans="1:20" ht="67.5" customHeight="1" x14ac:dyDescent="0.25">
      <c r="A44" s="84" t="s">
        <v>169</v>
      </c>
      <c r="B44" s="85" t="s">
        <v>1231</v>
      </c>
      <c r="C44" s="85" t="s">
        <v>170</v>
      </c>
      <c r="D44" s="335" t="s">
        <v>171</v>
      </c>
      <c r="E44" s="89" t="s">
        <v>1250</v>
      </c>
      <c r="F44" s="89" t="s">
        <v>172</v>
      </c>
      <c r="G44" s="30"/>
      <c r="H44" s="323" t="s">
        <v>739</v>
      </c>
      <c r="I44" s="26" t="s">
        <v>739</v>
      </c>
      <c r="J44" s="324" t="s">
        <v>739</v>
      </c>
      <c r="K44" s="190"/>
      <c r="L44" s="363" t="s">
        <v>1478</v>
      </c>
      <c r="M44" s="361" t="s">
        <v>1483</v>
      </c>
      <c r="N44" s="190"/>
      <c r="O44" s="38" t="s">
        <v>717</v>
      </c>
      <c r="P44" s="88" t="s">
        <v>717</v>
      </c>
      <c r="Q44" s="88" t="s">
        <v>717</v>
      </c>
      <c r="R44" s="88" t="s">
        <v>717</v>
      </c>
      <c r="S44" s="89" t="s">
        <v>717</v>
      </c>
      <c r="T44" s="803" t="s">
        <v>807</v>
      </c>
    </row>
    <row r="45" spans="1:20" ht="61.5" customHeight="1" x14ac:dyDescent="0.25">
      <c r="A45" s="82" t="s">
        <v>173</v>
      </c>
      <c r="B45" s="80" t="s">
        <v>1231</v>
      </c>
      <c r="C45" s="80" t="s">
        <v>174</v>
      </c>
      <c r="D45" s="336" t="s">
        <v>171</v>
      </c>
      <c r="E45" s="105" t="s">
        <v>1251</v>
      </c>
      <c r="F45" s="105" t="s">
        <v>175</v>
      </c>
      <c r="G45" s="30"/>
      <c r="H45" s="325" t="s">
        <v>739</v>
      </c>
      <c r="I45" s="321" t="s">
        <v>739</v>
      </c>
      <c r="J45" s="326" t="s">
        <v>739</v>
      </c>
      <c r="K45" s="190"/>
      <c r="L45" s="362" t="s">
        <v>1478</v>
      </c>
      <c r="M45" s="360" t="s">
        <v>1483</v>
      </c>
      <c r="N45" s="190"/>
      <c r="O45" s="195" t="s">
        <v>717</v>
      </c>
      <c r="P45" s="196" t="s">
        <v>717</v>
      </c>
      <c r="Q45" s="196" t="s">
        <v>717</v>
      </c>
      <c r="R45" s="196" t="s">
        <v>717</v>
      </c>
      <c r="S45" s="197" t="s">
        <v>717</v>
      </c>
      <c r="T45" s="804"/>
    </row>
    <row r="46" spans="1:20" x14ac:dyDescent="0.25">
      <c r="A46" s="879" t="s">
        <v>176</v>
      </c>
      <c r="B46" s="875" t="s">
        <v>1231</v>
      </c>
      <c r="C46" s="875" t="s">
        <v>177</v>
      </c>
      <c r="D46" s="875" t="s">
        <v>39</v>
      </c>
      <c r="E46" s="673" t="s">
        <v>1252</v>
      </c>
      <c r="F46" s="673" t="s">
        <v>178</v>
      </c>
      <c r="G46" s="30"/>
      <c r="H46" s="685" t="s">
        <v>734</v>
      </c>
      <c r="I46" s="698" t="s">
        <v>177</v>
      </c>
      <c r="J46" s="699" t="s">
        <v>1432</v>
      </c>
      <c r="K46" s="185"/>
      <c r="L46" s="651" t="s">
        <v>734</v>
      </c>
      <c r="M46" s="651" t="s">
        <v>1477</v>
      </c>
      <c r="N46" s="185"/>
      <c r="O46" s="700" t="s">
        <v>24</v>
      </c>
      <c r="P46" s="830" t="s">
        <v>25</v>
      </c>
      <c r="Q46" s="88" t="s">
        <v>719</v>
      </c>
      <c r="R46" s="838" t="s">
        <v>720</v>
      </c>
      <c r="S46" s="673"/>
      <c r="T46" s="805" t="s">
        <v>806</v>
      </c>
    </row>
    <row r="47" spans="1:20" x14ac:dyDescent="0.25">
      <c r="A47" s="881"/>
      <c r="B47" s="877"/>
      <c r="C47" s="877"/>
      <c r="D47" s="877"/>
      <c r="E47" s="675"/>
      <c r="F47" s="675"/>
      <c r="G47" s="30"/>
      <c r="H47" s="685"/>
      <c r="I47" s="698"/>
      <c r="J47" s="699"/>
      <c r="K47" s="185"/>
      <c r="L47" s="653"/>
      <c r="M47" s="653"/>
      <c r="N47" s="185"/>
      <c r="O47" s="702"/>
      <c r="P47" s="785"/>
      <c r="Q47" s="88" t="s">
        <v>718</v>
      </c>
      <c r="R47" s="840"/>
      <c r="S47" s="675"/>
      <c r="T47" s="806"/>
    </row>
    <row r="48" spans="1:20" ht="14.45" customHeight="1" x14ac:dyDescent="0.25">
      <c r="A48" s="884" t="s">
        <v>179</v>
      </c>
      <c r="B48" s="885" t="s">
        <v>1231</v>
      </c>
      <c r="C48" s="885" t="s">
        <v>180</v>
      </c>
      <c r="D48" s="885" t="s">
        <v>181</v>
      </c>
      <c r="E48" s="672" t="s">
        <v>1253</v>
      </c>
      <c r="F48" s="672" t="s">
        <v>182</v>
      </c>
      <c r="G48" s="30"/>
      <c r="H48" s="638" t="s">
        <v>739</v>
      </c>
      <c r="I48" s="725" t="s">
        <v>739</v>
      </c>
      <c r="J48" s="727" t="s">
        <v>739</v>
      </c>
      <c r="K48" s="189"/>
      <c r="L48" s="713" t="s">
        <v>1022</v>
      </c>
      <c r="M48" s="713" t="s">
        <v>1476</v>
      </c>
      <c r="N48" s="189"/>
      <c r="O48" s="694" t="s">
        <v>24</v>
      </c>
      <c r="P48" s="826" t="s">
        <v>25</v>
      </c>
      <c r="Q48" s="70" t="s">
        <v>764</v>
      </c>
      <c r="R48" s="826" t="s">
        <v>766</v>
      </c>
      <c r="S48" s="828"/>
      <c r="T48" s="807" t="s">
        <v>806</v>
      </c>
    </row>
    <row r="49" spans="1:20" ht="27" customHeight="1" x14ac:dyDescent="0.25">
      <c r="A49" s="682"/>
      <c r="B49" s="684"/>
      <c r="C49" s="684"/>
      <c r="D49" s="684"/>
      <c r="E49" s="664"/>
      <c r="F49" s="664"/>
      <c r="G49" s="30"/>
      <c r="H49" s="638"/>
      <c r="I49" s="725"/>
      <c r="J49" s="727"/>
      <c r="K49" s="181"/>
      <c r="L49" s="713"/>
      <c r="M49" s="713"/>
      <c r="N49" s="181"/>
      <c r="O49" s="680"/>
      <c r="P49" s="654"/>
      <c r="Q49" s="70" t="s">
        <v>765</v>
      </c>
      <c r="R49" s="654"/>
      <c r="S49" s="656"/>
      <c r="T49" s="808"/>
    </row>
    <row r="50" spans="1:20" x14ac:dyDescent="0.25">
      <c r="A50" s="879" t="s">
        <v>183</v>
      </c>
      <c r="B50" s="875" t="s">
        <v>1231</v>
      </c>
      <c r="C50" s="875" t="s">
        <v>184</v>
      </c>
      <c r="D50" s="875" t="s">
        <v>39</v>
      </c>
      <c r="E50" s="673" t="s">
        <v>1254</v>
      </c>
      <c r="F50" s="673" t="s">
        <v>185</v>
      </c>
      <c r="G50" s="30"/>
      <c r="H50" s="685" t="s">
        <v>735</v>
      </c>
      <c r="I50" s="698" t="s">
        <v>1433</v>
      </c>
      <c r="J50" s="699" t="s">
        <v>1434</v>
      </c>
      <c r="K50" s="185"/>
      <c r="L50" s="640" t="s">
        <v>735</v>
      </c>
      <c r="M50" s="640" t="s">
        <v>1477</v>
      </c>
      <c r="N50" s="185"/>
      <c r="O50" s="700" t="s">
        <v>24</v>
      </c>
      <c r="P50" s="838" t="s">
        <v>25</v>
      </c>
      <c r="Q50" s="88" t="s">
        <v>767</v>
      </c>
      <c r="R50" s="838" t="s">
        <v>769</v>
      </c>
      <c r="S50" s="673"/>
      <c r="T50" s="805" t="s">
        <v>806</v>
      </c>
    </row>
    <row r="51" spans="1:20" ht="76.5" customHeight="1" x14ac:dyDescent="0.25">
      <c r="A51" s="881"/>
      <c r="B51" s="877"/>
      <c r="C51" s="877"/>
      <c r="D51" s="877"/>
      <c r="E51" s="675"/>
      <c r="F51" s="675"/>
      <c r="G51" s="30"/>
      <c r="H51" s="685"/>
      <c r="I51" s="698"/>
      <c r="J51" s="699"/>
      <c r="K51" s="185"/>
      <c r="L51" s="640"/>
      <c r="M51" s="640"/>
      <c r="N51" s="185"/>
      <c r="O51" s="702"/>
      <c r="P51" s="840"/>
      <c r="Q51" s="88" t="s">
        <v>768</v>
      </c>
      <c r="R51" s="840"/>
      <c r="S51" s="675"/>
      <c r="T51" s="806"/>
    </row>
    <row r="52" spans="1:20" ht="36" customHeight="1" x14ac:dyDescent="0.25">
      <c r="A52" s="82" t="s">
        <v>186</v>
      </c>
      <c r="B52" s="80" t="s">
        <v>1232</v>
      </c>
      <c r="C52" s="80" t="s">
        <v>187</v>
      </c>
      <c r="D52" s="80" t="s">
        <v>164</v>
      </c>
      <c r="E52" s="105" t="s">
        <v>1255</v>
      </c>
      <c r="F52" s="105" t="s">
        <v>188</v>
      </c>
      <c r="G52" s="30"/>
      <c r="H52" s="322" t="s">
        <v>736</v>
      </c>
      <c r="I52" s="329" t="s">
        <v>1435</v>
      </c>
      <c r="J52" s="333" t="s">
        <v>1436</v>
      </c>
      <c r="K52" s="181"/>
      <c r="L52" s="359" t="s">
        <v>736</v>
      </c>
      <c r="M52" s="359" t="s">
        <v>1476</v>
      </c>
      <c r="N52" s="181"/>
      <c r="O52" s="106" t="s">
        <v>24</v>
      </c>
      <c r="P52" s="70" t="s">
        <v>25</v>
      </c>
      <c r="Q52" s="70" t="s">
        <v>770</v>
      </c>
      <c r="R52" s="70" t="s">
        <v>35</v>
      </c>
      <c r="S52" s="72"/>
      <c r="T52" s="198" t="s">
        <v>806</v>
      </c>
    </row>
    <row r="53" spans="1:20" ht="90.75" customHeight="1" x14ac:dyDescent="0.25">
      <c r="A53" s="84" t="s">
        <v>189</v>
      </c>
      <c r="B53" s="85" t="s">
        <v>1232</v>
      </c>
      <c r="C53" s="85" t="s">
        <v>190</v>
      </c>
      <c r="D53" s="85" t="s">
        <v>59</v>
      </c>
      <c r="E53" s="89" t="s">
        <v>1408</v>
      </c>
      <c r="F53" s="89" t="s">
        <v>191</v>
      </c>
      <c r="G53" s="30"/>
      <c r="H53" s="337" t="s">
        <v>737</v>
      </c>
      <c r="I53" s="27" t="s">
        <v>190</v>
      </c>
      <c r="J53" s="338" t="s">
        <v>1437</v>
      </c>
      <c r="K53" s="185"/>
      <c r="L53" s="342" t="s">
        <v>737</v>
      </c>
      <c r="M53" s="342" t="s">
        <v>1476</v>
      </c>
      <c r="N53" s="185"/>
      <c r="O53" s="38" t="s">
        <v>674</v>
      </c>
      <c r="P53" s="88" t="s">
        <v>25</v>
      </c>
      <c r="Q53" s="88" t="s">
        <v>771</v>
      </c>
      <c r="R53" s="88" t="s">
        <v>35</v>
      </c>
      <c r="S53" s="89"/>
      <c r="T53" s="199"/>
    </row>
    <row r="54" spans="1:20" x14ac:dyDescent="0.25">
      <c r="A54" s="884" t="s">
        <v>192</v>
      </c>
      <c r="B54" s="885" t="s">
        <v>1232</v>
      </c>
      <c r="C54" s="885" t="s">
        <v>193</v>
      </c>
      <c r="D54" s="885" t="s">
        <v>39</v>
      </c>
      <c r="E54" s="672" t="s">
        <v>1500</v>
      </c>
      <c r="F54" s="672" t="s">
        <v>194</v>
      </c>
      <c r="G54" s="30"/>
      <c r="H54" s="637" t="s">
        <v>738</v>
      </c>
      <c r="I54" s="719" t="s">
        <v>193</v>
      </c>
      <c r="J54" s="721" t="s">
        <v>1438</v>
      </c>
      <c r="K54" s="181"/>
      <c r="L54" s="713" t="s">
        <v>738</v>
      </c>
      <c r="M54" s="713" t="s">
        <v>1477</v>
      </c>
      <c r="N54" s="181"/>
      <c r="O54" s="694" t="s">
        <v>24</v>
      </c>
      <c r="P54" s="826" t="s">
        <v>25</v>
      </c>
      <c r="Q54" s="70" t="s">
        <v>772</v>
      </c>
      <c r="R54" s="843" t="s">
        <v>779</v>
      </c>
      <c r="S54" s="828"/>
      <c r="T54" s="650"/>
    </row>
    <row r="55" spans="1:20" x14ac:dyDescent="0.25">
      <c r="A55" s="874"/>
      <c r="B55" s="872"/>
      <c r="C55" s="872"/>
      <c r="D55" s="872"/>
      <c r="E55" s="663"/>
      <c r="F55" s="663"/>
      <c r="G55" s="30"/>
      <c r="H55" s="637"/>
      <c r="I55" s="719"/>
      <c r="J55" s="721"/>
      <c r="K55" s="181"/>
      <c r="L55" s="713"/>
      <c r="M55" s="713"/>
      <c r="N55" s="181"/>
      <c r="O55" s="679"/>
      <c r="P55" s="827"/>
      <c r="Q55" s="70" t="s">
        <v>773</v>
      </c>
      <c r="R55" s="844"/>
      <c r="S55" s="829"/>
      <c r="T55" s="642"/>
    </row>
    <row r="56" spans="1:20" x14ac:dyDescent="0.25">
      <c r="A56" s="874"/>
      <c r="B56" s="872"/>
      <c r="C56" s="872"/>
      <c r="D56" s="872"/>
      <c r="E56" s="663"/>
      <c r="F56" s="663"/>
      <c r="G56" s="30"/>
      <c r="H56" s="637"/>
      <c r="I56" s="719"/>
      <c r="J56" s="721"/>
      <c r="K56" s="181"/>
      <c r="L56" s="713"/>
      <c r="M56" s="713"/>
      <c r="N56" s="181"/>
      <c r="O56" s="679"/>
      <c r="P56" s="827"/>
      <c r="Q56" s="70" t="s">
        <v>775</v>
      </c>
      <c r="R56" s="844"/>
      <c r="S56" s="829"/>
      <c r="T56" s="642"/>
    </row>
    <row r="57" spans="1:20" x14ac:dyDescent="0.25">
      <c r="A57" s="874"/>
      <c r="B57" s="872"/>
      <c r="C57" s="872"/>
      <c r="D57" s="872"/>
      <c r="E57" s="663"/>
      <c r="F57" s="663"/>
      <c r="G57" s="30"/>
      <c r="H57" s="637"/>
      <c r="I57" s="719"/>
      <c r="J57" s="721"/>
      <c r="K57" s="181"/>
      <c r="L57" s="713"/>
      <c r="M57" s="713"/>
      <c r="N57" s="181"/>
      <c r="O57" s="679"/>
      <c r="P57" s="827"/>
      <c r="Q57" s="70" t="s">
        <v>776</v>
      </c>
      <c r="R57" s="844"/>
      <c r="S57" s="829"/>
      <c r="T57" s="642"/>
    </row>
    <row r="58" spans="1:20" x14ac:dyDescent="0.25">
      <c r="A58" s="874"/>
      <c r="B58" s="872"/>
      <c r="C58" s="872"/>
      <c r="D58" s="872"/>
      <c r="E58" s="663"/>
      <c r="F58" s="663"/>
      <c r="G58" s="30"/>
      <c r="H58" s="637"/>
      <c r="I58" s="719"/>
      <c r="J58" s="721"/>
      <c r="K58" s="181"/>
      <c r="L58" s="713"/>
      <c r="M58" s="713"/>
      <c r="N58" s="181"/>
      <c r="O58" s="679"/>
      <c r="P58" s="827"/>
      <c r="Q58" s="70" t="s">
        <v>774</v>
      </c>
      <c r="R58" s="844"/>
      <c r="S58" s="829"/>
      <c r="T58" s="642"/>
    </row>
    <row r="59" spans="1:20" x14ac:dyDescent="0.25">
      <c r="A59" s="874"/>
      <c r="B59" s="872"/>
      <c r="C59" s="872"/>
      <c r="D59" s="872"/>
      <c r="E59" s="663"/>
      <c r="F59" s="663"/>
      <c r="G59" s="30"/>
      <c r="H59" s="637"/>
      <c r="I59" s="719"/>
      <c r="J59" s="721"/>
      <c r="K59" s="181"/>
      <c r="L59" s="713"/>
      <c r="M59" s="713"/>
      <c r="N59" s="181"/>
      <c r="O59" s="679"/>
      <c r="P59" s="827"/>
      <c r="Q59" s="70" t="s">
        <v>777</v>
      </c>
      <c r="R59" s="844"/>
      <c r="S59" s="829"/>
      <c r="T59" s="642"/>
    </row>
    <row r="60" spans="1:20" x14ac:dyDescent="0.25">
      <c r="A60" s="682"/>
      <c r="B60" s="684"/>
      <c r="C60" s="684"/>
      <c r="D60" s="684"/>
      <c r="E60" s="664"/>
      <c r="F60" s="664"/>
      <c r="G60" s="30"/>
      <c r="H60" s="637"/>
      <c r="I60" s="719"/>
      <c r="J60" s="721"/>
      <c r="K60" s="181"/>
      <c r="L60" s="713"/>
      <c r="M60" s="713"/>
      <c r="N60" s="181"/>
      <c r="O60" s="680"/>
      <c r="P60" s="654"/>
      <c r="Q60" s="70" t="s">
        <v>778</v>
      </c>
      <c r="R60" s="845"/>
      <c r="S60" s="656"/>
      <c r="T60" s="643"/>
    </row>
    <row r="61" spans="1:20" ht="34.5" customHeight="1" x14ac:dyDescent="0.25">
      <c r="A61" s="879" t="s">
        <v>195</v>
      </c>
      <c r="B61" s="875" t="s">
        <v>1232</v>
      </c>
      <c r="C61" s="875" t="s">
        <v>196</v>
      </c>
      <c r="D61" s="875" t="s">
        <v>39</v>
      </c>
      <c r="E61" s="673" t="s">
        <v>1256</v>
      </c>
      <c r="F61" s="673" t="s">
        <v>197</v>
      </c>
      <c r="G61" s="30"/>
      <c r="H61" s="685" t="s">
        <v>739</v>
      </c>
      <c r="I61" s="792" t="s">
        <v>739</v>
      </c>
      <c r="J61" s="882" t="s">
        <v>739</v>
      </c>
      <c r="K61" s="185"/>
      <c r="L61" s="890" t="s">
        <v>1479</v>
      </c>
      <c r="M61" s="890" t="s">
        <v>1480</v>
      </c>
      <c r="N61" s="185"/>
      <c r="O61" s="700" t="s">
        <v>24</v>
      </c>
      <c r="P61" s="838" t="s">
        <v>25</v>
      </c>
      <c r="Q61" s="88" t="s">
        <v>767</v>
      </c>
      <c r="R61" s="838" t="s">
        <v>780</v>
      </c>
      <c r="S61" s="673"/>
      <c r="T61" s="793"/>
    </row>
    <row r="62" spans="1:20" ht="78" customHeight="1" x14ac:dyDescent="0.25">
      <c r="A62" s="881"/>
      <c r="B62" s="877"/>
      <c r="C62" s="877"/>
      <c r="D62" s="877"/>
      <c r="E62" s="675"/>
      <c r="F62" s="675"/>
      <c r="G62" s="30"/>
      <c r="H62" s="685"/>
      <c r="I62" s="686"/>
      <c r="J62" s="712"/>
      <c r="K62" s="185"/>
      <c r="L62" s="890"/>
      <c r="M62" s="890"/>
      <c r="N62" s="185"/>
      <c r="O62" s="702"/>
      <c r="P62" s="840"/>
      <c r="Q62" s="88" t="s">
        <v>768</v>
      </c>
      <c r="R62" s="840"/>
      <c r="S62" s="675"/>
      <c r="T62" s="795"/>
    </row>
    <row r="63" spans="1:20" ht="92.25" customHeight="1" x14ac:dyDescent="0.25">
      <c r="A63" s="82" t="s">
        <v>198</v>
      </c>
      <c r="B63" s="80" t="s">
        <v>1232</v>
      </c>
      <c r="C63" s="80" t="s">
        <v>199</v>
      </c>
      <c r="D63" s="80" t="s">
        <v>164</v>
      </c>
      <c r="E63" s="317" t="s">
        <v>1257</v>
      </c>
      <c r="F63" s="105" t="s">
        <v>200</v>
      </c>
      <c r="G63" s="30"/>
      <c r="H63" s="322" t="s">
        <v>739</v>
      </c>
      <c r="I63" s="288" t="s">
        <v>739</v>
      </c>
      <c r="J63" s="340" t="s">
        <v>739</v>
      </c>
      <c r="K63" s="181"/>
      <c r="L63" s="502" t="s">
        <v>1474</v>
      </c>
      <c r="M63" s="503" t="s">
        <v>1476</v>
      </c>
      <c r="N63" s="181"/>
      <c r="O63" s="106" t="s">
        <v>781</v>
      </c>
      <c r="P63" s="70" t="s">
        <v>25</v>
      </c>
      <c r="Q63" s="70" t="s">
        <v>782</v>
      </c>
      <c r="R63" s="70" t="s">
        <v>35</v>
      </c>
      <c r="S63" s="72"/>
      <c r="T63" s="79"/>
    </row>
    <row r="64" spans="1:20" x14ac:dyDescent="0.25">
      <c r="A64" s="879" t="s">
        <v>201</v>
      </c>
      <c r="B64" s="875" t="s">
        <v>1231</v>
      </c>
      <c r="C64" s="875" t="s">
        <v>202</v>
      </c>
      <c r="D64" s="875" t="s">
        <v>203</v>
      </c>
      <c r="E64" s="673" t="s">
        <v>1258</v>
      </c>
      <c r="F64" s="673" t="s">
        <v>204</v>
      </c>
      <c r="G64" s="30"/>
      <c r="H64" s="685" t="s">
        <v>740</v>
      </c>
      <c r="I64" s="698" t="s">
        <v>1439</v>
      </c>
      <c r="J64" s="842" t="s">
        <v>1440</v>
      </c>
      <c r="K64" s="185"/>
      <c r="L64" s="889" t="s">
        <v>740</v>
      </c>
      <c r="M64" s="889" t="s">
        <v>1476</v>
      </c>
      <c r="N64" s="185"/>
      <c r="O64" s="700" t="s">
        <v>24</v>
      </c>
      <c r="P64" s="838" t="s">
        <v>25</v>
      </c>
      <c r="Q64" s="101" t="s">
        <v>772</v>
      </c>
      <c r="R64" s="838" t="s">
        <v>783</v>
      </c>
      <c r="S64" s="673"/>
      <c r="T64" s="793"/>
    </row>
    <row r="65" spans="1:20" ht="63.75" customHeight="1" x14ac:dyDescent="0.25">
      <c r="A65" s="881"/>
      <c r="B65" s="877"/>
      <c r="C65" s="877"/>
      <c r="D65" s="877"/>
      <c r="E65" s="675"/>
      <c r="F65" s="675"/>
      <c r="G65" s="30"/>
      <c r="H65" s="685"/>
      <c r="I65" s="698"/>
      <c r="J65" s="842"/>
      <c r="K65" s="185"/>
      <c r="L65" s="889"/>
      <c r="M65" s="889"/>
      <c r="N65" s="185"/>
      <c r="O65" s="702"/>
      <c r="P65" s="840"/>
      <c r="Q65" s="101" t="s">
        <v>773</v>
      </c>
      <c r="R65" s="840"/>
      <c r="S65" s="675"/>
      <c r="T65" s="795"/>
    </row>
    <row r="66" spans="1:20" x14ac:dyDescent="0.25">
      <c r="A66" s="884" t="s">
        <v>205</v>
      </c>
      <c r="B66" s="885" t="s">
        <v>1231</v>
      </c>
      <c r="C66" s="885" t="s">
        <v>206</v>
      </c>
      <c r="D66" s="885" t="s">
        <v>164</v>
      </c>
      <c r="E66" s="672" t="s">
        <v>1259</v>
      </c>
      <c r="F66" s="672" t="s">
        <v>207</v>
      </c>
      <c r="G66" s="30"/>
      <c r="H66" s="637" t="s">
        <v>741</v>
      </c>
      <c r="I66" s="719" t="s">
        <v>206</v>
      </c>
      <c r="J66" s="721" t="s">
        <v>1259</v>
      </c>
      <c r="K66" s="181"/>
      <c r="L66" s="713" t="s">
        <v>741</v>
      </c>
      <c r="M66" s="713" t="s">
        <v>1476</v>
      </c>
      <c r="N66" s="181"/>
      <c r="O66" s="694" t="s">
        <v>24</v>
      </c>
      <c r="P66" s="826" t="s">
        <v>25</v>
      </c>
      <c r="Q66" s="70" t="s">
        <v>784</v>
      </c>
      <c r="R66" s="826" t="s">
        <v>786</v>
      </c>
      <c r="S66" s="828"/>
      <c r="T66" s="650"/>
    </row>
    <row r="67" spans="1:20" ht="88.5" customHeight="1" x14ac:dyDescent="0.25">
      <c r="A67" s="682"/>
      <c r="B67" s="684"/>
      <c r="C67" s="684"/>
      <c r="D67" s="684"/>
      <c r="E67" s="664"/>
      <c r="F67" s="664"/>
      <c r="G67" s="30"/>
      <c r="H67" s="637"/>
      <c r="I67" s="719"/>
      <c r="J67" s="721"/>
      <c r="K67" s="181"/>
      <c r="L67" s="713"/>
      <c r="M67" s="713"/>
      <c r="N67" s="181"/>
      <c r="O67" s="680"/>
      <c r="P67" s="654"/>
      <c r="Q67" s="70" t="s">
        <v>785</v>
      </c>
      <c r="R67" s="654"/>
      <c r="S67" s="656"/>
      <c r="T67" s="643"/>
    </row>
    <row r="68" spans="1:20" x14ac:dyDescent="0.25">
      <c r="A68" s="879" t="s">
        <v>208</v>
      </c>
      <c r="B68" s="875" t="s">
        <v>1233</v>
      </c>
      <c r="C68" s="875" t="s">
        <v>210</v>
      </c>
      <c r="D68" s="875" t="s">
        <v>39</v>
      </c>
      <c r="E68" s="673" t="s">
        <v>1260</v>
      </c>
      <c r="F68" s="673" t="s">
        <v>211</v>
      </c>
      <c r="G68" s="30"/>
      <c r="H68" s="685" t="s">
        <v>742</v>
      </c>
      <c r="I68" s="698" t="s">
        <v>210</v>
      </c>
      <c r="J68" s="699" t="s">
        <v>1441</v>
      </c>
      <c r="K68" s="185"/>
      <c r="L68" s="889" t="s">
        <v>742</v>
      </c>
      <c r="M68" s="889" t="s">
        <v>1477</v>
      </c>
      <c r="N68" s="185"/>
      <c r="O68" s="707" t="s">
        <v>41</v>
      </c>
      <c r="P68" s="830" t="s">
        <v>787</v>
      </c>
      <c r="Q68" s="101" t="s">
        <v>43</v>
      </c>
      <c r="R68" s="838" t="s">
        <v>789</v>
      </c>
      <c r="S68" s="673"/>
      <c r="T68" s="793"/>
    </row>
    <row r="69" spans="1:20" x14ac:dyDescent="0.25">
      <c r="A69" s="880"/>
      <c r="B69" s="876"/>
      <c r="C69" s="876"/>
      <c r="D69" s="876"/>
      <c r="E69" s="674"/>
      <c r="F69" s="674"/>
      <c r="G69" s="30"/>
      <c r="H69" s="685"/>
      <c r="I69" s="698"/>
      <c r="J69" s="699"/>
      <c r="K69" s="185"/>
      <c r="L69" s="889"/>
      <c r="M69" s="889"/>
      <c r="N69" s="185"/>
      <c r="O69" s="708"/>
      <c r="P69" s="785"/>
      <c r="Q69" s="101" t="s">
        <v>45</v>
      </c>
      <c r="R69" s="839"/>
      <c r="S69" s="674"/>
      <c r="T69" s="794"/>
    </row>
    <row r="70" spans="1:20" x14ac:dyDescent="0.25">
      <c r="A70" s="881"/>
      <c r="B70" s="877"/>
      <c r="C70" s="877"/>
      <c r="D70" s="877"/>
      <c r="E70" s="675"/>
      <c r="F70" s="675"/>
      <c r="G70" s="30"/>
      <c r="H70" s="685"/>
      <c r="I70" s="698"/>
      <c r="J70" s="699"/>
      <c r="K70" s="185"/>
      <c r="L70" s="889"/>
      <c r="M70" s="889"/>
      <c r="N70" s="185"/>
      <c r="O70" s="98" t="s">
        <v>674</v>
      </c>
      <c r="P70" s="101" t="s">
        <v>25</v>
      </c>
      <c r="Q70" s="101" t="s">
        <v>788</v>
      </c>
      <c r="R70" s="840"/>
      <c r="S70" s="675"/>
      <c r="T70" s="795"/>
    </row>
    <row r="71" spans="1:20" ht="141.75" customHeight="1" x14ac:dyDescent="0.25">
      <c r="A71" s="82" t="s">
        <v>212</v>
      </c>
      <c r="B71" s="80" t="s">
        <v>1233</v>
      </c>
      <c r="C71" s="80" t="s">
        <v>213</v>
      </c>
      <c r="D71" s="80" t="s">
        <v>164</v>
      </c>
      <c r="E71" s="105" t="s">
        <v>1204</v>
      </c>
      <c r="F71" s="105" t="s">
        <v>214</v>
      </c>
      <c r="G71" s="30"/>
      <c r="H71" s="322" t="s">
        <v>743</v>
      </c>
      <c r="I71" s="329" t="s">
        <v>1442</v>
      </c>
      <c r="J71" s="333" t="s">
        <v>1443</v>
      </c>
      <c r="K71" s="181"/>
      <c r="L71" s="344" t="s">
        <v>743</v>
      </c>
      <c r="M71" s="344" t="s">
        <v>1476</v>
      </c>
      <c r="N71" s="181"/>
      <c r="O71" s="106" t="s">
        <v>674</v>
      </c>
      <c r="P71" s="70" t="s">
        <v>25</v>
      </c>
      <c r="Q71" s="70" t="s">
        <v>790</v>
      </c>
      <c r="R71" s="70" t="s">
        <v>35</v>
      </c>
      <c r="S71" s="72"/>
      <c r="T71" s="79"/>
    </row>
    <row r="72" spans="1:20" ht="75" x14ac:dyDescent="0.25">
      <c r="A72" s="84" t="s">
        <v>215</v>
      </c>
      <c r="B72" s="85" t="s">
        <v>1233</v>
      </c>
      <c r="C72" s="85" t="s">
        <v>216</v>
      </c>
      <c r="D72" s="85" t="s">
        <v>59</v>
      </c>
      <c r="E72" s="89" t="s">
        <v>1261</v>
      </c>
      <c r="F72" s="89" t="s">
        <v>217</v>
      </c>
      <c r="G72" s="30"/>
      <c r="H72" s="84" t="s">
        <v>739</v>
      </c>
      <c r="I72" s="26" t="s">
        <v>739</v>
      </c>
      <c r="J72" s="324" t="s">
        <v>739</v>
      </c>
      <c r="K72" s="185"/>
      <c r="L72" s="342" t="s">
        <v>1473</v>
      </c>
      <c r="M72" s="342" t="s">
        <v>1476</v>
      </c>
      <c r="N72" s="185"/>
      <c r="O72" s="84" t="s">
        <v>109</v>
      </c>
      <c r="P72" s="85" t="s">
        <v>109</v>
      </c>
      <c r="Q72" s="85" t="s">
        <v>109</v>
      </c>
      <c r="R72" s="85" t="s">
        <v>109</v>
      </c>
      <c r="S72" s="89" t="s">
        <v>109</v>
      </c>
      <c r="T72" s="67" t="s">
        <v>109</v>
      </c>
    </row>
    <row r="73" spans="1:20" ht="63.75" customHeight="1" x14ac:dyDescent="0.25">
      <c r="A73" s="82" t="s">
        <v>218</v>
      </c>
      <c r="B73" s="80" t="s">
        <v>1233</v>
      </c>
      <c r="C73" s="80" t="s">
        <v>219</v>
      </c>
      <c r="D73" s="80" t="s">
        <v>59</v>
      </c>
      <c r="E73" s="317" t="s">
        <v>1262</v>
      </c>
      <c r="F73" s="105" t="s">
        <v>220</v>
      </c>
      <c r="G73" s="30"/>
      <c r="H73" s="322" t="s">
        <v>744</v>
      </c>
      <c r="I73" s="329" t="s">
        <v>1444</v>
      </c>
      <c r="J73" s="333" t="s">
        <v>1262</v>
      </c>
      <c r="K73" s="181"/>
      <c r="L73" s="472" t="s">
        <v>744</v>
      </c>
      <c r="M73" s="344" t="s">
        <v>1476</v>
      </c>
      <c r="N73" s="181"/>
      <c r="O73" s="106" t="s">
        <v>674</v>
      </c>
      <c r="P73" s="70" t="s">
        <v>25</v>
      </c>
      <c r="Q73" s="70" t="s">
        <v>791</v>
      </c>
      <c r="R73" s="70" t="s">
        <v>35</v>
      </c>
      <c r="S73" s="72"/>
      <c r="T73" s="79"/>
    </row>
    <row r="74" spans="1:20" ht="105" x14ac:dyDescent="0.25">
      <c r="A74" s="84" t="s">
        <v>221</v>
      </c>
      <c r="B74" s="85" t="s">
        <v>1233</v>
      </c>
      <c r="C74" s="85" t="s">
        <v>222</v>
      </c>
      <c r="D74" s="85" t="s">
        <v>164</v>
      </c>
      <c r="E74" s="341" t="s">
        <v>1207</v>
      </c>
      <c r="F74" s="89" t="s">
        <v>223</v>
      </c>
      <c r="G74" s="30"/>
      <c r="H74" s="84" t="s">
        <v>745</v>
      </c>
      <c r="I74" s="88" t="s">
        <v>1445</v>
      </c>
      <c r="J74" s="316" t="s">
        <v>1446</v>
      </c>
      <c r="K74" s="185"/>
      <c r="L74" s="471" t="s">
        <v>745</v>
      </c>
      <c r="M74" s="343" t="s">
        <v>1476</v>
      </c>
      <c r="N74" s="185"/>
      <c r="O74" s="38" t="s">
        <v>792</v>
      </c>
      <c r="P74" s="101" t="s">
        <v>25</v>
      </c>
      <c r="Q74" s="88" t="s">
        <v>793</v>
      </c>
      <c r="R74" s="88" t="s">
        <v>35</v>
      </c>
      <c r="S74" s="89"/>
      <c r="T74" s="67"/>
    </row>
    <row r="75" spans="1:20" ht="165" x14ac:dyDescent="0.25">
      <c r="A75" s="82" t="s">
        <v>224</v>
      </c>
      <c r="B75" s="80" t="s">
        <v>1234</v>
      </c>
      <c r="C75" s="80" t="s">
        <v>225</v>
      </c>
      <c r="D75" s="80" t="s">
        <v>39</v>
      </c>
      <c r="E75" s="317" t="s">
        <v>1263</v>
      </c>
      <c r="F75" s="105" t="s">
        <v>226</v>
      </c>
      <c r="G75" s="30"/>
      <c r="H75" s="322" t="s">
        <v>739</v>
      </c>
      <c r="I75" s="288" t="s">
        <v>739</v>
      </c>
      <c r="J75" s="340" t="s">
        <v>739</v>
      </c>
      <c r="K75" s="181"/>
      <c r="L75" s="502" t="s">
        <v>1572</v>
      </c>
      <c r="M75" s="502" t="s">
        <v>1482</v>
      </c>
      <c r="N75" s="181"/>
      <c r="O75" s="106" t="s">
        <v>46</v>
      </c>
      <c r="P75" s="70" t="s">
        <v>47</v>
      </c>
      <c r="Q75" s="70" t="s">
        <v>794</v>
      </c>
      <c r="R75" s="70" t="s">
        <v>795</v>
      </c>
      <c r="S75" s="72"/>
      <c r="T75" s="79"/>
    </row>
    <row r="76" spans="1:20" ht="90" x14ac:dyDescent="0.25">
      <c r="A76" s="84" t="s">
        <v>227</v>
      </c>
      <c r="B76" s="85" t="s">
        <v>1235</v>
      </c>
      <c r="C76" s="85" t="s">
        <v>228</v>
      </c>
      <c r="D76" s="85" t="s">
        <v>59</v>
      </c>
      <c r="E76" s="89" t="s">
        <v>1264</v>
      </c>
      <c r="F76" s="89" t="s">
        <v>229</v>
      </c>
      <c r="G76" s="30"/>
      <c r="H76" s="327" t="s">
        <v>746</v>
      </c>
      <c r="I76" s="17" t="s">
        <v>1447</v>
      </c>
      <c r="J76" s="334" t="s">
        <v>1448</v>
      </c>
      <c r="K76" s="200"/>
      <c r="L76" s="471" t="s">
        <v>746</v>
      </c>
      <c r="M76" s="343" t="s">
        <v>1476</v>
      </c>
      <c r="N76" s="200"/>
      <c r="O76" s="201" t="s">
        <v>674</v>
      </c>
      <c r="P76" s="17" t="s">
        <v>25</v>
      </c>
      <c r="Q76" s="17" t="s">
        <v>796</v>
      </c>
      <c r="R76" s="17" t="s">
        <v>35</v>
      </c>
      <c r="S76" s="202"/>
      <c r="T76" s="67"/>
    </row>
    <row r="77" spans="1:20" ht="140.25" customHeight="1" x14ac:dyDescent="0.25">
      <c r="A77" s="82" t="s">
        <v>230</v>
      </c>
      <c r="B77" s="80" t="s">
        <v>1235</v>
      </c>
      <c r="C77" s="80" t="s">
        <v>231</v>
      </c>
      <c r="D77" s="80" t="s">
        <v>59</v>
      </c>
      <c r="E77" s="105" t="s">
        <v>1265</v>
      </c>
      <c r="F77" s="105" t="s">
        <v>232</v>
      </c>
      <c r="G77" s="30"/>
      <c r="H77" s="322" t="s">
        <v>747</v>
      </c>
      <c r="I77" s="329" t="s">
        <v>1449</v>
      </c>
      <c r="J77" s="333" t="s">
        <v>1450</v>
      </c>
      <c r="K77" s="181"/>
      <c r="L77" s="473" t="s">
        <v>747</v>
      </c>
      <c r="M77" s="344" t="s">
        <v>1476</v>
      </c>
      <c r="N77" s="181"/>
      <c r="O77" s="187"/>
      <c r="P77" s="54"/>
      <c r="Q77" s="54"/>
      <c r="R77" s="70" t="s">
        <v>127</v>
      </c>
      <c r="S77" s="72"/>
      <c r="T77" s="79"/>
    </row>
    <row r="78" spans="1:20" ht="180" x14ac:dyDescent="0.25">
      <c r="A78" s="84" t="s">
        <v>233</v>
      </c>
      <c r="B78" s="85" t="s">
        <v>1233</v>
      </c>
      <c r="C78" s="85" t="s">
        <v>234</v>
      </c>
      <c r="D78" s="85" t="s">
        <v>59</v>
      </c>
      <c r="E78" s="89" t="s">
        <v>1266</v>
      </c>
      <c r="F78" s="89" t="s">
        <v>235</v>
      </c>
      <c r="G78" s="30"/>
      <c r="H78" s="84" t="s">
        <v>748</v>
      </c>
      <c r="I78" s="88" t="s">
        <v>1451</v>
      </c>
      <c r="J78" s="316" t="s">
        <v>1452</v>
      </c>
      <c r="K78" s="185"/>
      <c r="L78" s="471" t="s">
        <v>748</v>
      </c>
      <c r="M78" s="343" t="s">
        <v>1476</v>
      </c>
      <c r="N78" s="185"/>
      <c r="O78" s="38" t="s">
        <v>808</v>
      </c>
      <c r="P78" s="88" t="s">
        <v>25</v>
      </c>
      <c r="Q78" s="88" t="s">
        <v>809</v>
      </c>
      <c r="R78" s="17" t="s">
        <v>35</v>
      </c>
      <c r="S78" s="89" t="s">
        <v>810</v>
      </c>
      <c r="T78" s="67"/>
    </row>
    <row r="79" spans="1:20" ht="54.75" customHeight="1" x14ac:dyDescent="0.25">
      <c r="A79" s="82" t="s">
        <v>236</v>
      </c>
      <c r="B79" s="80" t="s">
        <v>1233</v>
      </c>
      <c r="C79" s="80" t="s">
        <v>237</v>
      </c>
      <c r="D79" s="80" t="s">
        <v>59</v>
      </c>
      <c r="E79" s="105" t="s">
        <v>1209</v>
      </c>
      <c r="F79" s="105" t="s">
        <v>238</v>
      </c>
      <c r="G79" s="30"/>
      <c r="H79" s="339" t="s">
        <v>749</v>
      </c>
      <c r="I79" s="288" t="s">
        <v>739</v>
      </c>
      <c r="J79" s="340" t="s">
        <v>739</v>
      </c>
      <c r="K79" s="181"/>
      <c r="L79" s="473" t="s">
        <v>749</v>
      </c>
      <c r="M79" s="344" t="s">
        <v>1476</v>
      </c>
      <c r="N79" s="181"/>
      <c r="O79" s="106" t="s">
        <v>811</v>
      </c>
      <c r="P79" s="70" t="s">
        <v>25</v>
      </c>
      <c r="Q79" s="70" t="s">
        <v>822</v>
      </c>
      <c r="R79" s="70" t="s">
        <v>35</v>
      </c>
      <c r="S79" s="72"/>
      <c r="T79" s="79"/>
    </row>
    <row r="80" spans="1:20" x14ac:dyDescent="0.25">
      <c r="A80" s="879" t="s">
        <v>239</v>
      </c>
      <c r="B80" s="875" t="s">
        <v>209</v>
      </c>
      <c r="C80" s="875" t="s">
        <v>240</v>
      </c>
      <c r="D80" s="875" t="s">
        <v>39</v>
      </c>
      <c r="E80" s="886" t="s">
        <v>1267</v>
      </c>
      <c r="F80" s="673" t="s">
        <v>241</v>
      </c>
      <c r="G80" s="30"/>
      <c r="H80" s="685" t="s">
        <v>750</v>
      </c>
      <c r="I80" s="698" t="s">
        <v>1453</v>
      </c>
      <c r="J80" s="842" t="s">
        <v>1454</v>
      </c>
      <c r="K80" s="185"/>
      <c r="L80" s="841" t="s">
        <v>750</v>
      </c>
      <c r="M80" s="898" t="s">
        <v>1477</v>
      </c>
      <c r="N80" s="185"/>
      <c r="O80" s="707" t="s">
        <v>41</v>
      </c>
      <c r="P80" s="830" t="s">
        <v>823</v>
      </c>
      <c r="Q80" s="101" t="s">
        <v>43</v>
      </c>
      <c r="R80" s="831" t="s">
        <v>698</v>
      </c>
      <c r="S80" s="673"/>
      <c r="T80" s="793"/>
    </row>
    <row r="81" spans="1:20" x14ac:dyDescent="0.25">
      <c r="A81" s="880"/>
      <c r="B81" s="876"/>
      <c r="C81" s="876"/>
      <c r="D81" s="876"/>
      <c r="E81" s="887"/>
      <c r="F81" s="674"/>
      <c r="G81" s="30"/>
      <c r="H81" s="685"/>
      <c r="I81" s="698"/>
      <c r="J81" s="842"/>
      <c r="K81" s="185"/>
      <c r="L81" s="841"/>
      <c r="M81" s="898"/>
      <c r="N81" s="185"/>
      <c r="O81" s="708"/>
      <c r="P81" s="785"/>
      <c r="Q81" s="101" t="s">
        <v>45</v>
      </c>
      <c r="R81" s="832"/>
      <c r="S81" s="674"/>
      <c r="T81" s="794"/>
    </row>
    <row r="82" spans="1:20" x14ac:dyDescent="0.25">
      <c r="A82" s="880"/>
      <c r="B82" s="876"/>
      <c r="C82" s="876"/>
      <c r="D82" s="876"/>
      <c r="E82" s="887"/>
      <c r="F82" s="674"/>
      <c r="G82" s="30"/>
      <c r="H82" s="685"/>
      <c r="I82" s="698"/>
      <c r="J82" s="842"/>
      <c r="K82" s="185"/>
      <c r="L82" s="841"/>
      <c r="M82" s="898"/>
      <c r="N82" s="185"/>
      <c r="O82" s="707" t="s">
        <v>55</v>
      </c>
      <c r="P82" s="830" t="s">
        <v>25</v>
      </c>
      <c r="Q82" s="101" t="s">
        <v>26</v>
      </c>
      <c r="R82" s="832"/>
      <c r="S82" s="674"/>
      <c r="T82" s="794"/>
    </row>
    <row r="83" spans="1:20" x14ac:dyDescent="0.25">
      <c r="A83" s="880"/>
      <c r="B83" s="876"/>
      <c r="C83" s="876"/>
      <c r="D83" s="876"/>
      <c r="E83" s="887"/>
      <c r="F83" s="674"/>
      <c r="G83" s="30"/>
      <c r="H83" s="685"/>
      <c r="I83" s="698"/>
      <c r="J83" s="842"/>
      <c r="K83" s="185"/>
      <c r="L83" s="841"/>
      <c r="M83" s="898"/>
      <c r="N83" s="185"/>
      <c r="O83" s="709"/>
      <c r="P83" s="834"/>
      <c r="Q83" s="101" t="s">
        <v>28</v>
      </c>
      <c r="R83" s="832"/>
      <c r="S83" s="674"/>
      <c r="T83" s="794"/>
    </row>
    <row r="84" spans="1:20" x14ac:dyDescent="0.25">
      <c r="A84" s="880"/>
      <c r="B84" s="876"/>
      <c r="C84" s="876"/>
      <c r="D84" s="876"/>
      <c r="E84" s="887"/>
      <c r="F84" s="674"/>
      <c r="G84" s="30"/>
      <c r="H84" s="685"/>
      <c r="I84" s="698"/>
      <c r="J84" s="842"/>
      <c r="K84" s="185"/>
      <c r="L84" s="841"/>
      <c r="M84" s="898"/>
      <c r="N84" s="185"/>
      <c r="O84" s="709"/>
      <c r="P84" s="834"/>
      <c r="Q84" s="101" t="s">
        <v>29</v>
      </c>
      <c r="R84" s="832"/>
      <c r="S84" s="674"/>
      <c r="T84" s="794"/>
    </row>
    <row r="85" spans="1:20" x14ac:dyDescent="0.25">
      <c r="A85" s="880"/>
      <c r="B85" s="876"/>
      <c r="C85" s="876"/>
      <c r="D85" s="876"/>
      <c r="E85" s="887"/>
      <c r="F85" s="674"/>
      <c r="G85" s="30"/>
      <c r="H85" s="685"/>
      <c r="I85" s="698"/>
      <c r="J85" s="842"/>
      <c r="K85" s="185"/>
      <c r="L85" s="841"/>
      <c r="M85" s="898"/>
      <c r="N85" s="185"/>
      <c r="O85" s="709"/>
      <c r="P85" s="834"/>
      <c r="Q85" s="101" t="s">
        <v>30</v>
      </c>
      <c r="R85" s="832"/>
      <c r="S85" s="674"/>
      <c r="T85" s="794"/>
    </row>
    <row r="86" spans="1:20" ht="7.5" customHeight="1" x14ac:dyDescent="0.25">
      <c r="A86" s="881"/>
      <c r="B86" s="877"/>
      <c r="C86" s="877"/>
      <c r="D86" s="877"/>
      <c r="E86" s="888"/>
      <c r="F86" s="675"/>
      <c r="G86" s="30"/>
      <c r="H86" s="685"/>
      <c r="I86" s="698"/>
      <c r="J86" s="842"/>
      <c r="K86" s="185"/>
      <c r="L86" s="841"/>
      <c r="M86" s="898"/>
      <c r="N86" s="185"/>
      <c r="O86" s="708"/>
      <c r="P86" s="785"/>
      <c r="Q86" s="101" t="s">
        <v>699</v>
      </c>
      <c r="R86" s="833"/>
      <c r="S86" s="675"/>
      <c r="T86" s="795"/>
    </row>
    <row r="87" spans="1:20" ht="157.5" customHeight="1" x14ac:dyDescent="0.25">
      <c r="A87" s="82" t="s">
        <v>242</v>
      </c>
      <c r="B87" s="80" t="s">
        <v>209</v>
      </c>
      <c r="C87" s="80" t="s">
        <v>243</v>
      </c>
      <c r="D87" s="80" t="s">
        <v>39</v>
      </c>
      <c r="E87" s="317" t="s">
        <v>1409</v>
      </c>
      <c r="F87" s="105" t="s">
        <v>244</v>
      </c>
      <c r="G87" s="30"/>
      <c r="H87" s="322" t="s">
        <v>739</v>
      </c>
      <c r="I87" s="288" t="s">
        <v>739</v>
      </c>
      <c r="J87" s="340" t="s">
        <v>739</v>
      </c>
      <c r="K87" s="181"/>
      <c r="L87" s="502" t="s">
        <v>1714</v>
      </c>
      <c r="M87" s="503" t="s">
        <v>1482</v>
      </c>
      <c r="N87" s="181"/>
      <c r="O87" s="195" t="s">
        <v>717</v>
      </c>
      <c r="P87" s="196" t="s">
        <v>717</v>
      </c>
      <c r="Q87" s="196" t="s">
        <v>717</v>
      </c>
      <c r="R87" s="196" t="s">
        <v>717</v>
      </c>
      <c r="S87" s="197" t="s">
        <v>717</v>
      </c>
      <c r="T87" s="79"/>
    </row>
    <row r="88" spans="1:20" ht="88.5" customHeight="1" x14ac:dyDescent="0.25">
      <c r="A88" s="84" t="s">
        <v>245</v>
      </c>
      <c r="B88" s="85" t="s">
        <v>1233</v>
      </c>
      <c r="C88" s="85" t="s">
        <v>246</v>
      </c>
      <c r="D88" s="85" t="s">
        <v>59</v>
      </c>
      <c r="E88" s="316" t="s">
        <v>1268</v>
      </c>
      <c r="F88" s="89" t="s">
        <v>247</v>
      </c>
      <c r="G88" s="30"/>
      <c r="H88" s="84" t="s">
        <v>751</v>
      </c>
      <c r="I88" s="88" t="s">
        <v>246</v>
      </c>
      <c r="J88" s="316" t="s">
        <v>1455</v>
      </c>
      <c r="K88" s="185"/>
      <c r="L88" s="471" t="s">
        <v>751</v>
      </c>
      <c r="M88" s="343" t="s">
        <v>1476</v>
      </c>
      <c r="N88" s="185"/>
      <c r="O88" s="203" t="s">
        <v>717</v>
      </c>
      <c r="P88" s="27" t="s">
        <v>717</v>
      </c>
      <c r="Q88" s="27" t="s">
        <v>717</v>
      </c>
      <c r="R88" s="27" t="s">
        <v>717</v>
      </c>
      <c r="S88" s="204" t="s">
        <v>717</v>
      </c>
      <c r="T88" s="67"/>
    </row>
    <row r="89" spans="1:20" ht="14.45" customHeight="1" x14ac:dyDescent="0.25">
      <c r="A89" s="884" t="s">
        <v>248</v>
      </c>
      <c r="B89" s="885" t="s">
        <v>1233</v>
      </c>
      <c r="C89" s="885" t="s">
        <v>249</v>
      </c>
      <c r="D89" s="885" t="s">
        <v>59</v>
      </c>
      <c r="E89" s="672" t="s">
        <v>1458</v>
      </c>
      <c r="F89" s="672" t="s">
        <v>250</v>
      </c>
      <c r="G89" s="30"/>
      <c r="H89" s="637" t="s">
        <v>752</v>
      </c>
      <c r="I89" s="719" t="s">
        <v>1456</v>
      </c>
      <c r="J89" s="721" t="s">
        <v>1457</v>
      </c>
      <c r="K89" s="181"/>
      <c r="L89" s="883" t="s">
        <v>752</v>
      </c>
      <c r="M89" s="713" t="s">
        <v>1476</v>
      </c>
      <c r="N89" s="181"/>
      <c r="O89" s="694" t="s">
        <v>808</v>
      </c>
      <c r="P89" s="826" t="s">
        <v>827</v>
      </c>
      <c r="Q89" s="70" t="s">
        <v>824</v>
      </c>
      <c r="R89" s="826" t="s">
        <v>826</v>
      </c>
      <c r="S89" s="828"/>
      <c r="T89" s="650"/>
    </row>
    <row r="90" spans="1:20" ht="14.45" customHeight="1" x14ac:dyDescent="0.25">
      <c r="A90" s="682"/>
      <c r="B90" s="684"/>
      <c r="C90" s="684"/>
      <c r="D90" s="684"/>
      <c r="E90" s="664"/>
      <c r="F90" s="664"/>
      <c r="G90" s="30"/>
      <c r="H90" s="637"/>
      <c r="I90" s="719"/>
      <c r="J90" s="721"/>
      <c r="K90" s="181"/>
      <c r="L90" s="883"/>
      <c r="M90" s="713"/>
      <c r="N90" s="181"/>
      <c r="O90" s="680"/>
      <c r="P90" s="654"/>
      <c r="Q90" s="70" t="s">
        <v>825</v>
      </c>
      <c r="R90" s="654"/>
      <c r="S90" s="656"/>
      <c r="T90" s="643"/>
    </row>
    <row r="91" spans="1:20" ht="14.45" customHeight="1" x14ac:dyDescent="0.25">
      <c r="A91" s="879" t="s">
        <v>251</v>
      </c>
      <c r="B91" s="875" t="s">
        <v>1233</v>
      </c>
      <c r="C91" s="875" t="s">
        <v>252</v>
      </c>
      <c r="D91" s="875" t="s">
        <v>39</v>
      </c>
      <c r="E91" s="673" t="s">
        <v>1269</v>
      </c>
      <c r="F91" s="673" t="s">
        <v>253</v>
      </c>
      <c r="G91" s="30"/>
      <c r="H91" s="685" t="s">
        <v>753</v>
      </c>
      <c r="I91" s="698" t="s">
        <v>1459</v>
      </c>
      <c r="J91" s="699" t="s">
        <v>1460</v>
      </c>
      <c r="K91" s="185"/>
      <c r="L91" s="841" t="s">
        <v>753</v>
      </c>
      <c r="M91" s="841" t="s">
        <v>1477</v>
      </c>
      <c r="N91" s="185"/>
      <c r="O91" s="707" t="s">
        <v>41</v>
      </c>
      <c r="P91" s="830" t="s">
        <v>831</v>
      </c>
      <c r="Q91" s="101" t="s">
        <v>43</v>
      </c>
      <c r="R91" s="838" t="s">
        <v>829</v>
      </c>
      <c r="S91" s="673"/>
      <c r="T91" s="793"/>
    </row>
    <row r="92" spans="1:20" ht="14.45" customHeight="1" x14ac:dyDescent="0.25">
      <c r="A92" s="880"/>
      <c r="B92" s="876"/>
      <c r="C92" s="876"/>
      <c r="D92" s="876"/>
      <c r="E92" s="674"/>
      <c r="F92" s="674"/>
      <c r="G92" s="30"/>
      <c r="H92" s="685"/>
      <c r="I92" s="698"/>
      <c r="J92" s="699"/>
      <c r="K92" s="185"/>
      <c r="L92" s="841"/>
      <c r="M92" s="841"/>
      <c r="N92" s="185"/>
      <c r="O92" s="708"/>
      <c r="P92" s="785"/>
      <c r="Q92" s="101" t="s">
        <v>45</v>
      </c>
      <c r="R92" s="839"/>
      <c r="S92" s="674"/>
      <c r="T92" s="794"/>
    </row>
    <row r="93" spans="1:20" ht="37.5" customHeight="1" x14ac:dyDescent="0.25">
      <c r="A93" s="881"/>
      <c r="B93" s="877"/>
      <c r="C93" s="877"/>
      <c r="D93" s="877"/>
      <c r="E93" s="675"/>
      <c r="F93" s="675"/>
      <c r="G93" s="30"/>
      <c r="H93" s="685"/>
      <c r="I93" s="698"/>
      <c r="J93" s="699"/>
      <c r="K93" s="185"/>
      <c r="L93" s="841"/>
      <c r="M93" s="841"/>
      <c r="N93" s="185"/>
      <c r="O93" s="38" t="s">
        <v>792</v>
      </c>
      <c r="P93" s="88" t="s">
        <v>25</v>
      </c>
      <c r="Q93" s="88" t="s">
        <v>828</v>
      </c>
      <c r="R93" s="840"/>
      <c r="S93" s="675"/>
      <c r="T93" s="795"/>
    </row>
    <row r="94" spans="1:20" ht="14.45" customHeight="1" x14ac:dyDescent="0.25">
      <c r="A94" s="884" t="s">
        <v>254</v>
      </c>
      <c r="B94" s="885" t="s">
        <v>1233</v>
      </c>
      <c r="C94" s="885" t="s">
        <v>255</v>
      </c>
      <c r="D94" s="885" t="s">
        <v>39</v>
      </c>
      <c r="E94" s="672" t="s">
        <v>1270</v>
      </c>
      <c r="F94" s="672" t="s">
        <v>256</v>
      </c>
      <c r="G94" s="30"/>
      <c r="H94" s="637" t="s">
        <v>754</v>
      </c>
      <c r="I94" s="719" t="s">
        <v>255</v>
      </c>
      <c r="J94" s="721" t="s">
        <v>1461</v>
      </c>
      <c r="K94" s="181"/>
      <c r="L94" s="883" t="s">
        <v>754</v>
      </c>
      <c r="M94" s="713" t="s">
        <v>1477</v>
      </c>
      <c r="N94" s="181"/>
      <c r="O94" s="694" t="s">
        <v>41</v>
      </c>
      <c r="P94" s="826" t="s">
        <v>830</v>
      </c>
      <c r="Q94" s="70" t="s">
        <v>43</v>
      </c>
      <c r="R94" s="835" t="s">
        <v>833</v>
      </c>
      <c r="S94" s="828"/>
      <c r="T94" s="650"/>
    </row>
    <row r="95" spans="1:20" ht="14.45" customHeight="1" x14ac:dyDescent="0.25">
      <c r="A95" s="874"/>
      <c r="B95" s="872"/>
      <c r="C95" s="872"/>
      <c r="D95" s="872"/>
      <c r="E95" s="663"/>
      <c r="F95" s="663"/>
      <c r="G95" s="30"/>
      <c r="H95" s="637"/>
      <c r="I95" s="719"/>
      <c r="J95" s="721"/>
      <c r="K95" s="181"/>
      <c r="L95" s="883"/>
      <c r="M95" s="713"/>
      <c r="N95" s="181"/>
      <c r="O95" s="680"/>
      <c r="P95" s="654"/>
      <c r="Q95" s="70" t="s">
        <v>45</v>
      </c>
      <c r="R95" s="836"/>
      <c r="S95" s="829"/>
      <c r="T95" s="642"/>
    </row>
    <row r="96" spans="1:20" ht="14.45" customHeight="1" x14ac:dyDescent="0.25">
      <c r="A96" s="682"/>
      <c r="B96" s="684"/>
      <c r="C96" s="684"/>
      <c r="D96" s="684"/>
      <c r="E96" s="664"/>
      <c r="F96" s="664"/>
      <c r="G96" s="30"/>
      <c r="H96" s="637"/>
      <c r="I96" s="719"/>
      <c r="J96" s="721"/>
      <c r="K96" s="181"/>
      <c r="L96" s="883"/>
      <c r="M96" s="713"/>
      <c r="N96" s="181"/>
      <c r="O96" s="195" t="s">
        <v>792</v>
      </c>
      <c r="P96" s="196" t="s">
        <v>25</v>
      </c>
      <c r="Q96" s="196" t="s">
        <v>832</v>
      </c>
      <c r="R96" s="837"/>
      <c r="S96" s="656"/>
      <c r="T96" s="643"/>
    </row>
    <row r="97" spans="1:20" ht="14.45" customHeight="1" x14ac:dyDescent="0.25">
      <c r="A97" s="879" t="s">
        <v>257</v>
      </c>
      <c r="B97" s="875" t="s">
        <v>1232</v>
      </c>
      <c r="C97" s="875" t="s">
        <v>258</v>
      </c>
      <c r="D97" s="875" t="s">
        <v>39</v>
      </c>
      <c r="E97" s="673" t="s">
        <v>1271</v>
      </c>
      <c r="F97" s="673" t="s">
        <v>259</v>
      </c>
      <c r="G97" s="30"/>
      <c r="H97" s="685" t="s">
        <v>739</v>
      </c>
      <c r="I97" s="792" t="s">
        <v>739</v>
      </c>
      <c r="J97" s="882" t="s">
        <v>739</v>
      </c>
      <c r="K97" s="185"/>
      <c r="L97" s="841" t="s">
        <v>1032</v>
      </c>
      <c r="M97" s="841" t="s">
        <v>1477</v>
      </c>
      <c r="N97" s="185"/>
      <c r="O97" s="707" t="s">
        <v>41</v>
      </c>
      <c r="P97" s="830" t="s">
        <v>834</v>
      </c>
      <c r="Q97" s="101" t="s">
        <v>43</v>
      </c>
      <c r="R97" s="838" t="s">
        <v>836</v>
      </c>
      <c r="S97" s="673"/>
      <c r="T97" s="793"/>
    </row>
    <row r="98" spans="1:20" ht="14.45" customHeight="1" x14ac:dyDescent="0.25">
      <c r="A98" s="880"/>
      <c r="B98" s="876"/>
      <c r="C98" s="876"/>
      <c r="D98" s="876"/>
      <c r="E98" s="674"/>
      <c r="F98" s="674"/>
      <c r="G98" s="30"/>
      <c r="H98" s="685"/>
      <c r="I98" s="686"/>
      <c r="J98" s="712"/>
      <c r="K98" s="185"/>
      <c r="L98" s="841"/>
      <c r="M98" s="841"/>
      <c r="N98" s="185"/>
      <c r="O98" s="708"/>
      <c r="P98" s="785"/>
      <c r="Q98" s="101" t="s">
        <v>45</v>
      </c>
      <c r="R98" s="839"/>
      <c r="S98" s="674"/>
      <c r="T98" s="794"/>
    </row>
    <row r="99" spans="1:20" ht="14.45" customHeight="1" x14ac:dyDescent="0.25">
      <c r="A99" s="881"/>
      <c r="B99" s="877"/>
      <c r="C99" s="877"/>
      <c r="D99" s="877"/>
      <c r="E99" s="675"/>
      <c r="F99" s="675"/>
      <c r="G99" s="30"/>
      <c r="H99" s="685"/>
      <c r="I99" s="686"/>
      <c r="J99" s="712"/>
      <c r="K99" s="185"/>
      <c r="L99" s="841"/>
      <c r="M99" s="841"/>
      <c r="N99" s="185"/>
      <c r="O99" s="38" t="s">
        <v>674</v>
      </c>
      <c r="P99" s="88" t="s">
        <v>25</v>
      </c>
      <c r="Q99" s="88" t="s">
        <v>835</v>
      </c>
      <c r="R99" s="840"/>
      <c r="S99" s="675"/>
      <c r="T99" s="795"/>
    </row>
    <row r="100" spans="1:20" ht="89.25" customHeight="1" x14ac:dyDescent="0.25">
      <c r="A100" s="82" t="s">
        <v>260</v>
      </c>
      <c r="B100" s="80" t="s">
        <v>1233</v>
      </c>
      <c r="C100" s="80" t="s">
        <v>261</v>
      </c>
      <c r="D100" s="80" t="s">
        <v>39</v>
      </c>
      <c r="E100" s="105" t="s">
        <v>1507</v>
      </c>
      <c r="F100" s="105" t="s">
        <v>262</v>
      </c>
      <c r="G100" s="30"/>
      <c r="H100" s="322" t="s">
        <v>755</v>
      </c>
      <c r="I100" s="329" t="s">
        <v>1462</v>
      </c>
      <c r="J100" s="333" t="s">
        <v>1463</v>
      </c>
      <c r="K100" s="181"/>
      <c r="L100" s="473" t="s">
        <v>755</v>
      </c>
      <c r="M100" s="473" t="s">
        <v>1477</v>
      </c>
      <c r="N100" s="181"/>
      <c r="O100" s="106" t="s">
        <v>106</v>
      </c>
      <c r="P100" s="70" t="s">
        <v>80</v>
      </c>
      <c r="Q100" s="70" t="s">
        <v>107</v>
      </c>
      <c r="R100" s="70" t="s">
        <v>837</v>
      </c>
      <c r="S100" s="72"/>
      <c r="T100" s="79"/>
    </row>
    <row r="101" spans="1:20" ht="36.75" customHeight="1" x14ac:dyDescent="0.25">
      <c r="A101" s="84" t="s">
        <v>263</v>
      </c>
      <c r="B101" s="85" t="s">
        <v>1233</v>
      </c>
      <c r="C101" s="85" t="s">
        <v>264</v>
      </c>
      <c r="D101" s="85" t="s">
        <v>265</v>
      </c>
      <c r="E101" s="316" t="s">
        <v>1219</v>
      </c>
      <c r="F101" s="89" t="s">
        <v>266</v>
      </c>
      <c r="G101" s="30"/>
      <c r="H101" s="84" t="s">
        <v>756</v>
      </c>
      <c r="I101" s="88" t="s">
        <v>1464</v>
      </c>
      <c r="J101" s="316" t="s">
        <v>1465</v>
      </c>
      <c r="K101" s="185"/>
      <c r="L101" s="471" t="s">
        <v>756</v>
      </c>
      <c r="M101" s="343" t="s">
        <v>1476</v>
      </c>
      <c r="N101" s="185"/>
      <c r="O101" s="203" t="s">
        <v>717</v>
      </c>
      <c r="P101" s="27" t="s">
        <v>717</v>
      </c>
      <c r="Q101" s="27" t="s">
        <v>717</v>
      </c>
      <c r="R101" s="27" t="s">
        <v>717</v>
      </c>
      <c r="S101" s="204" t="s">
        <v>717</v>
      </c>
      <c r="T101" s="67"/>
    </row>
    <row r="102" spans="1:20" ht="43.5" customHeight="1" x14ac:dyDescent="0.25">
      <c r="A102" s="82" t="s">
        <v>267</v>
      </c>
      <c r="B102" s="80" t="s">
        <v>1233</v>
      </c>
      <c r="C102" s="80" t="s">
        <v>268</v>
      </c>
      <c r="D102" s="80" t="s">
        <v>59</v>
      </c>
      <c r="E102" s="317" t="s">
        <v>1272</v>
      </c>
      <c r="F102" s="105" t="s">
        <v>269</v>
      </c>
      <c r="G102" s="30"/>
      <c r="H102" s="322" t="s">
        <v>757</v>
      </c>
      <c r="I102" s="329" t="s">
        <v>1466</v>
      </c>
      <c r="J102" s="333" t="s">
        <v>1467</v>
      </c>
      <c r="K102" s="181"/>
      <c r="L102" s="473" t="s">
        <v>757</v>
      </c>
      <c r="M102" s="473" t="s">
        <v>1476</v>
      </c>
      <c r="N102" s="181"/>
      <c r="O102" s="106" t="s">
        <v>808</v>
      </c>
      <c r="P102" s="70" t="s">
        <v>827</v>
      </c>
      <c r="Q102" s="70" t="s">
        <v>825</v>
      </c>
      <c r="R102" s="70" t="s">
        <v>35</v>
      </c>
      <c r="S102" s="72"/>
      <c r="T102" s="79"/>
    </row>
    <row r="103" spans="1:20" ht="14.45" customHeight="1" x14ac:dyDescent="0.25">
      <c r="A103" s="879" t="s">
        <v>270</v>
      </c>
      <c r="B103" s="875" t="s">
        <v>1236</v>
      </c>
      <c r="C103" s="875" t="s">
        <v>271</v>
      </c>
      <c r="D103" s="875" t="s">
        <v>39</v>
      </c>
      <c r="E103" s="673" t="s">
        <v>1410</v>
      </c>
      <c r="F103" s="673" t="s">
        <v>272</v>
      </c>
      <c r="G103" s="30"/>
      <c r="H103" s="685" t="s">
        <v>758</v>
      </c>
      <c r="I103" s="698" t="s">
        <v>1468</v>
      </c>
      <c r="J103" s="699" t="s">
        <v>1220</v>
      </c>
      <c r="K103" s="185"/>
      <c r="L103" s="841" t="s">
        <v>758</v>
      </c>
      <c r="M103" s="841" t="s">
        <v>1477</v>
      </c>
      <c r="N103" s="185"/>
      <c r="O103" s="707" t="s">
        <v>41</v>
      </c>
      <c r="P103" s="830" t="s">
        <v>838</v>
      </c>
      <c r="Q103" s="101" t="s">
        <v>43</v>
      </c>
      <c r="R103" s="838" t="s">
        <v>840</v>
      </c>
      <c r="S103" s="673"/>
      <c r="T103" s="793"/>
    </row>
    <row r="104" spans="1:20" ht="14.45" customHeight="1" x14ac:dyDescent="0.25">
      <c r="A104" s="880"/>
      <c r="B104" s="876"/>
      <c r="C104" s="876"/>
      <c r="D104" s="876"/>
      <c r="E104" s="674"/>
      <c r="F104" s="674"/>
      <c r="G104" s="30"/>
      <c r="H104" s="685"/>
      <c r="I104" s="698"/>
      <c r="J104" s="699"/>
      <c r="K104" s="185"/>
      <c r="L104" s="841"/>
      <c r="M104" s="841"/>
      <c r="N104" s="185"/>
      <c r="O104" s="708"/>
      <c r="P104" s="785"/>
      <c r="Q104" s="101" t="s">
        <v>45</v>
      </c>
      <c r="R104" s="839"/>
      <c r="S104" s="674"/>
      <c r="T104" s="794"/>
    </row>
    <row r="105" spans="1:20" ht="160.5" customHeight="1" x14ac:dyDescent="0.25">
      <c r="A105" s="881"/>
      <c r="B105" s="877"/>
      <c r="C105" s="877"/>
      <c r="D105" s="877"/>
      <c r="E105" s="675"/>
      <c r="F105" s="675"/>
      <c r="G105" s="30"/>
      <c r="H105" s="685"/>
      <c r="I105" s="698"/>
      <c r="J105" s="699"/>
      <c r="K105" s="185"/>
      <c r="L105" s="841"/>
      <c r="M105" s="841"/>
      <c r="N105" s="185"/>
      <c r="O105" s="38" t="s">
        <v>674</v>
      </c>
      <c r="P105" s="88" t="s">
        <v>25</v>
      </c>
      <c r="Q105" s="88" t="s">
        <v>839</v>
      </c>
      <c r="R105" s="840"/>
      <c r="S105" s="675"/>
      <c r="T105" s="795"/>
    </row>
    <row r="106" spans="1:20" ht="45" x14ac:dyDescent="0.25">
      <c r="A106" s="82" t="s">
        <v>273</v>
      </c>
      <c r="B106" s="80" t="s">
        <v>1236</v>
      </c>
      <c r="C106" s="80" t="s">
        <v>274</v>
      </c>
      <c r="D106" s="80" t="s">
        <v>265</v>
      </c>
      <c r="E106" s="317" t="s">
        <v>1222</v>
      </c>
      <c r="F106" s="105" t="s">
        <v>275</v>
      </c>
      <c r="G106" s="30"/>
      <c r="H106" s="322" t="s">
        <v>759</v>
      </c>
      <c r="I106" s="329" t="s">
        <v>1469</v>
      </c>
      <c r="J106" s="333" t="s">
        <v>1470</v>
      </c>
      <c r="K106" s="181"/>
      <c r="L106" s="473" t="s">
        <v>759</v>
      </c>
      <c r="M106" s="344" t="s">
        <v>1476</v>
      </c>
      <c r="N106" s="181"/>
      <c r="O106" s="106" t="s">
        <v>674</v>
      </c>
      <c r="P106" s="70" t="s">
        <v>25</v>
      </c>
      <c r="Q106" s="70" t="s">
        <v>841</v>
      </c>
      <c r="R106" s="70" t="s">
        <v>35</v>
      </c>
      <c r="S106" s="72"/>
      <c r="T106" s="79"/>
    </row>
    <row r="107" spans="1:20" ht="43.5" customHeight="1" x14ac:dyDescent="0.25">
      <c r="A107" s="84" t="s">
        <v>276</v>
      </c>
      <c r="B107" s="85" t="s">
        <v>1237</v>
      </c>
      <c r="C107" s="85" t="s">
        <v>277</v>
      </c>
      <c r="D107" s="85" t="s">
        <v>59</v>
      </c>
      <c r="E107" s="89" t="s">
        <v>1273</v>
      </c>
      <c r="F107" s="89" t="s">
        <v>278</v>
      </c>
      <c r="G107" s="30"/>
      <c r="H107" s="84" t="s">
        <v>760</v>
      </c>
      <c r="I107" s="88" t="s">
        <v>277</v>
      </c>
      <c r="J107" s="89" t="s">
        <v>1471</v>
      </c>
      <c r="K107" s="185"/>
      <c r="L107" s="471" t="s">
        <v>760</v>
      </c>
      <c r="M107" s="343" t="s">
        <v>1476</v>
      </c>
      <c r="N107" s="185"/>
      <c r="O107" s="38" t="s">
        <v>843</v>
      </c>
      <c r="P107" s="88" t="s">
        <v>25</v>
      </c>
      <c r="Q107" s="88" t="s">
        <v>842</v>
      </c>
      <c r="R107" s="88" t="s">
        <v>35</v>
      </c>
      <c r="S107" s="89"/>
      <c r="T107" s="67"/>
    </row>
    <row r="108" spans="1:20" ht="14.45" customHeight="1" x14ac:dyDescent="0.25">
      <c r="A108" s="884" t="s">
        <v>279</v>
      </c>
      <c r="B108" s="885" t="s">
        <v>1233</v>
      </c>
      <c r="C108" s="885" t="s">
        <v>280</v>
      </c>
      <c r="D108" s="885" t="s">
        <v>59</v>
      </c>
      <c r="E108" s="672" t="s">
        <v>1274</v>
      </c>
      <c r="F108" s="672" t="s">
        <v>281</v>
      </c>
      <c r="G108" s="30"/>
      <c r="H108" s="637" t="s">
        <v>761</v>
      </c>
      <c r="I108" s="719" t="s">
        <v>280</v>
      </c>
      <c r="J108" s="721" t="s">
        <v>1472</v>
      </c>
      <c r="K108" s="181"/>
      <c r="L108" s="883" t="s">
        <v>761</v>
      </c>
      <c r="M108" s="713" t="s">
        <v>1476</v>
      </c>
      <c r="N108" s="181"/>
      <c r="O108" s="694" t="s">
        <v>808</v>
      </c>
      <c r="P108" s="826" t="s">
        <v>827</v>
      </c>
      <c r="Q108" s="205" t="s">
        <v>846</v>
      </c>
      <c r="R108" s="826" t="s">
        <v>870</v>
      </c>
      <c r="S108" s="828"/>
      <c r="T108" s="650"/>
    </row>
    <row r="109" spans="1:20" x14ac:dyDescent="0.25">
      <c r="A109" s="874"/>
      <c r="B109" s="872"/>
      <c r="C109" s="872"/>
      <c r="D109" s="872"/>
      <c r="E109" s="663"/>
      <c r="F109" s="663"/>
      <c r="G109" s="30"/>
      <c r="H109" s="637"/>
      <c r="I109" s="719"/>
      <c r="J109" s="721"/>
      <c r="K109" s="181"/>
      <c r="L109" s="883"/>
      <c r="M109" s="713"/>
      <c r="N109" s="181"/>
      <c r="O109" s="679"/>
      <c r="P109" s="827"/>
      <c r="Q109" s="205" t="s">
        <v>847</v>
      </c>
      <c r="R109" s="827"/>
      <c r="S109" s="829"/>
      <c r="T109" s="642"/>
    </row>
    <row r="110" spans="1:20" x14ac:dyDescent="0.25">
      <c r="A110" s="874"/>
      <c r="B110" s="872"/>
      <c r="C110" s="872"/>
      <c r="D110" s="872"/>
      <c r="E110" s="663"/>
      <c r="F110" s="663"/>
      <c r="G110" s="30"/>
      <c r="H110" s="637"/>
      <c r="I110" s="719"/>
      <c r="J110" s="721"/>
      <c r="K110" s="181"/>
      <c r="L110" s="883"/>
      <c r="M110" s="713"/>
      <c r="N110" s="181"/>
      <c r="O110" s="679"/>
      <c r="P110" s="827"/>
      <c r="Q110" s="205" t="s">
        <v>848</v>
      </c>
      <c r="R110" s="827"/>
      <c r="S110" s="829"/>
      <c r="T110" s="642"/>
    </row>
    <row r="111" spans="1:20" x14ac:dyDescent="0.25">
      <c r="A111" s="874"/>
      <c r="B111" s="872"/>
      <c r="C111" s="872"/>
      <c r="D111" s="872"/>
      <c r="E111" s="663"/>
      <c r="F111" s="663"/>
      <c r="G111" s="30"/>
      <c r="H111" s="637"/>
      <c r="I111" s="719"/>
      <c r="J111" s="721"/>
      <c r="K111" s="181"/>
      <c r="L111" s="883"/>
      <c r="M111" s="713"/>
      <c r="N111" s="181"/>
      <c r="O111" s="679"/>
      <c r="P111" s="827"/>
      <c r="Q111" s="205" t="s">
        <v>849</v>
      </c>
      <c r="R111" s="827"/>
      <c r="S111" s="829"/>
      <c r="T111" s="642"/>
    </row>
    <row r="112" spans="1:20" x14ac:dyDescent="0.25">
      <c r="A112" s="874"/>
      <c r="B112" s="872"/>
      <c r="C112" s="872"/>
      <c r="D112" s="872"/>
      <c r="E112" s="663"/>
      <c r="F112" s="663"/>
      <c r="G112" s="30"/>
      <c r="H112" s="637"/>
      <c r="I112" s="719"/>
      <c r="J112" s="721"/>
      <c r="K112" s="181"/>
      <c r="L112" s="883"/>
      <c r="M112" s="713"/>
      <c r="N112" s="181"/>
      <c r="O112" s="679"/>
      <c r="P112" s="827"/>
      <c r="Q112" s="205" t="s">
        <v>850</v>
      </c>
      <c r="R112" s="827"/>
      <c r="S112" s="829"/>
      <c r="T112" s="642"/>
    </row>
    <row r="113" spans="1:20" x14ac:dyDescent="0.25">
      <c r="A113" s="874"/>
      <c r="B113" s="872"/>
      <c r="C113" s="872"/>
      <c r="D113" s="872"/>
      <c r="E113" s="663"/>
      <c r="F113" s="663"/>
      <c r="G113" s="30"/>
      <c r="H113" s="637"/>
      <c r="I113" s="719"/>
      <c r="J113" s="721"/>
      <c r="K113" s="181"/>
      <c r="L113" s="883"/>
      <c r="M113" s="713"/>
      <c r="N113" s="181"/>
      <c r="O113" s="679"/>
      <c r="P113" s="827"/>
      <c r="Q113" s="205" t="s">
        <v>851</v>
      </c>
      <c r="R113" s="827"/>
      <c r="S113" s="829"/>
      <c r="T113" s="642"/>
    </row>
    <row r="114" spans="1:20" x14ac:dyDescent="0.25">
      <c r="A114" s="874"/>
      <c r="B114" s="872"/>
      <c r="C114" s="872"/>
      <c r="D114" s="872"/>
      <c r="E114" s="663"/>
      <c r="F114" s="663"/>
      <c r="G114" s="30"/>
      <c r="H114" s="637"/>
      <c r="I114" s="719"/>
      <c r="J114" s="721"/>
      <c r="K114" s="181"/>
      <c r="L114" s="883"/>
      <c r="M114" s="713"/>
      <c r="N114" s="181"/>
      <c r="O114" s="679"/>
      <c r="P114" s="827"/>
      <c r="Q114" s="205" t="s">
        <v>852</v>
      </c>
      <c r="R114" s="827"/>
      <c r="S114" s="829"/>
      <c r="T114" s="642"/>
    </row>
    <row r="115" spans="1:20" x14ac:dyDescent="0.25">
      <c r="A115" s="874"/>
      <c r="B115" s="872"/>
      <c r="C115" s="872"/>
      <c r="D115" s="872"/>
      <c r="E115" s="663"/>
      <c r="F115" s="663"/>
      <c r="G115" s="30"/>
      <c r="H115" s="637"/>
      <c r="I115" s="719"/>
      <c r="J115" s="721"/>
      <c r="K115" s="181"/>
      <c r="L115" s="883"/>
      <c r="M115" s="713"/>
      <c r="N115" s="181"/>
      <c r="O115" s="679"/>
      <c r="P115" s="827"/>
      <c r="Q115" s="205" t="s">
        <v>853</v>
      </c>
      <c r="R115" s="827"/>
      <c r="S115" s="829"/>
      <c r="T115" s="642"/>
    </row>
    <row r="116" spans="1:20" x14ac:dyDescent="0.25">
      <c r="A116" s="874"/>
      <c r="B116" s="872"/>
      <c r="C116" s="872"/>
      <c r="D116" s="872"/>
      <c r="E116" s="663"/>
      <c r="F116" s="663"/>
      <c r="G116" s="30"/>
      <c r="H116" s="637"/>
      <c r="I116" s="719"/>
      <c r="J116" s="721"/>
      <c r="K116" s="181"/>
      <c r="L116" s="883"/>
      <c r="M116" s="713"/>
      <c r="N116" s="181"/>
      <c r="O116" s="679"/>
      <c r="P116" s="827"/>
      <c r="Q116" s="205" t="s">
        <v>854</v>
      </c>
      <c r="R116" s="827"/>
      <c r="S116" s="829"/>
      <c r="T116" s="642"/>
    </row>
    <row r="117" spans="1:20" x14ac:dyDescent="0.25">
      <c r="A117" s="874"/>
      <c r="B117" s="872"/>
      <c r="C117" s="872"/>
      <c r="D117" s="872"/>
      <c r="E117" s="663"/>
      <c r="F117" s="663"/>
      <c r="G117" s="30"/>
      <c r="H117" s="637"/>
      <c r="I117" s="719"/>
      <c r="J117" s="721"/>
      <c r="K117" s="181"/>
      <c r="L117" s="883"/>
      <c r="M117" s="713"/>
      <c r="N117" s="181"/>
      <c r="O117" s="679"/>
      <c r="P117" s="827"/>
      <c r="Q117" s="205" t="s">
        <v>855</v>
      </c>
      <c r="R117" s="827"/>
      <c r="S117" s="829"/>
      <c r="T117" s="642"/>
    </row>
    <row r="118" spans="1:20" x14ac:dyDescent="0.25">
      <c r="A118" s="874"/>
      <c r="B118" s="872"/>
      <c r="C118" s="872"/>
      <c r="D118" s="872"/>
      <c r="E118" s="663"/>
      <c r="F118" s="663"/>
      <c r="G118" s="30"/>
      <c r="H118" s="637"/>
      <c r="I118" s="719"/>
      <c r="J118" s="721"/>
      <c r="K118" s="181"/>
      <c r="L118" s="883"/>
      <c r="M118" s="713"/>
      <c r="N118" s="181"/>
      <c r="O118" s="679"/>
      <c r="P118" s="827"/>
      <c r="Q118" s="205" t="s">
        <v>856</v>
      </c>
      <c r="R118" s="827"/>
      <c r="S118" s="829"/>
      <c r="T118" s="642"/>
    </row>
    <row r="119" spans="1:20" x14ac:dyDescent="0.25">
      <c r="A119" s="874"/>
      <c r="B119" s="872"/>
      <c r="C119" s="872"/>
      <c r="D119" s="872"/>
      <c r="E119" s="663"/>
      <c r="F119" s="663"/>
      <c r="G119" s="30"/>
      <c r="H119" s="637"/>
      <c r="I119" s="719"/>
      <c r="J119" s="721"/>
      <c r="K119" s="181"/>
      <c r="L119" s="883"/>
      <c r="M119" s="713"/>
      <c r="N119" s="181"/>
      <c r="O119" s="679"/>
      <c r="P119" s="827"/>
      <c r="Q119" s="205" t="s">
        <v>857</v>
      </c>
      <c r="R119" s="827"/>
      <c r="S119" s="829"/>
      <c r="T119" s="642"/>
    </row>
    <row r="120" spans="1:20" x14ac:dyDescent="0.25">
      <c r="A120" s="874"/>
      <c r="B120" s="872"/>
      <c r="C120" s="872"/>
      <c r="D120" s="872"/>
      <c r="E120" s="663"/>
      <c r="F120" s="663"/>
      <c r="G120" s="30"/>
      <c r="H120" s="637"/>
      <c r="I120" s="719"/>
      <c r="J120" s="721"/>
      <c r="K120" s="181"/>
      <c r="L120" s="883"/>
      <c r="M120" s="713"/>
      <c r="N120" s="181"/>
      <c r="O120" s="679"/>
      <c r="P120" s="827"/>
      <c r="Q120" s="205" t="s">
        <v>858</v>
      </c>
      <c r="R120" s="827"/>
      <c r="S120" s="829"/>
      <c r="T120" s="642"/>
    </row>
    <row r="121" spans="1:20" x14ac:dyDescent="0.25">
      <c r="A121" s="874"/>
      <c r="B121" s="872"/>
      <c r="C121" s="872"/>
      <c r="D121" s="872"/>
      <c r="E121" s="663"/>
      <c r="F121" s="663"/>
      <c r="G121" s="30"/>
      <c r="H121" s="637"/>
      <c r="I121" s="719"/>
      <c r="J121" s="721"/>
      <c r="K121" s="181"/>
      <c r="L121" s="883"/>
      <c r="M121" s="713"/>
      <c r="N121" s="181"/>
      <c r="O121" s="679"/>
      <c r="P121" s="827"/>
      <c r="Q121" s="205" t="s">
        <v>859</v>
      </c>
      <c r="R121" s="827"/>
      <c r="S121" s="829"/>
      <c r="T121" s="642"/>
    </row>
    <row r="122" spans="1:20" x14ac:dyDescent="0.25">
      <c r="A122" s="874"/>
      <c r="B122" s="872"/>
      <c r="C122" s="872"/>
      <c r="D122" s="872"/>
      <c r="E122" s="663"/>
      <c r="F122" s="663"/>
      <c r="G122" s="30"/>
      <c r="H122" s="637"/>
      <c r="I122" s="719"/>
      <c r="J122" s="721"/>
      <c r="K122" s="181"/>
      <c r="L122" s="883"/>
      <c r="M122" s="713"/>
      <c r="N122" s="181"/>
      <c r="O122" s="679"/>
      <c r="P122" s="827"/>
      <c r="Q122" s="205" t="s">
        <v>860</v>
      </c>
      <c r="R122" s="827"/>
      <c r="S122" s="829"/>
      <c r="T122" s="642"/>
    </row>
    <row r="123" spans="1:20" x14ac:dyDescent="0.25">
      <c r="A123" s="874"/>
      <c r="B123" s="872"/>
      <c r="C123" s="872"/>
      <c r="D123" s="872"/>
      <c r="E123" s="663"/>
      <c r="F123" s="663"/>
      <c r="G123" s="30"/>
      <c r="H123" s="637"/>
      <c r="I123" s="719"/>
      <c r="J123" s="721"/>
      <c r="K123" s="181"/>
      <c r="L123" s="883"/>
      <c r="M123" s="713"/>
      <c r="N123" s="181"/>
      <c r="O123" s="679"/>
      <c r="P123" s="827"/>
      <c r="Q123" s="205" t="s">
        <v>861</v>
      </c>
      <c r="R123" s="827"/>
      <c r="S123" s="829"/>
      <c r="T123" s="642"/>
    </row>
    <row r="124" spans="1:20" x14ac:dyDescent="0.25">
      <c r="A124" s="874"/>
      <c r="B124" s="872"/>
      <c r="C124" s="872"/>
      <c r="D124" s="872"/>
      <c r="E124" s="663"/>
      <c r="F124" s="663"/>
      <c r="G124" s="30"/>
      <c r="H124" s="637"/>
      <c r="I124" s="719"/>
      <c r="J124" s="721"/>
      <c r="K124" s="181"/>
      <c r="L124" s="883"/>
      <c r="M124" s="713"/>
      <c r="N124" s="181"/>
      <c r="O124" s="679"/>
      <c r="P124" s="827"/>
      <c r="Q124" s="205" t="s">
        <v>862</v>
      </c>
      <c r="R124" s="827"/>
      <c r="S124" s="829"/>
      <c r="T124" s="642"/>
    </row>
    <row r="125" spans="1:20" x14ac:dyDescent="0.25">
      <c r="A125" s="874"/>
      <c r="B125" s="872"/>
      <c r="C125" s="872"/>
      <c r="D125" s="872"/>
      <c r="E125" s="663"/>
      <c r="F125" s="663"/>
      <c r="G125" s="30"/>
      <c r="H125" s="637"/>
      <c r="I125" s="719"/>
      <c r="J125" s="721"/>
      <c r="K125" s="181"/>
      <c r="L125" s="883"/>
      <c r="M125" s="713"/>
      <c r="N125" s="181"/>
      <c r="O125" s="679"/>
      <c r="P125" s="827"/>
      <c r="Q125" s="205" t="s">
        <v>863</v>
      </c>
      <c r="R125" s="827"/>
      <c r="S125" s="829"/>
      <c r="T125" s="642"/>
    </row>
    <row r="126" spans="1:20" x14ac:dyDescent="0.25">
      <c r="A126" s="874"/>
      <c r="B126" s="872"/>
      <c r="C126" s="872"/>
      <c r="D126" s="872"/>
      <c r="E126" s="663"/>
      <c r="F126" s="663"/>
      <c r="G126" s="30"/>
      <c r="H126" s="637"/>
      <c r="I126" s="719"/>
      <c r="J126" s="721"/>
      <c r="K126" s="181"/>
      <c r="L126" s="883"/>
      <c r="M126" s="713"/>
      <c r="N126" s="181"/>
      <c r="O126" s="679"/>
      <c r="P126" s="827"/>
      <c r="Q126" s="205" t="s">
        <v>864</v>
      </c>
      <c r="R126" s="827"/>
      <c r="S126" s="829"/>
      <c r="T126" s="642"/>
    </row>
    <row r="127" spans="1:20" x14ac:dyDescent="0.25">
      <c r="A127" s="874"/>
      <c r="B127" s="872"/>
      <c r="C127" s="872"/>
      <c r="D127" s="872"/>
      <c r="E127" s="663"/>
      <c r="F127" s="663"/>
      <c r="G127" s="30"/>
      <c r="H127" s="637"/>
      <c r="I127" s="719"/>
      <c r="J127" s="721"/>
      <c r="K127" s="181"/>
      <c r="L127" s="883"/>
      <c r="M127" s="713"/>
      <c r="N127" s="181"/>
      <c r="O127" s="679"/>
      <c r="P127" s="827"/>
      <c r="Q127" s="205" t="s">
        <v>865</v>
      </c>
      <c r="R127" s="827"/>
      <c r="S127" s="829"/>
      <c r="T127" s="642"/>
    </row>
    <row r="128" spans="1:20" x14ac:dyDescent="0.25">
      <c r="A128" s="874"/>
      <c r="B128" s="872"/>
      <c r="C128" s="872"/>
      <c r="D128" s="872"/>
      <c r="E128" s="663"/>
      <c r="F128" s="663"/>
      <c r="G128" s="30"/>
      <c r="H128" s="637"/>
      <c r="I128" s="719"/>
      <c r="J128" s="721"/>
      <c r="K128" s="181"/>
      <c r="L128" s="883"/>
      <c r="M128" s="713"/>
      <c r="N128" s="181"/>
      <c r="O128" s="679"/>
      <c r="P128" s="827"/>
      <c r="Q128" s="205" t="s">
        <v>866</v>
      </c>
      <c r="R128" s="827"/>
      <c r="S128" s="829"/>
      <c r="T128" s="642"/>
    </row>
    <row r="129" spans="1:20" x14ac:dyDescent="0.25">
      <c r="A129" s="874"/>
      <c r="B129" s="872"/>
      <c r="C129" s="872"/>
      <c r="D129" s="872"/>
      <c r="E129" s="663"/>
      <c r="F129" s="663"/>
      <c r="G129" s="30"/>
      <c r="H129" s="637"/>
      <c r="I129" s="719"/>
      <c r="J129" s="721"/>
      <c r="K129" s="181"/>
      <c r="L129" s="883"/>
      <c r="M129" s="713"/>
      <c r="N129" s="181"/>
      <c r="O129" s="679"/>
      <c r="P129" s="827"/>
      <c r="Q129" s="205" t="s">
        <v>867</v>
      </c>
      <c r="R129" s="827"/>
      <c r="S129" s="829"/>
      <c r="T129" s="642"/>
    </row>
    <row r="130" spans="1:20" x14ac:dyDescent="0.25">
      <c r="A130" s="874"/>
      <c r="B130" s="872"/>
      <c r="C130" s="872"/>
      <c r="D130" s="872"/>
      <c r="E130" s="663"/>
      <c r="F130" s="663"/>
      <c r="G130" s="30"/>
      <c r="H130" s="637"/>
      <c r="I130" s="719"/>
      <c r="J130" s="721"/>
      <c r="K130" s="181"/>
      <c r="L130" s="883"/>
      <c r="M130" s="713"/>
      <c r="N130" s="181"/>
      <c r="O130" s="679"/>
      <c r="P130" s="827"/>
      <c r="Q130" s="205" t="s">
        <v>868</v>
      </c>
      <c r="R130" s="827"/>
      <c r="S130" s="829"/>
      <c r="T130" s="642"/>
    </row>
    <row r="131" spans="1:20" x14ac:dyDescent="0.25">
      <c r="A131" s="874"/>
      <c r="B131" s="872"/>
      <c r="C131" s="872"/>
      <c r="D131" s="872"/>
      <c r="E131" s="663"/>
      <c r="F131" s="663"/>
      <c r="G131" s="30"/>
      <c r="H131" s="637"/>
      <c r="I131" s="719"/>
      <c r="J131" s="721"/>
      <c r="K131" s="181"/>
      <c r="L131" s="883"/>
      <c r="M131" s="713"/>
      <c r="N131" s="181"/>
      <c r="O131" s="679"/>
      <c r="P131" s="827"/>
      <c r="Q131" s="205" t="s">
        <v>869</v>
      </c>
      <c r="R131" s="827"/>
      <c r="S131" s="829"/>
      <c r="T131" s="642"/>
    </row>
    <row r="132" spans="1:20" ht="14.45" customHeight="1" x14ac:dyDescent="0.25">
      <c r="A132" s="874"/>
      <c r="B132" s="872"/>
      <c r="C132" s="872"/>
      <c r="D132" s="872"/>
      <c r="E132" s="663"/>
      <c r="F132" s="663"/>
      <c r="G132" s="30"/>
      <c r="H132" s="637"/>
      <c r="I132" s="719"/>
      <c r="J132" s="721"/>
      <c r="K132" s="181"/>
      <c r="L132" s="883"/>
      <c r="M132" s="713"/>
      <c r="N132" s="181"/>
      <c r="O132" s="679"/>
      <c r="P132" s="827"/>
      <c r="Q132" s="70" t="s">
        <v>824</v>
      </c>
      <c r="R132" s="827"/>
      <c r="S132" s="829"/>
      <c r="T132" s="642"/>
    </row>
    <row r="133" spans="1:20" ht="14.45" customHeight="1" x14ac:dyDescent="0.25">
      <c r="A133" s="874"/>
      <c r="B133" s="872"/>
      <c r="C133" s="872"/>
      <c r="D133" s="872"/>
      <c r="E133" s="663"/>
      <c r="F133" s="663"/>
      <c r="G133" s="30"/>
      <c r="H133" s="637"/>
      <c r="I133" s="719"/>
      <c r="J133" s="721"/>
      <c r="K133" s="181"/>
      <c r="L133" s="883"/>
      <c r="M133" s="713"/>
      <c r="N133" s="181"/>
      <c r="O133" s="679"/>
      <c r="P133" s="827"/>
      <c r="Q133" s="70" t="s">
        <v>844</v>
      </c>
      <c r="R133" s="827"/>
      <c r="S133" s="829"/>
      <c r="T133" s="642"/>
    </row>
    <row r="134" spans="1:20" ht="14.45" customHeight="1" x14ac:dyDescent="0.25">
      <c r="A134" s="682"/>
      <c r="B134" s="684"/>
      <c r="C134" s="684"/>
      <c r="D134" s="684"/>
      <c r="E134" s="664"/>
      <c r="F134" s="664"/>
      <c r="G134" s="30"/>
      <c r="H134" s="637"/>
      <c r="I134" s="719"/>
      <c r="J134" s="721"/>
      <c r="K134" s="181"/>
      <c r="L134" s="883"/>
      <c r="M134" s="713"/>
      <c r="N134" s="181"/>
      <c r="O134" s="680"/>
      <c r="P134" s="654"/>
      <c r="Q134" s="70" t="s">
        <v>845</v>
      </c>
      <c r="R134" s="654"/>
      <c r="S134" s="656"/>
      <c r="T134" s="643"/>
    </row>
    <row r="135" spans="1:20" ht="14.45" customHeight="1" x14ac:dyDescent="0.25">
      <c r="A135" s="879" t="s">
        <v>282</v>
      </c>
      <c r="B135" s="875" t="s">
        <v>1233</v>
      </c>
      <c r="C135" s="875" t="s">
        <v>283</v>
      </c>
      <c r="D135" s="875" t="s">
        <v>39</v>
      </c>
      <c r="E135" s="673" t="s">
        <v>1275</v>
      </c>
      <c r="F135" s="673" t="s">
        <v>284</v>
      </c>
      <c r="G135" s="30"/>
      <c r="H135" s="685" t="s">
        <v>739</v>
      </c>
      <c r="I135" s="792" t="s">
        <v>739</v>
      </c>
      <c r="J135" s="882" t="s">
        <v>739</v>
      </c>
      <c r="K135" s="185"/>
      <c r="L135" s="841" t="s">
        <v>1041</v>
      </c>
      <c r="M135" s="841" t="s">
        <v>1477</v>
      </c>
      <c r="N135" s="185"/>
      <c r="O135" s="707" t="s">
        <v>41</v>
      </c>
      <c r="P135" s="830" t="s">
        <v>871</v>
      </c>
      <c r="Q135" s="101" t="s">
        <v>43</v>
      </c>
      <c r="R135" s="831" t="s">
        <v>698</v>
      </c>
      <c r="S135" s="673"/>
      <c r="T135" s="793"/>
    </row>
    <row r="136" spans="1:20" ht="14.45" customHeight="1" x14ac:dyDescent="0.25">
      <c r="A136" s="880"/>
      <c r="B136" s="876"/>
      <c r="C136" s="876"/>
      <c r="D136" s="876"/>
      <c r="E136" s="674"/>
      <c r="F136" s="674"/>
      <c r="G136" s="30"/>
      <c r="H136" s="685"/>
      <c r="I136" s="686"/>
      <c r="J136" s="712"/>
      <c r="K136" s="185"/>
      <c r="L136" s="841"/>
      <c r="M136" s="841"/>
      <c r="N136" s="185"/>
      <c r="O136" s="708"/>
      <c r="P136" s="785"/>
      <c r="Q136" s="101" t="s">
        <v>45</v>
      </c>
      <c r="R136" s="832"/>
      <c r="S136" s="674"/>
      <c r="T136" s="794"/>
    </row>
    <row r="137" spans="1:20" ht="14.45" customHeight="1" x14ac:dyDescent="0.25">
      <c r="A137" s="880"/>
      <c r="B137" s="876"/>
      <c r="C137" s="876"/>
      <c r="D137" s="876"/>
      <c r="E137" s="674"/>
      <c r="F137" s="674"/>
      <c r="G137" s="30"/>
      <c r="H137" s="685"/>
      <c r="I137" s="686"/>
      <c r="J137" s="712"/>
      <c r="K137" s="185"/>
      <c r="L137" s="841"/>
      <c r="M137" s="841"/>
      <c r="N137" s="185"/>
      <c r="O137" s="707" t="s">
        <v>55</v>
      </c>
      <c r="P137" s="830" t="s">
        <v>25</v>
      </c>
      <c r="Q137" s="101" t="s">
        <v>26</v>
      </c>
      <c r="R137" s="832"/>
      <c r="S137" s="674"/>
      <c r="T137" s="794"/>
    </row>
    <row r="138" spans="1:20" ht="14.45" customHeight="1" x14ac:dyDescent="0.25">
      <c r="A138" s="880"/>
      <c r="B138" s="876"/>
      <c r="C138" s="876"/>
      <c r="D138" s="876"/>
      <c r="E138" s="674"/>
      <c r="F138" s="674"/>
      <c r="G138" s="30"/>
      <c r="H138" s="685"/>
      <c r="I138" s="686"/>
      <c r="J138" s="712"/>
      <c r="K138" s="185"/>
      <c r="L138" s="841"/>
      <c r="M138" s="841"/>
      <c r="N138" s="185"/>
      <c r="O138" s="709"/>
      <c r="P138" s="834"/>
      <c r="Q138" s="101" t="s">
        <v>28</v>
      </c>
      <c r="R138" s="832"/>
      <c r="S138" s="674"/>
      <c r="T138" s="794"/>
    </row>
    <row r="139" spans="1:20" ht="14.45" customHeight="1" x14ac:dyDescent="0.25">
      <c r="A139" s="880"/>
      <c r="B139" s="876"/>
      <c r="C139" s="876"/>
      <c r="D139" s="876"/>
      <c r="E139" s="674"/>
      <c r="F139" s="674"/>
      <c r="G139" s="30"/>
      <c r="H139" s="685"/>
      <c r="I139" s="686"/>
      <c r="J139" s="712"/>
      <c r="K139" s="185"/>
      <c r="L139" s="841"/>
      <c r="M139" s="841"/>
      <c r="N139" s="185"/>
      <c r="O139" s="709"/>
      <c r="P139" s="834"/>
      <c r="Q139" s="101" t="s">
        <v>29</v>
      </c>
      <c r="R139" s="832"/>
      <c r="S139" s="674"/>
      <c r="T139" s="794"/>
    </row>
    <row r="140" spans="1:20" ht="14.45" customHeight="1" x14ac:dyDescent="0.25">
      <c r="A140" s="880"/>
      <c r="B140" s="876"/>
      <c r="C140" s="876"/>
      <c r="D140" s="876"/>
      <c r="E140" s="674"/>
      <c r="F140" s="674"/>
      <c r="G140" s="30"/>
      <c r="H140" s="685"/>
      <c r="I140" s="686"/>
      <c r="J140" s="712"/>
      <c r="K140" s="185"/>
      <c r="L140" s="841"/>
      <c r="M140" s="841"/>
      <c r="N140" s="185"/>
      <c r="O140" s="709"/>
      <c r="P140" s="834"/>
      <c r="Q140" s="101" t="s">
        <v>30</v>
      </c>
      <c r="R140" s="832"/>
      <c r="S140" s="674"/>
      <c r="T140" s="794"/>
    </row>
    <row r="141" spans="1:20" ht="14.45" customHeight="1" x14ac:dyDescent="0.25">
      <c r="A141" s="881"/>
      <c r="B141" s="877"/>
      <c r="C141" s="877"/>
      <c r="D141" s="877"/>
      <c r="E141" s="675"/>
      <c r="F141" s="675"/>
      <c r="G141" s="30"/>
      <c r="H141" s="685"/>
      <c r="I141" s="686"/>
      <c r="J141" s="712"/>
      <c r="K141" s="185"/>
      <c r="L141" s="841"/>
      <c r="M141" s="841"/>
      <c r="N141" s="185"/>
      <c r="O141" s="708"/>
      <c r="P141" s="785"/>
      <c r="Q141" s="101" t="s">
        <v>699</v>
      </c>
      <c r="R141" s="833"/>
      <c r="S141" s="675"/>
      <c r="T141" s="795"/>
    </row>
    <row r="142" spans="1:20" ht="45.75" thickBot="1" x14ac:dyDescent="0.3">
      <c r="A142" s="92" t="s">
        <v>285</v>
      </c>
      <c r="B142" s="93" t="s">
        <v>1238</v>
      </c>
      <c r="C142" s="93" t="s">
        <v>286</v>
      </c>
      <c r="D142" s="93" t="s">
        <v>59</v>
      </c>
      <c r="E142" s="42" t="s">
        <v>1276</v>
      </c>
      <c r="F142" s="42" t="s">
        <v>287</v>
      </c>
      <c r="G142" s="30"/>
      <c r="H142" s="328" t="s">
        <v>762</v>
      </c>
      <c r="I142" s="331" t="s">
        <v>286</v>
      </c>
      <c r="J142" s="332" t="s">
        <v>1276</v>
      </c>
      <c r="K142" s="181"/>
      <c r="L142" s="474" t="s">
        <v>762</v>
      </c>
      <c r="M142" s="206" t="s">
        <v>1476</v>
      </c>
      <c r="N142" s="181"/>
      <c r="O142" s="207" t="s">
        <v>674</v>
      </c>
      <c r="P142" s="91" t="s">
        <v>25</v>
      </c>
      <c r="Q142" s="91" t="s">
        <v>872</v>
      </c>
      <c r="R142" s="91" t="s">
        <v>35</v>
      </c>
      <c r="S142" s="90"/>
      <c r="T142" s="206"/>
    </row>
  </sheetData>
  <autoFilter ref="A1:T142">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autoFilter>
  <mergeCells count="425">
    <mergeCell ref="M46:M47"/>
    <mergeCell ref="M48:M49"/>
    <mergeCell ref="M50:M51"/>
    <mergeCell ref="M54:M60"/>
    <mergeCell ref="M61:M62"/>
    <mergeCell ref="M64:M65"/>
    <mergeCell ref="M66:M67"/>
    <mergeCell ref="M68:M70"/>
    <mergeCell ref="M80:M86"/>
    <mergeCell ref="M3:M6"/>
    <mergeCell ref="M10:M13"/>
    <mergeCell ref="M14:M16"/>
    <mergeCell ref="M17:M23"/>
    <mergeCell ref="M24:M26"/>
    <mergeCell ref="M27:M30"/>
    <mergeCell ref="M31:M33"/>
    <mergeCell ref="M34:M36"/>
    <mergeCell ref="M37:M39"/>
    <mergeCell ref="O50:O51"/>
    <mergeCell ref="O54:O60"/>
    <mergeCell ref="O61:O62"/>
    <mergeCell ref="O64:O65"/>
    <mergeCell ref="O66:O67"/>
    <mergeCell ref="J48:J49"/>
    <mergeCell ref="J50:J51"/>
    <mergeCell ref="J54:J60"/>
    <mergeCell ref="J61:J62"/>
    <mergeCell ref="J64:J65"/>
    <mergeCell ref="J66:J67"/>
    <mergeCell ref="O3:O6"/>
    <mergeCell ref="O10:O13"/>
    <mergeCell ref="O24:O26"/>
    <mergeCell ref="O31:O33"/>
    <mergeCell ref="O40:O41"/>
    <mergeCell ref="O17:O18"/>
    <mergeCell ref="P17:P18"/>
    <mergeCell ref="O46:O47"/>
    <mergeCell ref="O48:O49"/>
    <mergeCell ref="P10:P13"/>
    <mergeCell ref="P24:P26"/>
    <mergeCell ref="P31:P33"/>
    <mergeCell ref="P40:P41"/>
    <mergeCell ref="P46:P47"/>
    <mergeCell ref="P48:P49"/>
    <mergeCell ref="P50:P51"/>
    <mergeCell ref="P54:P60"/>
    <mergeCell ref="P61:P62"/>
    <mergeCell ref="C37:C39"/>
    <mergeCell ref="B37:B39"/>
    <mergeCell ref="A37:A39"/>
    <mergeCell ref="L37:L39"/>
    <mergeCell ref="J27:J30"/>
    <mergeCell ref="J31:J33"/>
    <mergeCell ref="L34:L36"/>
    <mergeCell ref="J37:J39"/>
    <mergeCell ref="J34:J36"/>
    <mergeCell ref="E37:E39"/>
    <mergeCell ref="E34:E36"/>
    <mergeCell ref="D37:D39"/>
    <mergeCell ref="A34:A36"/>
    <mergeCell ref="E27:E30"/>
    <mergeCell ref="E31:E33"/>
    <mergeCell ref="D27:D30"/>
    <mergeCell ref="D31:D33"/>
    <mergeCell ref="C27:C30"/>
    <mergeCell ref="C31:C33"/>
    <mergeCell ref="D34:D36"/>
    <mergeCell ref="C34:C36"/>
    <mergeCell ref="B34:B36"/>
    <mergeCell ref="B27:B30"/>
    <mergeCell ref="B31:B33"/>
    <mergeCell ref="A17:A23"/>
    <mergeCell ref="F10:F13"/>
    <mergeCell ref="H10:H13"/>
    <mergeCell ref="L10:L13"/>
    <mergeCell ref="A10:A13"/>
    <mergeCell ref="E17:E23"/>
    <mergeCell ref="A14:A16"/>
    <mergeCell ref="B14:B16"/>
    <mergeCell ref="D17:D23"/>
    <mergeCell ref="C17:C23"/>
    <mergeCell ref="L14:L16"/>
    <mergeCell ref="L17:L23"/>
    <mergeCell ref="E10:E13"/>
    <mergeCell ref="D10:D13"/>
    <mergeCell ref="C10:C13"/>
    <mergeCell ref="B10:B13"/>
    <mergeCell ref="B17:B23"/>
    <mergeCell ref="D14:D16"/>
    <mergeCell ref="E14:E16"/>
    <mergeCell ref="H17:H23"/>
    <mergeCell ref="F31:F33"/>
    <mergeCell ref="A27:A30"/>
    <mergeCell ref="A31:A33"/>
    <mergeCell ref="F24:F26"/>
    <mergeCell ref="L24:L26"/>
    <mergeCell ref="H24:H26"/>
    <mergeCell ref="E24:E26"/>
    <mergeCell ref="A24:A26"/>
    <mergeCell ref="B24:B26"/>
    <mergeCell ref="C24:C26"/>
    <mergeCell ref="D24:D26"/>
    <mergeCell ref="H46:H47"/>
    <mergeCell ref="F46:F47"/>
    <mergeCell ref="E46:E47"/>
    <mergeCell ref="D46:D47"/>
    <mergeCell ref="C46:C47"/>
    <mergeCell ref="B46:B47"/>
    <mergeCell ref="A46:A47"/>
    <mergeCell ref="L46:L47"/>
    <mergeCell ref="H40:H41"/>
    <mergeCell ref="F40:F41"/>
    <mergeCell ref="E40:E41"/>
    <mergeCell ref="D40:D41"/>
    <mergeCell ref="C40:C41"/>
    <mergeCell ref="I46:I47"/>
    <mergeCell ref="A40:A41"/>
    <mergeCell ref="B40:B41"/>
    <mergeCell ref="L40:L41"/>
    <mergeCell ref="J40:J41"/>
    <mergeCell ref="J46:J47"/>
    <mergeCell ref="A48:A49"/>
    <mergeCell ref="B48:B49"/>
    <mergeCell ref="C48:C49"/>
    <mergeCell ref="D48:D49"/>
    <mergeCell ref="E48:E49"/>
    <mergeCell ref="F48:F49"/>
    <mergeCell ref="H48:H49"/>
    <mergeCell ref="L48:L49"/>
    <mergeCell ref="A54:A60"/>
    <mergeCell ref="E50:E51"/>
    <mergeCell ref="D50:D51"/>
    <mergeCell ref="C50:C51"/>
    <mergeCell ref="B50:B51"/>
    <mergeCell ref="A50:A51"/>
    <mergeCell ref="F50:F51"/>
    <mergeCell ref="H50:H51"/>
    <mergeCell ref="L50:L51"/>
    <mergeCell ref="F54:F60"/>
    <mergeCell ref="H54:H60"/>
    <mergeCell ref="L54:L60"/>
    <mergeCell ref="E54:E60"/>
    <mergeCell ref="D54:D60"/>
    <mergeCell ref="C54:C60"/>
    <mergeCell ref="B54:B60"/>
    <mergeCell ref="F61:F62"/>
    <mergeCell ref="H61:H62"/>
    <mergeCell ref="L61:L62"/>
    <mergeCell ref="A61:A62"/>
    <mergeCell ref="B61:B62"/>
    <mergeCell ref="C61:C62"/>
    <mergeCell ref="D61:D62"/>
    <mergeCell ref="E61:E62"/>
    <mergeCell ref="A64:A65"/>
    <mergeCell ref="H64:H65"/>
    <mergeCell ref="L64:L65"/>
    <mergeCell ref="F64:F65"/>
    <mergeCell ref="E64:E65"/>
    <mergeCell ref="D64:D65"/>
    <mergeCell ref="C64:C65"/>
    <mergeCell ref="B64:B65"/>
    <mergeCell ref="A80:A86"/>
    <mergeCell ref="B80:B86"/>
    <mergeCell ref="C80:C86"/>
    <mergeCell ref="D80:D86"/>
    <mergeCell ref="E80:E86"/>
    <mergeCell ref="F66:F67"/>
    <mergeCell ref="H66:H67"/>
    <mergeCell ref="L66:L67"/>
    <mergeCell ref="A66:A67"/>
    <mergeCell ref="B66:B67"/>
    <mergeCell ref="C66:C67"/>
    <mergeCell ref="D66:D67"/>
    <mergeCell ref="E66:E67"/>
    <mergeCell ref="L68:L70"/>
    <mergeCell ref="E68:E70"/>
    <mergeCell ref="D68:D70"/>
    <mergeCell ref="A68:A70"/>
    <mergeCell ref="B68:B70"/>
    <mergeCell ref="C68:C70"/>
    <mergeCell ref="J68:J70"/>
    <mergeCell ref="D89:D90"/>
    <mergeCell ref="C89:C90"/>
    <mergeCell ref="B89:B90"/>
    <mergeCell ref="A89:A90"/>
    <mergeCell ref="L89:L90"/>
    <mergeCell ref="J89:J90"/>
    <mergeCell ref="O89:O90"/>
    <mergeCell ref="P89:P90"/>
    <mergeCell ref="A91:A93"/>
    <mergeCell ref="B91:B93"/>
    <mergeCell ref="C91:C93"/>
    <mergeCell ref="D91:D93"/>
    <mergeCell ref="E91:E93"/>
    <mergeCell ref="L91:L93"/>
    <mergeCell ref="J91:J93"/>
    <mergeCell ref="F89:F90"/>
    <mergeCell ref="H89:H90"/>
    <mergeCell ref="E89:E90"/>
    <mergeCell ref="M89:M90"/>
    <mergeCell ref="M91:M93"/>
    <mergeCell ref="A94:A96"/>
    <mergeCell ref="B94:B96"/>
    <mergeCell ref="C94:C96"/>
    <mergeCell ref="D94:D96"/>
    <mergeCell ref="E94:E96"/>
    <mergeCell ref="L94:L96"/>
    <mergeCell ref="J94:J96"/>
    <mergeCell ref="H94:H96"/>
    <mergeCell ref="O94:O95"/>
    <mergeCell ref="M94:M96"/>
    <mergeCell ref="E103:E105"/>
    <mergeCell ref="D103:D105"/>
    <mergeCell ref="C103:C105"/>
    <mergeCell ref="B103:B105"/>
    <mergeCell ref="A103:A105"/>
    <mergeCell ref="J103:J105"/>
    <mergeCell ref="L103:L105"/>
    <mergeCell ref="A97:A99"/>
    <mergeCell ref="B97:B99"/>
    <mergeCell ref="C97:C99"/>
    <mergeCell ref="D97:D99"/>
    <mergeCell ref="E97:E99"/>
    <mergeCell ref="L97:L99"/>
    <mergeCell ref="J97:J99"/>
    <mergeCell ref="A135:A141"/>
    <mergeCell ref="B135:B141"/>
    <mergeCell ref="C135:C141"/>
    <mergeCell ref="D135:D141"/>
    <mergeCell ref="E135:E141"/>
    <mergeCell ref="L135:L141"/>
    <mergeCell ref="J135:J141"/>
    <mergeCell ref="P108:P134"/>
    <mergeCell ref="O108:O134"/>
    <mergeCell ref="J108:J134"/>
    <mergeCell ref="L108:L134"/>
    <mergeCell ref="A108:A134"/>
    <mergeCell ref="B108:B134"/>
    <mergeCell ref="C108:C134"/>
    <mergeCell ref="D108:D134"/>
    <mergeCell ref="E108:E134"/>
    <mergeCell ref="F108:F134"/>
    <mergeCell ref="H108:H134"/>
    <mergeCell ref="M108:M134"/>
    <mergeCell ref="M135:M141"/>
    <mergeCell ref="A1:S1"/>
    <mergeCell ref="R3:R6"/>
    <mergeCell ref="S3:S6"/>
    <mergeCell ref="R10:R13"/>
    <mergeCell ref="S10:S13"/>
    <mergeCell ref="H14:H16"/>
    <mergeCell ref="O14:O15"/>
    <mergeCell ref="P14:P15"/>
    <mergeCell ref="R14:R16"/>
    <mergeCell ref="S14:S16"/>
    <mergeCell ref="I3:I6"/>
    <mergeCell ref="J3:J6"/>
    <mergeCell ref="I10:I13"/>
    <mergeCell ref="J10:J13"/>
    <mergeCell ref="F3:F6"/>
    <mergeCell ref="H3:H6"/>
    <mergeCell ref="L3:L6"/>
    <mergeCell ref="E3:E6"/>
    <mergeCell ref="D3:D6"/>
    <mergeCell ref="C3:C6"/>
    <mergeCell ref="B3:B6"/>
    <mergeCell ref="A3:A6"/>
    <mergeCell ref="C14:C16"/>
    <mergeCell ref="P3:P6"/>
    <mergeCell ref="R17:R23"/>
    <mergeCell ref="S17:S23"/>
    <mergeCell ref="O19:O23"/>
    <mergeCell ref="P19:P23"/>
    <mergeCell ref="R24:R26"/>
    <mergeCell ref="S24:S26"/>
    <mergeCell ref="H37:H39"/>
    <mergeCell ref="O37:O38"/>
    <mergeCell ref="P37:P38"/>
    <mergeCell ref="R37:R39"/>
    <mergeCell ref="S37:S39"/>
    <mergeCell ref="H31:H33"/>
    <mergeCell ref="L31:L33"/>
    <mergeCell ref="R40:R41"/>
    <mergeCell ref="S40:S41"/>
    <mergeCell ref="H27:H30"/>
    <mergeCell ref="O27:O29"/>
    <mergeCell ref="P27:P29"/>
    <mergeCell ref="R27:R30"/>
    <mergeCell ref="S27:S30"/>
    <mergeCell ref="R31:R33"/>
    <mergeCell ref="S31:S33"/>
    <mergeCell ref="H34:H36"/>
    <mergeCell ref="O34:O35"/>
    <mergeCell ref="P34:P35"/>
    <mergeCell ref="R34:R36"/>
    <mergeCell ref="S34:S36"/>
    <mergeCell ref="L27:L30"/>
    <mergeCell ref="M40:M41"/>
    <mergeCell ref="R46:R47"/>
    <mergeCell ref="S46:S47"/>
    <mergeCell ref="R48:R49"/>
    <mergeCell ref="S48:S49"/>
    <mergeCell ref="R50:R51"/>
    <mergeCell ref="S50:S51"/>
    <mergeCell ref="R54:R60"/>
    <mergeCell ref="S54:S60"/>
    <mergeCell ref="R61:R62"/>
    <mergeCell ref="S61:S62"/>
    <mergeCell ref="R64:R65"/>
    <mergeCell ref="S64:S65"/>
    <mergeCell ref="R66:R67"/>
    <mergeCell ref="S66:S67"/>
    <mergeCell ref="H68:H70"/>
    <mergeCell ref="O68:O69"/>
    <mergeCell ref="P68:P69"/>
    <mergeCell ref="R68:R70"/>
    <mergeCell ref="S68:S70"/>
    <mergeCell ref="P64:P65"/>
    <mergeCell ref="P66:P67"/>
    <mergeCell ref="R80:R86"/>
    <mergeCell ref="S80:S86"/>
    <mergeCell ref="O82:O86"/>
    <mergeCell ref="P82:P86"/>
    <mergeCell ref="R89:R90"/>
    <mergeCell ref="S89:S90"/>
    <mergeCell ref="H91:H93"/>
    <mergeCell ref="O91:O92"/>
    <mergeCell ref="P91:P92"/>
    <mergeCell ref="R91:R93"/>
    <mergeCell ref="S91:S93"/>
    <mergeCell ref="I91:I93"/>
    <mergeCell ref="L80:L86"/>
    <mergeCell ref="J80:J86"/>
    <mergeCell ref="H80:H86"/>
    <mergeCell ref="O80:O81"/>
    <mergeCell ref="P80:P81"/>
    <mergeCell ref="P94:P95"/>
    <mergeCell ref="R94:R96"/>
    <mergeCell ref="S94:S96"/>
    <mergeCell ref="H97:H99"/>
    <mergeCell ref="O97:O98"/>
    <mergeCell ref="P97:P98"/>
    <mergeCell ref="R97:R99"/>
    <mergeCell ref="S97:S99"/>
    <mergeCell ref="H103:H105"/>
    <mergeCell ref="O103:O104"/>
    <mergeCell ref="P103:P104"/>
    <mergeCell ref="R103:R105"/>
    <mergeCell ref="S103:S105"/>
    <mergeCell ref="I94:I96"/>
    <mergeCell ref="I97:I99"/>
    <mergeCell ref="I103:I105"/>
    <mergeCell ref="M97:M99"/>
    <mergeCell ref="M103:M105"/>
    <mergeCell ref="R108:R134"/>
    <mergeCell ref="S108:S134"/>
    <mergeCell ref="H135:H141"/>
    <mergeCell ref="O135:O136"/>
    <mergeCell ref="P135:P136"/>
    <mergeCell ref="R135:R141"/>
    <mergeCell ref="S135:S141"/>
    <mergeCell ref="O137:O141"/>
    <mergeCell ref="P137:P141"/>
    <mergeCell ref="I108:I134"/>
    <mergeCell ref="I135:I141"/>
    <mergeCell ref="T3:T6"/>
    <mergeCell ref="T10:T13"/>
    <mergeCell ref="T14:T16"/>
    <mergeCell ref="T17:T23"/>
    <mergeCell ref="T24:T26"/>
    <mergeCell ref="T27:T30"/>
    <mergeCell ref="T31:T33"/>
    <mergeCell ref="T34:T36"/>
    <mergeCell ref="T37:T39"/>
    <mergeCell ref="T40:T41"/>
    <mergeCell ref="T42:T43"/>
    <mergeCell ref="T44:T45"/>
    <mergeCell ref="T46:T47"/>
    <mergeCell ref="T48:T49"/>
    <mergeCell ref="T50:T51"/>
    <mergeCell ref="T54:T60"/>
    <mergeCell ref="T61:T62"/>
    <mergeCell ref="T64:T65"/>
    <mergeCell ref="T66:T67"/>
    <mergeCell ref="T68:T70"/>
    <mergeCell ref="T80:T86"/>
    <mergeCell ref="T89:T90"/>
    <mergeCell ref="T91:T93"/>
    <mergeCell ref="T94:T96"/>
    <mergeCell ref="T97:T99"/>
    <mergeCell ref="T103:T105"/>
    <mergeCell ref="T108:T134"/>
    <mergeCell ref="T135:T141"/>
    <mergeCell ref="F14:F16"/>
    <mergeCell ref="F17:F23"/>
    <mergeCell ref="F27:F30"/>
    <mergeCell ref="F34:F36"/>
    <mergeCell ref="F37:F39"/>
    <mergeCell ref="F68:F70"/>
    <mergeCell ref="F80:F86"/>
    <mergeCell ref="F91:F93"/>
    <mergeCell ref="F94:F96"/>
    <mergeCell ref="F97:F99"/>
    <mergeCell ref="F103:F105"/>
    <mergeCell ref="F135:F141"/>
    <mergeCell ref="I14:I16"/>
    <mergeCell ref="J14:J16"/>
    <mergeCell ref="I17:I23"/>
    <mergeCell ref="J17:J23"/>
    <mergeCell ref="I24:I26"/>
    <mergeCell ref="J24:J26"/>
    <mergeCell ref="I27:I30"/>
    <mergeCell ref="I31:I33"/>
    <mergeCell ref="I34:I36"/>
    <mergeCell ref="I37:I39"/>
    <mergeCell ref="I40:I41"/>
    <mergeCell ref="I48:I49"/>
    <mergeCell ref="I50:I51"/>
    <mergeCell ref="I54:I60"/>
    <mergeCell ref="I61:I62"/>
    <mergeCell ref="I64:I65"/>
    <mergeCell ref="I66:I67"/>
    <mergeCell ref="I68:I70"/>
    <mergeCell ref="I80:I86"/>
    <mergeCell ref="I89:I90"/>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6145" r:id="rId4">
          <objectPr defaultSize="0" autoPict="0" r:id="rId5">
            <anchor moveWithCells="1">
              <from>
                <xdr:col>4</xdr:col>
                <xdr:colOff>2371725</xdr:colOff>
                <xdr:row>83</xdr:row>
                <xdr:rowOff>9525</xdr:rowOff>
              </from>
              <to>
                <xdr:col>4</xdr:col>
                <xdr:colOff>2905125</xdr:colOff>
                <xdr:row>85</xdr:row>
                <xdr:rowOff>66675</xdr:rowOff>
              </to>
            </anchor>
          </objectPr>
        </oleObject>
      </mc:Choice>
      <mc:Fallback>
        <oleObject progId="Worksheet" dvAspect="DVASPECT_ICON" shapeId="6145" r:id="rId4"/>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M3:M142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
  <sheetViews>
    <sheetView zoomScale="70" zoomScaleNormal="70" workbookViewId="0">
      <pane xSplit="6" ySplit="2" topLeftCell="K24" activePane="bottomRight" state="frozen"/>
      <selection pane="topRight" activeCell="G1" sqref="G1"/>
      <selection pane="bottomLeft" activeCell="A3" sqref="A3"/>
      <selection pane="bottomRight" activeCell="L30" sqref="L30"/>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 customWidth="1"/>
    <col min="8" max="8" width="34.140625" customWidth="1"/>
    <col min="9" max="10" width="35.85546875" customWidth="1"/>
    <col min="11" max="11" width="4" customWidth="1"/>
    <col min="12" max="13" width="52.42578125" customWidth="1"/>
    <col min="14" max="14" width="4.140625" customWidth="1"/>
    <col min="15" max="15" width="36" bestFit="1" customWidth="1"/>
    <col min="16" max="16" width="36" customWidth="1"/>
    <col min="17" max="17" width="35.28515625" bestFit="1" customWidth="1"/>
    <col min="18" max="18" width="86" customWidth="1"/>
    <col min="19" max="19" width="52.42578125" customWidth="1"/>
  </cols>
  <sheetData>
    <row r="1" spans="1:19" ht="18.95" customHeight="1" thickBot="1" x14ac:dyDescent="0.3">
      <c r="A1" s="703" t="s">
        <v>288</v>
      </c>
      <c r="B1" s="704"/>
      <c r="C1" s="704"/>
      <c r="D1" s="704"/>
      <c r="E1" s="704"/>
      <c r="F1" s="704"/>
      <c r="G1" s="704"/>
      <c r="H1" s="704"/>
      <c r="I1" s="704"/>
      <c r="J1" s="704"/>
      <c r="K1" s="704"/>
      <c r="L1" s="704"/>
      <c r="M1" s="704"/>
      <c r="N1" s="704"/>
      <c r="O1" s="704"/>
      <c r="P1" s="704"/>
      <c r="Q1" s="704"/>
      <c r="R1" s="704"/>
      <c r="S1" s="706"/>
    </row>
    <row r="2" spans="1:19" ht="15.75" thickBot="1" x14ac:dyDescent="0.3">
      <c r="A2" s="7" t="s">
        <v>10</v>
      </c>
      <c r="B2" s="8" t="s">
        <v>11</v>
      </c>
      <c r="C2" s="8" t="s">
        <v>12</v>
      </c>
      <c r="D2" s="8" t="s">
        <v>13</v>
      </c>
      <c r="E2" s="10" t="s">
        <v>14</v>
      </c>
      <c r="F2" s="43" t="s">
        <v>14</v>
      </c>
      <c r="G2" s="182"/>
      <c r="H2" s="318" t="s">
        <v>725</v>
      </c>
      <c r="I2" s="319" t="s">
        <v>1412</v>
      </c>
      <c r="J2" s="320" t="s">
        <v>1411</v>
      </c>
      <c r="K2" s="183"/>
      <c r="L2" s="226" t="s">
        <v>87</v>
      </c>
      <c r="M2" s="226" t="s">
        <v>1475</v>
      </c>
      <c r="N2" s="28"/>
      <c r="O2" s="59" t="s">
        <v>15</v>
      </c>
      <c r="P2" s="60" t="s">
        <v>16</v>
      </c>
      <c r="Q2" s="60" t="s">
        <v>17</v>
      </c>
      <c r="R2" s="60" t="s">
        <v>18</v>
      </c>
      <c r="S2" s="170" t="s">
        <v>19</v>
      </c>
    </row>
    <row r="3" spans="1:19" ht="30.95" customHeight="1" x14ac:dyDescent="0.25">
      <c r="A3" s="117" t="s">
        <v>31</v>
      </c>
      <c r="B3" s="116" t="s">
        <v>889</v>
      </c>
      <c r="C3" s="116" t="s">
        <v>32</v>
      </c>
      <c r="D3" s="116" t="s">
        <v>22</v>
      </c>
      <c r="E3" s="209" t="s">
        <v>892</v>
      </c>
      <c r="F3" s="209" t="s">
        <v>88</v>
      </c>
      <c r="G3" s="210"/>
      <c r="H3" s="387" t="s">
        <v>816</v>
      </c>
      <c r="I3" s="443" t="s">
        <v>1490</v>
      </c>
      <c r="J3" s="417" t="s">
        <v>1491</v>
      </c>
      <c r="K3" s="210"/>
      <c r="L3" s="394" t="s">
        <v>816</v>
      </c>
      <c r="M3" s="395" t="s">
        <v>1476</v>
      </c>
      <c r="N3" s="210"/>
      <c r="O3" s="211" t="s">
        <v>24</v>
      </c>
      <c r="P3" s="212" t="s">
        <v>25</v>
      </c>
      <c r="Q3" s="213" t="s">
        <v>34</v>
      </c>
      <c r="R3" s="212" t="s">
        <v>35</v>
      </c>
      <c r="S3" s="214"/>
    </row>
    <row r="4" spans="1:19" x14ac:dyDescent="0.25">
      <c r="A4" s="918" t="s">
        <v>143</v>
      </c>
      <c r="B4" s="915" t="s">
        <v>897</v>
      </c>
      <c r="C4" s="915" t="s">
        <v>289</v>
      </c>
      <c r="D4" s="915" t="s">
        <v>290</v>
      </c>
      <c r="E4" s="902" t="s">
        <v>1106</v>
      </c>
      <c r="F4" s="902" t="s">
        <v>291</v>
      </c>
      <c r="G4" s="215"/>
      <c r="H4" s="908" t="s">
        <v>873</v>
      </c>
      <c r="I4" s="932" t="s">
        <v>1508</v>
      </c>
      <c r="J4" s="933" t="s">
        <v>1509</v>
      </c>
      <c r="K4" s="215"/>
      <c r="L4" s="908" t="s">
        <v>873</v>
      </c>
      <c r="M4" s="930" t="s">
        <v>1476</v>
      </c>
      <c r="N4" s="215"/>
      <c r="O4" s="740" t="s">
        <v>46</v>
      </c>
      <c r="P4" s="698" t="s">
        <v>47</v>
      </c>
      <c r="Q4" s="85" t="s">
        <v>61</v>
      </c>
      <c r="R4" s="912" t="s">
        <v>877</v>
      </c>
      <c r="S4" s="902" t="s">
        <v>93</v>
      </c>
    </row>
    <row r="5" spans="1:19" x14ac:dyDescent="0.25">
      <c r="A5" s="919"/>
      <c r="B5" s="916"/>
      <c r="C5" s="916"/>
      <c r="D5" s="916"/>
      <c r="E5" s="903"/>
      <c r="F5" s="903"/>
      <c r="G5" s="215"/>
      <c r="H5" s="908"/>
      <c r="I5" s="932"/>
      <c r="J5" s="933"/>
      <c r="K5" s="215"/>
      <c r="L5" s="908"/>
      <c r="M5" s="930"/>
      <c r="N5" s="215"/>
      <c r="O5" s="740"/>
      <c r="P5" s="698"/>
      <c r="Q5" s="85" t="s">
        <v>65</v>
      </c>
      <c r="R5" s="913"/>
      <c r="S5" s="903"/>
    </row>
    <row r="6" spans="1:19" x14ac:dyDescent="0.25">
      <c r="A6" s="919"/>
      <c r="B6" s="916"/>
      <c r="C6" s="916"/>
      <c r="D6" s="916"/>
      <c r="E6" s="903"/>
      <c r="F6" s="903"/>
      <c r="G6" s="215"/>
      <c r="H6" s="908"/>
      <c r="I6" s="932"/>
      <c r="J6" s="933"/>
      <c r="K6" s="215"/>
      <c r="L6" s="908"/>
      <c r="M6" s="930"/>
      <c r="N6" s="215"/>
      <c r="O6" s="740"/>
      <c r="P6" s="698"/>
      <c r="Q6" s="85" t="s">
        <v>73</v>
      </c>
      <c r="R6" s="913"/>
      <c r="S6" s="903"/>
    </row>
    <row r="7" spans="1:19" x14ac:dyDescent="0.25">
      <c r="A7" s="919"/>
      <c r="B7" s="916"/>
      <c r="C7" s="916"/>
      <c r="D7" s="916"/>
      <c r="E7" s="903"/>
      <c r="F7" s="903"/>
      <c r="G7" s="215"/>
      <c r="H7" s="908"/>
      <c r="I7" s="932"/>
      <c r="J7" s="933"/>
      <c r="K7" s="215"/>
      <c r="L7" s="908"/>
      <c r="M7" s="930"/>
      <c r="N7" s="215"/>
      <c r="O7" s="216" t="s">
        <v>74</v>
      </c>
      <c r="P7" s="133" t="s">
        <v>25</v>
      </c>
      <c r="Q7" s="132" t="s">
        <v>876</v>
      </c>
      <c r="R7" s="913"/>
      <c r="S7" s="903"/>
    </row>
    <row r="8" spans="1:19" x14ac:dyDescent="0.25">
      <c r="A8" s="919"/>
      <c r="B8" s="916"/>
      <c r="C8" s="916"/>
      <c r="D8" s="916"/>
      <c r="E8" s="903"/>
      <c r="F8" s="903"/>
      <c r="G8" s="215"/>
      <c r="H8" s="908"/>
      <c r="I8" s="932"/>
      <c r="J8" s="933"/>
      <c r="K8" s="215"/>
      <c r="L8" s="908"/>
      <c r="M8" s="930"/>
      <c r="N8" s="215"/>
      <c r="O8" s="733" t="s">
        <v>24</v>
      </c>
      <c r="P8" s="711" t="s">
        <v>25</v>
      </c>
      <c r="Q8" s="23" t="s">
        <v>26</v>
      </c>
      <c r="R8" s="913"/>
      <c r="S8" s="903"/>
    </row>
    <row r="9" spans="1:19" x14ac:dyDescent="0.25">
      <c r="A9" s="919"/>
      <c r="B9" s="916"/>
      <c r="C9" s="916"/>
      <c r="D9" s="916"/>
      <c r="E9" s="903"/>
      <c r="F9" s="903"/>
      <c r="G9" s="215"/>
      <c r="H9" s="908"/>
      <c r="I9" s="932"/>
      <c r="J9" s="933"/>
      <c r="K9" s="215"/>
      <c r="L9" s="908"/>
      <c r="M9" s="930"/>
      <c r="N9" s="215"/>
      <c r="O9" s="733"/>
      <c r="P9" s="711"/>
      <c r="Q9" s="23" t="s">
        <v>28</v>
      </c>
      <c r="R9" s="913"/>
      <c r="S9" s="903"/>
    </row>
    <row r="10" spans="1:19" x14ac:dyDescent="0.25">
      <c r="A10" s="919"/>
      <c r="B10" s="916"/>
      <c r="C10" s="916"/>
      <c r="D10" s="916"/>
      <c r="E10" s="903"/>
      <c r="F10" s="903"/>
      <c r="G10" s="215"/>
      <c r="H10" s="908"/>
      <c r="I10" s="932"/>
      <c r="J10" s="933"/>
      <c r="K10" s="215"/>
      <c r="L10" s="908"/>
      <c r="M10" s="930"/>
      <c r="N10" s="215"/>
      <c r="O10" s="733"/>
      <c r="P10" s="711"/>
      <c r="Q10" s="23" t="s">
        <v>29</v>
      </c>
      <c r="R10" s="913"/>
      <c r="S10" s="903"/>
    </row>
    <row r="11" spans="1:19" ht="34.5" customHeight="1" x14ac:dyDescent="0.25">
      <c r="A11" s="920"/>
      <c r="B11" s="917"/>
      <c r="C11" s="917"/>
      <c r="D11" s="917"/>
      <c r="E11" s="904"/>
      <c r="F11" s="904"/>
      <c r="G11" s="215"/>
      <c r="H11" s="908"/>
      <c r="I11" s="932"/>
      <c r="J11" s="933"/>
      <c r="K11" s="215"/>
      <c r="L11" s="908"/>
      <c r="M11" s="930"/>
      <c r="N11" s="215"/>
      <c r="O11" s="733"/>
      <c r="P11" s="711"/>
      <c r="Q11" s="23" t="s">
        <v>30</v>
      </c>
      <c r="R11" s="914"/>
      <c r="S11" s="904"/>
    </row>
    <row r="12" spans="1:19" ht="148.5" customHeight="1" x14ac:dyDescent="0.25">
      <c r="A12" s="125" t="s">
        <v>89</v>
      </c>
      <c r="B12" s="126" t="s">
        <v>897</v>
      </c>
      <c r="C12" s="126" t="s">
        <v>292</v>
      </c>
      <c r="D12" s="126" t="s">
        <v>293</v>
      </c>
      <c r="E12" s="149" t="s">
        <v>1109</v>
      </c>
      <c r="F12" s="149" t="s">
        <v>294</v>
      </c>
      <c r="G12" s="210"/>
      <c r="H12" s="389" t="s">
        <v>817</v>
      </c>
      <c r="I12" s="448" t="s">
        <v>1492</v>
      </c>
      <c r="J12" s="450" t="s">
        <v>1493</v>
      </c>
      <c r="K12" s="210"/>
      <c r="L12" s="540" t="s">
        <v>1675</v>
      </c>
      <c r="M12" s="538" t="s">
        <v>1476</v>
      </c>
      <c r="N12" s="210"/>
      <c r="O12" s="217" t="s">
        <v>90</v>
      </c>
      <c r="P12" s="218" t="s">
        <v>25</v>
      </c>
      <c r="Q12" s="219" t="s">
        <v>91</v>
      </c>
      <c r="R12" s="220" t="s">
        <v>92</v>
      </c>
      <c r="S12" s="221" t="s">
        <v>93</v>
      </c>
    </row>
    <row r="13" spans="1:19" ht="15" customHeight="1" x14ac:dyDescent="0.25">
      <c r="A13" s="918" t="s">
        <v>98</v>
      </c>
      <c r="B13" s="915" t="s">
        <v>897</v>
      </c>
      <c r="C13" s="915" t="s">
        <v>295</v>
      </c>
      <c r="D13" s="915" t="s">
        <v>69</v>
      </c>
      <c r="E13" s="902" t="s">
        <v>1277</v>
      </c>
      <c r="F13" s="902" t="s">
        <v>296</v>
      </c>
      <c r="G13" s="215"/>
      <c r="H13" s="908" t="s">
        <v>819</v>
      </c>
      <c r="I13" s="698" t="s">
        <v>1496</v>
      </c>
      <c r="J13" s="699" t="s">
        <v>1497</v>
      </c>
      <c r="K13" s="215"/>
      <c r="L13" s="739" t="s">
        <v>1678</v>
      </c>
      <c r="M13" s="734" t="s">
        <v>1484</v>
      </c>
      <c r="N13" s="215"/>
      <c r="O13" s="909" t="s">
        <v>46</v>
      </c>
      <c r="P13" s="698" t="s">
        <v>47</v>
      </c>
      <c r="Q13" s="100" t="s">
        <v>61</v>
      </c>
      <c r="R13" s="698" t="s">
        <v>99</v>
      </c>
      <c r="S13" s="699" t="s">
        <v>100</v>
      </c>
    </row>
    <row r="14" spans="1:19" x14ac:dyDescent="0.25">
      <c r="A14" s="919"/>
      <c r="B14" s="916"/>
      <c r="C14" s="916"/>
      <c r="D14" s="916"/>
      <c r="E14" s="903"/>
      <c r="F14" s="903"/>
      <c r="G14" s="215"/>
      <c r="H14" s="908"/>
      <c r="I14" s="698"/>
      <c r="J14" s="699"/>
      <c r="K14" s="215"/>
      <c r="L14" s="739"/>
      <c r="M14" s="734"/>
      <c r="N14" s="215"/>
      <c r="O14" s="909"/>
      <c r="P14" s="698"/>
      <c r="Q14" s="100" t="s">
        <v>65</v>
      </c>
      <c r="R14" s="698"/>
      <c r="S14" s="699"/>
    </row>
    <row r="15" spans="1:19" x14ac:dyDescent="0.25">
      <c r="A15" s="919"/>
      <c r="B15" s="916"/>
      <c r="C15" s="916"/>
      <c r="D15" s="916"/>
      <c r="E15" s="903"/>
      <c r="F15" s="903"/>
      <c r="G15" s="215"/>
      <c r="H15" s="908"/>
      <c r="I15" s="698"/>
      <c r="J15" s="699"/>
      <c r="K15" s="215"/>
      <c r="L15" s="739"/>
      <c r="M15" s="734"/>
      <c r="N15" s="215"/>
      <c r="O15" s="909"/>
      <c r="P15" s="698"/>
      <c r="Q15" s="100" t="s">
        <v>102</v>
      </c>
      <c r="R15" s="698"/>
      <c r="S15" s="699"/>
    </row>
    <row r="16" spans="1:19" x14ac:dyDescent="0.25">
      <c r="A16" s="919"/>
      <c r="B16" s="916"/>
      <c r="C16" s="916"/>
      <c r="D16" s="916"/>
      <c r="E16" s="903"/>
      <c r="F16" s="903"/>
      <c r="G16" s="215"/>
      <c r="H16" s="908"/>
      <c r="I16" s="698"/>
      <c r="J16" s="699"/>
      <c r="K16" s="215"/>
      <c r="L16" s="739"/>
      <c r="M16" s="734"/>
      <c r="N16" s="215"/>
      <c r="O16" s="733" t="s">
        <v>24</v>
      </c>
      <c r="P16" s="711" t="s">
        <v>25</v>
      </c>
      <c r="Q16" s="23" t="s">
        <v>26</v>
      </c>
      <c r="R16" s="698"/>
      <c r="S16" s="699"/>
    </row>
    <row r="17" spans="1:19" x14ac:dyDescent="0.25">
      <c r="A17" s="919"/>
      <c r="B17" s="916"/>
      <c r="C17" s="916"/>
      <c r="D17" s="916"/>
      <c r="E17" s="903"/>
      <c r="F17" s="903"/>
      <c r="G17" s="215"/>
      <c r="H17" s="908"/>
      <c r="I17" s="698"/>
      <c r="J17" s="699"/>
      <c r="K17" s="215"/>
      <c r="L17" s="739"/>
      <c r="M17" s="734"/>
      <c r="N17" s="215"/>
      <c r="O17" s="733"/>
      <c r="P17" s="711"/>
      <c r="Q17" s="23" t="s">
        <v>28</v>
      </c>
      <c r="R17" s="698"/>
      <c r="S17" s="699"/>
    </row>
    <row r="18" spans="1:19" x14ac:dyDescent="0.25">
      <c r="A18" s="919"/>
      <c r="B18" s="916"/>
      <c r="C18" s="916"/>
      <c r="D18" s="916"/>
      <c r="E18" s="903"/>
      <c r="F18" s="903"/>
      <c r="G18" s="215"/>
      <c r="H18" s="908"/>
      <c r="I18" s="698"/>
      <c r="J18" s="699"/>
      <c r="K18" s="215"/>
      <c r="L18" s="739"/>
      <c r="M18" s="734"/>
      <c r="N18" s="215"/>
      <c r="O18" s="733"/>
      <c r="P18" s="711"/>
      <c r="Q18" s="23" t="s">
        <v>29</v>
      </c>
      <c r="R18" s="698"/>
      <c r="S18" s="699"/>
    </row>
    <row r="19" spans="1:19" x14ac:dyDescent="0.25">
      <c r="A19" s="919"/>
      <c r="B19" s="916"/>
      <c r="C19" s="916"/>
      <c r="D19" s="916"/>
      <c r="E19" s="903"/>
      <c r="F19" s="903"/>
      <c r="G19" s="215"/>
      <c r="H19" s="908"/>
      <c r="I19" s="698"/>
      <c r="J19" s="699"/>
      <c r="K19" s="215"/>
      <c r="L19" s="739"/>
      <c r="M19" s="734"/>
      <c r="N19" s="215"/>
      <c r="O19" s="733"/>
      <c r="P19" s="711"/>
      <c r="Q19" s="23" t="s">
        <v>30</v>
      </c>
      <c r="R19" s="698"/>
      <c r="S19" s="699"/>
    </row>
    <row r="20" spans="1:19" x14ac:dyDescent="0.25">
      <c r="A20" s="919"/>
      <c r="B20" s="916"/>
      <c r="C20" s="916"/>
      <c r="D20" s="916"/>
      <c r="E20" s="903"/>
      <c r="F20" s="903"/>
      <c r="G20" s="215"/>
      <c r="H20" s="908"/>
      <c r="I20" s="698"/>
      <c r="J20" s="699"/>
      <c r="K20" s="215"/>
      <c r="L20" s="739"/>
      <c r="M20" s="734"/>
      <c r="N20" s="215"/>
      <c r="O20" s="733" t="s">
        <v>103</v>
      </c>
      <c r="P20" s="735" t="s">
        <v>80</v>
      </c>
      <c r="Q20" s="23" t="s">
        <v>104</v>
      </c>
      <c r="R20" s="698"/>
      <c r="S20" s="699"/>
    </row>
    <row r="21" spans="1:19" x14ac:dyDescent="0.25">
      <c r="A21" s="919"/>
      <c r="B21" s="916"/>
      <c r="C21" s="916"/>
      <c r="D21" s="916"/>
      <c r="E21" s="903"/>
      <c r="F21" s="903"/>
      <c r="G21" s="215"/>
      <c r="H21" s="908"/>
      <c r="I21" s="698"/>
      <c r="J21" s="699"/>
      <c r="K21" s="215"/>
      <c r="L21" s="739"/>
      <c r="M21" s="734"/>
      <c r="N21" s="215"/>
      <c r="O21" s="733"/>
      <c r="P21" s="735"/>
      <c r="Q21" s="23" t="s">
        <v>105</v>
      </c>
      <c r="R21" s="698"/>
      <c r="S21" s="699"/>
    </row>
    <row r="22" spans="1:19" x14ac:dyDescent="0.25">
      <c r="A22" s="919"/>
      <c r="B22" s="916"/>
      <c r="C22" s="916"/>
      <c r="D22" s="916"/>
      <c r="E22" s="903"/>
      <c r="F22" s="903"/>
      <c r="G22" s="215"/>
      <c r="H22" s="908"/>
      <c r="I22" s="698"/>
      <c r="J22" s="699"/>
      <c r="K22" s="215"/>
      <c r="L22" s="739"/>
      <c r="M22" s="734"/>
      <c r="N22" s="215"/>
      <c r="O22" s="733"/>
      <c r="P22" s="735"/>
      <c r="Q22" s="23" t="s">
        <v>85</v>
      </c>
      <c r="R22" s="698"/>
      <c r="S22" s="699"/>
    </row>
    <row r="23" spans="1:19" ht="75" x14ac:dyDescent="0.25">
      <c r="A23" s="920"/>
      <c r="B23" s="917"/>
      <c r="C23" s="917"/>
      <c r="D23" s="917"/>
      <c r="E23" s="904"/>
      <c r="F23" s="904"/>
      <c r="G23" s="215"/>
      <c r="H23" s="908"/>
      <c r="I23" s="698"/>
      <c r="J23" s="699"/>
      <c r="K23" s="215"/>
      <c r="L23" s="739"/>
      <c r="M23" s="734"/>
      <c r="N23" s="215"/>
      <c r="O23" s="98" t="s">
        <v>106</v>
      </c>
      <c r="P23" s="101" t="s">
        <v>80</v>
      </c>
      <c r="Q23" s="23" t="s">
        <v>107</v>
      </c>
      <c r="R23" s="698"/>
      <c r="S23" s="699"/>
    </row>
    <row r="24" spans="1:19" ht="32.450000000000003" customHeight="1" x14ac:dyDescent="0.25">
      <c r="A24" s="125" t="s">
        <v>108</v>
      </c>
      <c r="B24" s="126" t="s">
        <v>897</v>
      </c>
      <c r="C24" s="126" t="s">
        <v>297</v>
      </c>
      <c r="D24" s="126" t="s">
        <v>69</v>
      </c>
      <c r="E24" s="411" t="s">
        <v>1278</v>
      </c>
      <c r="F24" s="149" t="s">
        <v>298</v>
      </c>
      <c r="G24" s="210"/>
      <c r="H24" s="390" t="s">
        <v>739</v>
      </c>
      <c r="I24" s="462" t="s">
        <v>739</v>
      </c>
      <c r="J24" s="463" t="s">
        <v>739</v>
      </c>
      <c r="K24" s="210"/>
      <c r="L24" s="559" t="s">
        <v>1473</v>
      </c>
      <c r="M24" s="406" t="s">
        <v>1476</v>
      </c>
      <c r="N24" s="210"/>
      <c r="O24" s="222" t="s">
        <v>109</v>
      </c>
      <c r="P24" s="63" t="s">
        <v>109</v>
      </c>
      <c r="Q24" s="63" t="s">
        <v>109</v>
      </c>
      <c r="R24" s="63" t="s">
        <v>109</v>
      </c>
      <c r="S24" s="223" t="s">
        <v>109</v>
      </c>
    </row>
    <row r="25" spans="1:19" ht="135" x14ac:dyDescent="0.25">
      <c r="A25" s="131" t="s">
        <v>299</v>
      </c>
      <c r="B25" s="132" t="s">
        <v>1239</v>
      </c>
      <c r="C25" s="132" t="s">
        <v>300</v>
      </c>
      <c r="D25" s="132" t="s">
        <v>39</v>
      </c>
      <c r="E25" s="461" t="s">
        <v>1279</v>
      </c>
      <c r="F25" s="152" t="s">
        <v>301</v>
      </c>
      <c r="G25" s="215"/>
      <c r="H25" s="536" t="s">
        <v>722</v>
      </c>
      <c r="I25" s="537" t="s">
        <v>739</v>
      </c>
      <c r="J25" s="535" t="s">
        <v>739</v>
      </c>
      <c r="K25" s="215"/>
      <c r="L25" s="558" t="s">
        <v>722</v>
      </c>
      <c r="M25" s="535" t="s">
        <v>1476</v>
      </c>
      <c r="N25" s="215"/>
      <c r="O25" s="38" t="s">
        <v>717</v>
      </c>
      <c r="P25" s="88" t="s">
        <v>717</v>
      </c>
      <c r="Q25" s="88" t="s">
        <v>717</v>
      </c>
      <c r="R25" s="88" t="s">
        <v>717</v>
      </c>
      <c r="S25" s="89" t="s">
        <v>717</v>
      </c>
    </row>
    <row r="26" spans="1:19" x14ac:dyDescent="0.25">
      <c r="A26" s="921" t="s">
        <v>302</v>
      </c>
      <c r="B26" s="924" t="s">
        <v>1233</v>
      </c>
      <c r="C26" s="924" t="s">
        <v>303</v>
      </c>
      <c r="D26" s="924" t="s">
        <v>39</v>
      </c>
      <c r="E26" s="927" t="s">
        <v>1573</v>
      </c>
      <c r="F26" s="905" t="s">
        <v>304</v>
      </c>
      <c r="G26" s="210"/>
      <c r="H26" s="911" t="s">
        <v>874</v>
      </c>
      <c r="I26" s="934" t="s">
        <v>1510</v>
      </c>
      <c r="J26" s="935" t="s">
        <v>1511</v>
      </c>
      <c r="K26" s="210"/>
      <c r="L26" s="910" t="s">
        <v>874</v>
      </c>
      <c r="M26" s="931" t="s">
        <v>1477</v>
      </c>
      <c r="N26" s="210"/>
      <c r="O26" s="694" t="s">
        <v>41</v>
      </c>
      <c r="P26" s="858" t="s">
        <v>707</v>
      </c>
      <c r="Q26" s="54" t="s">
        <v>43</v>
      </c>
      <c r="R26" s="826" t="s">
        <v>878</v>
      </c>
      <c r="S26" s="899" t="s">
        <v>93</v>
      </c>
    </row>
    <row r="27" spans="1:19" x14ac:dyDescent="0.25">
      <c r="A27" s="922"/>
      <c r="B27" s="925"/>
      <c r="C27" s="925"/>
      <c r="D27" s="925"/>
      <c r="E27" s="928"/>
      <c r="F27" s="906"/>
      <c r="G27" s="210"/>
      <c r="H27" s="911"/>
      <c r="I27" s="934"/>
      <c r="J27" s="935"/>
      <c r="K27" s="210"/>
      <c r="L27" s="910"/>
      <c r="M27" s="931"/>
      <c r="N27" s="210"/>
      <c r="O27" s="680"/>
      <c r="P27" s="658"/>
      <c r="Q27" s="54" t="s">
        <v>45</v>
      </c>
      <c r="R27" s="827"/>
      <c r="S27" s="900"/>
    </row>
    <row r="28" spans="1:19" x14ac:dyDescent="0.25">
      <c r="A28" s="923"/>
      <c r="B28" s="926"/>
      <c r="C28" s="926"/>
      <c r="D28" s="926"/>
      <c r="E28" s="929"/>
      <c r="F28" s="907"/>
      <c r="G28" s="210"/>
      <c r="H28" s="911"/>
      <c r="I28" s="934"/>
      <c r="J28" s="935"/>
      <c r="K28" s="210"/>
      <c r="L28" s="910"/>
      <c r="M28" s="931"/>
      <c r="N28" s="210"/>
      <c r="O28" s="68" t="s">
        <v>674</v>
      </c>
      <c r="P28" s="69" t="s">
        <v>25</v>
      </c>
      <c r="Q28" s="53" t="s">
        <v>788</v>
      </c>
      <c r="R28" s="654"/>
      <c r="S28" s="901"/>
    </row>
    <row r="29" spans="1:19" ht="116.25" customHeight="1" thickBot="1" x14ac:dyDescent="0.3">
      <c r="A29" s="138" t="s">
        <v>305</v>
      </c>
      <c r="B29" s="139" t="s">
        <v>1233</v>
      </c>
      <c r="C29" s="139" t="s">
        <v>306</v>
      </c>
      <c r="D29" s="139" t="s">
        <v>265</v>
      </c>
      <c r="E29" s="478" t="s">
        <v>1280</v>
      </c>
      <c r="F29" s="224" t="s">
        <v>307</v>
      </c>
      <c r="G29" s="215"/>
      <c r="H29" s="380" t="s">
        <v>875</v>
      </c>
      <c r="I29" s="469" t="s">
        <v>1442</v>
      </c>
      <c r="J29" s="478" t="s">
        <v>1512</v>
      </c>
      <c r="K29" s="215"/>
      <c r="L29" s="543" t="s">
        <v>875</v>
      </c>
      <c r="M29" s="425" t="s">
        <v>1476</v>
      </c>
      <c r="N29" s="215"/>
      <c r="O29" s="225" t="s">
        <v>674</v>
      </c>
      <c r="P29" s="140" t="s">
        <v>25</v>
      </c>
      <c r="Q29" s="139" t="s">
        <v>790</v>
      </c>
      <c r="R29" s="140" t="s">
        <v>879</v>
      </c>
      <c r="S29" s="224" t="s">
        <v>93</v>
      </c>
    </row>
  </sheetData>
  <mergeCells count="52">
    <mergeCell ref="M4:M11"/>
    <mergeCell ref="M13:M23"/>
    <mergeCell ref="M26:M28"/>
    <mergeCell ref="I4:I11"/>
    <mergeCell ref="J4:J11"/>
    <mergeCell ref="I13:I23"/>
    <mergeCell ref="J13:J23"/>
    <mergeCell ref="I26:I28"/>
    <mergeCell ref="J26:J28"/>
    <mergeCell ref="A13:A23"/>
    <mergeCell ref="D26:D28"/>
    <mergeCell ref="E26:E28"/>
    <mergeCell ref="B26:B28"/>
    <mergeCell ref="C26:C28"/>
    <mergeCell ref="B13:B23"/>
    <mergeCell ref="E4:E11"/>
    <mergeCell ref="D4:D11"/>
    <mergeCell ref="E13:E23"/>
    <mergeCell ref="D13:D23"/>
    <mergeCell ref="C13:C23"/>
    <mergeCell ref="H26:H28"/>
    <mergeCell ref="O26:O27"/>
    <mergeCell ref="A1:S1"/>
    <mergeCell ref="H4:H11"/>
    <mergeCell ref="O4:O6"/>
    <mergeCell ref="P4:P6"/>
    <mergeCell ref="R4:R11"/>
    <mergeCell ref="S4:S11"/>
    <mergeCell ref="O8:O11"/>
    <mergeCell ref="P8:P11"/>
    <mergeCell ref="C4:C11"/>
    <mergeCell ref="B4:B11"/>
    <mergeCell ref="A4:A11"/>
    <mergeCell ref="L4:L11"/>
    <mergeCell ref="R26:R28"/>
    <mergeCell ref="A26:A28"/>
    <mergeCell ref="S26:S28"/>
    <mergeCell ref="F4:F11"/>
    <mergeCell ref="F13:F23"/>
    <mergeCell ref="F26:F28"/>
    <mergeCell ref="H13:H23"/>
    <mergeCell ref="O13:O15"/>
    <mergeCell ref="P13:P15"/>
    <mergeCell ref="R13:R23"/>
    <mergeCell ref="S13:S23"/>
    <mergeCell ref="O16:O19"/>
    <mergeCell ref="P16:P19"/>
    <mergeCell ref="O20:O22"/>
    <mergeCell ref="P20:P22"/>
    <mergeCell ref="P26:P27"/>
    <mergeCell ref="L13:L23"/>
    <mergeCell ref="L26:L28"/>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M3:M12 M24:M29</xm:sqref>
        </x14:dataValidation>
        <x14:dataValidation type="list" allowBlank="1" showInputMessage="1" showErrorMessage="1">
          <x14:formula1>
            <xm:f>AUX!$A$2:$A$8</xm:f>
          </x14:formula1>
          <xm:sqref>M13:M23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zoomScale="60" zoomScaleNormal="60" workbookViewId="0">
      <pane xSplit="6" ySplit="2" topLeftCell="J24" activePane="bottomRight" state="frozen"/>
      <selection pane="topRight" activeCell="G1" sqref="G1"/>
      <selection pane="bottomLeft" activeCell="A3" sqref="A3"/>
      <selection pane="bottomRight" activeCell="L26" sqref="L26"/>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10" width="35.85546875" customWidth="1"/>
    <col min="11" max="11" width="4" customWidth="1"/>
    <col min="12" max="13" width="52.42578125" customWidth="1"/>
    <col min="14" max="14" width="4.140625" customWidth="1"/>
    <col min="15" max="15" width="36" bestFit="1" customWidth="1"/>
    <col min="16" max="16" width="36" customWidth="1"/>
    <col min="17" max="17" width="35.28515625" bestFit="1" customWidth="1"/>
    <col min="18" max="18" width="86" customWidth="1"/>
    <col min="19" max="19" width="52.42578125" customWidth="1"/>
  </cols>
  <sheetData>
    <row r="1" spans="1:19" ht="19.5" thickBot="1" x14ac:dyDescent="0.3">
      <c r="A1" s="703" t="s">
        <v>308</v>
      </c>
      <c r="B1" s="704"/>
      <c r="C1" s="704"/>
      <c r="D1" s="704"/>
      <c r="E1" s="704"/>
      <c r="F1" s="704"/>
      <c r="G1" s="704"/>
      <c r="H1" s="704"/>
      <c r="I1" s="704"/>
      <c r="J1" s="704"/>
      <c r="K1" s="704"/>
      <c r="L1" s="704"/>
      <c r="M1" s="704"/>
      <c r="N1" s="704"/>
      <c r="O1" s="704"/>
      <c r="P1" s="704"/>
      <c r="Q1" s="704"/>
      <c r="R1" s="704"/>
      <c r="S1" s="706"/>
    </row>
    <row r="2" spans="1:19" ht="15.75" thickBot="1" x14ac:dyDescent="0.3">
      <c r="A2" s="7" t="s">
        <v>10</v>
      </c>
      <c r="B2" s="8" t="s">
        <v>11</v>
      </c>
      <c r="C2" s="8" t="s">
        <v>12</v>
      </c>
      <c r="D2" s="8" t="s">
        <v>13</v>
      </c>
      <c r="E2" s="10" t="s">
        <v>14</v>
      </c>
      <c r="F2" s="43" t="s">
        <v>14</v>
      </c>
      <c r="G2" s="182"/>
      <c r="H2" s="318" t="s">
        <v>725</v>
      </c>
      <c r="I2" s="319" t="s">
        <v>1412</v>
      </c>
      <c r="J2" s="320" t="s">
        <v>1411</v>
      </c>
      <c r="K2" s="183"/>
      <c r="L2" s="226" t="s">
        <v>87</v>
      </c>
      <c r="M2" s="226" t="s">
        <v>1475</v>
      </c>
      <c r="N2" s="28"/>
      <c r="O2" s="59" t="s">
        <v>15</v>
      </c>
      <c r="P2" s="60" t="s">
        <v>16</v>
      </c>
      <c r="Q2" s="60" t="s">
        <v>17</v>
      </c>
      <c r="R2" s="60" t="s">
        <v>18</v>
      </c>
      <c r="S2" s="170" t="s">
        <v>19</v>
      </c>
    </row>
    <row r="3" spans="1:19" x14ac:dyDescent="0.25">
      <c r="A3" s="921" t="s">
        <v>111</v>
      </c>
      <c r="B3" s="924" t="s">
        <v>889</v>
      </c>
      <c r="C3" s="924" t="s">
        <v>112</v>
      </c>
      <c r="D3" s="924" t="s">
        <v>22</v>
      </c>
      <c r="E3" s="905" t="s">
        <v>907</v>
      </c>
      <c r="F3" s="950" t="s">
        <v>309</v>
      </c>
      <c r="G3" s="231"/>
      <c r="H3" s="955" t="s">
        <v>797</v>
      </c>
      <c r="I3" s="957" t="s">
        <v>1501</v>
      </c>
      <c r="J3" s="958" t="s">
        <v>1502</v>
      </c>
      <c r="K3" s="231"/>
      <c r="L3" s="953" t="s">
        <v>797</v>
      </c>
      <c r="M3" s="956" t="s">
        <v>1476</v>
      </c>
      <c r="N3" s="231"/>
      <c r="O3" s="947" t="s">
        <v>1223</v>
      </c>
      <c r="P3" s="936" t="s">
        <v>25</v>
      </c>
      <c r="Q3" s="232" t="s">
        <v>26</v>
      </c>
      <c r="R3" s="936" t="s">
        <v>1078</v>
      </c>
      <c r="S3" s="939"/>
    </row>
    <row r="4" spans="1:19" x14ac:dyDescent="0.25">
      <c r="A4" s="922"/>
      <c r="B4" s="925"/>
      <c r="C4" s="925"/>
      <c r="D4" s="925"/>
      <c r="E4" s="906"/>
      <c r="F4" s="951"/>
      <c r="G4" s="231"/>
      <c r="H4" s="911"/>
      <c r="I4" s="934"/>
      <c r="J4" s="959"/>
      <c r="K4" s="231"/>
      <c r="L4" s="954"/>
      <c r="M4" s="931"/>
      <c r="N4" s="231"/>
      <c r="O4" s="948"/>
      <c r="P4" s="937"/>
      <c r="Q4" s="232" t="s">
        <v>114</v>
      </c>
      <c r="R4" s="937"/>
      <c r="S4" s="940"/>
    </row>
    <row r="5" spans="1:19" x14ac:dyDescent="0.25">
      <c r="A5" s="922"/>
      <c r="B5" s="925"/>
      <c r="C5" s="925"/>
      <c r="D5" s="925"/>
      <c r="E5" s="906"/>
      <c r="F5" s="951"/>
      <c r="G5" s="231"/>
      <c r="H5" s="911"/>
      <c r="I5" s="934"/>
      <c r="J5" s="959"/>
      <c r="K5" s="231"/>
      <c r="L5" s="954"/>
      <c r="M5" s="931"/>
      <c r="N5" s="231"/>
      <c r="O5" s="948"/>
      <c r="P5" s="937"/>
      <c r="Q5" s="232" t="s">
        <v>115</v>
      </c>
      <c r="R5" s="937"/>
      <c r="S5" s="940"/>
    </row>
    <row r="6" spans="1:19" x14ac:dyDescent="0.25">
      <c r="A6" s="923"/>
      <c r="B6" s="926"/>
      <c r="C6" s="926"/>
      <c r="D6" s="926"/>
      <c r="E6" s="907"/>
      <c r="F6" s="952"/>
      <c r="G6" s="231"/>
      <c r="H6" s="911"/>
      <c r="I6" s="934"/>
      <c r="J6" s="959"/>
      <c r="K6" s="231"/>
      <c r="L6" s="954"/>
      <c r="M6" s="931"/>
      <c r="N6" s="231"/>
      <c r="O6" s="949"/>
      <c r="P6" s="938"/>
      <c r="Q6" s="232" t="s">
        <v>116</v>
      </c>
      <c r="R6" s="938"/>
      <c r="S6" s="941"/>
    </row>
    <row r="7" spans="1:19" ht="127.5" customHeight="1" x14ac:dyDescent="0.25">
      <c r="A7" s="131" t="s">
        <v>310</v>
      </c>
      <c r="B7" s="132" t="s">
        <v>889</v>
      </c>
      <c r="C7" s="132" t="s">
        <v>311</v>
      </c>
      <c r="D7" s="132" t="s">
        <v>22</v>
      </c>
      <c r="E7" s="461" t="s">
        <v>1081</v>
      </c>
      <c r="F7" s="233" t="s">
        <v>312</v>
      </c>
      <c r="G7" s="215"/>
      <c r="H7" s="378" t="s">
        <v>880</v>
      </c>
      <c r="I7" s="459" t="s">
        <v>1532</v>
      </c>
      <c r="J7" s="461" t="s">
        <v>1533</v>
      </c>
      <c r="K7" s="215"/>
      <c r="L7" s="577" t="s">
        <v>880</v>
      </c>
      <c r="M7" s="392" t="s">
        <v>1476</v>
      </c>
      <c r="N7" s="215"/>
      <c r="O7" s="216" t="s">
        <v>1223</v>
      </c>
      <c r="P7" s="133" t="s">
        <v>25</v>
      </c>
      <c r="Q7" s="132" t="s">
        <v>1082</v>
      </c>
      <c r="R7" s="133" t="s">
        <v>35</v>
      </c>
      <c r="S7" s="134"/>
    </row>
    <row r="8" spans="1:19" x14ac:dyDescent="0.25">
      <c r="A8" s="921" t="s">
        <v>20</v>
      </c>
      <c r="B8" s="924" t="s">
        <v>889</v>
      </c>
      <c r="C8" s="924" t="s">
        <v>21</v>
      </c>
      <c r="D8" s="924" t="s">
        <v>22</v>
      </c>
      <c r="E8" s="905" t="s">
        <v>908</v>
      </c>
      <c r="F8" s="950" t="s">
        <v>23</v>
      </c>
      <c r="G8" s="231"/>
      <c r="H8" s="911" t="s">
        <v>798</v>
      </c>
      <c r="I8" s="960" t="s">
        <v>739</v>
      </c>
      <c r="J8" s="962" t="s">
        <v>739</v>
      </c>
      <c r="K8" s="231"/>
      <c r="L8" s="954" t="s">
        <v>798</v>
      </c>
      <c r="M8" s="931" t="s">
        <v>1476</v>
      </c>
      <c r="N8" s="231"/>
      <c r="O8" s="947" t="s">
        <v>117</v>
      </c>
      <c r="P8" s="936" t="s">
        <v>25</v>
      </c>
      <c r="Q8" s="232" t="s">
        <v>26</v>
      </c>
      <c r="R8" s="936" t="s">
        <v>943</v>
      </c>
      <c r="S8" s="939"/>
    </row>
    <row r="9" spans="1:19" x14ac:dyDescent="0.25">
      <c r="A9" s="922"/>
      <c r="B9" s="925"/>
      <c r="C9" s="925"/>
      <c r="D9" s="925"/>
      <c r="E9" s="906"/>
      <c r="F9" s="951"/>
      <c r="G9" s="231"/>
      <c r="H9" s="911"/>
      <c r="I9" s="961"/>
      <c r="J9" s="963"/>
      <c r="K9" s="231"/>
      <c r="L9" s="954"/>
      <c r="M9" s="931"/>
      <c r="N9" s="231"/>
      <c r="O9" s="948"/>
      <c r="P9" s="937"/>
      <c r="Q9" s="232" t="s">
        <v>28</v>
      </c>
      <c r="R9" s="937"/>
      <c r="S9" s="940"/>
    </row>
    <row r="10" spans="1:19" x14ac:dyDescent="0.25">
      <c r="A10" s="922"/>
      <c r="B10" s="925"/>
      <c r="C10" s="925"/>
      <c r="D10" s="925"/>
      <c r="E10" s="906"/>
      <c r="F10" s="951"/>
      <c r="G10" s="231"/>
      <c r="H10" s="911"/>
      <c r="I10" s="961"/>
      <c r="J10" s="963"/>
      <c r="K10" s="231"/>
      <c r="L10" s="954"/>
      <c r="M10" s="931"/>
      <c r="N10" s="231"/>
      <c r="O10" s="948"/>
      <c r="P10" s="937"/>
      <c r="Q10" s="232" t="s">
        <v>29</v>
      </c>
      <c r="R10" s="937"/>
      <c r="S10" s="940"/>
    </row>
    <row r="11" spans="1:19" x14ac:dyDescent="0.25">
      <c r="A11" s="923"/>
      <c r="B11" s="926"/>
      <c r="C11" s="926"/>
      <c r="D11" s="926"/>
      <c r="E11" s="907"/>
      <c r="F11" s="952"/>
      <c r="G11" s="231"/>
      <c r="H11" s="911"/>
      <c r="I11" s="961"/>
      <c r="J11" s="963"/>
      <c r="K11" s="231"/>
      <c r="L11" s="954"/>
      <c r="M11" s="931"/>
      <c r="N11" s="231"/>
      <c r="O11" s="949"/>
      <c r="P11" s="938"/>
      <c r="Q11" s="232" t="s">
        <v>30</v>
      </c>
      <c r="R11" s="938"/>
      <c r="S11" s="941"/>
    </row>
    <row r="12" spans="1:19" x14ac:dyDescent="0.25">
      <c r="A12" s="918" t="s">
        <v>118</v>
      </c>
      <c r="B12" s="915" t="s">
        <v>889</v>
      </c>
      <c r="C12" s="915" t="s">
        <v>119</v>
      </c>
      <c r="D12" s="915" t="s">
        <v>39</v>
      </c>
      <c r="E12" s="902" t="s">
        <v>1083</v>
      </c>
      <c r="F12" s="964" t="s">
        <v>313</v>
      </c>
      <c r="G12" s="234"/>
      <c r="H12" s="908" t="s">
        <v>799</v>
      </c>
      <c r="I12" s="932" t="s">
        <v>1503</v>
      </c>
      <c r="J12" s="933" t="s">
        <v>1504</v>
      </c>
      <c r="K12" s="234"/>
      <c r="L12" s="967" t="s">
        <v>799</v>
      </c>
      <c r="M12" s="930" t="s">
        <v>1477</v>
      </c>
      <c r="N12" s="234"/>
      <c r="O12" s="942" t="s">
        <v>41</v>
      </c>
      <c r="P12" s="912" t="s">
        <v>120</v>
      </c>
      <c r="Q12" s="132" t="s">
        <v>43</v>
      </c>
      <c r="R12" s="912" t="s">
        <v>1084</v>
      </c>
      <c r="S12" s="944"/>
    </row>
    <row r="13" spans="1:19" x14ac:dyDescent="0.25">
      <c r="A13" s="919"/>
      <c r="B13" s="916"/>
      <c r="C13" s="916"/>
      <c r="D13" s="916"/>
      <c r="E13" s="903"/>
      <c r="F13" s="965"/>
      <c r="G13" s="234"/>
      <c r="H13" s="908"/>
      <c r="I13" s="932"/>
      <c r="J13" s="933"/>
      <c r="K13" s="234"/>
      <c r="L13" s="967"/>
      <c r="M13" s="930"/>
      <c r="N13" s="234"/>
      <c r="O13" s="943"/>
      <c r="P13" s="914"/>
      <c r="Q13" s="132" t="s">
        <v>45</v>
      </c>
      <c r="R13" s="913"/>
      <c r="S13" s="945"/>
    </row>
    <row r="14" spans="1:19" ht="119.25" customHeight="1" x14ac:dyDescent="0.25">
      <c r="A14" s="920"/>
      <c r="B14" s="917"/>
      <c r="C14" s="917"/>
      <c r="D14" s="917"/>
      <c r="E14" s="904"/>
      <c r="F14" s="966"/>
      <c r="G14" s="234"/>
      <c r="H14" s="908"/>
      <c r="I14" s="932"/>
      <c r="J14" s="933"/>
      <c r="K14" s="234"/>
      <c r="L14" s="967"/>
      <c r="M14" s="930"/>
      <c r="N14" s="234"/>
      <c r="O14" s="216" t="s">
        <v>122</v>
      </c>
      <c r="P14" s="133" t="s">
        <v>25</v>
      </c>
      <c r="Q14" s="132" t="s">
        <v>123</v>
      </c>
      <c r="R14" s="914"/>
      <c r="S14" s="946"/>
    </row>
    <row r="15" spans="1:19" ht="81.599999999999994" customHeight="1" x14ac:dyDescent="0.25">
      <c r="A15" s="125" t="s">
        <v>124</v>
      </c>
      <c r="B15" s="126" t="s">
        <v>904</v>
      </c>
      <c r="C15" s="126" t="s">
        <v>125</v>
      </c>
      <c r="D15" s="126" t="s">
        <v>126</v>
      </c>
      <c r="E15" s="411" t="s">
        <v>1085</v>
      </c>
      <c r="F15" s="235" t="s">
        <v>314</v>
      </c>
      <c r="G15" s="210"/>
      <c r="H15" s="467" t="s">
        <v>739</v>
      </c>
      <c r="I15" s="462" t="s">
        <v>739</v>
      </c>
      <c r="J15" s="463" t="s">
        <v>739</v>
      </c>
      <c r="K15" s="210"/>
      <c r="L15" s="574" t="s">
        <v>1681</v>
      </c>
      <c r="M15" s="561" t="s">
        <v>1483</v>
      </c>
      <c r="N15" s="210"/>
      <c r="O15" s="236" t="s">
        <v>677</v>
      </c>
      <c r="P15" s="220" t="s">
        <v>677</v>
      </c>
      <c r="Q15" s="232" t="s">
        <v>677</v>
      </c>
      <c r="R15" s="220" t="s">
        <v>677</v>
      </c>
      <c r="S15" s="237" t="s">
        <v>677</v>
      </c>
    </row>
    <row r="16" spans="1:19" ht="89.25" customHeight="1" x14ac:dyDescent="0.25">
      <c r="A16" s="169" t="s">
        <v>128</v>
      </c>
      <c r="B16" s="132" t="s">
        <v>904</v>
      </c>
      <c r="C16" s="132" t="s">
        <v>129</v>
      </c>
      <c r="D16" s="132" t="s">
        <v>126</v>
      </c>
      <c r="E16" s="152" t="s">
        <v>1224</v>
      </c>
      <c r="F16" s="233" t="s">
        <v>315</v>
      </c>
      <c r="G16" s="215"/>
      <c r="H16" s="468" t="s">
        <v>739</v>
      </c>
      <c r="I16" s="465" t="s">
        <v>739</v>
      </c>
      <c r="J16" s="466" t="s">
        <v>739</v>
      </c>
      <c r="K16" s="215"/>
      <c r="L16" s="574" t="s">
        <v>1681</v>
      </c>
      <c r="M16" s="561" t="s">
        <v>1483</v>
      </c>
      <c r="N16" s="215"/>
      <c r="O16" s="216" t="s">
        <v>677</v>
      </c>
      <c r="P16" s="133" t="s">
        <v>677</v>
      </c>
      <c r="Q16" s="132" t="s">
        <v>677</v>
      </c>
      <c r="R16" s="133" t="s">
        <v>677</v>
      </c>
      <c r="S16" s="134" t="s">
        <v>677</v>
      </c>
    </row>
    <row r="17" spans="1:19" ht="92.25" customHeight="1" x14ac:dyDescent="0.25">
      <c r="A17" s="125" t="s">
        <v>130</v>
      </c>
      <c r="B17" s="126" t="s">
        <v>131</v>
      </c>
      <c r="C17" s="126" t="s">
        <v>132</v>
      </c>
      <c r="D17" s="126" t="s">
        <v>126</v>
      </c>
      <c r="E17" s="411" t="s">
        <v>1087</v>
      </c>
      <c r="F17" s="235" t="s">
        <v>316</v>
      </c>
      <c r="G17" s="210"/>
      <c r="H17" s="389" t="s">
        <v>821</v>
      </c>
      <c r="I17" s="457" t="s">
        <v>1505</v>
      </c>
      <c r="J17" s="464" t="s">
        <v>1506</v>
      </c>
      <c r="K17" s="210"/>
      <c r="L17" s="576" t="s">
        <v>821</v>
      </c>
      <c r="M17" s="406" t="s">
        <v>1476</v>
      </c>
      <c r="N17" s="210"/>
      <c r="O17" s="236" t="s">
        <v>122</v>
      </c>
      <c r="P17" s="220" t="s">
        <v>25</v>
      </c>
      <c r="Q17" s="232" t="s">
        <v>133</v>
      </c>
      <c r="R17" s="220" t="s">
        <v>35</v>
      </c>
      <c r="S17" s="237"/>
    </row>
    <row r="18" spans="1:19" ht="156" customHeight="1" x14ac:dyDescent="0.25">
      <c r="A18" s="169" t="s">
        <v>134</v>
      </c>
      <c r="B18" s="132" t="s">
        <v>905</v>
      </c>
      <c r="C18" s="132" t="s">
        <v>135</v>
      </c>
      <c r="D18" s="132" t="s">
        <v>126</v>
      </c>
      <c r="E18" s="461" t="s">
        <v>1225</v>
      </c>
      <c r="F18" s="233" t="s">
        <v>317</v>
      </c>
      <c r="G18" s="215"/>
      <c r="H18" s="397" t="s">
        <v>739</v>
      </c>
      <c r="I18" s="465" t="s">
        <v>739</v>
      </c>
      <c r="J18" s="466" t="s">
        <v>739</v>
      </c>
      <c r="K18" s="215"/>
      <c r="L18" s="573" t="s">
        <v>1680</v>
      </c>
      <c r="M18" s="575" t="s">
        <v>1481</v>
      </c>
      <c r="N18" s="215"/>
      <c r="O18" s="216" t="s">
        <v>137</v>
      </c>
      <c r="P18" s="133" t="s">
        <v>25</v>
      </c>
      <c r="Q18" s="132" t="s">
        <v>138</v>
      </c>
      <c r="R18" s="133" t="s">
        <v>35</v>
      </c>
      <c r="S18" s="134"/>
    </row>
    <row r="19" spans="1:19" ht="91.5" customHeight="1" x14ac:dyDescent="0.25">
      <c r="A19" s="125" t="s">
        <v>318</v>
      </c>
      <c r="B19" s="126" t="s">
        <v>1238</v>
      </c>
      <c r="C19" s="126" t="s">
        <v>319</v>
      </c>
      <c r="D19" s="126" t="s">
        <v>265</v>
      </c>
      <c r="E19" s="411" t="s">
        <v>1226</v>
      </c>
      <c r="F19" s="235" t="s">
        <v>320</v>
      </c>
      <c r="G19" s="210"/>
      <c r="H19" s="389" t="s">
        <v>881</v>
      </c>
      <c r="I19" s="457" t="s">
        <v>319</v>
      </c>
      <c r="J19" s="458" t="s">
        <v>1088</v>
      </c>
      <c r="K19" s="210"/>
      <c r="L19" s="576" t="s">
        <v>881</v>
      </c>
      <c r="M19" s="406" t="s">
        <v>1476</v>
      </c>
      <c r="N19" s="210"/>
      <c r="O19" s="236" t="s">
        <v>113</v>
      </c>
      <c r="P19" s="220" t="s">
        <v>25</v>
      </c>
      <c r="Q19" s="232" t="s">
        <v>1089</v>
      </c>
      <c r="R19" s="220" t="s">
        <v>35</v>
      </c>
      <c r="S19" s="237"/>
    </row>
    <row r="20" spans="1:19" ht="30" customHeight="1" x14ac:dyDescent="0.25">
      <c r="A20" s="131" t="s">
        <v>321</v>
      </c>
      <c r="B20" s="132" t="s">
        <v>1238</v>
      </c>
      <c r="C20" s="132" t="s">
        <v>322</v>
      </c>
      <c r="D20" s="132" t="s">
        <v>59</v>
      </c>
      <c r="E20" s="461" t="s">
        <v>1090</v>
      </c>
      <c r="F20" s="233" t="s">
        <v>323</v>
      </c>
      <c r="G20" s="215"/>
      <c r="H20" s="378" t="s">
        <v>882</v>
      </c>
      <c r="I20" s="459" t="s">
        <v>1534</v>
      </c>
      <c r="J20" s="461" t="s">
        <v>1535</v>
      </c>
      <c r="K20" s="215"/>
      <c r="L20" s="577" t="s">
        <v>882</v>
      </c>
      <c r="M20" s="392" t="s">
        <v>1476</v>
      </c>
      <c r="N20" s="215"/>
      <c r="O20" s="216" t="s">
        <v>113</v>
      </c>
      <c r="P20" s="133" t="s">
        <v>25</v>
      </c>
      <c r="Q20" s="132" t="s">
        <v>1091</v>
      </c>
      <c r="R20" s="133" t="s">
        <v>35</v>
      </c>
      <c r="S20" s="134"/>
    </row>
    <row r="21" spans="1:19" ht="66.75" customHeight="1" x14ac:dyDescent="0.25">
      <c r="A21" s="125" t="s">
        <v>324</v>
      </c>
      <c r="B21" s="126" t="s">
        <v>1281</v>
      </c>
      <c r="C21" s="126" t="s">
        <v>325</v>
      </c>
      <c r="D21" s="126" t="s">
        <v>265</v>
      </c>
      <c r="E21" s="411" t="s">
        <v>1092</v>
      </c>
      <c r="F21" s="235" t="s">
        <v>326</v>
      </c>
      <c r="G21" s="210"/>
      <c r="H21" s="389" t="s">
        <v>883</v>
      </c>
      <c r="I21" s="457" t="s">
        <v>325</v>
      </c>
      <c r="J21" s="458" t="s">
        <v>1092</v>
      </c>
      <c r="K21" s="210"/>
      <c r="L21" s="576" t="s">
        <v>883</v>
      </c>
      <c r="M21" s="406" t="s">
        <v>1476</v>
      </c>
      <c r="N21" s="210"/>
      <c r="O21" s="236" t="s">
        <v>113</v>
      </c>
      <c r="P21" s="220" t="s">
        <v>25</v>
      </c>
      <c r="Q21" s="232" t="s">
        <v>1093</v>
      </c>
      <c r="R21" s="220" t="s">
        <v>35</v>
      </c>
      <c r="S21" s="237"/>
    </row>
    <row r="22" spans="1:19" ht="85.5" customHeight="1" x14ac:dyDescent="0.25">
      <c r="A22" s="131" t="s">
        <v>327</v>
      </c>
      <c r="B22" s="132" t="s">
        <v>1238</v>
      </c>
      <c r="C22" s="132" t="s">
        <v>328</v>
      </c>
      <c r="D22" s="132" t="s">
        <v>59</v>
      </c>
      <c r="E22" s="461" t="s">
        <v>1094</v>
      </c>
      <c r="F22" s="233" t="s">
        <v>329</v>
      </c>
      <c r="G22" s="215"/>
      <c r="H22" s="378" t="s">
        <v>884</v>
      </c>
      <c r="I22" s="459" t="s">
        <v>1536</v>
      </c>
      <c r="J22" s="461" t="s">
        <v>1537</v>
      </c>
      <c r="K22" s="215"/>
      <c r="L22" s="577" t="s">
        <v>884</v>
      </c>
      <c r="M22" s="392" t="s">
        <v>1476</v>
      </c>
      <c r="N22" s="215"/>
      <c r="O22" s="216" t="s">
        <v>113</v>
      </c>
      <c r="P22" s="133" t="s">
        <v>25</v>
      </c>
      <c r="Q22" s="132" t="s">
        <v>1095</v>
      </c>
      <c r="R22" s="133" t="s">
        <v>35</v>
      </c>
      <c r="S22" s="134"/>
    </row>
    <row r="23" spans="1:19" ht="88.5" customHeight="1" x14ac:dyDescent="0.25">
      <c r="A23" s="125" t="s">
        <v>330</v>
      </c>
      <c r="B23" s="126" t="s">
        <v>1238</v>
      </c>
      <c r="C23" s="126" t="s">
        <v>331</v>
      </c>
      <c r="D23" s="126" t="s">
        <v>265</v>
      </c>
      <c r="E23" s="411" t="s">
        <v>1096</v>
      </c>
      <c r="F23" s="235" t="s">
        <v>332</v>
      </c>
      <c r="G23" s="210"/>
      <c r="H23" s="389" t="s">
        <v>885</v>
      </c>
      <c r="I23" s="457" t="s">
        <v>331</v>
      </c>
      <c r="J23" s="458" t="s">
        <v>1538</v>
      </c>
      <c r="K23" s="210"/>
      <c r="L23" s="580" t="s">
        <v>1687</v>
      </c>
      <c r="M23" s="578" t="s">
        <v>1476</v>
      </c>
      <c r="N23" s="210"/>
      <c r="O23" s="236" t="s">
        <v>113</v>
      </c>
      <c r="P23" s="220" t="s">
        <v>25</v>
      </c>
      <c r="Q23" s="232" t="s">
        <v>1097</v>
      </c>
      <c r="R23" s="220" t="s">
        <v>35</v>
      </c>
      <c r="S23" s="237"/>
    </row>
    <row r="24" spans="1:19" ht="87.75" customHeight="1" x14ac:dyDescent="0.25">
      <c r="A24" s="131" t="s">
        <v>333</v>
      </c>
      <c r="B24" s="132" t="s">
        <v>1238</v>
      </c>
      <c r="C24" s="132" t="s">
        <v>334</v>
      </c>
      <c r="D24" s="132" t="s">
        <v>39</v>
      </c>
      <c r="E24" s="461" t="s">
        <v>1098</v>
      </c>
      <c r="F24" s="233" t="s">
        <v>335</v>
      </c>
      <c r="G24" s="215"/>
      <c r="H24" s="378" t="s">
        <v>886</v>
      </c>
      <c r="I24" s="459" t="s">
        <v>334</v>
      </c>
      <c r="J24" s="460" t="s">
        <v>1539</v>
      </c>
      <c r="K24" s="215"/>
      <c r="L24" s="577" t="s">
        <v>886</v>
      </c>
      <c r="M24" s="392" t="s">
        <v>1477</v>
      </c>
      <c r="N24" s="215"/>
      <c r="O24" s="216"/>
      <c r="P24" s="133"/>
      <c r="Q24" s="132"/>
      <c r="R24" s="133" t="s">
        <v>1099</v>
      </c>
      <c r="S24" s="134"/>
    </row>
    <row r="25" spans="1:19" ht="107.25" customHeight="1" x14ac:dyDescent="0.25">
      <c r="A25" s="125" t="s">
        <v>336</v>
      </c>
      <c r="B25" s="126" t="s">
        <v>1238</v>
      </c>
      <c r="C25" s="126" t="s">
        <v>337</v>
      </c>
      <c r="D25" s="126" t="s">
        <v>39</v>
      </c>
      <c r="E25" s="411" t="s">
        <v>1100</v>
      </c>
      <c r="F25" s="235" t="s">
        <v>338</v>
      </c>
      <c r="G25" s="210"/>
      <c r="H25" s="389" t="s">
        <v>887</v>
      </c>
      <c r="I25" s="457" t="s">
        <v>337</v>
      </c>
      <c r="J25" s="464" t="s">
        <v>1540</v>
      </c>
      <c r="K25" s="210"/>
      <c r="L25" s="576" t="s">
        <v>887</v>
      </c>
      <c r="M25" s="406" t="s">
        <v>1477</v>
      </c>
      <c r="N25" s="210"/>
      <c r="O25" s="236"/>
      <c r="P25" s="220"/>
      <c r="Q25" s="232"/>
      <c r="R25" s="220" t="s">
        <v>1101</v>
      </c>
      <c r="S25" s="237"/>
    </row>
    <row r="26" spans="1:19" ht="148.5" customHeight="1" x14ac:dyDescent="0.25">
      <c r="A26" s="131" t="s">
        <v>339</v>
      </c>
      <c r="B26" s="132" t="s">
        <v>1238</v>
      </c>
      <c r="C26" s="132" t="s">
        <v>340</v>
      </c>
      <c r="D26" s="132" t="s">
        <v>59</v>
      </c>
      <c r="E26" s="461" t="s">
        <v>1102</v>
      </c>
      <c r="F26" s="233" t="s">
        <v>341</v>
      </c>
      <c r="G26" s="215"/>
      <c r="H26" s="479" t="s">
        <v>888</v>
      </c>
      <c r="I26" s="465" t="s">
        <v>739</v>
      </c>
      <c r="J26" s="466" t="s">
        <v>739</v>
      </c>
      <c r="K26" s="215"/>
      <c r="L26" s="581" t="s">
        <v>1683</v>
      </c>
      <c r="M26" s="501" t="s">
        <v>1476</v>
      </c>
      <c r="N26" s="215"/>
      <c r="O26" s="216" t="s">
        <v>137</v>
      </c>
      <c r="P26" s="133" t="s">
        <v>25</v>
      </c>
      <c r="Q26" s="132" t="s">
        <v>1103</v>
      </c>
      <c r="R26" s="133" t="s">
        <v>35</v>
      </c>
      <c r="S26" s="134"/>
    </row>
    <row r="27" spans="1:19" ht="89.25" customHeight="1" thickBot="1" x14ac:dyDescent="0.3">
      <c r="A27" s="147" t="s">
        <v>342</v>
      </c>
      <c r="B27" s="148" t="s">
        <v>905</v>
      </c>
      <c r="C27" s="148" t="s">
        <v>471</v>
      </c>
      <c r="D27" s="148" t="s">
        <v>59</v>
      </c>
      <c r="E27" s="480" t="s">
        <v>1105</v>
      </c>
      <c r="F27" s="238" t="s">
        <v>344</v>
      </c>
      <c r="G27" s="210"/>
      <c r="H27" s="481" t="s">
        <v>888</v>
      </c>
      <c r="I27" s="482" t="s">
        <v>739</v>
      </c>
      <c r="J27" s="483" t="s">
        <v>739</v>
      </c>
      <c r="K27" s="210"/>
      <c r="L27" s="602" t="s">
        <v>1695</v>
      </c>
      <c r="M27" s="603" t="s">
        <v>1476</v>
      </c>
      <c r="N27" s="210"/>
      <c r="O27" s="239" t="s">
        <v>137</v>
      </c>
      <c r="P27" s="240" t="s">
        <v>25</v>
      </c>
      <c r="Q27" s="241" t="s">
        <v>138</v>
      </c>
      <c r="R27" s="240" t="s">
        <v>35</v>
      </c>
      <c r="S27" s="242"/>
    </row>
  </sheetData>
  <mergeCells count="46">
    <mergeCell ref="F12:F14"/>
    <mergeCell ref="L12:L14"/>
    <mergeCell ref="A12:A14"/>
    <mergeCell ref="B12:B14"/>
    <mergeCell ref="C12:C14"/>
    <mergeCell ref="D12:D14"/>
    <mergeCell ref="E12:E14"/>
    <mergeCell ref="I12:I14"/>
    <mergeCell ref="J12:J14"/>
    <mergeCell ref="F8:F11"/>
    <mergeCell ref="H8:H11"/>
    <mergeCell ref="L8:L11"/>
    <mergeCell ref="O8:O11"/>
    <mergeCell ref="P8:P11"/>
    <mergeCell ref="M8:M11"/>
    <mergeCell ref="I8:I11"/>
    <mergeCell ref="J8:J11"/>
    <mergeCell ref="A8:A11"/>
    <mergeCell ref="B8:B11"/>
    <mergeCell ref="C8:C11"/>
    <mergeCell ref="D8:D11"/>
    <mergeCell ref="E8:E11"/>
    <mergeCell ref="O3:O6"/>
    <mergeCell ref="A1:S1"/>
    <mergeCell ref="R3:R6"/>
    <mergeCell ref="S3:S6"/>
    <mergeCell ref="F3:F6"/>
    <mergeCell ref="L3:L6"/>
    <mergeCell ref="A3:A6"/>
    <mergeCell ref="B3:B6"/>
    <mergeCell ref="C3:C6"/>
    <mergeCell ref="D3:D6"/>
    <mergeCell ref="E3:E6"/>
    <mergeCell ref="H3:H6"/>
    <mergeCell ref="P3:P6"/>
    <mergeCell ref="M3:M6"/>
    <mergeCell ref="I3:I6"/>
    <mergeCell ref="J3:J6"/>
    <mergeCell ref="R8:R11"/>
    <mergeCell ref="S8:S11"/>
    <mergeCell ref="H12:H14"/>
    <mergeCell ref="O12:O13"/>
    <mergeCell ref="P12:P13"/>
    <mergeCell ref="R12:R14"/>
    <mergeCell ref="S12:S14"/>
    <mergeCell ref="M12:M1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M3:M27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
  <sheetViews>
    <sheetView zoomScale="70" zoomScaleNormal="70" workbookViewId="0">
      <pane xSplit="6" ySplit="2" topLeftCell="K3" activePane="bottomRight" state="frozen"/>
      <selection pane="topRight" activeCell="G1" sqref="G1"/>
      <selection pane="bottomLeft" activeCell="A3" sqref="A3"/>
      <selection pane="bottomRight" activeCell="L9" sqref="L9"/>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9" width="35.85546875" customWidth="1"/>
    <col min="10" max="10" width="42.140625" customWidth="1"/>
    <col min="11" max="11" width="4" customWidth="1"/>
    <col min="12" max="13" width="52.42578125" customWidth="1"/>
    <col min="14" max="14" width="4.140625" customWidth="1"/>
    <col min="15" max="15" width="36" bestFit="1" customWidth="1"/>
    <col min="16" max="16" width="27.5703125" customWidth="1"/>
    <col min="17" max="17" width="35.28515625" bestFit="1" customWidth="1"/>
    <col min="18" max="18" width="75.28515625" customWidth="1"/>
    <col min="19" max="19" width="52.42578125" customWidth="1"/>
    <col min="20" max="20" width="0" hidden="1" customWidth="1"/>
  </cols>
  <sheetData>
    <row r="1" spans="1:20" ht="19.5" thickBot="1" x14ac:dyDescent="0.35">
      <c r="A1" s="736" t="s">
        <v>1282</v>
      </c>
      <c r="B1" s="737"/>
      <c r="C1" s="737"/>
      <c r="D1" s="737"/>
      <c r="E1" s="737"/>
      <c r="F1" s="737"/>
      <c r="G1" s="737"/>
      <c r="H1" s="737"/>
      <c r="I1" s="737"/>
      <c r="J1" s="737"/>
      <c r="K1" s="737"/>
      <c r="L1" s="737"/>
      <c r="M1" s="737"/>
      <c r="N1" s="737"/>
      <c r="O1" s="737"/>
      <c r="P1" s="737"/>
      <c r="Q1" s="737"/>
      <c r="R1" s="737"/>
      <c r="S1" s="737"/>
      <c r="T1" s="738"/>
    </row>
    <row r="2" spans="1:20" ht="15.75" thickBot="1" x14ac:dyDescent="0.3">
      <c r="A2" s="7" t="s">
        <v>10</v>
      </c>
      <c r="B2" s="8" t="s">
        <v>11</v>
      </c>
      <c r="C2" s="8" t="s">
        <v>12</v>
      </c>
      <c r="D2" s="8" t="s">
        <v>13</v>
      </c>
      <c r="E2" s="10" t="s">
        <v>14</v>
      </c>
      <c r="F2" s="43" t="s">
        <v>14</v>
      </c>
      <c r="G2" s="182"/>
      <c r="H2" s="318" t="s">
        <v>725</v>
      </c>
      <c r="I2" s="319" t="s">
        <v>1412</v>
      </c>
      <c r="J2" s="320" t="s">
        <v>1411</v>
      </c>
      <c r="K2" s="183"/>
      <c r="L2" s="226" t="s">
        <v>87</v>
      </c>
      <c r="M2" s="226" t="s">
        <v>1475</v>
      </c>
      <c r="N2" s="28"/>
      <c r="O2" s="252" t="s">
        <v>15</v>
      </c>
      <c r="P2" s="253" t="s">
        <v>16</v>
      </c>
      <c r="Q2" s="253" t="s">
        <v>17</v>
      </c>
      <c r="R2" s="253" t="s">
        <v>18</v>
      </c>
      <c r="S2" s="254" t="s">
        <v>19</v>
      </c>
      <c r="T2" s="44" t="s">
        <v>812</v>
      </c>
    </row>
    <row r="3" spans="1:20" x14ac:dyDescent="0.25">
      <c r="A3" s="972" t="s">
        <v>20</v>
      </c>
      <c r="B3" s="973" t="s">
        <v>889</v>
      </c>
      <c r="C3" s="973" t="s">
        <v>21</v>
      </c>
      <c r="D3" s="973" t="s">
        <v>22</v>
      </c>
      <c r="E3" s="974" t="s">
        <v>891</v>
      </c>
      <c r="F3" s="660" t="s">
        <v>23</v>
      </c>
      <c r="G3" s="29"/>
      <c r="H3" s="757" t="s">
        <v>1292</v>
      </c>
      <c r="I3" s="742" t="s">
        <v>1413</v>
      </c>
      <c r="J3" s="768" t="s">
        <v>1541</v>
      </c>
      <c r="K3" s="29"/>
      <c r="L3" s="975" t="s">
        <v>1292</v>
      </c>
      <c r="M3" s="979" t="s">
        <v>1476</v>
      </c>
      <c r="N3" s="29"/>
      <c r="O3" s="978" t="s">
        <v>24</v>
      </c>
      <c r="P3" s="982" t="s">
        <v>25</v>
      </c>
      <c r="Q3" s="184" t="s">
        <v>26</v>
      </c>
      <c r="R3" s="983" t="s">
        <v>813</v>
      </c>
      <c r="S3" s="968"/>
      <c r="T3" s="969" t="s">
        <v>800</v>
      </c>
    </row>
    <row r="4" spans="1:20" x14ac:dyDescent="0.25">
      <c r="A4" s="683"/>
      <c r="B4" s="681"/>
      <c r="C4" s="681"/>
      <c r="D4" s="681"/>
      <c r="E4" s="764"/>
      <c r="F4" s="661"/>
      <c r="G4" s="29"/>
      <c r="H4" s="637"/>
      <c r="I4" s="719"/>
      <c r="J4" s="769"/>
      <c r="K4" s="29"/>
      <c r="L4" s="976"/>
      <c r="M4" s="980"/>
      <c r="N4" s="29"/>
      <c r="O4" s="749"/>
      <c r="P4" s="659"/>
      <c r="Q4" s="54" t="s">
        <v>28</v>
      </c>
      <c r="R4" s="655"/>
      <c r="S4" s="657"/>
      <c r="T4" s="970"/>
    </row>
    <row r="5" spans="1:20" x14ac:dyDescent="0.25">
      <c r="A5" s="683"/>
      <c r="B5" s="681"/>
      <c r="C5" s="681"/>
      <c r="D5" s="681"/>
      <c r="E5" s="764"/>
      <c r="F5" s="661"/>
      <c r="G5" s="29"/>
      <c r="H5" s="637"/>
      <c r="I5" s="719"/>
      <c r="J5" s="769"/>
      <c r="K5" s="29"/>
      <c r="L5" s="976"/>
      <c r="M5" s="980"/>
      <c r="N5" s="29"/>
      <c r="O5" s="749"/>
      <c r="P5" s="659"/>
      <c r="Q5" s="54" t="s">
        <v>29</v>
      </c>
      <c r="R5" s="655"/>
      <c r="S5" s="657"/>
      <c r="T5" s="970"/>
    </row>
    <row r="6" spans="1:20" x14ac:dyDescent="0.25">
      <c r="A6" s="683"/>
      <c r="B6" s="681"/>
      <c r="C6" s="681"/>
      <c r="D6" s="681"/>
      <c r="E6" s="764"/>
      <c r="F6" s="661"/>
      <c r="G6" s="29"/>
      <c r="H6" s="637"/>
      <c r="I6" s="719"/>
      <c r="J6" s="769"/>
      <c r="K6" s="29"/>
      <c r="L6" s="977"/>
      <c r="M6" s="981"/>
      <c r="N6" s="29"/>
      <c r="O6" s="749"/>
      <c r="P6" s="659"/>
      <c r="Q6" s="54" t="s">
        <v>30</v>
      </c>
      <c r="R6" s="655"/>
      <c r="S6" s="657"/>
      <c r="T6" s="971"/>
    </row>
    <row r="7" spans="1:20" ht="43.5" customHeight="1" x14ac:dyDescent="0.25">
      <c r="A7" s="251" t="s">
        <v>31</v>
      </c>
      <c r="B7" s="485" t="s">
        <v>889</v>
      </c>
      <c r="C7" s="23" t="s">
        <v>32</v>
      </c>
      <c r="D7" s="23" t="s">
        <v>22</v>
      </c>
      <c r="E7" s="107" t="s">
        <v>892</v>
      </c>
      <c r="F7" s="243" t="s">
        <v>88</v>
      </c>
      <c r="G7" s="29"/>
      <c r="H7" s="371" t="s">
        <v>1293</v>
      </c>
      <c r="I7" s="442" t="s">
        <v>1490</v>
      </c>
      <c r="J7" s="451" t="s">
        <v>1542</v>
      </c>
      <c r="K7" s="29"/>
      <c r="L7" s="583" t="s">
        <v>1293</v>
      </c>
      <c r="M7" s="584" t="s">
        <v>1476</v>
      </c>
      <c r="N7" s="29"/>
      <c r="O7" s="256" t="s">
        <v>24</v>
      </c>
      <c r="P7" s="255" t="s">
        <v>25</v>
      </c>
      <c r="Q7" s="249" t="s">
        <v>34</v>
      </c>
      <c r="R7" s="255" t="s">
        <v>35</v>
      </c>
      <c r="S7" s="107"/>
      <c r="T7" s="171"/>
    </row>
    <row r="8" spans="1:20" ht="105" customHeight="1" x14ac:dyDescent="0.25">
      <c r="A8" s="82" t="s">
        <v>236</v>
      </c>
      <c r="B8" s="80" t="s">
        <v>1233</v>
      </c>
      <c r="C8" s="80" t="s">
        <v>237</v>
      </c>
      <c r="D8" s="80" t="s">
        <v>59</v>
      </c>
      <c r="E8" s="105" t="s">
        <v>1209</v>
      </c>
      <c r="F8" s="244" t="s">
        <v>238</v>
      </c>
      <c r="G8" s="30"/>
      <c r="H8" s="370" t="s">
        <v>1289</v>
      </c>
      <c r="I8" s="444" t="s">
        <v>1544</v>
      </c>
      <c r="J8" s="449" t="s">
        <v>1545</v>
      </c>
      <c r="K8" s="181"/>
      <c r="L8" s="596" t="s">
        <v>1289</v>
      </c>
      <c r="M8" s="569" t="s">
        <v>1476</v>
      </c>
      <c r="N8" s="181"/>
      <c r="O8" s="106" t="s">
        <v>811</v>
      </c>
      <c r="P8" s="70" t="s">
        <v>25</v>
      </c>
      <c r="Q8" s="70" t="s">
        <v>822</v>
      </c>
      <c r="R8" s="70" t="s">
        <v>35</v>
      </c>
      <c r="S8" s="72"/>
      <c r="T8" s="171"/>
    </row>
    <row r="9" spans="1:20" ht="153" customHeight="1" thickBot="1" x14ac:dyDescent="0.3">
      <c r="A9" s="138" t="s">
        <v>299</v>
      </c>
      <c r="B9" s="139" t="s">
        <v>1239</v>
      </c>
      <c r="C9" s="139" t="s">
        <v>300</v>
      </c>
      <c r="D9" s="139" t="s">
        <v>39</v>
      </c>
      <c r="E9" s="478" t="s">
        <v>1279</v>
      </c>
      <c r="F9" s="245" t="s">
        <v>301</v>
      </c>
      <c r="G9" s="215"/>
      <c r="H9" s="426" t="s">
        <v>739</v>
      </c>
      <c r="I9" s="427" t="s">
        <v>739</v>
      </c>
      <c r="J9" s="428" t="s">
        <v>739</v>
      </c>
      <c r="K9" s="215"/>
      <c r="L9" s="604" t="s">
        <v>1696</v>
      </c>
      <c r="M9" s="605" t="s">
        <v>1482</v>
      </c>
      <c r="N9" s="215"/>
      <c r="O9" s="257" t="s">
        <v>717</v>
      </c>
      <c r="P9" s="258" t="s">
        <v>717</v>
      </c>
      <c r="Q9" s="258" t="s">
        <v>717</v>
      </c>
      <c r="R9" s="258" t="s">
        <v>717</v>
      </c>
      <c r="S9" s="259" t="s">
        <v>717</v>
      </c>
    </row>
  </sheetData>
  <mergeCells count="17">
    <mergeCell ref="R3:R6"/>
    <mergeCell ref="S3:S6"/>
    <mergeCell ref="T3:T6"/>
    <mergeCell ref="A1:T1"/>
    <mergeCell ref="A3:A6"/>
    <mergeCell ref="B3:B6"/>
    <mergeCell ref="C3:C6"/>
    <mergeCell ref="D3:D6"/>
    <mergeCell ref="E3:E6"/>
    <mergeCell ref="F3:F6"/>
    <mergeCell ref="H3:H6"/>
    <mergeCell ref="L3:L6"/>
    <mergeCell ref="O3:O6"/>
    <mergeCell ref="I3:I6"/>
    <mergeCell ref="J3:J6"/>
    <mergeCell ref="M3:M6"/>
    <mergeCell ref="P3:P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
  <sheetViews>
    <sheetView zoomScale="70" zoomScaleNormal="70" workbookViewId="0">
      <pane xSplit="6" ySplit="2" topLeftCell="K3" activePane="bottomRight" state="frozen"/>
      <selection pane="topRight" activeCell="G1" sqref="G1"/>
      <selection pane="bottomLeft" activeCell="A3" sqref="A3"/>
      <selection pane="bottomRight" activeCell="B11" sqref="B11"/>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9" width="35.85546875" customWidth="1"/>
    <col min="10" max="10" width="41.7109375" customWidth="1"/>
    <col min="11" max="11" width="4" customWidth="1"/>
    <col min="12" max="13" width="52.42578125" customWidth="1"/>
    <col min="14" max="14" width="4.140625" customWidth="1"/>
    <col min="15" max="15" width="36" bestFit="1" customWidth="1"/>
    <col min="16" max="16" width="27.5703125" customWidth="1"/>
    <col min="17" max="17" width="35.28515625" bestFit="1" customWidth="1"/>
    <col min="18" max="18" width="75.28515625" customWidth="1"/>
    <col min="19" max="19" width="52.42578125" customWidth="1"/>
    <col min="20" max="20" width="0" hidden="1" customWidth="1"/>
  </cols>
  <sheetData>
    <row r="1" spans="1:20" ht="19.5" thickBot="1" x14ac:dyDescent="0.35">
      <c r="A1" s="736" t="s">
        <v>1282</v>
      </c>
      <c r="B1" s="737"/>
      <c r="C1" s="737"/>
      <c r="D1" s="737"/>
      <c r="E1" s="737"/>
      <c r="F1" s="737"/>
      <c r="G1" s="737"/>
      <c r="H1" s="737"/>
      <c r="I1" s="737"/>
      <c r="J1" s="737"/>
      <c r="K1" s="737"/>
      <c r="L1" s="737"/>
      <c r="M1" s="737"/>
      <c r="N1" s="737"/>
      <c r="O1" s="737"/>
      <c r="P1" s="737"/>
      <c r="Q1" s="737"/>
      <c r="R1" s="737"/>
      <c r="S1" s="737"/>
      <c r="T1" s="738"/>
    </row>
    <row r="2" spans="1:20" ht="15.75" thickBot="1" x14ac:dyDescent="0.3">
      <c r="A2" s="7" t="s">
        <v>10</v>
      </c>
      <c r="B2" s="8" t="s">
        <v>11</v>
      </c>
      <c r="C2" s="8" t="s">
        <v>12</v>
      </c>
      <c r="D2" s="8" t="s">
        <v>13</v>
      </c>
      <c r="E2" s="10" t="s">
        <v>14</v>
      </c>
      <c r="F2" s="43" t="s">
        <v>14</v>
      </c>
      <c r="G2" s="182"/>
      <c r="H2" s="318" t="s">
        <v>725</v>
      </c>
      <c r="I2" s="319" t="s">
        <v>1412</v>
      </c>
      <c r="J2" s="320" t="s">
        <v>1411</v>
      </c>
      <c r="K2" s="183"/>
      <c r="L2" s="226" t="s">
        <v>87</v>
      </c>
      <c r="M2" s="226" t="s">
        <v>1475</v>
      </c>
      <c r="N2" s="28"/>
      <c r="O2" s="252" t="s">
        <v>15</v>
      </c>
      <c r="P2" s="253" t="s">
        <v>16</v>
      </c>
      <c r="Q2" s="253" t="s">
        <v>17</v>
      </c>
      <c r="R2" s="253" t="s">
        <v>18</v>
      </c>
      <c r="S2" s="254" t="s">
        <v>19</v>
      </c>
      <c r="T2" s="44" t="s">
        <v>812</v>
      </c>
    </row>
    <row r="3" spans="1:20" x14ac:dyDescent="0.25">
      <c r="A3" s="972" t="s">
        <v>20</v>
      </c>
      <c r="B3" s="973" t="s">
        <v>889</v>
      </c>
      <c r="C3" s="973" t="s">
        <v>21</v>
      </c>
      <c r="D3" s="973" t="s">
        <v>22</v>
      </c>
      <c r="E3" s="974" t="s">
        <v>891</v>
      </c>
      <c r="F3" s="660" t="s">
        <v>23</v>
      </c>
      <c r="G3" s="29"/>
      <c r="H3" s="757" t="s">
        <v>1290</v>
      </c>
      <c r="I3" s="742" t="s">
        <v>1413</v>
      </c>
      <c r="J3" s="743" t="s">
        <v>1541</v>
      </c>
      <c r="K3" s="29"/>
      <c r="L3" s="767" t="s">
        <v>1290</v>
      </c>
      <c r="M3" s="790" t="s">
        <v>1476</v>
      </c>
      <c r="N3" s="29"/>
      <c r="O3" s="978" t="s">
        <v>24</v>
      </c>
      <c r="P3" s="982" t="s">
        <v>25</v>
      </c>
      <c r="Q3" s="184" t="s">
        <v>26</v>
      </c>
      <c r="R3" s="983" t="s">
        <v>813</v>
      </c>
      <c r="S3" s="968"/>
      <c r="T3" s="969" t="s">
        <v>800</v>
      </c>
    </row>
    <row r="4" spans="1:20" x14ac:dyDescent="0.25">
      <c r="A4" s="683"/>
      <c r="B4" s="681"/>
      <c r="C4" s="681"/>
      <c r="D4" s="681"/>
      <c r="E4" s="764"/>
      <c r="F4" s="661"/>
      <c r="G4" s="29"/>
      <c r="H4" s="637"/>
      <c r="I4" s="719"/>
      <c r="J4" s="721"/>
      <c r="K4" s="29"/>
      <c r="L4" s="748"/>
      <c r="M4" s="791"/>
      <c r="N4" s="29"/>
      <c r="O4" s="749"/>
      <c r="P4" s="659"/>
      <c r="Q4" s="54" t="s">
        <v>28</v>
      </c>
      <c r="R4" s="655"/>
      <c r="S4" s="657"/>
      <c r="T4" s="970"/>
    </row>
    <row r="5" spans="1:20" x14ac:dyDescent="0.25">
      <c r="A5" s="683"/>
      <c r="B5" s="681"/>
      <c r="C5" s="681"/>
      <c r="D5" s="681"/>
      <c r="E5" s="764"/>
      <c r="F5" s="661"/>
      <c r="G5" s="29"/>
      <c r="H5" s="637"/>
      <c r="I5" s="719"/>
      <c r="J5" s="721"/>
      <c r="K5" s="29"/>
      <c r="L5" s="748"/>
      <c r="M5" s="791"/>
      <c r="N5" s="29"/>
      <c r="O5" s="749"/>
      <c r="P5" s="659"/>
      <c r="Q5" s="54" t="s">
        <v>29</v>
      </c>
      <c r="R5" s="655"/>
      <c r="S5" s="657"/>
      <c r="T5" s="970"/>
    </row>
    <row r="6" spans="1:20" ht="34.5" customHeight="1" x14ac:dyDescent="0.25">
      <c r="A6" s="683"/>
      <c r="B6" s="681"/>
      <c r="C6" s="681"/>
      <c r="D6" s="681"/>
      <c r="E6" s="764"/>
      <c r="F6" s="661"/>
      <c r="G6" s="29"/>
      <c r="H6" s="637"/>
      <c r="I6" s="719"/>
      <c r="J6" s="721"/>
      <c r="K6" s="29"/>
      <c r="L6" s="748"/>
      <c r="M6" s="791"/>
      <c r="N6" s="29"/>
      <c r="O6" s="749"/>
      <c r="P6" s="659"/>
      <c r="Q6" s="54" t="s">
        <v>30</v>
      </c>
      <c r="R6" s="655"/>
      <c r="S6" s="657"/>
      <c r="T6" s="971"/>
    </row>
    <row r="7" spans="1:20" x14ac:dyDescent="0.25">
      <c r="A7" s="984" t="s">
        <v>111</v>
      </c>
      <c r="B7" s="992" t="s">
        <v>889</v>
      </c>
      <c r="C7" s="992" t="s">
        <v>112</v>
      </c>
      <c r="D7" s="992" t="s">
        <v>22</v>
      </c>
      <c r="E7" s="993" t="s">
        <v>907</v>
      </c>
      <c r="F7" s="989" t="s">
        <v>309</v>
      </c>
      <c r="G7" s="231"/>
      <c r="H7" s="984" t="s">
        <v>1291</v>
      </c>
      <c r="I7" s="987" t="s">
        <v>1501</v>
      </c>
      <c r="J7" s="993" t="s">
        <v>1543</v>
      </c>
      <c r="K7" s="231"/>
      <c r="L7" s="985" t="s">
        <v>1291</v>
      </c>
      <c r="M7" s="994" t="s">
        <v>1476</v>
      </c>
      <c r="N7" s="231"/>
      <c r="O7" s="986" t="s">
        <v>1223</v>
      </c>
      <c r="P7" s="987" t="s">
        <v>25</v>
      </c>
      <c r="Q7" s="128" t="s">
        <v>26</v>
      </c>
      <c r="R7" s="987" t="s">
        <v>1078</v>
      </c>
      <c r="S7" s="988"/>
      <c r="T7" s="171"/>
    </row>
    <row r="8" spans="1:20" x14ac:dyDescent="0.25">
      <c r="A8" s="984"/>
      <c r="B8" s="992"/>
      <c r="C8" s="992"/>
      <c r="D8" s="992"/>
      <c r="E8" s="993"/>
      <c r="F8" s="990"/>
      <c r="G8" s="231"/>
      <c r="H8" s="984"/>
      <c r="I8" s="987"/>
      <c r="J8" s="993"/>
      <c r="K8" s="231"/>
      <c r="L8" s="985"/>
      <c r="M8" s="994"/>
      <c r="N8" s="231"/>
      <c r="O8" s="986"/>
      <c r="P8" s="987"/>
      <c r="Q8" s="128" t="s">
        <v>114</v>
      </c>
      <c r="R8" s="987"/>
      <c r="S8" s="988"/>
      <c r="T8" s="171"/>
    </row>
    <row r="9" spans="1:20" x14ac:dyDescent="0.25">
      <c r="A9" s="984"/>
      <c r="B9" s="992"/>
      <c r="C9" s="992"/>
      <c r="D9" s="992"/>
      <c r="E9" s="993"/>
      <c r="F9" s="990"/>
      <c r="G9" s="231"/>
      <c r="H9" s="984"/>
      <c r="I9" s="987"/>
      <c r="J9" s="993"/>
      <c r="K9" s="231"/>
      <c r="L9" s="985"/>
      <c r="M9" s="994"/>
      <c r="N9" s="231"/>
      <c r="O9" s="986"/>
      <c r="P9" s="987"/>
      <c r="Q9" s="128" t="s">
        <v>115</v>
      </c>
      <c r="R9" s="987"/>
      <c r="S9" s="988"/>
    </row>
    <row r="10" spans="1:20" ht="25.5" customHeight="1" x14ac:dyDescent="0.25">
      <c r="A10" s="984"/>
      <c r="B10" s="992"/>
      <c r="C10" s="992"/>
      <c r="D10" s="992"/>
      <c r="E10" s="993"/>
      <c r="F10" s="991"/>
      <c r="G10" s="231"/>
      <c r="H10" s="984"/>
      <c r="I10" s="987"/>
      <c r="J10" s="993"/>
      <c r="K10" s="231"/>
      <c r="L10" s="985"/>
      <c r="M10" s="994"/>
      <c r="N10" s="231"/>
      <c r="O10" s="986"/>
      <c r="P10" s="987"/>
      <c r="Q10" s="128" t="s">
        <v>116</v>
      </c>
      <c r="R10" s="987"/>
      <c r="S10" s="988"/>
    </row>
    <row r="11" spans="1:20" ht="118.5" customHeight="1" thickBot="1" x14ac:dyDescent="0.3">
      <c r="A11" s="125" t="s">
        <v>339</v>
      </c>
      <c r="B11" s="126" t="s">
        <v>1238</v>
      </c>
      <c r="C11" s="126" t="s">
        <v>340</v>
      </c>
      <c r="D11" s="126" t="s">
        <v>59</v>
      </c>
      <c r="E11" s="149" t="s">
        <v>1102</v>
      </c>
      <c r="F11" s="238" t="s">
        <v>341</v>
      </c>
      <c r="G11" s="210"/>
      <c r="H11" s="389" t="s">
        <v>1294</v>
      </c>
      <c r="I11" s="457" t="s">
        <v>340</v>
      </c>
      <c r="J11" s="464" t="s">
        <v>1102</v>
      </c>
      <c r="K11" s="210"/>
      <c r="L11" s="597" t="s">
        <v>1294</v>
      </c>
      <c r="M11" s="600" t="s">
        <v>1476</v>
      </c>
      <c r="N11" s="210"/>
      <c r="O11" s="236" t="s">
        <v>137</v>
      </c>
      <c r="P11" s="220" t="s">
        <v>25</v>
      </c>
      <c r="Q11" s="232" t="s">
        <v>1103</v>
      </c>
      <c r="R11" s="220" t="s">
        <v>35</v>
      </c>
      <c r="S11" s="237"/>
    </row>
    <row r="12" spans="1:20" ht="74.25" customHeight="1" thickBot="1" x14ac:dyDescent="0.3">
      <c r="A12" s="261" t="s">
        <v>342</v>
      </c>
      <c r="B12" s="262" t="s">
        <v>905</v>
      </c>
      <c r="C12" s="262" t="s">
        <v>343</v>
      </c>
      <c r="D12" s="262" t="s">
        <v>59</v>
      </c>
      <c r="E12" s="263" t="s">
        <v>1105</v>
      </c>
      <c r="F12" s="264" t="s">
        <v>344</v>
      </c>
      <c r="G12" s="210"/>
      <c r="H12" s="261" t="s">
        <v>1295</v>
      </c>
      <c r="I12" s="266" t="s">
        <v>1546</v>
      </c>
      <c r="J12" s="263" t="s">
        <v>1105</v>
      </c>
      <c r="K12" s="210"/>
      <c r="L12" s="543" t="s">
        <v>1295</v>
      </c>
      <c r="M12" s="565" t="s">
        <v>1476</v>
      </c>
      <c r="N12" s="210"/>
      <c r="O12" s="265" t="s">
        <v>137</v>
      </c>
      <c r="P12" s="266" t="s">
        <v>25</v>
      </c>
      <c r="Q12" s="262" t="s">
        <v>138</v>
      </c>
      <c r="R12" s="266" t="s">
        <v>35</v>
      </c>
      <c r="S12" s="267"/>
    </row>
  </sheetData>
  <mergeCells count="32">
    <mergeCell ref="I3:I6"/>
    <mergeCell ref="J3:J6"/>
    <mergeCell ref="I7:I10"/>
    <mergeCell ref="J7:J10"/>
    <mergeCell ref="M3:M6"/>
    <mergeCell ref="M7:M10"/>
    <mergeCell ref="F7:F10"/>
    <mergeCell ref="A1:T1"/>
    <mergeCell ref="A3:A6"/>
    <mergeCell ref="B3:B6"/>
    <mergeCell ref="C3:C6"/>
    <mergeCell ref="D3:D6"/>
    <mergeCell ref="E3:E6"/>
    <mergeCell ref="F3:F6"/>
    <mergeCell ref="H3:H6"/>
    <mergeCell ref="L3:L6"/>
    <mergeCell ref="O3:O6"/>
    <mergeCell ref="A7:A10"/>
    <mergeCell ref="B7:B10"/>
    <mergeCell ref="C7:C10"/>
    <mergeCell ref="D7:D10"/>
    <mergeCell ref="E7:E10"/>
    <mergeCell ref="S7:S10"/>
    <mergeCell ref="P3:P6"/>
    <mergeCell ref="R3:R6"/>
    <mergeCell ref="S3:S6"/>
    <mergeCell ref="T3:T6"/>
    <mergeCell ref="H7:H10"/>
    <mergeCell ref="L7:L10"/>
    <mergeCell ref="O7:O10"/>
    <mergeCell ref="P7:P10"/>
    <mergeCell ref="R7:R1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Normal="100" workbookViewId="0">
      <selection activeCell="A5" sqref="A5"/>
    </sheetView>
  </sheetViews>
  <sheetFormatPr defaultRowHeight="15" x14ac:dyDescent="0.25"/>
  <cols>
    <col min="1" max="1" width="167.85546875" customWidth="1"/>
  </cols>
  <sheetData>
    <row r="1" spans="1:1" ht="199.5" thickBot="1" x14ac:dyDescent="0.3">
      <c r="A1" s="305" t="s">
        <v>1405</v>
      </c>
    </row>
    <row r="2" spans="1:1" ht="229.5" hidden="1" thickBot="1" x14ac:dyDescent="0.3">
      <c r="A2" s="1" t="s">
        <v>345</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V67"/>
  <sheetViews>
    <sheetView zoomScale="70" zoomScaleNormal="70" workbookViewId="0">
      <pane xSplit="6" ySplit="2" topLeftCell="J3" activePane="bottomRight" state="frozen"/>
      <selection pane="topRight" activeCell="G1" sqref="G1"/>
      <selection pane="bottomLeft" activeCell="A3" sqref="A3"/>
      <selection pane="bottomRight" activeCell="J84" sqref="A1:V67"/>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8.7109375" hidden="1" customWidth="1"/>
    <col min="7" max="7" width="4" customWidth="1"/>
    <col min="8" max="8" width="34.140625" customWidth="1"/>
    <col min="9" max="10" width="35.85546875" customWidth="1"/>
    <col min="11" max="11" width="4" customWidth="1"/>
    <col min="12" max="13" width="52.42578125" customWidth="1"/>
    <col min="14" max="14" width="4.140625" customWidth="1"/>
    <col min="15" max="15" width="40.85546875" bestFit="1" customWidth="1"/>
    <col min="16" max="16" width="90.28515625" customWidth="1"/>
    <col min="17" max="17" width="24.5703125" bestFit="1" customWidth="1"/>
    <col min="18" max="18" width="88.42578125" customWidth="1"/>
    <col min="19" max="19" width="86.42578125" bestFit="1" customWidth="1"/>
    <col min="20" max="21" width="0" hidden="1" customWidth="1"/>
  </cols>
  <sheetData>
    <row r="1" spans="1:22" s="3" customFormat="1" ht="18.600000000000001" customHeight="1" thickBot="1" x14ac:dyDescent="0.3">
      <c r="A1" s="703" t="s">
        <v>346</v>
      </c>
      <c r="B1" s="704"/>
      <c r="C1" s="704"/>
      <c r="D1" s="704"/>
      <c r="E1" s="704"/>
      <c r="F1" s="704"/>
      <c r="G1" s="704"/>
      <c r="H1" s="704"/>
      <c r="I1" s="704"/>
      <c r="J1" s="704"/>
      <c r="K1" s="704"/>
      <c r="L1" s="705"/>
      <c r="M1" s="705"/>
      <c r="N1" s="704"/>
      <c r="O1" s="704"/>
      <c r="P1" s="704"/>
      <c r="Q1" s="704"/>
      <c r="R1" s="704"/>
      <c r="S1" s="706"/>
      <c r="T1" s="123"/>
      <c r="U1" s="168"/>
    </row>
    <row r="2" spans="1:22" s="4" customFormat="1" ht="15.75" thickBot="1" x14ac:dyDescent="0.3">
      <c r="A2" s="7" t="s">
        <v>10</v>
      </c>
      <c r="B2" s="8" t="s">
        <v>11</v>
      </c>
      <c r="C2" s="8" t="s">
        <v>12</v>
      </c>
      <c r="D2" s="8" t="s">
        <v>13</v>
      </c>
      <c r="E2" s="10" t="s">
        <v>14</v>
      </c>
      <c r="F2" s="43" t="s">
        <v>14</v>
      </c>
      <c r="G2" s="182"/>
      <c r="H2" s="318" t="s">
        <v>725</v>
      </c>
      <c r="I2" s="319" t="s">
        <v>1412</v>
      </c>
      <c r="J2" s="320" t="s">
        <v>1411</v>
      </c>
      <c r="K2" s="183"/>
      <c r="L2" s="226" t="s">
        <v>87</v>
      </c>
      <c r="M2" s="226" t="s">
        <v>1475</v>
      </c>
      <c r="N2" s="28"/>
      <c r="O2" s="228" t="s">
        <v>15</v>
      </c>
      <c r="P2" s="229" t="s">
        <v>16</v>
      </c>
      <c r="Q2" s="230" t="s">
        <v>17</v>
      </c>
      <c r="R2" s="229" t="s">
        <v>18</v>
      </c>
      <c r="S2" s="268" t="s">
        <v>19</v>
      </c>
      <c r="T2" s="272"/>
      <c r="U2" s="165" t="s">
        <v>923</v>
      </c>
      <c r="V2" s="3"/>
    </row>
    <row r="3" spans="1:22" hidden="1" x14ac:dyDescent="0.25">
      <c r="A3" s="921" t="s">
        <v>20</v>
      </c>
      <c r="B3" s="924" t="s">
        <v>889</v>
      </c>
      <c r="C3" s="924" t="s">
        <v>21</v>
      </c>
      <c r="D3" s="924" t="s">
        <v>22</v>
      </c>
      <c r="E3" s="905" t="s">
        <v>908</v>
      </c>
      <c r="F3" s="1009" t="s">
        <v>23</v>
      </c>
      <c r="G3" s="210"/>
      <c r="H3" s="955" t="s">
        <v>721</v>
      </c>
      <c r="I3" s="957" t="s">
        <v>1413</v>
      </c>
      <c r="J3" s="958" t="s">
        <v>1414</v>
      </c>
      <c r="K3" s="210"/>
      <c r="L3" s="1013" t="s">
        <v>721</v>
      </c>
      <c r="M3" s="995" t="s">
        <v>1476</v>
      </c>
      <c r="N3" s="210"/>
      <c r="O3" s="947" t="s">
        <v>24</v>
      </c>
      <c r="P3" s="936" t="s">
        <v>25</v>
      </c>
      <c r="Q3" s="232" t="s">
        <v>26</v>
      </c>
      <c r="R3" s="936" t="s">
        <v>943</v>
      </c>
      <c r="S3" s="899"/>
      <c r="T3" s="210"/>
      <c r="U3" s="1003"/>
      <c r="V3" s="3"/>
    </row>
    <row r="4" spans="1:22" hidden="1" x14ac:dyDescent="0.25">
      <c r="A4" s="922"/>
      <c r="B4" s="925"/>
      <c r="C4" s="925"/>
      <c r="D4" s="925"/>
      <c r="E4" s="906"/>
      <c r="F4" s="1010"/>
      <c r="G4" s="210"/>
      <c r="H4" s="911"/>
      <c r="I4" s="934"/>
      <c r="J4" s="959"/>
      <c r="K4" s="210"/>
      <c r="L4" s="954"/>
      <c r="M4" s="931"/>
      <c r="N4" s="210"/>
      <c r="O4" s="948"/>
      <c r="P4" s="937"/>
      <c r="Q4" s="232" t="s">
        <v>28</v>
      </c>
      <c r="R4" s="937"/>
      <c r="S4" s="900"/>
      <c r="T4" s="210"/>
      <c r="U4" s="1005"/>
      <c r="V4" s="3"/>
    </row>
    <row r="5" spans="1:22" hidden="1" x14ac:dyDescent="0.25">
      <c r="A5" s="922"/>
      <c r="B5" s="925"/>
      <c r="C5" s="925"/>
      <c r="D5" s="925"/>
      <c r="E5" s="906"/>
      <c r="F5" s="1010"/>
      <c r="G5" s="210"/>
      <c r="H5" s="911"/>
      <c r="I5" s="934"/>
      <c r="J5" s="959"/>
      <c r="K5" s="210"/>
      <c r="L5" s="954"/>
      <c r="M5" s="931"/>
      <c r="N5" s="210"/>
      <c r="O5" s="948"/>
      <c r="P5" s="937"/>
      <c r="Q5" s="232" t="s">
        <v>29</v>
      </c>
      <c r="R5" s="937"/>
      <c r="S5" s="900"/>
      <c r="T5" s="210"/>
      <c r="U5" s="1005"/>
      <c r="V5" s="3"/>
    </row>
    <row r="6" spans="1:22" hidden="1" x14ac:dyDescent="0.25">
      <c r="A6" s="923"/>
      <c r="B6" s="926"/>
      <c r="C6" s="926"/>
      <c r="D6" s="926"/>
      <c r="E6" s="907"/>
      <c r="F6" s="1011"/>
      <c r="G6" s="210"/>
      <c r="H6" s="911"/>
      <c r="I6" s="934"/>
      <c r="J6" s="959"/>
      <c r="K6" s="210"/>
      <c r="L6" s="954"/>
      <c r="M6" s="931"/>
      <c r="N6" s="210"/>
      <c r="O6" s="949"/>
      <c r="P6" s="938"/>
      <c r="Q6" s="232" t="s">
        <v>30</v>
      </c>
      <c r="R6" s="938"/>
      <c r="S6" s="901"/>
      <c r="T6" s="210"/>
      <c r="U6" s="1004"/>
      <c r="V6" s="3"/>
    </row>
    <row r="7" spans="1:22" ht="36" hidden="1" customHeight="1" x14ac:dyDescent="0.25">
      <c r="A7" s="131" t="s">
        <v>31</v>
      </c>
      <c r="B7" s="410" t="s">
        <v>889</v>
      </c>
      <c r="C7" s="132" t="s">
        <v>32</v>
      </c>
      <c r="D7" s="132" t="s">
        <v>22</v>
      </c>
      <c r="E7" s="152" t="s">
        <v>892</v>
      </c>
      <c r="F7" s="233" t="s">
        <v>88</v>
      </c>
      <c r="G7" s="215"/>
      <c r="H7" s="358" t="s">
        <v>1183</v>
      </c>
      <c r="I7" s="398" t="s">
        <v>739</v>
      </c>
      <c r="J7" s="399" t="s">
        <v>739</v>
      </c>
      <c r="K7" s="215"/>
      <c r="L7" s="358" t="s">
        <v>1183</v>
      </c>
      <c r="M7" s="134" t="s">
        <v>1476</v>
      </c>
      <c r="N7" s="215"/>
      <c r="O7" s="216" t="s">
        <v>24</v>
      </c>
      <c r="P7" s="133" t="s">
        <v>25</v>
      </c>
      <c r="Q7" s="132" t="s">
        <v>34</v>
      </c>
      <c r="R7" s="133" t="s">
        <v>35</v>
      </c>
      <c r="S7" s="152"/>
      <c r="T7" s="215"/>
      <c r="U7" s="166"/>
      <c r="V7" s="3"/>
    </row>
    <row r="8" spans="1:22" ht="30.6" hidden="1" customHeight="1" x14ac:dyDescent="0.25">
      <c r="A8" s="125" t="s">
        <v>143</v>
      </c>
      <c r="B8" s="409" t="s">
        <v>889</v>
      </c>
      <c r="C8" s="126" t="s">
        <v>144</v>
      </c>
      <c r="D8" s="126" t="s">
        <v>22</v>
      </c>
      <c r="E8" s="411" t="s">
        <v>347</v>
      </c>
      <c r="F8" s="235" t="s">
        <v>347</v>
      </c>
      <c r="G8" s="210"/>
      <c r="H8" s="389" t="s">
        <v>723</v>
      </c>
      <c r="I8" s="403" t="s">
        <v>1415</v>
      </c>
      <c r="J8" s="396" t="s">
        <v>1416</v>
      </c>
      <c r="K8" s="210"/>
      <c r="L8" s="348" t="s">
        <v>723</v>
      </c>
      <c r="M8" s="406" t="s">
        <v>1476</v>
      </c>
      <c r="N8" s="210"/>
      <c r="O8" s="236"/>
      <c r="P8" s="220"/>
      <c r="Q8" s="232"/>
      <c r="R8" s="220" t="s">
        <v>146</v>
      </c>
      <c r="S8" s="221"/>
      <c r="T8" s="210"/>
      <c r="U8" s="166"/>
      <c r="V8" s="3"/>
    </row>
    <row r="9" spans="1:22" ht="60.6" hidden="1" customHeight="1" x14ac:dyDescent="0.25">
      <c r="A9" s="131" t="s">
        <v>147</v>
      </c>
      <c r="B9" s="132" t="s">
        <v>889</v>
      </c>
      <c r="C9" s="132" t="s">
        <v>148</v>
      </c>
      <c r="D9" s="132" t="s">
        <v>22</v>
      </c>
      <c r="E9" s="152" t="s">
        <v>1184</v>
      </c>
      <c r="F9" s="233" t="s">
        <v>348</v>
      </c>
      <c r="G9" s="215"/>
      <c r="H9" s="358" t="s">
        <v>724</v>
      </c>
      <c r="I9" s="356" t="s">
        <v>148</v>
      </c>
      <c r="J9" s="357" t="s">
        <v>1417</v>
      </c>
      <c r="K9" s="215"/>
      <c r="L9" s="345" t="s">
        <v>724</v>
      </c>
      <c r="M9" s="134" t="s">
        <v>1476</v>
      </c>
      <c r="N9" s="215"/>
      <c r="O9" s="216"/>
      <c r="P9" s="133"/>
      <c r="Q9" s="132"/>
      <c r="R9" s="133" t="s">
        <v>146</v>
      </c>
      <c r="S9" s="152"/>
      <c r="T9" s="215"/>
      <c r="U9" s="166"/>
      <c r="V9" s="3"/>
    </row>
    <row r="10" spans="1:22" ht="27" hidden="1" customHeight="1" x14ac:dyDescent="0.25">
      <c r="A10" s="921" t="s">
        <v>150</v>
      </c>
      <c r="B10" s="924" t="s">
        <v>889</v>
      </c>
      <c r="C10" s="924" t="s">
        <v>151</v>
      </c>
      <c r="D10" s="924" t="s">
        <v>22</v>
      </c>
      <c r="E10" s="905" t="s">
        <v>1185</v>
      </c>
      <c r="F10" s="1009" t="s">
        <v>349</v>
      </c>
      <c r="G10" s="210"/>
      <c r="H10" s="911" t="s">
        <v>726</v>
      </c>
      <c r="I10" s="934" t="s">
        <v>1418</v>
      </c>
      <c r="J10" s="959" t="s">
        <v>1419</v>
      </c>
      <c r="K10" s="210"/>
      <c r="L10" s="954" t="s">
        <v>726</v>
      </c>
      <c r="M10" s="931" t="s">
        <v>1476</v>
      </c>
      <c r="N10" s="210"/>
      <c r="O10" s="947" t="s">
        <v>24</v>
      </c>
      <c r="P10" s="936" t="s">
        <v>25</v>
      </c>
      <c r="Q10" s="232" t="s">
        <v>26</v>
      </c>
      <c r="R10" s="936" t="s">
        <v>943</v>
      </c>
      <c r="S10" s="899"/>
      <c r="T10" s="210"/>
      <c r="U10" s="1003"/>
      <c r="V10" s="3"/>
    </row>
    <row r="11" spans="1:22" ht="27" hidden="1" customHeight="1" x14ac:dyDescent="0.25">
      <c r="A11" s="922"/>
      <c r="B11" s="925"/>
      <c r="C11" s="925"/>
      <c r="D11" s="925"/>
      <c r="E11" s="906"/>
      <c r="F11" s="1010"/>
      <c r="G11" s="210"/>
      <c r="H11" s="911"/>
      <c r="I11" s="934"/>
      <c r="J11" s="959"/>
      <c r="K11" s="210"/>
      <c r="L11" s="954"/>
      <c r="M11" s="931"/>
      <c r="N11" s="210"/>
      <c r="O11" s="948"/>
      <c r="P11" s="937"/>
      <c r="Q11" s="232" t="s">
        <v>28</v>
      </c>
      <c r="R11" s="937"/>
      <c r="S11" s="900"/>
      <c r="T11" s="210"/>
      <c r="U11" s="1005"/>
      <c r="V11" s="3"/>
    </row>
    <row r="12" spans="1:22" ht="27" hidden="1" customHeight="1" x14ac:dyDescent="0.25">
      <c r="A12" s="922"/>
      <c r="B12" s="925"/>
      <c r="C12" s="925"/>
      <c r="D12" s="925"/>
      <c r="E12" s="906"/>
      <c r="F12" s="1010"/>
      <c r="G12" s="210"/>
      <c r="H12" s="911"/>
      <c r="I12" s="934"/>
      <c r="J12" s="959"/>
      <c r="K12" s="210"/>
      <c r="L12" s="954"/>
      <c r="M12" s="931"/>
      <c r="N12" s="210"/>
      <c r="O12" s="948"/>
      <c r="P12" s="937"/>
      <c r="Q12" s="232" t="s">
        <v>29</v>
      </c>
      <c r="R12" s="937"/>
      <c r="S12" s="900"/>
      <c r="T12" s="210"/>
      <c r="U12" s="1005"/>
      <c r="V12" s="3"/>
    </row>
    <row r="13" spans="1:22" ht="27" hidden="1" customHeight="1" x14ac:dyDescent="0.25">
      <c r="A13" s="923"/>
      <c r="B13" s="926"/>
      <c r="C13" s="926"/>
      <c r="D13" s="926"/>
      <c r="E13" s="907"/>
      <c r="F13" s="1011"/>
      <c r="G13" s="210"/>
      <c r="H13" s="911"/>
      <c r="I13" s="934"/>
      <c r="J13" s="959"/>
      <c r="K13" s="210"/>
      <c r="L13" s="954"/>
      <c r="M13" s="931"/>
      <c r="N13" s="210"/>
      <c r="O13" s="949"/>
      <c r="P13" s="938"/>
      <c r="Q13" s="232" t="s">
        <v>30</v>
      </c>
      <c r="R13" s="938"/>
      <c r="S13" s="901"/>
      <c r="T13" s="210"/>
      <c r="U13" s="1004"/>
      <c r="V13" s="3"/>
    </row>
    <row r="14" spans="1:22" ht="96.95" hidden="1" customHeight="1" x14ac:dyDescent="0.25">
      <c r="A14" s="131" t="s">
        <v>350</v>
      </c>
      <c r="B14" s="132" t="s">
        <v>898</v>
      </c>
      <c r="C14" s="132" t="s">
        <v>1486</v>
      </c>
      <c r="D14" s="132" t="s">
        <v>39</v>
      </c>
      <c r="E14" s="152" t="s">
        <v>1186</v>
      </c>
      <c r="F14" s="233" t="s">
        <v>351</v>
      </c>
      <c r="G14" s="215"/>
      <c r="H14" s="397" t="s">
        <v>739</v>
      </c>
      <c r="I14" s="398" t="s">
        <v>739</v>
      </c>
      <c r="J14" s="399" t="s">
        <v>739</v>
      </c>
      <c r="K14" s="215"/>
      <c r="L14" s="436" t="s">
        <v>1702</v>
      </c>
      <c r="M14" s="501" t="s">
        <v>1482</v>
      </c>
      <c r="N14" s="215"/>
      <c r="O14" s="216" t="s">
        <v>677</v>
      </c>
      <c r="P14" s="133" t="s">
        <v>677</v>
      </c>
      <c r="Q14" s="132" t="s">
        <v>677</v>
      </c>
      <c r="R14" s="133" t="s">
        <v>677</v>
      </c>
      <c r="S14" s="152" t="s">
        <v>677</v>
      </c>
      <c r="T14" s="215"/>
      <c r="U14" s="153" t="s">
        <v>677</v>
      </c>
      <c r="V14" s="3"/>
    </row>
    <row r="15" spans="1:22" ht="15" hidden="1" customHeight="1" x14ac:dyDescent="0.25">
      <c r="A15" s="921" t="s">
        <v>37</v>
      </c>
      <c r="B15" s="924" t="s">
        <v>898</v>
      </c>
      <c r="C15" s="924" t="s">
        <v>38</v>
      </c>
      <c r="D15" s="924" t="s">
        <v>39</v>
      </c>
      <c r="E15" s="905" t="s">
        <v>1187</v>
      </c>
      <c r="F15" s="1009" t="s">
        <v>352</v>
      </c>
      <c r="G15" s="210"/>
      <c r="H15" s="1014" t="s">
        <v>739</v>
      </c>
      <c r="I15" s="960" t="s">
        <v>739</v>
      </c>
      <c r="J15" s="962" t="s">
        <v>739</v>
      </c>
      <c r="K15" s="210"/>
      <c r="L15" s="644" t="s">
        <v>1677</v>
      </c>
      <c r="M15" s="996" t="s">
        <v>1482</v>
      </c>
      <c r="N15" s="210"/>
      <c r="O15" s="947" t="s">
        <v>41</v>
      </c>
      <c r="P15" s="936" t="s">
        <v>42</v>
      </c>
      <c r="Q15" s="232" t="s">
        <v>43</v>
      </c>
      <c r="R15" s="936" t="s">
        <v>1188</v>
      </c>
      <c r="S15" s="899"/>
      <c r="T15" s="210"/>
      <c r="U15" s="1003"/>
      <c r="V15" s="3"/>
    </row>
    <row r="16" spans="1:22" hidden="1" x14ac:dyDescent="0.25">
      <c r="A16" s="922"/>
      <c r="B16" s="925"/>
      <c r="C16" s="925"/>
      <c r="D16" s="925"/>
      <c r="E16" s="906"/>
      <c r="F16" s="1010"/>
      <c r="G16" s="210"/>
      <c r="H16" s="911"/>
      <c r="I16" s="961"/>
      <c r="J16" s="963"/>
      <c r="K16" s="210"/>
      <c r="L16" s="645"/>
      <c r="M16" s="996"/>
      <c r="N16" s="210"/>
      <c r="O16" s="949"/>
      <c r="P16" s="938"/>
      <c r="Q16" s="232" t="s">
        <v>45</v>
      </c>
      <c r="R16" s="937"/>
      <c r="S16" s="900"/>
      <c r="T16" s="210"/>
      <c r="U16" s="1005"/>
      <c r="V16" s="3"/>
    </row>
    <row r="17" spans="1:22" ht="207.75" hidden="1" customHeight="1" x14ac:dyDescent="0.25">
      <c r="A17" s="923"/>
      <c r="B17" s="926"/>
      <c r="C17" s="926"/>
      <c r="D17" s="926"/>
      <c r="E17" s="907"/>
      <c r="F17" s="1011"/>
      <c r="G17" s="210"/>
      <c r="H17" s="911"/>
      <c r="I17" s="961"/>
      <c r="J17" s="963"/>
      <c r="K17" s="210"/>
      <c r="L17" s="646"/>
      <c r="M17" s="996"/>
      <c r="N17" s="210"/>
      <c r="O17" s="236" t="s">
        <v>46</v>
      </c>
      <c r="P17" s="220" t="s">
        <v>1189</v>
      </c>
      <c r="Q17" s="232" t="s">
        <v>48</v>
      </c>
      <c r="R17" s="938"/>
      <c r="S17" s="901"/>
      <c r="T17" s="210"/>
      <c r="U17" s="1004"/>
      <c r="V17" s="3"/>
    </row>
    <row r="18" spans="1:22" ht="14.45" hidden="1" customHeight="1" x14ac:dyDescent="0.25">
      <c r="A18" s="918" t="s">
        <v>49</v>
      </c>
      <c r="B18" s="915" t="s">
        <v>898</v>
      </c>
      <c r="C18" s="915" t="s">
        <v>50</v>
      </c>
      <c r="D18" s="915" t="s">
        <v>39</v>
      </c>
      <c r="E18" s="902" t="s">
        <v>1190</v>
      </c>
      <c r="F18" s="1006" t="s">
        <v>353</v>
      </c>
      <c r="G18" s="215"/>
      <c r="H18" s="1017" t="s">
        <v>739</v>
      </c>
      <c r="I18" s="1000" t="s">
        <v>739</v>
      </c>
      <c r="J18" s="1002" t="s">
        <v>739</v>
      </c>
      <c r="K18" s="215"/>
      <c r="L18" s="1017" t="s">
        <v>1498</v>
      </c>
      <c r="M18" s="930" t="s">
        <v>1477</v>
      </c>
      <c r="N18" s="215"/>
      <c r="O18" s="942" t="s">
        <v>41</v>
      </c>
      <c r="P18" s="912" t="s">
        <v>52</v>
      </c>
      <c r="Q18" s="132" t="s">
        <v>43</v>
      </c>
      <c r="R18" s="912" t="s">
        <v>1191</v>
      </c>
      <c r="S18" s="902"/>
      <c r="T18" s="215"/>
      <c r="U18" s="1003"/>
      <c r="V18" s="3"/>
    </row>
    <row r="19" spans="1:22" ht="29.1" hidden="1" customHeight="1" x14ac:dyDescent="0.25">
      <c r="A19" s="919"/>
      <c r="B19" s="916"/>
      <c r="C19" s="916"/>
      <c r="D19" s="916"/>
      <c r="E19" s="903"/>
      <c r="F19" s="1007"/>
      <c r="G19" s="215"/>
      <c r="H19" s="908"/>
      <c r="I19" s="1001"/>
      <c r="J19" s="930"/>
      <c r="K19" s="215"/>
      <c r="L19" s="908"/>
      <c r="M19" s="930"/>
      <c r="N19" s="215"/>
      <c r="O19" s="943"/>
      <c r="P19" s="914"/>
      <c r="Q19" s="132" t="s">
        <v>45</v>
      </c>
      <c r="R19" s="913"/>
      <c r="S19" s="903"/>
      <c r="T19" s="215"/>
      <c r="U19" s="1005"/>
      <c r="V19" s="3"/>
    </row>
    <row r="20" spans="1:22" ht="43.5" hidden="1" customHeight="1" x14ac:dyDescent="0.25">
      <c r="A20" s="920"/>
      <c r="B20" s="917"/>
      <c r="C20" s="917"/>
      <c r="D20" s="917"/>
      <c r="E20" s="904"/>
      <c r="F20" s="1008"/>
      <c r="G20" s="215"/>
      <c r="H20" s="908"/>
      <c r="I20" s="1001"/>
      <c r="J20" s="930"/>
      <c r="K20" s="215"/>
      <c r="L20" s="908"/>
      <c r="M20" s="930"/>
      <c r="N20" s="215"/>
      <c r="O20" s="216" t="s">
        <v>55</v>
      </c>
      <c r="P20" s="133" t="s">
        <v>25</v>
      </c>
      <c r="Q20" s="132" t="s">
        <v>56</v>
      </c>
      <c r="R20" s="914"/>
      <c r="S20" s="904"/>
      <c r="T20" s="215"/>
      <c r="U20" s="1004"/>
      <c r="V20" s="3"/>
    </row>
    <row r="21" spans="1:22" hidden="1" x14ac:dyDescent="0.25">
      <c r="A21" s="921" t="s">
        <v>354</v>
      </c>
      <c r="B21" s="924" t="s">
        <v>897</v>
      </c>
      <c r="C21" s="924" t="s">
        <v>355</v>
      </c>
      <c r="D21" s="924" t="s">
        <v>69</v>
      </c>
      <c r="E21" s="905" t="s">
        <v>1192</v>
      </c>
      <c r="F21" s="1009" t="s">
        <v>356</v>
      </c>
      <c r="G21" s="210"/>
      <c r="H21" s="911" t="s">
        <v>1195</v>
      </c>
      <c r="I21" s="934" t="s">
        <v>1487</v>
      </c>
      <c r="J21" s="959" t="s">
        <v>1488</v>
      </c>
      <c r="K21" s="210"/>
      <c r="L21" s="910" t="s">
        <v>1195</v>
      </c>
      <c r="M21" s="997" t="s">
        <v>1476</v>
      </c>
      <c r="N21" s="210"/>
      <c r="O21" s="947" t="s">
        <v>46</v>
      </c>
      <c r="P21" s="936" t="s">
        <v>1189</v>
      </c>
      <c r="Q21" s="232" t="s">
        <v>1193</v>
      </c>
      <c r="R21" s="936" t="s">
        <v>1194</v>
      </c>
      <c r="S21" s="899" t="s">
        <v>100</v>
      </c>
      <c r="T21" s="210"/>
      <c r="U21" s="1003"/>
      <c r="V21" s="3"/>
    </row>
    <row r="22" spans="1:22" hidden="1" x14ac:dyDescent="0.25">
      <c r="A22" s="922"/>
      <c r="B22" s="925"/>
      <c r="C22" s="925"/>
      <c r="D22" s="925"/>
      <c r="E22" s="906"/>
      <c r="F22" s="1010"/>
      <c r="G22" s="210"/>
      <c r="H22" s="911"/>
      <c r="I22" s="934"/>
      <c r="J22" s="959"/>
      <c r="K22" s="210"/>
      <c r="L22" s="910"/>
      <c r="M22" s="997"/>
      <c r="N22" s="210"/>
      <c r="O22" s="948"/>
      <c r="P22" s="937"/>
      <c r="Q22" s="232" t="s">
        <v>73</v>
      </c>
      <c r="R22" s="937"/>
      <c r="S22" s="900"/>
      <c r="T22" s="210"/>
      <c r="U22" s="1005"/>
      <c r="V22" s="3"/>
    </row>
    <row r="23" spans="1:22" hidden="1" x14ac:dyDescent="0.25">
      <c r="A23" s="922"/>
      <c r="B23" s="925"/>
      <c r="C23" s="925"/>
      <c r="D23" s="925"/>
      <c r="E23" s="906"/>
      <c r="F23" s="1010"/>
      <c r="G23" s="210"/>
      <c r="H23" s="911"/>
      <c r="I23" s="934"/>
      <c r="J23" s="959"/>
      <c r="K23" s="210"/>
      <c r="L23" s="910"/>
      <c r="M23" s="997"/>
      <c r="N23" s="210"/>
      <c r="O23" s="948"/>
      <c r="P23" s="937"/>
      <c r="Q23" s="232" t="s">
        <v>61</v>
      </c>
      <c r="R23" s="937"/>
      <c r="S23" s="900"/>
      <c r="T23" s="210"/>
      <c r="U23" s="1005"/>
      <c r="V23" s="3"/>
    </row>
    <row r="24" spans="1:22" hidden="1" x14ac:dyDescent="0.25">
      <c r="A24" s="922"/>
      <c r="B24" s="925"/>
      <c r="C24" s="925"/>
      <c r="D24" s="925"/>
      <c r="E24" s="906"/>
      <c r="F24" s="1010"/>
      <c r="G24" s="210"/>
      <c r="H24" s="911"/>
      <c r="I24" s="934"/>
      <c r="J24" s="959"/>
      <c r="K24" s="210"/>
      <c r="L24" s="910"/>
      <c r="M24" s="997"/>
      <c r="N24" s="210"/>
      <c r="O24" s="949"/>
      <c r="P24" s="938"/>
      <c r="Q24" s="232" t="s">
        <v>65</v>
      </c>
      <c r="R24" s="937"/>
      <c r="S24" s="900"/>
      <c r="T24" s="210"/>
      <c r="U24" s="1005"/>
      <c r="V24" s="3"/>
    </row>
    <row r="25" spans="1:22" hidden="1" x14ac:dyDescent="0.25">
      <c r="A25" s="922"/>
      <c r="B25" s="925"/>
      <c r="C25" s="925"/>
      <c r="D25" s="925"/>
      <c r="E25" s="906"/>
      <c r="F25" s="1010"/>
      <c r="G25" s="210"/>
      <c r="H25" s="911"/>
      <c r="I25" s="934"/>
      <c r="J25" s="959"/>
      <c r="K25" s="210"/>
      <c r="L25" s="910"/>
      <c r="M25" s="997"/>
      <c r="N25" s="210"/>
      <c r="O25" s="947" t="s">
        <v>117</v>
      </c>
      <c r="P25" s="936" t="s">
        <v>25</v>
      </c>
      <c r="Q25" s="232" t="s">
        <v>26</v>
      </c>
      <c r="R25" s="937"/>
      <c r="S25" s="900"/>
      <c r="T25" s="210"/>
      <c r="U25" s="1005"/>
      <c r="V25" s="3"/>
    </row>
    <row r="26" spans="1:22" hidden="1" x14ac:dyDescent="0.25">
      <c r="A26" s="922"/>
      <c r="B26" s="925"/>
      <c r="C26" s="925"/>
      <c r="D26" s="925"/>
      <c r="E26" s="906"/>
      <c r="F26" s="1010"/>
      <c r="G26" s="210"/>
      <c r="H26" s="911"/>
      <c r="I26" s="934"/>
      <c r="J26" s="959"/>
      <c r="K26" s="210"/>
      <c r="L26" s="910"/>
      <c r="M26" s="997"/>
      <c r="N26" s="210"/>
      <c r="O26" s="948"/>
      <c r="P26" s="937"/>
      <c r="Q26" s="232" t="s">
        <v>28</v>
      </c>
      <c r="R26" s="937"/>
      <c r="S26" s="900"/>
      <c r="T26" s="210"/>
      <c r="U26" s="1005"/>
      <c r="V26" s="3"/>
    </row>
    <row r="27" spans="1:22" hidden="1" x14ac:dyDescent="0.25">
      <c r="A27" s="922"/>
      <c r="B27" s="925"/>
      <c r="C27" s="925"/>
      <c r="D27" s="925"/>
      <c r="E27" s="906"/>
      <c r="F27" s="1010"/>
      <c r="G27" s="210"/>
      <c r="H27" s="911"/>
      <c r="I27" s="934"/>
      <c r="J27" s="959"/>
      <c r="K27" s="210"/>
      <c r="L27" s="910"/>
      <c r="M27" s="997"/>
      <c r="N27" s="210"/>
      <c r="O27" s="948"/>
      <c r="P27" s="937"/>
      <c r="Q27" s="232" t="s">
        <v>29</v>
      </c>
      <c r="R27" s="937"/>
      <c r="S27" s="900"/>
      <c r="T27" s="210"/>
      <c r="U27" s="1005"/>
      <c r="V27" s="3"/>
    </row>
    <row r="28" spans="1:22" hidden="1" x14ac:dyDescent="0.25">
      <c r="A28" s="923"/>
      <c r="B28" s="926"/>
      <c r="C28" s="926"/>
      <c r="D28" s="926"/>
      <c r="E28" s="907"/>
      <c r="F28" s="1011"/>
      <c r="G28" s="210"/>
      <c r="H28" s="911"/>
      <c r="I28" s="934"/>
      <c r="J28" s="959"/>
      <c r="K28" s="210"/>
      <c r="L28" s="910"/>
      <c r="M28" s="997"/>
      <c r="N28" s="210"/>
      <c r="O28" s="949"/>
      <c r="P28" s="938"/>
      <c r="Q28" s="232" t="s">
        <v>30</v>
      </c>
      <c r="R28" s="938"/>
      <c r="S28" s="901"/>
      <c r="T28" s="210"/>
      <c r="U28" s="1004"/>
      <c r="V28" s="3"/>
    </row>
    <row r="29" spans="1:22" ht="14.45" hidden="1" customHeight="1" x14ac:dyDescent="0.25">
      <c r="A29" s="918" t="s">
        <v>57</v>
      </c>
      <c r="B29" s="915" t="s">
        <v>897</v>
      </c>
      <c r="C29" s="915" t="s">
        <v>58</v>
      </c>
      <c r="D29" s="915" t="s">
        <v>59</v>
      </c>
      <c r="E29" s="902" t="s">
        <v>894</v>
      </c>
      <c r="F29" s="1006" t="s">
        <v>357</v>
      </c>
      <c r="G29" s="215"/>
      <c r="H29" s="918" t="s">
        <v>1499</v>
      </c>
      <c r="I29" s="912" t="s">
        <v>1578</v>
      </c>
      <c r="J29" s="902" t="s">
        <v>1579</v>
      </c>
      <c r="K29" s="215"/>
      <c r="L29" s="908" t="s">
        <v>1499</v>
      </c>
      <c r="M29" s="930" t="s">
        <v>1476</v>
      </c>
      <c r="N29" s="215"/>
      <c r="O29" s="942" t="s">
        <v>46</v>
      </c>
      <c r="P29" s="912" t="s">
        <v>1189</v>
      </c>
      <c r="Q29" s="132" t="s">
        <v>61</v>
      </c>
      <c r="R29" s="912" t="s">
        <v>62</v>
      </c>
      <c r="S29" s="902" t="s">
        <v>63</v>
      </c>
      <c r="T29" s="215"/>
      <c r="U29" s="1003"/>
      <c r="V29" s="3"/>
    </row>
    <row r="30" spans="1:22" hidden="1" x14ac:dyDescent="0.25">
      <c r="A30" s="919"/>
      <c r="B30" s="916"/>
      <c r="C30" s="916"/>
      <c r="D30" s="916"/>
      <c r="E30" s="903"/>
      <c r="F30" s="1007"/>
      <c r="G30" s="215"/>
      <c r="H30" s="919"/>
      <c r="I30" s="913"/>
      <c r="J30" s="903"/>
      <c r="K30" s="215"/>
      <c r="L30" s="908"/>
      <c r="M30" s="930"/>
      <c r="N30" s="215"/>
      <c r="O30" s="1016"/>
      <c r="P30" s="913"/>
      <c r="Q30" s="132" t="s">
        <v>1196</v>
      </c>
      <c r="R30" s="913"/>
      <c r="S30" s="903"/>
      <c r="T30" s="215"/>
      <c r="U30" s="1005"/>
      <c r="V30" s="3"/>
    </row>
    <row r="31" spans="1:22" ht="14.45" hidden="1" customHeight="1" x14ac:dyDescent="0.25">
      <c r="A31" s="920"/>
      <c r="B31" s="917"/>
      <c r="C31" s="917"/>
      <c r="D31" s="917"/>
      <c r="E31" s="904"/>
      <c r="F31" s="1008"/>
      <c r="G31" s="215"/>
      <c r="H31" s="920"/>
      <c r="I31" s="914"/>
      <c r="J31" s="904"/>
      <c r="K31" s="215"/>
      <c r="L31" s="908"/>
      <c r="M31" s="930"/>
      <c r="N31" s="215"/>
      <c r="O31" s="943"/>
      <c r="P31" s="914"/>
      <c r="Q31" s="132" t="s">
        <v>66</v>
      </c>
      <c r="R31" s="914"/>
      <c r="S31" s="904"/>
      <c r="T31" s="215"/>
      <c r="U31" s="1004"/>
      <c r="V31" s="3"/>
    </row>
    <row r="32" spans="1:22" hidden="1" x14ac:dyDescent="0.25">
      <c r="A32" s="921" t="s">
        <v>67</v>
      </c>
      <c r="B32" s="924" t="s">
        <v>897</v>
      </c>
      <c r="C32" s="924" t="s">
        <v>68</v>
      </c>
      <c r="D32" s="924" t="s">
        <v>59</v>
      </c>
      <c r="E32" s="905" t="s">
        <v>895</v>
      </c>
      <c r="F32" s="1009" t="s">
        <v>358</v>
      </c>
      <c r="G32" s="210"/>
      <c r="H32" s="911" t="s">
        <v>727</v>
      </c>
      <c r="I32" s="934" t="s">
        <v>1420</v>
      </c>
      <c r="J32" s="959" t="s">
        <v>1421</v>
      </c>
      <c r="K32" s="210"/>
      <c r="L32" s="954" t="s">
        <v>727</v>
      </c>
      <c r="M32" s="931" t="s">
        <v>1476</v>
      </c>
      <c r="N32" s="210"/>
      <c r="O32" s="236" t="s">
        <v>74</v>
      </c>
      <c r="P32" s="220" t="s">
        <v>25</v>
      </c>
      <c r="Q32" s="232" t="s">
        <v>75</v>
      </c>
      <c r="R32" s="936" t="s">
        <v>1197</v>
      </c>
      <c r="S32" s="899" t="s">
        <v>100</v>
      </c>
      <c r="T32" s="210"/>
      <c r="U32" s="1003"/>
      <c r="V32" s="3"/>
    </row>
    <row r="33" spans="1:22" hidden="1" x14ac:dyDescent="0.25">
      <c r="A33" s="922"/>
      <c r="B33" s="925"/>
      <c r="C33" s="925"/>
      <c r="D33" s="925"/>
      <c r="E33" s="906"/>
      <c r="F33" s="1010"/>
      <c r="G33" s="210"/>
      <c r="H33" s="911"/>
      <c r="I33" s="934"/>
      <c r="J33" s="959"/>
      <c r="K33" s="210"/>
      <c r="L33" s="954"/>
      <c r="M33" s="931"/>
      <c r="N33" s="210"/>
      <c r="O33" s="947" t="s">
        <v>46</v>
      </c>
      <c r="P33" s="936" t="s">
        <v>1189</v>
      </c>
      <c r="Q33" s="232" t="s">
        <v>73</v>
      </c>
      <c r="R33" s="937"/>
      <c r="S33" s="900"/>
      <c r="T33" s="210"/>
      <c r="U33" s="1005"/>
      <c r="V33" s="3"/>
    </row>
    <row r="34" spans="1:22" hidden="1" x14ac:dyDescent="0.25">
      <c r="A34" s="922"/>
      <c r="B34" s="925"/>
      <c r="C34" s="925"/>
      <c r="D34" s="925"/>
      <c r="E34" s="906"/>
      <c r="F34" s="1010"/>
      <c r="G34" s="210"/>
      <c r="H34" s="911"/>
      <c r="I34" s="934"/>
      <c r="J34" s="959"/>
      <c r="K34" s="210"/>
      <c r="L34" s="954"/>
      <c r="M34" s="931"/>
      <c r="N34" s="210"/>
      <c r="O34" s="948"/>
      <c r="P34" s="937"/>
      <c r="Q34" s="232" t="s">
        <v>61</v>
      </c>
      <c r="R34" s="937"/>
      <c r="S34" s="900"/>
      <c r="T34" s="210"/>
      <c r="U34" s="1005"/>
      <c r="V34" s="3"/>
    </row>
    <row r="35" spans="1:22" hidden="1" x14ac:dyDescent="0.25">
      <c r="A35" s="922"/>
      <c r="B35" s="925"/>
      <c r="C35" s="925"/>
      <c r="D35" s="925"/>
      <c r="E35" s="906"/>
      <c r="F35" s="1010"/>
      <c r="G35" s="210"/>
      <c r="H35" s="911"/>
      <c r="I35" s="934"/>
      <c r="J35" s="959"/>
      <c r="K35" s="210"/>
      <c r="L35" s="954"/>
      <c r="M35" s="931"/>
      <c r="N35" s="210"/>
      <c r="O35" s="949"/>
      <c r="P35" s="938"/>
      <c r="Q35" s="232" t="s">
        <v>65</v>
      </c>
      <c r="R35" s="937"/>
      <c r="S35" s="900"/>
      <c r="T35" s="210"/>
      <c r="U35" s="1005"/>
      <c r="V35" s="3"/>
    </row>
    <row r="36" spans="1:22" hidden="1" x14ac:dyDescent="0.25">
      <c r="A36" s="922"/>
      <c r="B36" s="925"/>
      <c r="C36" s="925"/>
      <c r="D36" s="925"/>
      <c r="E36" s="906"/>
      <c r="F36" s="1010"/>
      <c r="G36" s="210"/>
      <c r="H36" s="911"/>
      <c r="I36" s="934"/>
      <c r="J36" s="959"/>
      <c r="K36" s="210"/>
      <c r="L36" s="954"/>
      <c r="M36" s="931"/>
      <c r="N36" s="210"/>
      <c r="O36" s="947" t="s">
        <v>117</v>
      </c>
      <c r="P36" s="936" t="s">
        <v>25</v>
      </c>
      <c r="Q36" s="232" t="s">
        <v>26</v>
      </c>
      <c r="R36" s="937"/>
      <c r="S36" s="900"/>
      <c r="T36" s="210"/>
      <c r="U36" s="1005"/>
      <c r="V36" s="3"/>
    </row>
    <row r="37" spans="1:22" hidden="1" x14ac:dyDescent="0.25">
      <c r="A37" s="922"/>
      <c r="B37" s="925"/>
      <c r="C37" s="925"/>
      <c r="D37" s="925"/>
      <c r="E37" s="906"/>
      <c r="F37" s="1010"/>
      <c r="G37" s="210"/>
      <c r="H37" s="911"/>
      <c r="I37" s="934"/>
      <c r="J37" s="959"/>
      <c r="K37" s="210"/>
      <c r="L37" s="954"/>
      <c r="M37" s="931"/>
      <c r="N37" s="210"/>
      <c r="O37" s="948"/>
      <c r="P37" s="937"/>
      <c r="Q37" s="232" t="s">
        <v>28</v>
      </c>
      <c r="R37" s="937"/>
      <c r="S37" s="900"/>
      <c r="T37" s="210"/>
      <c r="U37" s="1005"/>
      <c r="V37" s="3"/>
    </row>
    <row r="38" spans="1:22" hidden="1" x14ac:dyDescent="0.25">
      <c r="A38" s="922"/>
      <c r="B38" s="925"/>
      <c r="C38" s="925"/>
      <c r="D38" s="925"/>
      <c r="E38" s="906"/>
      <c r="F38" s="1010"/>
      <c r="G38" s="210"/>
      <c r="H38" s="911"/>
      <c r="I38" s="934"/>
      <c r="J38" s="959"/>
      <c r="K38" s="210"/>
      <c r="L38" s="954"/>
      <c r="M38" s="931"/>
      <c r="N38" s="210"/>
      <c r="O38" s="948"/>
      <c r="P38" s="937"/>
      <c r="Q38" s="232" t="s">
        <v>29</v>
      </c>
      <c r="R38" s="937"/>
      <c r="S38" s="900"/>
      <c r="T38" s="210"/>
      <c r="U38" s="1005"/>
      <c r="V38" s="3"/>
    </row>
    <row r="39" spans="1:22" hidden="1" x14ac:dyDescent="0.25">
      <c r="A39" s="923"/>
      <c r="B39" s="926"/>
      <c r="C39" s="926"/>
      <c r="D39" s="926"/>
      <c r="E39" s="907"/>
      <c r="F39" s="1011"/>
      <c r="G39" s="210"/>
      <c r="H39" s="911"/>
      <c r="I39" s="934"/>
      <c r="J39" s="959"/>
      <c r="K39" s="210"/>
      <c r="L39" s="954"/>
      <c r="M39" s="931"/>
      <c r="N39" s="210"/>
      <c r="O39" s="949"/>
      <c r="P39" s="938"/>
      <c r="Q39" s="232" t="s">
        <v>30</v>
      </c>
      <c r="R39" s="938"/>
      <c r="S39" s="901"/>
      <c r="T39" s="210"/>
      <c r="U39" s="1004"/>
      <c r="V39" s="3"/>
    </row>
    <row r="40" spans="1:22" hidden="1" x14ac:dyDescent="0.25">
      <c r="A40" s="918" t="s">
        <v>76</v>
      </c>
      <c r="B40" s="915" t="s">
        <v>897</v>
      </c>
      <c r="C40" s="915" t="s">
        <v>77</v>
      </c>
      <c r="D40" s="915" t="s">
        <v>59</v>
      </c>
      <c r="E40" s="902" t="s">
        <v>896</v>
      </c>
      <c r="F40" s="1006" t="s">
        <v>359</v>
      </c>
      <c r="G40" s="215"/>
      <c r="H40" s="908" t="s">
        <v>728</v>
      </c>
      <c r="I40" s="932" t="s">
        <v>1422</v>
      </c>
      <c r="J40" s="999" t="s">
        <v>1423</v>
      </c>
      <c r="K40" s="215"/>
      <c r="L40" s="908" t="s">
        <v>728</v>
      </c>
      <c r="M40" s="930" t="s">
        <v>1476</v>
      </c>
      <c r="N40" s="215"/>
      <c r="O40" s="942" t="s">
        <v>79</v>
      </c>
      <c r="P40" s="912" t="s">
        <v>80</v>
      </c>
      <c r="Q40" s="132" t="s">
        <v>81</v>
      </c>
      <c r="R40" s="912" t="s">
        <v>82</v>
      </c>
      <c r="S40" s="902" t="s">
        <v>63</v>
      </c>
      <c r="T40" s="215"/>
      <c r="U40" s="1003"/>
      <c r="V40" s="3"/>
    </row>
    <row r="41" spans="1:22" hidden="1" x14ac:dyDescent="0.25">
      <c r="A41" s="919"/>
      <c r="B41" s="916"/>
      <c r="C41" s="916"/>
      <c r="D41" s="916"/>
      <c r="E41" s="903"/>
      <c r="F41" s="1007"/>
      <c r="G41" s="215"/>
      <c r="H41" s="908"/>
      <c r="I41" s="932"/>
      <c r="J41" s="999"/>
      <c r="K41" s="215"/>
      <c r="L41" s="908"/>
      <c r="M41" s="930"/>
      <c r="N41" s="215"/>
      <c r="O41" s="1016"/>
      <c r="P41" s="913"/>
      <c r="Q41" s="132" t="s">
        <v>85</v>
      </c>
      <c r="R41" s="913"/>
      <c r="S41" s="903"/>
      <c r="T41" s="215"/>
      <c r="U41" s="1005"/>
      <c r="V41" s="3"/>
    </row>
    <row r="42" spans="1:22" hidden="1" x14ac:dyDescent="0.25">
      <c r="A42" s="920"/>
      <c r="B42" s="917"/>
      <c r="C42" s="917"/>
      <c r="D42" s="917"/>
      <c r="E42" s="904"/>
      <c r="F42" s="1008"/>
      <c r="G42" s="215"/>
      <c r="H42" s="908"/>
      <c r="I42" s="932"/>
      <c r="J42" s="999"/>
      <c r="K42" s="215"/>
      <c r="L42" s="908"/>
      <c r="M42" s="930"/>
      <c r="N42" s="215"/>
      <c r="O42" s="943"/>
      <c r="P42" s="914"/>
      <c r="Q42" s="132" t="s">
        <v>84</v>
      </c>
      <c r="R42" s="914"/>
      <c r="S42" s="904"/>
      <c r="T42" s="215"/>
      <c r="U42" s="1004"/>
      <c r="V42" s="3"/>
    </row>
    <row r="43" spans="1:22" ht="151.5" hidden="1" customHeight="1" x14ac:dyDescent="0.25">
      <c r="A43" s="125" t="s">
        <v>360</v>
      </c>
      <c r="B43" s="126" t="s">
        <v>1233</v>
      </c>
      <c r="C43" s="126" t="s">
        <v>361</v>
      </c>
      <c r="D43" s="126" t="s">
        <v>59</v>
      </c>
      <c r="E43" s="149" t="s">
        <v>1198</v>
      </c>
      <c r="F43" s="235" t="s">
        <v>362</v>
      </c>
      <c r="G43" s="210"/>
      <c r="H43" s="389" t="s">
        <v>748</v>
      </c>
      <c r="I43" s="403" t="s">
        <v>1451</v>
      </c>
      <c r="J43" s="400" t="s">
        <v>1452</v>
      </c>
      <c r="K43" s="210"/>
      <c r="L43" s="499" t="s">
        <v>1684</v>
      </c>
      <c r="M43" s="495" t="s">
        <v>1476</v>
      </c>
      <c r="N43" s="210"/>
      <c r="O43" s="236" t="s">
        <v>808</v>
      </c>
      <c r="P43" s="220" t="s">
        <v>25</v>
      </c>
      <c r="Q43" s="232" t="s">
        <v>809</v>
      </c>
      <c r="R43" s="220" t="s">
        <v>1285</v>
      </c>
      <c r="S43" s="221" t="s">
        <v>1199</v>
      </c>
      <c r="T43" s="210"/>
      <c r="U43" s="166" t="s">
        <v>1200</v>
      </c>
      <c r="V43" s="3"/>
    </row>
    <row r="44" spans="1:22" ht="90" hidden="1" x14ac:dyDescent="0.25">
      <c r="A44" s="131" t="s">
        <v>363</v>
      </c>
      <c r="B44" s="132" t="s">
        <v>1233</v>
      </c>
      <c r="C44" s="132" t="s">
        <v>364</v>
      </c>
      <c r="D44" s="132" t="s">
        <v>365</v>
      </c>
      <c r="E44" s="152" t="s">
        <v>1201</v>
      </c>
      <c r="F44" s="233" t="s">
        <v>366</v>
      </c>
      <c r="G44" s="215"/>
      <c r="H44" s="358" t="s">
        <v>736</v>
      </c>
      <c r="I44" s="356" t="s">
        <v>1435</v>
      </c>
      <c r="J44" s="357" t="s">
        <v>1436</v>
      </c>
      <c r="K44" s="215"/>
      <c r="L44" s="169" t="s">
        <v>1571</v>
      </c>
      <c r="M44" s="487" t="s">
        <v>1476</v>
      </c>
      <c r="N44" s="215"/>
      <c r="O44" s="216" t="s">
        <v>1046</v>
      </c>
      <c r="P44" s="133" t="s">
        <v>25</v>
      </c>
      <c r="Q44" s="132" t="s">
        <v>770</v>
      </c>
      <c r="R44" s="133" t="s">
        <v>35</v>
      </c>
      <c r="S44" s="152"/>
      <c r="T44" s="215"/>
      <c r="U44" s="166"/>
      <c r="V44" s="3"/>
    </row>
    <row r="45" spans="1:22" ht="44.45" customHeight="1" x14ac:dyDescent="0.25">
      <c r="A45" s="921" t="s">
        <v>367</v>
      </c>
      <c r="B45" s="924" t="s">
        <v>1233</v>
      </c>
      <c r="C45" s="924" t="s">
        <v>368</v>
      </c>
      <c r="D45" s="924" t="s">
        <v>69</v>
      </c>
      <c r="E45" s="905" t="s">
        <v>369</v>
      </c>
      <c r="F45" s="1009" t="s">
        <v>369</v>
      </c>
      <c r="G45" s="210"/>
      <c r="H45" s="1014" t="s">
        <v>739</v>
      </c>
      <c r="I45" s="960" t="s">
        <v>739</v>
      </c>
      <c r="J45" s="962" t="s">
        <v>739</v>
      </c>
      <c r="K45" s="210"/>
      <c r="L45" s="1015" t="s">
        <v>1685</v>
      </c>
      <c r="M45" s="996" t="s">
        <v>1483</v>
      </c>
      <c r="N45" s="210"/>
      <c r="O45" s="947" t="s">
        <v>1046</v>
      </c>
      <c r="P45" s="936" t="s">
        <v>25</v>
      </c>
      <c r="Q45" s="232" t="s">
        <v>773</v>
      </c>
      <c r="R45" s="936" t="s">
        <v>35</v>
      </c>
      <c r="S45" s="899"/>
      <c r="T45" s="210"/>
      <c r="U45" s="1003"/>
      <c r="V45" s="3"/>
    </row>
    <row r="46" spans="1:22" ht="44.45" hidden="1" customHeight="1" x14ac:dyDescent="0.25">
      <c r="A46" s="923"/>
      <c r="B46" s="926"/>
      <c r="C46" s="926"/>
      <c r="D46" s="926"/>
      <c r="E46" s="907"/>
      <c r="F46" s="1011"/>
      <c r="G46" s="210"/>
      <c r="H46" s="911"/>
      <c r="I46" s="961"/>
      <c r="J46" s="963"/>
      <c r="K46" s="210"/>
      <c r="L46" s="1015"/>
      <c r="M46" s="996"/>
      <c r="N46" s="210"/>
      <c r="O46" s="949"/>
      <c r="P46" s="938"/>
      <c r="Q46" s="232" t="s">
        <v>772</v>
      </c>
      <c r="R46" s="938"/>
      <c r="S46" s="901"/>
      <c r="T46" s="210"/>
      <c r="U46" s="1004"/>
      <c r="V46" s="3"/>
    </row>
    <row r="47" spans="1:22" ht="14.45" hidden="1" customHeight="1" x14ac:dyDescent="0.25">
      <c r="A47" s="918" t="s">
        <v>208</v>
      </c>
      <c r="B47" s="915" t="s">
        <v>1233</v>
      </c>
      <c r="C47" s="915" t="s">
        <v>210</v>
      </c>
      <c r="D47" s="915" t="s">
        <v>39</v>
      </c>
      <c r="E47" s="902" t="s">
        <v>1202</v>
      </c>
      <c r="F47" s="1006" t="s">
        <v>370</v>
      </c>
      <c r="G47" s="215"/>
      <c r="H47" s="908" t="s">
        <v>742</v>
      </c>
      <c r="I47" s="932" t="s">
        <v>210</v>
      </c>
      <c r="J47" s="933" t="s">
        <v>1441</v>
      </c>
      <c r="K47" s="215"/>
      <c r="L47" s="908" t="s">
        <v>742</v>
      </c>
      <c r="M47" s="930" t="s">
        <v>1477</v>
      </c>
      <c r="N47" s="215"/>
      <c r="O47" s="942" t="s">
        <v>41</v>
      </c>
      <c r="P47" s="912" t="s">
        <v>787</v>
      </c>
      <c r="Q47" s="132" t="s">
        <v>43</v>
      </c>
      <c r="R47" s="912" t="s">
        <v>1203</v>
      </c>
      <c r="S47" s="902"/>
      <c r="T47" s="215"/>
      <c r="U47" s="1003"/>
      <c r="V47" s="3"/>
    </row>
    <row r="48" spans="1:22" ht="14.45" hidden="1" customHeight="1" x14ac:dyDescent="0.25">
      <c r="A48" s="919"/>
      <c r="B48" s="916"/>
      <c r="C48" s="916"/>
      <c r="D48" s="916"/>
      <c r="E48" s="903"/>
      <c r="F48" s="1007"/>
      <c r="G48" s="215"/>
      <c r="H48" s="908"/>
      <c r="I48" s="932"/>
      <c r="J48" s="933"/>
      <c r="K48" s="215"/>
      <c r="L48" s="908"/>
      <c r="M48" s="930"/>
      <c r="N48" s="215"/>
      <c r="O48" s="943"/>
      <c r="P48" s="914"/>
      <c r="Q48" s="132" t="s">
        <v>45</v>
      </c>
      <c r="R48" s="913"/>
      <c r="S48" s="903"/>
      <c r="T48" s="215"/>
      <c r="U48" s="1005"/>
      <c r="V48" s="3"/>
    </row>
    <row r="49" spans="1:22" ht="14.45" hidden="1" customHeight="1" x14ac:dyDescent="0.25">
      <c r="A49" s="920"/>
      <c r="B49" s="917"/>
      <c r="C49" s="917"/>
      <c r="D49" s="917"/>
      <c r="E49" s="904"/>
      <c r="F49" s="1008"/>
      <c r="G49" s="215"/>
      <c r="H49" s="908"/>
      <c r="I49" s="932"/>
      <c r="J49" s="933"/>
      <c r="K49" s="215"/>
      <c r="L49" s="908"/>
      <c r="M49" s="930"/>
      <c r="N49" s="215"/>
      <c r="O49" s="216" t="s">
        <v>674</v>
      </c>
      <c r="P49" s="133" t="s">
        <v>25</v>
      </c>
      <c r="Q49" s="132" t="s">
        <v>788</v>
      </c>
      <c r="R49" s="914"/>
      <c r="S49" s="904"/>
      <c r="T49" s="215"/>
      <c r="U49" s="1004"/>
      <c r="V49" s="3"/>
    </row>
    <row r="50" spans="1:22" ht="60" hidden="1" customHeight="1" x14ac:dyDescent="0.25">
      <c r="A50" s="125" t="s">
        <v>212</v>
      </c>
      <c r="B50" s="126" t="s">
        <v>1233</v>
      </c>
      <c r="C50" s="126" t="s">
        <v>213</v>
      </c>
      <c r="D50" s="126" t="s">
        <v>365</v>
      </c>
      <c r="E50" s="149" t="s">
        <v>1204</v>
      </c>
      <c r="F50" s="235" t="s">
        <v>371</v>
      </c>
      <c r="G50" s="210"/>
      <c r="H50" s="389" t="s">
        <v>743</v>
      </c>
      <c r="I50" s="403" t="s">
        <v>1442</v>
      </c>
      <c r="J50" s="400" t="s">
        <v>1443</v>
      </c>
      <c r="K50" s="210"/>
      <c r="L50" s="405" t="s">
        <v>743</v>
      </c>
      <c r="M50" s="406" t="s">
        <v>1476</v>
      </c>
      <c r="N50" s="210"/>
      <c r="O50" s="236" t="s">
        <v>674</v>
      </c>
      <c r="P50" s="220" t="s">
        <v>25</v>
      </c>
      <c r="Q50" s="232" t="s">
        <v>790</v>
      </c>
      <c r="R50" s="220" t="s">
        <v>35</v>
      </c>
      <c r="S50" s="221"/>
      <c r="T50" s="210"/>
      <c r="U50" s="166"/>
      <c r="V50" s="3"/>
    </row>
    <row r="51" spans="1:22" ht="30.6" hidden="1" customHeight="1" x14ac:dyDescent="0.25">
      <c r="A51" s="131" t="s">
        <v>218</v>
      </c>
      <c r="B51" s="132" t="s">
        <v>1233</v>
      </c>
      <c r="C51" s="132" t="s">
        <v>219</v>
      </c>
      <c r="D51" s="132" t="s">
        <v>59</v>
      </c>
      <c r="E51" s="401" t="s">
        <v>1205</v>
      </c>
      <c r="F51" s="233" t="s">
        <v>372</v>
      </c>
      <c r="G51" s="215"/>
      <c r="H51" s="358" t="s">
        <v>744</v>
      </c>
      <c r="I51" s="356" t="s">
        <v>1444</v>
      </c>
      <c r="J51" s="401" t="s">
        <v>1262</v>
      </c>
      <c r="K51" s="215"/>
      <c r="L51" s="358" t="s">
        <v>744</v>
      </c>
      <c r="M51" s="134" t="s">
        <v>1476</v>
      </c>
      <c r="N51" s="215"/>
      <c r="O51" s="216" t="s">
        <v>674</v>
      </c>
      <c r="P51" s="133" t="s">
        <v>25</v>
      </c>
      <c r="Q51" s="132" t="s">
        <v>791</v>
      </c>
      <c r="R51" s="133" t="s">
        <v>35</v>
      </c>
      <c r="S51" s="152"/>
      <c r="T51" s="215"/>
      <c r="U51" s="167" t="s">
        <v>1206</v>
      </c>
      <c r="V51" s="3"/>
    </row>
    <row r="52" spans="1:22" ht="61.5" hidden="1" customHeight="1" x14ac:dyDescent="0.25">
      <c r="A52" s="125" t="s">
        <v>221</v>
      </c>
      <c r="B52" s="126" t="s">
        <v>1233</v>
      </c>
      <c r="C52" s="126" t="s">
        <v>222</v>
      </c>
      <c r="D52" s="126" t="s">
        <v>365</v>
      </c>
      <c r="E52" s="149" t="s">
        <v>1207</v>
      </c>
      <c r="F52" s="235" t="s">
        <v>373</v>
      </c>
      <c r="G52" s="210"/>
      <c r="H52" s="389" t="s">
        <v>745</v>
      </c>
      <c r="I52" s="403" t="s">
        <v>1445</v>
      </c>
      <c r="J52" s="400" t="s">
        <v>1446</v>
      </c>
      <c r="K52" s="210"/>
      <c r="L52" s="405" t="s">
        <v>745</v>
      </c>
      <c r="M52" s="406" t="s">
        <v>1476</v>
      </c>
      <c r="N52" s="210"/>
      <c r="O52" s="236" t="s">
        <v>1208</v>
      </c>
      <c r="P52" s="220" t="s">
        <v>25</v>
      </c>
      <c r="Q52" s="232" t="s">
        <v>793</v>
      </c>
      <c r="R52" s="220" t="s">
        <v>35</v>
      </c>
      <c r="S52" s="221"/>
      <c r="T52" s="210"/>
      <c r="U52" s="166"/>
      <c r="V52" s="3"/>
    </row>
    <row r="53" spans="1:22" ht="43.5" hidden="1" customHeight="1" x14ac:dyDescent="0.25">
      <c r="A53" s="131" t="s">
        <v>236</v>
      </c>
      <c r="B53" s="132" t="s">
        <v>1233</v>
      </c>
      <c r="C53" s="132" t="s">
        <v>237</v>
      </c>
      <c r="D53" s="132" t="s">
        <v>59</v>
      </c>
      <c r="E53" s="152" t="s">
        <v>1209</v>
      </c>
      <c r="F53" s="233" t="s">
        <v>374</v>
      </c>
      <c r="G53" s="215"/>
      <c r="H53" s="358" t="s">
        <v>1210</v>
      </c>
      <c r="I53" s="398" t="s">
        <v>739</v>
      </c>
      <c r="J53" s="399" t="s">
        <v>739</v>
      </c>
      <c r="K53" s="215"/>
      <c r="L53" s="358" t="s">
        <v>1210</v>
      </c>
      <c r="M53" s="134" t="s">
        <v>1476</v>
      </c>
      <c r="N53" s="215"/>
      <c r="O53" s="216" t="s">
        <v>811</v>
      </c>
      <c r="P53" s="133" t="s">
        <v>25</v>
      </c>
      <c r="Q53" s="132" t="s">
        <v>822</v>
      </c>
      <c r="R53" s="133" t="s">
        <v>35</v>
      </c>
      <c r="S53" s="152"/>
      <c r="T53" s="215"/>
      <c r="U53" s="166"/>
      <c r="V53" s="3"/>
    </row>
    <row r="54" spans="1:22" ht="40.5" hidden="1" customHeight="1" x14ac:dyDescent="0.25">
      <c r="A54" s="921" t="s">
        <v>248</v>
      </c>
      <c r="B54" s="924" t="s">
        <v>1233</v>
      </c>
      <c r="C54" s="924" t="s">
        <v>249</v>
      </c>
      <c r="D54" s="924" t="s">
        <v>59</v>
      </c>
      <c r="E54" s="927" t="s">
        <v>1211</v>
      </c>
      <c r="F54" s="1009" t="s">
        <v>375</v>
      </c>
      <c r="G54" s="210"/>
      <c r="H54" s="911" t="s">
        <v>752</v>
      </c>
      <c r="I54" s="934" t="s">
        <v>1456</v>
      </c>
      <c r="J54" s="935" t="s">
        <v>1489</v>
      </c>
      <c r="K54" s="210"/>
      <c r="L54" s="1012" t="s">
        <v>752</v>
      </c>
      <c r="M54" s="998" t="s">
        <v>1476</v>
      </c>
      <c r="N54" s="210"/>
      <c r="O54" s="947" t="s">
        <v>808</v>
      </c>
      <c r="P54" s="936" t="s">
        <v>25</v>
      </c>
      <c r="Q54" s="232" t="s">
        <v>824</v>
      </c>
      <c r="R54" s="936" t="s">
        <v>1286</v>
      </c>
      <c r="S54" s="899"/>
      <c r="T54" s="210"/>
      <c r="U54" s="1003" t="s">
        <v>1212</v>
      </c>
      <c r="V54" s="3"/>
    </row>
    <row r="55" spans="1:22" ht="40.5" hidden="1" customHeight="1" x14ac:dyDescent="0.25">
      <c r="A55" s="923"/>
      <c r="B55" s="926"/>
      <c r="C55" s="926"/>
      <c r="D55" s="926"/>
      <c r="E55" s="929"/>
      <c r="F55" s="1011"/>
      <c r="G55" s="210"/>
      <c r="H55" s="911"/>
      <c r="I55" s="934"/>
      <c r="J55" s="935"/>
      <c r="K55" s="210"/>
      <c r="L55" s="1013"/>
      <c r="M55" s="995"/>
      <c r="N55" s="210"/>
      <c r="O55" s="949"/>
      <c r="P55" s="938"/>
      <c r="Q55" s="232" t="s">
        <v>825</v>
      </c>
      <c r="R55" s="938"/>
      <c r="S55" s="901"/>
      <c r="T55" s="210"/>
      <c r="U55" s="1004"/>
      <c r="V55" s="3"/>
    </row>
    <row r="56" spans="1:22" ht="14.45" hidden="1" customHeight="1" x14ac:dyDescent="0.25">
      <c r="A56" s="918" t="s">
        <v>251</v>
      </c>
      <c r="B56" s="915" t="s">
        <v>1233</v>
      </c>
      <c r="C56" s="915" t="s">
        <v>252</v>
      </c>
      <c r="D56" s="915" t="s">
        <v>39</v>
      </c>
      <c r="E56" s="902" t="s">
        <v>1213</v>
      </c>
      <c r="F56" s="1006" t="s">
        <v>376</v>
      </c>
      <c r="G56" s="215"/>
      <c r="H56" s="908" t="s">
        <v>753</v>
      </c>
      <c r="I56" s="932" t="s">
        <v>1459</v>
      </c>
      <c r="J56" s="933" t="s">
        <v>1460</v>
      </c>
      <c r="K56" s="215"/>
      <c r="L56" s="918" t="s">
        <v>753</v>
      </c>
      <c r="M56" s="944" t="s">
        <v>1477</v>
      </c>
      <c r="N56" s="215"/>
      <c r="O56" s="942" t="s">
        <v>41</v>
      </c>
      <c r="P56" s="912" t="s">
        <v>831</v>
      </c>
      <c r="Q56" s="132" t="s">
        <v>43</v>
      </c>
      <c r="R56" s="912" t="s">
        <v>1214</v>
      </c>
      <c r="S56" s="902"/>
      <c r="T56" s="215"/>
      <c r="U56" s="1003"/>
      <c r="V56" s="3"/>
    </row>
    <row r="57" spans="1:22" hidden="1" x14ac:dyDescent="0.25">
      <c r="A57" s="919"/>
      <c r="B57" s="916"/>
      <c r="C57" s="916"/>
      <c r="D57" s="916"/>
      <c r="E57" s="903"/>
      <c r="F57" s="1007"/>
      <c r="G57" s="215"/>
      <c r="H57" s="908"/>
      <c r="I57" s="932"/>
      <c r="J57" s="933"/>
      <c r="K57" s="215"/>
      <c r="L57" s="919"/>
      <c r="M57" s="945"/>
      <c r="N57" s="215"/>
      <c r="O57" s="943"/>
      <c r="P57" s="914"/>
      <c r="Q57" s="132" t="s">
        <v>45</v>
      </c>
      <c r="R57" s="913"/>
      <c r="S57" s="903"/>
      <c r="T57" s="215"/>
      <c r="U57" s="1005"/>
      <c r="V57" s="3"/>
    </row>
    <row r="58" spans="1:22" hidden="1" x14ac:dyDescent="0.25">
      <c r="A58" s="920"/>
      <c r="B58" s="917"/>
      <c r="C58" s="917"/>
      <c r="D58" s="917"/>
      <c r="E58" s="904"/>
      <c r="F58" s="1008"/>
      <c r="G58" s="215"/>
      <c r="H58" s="908"/>
      <c r="I58" s="932"/>
      <c r="J58" s="933"/>
      <c r="K58" s="215"/>
      <c r="L58" s="920"/>
      <c r="M58" s="946"/>
      <c r="N58" s="215"/>
      <c r="O58" s="216" t="s">
        <v>1208</v>
      </c>
      <c r="P58" s="133" t="s">
        <v>25</v>
      </c>
      <c r="Q58" s="132" t="s">
        <v>828</v>
      </c>
      <c r="R58" s="914"/>
      <c r="S58" s="904"/>
      <c r="T58" s="215"/>
      <c r="U58" s="1004"/>
      <c r="V58" s="3"/>
    </row>
    <row r="59" spans="1:22" ht="14.45" hidden="1" customHeight="1" x14ac:dyDescent="0.25">
      <c r="A59" s="921" t="s">
        <v>254</v>
      </c>
      <c r="B59" s="924" t="s">
        <v>1233</v>
      </c>
      <c r="C59" s="924" t="s">
        <v>255</v>
      </c>
      <c r="D59" s="924" t="s">
        <v>39</v>
      </c>
      <c r="E59" s="927" t="s">
        <v>1215</v>
      </c>
      <c r="F59" s="1009" t="s">
        <v>377</v>
      </c>
      <c r="G59" s="210"/>
      <c r="H59" s="911" t="s">
        <v>754</v>
      </c>
      <c r="I59" s="934" t="s">
        <v>255</v>
      </c>
      <c r="J59" s="935" t="s">
        <v>1461</v>
      </c>
      <c r="K59" s="210"/>
      <c r="L59" s="954" t="s">
        <v>754</v>
      </c>
      <c r="M59" s="931" t="s">
        <v>1477</v>
      </c>
      <c r="N59" s="210"/>
      <c r="O59" s="947" t="s">
        <v>41</v>
      </c>
      <c r="P59" s="936" t="s">
        <v>830</v>
      </c>
      <c r="Q59" s="232" t="s">
        <v>43</v>
      </c>
      <c r="R59" s="936" t="s">
        <v>1216</v>
      </c>
      <c r="S59" s="899"/>
      <c r="T59" s="210"/>
      <c r="U59" s="1003"/>
      <c r="V59" s="3"/>
    </row>
    <row r="60" spans="1:22" hidden="1" x14ac:dyDescent="0.25">
      <c r="A60" s="922"/>
      <c r="B60" s="925"/>
      <c r="C60" s="925"/>
      <c r="D60" s="925"/>
      <c r="E60" s="928"/>
      <c r="F60" s="1010"/>
      <c r="G60" s="210"/>
      <c r="H60" s="911"/>
      <c r="I60" s="934"/>
      <c r="J60" s="935"/>
      <c r="K60" s="210"/>
      <c r="L60" s="954"/>
      <c r="M60" s="931"/>
      <c r="N60" s="210"/>
      <c r="O60" s="949"/>
      <c r="P60" s="938"/>
      <c r="Q60" s="232" t="s">
        <v>45</v>
      </c>
      <c r="R60" s="937"/>
      <c r="S60" s="900"/>
      <c r="T60" s="210"/>
      <c r="U60" s="1005"/>
      <c r="V60" s="3"/>
    </row>
    <row r="61" spans="1:22" hidden="1" x14ac:dyDescent="0.25">
      <c r="A61" s="923"/>
      <c r="B61" s="926"/>
      <c r="C61" s="926"/>
      <c r="D61" s="926"/>
      <c r="E61" s="929"/>
      <c r="F61" s="1011"/>
      <c r="G61" s="210"/>
      <c r="H61" s="911"/>
      <c r="I61" s="934"/>
      <c r="J61" s="935"/>
      <c r="K61" s="210"/>
      <c r="L61" s="954"/>
      <c r="M61" s="931"/>
      <c r="N61" s="210"/>
      <c r="O61" s="236" t="s">
        <v>1208</v>
      </c>
      <c r="P61" s="220" t="s">
        <v>25</v>
      </c>
      <c r="Q61" s="232" t="s">
        <v>832</v>
      </c>
      <c r="R61" s="938"/>
      <c r="S61" s="901"/>
      <c r="T61" s="210"/>
      <c r="U61" s="1004"/>
      <c r="V61" s="3"/>
    </row>
    <row r="62" spans="1:22" ht="103.5" hidden="1" customHeight="1" x14ac:dyDescent="0.25">
      <c r="A62" s="131" t="s">
        <v>260</v>
      </c>
      <c r="B62" s="132" t="s">
        <v>1233</v>
      </c>
      <c r="C62" s="132" t="s">
        <v>261</v>
      </c>
      <c r="D62" s="132" t="s">
        <v>39</v>
      </c>
      <c r="E62" s="152" t="s">
        <v>1217</v>
      </c>
      <c r="F62" s="233" t="s">
        <v>378</v>
      </c>
      <c r="G62" s="215"/>
      <c r="H62" s="358" t="s">
        <v>755</v>
      </c>
      <c r="I62" s="356" t="s">
        <v>1462</v>
      </c>
      <c r="J62" s="401" t="s">
        <v>1463</v>
      </c>
      <c r="K62" s="215"/>
      <c r="L62" s="358" t="s">
        <v>755</v>
      </c>
      <c r="M62" s="134" t="s">
        <v>1477</v>
      </c>
      <c r="N62" s="215"/>
      <c r="O62" s="216" t="s">
        <v>1112</v>
      </c>
      <c r="P62" s="133" t="s">
        <v>80</v>
      </c>
      <c r="Q62" s="132" t="s">
        <v>107</v>
      </c>
      <c r="R62" s="133" t="s">
        <v>1218</v>
      </c>
      <c r="S62" s="152"/>
      <c r="T62" s="215"/>
      <c r="U62" s="166"/>
      <c r="V62" s="3"/>
    </row>
    <row r="63" spans="1:22" ht="48.6" hidden="1" customHeight="1" x14ac:dyDescent="0.25">
      <c r="A63" s="125" t="s">
        <v>263</v>
      </c>
      <c r="B63" s="126" t="s">
        <v>1233</v>
      </c>
      <c r="C63" s="126" t="s">
        <v>264</v>
      </c>
      <c r="D63" s="126" t="s">
        <v>365</v>
      </c>
      <c r="E63" s="149" t="s">
        <v>1219</v>
      </c>
      <c r="F63" s="235" t="s">
        <v>379</v>
      </c>
      <c r="G63" s="210"/>
      <c r="H63" s="389" t="s">
        <v>756</v>
      </c>
      <c r="I63" s="403" t="s">
        <v>1464</v>
      </c>
      <c r="J63" s="400" t="s">
        <v>1465</v>
      </c>
      <c r="K63" s="210"/>
      <c r="L63" s="405" t="s">
        <v>756</v>
      </c>
      <c r="M63" s="406" t="s">
        <v>1476</v>
      </c>
      <c r="N63" s="210"/>
      <c r="O63" s="236"/>
      <c r="P63" s="220"/>
      <c r="Q63" s="232"/>
      <c r="R63" s="220" t="s">
        <v>127</v>
      </c>
      <c r="S63" s="221"/>
      <c r="T63" s="210"/>
      <c r="U63" s="166"/>
      <c r="V63" s="3"/>
    </row>
    <row r="64" spans="1:22" ht="14.45" hidden="1" customHeight="1" x14ac:dyDescent="0.25">
      <c r="A64" s="918" t="s">
        <v>270</v>
      </c>
      <c r="B64" s="915" t="s">
        <v>1236</v>
      </c>
      <c r="C64" s="915" t="s">
        <v>271</v>
      </c>
      <c r="D64" s="915" t="s">
        <v>39</v>
      </c>
      <c r="E64" s="902" t="s">
        <v>1581</v>
      </c>
      <c r="F64" s="1006" t="s">
        <v>380</v>
      </c>
      <c r="G64" s="215"/>
      <c r="H64" s="908" t="s">
        <v>758</v>
      </c>
      <c r="I64" s="932" t="s">
        <v>1468</v>
      </c>
      <c r="J64" s="933" t="s">
        <v>1220</v>
      </c>
      <c r="K64" s="215"/>
      <c r="L64" s="908" t="s">
        <v>758</v>
      </c>
      <c r="M64" s="930" t="s">
        <v>1477</v>
      </c>
      <c r="N64" s="215"/>
      <c r="O64" s="942" t="s">
        <v>41</v>
      </c>
      <c r="P64" s="912" t="s">
        <v>838</v>
      </c>
      <c r="Q64" s="132" t="s">
        <v>43</v>
      </c>
      <c r="R64" s="912" t="s">
        <v>1221</v>
      </c>
      <c r="S64" s="902"/>
      <c r="T64" s="215"/>
      <c r="U64" s="1003"/>
      <c r="V64" s="3"/>
    </row>
    <row r="65" spans="1:22" hidden="1" x14ac:dyDescent="0.25">
      <c r="A65" s="919"/>
      <c r="B65" s="916"/>
      <c r="C65" s="916"/>
      <c r="D65" s="916"/>
      <c r="E65" s="903"/>
      <c r="F65" s="1007"/>
      <c r="G65" s="215"/>
      <c r="H65" s="908"/>
      <c r="I65" s="932"/>
      <c r="J65" s="933"/>
      <c r="K65" s="215"/>
      <c r="L65" s="908"/>
      <c r="M65" s="930"/>
      <c r="N65" s="215"/>
      <c r="O65" s="943"/>
      <c r="P65" s="914"/>
      <c r="Q65" s="132" t="s">
        <v>45</v>
      </c>
      <c r="R65" s="913"/>
      <c r="S65" s="903"/>
      <c r="T65" s="215"/>
      <c r="U65" s="1005"/>
      <c r="V65" s="3"/>
    </row>
    <row r="66" spans="1:22" hidden="1" x14ac:dyDescent="0.25">
      <c r="A66" s="920"/>
      <c r="B66" s="917"/>
      <c r="C66" s="917"/>
      <c r="D66" s="917"/>
      <c r="E66" s="904"/>
      <c r="F66" s="1008"/>
      <c r="G66" s="215"/>
      <c r="H66" s="908"/>
      <c r="I66" s="932"/>
      <c r="J66" s="933"/>
      <c r="K66" s="215"/>
      <c r="L66" s="908"/>
      <c r="M66" s="930"/>
      <c r="N66" s="215"/>
      <c r="O66" s="216" t="s">
        <v>674</v>
      </c>
      <c r="P66" s="133" t="s">
        <v>25</v>
      </c>
      <c r="Q66" s="132" t="s">
        <v>839</v>
      </c>
      <c r="R66" s="914"/>
      <c r="S66" s="904"/>
      <c r="T66" s="215"/>
      <c r="U66" s="1004"/>
      <c r="V66" s="3"/>
    </row>
    <row r="67" spans="1:22" ht="55.5" hidden="1" customHeight="1" thickBot="1" x14ac:dyDescent="0.3">
      <c r="A67" s="147" t="s">
        <v>273</v>
      </c>
      <c r="B67" s="148" t="s">
        <v>1236</v>
      </c>
      <c r="C67" s="148" t="s">
        <v>274</v>
      </c>
      <c r="D67" s="148" t="s">
        <v>365</v>
      </c>
      <c r="E67" s="155" t="s">
        <v>1222</v>
      </c>
      <c r="F67" s="238" t="s">
        <v>275</v>
      </c>
      <c r="G67" s="210"/>
      <c r="H67" s="393" t="s">
        <v>759</v>
      </c>
      <c r="I67" s="404" t="s">
        <v>1469</v>
      </c>
      <c r="J67" s="402" t="s">
        <v>1470</v>
      </c>
      <c r="K67" s="210"/>
      <c r="L67" s="407" t="s">
        <v>759</v>
      </c>
      <c r="M67" s="408" t="s">
        <v>1476</v>
      </c>
      <c r="N67" s="210"/>
      <c r="O67" s="239" t="s">
        <v>674</v>
      </c>
      <c r="P67" s="240" t="s">
        <v>25</v>
      </c>
      <c r="Q67" s="241" t="s">
        <v>841</v>
      </c>
      <c r="R67" s="240" t="s">
        <v>35</v>
      </c>
      <c r="S67" s="269"/>
      <c r="T67" s="210"/>
      <c r="U67" s="166"/>
      <c r="V67" s="3"/>
    </row>
  </sheetData>
  <autoFilter ref="A2:V67">
    <filterColumn colId="2">
      <filters>
        <filter val="Nominal interest rate or fee"/>
      </filters>
    </filterColumn>
  </autoFilter>
  <mergeCells count="229">
    <mergeCell ref="L18:L20"/>
    <mergeCell ref="O18:O19"/>
    <mergeCell ref="P18:P19"/>
    <mergeCell ref="A29:A31"/>
    <mergeCell ref="B29:B31"/>
    <mergeCell ref="C29:C31"/>
    <mergeCell ref="D29:D31"/>
    <mergeCell ref="E29:E31"/>
    <mergeCell ref="F29:F31"/>
    <mergeCell ref="H29:H31"/>
    <mergeCell ref="A1:S1"/>
    <mergeCell ref="A3:A6"/>
    <mergeCell ref="B3:B6"/>
    <mergeCell ref="C3:C6"/>
    <mergeCell ref="D3:D6"/>
    <mergeCell ref="E3:E6"/>
    <mergeCell ref="F3:F6"/>
    <mergeCell ref="H3:H6"/>
    <mergeCell ref="L3:L6"/>
    <mergeCell ref="O3:O6"/>
    <mergeCell ref="P3:P6"/>
    <mergeCell ref="R3:R6"/>
    <mergeCell ref="S3:S6"/>
    <mergeCell ref="I3:I6"/>
    <mergeCell ref="J3:J6"/>
    <mergeCell ref="R10:R13"/>
    <mergeCell ref="S10:S13"/>
    <mergeCell ref="A15:A17"/>
    <mergeCell ref="B15:B17"/>
    <mergeCell ref="C15:C17"/>
    <mergeCell ref="D15:D17"/>
    <mergeCell ref="E15:E17"/>
    <mergeCell ref="F15:F17"/>
    <mergeCell ref="H15:H17"/>
    <mergeCell ref="L15:L17"/>
    <mergeCell ref="O15:O16"/>
    <mergeCell ref="P15:P16"/>
    <mergeCell ref="R15:R17"/>
    <mergeCell ref="S15:S17"/>
    <mergeCell ref="F10:F13"/>
    <mergeCell ref="H10:H13"/>
    <mergeCell ref="L10:L13"/>
    <mergeCell ref="A10:A13"/>
    <mergeCell ref="B10:B13"/>
    <mergeCell ref="C10:C13"/>
    <mergeCell ref="D10:D13"/>
    <mergeCell ref="E10:E13"/>
    <mergeCell ref="O10:O13"/>
    <mergeCell ref="P10:P13"/>
    <mergeCell ref="S29:S31"/>
    <mergeCell ref="R18:R20"/>
    <mergeCell ref="S18:S20"/>
    <mergeCell ref="A21:A28"/>
    <mergeCell ref="B21:B28"/>
    <mergeCell ref="C21:C28"/>
    <mergeCell ref="D21:D28"/>
    <mergeCell ref="E21:E28"/>
    <mergeCell ref="F21:F28"/>
    <mergeCell ref="H21:H28"/>
    <mergeCell ref="L21:L28"/>
    <mergeCell ref="O21:O24"/>
    <mergeCell ref="P21:P24"/>
    <mergeCell ref="R21:R28"/>
    <mergeCell ref="S21:S28"/>
    <mergeCell ref="O25:O28"/>
    <mergeCell ref="P25:P28"/>
    <mergeCell ref="A18:A20"/>
    <mergeCell ref="B18:B20"/>
    <mergeCell ref="C18:C20"/>
    <mergeCell ref="D18:D20"/>
    <mergeCell ref="E18:E20"/>
    <mergeCell ref="F18:F20"/>
    <mergeCell ref="H18:H20"/>
    <mergeCell ref="A32:A39"/>
    <mergeCell ref="B32:B39"/>
    <mergeCell ref="C32:C39"/>
    <mergeCell ref="D32:D39"/>
    <mergeCell ref="E32:E39"/>
    <mergeCell ref="L29:L31"/>
    <mergeCell ref="O29:O31"/>
    <mergeCell ref="P29:P31"/>
    <mergeCell ref="R29:R31"/>
    <mergeCell ref="F32:F39"/>
    <mergeCell ref="H32:H39"/>
    <mergeCell ref="L32:L39"/>
    <mergeCell ref="R32:R39"/>
    <mergeCell ref="I32:I39"/>
    <mergeCell ref="J32:J39"/>
    <mergeCell ref="S32:S39"/>
    <mergeCell ref="O33:O35"/>
    <mergeCell ref="P33:P35"/>
    <mergeCell ref="O36:O39"/>
    <mergeCell ref="P36:P39"/>
    <mergeCell ref="S47:S49"/>
    <mergeCell ref="R40:R42"/>
    <mergeCell ref="S40:S42"/>
    <mergeCell ref="A45:A46"/>
    <mergeCell ref="B45:B46"/>
    <mergeCell ref="C45:C46"/>
    <mergeCell ref="D45:D46"/>
    <mergeCell ref="F45:F46"/>
    <mergeCell ref="H45:H46"/>
    <mergeCell ref="L45:L46"/>
    <mergeCell ref="O45:O46"/>
    <mergeCell ref="P45:P46"/>
    <mergeCell ref="R45:R46"/>
    <mergeCell ref="S45:S46"/>
    <mergeCell ref="F40:F42"/>
    <mergeCell ref="H40:H42"/>
    <mergeCell ref="L40:L42"/>
    <mergeCell ref="O40:O42"/>
    <mergeCell ref="P40:P42"/>
    <mergeCell ref="A40:A42"/>
    <mergeCell ref="B40:B42"/>
    <mergeCell ref="C40:C42"/>
    <mergeCell ref="D40:D42"/>
    <mergeCell ref="E40:E42"/>
    <mergeCell ref="A54:A55"/>
    <mergeCell ref="B54:B55"/>
    <mergeCell ref="C54:C55"/>
    <mergeCell ref="D54:D55"/>
    <mergeCell ref="E54:E55"/>
    <mergeCell ref="E45:E46"/>
    <mergeCell ref="L47:L49"/>
    <mergeCell ref="O47:O48"/>
    <mergeCell ref="P47:P48"/>
    <mergeCell ref="R47:R49"/>
    <mergeCell ref="A47:A49"/>
    <mergeCell ref="B47:B49"/>
    <mergeCell ref="C47:C49"/>
    <mergeCell ref="D47:D49"/>
    <mergeCell ref="E47:E49"/>
    <mergeCell ref="F47:F49"/>
    <mergeCell ref="H47:H49"/>
    <mergeCell ref="A59:A61"/>
    <mergeCell ref="B59:B61"/>
    <mergeCell ref="C59:C61"/>
    <mergeCell ref="D59:D61"/>
    <mergeCell ref="E59:E61"/>
    <mergeCell ref="R54:R55"/>
    <mergeCell ref="S54:S55"/>
    <mergeCell ref="A56:A58"/>
    <mergeCell ref="B56:B58"/>
    <mergeCell ref="C56:C58"/>
    <mergeCell ref="D56:D58"/>
    <mergeCell ref="E56:E58"/>
    <mergeCell ref="F56:F58"/>
    <mergeCell ref="H56:H58"/>
    <mergeCell ref="L56:L58"/>
    <mergeCell ref="O56:O57"/>
    <mergeCell ref="P56:P57"/>
    <mergeCell ref="R56:R58"/>
    <mergeCell ref="S56:S58"/>
    <mergeCell ref="F54:F55"/>
    <mergeCell ref="H54:H55"/>
    <mergeCell ref="L54:L55"/>
    <mergeCell ref="O54:O55"/>
    <mergeCell ref="P54:P55"/>
    <mergeCell ref="U3:U6"/>
    <mergeCell ref="U10:U13"/>
    <mergeCell ref="U15:U17"/>
    <mergeCell ref="U18:U20"/>
    <mergeCell ref="U21:U28"/>
    <mergeCell ref="R59:R61"/>
    <mergeCell ref="S59:S61"/>
    <mergeCell ref="A64:A66"/>
    <mergeCell ref="B64:B66"/>
    <mergeCell ref="C64:C66"/>
    <mergeCell ref="D64:D66"/>
    <mergeCell ref="E64:E66"/>
    <mergeCell ref="F64:F66"/>
    <mergeCell ref="H64:H66"/>
    <mergeCell ref="L64:L66"/>
    <mergeCell ref="O64:O65"/>
    <mergeCell ref="P64:P65"/>
    <mergeCell ref="R64:R66"/>
    <mergeCell ref="S64:S66"/>
    <mergeCell ref="F59:F61"/>
    <mergeCell ref="H59:H61"/>
    <mergeCell ref="L59:L61"/>
    <mergeCell ref="O59:O60"/>
    <mergeCell ref="P59:P60"/>
    <mergeCell ref="U54:U55"/>
    <mergeCell ref="U56:U58"/>
    <mergeCell ref="U59:U61"/>
    <mergeCell ref="U64:U66"/>
    <mergeCell ref="U29:U31"/>
    <mergeCell ref="U32:U39"/>
    <mergeCell ref="U40:U42"/>
    <mergeCell ref="U45:U46"/>
    <mergeCell ref="U47:U49"/>
    <mergeCell ref="I54:I55"/>
    <mergeCell ref="J54:J55"/>
    <mergeCell ref="I56:I58"/>
    <mergeCell ref="J56:J58"/>
    <mergeCell ref="I10:I13"/>
    <mergeCell ref="J10:J13"/>
    <mergeCell ref="I15:I17"/>
    <mergeCell ref="J15:J17"/>
    <mergeCell ref="I18:I20"/>
    <mergeCell ref="J18:J20"/>
    <mergeCell ref="I21:I28"/>
    <mergeCell ref="J21:J28"/>
    <mergeCell ref="I29:I31"/>
    <mergeCell ref="J29:J31"/>
    <mergeCell ref="I59:I61"/>
    <mergeCell ref="J59:J61"/>
    <mergeCell ref="I64:I66"/>
    <mergeCell ref="J64:J66"/>
    <mergeCell ref="M3:M6"/>
    <mergeCell ref="M10:M13"/>
    <mergeCell ref="M15:M17"/>
    <mergeCell ref="M18:M20"/>
    <mergeCell ref="M21:M28"/>
    <mergeCell ref="M29:M31"/>
    <mergeCell ref="M32:M39"/>
    <mergeCell ref="M40:M42"/>
    <mergeCell ref="M45:M46"/>
    <mergeCell ref="M47:M49"/>
    <mergeCell ref="M54:M55"/>
    <mergeCell ref="M56:M58"/>
    <mergeCell ref="M59:M61"/>
    <mergeCell ref="M64:M66"/>
    <mergeCell ref="I40:I42"/>
    <mergeCell ref="J40:J42"/>
    <mergeCell ref="I45:I46"/>
    <mergeCell ref="J45:J46"/>
    <mergeCell ref="I47:I49"/>
    <mergeCell ref="J47:J49"/>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14:formula1>
            <xm:f>AUX!$A$2:$A$8</xm:f>
          </x14:formula1>
          <xm:sqref>M3:M55 M59:M67</xm:sqref>
        </x14:dataValidation>
        <x14:dataValidation type="list" allowBlank="1" showInputMessage="1" showErrorMessage="1">
          <x14:formula1>
            <xm:f>AUX!#REF!</xm:f>
          </x14:formula1>
          <xm:sqref>M56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9"/>
  <sheetViews>
    <sheetView zoomScale="70" zoomScaleNormal="70" workbookViewId="0">
      <pane xSplit="6" ySplit="2" topLeftCell="J57" activePane="bottomRight" state="frozen"/>
      <selection pane="topRight" activeCell="G1" sqref="G1"/>
      <selection pane="bottomLeft" activeCell="A3" sqref="A3"/>
      <selection pane="bottomRight" activeCell="L58" sqref="L58"/>
    </sheetView>
  </sheetViews>
  <sheetFormatPr defaultColWidth="8.7109375" defaultRowHeight="15" x14ac:dyDescent="0.25"/>
  <cols>
    <col min="1" max="1" width="6.28515625" style="2" customWidth="1"/>
    <col min="2" max="2" width="12.85546875" style="2" customWidth="1"/>
    <col min="3" max="3" width="24.42578125" style="2" bestFit="1" customWidth="1"/>
    <col min="4" max="4" width="13" style="2" customWidth="1"/>
    <col min="5" max="5" width="47.7109375" style="3" customWidth="1"/>
    <col min="6" max="6" width="0" style="3" hidden="1" customWidth="1"/>
    <col min="7" max="7" width="4" style="3" customWidth="1"/>
    <col min="8" max="8" width="34.140625" style="3" customWidth="1"/>
    <col min="9" max="9" width="35.85546875" style="3" customWidth="1"/>
    <col min="10" max="10" width="43.85546875" style="3" customWidth="1"/>
    <col min="11" max="11" width="4" style="3" customWidth="1"/>
    <col min="12" max="13" width="52.42578125" style="3" customWidth="1"/>
    <col min="14" max="14" width="4.140625" style="3" customWidth="1"/>
    <col min="15" max="15" width="45.28515625" style="3" bestFit="1" customWidth="1"/>
    <col min="16" max="16" width="122.42578125" style="3" customWidth="1"/>
    <col min="17" max="17" width="25.85546875" style="3" bestFit="1" customWidth="1"/>
    <col min="18" max="18" width="73" style="3" bestFit="1" customWidth="1"/>
    <col min="19" max="19" width="86.42578125" style="3" bestFit="1" customWidth="1"/>
    <col min="20" max="21" width="0" style="3" hidden="1" customWidth="1"/>
    <col min="22" max="16384" width="8.7109375" style="3"/>
  </cols>
  <sheetData>
    <row r="1" spans="1:22" ht="18.95" customHeight="1" thickBot="1" x14ac:dyDescent="0.3">
      <c r="A1" s="703" t="s">
        <v>381</v>
      </c>
      <c r="B1" s="704"/>
      <c r="C1" s="704"/>
      <c r="D1" s="704"/>
      <c r="E1" s="704"/>
      <c r="F1" s="704"/>
      <c r="G1" s="704"/>
      <c r="H1" s="704"/>
      <c r="I1" s="704"/>
      <c r="J1" s="704"/>
      <c r="K1" s="704"/>
      <c r="L1" s="704"/>
      <c r="M1" s="704"/>
      <c r="N1" s="704"/>
      <c r="O1" s="704"/>
      <c r="P1" s="704"/>
      <c r="Q1" s="704"/>
      <c r="R1" s="704"/>
      <c r="S1" s="706"/>
      <c r="T1" s="123"/>
      <c r="U1" s="66"/>
    </row>
    <row r="2" spans="1:22" ht="25.5" customHeight="1" thickBot="1" x14ac:dyDescent="0.3">
      <c r="A2" s="7" t="s">
        <v>10</v>
      </c>
      <c r="B2" s="8" t="s">
        <v>11</v>
      </c>
      <c r="C2" s="8" t="s">
        <v>12</v>
      </c>
      <c r="D2" s="8" t="s">
        <v>13</v>
      </c>
      <c r="E2" s="10" t="s">
        <v>14</v>
      </c>
      <c r="F2" s="43" t="s">
        <v>14</v>
      </c>
      <c r="G2" s="182"/>
      <c r="H2" s="318" t="s">
        <v>725</v>
      </c>
      <c r="I2" s="319" t="s">
        <v>1412</v>
      </c>
      <c r="J2" s="320" t="s">
        <v>1411</v>
      </c>
      <c r="K2" s="183"/>
      <c r="L2" s="226" t="s">
        <v>87</v>
      </c>
      <c r="M2" s="226" t="s">
        <v>1475</v>
      </c>
      <c r="N2" s="28" t="s">
        <v>1287</v>
      </c>
      <c r="O2" s="228" t="s">
        <v>15</v>
      </c>
      <c r="P2" s="229" t="s">
        <v>16</v>
      </c>
      <c r="Q2" s="230" t="s">
        <v>17</v>
      </c>
      <c r="R2" s="229" t="s">
        <v>18</v>
      </c>
      <c r="S2" s="268" t="s">
        <v>19</v>
      </c>
      <c r="T2" s="28" t="s">
        <v>1287</v>
      </c>
      <c r="U2" s="156" t="s">
        <v>923</v>
      </c>
      <c r="V2" s="4"/>
    </row>
    <row r="3" spans="1:22" ht="30" customHeight="1" x14ac:dyDescent="0.25">
      <c r="A3" s="125" t="s">
        <v>31</v>
      </c>
      <c r="B3" s="126" t="s">
        <v>889</v>
      </c>
      <c r="C3" s="126" t="s">
        <v>32</v>
      </c>
      <c r="D3" s="126" t="s">
        <v>22</v>
      </c>
      <c r="E3" s="149" t="s">
        <v>892</v>
      </c>
      <c r="F3" s="235" t="s">
        <v>88</v>
      </c>
      <c r="G3" s="210"/>
      <c r="H3" s="387" t="s">
        <v>816</v>
      </c>
      <c r="I3" s="443" t="s">
        <v>1490</v>
      </c>
      <c r="J3" s="417" t="s">
        <v>1491</v>
      </c>
      <c r="K3" s="210"/>
      <c r="L3" s="548" t="s">
        <v>816</v>
      </c>
      <c r="M3" s="395" t="s">
        <v>1476</v>
      </c>
      <c r="N3" s="210"/>
      <c r="O3" s="236" t="s">
        <v>24</v>
      </c>
      <c r="P3" s="220" t="s">
        <v>25</v>
      </c>
      <c r="Q3" s="232" t="s">
        <v>34</v>
      </c>
      <c r="R3" s="220" t="s">
        <v>35</v>
      </c>
      <c r="S3" s="221"/>
      <c r="T3" s="210"/>
      <c r="U3" s="157"/>
      <c r="V3"/>
    </row>
    <row r="4" spans="1:22" x14ac:dyDescent="0.25">
      <c r="A4" s="908" t="s">
        <v>143</v>
      </c>
      <c r="B4" s="1001" t="s">
        <v>897</v>
      </c>
      <c r="C4" s="1001" t="s">
        <v>289</v>
      </c>
      <c r="D4" s="1001" t="s">
        <v>69</v>
      </c>
      <c r="E4" s="902" t="s">
        <v>1106</v>
      </c>
      <c r="F4" s="1031" t="s">
        <v>382</v>
      </c>
      <c r="G4" s="215"/>
      <c r="H4" s="908" t="s">
        <v>873</v>
      </c>
      <c r="I4" s="932" t="s">
        <v>1508</v>
      </c>
      <c r="J4" s="933" t="s">
        <v>1509</v>
      </c>
      <c r="K4" s="215"/>
      <c r="L4" s="908" t="s">
        <v>873</v>
      </c>
      <c r="M4" s="930" t="s">
        <v>1476</v>
      </c>
      <c r="N4" s="215"/>
      <c r="O4" s="1028" t="s">
        <v>46</v>
      </c>
      <c r="P4" s="932" t="s">
        <v>47</v>
      </c>
      <c r="Q4" s="132" t="s">
        <v>73</v>
      </c>
      <c r="R4" s="932" t="s">
        <v>1107</v>
      </c>
      <c r="S4" s="933" t="s">
        <v>100</v>
      </c>
      <c r="T4" s="215"/>
      <c r="U4" s="1022" t="s">
        <v>1108</v>
      </c>
      <c r="V4"/>
    </row>
    <row r="5" spans="1:22" x14ac:dyDescent="0.25">
      <c r="A5" s="908"/>
      <c r="B5" s="1001"/>
      <c r="C5" s="1001"/>
      <c r="D5" s="1001"/>
      <c r="E5" s="903"/>
      <c r="F5" s="1031"/>
      <c r="G5" s="215"/>
      <c r="H5" s="908"/>
      <c r="I5" s="932"/>
      <c r="J5" s="933"/>
      <c r="K5" s="215"/>
      <c r="L5" s="908"/>
      <c r="M5" s="930"/>
      <c r="N5" s="215"/>
      <c r="O5" s="1028"/>
      <c r="P5" s="932"/>
      <c r="Q5" s="132" t="s">
        <v>61</v>
      </c>
      <c r="R5" s="932"/>
      <c r="S5" s="933"/>
      <c r="T5" s="215"/>
      <c r="U5" s="1022"/>
      <c r="V5"/>
    </row>
    <row r="6" spans="1:22" x14ac:dyDescent="0.25">
      <c r="A6" s="908"/>
      <c r="B6" s="1001"/>
      <c r="C6" s="1001"/>
      <c r="D6" s="1001"/>
      <c r="E6" s="903"/>
      <c r="F6" s="1031"/>
      <c r="G6" s="215"/>
      <c r="H6" s="908"/>
      <c r="I6" s="932"/>
      <c r="J6" s="933"/>
      <c r="K6" s="215"/>
      <c r="L6" s="908"/>
      <c r="M6" s="930"/>
      <c r="N6" s="215"/>
      <c r="O6" s="1028"/>
      <c r="P6" s="932"/>
      <c r="Q6" s="132" t="s">
        <v>65</v>
      </c>
      <c r="R6" s="932"/>
      <c r="S6" s="933"/>
      <c r="T6" s="215"/>
      <c r="U6" s="1022"/>
      <c r="V6"/>
    </row>
    <row r="7" spans="1:22" x14ac:dyDescent="0.25">
      <c r="A7" s="908"/>
      <c r="B7" s="1001"/>
      <c r="C7" s="1001"/>
      <c r="D7" s="1001"/>
      <c r="E7" s="903"/>
      <c r="F7" s="1031"/>
      <c r="G7" s="215"/>
      <c r="H7" s="908"/>
      <c r="I7" s="932"/>
      <c r="J7" s="933"/>
      <c r="K7" s="215"/>
      <c r="L7" s="908"/>
      <c r="M7" s="930"/>
      <c r="N7" s="215"/>
      <c r="O7" s="1028"/>
      <c r="P7" s="932"/>
      <c r="Q7" s="132" t="s">
        <v>876</v>
      </c>
      <c r="R7" s="932"/>
      <c r="S7" s="933"/>
      <c r="T7" s="215"/>
      <c r="U7" s="1022"/>
      <c r="V7"/>
    </row>
    <row r="8" spans="1:22" x14ac:dyDescent="0.25">
      <c r="A8" s="908"/>
      <c r="B8" s="1001"/>
      <c r="C8" s="1001"/>
      <c r="D8" s="1001"/>
      <c r="E8" s="903"/>
      <c r="F8" s="1031"/>
      <c r="G8" s="215"/>
      <c r="H8" s="908"/>
      <c r="I8" s="932"/>
      <c r="J8" s="933"/>
      <c r="K8" s="215"/>
      <c r="L8" s="908"/>
      <c r="M8" s="930"/>
      <c r="N8" s="215"/>
      <c r="O8" s="1028" t="s">
        <v>117</v>
      </c>
      <c r="P8" s="932" t="s">
        <v>25</v>
      </c>
      <c r="Q8" s="132" t="s">
        <v>26</v>
      </c>
      <c r="R8" s="932"/>
      <c r="S8" s="933"/>
      <c r="T8" s="215"/>
      <c r="U8" s="1022"/>
      <c r="V8"/>
    </row>
    <row r="9" spans="1:22" x14ac:dyDescent="0.25">
      <c r="A9" s="908"/>
      <c r="B9" s="1001"/>
      <c r="C9" s="1001"/>
      <c r="D9" s="1001"/>
      <c r="E9" s="903"/>
      <c r="F9" s="1031"/>
      <c r="G9" s="215"/>
      <c r="H9" s="908"/>
      <c r="I9" s="932"/>
      <c r="J9" s="933"/>
      <c r="K9" s="215"/>
      <c r="L9" s="908"/>
      <c r="M9" s="930"/>
      <c r="N9" s="215"/>
      <c r="O9" s="1028"/>
      <c r="P9" s="932"/>
      <c r="Q9" s="132" t="s">
        <v>28</v>
      </c>
      <c r="R9" s="932"/>
      <c r="S9" s="933"/>
      <c r="T9" s="215"/>
      <c r="U9" s="1022"/>
      <c r="V9"/>
    </row>
    <row r="10" spans="1:22" x14ac:dyDescent="0.25">
      <c r="A10" s="908"/>
      <c r="B10" s="1001"/>
      <c r="C10" s="1001"/>
      <c r="D10" s="1001"/>
      <c r="E10" s="903"/>
      <c r="F10" s="1031"/>
      <c r="G10" s="215"/>
      <c r="H10" s="908"/>
      <c r="I10" s="932"/>
      <c r="J10" s="933"/>
      <c r="K10" s="215"/>
      <c r="L10" s="908"/>
      <c r="M10" s="930"/>
      <c r="N10" s="215"/>
      <c r="O10" s="1028"/>
      <c r="P10" s="932"/>
      <c r="Q10" s="132" t="s">
        <v>29</v>
      </c>
      <c r="R10" s="932"/>
      <c r="S10" s="933"/>
      <c r="T10" s="215"/>
      <c r="U10" s="1022"/>
      <c r="V10"/>
    </row>
    <row r="11" spans="1:22" x14ac:dyDescent="0.25">
      <c r="A11" s="908"/>
      <c r="B11" s="1001"/>
      <c r="C11" s="1001"/>
      <c r="D11" s="1001"/>
      <c r="E11" s="904"/>
      <c r="F11" s="1031"/>
      <c r="G11" s="215"/>
      <c r="H11" s="908"/>
      <c r="I11" s="932"/>
      <c r="J11" s="933"/>
      <c r="K11" s="215"/>
      <c r="L11" s="908"/>
      <c r="M11" s="930"/>
      <c r="N11" s="215"/>
      <c r="O11" s="1028"/>
      <c r="P11" s="932"/>
      <c r="Q11" s="132" t="s">
        <v>30</v>
      </c>
      <c r="R11" s="932"/>
      <c r="S11" s="933"/>
      <c r="T11" s="215"/>
      <c r="U11" s="1022"/>
      <c r="V11"/>
    </row>
    <row r="12" spans="1:22" ht="107.25" customHeight="1" x14ac:dyDescent="0.25">
      <c r="A12" s="125" t="s">
        <v>89</v>
      </c>
      <c r="B12" s="126" t="s">
        <v>897</v>
      </c>
      <c r="C12" s="126" t="s">
        <v>292</v>
      </c>
      <c r="D12" s="126" t="s">
        <v>293</v>
      </c>
      <c r="E12" s="149" t="s">
        <v>1109</v>
      </c>
      <c r="F12" s="235" t="s">
        <v>294</v>
      </c>
      <c r="G12" s="210"/>
      <c r="H12" s="389" t="s">
        <v>817</v>
      </c>
      <c r="I12" s="457" t="s">
        <v>1492</v>
      </c>
      <c r="J12" s="464" t="s">
        <v>1493</v>
      </c>
      <c r="K12" s="210"/>
      <c r="L12" s="540" t="s">
        <v>1676</v>
      </c>
      <c r="M12" s="538" t="s">
        <v>1476</v>
      </c>
      <c r="N12" s="210"/>
      <c r="O12" s="236" t="s">
        <v>90</v>
      </c>
      <c r="P12" s="220" t="s">
        <v>25</v>
      </c>
      <c r="Q12" s="232" t="s">
        <v>91</v>
      </c>
      <c r="R12" s="220" t="s">
        <v>92</v>
      </c>
      <c r="S12" s="221"/>
      <c r="T12" s="210"/>
      <c r="U12" s="157"/>
      <c r="V12"/>
    </row>
    <row r="13" spans="1:22" ht="33.950000000000003" customHeight="1" x14ac:dyDescent="0.25">
      <c r="A13" s="131" t="s">
        <v>95</v>
      </c>
      <c r="B13" s="132" t="s">
        <v>897</v>
      </c>
      <c r="C13" s="132" t="s">
        <v>383</v>
      </c>
      <c r="D13" s="132" t="s">
        <v>22</v>
      </c>
      <c r="E13" s="152" t="s">
        <v>1110</v>
      </c>
      <c r="F13" s="233" t="s">
        <v>384</v>
      </c>
      <c r="G13" s="215"/>
      <c r="H13" s="378" t="s">
        <v>818</v>
      </c>
      <c r="I13" s="459" t="s">
        <v>1494</v>
      </c>
      <c r="J13" s="460" t="s">
        <v>1495</v>
      </c>
      <c r="K13" s="215"/>
      <c r="L13" s="547" t="s">
        <v>818</v>
      </c>
      <c r="M13" s="392" t="s">
        <v>1476</v>
      </c>
      <c r="N13" s="215"/>
      <c r="O13" s="216" t="s">
        <v>90</v>
      </c>
      <c r="P13" s="133" t="s">
        <v>25</v>
      </c>
      <c r="Q13" s="132" t="s">
        <v>96</v>
      </c>
      <c r="R13" s="133" t="s">
        <v>97</v>
      </c>
      <c r="S13" s="152"/>
      <c r="T13" s="215"/>
      <c r="U13" s="158"/>
      <c r="V13"/>
    </row>
    <row r="14" spans="1:22" x14ac:dyDescent="0.25">
      <c r="A14" s="1018" t="s">
        <v>98</v>
      </c>
      <c r="B14" s="1019" t="s">
        <v>897</v>
      </c>
      <c r="C14" s="1019" t="s">
        <v>295</v>
      </c>
      <c r="D14" s="1019" t="s">
        <v>69</v>
      </c>
      <c r="E14" s="905" t="s">
        <v>1111</v>
      </c>
      <c r="F14" s="1026" t="s">
        <v>385</v>
      </c>
      <c r="G14" s="210"/>
      <c r="H14" s="911" t="s">
        <v>819</v>
      </c>
      <c r="I14" s="934" t="s">
        <v>1496</v>
      </c>
      <c r="J14" s="959" t="s">
        <v>1497</v>
      </c>
      <c r="K14" s="210"/>
      <c r="L14" s="1029" t="s">
        <v>1679</v>
      </c>
      <c r="M14" s="996" t="s">
        <v>1484</v>
      </c>
      <c r="N14" s="210"/>
      <c r="O14" s="1027" t="s">
        <v>46</v>
      </c>
      <c r="P14" s="1020" t="s">
        <v>47</v>
      </c>
      <c r="Q14" s="1030" t="s">
        <v>102</v>
      </c>
      <c r="R14" s="1020" t="s">
        <v>99</v>
      </c>
      <c r="S14" s="1021" t="s">
        <v>100</v>
      </c>
      <c r="T14" s="210"/>
      <c r="U14" s="1023"/>
      <c r="V14"/>
    </row>
    <row r="15" spans="1:22" x14ac:dyDescent="0.25">
      <c r="A15" s="1018"/>
      <c r="B15" s="1019"/>
      <c r="C15" s="1019"/>
      <c r="D15" s="1019"/>
      <c r="E15" s="906"/>
      <c r="F15" s="1026"/>
      <c r="G15" s="210"/>
      <c r="H15" s="911"/>
      <c r="I15" s="934"/>
      <c r="J15" s="959"/>
      <c r="K15" s="210"/>
      <c r="L15" s="1029"/>
      <c r="M15" s="996"/>
      <c r="N15" s="210"/>
      <c r="O15" s="1027"/>
      <c r="P15" s="1020"/>
      <c r="Q15" s="1030"/>
      <c r="R15" s="1020"/>
      <c r="S15" s="1021"/>
      <c r="T15" s="210"/>
      <c r="U15" s="1024"/>
      <c r="V15"/>
    </row>
    <row r="16" spans="1:22" x14ac:dyDescent="0.25">
      <c r="A16" s="1018"/>
      <c r="B16" s="1019"/>
      <c r="C16" s="1019"/>
      <c r="D16" s="1019"/>
      <c r="E16" s="906"/>
      <c r="F16" s="1026"/>
      <c r="G16" s="210"/>
      <c r="H16" s="911"/>
      <c r="I16" s="934"/>
      <c r="J16" s="959"/>
      <c r="K16" s="210"/>
      <c r="L16" s="1029"/>
      <c r="M16" s="996"/>
      <c r="N16" s="210"/>
      <c r="O16" s="1027"/>
      <c r="P16" s="1020"/>
      <c r="Q16" s="1030"/>
      <c r="R16" s="1020"/>
      <c r="S16" s="1021"/>
      <c r="T16" s="210"/>
      <c r="U16" s="1024"/>
      <c r="V16"/>
    </row>
    <row r="17" spans="1:22" x14ac:dyDescent="0.25">
      <c r="A17" s="1018"/>
      <c r="B17" s="1019"/>
      <c r="C17" s="1019"/>
      <c r="D17" s="1019"/>
      <c r="E17" s="906"/>
      <c r="F17" s="1026"/>
      <c r="G17" s="210"/>
      <c r="H17" s="911"/>
      <c r="I17" s="934"/>
      <c r="J17" s="959"/>
      <c r="K17" s="210"/>
      <c r="L17" s="1029"/>
      <c r="M17" s="996"/>
      <c r="N17" s="210"/>
      <c r="O17" s="1027"/>
      <c r="P17" s="1020"/>
      <c r="Q17" s="232" t="s">
        <v>61</v>
      </c>
      <c r="R17" s="1020"/>
      <c r="S17" s="1021"/>
      <c r="T17" s="210"/>
      <c r="U17" s="1024"/>
      <c r="V17"/>
    </row>
    <row r="18" spans="1:22" x14ac:dyDescent="0.25">
      <c r="A18" s="1018"/>
      <c r="B18" s="1019"/>
      <c r="C18" s="1019"/>
      <c r="D18" s="1019"/>
      <c r="E18" s="906"/>
      <c r="F18" s="1026"/>
      <c r="G18" s="210"/>
      <c r="H18" s="911"/>
      <c r="I18" s="934"/>
      <c r="J18" s="959"/>
      <c r="K18" s="210"/>
      <c r="L18" s="1029"/>
      <c r="M18" s="996"/>
      <c r="N18" s="210"/>
      <c r="O18" s="1027"/>
      <c r="P18" s="1020"/>
      <c r="Q18" s="232" t="s">
        <v>65</v>
      </c>
      <c r="R18" s="1020"/>
      <c r="S18" s="1021"/>
      <c r="T18" s="210"/>
      <c r="U18" s="1024"/>
      <c r="V18"/>
    </row>
    <row r="19" spans="1:22" ht="30" x14ac:dyDescent="0.25">
      <c r="A19" s="1018"/>
      <c r="B19" s="1019"/>
      <c r="C19" s="1019"/>
      <c r="D19" s="1019"/>
      <c r="E19" s="906"/>
      <c r="F19" s="1026"/>
      <c r="G19" s="210"/>
      <c r="H19" s="911"/>
      <c r="I19" s="934"/>
      <c r="J19" s="959"/>
      <c r="K19" s="210"/>
      <c r="L19" s="1029"/>
      <c r="M19" s="996"/>
      <c r="N19" s="210"/>
      <c r="O19" s="236" t="s">
        <v>1112</v>
      </c>
      <c r="P19" s="220" t="s">
        <v>80</v>
      </c>
      <c r="Q19" s="232" t="s">
        <v>107</v>
      </c>
      <c r="R19" s="1020"/>
      <c r="S19" s="1021"/>
      <c r="T19" s="210"/>
      <c r="U19" s="1024"/>
      <c r="V19"/>
    </row>
    <row r="20" spans="1:22" x14ac:dyDescent="0.25">
      <c r="A20" s="1018"/>
      <c r="B20" s="1019"/>
      <c r="C20" s="1019"/>
      <c r="D20" s="1019"/>
      <c r="E20" s="906"/>
      <c r="F20" s="1026"/>
      <c r="G20" s="210"/>
      <c r="H20" s="911"/>
      <c r="I20" s="934"/>
      <c r="J20" s="959"/>
      <c r="K20" s="210"/>
      <c r="L20" s="1029"/>
      <c r="M20" s="996"/>
      <c r="N20" s="210"/>
      <c r="O20" s="1027" t="s">
        <v>79</v>
      </c>
      <c r="P20" s="1020" t="s">
        <v>80</v>
      </c>
      <c r="Q20" s="232" t="s">
        <v>104</v>
      </c>
      <c r="R20" s="1020"/>
      <c r="S20" s="1021"/>
      <c r="T20" s="210"/>
      <c r="U20" s="1024"/>
      <c r="V20"/>
    </row>
    <row r="21" spans="1:22" x14ac:dyDescent="0.25">
      <c r="A21" s="1018"/>
      <c r="B21" s="1019"/>
      <c r="C21" s="1019"/>
      <c r="D21" s="1019"/>
      <c r="E21" s="906"/>
      <c r="F21" s="1026"/>
      <c r="G21" s="210"/>
      <c r="H21" s="911"/>
      <c r="I21" s="934"/>
      <c r="J21" s="959"/>
      <c r="K21" s="210"/>
      <c r="L21" s="1029"/>
      <c r="M21" s="996"/>
      <c r="N21" s="210"/>
      <c r="O21" s="1027"/>
      <c r="P21" s="1020"/>
      <c r="Q21" s="232" t="s">
        <v>105</v>
      </c>
      <c r="R21" s="1020"/>
      <c r="S21" s="1021"/>
      <c r="T21" s="210"/>
      <c r="U21" s="1024"/>
      <c r="V21"/>
    </row>
    <row r="22" spans="1:22" x14ac:dyDescent="0.25">
      <c r="A22" s="1018"/>
      <c r="B22" s="1019"/>
      <c r="C22" s="1019"/>
      <c r="D22" s="1019"/>
      <c r="E22" s="906"/>
      <c r="F22" s="1026"/>
      <c r="G22" s="210"/>
      <c r="H22" s="911"/>
      <c r="I22" s="934"/>
      <c r="J22" s="959"/>
      <c r="K22" s="210"/>
      <c r="L22" s="1029"/>
      <c r="M22" s="996"/>
      <c r="N22" s="210"/>
      <c r="O22" s="1027"/>
      <c r="P22" s="1020"/>
      <c r="Q22" s="270" t="s">
        <v>85</v>
      </c>
      <c r="R22" s="1020"/>
      <c r="S22" s="1021"/>
      <c r="T22" s="210"/>
      <c r="U22" s="1024"/>
      <c r="V22"/>
    </row>
    <row r="23" spans="1:22" x14ac:dyDescent="0.25">
      <c r="A23" s="1018"/>
      <c r="B23" s="1019"/>
      <c r="C23" s="1019"/>
      <c r="D23" s="1019"/>
      <c r="E23" s="906"/>
      <c r="F23" s="1026"/>
      <c r="G23" s="210"/>
      <c r="H23" s="911"/>
      <c r="I23" s="934"/>
      <c r="J23" s="959"/>
      <c r="K23" s="210"/>
      <c r="L23" s="1029"/>
      <c r="M23" s="996"/>
      <c r="N23" s="210"/>
      <c r="O23" s="1027" t="s">
        <v>117</v>
      </c>
      <c r="P23" s="1020" t="s">
        <v>25</v>
      </c>
      <c r="Q23" s="232" t="s">
        <v>26</v>
      </c>
      <c r="R23" s="1020"/>
      <c r="S23" s="1021"/>
      <c r="T23" s="210"/>
      <c r="U23" s="1024"/>
      <c r="V23"/>
    </row>
    <row r="24" spans="1:22" x14ac:dyDescent="0.25">
      <c r="A24" s="1018"/>
      <c r="B24" s="1019"/>
      <c r="C24" s="1019"/>
      <c r="D24" s="1019"/>
      <c r="E24" s="906"/>
      <c r="F24" s="1026"/>
      <c r="G24" s="210"/>
      <c r="H24" s="911"/>
      <c r="I24" s="934"/>
      <c r="J24" s="959"/>
      <c r="K24" s="210"/>
      <c r="L24" s="1029"/>
      <c r="M24" s="996"/>
      <c r="N24" s="210"/>
      <c r="O24" s="1027"/>
      <c r="P24" s="1020"/>
      <c r="Q24" s="232" t="s">
        <v>28</v>
      </c>
      <c r="R24" s="1020"/>
      <c r="S24" s="1021"/>
      <c r="T24" s="210"/>
      <c r="U24" s="1024"/>
      <c r="V24"/>
    </row>
    <row r="25" spans="1:22" x14ac:dyDescent="0.25">
      <c r="A25" s="1018"/>
      <c r="B25" s="1019"/>
      <c r="C25" s="1019"/>
      <c r="D25" s="1019"/>
      <c r="E25" s="906"/>
      <c r="F25" s="1026"/>
      <c r="G25" s="210"/>
      <c r="H25" s="911"/>
      <c r="I25" s="934"/>
      <c r="J25" s="959"/>
      <c r="K25" s="210"/>
      <c r="L25" s="1029"/>
      <c r="M25" s="996"/>
      <c r="N25" s="210"/>
      <c r="O25" s="1027"/>
      <c r="P25" s="1020"/>
      <c r="Q25" s="232" t="s">
        <v>29</v>
      </c>
      <c r="R25" s="1020"/>
      <c r="S25" s="1021"/>
      <c r="T25" s="210"/>
      <c r="U25" s="1024"/>
      <c r="V25"/>
    </row>
    <row r="26" spans="1:22" x14ac:dyDescent="0.25">
      <c r="A26" s="1018"/>
      <c r="B26" s="1019"/>
      <c r="C26" s="1019"/>
      <c r="D26" s="1019"/>
      <c r="E26" s="907"/>
      <c r="F26" s="1026"/>
      <c r="G26" s="210"/>
      <c r="H26" s="911"/>
      <c r="I26" s="934"/>
      <c r="J26" s="959"/>
      <c r="K26" s="210"/>
      <c r="L26" s="1029"/>
      <c r="M26" s="996"/>
      <c r="N26" s="210"/>
      <c r="O26" s="1027"/>
      <c r="P26" s="1020"/>
      <c r="Q26" s="232" t="s">
        <v>30</v>
      </c>
      <c r="R26" s="1020"/>
      <c r="S26" s="1021"/>
      <c r="T26" s="210"/>
      <c r="U26" s="1025"/>
      <c r="V26"/>
    </row>
    <row r="27" spans="1:22" ht="43.5" customHeight="1" x14ac:dyDescent="0.25">
      <c r="A27" s="131" t="s">
        <v>108</v>
      </c>
      <c r="B27" s="132" t="s">
        <v>897</v>
      </c>
      <c r="C27" s="132" t="s">
        <v>297</v>
      </c>
      <c r="D27" s="132" t="s">
        <v>69</v>
      </c>
      <c r="E27" s="461" t="s">
        <v>1113</v>
      </c>
      <c r="F27" s="233" t="s">
        <v>386</v>
      </c>
      <c r="G27" s="215"/>
      <c r="H27" s="397" t="s">
        <v>739</v>
      </c>
      <c r="I27" s="465" t="s">
        <v>739</v>
      </c>
      <c r="J27" s="466" t="s">
        <v>739</v>
      </c>
      <c r="K27" s="215"/>
      <c r="L27" s="547" t="s">
        <v>1473</v>
      </c>
      <c r="M27" s="392" t="s">
        <v>1476</v>
      </c>
      <c r="N27" s="215"/>
      <c r="O27" s="131" t="s">
        <v>109</v>
      </c>
      <c r="P27" s="132" t="s">
        <v>109</v>
      </c>
      <c r="Q27" s="132" t="s">
        <v>109</v>
      </c>
      <c r="R27" s="132" t="s">
        <v>109</v>
      </c>
      <c r="S27" s="134" t="s">
        <v>109</v>
      </c>
      <c r="T27" s="215"/>
      <c r="U27" s="158"/>
      <c r="V27"/>
    </row>
    <row r="28" spans="1:22" ht="14.45" customHeight="1" x14ac:dyDescent="0.25">
      <c r="A28" s="1018" t="s">
        <v>302</v>
      </c>
      <c r="B28" s="1019" t="s">
        <v>1233</v>
      </c>
      <c r="C28" s="1019" t="s">
        <v>387</v>
      </c>
      <c r="D28" s="1019" t="s">
        <v>39</v>
      </c>
      <c r="E28" s="905" t="s">
        <v>1114</v>
      </c>
      <c r="F28" s="1026" t="s">
        <v>388</v>
      </c>
      <c r="G28" s="210"/>
      <c r="H28" s="911" t="s">
        <v>874</v>
      </c>
      <c r="I28" s="934" t="s">
        <v>1510</v>
      </c>
      <c r="J28" s="959" t="s">
        <v>1511</v>
      </c>
      <c r="K28" s="210"/>
      <c r="L28" s="954" t="s">
        <v>874</v>
      </c>
      <c r="M28" s="931" t="s">
        <v>1477</v>
      </c>
      <c r="N28" s="210"/>
      <c r="O28" s="1027" t="s">
        <v>41</v>
      </c>
      <c r="P28" s="1020" t="s">
        <v>1115</v>
      </c>
      <c r="Q28" s="232" t="s">
        <v>43</v>
      </c>
      <c r="R28" s="1020" t="s">
        <v>1116</v>
      </c>
      <c r="S28" s="1021"/>
      <c r="T28" s="210"/>
      <c r="U28" s="1023"/>
      <c r="V28"/>
    </row>
    <row r="29" spans="1:22" x14ac:dyDescent="0.25">
      <c r="A29" s="1018"/>
      <c r="B29" s="1019"/>
      <c r="C29" s="1019"/>
      <c r="D29" s="1019"/>
      <c r="E29" s="906"/>
      <c r="F29" s="1026"/>
      <c r="G29" s="210"/>
      <c r="H29" s="911"/>
      <c r="I29" s="934"/>
      <c r="J29" s="959"/>
      <c r="K29" s="210"/>
      <c r="L29" s="954"/>
      <c r="M29" s="931"/>
      <c r="N29" s="210"/>
      <c r="O29" s="1027"/>
      <c r="P29" s="1020"/>
      <c r="Q29" s="232" t="s">
        <v>45</v>
      </c>
      <c r="R29" s="1020"/>
      <c r="S29" s="1021"/>
      <c r="T29" s="210"/>
      <c r="U29" s="1024"/>
      <c r="V29"/>
    </row>
    <row r="30" spans="1:22" x14ac:dyDescent="0.25">
      <c r="A30" s="1018"/>
      <c r="B30" s="1019"/>
      <c r="C30" s="1019"/>
      <c r="D30" s="1019"/>
      <c r="E30" s="907"/>
      <c r="F30" s="1026"/>
      <c r="G30" s="210"/>
      <c r="H30" s="911"/>
      <c r="I30" s="934"/>
      <c r="J30" s="959"/>
      <c r="K30" s="210"/>
      <c r="L30" s="954"/>
      <c r="M30" s="931"/>
      <c r="N30" s="210"/>
      <c r="O30" s="236" t="s">
        <v>674</v>
      </c>
      <c r="P30" s="220" t="s">
        <v>25</v>
      </c>
      <c r="Q30" s="232" t="s">
        <v>788</v>
      </c>
      <c r="R30" s="1020"/>
      <c r="S30" s="1021"/>
      <c r="T30" s="210"/>
      <c r="U30" s="1025"/>
      <c r="V30"/>
    </row>
    <row r="31" spans="1:22" ht="43.5" customHeight="1" x14ac:dyDescent="0.25">
      <c r="A31" s="131" t="s">
        <v>305</v>
      </c>
      <c r="B31" s="132" t="s">
        <v>1233</v>
      </c>
      <c r="C31" s="132" t="s">
        <v>306</v>
      </c>
      <c r="D31" s="132" t="s">
        <v>265</v>
      </c>
      <c r="E31" s="461" t="s">
        <v>1117</v>
      </c>
      <c r="F31" s="233" t="s">
        <v>307</v>
      </c>
      <c r="G31" s="215"/>
      <c r="H31" s="378" t="s">
        <v>875</v>
      </c>
      <c r="I31" s="459" t="s">
        <v>1442</v>
      </c>
      <c r="J31" s="461" t="s">
        <v>1512</v>
      </c>
      <c r="K31" s="215"/>
      <c r="L31" s="547" t="s">
        <v>875</v>
      </c>
      <c r="M31" s="392" t="s">
        <v>1476</v>
      </c>
      <c r="N31" s="215"/>
      <c r="O31" s="216" t="s">
        <v>674</v>
      </c>
      <c r="P31" s="133" t="s">
        <v>25</v>
      </c>
      <c r="Q31" s="132" t="s">
        <v>790</v>
      </c>
      <c r="R31" s="133" t="s">
        <v>1118</v>
      </c>
      <c r="S31" s="152"/>
      <c r="T31" s="215"/>
      <c r="U31" s="158"/>
      <c r="V31"/>
    </row>
    <row r="32" spans="1:22" ht="30" customHeight="1" x14ac:dyDescent="0.25">
      <c r="A32" s="125" t="s">
        <v>389</v>
      </c>
      <c r="B32" s="126" t="s">
        <v>889</v>
      </c>
      <c r="C32" s="126" t="s">
        <v>390</v>
      </c>
      <c r="D32" s="126" t="s">
        <v>22</v>
      </c>
      <c r="E32" s="411" t="s">
        <v>1119</v>
      </c>
      <c r="F32" s="235" t="s">
        <v>391</v>
      </c>
      <c r="G32" s="210"/>
      <c r="H32" s="389" t="s">
        <v>1121</v>
      </c>
      <c r="I32" s="457" t="s">
        <v>1513</v>
      </c>
      <c r="J32" s="464" t="s">
        <v>1514</v>
      </c>
      <c r="K32" s="210"/>
      <c r="L32" s="545" t="s">
        <v>1121</v>
      </c>
      <c r="M32" s="406" t="s">
        <v>1476</v>
      </c>
      <c r="N32" s="210"/>
      <c r="O32" s="236" t="s">
        <v>988</v>
      </c>
      <c r="P32" s="220" t="s">
        <v>25</v>
      </c>
      <c r="Q32" s="232" t="s">
        <v>989</v>
      </c>
      <c r="R32" s="220" t="s">
        <v>1120</v>
      </c>
      <c r="S32" s="221"/>
      <c r="T32" s="210"/>
      <c r="U32" s="157"/>
      <c r="V32"/>
    </row>
    <row r="33" spans="1:22" ht="58.5" customHeight="1" x14ac:dyDescent="0.25">
      <c r="A33" s="131" t="s">
        <v>392</v>
      </c>
      <c r="B33" s="132" t="s">
        <v>889</v>
      </c>
      <c r="C33" s="132" t="s">
        <v>393</v>
      </c>
      <c r="D33" s="132" t="s">
        <v>22</v>
      </c>
      <c r="E33" s="461" t="s">
        <v>1122</v>
      </c>
      <c r="F33" s="233" t="s">
        <v>394</v>
      </c>
      <c r="G33" s="215"/>
      <c r="H33" s="378" t="s">
        <v>1125</v>
      </c>
      <c r="I33" s="459" t="s">
        <v>1515</v>
      </c>
      <c r="J33" s="460" t="s">
        <v>1516</v>
      </c>
      <c r="K33" s="215"/>
      <c r="L33" s="544" t="s">
        <v>1125</v>
      </c>
      <c r="M33" s="392" t="s">
        <v>1476</v>
      </c>
      <c r="N33" s="215"/>
      <c r="O33" s="216" t="s">
        <v>988</v>
      </c>
      <c r="P33" s="133" t="s">
        <v>25</v>
      </c>
      <c r="Q33" s="132" t="s">
        <v>1123</v>
      </c>
      <c r="R33" s="133" t="s">
        <v>1124</v>
      </c>
      <c r="S33" s="152"/>
      <c r="T33" s="215"/>
      <c r="U33" s="158"/>
      <c r="V33"/>
    </row>
    <row r="34" spans="1:22" ht="324" customHeight="1" x14ac:dyDescent="0.25">
      <c r="A34" s="125" t="s">
        <v>395</v>
      </c>
      <c r="B34" s="126" t="s">
        <v>889</v>
      </c>
      <c r="C34" s="126" t="s">
        <v>396</v>
      </c>
      <c r="D34" s="126" t="s">
        <v>22</v>
      </c>
      <c r="E34" s="411" t="s">
        <v>1126</v>
      </c>
      <c r="F34" s="235" t="s">
        <v>397</v>
      </c>
      <c r="G34" s="210"/>
      <c r="H34" s="467" t="s">
        <v>739</v>
      </c>
      <c r="I34" s="455" t="s">
        <v>739</v>
      </c>
      <c r="J34" s="456" t="s">
        <v>739</v>
      </c>
      <c r="K34" s="210"/>
      <c r="L34" s="551" t="s">
        <v>1706</v>
      </c>
      <c r="M34" s="538" t="s">
        <v>1483</v>
      </c>
      <c r="N34" s="210"/>
      <c r="O34" s="236" t="s">
        <v>1127</v>
      </c>
      <c r="P34" s="220" t="s">
        <v>25</v>
      </c>
      <c r="Q34" s="232" t="s">
        <v>1128</v>
      </c>
      <c r="R34" s="220" t="s">
        <v>1129</v>
      </c>
      <c r="S34" s="221"/>
      <c r="T34" s="210"/>
      <c r="U34" s="159" t="s">
        <v>928</v>
      </c>
      <c r="V34"/>
    </row>
    <row r="35" spans="1:22" ht="324" customHeight="1" x14ac:dyDescent="0.25">
      <c r="A35" s="131" t="s">
        <v>398</v>
      </c>
      <c r="B35" s="132" t="s">
        <v>889</v>
      </c>
      <c r="C35" s="132" t="s">
        <v>399</v>
      </c>
      <c r="D35" s="132" t="s">
        <v>22</v>
      </c>
      <c r="E35" s="152" t="s">
        <v>1130</v>
      </c>
      <c r="F35" s="233" t="s">
        <v>400</v>
      </c>
      <c r="G35" s="215"/>
      <c r="H35" s="468" t="s">
        <v>739</v>
      </c>
      <c r="I35" s="454" t="s">
        <v>739</v>
      </c>
      <c r="J35" s="453" t="s">
        <v>739</v>
      </c>
      <c r="K35" s="215"/>
      <c r="L35" s="617" t="s">
        <v>1706</v>
      </c>
      <c r="M35" s="501" t="s">
        <v>1483</v>
      </c>
      <c r="N35" s="215"/>
      <c r="O35" s="216" t="s">
        <v>1127</v>
      </c>
      <c r="P35" s="133" t="s">
        <v>25</v>
      </c>
      <c r="Q35" s="132" t="s">
        <v>1128</v>
      </c>
      <c r="R35" s="133" t="s">
        <v>1129</v>
      </c>
      <c r="S35" s="152"/>
      <c r="T35" s="215"/>
      <c r="U35" s="160" t="s">
        <v>928</v>
      </c>
      <c r="V35"/>
    </row>
    <row r="36" spans="1:22" ht="324" customHeight="1" x14ac:dyDescent="0.25">
      <c r="A36" s="125" t="s">
        <v>401</v>
      </c>
      <c r="B36" s="126" t="s">
        <v>889</v>
      </c>
      <c r="C36" s="126" t="s">
        <v>402</v>
      </c>
      <c r="D36" s="126" t="s">
        <v>22</v>
      </c>
      <c r="E36" s="411" t="s">
        <v>1131</v>
      </c>
      <c r="F36" s="235" t="s">
        <v>403</v>
      </c>
      <c r="G36" s="210"/>
      <c r="H36" s="467" t="s">
        <v>739</v>
      </c>
      <c r="I36" s="455" t="s">
        <v>739</v>
      </c>
      <c r="J36" s="456" t="s">
        <v>739</v>
      </c>
      <c r="K36" s="210"/>
      <c r="L36" s="617" t="s">
        <v>1706</v>
      </c>
      <c r="M36" s="538" t="s">
        <v>1483</v>
      </c>
      <c r="N36" s="210"/>
      <c r="O36" s="236" t="s">
        <v>1127</v>
      </c>
      <c r="P36" s="220" t="s">
        <v>25</v>
      </c>
      <c r="Q36" s="232" t="s">
        <v>1128</v>
      </c>
      <c r="R36" s="220" t="s">
        <v>1129</v>
      </c>
      <c r="S36" s="221"/>
      <c r="T36" s="210"/>
      <c r="U36" s="159" t="s">
        <v>928</v>
      </c>
      <c r="V36"/>
    </row>
    <row r="37" spans="1:22" ht="27.95" customHeight="1" x14ac:dyDescent="0.25">
      <c r="A37" s="131" t="s">
        <v>404</v>
      </c>
      <c r="B37" s="132" t="s">
        <v>889</v>
      </c>
      <c r="C37" s="132" t="s">
        <v>405</v>
      </c>
      <c r="D37" s="132" t="s">
        <v>22</v>
      </c>
      <c r="E37" s="152" t="s">
        <v>1132</v>
      </c>
      <c r="F37" s="233" t="s">
        <v>406</v>
      </c>
      <c r="G37" s="215"/>
      <c r="H37" s="378" t="s">
        <v>1135</v>
      </c>
      <c r="I37" s="459" t="s">
        <v>1517</v>
      </c>
      <c r="J37" s="460" t="s">
        <v>1517</v>
      </c>
      <c r="K37" s="215"/>
      <c r="L37" s="550" t="s">
        <v>1135</v>
      </c>
      <c r="M37" s="392" t="s">
        <v>1476</v>
      </c>
      <c r="N37" s="215"/>
      <c r="O37" s="216" t="s">
        <v>988</v>
      </c>
      <c r="P37" s="133" t="s">
        <v>25</v>
      </c>
      <c r="Q37" s="132" t="s">
        <v>1133</v>
      </c>
      <c r="R37" s="133" t="s">
        <v>1134</v>
      </c>
      <c r="S37" s="152"/>
      <c r="T37" s="215"/>
      <c r="U37" s="158"/>
      <c r="V37"/>
    </row>
    <row r="38" spans="1:22" ht="206.25" customHeight="1" x14ac:dyDescent="0.25">
      <c r="A38" s="125" t="s">
        <v>407</v>
      </c>
      <c r="B38" s="126" t="s">
        <v>1288</v>
      </c>
      <c r="C38" s="126" t="s">
        <v>408</v>
      </c>
      <c r="D38" s="126" t="s">
        <v>22</v>
      </c>
      <c r="E38" s="149" t="s">
        <v>409</v>
      </c>
      <c r="F38" s="235" t="s">
        <v>409</v>
      </c>
      <c r="G38" s="210"/>
      <c r="H38" s="390" t="s">
        <v>739</v>
      </c>
      <c r="I38" s="462" t="s">
        <v>739</v>
      </c>
      <c r="J38" s="463" t="s">
        <v>739</v>
      </c>
      <c r="K38" s="210"/>
      <c r="L38" s="594" t="s">
        <v>1688</v>
      </c>
      <c r="M38" s="592" t="s">
        <v>1483</v>
      </c>
      <c r="N38" s="210"/>
      <c r="O38" s="236" t="s">
        <v>1136</v>
      </c>
      <c r="P38" s="220" t="s">
        <v>1140</v>
      </c>
      <c r="Q38" s="232" t="s">
        <v>1137</v>
      </c>
      <c r="R38" s="220" t="s">
        <v>1138</v>
      </c>
      <c r="S38" s="221"/>
      <c r="T38" s="210"/>
      <c r="U38" s="159" t="s">
        <v>928</v>
      </c>
      <c r="V38"/>
    </row>
    <row r="39" spans="1:22" ht="125.25" customHeight="1" x14ac:dyDescent="0.25">
      <c r="A39" s="131" t="s">
        <v>410</v>
      </c>
      <c r="B39" s="132" t="s">
        <v>1288</v>
      </c>
      <c r="C39" s="132" t="s">
        <v>411</v>
      </c>
      <c r="D39" s="132" t="s">
        <v>22</v>
      </c>
      <c r="E39" s="152" t="s">
        <v>1139</v>
      </c>
      <c r="F39" s="233" t="s">
        <v>412</v>
      </c>
      <c r="G39" s="215"/>
      <c r="H39" s="397" t="s">
        <v>739</v>
      </c>
      <c r="I39" s="465" t="s">
        <v>739</v>
      </c>
      <c r="J39" s="466" t="s">
        <v>739</v>
      </c>
      <c r="K39" s="215"/>
      <c r="L39" s="287" t="s">
        <v>1689</v>
      </c>
      <c r="M39" s="555" t="s">
        <v>1483</v>
      </c>
      <c r="N39" s="215"/>
      <c r="O39" s="216" t="s">
        <v>1136</v>
      </c>
      <c r="P39" s="133" t="s">
        <v>1140</v>
      </c>
      <c r="Q39" s="132" t="s">
        <v>1141</v>
      </c>
      <c r="R39" s="133" t="s">
        <v>1142</v>
      </c>
      <c r="S39" s="152"/>
      <c r="T39" s="215"/>
      <c r="U39" s="159" t="s">
        <v>928</v>
      </c>
      <c r="V39"/>
    </row>
    <row r="40" spans="1:22" ht="159.75" customHeight="1" x14ac:dyDescent="0.25">
      <c r="A40" s="125" t="s">
        <v>413</v>
      </c>
      <c r="B40" s="126" t="s">
        <v>1288</v>
      </c>
      <c r="C40" s="126" t="s">
        <v>414</v>
      </c>
      <c r="D40" s="126" t="s">
        <v>22</v>
      </c>
      <c r="E40" s="149" t="s">
        <v>1143</v>
      </c>
      <c r="F40" s="235" t="s">
        <v>415</v>
      </c>
      <c r="G40" s="210"/>
      <c r="H40" s="390" t="s">
        <v>739</v>
      </c>
      <c r="I40" s="462" t="s">
        <v>739</v>
      </c>
      <c r="J40" s="463" t="s">
        <v>739</v>
      </c>
      <c r="K40" s="210"/>
      <c r="L40" s="595" t="s">
        <v>1690</v>
      </c>
      <c r="M40" s="591" t="s">
        <v>1483</v>
      </c>
      <c r="N40" s="210"/>
      <c r="O40" s="236" t="s">
        <v>1136</v>
      </c>
      <c r="P40" s="220" t="s">
        <v>1140</v>
      </c>
      <c r="Q40" s="232" t="s">
        <v>1144</v>
      </c>
      <c r="R40" s="220" t="s">
        <v>1145</v>
      </c>
      <c r="S40" s="221"/>
      <c r="T40" s="210"/>
      <c r="U40" s="159" t="s">
        <v>928</v>
      </c>
      <c r="V40"/>
    </row>
    <row r="41" spans="1:22" ht="135" customHeight="1" x14ac:dyDescent="0.25">
      <c r="A41" s="131" t="s">
        <v>416</v>
      </c>
      <c r="B41" s="132" t="s">
        <v>1288</v>
      </c>
      <c r="C41" s="497" t="s">
        <v>417</v>
      </c>
      <c r="D41" s="132" t="s">
        <v>22</v>
      </c>
      <c r="E41" s="494" t="s">
        <v>1146</v>
      </c>
      <c r="F41" s="233" t="s">
        <v>418</v>
      </c>
      <c r="G41" s="215"/>
      <c r="H41" s="397" t="s">
        <v>739</v>
      </c>
      <c r="I41" s="465" t="s">
        <v>739</v>
      </c>
      <c r="J41" s="466" t="s">
        <v>739</v>
      </c>
      <c r="K41" s="215"/>
      <c r="L41" s="546" t="s">
        <v>1697</v>
      </c>
      <c r="M41" s="501" t="s">
        <v>1483</v>
      </c>
      <c r="N41" s="215"/>
      <c r="O41" s="131" t="s">
        <v>109</v>
      </c>
      <c r="P41" s="132" t="s">
        <v>109</v>
      </c>
      <c r="Q41" s="132" t="s">
        <v>109</v>
      </c>
      <c r="R41" s="132" t="s">
        <v>109</v>
      </c>
      <c r="S41" s="134" t="s">
        <v>109</v>
      </c>
      <c r="T41" s="215"/>
      <c r="U41" s="158"/>
      <c r="V41"/>
    </row>
    <row r="42" spans="1:22" ht="79.5" customHeight="1" x14ac:dyDescent="0.25">
      <c r="A42" s="125" t="s">
        <v>419</v>
      </c>
      <c r="B42" s="126" t="s">
        <v>1288</v>
      </c>
      <c r="C42" s="126" t="s">
        <v>420</v>
      </c>
      <c r="D42" s="126" t="s">
        <v>39</v>
      </c>
      <c r="E42" s="149" t="s">
        <v>1582</v>
      </c>
      <c r="F42" s="235" t="s">
        <v>421</v>
      </c>
      <c r="G42" s="210"/>
      <c r="H42" s="389" t="s">
        <v>1148</v>
      </c>
      <c r="I42" s="457" t="s">
        <v>1518</v>
      </c>
      <c r="J42" s="464" t="s">
        <v>1519</v>
      </c>
      <c r="K42" s="210"/>
      <c r="L42" s="549" t="s">
        <v>1691</v>
      </c>
      <c r="M42" s="538" t="s">
        <v>1476</v>
      </c>
      <c r="N42" s="210"/>
      <c r="O42" s="236" t="s">
        <v>678</v>
      </c>
      <c r="P42" s="220"/>
      <c r="Q42" s="232" t="s">
        <v>679</v>
      </c>
      <c r="R42" s="220" t="s">
        <v>1147</v>
      </c>
      <c r="S42" s="221"/>
      <c r="T42" s="210"/>
      <c r="U42" s="159" t="s">
        <v>928</v>
      </c>
      <c r="V42"/>
    </row>
    <row r="43" spans="1:22" ht="194.25" customHeight="1" x14ac:dyDescent="0.25">
      <c r="A43" s="131" t="s">
        <v>422</v>
      </c>
      <c r="B43" s="132" t="s">
        <v>1239</v>
      </c>
      <c r="C43" s="132" t="s">
        <v>423</v>
      </c>
      <c r="D43" s="132" t="s">
        <v>39</v>
      </c>
      <c r="E43" s="152" t="s">
        <v>1149</v>
      </c>
      <c r="F43" s="233" t="s">
        <v>424</v>
      </c>
      <c r="G43" s="215"/>
      <c r="H43" s="397" t="s">
        <v>739</v>
      </c>
      <c r="I43" s="465" t="s">
        <v>739</v>
      </c>
      <c r="J43" s="466" t="s">
        <v>739</v>
      </c>
      <c r="K43" s="215"/>
      <c r="L43" s="610" t="s">
        <v>1674</v>
      </c>
      <c r="M43" s="608" t="s">
        <v>1482</v>
      </c>
      <c r="N43" s="215"/>
      <c r="O43" s="216" t="s">
        <v>988</v>
      </c>
      <c r="P43" s="133" t="s">
        <v>25</v>
      </c>
      <c r="Q43" s="132" t="s">
        <v>1150</v>
      </c>
      <c r="R43" s="133" t="s">
        <v>1151</v>
      </c>
      <c r="S43" s="152"/>
      <c r="T43" s="215"/>
      <c r="U43" s="158"/>
      <c r="V43"/>
    </row>
    <row r="44" spans="1:22" ht="14.45" customHeight="1" x14ac:dyDescent="0.25">
      <c r="A44" s="1018" t="s">
        <v>425</v>
      </c>
      <c r="B44" s="1019" t="s">
        <v>1239</v>
      </c>
      <c r="C44" s="1019" t="s">
        <v>426</v>
      </c>
      <c r="D44" s="1019" t="s">
        <v>39</v>
      </c>
      <c r="E44" s="927" t="s">
        <v>1667</v>
      </c>
      <c r="F44" s="1026" t="s">
        <v>427</v>
      </c>
      <c r="G44" s="210"/>
      <c r="H44" s="1014" t="s">
        <v>739</v>
      </c>
      <c r="I44" s="960" t="s">
        <v>739</v>
      </c>
      <c r="J44" s="962" t="s">
        <v>739</v>
      </c>
      <c r="K44" s="210"/>
      <c r="L44" s="1032" t="s">
        <v>1698</v>
      </c>
      <c r="M44" s="997" t="s">
        <v>1482</v>
      </c>
      <c r="N44" s="210"/>
      <c r="O44" s="1027" t="s">
        <v>41</v>
      </c>
      <c r="P44" s="1020" t="s">
        <v>1152</v>
      </c>
      <c r="Q44" s="232" t="s">
        <v>43</v>
      </c>
      <c r="R44" s="1020" t="s">
        <v>1153</v>
      </c>
      <c r="S44" s="1021" t="s">
        <v>93</v>
      </c>
      <c r="T44" s="210"/>
      <c r="U44" s="161"/>
      <c r="V44"/>
    </row>
    <row r="45" spans="1:22" x14ac:dyDescent="0.25">
      <c r="A45" s="1018"/>
      <c r="B45" s="1019"/>
      <c r="C45" s="1019"/>
      <c r="D45" s="1019"/>
      <c r="E45" s="928"/>
      <c r="F45" s="1026"/>
      <c r="G45" s="210"/>
      <c r="H45" s="911"/>
      <c r="I45" s="961"/>
      <c r="J45" s="963"/>
      <c r="K45" s="210"/>
      <c r="L45" s="1032"/>
      <c r="M45" s="997"/>
      <c r="N45" s="210"/>
      <c r="O45" s="1027"/>
      <c r="P45" s="1020"/>
      <c r="Q45" s="232" t="s">
        <v>45</v>
      </c>
      <c r="R45" s="1020"/>
      <c r="S45" s="1021"/>
      <c r="T45" s="210"/>
      <c r="U45" s="162"/>
      <c r="V45"/>
    </row>
    <row r="46" spans="1:22" ht="179.25" customHeight="1" x14ac:dyDescent="0.25">
      <c r="A46" s="1018"/>
      <c r="B46" s="1019"/>
      <c r="C46" s="1019"/>
      <c r="D46" s="1019"/>
      <c r="E46" s="929"/>
      <c r="F46" s="1026"/>
      <c r="G46" s="210"/>
      <c r="H46" s="911"/>
      <c r="I46" s="961"/>
      <c r="J46" s="963"/>
      <c r="K46" s="210"/>
      <c r="L46" s="1032"/>
      <c r="M46" s="997"/>
      <c r="N46" s="210"/>
      <c r="O46" s="236" t="s">
        <v>988</v>
      </c>
      <c r="P46" s="220" t="s">
        <v>25</v>
      </c>
      <c r="Q46" s="232" t="s">
        <v>1154</v>
      </c>
      <c r="R46" s="1020"/>
      <c r="S46" s="1021"/>
      <c r="T46" s="210"/>
      <c r="U46" s="163"/>
      <c r="V46"/>
    </row>
    <row r="47" spans="1:22" ht="71.45" customHeight="1" x14ac:dyDescent="0.25">
      <c r="A47" s="131" t="s">
        <v>428</v>
      </c>
      <c r="B47" s="132" t="s">
        <v>1239</v>
      </c>
      <c r="C47" s="132" t="s">
        <v>429</v>
      </c>
      <c r="D47" s="132" t="s">
        <v>39</v>
      </c>
      <c r="E47" s="461" t="s">
        <v>1574</v>
      </c>
      <c r="F47" s="233" t="s">
        <v>430</v>
      </c>
      <c r="G47" s="215"/>
      <c r="H47" s="378" t="s">
        <v>1157</v>
      </c>
      <c r="I47" s="459" t="s">
        <v>1520</v>
      </c>
      <c r="J47" s="461" t="s">
        <v>1521</v>
      </c>
      <c r="K47" s="215"/>
      <c r="L47" s="553" t="s">
        <v>1157</v>
      </c>
      <c r="M47" s="392" t="s">
        <v>1477</v>
      </c>
      <c r="N47" s="215"/>
      <c r="O47" s="216" t="s">
        <v>988</v>
      </c>
      <c r="P47" s="133" t="s">
        <v>25</v>
      </c>
      <c r="Q47" s="132" t="s">
        <v>1155</v>
      </c>
      <c r="R47" s="133" t="s">
        <v>1156</v>
      </c>
      <c r="S47" s="152"/>
      <c r="T47" s="215"/>
      <c r="U47" s="158"/>
      <c r="V47"/>
    </row>
    <row r="48" spans="1:22" x14ac:dyDescent="0.25">
      <c r="A48" s="1018" t="s">
        <v>431</v>
      </c>
      <c r="B48" s="1019" t="s">
        <v>1237</v>
      </c>
      <c r="C48" s="1019" t="s">
        <v>432</v>
      </c>
      <c r="D48" s="1019" t="s">
        <v>39</v>
      </c>
      <c r="E48" s="905" t="s">
        <v>1575</v>
      </c>
      <c r="F48" s="1026" t="s">
        <v>433</v>
      </c>
      <c r="G48" s="210"/>
      <c r="H48" s="911" t="s">
        <v>1160</v>
      </c>
      <c r="I48" s="934" t="s">
        <v>1522</v>
      </c>
      <c r="J48" s="959" t="s">
        <v>1523</v>
      </c>
      <c r="K48" s="210"/>
      <c r="L48" s="910" t="s">
        <v>1160</v>
      </c>
      <c r="M48" s="997" t="s">
        <v>1477</v>
      </c>
      <c r="N48" s="210"/>
      <c r="O48" s="1027" t="s">
        <v>41</v>
      </c>
      <c r="P48" s="1020" t="s">
        <v>1158</v>
      </c>
      <c r="Q48" s="232" t="s">
        <v>43</v>
      </c>
      <c r="R48" s="1020" t="s">
        <v>1159</v>
      </c>
      <c r="S48" s="1021" t="s">
        <v>93</v>
      </c>
      <c r="T48" s="210"/>
      <c r="U48" s="1023"/>
      <c r="V48"/>
    </row>
    <row r="49" spans="1:22" x14ac:dyDescent="0.25">
      <c r="A49" s="1018"/>
      <c r="B49" s="1019"/>
      <c r="C49" s="1019"/>
      <c r="D49" s="1019"/>
      <c r="E49" s="906"/>
      <c r="F49" s="1026"/>
      <c r="G49" s="210"/>
      <c r="H49" s="911"/>
      <c r="I49" s="934"/>
      <c r="J49" s="959"/>
      <c r="K49" s="210"/>
      <c r="L49" s="910"/>
      <c r="M49" s="997"/>
      <c r="N49" s="210"/>
      <c r="O49" s="1027"/>
      <c r="P49" s="1020"/>
      <c r="Q49" s="232" t="s">
        <v>45</v>
      </c>
      <c r="R49" s="1020"/>
      <c r="S49" s="1021"/>
      <c r="T49" s="210"/>
      <c r="U49" s="1024"/>
      <c r="V49"/>
    </row>
    <row r="50" spans="1:22" x14ac:dyDescent="0.25">
      <c r="A50" s="1018"/>
      <c r="B50" s="1019"/>
      <c r="C50" s="1019"/>
      <c r="D50" s="1019"/>
      <c r="E50" s="907"/>
      <c r="F50" s="1026"/>
      <c r="G50" s="210"/>
      <c r="H50" s="911"/>
      <c r="I50" s="934"/>
      <c r="J50" s="959"/>
      <c r="K50" s="210"/>
      <c r="L50" s="910"/>
      <c r="M50" s="997"/>
      <c r="N50" s="210"/>
      <c r="O50" s="236" t="s">
        <v>90</v>
      </c>
      <c r="P50" s="220" t="s">
        <v>25</v>
      </c>
      <c r="Q50" s="232" t="s">
        <v>1161</v>
      </c>
      <c r="R50" s="1020"/>
      <c r="S50" s="1021"/>
      <c r="T50" s="210"/>
      <c r="U50" s="1025"/>
      <c r="V50"/>
    </row>
    <row r="51" spans="1:22" ht="112.5" customHeight="1" x14ac:dyDescent="0.25">
      <c r="A51" s="131" t="s">
        <v>434</v>
      </c>
      <c r="B51" s="132" t="s">
        <v>1237</v>
      </c>
      <c r="C51" s="132" t="s">
        <v>435</v>
      </c>
      <c r="D51" s="132" t="s">
        <v>265</v>
      </c>
      <c r="E51" s="461" t="s">
        <v>1576</v>
      </c>
      <c r="F51" s="233" t="s">
        <v>436</v>
      </c>
      <c r="G51" s="215"/>
      <c r="H51" s="378" t="s">
        <v>1164</v>
      </c>
      <c r="I51" s="459" t="s">
        <v>1524</v>
      </c>
      <c r="J51" s="461" t="s">
        <v>1525</v>
      </c>
      <c r="K51" s="215"/>
      <c r="L51" s="544" t="s">
        <v>1657</v>
      </c>
      <c r="M51" s="555" t="s">
        <v>1476</v>
      </c>
      <c r="N51" s="215"/>
      <c r="O51" s="216" t="s">
        <v>90</v>
      </c>
      <c r="P51" s="133" t="s">
        <v>25</v>
      </c>
      <c r="Q51" s="132" t="s">
        <v>1162</v>
      </c>
      <c r="R51" s="133" t="s">
        <v>1163</v>
      </c>
      <c r="S51" s="152"/>
      <c r="T51" s="215"/>
      <c r="U51" s="158"/>
      <c r="V51"/>
    </row>
    <row r="52" spans="1:22" ht="14.45" customHeight="1" x14ac:dyDescent="0.25">
      <c r="A52" s="1018" t="s">
        <v>437</v>
      </c>
      <c r="B52" s="1019" t="s">
        <v>1239</v>
      </c>
      <c r="C52" s="1019" t="s">
        <v>438</v>
      </c>
      <c r="D52" s="1019" t="s">
        <v>39</v>
      </c>
      <c r="E52" s="905" t="s">
        <v>1165</v>
      </c>
      <c r="F52" s="1026" t="s">
        <v>439</v>
      </c>
      <c r="G52" s="210"/>
      <c r="H52" s="911" t="s">
        <v>1168</v>
      </c>
      <c r="I52" s="934" t="s">
        <v>1526</v>
      </c>
      <c r="J52" s="959" t="s">
        <v>1527</v>
      </c>
      <c r="K52" s="210"/>
      <c r="L52" s="910" t="s">
        <v>1168</v>
      </c>
      <c r="M52" s="997" t="s">
        <v>1477</v>
      </c>
      <c r="N52" s="210"/>
      <c r="O52" s="1027" t="s">
        <v>41</v>
      </c>
      <c r="P52" s="1020" t="s">
        <v>1166</v>
      </c>
      <c r="Q52" s="232" t="s">
        <v>43</v>
      </c>
      <c r="R52" s="1020" t="s">
        <v>1167</v>
      </c>
      <c r="S52" s="1021" t="s">
        <v>93</v>
      </c>
      <c r="T52" s="210"/>
      <c r="U52" s="161"/>
      <c r="V52"/>
    </row>
    <row r="53" spans="1:22" x14ac:dyDescent="0.25">
      <c r="A53" s="1018"/>
      <c r="B53" s="1019"/>
      <c r="C53" s="1019"/>
      <c r="D53" s="1019"/>
      <c r="E53" s="906"/>
      <c r="F53" s="1026"/>
      <c r="G53" s="210"/>
      <c r="H53" s="911"/>
      <c r="I53" s="934"/>
      <c r="J53" s="959"/>
      <c r="K53" s="210"/>
      <c r="L53" s="910"/>
      <c r="M53" s="997"/>
      <c r="N53" s="210"/>
      <c r="O53" s="1027"/>
      <c r="P53" s="1020"/>
      <c r="Q53" s="232" t="s">
        <v>45</v>
      </c>
      <c r="R53" s="1020"/>
      <c r="S53" s="1021"/>
      <c r="T53" s="210"/>
      <c r="U53" s="162"/>
      <c r="V53"/>
    </row>
    <row r="54" spans="1:22" ht="90.75" customHeight="1" x14ac:dyDescent="0.25">
      <c r="A54" s="1018"/>
      <c r="B54" s="1019"/>
      <c r="C54" s="1019"/>
      <c r="D54" s="1019"/>
      <c r="E54" s="907"/>
      <c r="F54" s="1026"/>
      <c r="G54" s="210"/>
      <c r="H54" s="911"/>
      <c r="I54" s="934"/>
      <c r="J54" s="959"/>
      <c r="K54" s="210"/>
      <c r="L54" s="910"/>
      <c r="M54" s="997"/>
      <c r="N54" s="210"/>
      <c r="O54" s="236" t="s">
        <v>90</v>
      </c>
      <c r="P54" s="220" t="s">
        <v>25</v>
      </c>
      <c r="Q54" s="232" t="s">
        <v>1169</v>
      </c>
      <c r="R54" s="1020"/>
      <c r="S54" s="1021"/>
      <c r="T54" s="210"/>
      <c r="U54" s="163"/>
      <c r="V54"/>
    </row>
    <row r="55" spans="1:22" ht="138.75" customHeight="1" x14ac:dyDescent="0.25">
      <c r="A55" s="131" t="s">
        <v>440</v>
      </c>
      <c r="B55" s="132" t="s">
        <v>1239</v>
      </c>
      <c r="C55" s="132" t="s">
        <v>441</v>
      </c>
      <c r="D55" s="132" t="s">
        <v>265</v>
      </c>
      <c r="E55" s="461" t="s">
        <v>1170</v>
      </c>
      <c r="F55" s="233" t="s">
        <v>442</v>
      </c>
      <c r="G55" s="215"/>
      <c r="H55" s="510" t="s">
        <v>739</v>
      </c>
      <c r="I55" s="465" t="s">
        <v>739</v>
      </c>
      <c r="J55" s="466" t="s">
        <v>739</v>
      </c>
      <c r="K55" s="215"/>
      <c r="L55" s="287" t="s">
        <v>1699</v>
      </c>
      <c r="M55" s="608" t="s">
        <v>1483</v>
      </c>
      <c r="N55" s="215"/>
      <c r="O55" s="216"/>
      <c r="P55" s="133"/>
      <c r="Q55" s="132"/>
      <c r="R55" s="133" t="s">
        <v>127</v>
      </c>
      <c r="S55" s="152"/>
      <c r="T55" s="215"/>
      <c r="U55" s="158"/>
      <c r="V55"/>
    </row>
    <row r="56" spans="1:22" ht="160.5" customHeight="1" x14ac:dyDescent="0.25">
      <c r="A56" s="125" t="s">
        <v>443</v>
      </c>
      <c r="B56" s="126" t="s">
        <v>1239</v>
      </c>
      <c r="C56" s="126" t="s">
        <v>444</v>
      </c>
      <c r="D56" s="126" t="s">
        <v>126</v>
      </c>
      <c r="E56" s="149" t="s">
        <v>1171</v>
      </c>
      <c r="F56" s="235" t="s">
        <v>445</v>
      </c>
      <c r="G56" s="210"/>
      <c r="H56" s="390" t="s">
        <v>739</v>
      </c>
      <c r="I56" s="462" t="s">
        <v>739</v>
      </c>
      <c r="J56" s="463" t="s">
        <v>739</v>
      </c>
      <c r="K56" s="210"/>
      <c r="L56" s="611" t="s">
        <v>1700</v>
      </c>
      <c r="M56" s="591" t="s">
        <v>1483</v>
      </c>
      <c r="N56" s="210"/>
      <c r="O56" s="236" t="s">
        <v>1172</v>
      </c>
      <c r="P56" s="220" t="s">
        <v>25</v>
      </c>
      <c r="Q56" s="232" t="s">
        <v>1173</v>
      </c>
      <c r="R56" s="220" t="s">
        <v>1174</v>
      </c>
      <c r="S56" s="221"/>
      <c r="T56" s="210"/>
      <c r="U56" s="157"/>
      <c r="V56"/>
    </row>
    <row r="57" spans="1:22" ht="147.75" customHeight="1" x14ac:dyDescent="0.25">
      <c r="A57" s="131" t="s">
        <v>446</v>
      </c>
      <c r="B57" s="132" t="s">
        <v>1233</v>
      </c>
      <c r="C57" s="132" t="s">
        <v>447</v>
      </c>
      <c r="D57" s="132" t="s">
        <v>126</v>
      </c>
      <c r="E57" s="152" t="s">
        <v>1175</v>
      </c>
      <c r="F57" s="233" t="s">
        <v>448</v>
      </c>
      <c r="G57" s="215"/>
      <c r="H57" s="397" t="s">
        <v>739</v>
      </c>
      <c r="I57" s="465" t="s">
        <v>739</v>
      </c>
      <c r="J57" s="466" t="s">
        <v>739</v>
      </c>
      <c r="K57" s="215"/>
      <c r="L57" s="610" t="s">
        <v>1701</v>
      </c>
      <c r="M57" s="608" t="s">
        <v>1483</v>
      </c>
      <c r="N57" s="215"/>
      <c r="O57" s="216" t="s">
        <v>1172</v>
      </c>
      <c r="P57" s="133" t="s">
        <v>25</v>
      </c>
      <c r="Q57" s="132" t="s">
        <v>1176</v>
      </c>
      <c r="R57" s="133" t="s">
        <v>1177</v>
      </c>
      <c r="S57" s="152"/>
      <c r="T57" s="215"/>
      <c r="U57" s="158"/>
      <c r="V57"/>
    </row>
    <row r="58" spans="1:22" ht="102.75" customHeight="1" x14ac:dyDescent="0.25">
      <c r="A58" s="125" t="s">
        <v>449</v>
      </c>
      <c r="B58" s="126" t="s">
        <v>1233</v>
      </c>
      <c r="C58" s="126" t="s">
        <v>450</v>
      </c>
      <c r="D58" s="126" t="s">
        <v>451</v>
      </c>
      <c r="E58" s="411" t="s">
        <v>452</v>
      </c>
      <c r="F58" s="235" t="s">
        <v>452</v>
      </c>
      <c r="G58" s="210"/>
      <c r="H58" s="389" t="s">
        <v>1180</v>
      </c>
      <c r="I58" s="457" t="s">
        <v>1528</v>
      </c>
      <c r="J58" s="458" t="s">
        <v>1529</v>
      </c>
      <c r="K58" s="210"/>
      <c r="L58" s="562" t="s">
        <v>1180</v>
      </c>
      <c r="M58" s="563" t="s">
        <v>1476</v>
      </c>
      <c r="N58" s="210"/>
      <c r="O58" s="236" t="s">
        <v>90</v>
      </c>
      <c r="P58" s="220" t="s">
        <v>25</v>
      </c>
      <c r="Q58" s="232" t="s">
        <v>1178</v>
      </c>
      <c r="R58" s="220" t="s">
        <v>1179</v>
      </c>
      <c r="S58" s="221"/>
      <c r="T58" s="210"/>
      <c r="U58" s="157"/>
      <c r="V58"/>
    </row>
    <row r="59" spans="1:22" ht="96.75" customHeight="1" thickBot="1" x14ac:dyDescent="0.3">
      <c r="A59" s="138" t="s">
        <v>453</v>
      </c>
      <c r="B59" s="139" t="s">
        <v>1233</v>
      </c>
      <c r="C59" s="139" t="s">
        <v>454</v>
      </c>
      <c r="D59" s="139" t="s">
        <v>39</v>
      </c>
      <c r="E59" s="478" t="s">
        <v>1577</v>
      </c>
      <c r="F59" s="271" t="s">
        <v>455</v>
      </c>
      <c r="G59" s="215"/>
      <c r="H59" s="380" t="s">
        <v>1182</v>
      </c>
      <c r="I59" s="469" t="s">
        <v>1530</v>
      </c>
      <c r="J59" s="470" t="s">
        <v>1531</v>
      </c>
      <c r="K59" s="215"/>
      <c r="L59" s="543" t="s">
        <v>1182</v>
      </c>
      <c r="M59" s="565" t="s">
        <v>1477</v>
      </c>
      <c r="N59" s="215"/>
      <c r="O59" s="225"/>
      <c r="P59" s="140"/>
      <c r="Q59" s="139"/>
      <c r="R59" s="140" t="s">
        <v>1181</v>
      </c>
      <c r="S59" s="224"/>
      <c r="T59" s="215"/>
      <c r="U59" s="164"/>
      <c r="V59"/>
    </row>
  </sheetData>
  <autoFilter ref="A2:V59"/>
  <mergeCells count="102">
    <mergeCell ref="I52:I54"/>
    <mergeCell ref="J52:J54"/>
    <mergeCell ref="M4:M11"/>
    <mergeCell ref="M14:M26"/>
    <mergeCell ref="M28:M30"/>
    <mergeCell ref="M44:M46"/>
    <mergeCell ref="M48:M50"/>
    <mergeCell ref="M52:M54"/>
    <mergeCell ref="I14:I26"/>
    <mergeCell ref="J14:J26"/>
    <mergeCell ref="I28:I30"/>
    <mergeCell ref="J28:J30"/>
    <mergeCell ref="I44:I46"/>
    <mergeCell ref="J44:J46"/>
    <mergeCell ref="A48:A50"/>
    <mergeCell ref="B48:B50"/>
    <mergeCell ref="C48:C50"/>
    <mergeCell ref="D48:D50"/>
    <mergeCell ref="E48:E50"/>
    <mergeCell ref="F28:F30"/>
    <mergeCell ref="H28:H30"/>
    <mergeCell ref="L28:L30"/>
    <mergeCell ref="A44:A46"/>
    <mergeCell ref="B44:B46"/>
    <mergeCell ref="C44:C46"/>
    <mergeCell ref="D44:D46"/>
    <mergeCell ref="E44:E46"/>
    <mergeCell ref="I48:I50"/>
    <mergeCell ref="J48:J50"/>
    <mergeCell ref="F44:F46"/>
    <mergeCell ref="H44:H46"/>
    <mergeCell ref="L44:L46"/>
    <mergeCell ref="O28:O29"/>
    <mergeCell ref="P28:P29"/>
    <mergeCell ref="A28:A30"/>
    <mergeCell ref="B28:B30"/>
    <mergeCell ref="C28:C30"/>
    <mergeCell ref="D28:D30"/>
    <mergeCell ref="E28:E30"/>
    <mergeCell ref="A1:S1"/>
    <mergeCell ref="A14:A26"/>
    <mergeCell ref="B14:B26"/>
    <mergeCell ref="C14:C26"/>
    <mergeCell ref="D14:D26"/>
    <mergeCell ref="E14:E26"/>
    <mergeCell ref="F14:F26"/>
    <mergeCell ref="H14:H26"/>
    <mergeCell ref="L14:L26"/>
    <mergeCell ref="O14:O18"/>
    <mergeCell ref="P14:P18"/>
    <mergeCell ref="Q14:Q16"/>
    <mergeCell ref="O20:O22"/>
    <mergeCell ref="P20:P22"/>
    <mergeCell ref="O23:O26"/>
    <mergeCell ref="P23:P26"/>
    <mergeCell ref="F4:F11"/>
    <mergeCell ref="H4:H11"/>
    <mergeCell ref="L4:L11"/>
    <mergeCell ref="O4:O7"/>
    <mergeCell ref="P4:P7"/>
    <mergeCell ref="O8:O11"/>
    <mergeCell ref="P8:P11"/>
    <mergeCell ref="I4:I11"/>
    <mergeCell ref="J4:J11"/>
    <mergeCell ref="A4:A11"/>
    <mergeCell ref="B4:B11"/>
    <mergeCell ref="C4:C11"/>
    <mergeCell ref="D4:D11"/>
    <mergeCell ref="E4:E11"/>
    <mergeCell ref="O44:O45"/>
    <mergeCell ref="P44:P45"/>
    <mergeCell ref="R44:R46"/>
    <mergeCell ref="H48:H50"/>
    <mergeCell ref="L48:L50"/>
    <mergeCell ref="O48:O49"/>
    <mergeCell ref="P48:P49"/>
    <mergeCell ref="R48:R50"/>
    <mergeCell ref="F48:F50"/>
    <mergeCell ref="A52:A54"/>
    <mergeCell ref="B52:B54"/>
    <mergeCell ref="C52:C54"/>
    <mergeCell ref="D52:D54"/>
    <mergeCell ref="E52:E54"/>
    <mergeCell ref="P52:P53"/>
    <mergeCell ref="R52:R54"/>
    <mergeCell ref="S52:S54"/>
    <mergeCell ref="U4:U11"/>
    <mergeCell ref="U14:U26"/>
    <mergeCell ref="U28:U30"/>
    <mergeCell ref="U48:U50"/>
    <mergeCell ref="S28:S30"/>
    <mergeCell ref="S44:S46"/>
    <mergeCell ref="R4:R11"/>
    <mergeCell ref="S4:S11"/>
    <mergeCell ref="S48:S50"/>
    <mergeCell ref="R14:R26"/>
    <mergeCell ref="S14:S26"/>
    <mergeCell ref="F52:F54"/>
    <mergeCell ref="H52:H54"/>
    <mergeCell ref="L52:L54"/>
    <mergeCell ref="O52:O53"/>
    <mergeCell ref="R28:R3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M3:M59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zoomScale="70" zoomScaleNormal="70" workbookViewId="0">
      <pane xSplit="6" ySplit="2" topLeftCell="H24" activePane="bottomRight" state="frozen"/>
      <selection pane="topRight" activeCell="G1" sqref="G1"/>
      <selection pane="bottomLeft" activeCell="A3" sqref="A3"/>
      <selection pane="bottomRight" activeCell="H26" sqref="H26"/>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3" width="52.42578125" customWidth="1"/>
    <col min="14" max="14" width="4.140625" customWidth="1"/>
    <col min="15" max="15" width="35.140625" bestFit="1" customWidth="1"/>
    <col min="16" max="16" width="27.42578125" customWidth="1"/>
    <col min="17" max="17" width="28.42578125" customWidth="1"/>
    <col min="18" max="18" width="68.42578125" bestFit="1" customWidth="1"/>
    <col min="19" max="19" width="75.5703125" customWidth="1"/>
    <col min="20" max="21" width="0" hidden="1" customWidth="1"/>
  </cols>
  <sheetData>
    <row r="1" spans="1:21" s="3" customFormat="1" ht="17.45" customHeight="1" thickBot="1" x14ac:dyDescent="0.3">
      <c r="A1" s="1039" t="s">
        <v>456</v>
      </c>
      <c r="B1" s="1039"/>
      <c r="C1" s="1039"/>
      <c r="D1" s="1039"/>
      <c r="E1" s="1039"/>
      <c r="F1" s="1039"/>
      <c r="G1" s="1040"/>
      <c r="H1" s="1040"/>
      <c r="I1" s="1040"/>
      <c r="J1" s="1040"/>
      <c r="K1" s="1040"/>
      <c r="L1" s="1040"/>
      <c r="M1" s="1040"/>
      <c r="N1" s="1040"/>
      <c r="O1" s="1039"/>
      <c r="P1" s="1039"/>
      <c r="Q1" s="1039"/>
      <c r="R1" s="1039"/>
      <c r="S1" s="1039"/>
      <c r="T1" s="1039"/>
      <c r="U1" s="123"/>
    </row>
    <row r="2" spans="1:21" s="4" customFormat="1" ht="15.75" thickBot="1" x14ac:dyDescent="0.3">
      <c r="A2" s="7" t="s">
        <v>10</v>
      </c>
      <c r="B2" s="8" t="s">
        <v>11</v>
      </c>
      <c r="C2" s="8" t="s">
        <v>12</v>
      </c>
      <c r="D2" s="8" t="s">
        <v>13</v>
      </c>
      <c r="E2" s="10" t="s">
        <v>14</v>
      </c>
      <c r="F2" s="227" t="s">
        <v>941</v>
      </c>
      <c r="G2" s="28"/>
      <c r="H2" s="318" t="s">
        <v>725</v>
      </c>
      <c r="I2" s="319" t="s">
        <v>1412</v>
      </c>
      <c r="J2" s="320" t="s">
        <v>1411</v>
      </c>
      <c r="K2" s="183"/>
      <c r="L2" s="429" t="s">
        <v>87</v>
      </c>
      <c r="M2" s="430" t="s">
        <v>1475</v>
      </c>
      <c r="N2" s="182"/>
      <c r="O2" s="273" t="s">
        <v>15</v>
      </c>
      <c r="P2" s="274" t="s">
        <v>16</v>
      </c>
      <c r="Q2" s="274" t="s">
        <v>17</v>
      </c>
      <c r="R2" s="274" t="s">
        <v>18</v>
      </c>
      <c r="S2" s="275" t="s">
        <v>19</v>
      </c>
      <c r="T2" s="182"/>
      <c r="U2" s="124" t="s">
        <v>923</v>
      </c>
    </row>
    <row r="3" spans="1:21" x14ac:dyDescent="0.25">
      <c r="A3" s="1018" t="s">
        <v>111</v>
      </c>
      <c r="B3" s="1019" t="s">
        <v>889</v>
      </c>
      <c r="C3" s="1019" t="s">
        <v>112</v>
      </c>
      <c r="D3" s="1019" t="s">
        <v>22</v>
      </c>
      <c r="E3" s="905" t="s">
        <v>1077</v>
      </c>
      <c r="F3" s="1026" t="s">
        <v>457</v>
      </c>
      <c r="G3" s="210"/>
      <c r="H3" s="955" t="s">
        <v>797</v>
      </c>
      <c r="I3" s="957" t="s">
        <v>1501</v>
      </c>
      <c r="J3" s="958" t="s">
        <v>1502</v>
      </c>
      <c r="K3" s="210"/>
      <c r="L3" s="953" t="s">
        <v>797</v>
      </c>
      <c r="M3" s="956" t="s">
        <v>1476</v>
      </c>
      <c r="N3" s="210"/>
      <c r="O3" s="1027" t="s">
        <v>113</v>
      </c>
      <c r="P3" s="1020" t="s">
        <v>25</v>
      </c>
      <c r="Q3" s="232" t="s">
        <v>26</v>
      </c>
      <c r="R3" s="1020" t="s">
        <v>1078</v>
      </c>
      <c r="S3" s="1021"/>
      <c r="T3" s="210"/>
      <c r="U3" s="1033"/>
    </row>
    <row r="4" spans="1:21" x14ac:dyDescent="0.25">
      <c r="A4" s="1018"/>
      <c r="B4" s="1019"/>
      <c r="C4" s="1019"/>
      <c r="D4" s="1019"/>
      <c r="E4" s="906"/>
      <c r="F4" s="1026"/>
      <c r="G4" s="210"/>
      <c r="H4" s="911"/>
      <c r="I4" s="934"/>
      <c r="J4" s="959"/>
      <c r="K4" s="210"/>
      <c r="L4" s="954"/>
      <c r="M4" s="931"/>
      <c r="N4" s="210"/>
      <c r="O4" s="1027"/>
      <c r="P4" s="1020"/>
      <c r="Q4" s="232" t="s">
        <v>114</v>
      </c>
      <c r="R4" s="1020"/>
      <c r="S4" s="1021"/>
      <c r="T4" s="210"/>
      <c r="U4" s="1034"/>
    </row>
    <row r="5" spans="1:21" x14ac:dyDescent="0.25">
      <c r="A5" s="1018"/>
      <c r="B5" s="1019"/>
      <c r="C5" s="1019"/>
      <c r="D5" s="1019"/>
      <c r="E5" s="906"/>
      <c r="F5" s="1026"/>
      <c r="G5" s="210"/>
      <c r="H5" s="911"/>
      <c r="I5" s="934"/>
      <c r="J5" s="959"/>
      <c r="K5" s="210"/>
      <c r="L5" s="954"/>
      <c r="M5" s="931"/>
      <c r="N5" s="210"/>
      <c r="O5" s="1027"/>
      <c r="P5" s="1020"/>
      <c r="Q5" s="232" t="s">
        <v>115</v>
      </c>
      <c r="R5" s="1020"/>
      <c r="S5" s="1021"/>
      <c r="T5" s="210"/>
      <c r="U5" s="1034"/>
    </row>
    <row r="6" spans="1:21" x14ac:dyDescent="0.25">
      <c r="A6" s="1018"/>
      <c r="B6" s="1019"/>
      <c r="C6" s="1019"/>
      <c r="D6" s="1019"/>
      <c r="E6" s="907"/>
      <c r="F6" s="1026"/>
      <c r="G6" s="210"/>
      <c r="H6" s="911"/>
      <c r="I6" s="934"/>
      <c r="J6" s="959"/>
      <c r="K6" s="210"/>
      <c r="L6" s="954"/>
      <c r="M6" s="931"/>
      <c r="N6" s="210"/>
      <c r="O6" s="1027"/>
      <c r="P6" s="1020"/>
      <c r="Q6" s="232" t="s">
        <v>116</v>
      </c>
      <c r="R6" s="1020"/>
      <c r="S6" s="1021"/>
      <c r="T6" s="210"/>
      <c r="U6" s="1035"/>
    </row>
    <row r="7" spans="1:21" x14ac:dyDescent="0.25">
      <c r="A7" s="908" t="s">
        <v>20</v>
      </c>
      <c r="B7" s="1001" t="s">
        <v>889</v>
      </c>
      <c r="C7" s="1001" t="s">
        <v>21</v>
      </c>
      <c r="D7" s="1001" t="s">
        <v>22</v>
      </c>
      <c r="E7" s="902" t="s">
        <v>908</v>
      </c>
      <c r="F7" s="1031" t="s">
        <v>23</v>
      </c>
      <c r="G7" s="215"/>
      <c r="H7" s="908" t="s">
        <v>1080</v>
      </c>
      <c r="I7" s="1000" t="s">
        <v>739</v>
      </c>
      <c r="J7" s="1002" t="s">
        <v>739</v>
      </c>
      <c r="K7" s="215"/>
      <c r="L7" s="967" t="s">
        <v>1080</v>
      </c>
      <c r="M7" s="930" t="s">
        <v>1476</v>
      </c>
      <c r="N7" s="215"/>
      <c r="O7" s="1028" t="s">
        <v>1079</v>
      </c>
      <c r="P7" s="932" t="s">
        <v>25</v>
      </c>
      <c r="Q7" s="132" t="s">
        <v>26</v>
      </c>
      <c r="R7" s="932" t="s">
        <v>943</v>
      </c>
      <c r="S7" s="933"/>
      <c r="T7" s="215"/>
      <c r="U7" s="1036"/>
    </row>
    <row r="8" spans="1:21" x14ac:dyDescent="0.25">
      <c r="A8" s="908"/>
      <c r="B8" s="1001"/>
      <c r="C8" s="1001"/>
      <c r="D8" s="1001"/>
      <c r="E8" s="903"/>
      <c r="F8" s="1031"/>
      <c r="G8" s="215"/>
      <c r="H8" s="908"/>
      <c r="I8" s="1001"/>
      <c r="J8" s="930"/>
      <c r="K8" s="215"/>
      <c r="L8" s="967"/>
      <c r="M8" s="930"/>
      <c r="N8" s="215"/>
      <c r="O8" s="1028"/>
      <c r="P8" s="932"/>
      <c r="Q8" s="132" t="s">
        <v>28</v>
      </c>
      <c r="R8" s="932"/>
      <c r="S8" s="933"/>
      <c r="T8" s="215"/>
      <c r="U8" s="1037"/>
    </row>
    <row r="9" spans="1:21" x14ac:dyDescent="0.25">
      <c r="A9" s="908"/>
      <c r="B9" s="1001"/>
      <c r="C9" s="1001"/>
      <c r="D9" s="1001"/>
      <c r="E9" s="903"/>
      <c r="F9" s="1031"/>
      <c r="G9" s="215"/>
      <c r="H9" s="908"/>
      <c r="I9" s="1001"/>
      <c r="J9" s="930"/>
      <c r="K9" s="215"/>
      <c r="L9" s="967"/>
      <c r="M9" s="930"/>
      <c r="N9" s="215"/>
      <c r="O9" s="1028"/>
      <c r="P9" s="932"/>
      <c r="Q9" s="132" t="s">
        <v>29</v>
      </c>
      <c r="R9" s="932"/>
      <c r="S9" s="933"/>
      <c r="T9" s="215"/>
      <c r="U9" s="1037"/>
    </row>
    <row r="10" spans="1:21" x14ac:dyDescent="0.25">
      <c r="A10" s="908"/>
      <c r="B10" s="1001"/>
      <c r="C10" s="1001"/>
      <c r="D10" s="1001"/>
      <c r="E10" s="904"/>
      <c r="F10" s="1031"/>
      <c r="G10" s="215"/>
      <c r="H10" s="908"/>
      <c r="I10" s="1001"/>
      <c r="J10" s="930"/>
      <c r="K10" s="215"/>
      <c r="L10" s="967"/>
      <c r="M10" s="930"/>
      <c r="N10" s="215"/>
      <c r="O10" s="1028"/>
      <c r="P10" s="932"/>
      <c r="Q10" s="132" t="s">
        <v>30</v>
      </c>
      <c r="R10" s="932"/>
      <c r="S10" s="933"/>
      <c r="T10" s="215"/>
      <c r="U10" s="1038"/>
    </row>
    <row r="11" spans="1:21" ht="43.5" customHeight="1" x14ac:dyDescent="0.25">
      <c r="A11" s="125" t="s">
        <v>310</v>
      </c>
      <c r="B11" s="126" t="s">
        <v>889</v>
      </c>
      <c r="C11" s="126" t="s">
        <v>311</v>
      </c>
      <c r="D11" s="126" t="s">
        <v>22</v>
      </c>
      <c r="E11" s="411" t="s">
        <v>1081</v>
      </c>
      <c r="F11" s="235" t="s">
        <v>312</v>
      </c>
      <c r="G11" s="210"/>
      <c r="H11" s="389" t="s">
        <v>880</v>
      </c>
      <c r="I11" s="457" t="s">
        <v>1532</v>
      </c>
      <c r="J11" s="458" t="s">
        <v>1533</v>
      </c>
      <c r="K11" s="210"/>
      <c r="L11" s="589" t="s">
        <v>880</v>
      </c>
      <c r="M11" s="493" t="s">
        <v>1476</v>
      </c>
      <c r="N11" s="210"/>
      <c r="O11" s="236" t="s">
        <v>113</v>
      </c>
      <c r="P11" s="220" t="s">
        <v>25</v>
      </c>
      <c r="Q11" s="232" t="s">
        <v>1082</v>
      </c>
      <c r="R11" s="220" t="s">
        <v>35</v>
      </c>
      <c r="S11" s="221"/>
      <c r="T11" s="210"/>
      <c r="U11" s="150"/>
    </row>
    <row r="12" spans="1:21" x14ac:dyDescent="0.25">
      <c r="A12" s="908" t="s">
        <v>118</v>
      </c>
      <c r="B12" s="1001" t="s">
        <v>889</v>
      </c>
      <c r="C12" s="1001" t="s">
        <v>119</v>
      </c>
      <c r="D12" s="1001" t="s">
        <v>39</v>
      </c>
      <c r="E12" s="902" t="s">
        <v>1083</v>
      </c>
      <c r="F12" s="1031" t="s">
        <v>458</v>
      </c>
      <c r="G12" s="215"/>
      <c r="H12" s="908" t="s">
        <v>799</v>
      </c>
      <c r="I12" s="932" t="s">
        <v>1503</v>
      </c>
      <c r="J12" s="933" t="s">
        <v>1504</v>
      </c>
      <c r="K12" s="215"/>
      <c r="L12" s="967" t="s">
        <v>799</v>
      </c>
      <c r="M12" s="930" t="s">
        <v>1477</v>
      </c>
      <c r="N12" s="215"/>
      <c r="O12" s="1028" t="s">
        <v>41</v>
      </c>
      <c r="P12" s="932" t="s">
        <v>120</v>
      </c>
      <c r="Q12" s="132" t="s">
        <v>43</v>
      </c>
      <c r="R12" s="932" t="s">
        <v>1084</v>
      </c>
      <c r="S12" s="933"/>
      <c r="T12" s="215"/>
      <c r="U12" s="1036"/>
    </row>
    <row r="13" spans="1:21" ht="40.5" customHeight="1" x14ac:dyDescent="0.25">
      <c r="A13" s="908"/>
      <c r="B13" s="1001"/>
      <c r="C13" s="1001"/>
      <c r="D13" s="1001"/>
      <c r="E13" s="903"/>
      <c r="F13" s="1031"/>
      <c r="G13" s="215"/>
      <c r="H13" s="908"/>
      <c r="I13" s="932"/>
      <c r="J13" s="933"/>
      <c r="K13" s="215"/>
      <c r="L13" s="967"/>
      <c r="M13" s="930"/>
      <c r="N13" s="215"/>
      <c r="O13" s="1028"/>
      <c r="P13" s="932"/>
      <c r="Q13" s="132" t="s">
        <v>45</v>
      </c>
      <c r="R13" s="932"/>
      <c r="S13" s="933"/>
      <c r="T13" s="215"/>
      <c r="U13" s="1037"/>
    </row>
    <row r="14" spans="1:21" ht="168.75" customHeight="1" x14ac:dyDescent="0.25">
      <c r="A14" s="908"/>
      <c r="B14" s="1001"/>
      <c r="C14" s="1001"/>
      <c r="D14" s="1001"/>
      <c r="E14" s="904"/>
      <c r="F14" s="1031"/>
      <c r="G14" s="215"/>
      <c r="H14" s="908"/>
      <c r="I14" s="932"/>
      <c r="J14" s="933"/>
      <c r="K14" s="215"/>
      <c r="L14" s="967"/>
      <c r="M14" s="930"/>
      <c r="N14" s="215"/>
      <c r="O14" s="216" t="s">
        <v>122</v>
      </c>
      <c r="P14" s="133" t="s">
        <v>25</v>
      </c>
      <c r="Q14" s="132" t="s">
        <v>123</v>
      </c>
      <c r="R14" s="932"/>
      <c r="S14" s="933"/>
      <c r="T14" s="215"/>
      <c r="U14" s="1038"/>
    </row>
    <row r="15" spans="1:21" ht="98.1" customHeight="1" x14ac:dyDescent="0.25">
      <c r="A15" s="125" t="s">
        <v>124</v>
      </c>
      <c r="B15" s="126" t="s">
        <v>904</v>
      </c>
      <c r="C15" s="126" t="s">
        <v>125</v>
      </c>
      <c r="D15" s="126" t="s">
        <v>126</v>
      </c>
      <c r="E15" s="411" t="s">
        <v>1085</v>
      </c>
      <c r="F15" s="235" t="s">
        <v>459</v>
      </c>
      <c r="G15" s="210"/>
      <c r="H15" s="390" t="s">
        <v>739</v>
      </c>
      <c r="I15" s="462" t="s">
        <v>739</v>
      </c>
      <c r="J15" s="463" t="s">
        <v>739</v>
      </c>
      <c r="K15" s="210"/>
      <c r="L15" s="566" t="s">
        <v>1681</v>
      </c>
      <c r="M15" s="561" t="s">
        <v>1483</v>
      </c>
      <c r="N15" s="210"/>
      <c r="O15" s="236" t="s">
        <v>677</v>
      </c>
      <c r="P15" s="220" t="s">
        <v>677</v>
      </c>
      <c r="Q15" s="232" t="s">
        <v>677</v>
      </c>
      <c r="R15" s="220" t="s">
        <v>677</v>
      </c>
      <c r="S15" s="221" t="s">
        <v>677</v>
      </c>
      <c r="T15" s="210"/>
      <c r="U15" s="151" t="s">
        <v>677</v>
      </c>
    </row>
    <row r="16" spans="1:21" ht="96.6" customHeight="1" x14ac:dyDescent="0.25">
      <c r="A16" s="131" t="s">
        <v>128</v>
      </c>
      <c r="B16" s="132" t="s">
        <v>904</v>
      </c>
      <c r="C16" s="132" t="s">
        <v>129</v>
      </c>
      <c r="D16" s="132" t="s">
        <v>126</v>
      </c>
      <c r="E16" s="152" t="s">
        <v>1086</v>
      </c>
      <c r="F16" s="233" t="s">
        <v>460</v>
      </c>
      <c r="G16" s="215"/>
      <c r="H16" s="397" t="s">
        <v>739</v>
      </c>
      <c r="I16" s="465" t="s">
        <v>739</v>
      </c>
      <c r="J16" s="466" t="s">
        <v>739</v>
      </c>
      <c r="K16" s="215"/>
      <c r="L16" s="566" t="s">
        <v>1681</v>
      </c>
      <c r="M16" s="561" t="s">
        <v>1483</v>
      </c>
      <c r="N16" s="215"/>
      <c r="O16" s="216" t="s">
        <v>677</v>
      </c>
      <c r="P16" s="133" t="s">
        <v>677</v>
      </c>
      <c r="Q16" s="132" t="s">
        <v>677</v>
      </c>
      <c r="R16" s="133" t="s">
        <v>677</v>
      </c>
      <c r="S16" s="152" t="s">
        <v>677</v>
      </c>
      <c r="T16" s="215"/>
      <c r="U16" s="153" t="s">
        <v>677</v>
      </c>
    </row>
    <row r="17" spans="1:21" ht="46.5" customHeight="1" x14ac:dyDescent="0.25">
      <c r="A17" s="125" t="s">
        <v>130</v>
      </c>
      <c r="B17" s="126" t="s">
        <v>131</v>
      </c>
      <c r="C17" s="126" t="s">
        <v>132</v>
      </c>
      <c r="D17" s="126" t="s">
        <v>126</v>
      </c>
      <c r="E17" s="411" t="s">
        <v>1087</v>
      </c>
      <c r="F17" s="235" t="s">
        <v>461</v>
      </c>
      <c r="G17" s="210"/>
      <c r="H17" s="389" t="s">
        <v>821</v>
      </c>
      <c r="I17" s="457" t="s">
        <v>1505</v>
      </c>
      <c r="J17" s="464" t="s">
        <v>1506</v>
      </c>
      <c r="K17" s="210"/>
      <c r="L17" s="589" t="s">
        <v>821</v>
      </c>
      <c r="M17" s="493" t="s">
        <v>1476</v>
      </c>
      <c r="N17" s="210"/>
      <c r="O17" s="236" t="s">
        <v>122</v>
      </c>
      <c r="P17" s="220" t="s">
        <v>25</v>
      </c>
      <c r="Q17" s="232" t="s">
        <v>133</v>
      </c>
      <c r="R17" s="220" t="s">
        <v>35</v>
      </c>
      <c r="S17" s="221"/>
      <c r="T17" s="210"/>
      <c r="U17" s="150"/>
    </row>
    <row r="18" spans="1:21" ht="113.25" customHeight="1" x14ac:dyDescent="0.25">
      <c r="A18" s="131" t="s">
        <v>134</v>
      </c>
      <c r="B18" s="132" t="s">
        <v>905</v>
      </c>
      <c r="C18" s="132" t="s">
        <v>135</v>
      </c>
      <c r="D18" s="132" t="s">
        <v>126</v>
      </c>
      <c r="E18" s="461" t="s">
        <v>1225</v>
      </c>
      <c r="F18" s="233" t="s">
        <v>462</v>
      </c>
      <c r="G18" s="215"/>
      <c r="H18" s="397" t="s">
        <v>739</v>
      </c>
      <c r="I18" s="465" t="s">
        <v>739</v>
      </c>
      <c r="J18" s="466" t="s">
        <v>739</v>
      </c>
      <c r="K18" s="215"/>
      <c r="L18" s="582" t="s">
        <v>1680</v>
      </c>
      <c r="M18" s="575" t="s">
        <v>1481</v>
      </c>
      <c r="N18" s="215"/>
      <c r="O18" s="216" t="s">
        <v>137</v>
      </c>
      <c r="P18" s="133" t="s">
        <v>25</v>
      </c>
      <c r="Q18" s="132" t="s">
        <v>138</v>
      </c>
      <c r="R18" s="133" t="s">
        <v>35</v>
      </c>
      <c r="S18" s="152"/>
      <c r="T18" s="215"/>
      <c r="U18" s="153" t="s">
        <v>928</v>
      </c>
    </row>
    <row r="19" spans="1:21" ht="57.95" customHeight="1" x14ac:dyDescent="0.25">
      <c r="A19" s="125" t="s">
        <v>318</v>
      </c>
      <c r="B19" s="126" t="s">
        <v>1238</v>
      </c>
      <c r="C19" s="126" t="s">
        <v>319</v>
      </c>
      <c r="D19" s="126" t="s">
        <v>265</v>
      </c>
      <c r="E19" s="149" t="s">
        <v>1088</v>
      </c>
      <c r="F19" s="235" t="s">
        <v>463</v>
      </c>
      <c r="G19" s="210"/>
      <c r="H19" s="389" t="s">
        <v>881</v>
      </c>
      <c r="I19" s="457" t="s">
        <v>319</v>
      </c>
      <c r="J19" s="458" t="s">
        <v>1088</v>
      </c>
      <c r="K19" s="210"/>
      <c r="L19" s="587" t="s">
        <v>881</v>
      </c>
      <c r="M19" s="586" t="s">
        <v>1476</v>
      </c>
      <c r="N19" s="210"/>
      <c r="O19" s="236" t="s">
        <v>113</v>
      </c>
      <c r="P19" s="220" t="s">
        <v>25</v>
      </c>
      <c r="Q19" s="232" t="s">
        <v>1089</v>
      </c>
      <c r="R19" s="220" t="s">
        <v>35</v>
      </c>
      <c r="S19" s="221"/>
      <c r="T19" s="210"/>
      <c r="U19" s="150"/>
    </row>
    <row r="20" spans="1:21" ht="45" customHeight="1" x14ac:dyDescent="0.25">
      <c r="A20" s="131" t="s">
        <v>321</v>
      </c>
      <c r="B20" s="132" t="s">
        <v>1238</v>
      </c>
      <c r="C20" s="132" t="s">
        <v>322</v>
      </c>
      <c r="D20" s="132" t="s">
        <v>59</v>
      </c>
      <c r="E20" s="152" t="s">
        <v>1090</v>
      </c>
      <c r="F20" s="233" t="s">
        <v>464</v>
      </c>
      <c r="G20" s="215"/>
      <c r="H20" s="378" t="s">
        <v>882</v>
      </c>
      <c r="I20" s="459" t="s">
        <v>1534</v>
      </c>
      <c r="J20" s="461" t="s">
        <v>1535</v>
      </c>
      <c r="K20" s="215"/>
      <c r="L20" s="588" t="s">
        <v>882</v>
      </c>
      <c r="M20" s="492" t="s">
        <v>1476</v>
      </c>
      <c r="N20" s="215"/>
      <c r="O20" s="216" t="s">
        <v>113</v>
      </c>
      <c r="P20" s="133" t="s">
        <v>25</v>
      </c>
      <c r="Q20" s="132" t="s">
        <v>1091</v>
      </c>
      <c r="R20" s="133" t="s">
        <v>35</v>
      </c>
      <c r="S20" s="152"/>
      <c r="T20" s="215"/>
      <c r="U20" s="154"/>
    </row>
    <row r="21" spans="1:21" ht="48.6" customHeight="1" x14ac:dyDescent="0.25">
      <c r="A21" s="125" t="s">
        <v>324</v>
      </c>
      <c r="B21" s="126" t="s">
        <v>1281</v>
      </c>
      <c r="C21" s="126" t="s">
        <v>325</v>
      </c>
      <c r="D21" s="126" t="s">
        <v>265</v>
      </c>
      <c r="E21" s="411" t="s">
        <v>1092</v>
      </c>
      <c r="F21" s="235" t="s">
        <v>465</v>
      </c>
      <c r="G21" s="210"/>
      <c r="H21" s="389" t="s">
        <v>883</v>
      </c>
      <c r="I21" s="457" t="s">
        <v>325</v>
      </c>
      <c r="J21" s="458" t="s">
        <v>1092</v>
      </c>
      <c r="K21" s="210"/>
      <c r="L21" s="587" t="s">
        <v>883</v>
      </c>
      <c r="M21" s="493" t="s">
        <v>1476</v>
      </c>
      <c r="N21" s="210"/>
      <c r="O21" s="236" t="s">
        <v>113</v>
      </c>
      <c r="P21" s="220" t="s">
        <v>25</v>
      </c>
      <c r="Q21" s="232" t="s">
        <v>1093</v>
      </c>
      <c r="R21" s="220" t="s">
        <v>35</v>
      </c>
      <c r="S21" s="221"/>
      <c r="T21" s="210"/>
      <c r="U21" s="150"/>
    </row>
    <row r="22" spans="1:21" ht="45.95" customHeight="1" x14ac:dyDescent="0.25">
      <c r="A22" s="131" t="s">
        <v>327</v>
      </c>
      <c r="B22" s="132" t="s">
        <v>1238</v>
      </c>
      <c r="C22" s="132" t="s">
        <v>328</v>
      </c>
      <c r="D22" s="132" t="s">
        <v>59</v>
      </c>
      <c r="E22" s="152" t="s">
        <v>1094</v>
      </c>
      <c r="F22" s="233" t="s">
        <v>329</v>
      </c>
      <c r="G22" s="215"/>
      <c r="H22" s="378" t="s">
        <v>884</v>
      </c>
      <c r="I22" s="459" t="s">
        <v>1536</v>
      </c>
      <c r="J22" s="461" t="s">
        <v>1537</v>
      </c>
      <c r="K22" s="215"/>
      <c r="L22" s="588" t="s">
        <v>884</v>
      </c>
      <c r="M22" s="492" t="s">
        <v>1476</v>
      </c>
      <c r="N22" s="215"/>
      <c r="O22" s="216" t="s">
        <v>113</v>
      </c>
      <c r="P22" s="133" t="s">
        <v>25</v>
      </c>
      <c r="Q22" s="132" t="s">
        <v>1095</v>
      </c>
      <c r="R22" s="133" t="s">
        <v>35</v>
      </c>
      <c r="S22" s="152"/>
      <c r="T22" s="215"/>
      <c r="U22" s="154"/>
    </row>
    <row r="23" spans="1:21" ht="78" customHeight="1" x14ac:dyDescent="0.25">
      <c r="A23" s="125" t="s">
        <v>330</v>
      </c>
      <c r="B23" s="126" t="s">
        <v>1238</v>
      </c>
      <c r="C23" s="126" t="s">
        <v>331</v>
      </c>
      <c r="D23" s="126" t="s">
        <v>265</v>
      </c>
      <c r="E23" s="149" t="s">
        <v>1096</v>
      </c>
      <c r="F23" s="235" t="s">
        <v>466</v>
      </c>
      <c r="G23" s="210"/>
      <c r="H23" s="389" t="s">
        <v>885</v>
      </c>
      <c r="I23" s="457" t="s">
        <v>331</v>
      </c>
      <c r="J23" s="458" t="s">
        <v>1538</v>
      </c>
      <c r="K23" s="210"/>
      <c r="L23" s="580" t="s">
        <v>1687</v>
      </c>
      <c r="M23" s="590" t="s">
        <v>1476</v>
      </c>
      <c r="N23" s="210"/>
      <c r="O23" s="236" t="s">
        <v>113</v>
      </c>
      <c r="P23" s="220" t="s">
        <v>25</v>
      </c>
      <c r="Q23" s="232" t="s">
        <v>1097</v>
      </c>
      <c r="R23" s="220" t="s">
        <v>35</v>
      </c>
      <c r="S23" s="221"/>
      <c r="T23" s="210"/>
      <c r="U23" s="150"/>
    </row>
    <row r="24" spans="1:21" ht="28.5" customHeight="1" x14ac:dyDescent="0.25">
      <c r="A24" s="131" t="s">
        <v>333</v>
      </c>
      <c r="B24" s="132" t="s">
        <v>1238</v>
      </c>
      <c r="C24" s="132" t="s">
        <v>334</v>
      </c>
      <c r="D24" s="132" t="s">
        <v>39</v>
      </c>
      <c r="E24" s="152" t="s">
        <v>1098</v>
      </c>
      <c r="F24" s="233" t="s">
        <v>467</v>
      </c>
      <c r="G24" s="215"/>
      <c r="H24" s="452" t="s">
        <v>886</v>
      </c>
      <c r="I24" s="459" t="s">
        <v>334</v>
      </c>
      <c r="J24" s="460" t="s">
        <v>1539</v>
      </c>
      <c r="K24" s="215"/>
      <c r="L24" s="588" t="s">
        <v>886</v>
      </c>
      <c r="M24" s="492" t="s">
        <v>1477</v>
      </c>
      <c r="N24" s="215"/>
      <c r="O24" s="216"/>
      <c r="P24" s="133"/>
      <c r="Q24" s="132"/>
      <c r="R24" s="133" t="s">
        <v>1099</v>
      </c>
      <c r="S24" s="152"/>
      <c r="T24" s="215"/>
      <c r="U24" s="154"/>
    </row>
    <row r="25" spans="1:21" ht="29.1" customHeight="1" x14ac:dyDescent="0.25">
      <c r="A25" s="125" t="s">
        <v>336</v>
      </c>
      <c r="B25" s="126" t="s">
        <v>1238</v>
      </c>
      <c r="C25" s="126" t="s">
        <v>337</v>
      </c>
      <c r="D25" s="126" t="s">
        <v>39</v>
      </c>
      <c r="E25" s="411" t="s">
        <v>1100</v>
      </c>
      <c r="F25" s="235" t="s">
        <v>338</v>
      </c>
      <c r="G25" s="210"/>
      <c r="H25" s="389" t="s">
        <v>887</v>
      </c>
      <c r="I25" s="457" t="s">
        <v>337</v>
      </c>
      <c r="J25" s="464" t="s">
        <v>1540</v>
      </c>
      <c r="K25" s="210"/>
      <c r="L25" s="587" t="s">
        <v>887</v>
      </c>
      <c r="M25" s="591" t="s">
        <v>1477</v>
      </c>
      <c r="N25" s="210"/>
      <c r="O25" s="236"/>
      <c r="P25" s="220"/>
      <c r="Q25" s="232"/>
      <c r="R25" s="220" t="s">
        <v>1101</v>
      </c>
      <c r="S25" s="221"/>
      <c r="T25" s="210"/>
      <c r="U25" s="150"/>
    </row>
    <row r="26" spans="1:21" ht="163.5" customHeight="1" x14ac:dyDescent="0.25">
      <c r="A26" s="131" t="s">
        <v>468</v>
      </c>
      <c r="B26" s="132" t="s">
        <v>1238</v>
      </c>
      <c r="C26" s="132" t="s">
        <v>340</v>
      </c>
      <c r="D26" s="132" t="s">
        <v>59</v>
      </c>
      <c r="E26" s="461" t="s">
        <v>1102</v>
      </c>
      <c r="F26" s="233" t="s">
        <v>469</v>
      </c>
      <c r="G26" s="215"/>
      <c r="H26" s="479" t="s">
        <v>1104</v>
      </c>
      <c r="I26" s="465" t="s">
        <v>739</v>
      </c>
      <c r="J26" s="466" t="s">
        <v>739</v>
      </c>
      <c r="K26" s="215"/>
      <c r="L26" s="581" t="s">
        <v>1683</v>
      </c>
      <c r="M26" s="501" t="s">
        <v>1476</v>
      </c>
      <c r="N26" s="215"/>
      <c r="O26" s="216" t="s">
        <v>137</v>
      </c>
      <c r="P26" s="133" t="s">
        <v>25</v>
      </c>
      <c r="Q26" s="132" t="s">
        <v>1103</v>
      </c>
      <c r="R26" s="133" t="s">
        <v>35</v>
      </c>
      <c r="S26" s="152"/>
      <c r="T26" s="215"/>
      <c r="U26" s="154"/>
    </row>
    <row r="27" spans="1:21" ht="146.25" customHeight="1" thickBot="1" x14ac:dyDescent="0.3">
      <c r="A27" s="147" t="s">
        <v>470</v>
      </c>
      <c r="B27" s="148" t="s">
        <v>905</v>
      </c>
      <c r="C27" s="148" t="s">
        <v>471</v>
      </c>
      <c r="D27" s="148" t="s">
        <v>59</v>
      </c>
      <c r="E27" s="480" t="s">
        <v>1105</v>
      </c>
      <c r="F27" s="238" t="s">
        <v>472</v>
      </c>
      <c r="G27" s="210"/>
      <c r="H27" s="481" t="s">
        <v>1104</v>
      </c>
      <c r="I27" s="482" t="s">
        <v>739</v>
      </c>
      <c r="J27" s="483" t="s">
        <v>739</v>
      </c>
      <c r="K27" s="210"/>
      <c r="L27" s="602" t="s">
        <v>1695</v>
      </c>
      <c r="M27" s="603" t="s">
        <v>1476</v>
      </c>
      <c r="N27" s="210"/>
      <c r="O27" s="239" t="s">
        <v>137</v>
      </c>
      <c r="P27" s="240" t="s">
        <v>25</v>
      </c>
      <c r="Q27" s="241" t="s">
        <v>138</v>
      </c>
      <c r="R27" s="240" t="s">
        <v>35</v>
      </c>
      <c r="S27" s="269"/>
      <c r="T27" s="210"/>
      <c r="U27" s="150"/>
    </row>
  </sheetData>
  <mergeCells count="49">
    <mergeCell ref="F12:F14"/>
    <mergeCell ref="L12:L14"/>
    <mergeCell ref="A12:A14"/>
    <mergeCell ref="B12:B14"/>
    <mergeCell ref="C12:C14"/>
    <mergeCell ref="D12:D14"/>
    <mergeCell ref="E12:E14"/>
    <mergeCell ref="I12:I14"/>
    <mergeCell ref="J12:J14"/>
    <mergeCell ref="F7:F10"/>
    <mergeCell ref="H7:H10"/>
    <mergeCell ref="L7:L10"/>
    <mergeCell ref="O7:O10"/>
    <mergeCell ref="P7:P10"/>
    <mergeCell ref="I7:I10"/>
    <mergeCell ref="J7:J10"/>
    <mergeCell ref="M7:M10"/>
    <mergeCell ref="A7:A10"/>
    <mergeCell ref="B7:B10"/>
    <mergeCell ref="C7:C10"/>
    <mergeCell ref="D7:D10"/>
    <mergeCell ref="E7:E10"/>
    <mergeCell ref="A1:T1"/>
    <mergeCell ref="R3:R6"/>
    <mergeCell ref="S3:S6"/>
    <mergeCell ref="C3:C6"/>
    <mergeCell ref="D3:D6"/>
    <mergeCell ref="E3:E6"/>
    <mergeCell ref="F3:F6"/>
    <mergeCell ref="A3:A6"/>
    <mergeCell ref="B3:B6"/>
    <mergeCell ref="O3:O6"/>
    <mergeCell ref="P3:P6"/>
    <mergeCell ref="I3:I6"/>
    <mergeCell ref="J3:J6"/>
    <mergeCell ref="M3:M6"/>
    <mergeCell ref="U3:U6"/>
    <mergeCell ref="R7:R10"/>
    <mergeCell ref="S7:S10"/>
    <mergeCell ref="U7:U10"/>
    <mergeCell ref="H12:H14"/>
    <mergeCell ref="O12:O13"/>
    <mergeCell ref="P12:P13"/>
    <mergeCell ref="R12:R14"/>
    <mergeCell ref="S12:S14"/>
    <mergeCell ref="U12:U14"/>
    <mergeCell ref="H3:H6"/>
    <mergeCell ref="L3:L6"/>
    <mergeCell ref="M12:M1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M3:M27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
  <sheetViews>
    <sheetView zoomScale="70" zoomScaleNormal="70" workbookViewId="0">
      <pane xSplit="6" ySplit="2" topLeftCell="Q3" activePane="bottomRight" state="frozen"/>
      <selection pane="topRight" activeCell="G1" sqref="G1"/>
      <selection pane="bottomLeft" activeCell="A3" sqref="A3"/>
      <selection pane="bottomRight" activeCell="E12" sqref="E12"/>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3" width="52.42578125" customWidth="1"/>
    <col min="14" max="14" width="4.140625" customWidth="1"/>
    <col min="15" max="15" width="36" bestFit="1" customWidth="1"/>
    <col min="16" max="16" width="27.5703125" customWidth="1"/>
    <col min="17" max="17" width="35.28515625" bestFit="1" customWidth="1"/>
    <col min="18" max="18" width="75.28515625" customWidth="1"/>
    <col min="19" max="19" width="52.42578125" customWidth="1"/>
    <col min="20" max="20" width="0" hidden="1" customWidth="1"/>
  </cols>
  <sheetData>
    <row r="1" spans="1:20" ht="19.5" thickBot="1" x14ac:dyDescent="0.35">
      <c r="A1" s="736" t="s">
        <v>1282</v>
      </c>
      <c r="B1" s="737"/>
      <c r="C1" s="737"/>
      <c r="D1" s="737"/>
      <c r="E1" s="737"/>
      <c r="F1" s="737"/>
      <c r="G1" s="737"/>
      <c r="H1" s="737"/>
      <c r="I1" s="737"/>
      <c r="J1" s="737"/>
      <c r="K1" s="737"/>
      <c r="L1" s="737"/>
      <c r="M1" s="737"/>
      <c r="N1" s="737"/>
      <c r="O1" s="737"/>
      <c r="P1" s="737"/>
      <c r="Q1" s="737"/>
      <c r="R1" s="737"/>
      <c r="S1" s="737"/>
      <c r="T1" s="738"/>
    </row>
    <row r="2" spans="1:20" ht="15.75" thickBot="1" x14ac:dyDescent="0.3">
      <c r="A2" s="7" t="s">
        <v>10</v>
      </c>
      <c r="B2" s="8" t="s">
        <v>11</v>
      </c>
      <c r="C2" s="8" t="s">
        <v>12</v>
      </c>
      <c r="D2" s="8" t="s">
        <v>13</v>
      </c>
      <c r="E2" s="10" t="s">
        <v>14</v>
      </c>
      <c r="F2" s="227" t="s">
        <v>941</v>
      </c>
      <c r="G2" s="28"/>
      <c r="H2" s="318" t="s">
        <v>725</v>
      </c>
      <c r="I2" s="319" t="s">
        <v>1412</v>
      </c>
      <c r="J2" s="320" t="s">
        <v>1411</v>
      </c>
      <c r="K2" s="183"/>
      <c r="L2" s="429" t="s">
        <v>87</v>
      </c>
      <c r="M2" s="430" t="s">
        <v>1475</v>
      </c>
      <c r="N2" s="28"/>
      <c r="O2" s="252" t="s">
        <v>15</v>
      </c>
      <c r="P2" s="253" t="s">
        <v>16</v>
      </c>
      <c r="Q2" s="253" t="s">
        <v>17</v>
      </c>
      <c r="R2" s="253" t="s">
        <v>18</v>
      </c>
      <c r="S2" s="254" t="s">
        <v>19</v>
      </c>
      <c r="T2" s="44" t="s">
        <v>812</v>
      </c>
    </row>
    <row r="3" spans="1:20" x14ac:dyDescent="0.25">
      <c r="A3" s="972" t="s">
        <v>20</v>
      </c>
      <c r="B3" s="973" t="s">
        <v>889</v>
      </c>
      <c r="C3" s="973" t="s">
        <v>21</v>
      </c>
      <c r="D3" s="973" t="s">
        <v>22</v>
      </c>
      <c r="E3" s="974" t="s">
        <v>891</v>
      </c>
      <c r="F3" s="660" t="s">
        <v>23</v>
      </c>
      <c r="G3" s="29"/>
      <c r="H3" s="757" t="s">
        <v>1292</v>
      </c>
      <c r="I3" s="742" t="s">
        <v>1413</v>
      </c>
      <c r="J3" s="743" t="s">
        <v>1541</v>
      </c>
      <c r="K3" s="29"/>
      <c r="L3" s="1041" t="s">
        <v>1292</v>
      </c>
      <c r="M3" s="770" t="s">
        <v>1476</v>
      </c>
      <c r="N3" s="29"/>
      <c r="O3" s="978" t="s">
        <v>24</v>
      </c>
      <c r="P3" s="982" t="s">
        <v>25</v>
      </c>
      <c r="Q3" s="184" t="s">
        <v>26</v>
      </c>
      <c r="R3" s="983" t="s">
        <v>813</v>
      </c>
      <c r="S3" s="968"/>
      <c r="T3" s="969" t="s">
        <v>800</v>
      </c>
    </row>
    <row r="4" spans="1:20" x14ac:dyDescent="0.25">
      <c r="A4" s="683"/>
      <c r="B4" s="681"/>
      <c r="C4" s="681"/>
      <c r="D4" s="681"/>
      <c r="E4" s="764"/>
      <c r="F4" s="661"/>
      <c r="G4" s="29"/>
      <c r="H4" s="637"/>
      <c r="I4" s="719"/>
      <c r="J4" s="721"/>
      <c r="K4" s="29"/>
      <c r="L4" s="1042"/>
      <c r="M4" s="771"/>
      <c r="N4" s="29"/>
      <c r="O4" s="749"/>
      <c r="P4" s="659"/>
      <c r="Q4" s="54" t="s">
        <v>28</v>
      </c>
      <c r="R4" s="655"/>
      <c r="S4" s="657"/>
      <c r="T4" s="970"/>
    </row>
    <row r="5" spans="1:20" x14ac:dyDescent="0.25">
      <c r="A5" s="683"/>
      <c r="B5" s="681"/>
      <c r="C5" s="681"/>
      <c r="D5" s="681"/>
      <c r="E5" s="764"/>
      <c r="F5" s="661"/>
      <c r="G5" s="29"/>
      <c r="H5" s="637"/>
      <c r="I5" s="719"/>
      <c r="J5" s="721"/>
      <c r="K5" s="29"/>
      <c r="L5" s="1042"/>
      <c r="M5" s="771"/>
      <c r="N5" s="29"/>
      <c r="O5" s="749"/>
      <c r="P5" s="659"/>
      <c r="Q5" s="54" t="s">
        <v>29</v>
      </c>
      <c r="R5" s="655"/>
      <c r="S5" s="657"/>
      <c r="T5" s="970"/>
    </row>
    <row r="6" spans="1:20" x14ac:dyDescent="0.25">
      <c r="A6" s="683"/>
      <c r="B6" s="681"/>
      <c r="C6" s="681"/>
      <c r="D6" s="681"/>
      <c r="E6" s="764"/>
      <c r="F6" s="661"/>
      <c r="G6" s="29"/>
      <c r="H6" s="637"/>
      <c r="I6" s="719"/>
      <c r="J6" s="721"/>
      <c r="K6" s="29"/>
      <c r="L6" s="1042"/>
      <c r="M6" s="771"/>
      <c r="N6" s="29"/>
      <c r="O6" s="749"/>
      <c r="P6" s="659"/>
      <c r="Q6" s="54" t="s">
        <v>30</v>
      </c>
      <c r="R6" s="655"/>
      <c r="S6" s="657"/>
      <c r="T6" s="971"/>
    </row>
    <row r="7" spans="1:20" ht="135" customHeight="1" x14ac:dyDescent="0.25">
      <c r="A7" s="251" t="s">
        <v>31</v>
      </c>
      <c r="B7" s="250" t="s">
        <v>889</v>
      </c>
      <c r="C7" s="23" t="s">
        <v>32</v>
      </c>
      <c r="D7" s="23" t="s">
        <v>22</v>
      </c>
      <c r="E7" s="107" t="s">
        <v>892</v>
      </c>
      <c r="F7" s="243" t="s">
        <v>88</v>
      </c>
      <c r="G7" s="29"/>
      <c r="H7" s="371" t="s">
        <v>1293</v>
      </c>
      <c r="I7" s="442" t="s">
        <v>1490</v>
      </c>
      <c r="J7" s="445" t="s">
        <v>1542</v>
      </c>
      <c r="K7" s="29"/>
      <c r="L7" s="583" t="s">
        <v>1293</v>
      </c>
      <c r="M7" s="489" t="s">
        <v>1476</v>
      </c>
      <c r="N7" s="29"/>
      <c r="O7" s="256" t="s">
        <v>24</v>
      </c>
      <c r="P7" s="255" t="s">
        <v>25</v>
      </c>
      <c r="Q7" s="249" t="s">
        <v>34</v>
      </c>
      <c r="R7" s="255" t="s">
        <v>35</v>
      </c>
      <c r="S7" s="107"/>
      <c r="T7" s="171"/>
    </row>
    <row r="8" spans="1:20" ht="138" customHeight="1" thickBot="1" x14ac:dyDescent="0.3">
      <c r="A8" s="82" t="s">
        <v>236</v>
      </c>
      <c r="B8" s="80" t="s">
        <v>1233</v>
      </c>
      <c r="C8" s="80" t="s">
        <v>237</v>
      </c>
      <c r="D8" s="80" t="s">
        <v>59</v>
      </c>
      <c r="E8" s="105" t="s">
        <v>1209</v>
      </c>
      <c r="F8" s="244" t="s">
        <v>238</v>
      </c>
      <c r="G8" s="30"/>
      <c r="H8" s="328" t="s">
        <v>1289</v>
      </c>
      <c r="I8" s="331" t="s">
        <v>1544</v>
      </c>
      <c r="J8" s="332" t="s">
        <v>1545</v>
      </c>
      <c r="K8" s="181"/>
      <c r="L8" s="606" t="s">
        <v>1289</v>
      </c>
      <c r="M8" s="607" t="s">
        <v>1476</v>
      </c>
      <c r="N8" s="181"/>
      <c r="O8" s="106" t="s">
        <v>811</v>
      </c>
      <c r="P8" s="70" t="s">
        <v>25</v>
      </c>
      <c r="Q8" s="70" t="s">
        <v>822</v>
      </c>
      <c r="R8" s="70" t="s">
        <v>35</v>
      </c>
      <c r="S8" s="72"/>
      <c r="T8" s="171"/>
    </row>
  </sheetData>
  <mergeCells count="17">
    <mergeCell ref="R3:R6"/>
    <mergeCell ref="S3:S6"/>
    <mergeCell ref="T3:T6"/>
    <mergeCell ref="A1:T1"/>
    <mergeCell ref="A3:A6"/>
    <mergeCell ref="B3:B6"/>
    <mergeCell ref="C3:C6"/>
    <mergeCell ref="D3:D6"/>
    <mergeCell ref="E3:E6"/>
    <mergeCell ref="F3:F6"/>
    <mergeCell ref="H3:H6"/>
    <mergeCell ref="L3:L6"/>
    <mergeCell ref="O3:O6"/>
    <mergeCell ref="I3:I6"/>
    <mergeCell ref="J3:J6"/>
    <mergeCell ref="M3:M6"/>
    <mergeCell ref="P3:P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
  <sheetViews>
    <sheetView zoomScale="70" zoomScaleNormal="70" workbookViewId="0">
      <pane xSplit="6" ySplit="2" topLeftCell="K3" activePane="bottomRight" state="frozen"/>
      <selection pane="topRight" activeCell="G1" sqref="G1"/>
      <selection pane="bottomLeft" activeCell="A3" sqref="A3"/>
      <selection pane="bottomRight" activeCell="M3" sqref="M3:M6"/>
    </sheetView>
  </sheetViews>
  <sheetFormatPr defaultRowHeight="15" x14ac:dyDescent="0.2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3" width="52.42578125" customWidth="1"/>
    <col min="14" max="14" width="4.140625" customWidth="1"/>
    <col min="15" max="15" width="35.140625" bestFit="1" customWidth="1"/>
    <col min="16" max="16" width="27.42578125" customWidth="1"/>
    <col min="17" max="17" width="28.42578125" customWidth="1"/>
    <col min="18" max="18" width="68.42578125" bestFit="1" customWidth="1"/>
    <col min="19" max="19" width="75.5703125" customWidth="1"/>
    <col min="20" max="21" width="0" hidden="1" customWidth="1"/>
  </cols>
  <sheetData>
    <row r="1" spans="1:21" ht="19.5" thickBot="1" x14ac:dyDescent="0.35">
      <c r="A1" s="736" t="s">
        <v>1282</v>
      </c>
      <c r="B1" s="737"/>
      <c r="C1" s="737"/>
      <c r="D1" s="737"/>
      <c r="E1" s="737"/>
      <c r="F1" s="737"/>
      <c r="G1" s="737"/>
      <c r="H1" s="737"/>
      <c r="I1" s="737"/>
      <c r="J1" s="737"/>
      <c r="K1" s="737"/>
      <c r="L1" s="737"/>
      <c r="M1" s="737"/>
      <c r="N1" s="737"/>
      <c r="O1" s="737"/>
      <c r="P1" s="737"/>
      <c r="Q1" s="737"/>
      <c r="R1" s="737"/>
      <c r="S1" s="737"/>
      <c r="T1" s="738"/>
    </row>
    <row r="2" spans="1:21" ht="15.75" thickBot="1" x14ac:dyDescent="0.3">
      <c r="A2" s="7" t="s">
        <v>10</v>
      </c>
      <c r="B2" s="8" t="s">
        <v>11</v>
      </c>
      <c r="C2" s="8" t="s">
        <v>12</v>
      </c>
      <c r="D2" s="8" t="s">
        <v>13</v>
      </c>
      <c r="E2" s="10" t="s">
        <v>14</v>
      </c>
      <c r="F2" s="227" t="s">
        <v>941</v>
      </c>
      <c r="G2" s="28"/>
      <c r="H2" s="318" t="s">
        <v>725</v>
      </c>
      <c r="I2" s="319" t="s">
        <v>1412</v>
      </c>
      <c r="J2" s="320" t="s">
        <v>1411</v>
      </c>
      <c r="K2" s="183"/>
      <c r="L2" s="429" t="s">
        <v>87</v>
      </c>
      <c r="M2" s="430" t="s">
        <v>1475</v>
      </c>
      <c r="N2" s="28"/>
      <c r="O2" s="252" t="s">
        <v>15</v>
      </c>
      <c r="P2" s="253" t="s">
        <v>16</v>
      </c>
      <c r="Q2" s="253" t="s">
        <v>17</v>
      </c>
      <c r="R2" s="253" t="s">
        <v>18</v>
      </c>
      <c r="S2" s="254" t="s">
        <v>19</v>
      </c>
      <c r="T2" s="44" t="s">
        <v>812</v>
      </c>
    </row>
    <row r="3" spans="1:21" x14ac:dyDescent="0.25">
      <c r="A3" s="972" t="s">
        <v>20</v>
      </c>
      <c r="B3" s="973" t="s">
        <v>889</v>
      </c>
      <c r="C3" s="973" t="s">
        <v>21</v>
      </c>
      <c r="D3" s="973" t="s">
        <v>22</v>
      </c>
      <c r="E3" s="974" t="s">
        <v>891</v>
      </c>
      <c r="F3" s="660" t="s">
        <v>23</v>
      </c>
      <c r="G3" s="29"/>
      <c r="H3" s="757" t="s">
        <v>1290</v>
      </c>
      <c r="I3" s="742" t="s">
        <v>1413</v>
      </c>
      <c r="J3" s="743" t="s">
        <v>1541</v>
      </c>
      <c r="K3" s="29"/>
      <c r="L3" s="767" t="s">
        <v>1290</v>
      </c>
      <c r="M3" s="790" t="s">
        <v>1476</v>
      </c>
      <c r="N3" s="29"/>
      <c r="O3" s="978" t="s">
        <v>24</v>
      </c>
      <c r="P3" s="982" t="s">
        <v>25</v>
      </c>
      <c r="Q3" s="184" t="s">
        <v>26</v>
      </c>
      <c r="R3" s="983" t="s">
        <v>813</v>
      </c>
      <c r="S3" s="968"/>
      <c r="T3" s="969" t="s">
        <v>800</v>
      </c>
    </row>
    <row r="4" spans="1:21" x14ac:dyDescent="0.25">
      <c r="A4" s="683"/>
      <c r="B4" s="681"/>
      <c r="C4" s="681"/>
      <c r="D4" s="681"/>
      <c r="E4" s="764"/>
      <c r="F4" s="661"/>
      <c r="G4" s="29"/>
      <c r="H4" s="637"/>
      <c r="I4" s="719"/>
      <c r="J4" s="721"/>
      <c r="K4" s="29"/>
      <c r="L4" s="748"/>
      <c r="M4" s="791"/>
      <c r="N4" s="29"/>
      <c r="O4" s="749"/>
      <c r="P4" s="659"/>
      <c r="Q4" s="54" t="s">
        <v>28</v>
      </c>
      <c r="R4" s="655"/>
      <c r="S4" s="657"/>
      <c r="T4" s="970"/>
    </row>
    <row r="5" spans="1:21" x14ac:dyDescent="0.25">
      <c r="A5" s="683"/>
      <c r="B5" s="681"/>
      <c r="C5" s="681"/>
      <c r="D5" s="681"/>
      <c r="E5" s="764"/>
      <c r="F5" s="661"/>
      <c r="G5" s="29"/>
      <c r="H5" s="637"/>
      <c r="I5" s="719"/>
      <c r="J5" s="721"/>
      <c r="K5" s="29"/>
      <c r="L5" s="748"/>
      <c r="M5" s="791"/>
      <c r="N5" s="29"/>
      <c r="O5" s="749"/>
      <c r="P5" s="659"/>
      <c r="Q5" s="54" t="s">
        <v>29</v>
      </c>
      <c r="R5" s="655"/>
      <c r="S5" s="657"/>
      <c r="T5" s="970"/>
    </row>
    <row r="6" spans="1:21" x14ac:dyDescent="0.25">
      <c r="A6" s="683"/>
      <c r="B6" s="681"/>
      <c r="C6" s="681"/>
      <c r="D6" s="681"/>
      <c r="E6" s="764"/>
      <c r="F6" s="661"/>
      <c r="G6" s="29"/>
      <c r="H6" s="637"/>
      <c r="I6" s="719"/>
      <c r="J6" s="721"/>
      <c r="K6" s="29"/>
      <c r="L6" s="748"/>
      <c r="M6" s="791"/>
      <c r="N6" s="29"/>
      <c r="O6" s="749"/>
      <c r="P6" s="659"/>
      <c r="Q6" s="54" t="s">
        <v>30</v>
      </c>
      <c r="R6" s="655"/>
      <c r="S6" s="657"/>
      <c r="T6" s="971"/>
    </row>
    <row r="7" spans="1:21" x14ac:dyDescent="0.25">
      <c r="A7" s="984" t="s">
        <v>111</v>
      </c>
      <c r="B7" s="992" t="s">
        <v>889</v>
      </c>
      <c r="C7" s="992" t="s">
        <v>112</v>
      </c>
      <c r="D7" s="992" t="s">
        <v>22</v>
      </c>
      <c r="E7" s="993" t="s">
        <v>907</v>
      </c>
      <c r="F7" s="989" t="s">
        <v>309</v>
      </c>
      <c r="G7" s="231"/>
      <c r="H7" s="984" t="s">
        <v>1291</v>
      </c>
      <c r="I7" s="987" t="s">
        <v>1501</v>
      </c>
      <c r="J7" s="993" t="s">
        <v>1543</v>
      </c>
      <c r="K7" s="231"/>
      <c r="L7" s="984" t="s">
        <v>1291</v>
      </c>
      <c r="M7" s="988" t="s">
        <v>1476</v>
      </c>
      <c r="N7" s="231"/>
      <c r="O7" s="986" t="s">
        <v>1223</v>
      </c>
      <c r="P7" s="987" t="s">
        <v>25</v>
      </c>
      <c r="Q7" s="128" t="s">
        <v>26</v>
      </c>
      <c r="R7" s="987" t="s">
        <v>1078</v>
      </c>
      <c r="S7" s="988"/>
      <c r="T7" s="171"/>
    </row>
    <row r="8" spans="1:21" x14ac:dyDescent="0.25">
      <c r="A8" s="984"/>
      <c r="B8" s="992"/>
      <c r="C8" s="992"/>
      <c r="D8" s="992"/>
      <c r="E8" s="993"/>
      <c r="F8" s="990"/>
      <c r="G8" s="231"/>
      <c r="H8" s="984"/>
      <c r="I8" s="987"/>
      <c r="J8" s="993"/>
      <c r="K8" s="231"/>
      <c r="L8" s="984"/>
      <c r="M8" s="988"/>
      <c r="N8" s="231"/>
      <c r="O8" s="986"/>
      <c r="P8" s="987"/>
      <c r="Q8" s="128" t="s">
        <v>114</v>
      </c>
      <c r="R8" s="987"/>
      <c r="S8" s="988"/>
      <c r="T8" s="171"/>
    </row>
    <row r="9" spans="1:21" x14ac:dyDescent="0.25">
      <c r="A9" s="984"/>
      <c r="B9" s="992"/>
      <c r="C9" s="992"/>
      <c r="D9" s="992"/>
      <c r="E9" s="993"/>
      <c r="F9" s="990"/>
      <c r="G9" s="231"/>
      <c r="H9" s="984"/>
      <c r="I9" s="987"/>
      <c r="J9" s="993"/>
      <c r="K9" s="231"/>
      <c r="L9" s="984"/>
      <c r="M9" s="988"/>
      <c r="N9" s="231"/>
      <c r="O9" s="986"/>
      <c r="P9" s="987"/>
      <c r="Q9" s="128" t="s">
        <v>115</v>
      </c>
      <c r="R9" s="987"/>
      <c r="S9" s="988"/>
    </row>
    <row r="10" spans="1:21" x14ac:dyDescent="0.25">
      <c r="A10" s="984"/>
      <c r="B10" s="992"/>
      <c r="C10" s="992"/>
      <c r="D10" s="992"/>
      <c r="E10" s="993"/>
      <c r="F10" s="991"/>
      <c r="G10" s="231"/>
      <c r="H10" s="984"/>
      <c r="I10" s="987"/>
      <c r="J10" s="993"/>
      <c r="K10" s="231"/>
      <c r="L10" s="984"/>
      <c r="M10" s="988"/>
      <c r="N10" s="231"/>
      <c r="O10" s="986"/>
      <c r="P10" s="987"/>
      <c r="Q10" s="128" t="s">
        <v>116</v>
      </c>
      <c r="R10" s="987"/>
      <c r="S10" s="988"/>
    </row>
    <row r="11" spans="1:21" ht="102.95" customHeight="1" thickBot="1" x14ac:dyDescent="0.3">
      <c r="A11" s="147" t="s">
        <v>468</v>
      </c>
      <c r="B11" s="148" t="s">
        <v>1238</v>
      </c>
      <c r="C11" s="148" t="s">
        <v>340</v>
      </c>
      <c r="D11" s="148" t="s">
        <v>59</v>
      </c>
      <c r="E11" s="155" t="s">
        <v>1102</v>
      </c>
      <c r="F11" s="238" t="s">
        <v>469</v>
      </c>
      <c r="G11" s="210"/>
      <c r="H11" s="389" t="s">
        <v>1294</v>
      </c>
      <c r="I11" s="457" t="s">
        <v>340</v>
      </c>
      <c r="J11" s="464" t="s">
        <v>1102</v>
      </c>
      <c r="K11" s="210"/>
      <c r="L11" s="597" t="s">
        <v>1294</v>
      </c>
      <c r="M11" s="600" t="s">
        <v>1476</v>
      </c>
      <c r="N11" s="210"/>
      <c r="O11" s="239" t="s">
        <v>137</v>
      </c>
      <c r="P11" s="240" t="s">
        <v>25</v>
      </c>
      <c r="Q11" s="241" t="s">
        <v>1103</v>
      </c>
      <c r="R11" s="240" t="s">
        <v>35</v>
      </c>
      <c r="S11" s="269"/>
      <c r="T11" s="215"/>
      <c r="U11" s="154"/>
    </row>
    <row r="12" spans="1:21" ht="62.1" customHeight="1" thickBot="1" x14ac:dyDescent="0.3">
      <c r="A12" s="261" t="s">
        <v>470</v>
      </c>
      <c r="B12" s="262" t="s">
        <v>905</v>
      </c>
      <c r="C12" s="262" t="s">
        <v>471</v>
      </c>
      <c r="D12" s="262" t="s">
        <v>59</v>
      </c>
      <c r="E12" s="263" t="s">
        <v>1105</v>
      </c>
      <c r="F12" s="264" t="s">
        <v>472</v>
      </c>
      <c r="G12" s="210"/>
      <c r="H12" s="261" t="s">
        <v>1295</v>
      </c>
      <c r="I12" s="266" t="s">
        <v>1547</v>
      </c>
      <c r="J12" s="263" t="s">
        <v>1105</v>
      </c>
      <c r="K12" s="210"/>
      <c r="L12" s="261" t="s">
        <v>1295</v>
      </c>
      <c r="M12" s="267" t="s">
        <v>1476</v>
      </c>
      <c r="N12" s="210"/>
      <c r="O12" s="265" t="s">
        <v>137</v>
      </c>
      <c r="P12" s="266" t="s">
        <v>25</v>
      </c>
      <c r="Q12" s="262" t="s">
        <v>138</v>
      </c>
      <c r="R12" s="266" t="s">
        <v>35</v>
      </c>
      <c r="S12" s="263"/>
      <c r="T12" s="210"/>
      <c r="U12" s="150"/>
    </row>
  </sheetData>
  <mergeCells count="32">
    <mergeCell ref="I3:I6"/>
    <mergeCell ref="J3:J6"/>
    <mergeCell ref="I7:I10"/>
    <mergeCell ref="J7:J10"/>
    <mergeCell ref="M3:M6"/>
    <mergeCell ref="M7:M10"/>
    <mergeCell ref="F7:F10"/>
    <mergeCell ref="A1:T1"/>
    <mergeCell ref="A3:A6"/>
    <mergeCell ref="B3:B6"/>
    <mergeCell ref="C3:C6"/>
    <mergeCell ref="D3:D6"/>
    <mergeCell ref="E3:E6"/>
    <mergeCell ref="F3:F6"/>
    <mergeCell ref="H3:H6"/>
    <mergeCell ref="L3:L6"/>
    <mergeCell ref="O3:O6"/>
    <mergeCell ref="A7:A10"/>
    <mergeCell ref="B7:B10"/>
    <mergeCell ref="C7:C10"/>
    <mergeCell ref="D7:D10"/>
    <mergeCell ref="E7:E10"/>
    <mergeCell ref="S7:S10"/>
    <mergeCell ref="P3:P6"/>
    <mergeCell ref="R3:R6"/>
    <mergeCell ref="S3:S6"/>
    <mergeCell ref="T3:T6"/>
    <mergeCell ref="H7:H10"/>
    <mergeCell ref="L7:L10"/>
    <mergeCell ref="O7:O10"/>
    <mergeCell ref="P7:P10"/>
    <mergeCell ref="R7:R1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Normal="100" workbookViewId="0"/>
  </sheetViews>
  <sheetFormatPr defaultRowHeight="15" x14ac:dyDescent="0.25"/>
  <cols>
    <col min="1" max="1" width="167.85546875" customWidth="1"/>
  </cols>
  <sheetData>
    <row r="1" spans="1:1" ht="409.6" thickBot="1" x14ac:dyDescent="0.3">
      <c r="A1" s="305" t="s">
        <v>1672</v>
      </c>
    </row>
    <row r="2" spans="1:1" ht="409.5" hidden="1" thickBot="1" x14ac:dyDescent="0.3">
      <c r="A2" s="1" t="s">
        <v>473</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9"/>
  <sheetViews>
    <sheetView zoomScale="70" zoomScaleNormal="70" workbookViewId="0">
      <pane xSplit="6" ySplit="2" topLeftCell="G12" activePane="bottomRight" state="frozen"/>
      <selection pane="topRight" activeCell="G1" sqref="G1"/>
      <selection pane="bottomLeft" activeCell="A3" sqref="A3"/>
      <selection pane="bottomRight" activeCell="C13" sqref="C13"/>
    </sheetView>
  </sheetViews>
  <sheetFormatPr defaultColWidth="8.7109375" defaultRowHeight="15" x14ac:dyDescent="0.25"/>
  <cols>
    <col min="1" max="1" width="6.7109375" style="3" customWidth="1"/>
    <col min="2" max="2" width="12.85546875" style="3" customWidth="1"/>
    <col min="3" max="3" width="24.42578125" style="2" bestFit="1" customWidth="1"/>
    <col min="4" max="4" width="13" style="3" customWidth="1"/>
    <col min="5" max="5" width="47.7109375" style="3" customWidth="1"/>
    <col min="6" max="6" width="0" style="3" hidden="1" customWidth="1"/>
    <col min="7" max="7" width="4.140625" style="3" customWidth="1"/>
    <col min="8" max="8" width="34.140625" style="3" customWidth="1"/>
    <col min="9" max="9" width="14.5703125" style="3" customWidth="1"/>
    <col min="10" max="10" width="26.28515625" style="3" customWidth="1"/>
    <col min="11" max="11" width="4" style="3" customWidth="1"/>
    <col min="12" max="12" width="63.28515625" style="3" customWidth="1"/>
    <col min="13" max="13" width="52.42578125" style="3" customWidth="1"/>
    <col min="14" max="14" width="4.140625" style="3" customWidth="1"/>
    <col min="15" max="15" width="41.7109375" style="3" bestFit="1" customWidth="1"/>
    <col min="16" max="16" width="26.85546875" style="3" bestFit="1" customWidth="1"/>
    <col min="17" max="17" width="24.42578125" style="3" bestFit="1" customWidth="1"/>
    <col min="18" max="18" width="147.5703125" style="3" bestFit="1" customWidth="1"/>
    <col min="19" max="19" width="68.5703125" style="3" customWidth="1"/>
    <col min="20" max="21" width="0" style="3" hidden="1" customWidth="1"/>
    <col min="22" max="16384" width="8.7109375" style="3"/>
  </cols>
  <sheetData>
    <row r="1" spans="1:21" ht="17.45" customHeight="1" thickBot="1" x14ac:dyDescent="0.3">
      <c r="A1" s="1051" t="s">
        <v>1076</v>
      </c>
      <c r="B1" s="1039"/>
      <c r="C1" s="1039"/>
      <c r="D1" s="1039"/>
      <c r="E1" s="1039"/>
      <c r="F1" s="1039"/>
      <c r="G1" s="1040"/>
      <c r="H1" s="1040"/>
      <c r="I1" s="1040"/>
      <c r="J1" s="1040"/>
      <c r="K1" s="1040"/>
      <c r="L1" s="1040"/>
      <c r="M1" s="1040"/>
      <c r="N1" s="1040"/>
      <c r="O1" s="1039"/>
      <c r="P1" s="1039"/>
      <c r="Q1" s="1039"/>
      <c r="R1" s="1039"/>
      <c r="S1" s="1039"/>
      <c r="T1" s="1039"/>
      <c r="U1" s="145"/>
    </row>
    <row r="2" spans="1:21" ht="34.5" customHeight="1" thickBot="1" x14ac:dyDescent="0.3">
      <c r="A2" s="7" t="s">
        <v>10</v>
      </c>
      <c r="B2" s="8" t="s">
        <v>11</v>
      </c>
      <c r="C2" s="8" t="s">
        <v>12</v>
      </c>
      <c r="D2" s="8" t="s">
        <v>13</v>
      </c>
      <c r="E2" s="10" t="s">
        <v>14</v>
      </c>
      <c r="F2" s="227" t="s">
        <v>941</v>
      </c>
      <c r="G2" s="28"/>
      <c r="H2" s="318" t="s">
        <v>725</v>
      </c>
      <c r="I2" s="319" t="s">
        <v>1412</v>
      </c>
      <c r="J2" s="320" t="s">
        <v>1411</v>
      </c>
      <c r="K2" s="183"/>
      <c r="L2" s="429" t="s">
        <v>87</v>
      </c>
      <c r="M2" s="430" t="s">
        <v>1475</v>
      </c>
      <c r="N2" s="28"/>
      <c r="O2" s="276" t="s">
        <v>15</v>
      </c>
      <c r="P2" s="277" t="s">
        <v>16</v>
      </c>
      <c r="Q2" s="278" t="s">
        <v>17</v>
      </c>
      <c r="R2" s="278" t="s">
        <v>18</v>
      </c>
      <c r="S2" s="279" t="s">
        <v>19</v>
      </c>
      <c r="T2" s="28"/>
      <c r="U2" s="124" t="s">
        <v>923</v>
      </c>
    </row>
    <row r="3" spans="1:21" x14ac:dyDescent="0.25">
      <c r="A3" s="1018" t="s">
        <v>147</v>
      </c>
      <c r="B3" s="1019" t="s">
        <v>1296</v>
      </c>
      <c r="C3" s="1019" t="s">
        <v>474</v>
      </c>
      <c r="D3" s="1019" t="s">
        <v>475</v>
      </c>
      <c r="E3" s="905" t="s">
        <v>1045</v>
      </c>
      <c r="F3" s="1026" t="s">
        <v>476</v>
      </c>
      <c r="G3" s="210"/>
      <c r="H3" s="1050" t="s">
        <v>739</v>
      </c>
      <c r="I3" s="1053"/>
      <c r="J3" s="1054"/>
      <c r="K3" s="210"/>
      <c r="L3" s="1052" t="s">
        <v>1724</v>
      </c>
      <c r="M3" s="956" t="s">
        <v>1484</v>
      </c>
      <c r="N3" s="210"/>
      <c r="O3" s="1027" t="s">
        <v>1046</v>
      </c>
      <c r="P3" s="1020" t="s">
        <v>25</v>
      </c>
      <c r="Q3" s="232" t="s">
        <v>26</v>
      </c>
      <c r="R3" s="1020" t="s">
        <v>943</v>
      </c>
      <c r="S3" s="1043"/>
      <c r="T3" s="210"/>
      <c r="U3" s="1044"/>
    </row>
    <row r="4" spans="1:21" x14ac:dyDescent="0.25">
      <c r="A4" s="1018"/>
      <c r="B4" s="1019"/>
      <c r="C4" s="1019"/>
      <c r="D4" s="1019"/>
      <c r="E4" s="906"/>
      <c r="F4" s="1026"/>
      <c r="G4" s="210"/>
      <c r="H4" s="911"/>
      <c r="I4" s="961"/>
      <c r="J4" s="963"/>
      <c r="K4" s="210"/>
      <c r="L4" s="1029"/>
      <c r="M4" s="931"/>
      <c r="N4" s="210"/>
      <c r="O4" s="1027"/>
      <c r="P4" s="1020"/>
      <c r="Q4" s="232" t="s">
        <v>28</v>
      </c>
      <c r="R4" s="1020"/>
      <c r="S4" s="1043"/>
      <c r="T4" s="210"/>
      <c r="U4" s="1044"/>
    </row>
    <row r="5" spans="1:21" x14ac:dyDescent="0.25">
      <c r="A5" s="1018"/>
      <c r="B5" s="1019"/>
      <c r="C5" s="1019"/>
      <c r="D5" s="1019"/>
      <c r="E5" s="906"/>
      <c r="F5" s="1026"/>
      <c r="G5" s="210"/>
      <c r="H5" s="911"/>
      <c r="I5" s="961"/>
      <c r="J5" s="963"/>
      <c r="K5" s="210"/>
      <c r="L5" s="1029"/>
      <c r="M5" s="931"/>
      <c r="N5" s="210"/>
      <c r="O5" s="1027"/>
      <c r="P5" s="1020"/>
      <c r="Q5" s="232" t="s">
        <v>29</v>
      </c>
      <c r="R5" s="1020"/>
      <c r="S5" s="1043"/>
      <c r="T5" s="210"/>
      <c r="U5" s="1044"/>
    </row>
    <row r="6" spans="1:21" ht="237" customHeight="1" x14ac:dyDescent="0.25">
      <c r="A6" s="1018"/>
      <c r="B6" s="1019"/>
      <c r="C6" s="1019"/>
      <c r="D6" s="1019"/>
      <c r="E6" s="907"/>
      <c r="F6" s="1026"/>
      <c r="G6" s="210"/>
      <c r="H6" s="911"/>
      <c r="I6" s="961"/>
      <c r="J6" s="963"/>
      <c r="K6" s="210"/>
      <c r="L6" s="1029"/>
      <c r="M6" s="931"/>
      <c r="N6" s="210"/>
      <c r="O6" s="1027"/>
      <c r="P6" s="1020"/>
      <c r="Q6" s="232" t="s">
        <v>30</v>
      </c>
      <c r="R6" s="1020"/>
      <c r="S6" s="1043"/>
      <c r="T6" s="210"/>
      <c r="U6" s="1044"/>
    </row>
    <row r="7" spans="1:21" ht="14.45" customHeight="1" x14ac:dyDescent="0.25">
      <c r="A7" s="908" t="s">
        <v>31</v>
      </c>
      <c r="B7" s="1001" t="s">
        <v>1296</v>
      </c>
      <c r="C7" s="1001" t="s">
        <v>477</v>
      </c>
      <c r="D7" s="1001" t="s">
        <v>22</v>
      </c>
      <c r="E7" s="902" t="s">
        <v>1047</v>
      </c>
      <c r="F7" s="1031" t="s">
        <v>478</v>
      </c>
      <c r="G7" s="215"/>
      <c r="H7" s="1017" t="s">
        <v>739</v>
      </c>
      <c r="I7" s="1000"/>
      <c r="J7" s="1002"/>
      <c r="K7" s="215"/>
      <c r="L7" s="1055" t="s">
        <v>1715</v>
      </c>
      <c r="M7" s="930" t="s">
        <v>1484</v>
      </c>
      <c r="N7" s="215"/>
      <c r="O7" s="1028" t="s">
        <v>988</v>
      </c>
      <c r="P7" s="932" t="s">
        <v>25</v>
      </c>
      <c r="Q7" s="132" t="s">
        <v>989</v>
      </c>
      <c r="R7" s="932" t="s">
        <v>990</v>
      </c>
      <c r="S7" s="1045"/>
      <c r="T7" s="215"/>
      <c r="U7" s="1048"/>
    </row>
    <row r="8" spans="1:21" ht="213.75" customHeight="1" x14ac:dyDescent="0.25">
      <c r="A8" s="908"/>
      <c r="B8" s="1001"/>
      <c r="C8" s="1001"/>
      <c r="D8" s="1001"/>
      <c r="E8" s="904"/>
      <c r="F8" s="1031"/>
      <c r="G8" s="215"/>
      <c r="H8" s="908"/>
      <c r="I8" s="1001"/>
      <c r="J8" s="930"/>
      <c r="K8" s="215"/>
      <c r="L8" s="1055"/>
      <c r="M8" s="930"/>
      <c r="N8" s="215"/>
      <c r="O8" s="1028"/>
      <c r="P8" s="932"/>
      <c r="Q8" s="132" t="s">
        <v>992</v>
      </c>
      <c r="R8" s="932"/>
      <c r="S8" s="1045"/>
      <c r="T8" s="215"/>
      <c r="U8" s="1048"/>
    </row>
    <row r="9" spans="1:21" ht="119.25" customHeight="1" x14ac:dyDescent="0.25">
      <c r="A9" s="125" t="s">
        <v>479</v>
      </c>
      <c r="B9" s="126" t="s">
        <v>1296</v>
      </c>
      <c r="C9" s="126" t="s">
        <v>480</v>
      </c>
      <c r="D9" s="126" t="s">
        <v>39</v>
      </c>
      <c r="E9" s="149" t="s">
        <v>1583</v>
      </c>
      <c r="F9" s="235" t="s">
        <v>481</v>
      </c>
      <c r="G9" s="210"/>
      <c r="H9" s="390" t="s">
        <v>739</v>
      </c>
      <c r="I9" s="386"/>
      <c r="J9" s="391"/>
      <c r="K9" s="210"/>
      <c r="L9" s="593" t="s">
        <v>1716</v>
      </c>
      <c r="M9" s="406" t="s">
        <v>1484</v>
      </c>
      <c r="N9" s="210"/>
      <c r="O9" s="236" t="s">
        <v>674</v>
      </c>
      <c r="P9" s="220" t="s">
        <v>25</v>
      </c>
      <c r="Q9" s="232" t="s">
        <v>927</v>
      </c>
      <c r="R9" s="220" t="s">
        <v>35</v>
      </c>
      <c r="S9" s="280"/>
      <c r="T9" s="210"/>
      <c r="U9" s="130" t="s">
        <v>928</v>
      </c>
    </row>
    <row r="10" spans="1:21" ht="102.75" customHeight="1" x14ac:dyDescent="0.25">
      <c r="A10" s="131" t="s">
        <v>482</v>
      </c>
      <c r="B10" s="132" t="s">
        <v>1296</v>
      </c>
      <c r="C10" s="132" t="s">
        <v>483</v>
      </c>
      <c r="D10" s="132" t="s">
        <v>39</v>
      </c>
      <c r="E10" s="533" t="s">
        <v>1584</v>
      </c>
      <c r="F10" s="233" t="s">
        <v>484</v>
      </c>
      <c r="G10" s="215"/>
      <c r="H10" s="397" t="s">
        <v>739</v>
      </c>
      <c r="I10" s="398"/>
      <c r="J10" s="399"/>
      <c r="K10" s="215"/>
      <c r="L10" s="436" t="s">
        <v>1717</v>
      </c>
      <c r="M10" s="392" t="s">
        <v>1484</v>
      </c>
      <c r="N10" s="215"/>
      <c r="O10" s="216" t="s">
        <v>678</v>
      </c>
      <c r="P10" s="133"/>
      <c r="Q10" s="132" t="s">
        <v>679</v>
      </c>
      <c r="R10" s="133" t="s">
        <v>35</v>
      </c>
      <c r="S10" s="281"/>
      <c r="T10" s="215"/>
      <c r="U10" s="129" t="s">
        <v>928</v>
      </c>
    </row>
    <row r="11" spans="1:21" ht="240.75" customHeight="1" x14ac:dyDescent="0.25">
      <c r="A11" s="125" t="s">
        <v>485</v>
      </c>
      <c r="B11" s="126" t="s">
        <v>898</v>
      </c>
      <c r="C11" s="126" t="s">
        <v>486</v>
      </c>
      <c r="D11" s="126" t="s">
        <v>39</v>
      </c>
      <c r="E11" s="149" t="s">
        <v>1585</v>
      </c>
      <c r="F11" s="235" t="s">
        <v>487</v>
      </c>
      <c r="G11" s="210"/>
      <c r="H11" s="390" t="s">
        <v>739</v>
      </c>
      <c r="I11" s="386"/>
      <c r="J11" s="391"/>
      <c r="K11" s="210"/>
      <c r="L11" s="593" t="s">
        <v>1720</v>
      </c>
      <c r="M11" s="406" t="s">
        <v>1484</v>
      </c>
      <c r="N11" s="210"/>
      <c r="O11" s="236" t="s">
        <v>677</v>
      </c>
      <c r="P11" s="220" t="s">
        <v>677</v>
      </c>
      <c r="Q11" s="232" t="s">
        <v>677</v>
      </c>
      <c r="R11" s="220" t="s">
        <v>677</v>
      </c>
      <c r="S11" s="280" t="s">
        <v>677</v>
      </c>
      <c r="T11" s="210"/>
      <c r="U11" s="130" t="s">
        <v>677</v>
      </c>
    </row>
    <row r="12" spans="1:21" ht="278.25" customHeight="1" x14ac:dyDescent="0.25">
      <c r="A12" s="131" t="s">
        <v>488</v>
      </c>
      <c r="B12" s="132" t="s">
        <v>1297</v>
      </c>
      <c r="C12" s="132" t="s">
        <v>489</v>
      </c>
      <c r="D12" s="132" t="s">
        <v>22</v>
      </c>
      <c r="E12" s="152"/>
      <c r="F12" s="233"/>
      <c r="G12" s="215"/>
      <c r="H12" s="397" t="s">
        <v>739</v>
      </c>
      <c r="I12" s="398"/>
      <c r="J12" s="399"/>
      <c r="K12" s="215"/>
      <c r="L12" s="1148" t="s">
        <v>1732</v>
      </c>
      <c r="M12" s="392" t="s">
        <v>1484</v>
      </c>
      <c r="N12" s="215"/>
      <c r="O12" s="216" t="s">
        <v>24</v>
      </c>
      <c r="P12" s="133" t="s">
        <v>25</v>
      </c>
      <c r="Q12" s="132" t="s">
        <v>1048</v>
      </c>
      <c r="R12" s="133" t="s">
        <v>35</v>
      </c>
      <c r="S12" s="281"/>
      <c r="T12" s="215"/>
      <c r="U12" s="137"/>
    </row>
    <row r="13" spans="1:21" ht="73.5" customHeight="1" x14ac:dyDescent="0.25">
      <c r="A13" s="125" t="s">
        <v>490</v>
      </c>
      <c r="B13" s="126" t="s">
        <v>1297</v>
      </c>
      <c r="C13" s="126" t="s">
        <v>491</v>
      </c>
      <c r="D13" s="126" t="s">
        <v>39</v>
      </c>
      <c r="E13" s="411" t="s">
        <v>1586</v>
      </c>
      <c r="F13" s="235" t="s">
        <v>492</v>
      </c>
      <c r="G13" s="210"/>
      <c r="H13" s="390" t="s">
        <v>739</v>
      </c>
      <c r="I13" s="386"/>
      <c r="J13" s="391"/>
      <c r="K13" s="210"/>
      <c r="L13" s="593" t="s">
        <v>1721</v>
      </c>
      <c r="M13" s="406" t="s">
        <v>1484</v>
      </c>
      <c r="N13" s="210"/>
      <c r="O13" s="282" t="s">
        <v>109</v>
      </c>
      <c r="P13" s="232" t="s">
        <v>109</v>
      </c>
      <c r="Q13" s="232" t="s">
        <v>109</v>
      </c>
      <c r="R13" s="232" t="s">
        <v>109</v>
      </c>
      <c r="S13" s="237" t="s">
        <v>109</v>
      </c>
      <c r="T13" s="210"/>
      <c r="U13" s="146"/>
    </row>
    <row r="14" spans="1:21" ht="137.25" customHeight="1" x14ac:dyDescent="0.25">
      <c r="A14" s="131" t="s">
        <v>493</v>
      </c>
      <c r="B14" s="132" t="s">
        <v>1297</v>
      </c>
      <c r="C14" s="410" t="s">
        <v>1668</v>
      </c>
      <c r="D14" s="132" t="s">
        <v>39</v>
      </c>
      <c r="E14" s="461" t="s">
        <v>1049</v>
      </c>
      <c r="F14" s="233" t="s">
        <v>494</v>
      </c>
      <c r="G14" s="215"/>
      <c r="H14" s="397" t="s">
        <v>739</v>
      </c>
      <c r="I14" s="398"/>
      <c r="J14" s="399"/>
      <c r="K14" s="215"/>
      <c r="L14" s="436" t="s">
        <v>1718</v>
      </c>
      <c r="M14" s="392" t="s">
        <v>1484</v>
      </c>
      <c r="N14" s="215"/>
      <c r="O14" s="131" t="s">
        <v>109</v>
      </c>
      <c r="P14" s="132" t="s">
        <v>109</v>
      </c>
      <c r="Q14" s="132" t="s">
        <v>109</v>
      </c>
      <c r="R14" s="132" t="s">
        <v>109</v>
      </c>
      <c r="S14" s="134" t="s">
        <v>109</v>
      </c>
      <c r="T14" s="215"/>
      <c r="U14" s="137"/>
    </row>
    <row r="15" spans="1:21" ht="132.75" customHeight="1" x14ac:dyDescent="0.25">
      <c r="A15" s="125" t="s">
        <v>495</v>
      </c>
      <c r="B15" s="126" t="s">
        <v>1297</v>
      </c>
      <c r="C15" s="126" t="s">
        <v>1669</v>
      </c>
      <c r="D15" s="126" t="s">
        <v>39</v>
      </c>
      <c r="E15" s="411" t="s">
        <v>1670</v>
      </c>
      <c r="F15" s="235" t="s">
        <v>496</v>
      </c>
      <c r="G15" s="210"/>
      <c r="H15" s="390" t="s">
        <v>739</v>
      </c>
      <c r="I15" s="386"/>
      <c r="J15" s="391"/>
      <c r="K15" s="210"/>
      <c r="L15" s="436" t="s">
        <v>1719</v>
      </c>
      <c r="M15" s="406" t="s">
        <v>1484</v>
      </c>
      <c r="N15" s="210"/>
      <c r="O15" s="282" t="s">
        <v>109</v>
      </c>
      <c r="P15" s="232" t="s">
        <v>109</v>
      </c>
      <c r="Q15" s="232" t="s">
        <v>109</v>
      </c>
      <c r="R15" s="232" t="s">
        <v>109</v>
      </c>
      <c r="S15" s="237" t="s">
        <v>109</v>
      </c>
      <c r="T15" s="210"/>
      <c r="U15" s="146"/>
    </row>
    <row r="16" spans="1:21" ht="60.6" customHeight="1" x14ac:dyDescent="0.25">
      <c r="A16" s="131" t="s">
        <v>497</v>
      </c>
      <c r="B16" s="132" t="s">
        <v>1297</v>
      </c>
      <c r="C16" s="132" t="s">
        <v>498</v>
      </c>
      <c r="D16" s="132" t="s">
        <v>39</v>
      </c>
      <c r="E16" s="461" t="s">
        <v>1050</v>
      </c>
      <c r="F16" s="233" t="s">
        <v>499</v>
      </c>
      <c r="G16" s="215"/>
      <c r="H16" s="397" t="s">
        <v>739</v>
      </c>
      <c r="I16" s="398"/>
      <c r="J16" s="399"/>
      <c r="K16" s="215"/>
      <c r="L16" s="624" t="s">
        <v>1719</v>
      </c>
      <c r="M16" s="392" t="s">
        <v>1484</v>
      </c>
      <c r="N16" s="215"/>
      <c r="O16" s="131" t="s">
        <v>109</v>
      </c>
      <c r="P16" s="132" t="s">
        <v>109</v>
      </c>
      <c r="Q16" s="132" t="s">
        <v>109</v>
      </c>
      <c r="R16" s="132" t="s">
        <v>109</v>
      </c>
      <c r="S16" s="134" t="s">
        <v>109</v>
      </c>
      <c r="T16" s="215"/>
      <c r="U16" s="137"/>
    </row>
    <row r="17" spans="1:21" ht="108" customHeight="1" x14ac:dyDescent="0.25">
      <c r="A17" s="125" t="s">
        <v>500</v>
      </c>
      <c r="B17" s="126" t="s">
        <v>1298</v>
      </c>
      <c r="C17" s="126" t="s">
        <v>501</v>
      </c>
      <c r="D17" s="126" t="s">
        <v>39</v>
      </c>
      <c r="E17" s="411" t="s">
        <v>1051</v>
      </c>
      <c r="F17" s="235" t="s">
        <v>502</v>
      </c>
      <c r="G17" s="210"/>
      <c r="H17" s="390" t="s">
        <v>739</v>
      </c>
      <c r="I17" s="386"/>
      <c r="J17" s="391"/>
      <c r="K17" s="210"/>
      <c r="L17" s="593" t="s">
        <v>1722</v>
      </c>
      <c r="M17" s="406" t="s">
        <v>1484</v>
      </c>
      <c r="N17" s="210"/>
      <c r="O17" s="282" t="s">
        <v>109</v>
      </c>
      <c r="P17" s="232" t="s">
        <v>109</v>
      </c>
      <c r="Q17" s="232" t="s">
        <v>109</v>
      </c>
      <c r="R17" s="232" t="s">
        <v>109</v>
      </c>
      <c r="S17" s="237" t="s">
        <v>109</v>
      </c>
      <c r="T17" s="210"/>
      <c r="U17" s="146"/>
    </row>
    <row r="18" spans="1:21" ht="147" customHeight="1" x14ac:dyDescent="0.25">
      <c r="A18" s="131" t="s">
        <v>503</v>
      </c>
      <c r="B18" s="132" t="s">
        <v>1298</v>
      </c>
      <c r="C18" s="132" t="s">
        <v>504</v>
      </c>
      <c r="D18" s="132" t="s">
        <v>59</v>
      </c>
      <c r="E18" s="152" t="s">
        <v>1052</v>
      </c>
      <c r="F18" s="233" t="s">
        <v>505</v>
      </c>
      <c r="G18" s="215"/>
      <c r="H18" s="378" t="s">
        <v>1053</v>
      </c>
      <c r="I18" s="379"/>
      <c r="J18" s="392"/>
      <c r="K18" s="215"/>
      <c r="L18" s="593" t="s">
        <v>1723</v>
      </c>
      <c r="M18" s="392" t="s">
        <v>1484</v>
      </c>
      <c r="N18" s="215"/>
      <c r="O18" s="216" t="s">
        <v>677</v>
      </c>
      <c r="P18" s="133" t="s">
        <v>677</v>
      </c>
      <c r="Q18" s="132" t="s">
        <v>677</v>
      </c>
      <c r="R18" s="133" t="s">
        <v>677</v>
      </c>
      <c r="S18" s="281" t="s">
        <v>677</v>
      </c>
      <c r="T18" s="215"/>
      <c r="U18" s="129" t="s">
        <v>677</v>
      </c>
    </row>
    <row r="19" spans="1:21" ht="63" customHeight="1" x14ac:dyDescent="0.25">
      <c r="A19" s="125" t="s">
        <v>506</v>
      </c>
      <c r="B19" s="126" t="s">
        <v>1298</v>
      </c>
      <c r="C19" s="126" t="s">
        <v>507</v>
      </c>
      <c r="D19" s="126" t="s">
        <v>39</v>
      </c>
      <c r="E19" s="149" t="s">
        <v>1587</v>
      </c>
      <c r="F19" s="235" t="s">
        <v>508</v>
      </c>
      <c r="G19" s="210"/>
      <c r="H19" s="390" t="s">
        <v>739</v>
      </c>
      <c r="I19" s="386"/>
      <c r="J19" s="391"/>
      <c r="K19" s="210"/>
      <c r="L19" s="593" t="s">
        <v>1725</v>
      </c>
      <c r="M19" s="406" t="s">
        <v>1484</v>
      </c>
      <c r="N19" s="210"/>
      <c r="O19" s="236" t="s">
        <v>677</v>
      </c>
      <c r="P19" s="220" t="s">
        <v>677</v>
      </c>
      <c r="Q19" s="232" t="s">
        <v>677</v>
      </c>
      <c r="R19" s="220" t="s">
        <v>677</v>
      </c>
      <c r="S19" s="280" t="s">
        <v>677</v>
      </c>
      <c r="T19" s="210"/>
      <c r="U19" s="130" t="s">
        <v>677</v>
      </c>
    </row>
    <row r="20" spans="1:21" ht="78" customHeight="1" x14ac:dyDescent="0.25">
      <c r="A20" s="131" t="s">
        <v>509</v>
      </c>
      <c r="B20" s="132" t="s">
        <v>1298</v>
      </c>
      <c r="C20" s="132" t="s">
        <v>510</v>
      </c>
      <c r="D20" s="132" t="s">
        <v>59</v>
      </c>
      <c r="E20" s="461" t="s">
        <v>1054</v>
      </c>
      <c r="F20" s="233" t="s">
        <v>511</v>
      </c>
      <c r="G20" s="215"/>
      <c r="H20" s="378" t="s">
        <v>1055</v>
      </c>
      <c r="I20" s="379"/>
      <c r="J20" s="392"/>
      <c r="K20" s="215"/>
      <c r="L20" s="436" t="s">
        <v>1726</v>
      </c>
      <c r="M20" s="392" t="s">
        <v>1484</v>
      </c>
      <c r="N20" s="215"/>
      <c r="O20" s="216" t="s">
        <v>677</v>
      </c>
      <c r="P20" s="133" t="s">
        <v>677</v>
      </c>
      <c r="Q20" s="132" t="s">
        <v>677</v>
      </c>
      <c r="R20" s="133" t="s">
        <v>677</v>
      </c>
      <c r="S20" s="281" t="s">
        <v>677</v>
      </c>
      <c r="T20" s="215"/>
      <c r="U20" s="129" t="s">
        <v>677</v>
      </c>
    </row>
    <row r="21" spans="1:21" ht="50.25" customHeight="1" x14ac:dyDescent="0.25">
      <c r="A21" s="125" t="s">
        <v>512</v>
      </c>
      <c r="B21" s="126" t="s">
        <v>1298</v>
      </c>
      <c r="C21" s="126" t="s">
        <v>513</v>
      </c>
      <c r="D21" s="126" t="s">
        <v>39</v>
      </c>
      <c r="E21" s="149" t="s">
        <v>1588</v>
      </c>
      <c r="F21" s="235" t="s">
        <v>514</v>
      </c>
      <c r="G21" s="210"/>
      <c r="H21" s="390" t="s">
        <v>739</v>
      </c>
      <c r="I21" s="386"/>
      <c r="J21" s="391"/>
      <c r="K21" s="210"/>
      <c r="L21" s="593"/>
      <c r="M21" s="406" t="s">
        <v>1484</v>
      </c>
      <c r="N21" s="210"/>
      <c r="O21" s="236" t="s">
        <v>677</v>
      </c>
      <c r="P21" s="220" t="s">
        <v>677</v>
      </c>
      <c r="Q21" s="232" t="s">
        <v>677</v>
      </c>
      <c r="R21" s="220" t="s">
        <v>677</v>
      </c>
      <c r="S21" s="280" t="s">
        <v>677</v>
      </c>
      <c r="T21" s="210"/>
      <c r="U21" s="130" t="s">
        <v>677</v>
      </c>
    </row>
    <row r="22" spans="1:21" ht="153.75" customHeight="1" x14ac:dyDescent="0.25">
      <c r="A22" s="131" t="s">
        <v>515</v>
      </c>
      <c r="B22" s="132" t="s">
        <v>1299</v>
      </c>
      <c r="C22" s="132" t="s">
        <v>516</v>
      </c>
      <c r="D22" s="132" t="s">
        <v>126</v>
      </c>
      <c r="E22" s="152" t="s">
        <v>1056</v>
      </c>
      <c r="F22" s="233" t="s">
        <v>517</v>
      </c>
      <c r="G22" s="215"/>
      <c r="H22" s="479" t="s">
        <v>1057</v>
      </c>
      <c r="I22" s="379"/>
      <c r="J22" s="392"/>
      <c r="K22" s="215"/>
      <c r="L22" s="436" t="s">
        <v>1692</v>
      </c>
      <c r="M22" s="392" t="s">
        <v>1484</v>
      </c>
      <c r="N22" s="215"/>
      <c r="O22" s="131" t="s">
        <v>109</v>
      </c>
      <c r="P22" s="132" t="s">
        <v>109</v>
      </c>
      <c r="Q22" s="132" t="s">
        <v>109</v>
      </c>
      <c r="R22" s="132" t="s">
        <v>109</v>
      </c>
      <c r="S22" s="134" t="s">
        <v>109</v>
      </c>
      <c r="T22" s="215"/>
      <c r="U22" s="137"/>
    </row>
    <row r="23" spans="1:21" ht="134.25" customHeight="1" x14ac:dyDescent="0.25">
      <c r="A23" s="125" t="s">
        <v>518</v>
      </c>
      <c r="B23" s="126" t="s">
        <v>1299</v>
      </c>
      <c r="C23" s="126" t="s">
        <v>519</v>
      </c>
      <c r="D23" s="126" t="s">
        <v>126</v>
      </c>
      <c r="E23" s="411" t="s">
        <v>1671</v>
      </c>
      <c r="F23" s="235" t="s">
        <v>520</v>
      </c>
      <c r="G23" s="210"/>
      <c r="H23" s="486" t="s">
        <v>1057</v>
      </c>
      <c r="I23" s="385"/>
      <c r="J23" s="388"/>
      <c r="K23" s="210"/>
      <c r="L23" s="436" t="s">
        <v>1692</v>
      </c>
      <c r="M23" s="406" t="s">
        <v>1484</v>
      </c>
      <c r="N23" s="210"/>
      <c r="O23" s="282" t="s">
        <v>109</v>
      </c>
      <c r="P23" s="232" t="s">
        <v>109</v>
      </c>
      <c r="Q23" s="232" t="s">
        <v>109</v>
      </c>
      <c r="R23" s="232" t="s">
        <v>109</v>
      </c>
      <c r="S23" s="237" t="s">
        <v>109</v>
      </c>
      <c r="T23" s="210"/>
      <c r="U23" s="146"/>
    </row>
    <row r="24" spans="1:21" ht="74.25" customHeight="1" x14ac:dyDescent="0.25">
      <c r="A24" s="131" t="s">
        <v>521</v>
      </c>
      <c r="B24" s="410" t="s">
        <v>1300</v>
      </c>
      <c r="C24" s="132" t="s">
        <v>522</v>
      </c>
      <c r="D24" s="132" t="s">
        <v>523</v>
      </c>
      <c r="E24" s="461" t="s">
        <v>1058</v>
      </c>
      <c r="F24" s="233" t="s">
        <v>524</v>
      </c>
      <c r="G24" s="215"/>
      <c r="H24" s="397" t="s">
        <v>739</v>
      </c>
      <c r="I24" s="398"/>
      <c r="J24" s="399"/>
      <c r="K24" s="215"/>
      <c r="L24" s="1143" t="s">
        <v>1693</v>
      </c>
      <c r="M24" s="392" t="s">
        <v>1484</v>
      </c>
      <c r="N24" s="215"/>
      <c r="O24" s="216" t="s">
        <v>24</v>
      </c>
      <c r="P24" s="133" t="s">
        <v>25</v>
      </c>
      <c r="Q24" s="132" t="s">
        <v>767</v>
      </c>
      <c r="R24" s="133" t="s">
        <v>35</v>
      </c>
      <c r="S24" s="281"/>
      <c r="T24" s="215"/>
      <c r="U24" s="137"/>
    </row>
    <row r="25" spans="1:21" ht="57.6" customHeight="1" x14ac:dyDescent="0.25">
      <c r="A25" s="125" t="s">
        <v>525</v>
      </c>
      <c r="B25" s="126" t="s">
        <v>1300</v>
      </c>
      <c r="C25" s="126" t="s">
        <v>526</v>
      </c>
      <c r="D25" s="126" t="s">
        <v>22</v>
      </c>
      <c r="E25" s="149" t="s">
        <v>1059</v>
      </c>
      <c r="F25" s="235" t="s">
        <v>527</v>
      </c>
      <c r="G25" s="210"/>
      <c r="H25" s="390" t="s">
        <v>739</v>
      </c>
      <c r="I25" s="386"/>
      <c r="J25" s="391"/>
      <c r="K25" s="210"/>
      <c r="L25" s="1143" t="s">
        <v>1693</v>
      </c>
      <c r="M25" s="406" t="s">
        <v>1484</v>
      </c>
      <c r="N25" s="210"/>
      <c r="O25" s="236" t="s">
        <v>24</v>
      </c>
      <c r="P25" s="220" t="s">
        <v>25</v>
      </c>
      <c r="Q25" s="232" t="s">
        <v>768</v>
      </c>
      <c r="R25" s="220" t="s">
        <v>35</v>
      </c>
      <c r="S25" s="280"/>
      <c r="T25" s="210"/>
      <c r="U25" s="146"/>
    </row>
    <row r="26" spans="1:21" x14ac:dyDescent="0.25">
      <c r="A26" s="908" t="s">
        <v>528</v>
      </c>
      <c r="B26" s="1001" t="s">
        <v>1300</v>
      </c>
      <c r="C26" s="1001" t="s">
        <v>529</v>
      </c>
      <c r="D26" s="1001" t="s">
        <v>39</v>
      </c>
      <c r="E26" s="902" t="s">
        <v>1060</v>
      </c>
      <c r="F26" s="1031" t="s">
        <v>530</v>
      </c>
      <c r="G26" s="215"/>
      <c r="H26" s="1017" t="s">
        <v>739</v>
      </c>
      <c r="I26" s="1000"/>
      <c r="J26" s="1002"/>
      <c r="K26" s="215"/>
      <c r="L26" s="1144" t="s">
        <v>1694</v>
      </c>
      <c r="M26" s="930" t="s">
        <v>1484</v>
      </c>
      <c r="N26" s="215"/>
      <c r="O26" s="1028" t="s">
        <v>41</v>
      </c>
      <c r="P26" s="932" t="s">
        <v>1061</v>
      </c>
      <c r="Q26" s="132" t="s">
        <v>43</v>
      </c>
      <c r="R26" s="932" t="s">
        <v>1062</v>
      </c>
      <c r="S26" s="1045"/>
      <c r="T26" s="215"/>
      <c r="U26" s="1048"/>
    </row>
    <row r="27" spans="1:21" x14ac:dyDescent="0.25">
      <c r="A27" s="908"/>
      <c r="B27" s="1001"/>
      <c r="C27" s="1001"/>
      <c r="D27" s="1001"/>
      <c r="E27" s="903"/>
      <c r="F27" s="1031"/>
      <c r="G27" s="215"/>
      <c r="H27" s="908"/>
      <c r="I27" s="1001"/>
      <c r="J27" s="930"/>
      <c r="K27" s="215"/>
      <c r="L27" s="1144"/>
      <c r="M27" s="930"/>
      <c r="N27" s="215"/>
      <c r="O27" s="1028"/>
      <c r="P27" s="932"/>
      <c r="Q27" s="132" t="s">
        <v>45</v>
      </c>
      <c r="R27" s="932"/>
      <c r="S27" s="1045"/>
      <c r="T27" s="215"/>
      <c r="U27" s="1048"/>
    </row>
    <row r="28" spans="1:21" ht="30" customHeight="1" x14ac:dyDescent="0.25">
      <c r="A28" s="908"/>
      <c r="B28" s="1001"/>
      <c r="C28" s="1001"/>
      <c r="D28" s="1001"/>
      <c r="E28" s="904"/>
      <c r="F28" s="1031"/>
      <c r="G28" s="215"/>
      <c r="H28" s="908"/>
      <c r="I28" s="1001"/>
      <c r="J28" s="930"/>
      <c r="K28" s="215"/>
      <c r="L28" s="1144"/>
      <c r="M28" s="930"/>
      <c r="N28" s="215"/>
      <c r="O28" s="216" t="s">
        <v>24</v>
      </c>
      <c r="P28" s="133" t="s">
        <v>25</v>
      </c>
      <c r="Q28" s="132" t="s">
        <v>719</v>
      </c>
      <c r="R28" s="932"/>
      <c r="S28" s="1045"/>
      <c r="T28" s="215"/>
      <c r="U28" s="1048"/>
    </row>
    <row r="29" spans="1:21" x14ac:dyDescent="0.25">
      <c r="A29" s="1018" t="s">
        <v>531</v>
      </c>
      <c r="B29" s="1019" t="s">
        <v>1300</v>
      </c>
      <c r="C29" s="1019" t="s">
        <v>532</v>
      </c>
      <c r="D29" s="1019" t="s">
        <v>39</v>
      </c>
      <c r="E29" s="905" t="s">
        <v>1060</v>
      </c>
      <c r="F29" s="1026" t="s">
        <v>530</v>
      </c>
      <c r="G29" s="210"/>
      <c r="H29" s="1014" t="s">
        <v>739</v>
      </c>
      <c r="I29" s="960"/>
      <c r="J29" s="962"/>
      <c r="K29" s="210"/>
      <c r="L29" s="1144" t="s">
        <v>1694</v>
      </c>
      <c r="M29" s="931" t="s">
        <v>1484</v>
      </c>
      <c r="N29" s="210"/>
      <c r="O29" s="1027" t="s">
        <v>41</v>
      </c>
      <c r="P29" s="1020" t="s">
        <v>1063</v>
      </c>
      <c r="Q29" s="232" t="s">
        <v>43</v>
      </c>
      <c r="R29" s="1020" t="s">
        <v>1064</v>
      </c>
      <c r="S29" s="1043"/>
      <c r="T29" s="210"/>
      <c r="U29" s="1044"/>
    </row>
    <row r="30" spans="1:21" x14ac:dyDescent="0.25">
      <c r="A30" s="1018"/>
      <c r="B30" s="1019"/>
      <c r="C30" s="1019"/>
      <c r="D30" s="1019"/>
      <c r="E30" s="906"/>
      <c r="F30" s="1026"/>
      <c r="G30" s="210"/>
      <c r="H30" s="911"/>
      <c r="I30" s="961"/>
      <c r="J30" s="963"/>
      <c r="K30" s="210"/>
      <c r="L30" s="1144"/>
      <c r="M30" s="931"/>
      <c r="N30" s="210"/>
      <c r="O30" s="1027"/>
      <c r="P30" s="1020"/>
      <c r="Q30" s="232" t="s">
        <v>45</v>
      </c>
      <c r="R30" s="1020"/>
      <c r="S30" s="1043"/>
      <c r="T30" s="210"/>
      <c r="U30" s="1044"/>
    </row>
    <row r="31" spans="1:21" x14ac:dyDescent="0.25">
      <c r="A31" s="1018"/>
      <c r="B31" s="1019"/>
      <c r="C31" s="1019"/>
      <c r="D31" s="1019"/>
      <c r="E31" s="907"/>
      <c r="F31" s="1026"/>
      <c r="G31" s="210"/>
      <c r="H31" s="911"/>
      <c r="I31" s="961"/>
      <c r="J31" s="963"/>
      <c r="K31" s="210"/>
      <c r="L31" s="1144"/>
      <c r="M31" s="931"/>
      <c r="N31" s="210"/>
      <c r="O31" s="236" t="s">
        <v>24</v>
      </c>
      <c r="P31" s="220" t="s">
        <v>25</v>
      </c>
      <c r="Q31" s="232" t="s">
        <v>718</v>
      </c>
      <c r="R31" s="1020"/>
      <c r="S31" s="1043"/>
      <c r="T31" s="210"/>
      <c r="U31" s="1044"/>
    </row>
    <row r="32" spans="1:21" ht="147.75" customHeight="1" x14ac:dyDescent="0.25">
      <c r="A32" s="131" t="s">
        <v>533</v>
      </c>
      <c r="B32" s="132" t="s">
        <v>1301</v>
      </c>
      <c r="C32" s="132" t="s">
        <v>534</v>
      </c>
      <c r="D32" s="132" t="s">
        <v>290</v>
      </c>
      <c r="E32" s="152" t="s">
        <v>1065</v>
      </c>
      <c r="F32" s="233" t="s">
        <v>535</v>
      </c>
      <c r="G32" s="215"/>
      <c r="H32" s="397" t="s">
        <v>739</v>
      </c>
      <c r="I32" s="398"/>
      <c r="J32" s="399"/>
      <c r="K32" s="215"/>
      <c r="L32" s="1143" t="s">
        <v>1727</v>
      </c>
      <c r="M32" s="392" t="s">
        <v>1484</v>
      </c>
      <c r="N32" s="215"/>
      <c r="O32" s="216" t="s">
        <v>677</v>
      </c>
      <c r="P32" s="133" t="s">
        <v>677</v>
      </c>
      <c r="Q32" s="132" t="s">
        <v>677</v>
      </c>
      <c r="R32" s="133" t="s">
        <v>677</v>
      </c>
      <c r="S32" s="281" t="s">
        <v>677</v>
      </c>
      <c r="T32" s="215"/>
      <c r="U32" s="129" t="s">
        <v>677</v>
      </c>
    </row>
    <row r="33" spans="1:21" ht="87.75" customHeight="1" x14ac:dyDescent="0.25">
      <c r="A33" s="125" t="s">
        <v>536</v>
      </c>
      <c r="B33" s="126" t="s">
        <v>1302</v>
      </c>
      <c r="C33" s="126" t="s">
        <v>537</v>
      </c>
      <c r="D33" s="126" t="s">
        <v>22</v>
      </c>
      <c r="E33" s="149" t="s">
        <v>1066</v>
      </c>
      <c r="F33" s="235" t="s">
        <v>538</v>
      </c>
      <c r="G33" s="210"/>
      <c r="H33" s="390" t="s">
        <v>739</v>
      </c>
      <c r="I33" s="386"/>
      <c r="J33" s="391"/>
      <c r="K33" s="210"/>
      <c r="L33" s="1146"/>
      <c r="M33" s="406" t="s">
        <v>1484</v>
      </c>
      <c r="N33" s="210"/>
      <c r="O33" s="236" t="s">
        <v>1067</v>
      </c>
      <c r="P33" s="220" t="s">
        <v>25</v>
      </c>
      <c r="Q33" s="232" t="s">
        <v>1068</v>
      </c>
      <c r="R33" s="220" t="s">
        <v>35</v>
      </c>
      <c r="S33" s="280"/>
      <c r="T33" s="210"/>
      <c r="U33" s="146"/>
    </row>
    <row r="34" spans="1:21" x14ac:dyDescent="0.25">
      <c r="A34" s="908" t="s">
        <v>539</v>
      </c>
      <c r="B34" s="1001" t="s">
        <v>1303</v>
      </c>
      <c r="C34" s="1001" t="s">
        <v>280</v>
      </c>
      <c r="D34" s="1001" t="s">
        <v>126</v>
      </c>
      <c r="E34" s="902" t="s">
        <v>1069</v>
      </c>
      <c r="F34" s="1031" t="s">
        <v>540</v>
      </c>
      <c r="G34" s="215"/>
      <c r="H34" s="1017" t="s">
        <v>739</v>
      </c>
      <c r="I34" s="1000"/>
      <c r="J34" s="1002"/>
      <c r="K34" s="215"/>
      <c r="L34" s="1144" t="s">
        <v>1703</v>
      </c>
      <c r="M34" s="930" t="s">
        <v>1484</v>
      </c>
      <c r="N34" s="215"/>
      <c r="O34" s="1028" t="s">
        <v>808</v>
      </c>
      <c r="P34" s="932" t="s">
        <v>25</v>
      </c>
      <c r="Q34" s="132" t="s">
        <v>846</v>
      </c>
      <c r="R34" s="932" t="s">
        <v>1070</v>
      </c>
      <c r="S34" s="1045" t="s">
        <v>1071</v>
      </c>
      <c r="T34" s="215"/>
      <c r="U34" s="1048"/>
    </row>
    <row r="35" spans="1:21" x14ac:dyDescent="0.25">
      <c r="A35" s="908"/>
      <c r="B35" s="1001"/>
      <c r="C35" s="1001"/>
      <c r="D35" s="1001"/>
      <c r="E35" s="903"/>
      <c r="F35" s="1031"/>
      <c r="G35" s="215"/>
      <c r="H35" s="908"/>
      <c r="I35" s="1001"/>
      <c r="J35" s="930"/>
      <c r="K35" s="215"/>
      <c r="L35" s="1144"/>
      <c r="M35" s="930"/>
      <c r="N35" s="215"/>
      <c r="O35" s="1028"/>
      <c r="P35" s="932"/>
      <c r="Q35" s="132" t="s">
        <v>847</v>
      </c>
      <c r="R35" s="932"/>
      <c r="S35" s="1045"/>
      <c r="T35" s="215"/>
      <c r="U35" s="1048"/>
    </row>
    <row r="36" spans="1:21" x14ac:dyDescent="0.25">
      <c r="A36" s="908"/>
      <c r="B36" s="1001"/>
      <c r="C36" s="1001"/>
      <c r="D36" s="1001"/>
      <c r="E36" s="903"/>
      <c r="F36" s="1031"/>
      <c r="G36" s="215"/>
      <c r="H36" s="908"/>
      <c r="I36" s="1001"/>
      <c r="J36" s="930"/>
      <c r="K36" s="215"/>
      <c r="L36" s="1144"/>
      <c r="M36" s="930"/>
      <c r="N36" s="215"/>
      <c r="O36" s="1028"/>
      <c r="P36" s="932"/>
      <c r="Q36" s="132" t="s">
        <v>848</v>
      </c>
      <c r="R36" s="932"/>
      <c r="S36" s="1045"/>
      <c r="T36" s="215"/>
      <c r="U36" s="1048"/>
    </row>
    <row r="37" spans="1:21" x14ac:dyDescent="0.25">
      <c r="A37" s="908"/>
      <c r="B37" s="1001"/>
      <c r="C37" s="1001"/>
      <c r="D37" s="1001"/>
      <c r="E37" s="903"/>
      <c r="F37" s="1031"/>
      <c r="G37" s="215"/>
      <c r="H37" s="908"/>
      <c r="I37" s="1001"/>
      <c r="J37" s="930"/>
      <c r="K37" s="215"/>
      <c r="L37" s="1144"/>
      <c r="M37" s="930"/>
      <c r="N37" s="215"/>
      <c r="O37" s="1028"/>
      <c r="P37" s="932"/>
      <c r="Q37" s="132" t="s">
        <v>849</v>
      </c>
      <c r="R37" s="932"/>
      <c r="S37" s="1045"/>
      <c r="T37" s="215"/>
      <c r="U37" s="1048"/>
    </row>
    <row r="38" spans="1:21" x14ac:dyDescent="0.25">
      <c r="A38" s="908"/>
      <c r="B38" s="1001"/>
      <c r="C38" s="1001"/>
      <c r="D38" s="1001"/>
      <c r="E38" s="903"/>
      <c r="F38" s="1031"/>
      <c r="G38" s="215"/>
      <c r="H38" s="908"/>
      <c r="I38" s="1001"/>
      <c r="J38" s="930"/>
      <c r="K38" s="215"/>
      <c r="L38" s="1144"/>
      <c r="M38" s="930"/>
      <c r="N38" s="215"/>
      <c r="O38" s="1028"/>
      <c r="P38" s="932"/>
      <c r="Q38" s="132" t="s">
        <v>850</v>
      </c>
      <c r="R38" s="932"/>
      <c r="S38" s="1045"/>
      <c r="T38" s="215"/>
      <c r="U38" s="1048"/>
    </row>
    <row r="39" spans="1:21" x14ac:dyDescent="0.25">
      <c r="A39" s="908"/>
      <c r="B39" s="1001"/>
      <c r="C39" s="1001"/>
      <c r="D39" s="1001"/>
      <c r="E39" s="903"/>
      <c r="F39" s="1031"/>
      <c r="G39" s="215"/>
      <c r="H39" s="908"/>
      <c r="I39" s="1001"/>
      <c r="J39" s="930"/>
      <c r="K39" s="215"/>
      <c r="L39" s="1144"/>
      <c r="M39" s="930"/>
      <c r="N39" s="215"/>
      <c r="O39" s="1028"/>
      <c r="P39" s="932"/>
      <c r="Q39" s="132" t="s">
        <v>851</v>
      </c>
      <c r="R39" s="932"/>
      <c r="S39" s="1045"/>
      <c r="T39" s="215"/>
      <c r="U39" s="1048"/>
    </row>
    <row r="40" spans="1:21" x14ac:dyDescent="0.25">
      <c r="A40" s="908"/>
      <c r="B40" s="1001"/>
      <c r="C40" s="1001"/>
      <c r="D40" s="1001"/>
      <c r="E40" s="903"/>
      <c r="F40" s="1031"/>
      <c r="G40" s="215"/>
      <c r="H40" s="908"/>
      <c r="I40" s="1001"/>
      <c r="J40" s="930"/>
      <c r="K40" s="215"/>
      <c r="L40" s="1144"/>
      <c r="M40" s="930"/>
      <c r="N40" s="215"/>
      <c r="O40" s="1028"/>
      <c r="P40" s="932"/>
      <c r="Q40" s="132" t="s">
        <v>852</v>
      </c>
      <c r="R40" s="932"/>
      <c r="S40" s="1045"/>
      <c r="T40" s="215"/>
      <c r="U40" s="1048"/>
    </row>
    <row r="41" spans="1:21" x14ac:dyDescent="0.25">
      <c r="A41" s="908"/>
      <c r="B41" s="1001"/>
      <c r="C41" s="1001"/>
      <c r="D41" s="1001"/>
      <c r="E41" s="903"/>
      <c r="F41" s="1031"/>
      <c r="G41" s="215"/>
      <c r="H41" s="908"/>
      <c r="I41" s="1001"/>
      <c r="J41" s="930"/>
      <c r="K41" s="215"/>
      <c r="L41" s="1144"/>
      <c r="M41" s="930"/>
      <c r="N41" s="215"/>
      <c r="O41" s="1028"/>
      <c r="P41" s="932"/>
      <c r="Q41" s="132" t="s">
        <v>853</v>
      </c>
      <c r="R41" s="932"/>
      <c r="S41" s="1045"/>
      <c r="T41" s="215"/>
      <c r="U41" s="1048"/>
    </row>
    <row r="42" spans="1:21" x14ac:dyDescent="0.25">
      <c r="A42" s="908"/>
      <c r="B42" s="1001"/>
      <c r="C42" s="1001"/>
      <c r="D42" s="1001"/>
      <c r="E42" s="903"/>
      <c r="F42" s="1031"/>
      <c r="G42" s="215"/>
      <c r="H42" s="908"/>
      <c r="I42" s="1001"/>
      <c r="J42" s="930"/>
      <c r="K42" s="215"/>
      <c r="L42" s="1144"/>
      <c r="M42" s="930"/>
      <c r="N42" s="215"/>
      <c r="O42" s="1028"/>
      <c r="P42" s="932"/>
      <c r="Q42" s="132" t="s">
        <v>854</v>
      </c>
      <c r="R42" s="932"/>
      <c r="S42" s="1045"/>
      <c r="T42" s="215"/>
      <c r="U42" s="1048"/>
    </row>
    <row r="43" spans="1:21" x14ac:dyDescent="0.25">
      <c r="A43" s="908"/>
      <c r="B43" s="1001"/>
      <c r="C43" s="1001"/>
      <c r="D43" s="1001"/>
      <c r="E43" s="903"/>
      <c r="F43" s="1031"/>
      <c r="G43" s="215"/>
      <c r="H43" s="908"/>
      <c r="I43" s="1001"/>
      <c r="J43" s="930"/>
      <c r="K43" s="215"/>
      <c r="L43" s="1144"/>
      <c r="M43" s="930"/>
      <c r="N43" s="215"/>
      <c r="O43" s="1028"/>
      <c r="P43" s="932"/>
      <c r="Q43" s="132" t="s">
        <v>855</v>
      </c>
      <c r="R43" s="932"/>
      <c r="S43" s="1045"/>
      <c r="T43" s="215"/>
      <c r="U43" s="1048"/>
    </row>
    <row r="44" spans="1:21" x14ac:dyDescent="0.25">
      <c r="A44" s="908"/>
      <c r="B44" s="1001"/>
      <c r="C44" s="1001"/>
      <c r="D44" s="1001"/>
      <c r="E44" s="903"/>
      <c r="F44" s="1031"/>
      <c r="G44" s="215"/>
      <c r="H44" s="908"/>
      <c r="I44" s="1001"/>
      <c r="J44" s="930"/>
      <c r="K44" s="215"/>
      <c r="L44" s="1144"/>
      <c r="M44" s="930"/>
      <c r="N44" s="215"/>
      <c r="O44" s="1028"/>
      <c r="P44" s="932"/>
      <c r="Q44" s="132" t="s">
        <v>856</v>
      </c>
      <c r="R44" s="932"/>
      <c r="S44" s="1045"/>
      <c r="T44" s="215"/>
      <c r="U44" s="1048"/>
    </row>
    <row r="45" spans="1:21" x14ac:dyDescent="0.25">
      <c r="A45" s="908"/>
      <c r="B45" s="1001"/>
      <c r="C45" s="1001"/>
      <c r="D45" s="1001"/>
      <c r="E45" s="903"/>
      <c r="F45" s="1031"/>
      <c r="G45" s="215"/>
      <c r="H45" s="908"/>
      <c r="I45" s="1001"/>
      <c r="J45" s="930"/>
      <c r="K45" s="215"/>
      <c r="L45" s="1144"/>
      <c r="M45" s="930"/>
      <c r="N45" s="215"/>
      <c r="O45" s="1028"/>
      <c r="P45" s="932"/>
      <c r="Q45" s="132" t="s">
        <v>857</v>
      </c>
      <c r="R45" s="932"/>
      <c r="S45" s="1045"/>
      <c r="T45" s="215"/>
      <c r="U45" s="1048"/>
    </row>
    <row r="46" spans="1:21" x14ac:dyDescent="0.25">
      <c r="A46" s="908"/>
      <c r="B46" s="1001"/>
      <c r="C46" s="1001"/>
      <c r="D46" s="1001"/>
      <c r="E46" s="903"/>
      <c r="F46" s="1031"/>
      <c r="G46" s="215"/>
      <c r="H46" s="908"/>
      <c r="I46" s="1001"/>
      <c r="J46" s="930"/>
      <c r="K46" s="215"/>
      <c r="L46" s="1144"/>
      <c r="M46" s="930"/>
      <c r="N46" s="215"/>
      <c r="O46" s="1028"/>
      <c r="P46" s="932"/>
      <c r="Q46" s="132" t="s">
        <v>858</v>
      </c>
      <c r="R46" s="932"/>
      <c r="S46" s="1045"/>
      <c r="T46" s="215"/>
      <c r="U46" s="1048"/>
    </row>
    <row r="47" spans="1:21" x14ac:dyDescent="0.25">
      <c r="A47" s="908"/>
      <c r="B47" s="1001"/>
      <c r="C47" s="1001"/>
      <c r="D47" s="1001"/>
      <c r="E47" s="903"/>
      <c r="F47" s="1031"/>
      <c r="G47" s="215"/>
      <c r="H47" s="908"/>
      <c r="I47" s="1001"/>
      <c r="J47" s="930"/>
      <c r="K47" s="215"/>
      <c r="L47" s="1144"/>
      <c r="M47" s="930"/>
      <c r="N47" s="215"/>
      <c r="O47" s="1028"/>
      <c r="P47" s="932"/>
      <c r="Q47" s="132" t="s">
        <v>859</v>
      </c>
      <c r="R47" s="932"/>
      <c r="S47" s="1045"/>
      <c r="T47" s="215"/>
      <c r="U47" s="1048"/>
    </row>
    <row r="48" spans="1:21" x14ac:dyDescent="0.25">
      <c r="A48" s="908"/>
      <c r="B48" s="1001"/>
      <c r="C48" s="1001"/>
      <c r="D48" s="1001"/>
      <c r="E48" s="903"/>
      <c r="F48" s="1031"/>
      <c r="G48" s="215"/>
      <c r="H48" s="908"/>
      <c r="I48" s="1001"/>
      <c r="J48" s="930"/>
      <c r="K48" s="215"/>
      <c r="L48" s="1144"/>
      <c r="M48" s="930"/>
      <c r="N48" s="215"/>
      <c r="O48" s="1028"/>
      <c r="P48" s="932"/>
      <c r="Q48" s="132" t="s">
        <v>860</v>
      </c>
      <c r="R48" s="932"/>
      <c r="S48" s="1045"/>
      <c r="T48" s="215"/>
      <c r="U48" s="1048"/>
    </row>
    <row r="49" spans="1:21" x14ac:dyDescent="0.25">
      <c r="A49" s="908"/>
      <c r="B49" s="1001"/>
      <c r="C49" s="1001"/>
      <c r="D49" s="1001"/>
      <c r="E49" s="903"/>
      <c r="F49" s="1031"/>
      <c r="G49" s="215"/>
      <c r="H49" s="908"/>
      <c r="I49" s="1001"/>
      <c r="J49" s="930"/>
      <c r="K49" s="215"/>
      <c r="L49" s="1144"/>
      <c r="M49" s="930"/>
      <c r="N49" s="215"/>
      <c r="O49" s="1028"/>
      <c r="P49" s="932"/>
      <c r="Q49" s="132" t="s">
        <v>861</v>
      </c>
      <c r="R49" s="932"/>
      <c r="S49" s="1045"/>
      <c r="T49" s="215"/>
      <c r="U49" s="1048"/>
    </row>
    <row r="50" spans="1:21" x14ac:dyDescent="0.25">
      <c r="A50" s="908"/>
      <c r="B50" s="1001"/>
      <c r="C50" s="1001"/>
      <c r="D50" s="1001"/>
      <c r="E50" s="903"/>
      <c r="F50" s="1031"/>
      <c r="G50" s="215"/>
      <c r="H50" s="908"/>
      <c r="I50" s="1001"/>
      <c r="J50" s="930"/>
      <c r="K50" s="215"/>
      <c r="L50" s="1144"/>
      <c r="M50" s="930"/>
      <c r="N50" s="215"/>
      <c r="O50" s="1028"/>
      <c r="P50" s="932"/>
      <c r="Q50" s="132" t="s">
        <v>862</v>
      </c>
      <c r="R50" s="932"/>
      <c r="S50" s="1045"/>
      <c r="T50" s="215"/>
      <c r="U50" s="1048"/>
    </row>
    <row r="51" spans="1:21" x14ac:dyDescent="0.25">
      <c r="A51" s="908"/>
      <c r="B51" s="1001"/>
      <c r="C51" s="1001"/>
      <c r="D51" s="1001"/>
      <c r="E51" s="903"/>
      <c r="F51" s="1031"/>
      <c r="G51" s="215"/>
      <c r="H51" s="908"/>
      <c r="I51" s="1001"/>
      <c r="J51" s="930"/>
      <c r="K51" s="215"/>
      <c r="L51" s="1144"/>
      <c r="M51" s="930"/>
      <c r="N51" s="215"/>
      <c r="O51" s="1028"/>
      <c r="P51" s="932"/>
      <c r="Q51" s="132" t="s">
        <v>863</v>
      </c>
      <c r="R51" s="932"/>
      <c r="S51" s="1045"/>
      <c r="T51" s="215"/>
      <c r="U51" s="1048"/>
    </row>
    <row r="52" spans="1:21" x14ac:dyDescent="0.25">
      <c r="A52" s="908"/>
      <c r="B52" s="1001"/>
      <c r="C52" s="1001"/>
      <c r="D52" s="1001"/>
      <c r="E52" s="903"/>
      <c r="F52" s="1031"/>
      <c r="G52" s="215"/>
      <c r="H52" s="908"/>
      <c r="I52" s="1001"/>
      <c r="J52" s="930"/>
      <c r="K52" s="215"/>
      <c r="L52" s="1144"/>
      <c r="M52" s="930"/>
      <c r="N52" s="215"/>
      <c r="O52" s="1028"/>
      <c r="P52" s="932"/>
      <c r="Q52" s="132" t="s">
        <v>864</v>
      </c>
      <c r="R52" s="932"/>
      <c r="S52" s="1045"/>
      <c r="T52" s="215"/>
      <c r="U52" s="1048"/>
    </row>
    <row r="53" spans="1:21" x14ac:dyDescent="0.25">
      <c r="A53" s="908"/>
      <c r="B53" s="1001"/>
      <c r="C53" s="1001"/>
      <c r="D53" s="1001"/>
      <c r="E53" s="903"/>
      <c r="F53" s="1031"/>
      <c r="G53" s="215"/>
      <c r="H53" s="908"/>
      <c r="I53" s="1001"/>
      <c r="J53" s="930"/>
      <c r="K53" s="215"/>
      <c r="L53" s="1144"/>
      <c r="M53" s="930"/>
      <c r="N53" s="215"/>
      <c r="O53" s="1028"/>
      <c r="P53" s="932"/>
      <c r="Q53" s="132" t="s">
        <v>865</v>
      </c>
      <c r="R53" s="932"/>
      <c r="S53" s="1045"/>
      <c r="T53" s="215"/>
      <c r="U53" s="1048"/>
    </row>
    <row r="54" spans="1:21" x14ac:dyDescent="0.25">
      <c r="A54" s="908"/>
      <c r="B54" s="1001"/>
      <c r="C54" s="1001"/>
      <c r="D54" s="1001"/>
      <c r="E54" s="903"/>
      <c r="F54" s="1031"/>
      <c r="G54" s="215"/>
      <c r="H54" s="908"/>
      <c r="I54" s="1001"/>
      <c r="J54" s="930"/>
      <c r="K54" s="215"/>
      <c r="L54" s="1144"/>
      <c r="M54" s="930"/>
      <c r="N54" s="215"/>
      <c r="O54" s="1028"/>
      <c r="P54" s="932"/>
      <c r="Q54" s="132" t="s">
        <v>866</v>
      </c>
      <c r="R54" s="932"/>
      <c r="S54" s="1045"/>
      <c r="T54" s="215"/>
      <c r="U54" s="1048"/>
    </row>
    <row r="55" spans="1:21" x14ac:dyDescent="0.25">
      <c r="A55" s="908"/>
      <c r="B55" s="1001"/>
      <c r="C55" s="1001"/>
      <c r="D55" s="1001"/>
      <c r="E55" s="903"/>
      <c r="F55" s="1031"/>
      <c r="G55" s="215"/>
      <c r="H55" s="908"/>
      <c r="I55" s="1001"/>
      <c r="J55" s="930"/>
      <c r="K55" s="215"/>
      <c r="L55" s="1144"/>
      <c r="M55" s="930"/>
      <c r="N55" s="215"/>
      <c r="O55" s="1028"/>
      <c r="P55" s="932"/>
      <c r="Q55" s="132" t="s">
        <v>867</v>
      </c>
      <c r="R55" s="932"/>
      <c r="S55" s="1045"/>
      <c r="T55" s="215"/>
      <c r="U55" s="1048"/>
    </row>
    <row r="56" spans="1:21" x14ac:dyDescent="0.25">
      <c r="A56" s="908"/>
      <c r="B56" s="1001"/>
      <c r="C56" s="1001"/>
      <c r="D56" s="1001"/>
      <c r="E56" s="903"/>
      <c r="F56" s="1031"/>
      <c r="G56" s="215"/>
      <c r="H56" s="908"/>
      <c r="I56" s="1001"/>
      <c r="J56" s="930"/>
      <c r="K56" s="215"/>
      <c r="L56" s="1144"/>
      <c r="M56" s="930"/>
      <c r="N56" s="215"/>
      <c r="O56" s="1028"/>
      <c r="P56" s="932"/>
      <c r="Q56" s="132" t="s">
        <v>868</v>
      </c>
      <c r="R56" s="932"/>
      <c r="S56" s="1045"/>
      <c r="T56" s="215"/>
      <c r="U56" s="1048"/>
    </row>
    <row r="57" spans="1:21" x14ac:dyDescent="0.25">
      <c r="A57" s="908"/>
      <c r="B57" s="1001"/>
      <c r="C57" s="1001"/>
      <c r="D57" s="1001"/>
      <c r="E57" s="903"/>
      <c r="F57" s="1031"/>
      <c r="G57" s="215"/>
      <c r="H57" s="908"/>
      <c r="I57" s="1001"/>
      <c r="J57" s="930"/>
      <c r="K57" s="215"/>
      <c r="L57" s="1144"/>
      <c r="M57" s="930"/>
      <c r="N57" s="215"/>
      <c r="O57" s="1028"/>
      <c r="P57" s="932"/>
      <c r="Q57" s="132" t="s">
        <v>869</v>
      </c>
      <c r="R57" s="932"/>
      <c r="S57" s="1045"/>
      <c r="T57" s="215"/>
      <c r="U57" s="1048"/>
    </row>
    <row r="58" spans="1:21" x14ac:dyDescent="0.25">
      <c r="A58" s="908"/>
      <c r="B58" s="1001"/>
      <c r="C58" s="1001"/>
      <c r="D58" s="1001"/>
      <c r="E58" s="903"/>
      <c r="F58" s="1031"/>
      <c r="G58" s="215"/>
      <c r="H58" s="908"/>
      <c r="I58" s="1001"/>
      <c r="J58" s="930"/>
      <c r="K58" s="215"/>
      <c r="L58" s="1144"/>
      <c r="M58" s="930"/>
      <c r="N58" s="215"/>
      <c r="O58" s="1028"/>
      <c r="P58" s="932"/>
      <c r="Q58" s="132" t="s">
        <v>824</v>
      </c>
      <c r="R58" s="932"/>
      <c r="S58" s="1045"/>
      <c r="T58" s="215"/>
      <c r="U58" s="1048"/>
    </row>
    <row r="59" spans="1:21" x14ac:dyDescent="0.25">
      <c r="A59" s="908"/>
      <c r="B59" s="1001"/>
      <c r="C59" s="1001"/>
      <c r="D59" s="1001"/>
      <c r="E59" s="903"/>
      <c r="F59" s="1031"/>
      <c r="G59" s="215"/>
      <c r="H59" s="908"/>
      <c r="I59" s="1001"/>
      <c r="J59" s="930"/>
      <c r="K59" s="215"/>
      <c r="L59" s="1144"/>
      <c r="M59" s="930"/>
      <c r="N59" s="215"/>
      <c r="O59" s="1028"/>
      <c r="P59" s="932"/>
      <c r="Q59" s="132" t="s">
        <v>844</v>
      </c>
      <c r="R59" s="932"/>
      <c r="S59" s="1045"/>
      <c r="T59" s="215"/>
      <c r="U59" s="1048"/>
    </row>
    <row r="60" spans="1:21" ht="7.5" customHeight="1" x14ac:dyDescent="0.25">
      <c r="A60" s="908"/>
      <c r="B60" s="1001"/>
      <c r="C60" s="1001"/>
      <c r="D60" s="1001"/>
      <c r="E60" s="904"/>
      <c r="F60" s="1031"/>
      <c r="G60" s="215"/>
      <c r="H60" s="908"/>
      <c r="I60" s="1001"/>
      <c r="J60" s="930"/>
      <c r="K60" s="215"/>
      <c r="L60" s="1144"/>
      <c r="M60" s="930"/>
      <c r="N60" s="215"/>
      <c r="O60" s="1028"/>
      <c r="P60" s="932"/>
      <c r="Q60" s="132" t="s">
        <v>845</v>
      </c>
      <c r="R60" s="932"/>
      <c r="S60" s="1045"/>
      <c r="T60" s="215"/>
      <c r="U60" s="1048"/>
    </row>
    <row r="61" spans="1:21" ht="161.25" customHeight="1" x14ac:dyDescent="0.25">
      <c r="A61" s="125" t="s">
        <v>541</v>
      </c>
      <c r="B61" s="126" t="s">
        <v>1303</v>
      </c>
      <c r="C61" s="126" t="s">
        <v>542</v>
      </c>
      <c r="D61" s="126" t="s">
        <v>39</v>
      </c>
      <c r="E61" s="149" t="s">
        <v>1072</v>
      </c>
      <c r="F61" s="235" t="s">
        <v>543</v>
      </c>
      <c r="G61" s="210"/>
      <c r="H61" s="390" t="s">
        <v>739</v>
      </c>
      <c r="I61" s="386"/>
      <c r="J61" s="391"/>
      <c r="K61" s="210"/>
      <c r="L61" s="625" t="s">
        <v>1729</v>
      </c>
      <c r="M61" s="406" t="s">
        <v>1484</v>
      </c>
      <c r="N61" s="210"/>
      <c r="O61" s="236"/>
      <c r="P61" s="220"/>
      <c r="Q61" s="232"/>
      <c r="R61" s="220" t="s">
        <v>1181</v>
      </c>
      <c r="S61" s="280"/>
      <c r="T61" s="210"/>
      <c r="U61" s="146"/>
    </row>
    <row r="62" spans="1:21" ht="14.45" customHeight="1" x14ac:dyDescent="0.25">
      <c r="A62" s="908" t="s">
        <v>544</v>
      </c>
      <c r="B62" s="1001" t="s">
        <v>1303</v>
      </c>
      <c r="C62" s="1001" t="s">
        <v>545</v>
      </c>
      <c r="D62" s="1001" t="s">
        <v>39</v>
      </c>
      <c r="E62" s="902" t="s">
        <v>1073</v>
      </c>
      <c r="F62" s="1031" t="s">
        <v>546</v>
      </c>
      <c r="G62" s="215"/>
      <c r="H62" s="1017" t="s">
        <v>739</v>
      </c>
      <c r="I62" s="1000"/>
      <c r="J62" s="1002"/>
      <c r="K62" s="215"/>
      <c r="L62" s="1149" t="s">
        <v>1730</v>
      </c>
      <c r="M62" s="930" t="s">
        <v>1484</v>
      </c>
      <c r="N62" s="215"/>
      <c r="O62" s="1028" t="s">
        <v>41</v>
      </c>
      <c r="P62" s="932" t="s">
        <v>1074</v>
      </c>
      <c r="Q62" s="132" t="s">
        <v>43</v>
      </c>
      <c r="R62" s="932" t="s">
        <v>698</v>
      </c>
      <c r="S62" s="1045"/>
      <c r="T62" s="215"/>
      <c r="U62" s="1048"/>
    </row>
    <row r="63" spans="1:21" ht="14.45" customHeight="1" x14ac:dyDescent="0.25">
      <c r="A63" s="908"/>
      <c r="B63" s="1001"/>
      <c r="C63" s="1001"/>
      <c r="D63" s="1001"/>
      <c r="E63" s="903"/>
      <c r="F63" s="1031"/>
      <c r="G63" s="215"/>
      <c r="H63" s="908"/>
      <c r="I63" s="1001"/>
      <c r="J63" s="930"/>
      <c r="K63" s="215"/>
      <c r="L63" s="1055"/>
      <c r="M63" s="930"/>
      <c r="N63" s="215"/>
      <c r="O63" s="1028"/>
      <c r="P63" s="932"/>
      <c r="Q63" s="132" t="s">
        <v>45</v>
      </c>
      <c r="R63" s="932"/>
      <c r="S63" s="1045"/>
      <c r="T63" s="215"/>
      <c r="U63" s="1048"/>
    </row>
    <row r="64" spans="1:21" ht="95.25" customHeight="1" x14ac:dyDescent="0.25">
      <c r="A64" s="908"/>
      <c r="B64" s="1001"/>
      <c r="C64" s="1001"/>
      <c r="D64" s="1001"/>
      <c r="E64" s="904"/>
      <c r="F64" s="1031"/>
      <c r="G64" s="215"/>
      <c r="H64" s="908"/>
      <c r="I64" s="1001"/>
      <c r="J64" s="930"/>
      <c r="K64" s="215"/>
      <c r="L64" s="1055"/>
      <c r="M64" s="930"/>
      <c r="N64" s="215"/>
      <c r="O64" s="216" t="s">
        <v>55</v>
      </c>
      <c r="P64" s="133" t="s">
        <v>25</v>
      </c>
      <c r="Q64" s="132" t="s">
        <v>699</v>
      </c>
      <c r="R64" s="932"/>
      <c r="S64" s="1045"/>
      <c r="T64" s="215"/>
      <c r="U64" s="1048"/>
    </row>
    <row r="65" spans="1:21" ht="133.5" customHeight="1" x14ac:dyDescent="0.25">
      <c r="A65" s="125" t="s">
        <v>547</v>
      </c>
      <c r="B65" s="126" t="s">
        <v>1303</v>
      </c>
      <c r="C65" s="126" t="s">
        <v>548</v>
      </c>
      <c r="D65" s="126" t="s">
        <v>39</v>
      </c>
      <c r="E65" s="411" t="s">
        <v>1075</v>
      </c>
      <c r="F65" s="235" t="s">
        <v>549</v>
      </c>
      <c r="G65" s="210"/>
      <c r="H65" s="390" t="s">
        <v>739</v>
      </c>
      <c r="I65" s="386"/>
      <c r="J65" s="391"/>
      <c r="K65" s="210"/>
      <c r="L65" s="1147" t="s">
        <v>1731</v>
      </c>
      <c r="M65" s="406" t="s">
        <v>1484</v>
      </c>
      <c r="N65" s="210"/>
      <c r="O65" s="282" t="s">
        <v>109</v>
      </c>
      <c r="P65" s="232" t="s">
        <v>109</v>
      </c>
      <c r="Q65" s="232" t="s">
        <v>109</v>
      </c>
      <c r="R65" s="232" t="s">
        <v>109</v>
      </c>
      <c r="S65" s="237" t="s">
        <v>109</v>
      </c>
      <c r="T65" s="210"/>
      <c r="U65" s="146"/>
    </row>
    <row r="66" spans="1:21" ht="35.1" customHeight="1" x14ac:dyDescent="0.25">
      <c r="A66" s="131" t="s">
        <v>550</v>
      </c>
      <c r="B66" s="132" t="s">
        <v>897</v>
      </c>
      <c r="C66" s="132" t="s">
        <v>551</v>
      </c>
      <c r="D66" s="132" t="s">
        <v>22</v>
      </c>
      <c r="E66" s="152" t="s">
        <v>1042</v>
      </c>
      <c r="F66" s="233" t="s">
        <v>552</v>
      </c>
      <c r="G66" s="215"/>
      <c r="H66" s="397" t="s">
        <v>739</v>
      </c>
      <c r="I66" s="398"/>
      <c r="J66" s="399"/>
      <c r="K66" s="215"/>
      <c r="L66" s="626" t="s">
        <v>1728</v>
      </c>
      <c r="M66" s="392" t="s">
        <v>1484</v>
      </c>
      <c r="N66" s="215"/>
      <c r="O66" s="216" t="s">
        <v>674</v>
      </c>
      <c r="P66" s="133" t="s">
        <v>25</v>
      </c>
      <c r="Q66" s="132" t="s">
        <v>1043</v>
      </c>
      <c r="R66" s="133" t="s">
        <v>35</v>
      </c>
      <c r="S66" s="281"/>
      <c r="T66" s="215"/>
      <c r="U66" s="137"/>
    </row>
    <row r="67" spans="1:21" ht="14.45" customHeight="1" x14ac:dyDescent="0.25">
      <c r="A67" s="1018" t="s">
        <v>57</v>
      </c>
      <c r="B67" s="1019" t="s">
        <v>897</v>
      </c>
      <c r="C67" s="1019" t="s">
        <v>58</v>
      </c>
      <c r="D67" s="1019" t="s">
        <v>126</v>
      </c>
      <c r="E67" s="905" t="s">
        <v>1704</v>
      </c>
      <c r="F67" s="1026" t="s">
        <v>553</v>
      </c>
      <c r="G67" s="210"/>
      <c r="H67" s="1014" t="s">
        <v>739</v>
      </c>
      <c r="I67" s="960"/>
      <c r="J67" s="962"/>
      <c r="K67" s="210"/>
      <c r="L67" s="1029" t="s">
        <v>1499</v>
      </c>
      <c r="M67" s="931" t="s">
        <v>1484</v>
      </c>
      <c r="N67" s="210"/>
      <c r="O67" s="1027" t="s">
        <v>46</v>
      </c>
      <c r="P67" s="1020" t="s">
        <v>47</v>
      </c>
      <c r="Q67" s="232" t="s">
        <v>61</v>
      </c>
      <c r="R67" s="1020" t="s">
        <v>62</v>
      </c>
      <c r="S67" s="1043" t="s">
        <v>63</v>
      </c>
      <c r="T67" s="210"/>
      <c r="U67" s="1044"/>
    </row>
    <row r="68" spans="1:21" ht="14.45" customHeight="1" x14ac:dyDescent="0.25">
      <c r="A68" s="1018"/>
      <c r="B68" s="1019"/>
      <c r="C68" s="1019"/>
      <c r="D68" s="1019"/>
      <c r="E68" s="906"/>
      <c r="F68" s="1026"/>
      <c r="G68" s="210"/>
      <c r="H68" s="911"/>
      <c r="I68" s="961"/>
      <c r="J68" s="963"/>
      <c r="K68" s="210"/>
      <c r="L68" s="1029"/>
      <c r="M68" s="931"/>
      <c r="N68" s="210"/>
      <c r="O68" s="1027"/>
      <c r="P68" s="1020"/>
      <c r="Q68" s="232" t="s">
        <v>65</v>
      </c>
      <c r="R68" s="1020"/>
      <c r="S68" s="1043"/>
      <c r="T68" s="210"/>
      <c r="U68" s="1044"/>
    </row>
    <row r="69" spans="1:21" ht="65.25" customHeight="1" thickBot="1" x14ac:dyDescent="0.3">
      <c r="A69" s="1056"/>
      <c r="B69" s="1057"/>
      <c r="C69" s="1057"/>
      <c r="D69" s="1057"/>
      <c r="E69" s="1058"/>
      <c r="F69" s="1059"/>
      <c r="G69" s="210"/>
      <c r="H69" s="1060"/>
      <c r="I69" s="1061"/>
      <c r="J69" s="1062"/>
      <c r="K69" s="210"/>
      <c r="L69" s="1145"/>
      <c r="M69" s="1063"/>
      <c r="N69" s="210"/>
      <c r="O69" s="1049"/>
      <c r="P69" s="1046"/>
      <c r="Q69" s="241" t="s">
        <v>66</v>
      </c>
      <c r="R69" s="1046"/>
      <c r="S69" s="1047"/>
      <c r="T69" s="210"/>
      <c r="U69" s="1044"/>
    </row>
  </sheetData>
  <autoFilter ref="A1:U69">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13">
    <mergeCell ref="M29:M31"/>
    <mergeCell ref="M34:M60"/>
    <mergeCell ref="M62:M64"/>
    <mergeCell ref="M67:M69"/>
    <mergeCell ref="I29:I31"/>
    <mergeCell ref="J29:J31"/>
    <mergeCell ref="I34:I60"/>
    <mergeCell ref="J34:J60"/>
    <mergeCell ref="I62:I64"/>
    <mergeCell ref="J62:J64"/>
    <mergeCell ref="A67:A69"/>
    <mergeCell ref="B67:B69"/>
    <mergeCell ref="C67:C69"/>
    <mergeCell ref="D67:D69"/>
    <mergeCell ref="E67:E69"/>
    <mergeCell ref="F67:F69"/>
    <mergeCell ref="H67:H69"/>
    <mergeCell ref="L67:L69"/>
    <mergeCell ref="A62:A64"/>
    <mergeCell ref="B62:B64"/>
    <mergeCell ref="C62:C64"/>
    <mergeCell ref="D62:D64"/>
    <mergeCell ref="E62:E64"/>
    <mergeCell ref="I67:I69"/>
    <mergeCell ref="J67:J69"/>
    <mergeCell ref="F34:F60"/>
    <mergeCell ref="H34:H60"/>
    <mergeCell ref="L34:L60"/>
    <mergeCell ref="O34:O60"/>
    <mergeCell ref="H62:H64"/>
    <mergeCell ref="O62:O63"/>
    <mergeCell ref="P34:P60"/>
    <mergeCell ref="A34:A60"/>
    <mergeCell ref="B34:B60"/>
    <mergeCell ref="C34:C60"/>
    <mergeCell ref="D34:D60"/>
    <mergeCell ref="E34:E60"/>
    <mergeCell ref="F62:F64"/>
    <mergeCell ref="L62:L64"/>
    <mergeCell ref="F26:F28"/>
    <mergeCell ref="L26:L28"/>
    <mergeCell ref="A29:A31"/>
    <mergeCell ref="B29:B31"/>
    <mergeCell ref="C29:C31"/>
    <mergeCell ref="D29:D31"/>
    <mergeCell ref="E29:E31"/>
    <mergeCell ref="F29:F31"/>
    <mergeCell ref="L29:L31"/>
    <mergeCell ref="H29:H31"/>
    <mergeCell ref="A26:A28"/>
    <mergeCell ref="B26:B28"/>
    <mergeCell ref="C26:C28"/>
    <mergeCell ref="D26:D28"/>
    <mergeCell ref="E26:E28"/>
    <mergeCell ref="I26:I28"/>
    <mergeCell ref="F7:F8"/>
    <mergeCell ref="H7:H8"/>
    <mergeCell ref="L7:L8"/>
    <mergeCell ref="O7:O8"/>
    <mergeCell ref="P7:P8"/>
    <mergeCell ref="I7:I8"/>
    <mergeCell ref="J7:J8"/>
    <mergeCell ref="A7:A8"/>
    <mergeCell ref="B7:B8"/>
    <mergeCell ref="C7:C8"/>
    <mergeCell ref="D7:D8"/>
    <mergeCell ref="E7:E8"/>
    <mergeCell ref="M7:M8"/>
    <mergeCell ref="F3:F6"/>
    <mergeCell ref="H3:H6"/>
    <mergeCell ref="A1:T1"/>
    <mergeCell ref="R3:R6"/>
    <mergeCell ref="S3:S6"/>
    <mergeCell ref="A3:A6"/>
    <mergeCell ref="B3:B6"/>
    <mergeCell ref="C3:C6"/>
    <mergeCell ref="D3:D6"/>
    <mergeCell ref="E3:E6"/>
    <mergeCell ref="L3:L6"/>
    <mergeCell ref="O3:O6"/>
    <mergeCell ref="P3:P6"/>
    <mergeCell ref="I3:I6"/>
    <mergeCell ref="J3:J6"/>
    <mergeCell ref="M3:M6"/>
    <mergeCell ref="U3:U6"/>
    <mergeCell ref="R7:R8"/>
    <mergeCell ref="S7:S8"/>
    <mergeCell ref="U7:U8"/>
    <mergeCell ref="H26:H28"/>
    <mergeCell ref="O26:O27"/>
    <mergeCell ref="P26:P27"/>
    <mergeCell ref="R26:R28"/>
    <mergeCell ref="S26:S28"/>
    <mergeCell ref="U26:U28"/>
    <mergeCell ref="J26:J28"/>
    <mergeCell ref="M26:M28"/>
    <mergeCell ref="O29:O30"/>
    <mergeCell ref="P29:P30"/>
    <mergeCell ref="R29:R31"/>
    <mergeCell ref="S29:S31"/>
    <mergeCell ref="U29:U31"/>
    <mergeCell ref="P62:P63"/>
    <mergeCell ref="R62:R64"/>
    <mergeCell ref="S62:S64"/>
    <mergeCell ref="R67:R69"/>
    <mergeCell ref="S67:S69"/>
    <mergeCell ref="U67:U69"/>
    <mergeCell ref="R34:R60"/>
    <mergeCell ref="S34:S60"/>
    <mergeCell ref="U34:U60"/>
    <mergeCell ref="U62:U64"/>
    <mergeCell ref="O67:O69"/>
    <mergeCell ref="P67:P69"/>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M3:M69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heetViews>
  <sheetFormatPr defaultRowHeight="15" x14ac:dyDescent="0.25"/>
  <cols>
    <col min="1" max="1" width="167.85546875" customWidth="1"/>
  </cols>
  <sheetData>
    <row r="1" spans="1:1" ht="154.5" thickBot="1" x14ac:dyDescent="0.3">
      <c r="A1" s="305" t="s">
        <v>1309</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7"/>
  <sheetViews>
    <sheetView zoomScale="70" zoomScaleNormal="70" workbookViewId="0">
      <pane xSplit="6" ySplit="2" topLeftCell="G66" activePane="bottomRight" state="frozen"/>
      <selection pane="topRight" activeCell="G1" sqref="G1"/>
      <selection pane="bottomLeft" activeCell="A3" sqref="A3"/>
      <selection pane="bottomRight" activeCell="H71" sqref="H71:H73"/>
    </sheetView>
  </sheetViews>
  <sheetFormatPr defaultRowHeight="15" x14ac:dyDescent="0.25"/>
  <cols>
    <col min="1" max="1" width="6.28515625" customWidth="1"/>
    <col min="2" max="2" width="12.85546875" customWidth="1"/>
    <col min="3" max="3" width="23" customWidth="1"/>
    <col min="4" max="4" width="13" customWidth="1"/>
    <col min="5" max="5" width="48.7109375" customWidth="1"/>
    <col min="6" max="6" width="0" hidden="1" customWidth="1"/>
    <col min="7" max="7" width="2.28515625" customWidth="1"/>
    <col min="8" max="8" width="34.140625" customWidth="1"/>
    <col min="9" max="9" width="32.7109375" customWidth="1"/>
    <col min="10" max="10" width="48.7109375" customWidth="1"/>
    <col min="11" max="11" width="4" customWidth="1"/>
    <col min="12" max="13" width="52.42578125" customWidth="1"/>
    <col min="14" max="14" width="4.140625" customWidth="1"/>
    <col min="15" max="15" width="40" customWidth="1"/>
    <col min="16" max="16" width="26.140625" bestFit="1" customWidth="1"/>
    <col min="17" max="17" width="28.42578125" customWidth="1"/>
    <col min="18" max="18" width="99.85546875" bestFit="1" customWidth="1"/>
    <col min="19" max="19" width="74.5703125" bestFit="1" customWidth="1"/>
    <col min="20" max="21" width="0" hidden="1" customWidth="1"/>
  </cols>
  <sheetData>
    <row r="1" spans="1:21" s="3" customFormat="1" ht="18.95" customHeight="1" thickBot="1" x14ac:dyDescent="0.3">
      <c r="A1" s="703" t="s">
        <v>554</v>
      </c>
      <c r="B1" s="704"/>
      <c r="C1" s="704"/>
      <c r="D1" s="704"/>
      <c r="E1" s="704"/>
      <c r="F1" s="704"/>
      <c r="G1" s="704"/>
      <c r="H1" s="704"/>
      <c r="I1" s="704"/>
      <c r="J1" s="704"/>
      <c r="K1" s="704"/>
      <c r="L1" s="704"/>
      <c r="M1" s="704"/>
      <c r="N1" s="704"/>
      <c r="O1" s="704"/>
      <c r="P1" s="704"/>
      <c r="Q1" s="704"/>
      <c r="R1" s="704"/>
      <c r="S1" s="704"/>
      <c r="T1" s="706"/>
      <c r="U1" s="123"/>
    </row>
    <row r="2" spans="1:21" s="3" customFormat="1" ht="37.5" customHeight="1" thickBot="1" x14ac:dyDescent="0.3">
      <c r="A2" s="7" t="s">
        <v>10</v>
      </c>
      <c r="B2" s="8" t="s">
        <v>11</v>
      </c>
      <c r="C2" s="8" t="s">
        <v>12</v>
      </c>
      <c r="D2" s="8" t="s">
        <v>13</v>
      </c>
      <c r="E2" s="10" t="s">
        <v>14</v>
      </c>
      <c r="F2" s="227" t="s">
        <v>941</v>
      </c>
      <c r="G2" s="28"/>
      <c r="H2" s="318" t="s">
        <v>725</v>
      </c>
      <c r="I2" s="319" t="s">
        <v>1412</v>
      </c>
      <c r="J2" s="320" t="s">
        <v>1411</v>
      </c>
      <c r="K2" s="183"/>
      <c r="L2" s="429" t="s">
        <v>87</v>
      </c>
      <c r="M2" s="430" t="s">
        <v>1475</v>
      </c>
      <c r="N2" s="28"/>
      <c r="O2" s="228" t="s">
        <v>15</v>
      </c>
      <c r="P2" s="230" t="s">
        <v>16</v>
      </c>
      <c r="Q2" s="230" t="s">
        <v>17</v>
      </c>
      <c r="R2" s="230" t="s">
        <v>18</v>
      </c>
      <c r="S2" s="284" t="s">
        <v>19</v>
      </c>
      <c r="T2" s="28"/>
      <c r="U2" s="124" t="s">
        <v>923</v>
      </c>
    </row>
    <row r="3" spans="1:21" x14ac:dyDescent="0.25">
      <c r="A3" s="1018" t="s">
        <v>555</v>
      </c>
      <c r="B3" s="1019" t="s">
        <v>1304</v>
      </c>
      <c r="C3" s="1019" t="s">
        <v>556</v>
      </c>
      <c r="D3" s="1019" t="s">
        <v>126</v>
      </c>
      <c r="E3" s="905" t="s">
        <v>942</v>
      </c>
      <c r="F3" s="1026" t="s">
        <v>557</v>
      </c>
      <c r="G3" s="210"/>
      <c r="H3" s="955" t="s">
        <v>721</v>
      </c>
      <c r="I3" s="957" t="s">
        <v>1413</v>
      </c>
      <c r="J3" s="1072" t="s">
        <v>1414</v>
      </c>
      <c r="K3" s="210"/>
      <c r="L3" s="1071" t="s">
        <v>721</v>
      </c>
      <c r="M3" s="1070" t="s">
        <v>1476</v>
      </c>
      <c r="N3" s="210"/>
      <c r="O3" s="1027" t="s">
        <v>24</v>
      </c>
      <c r="P3" s="1020" t="s">
        <v>25</v>
      </c>
      <c r="Q3" s="232" t="s">
        <v>26</v>
      </c>
      <c r="R3" s="1020" t="s">
        <v>943</v>
      </c>
      <c r="S3" s="1021"/>
      <c r="T3" s="210"/>
      <c r="U3" s="1033"/>
    </row>
    <row r="4" spans="1:21" x14ac:dyDescent="0.25">
      <c r="A4" s="1018"/>
      <c r="B4" s="1019"/>
      <c r="C4" s="1019"/>
      <c r="D4" s="1019"/>
      <c r="E4" s="906"/>
      <c r="F4" s="1026"/>
      <c r="G4" s="210"/>
      <c r="H4" s="911"/>
      <c r="I4" s="934"/>
      <c r="J4" s="935"/>
      <c r="K4" s="210"/>
      <c r="L4" s="910"/>
      <c r="M4" s="997"/>
      <c r="N4" s="210"/>
      <c r="O4" s="1027"/>
      <c r="P4" s="1020"/>
      <c r="Q4" s="232" t="s">
        <v>28</v>
      </c>
      <c r="R4" s="1020"/>
      <c r="S4" s="1021"/>
      <c r="T4" s="210"/>
      <c r="U4" s="1034"/>
    </row>
    <row r="5" spans="1:21" x14ac:dyDescent="0.25">
      <c r="A5" s="1018"/>
      <c r="B5" s="1019"/>
      <c r="C5" s="1019"/>
      <c r="D5" s="1019"/>
      <c r="E5" s="906"/>
      <c r="F5" s="1026"/>
      <c r="G5" s="210"/>
      <c r="H5" s="911"/>
      <c r="I5" s="934"/>
      <c r="J5" s="935"/>
      <c r="K5" s="210"/>
      <c r="L5" s="910"/>
      <c r="M5" s="997"/>
      <c r="N5" s="210"/>
      <c r="O5" s="1027"/>
      <c r="P5" s="1020"/>
      <c r="Q5" s="232" t="s">
        <v>29</v>
      </c>
      <c r="R5" s="1020"/>
      <c r="S5" s="1021"/>
      <c r="T5" s="210"/>
      <c r="U5" s="1034"/>
    </row>
    <row r="6" spans="1:21" x14ac:dyDescent="0.25">
      <c r="A6" s="1018"/>
      <c r="B6" s="1019"/>
      <c r="C6" s="1019"/>
      <c r="D6" s="1019"/>
      <c r="E6" s="907"/>
      <c r="F6" s="1026"/>
      <c r="G6" s="210"/>
      <c r="H6" s="911"/>
      <c r="I6" s="934"/>
      <c r="J6" s="935"/>
      <c r="K6" s="210"/>
      <c r="L6" s="910"/>
      <c r="M6" s="997"/>
      <c r="N6" s="210"/>
      <c r="O6" s="1027"/>
      <c r="P6" s="1020"/>
      <c r="Q6" s="232" t="s">
        <v>30</v>
      </c>
      <c r="R6" s="1020"/>
      <c r="S6" s="1021"/>
      <c r="T6" s="210"/>
      <c r="U6" s="1035"/>
    </row>
    <row r="7" spans="1:21" ht="29.45" customHeight="1" x14ac:dyDescent="0.25">
      <c r="A7" s="131" t="s">
        <v>558</v>
      </c>
      <c r="B7" s="132" t="s">
        <v>1305</v>
      </c>
      <c r="C7" s="132" t="s">
        <v>559</v>
      </c>
      <c r="D7" s="132" t="s">
        <v>22</v>
      </c>
      <c r="E7" s="152" t="s">
        <v>944</v>
      </c>
      <c r="F7" s="233" t="s">
        <v>560</v>
      </c>
      <c r="G7" s="215"/>
      <c r="H7" s="378" t="s">
        <v>945</v>
      </c>
      <c r="I7" s="459" t="s">
        <v>559</v>
      </c>
      <c r="J7" s="460" t="s">
        <v>1548</v>
      </c>
      <c r="K7" s="215"/>
      <c r="L7" s="598" t="s">
        <v>945</v>
      </c>
      <c r="M7" s="487" t="s">
        <v>1476</v>
      </c>
      <c r="N7" s="215"/>
      <c r="O7" s="285" t="s">
        <v>670</v>
      </c>
      <c r="P7" s="135" t="s">
        <v>25</v>
      </c>
      <c r="Q7" s="128" t="s">
        <v>671</v>
      </c>
      <c r="R7" s="135" t="s">
        <v>35</v>
      </c>
      <c r="S7" s="152"/>
      <c r="T7" s="215"/>
      <c r="U7" s="137"/>
    </row>
    <row r="8" spans="1:21" ht="48.6" customHeight="1" x14ac:dyDescent="0.25">
      <c r="A8" s="125" t="s">
        <v>561</v>
      </c>
      <c r="B8" s="126" t="s">
        <v>1305</v>
      </c>
      <c r="C8" s="126" t="s">
        <v>562</v>
      </c>
      <c r="D8" s="126" t="s">
        <v>22</v>
      </c>
      <c r="E8" s="149" t="s">
        <v>946</v>
      </c>
      <c r="F8" s="235" t="s">
        <v>563</v>
      </c>
      <c r="G8" s="210"/>
      <c r="H8" s="389" t="s">
        <v>947</v>
      </c>
      <c r="I8" s="457" t="s">
        <v>562</v>
      </c>
      <c r="J8" s="464" t="s">
        <v>946</v>
      </c>
      <c r="K8" s="210"/>
      <c r="L8" s="597" t="s">
        <v>947</v>
      </c>
      <c r="M8" s="600" t="s">
        <v>1476</v>
      </c>
      <c r="N8" s="210"/>
      <c r="O8" s="217" t="s">
        <v>674</v>
      </c>
      <c r="P8" s="218" t="s">
        <v>25</v>
      </c>
      <c r="Q8" s="286" t="s">
        <v>675</v>
      </c>
      <c r="R8" s="218" t="s">
        <v>35</v>
      </c>
      <c r="S8" s="221"/>
      <c r="T8" s="210"/>
      <c r="U8" s="146"/>
    </row>
    <row r="9" spans="1:21" ht="66" customHeight="1" x14ac:dyDescent="0.25">
      <c r="A9" s="131" t="s">
        <v>564</v>
      </c>
      <c r="B9" s="132" t="s">
        <v>1305</v>
      </c>
      <c r="C9" s="132" t="s">
        <v>565</v>
      </c>
      <c r="D9" s="132" t="s">
        <v>39</v>
      </c>
      <c r="E9" s="496" t="s">
        <v>1589</v>
      </c>
      <c r="F9" s="233" t="s">
        <v>566</v>
      </c>
      <c r="G9" s="215"/>
      <c r="H9" s="378" t="s">
        <v>948</v>
      </c>
      <c r="I9" s="459" t="s">
        <v>565</v>
      </c>
      <c r="J9" s="460" t="s">
        <v>1549</v>
      </c>
      <c r="K9" s="215"/>
      <c r="L9" s="581" t="s">
        <v>948</v>
      </c>
      <c r="M9" s="501" t="s">
        <v>1477</v>
      </c>
      <c r="N9" s="215"/>
      <c r="O9" s="285" t="s">
        <v>674</v>
      </c>
      <c r="P9" s="135" t="s">
        <v>25</v>
      </c>
      <c r="Q9" s="127" t="s">
        <v>927</v>
      </c>
      <c r="R9" s="135" t="s">
        <v>35</v>
      </c>
      <c r="S9" s="152"/>
      <c r="T9" s="215"/>
      <c r="U9" s="129" t="s">
        <v>928</v>
      </c>
    </row>
    <row r="10" spans="1:21" ht="80.25" customHeight="1" x14ac:dyDescent="0.25">
      <c r="A10" s="125" t="s">
        <v>567</v>
      </c>
      <c r="B10" s="126" t="s">
        <v>1305</v>
      </c>
      <c r="C10" s="126" t="s">
        <v>568</v>
      </c>
      <c r="D10" s="126" t="s">
        <v>39</v>
      </c>
      <c r="E10" s="411" t="s">
        <v>1590</v>
      </c>
      <c r="F10" s="235" t="s">
        <v>569</v>
      </c>
      <c r="G10" s="210"/>
      <c r="H10" s="389" t="s">
        <v>949</v>
      </c>
      <c r="I10" s="457" t="s">
        <v>568</v>
      </c>
      <c r="J10" s="464" t="s">
        <v>1550</v>
      </c>
      <c r="K10" s="210"/>
      <c r="L10" s="601" t="s">
        <v>949</v>
      </c>
      <c r="M10" s="599" t="s">
        <v>1477</v>
      </c>
      <c r="N10" s="210"/>
      <c r="O10" s="217" t="s">
        <v>678</v>
      </c>
      <c r="P10" s="218"/>
      <c r="Q10" s="286" t="s">
        <v>679</v>
      </c>
      <c r="R10" s="218" t="s">
        <v>35</v>
      </c>
      <c r="S10" s="221"/>
      <c r="T10" s="210"/>
      <c r="U10" s="146"/>
    </row>
    <row r="11" spans="1:21" ht="79.5" customHeight="1" x14ac:dyDescent="0.25">
      <c r="A11" s="131" t="s">
        <v>570</v>
      </c>
      <c r="B11" s="132" t="s">
        <v>1305</v>
      </c>
      <c r="C11" s="132" t="s">
        <v>571</v>
      </c>
      <c r="D11" s="132" t="s">
        <v>39</v>
      </c>
      <c r="E11" s="496" t="s">
        <v>1591</v>
      </c>
      <c r="F11" s="233" t="s">
        <v>572</v>
      </c>
      <c r="G11" s="215"/>
      <c r="H11" s="378" t="s">
        <v>950</v>
      </c>
      <c r="I11" s="459" t="s">
        <v>571</v>
      </c>
      <c r="J11" s="460" t="s">
        <v>1552</v>
      </c>
      <c r="K11" s="215"/>
      <c r="L11" s="581" t="s">
        <v>950</v>
      </c>
      <c r="M11" s="501" t="s">
        <v>1477</v>
      </c>
      <c r="N11" s="215"/>
      <c r="O11" s="216" t="s">
        <v>674</v>
      </c>
      <c r="P11" s="135" t="s">
        <v>25</v>
      </c>
      <c r="Q11" s="127" t="s">
        <v>681</v>
      </c>
      <c r="R11" s="135" t="s">
        <v>35</v>
      </c>
      <c r="S11" s="152"/>
      <c r="T11" s="215"/>
      <c r="U11" s="137"/>
    </row>
    <row r="12" spans="1:21" ht="55.5" customHeight="1" x14ac:dyDescent="0.25">
      <c r="A12" s="125" t="s">
        <v>573</v>
      </c>
      <c r="B12" s="126" t="s">
        <v>1305</v>
      </c>
      <c r="C12" s="126" t="s">
        <v>574</v>
      </c>
      <c r="D12" s="126" t="s">
        <v>39</v>
      </c>
      <c r="E12" s="149" t="s">
        <v>1592</v>
      </c>
      <c r="F12" s="235" t="s">
        <v>575</v>
      </c>
      <c r="G12" s="210"/>
      <c r="H12" s="389" t="s">
        <v>952</v>
      </c>
      <c r="I12" s="457" t="s">
        <v>574</v>
      </c>
      <c r="J12" s="464" t="s">
        <v>1551</v>
      </c>
      <c r="K12" s="210"/>
      <c r="L12" s="601" t="s">
        <v>952</v>
      </c>
      <c r="M12" s="599" t="s">
        <v>1477</v>
      </c>
      <c r="N12" s="210"/>
      <c r="O12" s="236" t="s">
        <v>951</v>
      </c>
      <c r="P12" s="218" t="s">
        <v>25</v>
      </c>
      <c r="Q12" s="219" t="s">
        <v>682</v>
      </c>
      <c r="R12" s="218" t="s">
        <v>35</v>
      </c>
      <c r="S12" s="221"/>
      <c r="T12" s="210"/>
      <c r="U12" s="146"/>
    </row>
    <row r="13" spans="1:21" ht="89.1" customHeight="1" x14ac:dyDescent="0.25">
      <c r="A13" s="131" t="s">
        <v>576</v>
      </c>
      <c r="B13" s="132" t="s">
        <v>1306</v>
      </c>
      <c r="C13" s="132" t="s">
        <v>577</v>
      </c>
      <c r="D13" s="132" t="s">
        <v>22</v>
      </c>
      <c r="E13" s="152" t="s">
        <v>953</v>
      </c>
      <c r="F13" s="233" t="s">
        <v>578</v>
      </c>
      <c r="G13" s="215"/>
      <c r="H13" s="378" t="s">
        <v>954</v>
      </c>
      <c r="I13" s="459" t="s">
        <v>683</v>
      </c>
      <c r="J13" s="460" t="s">
        <v>1553</v>
      </c>
      <c r="K13" s="215"/>
      <c r="L13" s="598" t="s">
        <v>954</v>
      </c>
      <c r="M13" s="487" t="s">
        <v>1476</v>
      </c>
      <c r="N13" s="215"/>
      <c r="O13" s="285" t="s">
        <v>90</v>
      </c>
      <c r="P13" s="135" t="s">
        <v>25</v>
      </c>
      <c r="Q13" s="127" t="s">
        <v>96</v>
      </c>
      <c r="R13" s="135" t="s">
        <v>35</v>
      </c>
      <c r="S13" s="152"/>
      <c r="T13" s="215"/>
      <c r="U13" s="137"/>
    </row>
    <row r="14" spans="1:21" ht="114" customHeight="1" x14ac:dyDescent="0.25">
      <c r="A14" s="125" t="s">
        <v>579</v>
      </c>
      <c r="B14" s="126" t="s">
        <v>1306</v>
      </c>
      <c r="C14" s="126" t="s">
        <v>580</v>
      </c>
      <c r="D14" s="126" t="s">
        <v>22</v>
      </c>
      <c r="E14" s="149" t="s">
        <v>955</v>
      </c>
      <c r="F14" s="235" t="s">
        <v>581</v>
      </c>
      <c r="G14" s="210"/>
      <c r="H14" s="389" t="s">
        <v>956</v>
      </c>
      <c r="I14" s="457" t="s">
        <v>1554</v>
      </c>
      <c r="J14" s="464" t="s">
        <v>955</v>
      </c>
      <c r="K14" s="210"/>
      <c r="L14" s="597" t="s">
        <v>1705</v>
      </c>
      <c r="M14" s="600" t="s">
        <v>1476</v>
      </c>
      <c r="N14" s="210"/>
      <c r="O14" s="217" t="s">
        <v>674</v>
      </c>
      <c r="P14" s="218" t="s">
        <v>25</v>
      </c>
      <c r="Q14" s="219" t="s">
        <v>931</v>
      </c>
      <c r="R14" s="218" t="s">
        <v>35</v>
      </c>
      <c r="S14" s="221"/>
      <c r="T14" s="210"/>
      <c r="U14" s="130" t="s">
        <v>928</v>
      </c>
    </row>
    <row r="15" spans="1:21" ht="106.5" customHeight="1" x14ac:dyDescent="0.25">
      <c r="A15" s="131" t="s">
        <v>582</v>
      </c>
      <c r="B15" s="132" t="s">
        <v>1296</v>
      </c>
      <c r="C15" s="132" t="s">
        <v>583</v>
      </c>
      <c r="D15" s="132" t="s">
        <v>39</v>
      </c>
      <c r="E15" s="461" t="s">
        <v>957</v>
      </c>
      <c r="F15" s="233" t="s">
        <v>584</v>
      </c>
      <c r="G15" s="215"/>
      <c r="H15" s="378" t="s">
        <v>958</v>
      </c>
      <c r="I15" s="459" t="s">
        <v>583</v>
      </c>
      <c r="J15" s="460" t="s">
        <v>1555</v>
      </c>
      <c r="K15" s="215"/>
      <c r="L15" s="613" t="s">
        <v>958</v>
      </c>
      <c r="M15" s="487" t="s">
        <v>1477</v>
      </c>
      <c r="N15" s="215"/>
      <c r="O15" s="285" t="s">
        <v>674</v>
      </c>
      <c r="P15" s="135" t="s">
        <v>25</v>
      </c>
      <c r="Q15" s="127" t="s">
        <v>686</v>
      </c>
      <c r="R15" s="135" t="s">
        <v>35</v>
      </c>
      <c r="S15" s="152"/>
      <c r="T15" s="215"/>
      <c r="U15" s="137"/>
    </row>
    <row r="16" spans="1:21" ht="60.75" customHeight="1" x14ac:dyDescent="0.25">
      <c r="A16" s="125" t="s">
        <v>585</v>
      </c>
      <c r="B16" s="126" t="s">
        <v>1238</v>
      </c>
      <c r="C16" s="126" t="s">
        <v>586</v>
      </c>
      <c r="D16" s="126" t="s">
        <v>39</v>
      </c>
      <c r="E16" s="411" t="s">
        <v>1593</v>
      </c>
      <c r="F16" s="235" t="s">
        <v>587</v>
      </c>
      <c r="G16" s="210"/>
      <c r="H16" s="389" t="s">
        <v>959</v>
      </c>
      <c r="I16" s="457" t="s">
        <v>586</v>
      </c>
      <c r="J16" s="464" t="s">
        <v>1556</v>
      </c>
      <c r="K16" s="210"/>
      <c r="L16" s="612" t="s">
        <v>959</v>
      </c>
      <c r="M16" s="614" t="s">
        <v>1477</v>
      </c>
      <c r="N16" s="210"/>
      <c r="O16" s="217" t="s">
        <v>687</v>
      </c>
      <c r="P16" s="218"/>
      <c r="Q16" s="219" t="s">
        <v>688</v>
      </c>
      <c r="R16" s="218" t="s">
        <v>35</v>
      </c>
      <c r="S16" s="221"/>
      <c r="T16" s="210"/>
      <c r="U16" s="146"/>
    </row>
    <row r="17" spans="1:21" ht="130.5" customHeight="1" x14ac:dyDescent="0.25">
      <c r="A17" s="131" t="s">
        <v>588</v>
      </c>
      <c r="B17" s="132" t="s">
        <v>1238</v>
      </c>
      <c r="C17" s="132" t="s">
        <v>589</v>
      </c>
      <c r="D17" s="132" t="s">
        <v>365</v>
      </c>
      <c r="E17" s="152" t="s">
        <v>933</v>
      </c>
      <c r="F17" s="233" t="s">
        <v>590</v>
      </c>
      <c r="G17" s="215"/>
      <c r="H17" s="378" t="s">
        <v>960</v>
      </c>
      <c r="I17" s="459" t="s">
        <v>1557</v>
      </c>
      <c r="J17" s="460" t="s">
        <v>1558</v>
      </c>
      <c r="K17" s="215"/>
      <c r="L17" s="581" t="s">
        <v>1707</v>
      </c>
      <c r="M17" s="501" t="s">
        <v>1476</v>
      </c>
      <c r="N17" s="215"/>
      <c r="O17" s="285" t="s">
        <v>674</v>
      </c>
      <c r="P17" s="135" t="s">
        <v>25</v>
      </c>
      <c r="Q17" s="127" t="s">
        <v>689</v>
      </c>
      <c r="R17" s="135" t="s">
        <v>35</v>
      </c>
      <c r="S17" s="152"/>
      <c r="T17" s="215"/>
      <c r="U17" s="137"/>
    </row>
    <row r="18" spans="1:21" x14ac:dyDescent="0.25">
      <c r="A18" s="1018" t="s">
        <v>591</v>
      </c>
      <c r="B18" s="1019" t="s">
        <v>1238</v>
      </c>
      <c r="C18" s="1019" t="s">
        <v>592</v>
      </c>
      <c r="D18" s="1019" t="s">
        <v>39</v>
      </c>
      <c r="E18" s="905" t="s">
        <v>961</v>
      </c>
      <c r="F18" s="1026" t="s">
        <v>593</v>
      </c>
      <c r="G18" s="210"/>
      <c r="H18" s="911" t="s">
        <v>964</v>
      </c>
      <c r="I18" s="934" t="s">
        <v>592</v>
      </c>
      <c r="J18" s="959" t="s">
        <v>1559</v>
      </c>
      <c r="K18" s="210"/>
      <c r="L18" s="910" t="s">
        <v>964</v>
      </c>
      <c r="M18" s="997" t="s">
        <v>1477</v>
      </c>
      <c r="N18" s="210"/>
      <c r="O18" s="1027" t="s">
        <v>41</v>
      </c>
      <c r="P18" s="1020" t="s">
        <v>962</v>
      </c>
      <c r="Q18" s="232" t="s">
        <v>43</v>
      </c>
      <c r="R18" s="1020" t="s">
        <v>963</v>
      </c>
      <c r="S18" s="1021"/>
      <c r="T18" s="210"/>
      <c r="U18" s="1033"/>
    </row>
    <row r="19" spans="1:21" x14ac:dyDescent="0.25">
      <c r="A19" s="1018"/>
      <c r="B19" s="1019"/>
      <c r="C19" s="1019"/>
      <c r="D19" s="1019"/>
      <c r="E19" s="906"/>
      <c r="F19" s="1026"/>
      <c r="G19" s="210"/>
      <c r="H19" s="911"/>
      <c r="I19" s="934"/>
      <c r="J19" s="959"/>
      <c r="K19" s="210"/>
      <c r="L19" s="910"/>
      <c r="M19" s="997"/>
      <c r="N19" s="210"/>
      <c r="O19" s="1027"/>
      <c r="P19" s="1020"/>
      <c r="Q19" s="232" t="s">
        <v>45</v>
      </c>
      <c r="R19" s="1020"/>
      <c r="S19" s="1021"/>
      <c r="T19" s="210"/>
      <c r="U19" s="1034"/>
    </row>
    <row r="20" spans="1:21" ht="46.5" customHeight="1" x14ac:dyDescent="0.25">
      <c r="A20" s="1018"/>
      <c r="B20" s="1019"/>
      <c r="C20" s="1019"/>
      <c r="D20" s="1019"/>
      <c r="E20" s="907"/>
      <c r="F20" s="1026"/>
      <c r="G20" s="210"/>
      <c r="H20" s="911"/>
      <c r="I20" s="934"/>
      <c r="J20" s="959"/>
      <c r="K20" s="210"/>
      <c r="L20" s="910"/>
      <c r="M20" s="997"/>
      <c r="N20" s="210"/>
      <c r="O20" s="236" t="s">
        <v>674</v>
      </c>
      <c r="P20" s="220" t="s">
        <v>25</v>
      </c>
      <c r="Q20" s="232" t="s">
        <v>692</v>
      </c>
      <c r="R20" s="1020"/>
      <c r="S20" s="1021"/>
      <c r="T20" s="210"/>
      <c r="U20" s="1035"/>
    </row>
    <row r="21" spans="1:21" x14ac:dyDescent="0.25">
      <c r="A21" s="908" t="s">
        <v>594</v>
      </c>
      <c r="B21" s="1001" t="s">
        <v>1307</v>
      </c>
      <c r="C21" s="1001" t="s">
        <v>595</v>
      </c>
      <c r="D21" s="1001" t="s">
        <v>39</v>
      </c>
      <c r="E21" s="902" t="s">
        <v>1594</v>
      </c>
      <c r="F21" s="1031" t="s">
        <v>596</v>
      </c>
      <c r="G21" s="215"/>
      <c r="H21" s="908" t="s">
        <v>967</v>
      </c>
      <c r="I21" s="932" t="s">
        <v>1560</v>
      </c>
      <c r="J21" s="933" t="s">
        <v>1561</v>
      </c>
      <c r="K21" s="215"/>
      <c r="L21" s="967" t="s">
        <v>967</v>
      </c>
      <c r="M21" s="1067" t="s">
        <v>1477</v>
      </c>
      <c r="N21" s="215"/>
      <c r="O21" s="1028" t="s">
        <v>41</v>
      </c>
      <c r="P21" s="932" t="s">
        <v>965</v>
      </c>
      <c r="Q21" s="132" t="s">
        <v>43</v>
      </c>
      <c r="R21" s="932" t="s">
        <v>966</v>
      </c>
      <c r="S21" s="933"/>
      <c r="T21" s="215"/>
      <c r="U21" s="1036"/>
    </row>
    <row r="22" spans="1:21" x14ac:dyDescent="0.25">
      <c r="A22" s="908"/>
      <c r="B22" s="1001"/>
      <c r="C22" s="1001"/>
      <c r="D22" s="1001"/>
      <c r="E22" s="903"/>
      <c r="F22" s="1031"/>
      <c r="G22" s="215"/>
      <c r="H22" s="908"/>
      <c r="I22" s="932"/>
      <c r="J22" s="933"/>
      <c r="K22" s="215"/>
      <c r="L22" s="967"/>
      <c r="M22" s="1067"/>
      <c r="N22" s="215"/>
      <c r="O22" s="1028"/>
      <c r="P22" s="932"/>
      <c r="Q22" s="132" t="s">
        <v>45</v>
      </c>
      <c r="R22" s="932"/>
      <c r="S22" s="933"/>
      <c r="T22" s="215"/>
      <c r="U22" s="1037"/>
    </row>
    <row r="23" spans="1:21" ht="42" customHeight="1" x14ac:dyDescent="0.25">
      <c r="A23" s="908"/>
      <c r="B23" s="1001"/>
      <c r="C23" s="1001"/>
      <c r="D23" s="1001"/>
      <c r="E23" s="904"/>
      <c r="F23" s="1031"/>
      <c r="G23" s="215"/>
      <c r="H23" s="908"/>
      <c r="I23" s="932"/>
      <c r="J23" s="933"/>
      <c r="K23" s="215"/>
      <c r="L23" s="967"/>
      <c r="M23" s="1067"/>
      <c r="N23" s="215"/>
      <c r="O23" s="216" t="s">
        <v>674</v>
      </c>
      <c r="P23" s="133" t="s">
        <v>25</v>
      </c>
      <c r="Q23" s="132" t="s">
        <v>968</v>
      </c>
      <c r="R23" s="932"/>
      <c r="S23" s="933"/>
      <c r="T23" s="215"/>
      <c r="U23" s="1038"/>
    </row>
    <row r="24" spans="1:21" x14ac:dyDescent="0.25">
      <c r="A24" s="1018" t="s">
        <v>597</v>
      </c>
      <c r="B24" s="1019" t="s">
        <v>1307</v>
      </c>
      <c r="C24" s="1019" t="s">
        <v>598</v>
      </c>
      <c r="D24" s="1019" t="s">
        <v>39</v>
      </c>
      <c r="E24" s="905" t="s">
        <v>1595</v>
      </c>
      <c r="F24" s="1026" t="s">
        <v>599</v>
      </c>
      <c r="G24" s="210"/>
      <c r="H24" s="911" t="s">
        <v>972</v>
      </c>
      <c r="I24" s="934" t="s">
        <v>598</v>
      </c>
      <c r="J24" s="959" t="s">
        <v>969</v>
      </c>
      <c r="K24" s="210"/>
      <c r="L24" s="910" t="s">
        <v>972</v>
      </c>
      <c r="M24" s="997" t="s">
        <v>1477</v>
      </c>
      <c r="N24" s="210"/>
      <c r="O24" s="1027" t="s">
        <v>41</v>
      </c>
      <c r="P24" s="1020" t="s">
        <v>970</v>
      </c>
      <c r="Q24" s="232" t="s">
        <v>43</v>
      </c>
      <c r="R24" s="1020" t="s">
        <v>971</v>
      </c>
      <c r="S24" s="1021"/>
      <c r="T24" s="210"/>
      <c r="U24" s="1033"/>
    </row>
    <row r="25" spans="1:21" x14ac:dyDescent="0.25">
      <c r="A25" s="1018"/>
      <c r="B25" s="1019"/>
      <c r="C25" s="1019"/>
      <c r="D25" s="1019"/>
      <c r="E25" s="906"/>
      <c r="F25" s="1026"/>
      <c r="G25" s="210"/>
      <c r="H25" s="911"/>
      <c r="I25" s="934"/>
      <c r="J25" s="959"/>
      <c r="K25" s="210"/>
      <c r="L25" s="910"/>
      <c r="M25" s="997"/>
      <c r="N25" s="210"/>
      <c r="O25" s="1027"/>
      <c r="P25" s="1020"/>
      <c r="Q25" s="232" t="s">
        <v>45</v>
      </c>
      <c r="R25" s="1020"/>
      <c r="S25" s="1021"/>
      <c r="T25" s="210"/>
      <c r="U25" s="1034"/>
    </row>
    <row r="26" spans="1:21" ht="52.5" customHeight="1" x14ac:dyDescent="0.25">
      <c r="A26" s="1018"/>
      <c r="B26" s="1019"/>
      <c r="C26" s="1019"/>
      <c r="D26" s="1019"/>
      <c r="E26" s="907"/>
      <c r="F26" s="1026"/>
      <c r="G26" s="210"/>
      <c r="H26" s="911"/>
      <c r="I26" s="934"/>
      <c r="J26" s="959"/>
      <c r="K26" s="210"/>
      <c r="L26" s="910"/>
      <c r="M26" s="997"/>
      <c r="N26" s="210"/>
      <c r="O26" s="236" t="s">
        <v>674</v>
      </c>
      <c r="P26" s="220" t="s">
        <v>25</v>
      </c>
      <c r="Q26" s="232" t="s">
        <v>973</v>
      </c>
      <c r="R26" s="1020"/>
      <c r="S26" s="1021"/>
      <c r="T26" s="210"/>
      <c r="U26" s="1035"/>
    </row>
    <row r="27" spans="1:21" ht="14.45" customHeight="1" x14ac:dyDescent="0.25">
      <c r="A27" s="908" t="s">
        <v>600</v>
      </c>
      <c r="B27" s="1001" t="s">
        <v>1307</v>
      </c>
      <c r="C27" s="1001" t="s">
        <v>601</v>
      </c>
      <c r="D27" s="1001" t="s">
        <v>39</v>
      </c>
      <c r="E27" s="902" t="s">
        <v>1596</v>
      </c>
      <c r="F27" s="1031" t="s">
        <v>602</v>
      </c>
      <c r="G27" s="215"/>
      <c r="H27" s="908" t="s">
        <v>977</v>
      </c>
      <c r="I27" s="932" t="s">
        <v>601</v>
      </c>
      <c r="J27" s="933" t="s">
        <v>974</v>
      </c>
      <c r="K27" s="215"/>
      <c r="L27" s="967" t="s">
        <v>977</v>
      </c>
      <c r="M27" s="1067" t="s">
        <v>1477</v>
      </c>
      <c r="N27" s="215"/>
      <c r="O27" s="1028" t="s">
        <v>41</v>
      </c>
      <c r="P27" s="932" t="s">
        <v>975</v>
      </c>
      <c r="Q27" s="132" t="s">
        <v>43</v>
      </c>
      <c r="R27" s="932" t="s">
        <v>976</v>
      </c>
      <c r="S27" s="933"/>
      <c r="T27" s="215"/>
      <c r="U27" s="1036"/>
    </row>
    <row r="28" spans="1:21" ht="14.45" customHeight="1" x14ac:dyDescent="0.25">
      <c r="A28" s="908"/>
      <c r="B28" s="1001"/>
      <c r="C28" s="1001"/>
      <c r="D28" s="1001"/>
      <c r="E28" s="903"/>
      <c r="F28" s="1031"/>
      <c r="G28" s="215"/>
      <c r="H28" s="908"/>
      <c r="I28" s="932"/>
      <c r="J28" s="933"/>
      <c r="K28" s="215"/>
      <c r="L28" s="967"/>
      <c r="M28" s="1067"/>
      <c r="N28" s="215"/>
      <c r="O28" s="1028"/>
      <c r="P28" s="932"/>
      <c r="Q28" s="132" t="s">
        <v>45</v>
      </c>
      <c r="R28" s="932"/>
      <c r="S28" s="933"/>
      <c r="T28" s="215"/>
      <c r="U28" s="1037"/>
    </row>
    <row r="29" spans="1:21" ht="54" customHeight="1" x14ac:dyDescent="0.25">
      <c r="A29" s="908"/>
      <c r="B29" s="1001"/>
      <c r="C29" s="1001"/>
      <c r="D29" s="1001"/>
      <c r="E29" s="904"/>
      <c r="F29" s="1031"/>
      <c r="G29" s="215"/>
      <c r="H29" s="908"/>
      <c r="I29" s="932"/>
      <c r="J29" s="933"/>
      <c r="K29" s="215"/>
      <c r="L29" s="967"/>
      <c r="M29" s="1067"/>
      <c r="N29" s="215"/>
      <c r="O29" s="216" t="s">
        <v>674</v>
      </c>
      <c r="P29" s="133" t="s">
        <v>25</v>
      </c>
      <c r="Q29" s="132" t="s">
        <v>978</v>
      </c>
      <c r="R29" s="932"/>
      <c r="S29" s="933"/>
      <c r="T29" s="215"/>
      <c r="U29" s="1038"/>
    </row>
    <row r="30" spans="1:21" ht="117" customHeight="1" x14ac:dyDescent="0.25">
      <c r="A30" s="125" t="s">
        <v>603</v>
      </c>
      <c r="B30" s="126" t="s">
        <v>1307</v>
      </c>
      <c r="C30" s="126" t="s">
        <v>604</v>
      </c>
      <c r="D30" s="126" t="s">
        <v>39</v>
      </c>
      <c r="E30" s="149" t="s">
        <v>979</v>
      </c>
      <c r="F30" s="235" t="s">
        <v>605</v>
      </c>
      <c r="G30" s="210"/>
      <c r="H30" s="389" t="s">
        <v>982</v>
      </c>
      <c r="I30" s="457" t="s">
        <v>604</v>
      </c>
      <c r="J30" s="464" t="s">
        <v>1562</v>
      </c>
      <c r="K30" s="210"/>
      <c r="L30" s="612" t="s">
        <v>982</v>
      </c>
      <c r="M30" s="614" t="s">
        <v>1477</v>
      </c>
      <c r="N30" s="210"/>
      <c r="O30" s="236" t="s">
        <v>670</v>
      </c>
      <c r="P30" s="220" t="s">
        <v>25</v>
      </c>
      <c r="Q30" s="232" t="s">
        <v>980</v>
      </c>
      <c r="R30" s="220" t="s">
        <v>981</v>
      </c>
      <c r="S30" s="221"/>
      <c r="T30" s="210"/>
      <c r="U30" s="146"/>
    </row>
    <row r="31" spans="1:21" ht="59.45" customHeight="1" x14ac:dyDescent="0.25">
      <c r="A31" s="131" t="s">
        <v>606</v>
      </c>
      <c r="B31" s="132" t="s">
        <v>1307</v>
      </c>
      <c r="C31" s="132" t="s">
        <v>607</v>
      </c>
      <c r="D31" s="132" t="s">
        <v>365</v>
      </c>
      <c r="E31" s="152" t="s">
        <v>983</v>
      </c>
      <c r="F31" s="233" t="s">
        <v>608</v>
      </c>
      <c r="G31" s="215"/>
      <c r="H31" s="378" t="s">
        <v>732</v>
      </c>
      <c r="I31" s="459" t="s">
        <v>1428</v>
      </c>
      <c r="J31" s="460" t="s">
        <v>1429</v>
      </c>
      <c r="K31" s="215"/>
      <c r="L31" s="613" t="s">
        <v>732</v>
      </c>
      <c r="M31" s="487" t="s">
        <v>1476</v>
      </c>
      <c r="N31" s="215"/>
      <c r="O31" s="216" t="s">
        <v>670</v>
      </c>
      <c r="P31" s="133" t="s">
        <v>25</v>
      </c>
      <c r="Q31" s="132" t="s">
        <v>984</v>
      </c>
      <c r="R31" s="133" t="s">
        <v>35</v>
      </c>
      <c r="S31" s="152"/>
      <c r="T31" s="215"/>
      <c r="U31" s="137"/>
    </row>
    <row r="32" spans="1:21" ht="73.5" customHeight="1" x14ac:dyDescent="0.25">
      <c r="A32" s="125" t="s">
        <v>609</v>
      </c>
      <c r="B32" s="126" t="s">
        <v>1307</v>
      </c>
      <c r="C32" s="126" t="s">
        <v>610</v>
      </c>
      <c r="D32" s="126" t="s">
        <v>365</v>
      </c>
      <c r="E32" s="149" t="s">
        <v>985</v>
      </c>
      <c r="F32" s="235" t="s">
        <v>611</v>
      </c>
      <c r="G32" s="210"/>
      <c r="H32" s="389" t="s">
        <v>736</v>
      </c>
      <c r="I32" s="457" t="s">
        <v>1435</v>
      </c>
      <c r="J32" s="464" t="s">
        <v>1436</v>
      </c>
      <c r="K32" s="210"/>
      <c r="L32" s="615" t="s">
        <v>736</v>
      </c>
      <c r="M32" s="406" t="s">
        <v>1476</v>
      </c>
      <c r="N32" s="210"/>
      <c r="O32" s="236" t="s">
        <v>670</v>
      </c>
      <c r="P32" s="220" t="s">
        <v>25</v>
      </c>
      <c r="Q32" s="232" t="s">
        <v>986</v>
      </c>
      <c r="R32" s="220" t="s">
        <v>35</v>
      </c>
      <c r="S32" s="221"/>
      <c r="T32" s="210"/>
      <c r="U32" s="146"/>
    </row>
    <row r="33" spans="1:21" x14ac:dyDescent="0.25">
      <c r="A33" s="908" t="s">
        <v>612</v>
      </c>
      <c r="B33" s="1001" t="s">
        <v>1307</v>
      </c>
      <c r="C33" s="1001" t="s">
        <v>613</v>
      </c>
      <c r="D33" s="1001" t="s">
        <v>22</v>
      </c>
      <c r="E33" s="902" t="s">
        <v>987</v>
      </c>
      <c r="F33" s="1031" t="s">
        <v>614</v>
      </c>
      <c r="G33" s="215"/>
      <c r="H33" s="908" t="s">
        <v>991</v>
      </c>
      <c r="I33" s="932" t="s">
        <v>613</v>
      </c>
      <c r="J33" s="933" t="s">
        <v>987</v>
      </c>
      <c r="K33" s="215"/>
      <c r="L33" s="967" t="s">
        <v>1709</v>
      </c>
      <c r="M33" s="1067" t="s">
        <v>1476</v>
      </c>
      <c r="N33" s="215"/>
      <c r="O33" s="1028" t="s">
        <v>988</v>
      </c>
      <c r="P33" s="932" t="s">
        <v>25</v>
      </c>
      <c r="Q33" s="132" t="s">
        <v>989</v>
      </c>
      <c r="R33" s="932" t="s">
        <v>990</v>
      </c>
      <c r="S33" s="933"/>
      <c r="T33" s="215"/>
      <c r="U33" s="1036"/>
    </row>
    <row r="34" spans="1:21" x14ac:dyDescent="0.25">
      <c r="A34" s="908"/>
      <c r="B34" s="1001"/>
      <c r="C34" s="1001"/>
      <c r="D34" s="1001"/>
      <c r="E34" s="903"/>
      <c r="F34" s="1031"/>
      <c r="G34" s="215"/>
      <c r="H34" s="908"/>
      <c r="I34" s="932"/>
      <c r="J34" s="933"/>
      <c r="K34" s="215"/>
      <c r="L34" s="967"/>
      <c r="M34" s="1067"/>
      <c r="N34" s="215"/>
      <c r="O34" s="1028"/>
      <c r="P34" s="932"/>
      <c r="Q34" s="132" t="s">
        <v>992</v>
      </c>
      <c r="R34" s="932"/>
      <c r="S34" s="933"/>
      <c r="T34" s="215"/>
      <c r="U34" s="1037"/>
    </row>
    <row r="35" spans="1:21" ht="30" x14ac:dyDescent="0.25">
      <c r="A35" s="908"/>
      <c r="B35" s="1001"/>
      <c r="C35" s="1001"/>
      <c r="D35" s="1001"/>
      <c r="E35" s="904"/>
      <c r="F35" s="1031"/>
      <c r="G35" s="215"/>
      <c r="H35" s="908"/>
      <c r="I35" s="932"/>
      <c r="J35" s="933"/>
      <c r="K35" s="215"/>
      <c r="L35" s="967"/>
      <c r="M35" s="1067"/>
      <c r="N35" s="215"/>
      <c r="O35" s="216" t="s">
        <v>24</v>
      </c>
      <c r="P35" s="133" t="s">
        <v>993</v>
      </c>
      <c r="Q35" s="132" t="s">
        <v>34</v>
      </c>
      <c r="R35" s="932"/>
      <c r="S35" s="933"/>
      <c r="T35" s="215"/>
      <c r="U35" s="1038"/>
    </row>
    <row r="36" spans="1:21" ht="36.6" customHeight="1" x14ac:dyDescent="0.25">
      <c r="A36" s="125" t="s">
        <v>615</v>
      </c>
      <c r="B36" s="126" t="s">
        <v>1307</v>
      </c>
      <c r="C36" s="126" t="s">
        <v>616</v>
      </c>
      <c r="D36" s="126" t="s">
        <v>39</v>
      </c>
      <c r="E36" s="149" t="s">
        <v>1597</v>
      </c>
      <c r="F36" s="235"/>
      <c r="G36" s="210"/>
      <c r="H36" s="389" t="s">
        <v>995</v>
      </c>
      <c r="I36" s="457" t="s">
        <v>616</v>
      </c>
      <c r="J36" s="464" t="s">
        <v>1563</v>
      </c>
      <c r="K36" s="210"/>
      <c r="L36" s="615" t="s">
        <v>995</v>
      </c>
      <c r="M36" s="616" t="s">
        <v>1477</v>
      </c>
      <c r="N36" s="210"/>
      <c r="O36" s="236" t="s">
        <v>674</v>
      </c>
      <c r="P36" s="220" t="s">
        <v>25</v>
      </c>
      <c r="Q36" s="232" t="s">
        <v>994</v>
      </c>
      <c r="R36" s="220" t="s">
        <v>35</v>
      </c>
      <c r="S36" s="221"/>
      <c r="T36" s="210"/>
      <c r="U36" s="130" t="s">
        <v>928</v>
      </c>
    </row>
    <row r="37" spans="1:21" ht="99.95" customHeight="1" x14ac:dyDescent="0.25">
      <c r="A37" s="131" t="s">
        <v>617</v>
      </c>
      <c r="B37" s="132" t="s">
        <v>1307</v>
      </c>
      <c r="C37" s="132" t="s">
        <v>618</v>
      </c>
      <c r="D37" s="132" t="s">
        <v>22</v>
      </c>
      <c r="E37" s="152" t="s">
        <v>996</v>
      </c>
      <c r="F37" s="233" t="s">
        <v>619</v>
      </c>
      <c r="G37" s="215"/>
      <c r="H37" s="378" t="s">
        <v>997</v>
      </c>
      <c r="I37" s="459" t="s">
        <v>1492</v>
      </c>
      <c r="J37" s="460" t="s">
        <v>1564</v>
      </c>
      <c r="K37" s="215"/>
      <c r="L37" s="581" t="s">
        <v>1708</v>
      </c>
      <c r="M37" s="501" t="s">
        <v>1484</v>
      </c>
      <c r="N37" s="215"/>
      <c r="O37" s="216" t="s">
        <v>677</v>
      </c>
      <c r="P37" s="133" t="s">
        <v>677</v>
      </c>
      <c r="Q37" s="132" t="s">
        <v>677</v>
      </c>
      <c r="R37" s="133" t="s">
        <v>677</v>
      </c>
      <c r="S37" s="152" t="s">
        <v>677</v>
      </c>
      <c r="T37" s="215"/>
      <c r="U37" s="129" t="s">
        <v>677</v>
      </c>
    </row>
    <row r="38" spans="1:21" x14ac:dyDescent="0.25">
      <c r="A38" s="1018" t="s">
        <v>620</v>
      </c>
      <c r="B38" s="1019" t="s">
        <v>1307</v>
      </c>
      <c r="C38" s="1019" t="s">
        <v>621</v>
      </c>
      <c r="D38" s="1019" t="s">
        <v>39</v>
      </c>
      <c r="E38" s="905" t="s">
        <v>1598</v>
      </c>
      <c r="F38" s="1026" t="s">
        <v>622</v>
      </c>
      <c r="G38" s="210"/>
      <c r="H38" s="911" t="s">
        <v>1001</v>
      </c>
      <c r="I38" s="934" t="s">
        <v>621</v>
      </c>
      <c r="J38" s="959" t="s">
        <v>998</v>
      </c>
      <c r="K38" s="210"/>
      <c r="L38" s="910" t="s">
        <v>1710</v>
      </c>
      <c r="M38" s="997" t="s">
        <v>1477</v>
      </c>
      <c r="N38" s="210"/>
      <c r="O38" s="1027" t="s">
        <v>41</v>
      </c>
      <c r="P38" s="1020" t="s">
        <v>999</v>
      </c>
      <c r="Q38" s="232" t="s">
        <v>43</v>
      </c>
      <c r="R38" s="1020" t="s">
        <v>1000</v>
      </c>
      <c r="S38" s="1021"/>
      <c r="T38" s="210"/>
      <c r="U38" s="1033"/>
    </row>
    <row r="39" spans="1:21" x14ac:dyDescent="0.25">
      <c r="A39" s="1018"/>
      <c r="B39" s="1019"/>
      <c r="C39" s="1019"/>
      <c r="D39" s="1019"/>
      <c r="E39" s="906"/>
      <c r="F39" s="1026"/>
      <c r="G39" s="210"/>
      <c r="H39" s="911"/>
      <c r="I39" s="934"/>
      <c r="J39" s="959"/>
      <c r="K39" s="210"/>
      <c r="L39" s="910"/>
      <c r="M39" s="997"/>
      <c r="N39" s="210"/>
      <c r="O39" s="1027"/>
      <c r="P39" s="1020"/>
      <c r="Q39" s="232" t="s">
        <v>45</v>
      </c>
      <c r="R39" s="1020"/>
      <c r="S39" s="1021"/>
      <c r="T39" s="210"/>
      <c r="U39" s="1034"/>
    </row>
    <row r="40" spans="1:21" ht="52.5" customHeight="1" x14ac:dyDescent="0.25">
      <c r="A40" s="1018"/>
      <c r="B40" s="1019"/>
      <c r="C40" s="1019"/>
      <c r="D40" s="1019"/>
      <c r="E40" s="907"/>
      <c r="F40" s="1026"/>
      <c r="G40" s="210"/>
      <c r="H40" s="911"/>
      <c r="I40" s="934"/>
      <c r="J40" s="959"/>
      <c r="K40" s="210"/>
      <c r="L40" s="910"/>
      <c r="M40" s="997"/>
      <c r="N40" s="210"/>
      <c r="O40" s="236" t="s">
        <v>674</v>
      </c>
      <c r="P40" s="220" t="s">
        <v>25</v>
      </c>
      <c r="Q40" s="232" t="s">
        <v>1002</v>
      </c>
      <c r="R40" s="1020"/>
      <c r="S40" s="1021"/>
      <c r="T40" s="210"/>
      <c r="U40" s="1035"/>
    </row>
    <row r="41" spans="1:21" x14ac:dyDescent="0.25">
      <c r="A41" s="908" t="s">
        <v>623</v>
      </c>
      <c r="B41" s="1001" t="s">
        <v>1307</v>
      </c>
      <c r="C41" s="1001" t="s">
        <v>624</v>
      </c>
      <c r="D41" s="1001" t="s">
        <v>39</v>
      </c>
      <c r="E41" s="902" t="s">
        <v>1003</v>
      </c>
      <c r="F41" s="1031" t="s">
        <v>625</v>
      </c>
      <c r="G41" s="215"/>
      <c r="H41" s="908" t="s">
        <v>735</v>
      </c>
      <c r="I41" s="932" t="s">
        <v>1433</v>
      </c>
      <c r="J41" s="933" t="s">
        <v>1434</v>
      </c>
      <c r="K41" s="215"/>
      <c r="L41" s="967" t="s">
        <v>735</v>
      </c>
      <c r="M41" s="1067" t="s">
        <v>1477</v>
      </c>
      <c r="N41" s="215"/>
      <c r="O41" s="1028" t="s">
        <v>670</v>
      </c>
      <c r="P41" s="932" t="s">
        <v>25</v>
      </c>
      <c r="Q41" s="132" t="s">
        <v>1004</v>
      </c>
      <c r="R41" s="932" t="s">
        <v>1005</v>
      </c>
      <c r="S41" s="933"/>
      <c r="T41" s="215"/>
      <c r="U41" s="1036"/>
    </row>
    <row r="42" spans="1:21" x14ac:dyDescent="0.25">
      <c r="A42" s="908"/>
      <c r="B42" s="1001"/>
      <c r="C42" s="1001"/>
      <c r="D42" s="1001"/>
      <c r="E42" s="903"/>
      <c r="F42" s="1031"/>
      <c r="G42" s="215"/>
      <c r="H42" s="908"/>
      <c r="I42" s="932"/>
      <c r="J42" s="933"/>
      <c r="K42" s="215"/>
      <c r="L42" s="967"/>
      <c r="M42" s="1067"/>
      <c r="N42" s="215"/>
      <c r="O42" s="1028"/>
      <c r="P42" s="932"/>
      <c r="Q42" s="132" t="s">
        <v>1006</v>
      </c>
      <c r="R42" s="932"/>
      <c r="S42" s="933"/>
      <c r="T42" s="215"/>
      <c r="U42" s="1037"/>
    </row>
    <row r="43" spans="1:21" ht="69.75" customHeight="1" x14ac:dyDescent="0.25">
      <c r="A43" s="908"/>
      <c r="B43" s="1001"/>
      <c r="C43" s="1001"/>
      <c r="D43" s="1001"/>
      <c r="E43" s="904"/>
      <c r="F43" s="1031"/>
      <c r="G43" s="215"/>
      <c r="H43" s="908"/>
      <c r="I43" s="932"/>
      <c r="J43" s="933"/>
      <c r="K43" s="215"/>
      <c r="L43" s="967"/>
      <c r="M43" s="1067"/>
      <c r="N43" s="215"/>
      <c r="O43" s="1028"/>
      <c r="P43" s="932"/>
      <c r="Q43" s="132" t="s">
        <v>1007</v>
      </c>
      <c r="R43" s="932"/>
      <c r="S43" s="933"/>
      <c r="T43" s="215"/>
      <c r="U43" s="1038"/>
    </row>
    <row r="44" spans="1:21" ht="95.25" customHeight="1" x14ac:dyDescent="0.25">
      <c r="A44" s="125" t="s">
        <v>626</v>
      </c>
      <c r="B44" s="126" t="s">
        <v>1307</v>
      </c>
      <c r="C44" s="126" t="s">
        <v>627</v>
      </c>
      <c r="D44" s="126" t="s">
        <v>39</v>
      </c>
      <c r="E44" s="411" t="s">
        <v>1008</v>
      </c>
      <c r="F44" s="235" t="s">
        <v>628</v>
      </c>
      <c r="G44" s="210"/>
      <c r="H44" s="389" t="s">
        <v>738</v>
      </c>
      <c r="I44" s="457" t="s">
        <v>193</v>
      </c>
      <c r="J44" s="464" t="s">
        <v>1438</v>
      </c>
      <c r="K44" s="210"/>
      <c r="L44" s="618" t="s">
        <v>738</v>
      </c>
      <c r="M44" s="620" t="s">
        <v>1477</v>
      </c>
      <c r="N44" s="210"/>
      <c r="O44" s="236" t="s">
        <v>670</v>
      </c>
      <c r="P44" s="220" t="s">
        <v>25</v>
      </c>
      <c r="Q44" s="232" t="s">
        <v>1009</v>
      </c>
      <c r="R44" s="220" t="s">
        <v>1010</v>
      </c>
      <c r="S44" s="221"/>
      <c r="T44" s="210"/>
      <c r="U44" s="146"/>
    </row>
    <row r="45" spans="1:21" ht="14.45" customHeight="1" x14ac:dyDescent="0.25">
      <c r="A45" s="908" t="s">
        <v>629</v>
      </c>
      <c r="B45" s="1001" t="s">
        <v>1307</v>
      </c>
      <c r="C45" s="1001" t="s">
        <v>630</v>
      </c>
      <c r="D45" s="1001" t="s">
        <v>39</v>
      </c>
      <c r="E45" s="902" t="s">
        <v>1599</v>
      </c>
      <c r="F45" s="1031" t="s">
        <v>631</v>
      </c>
      <c r="G45" s="215"/>
      <c r="H45" s="908" t="s">
        <v>1014</v>
      </c>
      <c r="I45" s="932" t="s">
        <v>1565</v>
      </c>
      <c r="J45" s="933" t="s">
        <v>1011</v>
      </c>
      <c r="K45" s="215"/>
      <c r="L45" s="967" t="s">
        <v>1014</v>
      </c>
      <c r="M45" s="1067" t="s">
        <v>1477</v>
      </c>
      <c r="N45" s="215"/>
      <c r="O45" s="1028" t="s">
        <v>41</v>
      </c>
      <c r="P45" s="932" t="s">
        <v>1012</v>
      </c>
      <c r="Q45" s="132" t="s">
        <v>43</v>
      </c>
      <c r="R45" s="932" t="s">
        <v>1013</v>
      </c>
      <c r="S45" s="933"/>
      <c r="T45" s="215"/>
      <c r="U45" s="1036"/>
    </row>
    <row r="46" spans="1:21" ht="14.45" customHeight="1" x14ac:dyDescent="0.25">
      <c r="A46" s="908"/>
      <c r="B46" s="1001"/>
      <c r="C46" s="1001"/>
      <c r="D46" s="1001"/>
      <c r="E46" s="903"/>
      <c r="F46" s="1031"/>
      <c r="G46" s="215"/>
      <c r="H46" s="908"/>
      <c r="I46" s="932"/>
      <c r="J46" s="933"/>
      <c r="K46" s="215"/>
      <c r="L46" s="967"/>
      <c r="M46" s="1067"/>
      <c r="N46" s="215"/>
      <c r="O46" s="1028"/>
      <c r="P46" s="932"/>
      <c r="Q46" s="132" t="s">
        <v>45</v>
      </c>
      <c r="R46" s="932"/>
      <c r="S46" s="933"/>
      <c r="T46" s="215"/>
      <c r="U46" s="1037"/>
    </row>
    <row r="47" spans="1:21" ht="24" customHeight="1" x14ac:dyDescent="0.25">
      <c r="A47" s="908"/>
      <c r="B47" s="1001"/>
      <c r="C47" s="1001"/>
      <c r="D47" s="1001"/>
      <c r="E47" s="904"/>
      <c r="F47" s="1031"/>
      <c r="G47" s="215"/>
      <c r="H47" s="908"/>
      <c r="I47" s="932"/>
      <c r="J47" s="933"/>
      <c r="K47" s="215"/>
      <c r="L47" s="967"/>
      <c r="M47" s="1067"/>
      <c r="N47" s="215"/>
      <c r="O47" s="216" t="s">
        <v>678</v>
      </c>
      <c r="P47" s="133"/>
      <c r="Q47" s="132" t="s">
        <v>688</v>
      </c>
      <c r="R47" s="932"/>
      <c r="S47" s="933"/>
      <c r="T47" s="215"/>
      <c r="U47" s="1038"/>
    </row>
    <row r="48" spans="1:21" ht="43.5" customHeight="1" x14ac:dyDescent="0.25">
      <c r="A48" s="125" t="s">
        <v>632</v>
      </c>
      <c r="B48" s="126" t="s">
        <v>1307</v>
      </c>
      <c r="C48" s="126" t="s">
        <v>633</v>
      </c>
      <c r="D48" s="126" t="s">
        <v>290</v>
      </c>
      <c r="E48" s="149" t="s">
        <v>1015</v>
      </c>
      <c r="F48" s="235" t="s">
        <v>634</v>
      </c>
      <c r="G48" s="210"/>
      <c r="H48" s="389" t="s">
        <v>1016</v>
      </c>
      <c r="I48" s="457" t="s">
        <v>633</v>
      </c>
      <c r="J48" s="464" t="s">
        <v>1015</v>
      </c>
      <c r="K48" s="210"/>
      <c r="L48" s="618" t="s">
        <v>1016</v>
      </c>
      <c r="M48" s="620" t="s">
        <v>1476</v>
      </c>
      <c r="N48" s="210"/>
      <c r="O48" s="236" t="s">
        <v>670</v>
      </c>
      <c r="P48" s="220" t="s">
        <v>25</v>
      </c>
      <c r="Q48" s="232" t="s">
        <v>1006</v>
      </c>
      <c r="R48" s="220" t="s">
        <v>35</v>
      </c>
      <c r="S48" s="221"/>
      <c r="T48" s="210"/>
      <c r="U48" s="146"/>
    </row>
    <row r="49" spans="1:21" ht="72.599999999999994" customHeight="1" x14ac:dyDescent="0.25">
      <c r="A49" s="131" t="s">
        <v>635</v>
      </c>
      <c r="B49" s="132" t="s">
        <v>1307</v>
      </c>
      <c r="C49" s="132" t="s">
        <v>196</v>
      </c>
      <c r="D49" s="132" t="s">
        <v>290</v>
      </c>
      <c r="E49" s="152" t="s">
        <v>1017</v>
      </c>
      <c r="F49" s="233" t="s">
        <v>636</v>
      </c>
      <c r="G49" s="215"/>
      <c r="H49" s="378" t="s">
        <v>1019</v>
      </c>
      <c r="I49" s="459" t="s">
        <v>196</v>
      </c>
      <c r="J49" s="460" t="s">
        <v>1017</v>
      </c>
      <c r="K49" s="215"/>
      <c r="L49" s="619" t="s">
        <v>1019</v>
      </c>
      <c r="M49" s="621" t="s">
        <v>1476</v>
      </c>
      <c r="N49" s="215"/>
      <c r="O49" s="216" t="s">
        <v>670</v>
      </c>
      <c r="P49" s="133" t="s">
        <v>25</v>
      </c>
      <c r="Q49" s="132" t="s">
        <v>1018</v>
      </c>
      <c r="R49" s="133" t="s">
        <v>35</v>
      </c>
      <c r="S49" s="152"/>
      <c r="T49" s="215"/>
      <c r="U49" s="137"/>
    </row>
    <row r="50" spans="1:21" ht="105" x14ac:dyDescent="0.25">
      <c r="A50" s="125" t="s">
        <v>637</v>
      </c>
      <c r="B50" s="126" t="s">
        <v>1307</v>
      </c>
      <c r="C50" s="126" t="s">
        <v>638</v>
      </c>
      <c r="D50" s="126" t="s">
        <v>290</v>
      </c>
      <c r="E50" s="149" t="s">
        <v>1020</v>
      </c>
      <c r="F50" s="235" t="s">
        <v>639</v>
      </c>
      <c r="G50" s="210"/>
      <c r="H50" s="389" t="s">
        <v>1022</v>
      </c>
      <c r="I50" s="457" t="s">
        <v>638</v>
      </c>
      <c r="J50" s="464" t="s">
        <v>1020</v>
      </c>
      <c r="K50" s="210"/>
      <c r="L50" s="618" t="s">
        <v>1711</v>
      </c>
      <c r="M50" s="620" t="s">
        <v>1476</v>
      </c>
      <c r="N50" s="210"/>
      <c r="O50" s="236" t="s">
        <v>670</v>
      </c>
      <c r="P50" s="220" t="s">
        <v>25</v>
      </c>
      <c r="Q50" s="232" t="s">
        <v>1007</v>
      </c>
      <c r="R50" s="220" t="s">
        <v>1021</v>
      </c>
      <c r="S50" s="221"/>
      <c r="T50" s="210"/>
      <c r="U50" s="146"/>
    </row>
    <row r="51" spans="1:21" ht="14.45" customHeight="1" x14ac:dyDescent="0.25">
      <c r="A51" s="908" t="s">
        <v>640</v>
      </c>
      <c r="B51" s="1001" t="s">
        <v>1307</v>
      </c>
      <c r="C51" s="1001" t="s">
        <v>641</v>
      </c>
      <c r="D51" s="1001" t="s">
        <v>39</v>
      </c>
      <c r="E51" s="902" t="s">
        <v>1600</v>
      </c>
      <c r="F51" s="1031" t="s">
        <v>642</v>
      </c>
      <c r="G51" s="215"/>
      <c r="H51" s="908" t="s">
        <v>731</v>
      </c>
      <c r="I51" s="932" t="s">
        <v>1427</v>
      </c>
      <c r="J51" s="933" t="s">
        <v>1247</v>
      </c>
      <c r="K51" s="215"/>
      <c r="L51" s="967" t="s">
        <v>731</v>
      </c>
      <c r="M51" s="1067" t="s">
        <v>1477</v>
      </c>
      <c r="N51" s="215"/>
      <c r="O51" s="1028" t="s">
        <v>41</v>
      </c>
      <c r="P51" s="932" t="s">
        <v>1023</v>
      </c>
      <c r="Q51" s="132" t="s">
        <v>43</v>
      </c>
      <c r="R51" s="932" t="s">
        <v>1013</v>
      </c>
      <c r="S51" s="933"/>
      <c r="T51" s="215"/>
      <c r="U51" s="1036"/>
    </row>
    <row r="52" spans="1:21" ht="14.45" customHeight="1" x14ac:dyDescent="0.25">
      <c r="A52" s="908"/>
      <c r="B52" s="1001"/>
      <c r="C52" s="1001"/>
      <c r="D52" s="1001"/>
      <c r="E52" s="903"/>
      <c r="F52" s="1031"/>
      <c r="G52" s="215"/>
      <c r="H52" s="908"/>
      <c r="I52" s="932"/>
      <c r="J52" s="933"/>
      <c r="K52" s="215"/>
      <c r="L52" s="967"/>
      <c r="M52" s="1067"/>
      <c r="N52" s="215"/>
      <c r="O52" s="1028"/>
      <c r="P52" s="932"/>
      <c r="Q52" s="132" t="s">
        <v>45</v>
      </c>
      <c r="R52" s="932"/>
      <c r="S52" s="933"/>
      <c r="T52" s="215"/>
      <c r="U52" s="1037"/>
    </row>
    <row r="53" spans="1:21" ht="21" customHeight="1" x14ac:dyDescent="0.25">
      <c r="A53" s="908"/>
      <c r="B53" s="1001"/>
      <c r="C53" s="1001"/>
      <c r="D53" s="1001"/>
      <c r="E53" s="904"/>
      <c r="F53" s="1031"/>
      <c r="G53" s="215"/>
      <c r="H53" s="908"/>
      <c r="I53" s="932"/>
      <c r="J53" s="933"/>
      <c r="K53" s="215"/>
      <c r="L53" s="967"/>
      <c r="M53" s="1067"/>
      <c r="N53" s="215"/>
      <c r="O53" s="216" t="s">
        <v>678</v>
      </c>
      <c r="P53" s="133"/>
      <c r="Q53" s="132" t="s">
        <v>688</v>
      </c>
      <c r="R53" s="932"/>
      <c r="S53" s="933"/>
      <c r="T53" s="215"/>
      <c r="U53" s="1038"/>
    </row>
    <row r="54" spans="1:21" ht="14.45" customHeight="1" x14ac:dyDescent="0.25">
      <c r="A54" s="1018" t="s">
        <v>643</v>
      </c>
      <c r="B54" s="1019" t="s">
        <v>1308</v>
      </c>
      <c r="C54" s="1019" t="s">
        <v>644</v>
      </c>
      <c r="D54" s="1019" t="s">
        <v>39</v>
      </c>
      <c r="E54" s="905" t="s">
        <v>1024</v>
      </c>
      <c r="F54" s="1026" t="s">
        <v>645</v>
      </c>
      <c r="G54" s="210"/>
      <c r="H54" s="911" t="s">
        <v>1027</v>
      </c>
      <c r="I54" s="934" t="s">
        <v>644</v>
      </c>
      <c r="J54" s="959" t="s">
        <v>1566</v>
      </c>
      <c r="K54" s="210"/>
      <c r="L54" s="910" t="s">
        <v>1027</v>
      </c>
      <c r="M54" s="997" t="s">
        <v>1477</v>
      </c>
      <c r="N54" s="210"/>
      <c r="O54" s="1027" t="s">
        <v>41</v>
      </c>
      <c r="P54" s="1020" t="s">
        <v>1025</v>
      </c>
      <c r="Q54" s="232" t="s">
        <v>43</v>
      </c>
      <c r="R54" s="1020" t="s">
        <v>1026</v>
      </c>
      <c r="S54" s="1021"/>
      <c r="T54" s="210"/>
      <c r="U54" s="1033"/>
    </row>
    <row r="55" spans="1:21" ht="14.45" customHeight="1" x14ac:dyDescent="0.25">
      <c r="A55" s="1018"/>
      <c r="B55" s="1019"/>
      <c r="C55" s="1019"/>
      <c r="D55" s="1019"/>
      <c r="E55" s="906"/>
      <c r="F55" s="1026"/>
      <c r="G55" s="210"/>
      <c r="H55" s="911"/>
      <c r="I55" s="934"/>
      <c r="J55" s="959"/>
      <c r="K55" s="210"/>
      <c r="L55" s="910"/>
      <c r="M55" s="997"/>
      <c r="N55" s="210"/>
      <c r="O55" s="1027"/>
      <c r="P55" s="1020"/>
      <c r="Q55" s="232" t="s">
        <v>45</v>
      </c>
      <c r="R55" s="1020"/>
      <c r="S55" s="1021"/>
      <c r="T55" s="210"/>
      <c r="U55" s="1034"/>
    </row>
    <row r="56" spans="1:21" ht="60.75" customHeight="1" x14ac:dyDescent="0.25">
      <c r="A56" s="1018"/>
      <c r="B56" s="1019"/>
      <c r="C56" s="1019"/>
      <c r="D56" s="1019"/>
      <c r="E56" s="907"/>
      <c r="F56" s="1026"/>
      <c r="G56" s="210"/>
      <c r="H56" s="911"/>
      <c r="I56" s="934"/>
      <c r="J56" s="959"/>
      <c r="K56" s="210"/>
      <c r="L56" s="910"/>
      <c r="M56" s="997"/>
      <c r="N56" s="210"/>
      <c r="O56" s="236" t="s">
        <v>674</v>
      </c>
      <c r="P56" s="220" t="s">
        <v>25</v>
      </c>
      <c r="Q56" s="232" t="s">
        <v>1028</v>
      </c>
      <c r="R56" s="1020"/>
      <c r="S56" s="1021"/>
      <c r="T56" s="210"/>
      <c r="U56" s="1035"/>
    </row>
    <row r="57" spans="1:21" ht="14.45" customHeight="1" x14ac:dyDescent="0.25">
      <c r="A57" s="908" t="s">
        <v>646</v>
      </c>
      <c r="B57" s="1001" t="s">
        <v>1308</v>
      </c>
      <c r="C57" s="1001" t="s">
        <v>258</v>
      </c>
      <c r="D57" s="1001" t="s">
        <v>39</v>
      </c>
      <c r="E57" s="902" t="s">
        <v>1601</v>
      </c>
      <c r="F57" s="1031" t="s">
        <v>647</v>
      </c>
      <c r="G57" s="215"/>
      <c r="H57" s="908" t="s">
        <v>1032</v>
      </c>
      <c r="I57" s="932" t="s">
        <v>258</v>
      </c>
      <c r="J57" s="933" t="s">
        <v>1029</v>
      </c>
      <c r="K57" s="215"/>
      <c r="L57" s="967" t="s">
        <v>1032</v>
      </c>
      <c r="M57" s="1067" t="s">
        <v>1477</v>
      </c>
      <c r="N57" s="215"/>
      <c r="O57" s="1028" t="s">
        <v>41</v>
      </c>
      <c r="P57" s="1069" t="s">
        <v>1030</v>
      </c>
      <c r="Q57" s="132" t="s">
        <v>43</v>
      </c>
      <c r="R57" s="932" t="s">
        <v>1031</v>
      </c>
      <c r="S57" s="933"/>
      <c r="T57" s="215"/>
      <c r="U57" s="1036"/>
    </row>
    <row r="58" spans="1:21" ht="14.45" customHeight="1" x14ac:dyDescent="0.25">
      <c r="A58" s="908"/>
      <c r="B58" s="1001"/>
      <c r="C58" s="1001"/>
      <c r="D58" s="1001"/>
      <c r="E58" s="903"/>
      <c r="F58" s="1031"/>
      <c r="G58" s="215"/>
      <c r="H58" s="908"/>
      <c r="I58" s="932"/>
      <c r="J58" s="933"/>
      <c r="K58" s="215"/>
      <c r="L58" s="967"/>
      <c r="M58" s="1067"/>
      <c r="N58" s="215"/>
      <c r="O58" s="1028"/>
      <c r="P58" s="1069"/>
      <c r="Q58" s="132" t="s">
        <v>45</v>
      </c>
      <c r="R58" s="932"/>
      <c r="S58" s="933"/>
      <c r="T58" s="215"/>
      <c r="U58" s="1037"/>
    </row>
    <row r="59" spans="1:21" ht="52.5" customHeight="1" x14ac:dyDescent="0.25">
      <c r="A59" s="908"/>
      <c r="B59" s="1001"/>
      <c r="C59" s="1001"/>
      <c r="D59" s="1001"/>
      <c r="E59" s="904"/>
      <c r="F59" s="1031"/>
      <c r="G59" s="215"/>
      <c r="H59" s="908"/>
      <c r="I59" s="932"/>
      <c r="J59" s="933"/>
      <c r="K59" s="215"/>
      <c r="L59" s="967"/>
      <c r="M59" s="1067"/>
      <c r="N59" s="215"/>
      <c r="O59" s="216" t="s">
        <v>674</v>
      </c>
      <c r="P59" s="133" t="s">
        <v>25</v>
      </c>
      <c r="Q59" s="132" t="s">
        <v>835</v>
      </c>
      <c r="R59" s="932"/>
      <c r="S59" s="933"/>
      <c r="T59" s="215"/>
      <c r="U59" s="1038"/>
    </row>
    <row r="60" spans="1:21" ht="14.45" customHeight="1" x14ac:dyDescent="0.25">
      <c r="A60" s="1018" t="s">
        <v>648</v>
      </c>
      <c r="B60" s="1019" t="s">
        <v>1308</v>
      </c>
      <c r="C60" s="1019" t="s">
        <v>649</v>
      </c>
      <c r="D60" s="1019" t="s">
        <v>39</v>
      </c>
      <c r="E60" s="905" t="s">
        <v>1602</v>
      </c>
      <c r="F60" s="1026" t="s">
        <v>650</v>
      </c>
      <c r="G60" s="210"/>
      <c r="H60" s="911" t="s">
        <v>1034</v>
      </c>
      <c r="I60" s="934" t="s">
        <v>649</v>
      </c>
      <c r="J60" s="959" t="s">
        <v>1033</v>
      </c>
      <c r="K60" s="210"/>
      <c r="L60" s="910" t="s">
        <v>1034</v>
      </c>
      <c r="M60" s="997" t="s">
        <v>1477</v>
      </c>
      <c r="N60" s="210"/>
      <c r="O60" s="1027" t="s">
        <v>41</v>
      </c>
      <c r="P60" s="1020" t="s">
        <v>694</v>
      </c>
      <c r="Q60" s="232" t="s">
        <v>43</v>
      </c>
      <c r="R60" s="1020" t="s">
        <v>695</v>
      </c>
      <c r="S60" s="1021"/>
      <c r="T60" s="210"/>
      <c r="U60" s="1033"/>
    </row>
    <row r="61" spans="1:21" ht="14.45" customHeight="1" x14ac:dyDescent="0.25">
      <c r="A61" s="1018"/>
      <c r="B61" s="1019"/>
      <c r="C61" s="1019"/>
      <c r="D61" s="1019"/>
      <c r="E61" s="906"/>
      <c r="F61" s="1026"/>
      <c r="G61" s="210"/>
      <c r="H61" s="911"/>
      <c r="I61" s="934"/>
      <c r="J61" s="959"/>
      <c r="K61" s="210"/>
      <c r="L61" s="910"/>
      <c r="M61" s="997"/>
      <c r="N61" s="210"/>
      <c r="O61" s="1027"/>
      <c r="P61" s="1020"/>
      <c r="Q61" s="232" t="s">
        <v>45</v>
      </c>
      <c r="R61" s="1020"/>
      <c r="S61" s="1021"/>
      <c r="T61" s="210"/>
      <c r="U61" s="1034"/>
    </row>
    <row r="62" spans="1:21" ht="63.75" customHeight="1" x14ac:dyDescent="0.25">
      <c r="A62" s="1018"/>
      <c r="B62" s="1019"/>
      <c r="C62" s="1019"/>
      <c r="D62" s="1019"/>
      <c r="E62" s="907"/>
      <c r="F62" s="1026"/>
      <c r="G62" s="210"/>
      <c r="H62" s="911"/>
      <c r="I62" s="934"/>
      <c r="J62" s="959"/>
      <c r="K62" s="210"/>
      <c r="L62" s="910"/>
      <c r="M62" s="997"/>
      <c r="N62" s="210"/>
      <c r="O62" s="236" t="s">
        <v>670</v>
      </c>
      <c r="P62" s="220" t="s">
        <v>25</v>
      </c>
      <c r="Q62" s="232" t="s">
        <v>696</v>
      </c>
      <c r="R62" s="1020"/>
      <c r="S62" s="1021"/>
      <c r="T62" s="210"/>
      <c r="U62" s="1035"/>
    </row>
    <row r="63" spans="1:21" ht="14.45" customHeight="1" x14ac:dyDescent="0.25">
      <c r="A63" s="908" t="s">
        <v>651</v>
      </c>
      <c r="B63" s="1001" t="s">
        <v>1308</v>
      </c>
      <c r="C63" s="1001" t="s">
        <v>652</v>
      </c>
      <c r="D63" s="1001" t="s">
        <v>39</v>
      </c>
      <c r="E63" s="902" t="s">
        <v>939</v>
      </c>
      <c r="F63" s="1031" t="s">
        <v>653</v>
      </c>
      <c r="G63" s="215"/>
      <c r="H63" s="908" t="s">
        <v>1035</v>
      </c>
      <c r="I63" s="932" t="s">
        <v>652</v>
      </c>
      <c r="J63" s="933" t="s">
        <v>1567</v>
      </c>
      <c r="K63" s="215"/>
      <c r="L63" s="967" t="s">
        <v>1035</v>
      </c>
      <c r="M63" s="1067" t="s">
        <v>1477</v>
      </c>
      <c r="N63" s="215"/>
      <c r="O63" s="1028" t="s">
        <v>41</v>
      </c>
      <c r="P63" s="932" t="s">
        <v>694</v>
      </c>
      <c r="Q63" s="132" t="s">
        <v>43</v>
      </c>
      <c r="R63" s="932" t="s">
        <v>695</v>
      </c>
      <c r="S63" s="933"/>
      <c r="T63" s="215"/>
      <c r="U63" s="1036"/>
    </row>
    <row r="64" spans="1:21" ht="14.45" customHeight="1" x14ac:dyDescent="0.25">
      <c r="A64" s="908"/>
      <c r="B64" s="1001"/>
      <c r="C64" s="1001"/>
      <c r="D64" s="1001"/>
      <c r="E64" s="903"/>
      <c r="F64" s="1031"/>
      <c r="G64" s="215"/>
      <c r="H64" s="908"/>
      <c r="I64" s="932"/>
      <c r="J64" s="933"/>
      <c r="K64" s="215"/>
      <c r="L64" s="967"/>
      <c r="M64" s="1067"/>
      <c r="N64" s="215"/>
      <c r="O64" s="1028"/>
      <c r="P64" s="932"/>
      <c r="Q64" s="132" t="s">
        <v>45</v>
      </c>
      <c r="R64" s="932"/>
      <c r="S64" s="933"/>
      <c r="T64" s="215"/>
      <c r="U64" s="1037"/>
    </row>
    <row r="65" spans="1:21" ht="14.45" customHeight="1" x14ac:dyDescent="0.25">
      <c r="A65" s="908"/>
      <c r="B65" s="1001"/>
      <c r="C65" s="1001"/>
      <c r="D65" s="1001"/>
      <c r="E65" s="904"/>
      <c r="F65" s="1031"/>
      <c r="G65" s="215"/>
      <c r="H65" s="908"/>
      <c r="I65" s="932"/>
      <c r="J65" s="933"/>
      <c r="K65" s="215"/>
      <c r="L65" s="967"/>
      <c r="M65" s="1067"/>
      <c r="N65" s="215"/>
      <c r="O65" s="287" t="s">
        <v>670</v>
      </c>
      <c r="P65" s="136" t="s">
        <v>25</v>
      </c>
      <c r="Q65" s="132" t="s">
        <v>696</v>
      </c>
      <c r="R65" s="932"/>
      <c r="S65" s="933"/>
      <c r="T65" s="215"/>
      <c r="U65" s="1038"/>
    </row>
    <row r="66" spans="1:21" ht="32.1" customHeight="1" x14ac:dyDescent="0.25">
      <c r="A66" s="125" t="s">
        <v>654</v>
      </c>
      <c r="B66" s="126" t="s">
        <v>1308</v>
      </c>
      <c r="C66" s="126" t="s">
        <v>655</v>
      </c>
      <c r="D66" s="126" t="s">
        <v>39</v>
      </c>
      <c r="E66" s="411" t="s">
        <v>1036</v>
      </c>
      <c r="F66" s="235" t="s">
        <v>656</v>
      </c>
      <c r="G66" s="210"/>
      <c r="H66" s="389" t="s">
        <v>1039</v>
      </c>
      <c r="I66" s="457" t="s">
        <v>655</v>
      </c>
      <c r="J66" s="464" t="s">
        <v>1568</v>
      </c>
      <c r="K66" s="210"/>
      <c r="L66" s="618" t="s">
        <v>1039</v>
      </c>
      <c r="M66" s="620" t="s">
        <v>1477</v>
      </c>
      <c r="N66" s="210"/>
      <c r="O66" s="236" t="s">
        <v>670</v>
      </c>
      <c r="P66" s="220" t="s">
        <v>25</v>
      </c>
      <c r="Q66" s="232" t="s">
        <v>1037</v>
      </c>
      <c r="R66" s="220" t="s">
        <v>1038</v>
      </c>
      <c r="S66" s="221"/>
      <c r="T66" s="210"/>
      <c r="U66" s="146"/>
    </row>
    <row r="67" spans="1:21" ht="14.45" customHeight="1" x14ac:dyDescent="0.25">
      <c r="A67" s="908" t="s">
        <v>657</v>
      </c>
      <c r="B67" s="1001" t="s">
        <v>1303</v>
      </c>
      <c r="C67" s="1001" t="s">
        <v>658</v>
      </c>
      <c r="D67" s="1001" t="s">
        <v>39</v>
      </c>
      <c r="E67" s="902" t="s">
        <v>1603</v>
      </c>
      <c r="F67" s="1031" t="s">
        <v>659</v>
      </c>
      <c r="G67" s="215"/>
      <c r="H67" s="908" t="s">
        <v>750</v>
      </c>
      <c r="I67" s="932" t="s">
        <v>1453</v>
      </c>
      <c r="J67" s="933" t="s">
        <v>1454</v>
      </c>
      <c r="K67" s="215"/>
      <c r="L67" s="967" t="s">
        <v>750</v>
      </c>
      <c r="M67" s="1067" t="s">
        <v>1477</v>
      </c>
      <c r="N67" s="215"/>
      <c r="O67" s="1028" t="s">
        <v>41</v>
      </c>
      <c r="P67" s="932" t="s">
        <v>697</v>
      </c>
      <c r="Q67" s="132" t="s">
        <v>43</v>
      </c>
      <c r="R67" s="932" t="s">
        <v>698</v>
      </c>
      <c r="S67" s="933"/>
      <c r="T67" s="215"/>
      <c r="U67" s="1036"/>
    </row>
    <row r="68" spans="1:21" ht="14.45" customHeight="1" x14ac:dyDescent="0.25">
      <c r="A68" s="908"/>
      <c r="B68" s="1001"/>
      <c r="C68" s="1001"/>
      <c r="D68" s="1001"/>
      <c r="E68" s="903"/>
      <c r="F68" s="1031"/>
      <c r="G68" s="215"/>
      <c r="H68" s="908"/>
      <c r="I68" s="932"/>
      <c r="J68" s="933"/>
      <c r="K68" s="215"/>
      <c r="L68" s="967"/>
      <c r="M68" s="1067"/>
      <c r="N68" s="215"/>
      <c r="O68" s="1028"/>
      <c r="P68" s="932"/>
      <c r="Q68" s="132" t="s">
        <v>45</v>
      </c>
      <c r="R68" s="932"/>
      <c r="S68" s="933"/>
      <c r="T68" s="215"/>
      <c r="U68" s="1037"/>
    </row>
    <row r="69" spans="1:21" ht="52.5" customHeight="1" x14ac:dyDescent="0.25">
      <c r="A69" s="908"/>
      <c r="B69" s="1001"/>
      <c r="C69" s="1001"/>
      <c r="D69" s="1001"/>
      <c r="E69" s="904"/>
      <c r="F69" s="1031"/>
      <c r="G69" s="215"/>
      <c r="H69" s="908"/>
      <c r="I69" s="932"/>
      <c r="J69" s="933"/>
      <c r="K69" s="215"/>
      <c r="L69" s="967"/>
      <c r="M69" s="1067"/>
      <c r="N69" s="215"/>
      <c r="O69" s="216" t="s">
        <v>55</v>
      </c>
      <c r="P69" s="133" t="s">
        <v>25</v>
      </c>
      <c r="Q69" s="132" t="s">
        <v>699</v>
      </c>
      <c r="R69" s="932"/>
      <c r="S69" s="933"/>
      <c r="T69" s="215"/>
      <c r="U69" s="1038"/>
    </row>
    <row r="70" spans="1:21" ht="86.25" customHeight="1" x14ac:dyDescent="0.25">
      <c r="A70" s="125" t="s">
        <v>660</v>
      </c>
      <c r="B70" s="126" t="s">
        <v>1303</v>
      </c>
      <c r="C70" s="126" t="s">
        <v>261</v>
      </c>
      <c r="D70" s="126" t="s">
        <v>39</v>
      </c>
      <c r="E70" s="149" t="s">
        <v>1604</v>
      </c>
      <c r="F70" s="235" t="s">
        <v>661</v>
      </c>
      <c r="G70" s="210"/>
      <c r="H70" s="389" t="s">
        <v>755</v>
      </c>
      <c r="I70" s="457" t="s">
        <v>1462</v>
      </c>
      <c r="J70" s="458" t="s">
        <v>1463</v>
      </c>
      <c r="K70" s="210"/>
      <c r="L70" s="618" t="s">
        <v>755</v>
      </c>
      <c r="M70" s="620" t="s">
        <v>1477</v>
      </c>
      <c r="N70" s="210"/>
      <c r="O70" s="236" t="s">
        <v>792</v>
      </c>
      <c r="P70" s="220" t="s">
        <v>25</v>
      </c>
      <c r="Q70" s="232" t="s">
        <v>828</v>
      </c>
      <c r="R70" s="220" t="s">
        <v>1040</v>
      </c>
      <c r="S70" s="221"/>
      <c r="T70" s="210"/>
      <c r="U70" s="146"/>
    </row>
    <row r="71" spans="1:21" ht="14.45" customHeight="1" x14ac:dyDescent="0.25">
      <c r="A71" s="908" t="s">
        <v>662</v>
      </c>
      <c r="B71" s="1001" t="s">
        <v>1303</v>
      </c>
      <c r="C71" s="1001" t="s">
        <v>663</v>
      </c>
      <c r="D71" s="1001" t="s">
        <v>39</v>
      </c>
      <c r="E71" s="902" t="s">
        <v>1605</v>
      </c>
      <c r="F71" s="1031" t="s">
        <v>664</v>
      </c>
      <c r="G71" s="215"/>
      <c r="H71" s="908" t="s">
        <v>1041</v>
      </c>
      <c r="I71" s="932" t="s">
        <v>663</v>
      </c>
      <c r="J71" s="933" t="s">
        <v>1569</v>
      </c>
      <c r="K71" s="215"/>
      <c r="L71" s="967" t="s">
        <v>1041</v>
      </c>
      <c r="M71" s="1067" t="s">
        <v>1477</v>
      </c>
      <c r="N71" s="215"/>
      <c r="O71" s="1028" t="s">
        <v>41</v>
      </c>
      <c r="P71" s="932" t="s">
        <v>701</v>
      </c>
      <c r="Q71" s="132" t="s">
        <v>43</v>
      </c>
      <c r="R71" s="932" t="s">
        <v>698</v>
      </c>
      <c r="S71" s="933"/>
      <c r="T71" s="215"/>
      <c r="U71" s="1036"/>
    </row>
    <row r="72" spans="1:21" ht="14.45" customHeight="1" x14ac:dyDescent="0.25">
      <c r="A72" s="908"/>
      <c r="B72" s="1001"/>
      <c r="C72" s="1001"/>
      <c r="D72" s="1001"/>
      <c r="E72" s="903"/>
      <c r="F72" s="1031"/>
      <c r="G72" s="215"/>
      <c r="H72" s="908"/>
      <c r="I72" s="932"/>
      <c r="J72" s="933"/>
      <c r="K72" s="215"/>
      <c r="L72" s="967"/>
      <c r="M72" s="1067"/>
      <c r="N72" s="215"/>
      <c r="O72" s="1028"/>
      <c r="P72" s="932"/>
      <c r="Q72" s="132" t="s">
        <v>45</v>
      </c>
      <c r="R72" s="932"/>
      <c r="S72" s="933"/>
      <c r="T72" s="215"/>
      <c r="U72" s="1037"/>
    </row>
    <row r="73" spans="1:21" ht="41.25" customHeight="1" x14ac:dyDescent="0.25">
      <c r="A73" s="908"/>
      <c r="B73" s="1001"/>
      <c r="C73" s="1001"/>
      <c r="D73" s="1001"/>
      <c r="E73" s="904"/>
      <c r="F73" s="1031"/>
      <c r="G73" s="215"/>
      <c r="H73" s="908"/>
      <c r="I73" s="932"/>
      <c r="J73" s="933"/>
      <c r="K73" s="215"/>
      <c r="L73" s="967"/>
      <c r="M73" s="1067"/>
      <c r="N73" s="215"/>
      <c r="O73" s="216" t="s">
        <v>55</v>
      </c>
      <c r="P73" s="133" t="s">
        <v>25</v>
      </c>
      <c r="Q73" s="132" t="s">
        <v>699</v>
      </c>
      <c r="R73" s="932"/>
      <c r="S73" s="933"/>
      <c r="T73" s="215"/>
      <c r="U73" s="1038"/>
    </row>
    <row r="74" spans="1:21" ht="33.6" customHeight="1" x14ac:dyDescent="0.25">
      <c r="A74" s="125" t="s">
        <v>665</v>
      </c>
      <c r="B74" s="126" t="s">
        <v>897</v>
      </c>
      <c r="C74" s="126" t="s">
        <v>551</v>
      </c>
      <c r="D74" s="126" t="s">
        <v>22</v>
      </c>
      <c r="E74" s="149" t="s">
        <v>1042</v>
      </c>
      <c r="F74" s="235" t="s">
        <v>666</v>
      </c>
      <c r="G74" s="210"/>
      <c r="H74" s="389" t="s">
        <v>1044</v>
      </c>
      <c r="I74" s="457" t="s">
        <v>551</v>
      </c>
      <c r="J74" s="464" t="s">
        <v>1570</v>
      </c>
      <c r="K74" s="210"/>
      <c r="L74" s="622" t="s">
        <v>1044</v>
      </c>
      <c r="M74" s="623" t="s">
        <v>1476</v>
      </c>
      <c r="N74" s="210"/>
      <c r="O74" s="236" t="s">
        <v>674</v>
      </c>
      <c r="P74" s="220" t="s">
        <v>25</v>
      </c>
      <c r="Q74" s="232" t="s">
        <v>1043</v>
      </c>
      <c r="R74" s="220" t="s">
        <v>35</v>
      </c>
      <c r="S74" s="221"/>
      <c r="T74" s="210"/>
      <c r="U74" s="146"/>
    </row>
    <row r="75" spans="1:21" x14ac:dyDescent="0.25">
      <c r="A75" s="908" t="s">
        <v>57</v>
      </c>
      <c r="B75" s="1001" t="s">
        <v>897</v>
      </c>
      <c r="C75" s="1001" t="s">
        <v>58</v>
      </c>
      <c r="D75" s="1001" t="s">
        <v>126</v>
      </c>
      <c r="E75" s="902" t="s">
        <v>940</v>
      </c>
      <c r="F75" s="1031" t="s">
        <v>553</v>
      </c>
      <c r="G75" s="215"/>
      <c r="H75" s="908" t="s">
        <v>1499</v>
      </c>
      <c r="I75" s="932" t="s">
        <v>1578</v>
      </c>
      <c r="J75" s="933" t="s">
        <v>1579</v>
      </c>
      <c r="K75" s="215"/>
      <c r="L75" s="967" t="s">
        <v>1499</v>
      </c>
      <c r="M75" s="1067" t="s">
        <v>1476</v>
      </c>
      <c r="N75" s="215"/>
      <c r="O75" s="1028" t="s">
        <v>46</v>
      </c>
      <c r="P75" s="932" t="s">
        <v>47</v>
      </c>
      <c r="Q75" s="132" t="s">
        <v>61</v>
      </c>
      <c r="R75" s="932" t="s">
        <v>62</v>
      </c>
      <c r="S75" s="933" t="s">
        <v>63</v>
      </c>
      <c r="T75" s="215"/>
      <c r="U75" s="1048"/>
    </row>
    <row r="76" spans="1:21" x14ac:dyDescent="0.25">
      <c r="A76" s="908"/>
      <c r="B76" s="1001"/>
      <c r="C76" s="1001"/>
      <c r="D76" s="1001"/>
      <c r="E76" s="903"/>
      <c r="F76" s="1031"/>
      <c r="G76" s="215"/>
      <c r="H76" s="908"/>
      <c r="I76" s="932"/>
      <c r="J76" s="933"/>
      <c r="K76" s="215"/>
      <c r="L76" s="967"/>
      <c r="M76" s="1067"/>
      <c r="N76" s="215"/>
      <c r="O76" s="1028"/>
      <c r="P76" s="932"/>
      <c r="Q76" s="132" t="s">
        <v>65</v>
      </c>
      <c r="R76" s="932"/>
      <c r="S76" s="933"/>
      <c r="T76" s="215"/>
      <c r="U76" s="1048"/>
    </row>
    <row r="77" spans="1:21" ht="15.75" thickBot="1" x14ac:dyDescent="0.3">
      <c r="A77" s="1074"/>
      <c r="B77" s="1076"/>
      <c r="C77" s="1076"/>
      <c r="D77" s="1076"/>
      <c r="E77" s="1077"/>
      <c r="F77" s="1073"/>
      <c r="G77" s="215"/>
      <c r="H77" s="1074"/>
      <c r="I77" s="1064"/>
      <c r="J77" s="1065"/>
      <c r="K77" s="215"/>
      <c r="L77" s="1075"/>
      <c r="M77" s="1068"/>
      <c r="N77" s="215"/>
      <c r="O77" s="1066"/>
      <c r="P77" s="1064"/>
      <c r="Q77" s="139" t="s">
        <v>66</v>
      </c>
      <c r="R77" s="1064"/>
      <c r="S77" s="1065"/>
      <c r="T77" s="215"/>
      <c r="U77" s="1048"/>
    </row>
  </sheetData>
  <autoFilter ref="A2:U77"/>
  <mergeCells count="273">
    <mergeCell ref="F75:F77"/>
    <mergeCell ref="H75:H77"/>
    <mergeCell ref="L75:L77"/>
    <mergeCell ref="A75:A77"/>
    <mergeCell ref="B75:B77"/>
    <mergeCell ref="C75:C77"/>
    <mergeCell ref="D75:D77"/>
    <mergeCell ref="E75:E77"/>
    <mergeCell ref="A71:A73"/>
    <mergeCell ref="B71:B73"/>
    <mergeCell ref="C71:C73"/>
    <mergeCell ref="D71:D73"/>
    <mergeCell ref="E71:E73"/>
    <mergeCell ref="F71:F73"/>
    <mergeCell ref="I71:I73"/>
    <mergeCell ref="J71:J73"/>
    <mergeCell ref="I75:I77"/>
    <mergeCell ref="J75:J77"/>
    <mergeCell ref="F63:F65"/>
    <mergeCell ref="L63:L65"/>
    <mergeCell ref="F60:F62"/>
    <mergeCell ref="L71:L73"/>
    <mergeCell ref="F67:F69"/>
    <mergeCell ref="L67:L69"/>
    <mergeCell ref="H67:H69"/>
    <mergeCell ref="O67:O68"/>
    <mergeCell ref="P67:P68"/>
    <mergeCell ref="I60:I62"/>
    <mergeCell ref="J60:J62"/>
    <mergeCell ref="I63:I65"/>
    <mergeCell ref="J63:J65"/>
    <mergeCell ref="I67:I69"/>
    <mergeCell ref="J67:J69"/>
    <mergeCell ref="M60:M62"/>
    <mergeCell ref="M63:M65"/>
    <mergeCell ref="M67:M69"/>
    <mergeCell ref="M71:M73"/>
    <mergeCell ref="A67:A69"/>
    <mergeCell ref="B67:B69"/>
    <mergeCell ref="C67:C69"/>
    <mergeCell ref="D67:D69"/>
    <mergeCell ref="E67:E69"/>
    <mergeCell ref="A63:A65"/>
    <mergeCell ref="B63:B65"/>
    <mergeCell ref="C63:C65"/>
    <mergeCell ref="D63:D65"/>
    <mergeCell ref="E63:E65"/>
    <mergeCell ref="A60:A62"/>
    <mergeCell ref="B60:B62"/>
    <mergeCell ref="C60:C62"/>
    <mergeCell ref="D60:D62"/>
    <mergeCell ref="E60:E62"/>
    <mergeCell ref="H54:H56"/>
    <mergeCell ref="O54:O55"/>
    <mergeCell ref="P54:P55"/>
    <mergeCell ref="H60:H62"/>
    <mergeCell ref="O60:O61"/>
    <mergeCell ref="P60:P61"/>
    <mergeCell ref="A57:A59"/>
    <mergeCell ref="B57:B59"/>
    <mergeCell ref="C57:C59"/>
    <mergeCell ref="D57:D59"/>
    <mergeCell ref="E57:E59"/>
    <mergeCell ref="F57:F59"/>
    <mergeCell ref="L57:L59"/>
    <mergeCell ref="F54:F56"/>
    <mergeCell ref="L54:L56"/>
    <mergeCell ref="A54:A56"/>
    <mergeCell ref="B54:B56"/>
    <mergeCell ref="C54:C56"/>
    <mergeCell ref="D54:D56"/>
    <mergeCell ref="E54:E56"/>
    <mergeCell ref="A51:A53"/>
    <mergeCell ref="B51:B53"/>
    <mergeCell ref="C51:C53"/>
    <mergeCell ref="D51:D53"/>
    <mergeCell ref="E51:E53"/>
    <mergeCell ref="F51:F53"/>
    <mergeCell ref="L51:L53"/>
    <mergeCell ref="F45:F47"/>
    <mergeCell ref="L45:L47"/>
    <mergeCell ref="A45:A47"/>
    <mergeCell ref="B45:B47"/>
    <mergeCell ref="C45:C47"/>
    <mergeCell ref="D45:D47"/>
    <mergeCell ref="E45:E47"/>
    <mergeCell ref="H45:H47"/>
    <mergeCell ref="I45:I47"/>
    <mergeCell ref="J45:J47"/>
    <mergeCell ref="I51:I53"/>
    <mergeCell ref="J51:J53"/>
    <mergeCell ref="I54:I56"/>
    <mergeCell ref="J54:J56"/>
    <mergeCell ref="F41:F43"/>
    <mergeCell ref="H41:H43"/>
    <mergeCell ref="F24:F26"/>
    <mergeCell ref="L24:L26"/>
    <mergeCell ref="L33:L35"/>
    <mergeCell ref="L27:L29"/>
    <mergeCell ref="L38:L40"/>
    <mergeCell ref="H27:H29"/>
    <mergeCell ref="H38:H40"/>
    <mergeCell ref="F33:F35"/>
    <mergeCell ref="F27:F29"/>
    <mergeCell ref="F38:F40"/>
    <mergeCell ref="I24:I26"/>
    <mergeCell ref="J24:J26"/>
    <mergeCell ref="I27:I29"/>
    <mergeCell ref="J27:J29"/>
    <mergeCell ref="I33:I35"/>
    <mergeCell ref="J33:J35"/>
    <mergeCell ref="I38:I40"/>
    <mergeCell ref="J38:J40"/>
    <mergeCell ref="I41:I43"/>
    <mergeCell ref="J41:J43"/>
    <mergeCell ref="A41:A43"/>
    <mergeCell ref="B41:B43"/>
    <mergeCell ref="C41:C43"/>
    <mergeCell ref="D41:D43"/>
    <mergeCell ref="E41:E43"/>
    <mergeCell ref="A38:A40"/>
    <mergeCell ref="A27:A29"/>
    <mergeCell ref="B27:B29"/>
    <mergeCell ref="C27:C29"/>
    <mergeCell ref="D27:D29"/>
    <mergeCell ref="E27:E29"/>
    <mergeCell ref="B38:B40"/>
    <mergeCell ref="C38:C40"/>
    <mergeCell ref="D38:D40"/>
    <mergeCell ref="E38:E40"/>
    <mergeCell ref="A33:A35"/>
    <mergeCell ref="B33:B35"/>
    <mergeCell ref="C33:C35"/>
    <mergeCell ref="D33:D35"/>
    <mergeCell ref="E33:E35"/>
    <mergeCell ref="A24:A26"/>
    <mergeCell ref="B24:B26"/>
    <mergeCell ref="C24:C26"/>
    <mergeCell ref="D24:D26"/>
    <mergeCell ref="E24:E26"/>
    <mergeCell ref="O3:O6"/>
    <mergeCell ref="H21:H23"/>
    <mergeCell ref="O21:O22"/>
    <mergeCell ref="F21:F23"/>
    <mergeCell ref="H3:H6"/>
    <mergeCell ref="L3:L6"/>
    <mergeCell ref="L21:L23"/>
    <mergeCell ref="A21:A23"/>
    <mergeCell ref="B21:B23"/>
    <mergeCell ref="C21:C23"/>
    <mergeCell ref="D21:D23"/>
    <mergeCell ref="E21:E23"/>
    <mergeCell ref="C3:C6"/>
    <mergeCell ref="D3:D6"/>
    <mergeCell ref="E3:E6"/>
    <mergeCell ref="F3:F6"/>
    <mergeCell ref="I3:I6"/>
    <mergeCell ref="J3:J6"/>
    <mergeCell ref="I18:I20"/>
    <mergeCell ref="A1:T1"/>
    <mergeCell ref="R3:R6"/>
    <mergeCell ref="S3:S6"/>
    <mergeCell ref="U3:U6"/>
    <mergeCell ref="H18:H20"/>
    <mergeCell ref="O18:O19"/>
    <mergeCell ref="P18:P19"/>
    <mergeCell ref="R18:R20"/>
    <mergeCell ref="S18:S20"/>
    <mergeCell ref="U18:U20"/>
    <mergeCell ref="P3:P6"/>
    <mergeCell ref="A18:A20"/>
    <mergeCell ref="B18:B20"/>
    <mergeCell ref="C18:C20"/>
    <mergeCell ref="D18:D20"/>
    <mergeCell ref="E18:E20"/>
    <mergeCell ref="F18:F20"/>
    <mergeCell ref="L18:L20"/>
    <mergeCell ref="A3:A6"/>
    <mergeCell ref="B3:B6"/>
    <mergeCell ref="J18:J20"/>
    <mergeCell ref="M3:M6"/>
    <mergeCell ref="M18:M20"/>
    <mergeCell ref="P21:P22"/>
    <mergeCell ref="R21:R23"/>
    <mergeCell ref="S21:S23"/>
    <mergeCell ref="U21:U23"/>
    <mergeCell ref="H24:H26"/>
    <mergeCell ref="O24:O25"/>
    <mergeCell ref="P24:P25"/>
    <mergeCell ref="R24:R26"/>
    <mergeCell ref="S24:S26"/>
    <mergeCell ref="U24:U26"/>
    <mergeCell ref="I21:I23"/>
    <mergeCell ref="J21:J23"/>
    <mergeCell ref="M21:M23"/>
    <mergeCell ref="M24:M26"/>
    <mergeCell ref="O27:O28"/>
    <mergeCell ref="P27:P28"/>
    <mergeCell ref="R27:R29"/>
    <mergeCell ref="S27:S29"/>
    <mergeCell ref="U27:U29"/>
    <mergeCell ref="H33:H35"/>
    <mergeCell ref="O33:O34"/>
    <mergeCell ref="P33:P34"/>
    <mergeCell ref="R33:R35"/>
    <mergeCell ref="S33:S35"/>
    <mergeCell ref="U33:U35"/>
    <mergeCell ref="M27:M29"/>
    <mergeCell ref="M33:M35"/>
    <mergeCell ref="O38:O39"/>
    <mergeCell ref="P38:P39"/>
    <mergeCell ref="R38:R40"/>
    <mergeCell ref="S38:S40"/>
    <mergeCell ref="U38:U40"/>
    <mergeCell ref="R41:R43"/>
    <mergeCell ref="S41:S43"/>
    <mergeCell ref="U41:U43"/>
    <mergeCell ref="L41:L43"/>
    <mergeCell ref="O41:O43"/>
    <mergeCell ref="P41:P43"/>
    <mergeCell ref="M38:M40"/>
    <mergeCell ref="M41:M43"/>
    <mergeCell ref="O45:O46"/>
    <mergeCell ref="P45:P46"/>
    <mergeCell ref="R45:R47"/>
    <mergeCell ref="S45:S47"/>
    <mergeCell ref="U45:U47"/>
    <mergeCell ref="H51:H53"/>
    <mergeCell ref="O51:O52"/>
    <mergeCell ref="P51:P52"/>
    <mergeCell ref="R51:R53"/>
    <mergeCell ref="S51:S53"/>
    <mergeCell ref="U51:U53"/>
    <mergeCell ref="M45:M47"/>
    <mergeCell ref="M51:M53"/>
    <mergeCell ref="R54:R56"/>
    <mergeCell ref="S54:S56"/>
    <mergeCell ref="U54:U56"/>
    <mergeCell ref="H57:H59"/>
    <mergeCell ref="O57:O58"/>
    <mergeCell ref="P57:P58"/>
    <mergeCell ref="R57:R59"/>
    <mergeCell ref="S57:S59"/>
    <mergeCell ref="U57:U59"/>
    <mergeCell ref="I57:I59"/>
    <mergeCell ref="J57:J59"/>
    <mergeCell ref="M54:M56"/>
    <mergeCell ref="M57:M59"/>
    <mergeCell ref="R60:R62"/>
    <mergeCell ref="S60:S62"/>
    <mergeCell ref="U60:U62"/>
    <mergeCell ref="H63:H65"/>
    <mergeCell ref="O63:O64"/>
    <mergeCell ref="P63:P64"/>
    <mergeCell ref="R63:R65"/>
    <mergeCell ref="S63:S65"/>
    <mergeCell ref="U63:U65"/>
    <mergeCell ref="L60:L62"/>
    <mergeCell ref="R75:R77"/>
    <mergeCell ref="S75:S77"/>
    <mergeCell ref="U75:U77"/>
    <mergeCell ref="R67:R69"/>
    <mergeCell ref="S67:S69"/>
    <mergeCell ref="U67:U69"/>
    <mergeCell ref="H71:H73"/>
    <mergeCell ref="O71:O72"/>
    <mergeCell ref="P71:P72"/>
    <mergeCell ref="R71:R73"/>
    <mergeCell ref="S71:S73"/>
    <mergeCell ref="U71:U73"/>
    <mergeCell ref="O75:O77"/>
    <mergeCell ref="P75:P77"/>
    <mergeCell ref="M75:M77"/>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M3:M77</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167.85546875" customWidth="1"/>
  </cols>
  <sheetData>
    <row r="1" spans="1:1" ht="124.5" thickBot="1" x14ac:dyDescent="0.3">
      <c r="A1" s="1" t="s">
        <v>1310</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4"/>
  <sheetViews>
    <sheetView zoomScale="70" zoomScaleNormal="70" workbookViewId="0">
      <pane xSplit="6" ySplit="2" topLeftCell="J3" activePane="bottomRight" state="frozen"/>
      <selection pane="topRight" activeCell="G1" sqref="G1"/>
      <selection pane="bottomLeft" activeCell="A3" sqref="A3"/>
      <selection pane="bottomRight" activeCell="M11" sqref="M11"/>
    </sheetView>
  </sheetViews>
  <sheetFormatPr defaultRowHeight="15" x14ac:dyDescent="0.25"/>
  <cols>
    <col min="1" max="1" width="6.28515625" customWidth="1"/>
    <col min="2" max="2" width="12.85546875" customWidth="1"/>
    <col min="3" max="3" width="24.42578125" bestFit="1" customWidth="1"/>
    <col min="4" max="4" width="13" customWidth="1"/>
    <col min="5" max="5" width="47.7109375" style="6" customWidth="1"/>
    <col min="6" max="6" width="0" style="11" hidden="1" customWidth="1"/>
    <col min="7" max="7" width="4.140625" style="11" customWidth="1"/>
    <col min="8" max="8" width="37.28515625" bestFit="1" customWidth="1"/>
    <col min="9" max="9" width="18.28515625" bestFit="1" customWidth="1"/>
    <col min="10" max="10" width="30.5703125" bestFit="1" customWidth="1"/>
    <col min="11" max="11" width="4" customWidth="1"/>
    <col min="12" max="13" width="52.42578125" customWidth="1"/>
    <col min="14" max="14" width="4" customWidth="1"/>
    <col min="15" max="15" width="36" bestFit="1" customWidth="1"/>
    <col min="16" max="16" width="27.5703125" customWidth="1"/>
    <col min="17" max="17" width="35.28515625" bestFit="1" customWidth="1"/>
    <col min="18" max="18" width="75.28515625" customWidth="1"/>
    <col min="19" max="19" width="52.42578125" customWidth="1"/>
    <col min="20" max="20" width="0" hidden="1" customWidth="1"/>
  </cols>
  <sheetData>
    <row r="1" spans="1:20" s="3" customFormat="1" ht="17.45" customHeight="1" thickBot="1" x14ac:dyDescent="0.3">
      <c r="A1" s="703" t="s">
        <v>667</v>
      </c>
      <c r="B1" s="704"/>
      <c r="C1" s="704"/>
      <c r="D1" s="704"/>
      <c r="E1" s="704"/>
      <c r="F1" s="704"/>
      <c r="G1" s="704"/>
      <c r="H1" s="704"/>
      <c r="I1" s="704"/>
      <c r="J1" s="704"/>
      <c r="K1" s="704"/>
      <c r="L1" s="704"/>
      <c r="M1" s="704"/>
      <c r="N1" s="704"/>
      <c r="O1" s="704"/>
      <c r="P1" s="704"/>
      <c r="Q1" s="704"/>
      <c r="R1" s="704"/>
      <c r="S1" s="704"/>
      <c r="T1" s="706"/>
    </row>
    <row r="2" spans="1:20" s="5" customFormat="1" ht="15.75" thickBot="1" x14ac:dyDescent="0.3">
      <c r="A2" s="246" t="s">
        <v>10</v>
      </c>
      <c r="B2" s="247" t="s">
        <v>11</v>
      </c>
      <c r="C2" s="247" t="s">
        <v>12</v>
      </c>
      <c r="D2" s="247" t="s">
        <v>13</v>
      </c>
      <c r="E2" s="248" t="s">
        <v>14</v>
      </c>
      <c r="F2" s="227" t="s">
        <v>941</v>
      </c>
      <c r="G2" s="28"/>
      <c r="H2" s="318" t="s">
        <v>725</v>
      </c>
      <c r="I2" s="319" t="s">
        <v>1412</v>
      </c>
      <c r="J2" s="320" t="s">
        <v>1411</v>
      </c>
      <c r="K2" s="183"/>
      <c r="L2" s="429" t="s">
        <v>87</v>
      </c>
      <c r="M2" s="430" t="s">
        <v>1475</v>
      </c>
      <c r="N2" s="28"/>
      <c r="O2" s="283" t="s">
        <v>15</v>
      </c>
      <c r="P2" s="229" t="s">
        <v>16</v>
      </c>
      <c r="Q2" s="230" t="s">
        <v>17</v>
      </c>
      <c r="R2" s="230" t="s">
        <v>18</v>
      </c>
      <c r="S2" s="284" t="s">
        <v>19</v>
      </c>
      <c r="T2" s="28"/>
    </row>
    <row r="3" spans="1:20" ht="14.45" customHeight="1" x14ac:dyDescent="0.25">
      <c r="A3" s="972" t="s">
        <v>555</v>
      </c>
      <c r="B3" s="973" t="s">
        <v>1307</v>
      </c>
      <c r="C3" s="973" t="s">
        <v>556</v>
      </c>
      <c r="D3" s="973" t="s">
        <v>126</v>
      </c>
      <c r="E3" s="974" t="s">
        <v>924</v>
      </c>
      <c r="F3" s="692" t="s">
        <v>668</v>
      </c>
      <c r="G3" s="29"/>
      <c r="H3" s="1118" t="s">
        <v>739</v>
      </c>
      <c r="I3" s="1120"/>
      <c r="J3" s="1121"/>
      <c r="K3" s="29"/>
      <c r="L3" s="1142"/>
      <c r="M3" s="1140" t="s">
        <v>1484</v>
      </c>
      <c r="N3" s="29"/>
      <c r="O3" s="1108" t="s">
        <v>24</v>
      </c>
      <c r="P3" s="1110" t="s">
        <v>25</v>
      </c>
      <c r="Q3" s="54" t="s">
        <v>26</v>
      </c>
      <c r="R3" s="826" t="s">
        <v>27</v>
      </c>
      <c r="S3" s="1105"/>
      <c r="T3" s="29"/>
    </row>
    <row r="4" spans="1:20" ht="14.45" customHeight="1" x14ac:dyDescent="0.25">
      <c r="A4" s="683"/>
      <c r="B4" s="681"/>
      <c r="C4" s="681"/>
      <c r="D4" s="681"/>
      <c r="E4" s="764"/>
      <c r="F4" s="1117"/>
      <c r="G4" s="29"/>
      <c r="H4" s="637"/>
      <c r="I4" s="726"/>
      <c r="J4" s="728"/>
      <c r="K4" s="29"/>
      <c r="L4" s="1119"/>
      <c r="M4" s="752"/>
      <c r="N4" s="29"/>
      <c r="O4" s="1115"/>
      <c r="P4" s="1116"/>
      <c r="Q4" s="54" t="s">
        <v>28</v>
      </c>
      <c r="R4" s="827"/>
      <c r="S4" s="1106"/>
      <c r="T4" s="29"/>
    </row>
    <row r="5" spans="1:20" ht="14.45" customHeight="1" x14ac:dyDescent="0.25">
      <c r="A5" s="683"/>
      <c r="B5" s="681"/>
      <c r="C5" s="681"/>
      <c r="D5" s="681"/>
      <c r="E5" s="764"/>
      <c r="F5" s="1117"/>
      <c r="G5" s="29"/>
      <c r="H5" s="637"/>
      <c r="I5" s="726"/>
      <c r="J5" s="728"/>
      <c r="K5" s="29"/>
      <c r="L5" s="1119"/>
      <c r="M5" s="752"/>
      <c r="N5" s="29"/>
      <c r="O5" s="1115"/>
      <c r="P5" s="1116"/>
      <c r="Q5" s="54" t="s">
        <v>29</v>
      </c>
      <c r="R5" s="827"/>
      <c r="S5" s="1106"/>
      <c r="T5" s="29"/>
    </row>
    <row r="6" spans="1:20" ht="14.45" customHeight="1" x14ac:dyDescent="0.25">
      <c r="A6" s="683"/>
      <c r="B6" s="681"/>
      <c r="C6" s="681"/>
      <c r="D6" s="681"/>
      <c r="E6" s="764"/>
      <c r="F6" s="660"/>
      <c r="G6" s="29"/>
      <c r="H6" s="637"/>
      <c r="I6" s="726"/>
      <c r="J6" s="728"/>
      <c r="K6" s="29"/>
      <c r="L6" s="1119"/>
      <c r="M6" s="752"/>
      <c r="N6" s="29"/>
      <c r="O6" s="1109"/>
      <c r="P6" s="1111"/>
      <c r="Q6" s="54" t="s">
        <v>30</v>
      </c>
      <c r="R6" s="654"/>
      <c r="S6" s="1107"/>
      <c r="T6" s="29"/>
    </row>
    <row r="7" spans="1:20" ht="25.5" customHeight="1" x14ac:dyDescent="0.25">
      <c r="A7" s="439" t="s">
        <v>558</v>
      </c>
      <c r="B7" s="440" t="s">
        <v>1305</v>
      </c>
      <c r="C7" s="440" t="s">
        <v>559</v>
      </c>
      <c r="D7" s="440" t="s">
        <v>22</v>
      </c>
      <c r="E7" s="441" t="s">
        <v>925</v>
      </c>
      <c r="F7" s="86" t="s">
        <v>669</v>
      </c>
      <c r="G7" s="30"/>
      <c r="H7" s="323" t="s">
        <v>739</v>
      </c>
      <c r="I7" s="374"/>
      <c r="J7" s="369"/>
      <c r="K7" s="30"/>
      <c r="L7" s="364"/>
      <c r="M7" s="366" t="s">
        <v>1484</v>
      </c>
      <c r="N7" s="30"/>
      <c r="O7" s="99" t="s">
        <v>670</v>
      </c>
      <c r="P7" s="118" t="s">
        <v>25</v>
      </c>
      <c r="Q7" s="23" t="s">
        <v>671</v>
      </c>
      <c r="R7" s="118" t="s">
        <v>672</v>
      </c>
      <c r="S7" s="97"/>
      <c r="T7" s="30"/>
    </row>
    <row r="8" spans="1:20" ht="30" customHeight="1" x14ac:dyDescent="0.25">
      <c r="A8" s="438" t="s">
        <v>561</v>
      </c>
      <c r="B8" s="437" t="s">
        <v>1305</v>
      </c>
      <c r="C8" s="437" t="s">
        <v>562</v>
      </c>
      <c r="D8" s="437" t="s">
        <v>22</v>
      </c>
      <c r="E8" s="446" t="s">
        <v>926</v>
      </c>
      <c r="F8" s="74" t="s">
        <v>673</v>
      </c>
      <c r="G8" s="29"/>
      <c r="H8" s="372" t="s">
        <v>739</v>
      </c>
      <c r="I8" s="377"/>
      <c r="J8" s="368"/>
      <c r="K8" s="29"/>
      <c r="L8" s="422"/>
      <c r="M8" s="423" t="s">
        <v>1484</v>
      </c>
      <c r="N8" s="29"/>
      <c r="O8" s="62" t="s">
        <v>674</v>
      </c>
      <c r="P8" s="109" t="s">
        <v>25</v>
      </c>
      <c r="Q8" s="289" t="s">
        <v>675</v>
      </c>
      <c r="R8" s="109" t="s">
        <v>672</v>
      </c>
      <c r="S8" s="95"/>
      <c r="T8" s="29"/>
    </row>
    <row r="9" spans="1:20" ht="27.6" customHeight="1" x14ac:dyDescent="0.25">
      <c r="A9" s="439" t="s">
        <v>564</v>
      </c>
      <c r="B9" s="440" t="s">
        <v>1305</v>
      </c>
      <c r="C9" s="440" t="s">
        <v>565</v>
      </c>
      <c r="D9" s="440" t="s">
        <v>39</v>
      </c>
      <c r="E9" s="441" t="s">
        <v>1606</v>
      </c>
      <c r="F9" s="86" t="s">
        <v>676</v>
      </c>
      <c r="G9" s="30"/>
      <c r="H9" s="323" t="s">
        <v>739</v>
      </c>
      <c r="I9" s="374"/>
      <c r="J9" s="369"/>
      <c r="K9" s="30"/>
      <c r="L9" s="364"/>
      <c r="M9" s="366" t="s">
        <v>1484</v>
      </c>
      <c r="N9" s="30"/>
      <c r="O9" s="99" t="s">
        <v>674</v>
      </c>
      <c r="P9" s="118" t="s">
        <v>25</v>
      </c>
      <c r="Q9" s="100" t="s">
        <v>927</v>
      </c>
      <c r="R9" s="118" t="s">
        <v>35</v>
      </c>
      <c r="S9" s="97"/>
      <c r="T9" s="30"/>
    </row>
    <row r="10" spans="1:20" ht="44.45" customHeight="1" x14ac:dyDescent="0.25">
      <c r="A10" s="438" t="s">
        <v>567</v>
      </c>
      <c r="B10" s="437" t="s">
        <v>1305</v>
      </c>
      <c r="C10" s="437" t="s">
        <v>568</v>
      </c>
      <c r="D10" s="437" t="s">
        <v>39</v>
      </c>
      <c r="E10" s="446" t="s">
        <v>1607</v>
      </c>
      <c r="F10" s="74" t="s">
        <v>569</v>
      </c>
      <c r="G10" s="29"/>
      <c r="H10" s="372" t="s">
        <v>739</v>
      </c>
      <c r="I10" s="377"/>
      <c r="J10" s="368"/>
      <c r="K10" s="29"/>
      <c r="L10" s="422"/>
      <c r="M10" s="423" t="s">
        <v>1484</v>
      </c>
      <c r="N10" s="29"/>
      <c r="O10" s="62" t="s">
        <v>678</v>
      </c>
      <c r="P10" s="109"/>
      <c r="Q10" s="289" t="s">
        <v>679</v>
      </c>
      <c r="R10" s="109" t="s">
        <v>672</v>
      </c>
      <c r="S10" s="95"/>
      <c r="T10" s="29"/>
    </row>
    <row r="11" spans="1:20" ht="27.6" customHeight="1" x14ac:dyDescent="0.25">
      <c r="A11" s="439" t="s">
        <v>570</v>
      </c>
      <c r="B11" s="440" t="s">
        <v>1305</v>
      </c>
      <c r="C11" s="440" t="s">
        <v>571</v>
      </c>
      <c r="D11" s="440" t="s">
        <v>39</v>
      </c>
      <c r="E11" s="441" t="s">
        <v>1608</v>
      </c>
      <c r="F11" s="86" t="s">
        <v>680</v>
      </c>
      <c r="G11" s="30"/>
      <c r="H11" s="323" t="s">
        <v>739</v>
      </c>
      <c r="I11" s="374"/>
      <c r="J11" s="369"/>
      <c r="K11" s="30"/>
      <c r="L11" s="364"/>
      <c r="M11" s="366" t="s">
        <v>1484</v>
      </c>
      <c r="N11" s="30"/>
      <c r="O11" s="99" t="s">
        <v>674</v>
      </c>
      <c r="P11" s="118" t="s">
        <v>25</v>
      </c>
      <c r="Q11" s="100" t="s">
        <v>681</v>
      </c>
      <c r="R11" s="118" t="s">
        <v>35</v>
      </c>
      <c r="S11" s="97"/>
      <c r="T11" s="30"/>
    </row>
    <row r="12" spans="1:20" ht="27.95" customHeight="1" x14ac:dyDescent="0.25">
      <c r="A12" s="438" t="s">
        <v>573</v>
      </c>
      <c r="B12" s="437" t="s">
        <v>1305</v>
      </c>
      <c r="C12" s="437" t="s">
        <v>574</v>
      </c>
      <c r="D12" s="437" t="s">
        <v>39</v>
      </c>
      <c r="E12" s="446" t="s">
        <v>1609</v>
      </c>
      <c r="F12" s="74" t="s">
        <v>575</v>
      </c>
      <c r="G12" s="29"/>
      <c r="H12" s="372" t="s">
        <v>739</v>
      </c>
      <c r="I12" s="377"/>
      <c r="J12" s="368"/>
      <c r="K12" s="29"/>
      <c r="L12" s="422"/>
      <c r="M12" s="423" t="s">
        <v>1484</v>
      </c>
      <c r="N12" s="29"/>
      <c r="O12" s="62" t="s">
        <v>90</v>
      </c>
      <c r="P12" s="109" t="s">
        <v>25</v>
      </c>
      <c r="Q12" s="63" t="s">
        <v>682</v>
      </c>
      <c r="R12" s="109" t="s">
        <v>672</v>
      </c>
      <c r="S12" s="95"/>
      <c r="T12" s="29"/>
    </row>
    <row r="13" spans="1:20" ht="74.45" customHeight="1" x14ac:dyDescent="0.25">
      <c r="A13" s="439" t="s">
        <v>576</v>
      </c>
      <c r="B13" s="440" t="s">
        <v>1311</v>
      </c>
      <c r="C13" s="440" t="s">
        <v>683</v>
      </c>
      <c r="D13" s="440" t="s">
        <v>22</v>
      </c>
      <c r="E13" s="441" t="s">
        <v>929</v>
      </c>
      <c r="F13" s="86" t="s">
        <v>684</v>
      </c>
      <c r="G13" s="30"/>
      <c r="H13" s="323" t="s">
        <v>739</v>
      </c>
      <c r="I13" s="374"/>
      <c r="J13" s="369"/>
      <c r="K13" s="30"/>
      <c r="L13" s="364"/>
      <c r="M13" s="366" t="s">
        <v>1484</v>
      </c>
      <c r="N13" s="30"/>
      <c r="O13" s="99" t="s">
        <v>90</v>
      </c>
      <c r="P13" s="118" t="s">
        <v>25</v>
      </c>
      <c r="Q13" s="100" t="s">
        <v>96</v>
      </c>
      <c r="R13" s="118" t="s">
        <v>35</v>
      </c>
      <c r="S13" s="97"/>
      <c r="T13" s="30"/>
    </row>
    <row r="14" spans="1:20" ht="59.45" customHeight="1" x14ac:dyDescent="0.25">
      <c r="A14" s="438" t="s">
        <v>579</v>
      </c>
      <c r="B14" s="437" t="s">
        <v>1311</v>
      </c>
      <c r="C14" s="437" t="s">
        <v>685</v>
      </c>
      <c r="D14" s="437" t="s">
        <v>22</v>
      </c>
      <c r="E14" s="446" t="s">
        <v>930</v>
      </c>
      <c r="F14" s="74" t="s">
        <v>581</v>
      </c>
      <c r="G14" s="29"/>
      <c r="H14" s="372" t="s">
        <v>739</v>
      </c>
      <c r="I14" s="377"/>
      <c r="J14" s="368"/>
      <c r="K14" s="29"/>
      <c r="L14" s="422"/>
      <c r="M14" s="423" t="s">
        <v>1484</v>
      </c>
      <c r="N14" s="29"/>
      <c r="O14" s="62" t="s">
        <v>674</v>
      </c>
      <c r="P14" s="109" t="s">
        <v>25</v>
      </c>
      <c r="Q14" s="63" t="s">
        <v>931</v>
      </c>
      <c r="R14" s="109" t="s">
        <v>35</v>
      </c>
      <c r="S14" s="95"/>
      <c r="T14" s="29"/>
    </row>
    <row r="15" spans="1:20" ht="87.6" customHeight="1" x14ac:dyDescent="0.25">
      <c r="A15" s="439" t="s">
        <v>582</v>
      </c>
      <c r="B15" s="440" t="s">
        <v>1296</v>
      </c>
      <c r="C15" s="440" t="s">
        <v>583</v>
      </c>
      <c r="D15" s="440" t="s">
        <v>39</v>
      </c>
      <c r="E15" s="441" t="s">
        <v>932</v>
      </c>
      <c r="F15" s="86" t="s">
        <v>584</v>
      </c>
      <c r="G15" s="30"/>
      <c r="H15" s="323" t="s">
        <v>739</v>
      </c>
      <c r="I15" s="374"/>
      <c r="J15" s="369"/>
      <c r="K15" s="30"/>
      <c r="L15" s="364"/>
      <c r="M15" s="366" t="s">
        <v>1484</v>
      </c>
      <c r="N15" s="30"/>
      <c r="O15" s="99" t="s">
        <v>674</v>
      </c>
      <c r="P15" s="118" t="s">
        <v>25</v>
      </c>
      <c r="Q15" s="100" t="s">
        <v>686</v>
      </c>
      <c r="R15" s="118" t="s">
        <v>672</v>
      </c>
      <c r="S15" s="97"/>
      <c r="T15" s="30"/>
    </row>
    <row r="16" spans="1:20" ht="34.5" customHeight="1" x14ac:dyDescent="0.25">
      <c r="A16" s="438" t="s">
        <v>585</v>
      </c>
      <c r="B16" s="437" t="s">
        <v>1238</v>
      </c>
      <c r="C16" s="437" t="s">
        <v>586</v>
      </c>
      <c r="D16" s="437" t="s">
        <v>39</v>
      </c>
      <c r="E16" s="317" t="s">
        <v>1593</v>
      </c>
      <c r="F16" s="74" t="s">
        <v>587</v>
      </c>
      <c r="G16" s="29"/>
      <c r="H16" s="372" t="s">
        <v>739</v>
      </c>
      <c r="I16" s="377"/>
      <c r="J16" s="368"/>
      <c r="K16" s="29"/>
      <c r="L16" s="422"/>
      <c r="M16" s="423" t="s">
        <v>1484</v>
      </c>
      <c r="N16" s="29"/>
      <c r="O16" s="62" t="s">
        <v>687</v>
      </c>
      <c r="P16" s="109"/>
      <c r="Q16" s="63" t="s">
        <v>688</v>
      </c>
      <c r="R16" s="109" t="s">
        <v>672</v>
      </c>
      <c r="S16" s="95"/>
      <c r="T16" s="29"/>
    </row>
    <row r="17" spans="1:20" ht="17.45" customHeight="1" x14ac:dyDescent="0.25">
      <c r="A17" s="439" t="s">
        <v>588</v>
      </c>
      <c r="B17" s="440" t="s">
        <v>1238</v>
      </c>
      <c r="C17" s="440" t="s">
        <v>589</v>
      </c>
      <c r="D17" s="440" t="s">
        <v>365</v>
      </c>
      <c r="E17" s="441" t="s">
        <v>933</v>
      </c>
      <c r="F17" s="86" t="s">
        <v>590</v>
      </c>
      <c r="G17" s="30"/>
      <c r="H17" s="323" t="s">
        <v>739</v>
      </c>
      <c r="I17" s="374"/>
      <c r="J17" s="369"/>
      <c r="K17" s="30"/>
      <c r="L17" s="364"/>
      <c r="M17" s="366" t="s">
        <v>1484</v>
      </c>
      <c r="N17" s="30"/>
      <c r="O17" s="99" t="s">
        <v>674</v>
      </c>
      <c r="P17" s="118" t="s">
        <v>25</v>
      </c>
      <c r="Q17" s="100" t="s">
        <v>689</v>
      </c>
      <c r="R17" s="118" t="s">
        <v>672</v>
      </c>
      <c r="S17" s="97"/>
      <c r="T17" s="30"/>
    </row>
    <row r="18" spans="1:20" ht="14.45" customHeight="1" x14ac:dyDescent="0.25">
      <c r="A18" s="683" t="s">
        <v>591</v>
      </c>
      <c r="B18" s="681" t="s">
        <v>1238</v>
      </c>
      <c r="C18" s="681" t="s">
        <v>592</v>
      </c>
      <c r="D18" s="681" t="s">
        <v>39</v>
      </c>
      <c r="E18" s="764" t="s">
        <v>934</v>
      </c>
      <c r="F18" s="692" t="s">
        <v>593</v>
      </c>
      <c r="G18" s="29"/>
      <c r="H18" s="638" t="s">
        <v>739</v>
      </c>
      <c r="I18" s="725"/>
      <c r="J18" s="727"/>
      <c r="K18" s="29"/>
      <c r="L18" s="1119"/>
      <c r="M18" s="752" t="s">
        <v>1484</v>
      </c>
      <c r="N18" s="29"/>
      <c r="O18" s="1108" t="s">
        <v>41</v>
      </c>
      <c r="P18" s="1110" t="s">
        <v>690</v>
      </c>
      <c r="Q18" s="63" t="s">
        <v>43</v>
      </c>
      <c r="R18" s="826" t="s">
        <v>691</v>
      </c>
      <c r="S18" s="1105"/>
      <c r="T18" s="29"/>
    </row>
    <row r="19" spans="1:20" x14ac:dyDescent="0.25">
      <c r="A19" s="683"/>
      <c r="B19" s="681"/>
      <c r="C19" s="681"/>
      <c r="D19" s="681"/>
      <c r="E19" s="764"/>
      <c r="F19" s="1117"/>
      <c r="G19" s="29"/>
      <c r="H19" s="637"/>
      <c r="I19" s="726"/>
      <c r="J19" s="728"/>
      <c r="K19" s="29"/>
      <c r="L19" s="1119"/>
      <c r="M19" s="752"/>
      <c r="N19" s="29"/>
      <c r="O19" s="1109"/>
      <c r="P19" s="1111"/>
      <c r="Q19" s="63" t="s">
        <v>45</v>
      </c>
      <c r="R19" s="827"/>
      <c r="S19" s="1106"/>
      <c r="T19" s="29"/>
    </row>
    <row r="20" spans="1:20" x14ac:dyDescent="0.25">
      <c r="A20" s="683"/>
      <c r="B20" s="681"/>
      <c r="C20" s="681"/>
      <c r="D20" s="681"/>
      <c r="E20" s="764"/>
      <c r="F20" s="660"/>
      <c r="G20" s="29"/>
      <c r="H20" s="637"/>
      <c r="I20" s="726"/>
      <c r="J20" s="728"/>
      <c r="K20" s="29"/>
      <c r="L20" s="1119"/>
      <c r="M20" s="752"/>
      <c r="N20" s="29"/>
      <c r="O20" s="62" t="s">
        <v>674</v>
      </c>
      <c r="P20" s="109" t="s">
        <v>25</v>
      </c>
      <c r="Q20" s="63" t="s">
        <v>692</v>
      </c>
      <c r="R20" s="654"/>
      <c r="S20" s="1107"/>
      <c r="T20" s="29"/>
    </row>
    <row r="21" spans="1:20" ht="14.45" customHeight="1" x14ac:dyDescent="0.25">
      <c r="A21" s="756" t="s">
        <v>935</v>
      </c>
      <c r="B21" s="745" t="s">
        <v>1238</v>
      </c>
      <c r="C21" s="745" t="s">
        <v>936</v>
      </c>
      <c r="D21" s="745" t="s">
        <v>39</v>
      </c>
      <c r="E21" s="753" t="s">
        <v>937</v>
      </c>
      <c r="F21" s="1089" t="s">
        <v>938</v>
      </c>
      <c r="G21" s="29"/>
      <c r="H21" s="870" t="s">
        <v>739</v>
      </c>
      <c r="I21" s="744"/>
      <c r="J21" s="746"/>
      <c r="K21" s="29"/>
      <c r="L21" s="756" t="s">
        <v>1712</v>
      </c>
      <c r="M21" s="747" t="s">
        <v>1484</v>
      </c>
      <c r="N21" s="29"/>
      <c r="O21" s="1099" t="s">
        <v>109</v>
      </c>
      <c r="P21" s="1102" t="s">
        <v>109</v>
      </c>
      <c r="Q21" s="1102" t="s">
        <v>109</v>
      </c>
      <c r="R21" s="1102" t="s">
        <v>109</v>
      </c>
      <c r="S21" s="1112" t="s">
        <v>109</v>
      </c>
      <c r="T21" s="29"/>
    </row>
    <row r="22" spans="1:20" x14ac:dyDescent="0.25">
      <c r="A22" s="756"/>
      <c r="B22" s="745"/>
      <c r="C22" s="745"/>
      <c r="D22" s="745"/>
      <c r="E22" s="753"/>
      <c r="F22" s="1090"/>
      <c r="G22" s="29"/>
      <c r="H22" s="756"/>
      <c r="I22" s="745"/>
      <c r="J22" s="747"/>
      <c r="K22" s="29"/>
      <c r="L22" s="756"/>
      <c r="M22" s="747"/>
      <c r="N22" s="29"/>
      <c r="O22" s="1100"/>
      <c r="P22" s="1103"/>
      <c r="Q22" s="1103"/>
      <c r="R22" s="1103"/>
      <c r="S22" s="1113"/>
      <c r="T22" s="29"/>
    </row>
    <row r="23" spans="1:20" ht="72.75" customHeight="1" x14ac:dyDescent="0.25">
      <c r="A23" s="756"/>
      <c r="B23" s="745"/>
      <c r="C23" s="745"/>
      <c r="D23" s="745"/>
      <c r="E23" s="753"/>
      <c r="F23" s="1091"/>
      <c r="G23" s="29"/>
      <c r="H23" s="756"/>
      <c r="I23" s="745"/>
      <c r="J23" s="747"/>
      <c r="K23" s="29"/>
      <c r="L23" s="756"/>
      <c r="M23" s="747"/>
      <c r="N23" s="29"/>
      <c r="O23" s="1101"/>
      <c r="P23" s="783"/>
      <c r="Q23" s="783"/>
      <c r="R23" s="783"/>
      <c r="S23" s="1114"/>
      <c r="T23" s="29"/>
    </row>
    <row r="24" spans="1:20" ht="14.45" customHeight="1" x14ac:dyDescent="0.25">
      <c r="A24" s="1125" t="s">
        <v>651</v>
      </c>
      <c r="B24" s="1126" t="s">
        <v>1308</v>
      </c>
      <c r="C24" s="1126" t="s">
        <v>693</v>
      </c>
      <c r="D24" s="1126" t="s">
        <v>39</v>
      </c>
      <c r="E24" s="1127" t="s">
        <v>939</v>
      </c>
      <c r="F24" s="1122" t="s">
        <v>653</v>
      </c>
      <c r="G24" s="30"/>
      <c r="H24" s="894" t="s">
        <v>739</v>
      </c>
      <c r="I24" s="796"/>
      <c r="J24" s="797"/>
      <c r="K24" s="30"/>
      <c r="L24" s="1104"/>
      <c r="M24" s="1141" t="s">
        <v>1484</v>
      </c>
      <c r="N24" s="30"/>
      <c r="O24" s="1087" t="s">
        <v>41</v>
      </c>
      <c r="P24" s="1078" t="s">
        <v>694</v>
      </c>
      <c r="Q24" s="289" t="s">
        <v>43</v>
      </c>
      <c r="R24" s="835" t="s">
        <v>695</v>
      </c>
      <c r="S24" s="1080"/>
      <c r="T24" s="30"/>
    </row>
    <row r="25" spans="1:20" x14ac:dyDescent="0.25">
      <c r="A25" s="1125"/>
      <c r="B25" s="1126"/>
      <c r="C25" s="1126"/>
      <c r="D25" s="1126"/>
      <c r="E25" s="1127"/>
      <c r="F25" s="1123"/>
      <c r="G25" s="30"/>
      <c r="H25" s="846"/>
      <c r="I25" s="1137"/>
      <c r="J25" s="1138"/>
      <c r="K25" s="30"/>
      <c r="L25" s="1104"/>
      <c r="M25" s="1141"/>
      <c r="N25" s="30"/>
      <c r="O25" s="1088"/>
      <c r="P25" s="1079"/>
      <c r="Q25" s="289" t="s">
        <v>45</v>
      </c>
      <c r="R25" s="836"/>
      <c r="S25" s="1081"/>
      <c r="T25" s="30"/>
    </row>
    <row r="26" spans="1:20" x14ac:dyDescent="0.25">
      <c r="A26" s="1125"/>
      <c r="B26" s="1126"/>
      <c r="C26" s="1126"/>
      <c r="D26" s="1126"/>
      <c r="E26" s="1127"/>
      <c r="F26" s="1124"/>
      <c r="G26" s="30"/>
      <c r="H26" s="846"/>
      <c r="I26" s="1137"/>
      <c r="J26" s="1138"/>
      <c r="K26" s="30"/>
      <c r="L26" s="1104"/>
      <c r="M26" s="1141"/>
      <c r="N26" s="30"/>
      <c r="O26" s="290" t="s">
        <v>670</v>
      </c>
      <c r="P26" s="291" t="s">
        <v>25</v>
      </c>
      <c r="Q26" s="289" t="s">
        <v>696</v>
      </c>
      <c r="R26" s="837"/>
      <c r="S26" s="1082"/>
      <c r="T26" s="30"/>
    </row>
    <row r="27" spans="1:20" ht="14.45" customHeight="1" x14ac:dyDescent="0.25">
      <c r="A27" s="640" t="s">
        <v>657</v>
      </c>
      <c r="B27" s="730" t="s">
        <v>1303</v>
      </c>
      <c r="C27" s="730" t="s">
        <v>658</v>
      </c>
      <c r="D27" s="730" t="s">
        <v>39</v>
      </c>
      <c r="E27" s="718" t="s">
        <v>1610</v>
      </c>
      <c r="F27" s="1128" t="s">
        <v>659</v>
      </c>
      <c r="G27" s="30"/>
      <c r="H27" s="639" t="s">
        <v>739</v>
      </c>
      <c r="I27" s="729"/>
      <c r="J27" s="731"/>
      <c r="K27" s="30"/>
      <c r="L27" s="640"/>
      <c r="M27" s="732" t="s">
        <v>1484</v>
      </c>
      <c r="N27" s="30"/>
      <c r="O27" s="1092" t="s">
        <v>41</v>
      </c>
      <c r="P27" s="1094" t="s">
        <v>697</v>
      </c>
      <c r="Q27" s="120" t="s">
        <v>43</v>
      </c>
      <c r="R27" s="831" t="s">
        <v>698</v>
      </c>
      <c r="S27" s="1096"/>
      <c r="T27" s="30"/>
    </row>
    <row r="28" spans="1:20" x14ac:dyDescent="0.25">
      <c r="A28" s="640"/>
      <c r="B28" s="730"/>
      <c r="C28" s="730"/>
      <c r="D28" s="730"/>
      <c r="E28" s="718"/>
      <c r="F28" s="1129"/>
      <c r="G28" s="30"/>
      <c r="H28" s="640"/>
      <c r="I28" s="730"/>
      <c r="J28" s="732"/>
      <c r="K28" s="30"/>
      <c r="L28" s="640"/>
      <c r="M28" s="732"/>
      <c r="N28" s="30"/>
      <c r="O28" s="1093"/>
      <c r="P28" s="1095"/>
      <c r="Q28" s="120" t="s">
        <v>45</v>
      </c>
      <c r="R28" s="832"/>
      <c r="S28" s="1097"/>
      <c r="T28" s="30"/>
    </row>
    <row r="29" spans="1:20" x14ac:dyDescent="0.25">
      <c r="A29" s="640"/>
      <c r="B29" s="730"/>
      <c r="C29" s="730"/>
      <c r="D29" s="730"/>
      <c r="E29" s="718"/>
      <c r="F29" s="1130"/>
      <c r="G29" s="30"/>
      <c r="H29" s="640"/>
      <c r="I29" s="730"/>
      <c r="J29" s="732"/>
      <c r="K29" s="30"/>
      <c r="L29" s="640"/>
      <c r="M29" s="732"/>
      <c r="N29" s="30"/>
      <c r="O29" s="292" t="s">
        <v>55</v>
      </c>
      <c r="P29" s="121" t="s">
        <v>25</v>
      </c>
      <c r="Q29" s="120" t="s">
        <v>699</v>
      </c>
      <c r="R29" s="833"/>
      <c r="S29" s="1098"/>
      <c r="T29" s="30"/>
    </row>
    <row r="30" spans="1:20" ht="14.45" customHeight="1" x14ac:dyDescent="0.25">
      <c r="A30" s="1125" t="s">
        <v>662</v>
      </c>
      <c r="B30" s="1126" t="s">
        <v>1303</v>
      </c>
      <c r="C30" s="1126" t="s">
        <v>700</v>
      </c>
      <c r="D30" s="1126" t="s">
        <v>39</v>
      </c>
      <c r="E30" s="1127" t="s">
        <v>1605</v>
      </c>
      <c r="F30" s="1122" t="s">
        <v>664</v>
      </c>
      <c r="G30" s="30"/>
      <c r="H30" s="894" t="s">
        <v>739</v>
      </c>
      <c r="I30" s="796"/>
      <c r="J30" s="797"/>
      <c r="K30" s="30"/>
      <c r="L30" s="1104"/>
      <c r="M30" s="1141" t="s">
        <v>1484</v>
      </c>
      <c r="N30" s="30"/>
      <c r="O30" s="1087" t="s">
        <v>41</v>
      </c>
      <c r="P30" s="1078" t="s">
        <v>701</v>
      </c>
      <c r="Q30" s="289" t="s">
        <v>43</v>
      </c>
      <c r="R30" s="835" t="s">
        <v>698</v>
      </c>
      <c r="S30" s="1080"/>
      <c r="T30" s="30"/>
    </row>
    <row r="31" spans="1:20" x14ac:dyDescent="0.25">
      <c r="A31" s="1125"/>
      <c r="B31" s="1126"/>
      <c r="C31" s="1126"/>
      <c r="D31" s="1126"/>
      <c r="E31" s="1127"/>
      <c r="F31" s="1123"/>
      <c r="G31" s="30"/>
      <c r="H31" s="846"/>
      <c r="I31" s="1137"/>
      <c r="J31" s="1138"/>
      <c r="K31" s="30"/>
      <c r="L31" s="1104"/>
      <c r="M31" s="1141"/>
      <c r="N31" s="30"/>
      <c r="O31" s="1088"/>
      <c r="P31" s="1079"/>
      <c r="Q31" s="289" t="s">
        <v>45</v>
      </c>
      <c r="R31" s="836"/>
      <c r="S31" s="1081"/>
      <c r="T31" s="30"/>
    </row>
    <row r="32" spans="1:20" x14ac:dyDescent="0.25">
      <c r="A32" s="1125"/>
      <c r="B32" s="1126"/>
      <c r="C32" s="1126"/>
      <c r="D32" s="1126"/>
      <c r="E32" s="1127"/>
      <c r="F32" s="1124"/>
      <c r="G32" s="30"/>
      <c r="H32" s="846"/>
      <c r="I32" s="1137"/>
      <c r="J32" s="1138"/>
      <c r="K32" s="30"/>
      <c r="L32" s="1104"/>
      <c r="M32" s="1141"/>
      <c r="N32" s="30"/>
      <c r="O32" s="290" t="s">
        <v>55</v>
      </c>
      <c r="P32" s="291" t="s">
        <v>25</v>
      </c>
      <c r="Q32" s="289" t="s">
        <v>699</v>
      </c>
      <c r="R32" s="837"/>
      <c r="S32" s="1082"/>
      <c r="T32" s="30"/>
    </row>
    <row r="33" spans="1:20" ht="14.45" customHeight="1" x14ac:dyDescent="0.25">
      <c r="A33" s="640" t="s">
        <v>57</v>
      </c>
      <c r="B33" s="730" t="s">
        <v>897</v>
      </c>
      <c r="C33" s="730" t="s">
        <v>58</v>
      </c>
      <c r="D33" s="730" t="s">
        <v>126</v>
      </c>
      <c r="E33" s="718" t="s">
        <v>940</v>
      </c>
      <c r="F33" s="1128" t="s">
        <v>553</v>
      </c>
      <c r="G33" s="30"/>
      <c r="H33" s="639" t="s">
        <v>739</v>
      </c>
      <c r="I33" s="729"/>
      <c r="J33" s="731"/>
      <c r="K33" s="30"/>
      <c r="L33" s="640"/>
      <c r="M33" s="732" t="s">
        <v>1484</v>
      </c>
      <c r="N33" s="30"/>
      <c r="O33" s="1092" t="s">
        <v>46</v>
      </c>
      <c r="P33" s="831" t="s">
        <v>47</v>
      </c>
      <c r="Q33" s="23" t="s">
        <v>61</v>
      </c>
      <c r="R33" s="831" t="s">
        <v>62</v>
      </c>
      <c r="S33" s="1084" t="s">
        <v>63</v>
      </c>
      <c r="T33" s="30"/>
    </row>
    <row r="34" spans="1:20" ht="14.45" customHeight="1" x14ac:dyDescent="0.25">
      <c r="A34" s="640"/>
      <c r="B34" s="730"/>
      <c r="C34" s="730"/>
      <c r="D34" s="730"/>
      <c r="E34" s="718"/>
      <c r="F34" s="1129"/>
      <c r="G34" s="30"/>
      <c r="H34" s="640"/>
      <c r="I34" s="730"/>
      <c r="J34" s="732"/>
      <c r="K34" s="30"/>
      <c r="L34" s="640"/>
      <c r="M34" s="732"/>
      <c r="N34" s="30"/>
      <c r="O34" s="1135"/>
      <c r="P34" s="832"/>
      <c r="Q34" s="23" t="s">
        <v>65</v>
      </c>
      <c r="R34" s="832"/>
      <c r="S34" s="1085"/>
      <c r="T34" s="30"/>
    </row>
    <row r="35" spans="1:20" ht="15" customHeight="1" thickBot="1" x14ac:dyDescent="0.3">
      <c r="A35" s="1131"/>
      <c r="B35" s="1132"/>
      <c r="C35" s="1132"/>
      <c r="D35" s="1132"/>
      <c r="E35" s="1133"/>
      <c r="F35" s="1134"/>
      <c r="G35" s="30"/>
      <c r="H35" s="1131"/>
      <c r="I35" s="1132"/>
      <c r="J35" s="1139"/>
      <c r="K35" s="30"/>
      <c r="L35" s="1131"/>
      <c r="M35" s="1139"/>
      <c r="N35" s="30"/>
      <c r="O35" s="1136"/>
      <c r="P35" s="1083"/>
      <c r="Q35" s="122" t="s">
        <v>66</v>
      </c>
      <c r="R35" s="1083"/>
      <c r="S35" s="1086"/>
      <c r="T35" s="30"/>
    </row>
    <row r="38" spans="1:20" ht="14.45" customHeight="1" x14ac:dyDescent="0.25"/>
    <row r="41" spans="1:20" ht="14.45" customHeight="1" x14ac:dyDescent="0.25"/>
    <row r="45" spans="1:20" ht="14.45" customHeight="1" x14ac:dyDescent="0.25"/>
    <row r="51" ht="14.45" customHeight="1" x14ac:dyDescent="0.25"/>
    <row r="54" ht="14.45" customHeight="1" x14ac:dyDescent="0.25"/>
  </sheetData>
  <mergeCells count="107">
    <mergeCell ref="M3:M6"/>
    <mergeCell ref="M18:M20"/>
    <mergeCell ref="M21:M23"/>
    <mergeCell ref="M24:M26"/>
    <mergeCell ref="M27:M29"/>
    <mergeCell ref="M30:M32"/>
    <mergeCell ref="M33:M35"/>
    <mergeCell ref="I21:I23"/>
    <mergeCell ref="J21:J23"/>
    <mergeCell ref="I24:I26"/>
    <mergeCell ref="J24:J26"/>
    <mergeCell ref="I27:I29"/>
    <mergeCell ref="J27:J29"/>
    <mergeCell ref="L30:L32"/>
    <mergeCell ref="L3:L6"/>
    <mergeCell ref="H30:H32"/>
    <mergeCell ref="O30:O31"/>
    <mergeCell ref="A33:A35"/>
    <mergeCell ref="B33:B35"/>
    <mergeCell ref="C33:C35"/>
    <mergeCell ref="D33:D35"/>
    <mergeCell ref="E33:E35"/>
    <mergeCell ref="F33:F35"/>
    <mergeCell ref="H33:H35"/>
    <mergeCell ref="L33:L35"/>
    <mergeCell ref="O33:O35"/>
    <mergeCell ref="A30:A32"/>
    <mergeCell ref="B30:B32"/>
    <mergeCell ref="C30:C32"/>
    <mergeCell ref="D30:D32"/>
    <mergeCell ref="E30:E32"/>
    <mergeCell ref="F30:F32"/>
    <mergeCell ref="I30:I32"/>
    <mergeCell ref="J30:J32"/>
    <mergeCell ref="I33:I35"/>
    <mergeCell ref="J33:J35"/>
    <mergeCell ref="H3:H6"/>
    <mergeCell ref="L18:L20"/>
    <mergeCell ref="I3:I6"/>
    <mergeCell ref="J3:J6"/>
    <mergeCell ref="I18:I20"/>
    <mergeCell ref="J18:J20"/>
    <mergeCell ref="A27:A29"/>
    <mergeCell ref="B27:B29"/>
    <mergeCell ref="C27:C29"/>
    <mergeCell ref="D27:D29"/>
    <mergeCell ref="E27:E29"/>
    <mergeCell ref="F24:F26"/>
    <mergeCell ref="A21:A23"/>
    <mergeCell ref="B21:B23"/>
    <mergeCell ref="C21:C23"/>
    <mergeCell ref="D21:D23"/>
    <mergeCell ref="A24:A26"/>
    <mergeCell ref="B24:B26"/>
    <mergeCell ref="C24:C26"/>
    <mergeCell ref="D24:D26"/>
    <mergeCell ref="E24:E26"/>
    <mergeCell ref="E21:E23"/>
    <mergeCell ref="F27:F29"/>
    <mergeCell ref="A1:T1"/>
    <mergeCell ref="R3:R6"/>
    <mergeCell ref="S3:S6"/>
    <mergeCell ref="H18:H20"/>
    <mergeCell ref="O18:O19"/>
    <mergeCell ref="P18:P19"/>
    <mergeCell ref="R18:R20"/>
    <mergeCell ref="S18:S20"/>
    <mergeCell ref="R21:R23"/>
    <mergeCell ref="S21:S23"/>
    <mergeCell ref="A3:A6"/>
    <mergeCell ref="B3:B6"/>
    <mergeCell ref="C3:C6"/>
    <mergeCell ref="D3:D6"/>
    <mergeCell ref="E3:E6"/>
    <mergeCell ref="A18:A20"/>
    <mergeCell ref="B18:B20"/>
    <mergeCell ref="C18:C20"/>
    <mergeCell ref="D18:D20"/>
    <mergeCell ref="E18:E20"/>
    <mergeCell ref="O3:O6"/>
    <mergeCell ref="P3:P6"/>
    <mergeCell ref="F18:F20"/>
    <mergeCell ref="F3:F6"/>
    <mergeCell ref="P30:P31"/>
    <mergeCell ref="R30:R32"/>
    <mergeCell ref="S30:S32"/>
    <mergeCell ref="R33:R35"/>
    <mergeCell ref="S33:S35"/>
    <mergeCell ref="P33:P35"/>
    <mergeCell ref="H24:H26"/>
    <mergeCell ref="O24:O25"/>
    <mergeCell ref="F21:F23"/>
    <mergeCell ref="H21:H23"/>
    <mergeCell ref="R24:R26"/>
    <mergeCell ref="S24:S26"/>
    <mergeCell ref="H27:H29"/>
    <mergeCell ref="O27:O28"/>
    <mergeCell ref="P27:P28"/>
    <mergeCell ref="R27:R29"/>
    <mergeCell ref="S27:S29"/>
    <mergeCell ref="L27:L29"/>
    <mergeCell ref="L21:L23"/>
    <mergeCell ref="O21:O23"/>
    <mergeCell ref="P21:P23"/>
    <mergeCell ref="Q21:Q23"/>
    <mergeCell ref="L24:L26"/>
    <mergeCell ref="P24:P2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M3:M35</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5" x14ac:dyDescent="0.25"/>
  <cols>
    <col min="1" max="1" width="167.85546875" customWidth="1"/>
  </cols>
  <sheetData>
    <row r="1" spans="1:1" ht="124.5" thickBot="1" x14ac:dyDescent="0.3">
      <c r="A1" s="1" t="s">
        <v>1337</v>
      </c>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zoomScale="80" zoomScaleNormal="80" workbookViewId="0">
      <pane xSplit="5" ySplit="2" topLeftCell="F3" activePane="bottomRight" state="frozen"/>
      <selection pane="topRight" activeCell="F1" sqref="F1"/>
      <selection pane="bottomLeft" activeCell="A3" sqref="A3"/>
      <selection pane="bottomRight" activeCell="C3" sqref="C3:E16"/>
    </sheetView>
  </sheetViews>
  <sheetFormatPr defaultRowHeight="15" x14ac:dyDescent="0.25"/>
  <cols>
    <col min="1" max="1" width="7.28515625" bestFit="1" customWidth="1"/>
    <col min="2" max="2" width="18.5703125" bestFit="1" customWidth="1"/>
    <col min="3" max="3" width="44.85546875" bestFit="1" customWidth="1"/>
    <col min="4" max="4" width="17.85546875" bestFit="1" customWidth="1"/>
    <col min="5" max="5" width="96.42578125" customWidth="1"/>
    <col min="6" max="6" width="3.5703125" customWidth="1"/>
    <col min="7" max="7" width="4" hidden="1" customWidth="1"/>
    <col min="8" max="8" width="29.28515625" customWidth="1"/>
    <col min="9" max="9" width="13.7109375" bestFit="1" customWidth="1"/>
    <col min="10" max="10" width="23.42578125" bestFit="1" customWidth="1"/>
    <col min="11" max="11" width="4" customWidth="1"/>
    <col min="12" max="12" width="15.7109375" bestFit="1" customWidth="1"/>
    <col min="13" max="13" width="26.7109375" bestFit="1" customWidth="1"/>
    <col min="14" max="14" width="4" customWidth="1"/>
    <col min="15" max="15" width="26.7109375" bestFit="1" customWidth="1"/>
    <col min="16" max="16" width="8.7109375" bestFit="1" customWidth="1"/>
    <col min="17" max="17" width="9.5703125" bestFit="1" customWidth="1"/>
    <col min="18" max="18" width="31.7109375" bestFit="1" customWidth="1"/>
    <col min="19" max="19" width="15.28515625" bestFit="1" customWidth="1"/>
  </cols>
  <sheetData>
    <row r="1" spans="1:19" ht="19.5" thickBot="1" x14ac:dyDescent="0.3">
      <c r="A1" s="703" t="s">
        <v>1368</v>
      </c>
      <c r="B1" s="704"/>
      <c r="C1" s="704"/>
      <c r="D1" s="704"/>
      <c r="E1" s="704"/>
      <c r="F1" s="704"/>
      <c r="G1" s="704"/>
      <c r="H1" s="704"/>
      <c r="I1" s="704"/>
      <c r="J1" s="704"/>
      <c r="K1" s="704"/>
      <c r="L1" s="704"/>
      <c r="M1" s="704"/>
      <c r="N1" s="704"/>
      <c r="O1" s="704"/>
      <c r="P1" s="704"/>
      <c r="Q1" s="704"/>
      <c r="R1" s="704"/>
      <c r="S1" s="706"/>
    </row>
    <row r="2" spans="1:19" ht="15.75" thickBot="1" x14ac:dyDescent="0.3">
      <c r="A2" s="246" t="s">
        <v>10</v>
      </c>
      <c r="B2" s="247" t="s">
        <v>11</v>
      </c>
      <c r="C2" s="247" t="s">
        <v>12</v>
      </c>
      <c r="D2" s="247" t="s">
        <v>13</v>
      </c>
      <c r="E2" s="248" t="s">
        <v>14</v>
      </c>
      <c r="F2" s="28"/>
      <c r="G2" s="28"/>
      <c r="H2" s="318" t="s">
        <v>725</v>
      </c>
      <c r="I2" s="319" t="s">
        <v>1412</v>
      </c>
      <c r="J2" s="320" t="s">
        <v>1411</v>
      </c>
      <c r="K2" s="28"/>
      <c r="L2" s="429" t="s">
        <v>87</v>
      </c>
      <c r="M2" s="430" t="s">
        <v>1475</v>
      </c>
      <c r="N2" s="28"/>
      <c r="O2" s="301" t="s">
        <v>15</v>
      </c>
      <c r="P2" s="278" t="s">
        <v>16</v>
      </c>
      <c r="Q2" s="278" t="s">
        <v>17</v>
      </c>
      <c r="R2" s="278" t="s">
        <v>18</v>
      </c>
      <c r="S2" s="279" t="s">
        <v>19</v>
      </c>
    </row>
    <row r="3" spans="1:19" x14ac:dyDescent="0.25">
      <c r="A3" s="102" t="s">
        <v>1312</v>
      </c>
      <c r="B3" s="103" t="s">
        <v>1329</v>
      </c>
      <c r="C3" s="80" t="s">
        <v>1333</v>
      </c>
      <c r="D3" s="103" t="s">
        <v>22</v>
      </c>
      <c r="E3" s="105" t="s">
        <v>1351</v>
      </c>
      <c r="F3" s="29"/>
      <c r="G3" s="504"/>
      <c r="H3" s="564" t="s">
        <v>739</v>
      </c>
      <c r="I3" s="432"/>
      <c r="J3" s="433"/>
      <c r="K3" s="29"/>
      <c r="L3" s="434"/>
      <c r="M3" s="435" t="s">
        <v>1484</v>
      </c>
      <c r="N3" s="29"/>
      <c r="O3" s="62"/>
      <c r="P3" s="109"/>
      <c r="Q3" s="289"/>
      <c r="R3" s="109"/>
      <c r="S3" s="95"/>
    </row>
    <row r="4" spans="1:19" s="304" customFormat="1" x14ac:dyDescent="0.25">
      <c r="A4" s="143" t="s">
        <v>1313</v>
      </c>
      <c r="B4" s="249" t="s">
        <v>1329</v>
      </c>
      <c r="C4" s="115" t="s">
        <v>1334</v>
      </c>
      <c r="D4" s="142" t="s">
        <v>22</v>
      </c>
      <c r="E4" s="172" t="s">
        <v>1352</v>
      </c>
      <c r="F4" s="29"/>
      <c r="G4" s="504"/>
      <c r="H4" s="373" t="s">
        <v>739</v>
      </c>
      <c r="I4" s="375"/>
      <c r="J4" s="376"/>
      <c r="K4" s="29"/>
      <c r="L4" s="371"/>
      <c r="M4" s="418" t="s">
        <v>1484</v>
      </c>
      <c r="N4" s="29"/>
      <c r="O4" s="302"/>
      <c r="P4" s="303"/>
      <c r="Q4" s="141"/>
      <c r="R4" s="303"/>
      <c r="S4" s="144"/>
    </row>
    <row r="5" spans="1:19" x14ac:dyDescent="0.25">
      <c r="A5" s="102" t="s">
        <v>1314</v>
      </c>
      <c r="B5" s="103" t="s">
        <v>1329</v>
      </c>
      <c r="C5" s="112" t="s">
        <v>1335</v>
      </c>
      <c r="D5" s="119" t="s">
        <v>126</v>
      </c>
      <c r="E5" s="78" t="s">
        <v>1353</v>
      </c>
      <c r="F5" s="29"/>
      <c r="G5" s="504"/>
      <c r="H5" s="372" t="s">
        <v>739</v>
      </c>
      <c r="I5" s="377"/>
      <c r="J5" s="368"/>
      <c r="K5" s="29"/>
      <c r="L5" s="422"/>
      <c r="M5" s="423" t="s">
        <v>1484</v>
      </c>
      <c r="N5" s="29"/>
      <c r="O5" s="293"/>
      <c r="P5" s="294"/>
      <c r="Q5" s="296"/>
      <c r="R5" s="294"/>
      <c r="S5" s="113"/>
    </row>
    <row r="6" spans="1:19" s="304" customFormat="1" x14ac:dyDescent="0.25">
      <c r="A6" s="143" t="s">
        <v>1315</v>
      </c>
      <c r="B6" s="249" t="s">
        <v>1329</v>
      </c>
      <c r="C6" s="115" t="s">
        <v>1336</v>
      </c>
      <c r="D6" s="142" t="s">
        <v>126</v>
      </c>
      <c r="E6" s="172" t="s">
        <v>1354</v>
      </c>
      <c r="F6" s="29"/>
      <c r="G6" s="504"/>
      <c r="H6" s="373" t="s">
        <v>739</v>
      </c>
      <c r="I6" s="375"/>
      <c r="J6" s="376"/>
      <c r="K6" s="29"/>
      <c r="L6" s="371"/>
      <c r="M6" s="418" t="s">
        <v>1484</v>
      </c>
      <c r="N6" s="29"/>
      <c r="O6" s="302"/>
      <c r="P6" s="303"/>
      <c r="Q6" s="141"/>
      <c r="R6" s="303"/>
      <c r="S6" s="144"/>
    </row>
    <row r="7" spans="1:19" ht="75" x14ac:dyDescent="0.25">
      <c r="A7" s="102" t="s">
        <v>1316</v>
      </c>
      <c r="B7" s="103" t="s">
        <v>1329</v>
      </c>
      <c r="C7" s="112" t="s">
        <v>1338</v>
      </c>
      <c r="D7" s="119" t="s">
        <v>39</v>
      </c>
      <c r="E7" s="78" t="s">
        <v>1355</v>
      </c>
      <c r="F7" s="29"/>
      <c r="G7" s="504"/>
      <c r="H7" s="372" t="s">
        <v>739</v>
      </c>
      <c r="I7" s="377"/>
      <c r="J7" s="368"/>
      <c r="K7" s="29"/>
      <c r="L7" s="422"/>
      <c r="M7" s="423" t="s">
        <v>1484</v>
      </c>
      <c r="N7" s="29"/>
      <c r="O7" s="293"/>
      <c r="P7" s="294"/>
      <c r="Q7" s="296"/>
      <c r="R7" s="294"/>
      <c r="S7" s="113"/>
    </row>
    <row r="8" spans="1:19" s="304" customFormat="1" x14ac:dyDescent="0.25">
      <c r="A8" s="143" t="s">
        <v>1317</v>
      </c>
      <c r="B8" s="142" t="s">
        <v>1330</v>
      </c>
      <c r="C8" s="115" t="s">
        <v>1339</v>
      </c>
      <c r="D8" s="142" t="s">
        <v>126</v>
      </c>
      <c r="E8" s="172" t="s">
        <v>1356</v>
      </c>
      <c r="F8" s="29"/>
      <c r="G8" s="504"/>
      <c r="H8" s="373" t="s">
        <v>739</v>
      </c>
      <c r="I8" s="375"/>
      <c r="J8" s="376"/>
      <c r="K8" s="29"/>
      <c r="L8" s="371"/>
      <c r="M8" s="418" t="s">
        <v>1484</v>
      </c>
      <c r="N8" s="29"/>
      <c r="O8" s="302"/>
      <c r="P8" s="303"/>
      <c r="Q8" s="141"/>
      <c r="R8" s="303"/>
      <c r="S8" s="144"/>
    </row>
    <row r="9" spans="1:19" x14ac:dyDescent="0.25">
      <c r="A9" s="102" t="s">
        <v>1318</v>
      </c>
      <c r="B9" s="119" t="s">
        <v>1330</v>
      </c>
      <c r="C9" s="112" t="s">
        <v>1340</v>
      </c>
      <c r="D9" s="119" t="s">
        <v>126</v>
      </c>
      <c r="E9" s="78" t="s">
        <v>1357</v>
      </c>
      <c r="F9" s="29"/>
      <c r="G9" s="504"/>
      <c r="H9" s="372" t="s">
        <v>739</v>
      </c>
      <c r="I9" s="377"/>
      <c r="J9" s="368"/>
      <c r="K9" s="29"/>
      <c r="L9" s="422"/>
      <c r="M9" s="423" t="s">
        <v>1484</v>
      </c>
      <c r="N9" s="29"/>
      <c r="O9" s="293"/>
      <c r="P9" s="294"/>
      <c r="Q9" s="296"/>
      <c r="R9" s="294"/>
      <c r="S9" s="113"/>
    </row>
    <row r="10" spans="1:19" s="304" customFormat="1" x14ac:dyDescent="0.25">
      <c r="A10" s="143" t="s">
        <v>1319</v>
      </c>
      <c r="B10" s="142" t="s">
        <v>1331</v>
      </c>
      <c r="C10" s="115" t="s">
        <v>1341</v>
      </c>
      <c r="D10" s="142" t="s">
        <v>126</v>
      </c>
      <c r="E10" s="172" t="s">
        <v>1359</v>
      </c>
      <c r="F10" s="29"/>
      <c r="G10" s="504"/>
      <c r="H10" s="373" t="s">
        <v>739</v>
      </c>
      <c r="I10" s="375"/>
      <c r="J10" s="376"/>
      <c r="K10" s="29"/>
      <c r="L10" s="371"/>
      <c r="M10" s="418" t="s">
        <v>1484</v>
      </c>
      <c r="N10" s="29"/>
      <c r="O10" s="302"/>
      <c r="P10" s="303"/>
      <c r="Q10" s="141"/>
      <c r="R10" s="303"/>
      <c r="S10" s="144"/>
    </row>
    <row r="11" spans="1:19" x14ac:dyDescent="0.25">
      <c r="A11" s="102" t="s">
        <v>1320</v>
      </c>
      <c r="B11" s="119" t="s">
        <v>1331</v>
      </c>
      <c r="C11" s="112" t="s">
        <v>1342</v>
      </c>
      <c r="D11" s="119" t="s">
        <v>126</v>
      </c>
      <c r="E11" s="78" t="s">
        <v>1358</v>
      </c>
      <c r="F11" s="29"/>
      <c r="G11" s="504"/>
      <c r="H11" s="372" t="s">
        <v>739</v>
      </c>
      <c r="I11" s="377"/>
      <c r="J11" s="368"/>
      <c r="K11" s="29"/>
      <c r="L11" s="422"/>
      <c r="M11" s="423" t="s">
        <v>1484</v>
      </c>
      <c r="N11" s="29"/>
      <c r="O11" s="293"/>
      <c r="P11" s="294"/>
      <c r="Q11" s="296"/>
      <c r="R11" s="294"/>
      <c r="S11" s="113"/>
    </row>
    <row r="12" spans="1:19" s="304" customFormat="1" x14ac:dyDescent="0.25">
      <c r="A12" s="143" t="s">
        <v>1321</v>
      </c>
      <c r="B12" s="142" t="s">
        <v>1331</v>
      </c>
      <c r="C12" s="115" t="s">
        <v>1343</v>
      </c>
      <c r="D12" s="142" t="s">
        <v>126</v>
      </c>
      <c r="E12" s="172" t="s">
        <v>1360</v>
      </c>
      <c r="F12" s="29"/>
      <c r="G12" s="504"/>
      <c r="H12" s="373" t="s">
        <v>739</v>
      </c>
      <c r="I12" s="375"/>
      <c r="J12" s="376"/>
      <c r="K12" s="29"/>
      <c r="L12" s="371"/>
      <c r="M12" s="418" t="s">
        <v>1484</v>
      </c>
      <c r="N12" s="29"/>
      <c r="O12" s="302"/>
      <c r="P12" s="303"/>
      <c r="Q12" s="141"/>
      <c r="R12" s="303"/>
      <c r="S12" s="144"/>
    </row>
    <row r="13" spans="1:19" x14ac:dyDescent="0.25">
      <c r="A13" s="102" t="s">
        <v>1322</v>
      </c>
      <c r="B13" s="119" t="s">
        <v>1332</v>
      </c>
      <c r="C13" s="112" t="s">
        <v>1345</v>
      </c>
      <c r="D13" s="119" t="s">
        <v>126</v>
      </c>
      <c r="E13" s="78" t="s">
        <v>1361</v>
      </c>
      <c r="F13" s="29"/>
      <c r="G13" s="504"/>
      <c r="H13" s="372" t="s">
        <v>739</v>
      </c>
      <c r="I13" s="377"/>
      <c r="J13" s="368"/>
      <c r="K13" s="29"/>
      <c r="L13" s="422"/>
      <c r="M13" s="423" t="s">
        <v>1484</v>
      </c>
      <c r="N13" s="29"/>
      <c r="O13" s="293"/>
      <c r="P13" s="294"/>
      <c r="Q13" s="296"/>
      <c r="R13" s="294"/>
      <c r="S13" s="113"/>
    </row>
    <row r="14" spans="1:19" s="304" customFormat="1" x14ac:dyDescent="0.25">
      <c r="A14" s="143" t="s">
        <v>1323</v>
      </c>
      <c r="B14" s="142" t="s">
        <v>1332</v>
      </c>
      <c r="C14" s="115" t="s">
        <v>1344</v>
      </c>
      <c r="D14" s="142" t="s">
        <v>126</v>
      </c>
      <c r="E14" s="172" t="s">
        <v>1362</v>
      </c>
      <c r="F14" s="29"/>
      <c r="G14" s="504"/>
      <c r="H14" s="373" t="s">
        <v>739</v>
      </c>
      <c r="I14" s="375"/>
      <c r="J14" s="376"/>
      <c r="K14" s="29"/>
      <c r="L14" s="371"/>
      <c r="M14" s="418" t="s">
        <v>1484</v>
      </c>
      <c r="N14" s="29"/>
      <c r="O14" s="302"/>
      <c r="P14" s="303"/>
      <c r="Q14" s="141"/>
      <c r="R14" s="303"/>
      <c r="S14" s="144"/>
    </row>
    <row r="15" spans="1:19" x14ac:dyDescent="0.25">
      <c r="A15" s="102" t="s">
        <v>1324</v>
      </c>
      <c r="B15" s="119" t="s">
        <v>1332</v>
      </c>
      <c r="C15" s="112" t="s">
        <v>1346</v>
      </c>
      <c r="D15" s="119" t="s">
        <v>126</v>
      </c>
      <c r="E15" s="78" t="s">
        <v>1363</v>
      </c>
      <c r="F15" s="29"/>
      <c r="G15" s="504"/>
      <c r="H15" s="372" t="s">
        <v>739</v>
      </c>
      <c r="I15" s="377"/>
      <c r="J15" s="368"/>
      <c r="K15" s="29"/>
      <c r="L15" s="422"/>
      <c r="M15" s="423" t="s">
        <v>1484</v>
      </c>
      <c r="N15" s="29"/>
      <c r="O15" s="293"/>
      <c r="P15" s="294"/>
      <c r="Q15" s="296"/>
      <c r="R15" s="294"/>
      <c r="S15" s="113"/>
    </row>
    <row r="16" spans="1:19" s="304" customFormat="1" x14ac:dyDescent="0.25">
      <c r="A16" s="143" t="s">
        <v>1325</v>
      </c>
      <c r="B16" s="142" t="s">
        <v>1332</v>
      </c>
      <c r="C16" s="115" t="s">
        <v>1347</v>
      </c>
      <c r="D16" s="142" t="s">
        <v>126</v>
      </c>
      <c r="E16" s="172" t="s">
        <v>1364</v>
      </c>
      <c r="F16" s="29"/>
      <c r="G16" s="504"/>
      <c r="H16" s="373" t="s">
        <v>739</v>
      </c>
      <c r="I16" s="375"/>
      <c r="J16" s="376"/>
      <c r="K16" s="29"/>
      <c r="L16" s="371"/>
      <c r="M16" s="418" t="s">
        <v>1484</v>
      </c>
      <c r="N16" s="29"/>
      <c r="O16" s="302"/>
      <c r="P16" s="303"/>
      <c r="Q16" s="141"/>
      <c r="R16" s="303"/>
      <c r="S16" s="144"/>
    </row>
    <row r="17" spans="1:19" x14ac:dyDescent="0.25">
      <c r="A17" s="102" t="s">
        <v>1326</v>
      </c>
      <c r="B17" s="119" t="s">
        <v>1332</v>
      </c>
      <c r="C17" s="112" t="s">
        <v>1348</v>
      </c>
      <c r="D17" s="119" t="s">
        <v>126</v>
      </c>
      <c r="E17" s="78" t="s">
        <v>1365</v>
      </c>
      <c r="F17" s="29"/>
      <c r="G17" s="504"/>
      <c r="H17" s="372" t="s">
        <v>739</v>
      </c>
      <c r="I17" s="377"/>
      <c r="J17" s="368"/>
      <c r="K17" s="29"/>
      <c r="L17" s="422"/>
      <c r="M17" s="423" t="s">
        <v>1484</v>
      </c>
      <c r="N17" s="29"/>
      <c r="O17" s="293"/>
      <c r="P17" s="294"/>
      <c r="Q17" s="296"/>
      <c r="R17" s="294"/>
      <c r="S17" s="113"/>
    </row>
    <row r="18" spans="1:19" s="304" customFormat="1" x14ac:dyDescent="0.25">
      <c r="A18" s="143" t="s">
        <v>1327</v>
      </c>
      <c r="B18" s="142" t="s">
        <v>1332</v>
      </c>
      <c r="C18" s="115" t="s">
        <v>1349</v>
      </c>
      <c r="D18" s="142" t="s">
        <v>126</v>
      </c>
      <c r="E18" s="172" t="s">
        <v>1366</v>
      </c>
      <c r="F18" s="29"/>
      <c r="G18" s="504"/>
      <c r="H18" s="373" t="s">
        <v>739</v>
      </c>
      <c r="I18" s="375"/>
      <c r="J18" s="376"/>
      <c r="K18" s="29"/>
      <c r="L18" s="371"/>
      <c r="M18" s="418" t="s">
        <v>1484</v>
      </c>
      <c r="N18" s="29"/>
      <c r="O18" s="302"/>
      <c r="P18" s="303"/>
      <c r="Q18" s="141"/>
      <c r="R18" s="303"/>
      <c r="S18" s="144"/>
    </row>
    <row r="19" spans="1:19" ht="15.75" thickBot="1" x14ac:dyDescent="0.3">
      <c r="A19" s="20" t="s">
        <v>1328</v>
      </c>
      <c r="B19" s="21" t="s">
        <v>1332</v>
      </c>
      <c r="C19" s="93" t="s">
        <v>1350</v>
      </c>
      <c r="D19" s="21" t="s">
        <v>126</v>
      </c>
      <c r="E19" s="42" t="s">
        <v>1367</v>
      </c>
      <c r="F19" s="29"/>
      <c r="G19" s="504"/>
      <c r="H19" s="412" t="s">
        <v>739</v>
      </c>
      <c r="I19" s="413"/>
      <c r="J19" s="414"/>
      <c r="K19" s="29"/>
      <c r="L19" s="415"/>
      <c r="M19" s="416" t="s">
        <v>1484</v>
      </c>
      <c r="N19" s="29"/>
      <c r="O19" s="297"/>
      <c r="P19" s="298"/>
      <c r="Q19" s="299"/>
      <c r="R19" s="298"/>
      <c r="S19" s="300"/>
    </row>
    <row r="21" spans="1:19" ht="60" x14ac:dyDescent="0.25">
      <c r="H21" s="567" t="s">
        <v>1673</v>
      </c>
    </row>
  </sheetData>
  <mergeCells count="1">
    <mergeCell ref="A1:S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167.85546875" customWidth="1"/>
  </cols>
  <sheetData>
    <row r="1" spans="1:1" ht="139.5" thickBot="1" x14ac:dyDescent="0.3">
      <c r="A1" s="1" t="s">
        <v>1369</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
  <sheetViews>
    <sheetView zoomScale="70" zoomScaleNormal="70" workbookViewId="0">
      <pane xSplit="5" ySplit="2" topLeftCell="M3" activePane="bottomRight" state="frozen"/>
      <selection pane="topRight" activeCell="F1" sqref="F1"/>
      <selection pane="bottomLeft" activeCell="A3" sqref="A3"/>
      <selection pane="bottomRight" activeCell="E8" sqref="E8"/>
    </sheetView>
  </sheetViews>
  <sheetFormatPr defaultColWidth="44.5703125" defaultRowHeight="15" x14ac:dyDescent="0.25"/>
  <cols>
    <col min="1" max="1" width="7.28515625" bestFit="1" customWidth="1"/>
    <col min="2" max="2" width="24.5703125" bestFit="1" customWidth="1"/>
    <col min="3" max="3" width="41" bestFit="1" customWidth="1"/>
    <col min="4" max="4" width="17.85546875" bestFit="1" customWidth="1"/>
    <col min="5" max="5" width="122.85546875" customWidth="1"/>
    <col min="6" max="6" width="4.85546875" customWidth="1"/>
    <col min="7" max="7" width="44.5703125" hidden="1" customWidth="1"/>
    <col min="8" max="8" width="37.28515625" bestFit="1" customWidth="1"/>
    <col min="9" max="9" width="18.28515625" bestFit="1" customWidth="1"/>
    <col min="10" max="10" width="30.5703125" bestFit="1" customWidth="1"/>
    <col min="12" max="12" width="15.7109375" bestFit="1" customWidth="1"/>
    <col min="13" max="13" width="26.7109375" bestFit="1" customWidth="1"/>
    <col min="15" max="15" width="26.7109375" bestFit="1" customWidth="1"/>
    <col min="16" max="16" width="8.7109375" bestFit="1" customWidth="1"/>
    <col min="17" max="17" width="9.5703125" bestFit="1" customWidth="1"/>
    <col min="18" max="18" width="31.7109375" bestFit="1" customWidth="1"/>
    <col min="19" max="19" width="15.28515625" bestFit="1" customWidth="1"/>
  </cols>
  <sheetData>
    <row r="1" spans="1:19" ht="19.5" thickBot="1" x14ac:dyDescent="0.3">
      <c r="A1" s="703" t="s">
        <v>1580</v>
      </c>
      <c r="B1" s="704"/>
      <c r="C1" s="704"/>
      <c r="D1" s="704"/>
      <c r="E1" s="704"/>
      <c r="F1" s="704"/>
      <c r="G1" s="704"/>
      <c r="H1" s="704"/>
      <c r="I1" s="704"/>
      <c r="J1" s="704"/>
      <c r="K1" s="704"/>
      <c r="L1" s="704"/>
      <c r="M1" s="704"/>
      <c r="N1" s="704"/>
      <c r="O1" s="704"/>
      <c r="P1" s="704"/>
      <c r="Q1" s="704"/>
      <c r="R1" s="704"/>
      <c r="S1" s="706"/>
    </row>
    <row r="2" spans="1:19" ht="15.75" thickBot="1" x14ac:dyDescent="0.3">
      <c r="A2" s="246" t="s">
        <v>10</v>
      </c>
      <c r="B2" s="247" t="s">
        <v>11</v>
      </c>
      <c r="C2" s="247" t="s">
        <v>12</v>
      </c>
      <c r="D2" s="247" t="s">
        <v>13</v>
      </c>
      <c r="E2" s="248" t="s">
        <v>14</v>
      </c>
      <c r="F2" s="28"/>
      <c r="G2" s="28"/>
      <c r="H2" s="318" t="s">
        <v>725</v>
      </c>
      <c r="I2" s="319" t="s">
        <v>1412</v>
      </c>
      <c r="J2" s="320" t="s">
        <v>1411</v>
      </c>
      <c r="K2" s="28"/>
      <c r="L2" s="429" t="s">
        <v>87</v>
      </c>
      <c r="M2" s="430" t="s">
        <v>1475</v>
      </c>
      <c r="N2" s="28"/>
      <c r="O2" s="301" t="s">
        <v>15</v>
      </c>
      <c r="P2" s="278" t="s">
        <v>16</v>
      </c>
      <c r="Q2" s="278" t="s">
        <v>17</v>
      </c>
      <c r="R2" s="278" t="s">
        <v>18</v>
      </c>
      <c r="S2" s="279" t="s">
        <v>19</v>
      </c>
    </row>
    <row r="3" spans="1:19" x14ac:dyDescent="0.25">
      <c r="A3" s="306" t="s">
        <v>1370</v>
      </c>
      <c r="B3" s="307" t="s">
        <v>889</v>
      </c>
      <c r="C3" s="9" t="s">
        <v>1384</v>
      </c>
      <c r="D3" s="307" t="s">
        <v>126</v>
      </c>
      <c r="E3" s="260" t="s">
        <v>1395</v>
      </c>
      <c r="F3" s="29"/>
      <c r="G3" s="504"/>
      <c r="H3" s="431" t="s">
        <v>739</v>
      </c>
      <c r="I3" s="432"/>
      <c r="J3" s="433"/>
      <c r="K3" s="29"/>
      <c r="L3" s="434"/>
      <c r="M3" s="435" t="s">
        <v>1484</v>
      </c>
      <c r="N3" s="29"/>
      <c r="O3" s="62"/>
      <c r="P3" s="109"/>
      <c r="Q3" s="289"/>
      <c r="R3" s="109"/>
      <c r="S3" s="95"/>
    </row>
    <row r="4" spans="1:19" ht="210" x14ac:dyDescent="0.25">
      <c r="A4" s="251" t="s">
        <v>1371</v>
      </c>
      <c r="B4" s="249" t="s">
        <v>1382</v>
      </c>
      <c r="C4" s="23" t="s">
        <v>1385</v>
      </c>
      <c r="D4" s="249" t="s">
        <v>39</v>
      </c>
      <c r="E4" s="451" t="s">
        <v>1397</v>
      </c>
      <c r="F4" s="29"/>
      <c r="G4" s="504"/>
      <c r="H4" s="373" t="s">
        <v>739</v>
      </c>
      <c r="I4" s="375"/>
      <c r="J4" s="376"/>
      <c r="K4" s="29"/>
      <c r="L4" s="371"/>
      <c r="M4" s="418" t="s">
        <v>1484</v>
      </c>
      <c r="N4" s="29"/>
      <c r="O4" s="302"/>
      <c r="P4" s="303"/>
      <c r="Q4" s="141"/>
      <c r="R4" s="303"/>
      <c r="S4" s="144"/>
    </row>
    <row r="5" spans="1:19" x14ac:dyDescent="0.25">
      <c r="A5" s="102" t="s">
        <v>1372</v>
      </c>
      <c r="B5" s="103" t="s">
        <v>1382</v>
      </c>
      <c r="C5" s="80" t="s">
        <v>1386</v>
      </c>
      <c r="D5" s="103" t="s">
        <v>365</v>
      </c>
      <c r="E5" s="105" t="s">
        <v>1396</v>
      </c>
      <c r="F5" s="29"/>
      <c r="G5" s="504"/>
      <c r="H5" s="372" t="s">
        <v>739</v>
      </c>
      <c r="I5" s="377"/>
      <c r="J5" s="368"/>
      <c r="K5" s="29"/>
      <c r="L5" s="422"/>
      <c r="M5" s="423" t="s">
        <v>1484</v>
      </c>
      <c r="N5" s="29"/>
      <c r="O5" s="293"/>
      <c r="P5" s="294"/>
      <c r="Q5" s="296"/>
      <c r="R5" s="294"/>
      <c r="S5" s="113"/>
    </row>
    <row r="6" spans="1:19" x14ac:dyDescent="0.25">
      <c r="A6" s="251" t="s">
        <v>1373</v>
      </c>
      <c r="B6" s="249" t="s">
        <v>1382</v>
      </c>
      <c r="C6" s="23" t="s">
        <v>1387</v>
      </c>
      <c r="D6" s="249" t="s">
        <v>126</v>
      </c>
      <c r="E6" s="107" t="s">
        <v>1398</v>
      </c>
      <c r="F6" s="29"/>
      <c r="G6" s="504"/>
      <c r="H6" s="373" t="s">
        <v>739</v>
      </c>
      <c r="I6" s="375"/>
      <c r="J6" s="376"/>
      <c r="K6" s="29"/>
      <c r="L6" s="371"/>
      <c r="M6" s="418" t="s">
        <v>1484</v>
      </c>
      <c r="N6" s="29"/>
      <c r="O6" s="302"/>
      <c r="P6" s="303"/>
      <c r="Q6" s="141"/>
      <c r="R6" s="303"/>
      <c r="S6" s="144"/>
    </row>
    <row r="7" spans="1:19" x14ac:dyDescent="0.25">
      <c r="A7" s="102" t="s">
        <v>1374</v>
      </c>
      <c r="B7" s="103" t="s">
        <v>1382</v>
      </c>
      <c r="C7" s="80" t="s">
        <v>1388</v>
      </c>
      <c r="D7" s="103" t="s">
        <v>126</v>
      </c>
      <c r="E7" s="105" t="s">
        <v>1399</v>
      </c>
      <c r="F7" s="29"/>
      <c r="G7" s="504"/>
      <c r="H7" s="372" t="s">
        <v>739</v>
      </c>
      <c r="I7" s="377"/>
      <c r="J7" s="368"/>
      <c r="K7" s="29"/>
      <c r="L7" s="422"/>
      <c r="M7" s="423" t="s">
        <v>1484</v>
      </c>
      <c r="N7" s="29"/>
      <c r="O7" s="293"/>
      <c r="P7" s="294"/>
      <c r="Q7" s="296"/>
      <c r="R7" s="294"/>
      <c r="S7" s="113"/>
    </row>
    <row r="8" spans="1:19" ht="105" x14ac:dyDescent="0.25">
      <c r="A8" s="251" t="s">
        <v>1375</v>
      </c>
      <c r="B8" s="249" t="s">
        <v>1382</v>
      </c>
      <c r="C8" s="23" t="s">
        <v>1389</v>
      </c>
      <c r="D8" s="249" t="s">
        <v>126</v>
      </c>
      <c r="E8" s="451" t="s">
        <v>1400</v>
      </c>
      <c r="F8" s="29"/>
      <c r="G8" s="504"/>
      <c r="H8" s="373" t="s">
        <v>739</v>
      </c>
      <c r="I8" s="375"/>
      <c r="J8" s="376"/>
      <c r="K8" s="29"/>
      <c r="L8" s="371"/>
      <c r="M8" s="418" t="s">
        <v>1484</v>
      </c>
      <c r="N8" s="29"/>
      <c r="O8" s="302"/>
      <c r="P8" s="303"/>
      <c r="Q8" s="141"/>
      <c r="R8" s="303"/>
      <c r="S8" s="144"/>
    </row>
    <row r="9" spans="1:19" x14ac:dyDescent="0.25">
      <c r="A9" s="102" t="s">
        <v>1376</v>
      </c>
      <c r="B9" s="103" t="s">
        <v>1382</v>
      </c>
      <c r="C9" s="80" t="s">
        <v>1390</v>
      </c>
      <c r="D9" s="103" t="s">
        <v>126</v>
      </c>
      <c r="E9" s="105" t="s">
        <v>1401</v>
      </c>
      <c r="F9" s="29"/>
      <c r="G9" s="504"/>
      <c r="H9" s="372" t="s">
        <v>739</v>
      </c>
      <c r="I9" s="377"/>
      <c r="J9" s="368"/>
      <c r="K9" s="29"/>
      <c r="L9" s="422"/>
      <c r="M9" s="423" t="s">
        <v>1484</v>
      </c>
      <c r="N9" s="29"/>
      <c r="O9" s="293"/>
      <c r="P9" s="294"/>
      <c r="Q9" s="296"/>
      <c r="R9" s="294"/>
      <c r="S9" s="113"/>
    </row>
    <row r="10" spans="1:19" ht="45" x14ac:dyDescent="0.25">
      <c r="A10" s="251" t="s">
        <v>1377</v>
      </c>
      <c r="B10" s="249" t="s">
        <v>1382</v>
      </c>
      <c r="C10" s="23" t="s">
        <v>160</v>
      </c>
      <c r="D10" s="249" t="s">
        <v>39</v>
      </c>
      <c r="E10" s="107" t="s">
        <v>1611</v>
      </c>
      <c r="F10" s="29"/>
      <c r="G10" s="504"/>
      <c r="H10" s="373" t="s">
        <v>739</v>
      </c>
      <c r="I10" s="375"/>
      <c r="J10" s="376"/>
      <c r="K10" s="29"/>
      <c r="L10" s="371"/>
      <c r="M10" s="418" t="s">
        <v>1484</v>
      </c>
      <c r="N10" s="29"/>
      <c r="O10" s="302"/>
      <c r="P10" s="303"/>
      <c r="Q10" s="141"/>
      <c r="R10" s="303"/>
      <c r="S10" s="144"/>
    </row>
    <row r="11" spans="1:19" x14ac:dyDescent="0.25">
      <c r="A11" s="102" t="s">
        <v>1378</v>
      </c>
      <c r="B11" s="103" t="s">
        <v>1382</v>
      </c>
      <c r="C11" s="80" t="s">
        <v>1391</v>
      </c>
      <c r="D11" s="103" t="s">
        <v>22</v>
      </c>
      <c r="E11" s="105" t="s">
        <v>1402</v>
      </c>
      <c r="F11" s="29"/>
      <c r="G11" s="504"/>
      <c r="H11" s="372" t="s">
        <v>739</v>
      </c>
      <c r="I11" s="377"/>
      <c r="J11" s="368"/>
      <c r="K11" s="29"/>
      <c r="L11" s="422"/>
      <c r="M11" s="423" t="s">
        <v>1484</v>
      </c>
      <c r="N11" s="29"/>
      <c r="O11" s="293"/>
      <c r="P11" s="294"/>
      <c r="Q11" s="296"/>
      <c r="R11" s="294"/>
      <c r="S11" s="113"/>
    </row>
    <row r="12" spans="1:19" x14ac:dyDescent="0.25">
      <c r="A12" s="251" t="s">
        <v>1379</v>
      </c>
      <c r="B12" s="249" t="s">
        <v>1382</v>
      </c>
      <c r="C12" s="23" t="s">
        <v>1392</v>
      </c>
      <c r="D12" s="249" t="s">
        <v>22</v>
      </c>
      <c r="E12" s="107" t="s">
        <v>1403</v>
      </c>
      <c r="F12" s="29"/>
      <c r="G12" s="504"/>
      <c r="H12" s="373" t="s">
        <v>739</v>
      </c>
      <c r="I12" s="375"/>
      <c r="J12" s="376"/>
      <c r="K12" s="29"/>
      <c r="L12" s="371"/>
      <c r="M12" s="418" t="s">
        <v>1484</v>
      </c>
      <c r="N12" s="29"/>
      <c r="O12" s="302"/>
      <c r="P12" s="303"/>
      <c r="Q12" s="141"/>
      <c r="R12" s="303"/>
      <c r="S12" s="144"/>
    </row>
    <row r="13" spans="1:19" ht="210" x14ac:dyDescent="0.25">
      <c r="A13" s="102" t="s">
        <v>1380</v>
      </c>
      <c r="B13" s="103" t="s">
        <v>1382</v>
      </c>
      <c r="C13" s="80" t="s">
        <v>1393</v>
      </c>
      <c r="D13" s="103" t="s">
        <v>39</v>
      </c>
      <c r="E13" s="317" t="s">
        <v>1612</v>
      </c>
      <c r="F13" s="29"/>
      <c r="G13" s="504"/>
      <c r="H13" s="372" t="s">
        <v>739</v>
      </c>
      <c r="I13" s="377"/>
      <c r="J13" s="368"/>
      <c r="K13" s="29"/>
      <c r="L13" s="422"/>
      <c r="M13" s="423" t="s">
        <v>1484</v>
      </c>
      <c r="N13" s="29"/>
      <c r="O13" s="293"/>
      <c r="P13" s="294"/>
      <c r="Q13" s="296"/>
      <c r="R13" s="294"/>
      <c r="S13" s="113"/>
    </row>
    <row r="14" spans="1:19" x14ac:dyDescent="0.25">
      <c r="A14" s="251" t="s">
        <v>588</v>
      </c>
      <c r="B14" s="249" t="s">
        <v>1383</v>
      </c>
      <c r="C14" s="23" t="s">
        <v>589</v>
      </c>
      <c r="D14" s="249" t="s">
        <v>365</v>
      </c>
      <c r="E14" s="107" t="s">
        <v>933</v>
      </c>
      <c r="F14" s="29"/>
      <c r="G14" s="504"/>
      <c r="H14" s="373" t="s">
        <v>739</v>
      </c>
      <c r="I14" s="375"/>
      <c r="J14" s="376"/>
      <c r="K14" s="29"/>
      <c r="L14" s="371"/>
      <c r="M14" s="418" t="s">
        <v>1484</v>
      </c>
      <c r="N14" s="29"/>
      <c r="O14" s="302"/>
      <c r="P14" s="303"/>
      <c r="Q14" s="141"/>
      <c r="R14" s="303"/>
      <c r="S14" s="144"/>
    </row>
    <row r="15" spans="1:19" ht="60.75" thickBot="1" x14ac:dyDescent="0.3">
      <c r="A15" s="20" t="s">
        <v>1381</v>
      </c>
      <c r="B15" s="21" t="s">
        <v>1383</v>
      </c>
      <c r="C15" s="93" t="s">
        <v>1394</v>
      </c>
      <c r="D15" s="21" t="s">
        <v>39</v>
      </c>
      <c r="E15" s="42" t="s">
        <v>1613</v>
      </c>
      <c r="F15" s="29"/>
      <c r="G15" s="504"/>
      <c r="H15" s="412" t="s">
        <v>739</v>
      </c>
      <c r="I15" s="413"/>
      <c r="J15" s="414"/>
      <c r="K15" s="29"/>
      <c r="L15" s="415"/>
      <c r="M15" s="416" t="s">
        <v>1484</v>
      </c>
      <c r="N15" s="29"/>
      <c r="O15" s="297"/>
      <c r="P15" s="298"/>
      <c r="Q15" s="299"/>
      <c r="R15" s="298"/>
      <c r="S15" s="300"/>
    </row>
  </sheetData>
  <mergeCells count="1">
    <mergeCell ref="A1:S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M3:M15</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election activeCell="H7" sqref="H7"/>
    </sheetView>
  </sheetViews>
  <sheetFormatPr defaultRowHeight="15" x14ac:dyDescent="0.25"/>
  <cols>
    <col min="1" max="1" width="8.5703125" bestFit="1" customWidth="1"/>
    <col min="2" max="2" width="11.85546875" bestFit="1" customWidth="1"/>
    <col min="3" max="3" width="7.140625" bestFit="1" customWidth="1"/>
    <col min="4" max="4" width="10.85546875" bestFit="1" customWidth="1"/>
    <col min="5" max="5" width="8.5703125" bestFit="1" customWidth="1"/>
    <col min="6" max="6" width="7.140625" bestFit="1" customWidth="1"/>
    <col min="7" max="7" width="7.85546875" bestFit="1" customWidth="1"/>
    <col min="8" max="8" width="9.140625" bestFit="1" customWidth="1"/>
    <col min="9" max="9" width="6.7109375" bestFit="1" customWidth="1"/>
  </cols>
  <sheetData>
    <row r="1" spans="1:9" x14ac:dyDescent="0.25">
      <c r="A1" s="554" t="s">
        <v>1658</v>
      </c>
      <c r="B1" s="554" t="s">
        <v>1659</v>
      </c>
      <c r="C1" s="554" t="s">
        <v>1660</v>
      </c>
      <c r="D1" s="554" t="s">
        <v>1661</v>
      </c>
      <c r="E1" s="554" t="s">
        <v>1662</v>
      </c>
      <c r="F1" s="554" t="s">
        <v>1663</v>
      </c>
      <c r="G1" s="554" t="s">
        <v>1664</v>
      </c>
      <c r="H1" s="554" t="s">
        <v>1665</v>
      </c>
      <c r="I1" s="554" t="s">
        <v>1666</v>
      </c>
    </row>
    <row r="2" spans="1:9" x14ac:dyDescent="0.25">
      <c r="A2" s="556"/>
    </row>
    <row r="3" spans="1:9" x14ac:dyDescent="0.25">
      <c r="A3" s="556"/>
    </row>
    <row r="4" spans="1:9" x14ac:dyDescent="0.25">
      <c r="A4" s="556"/>
    </row>
    <row r="5" spans="1:9" x14ac:dyDescent="0.25">
      <c r="A5" s="556"/>
    </row>
    <row r="6" spans="1:9" x14ac:dyDescent="0.25">
      <c r="A6" s="556"/>
    </row>
    <row r="7" spans="1:9" x14ac:dyDescent="0.25">
      <c r="A7" s="556"/>
    </row>
    <row r="8" spans="1:9" x14ac:dyDescent="0.25">
      <c r="A8" s="556"/>
    </row>
    <row r="9" spans="1:9" x14ac:dyDescent="0.25">
      <c r="A9" s="556"/>
    </row>
  </sheetData>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A34" sqref="A34"/>
    </sheetView>
  </sheetViews>
  <sheetFormatPr defaultRowHeight="15" x14ac:dyDescent="0.25"/>
  <cols>
    <col min="1" max="1" width="74.85546875" customWidth="1"/>
  </cols>
  <sheetData>
    <row r="1" spans="1:1" x14ac:dyDescent="0.25">
      <c r="A1" s="382" t="s">
        <v>1485</v>
      </c>
    </row>
    <row r="2" spans="1:1" x14ac:dyDescent="0.25">
      <c r="A2" s="383" t="s">
        <v>1476</v>
      </c>
    </row>
    <row r="3" spans="1:1" x14ac:dyDescent="0.25">
      <c r="A3" s="381" t="s">
        <v>1477</v>
      </c>
    </row>
    <row r="4" spans="1:1" x14ac:dyDescent="0.25">
      <c r="A4" s="383" t="s">
        <v>1480</v>
      </c>
    </row>
    <row r="5" spans="1:1" x14ac:dyDescent="0.25">
      <c r="A5" s="381" t="s">
        <v>1481</v>
      </c>
    </row>
    <row r="6" spans="1:1" x14ac:dyDescent="0.25">
      <c r="A6" s="383" t="s">
        <v>1482</v>
      </c>
    </row>
    <row r="7" spans="1:1" x14ac:dyDescent="0.25">
      <c r="A7" s="381" t="s">
        <v>1483</v>
      </c>
    </row>
    <row r="8" spans="1:1" ht="15.75" thickBot="1" x14ac:dyDescent="0.3">
      <c r="A8" s="384" t="s">
        <v>1484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2" ma:contentTypeDescription="Criar um novo documento." ma:contentTypeScope="" ma:versionID="a7a7c7330211281f7243a22470ce2e5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c28e91176c9b4921ea9a3bbad06dd6c"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E2900E-8ED9-4FB0-97C2-DEB654BE2610}">
  <ds:schemaRefs>
    <ds:schemaRef ds:uri="http://schemas.openxmlformats.org/package/2006/metadata/core-properties"/>
    <ds:schemaRef ds:uri="5ad20f8b-9281-4829-a9aa-2b5a878ba2cc"/>
    <ds:schemaRef ds:uri="http://purl.org/dc/dcmitype/"/>
    <ds:schemaRef ds:uri="http://purl.org/dc/terms/"/>
    <ds:schemaRef ds:uri="http://schemas.microsoft.com/office/2006/documentManagement/types"/>
    <ds:schemaRef ds:uri="http://schemas.microsoft.com/office/infopath/2007/PartnerControls"/>
    <ds:schemaRef ds:uri="http://schemas.microsoft.com/sharepoint/v3"/>
    <ds:schemaRef ds:uri="http://purl.org/dc/elements/1.1/"/>
    <ds:schemaRef ds:uri="09d3dac3-f296-4107-b579-4b1e37be6169"/>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6F76438D-AFD2-4A94-BF16-9EC6A60210D7}">
  <ds:schemaRefs>
    <ds:schemaRef ds:uri="http://schemas.microsoft.com/sharepoint/v3/contenttype/forms"/>
  </ds:schemaRefs>
</ds:datastoreItem>
</file>

<file path=customXml/itemProps3.xml><?xml version="1.0" encoding="utf-8"?>
<ds:datastoreItem xmlns:ds="http://schemas.openxmlformats.org/officeDocument/2006/customXml" ds:itemID="{1F657930-D635-4E23-8C3D-5E54F4BCF70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PDS</vt:lpstr>
      <vt:lpstr>UNIVERSOS</vt:lpstr>
      <vt:lpstr>LEGAL PERSONS DATA SETS</vt:lpstr>
      <vt:lpstr>LEGALP_INSTRUMENTS</vt:lpstr>
      <vt:lpstr>LEGALP_COUNTERPARTIES</vt:lpstr>
      <vt:lpstr>LEGALP_PROTECTIONS</vt:lpstr>
      <vt:lpstr>LEGALP_INSTRUMENT_COUNTERPARTY</vt:lpstr>
      <vt:lpstr>LEGALP_INSTRUMENT_PROTECTION</vt:lpstr>
      <vt:lpstr>NATURAL PERSONS DATA SETS</vt:lpstr>
      <vt:lpstr>NATURALP_INSTRUMENTS</vt:lpstr>
      <vt:lpstr>NATURALP_COUNTERPARTIES</vt:lpstr>
      <vt:lpstr>NATURALP_PROTECTIONS</vt:lpstr>
      <vt:lpstr>NATURALP_INSTRUMENT_COUNTERPART</vt:lpstr>
      <vt:lpstr>NATURALP_INSTRUMENT_PROTECTION</vt:lpstr>
      <vt:lpstr>OFF-BALANCE DATA SETS</vt:lpstr>
      <vt:lpstr>OFFBAL_INSTRUMENTS</vt:lpstr>
      <vt:lpstr>OFFBAL_COUNTERPARTIES</vt:lpstr>
      <vt:lpstr>OFFBAL_PROTECTIONS</vt:lpstr>
      <vt:lpstr>OFFBAL_INSTRUMENT_COUNTERPARTY</vt:lpstr>
      <vt:lpstr>OFFBAL_INSTRUMENT_PROTECTION</vt:lpstr>
      <vt:lpstr>DERIVATIVES Data Set</vt:lpstr>
      <vt:lpstr>DERIVATIVES</vt:lpstr>
      <vt:lpstr>DEBT SECURITIES Data Set</vt:lpstr>
      <vt:lpstr>DEBT_SECURITIES</vt:lpstr>
      <vt:lpstr>EQUITY INSTRUMENTS Data Set</vt:lpstr>
      <vt:lpstr>EQUITY_INSTRUMENTS</vt:lpstr>
      <vt:lpstr>DTA DTC Data Set</vt:lpstr>
      <vt:lpstr>DTA_DTC</vt:lpstr>
      <vt:lpstr>INTANGIBLE ASSETS Data Set</vt:lpstr>
      <vt:lpstr>INTANGIBLE_ASSETS</vt:lpstr>
      <vt:lpstr>LT803_CODIGOS_LT</vt:lpstr>
      <vt:lpstr>AUX</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Luís Filipe da Silva Pragosa</cp:lastModifiedBy>
  <cp:revision/>
  <dcterms:created xsi:type="dcterms:W3CDTF">2023-07-31T13:21:11Z</dcterms:created>
  <dcterms:modified xsi:type="dcterms:W3CDTF">2024-04-30T15:01:28Z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2023-07-31T14:52:33Z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19954b8a-189e-449e-b1b4-3421d6f3c9a7</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