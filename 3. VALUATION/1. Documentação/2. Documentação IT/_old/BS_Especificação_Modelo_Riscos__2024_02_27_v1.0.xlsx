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e859162\Santander Office 365\IR RH Riscos - General\01. Gestão\02. Pontos de Situação\25. 2024-02-27\"/>
    </mc:Choice>
  </mc:AlternateContent>
  <bookViews>
    <workbookView xWindow="0" yWindow="0" windowWidth="28800" windowHeight="11835" tabRatio="754" firstSheet="7" activeTab="19"/>
  </bookViews>
  <sheets>
    <sheet name="Capa" sheetId="1" r:id="rId1"/>
    <sheet name="Metodologia" sheetId="2" r:id="rId2"/>
    <sheet name="Indice" sheetId="16" r:id="rId3"/>
    <sheet name="Tbl Param Atributos" sheetId="15" state="hidden" r:id="rId4"/>
    <sheet name="Resumo" sheetId="23" r:id="rId5"/>
    <sheet name="ct872_reg_conct - âmbito" sheetId="18" r:id="rId6"/>
    <sheet name="ct872_reg_conct - ativo" sheetId="11" r:id="rId7"/>
    <sheet name="ct872_reg_conct - passivo" sheetId="13" r:id="rId8"/>
    <sheet name="Modris_Param_Prazo_Cont" sheetId="32" r:id="rId9"/>
    <sheet name="ct805_matriz_cnt" sheetId="17" r:id="rId10"/>
    <sheet name="fact_contratos_contabilidade_at" sheetId="5" r:id="rId11"/>
    <sheet name="fact_contratos_gsi" sheetId="30" r:id="rId12"/>
    <sheet name="fact_contratos_ifrs9" sheetId="28" r:id="rId13"/>
    <sheet name="Sheet1" sheetId="24" state="hidden" r:id="rId14"/>
    <sheet name="fact_contratos_capital" sheetId="29" r:id="rId15"/>
    <sheet name="fact_contratos_nd" sheetId="22" r:id="rId16"/>
    <sheet name="fact_contratos_mis" sheetId="6" r:id="rId17"/>
    <sheet name="fact_contratos_alm" sheetId="31" r:id="rId18"/>
    <sheet name="fact_clientes" sheetId="3" r:id="rId19"/>
    <sheet name="fact_clientes_crc" sheetId="33" r:id="rId20"/>
    <sheet name="dim_bridge_perimetros" sheetId="21" r:id="rId21"/>
    <sheet name="fact_contratos_passivo" sheetId="7" r:id="rId22"/>
    <sheet name="rsc_view_contratos_ativo" sheetId="19" r:id="rId23"/>
    <sheet name="rsc_view_clientes" sheetId="20" r:id="rId24"/>
    <sheet name="lista_dimensoes" sheetId="12" r:id="rId25"/>
    <sheet name="Lista campos desconsiderados" sheetId="25" r:id="rId26"/>
    <sheet name="Dimensões" sheetId="9" state="hidden" r:id="rId27"/>
    <sheet name="Tabelas AUX" sheetId="8" r:id="rId28"/>
    <sheet name="Sheet2" sheetId="26" r:id="rId29"/>
    <sheet name="Layout" sheetId="4" state="hidden" r:id="rId30"/>
  </sheets>
  <definedNames>
    <definedName name="_xlnm._FilterDatabase" localSheetId="9" hidden="1">ct805_matriz_cnt!$B$12:$U$12</definedName>
    <definedName name="_xlnm._FilterDatabase" localSheetId="5" hidden="1">'ct872_reg_conct - âmbito'!$B$12:$Q$12</definedName>
    <definedName name="_xlnm._FilterDatabase" localSheetId="6" hidden="1">'ct872_reg_conct - ativo'!$B$12:$G$21</definedName>
    <definedName name="_xlnm._FilterDatabase" localSheetId="7" hidden="1">'ct872_reg_conct - passivo'!$B$12:$G$20</definedName>
    <definedName name="_xlnm._FilterDatabase" localSheetId="20" hidden="1">dim_bridge_perimetros!$B$12:$AE$12</definedName>
    <definedName name="_xlnm._FilterDatabase" localSheetId="18" hidden="1">fact_clientes!$B$12:$AE$111</definedName>
    <definedName name="_xlnm._FilterDatabase" localSheetId="19" hidden="1">fact_clientes_crc!$B$12:$AE$123</definedName>
    <definedName name="_xlnm._FilterDatabase" localSheetId="17" hidden="1">fact_contratos_alm!$B$12:$AE$24</definedName>
    <definedName name="_xlnm._FilterDatabase" localSheetId="14" hidden="1">fact_contratos_capital!$B$12:$AE$35</definedName>
    <definedName name="_xlnm._FilterDatabase" localSheetId="10" hidden="1">fact_contratos_contabilidade_at!$A$12:$AD$81</definedName>
    <definedName name="_xlnm._FilterDatabase" localSheetId="11" hidden="1">fact_contratos_gsi!$A$12:$AE$28</definedName>
    <definedName name="_xlnm._FilterDatabase" localSheetId="12" hidden="1">fact_contratos_ifrs9!$B$12:$AE$24</definedName>
    <definedName name="_xlnm._FilterDatabase" localSheetId="16" hidden="1">fact_contratos_mis!$B$12:$AE$99</definedName>
    <definedName name="_xlnm._FilterDatabase" localSheetId="15" hidden="1">fact_contratos_nd!$B$12:$AE$34</definedName>
    <definedName name="_xlnm._FilterDatabase" localSheetId="21" hidden="1">fact_contratos_passivo!$B$12:$U$37</definedName>
    <definedName name="_xlnm._FilterDatabase" localSheetId="29" hidden="1">Layout!$B$12:$T$12</definedName>
    <definedName name="_xlnm._FilterDatabase" localSheetId="25" hidden="1">'Lista campos desconsiderados'!$B$12:$V$12</definedName>
    <definedName name="_xlnm._FilterDatabase" localSheetId="24" hidden="1">lista_dimensoes!$B$12:$AC$47</definedName>
    <definedName name="_xlnm._FilterDatabase" localSheetId="8" hidden="1">Modris_Param_Prazo_Cont!$B$12:$C$15</definedName>
    <definedName name="_xlnm._FilterDatabase" localSheetId="23" hidden="1">rsc_view_clientes!$B$12:$AD$29</definedName>
    <definedName name="_xlnm._FilterDatabase" localSheetId="22" hidden="1">rsc_view_contratos_ativo!$B$12:$AD$40</definedName>
    <definedName name="_xlnm._FilterDatabase" localSheetId="3" hidden="1">'Tbl Param Atributos'!$B$12:$T$12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3" l="1"/>
  <c r="E8" i="23"/>
  <c r="N41" i="23"/>
  <c r="O46" i="23"/>
  <c r="Q39" i="23"/>
  <c r="Q45" i="23"/>
  <c r="N47" i="23"/>
  <c r="P43" i="23"/>
  <c r="N40" i="23"/>
  <c r="Q40" i="23"/>
  <c r="P48" i="23"/>
  <c r="L42" i="23"/>
  <c r="M42" i="23"/>
  <c r="P42" i="23"/>
  <c r="L44" i="23"/>
  <c r="M45" i="23"/>
  <c r="M48" i="23"/>
  <c r="M41" i="23"/>
  <c r="M43" i="23"/>
  <c r="L41" i="23"/>
  <c r="P41" i="23"/>
  <c r="L39" i="23"/>
  <c r="Q41" i="23"/>
  <c r="N42" i="23"/>
  <c r="P47" i="23"/>
  <c r="N45" i="23"/>
  <c r="L38" i="23"/>
  <c r="M46" i="23"/>
  <c r="M47" i="23"/>
  <c r="L45" i="23"/>
  <c r="P45" i="23"/>
  <c r="O40" i="23"/>
  <c r="L40" i="23"/>
  <c r="Q48" i="23"/>
  <c r="Q43" i="23"/>
  <c r="N48" i="23"/>
  <c r="N38" i="23"/>
  <c r="O45" i="23"/>
  <c r="M39" i="23"/>
  <c r="Q42" i="23"/>
  <c r="L48" i="23"/>
  <c r="O41" i="23"/>
  <c r="O47" i="23"/>
  <c r="L47" i="23"/>
  <c r="M44" i="23"/>
  <c r="N39" i="23"/>
  <c r="N46" i="23"/>
  <c r="Q47" i="23"/>
  <c r="N43" i="23"/>
  <c r="O42" i="23"/>
  <c r="O44" i="23"/>
  <c r="P44" i="23"/>
  <c r="O48" i="23"/>
  <c r="O39" i="23"/>
  <c r="L43" i="23"/>
  <c r="O38" i="23"/>
  <c r="O43" i="23"/>
  <c r="P40" i="23"/>
  <c r="N44" i="23"/>
  <c r="Q46" i="23"/>
  <c r="P39" i="23"/>
  <c r="P38" i="23"/>
  <c r="Q38" i="23"/>
  <c r="M38" i="23"/>
  <c r="Q44" i="23"/>
  <c r="P46" i="23"/>
  <c r="N49" i="23" l="1"/>
  <c r="O49" i="23"/>
  <c r="P49" i="23"/>
  <c r="Q49" i="23"/>
  <c r="E12" i="23"/>
  <c r="D12" i="23"/>
  <c r="F8" i="23"/>
  <c r="F9" i="23"/>
  <c r="F10" i="23"/>
  <c r="F11" i="23"/>
  <c r="L46" i="23"/>
  <c r="M40" i="23"/>
  <c r="L49" i="23" l="1"/>
  <c r="M49" i="23"/>
  <c r="F12" i="23"/>
  <c r="K6" i="24" l="1"/>
  <c r="K7" i="24" s="1"/>
  <c r="D27" i="23"/>
  <c r="E44" i="23"/>
  <c r="D41" i="23"/>
  <c r="D42" i="23"/>
  <c r="F19" i="23"/>
  <c r="D48" i="23"/>
  <c r="G20" i="23"/>
  <c r="K40" i="23"/>
  <c r="H22" i="23"/>
  <c r="D47" i="23"/>
  <c r="G27" i="23"/>
  <c r="E39" i="23"/>
  <c r="I28" i="23"/>
  <c r="I23" i="23"/>
  <c r="H29" i="23"/>
  <c r="H27" i="23"/>
  <c r="J40" i="23"/>
  <c r="I41" i="23"/>
  <c r="H38" i="23"/>
  <c r="J46" i="23"/>
  <c r="H25" i="23"/>
  <c r="G38" i="23"/>
  <c r="K48" i="23"/>
  <c r="J39" i="23"/>
  <c r="K43" i="23"/>
  <c r="G23" i="23"/>
  <c r="D19" i="23"/>
  <c r="D28" i="23"/>
  <c r="F43" i="23"/>
  <c r="K45" i="23"/>
  <c r="J48" i="23"/>
  <c r="G45" i="23"/>
  <c r="I45" i="23"/>
  <c r="E42" i="23"/>
  <c r="H47" i="23"/>
  <c r="G47" i="23"/>
  <c r="H28" i="23"/>
  <c r="I24" i="23"/>
  <c r="F28" i="23"/>
  <c r="G21" i="23"/>
  <c r="D26" i="23"/>
  <c r="D44" i="23"/>
  <c r="I19" i="23"/>
  <c r="K38" i="23"/>
  <c r="D23" i="23"/>
  <c r="F46" i="23"/>
  <c r="G28" i="23"/>
  <c r="I46" i="23"/>
  <c r="G24" i="23"/>
  <c r="F47" i="23"/>
  <c r="H40" i="23"/>
  <c r="G41" i="23"/>
  <c r="F23" i="23"/>
  <c r="H46" i="23"/>
  <c r="G40" i="23"/>
  <c r="I20" i="23"/>
  <c r="F26" i="23"/>
  <c r="F24" i="23"/>
  <c r="K46" i="23"/>
  <c r="G48" i="23"/>
  <c r="K41" i="23"/>
  <c r="E38" i="23"/>
  <c r="H19" i="23"/>
  <c r="H41" i="23"/>
  <c r="H48" i="23"/>
  <c r="D38" i="23"/>
  <c r="H44" i="23"/>
  <c r="I25" i="23"/>
  <c r="E47" i="23"/>
  <c r="E48" i="23"/>
  <c r="D39" i="23"/>
  <c r="F22" i="23"/>
  <c r="F21" i="23"/>
  <c r="D24" i="23"/>
  <c r="G42" i="23"/>
  <c r="D25" i="23"/>
  <c r="J47" i="23"/>
  <c r="G46" i="23"/>
  <c r="I39" i="23"/>
  <c r="F39" i="23"/>
  <c r="D40" i="23"/>
  <c r="E43" i="23"/>
  <c r="H45" i="23"/>
  <c r="F41" i="23"/>
  <c r="K39" i="23"/>
  <c r="J45" i="23"/>
  <c r="H23" i="23"/>
  <c r="G25" i="23"/>
  <c r="G39" i="23"/>
  <c r="E46" i="23"/>
  <c r="I43" i="23"/>
  <c r="D45" i="23"/>
  <c r="I42" i="23"/>
  <c r="D20" i="23"/>
  <c r="G43" i="23"/>
  <c r="F48" i="23"/>
  <c r="H24" i="23"/>
  <c r="J44" i="23"/>
  <c r="D43" i="23"/>
  <c r="G26" i="23"/>
  <c r="F29" i="23"/>
  <c r="G44" i="23"/>
  <c r="E41" i="23"/>
  <c r="I44" i="23"/>
  <c r="D29" i="23"/>
  <c r="J42" i="23"/>
  <c r="G22" i="23"/>
  <c r="K44" i="23"/>
  <c r="D46" i="23"/>
  <c r="F38" i="23"/>
  <c r="D22" i="23"/>
  <c r="G19" i="23"/>
  <c r="H43" i="23"/>
  <c r="H42" i="23"/>
  <c r="K42" i="23"/>
  <c r="I40" i="23"/>
  <c r="D21" i="23"/>
  <c r="I47" i="23"/>
  <c r="K47" i="23"/>
  <c r="F25" i="23"/>
  <c r="I29" i="23"/>
  <c r="I21" i="23"/>
  <c r="F20" i="23"/>
  <c r="H21" i="23"/>
  <c r="H26" i="23"/>
  <c r="H39" i="23"/>
  <c r="I38" i="23"/>
  <c r="H20" i="23"/>
  <c r="F40" i="23"/>
  <c r="E40" i="23"/>
  <c r="J38" i="23"/>
  <c r="F42" i="23"/>
  <c r="I22" i="23"/>
  <c r="I27" i="23"/>
  <c r="F44" i="23"/>
  <c r="F45" i="23"/>
  <c r="J43" i="23"/>
  <c r="I26" i="23"/>
  <c r="G29" i="23"/>
  <c r="E45" i="23"/>
  <c r="F27" i="23"/>
  <c r="J41" i="23"/>
  <c r="I48" i="23"/>
  <c r="I58" i="23" l="1"/>
  <c r="G55" i="23"/>
  <c r="F58" i="23"/>
  <c r="E59" i="23"/>
  <c r="M24" i="23"/>
  <c r="E63" i="23"/>
  <c r="H61" i="23"/>
  <c r="I57" i="23"/>
  <c r="F55" i="23"/>
  <c r="M27" i="23"/>
  <c r="K60" i="23"/>
  <c r="H56" i="23"/>
  <c r="K20" i="23"/>
  <c r="K62" i="23"/>
  <c r="H57" i="23"/>
  <c r="H58" i="23"/>
  <c r="G57" i="23"/>
  <c r="F59" i="23"/>
  <c r="H53" i="23"/>
  <c r="K61" i="23"/>
  <c r="M21" i="23"/>
  <c r="P60" i="23"/>
  <c r="N60" i="23"/>
  <c r="O60" i="23"/>
  <c r="Q60" i="23"/>
  <c r="L60" i="23"/>
  <c r="M60" i="23"/>
  <c r="L21" i="23"/>
  <c r="M22" i="23"/>
  <c r="F54" i="23"/>
  <c r="K58" i="23"/>
  <c r="K56" i="23"/>
  <c r="J27" i="23"/>
  <c r="J21" i="23"/>
  <c r="K24" i="23"/>
  <c r="I63" i="23"/>
  <c r="M29" i="23"/>
  <c r="O53" i="23"/>
  <c r="P53" i="23"/>
  <c r="N53" i="23"/>
  <c r="L53" i="23"/>
  <c r="M53" i="23"/>
  <c r="Q53" i="23"/>
  <c r="F57" i="23"/>
  <c r="E60" i="23"/>
  <c r="J29" i="23"/>
  <c r="G58" i="23"/>
  <c r="K25" i="23"/>
  <c r="I56" i="23"/>
  <c r="L28" i="23"/>
  <c r="J20" i="23"/>
  <c r="K54" i="23"/>
  <c r="G53" i="23"/>
  <c r="J63" i="23"/>
  <c r="F63" i="23"/>
  <c r="J26" i="23"/>
  <c r="K28" i="23"/>
  <c r="K23" i="23"/>
  <c r="Q55" i="23"/>
  <c r="M55" i="23"/>
  <c r="N55" i="23"/>
  <c r="P55" i="23"/>
  <c r="O55" i="23"/>
  <c r="L55" i="23"/>
  <c r="M20" i="23"/>
  <c r="H59" i="23"/>
  <c r="J23" i="23"/>
  <c r="L24" i="23"/>
  <c r="I60" i="23"/>
  <c r="K29" i="23"/>
  <c r="J22" i="23"/>
  <c r="J55" i="23"/>
  <c r="E61" i="23"/>
  <c r="E55" i="23"/>
  <c r="F62" i="23"/>
  <c r="M26" i="23"/>
  <c r="O54" i="23"/>
  <c r="M54" i="23"/>
  <c r="Q54" i="23"/>
  <c r="L54" i="23"/>
  <c r="P54" i="23"/>
  <c r="N54" i="23"/>
  <c r="G60" i="23"/>
  <c r="E57" i="23"/>
  <c r="J49" i="23"/>
  <c r="J53" i="23"/>
  <c r="N62" i="23"/>
  <c r="O62" i="23"/>
  <c r="M62" i="23"/>
  <c r="Q62" i="23"/>
  <c r="L62" i="23"/>
  <c r="P62" i="23"/>
  <c r="M25" i="23"/>
  <c r="K63" i="23"/>
  <c r="K26" i="23"/>
  <c r="O57" i="23"/>
  <c r="P57" i="23"/>
  <c r="N57" i="23"/>
  <c r="M57" i="23"/>
  <c r="L57" i="23"/>
  <c r="Q57" i="23"/>
  <c r="K55" i="23"/>
  <c r="J60" i="23"/>
  <c r="G61" i="23"/>
  <c r="K19" i="23"/>
  <c r="D30" i="23"/>
  <c r="E27" i="23" s="1"/>
  <c r="L58" i="23"/>
  <c r="M58" i="23"/>
  <c r="N58" i="23"/>
  <c r="O58" i="23"/>
  <c r="P58" i="23"/>
  <c r="Q58" i="23"/>
  <c r="M59" i="23"/>
  <c r="L59" i="23"/>
  <c r="Q59" i="23"/>
  <c r="N59" i="23"/>
  <c r="O59" i="23"/>
  <c r="P59" i="23"/>
  <c r="E62" i="23"/>
  <c r="G63" i="23"/>
  <c r="G54" i="23"/>
  <c r="L61" i="23"/>
  <c r="O61" i="23"/>
  <c r="N61" i="23"/>
  <c r="P61" i="23"/>
  <c r="M61" i="23"/>
  <c r="Q61" i="23"/>
  <c r="N63" i="23"/>
  <c r="O63" i="23"/>
  <c r="P63" i="23"/>
  <c r="L63" i="23"/>
  <c r="Q63" i="23"/>
  <c r="M63" i="23"/>
  <c r="L23" i="23"/>
  <c r="K59" i="23"/>
  <c r="I62" i="23"/>
  <c r="L29" i="23"/>
  <c r="L22" i="23"/>
  <c r="F61" i="23"/>
  <c r="I53" i="23"/>
  <c r="I61" i="23"/>
  <c r="L25" i="23"/>
  <c r="H63" i="23"/>
  <c r="J62" i="23"/>
  <c r="M23" i="23"/>
  <c r="F56" i="23"/>
  <c r="F60" i="23"/>
  <c r="E54" i="23"/>
  <c r="J56" i="23"/>
  <c r="J61" i="23"/>
  <c r="G59" i="23"/>
  <c r="K21" i="23"/>
  <c r="J59" i="23"/>
  <c r="Q56" i="23"/>
  <c r="L56" i="23"/>
  <c r="M56" i="23"/>
  <c r="P56" i="23"/>
  <c r="O56" i="23"/>
  <c r="N56" i="23"/>
  <c r="J54" i="23"/>
  <c r="I54" i="23"/>
  <c r="I59" i="23"/>
  <c r="L26" i="23"/>
  <c r="I55" i="23"/>
  <c r="K27" i="23"/>
  <c r="M19" i="23"/>
  <c r="J24" i="23"/>
  <c r="G56" i="23"/>
  <c r="K22" i="23"/>
  <c r="E58" i="23"/>
  <c r="E53" i="23"/>
  <c r="E56" i="23"/>
  <c r="L19" i="23"/>
  <c r="K49" i="23"/>
  <c r="K53" i="23"/>
  <c r="H60" i="23"/>
  <c r="G62" i="23"/>
  <c r="H55" i="23"/>
  <c r="J58" i="23"/>
  <c r="H62" i="23"/>
  <c r="M28" i="23"/>
  <c r="H54" i="23"/>
  <c r="J25" i="23"/>
  <c r="L20" i="23"/>
  <c r="K57" i="23"/>
  <c r="F53" i="23"/>
  <c r="J57" i="23"/>
  <c r="J28" i="23"/>
  <c r="L27" i="23"/>
  <c r="J19" i="23"/>
  <c r="E49" i="23"/>
  <c r="G49" i="23"/>
  <c r="F49" i="23"/>
  <c r="I49" i="23"/>
  <c r="H49" i="23"/>
  <c r="I30" i="23"/>
  <c r="H30" i="23"/>
  <c r="G30" i="23"/>
  <c r="F30" i="23"/>
  <c r="C8" i="1"/>
  <c r="E25" i="23" l="1"/>
  <c r="E28" i="23"/>
  <c r="D49" i="23"/>
  <c r="D56" i="23" l="1"/>
  <c r="D59" i="23"/>
  <c r="D55" i="23"/>
  <c r="D61" i="23"/>
  <c r="D60" i="23"/>
  <c r="D62" i="23"/>
  <c r="D57" i="23"/>
  <c r="D54" i="23"/>
  <c r="D58" i="23"/>
  <c r="M64" i="23"/>
  <c r="N64" i="23"/>
  <c r="L64" i="23"/>
  <c r="K64" i="23"/>
  <c r="J64" i="23"/>
  <c r="H64" i="23"/>
  <c r="F64" i="23"/>
  <c r="P64" i="23" s="1"/>
  <c r="E64" i="23"/>
  <c r="O64" i="23" s="1"/>
  <c r="G64" i="23"/>
  <c r="Q64" i="23" s="1"/>
  <c r="I64" i="23"/>
  <c r="D63" i="23"/>
  <c r="D53" i="23"/>
  <c r="E23" i="23"/>
  <c r="E26" i="23"/>
  <c r="E24" i="23"/>
  <c r="J30" i="23"/>
  <c r="K30" i="23"/>
  <c r="M30" i="23"/>
  <c r="L30" i="23"/>
  <c r="E20" i="23"/>
  <c r="E29" i="23"/>
  <c r="E19" i="23"/>
  <c r="E22" i="23"/>
  <c r="E21" i="23"/>
  <c r="D64" i="23" l="1"/>
  <c r="E30" i="23"/>
</calcChain>
</file>

<file path=xl/sharedStrings.xml><?xml version="1.0" encoding="utf-8"?>
<sst xmlns="http://schemas.openxmlformats.org/spreadsheetml/2006/main" count="7211" uniqueCount="1775">
  <si>
    <t>Modelo de Riscos</t>
  </si>
  <si>
    <t>Lisboa,</t>
  </si>
  <si>
    <t>Metodologia de aplicação de especificação</t>
  </si>
  <si>
    <t>1. Enquadramento</t>
  </si>
  <si>
    <t>O presente documento de especificação é realizado no âmbito do projeto da criação do Módulo de Risco.</t>
  </si>
  <si>
    <t>2. Solução Proposta</t>
  </si>
  <si>
    <t>Notas adicionais |  Metodologia de cálculo (data)</t>
  </si>
  <si>
    <r>
      <t xml:space="preserve">Todos os campos devem ser calculados sobre a </t>
    </r>
    <r>
      <rPr>
        <b/>
        <sz val="10"/>
        <color theme="1"/>
        <rFont val="Arial"/>
        <family val="2"/>
      </rPr>
      <t>data de referência em análise/processamento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 xml:space="preserve">exceto quando mencionado o contrário
</t>
    </r>
    <r>
      <rPr>
        <sz val="10"/>
        <color theme="1"/>
        <rFont val="Arial"/>
        <family val="2"/>
      </rPr>
      <t>Quando são necessárias</t>
    </r>
    <r>
      <rPr>
        <b/>
        <sz val="10"/>
        <color theme="1"/>
        <rFont val="Arial"/>
        <family val="2"/>
      </rPr>
      <t xml:space="preserve"> diferentes periodicidades</t>
    </r>
    <r>
      <rPr>
        <sz val="10"/>
        <color theme="1"/>
        <rFont val="Arial"/>
        <family val="2"/>
      </rPr>
      <t xml:space="preserve"> de um campo: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- Mês anterior - nomenclatura para saldos "_mtd", nomenclatura para atributos "_mes_ant"
- Trimestre anterior (mar/jun/set/dez anterior) - nomenclatura para saldo "_qtd", nomenclatura para atributos "_trm_ant"
- Ano anterior (dez ano anterior) - nomenclatura para saldo "_ytd", nomenclatura para atributos  "_ano_ant"</t>
    </r>
  </si>
  <si>
    <t>Notas adicionais |  Criação de Views</t>
  </si>
  <si>
    <t>Adicionalmente às tabelas de output que serão geradas, será ainda necessário analisar/criar as seguintes views:
 1. Info de cliente agregada por ccli_grupo
 2. Info de contrato, com info adicional: icli_nd</t>
  </si>
  <si>
    <t>Índice de tabelas</t>
  </si>
  <si>
    <t>Tabela</t>
  </si>
  <si>
    <t>Tipologia</t>
  </si>
  <si>
    <t>Schema</t>
  </si>
  <si>
    <t>Sheet</t>
  </si>
  <si>
    <t>Descrição</t>
  </si>
  <si>
    <t>Última alteração</t>
  </si>
  <si>
    <t>Estado</t>
  </si>
  <si>
    <t>ct872_reg_conct</t>
  </si>
  <si>
    <t>Parametrização</t>
  </si>
  <si>
    <t>cd_captools</t>
  </si>
  <si>
    <t>ct872_reg_conct - âmbito</t>
  </si>
  <si>
    <t xml:space="preserve"> - Parametrização de atributos do plano de contas que define os contratos âmbito</t>
  </si>
  <si>
    <t>ct872_reg_conct
ct873_dim_conct</t>
  </si>
  <si>
    <t>ct872_reg_conct - ativo</t>
  </si>
  <si>
    <t>- Parametrização das regras dos conceitos de saldo ativo</t>
  </si>
  <si>
    <t>ct872_reg_conct - passivo</t>
  </si>
  <si>
    <t>- Parametrização das regras dos conceitos de saldo passivo</t>
  </si>
  <si>
    <t>Modris_Param_Prazo_Cont</t>
  </si>
  <si>
    <t>business_riscocredito</t>
  </si>
  <si>
    <t>- Parametrização para obtenção do Tipo de Prazo do Contrato</t>
  </si>
  <si>
    <t>ct805_matriz_cnt</t>
  </si>
  <si>
    <t xml:space="preserve"> - Parametrização das contas âmbito Risco de Crédito</t>
  </si>
  <si>
    <t>modris_fact_contratos_contabilidade_ativo</t>
  </si>
  <si>
    <t>Output</t>
  </si>
  <si>
    <t>- Informação de contratos Ativo</t>
  </si>
  <si>
    <t>modris_fact_contratos_ifrs9</t>
  </si>
  <si>
    <t>modirs_fact_contratos_ifrs9</t>
  </si>
  <si>
    <t>- Informação de contratos IFRS</t>
  </si>
  <si>
    <t>modris_fact_contratos_capital</t>
  </si>
  <si>
    <t>modirs_fact_contratos_capital</t>
  </si>
  <si>
    <t>- Informação de contratos Capital</t>
  </si>
  <si>
    <t>modris_fact_contratos_nd</t>
  </si>
  <si>
    <t>modirs_fact_contratos_nd</t>
  </si>
  <si>
    <t>- Informação de contratos ND</t>
  </si>
  <si>
    <t>modris_fact_contratos_gsi</t>
  </si>
  <si>
    <t>- Informação de contratos GSI</t>
  </si>
  <si>
    <t>modris_fact_contratos_mis</t>
  </si>
  <si>
    <t>- Informação de contratos MIS</t>
  </si>
  <si>
    <t>modris_fact_contratos_alm</t>
  </si>
  <si>
    <t>- Informação de contratos ALM</t>
  </si>
  <si>
    <t>modris_fact_clientes</t>
  </si>
  <si>
    <t>- Informação de clientes</t>
  </si>
  <si>
    <t>modris_fact_clientes_crc</t>
  </si>
  <si>
    <t>- Informação de clientes CRC</t>
  </si>
  <si>
    <t>modris_fact_contratos_passivo</t>
  </si>
  <si>
    <t>- Informação de contratos Passivo</t>
  </si>
  <si>
    <t>modris_dim_bridge_perimetros</t>
  </si>
  <si>
    <t>- Informação de perímetros</t>
  </si>
  <si>
    <t>modris_view_contratos_ativo</t>
  </si>
  <si>
    <t>View</t>
  </si>
  <si>
    <t>- Visualização de contratos ativo com informação adicional para exploração</t>
  </si>
  <si>
    <t>modris_view_clientes</t>
  </si>
  <si>
    <t>- Visualização de clientes com informação adicional para exploração</t>
  </si>
  <si>
    <t>Tabela de Parametrização dos atributos que definem as contas âmbito</t>
  </si>
  <si>
    <t>Metodologia:</t>
  </si>
  <si>
    <t>1. Considera-se que o Universo de operações âmbito corresponde à carteira de ativo do banco, de acordo com a visão de Riscos - esta definição é proveniente do plano de contas (fr802_pl_contas);
2. Esta parametrização permite fazer a seleção dos contratos âmbito. Na mesma são definidos os atributos do plano de contas que permitem chegar às contas de ativo, que por sua vez permite filtrar as operações válidas a considerar na tabela de Contratos Ativo.
2.1. São obtidos os contratos e saldos do plano de contas de acordo com o seguinte filtro: i) carteira_contabilistica in (‘ativos financeiros ao custo amortizado’, ‘ativos financeiros ao justo valor atraves de outro rendimento integral’) e tipo_conta = 'A' e ii) instrumento_financeiro &lt;&gt; ‘instrumentos de capital’ + tipo_conta = 'EA';
3. Com a seleção de contas que resulta do filtro mencionado no 2.1, deve ser gerada a matriz de contas válidas a considerar (Tbl ct805_matriz_cnt), de forma a permitir ao utilizador consultar a informação das contas que entram para o âmbito considerado.</t>
  </si>
  <si>
    <t>INPUT</t>
  </si>
  <si>
    <t>FONTE SUGERIDA</t>
  </si>
  <si>
    <t>FONTE A CONSIDERAR</t>
  </si>
  <si>
    <t>NOTAS TECNOLOGIA</t>
  </si>
  <si>
    <t>ESPECIFICAÇÃO</t>
  </si>
  <si>
    <t>IMPLEMENTAÇÃO</t>
  </si>
  <si>
    <t>NOME TABELA</t>
  </si>
  <si>
    <t>ORDEM</t>
  </si>
  <si>
    <t>NOME COLUNA</t>
  </si>
  <si>
    <t>TIPO DE DADOS</t>
  </si>
  <si>
    <t>DESCRIÇÃO</t>
  </si>
  <si>
    <t>DENIFIÇÕES CAMPO</t>
  </si>
  <si>
    <t>SCHEMA DL</t>
  </si>
  <si>
    <t>TABELA</t>
  </si>
  <si>
    <t>CAMPO</t>
  </si>
  <si>
    <t>ALTERAÇÃO FONTE</t>
  </si>
  <si>
    <t>COMENTÁRIO</t>
  </si>
  <si>
    <t>METODOLOGIA CÁLCULO</t>
  </si>
  <si>
    <t>METODOLOGIA CRUZAMENTO</t>
  </si>
  <si>
    <t>ESTADO</t>
  </si>
  <si>
    <t>DATA ATUALIZAÇÃO</t>
  </si>
  <si>
    <t>NOTAS</t>
  </si>
  <si>
    <t>DATA ENTREGA - TESTES</t>
  </si>
  <si>
    <t>TESTES</t>
  </si>
  <si>
    <t>MATRIZ_ATR_PL_CONTAS</t>
  </si>
  <si>
    <t>NOME_PERIMETRO</t>
  </si>
  <si>
    <t>STRING</t>
  </si>
  <si>
    <t>Perímetro da operação</t>
  </si>
  <si>
    <t>-</t>
  </si>
  <si>
    <t>Parametrização Utilizador</t>
  </si>
  <si>
    <t>Concluído</t>
  </si>
  <si>
    <t>TIPO_CONTA</t>
  </si>
  <si>
    <t>Tipo de conta</t>
  </si>
  <si>
    <t>CARTEIRA_CONTABILISTICA</t>
  </si>
  <si>
    <t>Carteira contabilística</t>
  </si>
  <si>
    <t>INSTRUMENTO_FINANCEIRO</t>
  </si>
  <si>
    <t>Instrumento financeiro</t>
  </si>
  <si>
    <t>CKUTULMO</t>
  </si>
  <si>
    <t>Utilizador que despoleta o processamento</t>
  </si>
  <si>
    <t>Sistema</t>
  </si>
  <si>
    <t>HTIMEST</t>
  </si>
  <si>
    <t>Timestamp de inserção do registo na tabela</t>
  </si>
  <si>
    <t>REF_DATE</t>
  </si>
  <si>
    <t>Período de processamento</t>
  </si>
  <si>
    <t>AAAA-MM-DD</t>
  </si>
  <si>
    <t>COD_VISAO</t>
  </si>
  <si>
    <t>INT</t>
  </si>
  <si>
    <t>Identificador do processo</t>
  </si>
  <si>
    <t>AMBITO</t>
  </si>
  <si>
    <t>Âmbito a aplicar a parametrização</t>
  </si>
  <si>
    <t>'Riscos'</t>
  </si>
  <si>
    <t>Quando resumo dos campos a mapear</t>
  </si>
  <si>
    <t>Solicitados</t>
  </si>
  <si>
    <t>Analisados</t>
  </si>
  <si>
    <t>Em falta</t>
  </si>
  <si>
    <t>Contratos</t>
  </si>
  <si>
    <t>Clientes</t>
  </si>
  <si>
    <t>Dimensões</t>
  </si>
  <si>
    <t>Propostas</t>
  </si>
  <si>
    <t>Total</t>
  </si>
  <si>
    <t>Quando resumo da especificação</t>
  </si>
  <si>
    <t>Tabelas Output</t>
  </si>
  <si>
    <t>Total (%)</t>
  </si>
  <si>
    <t>Em curso</t>
  </si>
  <si>
    <t>Pendente</t>
  </si>
  <si>
    <t>Por Iniciar</t>
  </si>
  <si>
    <t>Concluído (%)</t>
  </si>
  <si>
    <t>Em curso (%)</t>
  </si>
  <si>
    <t>Pendente (%)</t>
  </si>
  <si>
    <t>Por Iniciar (%)</t>
  </si>
  <si>
    <t>fact_contratos_contabilidade_at</t>
  </si>
  <si>
    <t>fact_contratos_ifrs9</t>
  </si>
  <si>
    <t>fact_contratos_capital</t>
  </si>
  <si>
    <t>fact_contratos_nd</t>
  </si>
  <si>
    <t>fact_contratos_gsi</t>
  </si>
  <si>
    <t>fact_contratos_mis</t>
  </si>
  <si>
    <t>fact_contratos_alm</t>
  </si>
  <si>
    <t>fact_clientes</t>
  </si>
  <si>
    <t>fact_clientes_crc</t>
  </si>
  <si>
    <t>dim_bridge_perimetros</t>
  </si>
  <si>
    <t>lista_dimensoes</t>
  </si>
  <si>
    <t>Quando resumo da implementação</t>
  </si>
  <si>
    <t>Testes utilizador</t>
  </si>
  <si>
    <t>Aguarda EF</t>
  </si>
  <si>
    <t>Pendente Ingesta</t>
  </si>
  <si>
    <t>Pendente Curated</t>
  </si>
  <si>
    <t>C/ Incidências</t>
  </si>
  <si>
    <t>NOK - técnica</t>
  </si>
  <si>
    <t>NOK - revisão EF</t>
  </si>
  <si>
    <t>NOK - fonte</t>
  </si>
  <si>
    <t>Reteste</t>
  </si>
  <si>
    <t>Testes utilizador (%)</t>
  </si>
  <si>
    <t>Aguarda EF (%)</t>
  </si>
  <si>
    <t>Pendente ingesta</t>
  </si>
  <si>
    <t>Pendente curated</t>
  </si>
  <si>
    <t>C/ Incidências (%)</t>
  </si>
  <si>
    <t>Reteste (%)</t>
  </si>
  <si>
    <t>Parametrização dos atributos que definem as contas âmbito</t>
  </si>
  <si>
    <t>COLUNAS</t>
  </si>
  <si>
    <t>DATA REPORTE INC</t>
  </si>
  <si>
    <t>DATA CORREÇÃO</t>
  </si>
  <si>
    <t>DATA CONCLUSÃO</t>
  </si>
  <si>
    <t>Individual Local</t>
  </si>
  <si>
    <t>A</t>
  </si>
  <si>
    <t>in (‘ativos financeiros ao custo amortizado’, ‘ativos financeiros ao justo valor atraves de outro rendimento integral’)</t>
  </si>
  <si>
    <t>EA</t>
  </si>
  <si>
    <t>&lt;&gt; ‘instrumentos de capital</t>
  </si>
  <si>
    <t>derivados</t>
  </si>
  <si>
    <t>Individual Corporativo</t>
  </si>
  <si>
    <t>* Confirmar que as características deste perímetro são as mesmas para o ifrs</t>
  </si>
  <si>
    <t>ST SGPS Cons</t>
  </si>
  <si>
    <t>Tabela de Parametrização das Regras Saldos Ativo</t>
  </si>
  <si>
    <r>
      <t xml:space="preserve">1. As regras devem ser parametrizadas nas parametrizações já existentes - "CT872 - Regras de Conceito de Saldo" e "CT873 - Dimensão de Conceito de Saldo", considerando novo dominio = "Riscos";
2. Consideram-se os seguintes saldos:
- </t>
    </r>
    <r>
      <rPr>
        <b/>
        <sz val="11"/>
        <color theme="1"/>
        <rFont val="Calibri"/>
        <family val="2"/>
        <scheme val="minor"/>
      </rPr>
      <t>Capital, Valias, Juro, Despesas e Comissões, Provisão dentro balanço, Provisão fora balanço, Exposição fora balanço</t>
    </r>
  </si>
  <si>
    <t>FILTRO PLANO DE CONTAS</t>
  </si>
  <si>
    <t>CONCEITO_SALDO</t>
  </si>
  <si>
    <t>COMPOSICAO_VALOR</t>
  </si>
  <si>
    <t>BRUTO_IMPARIDADE</t>
  </si>
  <si>
    <t>capital</t>
  </si>
  <si>
    <t>in ('capital/ nocional/ custo de aquisicao')</t>
  </si>
  <si>
    <t>&lt;&gt; imparidade</t>
  </si>
  <si>
    <t>*regras aplicam-se ao plano ifrs e sgps, apenas o cargabal abre na mesma conta capital, juro e comissão</t>
  </si>
  <si>
    <t>valias</t>
  </si>
  <si>
    <t>in ('valias e correcoes de valor - outras','valias e correcoes de valor por operacoes microcobertura')</t>
  </si>
  <si>
    <t>juro</t>
  </si>
  <si>
    <t>in ('juros/rendimentos a receber', 'juros/encargos a pagar')</t>
  </si>
  <si>
    <t>desp_com</t>
  </si>
  <si>
    <t>in ('despesas/comissoes com encargo diferido associadas ao custo amortizado','despesas/comissoes com rendimento diferido associadas ao custo amortizado')</t>
  </si>
  <si>
    <t>abatido</t>
  </si>
  <si>
    <t>M</t>
  </si>
  <si>
    <t>capital abatido</t>
  </si>
  <si>
    <t>Por iniciar</t>
  </si>
  <si>
    <t>provisao_db</t>
  </si>
  <si>
    <t>imparidade</t>
  </si>
  <si>
    <t>Regra a utilizar é a do FinRep (escolher utilizando a param ct873) - conceito PROVISAO_ON</t>
  </si>
  <si>
    <t>provisao_fb</t>
  </si>
  <si>
    <t>in (provisoes para compromissos e garantias concedidas)</t>
  </si>
  <si>
    <t>Regra a utilizar é a do FinRep (escolher utilizando a param ct873) - conceito PROVISAO_OFF</t>
  </si>
  <si>
    <t>exposicao_fb</t>
  </si>
  <si>
    <t>Regra a utilizar é a do FinRep (escolher utilizando a param ct873) - conceito VALOR_BRUTO_OFF_A</t>
  </si>
  <si>
    <t>Tabela de Parametrização das Regras Saldos Passivo</t>
  </si>
  <si>
    <r>
      <t xml:space="preserve">1. As regras devem ser parametrizadas na parametrização já existente - "CT872 - Regras de Conceito de Saldo", considerando novo dominio = "Riscos";
2. Consideram-se os seguintes saldos:
</t>
    </r>
    <r>
      <rPr>
        <b/>
        <sz val="11"/>
        <color theme="1"/>
        <rFont val="Calibri"/>
        <family val="2"/>
        <scheme val="minor"/>
      </rPr>
      <t>- Capital, Valias, Juro, Despesas e Comissões, Exposição fora balanço</t>
    </r>
  </si>
  <si>
    <t>P</t>
  </si>
  <si>
    <t>not in( provisoes para compromissos e garantias concedidas)</t>
  </si>
  <si>
    <t>in ('capital/nocional/custo de aquisicao')</t>
  </si>
  <si>
    <t>Regras por rever</t>
  </si>
  <si>
    <t>EP</t>
  </si>
  <si>
    <t xml:space="preserve">Regra a utilizar é a do FinRep (escolher utilizando a param ct873) - conceito VALOR_BRUTO_OFF_P </t>
  </si>
  <si>
    <t>Tabela de Parametrização de Tipos de Prazo de Vencimento de Contratos</t>
  </si>
  <si>
    <t>1. O nº de dias entre a abertura e o vencimento da operação deve ser obtido com base na diferença entre os campos DDVENCIM e DABERTUR da cd_captools.ct004_univ_cto</t>
  </si>
  <si>
    <t>2. Depois de obtido o nº de dias, o tipo de prazo correspondente deve ser obtido com base nesta parametrização</t>
  </si>
  <si>
    <t>NDIAS_VENCIM</t>
  </si>
  <si>
    <t>CPRAZO_CONT</t>
  </si>
  <si>
    <t>&lt;=365</t>
  </si>
  <si>
    <t>&gt;365 AND &lt;= 1825</t>
  </si>
  <si>
    <t>&gt; 1825</t>
  </si>
  <si>
    <r>
      <t xml:space="preserve">Tabela de </t>
    </r>
    <r>
      <rPr>
        <b/>
        <i/>
        <sz val="14"/>
        <color theme="1"/>
        <rFont val="Calibri"/>
        <family val="2"/>
        <scheme val="minor"/>
      </rPr>
      <t>Output</t>
    </r>
    <r>
      <rPr>
        <b/>
        <sz val="14"/>
        <color theme="1"/>
        <rFont val="Calibri"/>
        <family val="2"/>
        <scheme val="minor"/>
      </rPr>
      <t xml:space="preserve"> com Contas para seleção dos contratos âmbito </t>
    </r>
  </si>
  <si>
    <r>
      <t xml:space="preserve">1. Tabela de </t>
    </r>
    <r>
      <rPr>
        <i/>
        <sz val="10"/>
        <color theme="1"/>
        <rFont val="Arial"/>
        <family val="2"/>
      </rPr>
      <t>output</t>
    </r>
    <r>
      <rPr>
        <sz val="10"/>
        <color theme="1"/>
        <rFont val="Arial"/>
        <family val="2"/>
      </rPr>
      <t xml:space="preserve"> com contas utilizadas para a seleção dos Contratos de Ativo e Passivo a informar em cada uma das respetivas tabelas.
2. Contruída através da parametrização que define os atributos a filtrar do plano de contas, que por sua vez permite chegar às contas a filtrar.</t>
    </r>
  </si>
  <si>
    <t>nome_perimetro</t>
  </si>
  <si>
    <t>string</t>
  </si>
  <si>
    <t>Perímetro Da Operação</t>
  </si>
  <si>
    <t>ct001_univ_saldo</t>
  </si>
  <si>
    <t>CBALCAO</t>
  </si>
  <si>
    <t>entidade</t>
  </si>
  <si>
    <t>Empresa</t>
  </si>
  <si>
    <t>CNUMECTA</t>
  </si>
  <si>
    <t>conta</t>
  </si>
  <si>
    <t>Conta Contabilística</t>
  </si>
  <si>
    <t>ZDEPOSIT</t>
  </si>
  <si>
    <t>business_riscocredito / cd_captools</t>
  </si>
  <si>
    <t>ct872_reg_conct / fr802_pl_contas</t>
  </si>
  <si>
    <t>calculado</t>
  </si>
  <si>
    <t>tipo_conta</t>
  </si>
  <si>
    <t>Tipo De Conta</t>
  </si>
  <si>
    <t>ZCLIENTE</t>
  </si>
  <si>
    <t>ckutulmo</t>
  </si>
  <si>
    <t>Utilizador Que Despoleta O Processamento</t>
  </si>
  <si>
    <t>sistema</t>
  </si>
  <si>
    <t>htimest</t>
  </si>
  <si>
    <t>Timestamp De Inserção Do Registo Na Tabela</t>
  </si>
  <si>
    <t>msaldo_final</t>
  </si>
  <si>
    <t>ref_date</t>
  </si>
  <si>
    <t>Período De Processamento</t>
  </si>
  <si>
    <t>cod_visao</t>
  </si>
  <si>
    <t>Identificador Do Processo</t>
  </si>
  <si>
    <t>dominio</t>
  </si>
  <si>
    <t>Âmbito A Aplicar A Parametrização</t>
  </si>
  <si>
    <r>
      <t xml:space="preserve">Tabela de </t>
    </r>
    <r>
      <rPr>
        <b/>
        <i/>
        <sz val="14"/>
        <color theme="1"/>
        <rFont val="Calibri"/>
        <family val="2"/>
        <scheme val="minor"/>
      </rPr>
      <t>Output</t>
    </r>
    <r>
      <rPr>
        <b/>
        <sz val="14"/>
        <color theme="1"/>
        <rFont val="Calibri"/>
        <family val="2"/>
        <scheme val="minor"/>
      </rPr>
      <t xml:space="preserve"> dos Contratos Ativo</t>
    </r>
  </si>
  <si>
    <t>1. Informação de contratos parte da informação conciliada pela Contabilidade no Datalake - contratos e operações do Universo;
2. Considera-se que terá a chave das ICs (mais desagregada);
3. Necessária informação apenas do cliente com risco de crédito (ativo), i.e. igual ao cliente da ct004;
4. Considera-se que o Universo de operações âmbito corresponde à carteira de ativo do banco, de acordo com a visão de Riscos - esta definição é proveniente do plano de contas (fr802_pl_contas)
4.1. São obtidos os contratos e saldos do plano de contas de acordo com o seguinte filtro: i) carteira_contabilistica in (‘ativos financeiros ao custo amortizado’, ‘ativos financeiros ao justo valor atraves de outro rendimento integral’) e tipo_conta = 'A' e ii) instrumento_financeiro &lt;&gt; ‘instrumentos de capital’ + tipo_conta = 'EA'. Com este filtro, deve ser gerada a matriz de contas a considerar;
5. Regras para obter saldos em definição
6. Nomenclatura sugerida: modris_fact_contratos_contabilidade_ativo</t>
  </si>
  <si>
    <t>INCIDÊNCIAS</t>
  </si>
  <si>
    <t>aux</t>
  </si>
  <si>
    <t>DATA CORREÇÃO INC</t>
  </si>
  <si>
    <t>DATA CONCLUSÃO INC</t>
  </si>
  <si>
    <t>atv</t>
  </si>
  <si>
    <t>cempresa</t>
  </si>
  <si>
    <t>Código De Empresa, Visão Local</t>
  </si>
  <si>
    <t>PK</t>
  </si>
  <si>
    <t>CEMPRESA</t>
  </si>
  <si>
    <t>N</t>
  </si>
  <si>
    <t>cbalcao</t>
  </si>
  <si>
    <t>Código Do Balcão</t>
  </si>
  <si>
    <t>cnumecta</t>
  </si>
  <si>
    <t>Código Do Número Da Conta</t>
  </si>
  <si>
    <t>n/a</t>
  </si>
  <si>
    <t>zdeposit</t>
  </si>
  <si>
    <t>Número Do Depósito</t>
  </si>
  <si>
    <t>zcliente</t>
  </si>
  <si>
    <t>Número Do Cliente</t>
  </si>
  <si>
    <t>ct004_univ_cto</t>
  </si>
  <si>
    <t>cmoeda</t>
  </si>
  <si>
    <t>Código De Moeda</t>
  </si>
  <si>
    <t>DWT008_CONTA_CONTRATO</t>
  </si>
  <si>
    <t>CMOEDA</t>
  </si>
  <si>
    <t>S</t>
  </si>
  <si>
    <t>cproduto</t>
  </si>
  <si>
    <t>Código Do Produto</t>
  </si>
  <si>
    <t>CPRODUTO</t>
  </si>
  <si>
    <t>csubproduto</t>
  </si>
  <si>
    <t>Código Do Sub-Produto</t>
  </si>
  <si>
    <t>CSUBPROD</t>
  </si>
  <si>
    <t>csubprod</t>
  </si>
  <si>
    <t>stage</t>
  </si>
  <si>
    <t>Stage Do Contrato</t>
  </si>
  <si>
    <t>MÊS ANT/TRIM ANT/ANO ANT</t>
  </si>
  <si>
    <t>staging_8_7</t>
  </si>
  <si>
    <t xml:space="preserve">STAGE </t>
  </si>
  <si>
    <t>dabertura_ini</t>
  </si>
  <si>
    <t>Data De Abertura Inicial</t>
  </si>
  <si>
    <t>cd_clientes (apenas tem 1 partição) ou
cd_contas (não temos acesso, mas tem mais partições)</t>
  </si>
  <si>
    <t>dwt008_conta_contrato</t>
  </si>
  <si>
    <t>s</t>
  </si>
  <si>
    <t>Campo inicial atualmente não existe na CT004, mas pode ser criado - através da dct01 ou através da própria ct004? - ANALISAR DIFERENÇAS</t>
  </si>
  <si>
    <t>Analisar viabilidade de obter informação da fonte que alimenta a DWT008 ou criar campo na ct004_univ_cto
- campo data de abertura vem da ct004 e este da dct01, terá diferenças?</t>
  </si>
  <si>
    <t>TBD</t>
  </si>
  <si>
    <t>dabertur</t>
  </si>
  <si>
    <t>Data Inicio Da Operação</t>
  </si>
  <si>
    <t>DABERTUR</t>
  </si>
  <si>
    <t>ddvencim</t>
  </si>
  <si>
    <t>Data De Vencimento Da Operação</t>
  </si>
  <si>
    <t>DVENCIM</t>
  </si>
  <si>
    <t>dincump</t>
  </si>
  <si>
    <t>Data De Incumprimento</t>
  </si>
  <si>
    <t>ct201_rent_cont</t>
  </si>
  <si>
    <t>DINCUMP</t>
  </si>
  <si>
    <t>dias_incump</t>
  </si>
  <si>
    <t>int</t>
  </si>
  <si>
    <t>Dias De Incumprimento De Acordo Com Regras Gsi</t>
  </si>
  <si>
    <t>RSTF101_DET_CNT_RSC</t>
  </si>
  <si>
    <t>VNUM_DIF_DIAS</t>
  </si>
  <si>
    <t>Considerou-se a fonte da contabilidade, como nota a fonte do DM Riscos é: RIT01.DIFDIAS</t>
  </si>
  <si>
    <t>?</t>
  </si>
  <si>
    <t>fincumprimento</t>
  </si>
  <si>
    <t>Indicador De Incumprimento (Com Base Em Data De Inc)</t>
  </si>
  <si>
    <t>business_risco_credito</t>
  </si>
  <si>
    <t>modris_fact_contratos_contrabilidade_at</t>
  </si>
  <si>
    <t>Se dincump &lt; ref_date Então 1. Senão 0</t>
  </si>
  <si>
    <t>decimal(21,6)</t>
  </si>
  <si>
    <t>Capital</t>
  </si>
  <si>
    <t>Regras parametrizadas na ct872 e ct873</t>
  </si>
  <si>
    <t>Valias</t>
  </si>
  <si>
    <t>Juro</t>
  </si>
  <si>
    <t>Despesas e Comissões</t>
  </si>
  <si>
    <t>mtm</t>
  </si>
  <si>
    <t>Saldo MTM</t>
  </si>
  <si>
    <t>sum(msaldo_final), para as contas com instrumento_financeiro = 'derivados' e tipo_conta = 'A'</t>
  </si>
  <si>
    <r>
      <t xml:space="preserve">Soma do msaldo_final, das contas que estejam marcadas na </t>
    </r>
    <r>
      <rPr>
        <b/>
        <sz val="11"/>
        <color theme="1"/>
        <rFont val="Calibri"/>
        <family val="2"/>
        <scheme val="minor"/>
      </rPr>
      <t>fr802_pl_contas</t>
    </r>
    <r>
      <rPr>
        <sz val="11"/>
        <color theme="1"/>
        <rFont val="Calibri"/>
        <family val="2"/>
        <scheme val="minor"/>
      </rPr>
      <t xml:space="preserve"> com </t>
    </r>
    <r>
      <rPr>
        <b/>
        <sz val="11"/>
        <color theme="1"/>
        <rFont val="Calibri"/>
        <family val="2"/>
        <scheme val="minor"/>
      </rPr>
      <t>instrumento_financeiro = 'derivados' and tipo_conta = 'A'</t>
    </r>
  </si>
  <si>
    <r>
      <t xml:space="preserve">- MTM - Conta ifrs 17* na CT001
- </t>
    </r>
    <r>
      <rPr>
        <b/>
        <sz val="11"/>
        <color theme="1"/>
        <rFont val="Calibri"/>
        <family val="2"/>
        <scheme val="minor"/>
      </rPr>
      <t xml:space="preserve">(em análise) </t>
    </r>
    <r>
      <rPr>
        <sz val="11"/>
        <color theme="1"/>
        <rFont val="Calibri"/>
        <family val="2"/>
        <scheme val="minor"/>
      </rPr>
      <t>MTM Puro e/ou "CVA&amp;DVA" (distingue-se no descritivo)
- avaliar contas que são de derivados
- MTM CVA&amp;DVA (reportado pela contabilidade) - confirmar</t>
    </r>
  </si>
  <si>
    <t>Abatido</t>
  </si>
  <si>
    <t>outros_ativos</t>
  </si>
  <si>
    <t>Outros ativos - resto</t>
  </si>
  <si>
    <t>Regras existentes no FinRep (usar a ct872 e a ct873)</t>
  </si>
  <si>
    <t>Provisão Dentro Balanço</t>
  </si>
  <si>
    <t>Provisão Fora Balanço</t>
  </si>
  <si>
    <t>exposicao_db</t>
  </si>
  <si>
    <t>Exposição Dentro de Balanço</t>
  </si>
  <si>
    <t>calculado = capital + valias + juro + desp_com + abatido + mtm + outros_ativos</t>
  </si>
  <si>
    <t>soma dos conceitos calculados</t>
  </si>
  <si>
    <t>Falta incluir no saldo a MtM e outros_ativos</t>
  </si>
  <si>
    <t>Exposição Fora Balanço</t>
  </si>
  <si>
    <t>exposicao_total</t>
  </si>
  <si>
    <t>Exposição Total</t>
  </si>
  <si>
    <t>calculado = exposicao_db + exposicao_fb</t>
  </si>
  <si>
    <t>provisao_total</t>
  </si>
  <si>
    <t>Provisão Total</t>
  </si>
  <si>
    <t>calculado = provisao_db + provisao_fb</t>
  </si>
  <si>
    <t>gsi?</t>
  </si>
  <si>
    <t>dentrada_rec</t>
  </si>
  <si>
    <t>Data De Entrada Em Recuperações</t>
  </si>
  <si>
    <t>DWT084_CONTA_RSC</t>
  </si>
  <si>
    <t>DENTRADA_REC</t>
  </si>
  <si>
    <t>curated_internal_mainframe_morosidade</t>
  </si>
  <si>
    <t>mgt03</t>
  </si>
  <si>
    <t>DINICT</t>
  </si>
  <si>
    <t>dmarc_risccon</t>
  </si>
  <si>
    <t>Data De Gsi Do Contrato</t>
  </si>
  <si>
    <t>DMARC_RISCCON</t>
  </si>
  <si>
    <t>DMARCCON</t>
  </si>
  <si>
    <t>dsaida_rec</t>
  </si>
  <si>
    <t>Data De Saída De Recuperações</t>
  </si>
  <si>
    <t>DSAIDA_REC</t>
  </si>
  <si>
    <t>mgt01</t>
  </si>
  <si>
    <t>DSAIPOS</t>
  </si>
  <si>
    <t>ilitigio_judicial</t>
  </si>
  <si>
    <t>Indicador De Contrato Em Litigio Judicial</t>
  </si>
  <si>
    <t>ILITIGIO_JUDICIAL</t>
  </si>
  <si>
    <t>dwt084_conta_rsc</t>
  </si>
  <si>
    <t>Aguarda levantamento processo ETL</t>
  </si>
  <si>
    <t>Analisar viabilidade de obter informação da fonte que alimenta a DWT084</t>
  </si>
  <si>
    <t>ctipo_reneg</t>
  </si>
  <si>
    <t>Marca Da Reestruturação</t>
  </si>
  <si>
    <t>cd_riscos</t>
  </si>
  <si>
    <t>rstf101_det_cnt_rsc</t>
  </si>
  <si>
    <t>curated_internal_mainframe_reconducoes</t>
  </si>
  <si>
    <t>rnt07_reestr</t>
  </si>
  <si>
    <t>ITIPACOR</t>
  </si>
  <si>
    <t>n</t>
  </si>
  <si>
    <t>Aguarda cópia para curated_internal_mainframe_reconducoes</t>
  </si>
  <si>
    <t>d_ctiporeneg</t>
  </si>
  <si>
    <t>Data Da Reestruturação</t>
  </si>
  <si>
    <t>DINIREC  </t>
  </si>
  <si>
    <t>v_num_recond_12m</t>
  </si>
  <si>
    <t>Valor Número De Reconduções 12M</t>
  </si>
  <si>
    <t/>
  </si>
  <si>
    <t>Só foi indicada a fonte da tbl de clientes</t>
  </si>
  <si>
    <t>Falta identificar a fonte</t>
  </si>
  <si>
    <t>v_num_recond_2a</t>
  </si>
  <si>
    <t>Valor Número De Reconduções 2A</t>
  </si>
  <si>
    <t>v_num_recond_5a</t>
  </si>
  <si>
    <t>Valor Número De Reconduções 5A</t>
  </si>
  <si>
    <t>vtot_recond</t>
  </si>
  <si>
    <t>Valor Total Reconduções</t>
  </si>
  <si>
    <t>valor_ltv_orig</t>
  </si>
  <si>
    <t>Valor De Ltv Original</t>
  </si>
  <si>
    <t>fr011_caps_ltv</t>
  </si>
  <si>
    <t>Avaliar se é possível calcular LTV através do modelo de garantias (Mónica)</t>
  </si>
  <si>
    <t>Avaliar viabilidade de construir campo através do modelo de garantias</t>
  </si>
  <si>
    <t>valor_ltv_atual</t>
  </si>
  <si>
    <t>Valor De Ltv Atual</t>
  </si>
  <si>
    <t>valor_ltv</t>
  </si>
  <si>
    <t>atv?</t>
  </si>
  <si>
    <t>cconta_do_assoc</t>
  </si>
  <si>
    <t>Conta Do Relacionada Com Contrato</t>
  </si>
  <si>
    <t>cd_newdefault</t>
  </si>
  <si>
    <t>nd018_geyrn010</t>
  </si>
  <si>
    <t>concat(geyrn010_cbalsup,geyrn010_cctasup)</t>
  </si>
  <si>
    <t>Rever e procurar fonte da nd018 (procurar ir ao geyrn010)</t>
  </si>
  <si>
    <t>chave ICs</t>
  </si>
  <si>
    <t>Analisar viabilidade de obter informação da fonte que alimenta a DWT008</t>
  </si>
  <si>
    <t>cforma_pag</t>
  </si>
  <si>
    <t>cd_cartoes</t>
  </si>
  <si>
    <t>CRT07</t>
  </si>
  <si>
    <t>FORPAGO</t>
  </si>
  <si>
    <t>chave RSC</t>
  </si>
  <si>
    <t>Analisar viabilidade de obter informação da fonte que alimenta a DWT008
- esclarecimento da DW não foi claro
- Este campo é alimentado pela CRT07.FORPAGO mas apenas para os dados de cartões. Qual a chave da tbl? Identifico cartões pelo produto?</t>
  </si>
  <si>
    <t>cgarantia</t>
  </si>
  <si>
    <t>Código De Garantia</t>
  </si>
  <si>
    <t>Modelo de garantias</t>
  </si>
  <si>
    <r>
      <t xml:space="preserve">Analisar viabilidade de obter informação da fonte que alimenta a DWT008
</t>
    </r>
    <r>
      <rPr>
        <b/>
        <sz val="11"/>
        <color theme="1"/>
        <rFont val="Calibri"/>
        <family val="2"/>
        <scheme val="minor"/>
      </rPr>
      <t>- código deve passar a vir do modelo de garantias, e ser informado apenas na view?
- Obter do modelo de garantias (por definir como será incluído no modelo)</t>
    </r>
  </si>
  <si>
    <t>cmot_sit_cta</t>
  </si>
  <si>
    <t>Motivo Da Situação Da Conta</t>
  </si>
  <si>
    <t>cd_estruturais</t>
  </si>
  <si>
    <t>interface_dct01</t>
  </si>
  <si>
    <t>CMOTSIT</t>
  </si>
  <si>
    <t>Rever e procurar fonte transversal</t>
  </si>
  <si>
    <t>cperiodo_amort</t>
  </si>
  <si>
    <t>Período De Amortização</t>
  </si>
  <si>
    <t>geyrn010_periodo</t>
  </si>
  <si>
    <t>cprazo_cont</t>
  </si>
  <si>
    <t>Tipo Prazo (Curto/Médio/Longo Prazo)</t>
  </si>
  <si>
    <t>calculado - ddvencim -dabertur</t>
  </si>
  <si>
    <t xml:space="preserve">Se o valor das datas utilizadas tiverem informação e valores diferentes de 0001-01-01 e 9999-12-31, então:
DDVENCIM- DABERTUR
Criar ou reutilizar parametrização para definir as seguintes regras:
se diferença em dias   &lt;= 365) entao '1' (curto)
se diferença em dias  &gt; 365 e  &lt;= 1825 entao '2' (médio)
senão ‘3’ (longo).
Caso a data de abertura não esteja definida ou assuma o valor 0001-01-01 então considerar '#'.
Caso a data de abertura esteja definida com um valor diferente de 0001-01-01 mas a data de vencimento não esteja definida ou assuma o valor 9999-12-31 então considerar '*'
</t>
  </si>
  <si>
    <r>
      <t xml:space="preserve">Analisar viabilidade de obter informação da fonte que alimenta a DWT008
</t>
    </r>
    <r>
      <rPr>
        <b/>
        <sz val="11"/>
        <color theme="1"/>
        <rFont val="Calibri"/>
        <family val="2"/>
        <scheme val="minor"/>
      </rPr>
      <t>- como saber o tipo de prazo com base no número de dias?
- Datas vêm da ct004, podemos calcular com base nestas? Sim (foram retificadas na contabilidade para serem obtidos das aplicações origem - em validação pelo Loan Tape)
- Aguarda feedback da DW sobre parametrização para definir o intervalo de dias</t>
    </r>
  </si>
  <si>
    <t>csituacao</t>
  </si>
  <si>
    <t>Situação Contratual</t>
  </si>
  <si>
    <t>geyrn010_csitcta</t>
  </si>
  <si>
    <t>msaldini</t>
  </si>
  <si>
    <t>decimal(20,5)</t>
  </si>
  <si>
    <t>Valor inicial do empréstimo</t>
  </si>
  <si>
    <t>vinicial_emprestimo</t>
  </si>
  <si>
    <t>geyrn010_MSALDINI*geyrn010_vcambio_novo</t>
  </si>
  <si>
    <t>Revisto em squad de 16-nov-2023</t>
  </si>
  <si>
    <t>dtproam</t>
  </si>
  <si>
    <t xml:space="preserve">Data Da Próxima Liquidação </t>
  </si>
  <si>
    <t>dprox_liq</t>
  </si>
  <si>
    <t xml:space="preserve">geyrn010_dtproam </t>
  </si>
  <si>
    <t>Analisar viabilidade de obter informação da fonte que alimenta a DWT008
- campo não existe na fonte, ver com Riscos se é viável incluir?
- respondido por IT Riscos e revisto em squad 16-11-2023</t>
  </si>
  <si>
    <t>MSLDINI</t>
  </si>
  <si>
    <t>dsituacao</t>
  </si>
  <si>
    <t>Data Da Situação Contratual</t>
  </si>
  <si>
    <t>Batch</t>
  </si>
  <si>
    <t>Analisar viabilidade de obter informação da fonte que alimenta a DWT008
- campo não faz sentido, dada a tabela ser por posição e não acumulados?</t>
  </si>
  <si>
    <t>dult_liq</t>
  </si>
  <si>
    <t xml:space="preserve">Data Da Última Liquidação </t>
  </si>
  <si>
    <t>geyrn010_dtultliq</t>
  </si>
  <si>
    <t>vtot_prest</t>
  </si>
  <si>
    <t>decimal(8,5)</t>
  </si>
  <si>
    <t>Total De Prestações</t>
  </si>
  <si>
    <t xml:space="preserve"> geyrn010_nquottot</t>
  </si>
  <si>
    <t>Segmento PEC</t>
  </si>
  <si>
    <t>Ver com Nídia Manjericão</t>
  </si>
  <si>
    <t>Campo na tabela de contratos ativo e passivo. Reavaliar necessidade de incluir campo em ambas as tabelas.
Mesmo cto tem vários segmentos. Necessário reavaliar conceito existente</t>
  </si>
  <si>
    <t>vmon_apet_rsc</t>
  </si>
  <si>
    <t>Montante Apetite Risco</t>
  </si>
  <si>
    <t>métrica associada ao detalhe</t>
  </si>
  <si>
    <t>Campo na tabela de contratos ativo e passivo. Reavaliar necessidade de incluir campo em ambas as tabelas.
Campo calculado</t>
  </si>
  <si>
    <t>rorwa</t>
  </si>
  <si>
    <t>Rorwa</t>
  </si>
  <si>
    <t>cd_reporting</t>
  </si>
  <si>
    <t>fct_rorwa</t>
  </si>
  <si>
    <t>Campo na tabela de contratos ativo e passivo. Reavaliar necessidade de incluir campo em ambas as tabelas.
Campo calculado (confirmar se campo de clientes é agregação dos contratos ou cálculo específico)
- campo em desenvolvimento na cd_reporting.fct_rorwa e cd_reporting.vw_fct_rorwa</t>
  </si>
  <si>
    <t>Produtos (Ex.: Crédito Habitação/Contas Correntes/Cartões De Crédito) - Produto nível3 de agregação</t>
  </si>
  <si>
    <t>Campo na tabela de contratos ativo e passivo. Reavaliar necessidade de incluir campo em ambas as tabelas.
Campo é utilizado para cálculo 'distribuição produtos' na view de clientes</t>
  </si>
  <si>
    <t>Indicador de moratória</t>
  </si>
  <si>
    <t>Campo utilizado para cálculo na view clientes</t>
  </si>
  <si>
    <t>DATA DE REVISÃO INDEXANTE</t>
  </si>
  <si>
    <t>rorac</t>
  </si>
  <si>
    <t>decimal(20,4)</t>
  </si>
  <si>
    <t>Cálculo do Rorac da operação</t>
  </si>
  <si>
    <t>rorac_output_total_por</t>
  </si>
  <si>
    <t>rorac_activo_cc_concost_mes</t>
  </si>
  <si>
    <r>
      <rPr>
        <b/>
        <sz val="11"/>
        <color theme="1"/>
        <rFont val="Calibri"/>
        <family val="2"/>
        <scheme val="minor"/>
      </rPr>
      <t>- Prioritário</t>
    </r>
    <r>
      <rPr>
        <sz val="11"/>
        <color theme="1"/>
        <rFont val="Calibri"/>
        <family val="2"/>
        <scheme val="minor"/>
      </rPr>
      <t xml:space="preserve">
Valores com comissões ou sem?
rorac_activo_cc_concost_mes
rorac_activo_sc_concost_mes
rorac_pasivo_concost_mes
- Valor rorac por cliente??</t>
    </r>
  </si>
  <si>
    <t>CPROPOSTA</t>
  </si>
  <si>
    <r>
      <rPr>
        <b/>
        <sz val="11"/>
        <color theme="1"/>
        <rFont val="Calibri"/>
        <family val="2"/>
        <scheme val="minor"/>
      </rPr>
      <t>- campo deve ser para Contrato e Proposta</t>
    </r>
    <r>
      <rPr>
        <sz val="11"/>
        <color theme="1"/>
        <rFont val="Calibri"/>
        <family val="2"/>
        <scheme val="minor"/>
      </rPr>
      <t xml:space="preserve">
dwt064_rl_prop_cnt? - relação contrato proposta
dwt060 e dwt063_historica - propostas</t>
    </r>
  </si>
  <si>
    <t>RÁCIOS STAGES</t>
  </si>
  <si>
    <t>Por contrato, % por stage</t>
  </si>
  <si>
    <t>RÁCIO COBERTURA</t>
  </si>
  <si>
    <t>Provisão/Responsabilidade
- atual: provisão imparidade/responsabilidade gsi
- faz sentido calcular através do saldo contabilistico?</t>
  </si>
  <si>
    <t>INDICADOR DE OPERAÇÃO PROTOCOLADA</t>
  </si>
  <si>
    <t>CÓDIGOS DE CAMPANHA</t>
  </si>
  <si>
    <t>Proveniente de vários sistemas:
- ODM
- etc
- incluir descritivo na especificação</t>
  </si>
  <si>
    <t>RISCO PRE COLLECTIONS</t>
  </si>
  <si>
    <t>Tabelas Triad - fonte STT131 e STT516
Risco_pre_collections
Risco_collections</t>
  </si>
  <si>
    <t>RISCO COLLECTIONS</t>
  </si>
  <si>
    <t>IMPACTO PRE COLLECTIONS</t>
  </si>
  <si>
    <t>Tabelas Triad - fonte STT131 e STT516
Impacto_pre_collections
Impacto_collections</t>
  </si>
  <si>
    <t>IMPACTO COLLECTIONS</t>
  </si>
  <si>
    <t>DIAS DE INCUMPRIMENTO DE ACORDO COM REGRAS GSI</t>
  </si>
  <si>
    <r>
      <t xml:space="preserve">Tabela de </t>
    </r>
    <r>
      <rPr>
        <b/>
        <i/>
        <sz val="14"/>
        <color theme="1"/>
        <rFont val="Calibri"/>
        <family val="2"/>
        <scheme val="minor"/>
      </rPr>
      <t>Output</t>
    </r>
    <r>
      <rPr>
        <b/>
        <sz val="14"/>
        <color theme="1"/>
        <rFont val="Calibri"/>
        <family val="2"/>
        <scheme val="minor"/>
      </rPr>
      <t xml:space="preserve"> dos Contratos GSI</t>
    </r>
  </si>
  <si>
    <t>1. Universo de operações GSI deve conter as mesmas chaves da tabela de contratos que nasce das ICs e que já foi filtrada pelas operações âmbito;
1.1. Universo de operações é proveniente da tabela de "Contratos Ativo" e, posteriormente pode também ser incluída a informação de uma nova tabela "Contratos Passivo";
1.2. Necessário traduzir chaves GSI em chave ICs de acordo com tradutor kt_chaves_rsc;
2. Considera-se que terá como chave a chave das ICs.</t>
  </si>
  <si>
    <t>FK</t>
  </si>
  <si>
    <t>Apesar de entregues, está em curso implementação do novo modelo de dados</t>
  </si>
  <si>
    <t>mvivo</t>
  </si>
  <si>
    <t>decimal(15,2)</t>
  </si>
  <si>
    <t>Montante Vivo</t>
  </si>
  <si>
    <t>nd001_rit01</t>
  </si>
  <si>
    <t>Para preparar fórmula no caso da relação de chaves mudar para N-N, pode-se aplicar a fórmula:
total capital + juros do contrato ics * total saldo do contrato RSC agrupado pela chave ICs / total capital + juros agrupado por chave RSC</t>
  </si>
  <si>
    <r>
      <t xml:space="preserve">Ponderação do saldo da chave RSC, para ser distribuído pelo número de contratos Ics (saldos capital e juros)
</t>
    </r>
    <r>
      <rPr>
        <b/>
        <u/>
        <sz val="11"/>
        <color theme="1"/>
        <rFont val="Calibri"/>
        <family val="2"/>
        <scheme val="minor"/>
      </rPr>
      <t>Fórmula: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total capital + juros do contrato ics * pd do contrato RSC / total do msaldo_final agrupado pela chave RSC</t>
    </r>
  </si>
  <si>
    <r>
      <t xml:space="preserve">Chave RSC - usar tradutor kt_chaves_rsc para cruzar com cempresa_rsc, ckbalcao_rsc, cknumcta_rsc, zdeposit_rsc, para obter chave Ics (cempresa, cbalcao, cnumecta, zdeposit)
</t>
    </r>
    <r>
      <rPr>
        <b/>
        <u/>
        <sz val="11"/>
        <color theme="1"/>
        <rFont val="Calibri"/>
        <family val="2"/>
        <scheme val="minor"/>
      </rPr>
      <t>Nota:</t>
    </r>
    <r>
      <rPr>
        <u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1 chave RSC - N chave Ics</t>
    </r>
  </si>
  <si>
    <r>
      <t xml:space="preserve">- Contabilidade não reporta conceito vencido, apenas Performing ou Non-Performing
- ALM reporta conceito NPE (todo o contrato de acordo com o mais gravoso)
- Regras MIS em análise, mas apenas têm crédito vencido
- Utilizar conceito GSI - </t>
    </r>
    <r>
      <rPr>
        <b/>
        <sz val="11"/>
        <color theme="1"/>
        <rFont val="Calibri"/>
        <family val="2"/>
        <scheme val="minor"/>
      </rPr>
      <t>por analisar criação de tradutor chaves riscos</t>
    </r>
  </si>
  <si>
    <t>mincump</t>
  </si>
  <si>
    <t>Montante Incumprido</t>
  </si>
  <si>
    <t>mjrsperiod</t>
  </si>
  <si>
    <t>Juro Periodificado</t>
  </si>
  <si>
    <t>juroinc</t>
  </si>
  <si>
    <t>decimal(11,2)</t>
  </si>
  <si>
    <t>Juro Incumprido</t>
  </si>
  <si>
    <t>mincumpge</t>
  </si>
  <si>
    <t>Valor De Montante De Gestão</t>
  </si>
  <si>
    <t>VMON_INCUMPGE</t>
  </si>
  <si>
    <t>msaldo</t>
  </si>
  <si>
    <t>Responsabilidade Contrato</t>
  </si>
  <si>
    <t>VRESPONSABILIDADE</t>
  </si>
  <si>
    <r>
      <t xml:space="preserve">Analisar viabilidade de obter informação da fonte que alimenta a rstf101_det_cnt_rsc
Fonte indicada pela DW é a Rit01
</t>
    </r>
    <r>
      <rPr>
        <b/>
        <sz val="11"/>
        <color theme="1"/>
        <rFont val="Calibri"/>
        <family val="2"/>
        <scheme val="minor"/>
      </rPr>
      <t>- qual nome do campo?</t>
    </r>
  </si>
  <si>
    <t>dlimcta</t>
  </si>
  <si>
    <t>Data Do Limite Do Contrato</t>
  </si>
  <si>
    <t>DLIM_CNT_RISC</t>
  </si>
  <si>
    <t>cconta (cbalcao, cnumecta), creferencia (zdeposit)</t>
  </si>
  <si>
    <t>Analisar viabilidade de obter informação da fonte que alimenta a DWT084
- fonte é rit01</t>
  </si>
  <si>
    <t>dlimaprd</t>
  </si>
  <si>
    <t>Data Do Limite De Produto</t>
  </si>
  <si>
    <t>DLIM_PROD</t>
  </si>
  <si>
    <t>mlimcta</t>
  </si>
  <si>
    <t>Montante Limite Contrato</t>
  </si>
  <si>
    <t>VMON_LIM_RISC</t>
  </si>
  <si>
    <t>mlimaprd</t>
  </si>
  <si>
    <t>decimal(16,1)</t>
  </si>
  <si>
    <t>Montante Limite Produto</t>
  </si>
  <si>
    <t>VMON_LIM_PROD</t>
  </si>
  <si>
    <t>nquotinc</t>
  </si>
  <si>
    <t>Nº Prestações Em Atraso</t>
  </si>
  <si>
    <t>VQUOTA_INCUMP</t>
  </si>
  <si>
    <t>inpe</t>
  </si>
  <si>
    <t>Indicador De Npe Do Contrato (03,04,05,06,07)</t>
  </si>
  <si>
    <t>INPE</t>
  </si>
  <si>
    <t>nd002_gst01</t>
  </si>
  <si>
    <t>Se nd002_gst01.sitact IN( 3, 4, 5, 6, 7 ) então 1. Caso contrário 0</t>
  </si>
  <si>
    <t>Chave RSC - cempresa, ckbalcao, cknumcta, zdeposit</t>
  </si>
  <si>
    <r>
      <t xml:space="preserve">Tabela de </t>
    </r>
    <r>
      <rPr>
        <b/>
        <i/>
        <sz val="14"/>
        <color theme="1"/>
        <rFont val="Calibri"/>
        <family val="2"/>
        <scheme val="minor"/>
      </rPr>
      <t>Output</t>
    </r>
    <r>
      <rPr>
        <b/>
        <sz val="14"/>
        <color theme="1"/>
        <rFont val="Calibri"/>
        <family val="2"/>
        <scheme val="minor"/>
      </rPr>
      <t xml:space="preserve"> dos Contratos IFRS</t>
    </r>
  </si>
  <si>
    <t>1. Universo de operações IFRS deve conter as mesmas chaves da tabela de contratos que nasce das ICs e que já foi filtrada pelas operações âmbito;
1.1. Universo de operações é proveniente da tabela de "Contratos Ativo" e, posteriormente pode também ser incluída a informação de uma nova tabela "Contratos Passivo";
1.2. Necessário traduzir chaves IFRS em chave ICs de acordo com tradutor kt_chaves_ifrs9;
2. Considera-se que terá como chave a chave das ICs.</t>
  </si>
  <si>
    <t>bu_ifrs9</t>
  </si>
  <si>
    <t>ifrs9_out_staging_reporting</t>
  </si>
  <si>
    <t>stage_reason_code</t>
  </si>
  <si>
    <t>Reason Code Do Stage</t>
  </si>
  <si>
    <t>REASON CODE</t>
  </si>
  <si>
    <t>reason_codes</t>
  </si>
  <si>
    <r>
      <t>Garantir que informação é coerente com stage da CT004.
Stage vem da tabela imp_contab, que é um output do Motor Modelica, que recebe como input a imparidade.</t>
    </r>
    <r>
      <rPr>
        <b/>
        <u/>
        <sz val="11"/>
        <color theme="1"/>
        <rFont val="Calibri"/>
        <family val="2"/>
        <scheme val="minor"/>
      </rPr>
      <t xml:space="preserve">
Nota:</t>
    </r>
    <r>
      <rPr>
        <sz val="11"/>
        <color theme="1"/>
        <rFont val="Calibri"/>
        <family val="2"/>
        <scheme val="minor"/>
      </rPr>
      <t xml:space="preserve"> Imp_contab tem apenas 1 regra extra no cálculo do bucket: Se o COALESCE(ADJ_STAGE,FINAL_STAGE,STAGE) = NULL, então bucket = 3, caso contrário COALESCE(ADJ_STAGE,FINAL_STAGE,STAGE)</t>
    </r>
  </si>
  <si>
    <t>Obter Motivos do Stage Atual (desconsiderar motivos associados a outros stages)</t>
  </si>
  <si>
    <r>
      <t xml:space="preserve">Chave IFRS - usar tradutor kt_chaves_ifrs para cruzar com entity e contract_id, para obter chave Ics (cempresa, cbalcao, cnumecta, zdeposit)
</t>
    </r>
    <r>
      <rPr>
        <b/>
        <u/>
        <sz val="11"/>
        <color theme="1"/>
        <rFont val="Calibri"/>
        <family val="2"/>
        <scheme val="minor"/>
      </rPr>
      <t>Nota:</t>
    </r>
    <r>
      <rPr>
        <u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1 chave ifrs - N chave Ics</t>
    </r>
  </si>
  <si>
    <t>el_s1</t>
  </si>
  <si>
    <t>decimal(30,15)</t>
  </si>
  <si>
    <t>Perda Esperada Stage 1</t>
  </si>
  <si>
    <t>ifrs9_out_expected_loss_reporting</t>
  </si>
  <si>
    <t>Para preparar fórmula no caso da relação de chaves mudar para N-N, pode-se aplicar a fórmula:
total capital + juros do contrato ics * total pd do contrato ifrs agrupado pela chave ICs / total capital + juros agrupado por chave ifrs</t>
  </si>
  <si>
    <r>
      <t xml:space="preserve">Ponderação do saldo da chave IFRS, para ser distribuído pelo número de contratos Ics (saldos capital e juros)
</t>
    </r>
    <r>
      <rPr>
        <b/>
        <u/>
        <sz val="11"/>
        <color theme="1"/>
        <rFont val="Calibri"/>
        <family val="2"/>
        <scheme val="minor"/>
      </rPr>
      <t>Fórmula: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total capital + juros do contrato ics * pd do contrato ifrs / total do msaldo_final agrupado pela chave IFRS</t>
    </r>
  </si>
  <si>
    <t>Avaliar caso em que 1 contrato IFRS (STAG1) --&gt; 2 contratos Ics (STAG1) e (STAG2)
- Ponderação pelo capital e juro</t>
  </si>
  <si>
    <t>el_s2</t>
  </si>
  <si>
    <t>Perda Esperada Stage 2</t>
  </si>
  <si>
    <t>el_s3</t>
  </si>
  <si>
    <t>Perda Esperada Stage 3</t>
  </si>
  <si>
    <t>lgd_ifrs9</t>
  </si>
  <si>
    <t>Perda Em Caso de Default</t>
  </si>
  <si>
    <t>Valor % igual para cada relação chave IFRS - chave ICs</t>
  </si>
  <si>
    <t>Chave IFRS - usar tradutor kt_chaves_ifrs para cruzar com entity e contract_id, para obter chave Ics (cempresa, cbalcao, cnumecta, zdeposit)</t>
  </si>
  <si>
    <t>Valores entre 0-1</t>
  </si>
  <si>
    <t>pd12m_ifrs9</t>
  </si>
  <si>
    <t>Probabilidade De Default A 12M</t>
  </si>
  <si>
    <t>pd_lt_ifrs9</t>
  </si>
  <si>
    <t>Probabilidade De Default Lt</t>
  </si>
  <si>
    <t>rit01_linha_irregul</t>
  </si>
  <si>
    <t>contab - Ex1 e 2</t>
  </si>
  <si>
    <t>Ex1</t>
  </si>
  <si>
    <t>Ex2</t>
  </si>
  <si>
    <t>vencido</t>
  </si>
  <si>
    <t>escolho o vencido</t>
  </si>
  <si>
    <t>MVINCEND</t>
  </si>
  <si>
    <t>capital_vencido</t>
  </si>
  <si>
    <t>min(100,110)</t>
  </si>
  <si>
    <t>vivo</t>
  </si>
  <si>
    <t>irrelevante</t>
  </si>
  <si>
    <t>manter sinais da GSI</t>
  </si>
  <si>
    <t>MVENVIDO</t>
  </si>
  <si>
    <t>capital_vivo</t>
  </si>
  <si>
    <t>+ capital contab - capital vencido</t>
  </si>
  <si>
    <t xml:space="preserve">JURVENC </t>
  </si>
  <si>
    <t>juro_vencido</t>
  </si>
  <si>
    <t>juro_periodificado</t>
  </si>
  <si>
    <t>JURMORA</t>
  </si>
  <si>
    <t>juro_mora</t>
  </si>
  <si>
    <t xml:space="preserve">MDESPES </t>
  </si>
  <si>
    <t>despesas_vencidas</t>
  </si>
  <si>
    <t xml:space="preserve">MCOMISS </t>
  </si>
  <si>
    <t>comissoes_vencidas</t>
  </si>
  <si>
    <t>comissoes_periodificadas</t>
  </si>
  <si>
    <t>saldo_db</t>
  </si>
  <si>
    <t>saldo_fb</t>
  </si>
  <si>
    <t>Abordagem Saldos</t>
  </si>
  <si>
    <t>Contab</t>
  </si>
  <si>
    <t>Despesas</t>
  </si>
  <si>
    <t>Comissoes</t>
  </si>
  <si>
    <t>Exposicao_fb</t>
  </si>
  <si>
    <t>GSI</t>
  </si>
  <si>
    <t>chave riscos</t>
  </si>
  <si>
    <t>em parte chaves mis</t>
  </si>
  <si>
    <t>juro periodificado??</t>
  </si>
  <si>
    <t>-para reconciliar</t>
  </si>
  <si>
    <t>montante de gestão??</t>
  </si>
  <si>
    <t>-para seguimento</t>
  </si>
  <si>
    <r>
      <t xml:space="preserve">Tabela de </t>
    </r>
    <r>
      <rPr>
        <b/>
        <i/>
        <sz val="14"/>
        <color theme="1"/>
        <rFont val="Calibri"/>
        <family val="2"/>
        <scheme val="minor"/>
      </rPr>
      <t>Output</t>
    </r>
    <r>
      <rPr>
        <b/>
        <sz val="14"/>
        <color theme="1"/>
        <rFont val="Calibri"/>
        <family val="2"/>
        <scheme val="minor"/>
      </rPr>
      <t xml:space="preserve"> dos Contratos Capital</t>
    </r>
  </si>
  <si>
    <t>1. Universo de operações BDR deve conter as mesmas chaves da tabela de contratos que nasce das ICs e que já foi filtrada pelas operações âmbito;
1.1. Universo de operações é proveniente da tabela de "Contratos Ativo" e, posteriormente pode também ser incluída a informação de uma nova tabela "Contratos Passivo";
1.2. Necessário traduzir chaves BDR em chave ICs de acordo com tradutor kt_chaves_bdr;
2. Considera-se que terá como chave a chave das ICs.</t>
  </si>
  <si>
    <t>rwa_final</t>
  </si>
  <si>
    <t>decimal(23,6)</t>
  </si>
  <si>
    <t>Risk-Weighted Assets para consumo de capital</t>
  </si>
  <si>
    <t>ct013_rwa_princ</t>
  </si>
  <si>
    <t>ponderação sum(rwa_final), aplicando filtro pela flag_cons_cap = 1</t>
  </si>
  <si>
    <r>
      <t xml:space="preserve">Ponderação do saldo da chave BDR, para ser distribuído pelo número de contratos Ics
</t>
    </r>
    <r>
      <rPr>
        <b/>
        <u/>
        <sz val="11"/>
        <color theme="1"/>
        <rFont val="Calibri"/>
        <family val="2"/>
        <scheme val="minor"/>
      </rPr>
      <t>Fórmula: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total capital + juros do contrato ics * total rwa_final do contrato bdr agrupado pela chave ICs / total total capital + juros do contrato ics agrupado por chave BDR</t>
    </r>
  </si>
  <si>
    <r>
      <t xml:space="preserve">Chave BDR - usar tradutor kt_chaves_bdr para cruzar com s1emp e contra1, para obter chave Ics (cempresa, cbalcao, cnumecta, zdeposit)
</t>
    </r>
    <r>
      <rPr>
        <b/>
        <u/>
        <sz val="11"/>
        <color theme="1"/>
        <rFont val="Calibri"/>
        <family val="2"/>
        <scheme val="minor"/>
      </rPr>
      <t>Nota: N chave BDR - N chave Ics</t>
    </r>
  </si>
  <si>
    <t>ead_final_liquida</t>
  </si>
  <si>
    <t>Saldo Ead Regulatória para consumo de capital</t>
  </si>
  <si>
    <t>ponderação sum(ead_final_liquida), aplicando filtro pela flag_cons_cap = 1</t>
  </si>
  <si>
    <r>
      <t xml:space="preserve">Ponderação do saldo da chave BDR, para ser distribuído pelo número de contratos Ics
</t>
    </r>
    <r>
      <rPr>
        <b/>
        <u/>
        <sz val="11"/>
        <color theme="1"/>
        <rFont val="Calibri"/>
        <family val="2"/>
        <scheme val="minor"/>
      </rPr>
      <t>Fórmula: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total capital + juros do contrato ics * total ead_final_liquida do contrato bdr agrupado pela chave ICs / total capital + juros do contrato ics agrupado por chave BDR</t>
    </r>
  </si>
  <si>
    <t>ead_eco</t>
  </si>
  <si>
    <t>Saldo Ead Económica</t>
  </si>
  <si>
    <t>ct016_rwa_econ</t>
  </si>
  <si>
    <t>ponderação sum(ead)</t>
  </si>
  <si>
    <r>
      <t xml:space="preserve">Ponderação do saldo da chave BDR, para ser distribuído pelo número de contratos Ics
</t>
    </r>
    <r>
      <rPr>
        <b/>
        <u/>
        <sz val="11"/>
        <color theme="1"/>
        <rFont val="Calibri"/>
        <family val="2"/>
        <scheme val="minor"/>
      </rPr>
      <t>Fórmula: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total capital + juros do contrato ics * total ead do contrato bdr agrupado pela chave ICs / total capital + juros do contrato ics agrupado por chave BDR</t>
    </r>
  </si>
  <si>
    <t>nivelapl</t>
  </si>
  <si>
    <t>Indicador de visão cliente ou visão contrato (2 ou 4)</t>
  </si>
  <si>
    <t>Atributos devem ser considerados pela seguinte ordem de prioridade de perímetros: Individual Local, ST SGPS Cons e Individual Corporativo (que passará a Individual IDComb).
Email: "IR | RH | Modris - Campos Capital"</t>
  </si>
  <si>
    <t>ind_def</t>
  </si>
  <si>
    <t>Indicador de contrato em default</t>
  </si>
  <si>
    <t>fec_def</t>
  </si>
  <si>
    <t>Data início default</t>
  </si>
  <si>
    <t>fini_pp</t>
  </si>
  <si>
    <t>Data inicio do período probatório</t>
  </si>
  <si>
    <t>ffin_pp</t>
  </si>
  <si>
    <t>Data fim do período probatório (data saida non performing loans)</t>
  </si>
  <si>
    <t>dias_pp</t>
  </si>
  <si>
    <t>Número de dias em período probatório</t>
  </si>
  <si>
    <t>dfim_prev_pp</t>
  </si>
  <si>
    <t>Data prevista saída do período probatório</t>
  </si>
  <si>
    <t xml:space="preserve">calculado - 
Se CT013.DIAS_PP &gt; 0 e &lt;= 92 então REF_DATE + (92 dias – CT013.DIAS_PP)
Se CT013.DIAS_PP &gt; 92 então REF_DATE + 1
Se CT013.DIAS_PP = 0 então ‘9999-12-31’
</t>
  </si>
  <si>
    <t>-avaliar se incluímos na ct013</t>
  </si>
  <si>
    <t>- Aguarda feedback LCM e capital para confirmar inclusão dos campos na CT013</t>
  </si>
  <si>
    <t>dias_atr</t>
  </si>
  <si>
    <t>Dias atraso</t>
  </si>
  <si>
    <t>mot_utp</t>
  </si>
  <si>
    <t>Código do motivo utp</t>
  </si>
  <si>
    <t>Campo a ser incuído na ct013_rwa_princ - calculado com base no ind_def e gest_sit (incluir tbm na ct013)</t>
  </si>
  <si>
    <t>- Aguarda reunião com LCM e capital para definir seleção de nivelapl e ind_def únicos por contrato Ics</t>
  </si>
  <si>
    <t>dini_mat</t>
  </si>
  <si>
    <t>Data inicio incumprimento material</t>
  </si>
  <si>
    <t>calculado - 
Se CT013.DIAS_ATR &gt; 0 então REF_DATE - CT013.DIAS_ATR
Caso contrário ‘9999-12-31’</t>
  </si>
  <si>
    <t>umbrabs</t>
  </si>
  <si>
    <t>Decimal (17,2)</t>
  </si>
  <si>
    <t>Materialidade absoluta</t>
  </si>
  <si>
    <t>JM_CONTR_ND.R9750_UMBRABS</t>
  </si>
  <si>
    <t>umbrrel</t>
  </si>
  <si>
    <t>Decimal (9,6)</t>
  </si>
  <si>
    <t>Materialidade relativa</t>
  </si>
  <si>
    <t>JM_CONTR_ND.R9750_UMBRREL</t>
  </si>
  <si>
    <t>sdb_final</t>
  </si>
  <si>
    <t>Decimal (23,6)</t>
  </si>
  <si>
    <t>Saldo dentro de balanço New Default - Prudencial</t>
  </si>
  <si>
    <t>limite_materialidade</t>
  </si>
  <si>
    <t>Limite de materialidade</t>
  </si>
  <si>
    <t>calculado - ct013.sdb_final (soma do cliente se nivelapl = 4 ou contrato se nivelapl = 2) * 1%[parâmetro-campo UMBRREL da ct013]</t>
  </si>
  <si>
    <t>imp_atr</t>
  </si>
  <si>
    <t>Montante em incumprimento New Default</t>
  </si>
  <si>
    <t xml:space="preserve">- IRB
Se JM_CONTR_ND.R9750_NIVELAPL IN (1, 2, 5) e JM_CTO_AJ_REG.O9209_INDMORA1 in (1,2,3,5,6,7) então JM_OUT_CTO_ND.R9739_IMP_ATR
Se JM_CONTR_ND.R9750_NIVELAPL IN (1, 2, 5) então NVL(JM_OUT_CTO_ND.R9739_IMP_ATR, 0 ) 
Se JM_CONTR_ND.R9750_NIVELAPL IN (3, 4, 6) e JM_CTO_AJ_REG.O9209_INDMORA1 in (1,2,3,5,6,7) então JM_OUT_CLI_ND.R9741_IMP_ATR
Se JM_CONTR_ND.R9750_NIVELAPL IN (3, 4, 6)  então NVL( JM_OUT_CLI_ND.R9741_IMP_ATR, 0 )
- STD
Se JM_CONTR_ND.R9750_NIVELAPL IN (1, 2, 5) e JM_SIM_AJ_STD.ORIGENCT &lt; 2 e JM_SIM_AJ_STD.INMORINI in (1,2,3,5,6,7) então JM_OUT_CTO_ND.R9739_IMP_ATR
Se JM_CONTR_ND.R9750_NIVELAPL IN (3, 4, 6) e JM_SIM_AJ_STD.ORIGENCT &lt; 2 e JM_SIM_AJ_STD.INMORINI in (1,2,3,5,6,7) então JM_OUT_CLI_ND.R9741_IMP_ATR
Se JM_SIM_AJ_STD.ORIGENCT &lt; 2 e JM_CONTR_ND.R9750_NIVELAPL IN (1, 2, 5) então NVL(JM_OUT_CTO_ND.R9739_IMP_ATR,0)
Se JM_SIM_AJ_STD.ORIGENCT &lt; 2 e JM_CONTR_ND.R9750_NIVELAPL IN (3, 4, 6) então NVL(JM_OUT_CLI_ND.R9741_IMP_ATR,0)
Se JM_SIM_AJ_STD.ORIGENCT &gt;= 2 então 0
</t>
  </si>
  <si>
    <t>imp_atr_perc</t>
  </si>
  <si>
    <t>Percentagem de importe em atraso (%)</t>
  </si>
  <si>
    <t>IMP_ATR / CT013.SDB_FINAL (soma do cliente se nivelapl in (3, 4, 6) ou contrato se nivelapl in (1, 2, 5)) * 100</t>
  </si>
  <si>
    <r>
      <t xml:space="preserve">Tabela de </t>
    </r>
    <r>
      <rPr>
        <b/>
        <i/>
        <sz val="14"/>
        <color theme="1"/>
        <rFont val="Calibri"/>
        <family val="2"/>
        <scheme val="minor"/>
      </rPr>
      <t>Output</t>
    </r>
    <r>
      <rPr>
        <b/>
        <sz val="14"/>
        <color theme="1"/>
        <rFont val="Calibri"/>
        <family val="2"/>
        <scheme val="minor"/>
      </rPr>
      <t xml:space="preserve"> dos Contratos New Default</t>
    </r>
  </si>
  <si>
    <t>1. Universo de operações de New Default deve conter as mesmas chaves da tabela de contratos que nasce das ICs e que já foi filtrada pelas operações âmbito;
1.1. Universo de operações é proveniente da tabela de "Contratos Ativo" e, posteriormente pode também ser incluída a informação de uma nova tabela "Contratos Passivo";
1.2. Necessário traduzir chaves MIS em chave ICs de acordo com tradutor kt_chaves_rsc;
2. Considera-se que terá chave das ICs.</t>
  </si>
  <si>
    <t>Data revista por motivos técnicos</t>
  </si>
  <si>
    <t>nd205_contr_gsi</t>
  </si>
  <si>
    <r>
      <t xml:space="preserve">Chave RSC - usar tradutor kt_chaves_rsc para cruzar com cempresa_rsc, ckbalcao_rsc, cknumcta_rsc, zdeposit_rsc, para obter chave Ics (cempresa, cbalcao, cnumecta, zdeposit)
</t>
    </r>
    <r>
      <rPr>
        <b/>
        <u/>
        <sz val="11"/>
        <color theme="1"/>
        <rFont val="Calibri"/>
        <family val="2"/>
        <scheme val="minor"/>
      </rPr>
      <t>Nota:</t>
    </r>
    <r>
      <rPr>
        <u/>
        <sz val="11"/>
        <color theme="1"/>
        <rFont val="Calibri"/>
        <family val="2"/>
        <scheme val="minor"/>
      </rPr>
      <t xml:space="preserve"> N</t>
    </r>
    <r>
      <rPr>
        <sz val="11"/>
        <color theme="1"/>
        <rFont val="Calibri"/>
        <family val="2"/>
        <scheme val="minor"/>
      </rPr>
      <t xml:space="preserve"> chave RSC - N chave Ics</t>
    </r>
  </si>
  <si>
    <t>flag_npl</t>
  </si>
  <si>
    <t>Flag Non-Performing Loan</t>
  </si>
  <si>
    <t>ind_npl</t>
  </si>
  <si>
    <t>Indicador Non-Performing Loan</t>
  </si>
  <si>
    <t>mot_npl</t>
  </si>
  <si>
    <t>Motivo Non-Performing Loan</t>
  </si>
  <si>
    <t>calculado - ref_date + (92[parâmetro] – dias_pp)
Se DIAS_PP &gt; 0 e &lt;= 92 então REF_DATE + (92 dias – DIAS_PP)
Se DIAS_PP &gt; 92 então REF_DATE + 1
Se DIAS_PP = 0 então ‘9999-12-31’</t>
  </si>
  <si>
    <t>date_sub(nd205.ref_date,ND205.dias_atr)</t>
  </si>
  <si>
    <t>nd201_contr_nd</t>
  </si>
  <si>
    <t>Decimal (17,6)</t>
  </si>
  <si>
    <t>salonbal</t>
  </si>
  <si>
    <t>Saldo dentro de balanço do contrato</t>
  </si>
  <si>
    <t>Fórmula: total capital + juros do contrato ics * total montante do contrato rsc agrupado pela chave ICs / total capital + juros agrupado por chave RSC</t>
  </si>
  <si>
    <r>
      <t xml:space="preserve">Ponderação do saldo da chave RSC, para ser distribuído pelo número de contratos Ics (saldos capital e juros)
</t>
    </r>
    <r>
      <rPr>
        <b/>
        <u/>
        <sz val="11"/>
        <color theme="1"/>
        <rFont val="Calibri"/>
        <family val="2"/>
        <scheme val="minor"/>
      </rPr>
      <t>Fórmula: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total capital + juros do contrato ics * montante do contrato rsc / total do capital + juros agrupado pela chave RSC</t>
    </r>
  </si>
  <si>
    <r>
      <t xml:space="preserve">Montante dos vários </t>
    </r>
    <r>
      <rPr>
        <i/>
        <sz val="11"/>
        <color theme="1"/>
        <rFont val="Calibri"/>
        <family val="2"/>
        <scheme val="minor"/>
      </rPr>
      <t xml:space="preserve">zdeposit </t>
    </r>
    <r>
      <rPr>
        <sz val="11"/>
        <color theme="1"/>
        <rFont val="Calibri"/>
        <family val="2"/>
        <scheme val="minor"/>
      </rPr>
      <t xml:space="preserve">de um mesmo </t>
    </r>
    <r>
      <rPr>
        <i/>
        <sz val="11"/>
        <color theme="1"/>
        <rFont val="Calibri"/>
        <family val="2"/>
        <scheme val="minor"/>
      </rPr>
      <t xml:space="preserve">cnumecta </t>
    </r>
    <r>
      <rPr>
        <sz val="11"/>
        <color theme="1"/>
        <rFont val="Calibri"/>
        <family val="2"/>
        <scheme val="minor"/>
      </rPr>
      <t xml:space="preserve">é somado e informado da mesma forma em todos os </t>
    </r>
    <r>
      <rPr>
        <i/>
        <sz val="11"/>
        <color theme="1"/>
        <rFont val="Calibri"/>
        <family val="2"/>
        <scheme val="minor"/>
      </rPr>
      <t>zdeposit</t>
    </r>
    <r>
      <rPr>
        <sz val="11"/>
        <color theme="1"/>
        <rFont val="Calibri"/>
        <family val="2"/>
        <scheme val="minor"/>
      </rPr>
      <t>. Necessário obter informação anterior a este tratamento, ou criar processo de desagregação.</t>
    </r>
  </si>
  <si>
    <t>calculado - salonbal (soma do cliente se nivelapl = 4 ou contrato se nivelapl = 2) * 1%[parâmetro-campo UMBRREL da nd201]</t>
  </si>
  <si>
    <t>Montante em incumprimento New Default (do cliente se nivelapl = 4 ou contrato se nivelapl = 2)</t>
  </si>
  <si>
    <t>calculado - imp_atr* (-1)</t>
  </si>
  <si>
    <t>calculado - imp_atr / salonbal (soma do cliente se nivelapl = 4 ou contrato se nivelapl = 2) * 100</t>
  </si>
  <si>
    <r>
      <t xml:space="preserve">Tabela de </t>
    </r>
    <r>
      <rPr>
        <b/>
        <i/>
        <sz val="14"/>
        <color theme="1"/>
        <rFont val="Calibri"/>
        <family val="2"/>
        <scheme val="minor"/>
      </rPr>
      <t>Output</t>
    </r>
    <r>
      <rPr>
        <b/>
        <sz val="14"/>
        <color theme="1"/>
        <rFont val="Calibri"/>
        <family val="2"/>
        <scheme val="minor"/>
      </rPr>
      <t xml:space="preserve"> dos Contratos MIS</t>
    </r>
  </si>
  <si>
    <t>1. Universo de operações do MIS deve conter as mesmas chaves da tabela de contratos que nasce das ICs e que já foi filtrada pelas operações âmbito;
1.1. Universo de operações é proveniente da tabela de "Contratos Ativo" e, posteriormente pode também ser incluída a informação de uma nova tabela "Contratos Passivo";
1.2. Necessário traduzir chaves MIS em chave ICs de acordo com tradutor kt_chaves_mis;
2. Necessário incluir coluna de origem como partição para distinguir operações de ativo (fase inicial) e noutra fase, incluir também operações de passivo.
3. Considera-se que terá como chave a chave das ICs, o zcliente, ckprodmi e ckmetamis, para manter a chave que já existe atualmente nas tabelas da rentabilidade (provenientes do MIS);
4. Para distribuir os kpms do MIS pela chave ICs, é utilizada a seguinte regra de cálculo: total capital + juros do contrato ics * total kpm do contrato MIS agrupado pela chave ICs / total capital + juros agrupado por chave MIS. A chave do contrato MIS é relacionada com a chave ICs através do tradutor kt_chaves_mis que tem como chave MIS os campos cempcta, ckbalcao, cknumcta e zdeposit_mis, e a chave ICs (cempresa, cbalcao, cnumecta, zdeposit)</t>
  </si>
  <si>
    <t>ct209_rent_kpm / ct211_rent_kpmco</t>
  </si>
  <si>
    <t>Mapeamento revisto, para ir à tbl de contratos em vez de tbl kpms</t>
  </si>
  <si>
    <t>Data entrega a rever</t>
  </si>
  <si>
    <t>ckprodmi</t>
  </si>
  <si>
    <t>Código Do Produto MIS</t>
  </si>
  <si>
    <t>ct209_rent_kpm</t>
  </si>
  <si>
    <t>CKPRODMI</t>
  </si>
  <si>
    <t>ckmetamis</t>
  </si>
  <si>
    <t>Código Metamis Do Produto Do Contrato</t>
  </si>
  <si>
    <t>CKMETAMIS</t>
  </si>
  <si>
    <t>ccengest</t>
  </si>
  <si>
    <t>Código De Centro Gestor</t>
  </si>
  <si>
    <t>ct200_rent_cli_m</t>
  </si>
  <si>
    <t>CCENGEST</t>
  </si>
  <si>
    <t>ct207_rent_over</t>
  </si>
  <si>
    <t>Campo não existe na ct209 e ct211</t>
  </si>
  <si>
    <r>
      <t xml:space="preserve">No teste de nov/22, não existem valores diferentes para a mesma chave Ics
</t>
    </r>
    <r>
      <rPr>
        <b/>
        <sz val="11"/>
        <color theme="1"/>
        <rFont val="Calibri"/>
        <family val="2"/>
        <scheme val="minor"/>
      </rPr>
      <t>- Fonte deve estar consistente com tbls RS</t>
    </r>
  </si>
  <si>
    <t>04/05/2023 - Data de entrega adiada por necessiade de rever fonte</t>
  </si>
  <si>
    <t>cmetanseg</t>
  </si>
  <si>
    <t>Código Meta Segmento Corporativo Do Cliente</t>
  </si>
  <si>
    <t>CMETANSEG</t>
  </si>
  <si>
    <t>No teste de nov/22, não existem valores diferentes para a mesma chave Ics</t>
  </si>
  <si>
    <t>mdesaut</t>
  </si>
  <si>
    <t>decimal(13,2)</t>
  </si>
  <si>
    <t>Descoberto Autorizado</t>
  </si>
  <si>
    <t>Se ct209.ckmetamis like 'AI07%' então ct201.mdesaut</t>
  </si>
  <si>
    <t>cgsi</t>
  </si>
  <si>
    <t>Código De Gestão E Seguimento Irregulares</t>
  </si>
  <si>
    <t>CGSI</t>
  </si>
  <si>
    <t>--query teste
SELECT a.sitact, c.*
FROM(
    SELECT DISTINCT cempresa,ckbalcao,cknumcta,zdeposit,sitact
    from cd_newdefault.nd002_gst01          -- total 459443
    WHERE data_date_part = '2022-12-30'
    and dcancel like '9999-%'
) a
INNER JOIN (
            SELECT *
            from cd_captools.kt_chaves_mis
            WHERE ref_date = '2022-12-31'
) b
on(
        b.cempcta = a.cempresa
    and b.ckbalcao = a.ckbalcao
    and b.cknumcta = a.cknumcta
    and b.zdeposit_mis = a.zdeposit
)
INNER JOIN (
            SELECT DISTINCT cmarc_gsi, cempresa, cconta, creferencia
            FROM cd_riscos.rstf101_det_cnt_rsc_20230228 -- tabela com responsabilidade ativa (comparar com MIT09)
            WHERE data_date_part = '2022-12-30'
) c
on (
        c.cempresa = b.cempresa
    and concat(trim(c.cconta),trim(c.creferencia)) = concat(trim(b.cbalcao),trim(b.cnumecta),trim(b.zdeposit))
)
WHERE !(sitact &lt;=&gt; cmarc_gsi);</t>
  </si>
  <si>
    <r>
      <t xml:space="preserve">30-03-2023: Para nov/22, temos casos em que a mesma chave Ics tem cgsi preenchido ou vazio, mas também casos em que estão preenchidos com valores diferentes (Ex: G04 com G05). Como escolher?
</t>
    </r>
    <r>
      <rPr>
        <b/>
        <sz val="11"/>
        <color theme="1"/>
        <rFont val="Calibri"/>
        <family val="2"/>
        <scheme val="minor"/>
      </rPr>
      <t>11-05-2023</t>
    </r>
    <r>
      <rPr>
        <sz val="11"/>
        <color theme="1"/>
        <rFont val="Calibri"/>
        <family val="2"/>
        <scheme val="minor"/>
      </rPr>
      <t xml:space="preserve">: desconsiderada fonte ct209_rent_kpm e considerado campo sitact da cd_newdefault.nd002_gst01
- validar que é o campo utilizado por Riscos (tabela rstf101_det_cnt_rsc, campo cmarc_gs) - OK
- tabela contratos ativo
- </t>
    </r>
    <r>
      <rPr>
        <b/>
        <sz val="11"/>
        <color theme="1"/>
        <rFont val="Calibri"/>
        <family val="2"/>
        <scheme val="minor"/>
      </rPr>
      <t xml:space="preserve">código deve ser aplicado para todos os contratos
06-11-2023: utilizadores vão pensar em regras para preenchimento do campo nos casos que existem em MIS mas que não tem CGSI informado </t>
    </r>
  </si>
  <si>
    <t>ac243</t>
  </si>
  <si>
    <t>decimal(17,4)</t>
  </si>
  <si>
    <t>Ac243 - Entradas Em Abatidos Ao Activo Ac Ano</t>
  </si>
  <si>
    <t>AC243</t>
  </si>
  <si>
    <t>Utilizar ponderação:
total capital + juros do contrato ics * total kpm do contrato mis agrupado pela chave ICs / total capital + juros agrupado por chave mis</t>
  </si>
  <si>
    <r>
      <t xml:space="preserve">Ponderação do kpm da chave MIS, para ser distribuído pelo número de contratos Ics (saldos capital e juros)
</t>
    </r>
    <r>
      <rPr>
        <b/>
        <u/>
        <sz val="11"/>
        <color theme="1"/>
        <rFont val="Calibri"/>
        <family val="2"/>
        <scheme val="minor"/>
      </rPr>
      <t>Fórmula: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total capital + juros do contrato ics * kpm do contrato mis / total do msaldo_final agrupado pela chave mis</t>
    </r>
  </si>
  <si>
    <r>
      <t xml:space="preserve">Chave MIS - usar tradutor kt_chaves_mis para cruzar com cempcta,ckbalcao,cknumecta,zdeposit_mis, para obter chave Ics (cempresa, cbalcao, cnumecta, zdeposit)
</t>
    </r>
    <r>
      <rPr>
        <b/>
        <u/>
        <sz val="11"/>
        <color theme="1"/>
        <rFont val="Calibri"/>
        <family val="2"/>
        <scheme val="minor"/>
      </rPr>
      <t>Nota: N chave MIS - N chave Ics</t>
    </r>
  </si>
  <si>
    <t>ac310</t>
  </si>
  <si>
    <t>Ac310 - Resultados De Oper. Financeiras (Rof) Acumulado Ano</t>
  </si>
  <si>
    <t>AC310</t>
  </si>
  <si>
    <t>ac451</t>
  </si>
  <si>
    <t>Ac451 - Perdão De Credito Vencido Ac Ano</t>
  </si>
  <si>
    <t>AC451</t>
  </si>
  <si>
    <t>c007</t>
  </si>
  <si>
    <t>007 - Sp</t>
  </si>
  <si>
    <t>C007</t>
  </si>
  <si>
    <t>c013</t>
  </si>
  <si>
    <t>013 - Margem Financeira (Mf)</t>
  </si>
  <si>
    <t>C013</t>
  </si>
  <si>
    <t>c134</t>
  </si>
  <si>
    <t>134 - Limites De Crédito Concedido Não Utilizado</t>
  </si>
  <si>
    <t>c182</t>
  </si>
  <si>
    <t>182 - Mf Acumulada Do Ano</t>
  </si>
  <si>
    <t>C182</t>
  </si>
  <si>
    <t>c183</t>
  </si>
  <si>
    <t>183 - Mf Mês</t>
  </si>
  <si>
    <t>C183</t>
  </si>
  <si>
    <t>c187</t>
  </si>
  <si>
    <t>187 - Produto Bancário (Pb)</t>
  </si>
  <si>
    <t>C187</t>
  </si>
  <si>
    <t>c215</t>
  </si>
  <si>
    <t>215 - Mf Anos Anteriores</t>
  </si>
  <si>
    <t>C215</t>
  </si>
  <si>
    <t>c224</t>
  </si>
  <si>
    <t>224 - Crédito Vencido</t>
  </si>
  <si>
    <t>C224</t>
  </si>
  <si>
    <t>c225</t>
  </si>
  <si>
    <t>225 - Cv - Classe I</t>
  </si>
  <si>
    <t>C225</t>
  </si>
  <si>
    <t>c226</t>
  </si>
  <si>
    <t>226 - Cv - Classe Ii</t>
  </si>
  <si>
    <t>C226</t>
  </si>
  <si>
    <t>c227</t>
  </si>
  <si>
    <t>227 - Cv - Classe Iii</t>
  </si>
  <si>
    <t>C227</t>
  </si>
  <si>
    <t>c228</t>
  </si>
  <si>
    <t>228 - Cv - Classe Iv</t>
  </si>
  <si>
    <t>C228</t>
  </si>
  <si>
    <t>c229</t>
  </si>
  <si>
    <t>229 - Cv - Classe V</t>
  </si>
  <si>
    <t>C229</t>
  </si>
  <si>
    <t>c242</t>
  </si>
  <si>
    <t>242 - Abatido Ao Activo</t>
  </si>
  <si>
    <t>C242</t>
  </si>
  <si>
    <t>c243</t>
  </si>
  <si>
    <t>243 - Entradas Em Abatidos Ao Activo</t>
  </si>
  <si>
    <t>C243</t>
  </si>
  <si>
    <t>c244</t>
  </si>
  <si>
    <t>244 - Recuperações De Abatido Ao Activo</t>
  </si>
  <si>
    <t>C244</t>
  </si>
  <si>
    <t>c245</t>
  </si>
  <si>
    <t>245 - Créd.Venc.+Entradas Abatidos Ao Activo Ano+Perdões</t>
  </si>
  <si>
    <t>C245</t>
  </si>
  <si>
    <t>c248</t>
  </si>
  <si>
    <t>248 - Juros De Mora No Mês</t>
  </si>
  <si>
    <t>C248</t>
  </si>
  <si>
    <t>c261</t>
  </si>
  <si>
    <t>261 - Cv - Classe 0</t>
  </si>
  <si>
    <t>C261</t>
  </si>
  <si>
    <t>c277</t>
  </si>
  <si>
    <t>277 - Responsabilidades</t>
  </si>
  <si>
    <t>c295</t>
  </si>
  <si>
    <t>295 - Smv Ano</t>
  </si>
  <si>
    <t>C295</t>
  </si>
  <si>
    <t>c310</t>
  </si>
  <si>
    <t>310 - Resultados De Oper. Financeiras (Rof)</t>
  </si>
  <si>
    <t>C310</t>
  </si>
  <si>
    <t>c332</t>
  </si>
  <si>
    <t>332 - Provisões Imparidade</t>
  </si>
  <si>
    <t>C332</t>
  </si>
  <si>
    <t>c332mant</t>
  </si>
  <si>
    <t>332 - Provisões Imparidade Mês Anterior</t>
  </si>
  <si>
    <t>C332MANT</t>
  </si>
  <si>
    <t>c382</t>
  </si>
  <si>
    <t>382 - Entrada Cv</t>
  </si>
  <si>
    <t>C382</t>
  </si>
  <si>
    <t>c434</t>
  </si>
  <si>
    <t>434 - Gsi Morosidade</t>
  </si>
  <si>
    <t>C434</t>
  </si>
  <si>
    <t>c450</t>
  </si>
  <si>
    <t>450 - Perdão De Abatidos Ao Activo</t>
  </si>
  <si>
    <t>C450</t>
  </si>
  <si>
    <t>c451</t>
  </si>
  <si>
    <t>451 - Perdão De Credito Vencido</t>
  </si>
  <si>
    <t>C451</t>
  </si>
  <si>
    <t>c483</t>
  </si>
  <si>
    <t>483 - Prémio Liquidez Crédito Ano (Anualiz.)</t>
  </si>
  <si>
    <t>C483</t>
  </si>
  <si>
    <t>c485</t>
  </si>
  <si>
    <t>485 - Prémio Liquidez Crédito Mês</t>
  </si>
  <si>
    <t>C485</t>
  </si>
  <si>
    <t>c487</t>
  </si>
  <si>
    <t>487 - Prémio Liquidez Crédito Meses Anteriores</t>
  </si>
  <si>
    <t>C487</t>
  </si>
  <si>
    <t>c489</t>
  </si>
  <si>
    <t>489 - Prémio Liquidez Crédito Ano</t>
  </si>
  <si>
    <t>C489</t>
  </si>
  <si>
    <t>m000</t>
  </si>
  <si>
    <t>M000 - Mf Outros</t>
  </si>
  <si>
    <t>M000</t>
  </si>
  <si>
    <t>m008</t>
  </si>
  <si>
    <t>M008 - Entradas Em Abatidos Ao Activo + Perdão De Credito Vencido(Acumulado Ano)</t>
  </si>
  <si>
    <t>M008</t>
  </si>
  <si>
    <t>m009</t>
  </si>
  <si>
    <t>M009 - Fluxos De Provisões De Imparidade</t>
  </si>
  <si>
    <t>M009</t>
  </si>
  <si>
    <t>m010</t>
  </si>
  <si>
    <t>M010 - Ajustes Vendas</t>
  </si>
  <si>
    <t>M010</t>
  </si>
  <si>
    <t>m011</t>
  </si>
  <si>
    <t>M011 - Ajustes Carteira Rede Integrada</t>
  </si>
  <si>
    <t>M011</t>
  </si>
  <si>
    <t>m012</t>
  </si>
  <si>
    <t>M012 - Carteira Imparidade Ajustada</t>
  </si>
  <si>
    <t>M012</t>
  </si>
  <si>
    <t>m013</t>
  </si>
  <si>
    <t>M013 - Ajustes Vendas Ve</t>
  </si>
  <si>
    <t>M013</t>
  </si>
  <si>
    <t>m021</t>
  </si>
  <si>
    <t>M021 - Provisões Outros</t>
  </si>
  <si>
    <t>M021</t>
  </si>
  <si>
    <t>m022</t>
  </si>
  <si>
    <t>M022 - Entradas Em Crédito Vencido De 0-90 Dias</t>
  </si>
  <si>
    <t>M022</t>
  </si>
  <si>
    <t>m023</t>
  </si>
  <si>
    <t>M023 - Recuperações Em Crédito Vencido De 0-90 Dias</t>
  </si>
  <si>
    <t>M023</t>
  </si>
  <si>
    <t>m024</t>
  </si>
  <si>
    <t>M024 - Entradas Em Crédito Vencido De +90 Dias</t>
  </si>
  <si>
    <t>M024</t>
  </si>
  <si>
    <t>m025</t>
  </si>
  <si>
    <t>M025 - Recuperações Em Crédito Vencido De +90 Dias</t>
  </si>
  <si>
    <t>M025</t>
  </si>
  <si>
    <t>m026</t>
  </si>
  <si>
    <t>M026 - Write-Offs 0-90 Dias</t>
  </si>
  <si>
    <t>M026</t>
  </si>
  <si>
    <t>m027</t>
  </si>
  <si>
    <t>M027 - Outros 0-90 Dias</t>
  </si>
  <si>
    <t>M027</t>
  </si>
  <si>
    <t>m028</t>
  </si>
  <si>
    <t>M028 - Write-Offs 0-90 Dias</t>
  </si>
  <si>
    <t>M028</t>
  </si>
  <si>
    <t>m029</t>
  </si>
  <si>
    <t>M029 - Outros 0-90 Dias</t>
  </si>
  <si>
    <t>M029</t>
  </si>
  <si>
    <t>m071</t>
  </si>
  <si>
    <t>M071 - Morosidade De Gestão</t>
  </si>
  <si>
    <t>M071</t>
  </si>
  <si>
    <t>m072</t>
  </si>
  <si>
    <t>M072 - Irregulares</t>
  </si>
  <si>
    <t>M072</t>
  </si>
  <si>
    <t>m074</t>
  </si>
  <si>
    <t>M074 - Rentabilidade Do Capital</t>
  </si>
  <si>
    <t>M074</t>
  </si>
  <si>
    <t>m081</t>
  </si>
  <si>
    <t>M081 - Adjudicados Total Mês</t>
  </si>
  <si>
    <t>M081</t>
  </si>
  <si>
    <t>m081mant</t>
  </si>
  <si>
    <t>M081 - Adjudicados Total Mês Anterior</t>
  </si>
  <si>
    <t>M081MANT</t>
  </si>
  <si>
    <t>m082</t>
  </si>
  <si>
    <t>M082 - Entradas Mês - Adjudicados</t>
  </si>
  <si>
    <t>M082</t>
  </si>
  <si>
    <t>m083</t>
  </si>
  <si>
    <t>M083 - Saídas Mês - Adjudicados</t>
  </si>
  <si>
    <t>M083</t>
  </si>
  <si>
    <t>ac028</t>
  </si>
  <si>
    <t>Ac028 - Comissões Líquidas Ac Ano</t>
  </si>
  <si>
    <t>CT211_rent_kpmco</t>
  </si>
  <si>
    <t>AC028</t>
  </si>
  <si>
    <t>ct211_rent_kpmco</t>
  </si>
  <si>
    <t>am015</t>
  </si>
  <si>
    <t>Am015 - Comissões Outros Acumulado Ano</t>
  </si>
  <si>
    <t>AM015</t>
  </si>
  <si>
    <t>c184</t>
  </si>
  <si>
    <t>184 - Comissões Standard</t>
  </si>
  <si>
    <t>C184</t>
  </si>
  <si>
    <t>c289</t>
  </si>
  <si>
    <t>289 - Comissões Recebidas</t>
  </si>
  <si>
    <t>C289</t>
  </si>
  <si>
    <t>c290</t>
  </si>
  <si>
    <t>290 - Estornos Comissões Recebidas</t>
  </si>
  <si>
    <t>C290</t>
  </si>
  <si>
    <t>c292</t>
  </si>
  <si>
    <t>292 - Comissões Pagas</t>
  </si>
  <si>
    <t>C292</t>
  </si>
  <si>
    <t>c293</t>
  </si>
  <si>
    <t>293 - Estornos Comissões Pagas</t>
  </si>
  <si>
    <t>C293</t>
  </si>
  <si>
    <t>c309</t>
  </si>
  <si>
    <t>309 - Total De Estornos</t>
  </si>
  <si>
    <t>C309</t>
  </si>
  <si>
    <t>c455</t>
  </si>
  <si>
    <t>455 - Comissões Standard Ac.</t>
  </si>
  <si>
    <t>C455</t>
  </si>
  <si>
    <t>c456</t>
  </si>
  <si>
    <t>456 - Comiss. Condições Especiais Ac.</t>
  </si>
  <si>
    <t>C456</t>
  </si>
  <si>
    <t>c457</t>
  </si>
  <si>
    <t>457 - Comissões Recebidas Ac.</t>
  </si>
  <si>
    <t>C457</t>
  </si>
  <si>
    <t>c458</t>
  </si>
  <si>
    <t>458 - Estornos Comiss. Recebidas Ac.</t>
  </si>
  <si>
    <t>C458</t>
  </si>
  <si>
    <t>c459</t>
  </si>
  <si>
    <t>459 - Comissões Pagas Ac.</t>
  </si>
  <si>
    <t>C459</t>
  </si>
  <si>
    <t>c460</t>
  </si>
  <si>
    <t>460 - Estornos Comiss. Pagas Ac.</t>
  </si>
  <si>
    <t>C460</t>
  </si>
  <si>
    <t>m015</t>
  </si>
  <si>
    <t>M015 - Comissões Outros</t>
  </si>
  <si>
    <t>M015</t>
  </si>
  <si>
    <t>montante_limite_total</t>
  </si>
  <si>
    <t>Limite Total</t>
  </si>
  <si>
    <t>ct209_rent_kpm / ct201_rent_cont</t>
  </si>
  <si>
    <t>Se ct209.ckmetamis like 'AI07%' então ct201.mdesaut else ct209.c134 + ct209.c277</t>
  </si>
  <si>
    <r>
      <t xml:space="preserve">Por avaliar produto do Papel Comercial
Analisar montantes por produto
- </t>
    </r>
    <r>
      <rPr>
        <b/>
        <sz val="11"/>
        <color theme="1"/>
        <rFont val="Calibri"/>
        <family val="2"/>
        <scheme val="minor"/>
      </rPr>
      <t>Por definir nome dos campos
- Avaliar regra do produto cartões de crédito</t>
    </r>
  </si>
  <si>
    <t>04/05/2023 - Data de entrega adiada por necessiade de rever especificação</t>
  </si>
  <si>
    <t>montante_limite_nao_utilizado</t>
  </si>
  <si>
    <t>Limites De Crédito Concedido Não Utilizado</t>
  </si>
  <si>
    <t>Se ct209.ckmetamis like 'AI07%' então ct201.mdesaut - ct209.c277 else ct209.c134</t>
  </si>
  <si>
    <t>origem</t>
  </si>
  <si>
    <t>'Ativo' ou 'Passivo'</t>
  </si>
  <si>
    <t>Ativo' ou 'Passivo'</t>
  </si>
  <si>
    <t xml:space="preserve">cod_tipo_taxa_ref_act </t>
  </si>
  <si>
    <t>Código Tipo Indexante - Ativo</t>
  </si>
  <si>
    <t>cd_alm</t>
  </si>
  <si>
    <t>al029_cnt_core_m</t>
  </si>
  <si>
    <t>Tabela com chave ALM, necessário traduzir pelo kt_chaves_alm_m</t>
  </si>
  <si>
    <t>Chave da tabela é ALM</t>
  </si>
  <si>
    <t>tx_indexante</t>
  </si>
  <si>
    <t>Taxa Do Indexante</t>
  </si>
  <si>
    <t>tx_spread_act_1</t>
  </si>
  <si>
    <t>Taxa Do Spread</t>
  </si>
  <si>
    <t>- spread já tem aplicado o cálculo quando ocorre multiplicação, spread bonificado?
- spread contratado ou atual? Atual</t>
  </si>
  <si>
    <t>cod_sinal_spread_act_1</t>
  </si>
  <si>
    <t>Código do sinal do Spread</t>
  </si>
  <si>
    <t>sinal * - como é refletido o spread? Multiplica % sobre valor spread</t>
  </si>
  <si>
    <t>tx_contrato_act</t>
  </si>
  <si>
    <t>Taxa De Operação - Ativo</t>
  </si>
  <si>
    <t>tkoper</t>
  </si>
  <si>
    <t>Começou-se por considerar taxa de operação.
Chave da tabela é ALM
Qualidade dados - contrato pode não ter info para tipo de taxa ou indexante.:
- base MIS (MYIR063) gerada para o banco were que agrega (MIT15, MIT90, ICs)</t>
  </si>
  <si>
    <r>
      <t xml:space="preserve">Tabela de </t>
    </r>
    <r>
      <rPr>
        <b/>
        <i/>
        <sz val="14"/>
        <color theme="1"/>
        <rFont val="Calibri"/>
        <family val="2"/>
        <scheme val="minor"/>
      </rPr>
      <t xml:space="preserve">Output </t>
    </r>
    <r>
      <rPr>
        <b/>
        <sz val="14"/>
        <color theme="1"/>
        <rFont val="Calibri"/>
        <family val="2"/>
        <scheme val="minor"/>
      </rPr>
      <t>de Clientes</t>
    </r>
  </si>
  <si>
    <t>1. Considera-se que terá como chave o zcliente;
2. Pretende-se incluir informação de todos os clientes titulares de contratos âmbito no modelo (cd_clientes.cl001_interv_cto.crelacao_cl_cnt=1)</t>
  </si>
  <si>
    <t>INCIDÊNCIA</t>
  </si>
  <si>
    <t>Número Do Cliente Sintra</t>
  </si>
  <si>
    <t>cliente_mensal</t>
  </si>
  <si>
    <t>Cliente sintra</t>
  </si>
  <si>
    <t>cpersona</t>
  </si>
  <si>
    <t>Número Do Cliente Partenon</t>
  </si>
  <si>
    <t>dwt222_rl_cliente_pers</t>
  </si>
  <si>
    <t>Cliente partenon</t>
  </si>
  <si>
    <t>ccli_grupo</t>
  </si>
  <si>
    <t>Código Do Cligrupo</t>
  </si>
  <si>
    <t>DWT001_CLIENTE</t>
  </si>
  <si>
    <t>CCLI_GRUPO</t>
  </si>
  <si>
    <t>cd_clientes</t>
  </si>
  <si>
    <t>dwt001_cliente</t>
  </si>
  <si>
    <t>gcliente</t>
  </si>
  <si>
    <t>Nome Cliente</t>
  </si>
  <si>
    <t>GCLIENTE</t>
  </si>
  <si>
    <t>zgrupo</t>
  </si>
  <si>
    <t>Nº Grupo Economico</t>
  </si>
  <si>
    <t>CGRUPO_ECONOMICO</t>
  </si>
  <si>
    <t>ct070_univ_gr_cli</t>
  </si>
  <si>
    <t>Filtrar CT070 pelo tipo_relacao = 'CONTROLO'</t>
  </si>
  <si>
    <t>isexo</t>
  </si>
  <si>
    <t>Sexo</t>
  </si>
  <si>
    <t>ISEXO</t>
  </si>
  <si>
    <t>Avaliar fonte Mainframe ou
Adicionar na CT003 proveniente da tbl cliente_mensal (cópia da ingesta da DWT001_CLIENTE)</t>
  </si>
  <si>
    <t>cestado_civil</t>
  </si>
  <si>
    <t>Estado Civil</t>
  </si>
  <si>
    <t>CESTADO_CIVIL</t>
  </si>
  <si>
    <t>cgrau_def</t>
  </si>
  <si>
    <t>Grau De Deficiência</t>
  </si>
  <si>
    <t>CGRAU_DEF</t>
  </si>
  <si>
    <t>itip_cli</t>
  </si>
  <si>
    <t>Tipo De Entidade (Fisíca Ou Jurídica)</t>
  </si>
  <si>
    <t>ITIP_CLI</t>
  </si>
  <si>
    <t>ccae</t>
  </si>
  <si>
    <t>Cae Nivel 5</t>
  </si>
  <si>
    <t>CCAE</t>
  </si>
  <si>
    <t>dabertura_cliente</t>
  </si>
  <si>
    <t>Data Abertura Do Cliente</t>
  </si>
  <si>
    <t>DABERTURA_CLIENTE</t>
  </si>
  <si>
    <t>dconstituicao</t>
  </si>
  <si>
    <t>Data De Constituição</t>
  </si>
  <si>
    <t>DCONSTITUICAO</t>
  </si>
  <si>
    <t>dfalencia</t>
  </si>
  <si>
    <t>Data De Falência</t>
  </si>
  <si>
    <t>DFALENCIA</t>
  </si>
  <si>
    <t>dnascimento</t>
  </si>
  <si>
    <t>Data De Nascimento</t>
  </si>
  <si>
    <t>DNASCIMENTO</t>
  </si>
  <si>
    <t>dobito</t>
  </si>
  <si>
    <t>Data De Óbito</t>
  </si>
  <si>
    <t>DOBITO</t>
  </si>
  <si>
    <t>ctipo_doc_identif1</t>
  </si>
  <si>
    <t>Tipo De Documento De Identificação</t>
  </si>
  <si>
    <t>CTIPO_DOC_IDENTIF1</t>
  </si>
  <si>
    <t>cnum_doc_identif1</t>
  </si>
  <si>
    <t>Nº Documento De Identificação</t>
  </si>
  <si>
    <t>CNUM_DOC_IDENTIF1</t>
  </si>
  <si>
    <t>cpais_doc_identif1</t>
  </si>
  <si>
    <t>País De Documento De Identificação</t>
  </si>
  <si>
    <t>CPAIS_DOC_IDENTIF1</t>
  </si>
  <si>
    <t xml:space="preserve">- O conceito ENI que existe no reporte à corporação, existe no idcomb, dimensões SSC5 e SSC6. Consideramos este conceito? Não
- cliente ENI - MCLI
- produtos para ENIs (negócio no banco como ENI)
Tabela mc_tipo com códigos destip e codtip. Código 108 = 'DIMENSAO ENI'
Tabela mc_sub_tipo tem o codstip = 181, 182, 183
Validar com riscos: consideramos o código ou a dimensão?
o3646_codstip - o3646_desstip 
181 - ENI EFETIVO SANTANDER          
182 - ENI POTENCIAL OIC              
183 - ENI POTENCIAL DUN              
mc_cliente, tipopers cruza com itip_cli + LPAD(cpersona,'0',9) where codtip = 108
</t>
  </si>
  <si>
    <t>ctipo_doc_identif2</t>
  </si>
  <si>
    <t>Tipo De Documento De Identificação Fiscal</t>
  </si>
  <si>
    <t>CTIPO_DOC_IDENTIF2</t>
  </si>
  <si>
    <t>cnum_doc_identif2</t>
  </si>
  <si>
    <t>Nº Documento De Identificação Fiscal</t>
  </si>
  <si>
    <t>CNUM_DOC_IDENTIF2</t>
  </si>
  <si>
    <t>cpais_doc_identif2</t>
  </si>
  <si>
    <t>País De Documento De Identificação Fiscal</t>
  </si>
  <si>
    <t>CPAIS_DOC_IDENTIF2</t>
  </si>
  <si>
    <t>cnacionalidade</t>
  </si>
  <si>
    <t>Código De Nacionalidade</t>
  </si>
  <si>
    <t>CNACIONALIDADE</t>
  </si>
  <si>
    <t>cpais_natur</t>
  </si>
  <si>
    <t>País De Naturalidade</t>
  </si>
  <si>
    <t>CPAIS_NATUR</t>
  </si>
  <si>
    <t>cpais_residencia</t>
  </si>
  <si>
    <t>Código De País De Residência</t>
  </si>
  <si>
    <t>CPAIS_RESIDENCIA</t>
  </si>
  <si>
    <t>cseg_pari_per</t>
  </si>
  <si>
    <t>Código De Pari/Persi</t>
  </si>
  <si>
    <t>CSEG_PARI_PER</t>
  </si>
  <si>
    <t>cseg_risc</t>
  </si>
  <si>
    <t>Código De Segmento De Risco</t>
  </si>
  <si>
    <t>CSEG_RISC</t>
  </si>
  <si>
    <t>ipais_risco</t>
  </si>
  <si>
    <t>Indicador De Pais De Risco</t>
  </si>
  <si>
    <t>DWV031_PAIS</t>
  </si>
  <si>
    <t>IPAIS_RISCO</t>
  </si>
  <si>
    <t>tat91_tabelas_015</t>
  </si>
  <si>
    <t>NELEMC13 (posição 1)
Se posicão 1 = 'S' então 1, caso contrário 0</t>
  </si>
  <si>
    <t>Avaliar fonte Mainframe ou
Adicionar na CT003 proveniente da tbl cliente_mensal (cópia da ingesta da DWT001_CLIENTE)
- cruzar com CPAIS_RESIDENCIA</t>
  </si>
  <si>
    <t>Cruzar tayd91c0_celemtab com cpais_residencia (analisar número de caracteres em cada tabela, para confirmar se será necessário algum LPAD, por exemplo)</t>
  </si>
  <si>
    <t>Obter posição mais recente da tat91_tabelas_015 e cruzar tayd91c0_celemtab com cpais_residencia</t>
  </si>
  <si>
    <t>ind_eni</t>
  </si>
  <si>
    <t>Indicador ENI</t>
  </si>
  <si>
    <t>mc_cliente</t>
  </si>
  <si>
    <t>o3646_codstip (código)</t>
  </si>
  <si>
    <t>Consultar descrição:
   SELECT *
    from cd_clientes.mc_sub_tipo
    WHERE o3646_codtip = '108'</t>
  </si>
  <si>
    <t>Filtrar tabela pelo codtip = 108 (ENI), e o tipopers cruza com a concatenação do itip_cli + LPAD(cpersona,9,'0')</t>
  </si>
  <si>
    <t>dlim_cliente</t>
  </si>
  <si>
    <t>Data Do Limite Do Cliente</t>
  </si>
  <si>
    <t>DLIM_CLIENTE</t>
  </si>
  <si>
    <t>LMT02</t>
  </si>
  <si>
    <t>Utilizar a LMT01 para garantir ataque a um plano ativo e LMT03 para obter o cliente</t>
  </si>
  <si>
    <t xml:space="preserve">--query CENTRAL
SELECT SUM(C.MLMMAXI), MAX(C.DVENCIM)      
  INTO :LMYD02C0-MLMMAXI :WS-INDICADOR,    
       :LMYD02C0-DVENCIM :WS-INDICADOR     
  FROM LMVT01C0_PLANOS   A,                
       LMVT03C0_REGRAS   B,                
       LMVT02C0_DETPLANO C                 
WHERE A.ISTPLN =  'A'                     
   AND B.ZREGNIV  = 2                      
   AND B.ZCLIENTE = :LMYD03C0-ZCLIENTE     
   AND B.ZPLANOLM = :LMYD03C0-ZPLANOLM        
   AND A.ZPLANOLM = B.ZPLANOLM             
   AND A.ZPLANOLM = C.ZPLANOLM             
   AND B.ZPLANOLM = C.ZPLANOLM             
   AND B.ZREGLM   = C.ZREGLM   </t>
  </si>
  <si>
    <t>vlim_cliente</t>
  </si>
  <si>
    <t>Valor Do Limite Atribuído Ao Cliente</t>
  </si>
  <si>
    <t>RSTF099_DET_CLI_RSC</t>
  </si>
  <si>
    <t>VLIM_CLIENTE</t>
  </si>
  <si>
    <t>MLMMAXI</t>
  </si>
  <si>
    <t>NRECCURTO</t>
  </si>
  <si>
    <t>RSTF243_RECONDUCOES</t>
  </si>
  <si>
    <t>V_NUM_RECOND_12M</t>
  </si>
  <si>
    <t>rnt32_reconducoes</t>
  </si>
  <si>
    <t>Cruzar por zcligrupo</t>
  </si>
  <si>
    <r>
      <t xml:space="preserve">Analisar viabilidade de obter informação da fonte que alimenta a RSTF243_RECONDUCOES
</t>
    </r>
    <r>
      <rPr>
        <b/>
        <sz val="11"/>
        <color theme="1"/>
        <rFont val="Calibri"/>
        <family val="2"/>
        <scheme val="minor"/>
      </rPr>
      <t>- necessário info do contrato</t>
    </r>
  </si>
  <si>
    <t>NRECMEDIO</t>
  </si>
  <si>
    <t>V_NUM_RECOND_2A</t>
  </si>
  <si>
    <t>Analisar viabilidade de obter informação da fonte que alimenta a RSTF243_RECONDUCOES</t>
  </si>
  <si>
    <t>NRECLONGO</t>
  </si>
  <si>
    <t>V_NUM_RECOND_5A</t>
  </si>
  <si>
    <t>NRECTOTAL</t>
  </si>
  <si>
    <t>VTOT_RECOND</t>
  </si>
  <si>
    <t>CCODSEG</t>
  </si>
  <si>
    <t>Código Do Sub-Segmento Comercial (Ex.: Empresa Familiar, Profissoes Liberais)</t>
  </si>
  <si>
    <t>CSUBSEGMENTO</t>
  </si>
  <si>
    <t>interface_clientes_marca</t>
  </si>
  <si>
    <t>clyr7032_CCODSEG</t>
  </si>
  <si>
    <t>Cruzar por LPAD (zcliente, 10, '0')</t>
  </si>
  <si>
    <r>
      <t>- Analisar viabilidade de obter informação da fonte que alimenta a RSTF099_DET_CLI_RSC.
- Fonte é a CLT32, que deverá ser a mesma info que está na cd_estruturais.interface_clientes_marca -</t>
    </r>
    <r>
      <rPr>
        <b/>
        <sz val="11"/>
        <color theme="1"/>
        <rFont val="Calibri"/>
        <family val="2"/>
        <scheme val="minor"/>
      </rPr>
      <t xml:space="preserve"> fonte consistente com o que está na cd_riscos.RSTF099_DET_CLI_RSC</t>
    </r>
  </si>
  <si>
    <t>CTIPO_MARC_RENEG</t>
  </si>
  <si>
    <t>Marca de Cliente Renegociado (S/N)</t>
  </si>
  <si>
    <t>RIT22</t>
  </si>
  <si>
    <t>CTIPO_RENEG</t>
  </si>
  <si>
    <r>
      <t xml:space="preserve">Analisar viabilidade de obter informação da fonte que alimenta a RSTF099_DET_CLI_RSC
</t>
    </r>
    <r>
      <rPr>
        <b/>
        <sz val="11"/>
        <color theme="1"/>
        <rFont val="Calibri"/>
        <family val="2"/>
        <scheme val="minor"/>
      </rPr>
      <t>- Pedir ingesta</t>
    </r>
  </si>
  <si>
    <t>dmarc_reneg</t>
  </si>
  <si>
    <t>Data De Inicio Da Marcação De Renegociado</t>
  </si>
  <si>
    <t>DMARC_RENEG</t>
  </si>
  <si>
    <t>DINICIO</t>
  </si>
  <si>
    <t>ICLIRENEG</t>
  </si>
  <si>
    <t>Indicador De Cliente Renegociado</t>
  </si>
  <si>
    <t>ICLI_RENEG</t>
  </si>
  <si>
    <t>dmarca_risc</t>
  </si>
  <si>
    <t>Data De Marca De Risco - Ve Do Cliente</t>
  </si>
  <si>
    <t>DMARCA_RISC</t>
  </si>
  <si>
    <t>cd_newdefault / curated_internal_mainframe_vigilanciaespecial</t>
  </si>
  <si>
    <t>nd001_rit01 / vet01_posicoes / vet10_cltvetr</t>
  </si>
  <si>
    <t>COALESCE(RIT01.DSITRISC, VET01.DSITRISC, VET10.DVIGILAN)</t>
  </si>
  <si>
    <t>Analisar viabilidade de obter informação da fonte que alimenta a RSTF099_DET_CLI_RSC</t>
  </si>
  <si>
    <t>dproxrev</t>
  </si>
  <si>
    <t>Data Próxima Revisão Marca De Risco - Ve Do Cliente</t>
  </si>
  <si>
    <t>DPROX_REV_VE</t>
  </si>
  <si>
    <t>curated_internal_mainframe_vigilanciaespecial</t>
  </si>
  <si>
    <t>vet10_cltvetr</t>
  </si>
  <si>
    <t>DPROXREV</t>
  </si>
  <si>
    <t>Chave a usar deve ser o ccli_grupo com lpad</t>
  </si>
  <si>
    <t>cve?</t>
  </si>
  <si>
    <t>Código Vigilância Especial</t>
  </si>
  <si>
    <t>rstf099_det_cli_rsc</t>
  </si>
  <si>
    <t xml:space="preserve">cmar_risc_cli </t>
  </si>
  <si>
    <t>COALESCE( RIT01.NIVELVIG, VET01.CSITCLIR, VET10.CVIGILAN)</t>
  </si>
  <si>
    <t>RIT01 - Chave a usar deve ser o LPAD( zcliente, 10, '0')
VET01 - ?
VET05 - ?</t>
  </si>
  <si>
    <r>
      <t>Analisar fonte VET10 ou VET1 (campos cmar_risc_cli na tabela cd_captools.rstf099_det_cli_rsc - foi solicitado à DW)
fonte: VET010? (existe na land_riscos)
Validar equipa Riscos - todos clientes ou apenas os que têm classificação
Info por ccli_grupo, data inicio e data fim</t>
    </r>
    <r>
      <rPr>
        <b/>
        <sz val="11"/>
        <color theme="1"/>
        <rFont val="Calibri"/>
        <family val="2"/>
        <scheme val="minor"/>
      </rPr>
      <t xml:space="preserve">
Regra indicada pela equipa DW - RIT01.NIVELVIG, VET01.CSITCLIR, VET05.CVIGILAN  (A primeira que estiver preenchida)
Nova regra dado que VET05 não existe no CENTRLA  - RIT01.NIVELVIG, VET01.CSITCLIR, VET10.CVIGILAN  (A primeira que estiver preenchida)</t>
    </r>
  </si>
  <si>
    <t>DVALORAR</t>
  </si>
  <si>
    <t xml:space="preserve">Data De Rating Cliente </t>
  </si>
  <si>
    <t>DRAT_CLIENTE</t>
  </si>
  <si>
    <t>nd026_rat10</t>
  </si>
  <si>
    <t>Cruzar por lpad(zcligrupo,10,'0')</t>
  </si>
  <si>
    <t>DEXPRAT</t>
  </si>
  <si>
    <t xml:space="preserve">Data De Vencimento Rating Cliente </t>
  </si>
  <si>
    <t>DVENC_RAT_CLIENTE</t>
  </si>
  <si>
    <t>NVALEMP</t>
  </si>
  <si>
    <t>decimal(6,3)</t>
  </si>
  <si>
    <t>Rating Cliente (Verificar Ratings Sistemas Aqua - Rstf159)</t>
  </si>
  <si>
    <t>VRAT_CLIENTE</t>
  </si>
  <si>
    <t>dseg_risc</t>
  </si>
  <si>
    <t>Data De Segmento De Risco</t>
  </si>
  <si>
    <t>DSEG_RISC</t>
  </si>
  <si>
    <t>Analisar viabilidade de obter informação da fonte que alimenta a RSTF099_DET_CLI_RSC - ficheiro em revisão</t>
  </si>
  <si>
    <t>dult_integra_pari</t>
  </si>
  <si>
    <t>Data De Última Integração Em Pari</t>
  </si>
  <si>
    <t>DULT_INTEGRA_PARI</t>
  </si>
  <si>
    <t>dult_saida_pari</t>
  </si>
  <si>
    <t>Data De Última Saída Em Pari</t>
  </si>
  <si>
    <t>DULT_SAIDA_PARI</t>
  </si>
  <si>
    <t>dult_integra_persi</t>
  </si>
  <si>
    <t>Data De Última Integração Em Persi</t>
  </si>
  <si>
    <t>DULT_INTEGRA_PERSI</t>
  </si>
  <si>
    <t>dult_integra_per_out</t>
  </si>
  <si>
    <t>Data De Última Integração Em Persi Outros Titulares</t>
  </si>
  <si>
    <t>DULT_INTEGRA_PER_OUT</t>
  </si>
  <si>
    <t>dult_integra_pre</t>
  </si>
  <si>
    <t>Data De Última Integração Em Pré-Persi</t>
  </si>
  <si>
    <t>DULT_INTEGRA_PRE</t>
  </si>
  <si>
    <t>dult_saida_persi</t>
  </si>
  <si>
    <t>Data De Última Saída Em Persi</t>
  </si>
  <si>
    <t>DULT_SAIDA_PERSI</t>
  </si>
  <si>
    <t>dult_saida_per_out</t>
  </si>
  <si>
    <t>Data De Última Saída Em Persi Outros Titulares</t>
  </si>
  <si>
    <t>DULT_SAIDA_PER_OUT</t>
  </si>
  <si>
    <t>dult_saida_pre</t>
  </si>
  <si>
    <t>Data De Última Saida Em Pré-Persi</t>
  </si>
  <si>
    <t>DULT_SAIDA_PRE</t>
  </si>
  <si>
    <t>fabatido</t>
  </si>
  <si>
    <t>Indicador De Cliente Com Abatidos</t>
  </si>
  <si>
    <t>FABATIDO</t>
  </si>
  <si>
    <t>Se cliente tem alguma operação com cd_newdefault.nd001_rit01.nivelvig = 7 então 1. Caso contrário 0</t>
  </si>
  <si>
    <t>Tabela de contrato, cruzar por lpad(zcliente,10,'0')</t>
  </si>
  <si>
    <t>- Analisar viabilidade de obter informação da fonte que alimenta a RSTF099_DET_CLI_RSC
- Campo vem da tabela de contratos rit01, deveria estar na tbl de contratos ativo?
- Regra em validação pela equipa Riscos (parece insuficiente)
- Analisar código VE vs fabatido
- Decidido em squad de 16-11-2023 utilizar regra mais abrangente que passa pelo código VE 7</t>
  </si>
  <si>
    <t>cscan_n1</t>
  </si>
  <si>
    <t>byte</t>
  </si>
  <si>
    <t>Código De Scan 1</t>
  </si>
  <si>
    <t>CSCAN_N1</t>
  </si>
  <si>
    <t>vet20_mscan</t>
  </si>
  <si>
    <t>CASE WHEN DCANCEL IS NOT NULL AND DCANCEL != TO_DATE(''9999-12-31'',''YYYY-MM-DD'')  AND CMAR_RISC_CLI (CVE) NOT IN (''5'',''6'',''7'') THEN ''*'' ELSE CSCAN_N1 END AS CSCAN_N1</t>
  </si>
  <si>
    <r>
      <t xml:space="preserve">Analisar viabilidade de obter informação da fonte que alimenta a RSTF099_DET_CLI_RSC
</t>
    </r>
    <r>
      <rPr>
        <b/>
        <sz val="11"/>
        <color theme="1"/>
        <rFont val="Calibri"/>
        <family val="2"/>
        <scheme val="minor"/>
      </rPr>
      <t>- necessário pedido ingesta</t>
    </r>
  </si>
  <si>
    <t>cscan_n2</t>
  </si>
  <si>
    <t>Código De Scan 2</t>
  </si>
  <si>
    <t>CSCAN_N2</t>
  </si>
  <si>
    <t>CASE WHEN DCANCEL IS NOT NULL AND DCANCEL != TO_DATE(''9999-12-31'',''YYYY-MM-DD'')  AND CMAR_RISC_CLI (CVE) NOT IN (''5'',''6'',''7'') THEN ''*'' ELSE CSCAN_N2 END AS CSCAN_N2</t>
  </si>
  <si>
    <t>cscan_n3</t>
  </si>
  <si>
    <t>Código De Scan 3</t>
  </si>
  <si>
    <t>CSCAN_N3</t>
  </si>
  <si>
    <t>CASE WHEN DCANCEL IS NOT NULL AND DCANCEL != TO_DATE(''9999-12-31'',''YYYY-MM-DD'')  AND CMAR_RISC_CLI (CVE) NOT IN (''5'',''6'',''7'') THEN ''*'' ELSE CSCAN_N3 END AS CSCAN_N3</t>
  </si>
  <si>
    <t>vjuroinc</t>
  </si>
  <si>
    <t>Valor Total De Juros Vencidos Do Cliente</t>
  </si>
  <si>
    <t>VJUROINC</t>
  </si>
  <si>
    <t>Juros vencidos - CNATURIC = I na CT001_UNIV_SALDO</t>
  </si>
  <si>
    <t>DCANCEL_SCAN</t>
  </si>
  <si>
    <t>Data cancelamento SCAN</t>
  </si>
  <si>
    <t>DCANCEL</t>
  </si>
  <si>
    <t>vnum_dias_incump</t>
  </si>
  <si>
    <t>Nº Dias De Incumprimento Gsi</t>
  </si>
  <si>
    <t>VNUM_DIAS_INCUMP</t>
  </si>
  <si>
    <t xml:space="preserve">Aguarda levantamento processo ETL
Data mais antiga (máximo) dos contratos associados ao cliente </t>
  </si>
  <si>
    <t>DWT084</t>
  </si>
  <si>
    <t>vresponsabilidade</t>
  </si>
  <si>
    <t>Valor Total De Responsabilidade On Balance Do Cliente</t>
  </si>
  <si>
    <t>vtot_incump</t>
  </si>
  <si>
    <t>Montante Total De Incumprimento</t>
  </si>
  <si>
    <t>VTOT_INCUMP</t>
  </si>
  <si>
    <t>vtot_incump_persi</t>
  </si>
  <si>
    <t>Montante Total De Incumprimento Em Persi</t>
  </si>
  <si>
    <t>VTOT_INCUMP_PERSI</t>
  </si>
  <si>
    <t>vtot_resp</t>
  </si>
  <si>
    <t>Montante Total Responsabilidade+Juros Periodificados</t>
  </si>
  <si>
    <t>VTOT_RESP</t>
  </si>
  <si>
    <t>vvencido</t>
  </si>
  <si>
    <t>Valor Total De Capital Vencido Do Cliente</t>
  </si>
  <si>
    <t>VVENCIDO</t>
  </si>
  <si>
    <t>dfim_marcacao</t>
  </si>
  <si>
    <t>Data Fim Marcação Cliente Leverage Finance</t>
  </si>
  <si>
    <t>RSTF248_CLIENTE_LVF</t>
  </si>
  <si>
    <t>DFIM_MARCACAO</t>
  </si>
  <si>
    <t>curated_internal_mainframe_magico</t>
  </si>
  <si>
    <t>mat28_lvfcli</t>
  </si>
  <si>
    <t>DATAFIM</t>
  </si>
  <si>
    <t>Analisar viabilidade de obter informação da fonte que alimenta a RSTF248_CLIENTE_LVF</t>
  </si>
  <si>
    <t>dini_marcacao</t>
  </si>
  <si>
    <t>Data Início Marcação Cliente Leverage Finance</t>
  </si>
  <si>
    <t>DINI_MARCACAO</t>
  </si>
  <si>
    <t>DATAINI</t>
  </si>
  <si>
    <t>dreg_marcacao</t>
  </si>
  <si>
    <t>Data Registo Marcação Cliente Leverage Finance</t>
  </si>
  <si>
    <t>DREG_MARCACAO</t>
  </si>
  <si>
    <t>DATAREG</t>
  </si>
  <si>
    <t>ireal_estate</t>
  </si>
  <si>
    <t>Indicador de Real Estate</t>
  </si>
  <si>
    <t>RSTF231_CLI_REAL_ESTATE</t>
  </si>
  <si>
    <t>IREAL_ESTATE</t>
  </si>
  <si>
    <t>mat29_realestate</t>
  </si>
  <si>
    <t>IREALEST</t>
  </si>
  <si>
    <r>
      <t xml:space="preserve">Analisar viabilidade de obter informação da fonte que alimenta a RSTF231_CLI_REAL_ESTATE
</t>
    </r>
    <r>
      <rPr>
        <b/>
        <sz val="11"/>
        <color theme="1"/>
        <rFont val="Calibri"/>
        <family val="2"/>
        <scheme val="minor"/>
      </rPr>
      <t>- Tabela existe na land_riscos - rever ingesta e criar cópia</t>
    </r>
  </si>
  <si>
    <t>dfim_real_estate</t>
  </si>
  <si>
    <t>Data de Desmarcação de Real Estate</t>
  </si>
  <si>
    <t>DFIM</t>
  </si>
  <si>
    <t>dinicio_real_estate</t>
  </si>
  <si>
    <t>Data de Marcação de Real Estate</t>
  </si>
  <si>
    <t>Indica Se O Cliente Tem Contratos Em Default</t>
  </si>
  <si>
    <t>num_empg_indv</t>
  </si>
  <si>
    <t>Nº Empregados Empresa</t>
  </si>
  <si>
    <t>cd_alm / cd_captools</t>
  </si>
  <si>
    <t>mat05_dadosemp / dwv509sa1_dados_nclie</t>
  </si>
  <si>
    <t>qtrabtot / cempregad</t>
  </si>
  <si>
    <t>Aplicação-se os seguintes filtros à tabela MAT:
- WHERE cperiod in ('212', '213') and upper(itipinf) = 'I'
Nota: garantir que em nenhum das fontes se estão a consderar ccli_grupo = '0000000000' e nif = '123456789' ou '#'</t>
  </si>
  <si>
    <t>Para MAT cruza-se por lpad(cast(ccli_grupo as string),10, '0') e para DW cruza-se por lpad(trim(cnif),10,'0')</t>
  </si>
  <si>
    <t>ETL semelhante ao da tabela ct063, apenas não inclui limite no ano dos dados</t>
  </si>
  <si>
    <t>data_num_empg_indv</t>
  </si>
  <si>
    <t>Data dos dados do Nº Empregados Empresa</t>
  </si>
  <si>
    <t>dano / dano_balanco</t>
  </si>
  <si>
    <t>fatr_indv</t>
  </si>
  <si>
    <t>Volume De Vendas</t>
  </si>
  <si>
    <t>cd_alm / cd_db_informa</t>
  </si>
  <si>
    <t>mat21_demzclia / dwt525_dem_result_snc</t>
  </si>
  <si>
    <t>mvdsrpre / a5001</t>
  </si>
  <si>
    <t>Para MAT cruza-se por ccli_grupo e para DW cruza-se por NIF:
MAT: on   lpad(cast(mat.zcligrupo as string),10, '0') &lt;=&gt; dwt001.ccli_grupo
DW: on lpad(trim(dw.cnif),10,'0') &lt;=&gt; lpad(trim(dwt001.cnum_doc_identif2),10,'0')</t>
  </si>
  <si>
    <t>data_fatr_indv</t>
  </si>
  <si>
    <t>Data dos dados do Volume De Vendas</t>
  </si>
  <si>
    <t>dano /cano</t>
  </si>
  <si>
    <t>ckgestcli</t>
  </si>
  <si>
    <t>Código Gestor De Cliente</t>
  </si>
  <si>
    <t>RSTD045_CLIENTE</t>
  </si>
  <si>
    <t>CGESTOR_COM</t>
  </si>
  <si>
    <t>clyr7032_CKGESTCLI</t>
  </si>
  <si>
    <r>
      <rPr>
        <u/>
        <sz val="11"/>
        <color theme="1"/>
        <rFont val="Calibri"/>
        <family val="2"/>
        <scheme val="minor"/>
      </rPr>
      <t>Outras notas (antigas):</t>
    </r>
    <r>
      <rPr>
        <sz val="11"/>
        <color theme="1"/>
        <rFont val="Calibri"/>
        <family val="2"/>
        <scheme val="minor"/>
      </rPr>
      <t xml:space="preserve">
Campo existe na ct200:
- a fonte é a cd_estruturais.interface_clientes_marca
Notas: 
- ct200 apenas tem informação automática (logo não tem overwrites, nem ajustes)
- Existem inputs manuais para este campo, que são refletidos:
.ct611 (contrato que não existe no MIS) - ct203 (ct209 e ct211 tbm, mas não relevantes - kpms) - info ajustes; 
.ct612 (contrato MIS, mas querem alterar valores) + ct203 - na ct207 (ct209 e ct211 tbm, mas não relevantes)  - info overwrite; 
- Controlo de Gestão reporta através da ct207 (ct209 e ct211, mas não relevantes - kpms)
ct200, ct203, ct207 - todos são fusionadas
ct200, ct203, ct207 - todas são reafetadas</t>
    </r>
  </si>
  <si>
    <t>--todos clientes ficam com ckgestcli
SELECT a.zcliente, b.clyr7032_zcliente,b.clyr7032_CKGESTCLI
FROM(
        SELECT *
        from business_riscocredito.modris_fact_clientes
        WHERE ref_date = '2022-12-31'
) a
LEFT JOIN (
        SELECT *
        from cd_estruturais.interface_clientes_marca
        WHERE data_date_part = '2022-12-30'
) b
on (
    lpad(cast(b.clyr7032_zcliente as string),10,'0') = a.zcliente
)
WHERE b.clyr7032_CKGESTCLI is null;</t>
  </si>
  <si>
    <r>
      <t xml:space="preserve">Inicialmente considerou-se fonte do MIS, mas concluiu-se que deve existir alinhamento com GEQ:
- campo considera gestor de primeira linha - </t>
    </r>
    <r>
      <rPr>
        <b/>
        <sz val="11"/>
        <color theme="1"/>
        <rFont val="Calibri"/>
        <family val="2"/>
        <scheme val="minor"/>
      </rPr>
      <t>clt32 não existe no DL, mas existe a cd_estruturais.interface_clientes_marca.</t>
    </r>
    <r>
      <rPr>
        <sz val="11"/>
        <color theme="1"/>
        <rFont val="Calibri"/>
        <family val="2"/>
        <scheme val="minor"/>
      </rPr>
      <t xml:space="preserve">
- será necessário incluir no modelo </t>
    </r>
    <r>
      <rPr>
        <b/>
        <sz val="11"/>
        <color theme="1"/>
        <rFont val="Calibri"/>
        <family val="2"/>
        <scheme val="minor"/>
      </rPr>
      <t>gestores de segunda linha (por revisitar fonte e mapeamento para modelo)
- mapeamento do campo por testar - todos os clientes âmbito preenchem ckgestcli</t>
    </r>
  </si>
  <si>
    <t>Em análise a indicência no input, que origina diferentes valores para o mesmo cliente</t>
  </si>
  <si>
    <t>gest_com</t>
  </si>
  <si>
    <t>Código De Gestor Comercial</t>
  </si>
  <si>
    <t>cliente_marca</t>
  </si>
  <si>
    <t>Analisar viabilidade de obter informação da fonte que alimenta a RS_RSV045SA2_CLIENTE
- existe numa fonte DW176</t>
  </si>
  <si>
    <t>Empregado BST</t>
  </si>
  <si>
    <t>Se trim(cnum_empreg) not int ('','*') então 'S' caso contrário 'N'</t>
  </si>
  <si>
    <t>Campo com erros:
- por confirmar com DW qual o mapeamento que têm atualmente;
- equipa Contas, confirmar como está a ser preenchido atualmente.
- máximo da visão zcligrupo</t>
  </si>
  <si>
    <t>Campo na tabela de contratos ativo e passivo. Reavaliar necessidade de incluir campo em ambas as tabelas.
Campo calculado (confirmar se campo de clientes é agregação dos contratos ou cálculo específico)</t>
  </si>
  <si>
    <t>Taxa de esforço</t>
  </si>
  <si>
    <t>Calculado - depende rendimentos e encargos do cliente</t>
  </si>
  <si>
    <t>AMAF</t>
  </si>
  <si>
    <t>Tabela Triad</t>
  </si>
  <si>
    <t>AMI</t>
  </si>
  <si>
    <t>CINDICIO</t>
  </si>
  <si>
    <t>CÓDIGO INDICIO DIFICULDADE</t>
  </si>
  <si>
    <t>Reestruturados - obter indício mais gravoso por cliente - aguarda que IT Riscos indique fonte</t>
  </si>
  <si>
    <t>CMOT_SAIDA_VE</t>
  </si>
  <si>
    <t>MOTIVO DE SAÍDA VE</t>
  </si>
  <si>
    <t>Existe na land_riscos.vet10_cltvetr</t>
  </si>
  <si>
    <t>DATA ENTRADA ÚLTIMO ORDENADO</t>
  </si>
  <si>
    <t>Validar nas contas DO do cliente
- Mário Tanqueiro Santos (cdg, que conhece CRM) ou CRM (Bruno Pinto)
- Modelo Vinculação guarda esta info??</t>
  </si>
  <si>
    <t>DSTI</t>
  </si>
  <si>
    <t>GINDICIO</t>
  </si>
  <si>
    <t>DESCRITIVO INDICIO DIFICULDADE</t>
  </si>
  <si>
    <t>IND_CLIENTE_DIGITAL</t>
  </si>
  <si>
    <t>INDICA SE É CLIENTE DIGITAL ATIVO</t>
  </si>
  <si>
    <t>INDICADOR ORDENADO DOMICILIADO</t>
  </si>
  <si>
    <t>Flag</t>
  </si>
  <si>
    <t>PONTUAÇÃO TRIAD CLIENTE</t>
  </si>
  <si>
    <t>STT283 não existe em DL
(STT20???)</t>
  </si>
  <si>
    <t>DATA DE PONTUAÇÃO DE TRIAD DO CLIENTE</t>
  </si>
  <si>
    <t>SYT29 não existem em DL</t>
  </si>
  <si>
    <t>PONTUAÇÃO TRIAD CLIENTE ANTERIOR</t>
  </si>
  <si>
    <t>DATA DE PONTUAÇÃO DE TRIAD ANTERIOR DO CLIENTE</t>
  </si>
  <si>
    <t>SCORING CLIENTE</t>
  </si>
  <si>
    <t>Perceber fonte mais fiável</t>
  </si>
  <si>
    <t>VALOR ORDENADO</t>
  </si>
  <si>
    <t>CUSTOS FINANCEIROS</t>
  </si>
  <si>
    <t>EBITDA</t>
  </si>
  <si>
    <t>DIVIDAS (CLIENTES/FORNECEDORES/DEVEDORES/CREDORES)</t>
  </si>
  <si>
    <r>
      <t xml:space="preserve">Tabela de </t>
    </r>
    <r>
      <rPr>
        <b/>
        <i/>
        <sz val="14"/>
        <color theme="1"/>
        <rFont val="Calibri"/>
        <family val="2"/>
        <scheme val="minor"/>
      </rPr>
      <t xml:space="preserve">Output </t>
    </r>
    <r>
      <rPr>
        <b/>
        <sz val="14"/>
        <color theme="1"/>
        <rFont val="Calibri"/>
        <family val="2"/>
        <scheme val="minor"/>
      </rPr>
      <t>de Clientes com informação CRC</t>
    </r>
  </si>
  <si>
    <t>Aguarda retificação de ingesta cd_riscos.t_m_diss_dissrespcred, que apenas mantém a última posição</t>
  </si>
  <si>
    <t>diss_flag_litigio_judicial</t>
  </si>
  <si>
    <t>Flag cliente com pelo menos um instrumento em litígio judicial - CRC disseminada</t>
  </si>
  <si>
    <t>t_m_dissrespcred</t>
  </si>
  <si>
    <t>Se cliente tem pelo menos um instrumento de litígio judicial (dissinstlit = 001)</t>
  </si>
  <si>
    <t>diss_flag_renegociacao_regular</t>
  </si>
  <si>
    <t>Flag cliente com pelo menos um instrumento com renegociação regular - CRC disseminada</t>
  </si>
  <si>
    <t>Se cliente tem pelo menos um instrumento de renegociação regular (disstpneg = 003)</t>
  </si>
  <si>
    <t>diss_flag_renegociacao_incumprimento</t>
  </si>
  <si>
    <t>Flag cliente com pelo menos um instrumento com renegociação por incumprimento - CRC disseminada</t>
  </si>
  <si>
    <t>Se cliente tem pelo menos um instrumento de renegociação por incumprimento (disstpneg = 004)</t>
  </si>
  <si>
    <t>diss_cartoes_credito_vivo</t>
  </si>
  <si>
    <t>decimal (21, 6)</t>
  </si>
  <si>
    <t>Montante vivo do cliente em instrumentos de Cartões de Crédito - CRC disseminada</t>
  </si>
  <si>
    <t>Soma do valor vivo para os instrumentos de cartões de crédito - SUM( dissmonttoal) para disstpinst IN(0040, 0041, 0042, 0043)</t>
  </si>
  <si>
    <t>diss_cartoes_credito_vencido_abatido</t>
  </si>
  <si>
    <t>Montante vencido e/ou abatido do cliente em instrumentos de Cartões de Crédito  - CRC disseminada</t>
  </si>
  <si>
    <t>Soma do valor vencido e abatido para os instrumentos de cartões de crédito - SUM(Dissmontvenc+Dissmontabtv) para disstpinst IN(0040, 0041, 0042, 0043)</t>
  </si>
  <si>
    <t>diss_credito_renovavel_vivo</t>
  </si>
  <si>
    <t>Montante vivo do cliente em instrumentos de Crédito Renovável  - CRC disseminada</t>
  </si>
  <si>
    <t>Soma do valor vivo para os instrumentos de crédito renovável - SUM( dissmonttoal) para disstpinst IN(0050, 0051, 0052)</t>
  </si>
  <si>
    <t>diss_credito_renovavel_vencido_abatido</t>
  </si>
  <si>
    <t>Montante vencido e/ou abatido do cliente em instrumentos de Crédito Renovável  - CRC disseminada</t>
  </si>
  <si>
    <t>Soma do valor vencido e abatido para os instrumentos de crédito renovável - SUM(Dissmontvenc+Dissmontabtv) para disstpinst IN(0050, 0051, 0052)</t>
  </si>
  <si>
    <t>diss_factoring_confirming_vivo</t>
  </si>
  <si>
    <t>Montante vivo do cliente em instrumentos de Factoring e Confirming  - CRC disseminada</t>
  </si>
  <si>
    <t>Soma do valor vivo para os instrumentos de factoring e confirming - SUM( dissmonttoal) para disstpinst IN(0080, 0081)</t>
  </si>
  <si>
    <t>diss_factoring_confirming_vencido_abatido</t>
  </si>
  <si>
    <t>Montante vencido e/ou abatido do cliente em instrumentos de Factoring e Confirming  - CRC disseminada</t>
  </si>
  <si>
    <t>Soma do valor vencido e abatido para os instrumentos de factoring e confirming - SUM(Dissmontvenc+Dissmontabtv) para disstpinst IN(0080, 0081)</t>
  </si>
  <si>
    <t>diss_leasing_vivo</t>
  </si>
  <si>
    <t>Montante vivo do cliente em instrumentos de Leasing  - CRC disseminada</t>
  </si>
  <si>
    <t>Soma do valor vivo para os instrumentos de leasing - SUM( dissmonttoal) para disstpinst IN(0091, 0092)</t>
  </si>
  <si>
    <t>diss_leasing_vencido_abatido</t>
  </si>
  <si>
    <t>Montante vencido e/ou abatido do cliente em instrumentos de Leasing  - CRC disseminada</t>
  </si>
  <si>
    <t>Soma do valor vencido e abatido para os instrumentos de leasing - SUM(Dissmontvenc+Dissmontabtv) para disstpinst IN(0091, 0092)</t>
  </si>
  <si>
    <t>diss_efeitos_vivo</t>
  </si>
  <si>
    <t>Montante vivo do cliente em instrumentos de Efeitos  - CRC disseminada</t>
  </si>
  <si>
    <t>Soma do valor vivo para os instrumentos de efeitos - SUM( dissmonttoal) para disstpinst = 0100</t>
  </si>
  <si>
    <t>diss_efeitos_vencido_abatido</t>
  </si>
  <si>
    <t>Montante vencido e/ou abatido do cliente em instrumentos de Efeitos  - CRC disseminada</t>
  </si>
  <si>
    <t>Soma do valor vencido e abatido para os instrumentos de efeitos - SUM(Dissmontvenc+Dissmontabtv) para disstpinst = 0100</t>
  </si>
  <si>
    <t>diss_credito_habitacao_vivo</t>
  </si>
  <si>
    <t>Montante vivo do cliente em instrumentos de Crédito Habitação  - CRC disseminada</t>
  </si>
  <si>
    <t>Soma do valor vivo para os instrumentos de crédito habitação - SUM( dissmonttoal) para disstpinst IN(0110, 0120)</t>
  </si>
  <si>
    <t>diss_credito_habitacao_vencido_abatido</t>
  </si>
  <si>
    <t>Montante vencido e/ou abatido do cliente em instrumentos de Crédito Habitação  - CRC disseminada</t>
  </si>
  <si>
    <t>Soma do valor vencido e abatido para os instrumentos de crédito habitação - SUM(Dissmontvenc+Dissmontabtv) para disstpinst IN(0110, 0120)</t>
  </si>
  <si>
    <t>diss_credito_consumo_vivo</t>
  </si>
  <si>
    <t>Montante vivo do cliente em instrumentos de Crédito ao Consumo  - CRC disseminada</t>
  </si>
  <si>
    <t>Soma do valor vivo para os instrumentos de crédito ao consumo - SUM( dissmonttoal) para disstpinst IN(0130, 0140)</t>
  </si>
  <si>
    <t>diss_credito_consumo_vencido_abatido</t>
  </si>
  <si>
    <t>Montante vencido e/ou abatido do cliente em instrumentos de Crédito ao Consumo  - CRC disseminada</t>
  </si>
  <si>
    <t>Soma do valor vencido e abatido para os instrumentos de crédito ao consumo - SUM(Dissmontvenc+Dissmontabtv) para disstpinst IN(0130, 0140)</t>
  </si>
  <si>
    <t>diss_outros_vivo</t>
  </si>
  <si>
    <t>Montante vivo do cliente em outros instrumentos  - CRC disseminada</t>
  </si>
  <si>
    <t>Soma do valor vivo para os instrumentos outros - SUM( dissmonttoal) para disstpinst IN(0010, 0020, 0030, 0031, 0032, 0033, 0034, 0060, 0070, 0083, 0150, 0160, 0170, 0200, 1000)</t>
  </si>
  <si>
    <t>diss_outros_vencido_abatido</t>
  </si>
  <si>
    <t>Montante vencido e/ou abatido do cliente em outros instrumentos  - CRC disseminada</t>
  </si>
  <si>
    <t>Soma do valor vencido e abatido para os instrumentos outros - SUM(Dissmontvenc+Dissmontabtv) para disstpinst IN(0010, 0020, 0030, 0031, 0032, 0033, 0034, 0060, 0070, 0083, 0150, 0160, 0170, 0200, 1000)</t>
  </si>
  <si>
    <t>cin_flag_litigio_judicial</t>
  </si>
  <si>
    <t>Flag cliente com pelo menos um instrumento em litígio judicial - CRC comunicada</t>
  </si>
  <si>
    <t>t_m_ccin_infninst</t>
  </si>
  <si>
    <t>Se cliente tem pelo menos um instrumento de litígio judicial (tpInst = 001)</t>
  </si>
  <si>
    <t>Esclarecimento recebido a 10-01-2024</t>
  </si>
  <si>
    <t>cin_flag_renegociacao_regular</t>
  </si>
  <si>
    <t>Flag cliente com pelo menos um instrumento com renegociação regular - CRC comunicada</t>
  </si>
  <si>
    <t>Se cliente tem pelo menos um instrumento de renegociação regular (tpInst = 003)</t>
  </si>
  <si>
    <t>cin_flag_renegociacao_incumprimento</t>
  </si>
  <si>
    <t>Flag cliente com pelo menos um instrumento com renegociação por incumprimento - CRC comunicada</t>
  </si>
  <si>
    <t>Se cliente tem pelo menos um instrumento de renegociação por incumprimento (tpInst = 004)</t>
  </si>
  <si>
    <t>cin_cartoes_credito_vivo</t>
  </si>
  <si>
    <t>Montante vivo do cliente em instrumentos de Cartões de Crédito - CRC comunicada</t>
  </si>
  <si>
    <t>Soma do valor vivo para os instrumentos de cartões de crédito - SUM( montivo ) para tpInst IN(0040, 0041, 0042, 0043)</t>
  </si>
  <si>
    <t>cin_cartoes_credito_vencido_abatido</t>
  </si>
  <si>
    <t>Montante vencido e/ou abatido do cliente em instrumentos de Cartões de Crédito  - CRC comunicada</t>
  </si>
  <si>
    <t>Soma do valor vencido e abatido para os instrumentos de cartões de crédito - SUM(MontVenc+MontAbatv) para tpInst IN(0040, 0041, 0042, 0043)</t>
  </si>
  <si>
    <t>cin_credito_renovavel_vivo</t>
  </si>
  <si>
    <t>Montante vivo do cliente em instrumentos de Crédito Renovável  - CRC comunicada</t>
  </si>
  <si>
    <t>Soma do valor vivo para os instrumentos de crédito renovável - SUM( montvivo ) para tpInst IN(0050, 0051, 0052)</t>
  </si>
  <si>
    <t>cin_credito_renovavel_vencido_abatido</t>
  </si>
  <si>
    <t>Montante vencido e/ou abatido do cliente em instrumentos de Crédito Renovável  - CRC comunicada</t>
  </si>
  <si>
    <t>Soma do valor vencido e abatido para os instrumentos de crédito renovável - SUM(MontVenc+MontAbatv) para tpInst IN(0050, 0051, 0052)</t>
  </si>
  <si>
    <t>cin_factoring_confirming_vivo</t>
  </si>
  <si>
    <t>Montante vivo do cliente em instrumentos de Factoring e Confirming  - CRC comunicada</t>
  </si>
  <si>
    <t>Soma do valor vivo para os instrumentos de factoring e confirming - SUM( montvivo ) para tpInst IN(0080, 0081)</t>
  </si>
  <si>
    <t>cin_factoring_confirming_vencido_abatido</t>
  </si>
  <si>
    <t>Montante vencido e/ou abatido do cliente em instrumentos de Factoring e Confirming  - CRC comunicada</t>
  </si>
  <si>
    <t>Soma do valor vencido e abatido para os instrumentos de factoring e confirming - SUM(MontVenc+MontAbatv) para tpInst IN(0080, 0081)</t>
  </si>
  <si>
    <t>cin_leasing_vivo</t>
  </si>
  <si>
    <t>Montante vivo do cliente em instrumentos de Leasing  - CRC comunicada</t>
  </si>
  <si>
    <t>Soma do valor vivo para os instrumentos de leasing - SUM( montvivo ) para tpInst IN(0091, 0092)</t>
  </si>
  <si>
    <t>cin_leasing_vencido_abatido</t>
  </si>
  <si>
    <t>Montante vencido e/ou abatido do cliente em instrumentos de Leasing  - CRC comunicada</t>
  </si>
  <si>
    <t>Soma do valor vencido e abatido para os instrumentos de leasing - SUM(MontVenc+MontAbatv) para tpInst IN(0091, 0092)</t>
  </si>
  <si>
    <t>cin_efeitos_vivo</t>
  </si>
  <si>
    <t>Montante vivo do cliente em instrumentos de Efeitos  - CRC comunicada</t>
  </si>
  <si>
    <t>Soma do valor vivo para os instrumentos de efeitos - SUM( montvivo ) para tpInst = 0100</t>
  </si>
  <si>
    <t>cin_efeitos_vencido_abatido</t>
  </si>
  <si>
    <t>Montante vencido e/ou abatido do cliente em instrumentos de Efeitos  - CRC comunicada</t>
  </si>
  <si>
    <t>Soma do valor vencido e abatido para os instrumentos de efeitos - SUM(MontVenc+MontAbatv) para tpInst = 0100</t>
  </si>
  <si>
    <t>cin_credito_habitacao_vivo</t>
  </si>
  <si>
    <t>Montante vivo do cliente em instrumentos de Crédito Habitação  - CRC comunicada</t>
  </si>
  <si>
    <t>Soma do valor vivo para os instrumentos de crédito habitação - SUM( montvivo ) para tpInst IN(0110, 0120)</t>
  </si>
  <si>
    <t>cin_credito_habitacao_vencido_abatido</t>
  </si>
  <si>
    <t>Montante vencido e/ou abatido do cliente em instrumentos de Crédito Habitação  - CRC comunicada</t>
  </si>
  <si>
    <t>Soma do valor vencido e abatido para os instrumentos de crédito habitação - SUM(MontVenc+MontAbatv) para tpInst IN(0110, 0120)</t>
  </si>
  <si>
    <t>cin_credito_consumo_vivo</t>
  </si>
  <si>
    <t>Montante vivo do cliente em instrumentos de Crédito ao Consumo  - CRC comunicada</t>
  </si>
  <si>
    <t>Soma do valor vivo para os instrumentos de crédito ao consumo - SUM( montvivo ) para tpInst IN(0130, 0140)</t>
  </si>
  <si>
    <t>cin_credito_consumo_vencido_abatido</t>
  </si>
  <si>
    <t>Montante vencido e/ou abatido do cliente em instrumentos de Crédito ao Consumo  - CRC comunicada</t>
  </si>
  <si>
    <t>Soma do valor vencido e abatido para os instrumentos de crédito ao consumo - SUM(MontVenc+MontAbatv) para tpInst IN(0130, 0140)</t>
  </si>
  <si>
    <t>cin_outros_vivo</t>
  </si>
  <si>
    <t>Montante vivo do cliente em outros instrumentos  - CRC comunicada</t>
  </si>
  <si>
    <t>Soma do valor vivo para os instrumentos outros - SUM( montvivo ) para tpInst IN(0010, 0020, 0030, 0031, 0032, 0033, 0034, 0060, 0070, 0083, 0150, 0160, 0170, 0200, 1000)</t>
  </si>
  <si>
    <t>cin_outros_vencido_abatido</t>
  </si>
  <si>
    <t>Montante vencido e/ou abatido do cliente em outros instrumentos  - CRC comunicada</t>
  </si>
  <si>
    <t>Soma do valor vencido e abatido para os instrumentos outros - SUM(MontVenc+MontAbatv) para tpInst IN(0010, 0020, 0030, 0031, 0032, 0033, 0034, 0060, 0070, 0083, 0150, 0160, 0170, 0200, 1000)</t>
  </si>
  <si>
    <r>
      <t xml:space="preserve">Tabela de </t>
    </r>
    <r>
      <rPr>
        <b/>
        <i/>
        <sz val="14"/>
        <color theme="1"/>
        <rFont val="Calibri"/>
        <family val="2"/>
        <scheme val="minor"/>
      </rPr>
      <t>Output</t>
    </r>
    <r>
      <rPr>
        <b/>
        <sz val="14"/>
        <color theme="1"/>
        <rFont val="Calibri"/>
        <family val="2"/>
        <scheme val="minor"/>
      </rPr>
      <t xml:space="preserve"> Perímetros</t>
    </r>
  </si>
  <si>
    <t>1. Informação de perímetros - replicar os perímetros do Universo, mas permitir incluir ou excluir contratos de determinados perímetros através de parametrização;
2. Os perímetros a considerar são: Individual Corporativo, Individual Local e ST SGPS Consolidado.
3. Algoritmo: Universo de Contratos Ativo, cruzar com ct005_univ_perim para obter todos os perímetros válidos para Riscos. Excluir ou incluir perímetros parametrizados na ct809_filtro_per (adicionar à tabela partição 'domínio', sendo necessário adaptar processos que consomem esta tabela)</t>
  </si>
  <si>
    <t>Código Do Cliente</t>
  </si>
  <si>
    <t>Código De Empresa Local</t>
  </si>
  <si>
    <t>ct005_univ_perim</t>
  </si>
  <si>
    <t>Origem Da Operação</t>
  </si>
  <si>
    <t>"AUT" ou "MAN", para registos provenientes do Universo Contabilístico ou adicionados via parametrização, respetivamente</t>
  </si>
  <si>
    <t>Nome Do Perímetro</t>
  </si>
  <si>
    <r>
      <t xml:space="preserve">Tabela de </t>
    </r>
    <r>
      <rPr>
        <b/>
        <i/>
        <sz val="14"/>
        <color theme="1"/>
        <rFont val="Calibri"/>
        <family val="2"/>
        <scheme val="minor"/>
      </rPr>
      <t>Output</t>
    </r>
    <r>
      <rPr>
        <b/>
        <sz val="14"/>
        <color theme="1"/>
        <rFont val="Calibri"/>
        <family val="2"/>
        <scheme val="minor"/>
      </rPr>
      <t xml:space="preserve"> dos Contratos Passivo</t>
    </r>
  </si>
  <si>
    <t>1. Informação de contratos parte da informação conciliada pela Contabilidade no Datalake - contratos e operações do Universo;
2. Considera-se que terá a chave das ICs (mais desagregada);
3. Necessária informação apenas do cliente com risco de crédito (passivo), i.e. igual ao cliente da ct004;</t>
  </si>
  <si>
    <t>Capital Vencido</t>
  </si>
  <si>
    <t>Avaliar regras a aplicar ao plano de contas</t>
  </si>
  <si>
    <t>Capital Vivo</t>
  </si>
  <si>
    <t>Juros Vencidos</t>
  </si>
  <si>
    <t>Despesas e comissões</t>
  </si>
  <si>
    <t>Montante Entradas D.O.</t>
  </si>
  <si>
    <t>Rever se o conceito deve ficar aqui e também na View de Clientes</t>
  </si>
  <si>
    <t>Montante Saídas D.O.</t>
  </si>
  <si>
    <t>Montante Total De Prestações Do Cliente</t>
  </si>
  <si>
    <t>Nº Entradas D.O.</t>
  </si>
  <si>
    <t>Nº Saídas D.O.</t>
  </si>
  <si>
    <t>Saldo Médio D.O. Ano Anterior</t>
  </si>
  <si>
    <t>Saldo Médio D.O. Mês</t>
  </si>
  <si>
    <t>Saldo Médio D.O. Mês Anterior</t>
  </si>
  <si>
    <t>Saldo Médio D.O. Trimeste Anterior</t>
  </si>
  <si>
    <t>Campo na tabela de contratos ativo e passivo. Reavaliar necessidade de incluir campo em ambas as tabelas.
Campo é utilizado para cálculo 'distribuição produtos' na tabela de clientes</t>
  </si>
  <si>
    <t xml:space="preserve">cod_tipo_taxa_ref_pas </t>
  </si>
  <si>
    <t>Código Tipo Indexante - Passivo</t>
  </si>
  <si>
    <t>ctxref</t>
  </si>
  <si>
    <t>tx_contrato_pas</t>
  </si>
  <si>
    <t>Taxa De Operação - Passivo</t>
  </si>
  <si>
    <t>Começou-se por considerar taxa de operação.
Chave da tabela é ALM</t>
  </si>
  <si>
    <t>View dos Contratos Ativo</t>
  </si>
  <si>
    <r>
      <t xml:space="preserve">1. A visualização de contratos parte da informação produzida na tabela de modris_fact_contratos_contabilidade_ativo, sendo complementada com informação necessária para a exploração da informação pelas áreas.
2. Para a view, consideram-se como necessários todos os campos existentes na tabela de modris_fact_contratos_contabilidade_ativo, mais os indicados no quadro abaixo
3. A view até ao momento aprovisiona informação de New Default - capital e npl </t>
    </r>
    <r>
      <rPr>
        <b/>
        <sz val="10"/>
        <color theme="1"/>
        <rFont val="Arial"/>
        <family val="2"/>
      </rPr>
      <t>(reavaliar se devem ser incluídos todos os campos das tabelas de capital e npl)</t>
    </r>
  </si>
  <si>
    <t>icli_nd</t>
  </si>
  <si>
    <t>Indicador De Cliente New Default</t>
  </si>
  <si>
    <t>Se cliente tem algum contrato em ND</t>
  </si>
  <si>
    <t>capital_mot_utp</t>
  </si>
  <si>
    <t>capital_fec_def</t>
  </si>
  <si>
    <t>capital_fini_pp</t>
  </si>
  <si>
    <t>capital_ffin_pp</t>
  </si>
  <si>
    <t>capital_dini_mat</t>
  </si>
  <si>
    <t>capital_dfim_prev_pp</t>
  </si>
  <si>
    <t>capital_dias_atr</t>
  </si>
  <si>
    <t>capital_dias_pp</t>
  </si>
  <si>
    <t>capital_ind_def</t>
  </si>
  <si>
    <t>capital_nivelapl</t>
  </si>
  <si>
    <t>Montante de materialidade absoluta</t>
  </si>
  <si>
    <t>capital_vmon_mat_perc</t>
  </si>
  <si>
    <t>Montante de materialidade (%)</t>
  </si>
  <si>
    <t>vmon_mat_perc</t>
  </si>
  <si>
    <t>nd_cmot_ini_def</t>
  </si>
  <si>
    <t>Código do motivo inicio default</t>
  </si>
  <si>
    <t>cmot_ini_def</t>
  </si>
  <si>
    <t>Aplicar filtro à tabela modris_fact_contratos_nd, por ambito = 'NPL'</t>
  </si>
  <si>
    <t>nd_cmot_sai_def</t>
  </si>
  <si>
    <t>Código do motivo saida default</t>
  </si>
  <si>
    <t>cmot_sai_def</t>
  </si>
  <si>
    <t>nd_mot_npl</t>
  </si>
  <si>
    <t>nd_mot_utp</t>
  </si>
  <si>
    <t>nd_fec_def</t>
  </si>
  <si>
    <t>nd_fini_pp</t>
  </si>
  <si>
    <t>nd_ffin_pp</t>
  </si>
  <si>
    <t>nd_dini_mat</t>
  </si>
  <si>
    <t>nd_dfim_prev_pp</t>
  </si>
  <si>
    <t>nd_dias_atr</t>
  </si>
  <si>
    <t>nd_dias_pp</t>
  </si>
  <si>
    <t>nd_ind_def</t>
  </si>
  <si>
    <t>nd_nivelapl</t>
  </si>
  <si>
    <t>nd_vmon_mat_perc</t>
  </si>
  <si>
    <t>View de Clientes</t>
  </si>
  <si>
    <t>1. A visualização de contratos parte da informação produzida na tabela de modris_fact_clientes, sendo complementada com informação necessária para a exploração da informação pelas áreas.
2. Para a view, consideram-se como necessários todos os campos existentes na tabela de modris_fact_clientes, mais os indicados no quadro abaixo</t>
  </si>
  <si>
    <t>dfim_def</t>
  </si>
  <si>
    <t>Data Fecho Default</t>
  </si>
  <si>
    <t>dini_def</t>
  </si>
  <si>
    <t>Data Início Default</t>
  </si>
  <si>
    <t>Selecionar data mais antiga</t>
  </si>
  <si>
    <t>Data Fim Probation Period (Data Saida Non Performing Loans)</t>
  </si>
  <si>
    <t>dini_pp</t>
  </si>
  <si>
    <t>Data Inicio Probatition Period</t>
  </si>
  <si>
    <t>Risk-Weighted Assets</t>
  </si>
  <si>
    <t>Soma do rwa_final para cada cliente</t>
  </si>
  <si>
    <t>Conceito calculado da tabela de contratos passivo</t>
  </si>
  <si>
    <t>Distribuição Produtos (Distribuição Por Montante Responsabilidade) - Produto nível3 de agregação</t>
  </si>
  <si>
    <t>modris_fact_contratos_contabilidade_ativo/passivo</t>
  </si>
  <si>
    <t>Distribuição Por Montante Responsabilidade - do campo "produtos" da tabela de contratos (por validar se é ativo e passivo)</t>
  </si>
  <si>
    <r>
      <t xml:space="preserve">Lista de </t>
    </r>
    <r>
      <rPr>
        <b/>
        <i/>
        <sz val="14"/>
        <color theme="1"/>
        <rFont val="Calibri"/>
        <family val="2"/>
        <scheme val="minor"/>
      </rPr>
      <t>Dimensões</t>
    </r>
  </si>
  <si>
    <t>Tbl Riscos</t>
  </si>
  <si>
    <t>Lista Códigos</t>
  </si>
  <si>
    <t>Campo Código</t>
  </si>
  <si>
    <t>Fonte Código</t>
  </si>
  <si>
    <t>Lista dimensões</t>
  </si>
  <si>
    <t>Campo Descritivo</t>
  </si>
  <si>
    <t>Fonte Dimensão</t>
  </si>
  <si>
    <t>Código Tipo Indexante</t>
  </si>
  <si>
    <t>al029</t>
  </si>
  <si>
    <t>Descritivo Tipo Indexante</t>
  </si>
  <si>
    <t>SELECT *
FROM cd_captools.tat91_tabelas_v
WHERE data_date_part = '2022-11-14'
and tayd91c0_ctabela = '965';</t>
  </si>
  <si>
    <t>Avaliar necessidade de criar nova dimensão na CT010/CT011</t>
  </si>
  <si>
    <t>cve</t>
  </si>
  <si>
    <t>em revisão</t>
  </si>
  <si>
    <t>Descritivo Vigilância Especial</t>
  </si>
  <si>
    <t>SELECT *
from cd_captools.tat91_tabelas_v
WHERE data_date_part = '2023-01-16'
AND tayd91c0_ctabela = 'Z31'</t>
  </si>
  <si>
    <t>V01 - Existência de passivos contingentes relevantes
V02 - Existências de dados contabilísticos intercalares relevantes
V03 - Evolução esperada do negócio da empresa e do sector
V04 - Investimento previstos Curto Prazo c/ impacto relevante rat.
V05 - Dados Financeiros desactualizados
V06 - Elevada dependência de clientes/fornecedores
V07 - Meios libertos insuf. p/ fazer face serv. dívida, capex, etc
V08 - Resultados /geração fundos não assente em négocio recorrente
V09 - Empresa com incumprimentos no Sistema Bancário
V10 - Empresa com incumprimentos no sistema Bancário</t>
  </si>
  <si>
    <t>ct003</t>
  </si>
  <si>
    <t>Descritivo Código De País (Descritivo País De Naturalidade)</t>
  </si>
  <si>
    <t>descritivo_cpais_natur</t>
  </si>
  <si>
    <t>tat91_015</t>
  </si>
  <si>
    <t>Confirmado DW</t>
  </si>
  <si>
    <t>Descritivo Código De País</t>
  </si>
  <si>
    <t>gpais</t>
  </si>
  <si>
    <t>Descritivo Código De País (Descritivo Código De Nacionalidade)</t>
  </si>
  <si>
    <t>descritivo_cpais_nacio</t>
  </si>
  <si>
    <t>ct070</t>
  </si>
  <si>
    <t>Descritivo Grupo Economico</t>
  </si>
  <si>
    <t>ct069_univ_gr_ec - nomegrup</t>
  </si>
  <si>
    <t>ct200</t>
  </si>
  <si>
    <t>Nome Do Centro Gestor</t>
  </si>
  <si>
    <t>CT010 - CCENTRO_GESTOR (dim=3)</t>
  </si>
  <si>
    <t>ct010/ct011?</t>
  </si>
  <si>
    <t>Código Da Direção Comercial Do Centro Gestor (Tipicamente Nivel3)</t>
  </si>
  <si>
    <t>cod_dc</t>
  </si>
  <si>
    <t>ct011 - ccentro_gestor (dim=3), considerar nivel_2</t>
  </si>
  <si>
    <t>Código Da Rede Do Centro Gestor (Tipicamente Nivel4)</t>
  </si>
  <si>
    <t>cod_rede</t>
  </si>
  <si>
    <t>ct011 - ccentro_gestor (dim=3), considerar nivel_3</t>
  </si>
  <si>
    <t>Nome Do Gestor De Cliente</t>
  </si>
  <si>
    <t>nutnome</t>
  </si>
  <si>
    <t>cruzar a SET01 com a SET03</t>
  </si>
  <si>
    <t>cruzar a SET01 com a SET03
Com o código do gestor (CKGESTOR), obtém-se o utilizador (CKUTILIZ) da SET003, que cruza com a SET001 e obtém-se o nome do gestor (NUTNOME)</t>
  </si>
  <si>
    <t>Descritivo Meta Segmento Do Cliente (Descritivo Código De Meta Segmento A Nome)</t>
  </si>
  <si>
    <t>CT010 - CNMETASEG (dim=2)</t>
  </si>
  <si>
    <t>Código De Meta Segmento A Nível3</t>
  </si>
  <si>
    <t>agreg3_cmetanseg</t>
  </si>
  <si>
    <t>ct011 - cnmetaseg (dim=2), considerar nível_2</t>
  </si>
  <si>
    <t>Descritivo Código De Meta Segmento A Nível3</t>
  </si>
  <si>
    <t>descritivo_agreg3_cmetanseg</t>
  </si>
  <si>
    <t>ct209</t>
  </si>
  <si>
    <t>Descritivo Código Metamis Do Produto Do Contrato</t>
  </si>
  <si>
    <t>descritivo_codigo_metamis</t>
  </si>
  <si>
    <t>CT010 - CKMETAMIS (dim=1)</t>
  </si>
  <si>
    <t>Código Nível3 Do Metamis Do Produto Do Contrato</t>
  </si>
  <si>
    <t>código_metamis_nivel3</t>
  </si>
  <si>
    <t>ct011 - ckmetamis (dim=1), considerar nivel_2</t>
  </si>
  <si>
    <t>Descritivo Do Código Nível3 Metamis Do Produto Do Contrato</t>
  </si>
  <si>
    <t>descritivo_código_metamis_nivel3</t>
  </si>
  <si>
    <t>Código Nível4 Do Metamis Do Produto Do Contrato</t>
  </si>
  <si>
    <t>codigo_metamis_nivel4</t>
  </si>
  <si>
    <t>ct011 - ckmetamis (dim=1), considerar nivel_3</t>
  </si>
  <si>
    <t>Descritivo Do Código Nível4 Metamis Do Produto Do Contrato</t>
  </si>
  <si>
    <t>descritivo_codigo_metamis_nivel4</t>
  </si>
  <si>
    <t>Descritivo Código De Gestão E Seguimento Irregulares</t>
  </si>
  <si>
    <t>descritivo_cgsi</t>
  </si>
  <si>
    <t>Não existe nas TATs</t>
  </si>
  <si>
    <t>Código Do Produto Mis</t>
  </si>
  <si>
    <t>Descritivo Código Do Produto Mis</t>
  </si>
  <si>
    <t>descritivo_cprodut||csubprod</t>
  </si>
  <si>
    <t>CT010/CT011 - CKPRODMI (dim=4) | mit05_prodgmis</t>
  </si>
  <si>
    <t>ct003_univ_cli</t>
  </si>
  <si>
    <t>Descritivo Ccae Nivel 5</t>
  </si>
  <si>
    <t>descritivo_ccae</t>
  </si>
  <si>
    <t>tat91_154</t>
  </si>
  <si>
    <t>Código De Cae 1 Digito - Nivel 1</t>
  </si>
  <si>
    <t>mapear via parametrização (ct010 e ct011)</t>
  </si>
  <si>
    <t>Descritivo Código De Cae 1 Digito - Nivel 1 - Sector De Atividade</t>
  </si>
  <si>
    <t>descritivo_cae_sector</t>
  </si>
  <si>
    <r>
      <t>Se não existir em DL (analisar possibilidade de ficar em tat),</t>
    </r>
    <r>
      <rPr>
        <b/>
        <sz val="11"/>
        <rFont val="Calibri"/>
        <family val="2"/>
        <scheme val="minor"/>
      </rPr>
      <t xml:space="preserve"> carregar via parametrização (ct010 e ct011)</t>
    </r>
  </si>
  <si>
    <t>Código De Cae De Dois Digitos - Nivel 2</t>
  </si>
  <si>
    <t>Descritivo Código De Cae De Dois Digitos - Nivel 2</t>
  </si>
  <si>
    <t>descritivo_ccae_nivel2</t>
  </si>
  <si>
    <t>Descritivo Tipo De Documento</t>
  </si>
  <si>
    <t>gtipo_doc_identif</t>
  </si>
  <si>
    <t>tayd91c0_ctabela = 151</t>
  </si>
  <si>
    <t>Código Forma De Pagamento</t>
  </si>
  <si>
    <t>Descritivo Código Forma De Pagamento</t>
  </si>
  <si>
    <t>gforma_pag</t>
  </si>
  <si>
    <t>tayd91c0_ctabela = 554</t>
  </si>
  <si>
    <t>Descritivo Período De Amortização (Ex.: Mensal/Trimestral)</t>
  </si>
  <si>
    <t>gperiodo_amort</t>
  </si>
  <si>
    <t>tayd91c0_ctabela = 681
Info DW:
ANUAL
BIMENSAL
GERAL
MENSAL
QUADRIMESTRAL
SEMESTRAL
TRIMESTRAL</t>
  </si>
  <si>
    <t>dwv038sa1_tipo_sit_cnt</t>
  </si>
  <si>
    <t>Descritivo Situação Contratual</t>
  </si>
  <si>
    <t>gsituacao</t>
  </si>
  <si>
    <t>tayd91c0_ctabela = 205</t>
  </si>
  <si>
    <t xml:space="preserve">Descritivo Código Da Direção Comercial </t>
  </si>
  <si>
    <t>descritivo_cod_dc</t>
  </si>
  <si>
    <t>Código De Gestor De Risco</t>
  </si>
  <si>
    <t>confirmar se existe na dwt021 - se for aqui, qual o código do tipo de gestor?</t>
  </si>
  <si>
    <t>Descritivo Código De Gestor De Risco</t>
  </si>
  <si>
    <t>ggestor</t>
  </si>
  <si>
    <t>Código De Gestor De Recuperações</t>
  </si>
  <si>
    <t>Descritivo Código De Gestor De Recuperações</t>
  </si>
  <si>
    <t>Código Tipo De Gestor De Riscos</t>
  </si>
  <si>
    <t>rsv058</t>
  </si>
  <si>
    <t>Descritivo Código Do Tipo De Gestor De Riscos</t>
  </si>
  <si>
    <t>gtipo_gest</t>
  </si>
  <si>
    <t>tayd91c0_ctabela = 243</t>
  </si>
  <si>
    <t>Código Tipo De Taxa</t>
  </si>
  <si>
    <t>Descritivo Código Tipo De Taxa</t>
  </si>
  <si>
    <t>gtipo_taxa</t>
  </si>
  <si>
    <t>tayd91c0_ctabela = 964</t>
  </si>
  <si>
    <t>Descritivo_Da Rede</t>
  </si>
  <si>
    <t>descritivo_cod_rede</t>
  </si>
  <si>
    <t>VET20</t>
  </si>
  <si>
    <t>Descrição De Scan 1</t>
  </si>
  <si>
    <t>gscan_n1</t>
  </si>
  <si>
    <t>tayd91c0_gelemtab da cd_captools.tat91_tabelas_v (tayd91c0_ctabela = 'L02')</t>
  </si>
  <si>
    <t>tat91_tabelas_v (tayd91c0_ctabela = 'L02')</t>
  </si>
  <si>
    <t>Cruzar tayd91c0_celemtab com cscan_n1</t>
  </si>
  <si>
    <t>Descrição De Scan 2</t>
  </si>
  <si>
    <t>gscan_n2</t>
  </si>
  <si>
    <t>Cruzar tayd91c0_celemtab com cscan_n2</t>
  </si>
  <si>
    <t>Descrição De Scan 3</t>
  </si>
  <si>
    <t>gscan_n3</t>
  </si>
  <si>
    <t>Cruzar tayd91c0_celemtab com cscan_n3</t>
  </si>
  <si>
    <t>Descritivo Desmarcação Cliente Leverage Finance</t>
  </si>
  <si>
    <t>gmot_desmarcacao_lvf</t>
  </si>
  <si>
    <t>SELECT GELEMTAB
from cd_captools.tat91_tabelas_v
WHERE data_date_part = '2023-05-16' 
and tayd91c0_ctabela = 'J10'
and tayd91c0_nelemc01 = 'D';</t>
  </si>
  <si>
    <t>Descritivo Marcação Cliente Leverage Finance</t>
  </si>
  <si>
    <t>gmot_marcacao_lvf</t>
  </si>
  <si>
    <t>SELECT GELEMTAB
from cd_captools.tat91_tabelas_v
WHERE data_date_part = '2023-05-16' 
and tayd91c0_ctabela = 'J10'
and tayd91c0_nelemc01 = 'M';</t>
  </si>
  <si>
    <t>Lista de campos desconsiderados dos requisitos iniciais</t>
  </si>
  <si>
    <t>Face aos requisitos iniciais, após revisão com Riscos, os campos aqui listados foram desconsiderados para o Modelo.</t>
  </si>
  <si>
    <t>CAREA</t>
  </si>
  <si>
    <t>CÓDIGO DE ÁREA (POSTAL/COMERCIAL)</t>
  </si>
  <si>
    <t>DW</t>
  </si>
  <si>
    <t>Cancelado</t>
  </si>
  <si>
    <t>27-out-22 - Riscos indicou para se desconsiderar</t>
  </si>
  <si>
    <t>DABERTURA</t>
  </si>
  <si>
    <t>DATA DE ABERTURA</t>
  </si>
  <si>
    <t>Fonte da CT004, indicado noutro campo</t>
  </si>
  <si>
    <t xml:space="preserve"> VMONT_JUR_PERIOD</t>
  </si>
  <si>
    <t>MONTANTE JUROS PERIODIFICADOS</t>
  </si>
  <si>
    <t>VMONT_JUR_PERIOD</t>
  </si>
  <si>
    <t>Montante Contabilístico é suficiente</t>
  </si>
  <si>
    <t>VALOR DE PROVISÕES</t>
  </si>
  <si>
    <t>PROVISÕES IMPARIDADE</t>
  </si>
  <si>
    <t>DESCRITIVO_CAREA</t>
  </si>
  <si>
    <t>DESCRITIVO CÓDIGO DE ÁREA (POSTAL/COMERCIAL)</t>
  </si>
  <si>
    <t>DESCRITIVO_NOME_CMETANSEG</t>
  </si>
  <si>
    <t>DESCRITIVO CÓDIGO DE META SEGMENTO A NOME</t>
  </si>
  <si>
    <t>duplicado</t>
  </si>
  <si>
    <t>CONCEITOS NEW DEFAULT</t>
  </si>
  <si>
    <t>campo duplicado (icnt_nd e icli_nd)</t>
  </si>
  <si>
    <t>campo duplicado (dini_def)</t>
  </si>
  <si>
    <t>dini_incump_material</t>
  </si>
  <si>
    <t>campo duplicado (dini_mat)</t>
  </si>
  <si>
    <t>cdias_atraso</t>
  </si>
  <si>
    <t>campo duplicado (dias_atr)</t>
  </si>
  <si>
    <t>dfin_pp</t>
  </si>
  <si>
    <t>campo duplicado (ffin_pp)</t>
  </si>
  <si>
    <t>campo duplicado (fini_pp)</t>
  </si>
  <si>
    <t>cdias_pp</t>
  </si>
  <si>
    <t>campo duplicado (dias_pp)</t>
  </si>
  <si>
    <t>COMPLEXIDADE</t>
  </si>
  <si>
    <t>Standby</t>
  </si>
  <si>
    <t>27/04/2023 - Riscos indicou que deve ficar em standby</t>
  </si>
  <si>
    <t>cdias_incump_pp</t>
  </si>
  <si>
    <t>Nº dias incumprimento no período probatório</t>
  </si>
  <si>
    <t>dprev_lim_mat</t>
  </si>
  <si>
    <t>Data prevista limite de materialidade</t>
  </si>
  <si>
    <t>cprim_titular</t>
  </si>
  <si>
    <t>1º Titular Contrato</t>
  </si>
  <si>
    <t>geyrn010_zcliente</t>
  </si>
  <si>
    <r>
      <t xml:space="preserve">Analisar viabilidade de obter informação da fonte que alimenta a DWT008
</t>
    </r>
    <r>
      <rPr>
        <b/>
        <sz val="11"/>
        <color theme="1"/>
        <rFont val="Calibri"/>
        <family val="2"/>
        <scheme val="minor"/>
      </rPr>
      <t>- campo da ct004 é sempre o titular (para dezembro, apenas existem 7 contratos com cliente diferente derivado dos ajustes manuais da contabilidade) - eliminamos?</t>
    </r>
  </si>
  <si>
    <t>calculado - mot_npl, quando flag_npl = "S"</t>
  </si>
  <si>
    <t>Campo duplicado com ind_def</t>
  </si>
  <si>
    <t>calculado - mot_npl, quando flag_npl != "S"</t>
  </si>
  <si>
    <t>disstpresp</t>
  </si>
  <si>
    <t>Tipo Responsabilidade</t>
  </si>
  <si>
    <t>t_m_diss_dissrespcred</t>
  </si>
  <si>
    <t>Criada tabela específica CRC - modris_fact_clientes_crc</t>
  </si>
  <si>
    <t>disstpinst</t>
  </si>
  <si>
    <t>Tipo Instrumento</t>
  </si>
  <si>
    <t>disstpneg</t>
  </si>
  <si>
    <t>Tipo De Negociação</t>
  </si>
  <si>
    <t>dissvalprest</t>
  </si>
  <si>
    <t>decimal(20,2)</t>
  </si>
  <si>
    <t>Valor De Prestação</t>
  </si>
  <si>
    <t>t_m_diss_dissprest</t>
  </si>
  <si>
    <t>montante_vivo</t>
  </si>
  <si>
    <t>(dissmonttotal - dissmontvenc - dissmontabatv)</t>
  </si>
  <si>
    <t>6. Tabelas de dimensões</t>
  </si>
  <si>
    <t>1. Dimensões poderão ser carregadas nas tabelas de dimensões atuais - CT010/CT011 ou serão utilizadas as tabelas tats</t>
  </si>
  <si>
    <t>Estados Especificação</t>
  </si>
  <si>
    <t>Pendências</t>
  </si>
  <si>
    <t>Estados Implementação</t>
  </si>
  <si>
    <t>Recolha de informação</t>
  </si>
  <si>
    <t>Em Curso</t>
  </si>
  <si>
    <t>Ingesta</t>
  </si>
  <si>
    <t>On Hold</t>
  </si>
  <si>
    <t>Info. Corporação</t>
  </si>
  <si>
    <t>Definir metodologia</t>
  </si>
  <si>
    <t>OK</t>
  </si>
  <si>
    <t>Alta Complex.</t>
  </si>
  <si>
    <t>Info. DW</t>
  </si>
  <si>
    <t>NOK inc</t>
  </si>
  <si>
    <t>NOK revisão EF</t>
  </si>
  <si>
    <t>Em Implem.</t>
  </si>
  <si>
    <t>Fora Ambito</t>
  </si>
  <si>
    <t>Acesso ao schema</t>
  </si>
  <si>
    <t>Desenvolvimentos IT</t>
  </si>
  <si>
    <t>1. Tabela</t>
  </si>
  <si>
    <t>1. Considera-se que terá como chave o zcliente;
2. O campo Origem permitirá distinguir a informação proveniente da CRC comunicada da CRC disseminada;
3. Apenas será incluída informação de clientes existentes no modelo (modris_fact_clientes), e cuja informação na CRC diga respeito ao tipo de responsabilidade (T_M_CIN_RESPENTINST.TPRESPENT ou T_M_DISS_DISSRESPCRED.DISSTPRESP) "Devedor" (código 002).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</si>
</sst>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sz val="8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u/>
      <sz val="8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sz val="11"/>
      <color rgb="FFC0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1F497D"/>
      <name val="Courier New"/>
      <family val="3"/>
    </font>
    <font>
      <sz val="11"/>
      <color rgb="FF00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0"/>
      <name val="Calibri"/>
      <family val="2"/>
      <scheme val="minor"/>
    </font>
    <font>
      <b/>
      <strike/>
      <sz val="11"/>
      <color rgb="FFC00000"/>
      <name val="Calibri"/>
      <family val="2"/>
      <scheme val="minor"/>
    </font>
    <font>
      <b/>
      <strike/>
      <sz val="11"/>
      <color theme="5"/>
      <name val="Calibri"/>
      <family val="2"/>
      <scheme val="minor"/>
    </font>
    <font>
      <b/>
      <strike/>
      <sz val="11"/>
      <color theme="0" tint="-0.499984740745262"/>
      <name val="Calibri"/>
      <family val="2"/>
      <scheme val="minor"/>
    </font>
    <font>
      <b/>
      <strike/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009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</borders>
  <cellStyleXfs count="5">
    <xf numFmtId="0" fontId="0" fillId="0" borderId="0"/>
    <xf numFmtId="0" fontId="1" fillId="0" borderId="0"/>
    <xf numFmtId="0" fontId="8" fillId="0" borderId="0"/>
    <xf numFmtId="0" fontId="3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29">
    <xf numFmtId="0" fontId="0" fillId="0" borderId="0" xfId="0"/>
    <xf numFmtId="0" fontId="5" fillId="0" borderId="0" xfId="1" applyFont="1"/>
    <xf numFmtId="0" fontId="6" fillId="0" borderId="0" xfId="0" applyFont="1" applyAlignment="1">
      <alignment horizontal="left" vertical="center" readingOrder="1"/>
    </xf>
    <xf numFmtId="0" fontId="7" fillId="0" borderId="0" xfId="0" applyFont="1" applyAlignment="1">
      <alignment horizontal="left" vertical="center" readingOrder="1"/>
    </xf>
    <xf numFmtId="0" fontId="5" fillId="0" borderId="1" xfId="1" applyFont="1" applyBorder="1"/>
    <xf numFmtId="0" fontId="8" fillId="0" borderId="0" xfId="2"/>
    <xf numFmtId="0" fontId="5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10" fillId="0" borderId="0" xfId="1" applyFont="1" applyAlignment="1">
      <alignment horizontal="right" vertical="center"/>
    </xf>
    <xf numFmtId="0" fontId="11" fillId="0" borderId="0" xfId="1" applyFont="1"/>
    <xf numFmtId="0" fontId="12" fillId="0" borderId="0" xfId="1" applyFont="1" applyAlignment="1">
      <alignment horizontal="right"/>
    </xf>
    <xf numFmtId="0" fontId="13" fillId="0" borderId="0" xfId="1" applyFont="1"/>
    <xf numFmtId="0" fontId="14" fillId="0" borderId="0" xfId="1" applyFont="1" applyAlignment="1">
      <alignment horizontal="right"/>
    </xf>
    <xf numFmtId="0" fontId="15" fillId="0" borderId="0" xfId="1" applyFont="1"/>
    <xf numFmtId="0" fontId="16" fillId="0" borderId="0" xfId="1" applyFont="1" applyAlignment="1">
      <alignment horizontal="right"/>
    </xf>
    <xf numFmtId="0" fontId="17" fillId="0" borderId="0" xfId="1" applyFont="1"/>
    <xf numFmtId="0" fontId="18" fillId="0" borderId="0" xfId="1" applyFont="1" applyAlignment="1">
      <alignment horizontal="right"/>
    </xf>
    <xf numFmtId="0" fontId="19" fillId="0" borderId="0" xfId="1" applyFont="1" applyAlignment="1">
      <alignment horizontal="right"/>
    </xf>
    <xf numFmtId="0" fontId="5" fillId="0" borderId="0" xfId="1" applyFont="1" applyAlignment="1">
      <alignment horizontal="left" vertical="center" indent="1" readingOrder="1"/>
    </xf>
    <xf numFmtId="0" fontId="0" fillId="0" borderId="0" xfId="0" quotePrefix="1"/>
    <xf numFmtId="0" fontId="20" fillId="2" borderId="0" xfId="0" applyFont="1" applyFill="1"/>
    <xf numFmtId="0" fontId="21" fillId="0" borderId="0" xfId="0" applyFont="1"/>
    <xf numFmtId="0" fontId="22" fillId="0" borderId="0" xfId="0" applyFont="1"/>
    <xf numFmtId="0" fontId="5" fillId="0" borderId="5" xfId="0" applyFont="1" applyBorder="1"/>
    <xf numFmtId="0" fontId="5" fillId="4" borderId="2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0" borderId="0" xfId="0" applyFont="1"/>
    <xf numFmtId="0" fontId="5" fillId="4" borderId="6" xfId="0" applyFont="1" applyFill="1" applyBorder="1"/>
    <xf numFmtId="0" fontId="5" fillId="4" borderId="7" xfId="0" applyFont="1" applyFill="1" applyBorder="1"/>
    <xf numFmtId="0" fontId="5" fillId="4" borderId="8" xfId="0" applyFont="1" applyFill="1" applyBorder="1"/>
    <xf numFmtId="0" fontId="5" fillId="4" borderId="5" xfId="0" applyFont="1" applyFill="1" applyBorder="1"/>
    <xf numFmtId="0" fontId="24" fillId="4" borderId="0" xfId="0" applyFont="1" applyFill="1" applyAlignment="1">
      <alignment horizontal="left" vertical="center"/>
    </xf>
    <xf numFmtId="0" fontId="5" fillId="4" borderId="0" xfId="0" applyFont="1" applyFill="1"/>
    <xf numFmtId="0" fontId="5" fillId="4" borderId="9" xfId="0" applyFont="1" applyFill="1" applyBorder="1"/>
    <xf numFmtId="0" fontId="24" fillId="4" borderId="5" xfId="0" applyFont="1" applyFill="1" applyBorder="1" applyAlignment="1">
      <alignment horizontal="left" vertical="center" indent="1"/>
    </xf>
    <xf numFmtId="0" fontId="24" fillId="4" borderId="0" xfId="0" applyFont="1" applyFill="1" applyAlignment="1">
      <alignment horizontal="left" vertical="center" indent="1"/>
    </xf>
    <xf numFmtId="0" fontId="5" fillId="4" borderId="5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24" fillId="4" borderId="5" xfId="0" applyFont="1" applyFill="1" applyBorder="1" applyAlignment="1">
      <alignment vertical="center"/>
    </xf>
    <xf numFmtId="0" fontId="24" fillId="4" borderId="0" xfId="0" applyFont="1" applyFill="1" applyAlignment="1">
      <alignment vertical="center"/>
    </xf>
    <xf numFmtId="0" fontId="20" fillId="4" borderId="0" xfId="0" applyFont="1" applyFill="1"/>
    <xf numFmtId="0" fontId="26" fillId="4" borderId="0" xfId="0" applyFont="1" applyFill="1"/>
    <xf numFmtId="0" fontId="20" fillId="4" borderId="0" xfId="0" applyFont="1" applyFill="1" applyAlignment="1">
      <alignment vertical="center"/>
    </xf>
    <xf numFmtId="0" fontId="5" fillId="4" borderId="10" xfId="0" applyFont="1" applyFill="1" applyBorder="1"/>
    <xf numFmtId="0" fontId="5" fillId="4" borderId="11" xfId="0" applyFont="1" applyFill="1" applyBorder="1"/>
    <xf numFmtId="0" fontId="24" fillId="4" borderId="11" xfId="0" applyFont="1" applyFill="1" applyBorder="1" applyAlignment="1">
      <alignment vertical="center"/>
    </xf>
    <xf numFmtId="0" fontId="5" fillId="4" borderId="12" xfId="0" applyFont="1" applyFill="1" applyBorder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28" fillId="4" borderId="2" xfId="0" applyFont="1" applyFill="1" applyBorder="1" applyAlignment="1">
      <alignment vertical="top"/>
    </xf>
    <xf numFmtId="0" fontId="5" fillId="0" borderId="0" xfId="0" applyFont="1" applyAlignment="1">
      <alignment vertical="top" wrapText="1"/>
    </xf>
    <xf numFmtId="0" fontId="3" fillId="8" borderId="0" xfId="0" applyFont="1" applyFill="1"/>
    <xf numFmtId="0" fontId="3" fillId="0" borderId="0" xfId="0" applyFont="1"/>
    <xf numFmtId="0" fontId="3" fillId="8" borderId="15" xfId="0" applyFont="1" applyFill="1" applyBorder="1"/>
    <xf numFmtId="0" fontId="3" fillId="8" borderId="16" xfId="0" applyFont="1" applyFill="1" applyBorder="1"/>
    <xf numFmtId="0" fontId="3" fillId="8" borderId="19" xfId="0" applyFont="1" applyFill="1" applyBorder="1"/>
    <xf numFmtId="0" fontId="3" fillId="8" borderId="21" xfId="0" applyFont="1" applyFill="1" applyBorder="1"/>
    <xf numFmtId="0" fontId="3" fillId="8" borderId="22" xfId="0" applyFont="1" applyFill="1" applyBorder="1"/>
    <xf numFmtId="0" fontId="3" fillId="8" borderId="23" xfId="0" applyFont="1" applyFill="1" applyBorder="1"/>
    <xf numFmtId="0" fontId="3" fillId="8" borderId="18" xfId="0" applyFont="1" applyFill="1" applyBorder="1"/>
    <xf numFmtId="0" fontId="0" fillId="0" borderId="20" xfId="0" applyBorder="1"/>
    <xf numFmtId="14" fontId="0" fillId="0" borderId="20" xfId="0" applyNumberFormat="1" applyBorder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0" fillId="0" borderId="20" xfId="0" applyBorder="1" applyAlignment="1">
      <alignment vertical="center"/>
    </xf>
    <xf numFmtId="14" fontId="0" fillId="0" borderId="20" xfId="0" applyNumberFormat="1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20" xfId="0" applyNumberForma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28" fillId="4" borderId="3" xfId="0" applyFont="1" applyFill="1" applyBorder="1" applyAlignment="1">
      <alignment vertical="top"/>
    </xf>
    <xf numFmtId="0" fontId="32" fillId="0" borderId="20" xfId="0" applyFont="1" applyBorder="1" applyAlignment="1">
      <alignment vertical="center"/>
    </xf>
    <xf numFmtId="0" fontId="30" fillId="0" borderId="20" xfId="0" applyFont="1" applyBorder="1" applyAlignment="1">
      <alignment vertical="center" wrapText="1"/>
    </xf>
    <xf numFmtId="0" fontId="29" fillId="0" borderId="20" xfId="0" applyFont="1" applyBorder="1" applyAlignment="1">
      <alignment vertical="center"/>
    </xf>
    <xf numFmtId="0" fontId="31" fillId="0" borderId="20" xfId="0" applyFont="1" applyBorder="1" applyAlignment="1">
      <alignment vertical="center" wrapText="1"/>
    </xf>
    <xf numFmtId="0" fontId="22" fillId="0" borderId="20" xfId="0" applyFont="1" applyBorder="1" applyAlignment="1">
      <alignment vertical="center" wrapText="1"/>
    </xf>
    <xf numFmtId="0" fontId="0" fillId="0" borderId="20" xfId="0" applyBorder="1" applyAlignment="1">
      <alignment wrapText="1"/>
    </xf>
    <xf numFmtId="0" fontId="0" fillId="0" borderId="0" xfId="0" applyAlignment="1">
      <alignment wrapText="1"/>
    </xf>
    <xf numFmtId="0" fontId="22" fillId="0" borderId="0" xfId="0" applyFont="1" applyAlignment="1">
      <alignment vertical="center"/>
    </xf>
    <xf numFmtId="0" fontId="33" fillId="0" borderId="20" xfId="3" applyFill="1" applyBorder="1" applyAlignment="1">
      <alignment vertical="center"/>
    </xf>
    <xf numFmtId="0" fontId="0" fillId="2" borderId="0" xfId="0" applyFill="1"/>
    <xf numFmtId="14" fontId="24" fillId="0" borderId="25" xfId="0" applyNumberFormat="1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indent="1"/>
    </xf>
    <xf numFmtId="0" fontId="24" fillId="0" borderId="25" xfId="0" applyFont="1" applyBorder="1" applyAlignment="1">
      <alignment horizontal="left" vertical="center" wrapText="1"/>
    </xf>
    <xf numFmtId="14" fontId="24" fillId="0" borderId="27" xfId="0" applyNumberFormat="1" applyFont="1" applyBorder="1" applyAlignment="1">
      <alignment horizontal="left" vertical="center" wrapText="1"/>
    </xf>
    <xf numFmtId="0" fontId="24" fillId="0" borderId="27" xfId="0" applyFont="1" applyBorder="1" applyAlignment="1">
      <alignment horizontal="left" vertical="center" indent="1"/>
    </xf>
    <xf numFmtId="0" fontId="3" fillId="8" borderId="26" xfId="0" applyFont="1" applyFill="1" applyBorder="1" applyAlignment="1">
      <alignment horizontal="center" vertical="center"/>
    </xf>
    <xf numFmtId="0" fontId="24" fillId="0" borderId="27" xfId="0" applyFont="1" applyBorder="1" applyAlignment="1">
      <alignment horizontal="left" vertical="center" wrapText="1"/>
    </xf>
    <xf numFmtId="0" fontId="22" fillId="0" borderId="20" xfId="0" applyFont="1" applyBorder="1"/>
    <xf numFmtId="0" fontId="35" fillId="0" borderId="20" xfId="0" applyFont="1" applyBorder="1" applyAlignment="1">
      <alignment vertical="center" wrapText="1"/>
    </xf>
    <xf numFmtId="14" fontId="22" fillId="0" borderId="20" xfId="0" applyNumberFormat="1" applyFont="1" applyBorder="1" applyAlignment="1">
      <alignment vertical="center"/>
    </xf>
    <xf numFmtId="14" fontId="22" fillId="0" borderId="20" xfId="0" applyNumberFormat="1" applyFont="1" applyBorder="1" applyAlignment="1">
      <alignment vertical="center" wrapText="1"/>
    </xf>
    <xf numFmtId="0" fontId="0" fillId="0" borderId="20" xfId="0" applyBorder="1" applyAlignment="1">
      <alignment horizontal="left"/>
    </xf>
    <xf numFmtId="0" fontId="22" fillId="0" borderId="20" xfId="0" quotePrefix="1" applyFont="1" applyBorder="1"/>
    <xf numFmtId="0" fontId="22" fillId="0" borderId="20" xfId="0" applyFont="1" applyBorder="1" applyAlignment="1">
      <alignment wrapText="1"/>
    </xf>
    <xf numFmtId="0" fontId="33" fillId="0" borderId="20" xfId="3" applyFill="1" applyBorder="1"/>
    <xf numFmtId="0" fontId="0" fillId="0" borderId="20" xfId="0" quotePrefix="1" applyBorder="1"/>
    <xf numFmtId="14" fontId="22" fillId="0" borderId="20" xfId="0" quotePrefix="1" applyNumberFormat="1" applyFont="1" applyBorder="1" applyAlignment="1">
      <alignment vertical="center"/>
    </xf>
    <xf numFmtId="0" fontId="22" fillId="0" borderId="20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33" fillId="0" borderId="20" xfId="3" applyFill="1" applyBorder="1" applyAlignment="1">
      <alignment horizontal="left" vertical="center"/>
    </xf>
    <xf numFmtId="0" fontId="0" fillId="0" borderId="20" xfId="0" quotePrefix="1" applyBorder="1" applyAlignment="1">
      <alignment horizontal="left" vertical="center" wrapText="1"/>
    </xf>
    <xf numFmtId="0" fontId="3" fillId="8" borderId="13" xfId="0" applyFont="1" applyFill="1" applyBorder="1"/>
    <xf numFmtId="0" fontId="3" fillId="8" borderId="17" xfId="0" applyFont="1" applyFill="1" applyBorder="1"/>
    <xf numFmtId="0" fontId="3" fillId="8" borderId="14" xfId="0" applyFont="1" applyFill="1" applyBorder="1"/>
    <xf numFmtId="0" fontId="22" fillId="0" borderId="20" xfId="0" applyFont="1" applyBorder="1" applyAlignment="1">
      <alignment horizontal="left" vertical="center" wrapText="1"/>
    </xf>
    <xf numFmtId="0" fontId="0" fillId="0" borderId="20" xfId="0" quotePrefix="1" applyBorder="1" applyAlignment="1">
      <alignment vertical="center" wrapText="1"/>
    </xf>
    <xf numFmtId="0" fontId="3" fillId="8" borderId="26" xfId="0" applyFont="1" applyFill="1" applyBorder="1"/>
    <xf numFmtId="0" fontId="0" fillId="0" borderId="26" xfId="0" applyBorder="1"/>
    <xf numFmtId="9" fontId="0" fillId="0" borderId="26" xfId="4" applyFont="1" applyBorder="1"/>
    <xf numFmtId="0" fontId="3" fillId="8" borderId="26" xfId="0" applyFont="1" applyFill="1" applyBorder="1" applyAlignment="1">
      <alignment horizontal="right"/>
    </xf>
    <xf numFmtId="0" fontId="3" fillId="8" borderId="26" xfId="0" applyFont="1" applyFill="1" applyBorder="1" applyAlignment="1">
      <alignment horizontal="center"/>
    </xf>
    <xf numFmtId="0" fontId="32" fillId="8" borderId="26" xfId="0" applyFont="1" applyFill="1" applyBorder="1" applyAlignment="1">
      <alignment horizontal="center"/>
    </xf>
    <xf numFmtId="0" fontId="30" fillId="8" borderId="26" xfId="0" applyFont="1" applyFill="1" applyBorder="1" applyAlignment="1">
      <alignment horizontal="center"/>
    </xf>
    <xf numFmtId="0" fontId="31" fillId="8" borderId="26" xfId="0" applyFont="1" applyFill="1" applyBorder="1" applyAlignment="1">
      <alignment horizontal="center"/>
    </xf>
    <xf numFmtId="0" fontId="29" fillId="8" borderId="26" xfId="0" applyFont="1" applyFill="1" applyBorder="1" applyAlignment="1">
      <alignment horizontal="center"/>
    </xf>
    <xf numFmtId="0" fontId="3" fillId="8" borderId="23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14" fontId="0" fillId="0" borderId="20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20" xfId="0" quotePrefix="1" applyBorder="1" applyAlignment="1">
      <alignment vertical="center"/>
    </xf>
    <xf numFmtId="14" fontId="0" fillId="0" borderId="20" xfId="0" quotePrefix="1" applyNumberFormat="1" applyBorder="1" applyAlignment="1">
      <alignment vertical="center" wrapText="1"/>
    </xf>
    <xf numFmtId="14" fontId="22" fillId="0" borderId="20" xfId="0" applyNumberFormat="1" applyFont="1" applyBorder="1" applyAlignment="1">
      <alignment horizontal="left" vertical="center" wrapText="1"/>
    </xf>
    <xf numFmtId="17" fontId="22" fillId="0" borderId="20" xfId="0" quotePrefix="1" applyNumberFormat="1" applyFont="1" applyBorder="1" applyAlignment="1">
      <alignment horizontal="left" vertical="center"/>
    </xf>
    <xf numFmtId="0" fontId="39" fillId="0" borderId="0" xfId="0" applyFont="1"/>
    <xf numFmtId="0" fontId="0" fillId="11" borderId="0" xfId="0" applyFill="1"/>
    <xf numFmtId="0" fontId="40" fillId="0" borderId="0" xfId="0" applyFont="1"/>
    <xf numFmtId="0" fontId="0" fillId="0" borderId="0" xfId="0" quotePrefix="1" applyAlignment="1">
      <alignment wrapText="1"/>
    </xf>
    <xf numFmtId="0" fontId="41" fillId="0" borderId="0" xfId="0" applyFont="1"/>
    <xf numFmtId="0" fontId="42" fillId="0" borderId="0" xfId="0" applyFont="1"/>
    <xf numFmtId="14" fontId="0" fillId="0" borderId="20" xfId="0" applyNumberFormat="1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14" fontId="0" fillId="0" borderId="20" xfId="0" applyNumberFormat="1" applyBorder="1" applyAlignment="1">
      <alignment horizontal="right"/>
    </xf>
    <xf numFmtId="14" fontId="0" fillId="0" borderId="20" xfId="0" applyNumberFormat="1" applyBorder="1" applyAlignment="1">
      <alignment horizontal="right" vertical="center" wrapText="1"/>
    </xf>
    <xf numFmtId="0" fontId="0" fillId="0" borderId="20" xfId="0" applyBorder="1" applyAlignment="1">
      <alignment horizontal="right" vertical="center" wrapText="1"/>
    </xf>
    <xf numFmtId="0" fontId="43" fillId="0" borderId="0" xfId="0" applyFont="1"/>
    <xf numFmtId="0" fontId="3" fillId="0" borderId="20" xfId="0" applyFont="1" applyBorder="1" applyAlignment="1">
      <alignment vertical="center"/>
    </xf>
    <xf numFmtId="0" fontId="29" fillId="8" borderId="26" xfId="0" applyFont="1" applyFill="1" applyBorder="1" applyAlignment="1">
      <alignment horizontal="center" wrapText="1"/>
    </xf>
    <xf numFmtId="0" fontId="43" fillId="8" borderId="26" xfId="0" applyFont="1" applyFill="1" applyBorder="1" applyAlignment="1">
      <alignment horizontal="center"/>
    </xf>
    <xf numFmtId="0" fontId="0" fillId="12" borderId="26" xfId="0" applyFill="1" applyBorder="1"/>
    <xf numFmtId="0" fontId="29" fillId="0" borderId="20" xfId="0" applyFont="1" applyBorder="1" applyAlignment="1">
      <alignment vertical="center" wrapText="1"/>
    </xf>
    <xf numFmtId="0" fontId="0" fillId="11" borderId="20" xfId="0" applyFill="1" applyBorder="1" applyAlignment="1">
      <alignment vertical="center" wrapText="1"/>
    </xf>
    <xf numFmtId="15" fontId="0" fillId="0" borderId="20" xfId="0" applyNumberFormat="1" applyBorder="1" applyAlignment="1">
      <alignment wrapText="1"/>
    </xf>
    <xf numFmtId="0" fontId="44" fillId="0" borderId="0" xfId="0" applyFont="1"/>
    <xf numFmtId="0" fontId="45" fillId="0" borderId="0" xfId="0" applyFont="1"/>
    <xf numFmtId="0" fontId="46" fillId="9" borderId="24" xfId="0" applyFont="1" applyFill="1" applyBorder="1"/>
    <xf numFmtId="0" fontId="47" fillId="0" borderId="0" xfId="0" applyFont="1"/>
    <xf numFmtId="0" fontId="45" fillId="10" borderId="24" xfId="0" applyFont="1" applyFill="1" applyBorder="1"/>
    <xf numFmtId="0" fontId="48" fillId="0" borderId="0" xfId="0" applyFont="1"/>
    <xf numFmtId="0" fontId="45" fillId="0" borderId="24" xfId="0" applyFont="1" applyBorder="1"/>
    <xf numFmtId="0" fontId="49" fillId="0" borderId="0" xfId="0" applyFont="1"/>
    <xf numFmtId="0" fontId="50" fillId="0" borderId="0" xfId="0" applyFont="1"/>
    <xf numFmtId="0" fontId="0" fillId="0" borderId="28" xfId="0" applyBorder="1" applyAlignment="1">
      <alignment vertical="center" wrapText="1"/>
    </xf>
    <xf numFmtId="9" fontId="0" fillId="0" borderId="26" xfId="4" applyFont="1" applyFill="1" applyBorder="1"/>
    <xf numFmtId="0" fontId="22" fillId="13" borderId="20" xfId="0" applyFont="1" applyFill="1" applyBorder="1" applyAlignment="1">
      <alignment horizontal="left" vertical="center"/>
    </xf>
    <xf numFmtId="0" fontId="0" fillId="0" borderId="28" xfId="0" applyBorder="1" applyAlignment="1">
      <alignment horizontal="left" vertical="center" wrapText="1"/>
    </xf>
    <xf numFmtId="0" fontId="2" fillId="6" borderId="15" xfId="0" applyFont="1" applyFill="1" applyBorder="1"/>
    <xf numFmtId="0" fontId="2" fillId="6" borderId="16" xfId="0" applyFont="1" applyFill="1" applyBorder="1"/>
    <xf numFmtId="0" fontId="2" fillId="6" borderId="19" xfId="0" applyFont="1" applyFill="1" applyBorder="1"/>
    <xf numFmtId="0" fontId="3" fillId="0" borderId="28" xfId="0" applyFont="1" applyBorder="1" applyAlignment="1">
      <alignment vertical="center" wrapText="1"/>
    </xf>
    <xf numFmtId="0" fontId="0" fillId="11" borderId="28" xfId="0" applyFill="1" applyBorder="1" applyAlignment="1">
      <alignment vertical="center" wrapText="1"/>
    </xf>
    <xf numFmtId="0" fontId="0" fillId="0" borderId="28" xfId="0" applyBorder="1" applyAlignment="1">
      <alignment vertical="center"/>
    </xf>
    <xf numFmtId="0" fontId="3" fillId="14" borderId="23" xfId="0" applyFont="1" applyFill="1" applyBorder="1"/>
    <xf numFmtId="14" fontId="0" fillId="11" borderId="20" xfId="0" applyNumberFormat="1" applyFill="1" applyBorder="1" applyAlignment="1">
      <alignment vertical="center" wrapText="1"/>
    </xf>
    <xf numFmtId="0" fontId="0" fillId="0" borderId="20" xfId="0" quotePrefix="1" applyBorder="1" applyAlignment="1">
      <alignment wrapText="1"/>
    </xf>
    <xf numFmtId="0" fontId="28" fillId="4" borderId="6" xfId="0" applyFont="1" applyFill="1" applyBorder="1" applyAlignment="1">
      <alignment vertical="top"/>
    </xf>
    <xf numFmtId="14" fontId="0" fillId="4" borderId="7" xfId="0" applyNumberFormat="1" applyFill="1" applyBorder="1" applyAlignment="1">
      <alignment horizontal="left" vertical="top"/>
    </xf>
    <xf numFmtId="0" fontId="28" fillId="4" borderId="7" xfId="0" applyFont="1" applyFill="1" applyBorder="1" applyAlignment="1">
      <alignment vertical="top"/>
    </xf>
    <xf numFmtId="0" fontId="28" fillId="4" borderId="8" xfId="0" applyFont="1" applyFill="1" applyBorder="1" applyAlignment="1">
      <alignment vertical="top"/>
    </xf>
    <xf numFmtId="0" fontId="28" fillId="4" borderId="10" xfId="0" applyFont="1" applyFill="1" applyBorder="1" applyAlignment="1">
      <alignment vertical="top"/>
    </xf>
    <xf numFmtId="14" fontId="0" fillId="4" borderId="11" xfId="0" applyNumberFormat="1" applyFill="1" applyBorder="1" applyAlignment="1">
      <alignment horizontal="left" vertical="top"/>
    </xf>
    <xf numFmtId="0" fontId="28" fillId="4" borderId="11" xfId="0" applyFont="1" applyFill="1" applyBorder="1" applyAlignment="1">
      <alignment vertical="top"/>
    </xf>
    <xf numFmtId="0" fontId="28" fillId="4" borderId="12" xfId="0" applyFont="1" applyFill="1" applyBorder="1" applyAlignment="1">
      <alignment vertical="top"/>
    </xf>
    <xf numFmtId="0" fontId="2" fillId="9" borderId="24" xfId="0" applyFont="1" applyFill="1" applyBorder="1"/>
    <xf numFmtId="0" fontId="29" fillId="10" borderId="24" xfId="0" applyFont="1" applyFill="1" applyBorder="1"/>
    <xf numFmtId="0" fontId="30" fillId="0" borderId="24" xfId="0" applyFont="1" applyBorder="1"/>
    <xf numFmtId="0" fontId="32" fillId="0" borderId="24" xfId="0" applyFont="1" applyBorder="1"/>
    <xf numFmtId="0" fontId="42" fillId="0" borderId="24" xfId="0" applyFont="1" applyBorder="1"/>
    <xf numFmtId="0" fontId="43" fillId="10" borderId="24" xfId="0" applyFont="1" applyFill="1" applyBorder="1"/>
    <xf numFmtId="0" fontId="29" fillId="0" borderId="24" xfId="0" applyFont="1" applyBorder="1"/>
    <xf numFmtId="0" fontId="3" fillId="10" borderId="24" xfId="0" applyFont="1" applyFill="1" applyBorder="1"/>
    <xf numFmtId="0" fontId="35" fillId="0" borderId="0" xfId="0" applyFont="1"/>
    <xf numFmtId="9" fontId="0" fillId="12" borderId="26" xfId="4" applyFont="1" applyFill="1" applyBorder="1"/>
    <xf numFmtId="0" fontId="32" fillId="11" borderId="20" xfId="0" applyFont="1" applyFill="1" applyBorder="1" applyAlignment="1">
      <alignment vertical="center"/>
    </xf>
    <xf numFmtId="164" fontId="5" fillId="0" borderId="0" xfId="1" applyNumberFormat="1" applyFont="1" applyAlignment="1">
      <alignment horizontal="left" vertical="center"/>
    </xf>
    <xf numFmtId="0" fontId="23" fillId="5" borderId="2" xfId="0" applyFont="1" applyFill="1" applyBorder="1" applyAlignment="1">
      <alignment horizontal="left" vertical="center" wrapText="1"/>
    </xf>
    <xf numFmtId="0" fontId="23" fillId="5" borderId="3" xfId="0" applyFont="1" applyFill="1" applyBorder="1" applyAlignment="1">
      <alignment horizontal="left" vertical="center" wrapText="1"/>
    </xf>
    <xf numFmtId="0" fontId="23" fillId="5" borderId="4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left" vertical="center"/>
    </xf>
    <xf numFmtId="0" fontId="23" fillId="3" borderId="3" xfId="0" applyFont="1" applyFill="1" applyBorder="1" applyAlignment="1">
      <alignment horizontal="left" vertical="center"/>
    </xf>
    <xf numFmtId="0" fontId="23" fillId="3" borderId="4" xfId="0" applyFont="1" applyFill="1" applyBorder="1" applyAlignment="1">
      <alignment horizontal="left" vertical="center"/>
    </xf>
    <xf numFmtId="0" fontId="23" fillId="3" borderId="6" xfId="0" applyFont="1" applyFill="1" applyBorder="1" applyAlignment="1">
      <alignment horizontal="left" vertical="center" wrapText="1"/>
    </xf>
    <xf numFmtId="0" fontId="23" fillId="3" borderId="7" xfId="0" applyFont="1" applyFill="1" applyBorder="1" applyAlignment="1">
      <alignment horizontal="left" vertical="center" wrapText="1"/>
    </xf>
    <xf numFmtId="0" fontId="23" fillId="3" borderId="8" xfId="0" applyFont="1" applyFill="1" applyBorder="1" applyAlignment="1">
      <alignment horizontal="left" vertical="center" wrapText="1"/>
    </xf>
    <xf numFmtId="0" fontId="23" fillId="3" borderId="5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left" vertical="center" wrapText="1"/>
    </xf>
    <xf numFmtId="0" fontId="23" fillId="3" borderId="9" xfId="0" applyFont="1" applyFill="1" applyBorder="1" applyAlignment="1">
      <alignment horizontal="left" vertical="center" wrapText="1"/>
    </xf>
    <xf numFmtId="0" fontId="23" fillId="3" borderId="10" xfId="0" applyFont="1" applyFill="1" applyBorder="1" applyAlignment="1">
      <alignment horizontal="left" vertical="center" wrapText="1"/>
    </xf>
    <xf numFmtId="0" fontId="23" fillId="3" borderId="11" xfId="0" applyFont="1" applyFill="1" applyBorder="1" applyAlignment="1">
      <alignment horizontal="left" vertical="center" wrapText="1"/>
    </xf>
    <xf numFmtId="0" fontId="23" fillId="3" borderId="12" xfId="0" applyFont="1" applyFill="1" applyBorder="1" applyAlignment="1">
      <alignment horizontal="left" vertical="center" wrapText="1"/>
    </xf>
    <xf numFmtId="0" fontId="25" fillId="4" borderId="0" xfId="0" applyFont="1" applyFill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/>
    </xf>
    <xf numFmtId="0" fontId="2" fillId="6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14" fontId="0" fillId="4" borderId="3" xfId="0" applyNumberFormat="1" applyFill="1" applyBorder="1" applyAlignment="1">
      <alignment horizontal="left" vertical="top" wrapText="1"/>
    </xf>
    <xf numFmtId="14" fontId="5" fillId="4" borderId="3" xfId="0" applyNumberFormat="1" applyFont="1" applyFill="1" applyBorder="1" applyAlignment="1">
      <alignment horizontal="left" vertical="top" wrapText="1"/>
    </xf>
    <xf numFmtId="0" fontId="0" fillId="0" borderId="29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8" fillId="4" borderId="3" xfId="0" applyFont="1" applyFill="1" applyBorder="1" applyAlignment="1">
      <alignment horizontal="center" vertical="top"/>
    </xf>
  </cellXfs>
  <cellStyles count="5">
    <cellStyle name="Hyperlink" xfId="3" builtinId="8"/>
    <cellStyle name="Normal" xfId="0" builtinId="0"/>
    <cellStyle name="Normal 2 2 3 4" xfId="1"/>
    <cellStyle name="Normal 3 5 4" xfId="2"/>
    <cellStyle name="Percent" xfId="4" builtinId="5"/>
  </cellStyles>
  <dxfs count="137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/>
        <outline val="0"/>
        <shadow val="0"/>
        <u val="none"/>
        <vertAlign val="baseline"/>
        <sz val="11"/>
        <name val="Calibri"/>
        <scheme val="minor"/>
      </font>
    </dxf>
    <dxf>
      <font>
        <strike/>
        <outline val="0"/>
        <shadow val="0"/>
        <u val="none"/>
        <vertAlign val="baseline"/>
        <sz val="11"/>
        <name val="Calibri"/>
        <scheme val="minor"/>
      </font>
    </dxf>
    <dxf>
      <font>
        <b/>
        <i val="0"/>
        <strike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theme="8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theme="8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theme="8"/>
      </font>
    </dxf>
    <dxf>
      <font>
        <color rgb="FFFFC00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theme="8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C00000"/>
      </font>
    </dxf>
    <dxf>
      <font>
        <color theme="5"/>
      </font>
    </dxf>
    <dxf>
      <font>
        <color rgb="FF7F7F7F"/>
      </font>
    </dxf>
    <dxf>
      <font>
        <color rgb="FF00B050"/>
      </font>
    </dxf>
    <dxf>
      <font>
        <color rgb="FF0070C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9FDF"/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sv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79261</xdr:colOff>
      <xdr:row>12</xdr:row>
      <xdr:rowOff>48645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386" y="2744220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9</xdr:row>
      <xdr:rowOff>75694</xdr:rowOff>
    </xdr:from>
    <xdr:to>
      <xdr:col>9</xdr:col>
      <xdr:colOff>388222</xdr:colOff>
      <xdr:row>10</xdr:row>
      <xdr:rowOff>173539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476500" y="2047369"/>
          <a:ext cx="2026522" cy="288345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EB0000"/>
          </a:solidFill>
          <a:prstDash val="solid"/>
        </a:ln>
        <a:effectLst/>
      </xdr:spPr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266700" marR="0" lvl="1" indent="0" fontAlgn="auto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>
              <a:solidFill>
                <a:srgbClr val="595959"/>
              </a:solidFill>
              <a:latin typeface="Santander Text" panose="020B0504020201020104" pitchFamily="34" charset="0"/>
            </a:rPr>
            <a:t>Fontes de informação</a:t>
          </a:r>
          <a:endParaRPr lang="en-US" sz="1200" b="1">
            <a:solidFill>
              <a:srgbClr val="595959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7</xdr:col>
      <xdr:colOff>136046</xdr:colOff>
      <xdr:row>11</xdr:row>
      <xdr:rowOff>64698</xdr:rowOff>
    </xdr:from>
    <xdr:to>
      <xdr:col>9</xdr:col>
      <xdr:colOff>807</xdr:colOff>
      <xdr:row>18</xdr:row>
      <xdr:rowOff>98000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2825458" y="2417933"/>
          <a:ext cx="1299114" cy="1232332"/>
          <a:chOff x="2243374" y="3822685"/>
          <a:chExt cx="1264936" cy="1233452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2243374" y="3932330"/>
            <a:ext cx="1264936" cy="112380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2335639" y="3822685"/>
            <a:ext cx="723275" cy="261610"/>
          </a:xfrm>
          <a:prstGeom prst="rect">
            <a:avLst/>
          </a:prstGeom>
          <a:solidFill>
            <a:schemeClr val="bg1"/>
          </a:solidFill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PT" sz="1100" b="1" i="1">
                <a:solidFill>
                  <a:prstClr val="black"/>
                </a:solidFill>
                <a:latin typeface="Santander Text" panose="020B0504020201020104" pitchFamily="34" charset="0"/>
              </a:rPr>
              <a:t>Universo</a:t>
            </a:r>
            <a:endParaRPr lang="pt-PT" i="1"/>
          </a:p>
        </xdr:txBody>
      </xdr:sp>
      <xdr:pic>
        <xdr:nvPicPr>
          <xdr:cNvPr id="6" name="Graphic 17" descr="Database with solid fill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23425" y="4080384"/>
            <a:ext cx="605749" cy="6057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Picture 6" descr="A close up of a logo&#10;&#10;Description automatically generated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718373" y="4465391"/>
            <a:ext cx="381408" cy="42429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7</xdr:col>
      <xdr:colOff>149926</xdr:colOff>
      <xdr:row>18</xdr:row>
      <xdr:rowOff>117877</xdr:rowOff>
    </xdr:from>
    <xdr:to>
      <xdr:col>8</xdr:col>
      <xdr:colOff>605237</xdr:colOff>
      <xdr:row>28</xdr:row>
      <xdr:rowOff>22396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2839338" y="3670142"/>
          <a:ext cx="1172487" cy="1338872"/>
          <a:chOff x="2243374" y="3722868"/>
          <a:chExt cx="1264936" cy="1333269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2243374" y="3932330"/>
            <a:ext cx="1264936" cy="112380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2317230" y="3722868"/>
            <a:ext cx="1011432" cy="430887"/>
          </a:xfrm>
          <a:prstGeom prst="rect">
            <a:avLst/>
          </a:prstGeom>
          <a:solidFill>
            <a:schemeClr val="bg1"/>
          </a:solidFill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PT" sz="1100" b="1" i="1">
                <a:solidFill>
                  <a:prstClr val="black"/>
                </a:solidFill>
                <a:latin typeface="Santander Text" panose="020B0504020201020104" pitchFamily="34" charset="0"/>
              </a:rPr>
              <a:t>Fontes de informação</a:t>
            </a:r>
            <a:endParaRPr lang="pt-PT" i="1"/>
          </a:p>
        </xdr:txBody>
      </xdr:sp>
      <xdr:pic>
        <xdr:nvPicPr>
          <xdr:cNvPr id="11" name="Graphic 17" descr="Database with solid fill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23425" y="4080384"/>
            <a:ext cx="605749" cy="6057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" name="Picture 11" descr="A close up of a logo&#10;&#10;Description automatically generated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704493" y="4465391"/>
            <a:ext cx="380577" cy="4233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9</xdr:col>
      <xdr:colOff>1377240</xdr:colOff>
      <xdr:row>11</xdr:row>
      <xdr:rowOff>174342</xdr:rowOff>
    </xdr:from>
    <xdr:to>
      <xdr:col>13</xdr:col>
      <xdr:colOff>195889</xdr:colOff>
      <xdr:row>22</xdr:row>
      <xdr:rowOff>186059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492040" y="2527017"/>
          <a:ext cx="2009524" cy="197386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PT"/>
        </a:p>
      </xdr:txBody>
    </xdr:sp>
    <xdr:clientData/>
  </xdr:twoCellAnchor>
  <xdr:twoCellAnchor editAs="oneCell">
    <xdr:from>
      <xdr:col>11</xdr:col>
      <xdr:colOff>14152</xdr:colOff>
      <xdr:row>13</xdr:row>
      <xdr:rowOff>12874</xdr:rowOff>
    </xdr:from>
    <xdr:to>
      <xdr:col>11</xdr:col>
      <xdr:colOff>14152</xdr:colOff>
      <xdr:row>15</xdr:row>
      <xdr:rowOff>94221</xdr:rowOff>
    </xdr:to>
    <xdr:pic>
      <xdr:nvPicPr>
        <xdr:cNvPr id="14" name="Cube 28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4452" y="2746549"/>
          <a:ext cx="489271" cy="462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400231</xdr:colOff>
      <xdr:row>16</xdr:row>
      <xdr:rowOff>33092</xdr:rowOff>
    </xdr:from>
    <xdr:to>
      <xdr:col>12</xdr:col>
      <xdr:colOff>318354</xdr:colOff>
      <xdr:row>18</xdr:row>
      <xdr:rowOff>82979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896156" y="3204917"/>
          <a:ext cx="1346873" cy="430887"/>
        </a:xfrm>
        <a:prstGeom prst="rect">
          <a:avLst/>
        </a:prstGeom>
        <a:solidFill>
          <a:schemeClr val="bg1"/>
        </a:solidFill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100">
              <a:solidFill>
                <a:prstClr val="black"/>
              </a:solidFill>
              <a:latin typeface="Santander Text" panose="020B0504020201020104" pitchFamily="34" charset="0"/>
            </a:rPr>
            <a:t>Regras de Saldos/ Plano de Contas</a:t>
          </a:r>
          <a:endParaRPr lang="pt-PT"/>
        </a:p>
      </xdr:txBody>
    </xdr:sp>
    <xdr:clientData/>
  </xdr:twoCellAnchor>
  <xdr:twoCellAnchor>
    <xdr:from>
      <xdr:col>10</xdr:col>
      <xdr:colOff>83873</xdr:colOff>
      <xdr:row>11</xdr:row>
      <xdr:rowOff>54401</xdr:rowOff>
    </xdr:from>
    <xdr:to>
      <xdr:col>13</xdr:col>
      <xdr:colOff>110123</xdr:colOff>
      <xdr:row>12</xdr:row>
      <xdr:rowOff>125511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5579798" y="2407076"/>
          <a:ext cx="1836000" cy="261610"/>
        </a:xfrm>
        <a:prstGeom prst="rect">
          <a:avLst/>
        </a:prstGeom>
        <a:solidFill>
          <a:schemeClr val="bg1"/>
        </a:solidFill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100" b="1" i="1">
              <a:solidFill>
                <a:prstClr val="black"/>
              </a:solidFill>
              <a:latin typeface="Santander Text" panose="020B0504020201020104" pitchFamily="34" charset="0"/>
            </a:rPr>
            <a:t>Parametrizações Utilizador</a:t>
          </a:r>
          <a:endParaRPr lang="pt-PT" i="1"/>
        </a:p>
      </xdr:txBody>
    </xdr:sp>
    <xdr:clientData/>
  </xdr:twoCellAnchor>
  <xdr:twoCellAnchor>
    <xdr:from>
      <xdr:col>14</xdr:col>
      <xdr:colOff>146303</xdr:colOff>
      <xdr:row>11</xdr:row>
      <xdr:rowOff>72863</xdr:rowOff>
    </xdr:from>
    <xdr:to>
      <xdr:col>17</xdr:col>
      <xdr:colOff>579014</xdr:colOff>
      <xdr:row>26</xdr:row>
      <xdr:rowOff>61888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8180921" y="2426098"/>
          <a:ext cx="2248064" cy="2409496"/>
          <a:chOff x="7511434" y="3668925"/>
          <a:chExt cx="2270574" cy="2408375"/>
        </a:xfrm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>
            <a:off x="7948496" y="4602184"/>
            <a:ext cx="792000" cy="261610"/>
          </a:xfrm>
          <a:prstGeom prst="rect">
            <a:avLst/>
          </a:prstGeom>
          <a:solidFill>
            <a:schemeClr val="bg1"/>
          </a:solidFill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PT" sz="1100">
                <a:solidFill>
                  <a:prstClr val="black"/>
                </a:solidFill>
                <a:latin typeface="Santander Text" panose="020B0504020201020104" pitchFamily="34" charset="0"/>
              </a:rPr>
              <a:t>Contratos</a:t>
            </a:r>
            <a:endParaRPr lang="pt-PT"/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7772484" y="3770404"/>
            <a:ext cx="2009524" cy="2306896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pic>
        <xdr:nvPicPr>
          <xdr:cNvPr id="20" name="Picture 19" descr="A close up of a logo&#10;&#10;Description automatically generated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114156" y="4161232"/>
            <a:ext cx="380577" cy="4233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" name="Picture 20" descr="A close up of a logo&#10;&#10;Description automatically generated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060910" y="4161231"/>
            <a:ext cx="380577" cy="4233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" name="Picture 21" descr="A close up of a logo&#10;&#10;Description automatically generated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136441" y="5141661"/>
            <a:ext cx="380577" cy="4233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3" name="Picture 22" descr="A close up of a logo&#10;&#10;Description automatically generated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060536" y="5155459"/>
            <a:ext cx="380577" cy="4233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/>
        </xdr:nvSpPr>
        <xdr:spPr>
          <a:xfrm>
            <a:off x="8868509" y="4599503"/>
            <a:ext cx="792000" cy="261610"/>
          </a:xfrm>
          <a:prstGeom prst="rect">
            <a:avLst/>
          </a:prstGeom>
          <a:solidFill>
            <a:schemeClr val="bg1"/>
          </a:solidFill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PT" sz="1100">
                <a:solidFill>
                  <a:prstClr val="black"/>
                </a:solidFill>
                <a:latin typeface="Santander Text" panose="020B0504020201020104" pitchFamily="34" charset="0"/>
              </a:rPr>
              <a:t>Propostas</a:t>
            </a:r>
            <a:endParaRPr lang="pt-PT"/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8008519" y="5589170"/>
            <a:ext cx="792000" cy="261610"/>
          </a:xfrm>
          <a:prstGeom prst="rect">
            <a:avLst/>
          </a:prstGeom>
          <a:solidFill>
            <a:schemeClr val="bg1"/>
          </a:solidFill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PT" sz="1100">
                <a:solidFill>
                  <a:prstClr val="black"/>
                </a:solidFill>
                <a:latin typeface="Santander Text" panose="020B0504020201020104" pitchFamily="34" charset="0"/>
              </a:rPr>
              <a:t>Clientes</a:t>
            </a:r>
            <a:endParaRPr lang="pt-PT"/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8977353" y="5596292"/>
            <a:ext cx="683156" cy="261610"/>
          </a:xfrm>
          <a:prstGeom prst="rect">
            <a:avLst/>
          </a:prstGeom>
          <a:solidFill>
            <a:schemeClr val="bg1"/>
          </a:solidFill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PT" sz="1100">
                <a:solidFill>
                  <a:prstClr val="black"/>
                </a:solidFill>
                <a:latin typeface="Santander Text" panose="020B0504020201020104" pitchFamily="34" charset="0"/>
              </a:rPr>
              <a:t>Outros</a:t>
            </a:r>
            <a:endParaRPr lang="pt-PT"/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 rot="16200000">
            <a:off x="7513539" y="3691360"/>
            <a:ext cx="499064" cy="454197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pic>
        <xdr:nvPicPr>
          <xdr:cNvPr id="28" name="Graphic 17" descr="Database with solid fill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11434" y="3668925"/>
            <a:ext cx="522100" cy="522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/>
        </xdr:nvSpPr>
        <xdr:spPr>
          <a:xfrm>
            <a:off x="7938755" y="3717178"/>
            <a:ext cx="1247368" cy="295196"/>
          </a:xfrm>
          <a:prstGeom prst="rect">
            <a:avLst/>
          </a:prstGeom>
          <a:solidFill>
            <a:schemeClr val="bg1"/>
          </a:solidFill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PT" sz="1100" b="1" i="1">
                <a:solidFill>
                  <a:prstClr val="black"/>
                </a:solidFill>
                <a:latin typeface="Santander Text" panose="020B0504020201020104" pitchFamily="34" charset="0"/>
              </a:rPr>
              <a:t>Business Riscos</a:t>
            </a:r>
            <a:endParaRPr lang="pt-PT" i="1"/>
          </a:p>
        </xdr:txBody>
      </xdr:sp>
    </xdr:grpSp>
    <xdr:clientData/>
  </xdr:twoCellAnchor>
  <xdr:twoCellAnchor>
    <xdr:from>
      <xdr:col>9</xdr:col>
      <xdr:colOff>1368602</xdr:colOff>
      <xdr:row>9</xdr:row>
      <xdr:rowOff>57151</xdr:rowOff>
    </xdr:from>
    <xdr:to>
      <xdr:col>13</xdr:col>
      <xdr:colOff>204527</xdr:colOff>
      <xdr:row>10</xdr:row>
      <xdr:rowOff>154996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5483402" y="2028826"/>
          <a:ext cx="2026800" cy="288345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EB0000"/>
          </a:solidFill>
          <a:prstDash val="solid"/>
        </a:ln>
        <a:effectLst/>
      </xdr:spPr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266700" marR="0" lvl="1" indent="0" fontAlgn="auto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>
              <a:solidFill>
                <a:srgbClr val="595959"/>
              </a:solidFill>
              <a:latin typeface="Santander Text" panose="020B0504020201020104" pitchFamily="34" charset="0"/>
            </a:rPr>
            <a:t>Parametrizações</a:t>
          </a:r>
          <a:endParaRPr lang="en-US" sz="1200" b="1">
            <a:solidFill>
              <a:srgbClr val="595959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14</xdr:col>
      <xdr:colOff>361968</xdr:colOff>
      <xdr:row>9</xdr:row>
      <xdr:rowOff>57150</xdr:rowOff>
    </xdr:from>
    <xdr:to>
      <xdr:col>17</xdr:col>
      <xdr:colOff>579018</xdr:colOff>
      <xdr:row>10</xdr:row>
      <xdr:rowOff>154995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8382018" y="2028825"/>
          <a:ext cx="2026800" cy="288345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EB0000"/>
          </a:solidFill>
          <a:prstDash val="solid"/>
        </a:ln>
        <a:effectLst/>
      </xdr:spPr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266700" marR="0" lvl="1" indent="0" fontAlgn="auto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>
              <a:solidFill>
                <a:srgbClr val="595959"/>
              </a:solidFill>
              <a:latin typeface="Santander Text" panose="020B0504020201020104" pitchFamily="34" charset="0"/>
            </a:rPr>
            <a:t>Módulo de Riscos</a:t>
          </a:r>
          <a:endParaRPr lang="en-US" sz="1200" b="1">
            <a:solidFill>
              <a:srgbClr val="595959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11</xdr:col>
      <xdr:colOff>34030</xdr:colOff>
      <xdr:row>28</xdr:row>
      <xdr:rowOff>160938</xdr:rowOff>
    </xdr:from>
    <xdr:to>
      <xdr:col>11</xdr:col>
      <xdr:colOff>467538</xdr:colOff>
      <xdr:row>29</xdr:row>
      <xdr:rowOff>167083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6244330" y="5142513"/>
          <a:ext cx="433508" cy="1871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000">
              <a:solidFill>
                <a:schemeClr val="tx2"/>
              </a:solidFill>
              <a:latin typeface="Santander Text" panose="020B0504020201020104" pitchFamily="34" charset="0"/>
            </a:rPr>
            <a:t>ETL</a:t>
          </a:r>
        </a:p>
      </xdr:txBody>
    </xdr:sp>
    <xdr:clientData/>
  </xdr:twoCellAnchor>
  <xdr:twoCellAnchor>
    <xdr:from>
      <xdr:col>11</xdr:col>
      <xdr:colOff>551084</xdr:colOff>
      <xdr:row>24</xdr:row>
      <xdr:rowOff>135210</xdr:rowOff>
    </xdr:from>
    <xdr:to>
      <xdr:col>14</xdr:col>
      <xdr:colOff>253334</xdr:colOff>
      <xdr:row>24</xdr:row>
      <xdr:rowOff>135839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 flipV="1">
          <a:off x="6761384" y="4697685"/>
          <a:ext cx="1512000" cy="62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607710</xdr:colOff>
      <xdr:row>24</xdr:row>
      <xdr:rowOff>2254</xdr:rowOff>
    </xdr:from>
    <xdr:to>
      <xdr:col>11</xdr:col>
      <xdr:colOff>541558</xdr:colOff>
      <xdr:row>28</xdr:row>
      <xdr:rowOff>122779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6109798" y="4563048"/>
          <a:ext cx="651025" cy="546349"/>
          <a:chOff x="5900122" y="6045530"/>
          <a:chExt cx="581548" cy="539625"/>
        </a:xfrm>
      </xdr:grpSpPr>
      <xdr:pic>
        <xdr:nvPicPr>
          <xdr:cNvPr id="35" name="Graphic 69" descr="Single gear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46302" y="6061712"/>
            <a:ext cx="427038" cy="4270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6" name="Graphic 70" descr="Single gear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47915" y="6263325"/>
            <a:ext cx="290512" cy="2921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/>
        </xdr:nvSpPr>
        <xdr:spPr>
          <a:xfrm>
            <a:off x="5900122" y="6045530"/>
            <a:ext cx="581548" cy="5396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</xdr:grpSp>
    <xdr:clientData/>
  </xdr:twoCellAnchor>
  <xdr:twoCellAnchor>
    <xdr:from>
      <xdr:col>9</xdr:col>
      <xdr:colOff>188197</xdr:colOff>
      <xdr:row>24</xdr:row>
      <xdr:rowOff>144735</xdr:rowOff>
    </xdr:from>
    <xdr:to>
      <xdr:col>10</xdr:col>
      <xdr:colOff>619125</xdr:colOff>
      <xdr:row>24</xdr:row>
      <xdr:rowOff>152400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>
          <a:off x="4302997" y="4707210"/>
          <a:ext cx="1812053" cy="766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369592</xdr:colOff>
      <xdr:row>16</xdr:row>
      <xdr:rowOff>69731</xdr:rowOff>
    </xdr:from>
    <xdr:to>
      <xdr:col>14</xdr:col>
      <xdr:colOff>267217</xdr:colOff>
      <xdr:row>16</xdr:row>
      <xdr:rowOff>69731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CxnSpPr/>
      </xdr:nvCxnSpPr>
      <xdr:spPr>
        <a:xfrm>
          <a:off x="7675267" y="3241556"/>
          <a:ext cx="6120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188197</xdr:colOff>
      <xdr:row>16</xdr:row>
      <xdr:rowOff>60650</xdr:rowOff>
    </xdr:from>
    <xdr:to>
      <xdr:col>9</xdr:col>
      <xdr:colOff>1232197</xdr:colOff>
      <xdr:row>16</xdr:row>
      <xdr:rowOff>60650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>
          <a:off x="4302997" y="3232475"/>
          <a:ext cx="10440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248913</xdr:colOff>
      <xdr:row>16</xdr:row>
      <xdr:rowOff>163230</xdr:rowOff>
    </xdr:from>
    <xdr:to>
      <xdr:col>9</xdr:col>
      <xdr:colOff>1196270</xdr:colOff>
      <xdr:row>18</xdr:row>
      <xdr:rowOff>55097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4363713" y="3335055"/>
          <a:ext cx="947357" cy="2728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900">
              <a:solidFill>
                <a:schemeClr val="tx2"/>
              </a:solidFill>
              <a:latin typeface="Santander Text" panose="020B0504020201020104" pitchFamily="34" charset="0"/>
            </a:rPr>
            <a:t>Informação conciliada</a:t>
          </a:r>
        </a:p>
      </xdr:txBody>
    </xdr:sp>
    <xdr:clientData/>
  </xdr:twoCellAnchor>
  <xdr:twoCellAnchor>
    <xdr:from>
      <xdr:col>13</xdr:col>
      <xdr:colOff>245301</xdr:colOff>
      <xdr:row>17</xdr:row>
      <xdr:rowOff>89967</xdr:rowOff>
    </xdr:from>
    <xdr:to>
      <xdr:col>14</xdr:col>
      <xdr:colOff>409039</xdr:colOff>
      <xdr:row>18</xdr:row>
      <xdr:rowOff>172334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7550976" y="3452292"/>
          <a:ext cx="878113" cy="2728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900">
              <a:solidFill>
                <a:schemeClr val="tx2"/>
              </a:solidFill>
              <a:latin typeface="Santander Text" panose="020B0504020201020104" pitchFamily="34" charset="0"/>
            </a:rPr>
            <a:t>Universo relevante e tipologias de saldo</a:t>
          </a:r>
        </a:p>
      </xdr:txBody>
    </xdr:sp>
    <xdr:clientData/>
  </xdr:twoCellAnchor>
  <xdr:twoCellAnchor editAs="absolute">
    <xdr:from>
      <xdr:col>1</xdr:col>
      <xdr:colOff>0</xdr:colOff>
      <xdr:row>1</xdr:row>
      <xdr:rowOff>0</xdr:rowOff>
    </xdr:from>
    <xdr:to>
      <xdr:col>3</xdr:col>
      <xdr:colOff>233010</xdr:colOff>
      <xdr:row>1</xdr:row>
      <xdr:rowOff>210585</xdr:rowOff>
    </xdr:to>
    <xdr:pic>
      <xdr:nvPicPr>
        <xdr:cNvPr id="43" name="Gráfico 10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=""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47650" y="190500"/>
          <a:ext cx="1071210" cy="2105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200025</xdr:colOff>
      <xdr:row>1</xdr:row>
      <xdr:rowOff>0</xdr:rowOff>
    </xdr:from>
    <xdr:to>
      <xdr:col>1</xdr:col>
      <xdr:colOff>1023585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0025" y="190500"/>
          <a:ext cx="1071210" cy="2105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100</xdr:colOff>
      <xdr:row>1</xdr:row>
      <xdr:rowOff>0</xdr:rowOff>
    </xdr:from>
    <xdr:to>
      <xdr:col>2</xdr:col>
      <xdr:colOff>822439</xdr:colOff>
      <xdr:row>1</xdr:row>
      <xdr:rowOff>210585</xdr:rowOff>
    </xdr:to>
    <xdr:pic>
      <xdr:nvPicPr>
        <xdr:cNvPr id="6" name="Gráfico 10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70089" cy="2105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6529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6529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247650</xdr:colOff>
      <xdr:row>1</xdr:row>
      <xdr:rowOff>0</xdr:rowOff>
    </xdr:from>
    <xdr:to>
      <xdr:col>1</xdr:col>
      <xdr:colOff>971563</xdr:colOff>
      <xdr:row>1</xdr:row>
      <xdr:rowOff>210585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2398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2398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0048" y="190500"/>
          <a:ext cx="1064415" cy="21058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235323</xdr:colOff>
      <xdr:row>1</xdr:row>
      <xdr:rowOff>44824</xdr:rowOff>
    </xdr:from>
    <xdr:to>
      <xdr:col>1</xdr:col>
      <xdr:colOff>1055607</xdr:colOff>
      <xdr:row>1</xdr:row>
      <xdr:rowOff>255409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5323" y="235324"/>
          <a:ext cx="1066813" cy="21058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358589</xdr:colOff>
      <xdr:row>1</xdr:row>
      <xdr:rowOff>0</xdr:rowOff>
    </xdr:from>
    <xdr:to>
      <xdr:col>1</xdr:col>
      <xdr:colOff>1425402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1768" y="193598"/>
          <a:ext cx="1066813" cy="21058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358589</xdr:colOff>
      <xdr:row>1</xdr:row>
      <xdr:rowOff>0</xdr:rowOff>
    </xdr:from>
    <xdr:to>
      <xdr:col>1</xdr:col>
      <xdr:colOff>1425402</xdr:colOff>
      <xdr:row>1</xdr:row>
      <xdr:rowOff>210585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6239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1066813</xdr:colOff>
      <xdr:row>1</xdr:row>
      <xdr:rowOff>210585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90500"/>
          <a:ext cx="1066813" cy="21058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7" name="Table7" displayName="Table7" ref="A1:A10" totalsRowShown="0" headerRowDxfId="3" dataDxfId="2">
  <autoFilter ref="A1:A10"/>
  <tableColumns count="1">
    <tableColumn id="1" name="Estados Especificação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72" displayName="Table72" ref="E1:E12" totalsRowShown="0" headerRowDxfId="0">
  <autoFilter ref="E1:E12"/>
  <tableColumns count="1">
    <tableColumn id="1" name="Estados Especific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2" tint="-0.749992370372631"/>
  </sheetPr>
  <dimension ref="A1:AD70"/>
  <sheetViews>
    <sheetView showGridLines="0" zoomScale="85" zoomScaleNormal="85" workbookViewId="0"/>
  </sheetViews>
  <sheetFormatPr defaultColWidth="0" defaultRowHeight="12.75" zeroHeight="1" x14ac:dyDescent="0.2"/>
  <cols>
    <col min="1" max="1" width="3.5703125" style="1" customWidth="1"/>
    <col min="2" max="14" width="9.140625" style="1" customWidth="1"/>
    <col min="15" max="15" width="20.42578125" style="1" customWidth="1"/>
    <col min="16" max="16" width="5.5703125" style="1" hidden="1" customWidth="1"/>
    <col min="17" max="29" width="9.140625" style="1" hidden="1"/>
    <col min="30" max="30" width="14.5703125" style="1" hidden="1" customWidth="1"/>
    <col min="31" max="16384" width="9.140625" style="1" hidden="1"/>
  </cols>
  <sheetData>
    <row r="1" spans="2:9" ht="28.5" customHeight="1" x14ac:dyDescent="0.2"/>
    <row r="2" spans="2:9" x14ac:dyDescent="0.2"/>
    <row r="3" spans="2:9" x14ac:dyDescent="0.2"/>
    <row r="4" spans="2:9" ht="47.25" x14ac:dyDescent="0.2">
      <c r="B4" s="2" t="s">
        <v>0</v>
      </c>
    </row>
    <row r="5" spans="2:9" ht="18" x14ac:dyDescent="0.2">
      <c r="B5" s="3"/>
    </row>
    <row r="6" spans="2:9" ht="13.5" thickBot="1" x14ac:dyDescent="0.25">
      <c r="B6" s="4"/>
      <c r="C6" s="4"/>
      <c r="D6" s="4"/>
      <c r="E6" s="4"/>
      <c r="F6" s="4"/>
      <c r="G6" s="4"/>
      <c r="H6" s="4"/>
      <c r="I6" s="4"/>
    </row>
    <row r="7" spans="2:9" ht="15" x14ac:dyDescent="0.3">
      <c r="F7" s="5"/>
    </row>
    <row r="8" spans="2:9" ht="12.75" customHeight="1" x14ac:dyDescent="0.2">
      <c r="B8" s="6" t="s">
        <v>1</v>
      </c>
      <c r="C8" s="189">
        <f ca="1">+TODAY()</f>
        <v>45349</v>
      </c>
      <c r="D8" s="189"/>
      <c r="E8" s="189"/>
    </row>
    <row r="9" spans="2:9" x14ac:dyDescent="0.2"/>
    <row r="10" spans="2:9" x14ac:dyDescent="0.2"/>
    <row r="11" spans="2:9" x14ac:dyDescent="0.2"/>
    <row r="12" spans="2:9" ht="13.5" customHeight="1" x14ac:dyDescent="0.2"/>
    <row r="13" spans="2:9" x14ac:dyDescent="0.2"/>
    <row r="14" spans="2:9" x14ac:dyDescent="0.2"/>
    <row r="15" spans="2:9" x14ac:dyDescent="0.2"/>
    <row r="16" spans="2:9" x14ac:dyDescent="0.2"/>
    <row r="17" spans="13:15" s="7" customFormat="1" ht="13.5" customHeight="1" x14ac:dyDescent="0.25">
      <c r="O17" s="8"/>
    </row>
    <row r="18" spans="13:15" s="9" customFormat="1" ht="13.5" customHeight="1" x14ac:dyDescent="0.35">
      <c r="O18" s="10"/>
    </row>
    <row r="19" spans="13:15" x14ac:dyDescent="0.2">
      <c r="O19" s="11"/>
    </row>
    <row r="20" spans="13:15" x14ac:dyDescent="0.2">
      <c r="O20" s="11"/>
    </row>
    <row r="21" spans="13:15" ht="15.75" x14ac:dyDescent="0.25">
      <c r="O21" s="12"/>
    </row>
    <row r="22" spans="13:15" x14ac:dyDescent="0.2">
      <c r="O22" s="13"/>
    </row>
    <row r="23" spans="13:15" x14ac:dyDescent="0.2">
      <c r="O23" s="13"/>
    </row>
    <row r="24" spans="13:15" ht="15.75" x14ac:dyDescent="0.25">
      <c r="O24" s="14"/>
    </row>
    <row r="25" spans="13:15" x14ac:dyDescent="0.2">
      <c r="O25" s="11"/>
    </row>
    <row r="26" spans="13:15" x14ac:dyDescent="0.2">
      <c r="O26" s="11"/>
    </row>
    <row r="27" spans="13:15" x14ac:dyDescent="0.2">
      <c r="O27" s="11"/>
    </row>
    <row r="28" spans="13:15" x14ac:dyDescent="0.2">
      <c r="O28" s="11"/>
    </row>
    <row r="29" spans="13:15" x14ac:dyDescent="0.2">
      <c r="O29" s="11"/>
    </row>
    <row r="30" spans="13:15" x14ac:dyDescent="0.2">
      <c r="O30" s="11"/>
    </row>
    <row r="31" spans="13:15" x14ac:dyDescent="0.2">
      <c r="O31" s="11"/>
    </row>
    <row r="32" spans="13:15" x14ac:dyDescent="0.2">
      <c r="M32" s="15"/>
      <c r="N32" s="16"/>
      <c r="O32" s="17"/>
    </row>
    <row r="33" x14ac:dyDescent="0.2"/>
    <row r="46" ht="12.75" customHeight="1" x14ac:dyDescent="0.2"/>
    <row r="70" spans="15:15" ht="0" hidden="1" customHeight="1" x14ac:dyDescent="0.2">
      <c r="O70" s="18"/>
    </row>
  </sheetData>
  <mergeCells count="1">
    <mergeCell ref="C8:E8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2" tint="-0.499984740745262"/>
    <pageSetUpPr autoPageBreaks="0"/>
  </sheetPr>
  <dimension ref="A1:CA48"/>
  <sheetViews>
    <sheetView showGridLines="0" zoomScale="85" zoomScaleNormal="85" workbookViewId="0">
      <selection activeCell="G35" sqref="G35:S35"/>
    </sheetView>
  </sheetViews>
  <sheetFormatPr defaultColWidth="0" defaultRowHeight="15" customHeight="1" zeroHeight="1" x14ac:dyDescent="0.25"/>
  <cols>
    <col min="1" max="2" width="3.7109375" customWidth="1"/>
    <col min="3" max="4" width="8.85546875" customWidth="1"/>
    <col min="5" max="5" width="1.7109375" customWidth="1"/>
    <col min="6" max="6" width="2.7109375" customWidth="1"/>
    <col min="7" max="9" width="10.7109375" customWidth="1"/>
    <col min="10" max="10" width="20.7109375" customWidth="1"/>
    <col min="11" max="12" width="10.7109375" customWidth="1"/>
    <col min="13" max="13" width="5.7109375" customWidth="1"/>
    <col min="14" max="15" width="10.7109375" customWidth="1"/>
    <col min="16" max="16" width="5.7109375" customWidth="1"/>
    <col min="17" max="19" width="10.7109375" customWidth="1"/>
    <col min="20" max="20" width="3.5703125" customWidth="1"/>
    <col min="21" max="21" width="3.7109375" customWidth="1"/>
    <col min="22" max="79" width="0" hidden="1" customWidth="1"/>
    <col min="80" max="16384" width="8.85546875" hidden="1"/>
  </cols>
  <sheetData>
    <row r="1" spans="1:21" ht="15" customHeight="1" x14ac:dyDescent="0.25">
      <c r="N1" s="19"/>
    </row>
    <row r="2" spans="1:21" ht="34.5" customHeight="1" x14ac:dyDescent="0.25"/>
    <row r="3" spans="1:21" ht="2.2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x14ac:dyDescent="0.25"/>
    <row r="5" spans="1:21" x14ac:dyDescent="0.25">
      <c r="B5" s="21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</row>
    <row r="6" spans="1:21" ht="4.9000000000000004" customHeight="1" x14ac:dyDescent="0.25"/>
    <row r="7" spans="1:21" ht="49.9" customHeight="1" x14ac:dyDescent="0.25">
      <c r="B7" s="194" t="s">
        <v>3</v>
      </c>
      <c r="C7" s="195"/>
      <c r="D7" s="196"/>
      <c r="E7" s="23"/>
      <c r="F7" s="24"/>
      <c r="G7" s="193" t="s">
        <v>4</v>
      </c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25"/>
    </row>
    <row r="8" spans="1:21" ht="4.9000000000000004" customHeight="1" x14ac:dyDescent="0.25"/>
    <row r="9" spans="1:21" x14ac:dyDescent="0.25">
      <c r="B9" s="197" t="s">
        <v>5</v>
      </c>
      <c r="C9" s="198"/>
      <c r="D9" s="199"/>
      <c r="E9" s="26"/>
      <c r="F9" s="27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</row>
    <row r="10" spans="1:21" x14ac:dyDescent="0.25">
      <c r="B10" s="200"/>
      <c r="C10" s="201"/>
      <c r="D10" s="202"/>
      <c r="E10" s="26"/>
      <c r="F10" s="30"/>
      <c r="G10" s="31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3"/>
    </row>
    <row r="11" spans="1:21" x14ac:dyDescent="0.25">
      <c r="B11" s="200"/>
      <c r="C11" s="201"/>
      <c r="D11" s="202"/>
      <c r="E11" s="26"/>
      <c r="F11" s="34"/>
      <c r="G11" s="31"/>
      <c r="H11" s="35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3"/>
    </row>
    <row r="12" spans="1:21" x14ac:dyDescent="0.25">
      <c r="B12" s="200"/>
      <c r="C12" s="201"/>
      <c r="D12" s="202"/>
      <c r="E12" s="26"/>
      <c r="F12" s="34"/>
      <c r="G12" s="31"/>
      <c r="H12" s="35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3"/>
    </row>
    <row r="13" spans="1:21" x14ac:dyDescent="0.25">
      <c r="B13" s="200"/>
      <c r="C13" s="201"/>
      <c r="D13" s="202"/>
      <c r="E13" s="26"/>
      <c r="F13" s="34"/>
      <c r="G13" s="35"/>
      <c r="H13" s="35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3"/>
    </row>
    <row r="14" spans="1:21" x14ac:dyDescent="0.25">
      <c r="B14" s="200"/>
      <c r="C14" s="201"/>
      <c r="D14" s="202"/>
      <c r="E14" s="26"/>
      <c r="F14" s="34"/>
      <c r="G14" s="35"/>
      <c r="H14" s="35"/>
      <c r="I14" s="32"/>
      <c r="J14" s="32"/>
      <c r="K14" s="206"/>
      <c r="L14" s="206"/>
      <c r="M14" s="32"/>
      <c r="N14" s="206"/>
      <c r="O14" s="206"/>
      <c r="P14" s="32"/>
      <c r="Q14" s="206"/>
      <c r="R14" s="206"/>
      <c r="S14" s="32"/>
      <c r="T14" s="33"/>
    </row>
    <row r="15" spans="1:21" ht="4.9000000000000004" customHeight="1" x14ac:dyDescent="0.25">
      <c r="B15" s="200"/>
      <c r="C15" s="201"/>
      <c r="D15" s="202"/>
      <c r="E15" s="26"/>
      <c r="F15" s="34"/>
      <c r="G15" s="35"/>
      <c r="H15" s="35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/>
    </row>
    <row r="16" spans="1:21" x14ac:dyDescent="0.25">
      <c r="B16" s="200"/>
      <c r="C16" s="201"/>
      <c r="D16" s="202"/>
      <c r="E16" s="26"/>
      <c r="F16" s="34"/>
      <c r="G16" s="35"/>
      <c r="H16" s="35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3"/>
    </row>
    <row r="17" spans="2:20" x14ac:dyDescent="0.25">
      <c r="B17" s="200"/>
      <c r="C17" s="201"/>
      <c r="D17" s="202"/>
      <c r="E17" s="26"/>
      <c r="F17" s="36"/>
      <c r="G17" s="37"/>
      <c r="H17" s="37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/>
    </row>
    <row r="18" spans="2:20" x14ac:dyDescent="0.25">
      <c r="B18" s="200"/>
      <c r="C18" s="201"/>
      <c r="D18" s="202"/>
      <c r="E18" s="26"/>
      <c r="F18" s="38"/>
      <c r="G18" s="39"/>
      <c r="H18" s="39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3"/>
    </row>
    <row r="19" spans="2:20" x14ac:dyDescent="0.25">
      <c r="B19" s="200"/>
      <c r="C19" s="201"/>
      <c r="D19" s="202"/>
      <c r="E19" s="26"/>
      <c r="F19" s="30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3"/>
    </row>
    <row r="20" spans="2:20" x14ac:dyDescent="0.25">
      <c r="B20" s="200"/>
      <c r="C20" s="201"/>
      <c r="D20" s="202"/>
      <c r="E20" s="26"/>
      <c r="F20" s="30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/>
    </row>
    <row r="21" spans="2:20" x14ac:dyDescent="0.25">
      <c r="B21" s="200"/>
      <c r="C21" s="201"/>
      <c r="D21" s="202"/>
      <c r="E21" s="26"/>
      <c r="F21" s="30"/>
      <c r="G21" s="40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/>
    </row>
    <row r="22" spans="2:20" x14ac:dyDescent="0.25">
      <c r="B22" s="200"/>
      <c r="C22" s="201"/>
      <c r="D22" s="202"/>
      <c r="E22" s="26"/>
      <c r="F22" s="30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/>
    </row>
    <row r="23" spans="2:20" x14ac:dyDescent="0.25">
      <c r="B23" s="200"/>
      <c r="C23" s="201"/>
      <c r="D23" s="202"/>
      <c r="E23" s="26"/>
      <c r="F23" s="30"/>
      <c r="G23" s="41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3"/>
    </row>
    <row r="24" spans="2:20" ht="4.9000000000000004" customHeight="1" x14ac:dyDescent="0.25">
      <c r="B24" s="200"/>
      <c r="C24" s="201"/>
      <c r="D24" s="202"/>
      <c r="E24" s="26"/>
      <c r="F24" s="30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3"/>
    </row>
    <row r="25" spans="2:20" x14ac:dyDescent="0.25">
      <c r="B25" s="200"/>
      <c r="C25" s="201"/>
      <c r="D25" s="202"/>
      <c r="E25" s="26"/>
      <c r="F25" s="30"/>
      <c r="G25" s="41"/>
      <c r="H25" s="4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3"/>
    </row>
    <row r="26" spans="2:20" ht="1.9" customHeight="1" x14ac:dyDescent="0.25">
      <c r="B26" s="200"/>
      <c r="C26" s="201"/>
      <c r="D26" s="202"/>
      <c r="E26" s="26"/>
      <c r="F26" s="30"/>
      <c r="G26" s="41"/>
      <c r="H26" s="4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3"/>
    </row>
    <row r="27" spans="2:20" x14ac:dyDescent="0.25">
      <c r="B27" s="200"/>
      <c r="C27" s="201"/>
      <c r="D27" s="202"/>
      <c r="E27" s="26"/>
      <c r="F27" s="30"/>
      <c r="G27" s="41"/>
      <c r="H27" s="4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3"/>
    </row>
    <row r="28" spans="2:20" ht="1.9" customHeight="1" x14ac:dyDescent="0.25">
      <c r="B28" s="200"/>
      <c r="C28" s="201"/>
      <c r="D28" s="202"/>
      <c r="E28" s="26"/>
      <c r="F28" s="30"/>
      <c r="G28" s="32"/>
      <c r="H28" s="4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3"/>
    </row>
    <row r="29" spans="2:20" ht="14.45" customHeight="1" x14ac:dyDescent="0.25">
      <c r="B29" s="200"/>
      <c r="C29" s="201"/>
      <c r="D29" s="202"/>
      <c r="E29" s="26"/>
      <c r="F29" s="30"/>
      <c r="G29" s="32"/>
      <c r="H29" s="4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3"/>
    </row>
    <row r="30" spans="2:20" ht="14.45" customHeight="1" x14ac:dyDescent="0.25">
      <c r="B30" s="200"/>
      <c r="C30" s="201"/>
      <c r="D30" s="202"/>
      <c r="E30" s="26"/>
      <c r="F30" s="30"/>
      <c r="G30" s="32"/>
      <c r="H30" s="4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/>
    </row>
    <row r="31" spans="2:20" x14ac:dyDescent="0.25">
      <c r="B31" s="203"/>
      <c r="C31" s="204"/>
      <c r="D31" s="205"/>
      <c r="E31" s="26"/>
      <c r="F31" s="43"/>
      <c r="G31" s="44"/>
      <c r="H31" s="45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6"/>
    </row>
    <row r="32" spans="2:20" ht="4.9000000000000004" customHeight="1" x14ac:dyDescent="0.25"/>
    <row r="33" spans="2:20" ht="80.25" customHeight="1" x14ac:dyDescent="0.25">
      <c r="B33" s="190" t="s">
        <v>6</v>
      </c>
      <c r="C33" s="191"/>
      <c r="D33" s="192"/>
      <c r="E33" s="23"/>
      <c r="F33" s="24"/>
      <c r="G33" s="193" t="s">
        <v>7</v>
      </c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25"/>
    </row>
    <row r="34" spans="2:20" ht="4.9000000000000004" customHeight="1" x14ac:dyDescent="0.25"/>
    <row r="35" spans="2:20" ht="100.15" customHeight="1" x14ac:dyDescent="0.25">
      <c r="B35" s="190" t="s">
        <v>8</v>
      </c>
      <c r="C35" s="191"/>
      <c r="D35" s="192"/>
      <c r="E35" s="23"/>
      <c r="F35" s="24"/>
      <c r="G35" s="193" t="s">
        <v>9</v>
      </c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25"/>
    </row>
    <row r="36" spans="2:20" x14ac:dyDescent="0.25"/>
    <row r="37" spans="2:20" x14ac:dyDescent="0.25"/>
    <row r="38" spans="2:20" ht="15" customHeight="1" x14ac:dyDescent="0.25"/>
    <row r="39" spans="2:20" ht="15" customHeight="1" x14ac:dyDescent="0.25"/>
    <row r="40" spans="2:20" ht="15" customHeight="1" x14ac:dyDescent="0.25"/>
    <row r="41" spans="2:20" ht="15" customHeight="1" x14ac:dyDescent="0.25"/>
    <row r="42" spans="2:20" ht="15" customHeight="1" x14ac:dyDescent="0.25"/>
    <row r="43" spans="2:20" x14ac:dyDescent="0.25"/>
    <row r="44" spans="2:20" x14ac:dyDescent="0.25"/>
    <row r="45" spans="2:20" x14ac:dyDescent="0.25"/>
    <row r="46" spans="2:20" x14ac:dyDescent="0.25"/>
    <row r="47" spans="2:20" ht="15" customHeight="1" x14ac:dyDescent="0.25"/>
    <row r="48" spans="2:20" ht="15" customHeight="1" x14ac:dyDescent="0.25"/>
  </sheetData>
  <mergeCells count="10">
    <mergeCell ref="B33:D33"/>
    <mergeCell ref="G33:S33"/>
    <mergeCell ref="B35:D35"/>
    <mergeCell ref="G35:S35"/>
    <mergeCell ref="B7:D7"/>
    <mergeCell ref="G7:S7"/>
    <mergeCell ref="B9:D31"/>
    <mergeCell ref="K14:L14"/>
    <mergeCell ref="N14:O14"/>
    <mergeCell ref="Q14:R14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2" tint="-0.499984740745262"/>
  </sheetPr>
  <dimension ref="A1:K33"/>
  <sheetViews>
    <sheetView showGridLines="0" zoomScale="85" zoomScaleNormal="85" workbookViewId="0"/>
  </sheetViews>
  <sheetFormatPr defaultColWidth="0" defaultRowHeight="15" zeroHeight="1" x14ac:dyDescent="0.25"/>
  <cols>
    <col min="1" max="1" width="3.7109375" customWidth="1"/>
    <col min="2" max="2" width="42.140625" bestFit="1" customWidth="1"/>
    <col min="3" max="3" width="18.85546875" bestFit="1" customWidth="1"/>
    <col min="4" max="4" width="21.85546875" bestFit="1" customWidth="1"/>
    <col min="5" max="5" width="45.5703125" bestFit="1" customWidth="1"/>
    <col min="6" max="6" width="45.42578125" customWidth="1"/>
    <col min="7" max="7" width="15.7109375" style="81" hidden="1" customWidth="1"/>
    <col min="8" max="8" width="30.5703125" hidden="1" customWidth="1"/>
    <col min="9" max="9" width="3" customWidth="1"/>
    <col min="10" max="10" width="13.5703125" hidden="1" customWidth="1"/>
    <col min="11" max="11" width="13.42578125" hidden="1" customWidth="1"/>
    <col min="12" max="16384" width="9.140625" hidden="1"/>
  </cols>
  <sheetData>
    <row r="1" spans="1:8" ht="15" customHeight="1" x14ac:dyDescent="0.25"/>
    <row r="2" spans="1:8" ht="34.5" customHeight="1" x14ac:dyDescent="0.25">
      <c r="G2"/>
    </row>
    <row r="3" spans="1:8" ht="2.25" customHeight="1" x14ac:dyDescent="0.25">
      <c r="A3" s="20"/>
      <c r="B3" s="84"/>
      <c r="C3" s="84"/>
      <c r="D3" s="84"/>
      <c r="E3" s="84"/>
      <c r="F3" s="84"/>
      <c r="G3" s="84"/>
      <c r="H3" s="84"/>
    </row>
    <row r="4" spans="1:8" ht="15" customHeight="1" x14ac:dyDescent="0.25"/>
    <row r="5" spans="1:8" ht="15" customHeight="1" x14ac:dyDescent="0.25">
      <c r="B5" s="21" t="s">
        <v>10</v>
      </c>
    </row>
    <row r="6" spans="1:8" ht="4.9000000000000004" customHeight="1" x14ac:dyDescent="0.25">
      <c r="G6"/>
    </row>
    <row r="7" spans="1:8" ht="30" customHeight="1" x14ac:dyDescent="0.25">
      <c r="B7" s="90" t="s">
        <v>11</v>
      </c>
      <c r="C7" s="90" t="s">
        <v>12</v>
      </c>
      <c r="D7" s="90" t="s">
        <v>13</v>
      </c>
      <c r="E7" s="90" t="s">
        <v>14</v>
      </c>
      <c r="F7" s="90" t="s">
        <v>15</v>
      </c>
      <c r="G7" s="90" t="s">
        <v>16</v>
      </c>
      <c r="H7" s="90" t="s">
        <v>17</v>
      </c>
    </row>
    <row r="8" spans="1:8" ht="30" customHeight="1" x14ac:dyDescent="0.25">
      <c r="B8" s="70" t="s">
        <v>18</v>
      </c>
      <c r="C8" s="103" t="s">
        <v>19</v>
      </c>
      <c r="D8" s="103" t="s">
        <v>20</v>
      </c>
      <c r="E8" s="105" t="s">
        <v>21</v>
      </c>
      <c r="F8" s="106" t="s">
        <v>22</v>
      </c>
      <c r="G8" s="87"/>
      <c r="H8" s="86"/>
    </row>
    <row r="9" spans="1:8" ht="30" customHeight="1" x14ac:dyDescent="0.25">
      <c r="B9" s="104" t="s">
        <v>23</v>
      </c>
      <c r="C9" s="103" t="s">
        <v>19</v>
      </c>
      <c r="D9" s="103" t="s">
        <v>20</v>
      </c>
      <c r="E9" s="105" t="s">
        <v>24</v>
      </c>
      <c r="F9" s="106" t="s">
        <v>25</v>
      </c>
      <c r="G9" s="87"/>
      <c r="H9" s="86"/>
    </row>
    <row r="10" spans="1:8" ht="32.25" customHeight="1" x14ac:dyDescent="0.25">
      <c r="B10" s="104" t="s">
        <v>23</v>
      </c>
      <c r="C10" s="103" t="s">
        <v>19</v>
      </c>
      <c r="D10" s="103" t="s">
        <v>20</v>
      </c>
      <c r="E10" s="105" t="s">
        <v>26</v>
      </c>
      <c r="F10" s="106" t="s">
        <v>27</v>
      </c>
      <c r="G10" s="91"/>
      <c r="H10" s="89"/>
    </row>
    <row r="11" spans="1:8" ht="32.25" customHeight="1" x14ac:dyDescent="0.25">
      <c r="B11" s="104" t="s">
        <v>28</v>
      </c>
      <c r="C11" s="103" t="s">
        <v>19</v>
      </c>
      <c r="D11" s="103" t="s">
        <v>29</v>
      </c>
      <c r="E11" s="105" t="s">
        <v>28</v>
      </c>
      <c r="F11" s="106" t="s">
        <v>30</v>
      </c>
      <c r="G11" s="91"/>
      <c r="H11" s="89"/>
    </row>
    <row r="12" spans="1:8" ht="32.25" customHeight="1" x14ac:dyDescent="0.25">
      <c r="B12" s="104" t="s">
        <v>31</v>
      </c>
      <c r="C12" s="103" t="s">
        <v>19</v>
      </c>
      <c r="D12" s="103" t="s">
        <v>20</v>
      </c>
      <c r="E12" s="105" t="s">
        <v>31</v>
      </c>
      <c r="F12" s="106" t="s">
        <v>32</v>
      </c>
      <c r="G12" s="91"/>
      <c r="H12" s="89"/>
    </row>
    <row r="13" spans="1:8" ht="24.75" customHeight="1" x14ac:dyDescent="0.25">
      <c r="B13" s="103" t="s">
        <v>33</v>
      </c>
      <c r="C13" s="103" t="s">
        <v>34</v>
      </c>
      <c r="D13" s="103" t="s">
        <v>29</v>
      </c>
      <c r="E13" s="105" t="s">
        <v>33</v>
      </c>
      <c r="F13" s="104" t="s">
        <v>35</v>
      </c>
      <c r="G13" s="88"/>
      <c r="H13" s="89"/>
    </row>
    <row r="14" spans="1:8" ht="24.75" customHeight="1" x14ac:dyDescent="0.25">
      <c r="B14" s="103" t="s">
        <v>36</v>
      </c>
      <c r="C14" s="103" t="s">
        <v>34</v>
      </c>
      <c r="D14" s="103" t="s">
        <v>29</v>
      </c>
      <c r="E14" s="105" t="s">
        <v>37</v>
      </c>
      <c r="F14" s="106" t="s">
        <v>38</v>
      </c>
      <c r="G14" s="88"/>
      <c r="H14" s="89"/>
    </row>
    <row r="15" spans="1:8" ht="24.75" customHeight="1" x14ac:dyDescent="0.25">
      <c r="B15" s="103" t="s">
        <v>39</v>
      </c>
      <c r="C15" s="103" t="s">
        <v>34</v>
      </c>
      <c r="D15" s="103" t="s">
        <v>29</v>
      </c>
      <c r="E15" s="105" t="s">
        <v>40</v>
      </c>
      <c r="F15" s="106" t="s">
        <v>41</v>
      </c>
      <c r="G15" s="88"/>
      <c r="H15" s="89"/>
    </row>
    <row r="16" spans="1:8" ht="30" customHeight="1" x14ac:dyDescent="0.25">
      <c r="B16" s="103" t="s">
        <v>42</v>
      </c>
      <c r="C16" s="103" t="s">
        <v>34</v>
      </c>
      <c r="D16" s="103" t="s">
        <v>29</v>
      </c>
      <c r="E16" s="105" t="s">
        <v>43</v>
      </c>
      <c r="F16" s="106" t="s">
        <v>44</v>
      </c>
      <c r="G16" s="85"/>
      <c r="H16" s="86"/>
    </row>
    <row r="17" spans="2:8" ht="24.75" customHeight="1" x14ac:dyDescent="0.25">
      <c r="B17" s="103" t="s">
        <v>45</v>
      </c>
      <c r="C17" s="103" t="s">
        <v>34</v>
      </c>
      <c r="D17" s="103" t="s">
        <v>29</v>
      </c>
      <c r="E17" s="105" t="s">
        <v>45</v>
      </c>
      <c r="F17" s="106" t="s">
        <v>46</v>
      </c>
      <c r="G17" s="88"/>
      <c r="H17" s="89"/>
    </row>
    <row r="18" spans="2:8" ht="30" customHeight="1" x14ac:dyDescent="0.25">
      <c r="B18" s="103" t="s">
        <v>47</v>
      </c>
      <c r="C18" s="103" t="s">
        <v>34</v>
      </c>
      <c r="D18" s="103" t="s">
        <v>29</v>
      </c>
      <c r="E18" s="105" t="s">
        <v>47</v>
      </c>
      <c r="F18" s="104" t="s">
        <v>48</v>
      </c>
      <c r="G18" s="85"/>
      <c r="H18" s="86"/>
    </row>
    <row r="19" spans="2:8" ht="30" customHeight="1" x14ac:dyDescent="0.25">
      <c r="B19" s="103" t="s">
        <v>49</v>
      </c>
      <c r="C19" s="103" t="s">
        <v>34</v>
      </c>
      <c r="D19" s="103" t="s">
        <v>29</v>
      </c>
      <c r="E19" s="105" t="s">
        <v>49</v>
      </c>
      <c r="F19" s="106" t="s">
        <v>50</v>
      </c>
      <c r="G19" s="85"/>
      <c r="H19" s="86"/>
    </row>
    <row r="20" spans="2:8" ht="30" customHeight="1" x14ac:dyDescent="0.25">
      <c r="B20" s="103" t="s">
        <v>51</v>
      </c>
      <c r="C20" s="103" t="s">
        <v>34</v>
      </c>
      <c r="D20" s="103" t="s">
        <v>29</v>
      </c>
      <c r="E20" s="105" t="s">
        <v>51</v>
      </c>
      <c r="F20" s="104" t="s">
        <v>52</v>
      </c>
      <c r="G20" s="87"/>
      <c r="H20" s="86"/>
    </row>
    <row r="21" spans="2:8" ht="30" customHeight="1" x14ac:dyDescent="0.25">
      <c r="B21" s="103" t="s">
        <v>53</v>
      </c>
      <c r="C21" s="103" t="s">
        <v>34</v>
      </c>
      <c r="D21" s="103" t="s">
        <v>29</v>
      </c>
      <c r="E21" s="105" t="s">
        <v>53</v>
      </c>
      <c r="F21" s="106" t="s">
        <v>54</v>
      </c>
      <c r="G21" s="87"/>
      <c r="H21" s="86"/>
    </row>
    <row r="22" spans="2:8" ht="30" customHeight="1" x14ac:dyDescent="0.25">
      <c r="B22" s="103" t="s">
        <v>55</v>
      </c>
      <c r="C22" s="103" t="s">
        <v>34</v>
      </c>
      <c r="D22" s="103" t="s">
        <v>29</v>
      </c>
      <c r="E22" s="105" t="s">
        <v>55</v>
      </c>
      <c r="F22" s="104" t="s">
        <v>56</v>
      </c>
      <c r="G22" s="87"/>
      <c r="H22" s="86"/>
    </row>
    <row r="23" spans="2:8" ht="30" customHeight="1" x14ac:dyDescent="0.25">
      <c r="B23" s="103" t="s">
        <v>57</v>
      </c>
      <c r="C23" s="103" t="s">
        <v>34</v>
      </c>
      <c r="D23" s="103" t="s">
        <v>29</v>
      </c>
      <c r="E23" s="105" t="s">
        <v>57</v>
      </c>
      <c r="F23" s="106" t="s">
        <v>58</v>
      </c>
      <c r="G23" s="87"/>
      <c r="H23" s="86"/>
    </row>
    <row r="24" spans="2:8" ht="30" customHeight="1" x14ac:dyDescent="0.25">
      <c r="B24" s="70" t="s">
        <v>59</v>
      </c>
      <c r="C24" s="103" t="s">
        <v>60</v>
      </c>
      <c r="D24" s="103" t="s">
        <v>29</v>
      </c>
      <c r="E24" s="105" t="s">
        <v>59</v>
      </c>
      <c r="F24" s="106" t="s">
        <v>61</v>
      </c>
      <c r="G24" s="87"/>
      <c r="H24" s="86"/>
    </row>
    <row r="25" spans="2:8" ht="30" customHeight="1" x14ac:dyDescent="0.25">
      <c r="B25" s="70" t="s">
        <v>62</v>
      </c>
      <c r="C25" s="103" t="s">
        <v>60</v>
      </c>
      <c r="D25" s="103" t="s">
        <v>29</v>
      </c>
      <c r="E25" s="105" t="s">
        <v>62</v>
      </c>
      <c r="F25" s="106" t="s">
        <v>63</v>
      </c>
      <c r="G25" s="87"/>
      <c r="H25" s="86"/>
    </row>
    <row r="26" spans="2:8" ht="15" customHeight="1" x14ac:dyDescent="0.25"/>
    <row r="27" spans="2:8" ht="15" customHeight="1" x14ac:dyDescent="0.25"/>
    <row r="28" spans="2:8" ht="15" customHeight="1" x14ac:dyDescent="0.25"/>
    <row r="29" spans="2:8" ht="15" hidden="1" customHeight="1" x14ac:dyDescent="0.25"/>
    <row r="30" spans="2:8" ht="15" hidden="1" customHeight="1" x14ac:dyDescent="0.25"/>
    <row r="31" spans="2:8" ht="15" hidden="1" customHeight="1" x14ac:dyDescent="0.25"/>
    <row r="32" spans="2:8" x14ac:dyDescent="0.25"/>
    <row r="33" x14ac:dyDescent="0.25"/>
  </sheetData>
  <hyperlinks>
    <hyperlink ref="E8" location="'ct872_reg_conct - âmbito'!A1" display="ct872_reg_conct - âmbito"/>
    <hyperlink ref="E9" location="'ct872_reg_conct - ativo'!A1" display="ct872_reg_conct - ativo"/>
    <hyperlink ref="E10" location="'ct872_reg_conct - passivo'!A1" display="ct872_reg_conct - passivo"/>
    <hyperlink ref="E13" location="fact_contratos_contabilidade_at!A1" display="modris_fact_contratos_contabilidade_ativo"/>
    <hyperlink ref="E18" location="fact_contratos_mis!A1" display="modris_fact_contratos_mis"/>
    <hyperlink ref="E20" location="fact_clientes!A1" display="modris_fact_clientes"/>
    <hyperlink ref="E22" location="fact_contratos_passivo!A1" display="modris_fact_contratos_passivo"/>
    <hyperlink ref="E23" location="dim_bridge_perimetros!A1" display="modris_dim_bridge_perimetros"/>
    <hyperlink ref="E16" location="fact_contratos_nd!A1" display="modirs_fact_contratos_nd"/>
    <hyperlink ref="E24" location="rsc_view_contratos_ativo!A1" display="modris_view_contratos_ativo"/>
    <hyperlink ref="E25" location="rsc_view_clientes!A1" display="modris_view_clientes"/>
    <hyperlink ref="E12" location="ct805_matriz_cnt!A1" display="ct805_matriz_cnt"/>
    <hyperlink ref="E14:E15" location="rsc_out_contratos_nd!A1" display="rsc_out_contratos_nd"/>
    <hyperlink ref="E17" location="fact_contratos_gsi!A1" display="modris_fact_contratos_gsi"/>
    <hyperlink ref="E14" location="fact_contratos_ifrs!A1" display="modirs_fact_contratos_ifrs"/>
    <hyperlink ref="E15" location="fact_contratos_capital!A1" display="modirs_fact_contratos_capital"/>
    <hyperlink ref="E19" location="fact_contratos_alm!A1" display="modris_fact_contratos_alm"/>
    <hyperlink ref="E11" location="Modris_Param_Prazo_Cont!A1" display="Modris_Param_Prazo_Cont"/>
    <hyperlink ref="E21" location="'fact_clientes crc'!A1" display="modris_fact_clientes_crc"/>
  </hyperlink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7" tint="0.59999389629810485"/>
    <pageSetUpPr autoPageBreaks="0"/>
  </sheetPr>
  <dimension ref="A1:AA32"/>
  <sheetViews>
    <sheetView showGridLines="0" zoomScale="85" zoomScaleNormal="85" workbookViewId="0"/>
  </sheetViews>
  <sheetFormatPr defaultRowHeight="15" outlineLevelRow="1" outlineLevelCol="1" x14ac:dyDescent="0.25"/>
  <cols>
    <col min="1" max="1" width="3.7109375" customWidth="1"/>
    <col min="2" max="2" width="27.5703125" customWidth="1"/>
    <col min="3" max="3" width="9.42578125" bestFit="1" customWidth="1"/>
    <col min="4" max="4" width="26.5703125" bestFit="1" customWidth="1"/>
    <col min="5" max="5" width="17" bestFit="1" customWidth="1"/>
    <col min="6" max="6" width="44.28515625" bestFit="1" customWidth="1"/>
    <col min="7" max="7" width="21.28515625" bestFit="1" customWidth="1"/>
    <col min="8" max="8" width="2" customWidth="1"/>
    <col min="9" max="9" width="27.85546875" hidden="1" customWidth="1" outlineLevel="1"/>
    <col min="10" max="10" width="26.85546875" hidden="1" customWidth="1" outlineLevel="1"/>
    <col min="11" max="11" width="21" hidden="1" customWidth="1" outlineLevel="1"/>
    <col min="12" max="12" width="27.85546875" bestFit="1" customWidth="1" collapsed="1"/>
    <col min="13" max="13" width="28.85546875" customWidth="1"/>
    <col min="14" max="14" width="24.42578125" customWidth="1"/>
    <col min="15" max="15" width="20.28515625" hidden="1" customWidth="1" outlineLevel="1"/>
    <col min="16" max="17" width="42.42578125" hidden="1" customWidth="1" outlineLevel="1"/>
    <col min="18" max="18" width="30.5703125" hidden="1" customWidth="1" outlineLevel="1"/>
    <col min="19" max="19" width="2.140625" customWidth="1" collapsed="1"/>
    <col min="20" max="20" width="14.140625" customWidth="1" outlineLevel="1"/>
    <col min="21" max="21" width="15.42578125" customWidth="1" outlineLevel="1"/>
    <col min="22" max="22" width="9.42578125" customWidth="1" outlineLevel="1"/>
    <col min="23" max="23" width="2.140625" customWidth="1"/>
    <col min="24" max="24" width="10.28515625" customWidth="1" outlineLevel="1"/>
    <col min="25" max="25" width="24.85546875" customWidth="1" outlineLevel="1"/>
    <col min="26" max="26" width="22.5703125" customWidth="1" outlineLevel="1"/>
    <col min="27" max="27" width="11.28515625" customWidth="1" outlineLevel="1"/>
  </cols>
  <sheetData>
    <row r="1" spans="1:27" ht="15" customHeight="1" x14ac:dyDescent="0.25">
      <c r="B1" s="47"/>
      <c r="C1" s="47"/>
      <c r="D1" s="47"/>
      <c r="F1" s="47"/>
      <c r="G1" s="47"/>
    </row>
    <row r="2" spans="1:27" ht="34.5" customHeight="1" x14ac:dyDescent="0.25">
      <c r="B2" s="47"/>
      <c r="C2" s="47"/>
      <c r="D2" s="48"/>
      <c r="F2" s="47"/>
      <c r="G2" s="47"/>
    </row>
    <row r="3" spans="1:27" ht="2.25" customHeight="1" x14ac:dyDescent="0.25">
      <c r="A3" s="20"/>
      <c r="B3" s="49"/>
      <c r="C3" s="49"/>
      <c r="D3" s="49"/>
      <c r="E3" s="49"/>
      <c r="F3" s="49"/>
      <c r="G3" s="49"/>
    </row>
    <row r="4" spans="1:27" ht="15" customHeight="1" x14ac:dyDescent="0.25">
      <c r="B4" s="47"/>
      <c r="C4" s="47"/>
      <c r="D4" s="47"/>
      <c r="F4" s="47"/>
      <c r="G4" s="47"/>
    </row>
    <row r="5" spans="1:27" ht="15" customHeight="1" x14ac:dyDescent="0.25">
      <c r="B5" s="50" t="s">
        <v>64</v>
      </c>
      <c r="C5" s="50"/>
      <c r="D5" s="47"/>
      <c r="F5" s="47"/>
      <c r="G5" s="47"/>
    </row>
    <row r="6" spans="1:27" ht="15" customHeight="1" x14ac:dyDescent="0.25">
      <c r="B6" s="47"/>
      <c r="C6" s="47"/>
      <c r="D6" s="47"/>
      <c r="F6" s="47"/>
      <c r="G6" s="47"/>
    </row>
    <row r="7" spans="1:27" ht="135" customHeight="1" outlineLevel="1" x14ac:dyDescent="0.25">
      <c r="B7" s="51" t="s">
        <v>65</v>
      </c>
      <c r="C7" s="210" t="s">
        <v>66</v>
      </c>
      <c r="D7" s="211"/>
      <c r="E7" s="211"/>
      <c r="F7" s="211"/>
      <c r="G7" s="211"/>
      <c r="H7" s="52"/>
      <c r="I7" s="52"/>
      <c r="R7" s="52"/>
      <c r="S7" s="52"/>
      <c r="W7" s="52"/>
    </row>
    <row r="8" spans="1:27" ht="15" customHeight="1" outlineLevel="1" x14ac:dyDescent="0.25">
      <c r="B8" s="47"/>
      <c r="C8" s="47"/>
      <c r="D8" s="47"/>
      <c r="F8" s="47"/>
      <c r="G8" s="47"/>
    </row>
    <row r="9" spans="1:27" ht="15" customHeight="1" outlineLevel="1" x14ac:dyDescent="0.25">
      <c r="B9" s="47"/>
      <c r="C9" s="47"/>
      <c r="D9" s="47"/>
      <c r="F9" s="47"/>
      <c r="G9" s="47"/>
    </row>
    <row r="10" spans="1:27" ht="15" customHeight="1" outlineLevel="1" x14ac:dyDescent="0.25">
      <c r="B10" s="47"/>
      <c r="C10" s="47"/>
      <c r="D10" s="47"/>
      <c r="F10" s="47"/>
      <c r="G10" s="47"/>
    </row>
    <row r="11" spans="1:27" x14ac:dyDescent="0.25">
      <c r="B11" s="212" t="s">
        <v>67</v>
      </c>
      <c r="C11" s="213"/>
      <c r="D11" s="213"/>
      <c r="E11" s="213"/>
      <c r="F11" s="213"/>
      <c r="G11" s="214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  <c r="X11" s="207" t="s">
        <v>72</v>
      </c>
      <c r="Y11" s="208"/>
      <c r="Z11" s="208"/>
      <c r="AA11" s="209"/>
    </row>
    <row r="12" spans="1:27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  <c r="X12" s="61" t="s">
        <v>86</v>
      </c>
      <c r="Y12" s="61" t="s">
        <v>89</v>
      </c>
      <c r="Z12" s="61" t="s">
        <v>90</v>
      </c>
      <c r="AA12" s="61" t="s">
        <v>88</v>
      </c>
    </row>
    <row r="13" spans="1:27" x14ac:dyDescent="0.25">
      <c r="B13" s="62" t="s">
        <v>91</v>
      </c>
      <c r="C13" s="62">
        <v>1</v>
      </c>
      <c r="D13" s="62" t="s">
        <v>92</v>
      </c>
      <c r="E13" s="62" t="s">
        <v>93</v>
      </c>
      <c r="F13" s="62" t="s">
        <v>94</v>
      </c>
      <c r="G13" s="62"/>
      <c r="I13" s="62"/>
      <c r="J13" s="62"/>
      <c r="K13" s="62"/>
      <c r="L13" s="96" t="s">
        <v>95</v>
      </c>
      <c r="M13" s="96" t="s">
        <v>95</v>
      </c>
      <c r="N13" s="99" t="s">
        <v>96</v>
      </c>
      <c r="O13" s="62"/>
      <c r="P13" s="62"/>
      <c r="Q13" s="62"/>
      <c r="R13" s="62"/>
      <c r="T13" s="75" t="s">
        <v>97</v>
      </c>
      <c r="U13" s="69">
        <v>44852</v>
      </c>
      <c r="V13" s="62"/>
      <c r="X13" s="62"/>
      <c r="Y13" s="62"/>
      <c r="Z13" s="62"/>
      <c r="AA13" s="62"/>
    </row>
    <row r="14" spans="1:27" x14ac:dyDescent="0.25">
      <c r="B14" s="62" t="s">
        <v>91</v>
      </c>
      <c r="C14" s="62">
        <v>2</v>
      </c>
      <c r="D14" s="62" t="s">
        <v>98</v>
      </c>
      <c r="E14" s="62" t="s">
        <v>93</v>
      </c>
      <c r="F14" s="62" t="s">
        <v>99</v>
      </c>
      <c r="G14" s="62"/>
      <c r="I14" s="62"/>
      <c r="J14" s="62"/>
      <c r="K14" s="62"/>
      <c r="L14" s="96" t="s">
        <v>95</v>
      </c>
      <c r="M14" s="96" t="s">
        <v>95</v>
      </c>
      <c r="N14" s="99" t="s">
        <v>96</v>
      </c>
      <c r="O14" s="62"/>
      <c r="P14" s="62"/>
      <c r="Q14" s="62"/>
      <c r="R14" s="62"/>
      <c r="T14" s="75" t="s">
        <v>97</v>
      </c>
      <c r="U14" s="69">
        <v>44852</v>
      </c>
      <c r="V14" s="62"/>
      <c r="X14" s="62"/>
      <c r="Y14" s="62"/>
      <c r="Z14" s="62"/>
      <c r="AA14" s="62"/>
    </row>
    <row r="15" spans="1:27" x14ac:dyDescent="0.25">
      <c r="B15" s="62" t="s">
        <v>91</v>
      </c>
      <c r="C15" s="62">
        <v>3</v>
      </c>
      <c r="D15" s="62" t="s">
        <v>100</v>
      </c>
      <c r="E15" s="62" t="s">
        <v>93</v>
      </c>
      <c r="F15" s="62" t="s">
        <v>101</v>
      </c>
      <c r="G15" s="62"/>
      <c r="I15" s="62"/>
      <c r="J15" s="62"/>
      <c r="K15" s="62"/>
      <c r="L15" s="96" t="s">
        <v>95</v>
      </c>
      <c r="M15" s="96" t="s">
        <v>95</v>
      </c>
      <c r="N15" s="99" t="s">
        <v>96</v>
      </c>
      <c r="O15" s="62"/>
      <c r="P15" s="62"/>
      <c r="Q15" s="62"/>
      <c r="R15" s="62"/>
      <c r="T15" s="75" t="s">
        <v>97</v>
      </c>
      <c r="U15" s="69">
        <v>44852</v>
      </c>
      <c r="V15" s="62"/>
      <c r="X15" s="62"/>
      <c r="Y15" s="62"/>
      <c r="Z15" s="62"/>
      <c r="AA15" s="62"/>
    </row>
    <row r="16" spans="1:27" x14ac:dyDescent="0.25">
      <c r="B16" s="62" t="s">
        <v>91</v>
      </c>
      <c r="C16" s="62">
        <v>4</v>
      </c>
      <c r="D16" s="62" t="s">
        <v>102</v>
      </c>
      <c r="E16" s="62" t="s">
        <v>93</v>
      </c>
      <c r="F16" s="62" t="s">
        <v>103</v>
      </c>
      <c r="G16" s="62"/>
      <c r="I16" s="62"/>
      <c r="J16" s="62"/>
      <c r="K16" s="62"/>
      <c r="L16" s="96" t="s">
        <v>95</v>
      </c>
      <c r="M16" s="96" t="s">
        <v>95</v>
      </c>
      <c r="N16" s="99" t="s">
        <v>96</v>
      </c>
      <c r="O16" s="62"/>
      <c r="P16" s="62"/>
      <c r="Q16" s="62"/>
      <c r="R16" s="62"/>
      <c r="T16" s="75" t="s">
        <v>97</v>
      </c>
      <c r="U16" s="69">
        <v>44852</v>
      </c>
      <c r="V16" s="62"/>
      <c r="X16" s="62"/>
      <c r="Y16" s="62"/>
      <c r="Z16" s="62"/>
      <c r="AA16" s="62"/>
    </row>
    <row r="17" spans="2:27" x14ac:dyDescent="0.25">
      <c r="B17" s="62" t="s">
        <v>91</v>
      </c>
      <c r="C17" s="62">
        <v>5</v>
      </c>
      <c r="D17" s="62" t="s">
        <v>104</v>
      </c>
      <c r="E17" s="62" t="s">
        <v>93</v>
      </c>
      <c r="F17" s="62" t="s">
        <v>105</v>
      </c>
      <c r="G17" s="62"/>
      <c r="I17" s="62"/>
      <c r="J17" s="62"/>
      <c r="K17" s="62"/>
      <c r="L17" s="96" t="s">
        <v>95</v>
      </c>
      <c r="M17" s="96" t="s">
        <v>106</v>
      </c>
      <c r="N17" s="62"/>
      <c r="O17" s="62"/>
      <c r="P17" s="62"/>
      <c r="Q17" s="62"/>
      <c r="R17" s="62"/>
      <c r="T17" s="75" t="s">
        <v>97</v>
      </c>
      <c r="U17" s="69">
        <v>44852</v>
      </c>
      <c r="V17" s="62"/>
      <c r="X17" s="62"/>
      <c r="Y17" s="62"/>
      <c r="Z17" s="62"/>
      <c r="AA17" s="62"/>
    </row>
    <row r="18" spans="2:27" x14ac:dyDescent="0.25">
      <c r="B18" s="62" t="s">
        <v>91</v>
      </c>
      <c r="C18" s="62">
        <v>6</v>
      </c>
      <c r="D18" s="62" t="s">
        <v>107</v>
      </c>
      <c r="E18" s="62" t="s">
        <v>93</v>
      </c>
      <c r="F18" s="62" t="s">
        <v>108</v>
      </c>
      <c r="G18" s="62"/>
      <c r="I18" s="62"/>
      <c r="J18" s="62"/>
      <c r="K18" s="62"/>
      <c r="L18" s="96" t="s">
        <v>95</v>
      </c>
      <c r="M18" s="96" t="s">
        <v>106</v>
      </c>
      <c r="N18" s="62"/>
      <c r="O18" s="62"/>
      <c r="P18" s="62"/>
      <c r="Q18" s="62"/>
      <c r="R18" s="62"/>
      <c r="T18" s="75" t="s">
        <v>97</v>
      </c>
      <c r="U18" s="69">
        <v>44852</v>
      </c>
      <c r="V18" s="62"/>
      <c r="X18" s="62"/>
      <c r="Y18" s="62"/>
      <c r="Z18" s="62"/>
      <c r="AA18" s="62"/>
    </row>
    <row r="19" spans="2:27" x14ac:dyDescent="0.25">
      <c r="B19" s="62" t="s">
        <v>91</v>
      </c>
      <c r="C19" s="62">
        <v>7</v>
      </c>
      <c r="D19" s="62" t="s">
        <v>109</v>
      </c>
      <c r="E19" s="62" t="s">
        <v>93</v>
      </c>
      <c r="F19" s="62" t="s">
        <v>110</v>
      </c>
      <c r="G19" s="62" t="s">
        <v>111</v>
      </c>
      <c r="I19" s="62"/>
      <c r="J19" s="62"/>
      <c r="K19" s="62"/>
      <c r="L19" s="96" t="s">
        <v>95</v>
      </c>
      <c r="M19" s="96" t="s">
        <v>106</v>
      </c>
      <c r="N19" s="62"/>
      <c r="O19" s="62"/>
      <c r="P19" s="62"/>
      <c r="Q19" s="62"/>
      <c r="R19" s="62"/>
      <c r="T19" s="75" t="s">
        <v>97</v>
      </c>
      <c r="U19" s="69">
        <v>44852</v>
      </c>
      <c r="V19" s="62"/>
      <c r="X19" s="62"/>
      <c r="Y19" s="62"/>
      <c r="Z19" s="62"/>
      <c r="AA19" s="62"/>
    </row>
    <row r="20" spans="2:27" x14ac:dyDescent="0.25">
      <c r="B20" s="62" t="s">
        <v>91</v>
      </c>
      <c r="C20" s="62">
        <v>8</v>
      </c>
      <c r="D20" s="62" t="s">
        <v>112</v>
      </c>
      <c r="E20" s="62" t="s">
        <v>113</v>
      </c>
      <c r="F20" s="62" t="s">
        <v>114</v>
      </c>
      <c r="G20" s="62"/>
      <c r="I20" s="62"/>
      <c r="J20" s="62"/>
      <c r="K20" s="62"/>
      <c r="L20" s="96" t="s">
        <v>95</v>
      </c>
      <c r="M20" s="96" t="s">
        <v>106</v>
      </c>
      <c r="N20" s="62"/>
      <c r="O20" s="62"/>
      <c r="P20" s="62"/>
      <c r="Q20" s="62"/>
      <c r="R20" s="62"/>
      <c r="T20" s="75" t="s">
        <v>97</v>
      </c>
      <c r="U20" s="69">
        <v>44852</v>
      </c>
      <c r="V20" s="62"/>
      <c r="X20" s="62"/>
      <c r="Y20" s="62"/>
      <c r="Z20" s="62"/>
      <c r="AA20" s="62"/>
    </row>
    <row r="21" spans="2:27" x14ac:dyDescent="0.25">
      <c r="B21" s="62" t="s">
        <v>91</v>
      </c>
      <c r="C21" s="62">
        <v>9</v>
      </c>
      <c r="D21" s="62" t="s">
        <v>115</v>
      </c>
      <c r="E21" s="62" t="s">
        <v>93</v>
      </c>
      <c r="F21" s="62" t="s">
        <v>116</v>
      </c>
      <c r="G21" s="62"/>
      <c r="I21" s="62"/>
      <c r="J21" s="62"/>
      <c r="K21" s="62"/>
      <c r="L21" s="96" t="s">
        <v>95</v>
      </c>
      <c r="M21" s="96" t="s">
        <v>106</v>
      </c>
      <c r="N21" s="100" t="s">
        <v>117</v>
      </c>
      <c r="O21" s="62"/>
      <c r="P21" s="62"/>
      <c r="Q21" s="62"/>
      <c r="R21" s="62"/>
      <c r="T21" s="75" t="s">
        <v>97</v>
      </c>
      <c r="U21" s="69">
        <v>44852</v>
      </c>
      <c r="V21" s="62"/>
      <c r="X21" s="62"/>
      <c r="Y21" s="62"/>
      <c r="Z21" s="62"/>
      <c r="AA21" s="62"/>
    </row>
    <row r="22" spans="2:27" x14ac:dyDescent="0.25">
      <c r="B22" s="62"/>
      <c r="C22" s="62"/>
      <c r="D22" s="62"/>
      <c r="E22" s="62"/>
      <c r="F22" s="62"/>
      <c r="G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T22" s="62"/>
      <c r="U22" s="62"/>
      <c r="V22" s="62"/>
      <c r="X22" s="62"/>
      <c r="Y22" s="62"/>
      <c r="Z22" s="62"/>
      <c r="AA22" s="62"/>
    </row>
    <row r="23" spans="2:27" x14ac:dyDescent="0.25">
      <c r="B23" s="62"/>
      <c r="C23" s="62"/>
      <c r="D23" s="62"/>
      <c r="E23" s="62"/>
      <c r="F23" s="62"/>
      <c r="G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T23" s="62"/>
      <c r="U23" s="62"/>
      <c r="V23" s="62"/>
      <c r="X23" s="62"/>
      <c r="Y23" s="62"/>
      <c r="Z23" s="62"/>
      <c r="AA23" s="62"/>
    </row>
    <row r="24" spans="2:27" x14ac:dyDescent="0.25">
      <c r="B24" s="62"/>
      <c r="C24" s="62"/>
      <c r="D24" s="62"/>
      <c r="E24" s="62"/>
      <c r="F24" s="62"/>
      <c r="G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T24" s="62"/>
      <c r="U24" s="62"/>
      <c r="V24" s="62"/>
      <c r="X24" s="62"/>
      <c r="Y24" s="62"/>
      <c r="Z24" s="62"/>
      <c r="AA24" s="62"/>
    </row>
    <row r="25" spans="2:27" x14ac:dyDescent="0.25">
      <c r="B25" s="62"/>
      <c r="C25" s="62"/>
      <c r="D25" s="62"/>
      <c r="E25" s="62"/>
      <c r="F25" s="62"/>
      <c r="G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T25" s="62"/>
      <c r="U25" s="62"/>
      <c r="V25" s="62"/>
      <c r="X25" s="62"/>
      <c r="Y25" s="62"/>
      <c r="Z25" s="62"/>
      <c r="AA25" s="62"/>
    </row>
    <row r="26" spans="2:27" x14ac:dyDescent="0.25">
      <c r="B26" s="62"/>
      <c r="C26" s="62"/>
      <c r="D26" s="62"/>
      <c r="E26" s="62"/>
      <c r="F26" s="62"/>
      <c r="G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T26" s="62"/>
      <c r="U26" s="62"/>
      <c r="V26" s="62"/>
      <c r="X26" s="62"/>
      <c r="Y26" s="62"/>
      <c r="Z26" s="62"/>
      <c r="AA26" s="62"/>
    </row>
    <row r="27" spans="2:27" x14ac:dyDescent="0.25">
      <c r="B27" s="62"/>
      <c r="C27" s="62"/>
      <c r="D27" s="62"/>
      <c r="E27" s="62"/>
      <c r="F27" s="62"/>
      <c r="G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T27" s="62"/>
      <c r="U27" s="62"/>
      <c r="V27" s="62"/>
      <c r="X27" s="62"/>
      <c r="Y27" s="62"/>
      <c r="Z27" s="62"/>
      <c r="AA27" s="62"/>
    </row>
    <row r="28" spans="2:27" x14ac:dyDescent="0.25">
      <c r="B28" s="62"/>
      <c r="C28" s="62"/>
      <c r="D28" s="62"/>
      <c r="E28" s="62"/>
      <c r="F28" s="62"/>
      <c r="G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T28" s="62"/>
      <c r="U28" s="62"/>
      <c r="V28" s="62"/>
      <c r="X28" s="62"/>
      <c r="Y28" s="62"/>
      <c r="Z28" s="62"/>
      <c r="AA28" s="62"/>
    </row>
    <row r="29" spans="2:27" x14ac:dyDescent="0.25">
      <c r="B29" s="62"/>
      <c r="C29" s="62"/>
      <c r="D29" s="62"/>
      <c r="E29" s="62"/>
      <c r="F29" s="62"/>
      <c r="G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T29" s="62"/>
      <c r="U29" s="62"/>
      <c r="V29" s="62"/>
      <c r="X29" s="62"/>
      <c r="Y29" s="62"/>
      <c r="Z29" s="62"/>
      <c r="AA29" s="62"/>
    </row>
    <row r="30" spans="2:27" x14ac:dyDescent="0.25">
      <c r="B30" s="62"/>
      <c r="C30" s="62"/>
      <c r="D30" s="62"/>
      <c r="E30" s="62"/>
      <c r="F30" s="62"/>
      <c r="G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T30" s="62"/>
      <c r="U30" s="62"/>
      <c r="V30" s="62"/>
      <c r="X30" s="62"/>
      <c r="Y30" s="62"/>
      <c r="Z30" s="62"/>
      <c r="AA30" s="62"/>
    </row>
    <row r="31" spans="2:27" x14ac:dyDescent="0.25">
      <c r="B31" s="62"/>
      <c r="C31" s="62"/>
      <c r="D31" s="62"/>
      <c r="E31" s="62"/>
      <c r="F31" s="62"/>
      <c r="G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T31" s="62"/>
      <c r="U31" s="62"/>
      <c r="V31" s="62"/>
      <c r="X31" s="62"/>
      <c r="Y31" s="62"/>
      <c r="Z31" s="62"/>
      <c r="AA31" s="62"/>
    </row>
    <row r="32" spans="2:27" x14ac:dyDescent="0.25">
      <c r="B32" s="62"/>
      <c r="C32" s="62"/>
      <c r="D32" s="62"/>
      <c r="E32" s="62"/>
      <c r="F32" s="62"/>
      <c r="G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T32" s="62"/>
      <c r="U32" s="62"/>
      <c r="V32" s="62"/>
      <c r="X32" s="62"/>
      <c r="Y32" s="62"/>
      <c r="Z32" s="62"/>
      <c r="AA32" s="62"/>
    </row>
  </sheetData>
  <autoFilter ref="B12:T12"/>
  <mergeCells count="7">
    <mergeCell ref="X11:AA11"/>
    <mergeCell ref="C7:G7"/>
    <mergeCell ref="B11:G11"/>
    <mergeCell ref="I11:K11"/>
    <mergeCell ref="L11:N11"/>
    <mergeCell ref="O11:R11"/>
    <mergeCell ref="T11:V11"/>
  </mergeCells>
  <hyperlinks>
    <hyperlink ref="N13" location="'Regras Atributos âmbito'!A1" display="Parametrização Utilizador"/>
    <hyperlink ref="N14:N16" location="'Regras Atributos âmbito'!A1" display="Parametrização Utilizador"/>
  </hyperlink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'Tabelas AUX'!$E$2:$E$9</xm:f>
          </x14:formula1>
          <xm:sqref>T13:T21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</sheetPr>
  <dimension ref="A1:Q64"/>
  <sheetViews>
    <sheetView showGridLines="0" topLeftCell="A34" zoomScaleNormal="100" workbookViewId="0"/>
  </sheetViews>
  <sheetFormatPr defaultRowHeight="15" outlineLevelCol="1" x14ac:dyDescent="0.25"/>
  <cols>
    <col min="1" max="2" width="3.7109375" customWidth="1"/>
    <col min="3" max="3" width="30.7109375" customWidth="1"/>
    <col min="4" max="4" width="10.5703125" customWidth="1" outlineLevel="1"/>
    <col min="5" max="5" width="13.140625" bestFit="1" customWidth="1"/>
    <col min="6" max="6" width="19.28515625" bestFit="1" customWidth="1" outlineLevel="1"/>
    <col min="7" max="7" width="15.7109375" customWidth="1" outlineLevel="1"/>
    <col min="8" max="8" width="13.42578125" bestFit="1" customWidth="1" outlineLevel="1"/>
    <col min="9" max="9" width="14.140625" customWidth="1" outlineLevel="1"/>
    <col min="10" max="10" width="16.42578125" bestFit="1" customWidth="1" outlineLevel="1"/>
    <col min="11" max="11" width="19.140625" bestFit="1" customWidth="1"/>
    <col min="12" max="12" width="17.42578125" bestFit="1" customWidth="1"/>
    <col min="13" max="13" width="16.85546875" bestFit="1" customWidth="1"/>
    <col min="14" max="14" width="12.85546875" bestFit="1" customWidth="1"/>
    <col min="15" max="16" width="15.5703125" bestFit="1" customWidth="1"/>
    <col min="17" max="17" width="11.42578125" bestFit="1" customWidth="1"/>
    <col min="18" max="18" width="12.28515625" bestFit="1" customWidth="1"/>
    <col min="19" max="19" width="13.42578125" bestFit="1" customWidth="1"/>
    <col min="20" max="20" width="19.28515625" bestFit="1" customWidth="1"/>
    <col min="21" max="21" width="12.28515625" bestFit="1" customWidth="1"/>
    <col min="22" max="22" width="16.85546875" bestFit="1" customWidth="1"/>
    <col min="23" max="23" width="9.7109375" bestFit="1" customWidth="1"/>
    <col min="24" max="24" width="16.7109375" bestFit="1" customWidth="1"/>
    <col min="25" max="25" width="17" bestFit="1" customWidth="1"/>
    <col min="26" max="26" width="9.7109375" bestFit="1" customWidth="1"/>
    <col min="27" max="27" width="19.140625" bestFit="1" customWidth="1"/>
    <col min="28" max="28" width="12.85546875" bestFit="1" customWidth="1"/>
    <col min="29" max="29" width="15.5703125" bestFit="1" customWidth="1"/>
    <col min="30" max="30" width="11.42578125" bestFit="1" customWidth="1"/>
    <col min="31" max="31" width="11.28515625" bestFit="1" customWidth="1"/>
  </cols>
  <sheetData>
    <row r="1" spans="1:15" ht="15" customHeight="1" x14ac:dyDescent="0.25">
      <c r="B1" s="47"/>
      <c r="C1" s="47"/>
      <c r="E1" s="47"/>
      <c r="F1" s="47"/>
    </row>
    <row r="2" spans="1:15" ht="34.5" customHeight="1" x14ac:dyDescent="0.25">
      <c r="B2" s="47"/>
      <c r="C2" s="47"/>
      <c r="E2" s="47"/>
      <c r="F2" s="47"/>
    </row>
    <row r="3" spans="1:15" ht="2.25" customHeight="1" x14ac:dyDescent="0.25">
      <c r="A3" s="20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5" ht="15" customHeight="1" x14ac:dyDescent="0.25">
      <c r="B4" s="47"/>
      <c r="C4" s="47"/>
      <c r="E4" s="47"/>
      <c r="F4" s="47"/>
    </row>
    <row r="5" spans="1:15" ht="14.25" customHeight="1" x14ac:dyDescent="0.25">
      <c r="C5" s="50" t="s">
        <v>118</v>
      </c>
    </row>
    <row r="7" spans="1:15" x14ac:dyDescent="0.25">
      <c r="C7" s="60"/>
      <c r="D7" s="121" t="s">
        <v>119</v>
      </c>
      <c r="E7" s="121" t="s">
        <v>120</v>
      </c>
      <c r="F7" s="121" t="s">
        <v>121</v>
      </c>
    </row>
    <row r="8" spans="1:15" x14ac:dyDescent="0.25">
      <c r="C8" s="60" t="s">
        <v>122</v>
      </c>
      <c r="D8" s="113">
        <v>216</v>
      </c>
      <c r="E8" s="113">
        <f>208+8</f>
        <v>216</v>
      </c>
      <c r="F8" s="113">
        <f t="shared" ref="F8:F10" si="0">+D8-E8</f>
        <v>0</v>
      </c>
    </row>
    <row r="9" spans="1:15" x14ac:dyDescent="0.25">
      <c r="C9" s="60" t="s">
        <v>123</v>
      </c>
      <c r="D9" s="113">
        <v>134</v>
      </c>
      <c r="E9" s="113">
        <f>116+18</f>
        <v>134</v>
      </c>
      <c r="F9" s="113">
        <f t="shared" si="0"/>
        <v>0</v>
      </c>
    </row>
    <row r="10" spans="1:15" x14ac:dyDescent="0.25">
      <c r="C10" s="60" t="s">
        <v>124</v>
      </c>
      <c r="D10" s="113">
        <v>55</v>
      </c>
      <c r="E10" s="113">
        <v>55</v>
      </c>
      <c r="F10" s="113">
        <f t="shared" si="0"/>
        <v>0</v>
      </c>
    </row>
    <row r="11" spans="1:15" x14ac:dyDescent="0.25">
      <c r="C11" s="112" t="s">
        <v>125</v>
      </c>
      <c r="D11" s="113">
        <v>1</v>
      </c>
      <c r="E11" s="113">
        <v>1</v>
      </c>
      <c r="F11" s="113">
        <f>+D11-E11</f>
        <v>0</v>
      </c>
    </row>
    <row r="12" spans="1:15" x14ac:dyDescent="0.25">
      <c r="C12" s="115" t="s">
        <v>126</v>
      </c>
      <c r="D12" s="144">
        <f>+SUM(D8:D11)</f>
        <v>406</v>
      </c>
      <c r="E12" s="144">
        <f>+SUM(E8:E11)</f>
        <v>406</v>
      </c>
      <c r="F12" s="144">
        <f>+SUM(F8:F11)</f>
        <v>0</v>
      </c>
    </row>
    <row r="13" spans="1:15" x14ac:dyDescent="0.25">
      <c r="C13" s="54"/>
    </row>
    <row r="14" spans="1:15" x14ac:dyDescent="0.25">
      <c r="C14" s="54"/>
    </row>
    <row r="16" spans="1:15" ht="18.75" x14ac:dyDescent="0.25">
      <c r="C16" s="50" t="s">
        <v>127</v>
      </c>
    </row>
    <row r="18" spans="3:13" x14ac:dyDescent="0.25">
      <c r="C18" s="60" t="s">
        <v>128</v>
      </c>
      <c r="D18" s="116" t="s">
        <v>126</v>
      </c>
      <c r="E18" s="116" t="s">
        <v>129</v>
      </c>
      <c r="F18" s="117" t="s">
        <v>97</v>
      </c>
      <c r="G18" s="118" t="s">
        <v>130</v>
      </c>
      <c r="H18" s="119" t="s">
        <v>131</v>
      </c>
      <c r="I18" s="120" t="s">
        <v>132</v>
      </c>
      <c r="J18" s="117" t="s">
        <v>133</v>
      </c>
      <c r="K18" s="118" t="s">
        <v>134</v>
      </c>
      <c r="L18" s="119" t="s">
        <v>135</v>
      </c>
      <c r="M18" s="120" t="s">
        <v>136</v>
      </c>
    </row>
    <row r="19" spans="3:13" x14ac:dyDescent="0.25">
      <c r="C19" s="167" t="s">
        <v>137</v>
      </c>
      <c r="D19" s="113">
        <f ca="1">+COUNTA(INDIRECT($C19&amp;"!$D$13:$D$200"))</f>
        <v>69</v>
      </c>
      <c r="E19" s="114">
        <f t="shared" ref="E19:E29" ca="1" si="1">+D19/$D$30</f>
        <v>0.16312056737588654</v>
      </c>
      <c r="F19" s="113">
        <f ca="1">+COUNTIF(INDIRECT($C19&amp;"!$T$13:$T$200"),F$18)</f>
        <v>35</v>
      </c>
      <c r="G19" s="113">
        <f t="shared" ref="G19:I19" ca="1" si="2">+COUNTIF(INDIRECT($C19&amp;"!$T$13:$T$200"),G$18)</f>
        <v>8</v>
      </c>
      <c r="H19" s="113">
        <f t="shared" ca="1" si="2"/>
        <v>1</v>
      </c>
      <c r="I19" s="113">
        <f t="shared" ca="1" si="2"/>
        <v>25</v>
      </c>
      <c r="J19" s="114">
        <f ca="1">+F19/$D19</f>
        <v>0.50724637681159424</v>
      </c>
      <c r="K19" s="114">
        <f t="shared" ref="K19:L27" ca="1" si="3">+G19/$D19</f>
        <v>0.11594202898550725</v>
      </c>
      <c r="L19" s="114">
        <f t="shared" ca="1" si="3"/>
        <v>1.4492753623188406E-2</v>
      </c>
      <c r="M19" s="114">
        <f t="shared" ref="M19:M30" ca="1" si="4">+I19/$D19</f>
        <v>0.36231884057971014</v>
      </c>
    </row>
    <row r="20" spans="3:13" x14ac:dyDescent="0.25">
      <c r="C20" s="167" t="s">
        <v>138</v>
      </c>
      <c r="D20" s="113">
        <f t="shared" ref="D20:D28" ca="1" si="5">+COUNTA(INDIRECT($C20&amp;"!$D$13:$D$200"))</f>
        <v>12</v>
      </c>
      <c r="E20" s="114">
        <f t="shared" ca="1" si="1"/>
        <v>2.8368794326241134E-2</v>
      </c>
      <c r="F20" s="113">
        <f t="shared" ref="F20:I29" ca="1" si="6">+COUNTIF(INDIRECT($C20&amp;"!$T$13:$T$200"),F$18)</f>
        <v>12</v>
      </c>
      <c r="G20" s="113">
        <f t="shared" ca="1" si="6"/>
        <v>0</v>
      </c>
      <c r="H20" s="113">
        <f t="shared" ca="1" si="6"/>
        <v>0</v>
      </c>
      <c r="I20" s="113">
        <f t="shared" ca="1" si="6"/>
        <v>0</v>
      </c>
      <c r="J20" s="114">
        <f t="shared" ref="J20:J27" ca="1" si="7">+F20/$D20</f>
        <v>1</v>
      </c>
      <c r="K20" s="114">
        <f t="shared" ca="1" si="3"/>
        <v>0</v>
      </c>
      <c r="L20" s="114">
        <f t="shared" ca="1" si="3"/>
        <v>0</v>
      </c>
      <c r="M20" s="114">
        <f t="shared" ca="1" si="4"/>
        <v>0</v>
      </c>
    </row>
    <row r="21" spans="3:13" x14ac:dyDescent="0.25">
      <c r="C21" s="167" t="s">
        <v>139</v>
      </c>
      <c r="D21" s="113">
        <f t="shared" ca="1" si="5"/>
        <v>23</v>
      </c>
      <c r="E21" s="158">
        <f t="shared" ca="1" si="1"/>
        <v>5.4373522458628844E-2</v>
      </c>
      <c r="F21" s="113">
        <f t="shared" ca="1" si="6"/>
        <v>23</v>
      </c>
      <c r="G21" s="113">
        <f t="shared" ca="1" si="6"/>
        <v>0</v>
      </c>
      <c r="H21" s="113">
        <f t="shared" ca="1" si="6"/>
        <v>0</v>
      </c>
      <c r="I21" s="113">
        <f t="shared" ca="1" si="6"/>
        <v>0</v>
      </c>
      <c r="J21" s="114">
        <f t="shared" ca="1" si="7"/>
        <v>1</v>
      </c>
      <c r="K21" s="114">
        <f t="shared" ca="1" si="3"/>
        <v>0</v>
      </c>
      <c r="L21" s="114">
        <f t="shared" ca="1" si="3"/>
        <v>0</v>
      </c>
      <c r="M21" s="114">
        <f t="shared" ca="1" si="4"/>
        <v>0</v>
      </c>
    </row>
    <row r="22" spans="3:13" ht="16.5" customHeight="1" x14ac:dyDescent="0.25">
      <c r="C22" s="167" t="s">
        <v>140</v>
      </c>
      <c r="D22" s="113">
        <f t="shared" ca="1" si="5"/>
        <v>22</v>
      </c>
      <c r="E22" s="114">
        <f t="shared" ca="1" si="1"/>
        <v>5.2009456264775412E-2</v>
      </c>
      <c r="F22" s="113">
        <f t="shared" ca="1" si="6"/>
        <v>22</v>
      </c>
      <c r="G22" s="113">
        <f t="shared" ca="1" si="6"/>
        <v>0</v>
      </c>
      <c r="H22" s="113">
        <f t="shared" ca="1" si="6"/>
        <v>0</v>
      </c>
      <c r="I22" s="113">
        <f t="shared" ca="1" si="6"/>
        <v>0</v>
      </c>
      <c r="J22" s="114">
        <f t="shared" ca="1" si="7"/>
        <v>1</v>
      </c>
      <c r="K22" s="114">
        <f t="shared" ca="1" si="3"/>
        <v>0</v>
      </c>
      <c r="L22" s="114">
        <f t="shared" ca="1" si="3"/>
        <v>0</v>
      </c>
      <c r="M22" s="114">
        <f t="shared" ca="1" si="4"/>
        <v>0</v>
      </c>
    </row>
    <row r="23" spans="3:13" ht="16.5" customHeight="1" x14ac:dyDescent="0.25">
      <c r="C23" s="167" t="s">
        <v>141</v>
      </c>
      <c r="D23" s="113">
        <f t="shared" ca="1" si="5"/>
        <v>16</v>
      </c>
      <c r="E23" s="114">
        <f t="shared" ca="1" si="1"/>
        <v>3.7825059101654845E-2</v>
      </c>
      <c r="F23" s="113">
        <f t="shared" ca="1" si="6"/>
        <v>16</v>
      </c>
      <c r="G23" s="113">
        <f t="shared" ca="1" si="6"/>
        <v>0</v>
      </c>
      <c r="H23" s="113">
        <f t="shared" ca="1" si="6"/>
        <v>0</v>
      </c>
      <c r="I23" s="113">
        <f t="shared" ca="1" si="6"/>
        <v>0</v>
      </c>
      <c r="J23" s="114">
        <f t="shared" ca="1" si="7"/>
        <v>1</v>
      </c>
      <c r="K23" s="114">
        <f t="shared" ca="1" si="3"/>
        <v>0</v>
      </c>
      <c r="L23" s="114">
        <f t="shared" ca="1" si="3"/>
        <v>0</v>
      </c>
      <c r="M23" s="114">
        <f t="shared" ca="1" si="4"/>
        <v>0</v>
      </c>
    </row>
    <row r="24" spans="3:13" ht="16.5" customHeight="1" x14ac:dyDescent="0.25">
      <c r="C24" s="167" t="s">
        <v>142</v>
      </c>
      <c r="D24" s="113">
        <f t="shared" ca="1" si="5"/>
        <v>87</v>
      </c>
      <c r="E24" s="114">
        <f t="shared" ca="1" si="1"/>
        <v>0.20567375886524822</v>
      </c>
      <c r="F24" s="113">
        <f t="shared" ca="1" si="6"/>
        <v>85</v>
      </c>
      <c r="G24" s="113">
        <f t="shared" ca="1" si="6"/>
        <v>2</v>
      </c>
      <c r="H24" s="113">
        <f t="shared" ca="1" si="6"/>
        <v>0</v>
      </c>
      <c r="I24" s="113">
        <f t="shared" ca="1" si="6"/>
        <v>0</v>
      </c>
      <c r="J24" s="114">
        <f t="shared" ca="1" si="7"/>
        <v>0.97701149425287359</v>
      </c>
      <c r="K24" s="114">
        <f t="shared" ca="1" si="3"/>
        <v>2.2988505747126436E-2</v>
      </c>
      <c r="L24" s="114">
        <f t="shared" ca="1" si="3"/>
        <v>0</v>
      </c>
      <c r="M24" s="114">
        <f t="shared" ca="1" si="4"/>
        <v>0</v>
      </c>
    </row>
    <row r="25" spans="3:13" ht="16.5" customHeight="1" x14ac:dyDescent="0.25">
      <c r="C25" s="167" t="s">
        <v>143</v>
      </c>
      <c r="D25" s="113">
        <f t="shared" ca="1" si="5"/>
        <v>9</v>
      </c>
      <c r="E25" s="114">
        <f t="shared" ca="1" si="1"/>
        <v>2.1276595744680851E-2</v>
      </c>
      <c r="F25" s="113">
        <f t="shared" ca="1" si="6"/>
        <v>9</v>
      </c>
      <c r="G25" s="113">
        <f t="shared" ca="1" si="6"/>
        <v>0</v>
      </c>
      <c r="H25" s="113">
        <f t="shared" ca="1" si="6"/>
        <v>0</v>
      </c>
      <c r="I25" s="113">
        <f t="shared" ca="1" si="6"/>
        <v>0</v>
      </c>
      <c r="J25" s="114">
        <f t="shared" ref="J25" ca="1" si="8">+F25/$D25</f>
        <v>1</v>
      </c>
      <c r="K25" s="114">
        <f t="shared" ref="K25" ca="1" si="9">+G25/$D25</f>
        <v>0</v>
      </c>
      <c r="L25" s="114">
        <f t="shared" ref="L25" ca="1" si="10">+H25/$D25</f>
        <v>0</v>
      </c>
      <c r="M25" s="114">
        <f t="shared" ca="1" si="4"/>
        <v>0</v>
      </c>
    </row>
    <row r="26" spans="3:13" ht="16.5" customHeight="1" x14ac:dyDescent="0.25">
      <c r="C26" s="167" t="s">
        <v>144</v>
      </c>
      <c r="D26" s="113">
        <f t="shared" ca="1" si="5"/>
        <v>99</v>
      </c>
      <c r="E26" s="114">
        <f t="shared" ca="1" si="1"/>
        <v>0.23404255319148937</v>
      </c>
      <c r="F26" s="113">
        <f t="shared" ca="1" si="6"/>
        <v>50</v>
      </c>
      <c r="G26" s="113">
        <f t="shared" ca="1" si="6"/>
        <v>13</v>
      </c>
      <c r="H26" s="113">
        <f t="shared" ca="1" si="6"/>
        <v>1</v>
      </c>
      <c r="I26" s="113">
        <f t="shared" ca="1" si="6"/>
        <v>35</v>
      </c>
      <c r="J26" s="114">
        <f t="shared" ca="1" si="7"/>
        <v>0.50505050505050508</v>
      </c>
      <c r="K26" s="114">
        <f t="shared" ca="1" si="3"/>
        <v>0.13131313131313133</v>
      </c>
      <c r="L26" s="114">
        <f t="shared" ca="1" si="3"/>
        <v>1.0101010101010102E-2</v>
      </c>
      <c r="M26" s="114">
        <f t="shared" ca="1" si="4"/>
        <v>0.35353535353535354</v>
      </c>
    </row>
    <row r="27" spans="3:13" ht="16.5" customHeight="1" x14ac:dyDescent="0.25">
      <c r="C27" s="167" t="s">
        <v>145</v>
      </c>
      <c r="D27" s="113">
        <f t="shared" ca="1" si="5"/>
        <v>39</v>
      </c>
      <c r="E27" s="114">
        <f t="shared" ca="1" si="1"/>
        <v>9.2198581560283682E-2</v>
      </c>
      <c r="F27" s="113">
        <f t="shared" ca="1" si="6"/>
        <v>39</v>
      </c>
      <c r="G27" s="113">
        <f t="shared" ca="1" si="6"/>
        <v>0</v>
      </c>
      <c r="H27" s="113">
        <f t="shared" ca="1" si="6"/>
        <v>0</v>
      </c>
      <c r="I27" s="113">
        <f t="shared" ca="1" si="6"/>
        <v>0</v>
      </c>
      <c r="J27" s="114">
        <f t="shared" ca="1" si="7"/>
        <v>1</v>
      </c>
      <c r="K27" s="114">
        <f t="shared" ca="1" si="3"/>
        <v>0</v>
      </c>
      <c r="L27" s="114">
        <f t="shared" ca="1" si="3"/>
        <v>0</v>
      </c>
      <c r="M27" s="114">
        <f t="shared" ca="1" si="4"/>
        <v>0</v>
      </c>
    </row>
    <row r="28" spans="3:13" ht="16.5" customHeight="1" x14ac:dyDescent="0.25">
      <c r="C28" s="167" t="s">
        <v>146</v>
      </c>
      <c r="D28" s="113">
        <f t="shared" ca="1" si="5"/>
        <v>12</v>
      </c>
      <c r="E28" s="114">
        <f t="shared" ca="1" si="1"/>
        <v>2.8368794326241134E-2</v>
      </c>
      <c r="F28" s="113">
        <f t="shared" ca="1" si="6"/>
        <v>12</v>
      </c>
      <c r="G28" s="113">
        <f t="shared" ca="1" si="6"/>
        <v>0</v>
      </c>
      <c r="H28" s="113">
        <f t="shared" ca="1" si="6"/>
        <v>0</v>
      </c>
      <c r="I28" s="113">
        <f t="shared" ca="1" si="6"/>
        <v>0</v>
      </c>
      <c r="J28" s="114">
        <f t="shared" ref="J28" ca="1" si="11">+F28/$D28</f>
        <v>1</v>
      </c>
      <c r="K28" s="114">
        <f t="shared" ref="K28" ca="1" si="12">+G28/$D28</f>
        <v>0</v>
      </c>
      <c r="L28" s="114">
        <f t="shared" ref="L28" ca="1" si="13">+H28/$D28</f>
        <v>0</v>
      </c>
      <c r="M28" s="114">
        <f t="shared" ca="1" si="4"/>
        <v>0</v>
      </c>
    </row>
    <row r="29" spans="3:13" x14ac:dyDescent="0.25">
      <c r="C29" s="167" t="s">
        <v>147</v>
      </c>
      <c r="D29" s="113">
        <f ca="1">+COUNTA(INDIRECT($C29&amp;"!$F$13:$F$200"))</f>
        <v>35</v>
      </c>
      <c r="E29" s="114">
        <f t="shared" ca="1" si="1"/>
        <v>8.2742316784869971E-2</v>
      </c>
      <c r="F29" s="113">
        <f t="shared" ca="1" si="6"/>
        <v>23</v>
      </c>
      <c r="G29" s="113">
        <f t="shared" ca="1" si="6"/>
        <v>5</v>
      </c>
      <c r="H29" s="113">
        <f t="shared" ca="1" si="6"/>
        <v>2</v>
      </c>
      <c r="I29" s="113">
        <f t="shared" ca="1" si="6"/>
        <v>5</v>
      </c>
      <c r="J29" s="114">
        <f ca="1">+F29/$D29</f>
        <v>0.65714285714285714</v>
      </c>
      <c r="K29" s="114">
        <f ca="1">+G29/$D29</f>
        <v>0.14285714285714285</v>
      </c>
      <c r="L29" s="114">
        <f ca="1">+H29/$D29</f>
        <v>5.7142857142857141E-2</v>
      </c>
      <c r="M29" s="114">
        <f t="shared" ca="1" si="4"/>
        <v>0.14285714285714285</v>
      </c>
    </row>
    <row r="30" spans="3:13" x14ac:dyDescent="0.25">
      <c r="C30" s="115" t="s">
        <v>126</v>
      </c>
      <c r="D30" s="113">
        <f t="shared" ref="D30:I30" ca="1" si="14">+SUM(D19:D29)</f>
        <v>423</v>
      </c>
      <c r="E30" s="114">
        <f t="shared" ca="1" si="14"/>
        <v>1</v>
      </c>
      <c r="F30" s="144">
        <f t="shared" ca="1" si="14"/>
        <v>326</v>
      </c>
      <c r="G30" s="144">
        <f t="shared" ca="1" si="14"/>
        <v>28</v>
      </c>
      <c r="H30" s="144">
        <f t="shared" ca="1" si="14"/>
        <v>4</v>
      </c>
      <c r="I30" s="144">
        <f t="shared" ca="1" si="14"/>
        <v>65</v>
      </c>
      <c r="J30" s="114">
        <f ca="1">+F30/$D30</f>
        <v>0.7706855791962175</v>
      </c>
      <c r="K30" s="114">
        <f t="shared" ref="K30:L30" ca="1" si="15">+G30/$D30</f>
        <v>6.6193853427895979E-2</v>
      </c>
      <c r="L30" s="114">
        <f t="shared" ca="1" si="15"/>
        <v>9.4562647754137114E-3</v>
      </c>
      <c r="M30" s="114">
        <f t="shared" ca="1" si="4"/>
        <v>0.15366430260047281</v>
      </c>
    </row>
    <row r="33" spans="3:17" ht="14.25" customHeight="1" x14ac:dyDescent="0.25">
      <c r="C33" s="50" t="s">
        <v>148</v>
      </c>
    </row>
    <row r="35" spans="3:17" hidden="1" x14ac:dyDescent="0.25"/>
    <row r="36" spans="3:17" hidden="1" x14ac:dyDescent="0.25"/>
    <row r="37" spans="3:17" ht="15" customHeight="1" x14ac:dyDescent="0.25">
      <c r="C37" s="60" t="s">
        <v>128</v>
      </c>
      <c r="D37" s="116" t="s">
        <v>126</v>
      </c>
      <c r="E37" s="117" t="s">
        <v>97</v>
      </c>
      <c r="F37" s="143" t="s">
        <v>149</v>
      </c>
      <c r="G37" s="118" t="s">
        <v>130</v>
      </c>
      <c r="H37" s="120" t="s">
        <v>132</v>
      </c>
      <c r="I37" s="142" t="s">
        <v>150</v>
      </c>
      <c r="J37" s="120" t="s">
        <v>151</v>
      </c>
      <c r="K37" s="120" t="s">
        <v>152</v>
      </c>
      <c r="L37" s="120" t="s">
        <v>131</v>
      </c>
      <c r="M37" s="143" t="s">
        <v>153</v>
      </c>
      <c r="N37" s="143" t="s">
        <v>154</v>
      </c>
      <c r="O37" s="143" t="s">
        <v>155</v>
      </c>
      <c r="P37" s="143" t="s">
        <v>156</v>
      </c>
      <c r="Q37" s="143" t="s">
        <v>157</v>
      </c>
    </row>
    <row r="38" spans="3:17" x14ac:dyDescent="0.25">
      <c r="C38" s="167" t="s">
        <v>137</v>
      </c>
      <c r="D38" s="113">
        <f t="shared" ref="D38:D45" ca="1" si="16">+COUNTA(INDIRECT($C38&amp;"!$D$13:$D$200"))</f>
        <v>69</v>
      </c>
      <c r="E38" s="113">
        <f t="shared" ref="E38:Q48" ca="1" si="17">+COUNTIF(INDIRECT($C38&amp;"!$X$13:$X$200"),E$37)</f>
        <v>11</v>
      </c>
      <c r="F38" s="113">
        <f t="shared" ca="1" si="17"/>
        <v>12</v>
      </c>
      <c r="G38" s="113">
        <f t="shared" ca="1" si="17"/>
        <v>0</v>
      </c>
      <c r="H38" s="113">
        <f t="shared" ca="1" si="17"/>
        <v>3</v>
      </c>
      <c r="I38" s="113">
        <f t="shared" ca="1" si="17"/>
        <v>34</v>
      </c>
      <c r="J38" s="113">
        <f t="shared" ca="1" si="17"/>
        <v>0</v>
      </c>
      <c r="K38" s="113">
        <f t="shared" ca="1" si="17"/>
        <v>2</v>
      </c>
      <c r="L38" s="113">
        <f t="shared" ca="1" si="17"/>
        <v>2</v>
      </c>
      <c r="M38" s="113">
        <f t="shared" ca="1" si="17"/>
        <v>4</v>
      </c>
      <c r="N38" s="113">
        <f t="shared" ca="1" si="17"/>
        <v>0</v>
      </c>
      <c r="O38" s="113">
        <f t="shared" ca="1" si="17"/>
        <v>0</v>
      </c>
      <c r="P38" s="113">
        <f t="shared" ca="1" si="17"/>
        <v>1</v>
      </c>
      <c r="Q38" s="113">
        <f t="shared" ca="1" si="17"/>
        <v>0</v>
      </c>
    </row>
    <row r="39" spans="3:17" x14ac:dyDescent="0.25">
      <c r="C39" s="167" t="s">
        <v>141</v>
      </c>
      <c r="D39" s="113">
        <f ca="1">+COUNTA(INDIRECT($C39&amp;"!$D$13:$D$200"))</f>
        <v>16</v>
      </c>
      <c r="E39" s="113">
        <f t="shared" ca="1" si="17"/>
        <v>0</v>
      </c>
      <c r="F39" s="113">
        <f t="shared" ca="1" si="17"/>
        <v>16</v>
      </c>
      <c r="G39" s="113">
        <f t="shared" ca="1" si="17"/>
        <v>0</v>
      </c>
      <c r="H39" s="113">
        <f t="shared" ca="1" si="17"/>
        <v>0</v>
      </c>
      <c r="I39" s="113">
        <f t="shared" ca="1" si="17"/>
        <v>0</v>
      </c>
      <c r="J39" s="113">
        <f t="shared" ca="1" si="17"/>
        <v>0</v>
      </c>
      <c r="K39" s="113">
        <f t="shared" ca="1" si="17"/>
        <v>0</v>
      </c>
      <c r="L39" s="113">
        <f t="shared" ca="1" si="17"/>
        <v>0</v>
      </c>
      <c r="M39" s="113">
        <f t="shared" ca="1" si="17"/>
        <v>0</v>
      </c>
      <c r="N39" s="113">
        <f t="shared" ca="1" si="17"/>
        <v>0</v>
      </c>
      <c r="O39" s="113">
        <f t="shared" ca="1" si="17"/>
        <v>0</v>
      </c>
      <c r="P39" s="113">
        <f t="shared" ca="1" si="17"/>
        <v>0</v>
      </c>
      <c r="Q39" s="113">
        <f t="shared" ca="1" si="17"/>
        <v>0</v>
      </c>
    </row>
    <row r="40" spans="3:17" x14ac:dyDescent="0.25">
      <c r="C40" s="167" t="s">
        <v>138</v>
      </c>
      <c r="D40" s="113">
        <f t="shared" ca="1" si="16"/>
        <v>12</v>
      </c>
      <c r="E40" s="113">
        <f t="shared" ca="1" si="17"/>
        <v>0</v>
      </c>
      <c r="F40" s="113">
        <f t="shared" ca="1" si="17"/>
        <v>12</v>
      </c>
      <c r="G40" s="113">
        <f t="shared" ca="1" si="17"/>
        <v>0</v>
      </c>
      <c r="H40" s="113">
        <f t="shared" ca="1" si="17"/>
        <v>0</v>
      </c>
      <c r="I40" s="113">
        <f t="shared" ca="1" si="17"/>
        <v>0</v>
      </c>
      <c r="J40" s="113">
        <f t="shared" ca="1" si="17"/>
        <v>0</v>
      </c>
      <c r="K40" s="113">
        <f t="shared" ca="1" si="17"/>
        <v>0</v>
      </c>
      <c r="L40" s="113">
        <f t="shared" ca="1" si="17"/>
        <v>0</v>
      </c>
      <c r="M40" s="113">
        <f t="shared" ca="1" si="17"/>
        <v>0</v>
      </c>
      <c r="N40" s="113">
        <f t="shared" ca="1" si="17"/>
        <v>0</v>
      </c>
      <c r="O40" s="113">
        <f t="shared" ca="1" si="17"/>
        <v>0</v>
      </c>
      <c r="P40" s="113">
        <f t="shared" ca="1" si="17"/>
        <v>0</v>
      </c>
      <c r="Q40" s="113">
        <f t="shared" ca="1" si="17"/>
        <v>0</v>
      </c>
    </row>
    <row r="41" spans="3:17" x14ac:dyDescent="0.25">
      <c r="C41" s="167" t="s">
        <v>140</v>
      </c>
      <c r="D41" s="113">
        <f ca="1">+COUNTA(INDIRECT($C41&amp;"!$D$13:$D$200"))</f>
        <v>22</v>
      </c>
      <c r="E41" s="113">
        <f t="shared" ca="1" si="17"/>
        <v>0</v>
      </c>
      <c r="F41" s="113">
        <f t="shared" ca="1" si="17"/>
        <v>18</v>
      </c>
      <c r="G41" s="113">
        <f t="shared" ca="1" si="17"/>
        <v>0</v>
      </c>
      <c r="H41" s="113">
        <f t="shared" ca="1" si="17"/>
        <v>0</v>
      </c>
      <c r="I41" s="113">
        <f t="shared" ca="1" si="17"/>
        <v>0</v>
      </c>
      <c r="J41" s="113">
        <f t="shared" ca="1" si="17"/>
        <v>0</v>
      </c>
      <c r="K41" s="113">
        <f t="shared" ca="1" si="17"/>
        <v>0</v>
      </c>
      <c r="L41" s="113">
        <f t="shared" ca="1" si="17"/>
        <v>0</v>
      </c>
      <c r="M41" s="113">
        <f t="shared" ca="1" si="17"/>
        <v>0</v>
      </c>
      <c r="N41" s="113">
        <f t="shared" ca="1" si="17"/>
        <v>0</v>
      </c>
      <c r="O41" s="113">
        <f t="shared" ca="1" si="17"/>
        <v>4</v>
      </c>
      <c r="P41" s="113">
        <f t="shared" ca="1" si="17"/>
        <v>0</v>
      </c>
      <c r="Q41" s="113">
        <f t="shared" ca="1" si="17"/>
        <v>0</v>
      </c>
    </row>
    <row r="42" spans="3:17" x14ac:dyDescent="0.25">
      <c r="C42" s="167" t="s">
        <v>139</v>
      </c>
      <c r="D42" s="113">
        <f t="shared" ca="1" si="16"/>
        <v>23</v>
      </c>
      <c r="E42" s="113">
        <f t="shared" ca="1" si="17"/>
        <v>4</v>
      </c>
      <c r="F42" s="113">
        <f t="shared" ca="1" si="17"/>
        <v>8</v>
      </c>
      <c r="G42" s="113">
        <f t="shared" ca="1" si="17"/>
        <v>0</v>
      </c>
      <c r="H42" s="113">
        <f t="shared" ca="1" si="17"/>
        <v>0</v>
      </c>
      <c r="I42" s="113">
        <f t="shared" ca="1" si="17"/>
        <v>0</v>
      </c>
      <c r="J42" s="113">
        <f t="shared" ca="1" si="17"/>
        <v>0</v>
      </c>
      <c r="K42" s="113">
        <f t="shared" ca="1" si="17"/>
        <v>0</v>
      </c>
      <c r="L42" s="113">
        <f t="shared" ca="1" si="17"/>
        <v>9</v>
      </c>
      <c r="M42" s="113">
        <f t="shared" ca="1" si="17"/>
        <v>2</v>
      </c>
      <c r="N42" s="113">
        <f t="shared" ca="1" si="17"/>
        <v>0</v>
      </c>
      <c r="O42" s="113">
        <f t="shared" ca="1" si="17"/>
        <v>0</v>
      </c>
      <c r="P42" s="113">
        <f t="shared" ca="1" si="17"/>
        <v>0</v>
      </c>
      <c r="Q42" s="113">
        <f t="shared" ca="1" si="17"/>
        <v>0</v>
      </c>
    </row>
    <row r="43" spans="3:17" x14ac:dyDescent="0.25">
      <c r="C43" s="167" t="s">
        <v>142</v>
      </c>
      <c r="D43" s="113">
        <f t="shared" ca="1" si="16"/>
        <v>87</v>
      </c>
      <c r="E43" s="113">
        <f t="shared" ca="1" si="17"/>
        <v>0</v>
      </c>
      <c r="F43" s="113">
        <f t="shared" ca="1" si="17"/>
        <v>85</v>
      </c>
      <c r="G43" s="113">
        <f t="shared" ca="1" si="17"/>
        <v>0</v>
      </c>
      <c r="H43" s="113">
        <f t="shared" ca="1" si="17"/>
        <v>0</v>
      </c>
      <c r="I43" s="113">
        <f t="shared" ca="1" si="17"/>
        <v>2</v>
      </c>
      <c r="J43" s="113">
        <f t="shared" ca="1" si="17"/>
        <v>0</v>
      </c>
      <c r="K43" s="113">
        <f t="shared" ca="1" si="17"/>
        <v>0</v>
      </c>
      <c r="L43" s="113">
        <f t="shared" ca="1" si="17"/>
        <v>0</v>
      </c>
      <c r="M43" s="113">
        <f t="shared" ca="1" si="17"/>
        <v>0</v>
      </c>
      <c r="N43" s="113">
        <f t="shared" ca="1" si="17"/>
        <v>0</v>
      </c>
      <c r="O43" s="113">
        <f t="shared" ca="1" si="17"/>
        <v>0</v>
      </c>
      <c r="P43" s="113">
        <f t="shared" ca="1" si="17"/>
        <v>0</v>
      </c>
      <c r="Q43" s="113">
        <f t="shared" ca="1" si="17"/>
        <v>0</v>
      </c>
    </row>
    <row r="44" spans="3:17" x14ac:dyDescent="0.25">
      <c r="C44" s="167" t="s">
        <v>143</v>
      </c>
      <c r="D44" s="113">
        <f t="shared" ca="1" si="16"/>
        <v>9</v>
      </c>
      <c r="E44" s="113">
        <f t="shared" ca="1" si="17"/>
        <v>4</v>
      </c>
      <c r="F44" s="113">
        <f t="shared" ca="1" si="17"/>
        <v>0</v>
      </c>
      <c r="G44" s="113">
        <f t="shared" ca="1" si="17"/>
        <v>0</v>
      </c>
      <c r="H44" s="113">
        <f t="shared" ca="1" si="17"/>
        <v>0</v>
      </c>
      <c r="I44" s="113">
        <f t="shared" ca="1" si="17"/>
        <v>0</v>
      </c>
      <c r="J44" s="113">
        <f t="shared" ca="1" si="17"/>
        <v>0</v>
      </c>
      <c r="K44" s="113">
        <f t="shared" ca="1" si="17"/>
        <v>0</v>
      </c>
      <c r="L44" s="113">
        <f t="shared" ca="1" si="17"/>
        <v>0</v>
      </c>
      <c r="M44" s="113">
        <f t="shared" ca="1" si="17"/>
        <v>5</v>
      </c>
      <c r="N44" s="113">
        <f t="shared" ca="1" si="17"/>
        <v>0</v>
      </c>
      <c r="O44" s="113">
        <f t="shared" ca="1" si="17"/>
        <v>0</v>
      </c>
      <c r="P44" s="113">
        <f t="shared" ca="1" si="17"/>
        <v>0</v>
      </c>
      <c r="Q44" s="113">
        <f t="shared" ca="1" si="17"/>
        <v>0</v>
      </c>
    </row>
    <row r="45" spans="3:17" x14ac:dyDescent="0.25">
      <c r="C45" s="167" t="s">
        <v>144</v>
      </c>
      <c r="D45" s="113">
        <f t="shared" ca="1" si="16"/>
        <v>99</v>
      </c>
      <c r="E45" s="113">
        <f t="shared" ca="1" si="17"/>
        <v>2</v>
      </c>
      <c r="F45" s="113">
        <f t="shared" ca="1" si="17"/>
        <v>4</v>
      </c>
      <c r="G45" s="113">
        <f t="shared" ca="1" si="17"/>
        <v>0</v>
      </c>
      <c r="H45" s="113">
        <f t="shared" ca="1" si="17"/>
        <v>6</v>
      </c>
      <c r="I45" s="113">
        <f t="shared" ca="1" si="17"/>
        <v>49</v>
      </c>
      <c r="J45" s="113">
        <f t="shared" ca="1" si="17"/>
        <v>2</v>
      </c>
      <c r="K45" s="113">
        <f t="shared" ca="1" si="17"/>
        <v>0</v>
      </c>
      <c r="L45" s="113">
        <f t="shared" ca="1" si="17"/>
        <v>0</v>
      </c>
      <c r="M45" s="113">
        <f t="shared" ca="1" si="17"/>
        <v>0</v>
      </c>
      <c r="N45" s="113">
        <f t="shared" ca="1" si="17"/>
        <v>0</v>
      </c>
      <c r="O45" s="113">
        <f t="shared" ca="1" si="17"/>
        <v>1</v>
      </c>
      <c r="P45" s="113">
        <f t="shared" ca="1" si="17"/>
        <v>31</v>
      </c>
      <c r="Q45" s="113">
        <f t="shared" ca="1" si="17"/>
        <v>4</v>
      </c>
    </row>
    <row r="46" spans="3:17" x14ac:dyDescent="0.25">
      <c r="C46" s="167" t="s">
        <v>145</v>
      </c>
      <c r="D46" s="113">
        <f t="shared" ref="D46:D47" ca="1" si="18">+COUNTA(INDIRECT($C46&amp;"!$D$13:$D$200"))</f>
        <v>39</v>
      </c>
      <c r="E46" s="113">
        <f t="shared" ca="1" si="17"/>
        <v>0</v>
      </c>
      <c r="F46" s="113">
        <f t="shared" ca="1" si="17"/>
        <v>0</v>
      </c>
      <c r="G46" s="113">
        <f t="shared" ca="1" si="17"/>
        <v>0</v>
      </c>
      <c r="H46" s="113">
        <f t="shared" ca="1" si="17"/>
        <v>0</v>
      </c>
      <c r="I46" s="113">
        <f t="shared" ca="1" si="17"/>
        <v>0</v>
      </c>
      <c r="J46" s="113">
        <f t="shared" ca="1" si="17"/>
        <v>20</v>
      </c>
      <c r="K46" s="113">
        <f t="shared" ca="1" si="17"/>
        <v>19</v>
      </c>
      <c r="L46" s="113">
        <f t="shared" ca="1" si="17"/>
        <v>0</v>
      </c>
      <c r="M46" s="113">
        <f t="shared" ca="1" si="17"/>
        <v>0</v>
      </c>
      <c r="N46" s="113">
        <f t="shared" ca="1" si="17"/>
        <v>0</v>
      </c>
      <c r="O46" s="113">
        <f t="shared" ca="1" si="17"/>
        <v>0</v>
      </c>
      <c r="P46" s="113">
        <f t="shared" ca="1" si="17"/>
        <v>0</v>
      </c>
      <c r="Q46" s="113">
        <f t="shared" ca="1" si="17"/>
        <v>0</v>
      </c>
    </row>
    <row r="47" spans="3:17" x14ac:dyDescent="0.25">
      <c r="C47" s="167" t="s">
        <v>146</v>
      </c>
      <c r="D47" s="113">
        <f t="shared" ca="1" si="18"/>
        <v>12</v>
      </c>
      <c r="E47" s="113">
        <f t="shared" ca="1" si="17"/>
        <v>0</v>
      </c>
      <c r="F47" s="113">
        <f t="shared" ca="1" si="17"/>
        <v>12</v>
      </c>
      <c r="G47" s="113">
        <f t="shared" ca="1" si="17"/>
        <v>0</v>
      </c>
      <c r="H47" s="113">
        <f t="shared" ca="1" si="17"/>
        <v>0</v>
      </c>
      <c r="I47" s="113">
        <f t="shared" ca="1" si="17"/>
        <v>0</v>
      </c>
      <c r="J47" s="113">
        <f t="shared" ca="1" si="17"/>
        <v>0</v>
      </c>
      <c r="K47" s="113">
        <f t="shared" ca="1" si="17"/>
        <v>0</v>
      </c>
      <c r="L47" s="113">
        <f t="shared" ca="1" si="17"/>
        <v>0</v>
      </c>
      <c r="M47" s="113">
        <f t="shared" ca="1" si="17"/>
        <v>0</v>
      </c>
      <c r="N47" s="113">
        <f t="shared" ca="1" si="17"/>
        <v>0</v>
      </c>
      <c r="O47" s="113">
        <f t="shared" ca="1" si="17"/>
        <v>0</v>
      </c>
      <c r="P47" s="113">
        <f t="shared" ca="1" si="17"/>
        <v>0</v>
      </c>
      <c r="Q47" s="113">
        <f t="shared" ca="1" si="17"/>
        <v>0</v>
      </c>
    </row>
    <row r="48" spans="3:17" x14ac:dyDescent="0.25">
      <c r="C48" s="167" t="s">
        <v>147</v>
      </c>
      <c r="D48" s="113">
        <f ca="1">+COUNTA(INDIRECT($C48&amp;"!$F$13:$F$200"))</f>
        <v>35</v>
      </c>
      <c r="E48" s="113">
        <f t="shared" ca="1" si="17"/>
        <v>0</v>
      </c>
      <c r="F48" s="113">
        <f t="shared" ca="1" si="17"/>
        <v>0</v>
      </c>
      <c r="G48" s="113">
        <f t="shared" ca="1" si="17"/>
        <v>0</v>
      </c>
      <c r="H48" s="113">
        <f t="shared" ca="1" si="17"/>
        <v>23</v>
      </c>
      <c r="I48" s="113">
        <f t="shared" ca="1" si="17"/>
        <v>12</v>
      </c>
      <c r="J48" s="113">
        <f t="shared" ca="1" si="17"/>
        <v>0</v>
      </c>
      <c r="K48" s="113">
        <f t="shared" ca="1" si="17"/>
        <v>0</v>
      </c>
      <c r="L48" s="113">
        <f t="shared" ca="1" si="17"/>
        <v>0</v>
      </c>
      <c r="M48" s="113">
        <f t="shared" ca="1" si="17"/>
        <v>0</v>
      </c>
      <c r="N48" s="113">
        <f t="shared" ca="1" si="17"/>
        <v>0</v>
      </c>
      <c r="O48" s="113">
        <f t="shared" ca="1" si="17"/>
        <v>0</v>
      </c>
      <c r="P48" s="113">
        <f t="shared" ca="1" si="17"/>
        <v>0</v>
      </c>
      <c r="Q48" s="113">
        <f t="shared" ca="1" si="17"/>
        <v>0</v>
      </c>
    </row>
    <row r="49" spans="3:17" x14ac:dyDescent="0.25">
      <c r="C49" s="115" t="s">
        <v>126</v>
      </c>
      <c r="D49" s="113">
        <f t="shared" ref="D49:L49" ca="1" si="19">+SUM(D38:D48)</f>
        <v>423</v>
      </c>
      <c r="E49" s="144">
        <f t="shared" ca="1" si="19"/>
        <v>21</v>
      </c>
      <c r="F49" s="144">
        <f t="shared" ca="1" si="19"/>
        <v>167</v>
      </c>
      <c r="G49" s="144">
        <f t="shared" ca="1" si="19"/>
        <v>0</v>
      </c>
      <c r="H49" s="144">
        <f t="shared" ca="1" si="19"/>
        <v>32</v>
      </c>
      <c r="I49" s="144">
        <f t="shared" ca="1" si="19"/>
        <v>97</v>
      </c>
      <c r="J49" s="144">
        <f t="shared" ca="1" si="19"/>
        <v>22</v>
      </c>
      <c r="K49" s="144">
        <f t="shared" ca="1" si="19"/>
        <v>21</v>
      </c>
      <c r="L49" s="144">
        <f t="shared" ca="1" si="19"/>
        <v>11</v>
      </c>
      <c r="M49" s="144">
        <f t="shared" ref="M49:P49" ca="1" si="20">+SUM(M38:M48)</f>
        <v>11</v>
      </c>
      <c r="N49" s="144">
        <f t="shared" ca="1" si="20"/>
        <v>0</v>
      </c>
      <c r="O49" s="144">
        <f t="shared" ca="1" si="20"/>
        <v>5</v>
      </c>
      <c r="P49" s="144">
        <f t="shared" ca="1" si="20"/>
        <v>32</v>
      </c>
      <c r="Q49" s="144">
        <f ca="1">+SUM(Q38:Q48)</f>
        <v>4</v>
      </c>
    </row>
    <row r="52" spans="3:17" ht="15" customHeight="1" x14ac:dyDescent="0.25">
      <c r="C52" s="60" t="s">
        <v>128</v>
      </c>
      <c r="D52" s="116" t="s">
        <v>129</v>
      </c>
      <c r="E52" s="117" t="s">
        <v>133</v>
      </c>
      <c r="F52" s="143" t="s">
        <v>158</v>
      </c>
      <c r="G52" s="118" t="s">
        <v>134</v>
      </c>
      <c r="H52" s="120" t="s">
        <v>136</v>
      </c>
      <c r="I52" s="142" t="s">
        <v>159</v>
      </c>
      <c r="J52" s="120" t="s">
        <v>160</v>
      </c>
      <c r="K52" s="120" t="s">
        <v>161</v>
      </c>
      <c r="L52" s="120" t="s">
        <v>131</v>
      </c>
      <c r="M52" s="120" t="s">
        <v>162</v>
      </c>
      <c r="N52" s="120" t="s">
        <v>154</v>
      </c>
      <c r="O52" s="120" t="s">
        <v>155</v>
      </c>
      <c r="P52" s="120" t="s">
        <v>156</v>
      </c>
      <c r="Q52" s="120" t="s">
        <v>163</v>
      </c>
    </row>
    <row r="53" spans="3:17" x14ac:dyDescent="0.25">
      <c r="C53" s="167" t="s">
        <v>137</v>
      </c>
      <c r="D53" s="114">
        <f ca="1">+D38/$D$49</f>
        <v>0.16312056737588654</v>
      </c>
      <c r="E53" s="114">
        <f ca="1">+E38/$D38</f>
        <v>0.15942028985507245</v>
      </c>
      <c r="F53" s="114">
        <f t="shared" ref="F53:Q53" ca="1" si="21">+F38/$D38</f>
        <v>0.17391304347826086</v>
      </c>
      <c r="G53" s="114">
        <f t="shared" ca="1" si="21"/>
        <v>0</v>
      </c>
      <c r="H53" s="114">
        <f t="shared" ca="1" si="21"/>
        <v>4.3478260869565216E-2</v>
      </c>
      <c r="I53" s="114">
        <f t="shared" ca="1" si="21"/>
        <v>0.49275362318840582</v>
      </c>
      <c r="J53" s="114">
        <f t="shared" ca="1" si="21"/>
        <v>0</v>
      </c>
      <c r="K53" s="114">
        <f t="shared" ca="1" si="21"/>
        <v>2.8985507246376812E-2</v>
      </c>
      <c r="L53" s="114">
        <f t="shared" ca="1" si="21"/>
        <v>2.8985507246376812E-2</v>
      </c>
      <c r="M53" s="114">
        <f t="shared" ca="1" si="21"/>
        <v>5.7971014492753624E-2</v>
      </c>
      <c r="N53" s="114">
        <f t="shared" ca="1" si="21"/>
        <v>0</v>
      </c>
      <c r="O53" s="114">
        <f t="shared" ca="1" si="21"/>
        <v>0</v>
      </c>
      <c r="P53" s="114">
        <f t="shared" ca="1" si="21"/>
        <v>1.4492753623188406E-2</v>
      </c>
      <c r="Q53" s="114">
        <f t="shared" ca="1" si="21"/>
        <v>0</v>
      </c>
    </row>
    <row r="54" spans="3:17" x14ac:dyDescent="0.25">
      <c r="C54" s="167" t="s">
        <v>141</v>
      </c>
      <c r="D54" s="114">
        <f t="shared" ref="D54:D62" ca="1" si="22">+D39/$D$49</f>
        <v>3.7825059101654845E-2</v>
      </c>
      <c r="E54" s="114">
        <f t="shared" ref="E54:Q63" ca="1" si="23">+E39/$D39</f>
        <v>0</v>
      </c>
      <c r="F54" s="114">
        <f t="shared" ca="1" si="23"/>
        <v>1</v>
      </c>
      <c r="G54" s="114">
        <f t="shared" ca="1" si="23"/>
        <v>0</v>
      </c>
      <c r="H54" s="114">
        <f t="shared" ca="1" si="23"/>
        <v>0</v>
      </c>
      <c r="I54" s="114">
        <f t="shared" ca="1" si="23"/>
        <v>0</v>
      </c>
      <c r="J54" s="114">
        <f t="shared" ca="1" si="23"/>
        <v>0</v>
      </c>
      <c r="K54" s="114">
        <f t="shared" ca="1" si="23"/>
        <v>0</v>
      </c>
      <c r="L54" s="114">
        <f t="shared" ca="1" si="23"/>
        <v>0</v>
      </c>
      <c r="M54" s="114">
        <f t="shared" ca="1" si="23"/>
        <v>0</v>
      </c>
      <c r="N54" s="114">
        <f t="shared" ca="1" si="23"/>
        <v>0</v>
      </c>
      <c r="O54" s="114">
        <f t="shared" ca="1" si="23"/>
        <v>0</v>
      </c>
      <c r="P54" s="114">
        <f t="shared" ca="1" si="23"/>
        <v>0</v>
      </c>
      <c r="Q54" s="114">
        <f t="shared" ca="1" si="23"/>
        <v>0</v>
      </c>
    </row>
    <row r="55" spans="3:17" x14ac:dyDescent="0.25">
      <c r="C55" s="167" t="s">
        <v>138</v>
      </c>
      <c r="D55" s="114">
        <f t="shared" ca="1" si="22"/>
        <v>2.8368794326241134E-2</v>
      </c>
      <c r="E55" s="114">
        <f t="shared" ca="1" si="23"/>
        <v>0</v>
      </c>
      <c r="F55" s="114">
        <f t="shared" ca="1" si="23"/>
        <v>1</v>
      </c>
      <c r="G55" s="114">
        <f t="shared" ca="1" si="23"/>
        <v>0</v>
      </c>
      <c r="H55" s="114">
        <f t="shared" ca="1" si="23"/>
        <v>0</v>
      </c>
      <c r="I55" s="114">
        <f t="shared" ca="1" si="23"/>
        <v>0</v>
      </c>
      <c r="J55" s="114">
        <f t="shared" ca="1" si="23"/>
        <v>0</v>
      </c>
      <c r="K55" s="114">
        <f t="shared" ca="1" si="23"/>
        <v>0</v>
      </c>
      <c r="L55" s="114">
        <f t="shared" ca="1" si="23"/>
        <v>0</v>
      </c>
      <c r="M55" s="114">
        <f t="shared" ca="1" si="23"/>
        <v>0</v>
      </c>
      <c r="N55" s="114">
        <f t="shared" ca="1" si="23"/>
        <v>0</v>
      </c>
      <c r="O55" s="114">
        <f t="shared" ca="1" si="23"/>
        <v>0</v>
      </c>
      <c r="P55" s="114">
        <f t="shared" ca="1" si="23"/>
        <v>0</v>
      </c>
      <c r="Q55" s="114">
        <f t="shared" ca="1" si="23"/>
        <v>0</v>
      </c>
    </row>
    <row r="56" spans="3:17" x14ac:dyDescent="0.25">
      <c r="C56" s="167" t="s">
        <v>140</v>
      </c>
      <c r="D56" s="114">
        <f t="shared" ca="1" si="22"/>
        <v>5.2009456264775412E-2</v>
      </c>
      <c r="E56" s="114">
        <f t="shared" ca="1" si="23"/>
        <v>0</v>
      </c>
      <c r="F56" s="114">
        <f t="shared" ca="1" si="23"/>
        <v>0.81818181818181823</v>
      </c>
      <c r="G56" s="114">
        <f t="shared" ca="1" si="23"/>
        <v>0</v>
      </c>
      <c r="H56" s="114">
        <f t="shared" ca="1" si="23"/>
        <v>0</v>
      </c>
      <c r="I56" s="114">
        <f t="shared" ca="1" si="23"/>
        <v>0</v>
      </c>
      <c r="J56" s="114">
        <f t="shared" ca="1" si="23"/>
        <v>0</v>
      </c>
      <c r="K56" s="114">
        <f t="shared" ca="1" si="23"/>
        <v>0</v>
      </c>
      <c r="L56" s="114">
        <f t="shared" ca="1" si="23"/>
        <v>0</v>
      </c>
      <c r="M56" s="114">
        <f t="shared" ca="1" si="23"/>
        <v>0</v>
      </c>
      <c r="N56" s="114">
        <f t="shared" ca="1" si="23"/>
        <v>0</v>
      </c>
      <c r="O56" s="114">
        <f t="shared" ca="1" si="23"/>
        <v>0.18181818181818182</v>
      </c>
      <c r="P56" s="114">
        <f t="shared" ca="1" si="23"/>
        <v>0</v>
      </c>
      <c r="Q56" s="114">
        <f t="shared" ca="1" si="23"/>
        <v>0</v>
      </c>
    </row>
    <row r="57" spans="3:17" x14ac:dyDescent="0.25">
      <c r="C57" s="167" t="s">
        <v>139</v>
      </c>
      <c r="D57" s="114">
        <f t="shared" ca="1" si="22"/>
        <v>5.4373522458628844E-2</v>
      </c>
      <c r="E57" s="114">
        <f t="shared" ca="1" si="23"/>
        <v>0.17391304347826086</v>
      </c>
      <c r="F57" s="114">
        <f t="shared" ca="1" si="23"/>
        <v>0.34782608695652173</v>
      </c>
      <c r="G57" s="114">
        <f t="shared" ca="1" si="23"/>
        <v>0</v>
      </c>
      <c r="H57" s="114">
        <f t="shared" ca="1" si="23"/>
        <v>0</v>
      </c>
      <c r="I57" s="114">
        <f t="shared" ca="1" si="23"/>
        <v>0</v>
      </c>
      <c r="J57" s="114">
        <f t="shared" ca="1" si="23"/>
        <v>0</v>
      </c>
      <c r="K57" s="114">
        <f t="shared" ca="1" si="23"/>
        <v>0</v>
      </c>
      <c r="L57" s="114">
        <f t="shared" ca="1" si="23"/>
        <v>0.39130434782608697</v>
      </c>
      <c r="M57" s="114">
        <f t="shared" ca="1" si="23"/>
        <v>8.6956521739130432E-2</v>
      </c>
      <c r="N57" s="114">
        <f t="shared" ca="1" si="23"/>
        <v>0</v>
      </c>
      <c r="O57" s="114">
        <f t="shared" ca="1" si="23"/>
        <v>0</v>
      </c>
      <c r="P57" s="114">
        <f t="shared" ca="1" si="23"/>
        <v>0</v>
      </c>
      <c r="Q57" s="114">
        <f t="shared" ca="1" si="23"/>
        <v>0</v>
      </c>
    </row>
    <row r="58" spans="3:17" x14ac:dyDescent="0.25">
      <c r="C58" s="167" t="s">
        <v>142</v>
      </c>
      <c r="D58" s="114">
        <f t="shared" ca="1" si="22"/>
        <v>0.20567375886524822</v>
      </c>
      <c r="E58" s="114">
        <f t="shared" ca="1" si="23"/>
        <v>0</v>
      </c>
      <c r="F58" s="114">
        <f t="shared" ca="1" si="23"/>
        <v>0.97701149425287359</v>
      </c>
      <c r="G58" s="114">
        <f t="shared" ca="1" si="23"/>
        <v>0</v>
      </c>
      <c r="H58" s="114">
        <f t="shared" ca="1" si="23"/>
        <v>0</v>
      </c>
      <c r="I58" s="114">
        <f t="shared" ca="1" si="23"/>
        <v>2.2988505747126436E-2</v>
      </c>
      <c r="J58" s="114">
        <f t="shared" ca="1" si="23"/>
        <v>0</v>
      </c>
      <c r="K58" s="114">
        <f t="shared" ca="1" si="23"/>
        <v>0</v>
      </c>
      <c r="L58" s="114">
        <f t="shared" ca="1" si="23"/>
        <v>0</v>
      </c>
      <c r="M58" s="114">
        <f t="shared" ca="1" si="23"/>
        <v>0</v>
      </c>
      <c r="N58" s="114">
        <f t="shared" ca="1" si="23"/>
        <v>0</v>
      </c>
      <c r="O58" s="114">
        <f t="shared" ca="1" si="23"/>
        <v>0</v>
      </c>
      <c r="P58" s="114">
        <f t="shared" ca="1" si="23"/>
        <v>0</v>
      </c>
      <c r="Q58" s="114">
        <f t="shared" ca="1" si="23"/>
        <v>0</v>
      </c>
    </row>
    <row r="59" spans="3:17" x14ac:dyDescent="0.25">
      <c r="C59" s="167" t="s">
        <v>143</v>
      </c>
      <c r="D59" s="114">
        <f t="shared" ca="1" si="22"/>
        <v>2.1276595744680851E-2</v>
      </c>
      <c r="E59" s="114">
        <f t="shared" ca="1" si="23"/>
        <v>0.44444444444444442</v>
      </c>
      <c r="F59" s="114">
        <f t="shared" ca="1" si="23"/>
        <v>0</v>
      </c>
      <c r="G59" s="114">
        <f t="shared" ca="1" si="23"/>
        <v>0</v>
      </c>
      <c r="H59" s="114">
        <f t="shared" ca="1" si="23"/>
        <v>0</v>
      </c>
      <c r="I59" s="114">
        <f t="shared" ca="1" si="23"/>
        <v>0</v>
      </c>
      <c r="J59" s="114">
        <f t="shared" ca="1" si="23"/>
        <v>0</v>
      </c>
      <c r="K59" s="114">
        <f t="shared" ca="1" si="23"/>
        <v>0</v>
      </c>
      <c r="L59" s="114">
        <f t="shared" ca="1" si="23"/>
        <v>0</v>
      </c>
      <c r="M59" s="114">
        <f t="shared" ca="1" si="23"/>
        <v>0.55555555555555558</v>
      </c>
      <c r="N59" s="114">
        <f t="shared" ca="1" si="23"/>
        <v>0</v>
      </c>
      <c r="O59" s="114">
        <f t="shared" ca="1" si="23"/>
        <v>0</v>
      </c>
      <c r="P59" s="114">
        <f t="shared" ca="1" si="23"/>
        <v>0</v>
      </c>
      <c r="Q59" s="114">
        <f t="shared" ca="1" si="23"/>
        <v>0</v>
      </c>
    </row>
    <row r="60" spans="3:17" x14ac:dyDescent="0.25">
      <c r="C60" s="167" t="s">
        <v>144</v>
      </c>
      <c r="D60" s="114">
        <f t="shared" ca="1" si="22"/>
        <v>0.23404255319148937</v>
      </c>
      <c r="E60" s="114">
        <f t="shared" ca="1" si="23"/>
        <v>2.0202020202020204E-2</v>
      </c>
      <c r="F60" s="114">
        <f t="shared" ca="1" si="23"/>
        <v>4.0404040404040407E-2</v>
      </c>
      <c r="G60" s="114">
        <f t="shared" ca="1" si="23"/>
        <v>0</v>
      </c>
      <c r="H60" s="114">
        <f t="shared" ca="1" si="23"/>
        <v>6.0606060606060608E-2</v>
      </c>
      <c r="I60" s="114">
        <f t="shared" ca="1" si="23"/>
        <v>0.49494949494949497</v>
      </c>
      <c r="J60" s="114">
        <f t="shared" ca="1" si="23"/>
        <v>2.0202020202020204E-2</v>
      </c>
      <c r="K60" s="114">
        <f t="shared" ca="1" si="23"/>
        <v>0</v>
      </c>
      <c r="L60" s="114">
        <f t="shared" ca="1" si="23"/>
        <v>0</v>
      </c>
      <c r="M60" s="114">
        <f t="shared" ca="1" si="23"/>
        <v>0</v>
      </c>
      <c r="N60" s="114">
        <f t="shared" ca="1" si="23"/>
        <v>0</v>
      </c>
      <c r="O60" s="114">
        <f t="shared" ca="1" si="23"/>
        <v>1.0101010101010102E-2</v>
      </c>
      <c r="P60" s="114">
        <f t="shared" ca="1" si="23"/>
        <v>0.31313131313131315</v>
      </c>
      <c r="Q60" s="114">
        <f t="shared" ca="1" si="23"/>
        <v>4.0404040404040407E-2</v>
      </c>
    </row>
    <row r="61" spans="3:17" x14ac:dyDescent="0.25">
      <c r="C61" s="167" t="s">
        <v>145</v>
      </c>
      <c r="D61" s="114">
        <f t="shared" ca="1" si="22"/>
        <v>9.2198581560283682E-2</v>
      </c>
      <c r="E61" s="114">
        <f t="shared" ca="1" si="23"/>
        <v>0</v>
      </c>
      <c r="F61" s="114">
        <f t="shared" ca="1" si="23"/>
        <v>0</v>
      </c>
      <c r="G61" s="114">
        <f t="shared" ca="1" si="23"/>
        <v>0</v>
      </c>
      <c r="H61" s="114">
        <f t="shared" ca="1" si="23"/>
        <v>0</v>
      </c>
      <c r="I61" s="114">
        <f t="shared" ca="1" si="23"/>
        <v>0</v>
      </c>
      <c r="J61" s="114">
        <f t="shared" ca="1" si="23"/>
        <v>0.51282051282051277</v>
      </c>
      <c r="K61" s="114">
        <f t="shared" ca="1" si="23"/>
        <v>0.48717948717948717</v>
      </c>
      <c r="L61" s="114">
        <f t="shared" ca="1" si="23"/>
        <v>0</v>
      </c>
      <c r="M61" s="114">
        <f t="shared" ca="1" si="23"/>
        <v>0</v>
      </c>
      <c r="N61" s="114">
        <f t="shared" ca="1" si="23"/>
        <v>0</v>
      </c>
      <c r="O61" s="114">
        <f t="shared" ca="1" si="23"/>
        <v>0</v>
      </c>
      <c r="P61" s="114">
        <f t="shared" ca="1" si="23"/>
        <v>0</v>
      </c>
      <c r="Q61" s="114">
        <f t="shared" ca="1" si="23"/>
        <v>0</v>
      </c>
    </row>
    <row r="62" spans="3:17" x14ac:dyDescent="0.25">
      <c r="C62" s="167" t="s">
        <v>146</v>
      </c>
      <c r="D62" s="114">
        <f t="shared" ca="1" si="22"/>
        <v>2.8368794326241134E-2</v>
      </c>
      <c r="E62" s="114">
        <f t="shared" ca="1" si="23"/>
        <v>0</v>
      </c>
      <c r="F62" s="114">
        <f t="shared" ca="1" si="23"/>
        <v>1</v>
      </c>
      <c r="G62" s="114">
        <f t="shared" ca="1" si="23"/>
        <v>0</v>
      </c>
      <c r="H62" s="114">
        <f t="shared" ca="1" si="23"/>
        <v>0</v>
      </c>
      <c r="I62" s="114">
        <f t="shared" ca="1" si="23"/>
        <v>0</v>
      </c>
      <c r="J62" s="114">
        <f t="shared" ca="1" si="23"/>
        <v>0</v>
      </c>
      <c r="K62" s="114">
        <f t="shared" ca="1" si="23"/>
        <v>0</v>
      </c>
      <c r="L62" s="114">
        <f t="shared" ca="1" si="23"/>
        <v>0</v>
      </c>
      <c r="M62" s="114">
        <f t="shared" ca="1" si="23"/>
        <v>0</v>
      </c>
      <c r="N62" s="114">
        <f t="shared" ca="1" si="23"/>
        <v>0</v>
      </c>
      <c r="O62" s="114">
        <f t="shared" ca="1" si="23"/>
        <v>0</v>
      </c>
      <c r="P62" s="114">
        <f t="shared" ca="1" si="23"/>
        <v>0</v>
      </c>
      <c r="Q62" s="114">
        <f t="shared" ca="1" si="23"/>
        <v>0</v>
      </c>
    </row>
    <row r="63" spans="3:17" x14ac:dyDescent="0.25">
      <c r="C63" s="167" t="s">
        <v>147</v>
      </c>
      <c r="D63" s="114">
        <f ca="1">+D48/$D$49</f>
        <v>8.2742316784869971E-2</v>
      </c>
      <c r="E63" s="114">
        <f t="shared" ca="1" si="23"/>
        <v>0</v>
      </c>
      <c r="F63" s="114">
        <f t="shared" ca="1" si="23"/>
        <v>0</v>
      </c>
      <c r="G63" s="114">
        <f t="shared" ca="1" si="23"/>
        <v>0</v>
      </c>
      <c r="H63" s="114">
        <f t="shared" ca="1" si="23"/>
        <v>0.65714285714285714</v>
      </c>
      <c r="I63" s="114">
        <f t="shared" ca="1" si="23"/>
        <v>0.34285714285714286</v>
      </c>
      <c r="J63" s="114">
        <f t="shared" ca="1" si="23"/>
        <v>0</v>
      </c>
      <c r="K63" s="114">
        <f t="shared" ca="1" si="23"/>
        <v>0</v>
      </c>
      <c r="L63" s="114">
        <f t="shared" ca="1" si="23"/>
        <v>0</v>
      </c>
      <c r="M63" s="114">
        <f t="shared" ca="1" si="23"/>
        <v>0</v>
      </c>
      <c r="N63" s="114">
        <f t="shared" ca="1" si="23"/>
        <v>0</v>
      </c>
      <c r="O63" s="114">
        <f t="shared" ca="1" si="23"/>
        <v>0</v>
      </c>
      <c r="P63" s="114">
        <f t="shared" ca="1" si="23"/>
        <v>0</v>
      </c>
      <c r="Q63" s="114">
        <f t="shared" ca="1" si="23"/>
        <v>0</v>
      </c>
    </row>
    <row r="64" spans="3:17" x14ac:dyDescent="0.25">
      <c r="C64" s="115" t="s">
        <v>126</v>
      </c>
      <c r="D64" s="114">
        <f ca="1">+SUM(D53:D63)</f>
        <v>1</v>
      </c>
      <c r="E64" s="187">
        <f t="shared" ref="E64:M64" ca="1" si="24">+E49/$D49</f>
        <v>4.9645390070921988E-2</v>
      </c>
      <c r="F64" s="187">
        <f t="shared" ca="1" si="24"/>
        <v>0.39479905437352247</v>
      </c>
      <c r="G64" s="187">
        <f t="shared" ca="1" si="24"/>
        <v>0</v>
      </c>
      <c r="H64" s="187">
        <f t="shared" ca="1" si="24"/>
        <v>7.5650118203309691E-2</v>
      </c>
      <c r="I64" s="187">
        <f t="shared" ca="1" si="24"/>
        <v>0.2293144208037825</v>
      </c>
      <c r="J64" s="187">
        <f t="shared" ca="1" si="24"/>
        <v>5.2009456264775412E-2</v>
      </c>
      <c r="K64" s="187">
        <f t="shared" ca="1" si="24"/>
        <v>4.9645390070921988E-2</v>
      </c>
      <c r="L64" s="187">
        <f t="shared" ca="1" si="24"/>
        <v>2.6004728132387706E-2</v>
      </c>
      <c r="M64" s="187">
        <f t="shared" ca="1" si="24"/>
        <v>2.6004728132387706E-2</v>
      </c>
      <c r="N64" s="187">
        <f ca="1">+Q49/$D49</f>
        <v>9.4562647754137114E-3</v>
      </c>
      <c r="O64" s="187">
        <f ca="1">+E64/$D49</f>
        <v>1.1736498834733331E-4</v>
      </c>
      <c r="P64" s="187">
        <f ca="1">+F64/$D49</f>
        <v>9.3333109780974579E-4</v>
      </c>
      <c r="Q64" s="187">
        <f ca="1">+G64/$D49</f>
        <v>0</v>
      </c>
    </row>
  </sheetData>
  <hyperlinks>
    <hyperlink ref="C19" location="fact_contratos_contabilidade_at!A1" display="fact_contratos_contabilidade_at"/>
    <hyperlink ref="C38" location="fact_contratos_contabilidade_at!A1" display="fact_contratos_contabilidade_at"/>
    <hyperlink ref="C53" location="fact_contratos_contabilidade_at!A1" display="fact_contratos_contabilidade_at"/>
  </hyperlink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7" tint="0.59999389629810485"/>
    <pageSetUpPr autoPageBreaks="0"/>
  </sheetPr>
  <dimension ref="A1:Q35"/>
  <sheetViews>
    <sheetView showGridLines="0" zoomScale="85" zoomScaleNormal="85" workbookViewId="0">
      <pane ySplit="12" topLeftCell="A13" activePane="bottomLeft" state="frozen"/>
      <selection pane="bottomLeft"/>
    </sheetView>
  </sheetViews>
  <sheetFormatPr defaultRowHeight="15" outlineLevelRow="1" outlineLevelCol="1" x14ac:dyDescent="0.25"/>
  <cols>
    <col min="1" max="1" width="3.7109375" customWidth="1"/>
    <col min="2" max="2" width="27.5703125" bestFit="1" customWidth="1"/>
    <col min="3" max="3" width="14.7109375" bestFit="1" customWidth="1"/>
    <col min="4" max="4" width="59.7109375" customWidth="1"/>
    <col min="5" max="5" width="66.42578125" bestFit="1" customWidth="1"/>
    <col min="6" max="6" width="2" customWidth="1"/>
    <col min="7" max="7" width="10.7109375" bestFit="1" customWidth="1" outlineLevel="1"/>
    <col min="8" max="8" width="21.42578125" bestFit="1" customWidth="1" outlineLevel="1"/>
    <col min="9" max="9" width="27.140625" bestFit="1" customWidth="1" outlineLevel="1"/>
    <col min="10" max="10" width="2.140625" customWidth="1"/>
    <col min="11" max="11" width="10.28515625" customWidth="1" outlineLevel="1"/>
    <col min="12" max="12" width="22.7109375" bestFit="1" customWidth="1" outlineLevel="1"/>
    <col min="13" max="16" width="22.5703125" customWidth="1" outlineLevel="1"/>
    <col min="17" max="17" width="11.28515625" customWidth="1" outlineLevel="1"/>
  </cols>
  <sheetData>
    <row r="1" spans="1:17" ht="15" customHeight="1" x14ac:dyDescent="0.25">
      <c r="B1" s="47"/>
      <c r="C1" s="47"/>
      <c r="E1" s="47"/>
    </row>
    <row r="2" spans="1:17" ht="34.5" customHeight="1" x14ac:dyDescent="0.25">
      <c r="B2" s="47"/>
      <c r="C2" s="48"/>
      <c r="E2" s="47"/>
    </row>
    <row r="3" spans="1:17" ht="2.25" customHeight="1" x14ac:dyDescent="0.25">
      <c r="A3" s="20"/>
      <c r="B3" s="49"/>
      <c r="C3" s="49"/>
      <c r="D3" s="49"/>
      <c r="E3" s="49"/>
    </row>
    <row r="4" spans="1:17" ht="15" customHeight="1" x14ac:dyDescent="0.25">
      <c r="B4" s="47"/>
      <c r="C4" s="47"/>
      <c r="E4" s="47"/>
    </row>
    <row r="5" spans="1:17" ht="15" customHeight="1" x14ac:dyDescent="0.25">
      <c r="B5" s="50" t="s">
        <v>164</v>
      </c>
      <c r="C5" s="47"/>
      <c r="E5" s="47"/>
    </row>
    <row r="6" spans="1:17" ht="15" customHeight="1" x14ac:dyDescent="0.25">
      <c r="B6" s="47"/>
      <c r="C6" s="47"/>
      <c r="E6" s="47"/>
    </row>
    <row r="7" spans="1:17" ht="106.5" hidden="1" customHeight="1" outlineLevel="1" x14ac:dyDescent="0.25">
      <c r="B7" s="51" t="s">
        <v>65</v>
      </c>
      <c r="C7" s="210" t="s">
        <v>66</v>
      </c>
      <c r="D7" s="210"/>
      <c r="E7" s="210"/>
      <c r="F7" s="52"/>
      <c r="J7" s="52"/>
    </row>
    <row r="8" spans="1:17" hidden="1" outlineLevel="1" x14ac:dyDescent="0.25">
      <c r="B8" s="47"/>
      <c r="C8" s="47"/>
      <c r="E8" s="47"/>
    </row>
    <row r="9" spans="1:17" hidden="1" outlineLevel="1" x14ac:dyDescent="0.25">
      <c r="B9" s="47"/>
      <c r="C9" s="47"/>
      <c r="E9" s="47"/>
    </row>
    <row r="10" spans="1:17" hidden="1" outlineLevel="1" x14ac:dyDescent="0.25">
      <c r="B10" s="47"/>
      <c r="C10" s="47"/>
      <c r="E10" s="47"/>
    </row>
    <row r="11" spans="1:17" collapsed="1" x14ac:dyDescent="0.25">
      <c r="B11" s="218" t="s">
        <v>165</v>
      </c>
      <c r="C11" s="219"/>
      <c r="D11" s="219"/>
      <c r="E11" s="220"/>
      <c r="G11" s="207" t="s">
        <v>71</v>
      </c>
      <c r="H11" s="208"/>
      <c r="I11" s="209"/>
      <c r="K11" s="207" t="s">
        <v>72</v>
      </c>
      <c r="L11" s="208"/>
      <c r="M11" s="208"/>
      <c r="N11" s="208"/>
      <c r="O11" s="208"/>
      <c r="P11" s="208"/>
      <c r="Q11" s="209"/>
    </row>
    <row r="12" spans="1:17" x14ac:dyDescent="0.25">
      <c r="B12" s="60" t="s">
        <v>92</v>
      </c>
      <c r="C12" s="60" t="s">
        <v>98</v>
      </c>
      <c r="D12" s="60" t="s">
        <v>100</v>
      </c>
      <c r="E12" s="60" t="s">
        <v>102</v>
      </c>
      <c r="G12" s="61" t="s">
        <v>86</v>
      </c>
      <c r="H12" s="61" t="s">
        <v>87</v>
      </c>
      <c r="I12" s="61" t="s">
        <v>88</v>
      </c>
      <c r="K12" s="61" t="s">
        <v>86</v>
      </c>
      <c r="L12" s="61" t="s">
        <v>89</v>
      </c>
      <c r="M12" s="61" t="s">
        <v>90</v>
      </c>
      <c r="N12" s="61" t="s">
        <v>166</v>
      </c>
      <c r="O12" s="61" t="s">
        <v>167</v>
      </c>
      <c r="P12" s="61" t="s">
        <v>168</v>
      </c>
      <c r="Q12" s="61" t="s">
        <v>88</v>
      </c>
    </row>
    <row r="13" spans="1:17" ht="30" x14ac:dyDescent="0.25">
      <c r="B13" s="62" t="s">
        <v>169</v>
      </c>
      <c r="C13" s="62" t="s">
        <v>170</v>
      </c>
      <c r="D13" s="80" t="s">
        <v>171</v>
      </c>
      <c r="E13" s="62"/>
      <c r="G13" s="75" t="s">
        <v>97</v>
      </c>
      <c r="H13" s="69">
        <v>44852</v>
      </c>
      <c r="I13" s="72"/>
      <c r="J13" s="47"/>
      <c r="K13" s="75" t="s">
        <v>97</v>
      </c>
      <c r="L13" s="63">
        <v>45009</v>
      </c>
      <c r="M13" s="62"/>
      <c r="N13" s="62"/>
      <c r="O13" s="62"/>
      <c r="P13" s="62"/>
      <c r="Q13" s="62"/>
    </row>
    <row r="14" spans="1:17" x14ac:dyDescent="0.25">
      <c r="B14" s="62" t="s">
        <v>169</v>
      </c>
      <c r="C14" s="62" t="s">
        <v>172</v>
      </c>
      <c r="D14" s="62"/>
      <c r="E14" s="62" t="s">
        <v>173</v>
      </c>
      <c r="G14" s="75" t="s">
        <v>97</v>
      </c>
      <c r="H14" s="69">
        <v>44852</v>
      </c>
      <c r="I14" s="72"/>
      <c r="J14" s="47"/>
      <c r="K14" s="75" t="s">
        <v>97</v>
      </c>
      <c r="L14" s="63">
        <v>45009</v>
      </c>
      <c r="M14" s="62"/>
      <c r="N14" s="62"/>
      <c r="O14" s="62"/>
      <c r="P14" s="62"/>
      <c r="Q14" s="62"/>
    </row>
    <row r="15" spans="1:17" x14ac:dyDescent="0.25">
      <c r="B15" s="62" t="s">
        <v>169</v>
      </c>
      <c r="C15" s="62" t="s">
        <v>170</v>
      </c>
      <c r="D15" s="62"/>
      <c r="E15" s="62" t="s">
        <v>174</v>
      </c>
      <c r="G15" s="75" t="s">
        <v>97</v>
      </c>
      <c r="H15" s="69">
        <v>45126</v>
      </c>
      <c r="I15" s="72"/>
      <c r="J15" s="47"/>
      <c r="K15" s="75" t="s">
        <v>97</v>
      </c>
      <c r="L15" s="69">
        <v>45141</v>
      </c>
      <c r="M15" s="62"/>
      <c r="N15" s="62"/>
      <c r="O15" s="62"/>
      <c r="P15" s="62"/>
      <c r="Q15" s="62"/>
    </row>
    <row r="16" spans="1:17" ht="60" x14ac:dyDescent="0.25">
      <c r="B16" s="62" t="s">
        <v>175</v>
      </c>
      <c r="C16" s="62" t="s">
        <v>170</v>
      </c>
      <c r="D16" s="80" t="s">
        <v>171</v>
      </c>
      <c r="E16" s="62"/>
      <c r="G16" s="75" t="s">
        <v>97</v>
      </c>
      <c r="H16" s="69">
        <v>44852</v>
      </c>
      <c r="I16" s="80" t="s">
        <v>176</v>
      </c>
      <c r="J16" s="47"/>
      <c r="K16" s="75" t="s">
        <v>97</v>
      </c>
      <c r="L16" s="63">
        <v>45009</v>
      </c>
      <c r="M16" s="62"/>
      <c r="N16" s="62"/>
      <c r="O16" s="62"/>
      <c r="P16" s="62"/>
      <c r="Q16" s="62"/>
    </row>
    <row r="17" spans="2:17" x14ac:dyDescent="0.25">
      <c r="B17" s="62" t="s">
        <v>175</v>
      </c>
      <c r="C17" s="62" t="s">
        <v>172</v>
      </c>
      <c r="D17" s="62"/>
      <c r="E17" s="62" t="s">
        <v>173</v>
      </c>
      <c r="G17" s="75" t="s">
        <v>97</v>
      </c>
      <c r="H17" s="69">
        <v>44852</v>
      </c>
      <c r="I17" s="62"/>
      <c r="J17" s="47"/>
      <c r="K17" s="75" t="s">
        <v>97</v>
      </c>
      <c r="L17" s="63">
        <v>45009</v>
      </c>
      <c r="M17" s="62"/>
      <c r="N17" s="62"/>
      <c r="O17" s="62"/>
      <c r="P17" s="62"/>
      <c r="Q17" s="62"/>
    </row>
    <row r="18" spans="2:17" x14ac:dyDescent="0.25">
      <c r="B18" s="62" t="s">
        <v>175</v>
      </c>
      <c r="C18" s="62" t="s">
        <v>170</v>
      </c>
      <c r="D18" s="62"/>
      <c r="E18" s="62" t="s">
        <v>174</v>
      </c>
      <c r="G18" s="75" t="s">
        <v>97</v>
      </c>
      <c r="H18" s="69">
        <v>45126</v>
      </c>
      <c r="I18" s="62"/>
      <c r="J18" s="47"/>
      <c r="K18" s="75" t="s">
        <v>97</v>
      </c>
      <c r="L18" s="69">
        <v>45141</v>
      </c>
      <c r="M18" s="62"/>
      <c r="N18" s="62"/>
      <c r="O18" s="62"/>
      <c r="P18" s="62"/>
      <c r="Q18" s="62"/>
    </row>
    <row r="19" spans="2:17" ht="60" x14ac:dyDescent="0.25">
      <c r="B19" s="62" t="s">
        <v>177</v>
      </c>
      <c r="C19" s="62" t="s">
        <v>170</v>
      </c>
      <c r="D19" s="80" t="s">
        <v>171</v>
      </c>
      <c r="E19" s="62"/>
      <c r="G19" s="75" t="s">
        <v>97</v>
      </c>
      <c r="H19" s="69">
        <v>44852</v>
      </c>
      <c r="I19" s="80" t="s">
        <v>176</v>
      </c>
      <c r="J19" s="47"/>
      <c r="K19" s="75" t="s">
        <v>97</v>
      </c>
      <c r="L19" s="63">
        <v>45009</v>
      </c>
      <c r="M19" s="62"/>
      <c r="N19" s="62"/>
      <c r="O19" s="62"/>
      <c r="P19" s="62"/>
      <c r="Q19" s="62"/>
    </row>
    <row r="20" spans="2:17" x14ac:dyDescent="0.25">
      <c r="B20" s="62" t="s">
        <v>177</v>
      </c>
      <c r="C20" s="62" t="s">
        <v>172</v>
      </c>
      <c r="D20" s="62"/>
      <c r="E20" s="62" t="s">
        <v>173</v>
      </c>
      <c r="G20" s="75" t="s">
        <v>97</v>
      </c>
      <c r="H20" s="69">
        <v>44852</v>
      </c>
      <c r="I20" s="62"/>
      <c r="J20" s="47"/>
      <c r="K20" s="75" t="s">
        <v>97</v>
      </c>
      <c r="L20" s="63">
        <v>45009</v>
      </c>
      <c r="M20" s="62"/>
      <c r="N20" s="62"/>
      <c r="O20" s="62"/>
      <c r="P20" s="62"/>
      <c r="Q20" s="62"/>
    </row>
    <row r="21" spans="2:17" x14ac:dyDescent="0.25">
      <c r="B21" s="62" t="s">
        <v>177</v>
      </c>
      <c r="C21" s="62" t="s">
        <v>170</v>
      </c>
      <c r="D21" s="62"/>
      <c r="E21" s="62" t="s">
        <v>174</v>
      </c>
      <c r="G21" s="75" t="s">
        <v>97</v>
      </c>
      <c r="H21" s="69">
        <v>45126</v>
      </c>
      <c r="I21" s="62"/>
      <c r="J21" s="47"/>
      <c r="K21" s="75" t="s">
        <v>97</v>
      </c>
      <c r="L21" s="69">
        <v>45141</v>
      </c>
      <c r="M21" s="62"/>
      <c r="N21" s="62"/>
      <c r="O21" s="62"/>
      <c r="P21" s="62"/>
      <c r="Q21" s="62"/>
    </row>
    <row r="22" spans="2:17" x14ac:dyDescent="0.25">
      <c r="B22" s="62"/>
      <c r="C22" s="62"/>
      <c r="D22" s="62"/>
      <c r="E22" s="62"/>
      <c r="G22" s="75"/>
      <c r="H22" s="62"/>
      <c r="I22" s="62"/>
      <c r="J22" s="47"/>
      <c r="K22" s="75"/>
      <c r="L22" s="63"/>
      <c r="M22" s="62"/>
      <c r="N22" s="62"/>
      <c r="O22" s="62"/>
      <c r="P22" s="62"/>
      <c r="Q22" s="62"/>
    </row>
    <row r="23" spans="2:17" x14ac:dyDescent="0.25">
      <c r="B23" s="62"/>
      <c r="C23" s="62"/>
      <c r="D23" s="62"/>
      <c r="E23" s="62"/>
      <c r="G23" s="75"/>
      <c r="H23" s="62"/>
      <c r="I23" s="62"/>
      <c r="J23" s="47"/>
      <c r="K23" s="75"/>
      <c r="L23" s="63"/>
      <c r="M23" s="62"/>
      <c r="N23" s="62"/>
      <c r="O23" s="62"/>
      <c r="P23" s="62"/>
      <c r="Q23" s="62"/>
    </row>
    <row r="24" spans="2:17" x14ac:dyDescent="0.25">
      <c r="B24" s="62"/>
      <c r="C24" s="62"/>
      <c r="D24" s="62"/>
      <c r="E24" s="62"/>
      <c r="G24" s="75"/>
      <c r="H24" s="62"/>
      <c r="I24" s="62"/>
      <c r="J24" s="47"/>
      <c r="K24" s="75"/>
      <c r="L24" s="62"/>
      <c r="M24" s="62"/>
      <c r="N24" s="62"/>
      <c r="O24" s="62"/>
      <c r="P24" s="62"/>
      <c r="Q24" s="62"/>
    </row>
    <row r="25" spans="2:17" x14ac:dyDescent="0.25">
      <c r="B25" s="62"/>
      <c r="C25" s="62"/>
      <c r="D25" s="62"/>
      <c r="E25" s="62"/>
      <c r="G25" s="75"/>
      <c r="H25" s="62"/>
      <c r="I25" s="62"/>
      <c r="J25" s="47"/>
      <c r="K25" s="75"/>
      <c r="L25" s="62"/>
      <c r="M25" s="62"/>
      <c r="N25" s="62"/>
      <c r="O25" s="62"/>
      <c r="P25" s="62"/>
      <c r="Q25" s="62"/>
    </row>
    <row r="26" spans="2:17" x14ac:dyDescent="0.25">
      <c r="B26" s="62"/>
      <c r="C26" s="62"/>
      <c r="D26" s="62"/>
      <c r="E26" s="62"/>
      <c r="G26" s="75"/>
      <c r="H26" s="62"/>
      <c r="I26" s="62"/>
      <c r="J26" s="47"/>
      <c r="K26" s="75"/>
      <c r="L26" s="62"/>
      <c r="M26" s="62"/>
      <c r="N26" s="62"/>
      <c r="O26" s="62"/>
      <c r="P26" s="62"/>
      <c r="Q26" s="62"/>
    </row>
    <row r="27" spans="2:17" x14ac:dyDescent="0.25">
      <c r="B27" s="62"/>
      <c r="C27" s="62"/>
      <c r="D27" s="62"/>
      <c r="E27" s="62"/>
      <c r="G27" s="75"/>
      <c r="H27" s="62"/>
      <c r="I27" s="62"/>
      <c r="J27" s="47"/>
      <c r="K27" s="75"/>
      <c r="L27" s="62"/>
      <c r="M27" s="62"/>
      <c r="N27" s="62"/>
      <c r="O27" s="62"/>
      <c r="P27" s="62"/>
      <c r="Q27" s="62"/>
    </row>
    <row r="28" spans="2:17" x14ac:dyDescent="0.25">
      <c r="B28" s="62"/>
      <c r="C28" s="62"/>
      <c r="D28" s="62"/>
      <c r="E28" s="62"/>
      <c r="G28" s="75"/>
      <c r="H28" s="62"/>
      <c r="I28" s="62"/>
      <c r="J28" s="47"/>
      <c r="K28" s="75"/>
      <c r="L28" s="62"/>
      <c r="M28" s="62"/>
      <c r="N28" s="62"/>
      <c r="O28" s="62"/>
      <c r="P28" s="62"/>
      <c r="Q28" s="62"/>
    </row>
    <row r="29" spans="2:17" x14ac:dyDescent="0.25">
      <c r="B29" s="62"/>
      <c r="C29" s="62"/>
      <c r="D29" s="62"/>
      <c r="E29" s="62"/>
      <c r="G29" s="75"/>
      <c r="H29" s="62"/>
      <c r="I29" s="62"/>
      <c r="J29" s="47"/>
      <c r="K29" s="75"/>
      <c r="L29" s="62"/>
      <c r="M29" s="62"/>
      <c r="N29" s="62"/>
      <c r="O29" s="62"/>
      <c r="P29" s="62"/>
      <c r="Q29" s="62"/>
    </row>
    <row r="30" spans="2:17" x14ac:dyDescent="0.25">
      <c r="B30" s="62"/>
      <c r="C30" s="62"/>
      <c r="D30" s="62"/>
      <c r="E30" s="62"/>
      <c r="G30" s="75"/>
      <c r="H30" s="62"/>
      <c r="I30" s="62"/>
      <c r="J30" s="47"/>
      <c r="K30" s="75"/>
      <c r="L30" s="62"/>
      <c r="M30" s="62"/>
      <c r="N30" s="62"/>
      <c r="O30" s="62"/>
      <c r="P30" s="62"/>
      <c r="Q30" s="62"/>
    </row>
    <row r="31" spans="2:17" x14ac:dyDescent="0.25">
      <c r="B31" s="62"/>
      <c r="C31" s="62"/>
      <c r="D31" s="62"/>
      <c r="E31" s="62"/>
      <c r="G31" s="75"/>
      <c r="H31" s="62"/>
      <c r="I31" s="62"/>
      <c r="J31" s="47"/>
      <c r="K31" s="75"/>
      <c r="L31" s="62"/>
      <c r="M31" s="62"/>
      <c r="N31" s="62"/>
      <c r="O31" s="62"/>
      <c r="P31" s="62"/>
      <c r="Q31" s="62"/>
    </row>
    <row r="32" spans="2:17" x14ac:dyDescent="0.25">
      <c r="B32" s="62"/>
      <c r="C32" s="62"/>
      <c r="D32" s="62"/>
      <c r="E32" s="62"/>
      <c r="G32" s="75"/>
      <c r="H32" s="62"/>
      <c r="I32" s="62"/>
      <c r="J32" s="47"/>
      <c r="K32" s="75"/>
      <c r="L32" s="62"/>
      <c r="M32" s="62"/>
      <c r="N32" s="62"/>
      <c r="O32" s="62"/>
      <c r="P32" s="62"/>
      <c r="Q32" s="62"/>
    </row>
    <row r="33" spans="2:17" x14ac:dyDescent="0.25">
      <c r="B33" s="62"/>
      <c r="C33" s="62"/>
      <c r="D33" s="62"/>
      <c r="E33" s="62"/>
      <c r="G33" s="75"/>
      <c r="H33" s="62"/>
      <c r="I33" s="62"/>
      <c r="J33" s="47"/>
      <c r="K33" s="75"/>
      <c r="L33" s="62"/>
      <c r="M33" s="62"/>
      <c r="N33" s="62"/>
      <c r="O33" s="62"/>
      <c r="P33" s="62"/>
      <c r="Q33" s="62"/>
    </row>
    <row r="34" spans="2:17" x14ac:dyDescent="0.25">
      <c r="B34" s="62"/>
      <c r="C34" s="62"/>
      <c r="D34" s="62"/>
      <c r="E34" s="62"/>
      <c r="G34" s="75"/>
      <c r="H34" s="62"/>
      <c r="I34" s="62"/>
      <c r="J34" s="47"/>
      <c r="K34" s="75"/>
      <c r="L34" s="62"/>
      <c r="M34" s="62"/>
      <c r="N34" s="62"/>
      <c r="O34" s="62"/>
      <c r="P34" s="62"/>
      <c r="Q34" s="62"/>
    </row>
    <row r="35" spans="2:17" x14ac:dyDescent="0.25">
      <c r="B35" s="62"/>
      <c r="C35" s="62"/>
      <c r="D35" s="62"/>
      <c r="E35" s="62"/>
      <c r="G35" s="75"/>
      <c r="H35" s="62"/>
      <c r="I35" s="62"/>
      <c r="J35" s="47"/>
      <c r="K35" s="75"/>
      <c r="L35" s="62"/>
      <c r="M35" s="62"/>
      <c r="N35" s="62"/>
      <c r="O35" s="62"/>
      <c r="P35" s="62"/>
      <c r="Q35" s="62"/>
    </row>
  </sheetData>
  <autoFilter ref="B12:Q12"/>
  <mergeCells count="4">
    <mergeCell ref="G11:I11"/>
    <mergeCell ref="B11:E11"/>
    <mergeCell ref="C7:E7"/>
    <mergeCell ref="K11:Q11"/>
  </mergeCells>
  <conditionalFormatting sqref="G13:G1048576">
    <cfRule type="cellIs" dxfId="1376" priority="17" operator="equal">
      <formula>"Testes utilizador"</formula>
    </cfRule>
  </conditionalFormatting>
  <conditionalFormatting sqref="K13:K1048576">
    <cfRule type="cellIs" dxfId="1375" priority="7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8" operator="equal" id="{F6F60C48-0627-4ACE-864B-C02C44B33FCE}">
            <xm:f>'Tabelas AUX'!$E$5</xm:f>
            <x14:dxf>
              <font>
                <color rgb="FF00B050"/>
              </font>
            </x14:dxf>
          </x14:cfRule>
          <x14:cfRule type="cellIs" priority="19" operator="equal" id="{656EF364-63EF-4422-BF40-0F8640DACE56}">
            <xm:f>'Tabelas AUX'!$E$4</xm:f>
            <x14:dxf>
              <font>
                <color rgb="FF7F7F7F"/>
              </font>
            </x14:dxf>
          </x14:cfRule>
          <x14:cfRule type="cellIs" priority="20" operator="equal" id="{A26A3F60-94FC-4EF6-B926-8EB45716F3DC}">
            <xm:f>'Tabelas AUX'!$E$3</xm:f>
            <x14:dxf>
              <font>
                <color theme="5"/>
              </font>
            </x14:dxf>
          </x14:cfRule>
          <x14:cfRule type="cellIs" priority="21" operator="equal" id="{FC5B2955-8C66-441A-9A56-147620280945}">
            <xm:f>'Tabelas AUX'!$E$2</xm:f>
            <x14:dxf>
              <font>
                <color rgb="FFC00000"/>
              </font>
            </x14:dxf>
          </x14:cfRule>
          <xm:sqref>G13:G1048576</xm:sqref>
        </x14:conditionalFormatting>
        <x14:conditionalFormatting xmlns:xm="http://schemas.microsoft.com/office/excel/2006/main">
          <x14:cfRule type="cellIs" priority="5" operator="equal" id="{401A3E8B-7160-4194-A0C5-EA666718B910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6" operator="equal" id="{2D87A038-FB95-4AA7-9001-1068B22492FB}">
            <xm:f>'Tabelas AUX'!$E$5</xm:f>
            <x14:dxf>
              <font>
                <color rgb="FF00B050"/>
              </font>
            </x14:dxf>
          </x14:cfRule>
          <xm:sqref>H15</xm:sqref>
        </x14:conditionalFormatting>
        <x14:conditionalFormatting xmlns:xm="http://schemas.microsoft.com/office/excel/2006/main">
          <x14:cfRule type="cellIs" priority="3" operator="equal" id="{0711A5C7-A6F1-40F2-9826-3AD19F5A2507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4" operator="equal" id="{8C143C2F-976A-49D0-BFBC-161F7B21145B}">
            <xm:f>'Tabelas AUX'!$E$5</xm:f>
            <x14:dxf>
              <font>
                <color rgb="FF00B050"/>
              </font>
            </x14:dxf>
          </x14:cfRule>
          <xm:sqref>H18</xm:sqref>
        </x14:conditionalFormatting>
        <x14:conditionalFormatting xmlns:xm="http://schemas.microsoft.com/office/excel/2006/main">
          <x14:cfRule type="cellIs" priority="1" operator="equal" id="{C529CDEA-E0F1-497B-8F7B-88435609A957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2" operator="equal" id="{A15D138B-17F8-4E61-B9DF-8888EE4B33BA}">
            <xm:f>'Tabelas AUX'!$E$5</xm:f>
            <x14:dxf>
              <font>
                <color rgb="FF00B050"/>
              </font>
            </x14:dxf>
          </x14:cfRule>
          <xm:sqref>H21</xm:sqref>
        </x14:conditionalFormatting>
        <x14:conditionalFormatting xmlns:xm="http://schemas.microsoft.com/office/excel/2006/main">
          <x14:cfRule type="cellIs" priority="8" operator="equal" id="{9AF8F0E0-6272-40C6-94C5-E2B368CF51C8}">
            <xm:f>'Tabelas AUX'!$E$5</xm:f>
            <x14:dxf>
              <font>
                <color rgb="FF00B050"/>
              </font>
            </x14:dxf>
          </x14:cfRule>
          <x14:cfRule type="cellIs" priority="9" operator="equal" id="{99BAFC58-536D-4461-AFEE-30685AB4BAEE}">
            <xm:f>'Tabelas AUX'!$E$4</xm:f>
            <x14:dxf>
              <font>
                <color rgb="FF7F7F7F"/>
              </font>
            </x14:dxf>
          </x14:cfRule>
          <x14:cfRule type="cellIs" priority="10" operator="equal" id="{87F13538-D945-4500-A416-4E7D65255910}">
            <xm:f>'Tabelas AUX'!$E$3</xm:f>
            <x14:dxf>
              <font>
                <color theme="5"/>
              </font>
            </x14:dxf>
          </x14:cfRule>
          <x14:cfRule type="cellIs" priority="11" operator="equal" id="{45DA0C4E-589E-4089-BDCE-04D373B05CD1}">
            <xm:f>'Tabelas AUX'!$E$2</xm:f>
            <x14:dxf>
              <font>
                <color rgb="FFC00000"/>
              </font>
            </x14:dxf>
          </x14:cfRule>
          <xm:sqref>K13:K1048576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'Tabelas AUX'!$E$2:$E$5</xm:f>
          </x14:formula1>
          <xm:sqref>G13:G35</xm:sqref>
        </x14:dataValidation>
        <x14:dataValidation type="list" allowBlank="1" showInputMessage="1" showErrorMessage="1">
          <x14:formula1>
            <xm:f>'Tabelas AUX'!$G$2:$G$13</xm:f>
          </x14:formula1>
          <xm:sqref>K13:K35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7" tint="0.59999389629810485"/>
    <pageSetUpPr autoPageBreaks="0"/>
  </sheetPr>
  <dimension ref="A1:S21"/>
  <sheetViews>
    <sheetView showGridLines="0" zoomScale="77" zoomScaleNormal="85" workbookViewId="0">
      <pane ySplit="12" topLeftCell="A13" activePane="bottomLeft" state="frozen"/>
      <selection pane="bottomLeft" activeCell="E14" sqref="E14"/>
    </sheetView>
  </sheetViews>
  <sheetFormatPr defaultRowHeight="15" outlineLevelRow="1" outlineLevelCol="1" x14ac:dyDescent="0.25"/>
  <cols>
    <col min="1" max="1" width="3.7109375" customWidth="1"/>
    <col min="2" max="2" width="23.140625" customWidth="1"/>
    <col min="3" max="3" width="14.7109375" bestFit="1" customWidth="1"/>
    <col min="4" max="4" width="52.28515625" bestFit="1" customWidth="1"/>
    <col min="5" max="5" width="29.140625" bestFit="1" customWidth="1"/>
    <col min="6" max="6" width="55.85546875" bestFit="1" customWidth="1"/>
    <col min="7" max="7" width="22.140625" bestFit="1" customWidth="1"/>
    <col min="8" max="8" width="2.140625" customWidth="1" collapsed="1"/>
    <col min="9" max="9" width="14.140625" customWidth="1" outlineLevel="1"/>
    <col min="10" max="10" width="19.140625" bestFit="1" customWidth="1" outlineLevel="1"/>
    <col min="11" max="11" width="42.7109375" customWidth="1" outlineLevel="1"/>
    <col min="12" max="12" width="2.140625" customWidth="1"/>
    <col min="13" max="13" width="10.28515625" customWidth="1" outlineLevel="1"/>
    <col min="14" max="14" width="22.7109375" bestFit="1" customWidth="1" outlineLevel="1"/>
    <col min="15" max="18" width="22.5703125" customWidth="1" outlineLevel="1"/>
    <col min="19" max="19" width="11.28515625" customWidth="1" outlineLevel="1"/>
  </cols>
  <sheetData>
    <row r="1" spans="1:19" ht="15" customHeight="1" x14ac:dyDescent="0.25">
      <c r="B1" s="47"/>
      <c r="C1" s="47"/>
      <c r="E1" s="47"/>
      <c r="F1" s="47"/>
    </row>
    <row r="2" spans="1:19" ht="34.5" customHeight="1" x14ac:dyDescent="0.25">
      <c r="B2" s="47"/>
      <c r="C2" s="48"/>
      <c r="E2" s="47"/>
      <c r="F2" s="47"/>
    </row>
    <row r="3" spans="1:19" ht="2.25" customHeight="1" x14ac:dyDescent="0.25">
      <c r="A3" s="20"/>
      <c r="B3" s="49"/>
      <c r="C3" s="49"/>
      <c r="D3" s="49"/>
      <c r="E3" s="49"/>
      <c r="F3" s="49"/>
      <c r="G3" s="49"/>
    </row>
    <row r="4" spans="1:19" ht="15" customHeight="1" x14ac:dyDescent="0.25">
      <c r="B4" s="47"/>
      <c r="C4" s="47"/>
      <c r="E4" s="47"/>
      <c r="F4" s="47"/>
    </row>
    <row r="5" spans="1:19" ht="15" customHeight="1" x14ac:dyDescent="0.25">
      <c r="B5" s="50" t="s">
        <v>178</v>
      </c>
      <c r="C5" s="47"/>
      <c r="E5" s="47"/>
      <c r="F5" s="47"/>
    </row>
    <row r="6" spans="1:19" ht="15" customHeight="1" x14ac:dyDescent="0.25">
      <c r="B6" s="47"/>
      <c r="C6" s="47"/>
      <c r="E6" s="47"/>
      <c r="F6" s="47"/>
    </row>
    <row r="7" spans="1:19" ht="72" customHeight="1" outlineLevel="1" x14ac:dyDescent="0.25">
      <c r="B7" s="51" t="s">
        <v>65</v>
      </c>
      <c r="C7" s="221" t="s">
        <v>179</v>
      </c>
      <c r="D7" s="221"/>
      <c r="E7" s="221"/>
      <c r="F7" s="221"/>
      <c r="G7" s="52"/>
      <c r="H7" s="52"/>
      <c r="L7" s="52"/>
    </row>
    <row r="8" spans="1:19" outlineLevel="1" x14ac:dyDescent="0.25">
      <c r="B8" s="47"/>
      <c r="C8" s="47"/>
      <c r="E8" s="47"/>
      <c r="F8" s="47"/>
    </row>
    <row r="9" spans="1:19" outlineLevel="1" x14ac:dyDescent="0.25">
      <c r="B9" s="47"/>
      <c r="C9" s="47"/>
      <c r="E9" s="47"/>
      <c r="F9" s="47"/>
    </row>
    <row r="10" spans="1:19" outlineLevel="1" x14ac:dyDescent="0.25">
      <c r="B10" s="47"/>
      <c r="C10" s="47"/>
      <c r="E10" s="47"/>
      <c r="F10" s="47"/>
    </row>
    <row r="11" spans="1:19" x14ac:dyDescent="0.25">
      <c r="B11" s="218" t="s">
        <v>180</v>
      </c>
      <c r="C11" s="219"/>
      <c r="D11" s="219"/>
      <c r="E11" s="219"/>
      <c r="F11" s="219"/>
      <c r="G11" s="219"/>
      <c r="I11" s="207" t="s">
        <v>71</v>
      </c>
      <c r="J11" s="208"/>
      <c r="K11" s="209"/>
      <c r="M11" s="207" t="s">
        <v>72</v>
      </c>
      <c r="N11" s="208"/>
      <c r="O11" s="208"/>
      <c r="P11" s="208"/>
      <c r="Q11" s="208"/>
      <c r="R11" s="208"/>
      <c r="S11" s="209"/>
    </row>
    <row r="12" spans="1:19" x14ac:dyDescent="0.25">
      <c r="B12" s="60" t="s">
        <v>181</v>
      </c>
      <c r="C12" s="60" t="s">
        <v>98</v>
      </c>
      <c r="D12" s="60" t="s">
        <v>100</v>
      </c>
      <c r="E12" s="60" t="s">
        <v>102</v>
      </c>
      <c r="F12" s="60" t="s">
        <v>182</v>
      </c>
      <c r="G12" s="60" t="s">
        <v>183</v>
      </c>
      <c r="I12" s="61" t="s">
        <v>86</v>
      </c>
      <c r="J12" s="61" t="s">
        <v>87</v>
      </c>
      <c r="K12" s="61" t="s">
        <v>88</v>
      </c>
      <c r="M12" s="61" t="s">
        <v>86</v>
      </c>
      <c r="N12" s="61" t="s">
        <v>89</v>
      </c>
      <c r="O12" s="61" t="s">
        <v>90</v>
      </c>
      <c r="P12" s="61" t="s">
        <v>166</v>
      </c>
      <c r="Q12" s="61" t="s">
        <v>167</v>
      </c>
      <c r="R12" s="61" t="s">
        <v>168</v>
      </c>
      <c r="S12" s="61" t="s">
        <v>88</v>
      </c>
    </row>
    <row r="13" spans="1:19" ht="45" x14ac:dyDescent="0.25">
      <c r="B13" s="103" t="s">
        <v>184</v>
      </c>
      <c r="C13" s="103" t="s">
        <v>170</v>
      </c>
      <c r="D13" s="104"/>
      <c r="E13" s="103"/>
      <c r="F13" s="104" t="s">
        <v>185</v>
      </c>
      <c r="G13" s="103" t="s">
        <v>186</v>
      </c>
      <c r="H13" s="124"/>
      <c r="I13" s="75" t="s">
        <v>97</v>
      </c>
      <c r="J13" s="123">
        <v>44950</v>
      </c>
      <c r="K13" s="104" t="s">
        <v>187</v>
      </c>
      <c r="L13" s="47"/>
      <c r="M13" s="75" t="s">
        <v>97</v>
      </c>
      <c r="N13" s="63">
        <v>45009</v>
      </c>
      <c r="O13" s="62"/>
      <c r="P13" s="62"/>
      <c r="Q13" s="62"/>
      <c r="R13" s="62"/>
      <c r="S13" s="62"/>
    </row>
    <row r="14" spans="1:19" ht="45" x14ac:dyDescent="0.25">
      <c r="B14" s="103" t="s">
        <v>188</v>
      </c>
      <c r="C14" s="103" t="s">
        <v>170</v>
      </c>
      <c r="D14" s="104"/>
      <c r="E14" s="103"/>
      <c r="F14" s="104" t="s">
        <v>189</v>
      </c>
      <c r="G14" s="103" t="s">
        <v>186</v>
      </c>
      <c r="H14" s="122"/>
      <c r="I14" s="75" t="s">
        <v>97</v>
      </c>
      <c r="J14" s="123">
        <v>44950</v>
      </c>
      <c r="K14" s="104" t="s">
        <v>187</v>
      </c>
      <c r="L14" s="47"/>
      <c r="M14" s="75" t="s">
        <v>97</v>
      </c>
      <c r="N14" s="63">
        <v>45009</v>
      </c>
      <c r="O14" s="62"/>
      <c r="P14" s="62"/>
      <c r="Q14" s="62"/>
      <c r="R14" s="62"/>
      <c r="S14" s="62"/>
    </row>
    <row r="15" spans="1:19" ht="45" x14ac:dyDescent="0.25">
      <c r="B15" s="103" t="s">
        <v>190</v>
      </c>
      <c r="C15" s="103" t="s">
        <v>170</v>
      </c>
      <c r="D15" s="104"/>
      <c r="E15" s="103"/>
      <c r="F15" s="104" t="s">
        <v>191</v>
      </c>
      <c r="G15" s="103" t="s">
        <v>186</v>
      </c>
      <c r="H15" s="124"/>
      <c r="I15" s="75" t="s">
        <v>97</v>
      </c>
      <c r="J15" s="123">
        <v>44950</v>
      </c>
      <c r="K15" s="104" t="s">
        <v>187</v>
      </c>
      <c r="L15" s="47"/>
      <c r="M15" s="75" t="s">
        <v>97</v>
      </c>
      <c r="N15" s="63">
        <v>45009</v>
      </c>
      <c r="O15" s="62"/>
      <c r="P15" s="62"/>
      <c r="Q15" s="62"/>
      <c r="R15" s="62"/>
      <c r="S15" s="62"/>
    </row>
    <row r="16" spans="1:19" ht="45" x14ac:dyDescent="0.25">
      <c r="B16" s="103" t="s">
        <v>192</v>
      </c>
      <c r="C16" s="103" t="s">
        <v>170</v>
      </c>
      <c r="D16" s="104"/>
      <c r="E16" s="103"/>
      <c r="F16" s="104" t="s">
        <v>193</v>
      </c>
      <c r="G16" s="103" t="s">
        <v>186</v>
      </c>
      <c r="H16" s="122"/>
      <c r="I16" s="75" t="s">
        <v>97</v>
      </c>
      <c r="J16" s="123">
        <v>44950</v>
      </c>
      <c r="K16" s="104" t="s">
        <v>187</v>
      </c>
      <c r="L16" s="47"/>
      <c r="M16" s="75" t="s">
        <v>97</v>
      </c>
      <c r="N16" s="63">
        <v>45009</v>
      </c>
      <c r="O16" s="62"/>
      <c r="P16" s="62"/>
      <c r="Q16" s="62"/>
      <c r="R16" s="62"/>
      <c r="S16" s="62"/>
    </row>
    <row r="17" spans="2:19" ht="45" x14ac:dyDescent="0.25">
      <c r="B17" s="103" t="s">
        <v>194</v>
      </c>
      <c r="C17" s="103" t="s">
        <v>195</v>
      </c>
      <c r="D17" s="104"/>
      <c r="E17" s="103"/>
      <c r="F17" s="104" t="s">
        <v>196</v>
      </c>
      <c r="G17" s="103"/>
      <c r="H17" s="122"/>
      <c r="I17" s="75" t="s">
        <v>97</v>
      </c>
      <c r="J17" s="123">
        <v>45280</v>
      </c>
      <c r="K17" s="104" t="s">
        <v>187</v>
      </c>
      <c r="L17" s="47"/>
      <c r="M17" s="75" t="s">
        <v>197</v>
      </c>
      <c r="N17" s="63">
        <v>45009</v>
      </c>
      <c r="O17" s="62"/>
      <c r="P17" s="62"/>
      <c r="Q17" s="62"/>
      <c r="R17" s="62"/>
      <c r="S17" s="62"/>
    </row>
    <row r="18" spans="2:19" ht="45" x14ac:dyDescent="0.25">
      <c r="B18" s="103" t="s">
        <v>198</v>
      </c>
      <c r="C18" s="103" t="s">
        <v>170</v>
      </c>
      <c r="D18" s="103"/>
      <c r="E18" s="103"/>
      <c r="F18" s="103"/>
      <c r="G18" s="103" t="s">
        <v>199</v>
      </c>
      <c r="H18" s="124"/>
      <c r="I18" s="75" t="s">
        <v>97</v>
      </c>
      <c r="J18" s="123">
        <v>44847</v>
      </c>
      <c r="K18" s="104" t="s">
        <v>200</v>
      </c>
      <c r="L18" s="47"/>
      <c r="M18" s="75" t="s">
        <v>97</v>
      </c>
      <c r="N18" s="63">
        <v>45009</v>
      </c>
      <c r="O18" s="62"/>
      <c r="P18" s="62"/>
      <c r="Q18" s="62"/>
      <c r="R18" s="62"/>
      <c r="S18" s="62"/>
    </row>
    <row r="19" spans="2:19" ht="57" customHeight="1" x14ac:dyDescent="0.25">
      <c r="B19" s="103" t="s">
        <v>201</v>
      </c>
      <c r="C19" s="103"/>
      <c r="D19" s="103" t="s">
        <v>202</v>
      </c>
      <c r="E19" s="103"/>
      <c r="F19" s="103"/>
      <c r="G19" s="103"/>
      <c r="H19" s="124"/>
      <c r="I19" s="75" t="s">
        <v>97</v>
      </c>
      <c r="J19" s="123">
        <v>44847</v>
      </c>
      <c r="K19" s="104" t="s">
        <v>203</v>
      </c>
      <c r="L19" s="47"/>
      <c r="M19" s="75" t="s">
        <v>97</v>
      </c>
      <c r="N19" s="63">
        <v>45009</v>
      </c>
      <c r="O19" s="62"/>
      <c r="P19" s="62"/>
      <c r="Q19" s="62"/>
      <c r="R19" s="62"/>
      <c r="S19" s="62"/>
    </row>
    <row r="20" spans="2:19" ht="45" x14ac:dyDescent="0.25">
      <c r="B20" s="103" t="s">
        <v>204</v>
      </c>
      <c r="C20" s="103" t="s">
        <v>172</v>
      </c>
      <c r="D20" s="103"/>
      <c r="E20" s="103"/>
      <c r="F20" s="103"/>
      <c r="G20" s="103"/>
      <c r="H20" s="122"/>
      <c r="I20" s="75" t="s">
        <v>97</v>
      </c>
      <c r="J20" s="123">
        <v>44847</v>
      </c>
      <c r="K20" s="104" t="s">
        <v>205</v>
      </c>
      <c r="L20" s="47"/>
      <c r="M20" s="75" t="s">
        <v>97</v>
      </c>
      <c r="N20" s="63">
        <v>45009</v>
      </c>
      <c r="O20" s="62"/>
      <c r="P20" s="62"/>
      <c r="Q20" s="62"/>
      <c r="R20" s="62"/>
      <c r="S20" s="62"/>
    </row>
    <row r="21" spans="2:19" x14ac:dyDescent="0.25">
      <c r="B21" s="103"/>
      <c r="C21" s="103"/>
      <c r="D21" s="103"/>
      <c r="E21" s="103"/>
      <c r="F21" s="103"/>
      <c r="G21" s="103"/>
      <c r="H21" s="122"/>
      <c r="I21" s="75"/>
      <c r="J21" s="123"/>
      <c r="K21" s="104"/>
      <c r="L21" s="47"/>
      <c r="M21" s="75"/>
      <c r="N21" s="63"/>
      <c r="O21" s="62"/>
      <c r="P21" s="62"/>
      <c r="Q21" s="62"/>
      <c r="R21" s="62"/>
      <c r="S21" s="62"/>
    </row>
  </sheetData>
  <autoFilter ref="B12:G21"/>
  <mergeCells count="4">
    <mergeCell ref="C7:F7"/>
    <mergeCell ref="I11:K11"/>
    <mergeCell ref="B11:G11"/>
    <mergeCell ref="M11:S11"/>
  </mergeCells>
  <conditionalFormatting sqref="I22:I1048576 M22:M1048576">
    <cfRule type="cellIs" dxfId="1360" priority="61" operator="equal">
      <formula>"Testes utilizador"</formula>
    </cfRule>
  </conditionalFormatting>
  <conditionalFormatting sqref="I13">
    <cfRule type="cellIs" dxfId="1359" priority="51" operator="equal">
      <formula>"Testes utilizador"</formula>
    </cfRule>
  </conditionalFormatting>
  <conditionalFormatting sqref="I14:I21">
    <cfRule type="cellIs" dxfId="1358" priority="46" operator="equal">
      <formula>"Testes utilizador"</formula>
    </cfRule>
  </conditionalFormatting>
  <conditionalFormatting sqref="M13">
    <cfRule type="cellIs" dxfId="1357" priority="21" operator="equal">
      <formula>"Testes utilizador"</formula>
    </cfRule>
  </conditionalFormatting>
  <conditionalFormatting sqref="M21">
    <cfRule type="cellIs" dxfId="1356" priority="1" operator="equal">
      <formula>"Testes utilizador"</formula>
    </cfRule>
  </conditionalFormatting>
  <conditionalFormatting sqref="M14:M16">
    <cfRule type="cellIs" dxfId="1355" priority="16" operator="equal">
      <formula>"Testes utilizador"</formula>
    </cfRule>
  </conditionalFormatting>
  <conditionalFormatting sqref="M17">
    <cfRule type="cellIs" dxfId="1354" priority="11" operator="equal">
      <formula>"Testes utilizador"</formula>
    </cfRule>
  </conditionalFormatting>
  <conditionalFormatting sqref="M18:M20">
    <cfRule type="cellIs" dxfId="1353" priority="6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2" operator="equal" id="{19DAE77D-9C54-48A5-A079-AE066AB81971}">
            <xm:f>'Tabelas AUX'!$E$5</xm:f>
            <x14:dxf>
              <font>
                <color rgb="FF00B050"/>
              </font>
            </x14:dxf>
          </x14:cfRule>
          <x14:cfRule type="cellIs" priority="63" operator="equal" id="{27D93EE1-6406-4C92-BD5C-8835D866F258}">
            <xm:f>'Tabelas AUX'!$E$4</xm:f>
            <x14:dxf>
              <font>
                <color rgb="FF7F7F7F"/>
              </font>
            </x14:dxf>
          </x14:cfRule>
          <x14:cfRule type="cellIs" priority="64" operator="equal" id="{12A40A30-CB9D-458F-849C-9F0FEB0E5F8B}">
            <xm:f>'Tabelas AUX'!$E$3</xm:f>
            <x14:dxf>
              <font>
                <color theme="5"/>
              </font>
            </x14:dxf>
          </x14:cfRule>
          <x14:cfRule type="cellIs" priority="65" operator="equal" id="{B4CC3B69-B094-4C94-A388-FC1D6F3F0B9A}">
            <xm:f>'Tabelas AUX'!$E$2</xm:f>
            <x14:dxf>
              <font>
                <color rgb="FFC00000"/>
              </font>
            </x14:dxf>
          </x14:cfRule>
          <xm:sqref>I22:I1048576 M22:M1048576</xm:sqref>
        </x14:conditionalFormatting>
        <x14:conditionalFormatting xmlns:xm="http://schemas.microsoft.com/office/excel/2006/main">
          <x14:cfRule type="cellIs" priority="52" operator="equal" id="{5DCC95DA-0A81-4D88-A7FC-319C1822517D}">
            <xm:f>'Tabelas AUX'!$E$5</xm:f>
            <x14:dxf>
              <font>
                <color rgb="FF00B050"/>
              </font>
            </x14:dxf>
          </x14:cfRule>
          <x14:cfRule type="cellIs" priority="53" operator="equal" id="{CAB5521C-3476-480F-90C0-CCB74865C233}">
            <xm:f>'Tabelas AUX'!$E$4</xm:f>
            <x14:dxf>
              <font>
                <color rgb="FF7F7F7F"/>
              </font>
            </x14:dxf>
          </x14:cfRule>
          <x14:cfRule type="cellIs" priority="54" operator="equal" id="{324BFF08-D329-427F-B232-B20599161BB8}">
            <xm:f>'Tabelas AUX'!$E$3</xm:f>
            <x14:dxf>
              <font>
                <color theme="5"/>
              </font>
            </x14:dxf>
          </x14:cfRule>
          <x14:cfRule type="cellIs" priority="55" operator="equal" id="{DC2ACCFE-1F39-4B7B-841F-829960871A03}">
            <xm:f>'Tabelas AUX'!$E$2</xm:f>
            <x14:dxf>
              <font>
                <color rgb="FFC00000"/>
              </font>
            </x14:dxf>
          </x14:cfRule>
          <xm:sqref>I13</xm:sqref>
        </x14:conditionalFormatting>
        <x14:conditionalFormatting xmlns:xm="http://schemas.microsoft.com/office/excel/2006/main">
          <x14:cfRule type="cellIs" priority="47" operator="equal" id="{83B96CEF-D3D8-4A52-9E72-A1DE6F162777}">
            <xm:f>'Tabelas AUX'!$E$5</xm:f>
            <x14:dxf>
              <font>
                <color rgb="FF00B050"/>
              </font>
            </x14:dxf>
          </x14:cfRule>
          <x14:cfRule type="cellIs" priority="48" operator="equal" id="{EE3867F3-2C6A-46C7-ADA2-E65C80024008}">
            <xm:f>'Tabelas AUX'!$E$4</xm:f>
            <x14:dxf>
              <font>
                <color rgb="FF7F7F7F"/>
              </font>
            </x14:dxf>
          </x14:cfRule>
          <x14:cfRule type="cellIs" priority="49" operator="equal" id="{07555413-37E4-465F-8586-E013E9F4653A}">
            <xm:f>'Tabelas AUX'!$E$3</xm:f>
            <x14:dxf>
              <font>
                <color theme="5"/>
              </font>
            </x14:dxf>
          </x14:cfRule>
          <x14:cfRule type="cellIs" priority="50" operator="equal" id="{08CC65AF-2ADA-44DE-A199-DA1B2861AE8C}">
            <xm:f>'Tabelas AUX'!$E$2</xm:f>
            <x14:dxf>
              <font>
                <color rgb="FFC00000"/>
              </font>
            </x14:dxf>
          </x14:cfRule>
          <xm:sqref>I14:I21</xm:sqref>
        </x14:conditionalFormatting>
        <x14:conditionalFormatting xmlns:xm="http://schemas.microsoft.com/office/excel/2006/main">
          <x14:cfRule type="cellIs" priority="22" operator="equal" id="{CFCB19DA-064F-41D7-8D51-C9C0F0B9DFA6}">
            <xm:f>'Tabelas AUX'!$E$5</xm:f>
            <x14:dxf>
              <font>
                <color rgb="FF00B050"/>
              </font>
            </x14:dxf>
          </x14:cfRule>
          <x14:cfRule type="cellIs" priority="23" operator="equal" id="{CF951C2C-100E-4ED2-B3FA-63A6B3F18A35}">
            <xm:f>'Tabelas AUX'!$E$4</xm:f>
            <x14:dxf>
              <font>
                <color rgb="FF7F7F7F"/>
              </font>
            </x14:dxf>
          </x14:cfRule>
          <x14:cfRule type="cellIs" priority="24" operator="equal" id="{7AF45BE5-51F6-4C74-A981-0BFF638BDB51}">
            <xm:f>'Tabelas AUX'!$E$3</xm:f>
            <x14:dxf>
              <font>
                <color theme="5"/>
              </font>
            </x14:dxf>
          </x14:cfRule>
          <x14:cfRule type="cellIs" priority="25" operator="equal" id="{8442F177-233C-4BD3-B5E3-5C427BF48344}">
            <xm:f>'Tabelas AUX'!$E$2</xm:f>
            <x14:dxf>
              <font>
                <color rgb="FFC00000"/>
              </font>
            </x14:dxf>
          </x14:cfRule>
          <xm:sqref>M13</xm:sqref>
        </x14:conditionalFormatting>
        <x14:conditionalFormatting xmlns:xm="http://schemas.microsoft.com/office/excel/2006/main">
          <x14:cfRule type="cellIs" priority="17" operator="equal" id="{5464A9FA-F4A5-4A1A-BE40-E3B86718541D}">
            <xm:f>'Tabelas AUX'!$E$5</xm:f>
            <x14:dxf>
              <font>
                <color rgb="FF00B050"/>
              </font>
            </x14:dxf>
          </x14:cfRule>
          <x14:cfRule type="cellIs" priority="18" operator="equal" id="{87EC0C16-E578-4DE0-B0A5-0F2E57CBB320}">
            <xm:f>'Tabelas AUX'!$E$4</xm:f>
            <x14:dxf>
              <font>
                <color rgb="FF7F7F7F"/>
              </font>
            </x14:dxf>
          </x14:cfRule>
          <x14:cfRule type="cellIs" priority="19" operator="equal" id="{EFEEB8BA-5362-4982-8E4B-B7C821EB553B}">
            <xm:f>'Tabelas AUX'!$E$3</xm:f>
            <x14:dxf>
              <font>
                <color theme="5"/>
              </font>
            </x14:dxf>
          </x14:cfRule>
          <x14:cfRule type="cellIs" priority="20" operator="equal" id="{87C2FC26-65AB-45CC-B21D-320B700D3360}">
            <xm:f>'Tabelas AUX'!$E$2</xm:f>
            <x14:dxf>
              <font>
                <color rgb="FFC00000"/>
              </font>
            </x14:dxf>
          </x14:cfRule>
          <xm:sqref>M14:M16</xm:sqref>
        </x14:conditionalFormatting>
        <x14:conditionalFormatting xmlns:xm="http://schemas.microsoft.com/office/excel/2006/main">
          <x14:cfRule type="cellIs" priority="12" operator="equal" id="{710EDC0A-FAF3-449B-8A87-D705E763B293}">
            <xm:f>'Tabelas AUX'!$E$5</xm:f>
            <x14:dxf>
              <font>
                <color rgb="FF00B050"/>
              </font>
            </x14:dxf>
          </x14:cfRule>
          <x14:cfRule type="cellIs" priority="13" operator="equal" id="{997FE7FD-B42F-45AE-9239-C56EEFD11FE3}">
            <xm:f>'Tabelas AUX'!$E$4</xm:f>
            <x14:dxf>
              <font>
                <color rgb="FF7F7F7F"/>
              </font>
            </x14:dxf>
          </x14:cfRule>
          <x14:cfRule type="cellIs" priority="14" operator="equal" id="{A585C43C-152D-493C-8FF4-A9C74643AE5D}">
            <xm:f>'Tabelas AUX'!$E$3</xm:f>
            <x14:dxf>
              <font>
                <color theme="5"/>
              </font>
            </x14:dxf>
          </x14:cfRule>
          <x14:cfRule type="cellIs" priority="15" operator="equal" id="{3395B1B1-1F2E-40FE-9142-11FAB9252998}">
            <xm:f>'Tabelas AUX'!$E$2</xm:f>
            <x14:dxf>
              <font>
                <color rgb="FFC00000"/>
              </font>
            </x14:dxf>
          </x14:cfRule>
          <xm:sqref>M17</xm:sqref>
        </x14:conditionalFormatting>
        <x14:conditionalFormatting xmlns:xm="http://schemas.microsoft.com/office/excel/2006/main">
          <x14:cfRule type="cellIs" priority="7" operator="equal" id="{AE0C2ADB-5233-477E-BAE4-42C1B1570DAD}">
            <xm:f>'Tabelas AUX'!$E$5</xm:f>
            <x14:dxf>
              <font>
                <color rgb="FF00B050"/>
              </font>
            </x14:dxf>
          </x14:cfRule>
          <x14:cfRule type="cellIs" priority="8" operator="equal" id="{322E5FC6-26BF-4F89-AB51-3C8D4019C09A}">
            <xm:f>'Tabelas AUX'!$E$4</xm:f>
            <x14:dxf>
              <font>
                <color rgb="FF7F7F7F"/>
              </font>
            </x14:dxf>
          </x14:cfRule>
          <x14:cfRule type="cellIs" priority="9" operator="equal" id="{F3B7A796-3DFF-4C96-AF65-0E44ECAD4965}">
            <xm:f>'Tabelas AUX'!$E$3</xm:f>
            <x14:dxf>
              <font>
                <color theme="5"/>
              </font>
            </x14:dxf>
          </x14:cfRule>
          <x14:cfRule type="cellIs" priority="10" operator="equal" id="{A3339FCB-62D1-4C4A-9043-D5E85ED5E65C}">
            <xm:f>'Tabelas AUX'!$E$2</xm:f>
            <x14:dxf>
              <font>
                <color rgb="FFC00000"/>
              </font>
            </x14:dxf>
          </x14:cfRule>
          <xm:sqref>M18:M20</xm:sqref>
        </x14:conditionalFormatting>
        <x14:conditionalFormatting xmlns:xm="http://schemas.microsoft.com/office/excel/2006/main">
          <x14:cfRule type="cellIs" priority="2" operator="equal" id="{6222C57C-2DE6-48D5-839E-49EE0BAD5B87}">
            <xm:f>'Tabelas AUX'!$E$5</xm:f>
            <x14:dxf>
              <font>
                <color rgb="FF00B050"/>
              </font>
            </x14:dxf>
          </x14:cfRule>
          <x14:cfRule type="cellIs" priority="3" operator="equal" id="{4791AB97-350F-49D6-94FC-611F0A7FB3AB}">
            <xm:f>'Tabelas AUX'!$E$4</xm:f>
            <x14:dxf>
              <font>
                <color rgb="FF7F7F7F"/>
              </font>
            </x14:dxf>
          </x14:cfRule>
          <x14:cfRule type="cellIs" priority="4" operator="equal" id="{AAB69DA7-580C-4D5C-9142-7CD6DA186D8E}">
            <xm:f>'Tabelas AUX'!$E$3</xm:f>
            <x14:dxf>
              <font>
                <color theme="5"/>
              </font>
            </x14:dxf>
          </x14:cfRule>
          <x14:cfRule type="cellIs" priority="5" operator="equal" id="{14BF56BF-8CEB-4279-99F5-5576139684E0}">
            <xm:f>'Tabelas AUX'!$E$2</xm:f>
            <x14:dxf>
              <font>
                <color rgb="FFC00000"/>
              </font>
            </x14:dxf>
          </x14:cfRule>
          <xm:sqref>M21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'Tabelas AUX'!$E$2:$E$5</xm:f>
          </x14:formula1>
          <xm:sqref>I13:I21</xm:sqref>
        </x14:dataValidation>
        <x14:dataValidation type="list" allowBlank="1" showInputMessage="1" showErrorMessage="1">
          <x14:formula1>
            <xm:f>'Tabelas AUX'!$G$2:$G$13</xm:f>
          </x14:formula1>
          <xm:sqref>M13:M21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7" tint="0.59999389629810485"/>
    <pageSetUpPr autoPageBreaks="0"/>
  </sheetPr>
  <dimension ref="A1:S20"/>
  <sheetViews>
    <sheetView showGridLines="0" topLeftCell="G1" zoomScale="85" zoomScaleNormal="85" workbookViewId="0">
      <pane ySplit="12" topLeftCell="A13" activePane="bottomLeft" state="frozen"/>
      <selection pane="bottomLeft" activeCell="P12" sqref="P12:R12"/>
    </sheetView>
  </sheetViews>
  <sheetFormatPr defaultRowHeight="15" outlineLevelRow="1" outlineLevelCol="1" x14ac:dyDescent="0.25"/>
  <cols>
    <col min="1" max="1" width="3.7109375" customWidth="1"/>
    <col min="2" max="2" width="27.5703125" bestFit="1" customWidth="1"/>
    <col min="3" max="3" width="12.7109375" customWidth="1"/>
    <col min="4" max="4" width="58" customWidth="1"/>
    <col min="5" max="5" width="29.140625" bestFit="1" customWidth="1"/>
    <col min="6" max="6" width="55.85546875" bestFit="1" customWidth="1"/>
    <col min="7" max="7" width="41.5703125" bestFit="1" customWidth="1"/>
    <col min="8" max="8" width="2.140625" customWidth="1" collapsed="1"/>
    <col min="9" max="9" width="14.140625" customWidth="1" outlineLevel="1"/>
    <col min="10" max="10" width="19.140625" bestFit="1" customWidth="1" outlineLevel="1"/>
    <col min="11" max="11" width="42.7109375" customWidth="1" outlineLevel="1"/>
    <col min="12" max="12" width="2.140625" customWidth="1"/>
    <col min="13" max="13" width="10.28515625" customWidth="1" outlineLevel="1"/>
    <col min="14" max="14" width="22.7109375" bestFit="1" customWidth="1" outlineLevel="1"/>
    <col min="15" max="18" width="22.5703125" customWidth="1" outlineLevel="1"/>
    <col min="19" max="19" width="11.28515625" customWidth="1" outlineLevel="1"/>
  </cols>
  <sheetData>
    <row r="1" spans="1:19" ht="15" customHeight="1" x14ac:dyDescent="0.25">
      <c r="B1" s="47"/>
      <c r="C1" s="47"/>
      <c r="E1" s="47"/>
      <c r="F1" s="47"/>
    </row>
    <row r="2" spans="1:19" ht="34.5" customHeight="1" x14ac:dyDescent="0.25">
      <c r="B2" s="47"/>
      <c r="C2" s="48"/>
      <c r="E2" s="47"/>
      <c r="F2" s="47"/>
    </row>
    <row r="3" spans="1:19" ht="2.25" customHeight="1" x14ac:dyDescent="0.25">
      <c r="A3" s="20"/>
      <c r="B3" s="49"/>
      <c r="C3" s="49"/>
      <c r="D3" s="49"/>
      <c r="E3" s="49"/>
      <c r="F3" s="49"/>
    </row>
    <row r="4" spans="1:19" ht="15" customHeight="1" x14ac:dyDescent="0.25">
      <c r="B4" s="47"/>
      <c r="C4" s="47"/>
      <c r="E4" s="47"/>
      <c r="F4" s="47"/>
    </row>
    <row r="5" spans="1:19" ht="15" customHeight="1" x14ac:dyDescent="0.25">
      <c r="B5" s="50" t="s">
        <v>206</v>
      </c>
      <c r="C5" s="47"/>
      <c r="E5" s="47"/>
      <c r="F5" s="47"/>
    </row>
    <row r="6" spans="1:19" ht="15" customHeight="1" x14ac:dyDescent="0.25">
      <c r="B6" s="47"/>
      <c r="C6" s="47"/>
      <c r="E6" s="47"/>
      <c r="F6" s="47"/>
    </row>
    <row r="7" spans="1:19" ht="56.25" customHeight="1" outlineLevel="1" x14ac:dyDescent="0.25">
      <c r="B7" s="51" t="s">
        <v>65</v>
      </c>
      <c r="C7" s="221" t="s">
        <v>207</v>
      </c>
      <c r="D7" s="221"/>
      <c r="E7" s="221"/>
      <c r="F7" s="221"/>
      <c r="G7" s="52"/>
      <c r="H7" s="52"/>
      <c r="L7" s="52"/>
    </row>
    <row r="8" spans="1:19" outlineLevel="1" x14ac:dyDescent="0.25">
      <c r="B8" s="47"/>
      <c r="C8" s="47"/>
      <c r="E8" s="47"/>
      <c r="F8" s="47"/>
    </row>
    <row r="9" spans="1:19" outlineLevel="1" x14ac:dyDescent="0.25">
      <c r="B9" s="47"/>
      <c r="C9" s="47"/>
      <c r="E9" s="47"/>
      <c r="F9" s="47"/>
    </row>
    <row r="10" spans="1:19" outlineLevel="1" x14ac:dyDescent="0.25">
      <c r="B10" s="47"/>
      <c r="C10" s="47"/>
      <c r="E10" s="47"/>
      <c r="F10" s="47"/>
    </row>
    <row r="11" spans="1:19" x14ac:dyDescent="0.25">
      <c r="B11" s="218" t="s">
        <v>180</v>
      </c>
      <c r="C11" s="219"/>
      <c r="D11" s="219"/>
      <c r="E11" s="219"/>
      <c r="F11" s="219"/>
      <c r="G11" s="219"/>
      <c r="I11" s="207" t="s">
        <v>71</v>
      </c>
      <c r="J11" s="208"/>
      <c r="K11" s="209"/>
      <c r="M11" s="207" t="s">
        <v>72</v>
      </c>
      <c r="N11" s="208"/>
      <c r="O11" s="208"/>
      <c r="P11" s="208"/>
      <c r="Q11" s="208"/>
      <c r="R11" s="208"/>
      <c r="S11" s="209"/>
    </row>
    <row r="12" spans="1:19" x14ac:dyDescent="0.25">
      <c r="B12" s="60" t="s">
        <v>181</v>
      </c>
      <c r="C12" s="60" t="s">
        <v>98</v>
      </c>
      <c r="D12" s="60" t="s">
        <v>100</v>
      </c>
      <c r="E12" s="60" t="s">
        <v>102</v>
      </c>
      <c r="F12" s="60" t="s">
        <v>182</v>
      </c>
      <c r="G12" s="60" t="s">
        <v>183</v>
      </c>
      <c r="I12" s="61" t="s">
        <v>86</v>
      </c>
      <c r="J12" s="61" t="s">
        <v>87</v>
      </c>
      <c r="K12" s="61" t="s">
        <v>88</v>
      </c>
      <c r="M12" s="61" t="s">
        <v>86</v>
      </c>
      <c r="N12" s="61" t="s">
        <v>89</v>
      </c>
      <c r="O12" s="61" t="s">
        <v>90</v>
      </c>
      <c r="P12" s="61" t="s">
        <v>166</v>
      </c>
      <c r="Q12" s="61" t="s">
        <v>167</v>
      </c>
      <c r="R12" s="61" t="s">
        <v>168</v>
      </c>
      <c r="S12" s="61" t="s">
        <v>88</v>
      </c>
    </row>
    <row r="13" spans="1:19" x14ac:dyDescent="0.25">
      <c r="B13" s="103" t="s">
        <v>184</v>
      </c>
      <c r="C13" s="103" t="s">
        <v>208</v>
      </c>
      <c r="D13" s="104" t="s">
        <v>209</v>
      </c>
      <c r="E13" s="103"/>
      <c r="F13" s="104" t="s">
        <v>210</v>
      </c>
      <c r="G13" s="103" t="s">
        <v>186</v>
      </c>
      <c r="H13" s="122"/>
      <c r="I13" s="75" t="s">
        <v>97</v>
      </c>
      <c r="J13" s="123">
        <v>44950</v>
      </c>
      <c r="K13" s="103"/>
      <c r="L13" s="47"/>
      <c r="M13" s="75" t="s">
        <v>97</v>
      </c>
      <c r="N13" s="63">
        <v>45009</v>
      </c>
      <c r="O13" s="62"/>
      <c r="P13" s="62"/>
      <c r="Q13" s="62"/>
      <c r="R13" s="62"/>
      <c r="S13" s="62"/>
    </row>
    <row r="14" spans="1:19" ht="30" x14ac:dyDescent="0.25">
      <c r="B14" s="103" t="s">
        <v>188</v>
      </c>
      <c r="C14" s="103" t="s">
        <v>208</v>
      </c>
      <c r="D14" s="104"/>
      <c r="E14" s="103"/>
      <c r="F14" s="104" t="s">
        <v>189</v>
      </c>
      <c r="G14" s="103" t="s">
        <v>186</v>
      </c>
      <c r="H14" s="122"/>
      <c r="I14" s="75" t="s">
        <v>97</v>
      </c>
      <c r="J14" s="123">
        <v>44950</v>
      </c>
      <c r="K14" s="103" t="s">
        <v>211</v>
      </c>
      <c r="L14" s="47"/>
      <c r="M14" s="75" t="s">
        <v>97</v>
      </c>
      <c r="N14" s="63">
        <v>45009</v>
      </c>
      <c r="O14" s="62"/>
      <c r="P14" s="62"/>
      <c r="Q14" s="62"/>
      <c r="R14" s="62"/>
      <c r="S14" s="62"/>
    </row>
    <row r="15" spans="1:19" x14ac:dyDescent="0.25">
      <c r="B15" s="103" t="s">
        <v>190</v>
      </c>
      <c r="C15" s="103" t="s">
        <v>208</v>
      </c>
      <c r="D15" s="104" t="s">
        <v>209</v>
      </c>
      <c r="E15" s="103"/>
      <c r="F15" s="104" t="s">
        <v>191</v>
      </c>
      <c r="G15" s="103" t="s">
        <v>186</v>
      </c>
      <c r="H15" s="122"/>
      <c r="I15" s="75" t="s">
        <v>97</v>
      </c>
      <c r="J15" s="123">
        <v>44950</v>
      </c>
      <c r="K15" s="103"/>
      <c r="L15" s="47"/>
      <c r="M15" s="75" t="s">
        <v>97</v>
      </c>
      <c r="N15" s="63">
        <v>45009</v>
      </c>
      <c r="O15" s="62"/>
      <c r="P15" s="62"/>
      <c r="Q15" s="62"/>
      <c r="R15" s="62"/>
      <c r="S15" s="62"/>
    </row>
    <row r="16" spans="1:19" ht="45" x14ac:dyDescent="0.25">
      <c r="B16" s="103" t="s">
        <v>192</v>
      </c>
      <c r="C16" s="103" t="s">
        <v>208</v>
      </c>
      <c r="D16" s="104"/>
      <c r="E16" s="103"/>
      <c r="F16" s="104" t="s">
        <v>193</v>
      </c>
      <c r="G16" s="103" t="s">
        <v>186</v>
      </c>
      <c r="H16" s="122"/>
      <c r="I16" s="75" t="s">
        <v>97</v>
      </c>
      <c r="J16" s="123">
        <v>44950</v>
      </c>
      <c r="K16" s="103" t="s">
        <v>211</v>
      </c>
      <c r="L16" s="47"/>
      <c r="M16" s="75" t="s">
        <v>97</v>
      </c>
      <c r="N16" s="63">
        <v>45009</v>
      </c>
      <c r="O16" s="62"/>
      <c r="P16" s="62"/>
      <c r="Q16" s="62"/>
      <c r="R16" s="62"/>
      <c r="S16" s="62"/>
    </row>
    <row r="17" spans="2:19" ht="45" x14ac:dyDescent="0.25">
      <c r="B17" s="103" t="s">
        <v>204</v>
      </c>
      <c r="C17" s="103" t="s">
        <v>212</v>
      </c>
      <c r="D17" s="103"/>
      <c r="E17" s="103"/>
      <c r="F17" s="103"/>
      <c r="G17" s="103"/>
      <c r="H17" s="122"/>
      <c r="I17" s="75" t="s">
        <v>97</v>
      </c>
      <c r="J17" s="123">
        <v>44950</v>
      </c>
      <c r="K17" s="104" t="s">
        <v>213</v>
      </c>
      <c r="L17" s="47"/>
      <c r="M17" s="75" t="s">
        <v>97</v>
      </c>
      <c r="N17" s="63">
        <v>45009</v>
      </c>
      <c r="O17" s="62"/>
      <c r="P17" s="62"/>
      <c r="Q17" s="62"/>
      <c r="R17" s="62"/>
      <c r="S17" s="62"/>
    </row>
    <row r="18" spans="2:19" x14ac:dyDescent="0.25">
      <c r="B18" s="103"/>
      <c r="C18" s="103"/>
      <c r="D18" s="103"/>
      <c r="E18" s="103"/>
      <c r="F18" s="103"/>
      <c r="G18" s="103"/>
      <c r="H18" s="122"/>
      <c r="I18" s="75"/>
      <c r="J18" s="123"/>
      <c r="K18" s="103"/>
      <c r="L18" s="47"/>
      <c r="M18" s="75"/>
      <c r="N18" s="63"/>
      <c r="O18" s="62"/>
      <c r="P18" s="62"/>
      <c r="Q18" s="62"/>
      <c r="R18" s="62"/>
      <c r="S18" s="62"/>
    </row>
    <row r="19" spans="2:19" x14ac:dyDescent="0.25">
      <c r="B19" s="103"/>
      <c r="C19" s="103"/>
      <c r="D19" s="103"/>
      <c r="E19" s="103"/>
      <c r="F19" s="103"/>
      <c r="G19" s="103"/>
      <c r="H19" s="122"/>
      <c r="I19" s="75"/>
      <c r="J19" s="123"/>
      <c r="K19" s="103"/>
      <c r="L19" s="47"/>
      <c r="M19" s="75"/>
      <c r="N19" s="63"/>
      <c r="O19" s="62"/>
      <c r="P19" s="62"/>
      <c r="Q19" s="62"/>
      <c r="R19" s="62"/>
      <c r="S19" s="62"/>
    </row>
    <row r="20" spans="2:19" x14ac:dyDescent="0.25">
      <c r="B20" s="103"/>
      <c r="C20" s="103"/>
      <c r="D20" s="103"/>
      <c r="E20" s="103"/>
      <c r="F20" s="103"/>
      <c r="G20" s="103"/>
      <c r="H20" s="122"/>
      <c r="I20" s="75"/>
      <c r="J20" s="123"/>
      <c r="K20" s="103"/>
      <c r="L20" s="47"/>
      <c r="M20" s="75"/>
      <c r="N20" s="63"/>
      <c r="O20" s="62"/>
      <c r="P20" s="62"/>
      <c r="Q20" s="62"/>
      <c r="R20" s="62"/>
      <c r="S20" s="62"/>
    </row>
  </sheetData>
  <autoFilter ref="B12:G20"/>
  <mergeCells count="4">
    <mergeCell ref="C7:F7"/>
    <mergeCell ref="I11:K11"/>
    <mergeCell ref="B11:G11"/>
    <mergeCell ref="M11:S11"/>
  </mergeCells>
  <conditionalFormatting sqref="I14:I1048576">
    <cfRule type="cellIs" dxfId="1320" priority="21" operator="equal">
      <formula>"Testes utilizador"</formula>
    </cfRule>
  </conditionalFormatting>
  <conditionalFormatting sqref="M18:M1048576">
    <cfRule type="cellIs" dxfId="1319" priority="16" operator="equal">
      <formula>"Testes utilizador"</formula>
    </cfRule>
  </conditionalFormatting>
  <conditionalFormatting sqref="I13">
    <cfRule type="cellIs" dxfId="1318" priority="11" operator="equal">
      <formula>"Testes utilizador"</formula>
    </cfRule>
  </conditionalFormatting>
  <conditionalFormatting sqref="M13">
    <cfRule type="cellIs" dxfId="1317" priority="6" operator="equal">
      <formula>"Testes utilizador"</formula>
    </cfRule>
  </conditionalFormatting>
  <conditionalFormatting sqref="M14:M17">
    <cfRule type="cellIs" dxfId="1316" priority="1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2" operator="equal" id="{0114CFCC-A278-4B3A-982A-593C6FDEE6C4}">
            <xm:f>'Tabelas AUX'!$E$5</xm:f>
            <x14:dxf>
              <font>
                <color rgb="FF00B050"/>
              </font>
            </x14:dxf>
          </x14:cfRule>
          <x14:cfRule type="cellIs" priority="23" operator="equal" id="{A6E49876-7764-4F5A-9607-EC13DE965EB0}">
            <xm:f>'Tabelas AUX'!$E$4</xm:f>
            <x14:dxf>
              <font>
                <color rgb="FF7F7F7F"/>
              </font>
            </x14:dxf>
          </x14:cfRule>
          <x14:cfRule type="cellIs" priority="24" operator="equal" id="{1E8F21AB-9574-491B-AD67-1608A85A3241}">
            <xm:f>'Tabelas AUX'!$E$3</xm:f>
            <x14:dxf>
              <font>
                <color theme="5"/>
              </font>
            </x14:dxf>
          </x14:cfRule>
          <x14:cfRule type="cellIs" priority="25" operator="equal" id="{97C812B8-E90C-445E-8729-40535D3F4754}">
            <xm:f>'Tabelas AUX'!$E$2</xm:f>
            <x14:dxf>
              <font>
                <color rgb="FFC00000"/>
              </font>
            </x14:dxf>
          </x14:cfRule>
          <xm:sqref>I14:I1048576</xm:sqref>
        </x14:conditionalFormatting>
        <x14:conditionalFormatting xmlns:xm="http://schemas.microsoft.com/office/excel/2006/main">
          <x14:cfRule type="cellIs" priority="17" operator="equal" id="{F8B663BD-1AE0-48BB-BDBB-4E5A355E9DFC}">
            <xm:f>'Tabelas AUX'!$E$5</xm:f>
            <x14:dxf>
              <font>
                <color rgb="FF00B050"/>
              </font>
            </x14:dxf>
          </x14:cfRule>
          <x14:cfRule type="cellIs" priority="18" operator="equal" id="{3EC4BBA8-4EAA-41CF-B27B-9E135CD4ABC6}">
            <xm:f>'Tabelas AUX'!$E$4</xm:f>
            <x14:dxf>
              <font>
                <color rgb="FF7F7F7F"/>
              </font>
            </x14:dxf>
          </x14:cfRule>
          <x14:cfRule type="cellIs" priority="19" operator="equal" id="{EA946C55-F899-4AE1-AA7E-432F66F89B7B}">
            <xm:f>'Tabelas AUX'!$E$3</xm:f>
            <x14:dxf>
              <font>
                <color theme="5"/>
              </font>
            </x14:dxf>
          </x14:cfRule>
          <x14:cfRule type="cellIs" priority="20" operator="equal" id="{9D063D97-7ECB-471A-B4E8-E6203A1AB294}">
            <xm:f>'Tabelas AUX'!$E$2</xm:f>
            <x14:dxf>
              <font>
                <color rgb="FFC00000"/>
              </font>
            </x14:dxf>
          </x14:cfRule>
          <xm:sqref>M18:M1048576</xm:sqref>
        </x14:conditionalFormatting>
        <x14:conditionalFormatting xmlns:xm="http://schemas.microsoft.com/office/excel/2006/main">
          <x14:cfRule type="cellIs" priority="12" operator="equal" id="{6B1DC636-872B-4CFD-B0E3-41A03FD3A457}">
            <xm:f>'Tabelas AUX'!$E$5</xm:f>
            <x14:dxf>
              <font>
                <color rgb="FF00B050"/>
              </font>
            </x14:dxf>
          </x14:cfRule>
          <x14:cfRule type="cellIs" priority="13" operator="equal" id="{E6E7F92A-DBDB-4BCB-B8D3-3174280314F8}">
            <xm:f>'Tabelas AUX'!$E$4</xm:f>
            <x14:dxf>
              <font>
                <color rgb="FF7F7F7F"/>
              </font>
            </x14:dxf>
          </x14:cfRule>
          <x14:cfRule type="cellIs" priority="14" operator="equal" id="{2DA28BE9-3F98-4FF4-BAC7-FC0EEC2CF78E}">
            <xm:f>'Tabelas AUX'!$E$3</xm:f>
            <x14:dxf>
              <font>
                <color theme="5"/>
              </font>
            </x14:dxf>
          </x14:cfRule>
          <x14:cfRule type="cellIs" priority="15" operator="equal" id="{436B63C3-D4FF-442A-95E4-F8DA6BAACB09}">
            <xm:f>'Tabelas AUX'!$E$2</xm:f>
            <x14:dxf>
              <font>
                <color rgb="FFC00000"/>
              </font>
            </x14:dxf>
          </x14:cfRule>
          <xm:sqref>I13</xm:sqref>
        </x14:conditionalFormatting>
        <x14:conditionalFormatting xmlns:xm="http://schemas.microsoft.com/office/excel/2006/main">
          <x14:cfRule type="cellIs" priority="7" operator="equal" id="{660601BB-A723-42CB-BC09-B124846A3A3E}">
            <xm:f>'Tabelas AUX'!$E$5</xm:f>
            <x14:dxf>
              <font>
                <color rgb="FF00B050"/>
              </font>
            </x14:dxf>
          </x14:cfRule>
          <x14:cfRule type="cellIs" priority="8" operator="equal" id="{FA931F1D-5068-42C1-8B67-4B865F88F6A8}">
            <xm:f>'Tabelas AUX'!$E$4</xm:f>
            <x14:dxf>
              <font>
                <color rgb="FF7F7F7F"/>
              </font>
            </x14:dxf>
          </x14:cfRule>
          <x14:cfRule type="cellIs" priority="9" operator="equal" id="{02628E05-334A-45E3-838C-59C3387E7FEB}">
            <xm:f>'Tabelas AUX'!$E$3</xm:f>
            <x14:dxf>
              <font>
                <color theme="5"/>
              </font>
            </x14:dxf>
          </x14:cfRule>
          <x14:cfRule type="cellIs" priority="10" operator="equal" id="{2A083B74-72F6-442D-9D4A-BF510EAA9F9B}">
            <xm:f>'Tabelas AUX'!$E$2</xm:f>
            <x14:dxf>
              <font>
                <color rgb="FFC00000"/>
              </font>
            </x14:dxf>
          </x14:cfRule>
          <xm:sqref>M13</xm:sqref>
        </x14:conditionalFormatting>
        <x14:conditionalFormatting xmlns:xm="http://schemas.microsoft.com/office/excel/2006/main">
          <x14:cfRule type="cellIs" priority="2" operator="equal" id="{7D7B8E92-44B0-4ECE-9D9A-43E7453CB00C}">
            <xm:f>'Tabelas AUX'!$E$5</xm:f>
            <x14:dxf>
              <font>
                <color rgb="FF00B050"/>
              </font>
            </x14:dxf>
          </x14:cfRule>
          <x14:cfRule type="cellIs" priority="3" operator="equal" id="{AF188111-D897-405E-9B2C-16B4AA1122B5}">
            <xm:f>'Tabelas AUX'!$E$4</xm:f>
            <x14:dxf>
              <font>
                <color rgb="FF7F7F7F"/>
              </font>
            </x14:dxf>
          </x14:cfRule>
          <x14:cfRule type="cellIs" priority="4" operator="equal" id="{828912F2-19BF-4F48-94C6-92BEF7641360}">
            <xm:f>'Tabelas AUX'!$E$3</xm:f>
            <x14:dxf>
              <font>
                <color theme="5"/>
              </font>
            </x14:dxf>
          </x14:cfRule>
          <x14:cfRule type="cellIs" priority="5" operator="equal" id="{3D75021C-AE19-4147-A5A6-34996EB65B9C}">
            <xm:f>'Tabelas AUX'!$E$2</xm:f>
            <x14:dxf>
              <font>
                <color rgb="FFC00000"/>
              </font>
            </x14:dxf>
          </x14:cfRule>
          <xm:sqref>M14:M17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'Tabelas AUX'!$E$2:$E$9</xm:f>
          </x14:formula1>
          <xm:sqref>I14:I20 M18:M20</xm:sqref>
        </x14:dataValidation>
        <x14:dataValidation type="list" allowBlank="1" showInputMessage="1" showErrorMessage="1">
          <x14:formula1>
            <xm:f>'Tabelas AUX'!$E$2:$E$5</xm:f>
          </x14:formula1>
          <xm:sqref>I13</xm:sqref>
        </x14:dataValidation>
        <x14:dataValidation type="list" allowBlank="1" showInputMessage="1" showErrorMessage="1">
          <x14:formula1>
            <xm:f>'Tabelas AUX'!$G$2:$G$13</xm:f>
          </x14:formula1>
          <xm:sqref>M13:M17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pageSetUpPr autoPageBreaks="0"/>
  </sheetPr>
  <dimension ref="A1:O15"/>
  <sheetViews>
    <sheetView showGridLines="0" zoomScale="85" zoomScaleNormal="85" workbookViewId="0">
      <pane ySplit="12" topLeftCell="A13" activePane="bottomLeft" state="frozen"/>
      <selection pane="bottomLeft" activeCell="J37" sqref="J37"/>
    </sheetView>
  </sheetViews>
  <sheetFormatPr defaultRowHeight="15" outlineLevelRow="1" outlineLevelCol="1" x14ac:dyDescent="0.25"/>
  <cols>
    <col min="1" max="1" width="3.7109375" customWidth="1"/>
    <col min="2" max="2" width="27.5703125" bestFit="1" customWidth="1"/>
    <col min="3" max="3" width="16.5703125" bestFit="1" customWidth="1"/>
    <col min="4" max="4" width="2.140625" customWidth="1" collapsed="1"/>
    <col min="5" max="5" width="14.140625" customWidth="1" outlineLevel="1"/>
    <col min="6" max="6" width="19.140625" bestFit="1" customWidth="1" outlineLevel="1"/>
    <col min="7" max="7" width="42.7109375" customWidth="1" outlineLevel="1"/>
    <col min="8" max="8" width="2.140625" customWidth="1"/>
    <col min="9" max="9" width="10.28515625" customWidth="1" outlineLevel="1"/>
    <col min="10" max="10" width="22.7109375" bestFit="1" customWidth="1" outlineLevel="1"/>
    <col min="11" max="14" width="22.5703125" customWidth="1" outlineLevel="1"/>
    <col min="15" max="15" width="11.28515625" customWidth="1" outlineLevel="1"/>
  </cols>
  <sheetData>
    <row r="1" spans="1:15" ht="15" customHeight="1" x14ac:dyDescent="0.25">
      <c r="B1" s="47"/>
      <c r="C1" s="47"/>
    </row>
    <row r="2" spans="1:15" ht="34.5" customHeight="1" x14ac:dyDescent="0.25">
      <c r="B2" s="47"/>
      <c r="C2" s="48"/>
    </row>
    <row r="3" spans="1:15" ht="2.25" customHeight="1" x14ac:dyDescent="0.25">
      <c r="A3" s="20"/>
      <c r="B3" s="49"/>
      <c r="C3" s="49"/>
    </row>
    <row r="4" spans="1:15" ht="15" customHeight="1" x14ac:dyDescent="0.25">
      <c r="B4" s="47"/>
      <c r="C4" s="47"/>
    </row>
    <row r="5" spans="1:15" ht="15" customHeight="1" x14ac:dyDescent="0.25">
      <c r="B5" s="50" t="s">
        <v>214</v>
      </c>
      <c r="C5" s="47"/>
    </row>
    <row r="6" spans="1:15" ht="15" customHeight="1" x14ac:dyDescent="0.25">
      <c r="B6" s="47"/>
      <c r="C6" s="47"/>
    </row>
    <row r="7" spans="1:15" outlineLevel="1" x14ac:dyDescent="0.25">
      <c r="B7" s="170" t="s">
        <v>65</v>
      </c>
      <c r="C7" s="171" t="s">
        <v>215</v>
      </c>
      <c r="D7" s="172"/>
      <c r="E7" s="171"/>
      <c r="F7" s="172"/>
      <c r="G7" s="171"/>
      <c r="H7" s="172"/>
      <c r="I7" s="171"/>
      <c r="J7" s="172"/>
      <c r="K7" s="171"/>
      <c r="L7" s="171"/>
      <c r="M7" s="171"/>
      <c r="N7" s="171"/>
      <c r="O7" s="173"/>
    </row>
    <row r="8" spans="1:15" outlineLevel="1" x14ac:dyDescent="0.25">
      <c r="B8" s="174"/>
      <c r="C8" s="175" t="s">
        <v>216</v>
      </c>
      <c r="D8" s="176"/>
      <c r="E8" s="175"/>
      <c r="F8" s="176"/>
      <c r="G8" s="175"/>
      <c r="H8" s="176"/>
      <c r="I8" s="175"/>
      <c r="J8" s="176"/>
      <c r="K8" s="175"/>
      <c r="L8" s="175"/>
      <c r="M8" s="175"/>
      <c r="N8" s="175"/>
      <c r="O8" s="177"/>
    </row>
    <row r="9" spans="1:15" outlineLevel="1" x14ac:dyDescent="0.25">
      <c r="B9" s="47"/>
      <c r="C9" s="47"/>
    </row>
    <row r="10" spans="1:15" outlineLevel="1" x14ac:dyDescent="0.25">
      <c r="B10" s="47"/>
      <c r="C10" s="47"/>
    </row>
    <row r="11" spans="1:15" x14ac:dyDescent="0.25">
      <c r="B11" s="218" t="s">
        <v>28</v>
      </c>
      <c r="C11" s="219"/>
      <c r="E11" s="207" t="s">
        <v>71</v>
      </c>
      <c r="F11" s="208"/>
      <c r="G11" s="209"/>
      <c r="I11" s="207" t="s">
        <v>72</v>
      </c>
      <c r="J11" s="208"/>
      <c r="K11" s="208"/>
      <c r="L11" s="208"/>
      <c r="M11" s="208"/>
      <c r="N11" s="208"/>
      <c r="O11" s="209"/>
    </row>
    <row r="12" spans="1:15" x14ac:dyDescent="0.25">
      <c r="B12" s="60" t="s">
        <v>217</v>
      </c>
      <c r="C12" s="60" t="s">
        <v>218</v>
      </c>
      <c r="E12" s="61" t="s">
        <v>86</v>
      </c>
      <c r="F12" s="61" t="s">
        <v>87</v>
      </c>
      <c r="G12" s="61" t="s">
        <v>88</v>
      </c>
      <c r="I12" s="61" t="s">
        <v>86</v>
      </c>
      <c r="J12" s="61" t="s">
        <v>89</v>
      </c>
      <c r="K12" s="61" t="s">
        <v>90</v>
      </c>
      <c r="L12" s="61" t="s">
        <v>166</v>
      </c>
      <c r="M12" s="61" t="s">
        <v>167</v>
      </c>
      <c r="N12" s="61" t="s">
        <v>168</v>
      </c>
      <c r="O12" s="61" t="s">
        <v>88</v>
      </c>
    </row>
    <row r="13" spans="1:15" x14ac:dyDescent="0.25">
      <c r="B13" s="103" t="s">
        <v>219</v>
      </c>
      <c r="C13" s="103">
        <v>1</v>
      </c>
      <c r="D13" s="122"/>
      <c r="E13" s="75" t="s">
        <v>130</v>
      </c>
      <c r="F13" s="123">
        <v>45233</v>
      </c>
      <c r="G13" s="103"/>
      <c r="H13" s="47"/>
      <c r="I13" s="75" t="s">
        <v>197</v>
      </c>
      <c r="J13" s="123">
        <v>45233</v>
      </c>
      <c r="K13" s="62"/>
      <c r="L13" s="62"/>
      <c r="M13" s="62"/>
      <c r="N13" s="62"/>
      <c r="O13" s="62"/>
    </row>
    <row r="14" spans="1:15" x14ac:dyDescent="0.25">
      <c r="B14" s="103" t="s">
        <v>220</v>
      </c>
      <c r="C14" s="103">
        <v>2</v>
      </c>
      <c r="D14" s="122"/>
      <c r="E14" s="75" t="s">
        <v>130</v>
      </c>
      <c r="F14" s="123">
        <v>45233</v>
      </c>
      <c r="G14" s="103"/>
      <c r="H14" s="47"/>
      <c r="I14" s="75" t="s">
        <v>197</v>
      </c>
      <c r="J14" s="123">
        <v>45233</v>
      </c>
      <c r="K14" s="62"/>
      <c r="L14" s="62"/>
      <c r="M14" s="62"/>
      <c r="N14" s="62"/>
      <c r="O14" s="62"/>
    </row>
    <row r="15" spans="1:15" x14ac:dyDescent="0.25">
      <c r="B15" s="103" t="s">
        <v>221</v>
      </c>
      <c r="C15" s="103">
        <v>3</v>
      </c>
      <c r="D15" s="122"/>
      <c r="E15" s="75" t="s">
        <v>130</v>
      </c>
      <c r="F15" s="123">
        <v>45233</v>
      </c>
      <c r="G15" s="103"/>
      <c r="H15" s="47"/>
      <c r="I15" s="75" t="s">
        <v>197</v>
      </c>
      <c r="J15" s="123">
        <v>45233</v>
      </c>
      <c r="K15" s="62"/>
      <c r="L15" s="62"/>
      <c r="M15" s="62"/>
      <c r="N15" s="62"/>
      <c r="O15" s="62"/>
    </row>
  </sheetData>
  <autoFilter ref="B12:C15"/>
  <mergeCells count="3">
    <mergeCell ref="B11:C11"/>
    <mergeCell ref="E11:G11"/>
    <mergeCell ref="I11:O11"/>
  </mergeCells>
  <conditionalFormatting sqref="E13:E1048576 I13:I1048576">
    <cfRule type="cellIs" dxfId="1295" priority="6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12EBBF55-6D78-4DC4-BF39-DB8D61E08D33}">
            <xm:f>'Tabelas AUX'!$E$5</xm:f>
            <x14:dxf>
              <font>
                <color rgb="FF00B050"/>
              </font>
            </x14:dxf>
          </x14:cfRule>
          <x14:cfRule type="cellIs" priority="8" operator="equal" id="{B31E9B9B-1A6B-4D81-A887-9FA93A7202E5}">
            <xm:f>'Tabelas AUX'!$E$4</xm:f>
            <x14:dxf>
              <font>
                <color rgb="FF7F7F7F"/>
              </font>
            </x14:dxf>
          </x14:cfRule>
          <x14:cfRule type="cellIs" priority="9" operator="equal" id="{E233F529-9E9D-49F6-87DB-9DA5940B5C51}">
            <xm:f>'Tabelas AUX'!$E$3</xm:f>
            <x14:dxf>
              <font>
                <color theme="5"/>
              </font>
            </x14:dxf>
          </x14:cfRule>
          <x14:cfRule type="cellIs" priority="10" operator="equal" id="{81E8670E-09F0-4868-B6AC-9DF2ECBC55EF}">
            <xm:f>'Tabelas AUX'!$E$2</xm:f>
            <x14:dxf>
              <font>
                <color rgb="FFC00000"/>
              </font>
            </x14:dxf>
          </x14:cfRule>
          <xm:sqref>E13:E1048576 I13:I1048576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'Tabelas AUX'!$E$2:$E$9</xm:f>
          </x14:formula1>
          <xm:sqref>E13:E15 I13:I15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9" tint="0.59999389629810485"/>
    <pageSetUpPr autoPageBreaks="0"/>
  </sheetPr>
  <dimension ref="A1:AD40"/>
  <sheetViews>
    <sheetView showGridLines="0" topLeftCell="S1" zoomScale="85" zoomScaleNormal="85" workbookViewId="0">
      <pane ySplit="12" topLeftCell="A13" activePane="bottomLeft" state="frozen"/>
      <selection pane="bottomLeft" activeCell="AA12" sqref="AA12:AC12"/>
    </sheetView>
  </sheetViews>
  <sheetFormatPr defaultRowHeight="15" outlineLevelRow="1" outlineLevelCol="1" x14ac:dyDescent="0.25"/>
  <cols>
    <col min="1" max="1" width="3.7109375" customWidth="1"/>
    <col min="2" max="2" width="17.7109375" customWidth="1"/>
    <col min="3" max="3" width="9.42578125" bestFit="1" customWidth="1"/>
    <col min="4" max="4" width="21.85546875" bestFit="1" customWidth="1"/>
    <col min="5" max="5" width="17" bestFit="1" customWidth="1"/>
    <col min="6" max="6" width="44.28515625" bestFit="1" customWidth="1"/>
    <col min="7" max="7" width="12.7109375" customWidth="1"/>
    <col min="8" max="8" width="2" customWidth="1"/>
    <col min="9" max="9" width="27.85546875" hidden="1" customWidth="1" outlineLevel="1"/>
    <col min="10" max="10" width="26.85546875" hidden="1" customWidth="1" outlineLevel="1"/>
    <col min="11" max="11" width="21" hidden="1" customWidth="1" outlineLevel="1"/>
    <col min="12" max="12" width="27.85546875" bestFit="1" customWidth="1" collapsed="1"/>
    <col min="13" max="13" width="28.85546875" customWidth="1"/>
    <col min="14" max="14" width="24.42578125" customWidth="1"/>
    <col min="15" max="15" width="20.28515625" hidden="1" customWidth="1" outlineLevel="1"/>
    <col min="16" max="17" width="42.42578125" hidden="1" customWidth="1" outlineLevel="1"/>
    <col min="18" max="18" width="30.5703125" hidden="1" customWidth="1" outlineLevel="1"/>
    <col min="19" max="19" width="2.140625" customWidth="1" collapsed="1"/>
    <col min="20" max="20" width="14.140625" customWidth="1" outlineLevel="1"/>
    <col min="21" max="21" width="15.42578125" customWidth="1" outlineLevel="1"/>
    <col min="22" max="22" width="42.7109375" customWidth="1" outlineLevel="1"/>
    <col min="23" max="23" width="2.140625" customWidth="1"/>
    <col min="24" max="24" width="10.28515625" customWidth="1" outlineLevel="1"/>
    <col min="25" max="25" width="22.7109375" bestFit="1" customWidth="1" outlineLevel="1"/>
    <col min="26" max="29" width="22.5703125" customWidth="1" outlineLevel="1"/>
    <col min="30" max="30" width="11.28515625" customWidth="1" outlineLevel="1"/>
  </cols>
  <sheetData>
    <row r="1" spans="1:30" ht="15" customHeight="1" x14ac:dyDescent="0.25">
      <c r="B1" s="47"/>
      <c r="C1" s="47"/>
      <c r="D1" s="47"/>
      <c r="F1" s="47"/>
      <c r="G1" s="47"/>
    </row>
    <row r="2" spans="1:30" ht="34.5" customHeight="1" x14ac:dyDescent="0.25">
      <c r="B2" s="47"/>
      <c r="C2" s="47"/>
      <c r="D2" s="48"/>
      <c r="F2" s="47"/>
      <c r="G2" s="47"/>
    </row>
    <row r="3" spans="1:30" ht="2.25" customHeight="1" x14ac:dyDescent="0.25">
      <c r="A3" s="20"/>
      <c r="B3" s="49"/>
      <c r="C3" s="49"/>
      <c r="D3" s="49"/>
      <c r="E3" s="49"/>
      <c r="F3" s="49"/>
      <c r="G3" s="49"/>
    </row>
    <row r="4" spans="1:30" ht="15" customHeight="1" x14ac:dyDescent="0.25">
      <c r="B4" s="47"/>
      <c r="C4" s="47"/>
      <c r="D4" s="47"/>
      <c r="F4" s="47"/>
      <c r="G4" s="47"/>
    </row>
    <row r="5" spans="1:30" ht="15" customHeight="1" x14ac:dyDescent="0.25">
      <c r="B5" s="50" t="s">
        <v>222</v>
      </c>
      <c r="C5" s="50"/>
      <c r="D5" s="47"/>
      <c r="F5" s="47"/>
      <c r="G5" s="47"/>
    </row>
    <row r="6" spans="1:30" ht="15" customHeight="1" x14ac:dyDescent="0.25">
      <c r="B6" s="47"/>
      <c r="C6" s="47"/>
      <c r="D6" s="47"/>
      <c r="F6" s="47"/>
      <c r="G6" s="47"/>
    </row>
    <row r="7" spans="1:30" ht="52.5" customHeight="1" outlineLevel="1" x14ac:dyDescent="0.25">
      <c r="B7" s="51" t="s">
        <v>65</v>
      </c>
      <c r="C7" s="74"/>
      <c r="D7" s="222" t="s">
        <v>223</v>
      </c>
      <c r="E7" s="222"/>
      <c r="F7" s="222"/>
      <c r="G7" s="222"/>
      <c r="H7" s="52"/>
      <c r="I7" s="52"/>
      <c r="S7" s="52"/>
      <c r="W7" s="52"/>
    </row>
    <row r="8" spans="1:30" ht="15" customHeight="1" outlineLevel="1" x14ac:dyDescent="0.25">
      <c r="B8" s="47"/>
      <c r="C8" s="47"/>
      <c r="D8" s="47"/>
      <c r="F8" s="47"/>
      <c r="G8" s="47"/>
    </row>
    <row r="9" spans="1:30" ht="15" customHeight="1" outlineLevel="1" x14ac:dyDescent="0.25">
      <c r="B9" s="47"/>
      <c r="C9" s="47"/>
      <c r="D9" s="47"/>
      <c r="F9" s="47"/>
      <c r="G9" s="47"/>
    </row>
    <row r="10" spans="1:30" ht="15" customHeight="1" outlineLevel="1" x14ac:dyDescent="0.25">
      <c r="B10" s="47"/>
      <c r="C10" s="47"/>
      <c r="D10" s="47"/>
      <c r="F10" s="47"/>
      <c r="G10" s="47"/>
    </row>
    <row r="11" spans="1:30" x14ac:dyDescent="0.25">
      <c r="B11" s="212" t="s">
        <v>67</v>
      </c>
      <c r="C11" s="213"/>
      <c r="D11" s="213"/>
      <c r="E11" s="213"/>
      <c r="F11" s="213"/>
      <c r="G11" s="214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  <c r="X11" s="207" t="s">
        <v>72</v>
      </c>
      <c r="Y11" s="208"/>
      <c r="Z11" s="208"/>
      <c r="AA11" s="208"/>
      <c r="AB11" s="208"/>
      <c r="AC11" s="208"/>
      <c r="AD11" s="209"/>
    </row>
    <row r="12" spans="1:30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  <c r="X12" s="61" t="s">
        <v>86</v>
      </c>
      <c r="Y12" s="61" t="s">
        <v>89</v>
      </c>
      <c r="Z12" s="61" t="s">
        <v>90</v>
      </c>
      <c r="AA12" s="61" t="s">
        <v>166</v>
      </c>
      <c r="AB12" s="61" t="s">
        <v>167</v>
      </c>
      <c r="AC12" s="61" t="s">
        <v>168</v>
      </c>
      <c r="AD12" s="61" t="s">
        <v>88</v>
      </c>
    </row>
    <row r="13" spans="1:30" x14ac:dyDescent="0.25">
      <c r="B13" s="68" t="s">
        <v>31</v>
      </c>
      <c r="C13" s="62">
        <v>1</v>
      </c>
      <c r="D13" s="62" t="s">
        <v>224</v>
      </c>
      <c r="E13" s="62" t="s">
        <v>225</v>
      </c>
      <c r="F13" s="62" t="s">
        <v>226</v>
      </c>
      <c r="G13" s="80"/>
      <c r="I13" s="62" t="s">
        <v>20</v>
      </c>
      <c r="J13" s="62" t="s">
        <v>227</v>
      </c>
      <c r="K13" s="62" t="s">
        <v>228</v>
      </c>
      <c r="L13" s="92" t="s">
        <v>29</v>
      </c>
      <c r="M13" s="92" t="s">
        <v>18</v>
      </c>
      <c r="N13" s="62" t="s">
        <v>224</v>
      </c>
      <c r="O13" s="92"/>
      <c r="P13" s="92"/>
      <c r="Q13" s="92"/>
      <c r="R13" s="92"/>
      <c r="S13" s="22"/>
      <c r="T13" s="75" t="s">
        <v>97</v>
      </c>
      <c r="U13" s="69">
        <v>44852</v>
      </c>
      <c r="V13" s="72"/>
      <c r="X13" s="75" t="s">
        <v>97</v>
      </c>
      <c r="Y13" s="63">
        <v>45009</v>
      </c>
      <c r="Z13" s="62"/>
      <c r="AA13" s="62"/>
      <c r="AB13" s="62"/>
      <c r="AC13" s="62"/>
      <c r="AD13" s="62"/>
    </row>
    <row r="14" spans="1:30" x14ac:dyDescent="0.25">
      <c r="B14" s="68" t="s">
        <v>31</v>
      </c>
      <c r="C14" s="62">
        <v>2</v>
      </c>
      <c r="D14" s="62" t="s">
        <v>229</v>
      </c>
      <c r="E14" s="62" t="s">
        <v>225</v>
      </c>
      <c r="F14" s="62" t="s">
        <v>230</v>
      </c>
      <c r="G14" s="80"/>
      <c r="I14" s="62" t="s">
        <v>20</v>
      </c>
      <c r="J14" s="62" t="s">
        <v>227</v>
      </c>
      <c r="K14" s="62" t="s">
        <v>231</v>
      </c>
      <c r="L14" s="92"/>
      <c r="M14" s="92" t="s">
        <v>95</v>
      </c>
      <c r="N14" s="97" t="s">
        <v>95</v>
      </c>
      <c r="O14" s="92"/>
      <c r="P14" s="92"/>
      <c r="Q14" s="92"/>
      <c r="R14" s="92"/>
      <c r="S14" s="22"/>
      <c r="T14" s="75" t="s">
        <v>97</v>
      </c>
      <c r="U14" s="69">
        <v>44852</v>
      </c>
      <c r="V14" s="92"/>
      <c r="X14" s="75" t="s">
        <v>97</v>
      </c>
      <c r="Y14" s="63">
        <v>45009</v>
      </c>
      <c r="Z14" s="62"/>
      <c r="AA14" s="62"/>
      <c r="AB14" s="62"/>
      <c r="AC14" s="62"/>
      <c r="AD14" s="62"/>
    </row>
    <row r="15" spans="1:30" ht="30" x14ac:dyDescent="0.25">
      <c r="B15" s="68" t="s">
        <v>31</v>
      </c>
      <c r="C15" s="62">
        <v>3</v>
      </c>
      <c r="D15" s="62" t="s">
        <v>232</v>
      </c>
      <c r="E15" s="62" t="s">
        <v>225</v>
      </c>
      <c r="F15" s="62" t="s">
        <v>233</v>
      </c>
      <c r="G15" s="80"/>
      <c r="I15" s="62" t="s">
        <v>20</v>
      </c>
      <c r="J15" s="62" t="s">
        <v>227</v>
      </c>
      <c r="K15" s="62" t="s">
        <v>234</v>
      </c>
      <c r="L15" s="98" t="s">
        <v>235</v>
      </c>
      <c r="M15" s="98" t="s">
        <v>236</v>
      </c>
      <c r="N15" s="92" t="s">
        <v>237</v>
      </c>
      <c r="O15" s="92"/>
      <c r="P15" s="92"/>
      <c r="Q15" s="92"/>
      <c r="R15" s="92"/>
      <c r="S15" s="22"/>
      <c r="T15" s="75" t="s">
        <v>97</v>
      </c>
      <c r="U15" s="69">
        <v>44852</v>
      </c>
      <c r="V15" s="92"/>
      <c r="X15" s="75" t="s">
        <v>97</v>
      </c>
      <c r="Y15" s="63">
        <v>45009</v>
      </c>
      <c r="Z15" s="62"/>
      <c r="AA15" s="62"/>
      <c r="AB15" s="62"/>
      <c r="AC15" s="62"/>
      <c r="AD15" s="62"/>
    </row>
    <row r="16" spans="1:30" x14ac:dyDescent="0.25">
      <c r="B16" s="68" t="s">
        <v>31</v>
      </c>
      <c r="C16" s="62">
        <v>4</v>
      </c>
      <c r="D16" s="62" t="s">
        <v>238</v>
      </c>
      <c r="E16" s="62" t="s">
        <v>225</v>
      </c>
      <c r="F16" s="62" t="s">
        <v>239</v>
      </c>
      <c r="G16" s="80"/>
      <c r="I16" s="62" t="s">
        <v>20</v>
      </c>
      <c r="J16" s="62" t="s">
        <v>227</v>
      </c>
      <c r="K16" s="62" t="s">
        <v>240</v>
      </c>
      <c r="L16" s="92" t="s">
        <v>29</v>
      </c>
      <c r="M16" s="92" t="s">
        <v>18</v>
      </c>
      <c r="N16" s="62" t="s">
        <v>238</v>
      </c>
      <c r="O16" s="92"/>
      <c r="P16" s="92"/>
      <c r="Q16" s="92"/>
      <c r="R16" s="92"/>
      <c r="S16" s="22"/>
      <c r="T16" s="75" t="s">
        <v>97</v>
      </c>
      <c r="U16" s="69">
        <v>44852</v>
      </c>
      <c r="V16" s="92"/>
      <c r="X16" s="75" t="s">
        <v>97</v>
      </c>
      <c r="Y16" s="63">
        <v>45009</v>
      </c>
      <c r="Z16" s="62"/>
      <c r="AA16" s="62"/>
      <c r="AB16" s="62"/>
      <c r="AC16" s="62"/>
      <c r="AD16" s="62"/>
    </row>
    <row r="17" spans="2:30" x14ac:dyDescent="0.25">
      <c r="B17" s="68" t="s">
        <v>31</v>
      </c>
      <c r="C17" s="62">
        <v>5</v>
      </c>
      <c r="D17" s="62" t="s">
        <v>241</v>
      </c>
      <c r="E17" s="62" t="s">
        <v>225</v>
      </c>
      <c r="F17" s="62" t="s">
        <v>242</v>
      </c>
      <c r="G17" s="80"/>
      <c r="I17" s="62"/>
      <c r="J17" s="62"/>
      <c r="K17" s="62"/>
      <c r="L17" s="92"/>
      <c r="M17" s="92" t="s">
        <v>243</v>
      </c>
      <c r="N17" s="92"/>
      <c r="O17" s="92"/>
      <c r="P17" s="92"/>
      <c r="Q17" s="92"/>
      <c r="R17" s="92"/>
      <c r="S17" s="22"/>
      <c r="T17" s="75" t="s">
        <v>97</v>
      </c>
      <c r="U17" s="69">
        <v>44852</v>
      </c>
      <c r="V17" s="92"/>
      <c r="X17" s="75" t="s">
        <v>97</v>
      </c>
      <c r="Y17" s="63">
        <v>45009</v>
      </c>
      <c r="Z17" s="62"/>
      <c r="AA17" s="62"/>
      <c r="AB17" s="62"/>
      <c r="AC17" s="62"/>
      <c r="AD17" s="62"/>
    </row>
    <row r="18" spans="2:30" x14ac:dyDescent="0.25">
      <c r="B18" s="68" t="s">
        <v>31</v>
      </c>
      <c r="C18" s="68">
        <v>6</v>
      </c>
      <c r="D18" s="62" t="s">
        <v>244</v>
      </c>
      <c r="E18" s="62" t="s">
        <v>225</v>
      </c>
      <c r="F18" s="62" t="s">
        <v>245</v>
      </c>
      <c r="G18" s="68"/>
      <c r="I18" s="70" t="s">
        <v>20</v>
      </c>
      <c r="J18" s="70" t="s">
        <v>227</v>
      </c>
      <c r="K18" s="68" t="s">
        <v>246</v>
      </c>
      <c r="L18" s="92"/>
      <c r="M18" s="92" t="s">
        <v>243</v>
      </c>
      <c r="N18" s="94"/>
      <c r="O18" s="95"/>
      <c r="P18" s="92"/>
      <c r="Q18" s="92"/>
      <c r="R18" s="92"/>
      <c r="S18" s="22"/>
      <c r="T18" s="75" t="s">
        <v>97</v>
      </c>
      <c r="U18" s="69">
        <v>44852</v>
      </c>
      <c r="V18" s="92"/>
      <c r="X18" s="75" t="s">
        <v>97</v>
      </c>
      <c r="Y18" s="63">
        <v>45009</v>
      </c>
      <c r="Z18" s="62"/>
      <c r="AA18" s="62"/>
      <c r="AB18" s="62"/>
      <c r="AC18" s="62"/>
      <c r="AD18" s="62"/>
    </row>
    <row r="19" spans="2:30" x14ac:dyDescent="0.25">
      <c r="B19" s="68" t="s">
        <v>31</v>
      </c>
      <c r="C19" s="68">
        <v>7</v>
      </c>
      <c r="D19" s="62" t="s">
        <v>247</v>
      </c>
      <c r="E19" s="62" t="s">
        <v>225</v>
      </c>
      <c r="F19" s="62" t="s">
        <v>248</v>
      </c>
      <c r="G19" s="68"/>
      <c r="I19" s="70" t="s">
        <v>20</v>
      </c>
      <c r="J19" s="70" t="s">
        <v>227</v>
      </c>
      <c r="K19" s="68" t="s">
        <v>246</v>
      </c>
      <c r="L19" s="92"/>
      <c r="M19" s="92" t="s">
        <v>243</v>
      </c>
      <c r="N19" s="94"/>
      <c r="O19" s="95"/>
      <c r="P19" s="92"/>
      <c r="Q19" s="92"/>
      <c r="R19" s="92"/>
      <c r="S19" s="22"/>
      <c r="T19" s="75" t="s">
        <v>97</v>
      </c>
      <c r="U19" s="69">
        <v>44852</v>
      </c>
      <c r="V19" s="92"/>
      <c r="X19" s="75" t="s">
        <v>97</v>
      </c>
      <c r="Y19" s="63">
        <v>45009</v>
      </c>
      <c r="Z19" s="62"/>
      <c r="AA19" s="62"/>
      <c r="AB19" s="62"/>
      <c r="AC19" s="62"/>
      <c r="AD19" s="62"/>
    </row>
    <row r="20" spans="2:30" x14ac:dyDescent="0.25">
      <c r="B20" s="68" t="s">
        <v>31</v>
      </c>
      <c r="C20" s="68">
        <v>8</v>
      </c>
      <c r="D20" s="62" t="s">
        <v>249</v>
      </c>
      <c r="E20" s="62" t="s">
        <v>225</v>
      </c>
      <c r="F20" s="62" t="s">
        <v>250</v>
      </c>
      <c r="G20" s="68"/>
      <c r="I20" s="70" t="s">
        <v>20</v>
      </c>
      <c r="J20" s="70" t="s">
        <v>227</v>
      </c>
      <c r="K20" s="68" t="s">
        <v>246</v>
      </c>
      <c r="L20" s="92"/>
      <c r="M20" s="92" t="s">
        <v>243</v>
      </c>
      <c r="N20" s="94"/>
      <c r="O20" s="95"/>
      <c r="P20" s="92"/>
      <c r="Q20" s="92"/>
      <c r="R20" s="92"/>
      <c r="S20" s="22"/>
      <c r="T20" s="75" t="s">
        <v>97</v>
      </c>
      <c r="U20" s="69">
        <v>44852</v>
      </c>
      <c r="V20" s="92"/>
      <c r="X20" s="75" t="s">
        <v>97</v>
      </c>
      <c r="Y20" s="63">
        <v>45009</v>
      </c>
      <c r="Z20" s="62"/>
      <c r="AA20" s="62"/>
      <c r="AB20" s="62"/>
      <c r="AC20" s="62"/>
      <c r="AD20" s="62"/>
    </row>
    <row r="21" spans="2:30" x14ac:dyDescent="0.25">
      <c r="B21" s="68" t="s">
        <v>31</v>
      </c>
      <c r="C21" s="68">
        <v>9</v>
      </c>
      <c r="D21" s="62" t="s">
        <v>251</v>
      </c>
      <c r="E21" s="62" t="s">
        <v>225</v>
      </c>
      <c r="F21" s="62" t="s">
        <v>252</v>
      </c>
      <c r="G21" s="68"/>
      <c r="I21" s="70" t="s">
        <v>20</v>
      </c>
      <c r="J21" s="70" t="s">
        <v>227</v>
      </c>
      <c r="K21" s="68" t="s">
        <v>246</v>
      </c>
      <c r="L21" s="92"/>
      <c r="M21" s="92" t="s">
        <v>243</v>
      </c>
      <c r="N21" s="101" t="s">
        <v>117</v>
      </c>
      <c r="O21" s="95"/>
      <c r="P21" s="92"/>
      <c r="Q21" s="92"/>
      <c r="R21" s="92"/>
      <c r="S21" s="22"/>
      <c r="T21" s="75" t="s">
        <v>97</v>
      </c>
      <c r="U21" s="69">
        <v>44852</v>
      </c>
      <c r="V21" s="92"/>
      <c r="X21" s="75" t="s">
        <v>97</v>
      </c>
      <c r="Y21" s="63">
        <v>45009</v>
      </c>
      <c r="Z21" s="62"/>
      <c r="AA21" s="62"/>
      <c r="AB21" s="62"/>
      <c r="AC21" s="62"/>
      <c r="AD21" s="62"/>
    </row>
    <row r="22" spans="2:30" x14ac:dyDescent="0.25">
      <c r="B22" s="68"/>
      <c r="C22" s="68"/>
      <c r="D22" s="62"/>
      <c r="E22" s="68"/>
      <c r="F22" s="68"/>
      <c r="G22" s="68"/>
      <c r="H22" s="47"/>
      <c r="I22" s="70" t="s">
        <v>20</v>
      </c>
      <c r="J22" s="70" t="s">
        <v>227</v>
      </c>
      <c r="K22" s="68" t="s">
        <v>246</v>
      </c>
      <c r="L22" s="92"/>
      <c r="M22" s="93"/>
      <c r="N22" s="94"/>
      <c r="O22" s="95"/>
      <c r="P22" s="92"/>
      <c r="Q22" s="92"/>
      <c r="R22" s="92"/>
      <c r="S22" s="22"/>
      <c r="T22" s="75"/>
      <c r="U22" s="92"/>
      <c r="V22" s="92"/>
      <c r="X22" s="75"/>
      <c r="Y22" s="62"/>
      <c r="Z22" s="62"/>
      <c r="AA22" s="62"/>
      <c r="AB22" s="62"/>
      <c r="AC22" s="62"/>
      <c r="AD22" s="62"/>
    </row>
    <row r="23" spans="2:30" x14ac:dyDescent="0.25">
      <c r="B23" s="68"/>
      <c r="C23" s="68"/>
      <c r="D23" s="62"/>
      <c r="E23" s="68"/>
      <c r="F23" s="62"/>
      <c r="G23" s="68"/>
      <c r="H23" s="47"/>
      <c r="I23" s="70" t="s">
        <v>20</v>
      </c>
      <c r="J23" s="70" t="s">
        <v>227</v>
      </c>
      <c r="K23" s="68" t="s">
        <v>246</v>
      </c>
      <c r="L23" s="92"/>
      <c r="M23" s="93"/>
      <c r="N23" s="94"/>
      <c r="O23" s="95"/>
      <c r="P23" s="92"/>
      <c r="Q23" s="92"/>
      <c r="R23" s="92"/>
      <c r="S23" s="22"/>
      <c r="T23" s="75"/>
      <c r="U23" s="92"/>
      <c r="V23" s="92"/>
      <c r="X23" s="75"/>
      <c r="Y23" s="62"/>
      <c r="Z23" s="62"/>
      <c r="AA23" s="62"/>
      <c r="AB23" s="62"/>
      <c r="AC23" s="62"/>
      <c r="AD23" s="62"/>
    </row>
    <row r="24" spans="2:30" x14ac:dyDescent="0.25">
      <c r="B24" s="68"/>
      <c r="C24" s="68"/>
      <c r="D24" s="83"/>
      <c r="E24" s="68"/>
      <c r="F24" s="62"/>
      <c r="G24" s="68"/>
      <c r="H24" s="47"/>
      <c r="I24" s="70" t="s">
        <v>20</v>
      </c>
      <c r="J24" s="70" t="s">
        <v>227</v>
      </c>
      <c r="K24" s="68" t="s">
        <v>246</v>
      </c>
      <c r="L24" s="92"/>
      <c r="M24" s="93"/>
      <c r="N24" s="94"/>
      <c r="O24" s="95"/>
      <c r="P24" s="92"/>
      <c r="Q24" s="92"/>
      <c r="R24" s="92"/>
      <c r="S24" s="22"/>
      <c r="T24" s="75"/>
      <c r="U24" s="92"/>
      <c r="V24" s="92"/>
      <c r="X24" s="75"/>
      <c r="Y24" s="62"/>
      <c r="Z24" s="62"/>
      <c r="AA24" s="62"/>
      <c r="AB24" s="62"/>
      <c r="AC24" s="62"/>
      <c r="AD24" s="62"/>
    </row>
    <row r="25" spans="2:30" x14ac:dyDescent="0.25">
      <c r="B25" s="68"/>
      <c r="C25" s="68"/>
      <c r="D25" s="83"/>
      <c r="E25" s="68"/>
      <c r="F25" s="62"/>
      <c r="G25" s="68"/>
      <c r="H25" s="47"/>
      <c r="I25" s="70" t="s">
        <v>20</v>
      </c>
      <c r="J25" s="70" t="s">
        <v>227</v>
      </c>
      <c r="K25" s="68" t="s">
        <v>246</v>
      </c>
      <c r="L25" s="92"/>
      <c r="M25" s="93"/>
      <c r="N25" s="94"/>
      <c r="O25" s="95"/>
      <c r="P25" s="92"/>
      <c r="Q25" s="92"/>
      <c r="R25" s="92"/>
      <c r="S25" s="22"/>
      <c r="T25" s="75"/>
      <c r="U25" s="92"/>
      <c r="V25" s="92"/>
      <c r="X25" s="75"/>
      <c r="Y25" s="62"/>
      <c r="Z25" s="62"/>
      <c r="AA25" s="62"/>
      <c r="AB25" s="62"/>
      <c r="AC25" s="62"/>
      <c r="AD25" s="62"/>
    </row>
    <row r="26" spans="2:30" ht="14.25" customHeight="1" x14ac:dyDescent="0.25">
      <c r="B26" s="68"/>
      <c r="C26" s="68"/>
      <c r="D26" s="83"/>
      <c r="E26" s="68"/>
      <c r="F26" s="62"/>
      <c r="G26" s="68"/>
      <c r="H26" s="47"/>
      <c r="I26" s="70" t="s">
        <v>20</v>
      </c>
      <c r="J26" s="70" t="s">
        <v>227</v>
      </c>
      <c r="K26" s="68" t="s">
        <v>246</v>
      </c>
      <c r="L26" s="92"/>
      <c r="M26" s="93"/>
      <c r="N26" s="94"/>
      <c r="O26" s="95"/>
      <c r="P26" s="92"/>
      <c r="Q26" s="92"/>
      <c r="R26" s="92"/>
      <c r="S26" s="22"/>
      <c r="T26" s="75"/>
      <c r="U26" s="92"/>
      <c r="V26" s="92"/>
      <c r="X26" s="75"/>
      <c r="Y26" s="62"/>
      <c r="Z26" s="62"/>
      <c r="AA26" s="62"/>
      <c r="AB26" s="62"/>
      <c r="AC26" s="62"/>
      <c r="AD26" s="62"/>
    </row>
    <row r="27" spans="2:30" ht="14.25" customHeight="1" x14ac:dyDescent="0.25">
      <c r="B27" s="68"/>
      <c r="C27" s="68"/>
      <c r="D27" s="83"/>
      <c r="E27" s="68"/>
      <c r="F27" s="62"/>
      <c r="G27" s="68"/>
      <c r="H27" s="47"/>
      <c r="I27" s="70" t="s">
        <v>20</v>
      </c>
      <c r="J27" s="70" t="s">
        <v>227</v>
      </c>
      <c r="K27" s="68" t="s">
        <v>246</v>
      </c>
      <c r="L27" s="92"/>
      <c r="M27" s="93"/>
      <c r="N27" s="94"/>
      <c r="O27" s="95"/>
      <c r="P27" s="92"/>
      <c r="Q27" s="92"/>
      <c r="R27" s="92"/>
      <c r="S27" s="22"/>
      <c r="T27" s="75"/>
      <c r="U27" s="92"/>
      <c r="V27" s="92"/>
      <c r="X27" s="75"/>
      <c r="Y27" s="62"/>
      <c r="Z27" s="62"/>
      <c r="AA27" s="62"/>
      <c r="AB27" s="62"/>
      <c r="AC27" s="62"/>
      <c r="AD27" s="62"/>
    </row>
    <row r="28" spans="2:30" x14ac:dyDescent="0.25">
      <c r="B28" s="62"/>
      <c r="C28" s="62"/>
      <c r="D28" s="62"/>
      <c r="E28" s="62"/>
      <c r="F28" s="62"/>
      <c r="G28" s="62"/>
      <c r="I28" s="62"/>
      <c r="J28" s="62"/>
      <c r="K28" s="62"/>
      <c r="L28" s="92"/>
      <c r="M28" s="92"/>
      <c r="N28" s="92"/>
      <c r="O28" s="92"/>
      <c r="P28" s="92"/>
      <c r="Q28" s="92"/>
      <c r="R28" s="92"/>
      <c r="S28" s="22"/>
      <c r="T28" s="78"/>
      <c r="U28" s="92"/>
      <c r="V28" s="92"/>
      <c r="X28" s="78"/>
      <c r="Y28" s="62"/>
      <c r="Z28" s="62"/>
      <c r="AA28" s="62"/>
      <c r="AB28" s="62"/>
      <c r="AC28" s="62"/>
      <c r="AD28" s="62"/>
    </row>
    <row r="29" spans="2:30" x14ac:dyDescent="0.25">
      <c r="B29" s="62"/>
      <c r="C29" s="62"/>
      <c r="D29" s="62"/>
      <c r="E29" s="62"/>
      <c r="F29" s="62"/>
      <c r="G29" s="62"/>
      <c r="I29" s="62"/>
      <c r="J29" s="62"/>
      <c r="K29" s="62"/>
      <c r="L29" s="92"/>
      <c r="M29" s="92"/>
      <c r="N29" s="92"/>
      <c r="O29" s="92"/>
      <c r="P29" s="92"/>
      <c r="Q29" s="92"/>
      <c r="R29" s="92"/>
      <c r="S29" s="22"/>
      <c r="T29" s="78"/>
      <c r="U29" s="92"/>
      <c r="V29" s="92"/>
      <c r="X29" s="78"/>
      <c r="Y29" s="62"/>
      <c r="Z29" s="62"/>
      <c r="AA29" s="62"/>
      <c r="AB29" s="62"/>
      <c r="AC29" s="62"/>
      <c r="AD29" s="62"/>
    </row>
    <row r="30" spans="2:30" x14ac:dyDescent="0.25">
      <c r="B30" s="62"/>
      <c r="C30" s="62"/>
      <c r="D30" s="62"/>
      <c r="E30" s="62"/>
      <c r="F30" s="62"/>
      <c r="G30" s="62"/>
      <c r="I30" s="62"/>
      <c r="J30" s="62"/>
      <c r="K30" s="62"/>
      <c r="L30" s="92"/>
      <c r="M30" s="92"/>
      <c r="N30" s="92"/>
      <c r="O30" s="92"/>
      <c r="P30" s="92"/>
      <c r="Q30" s="92"/>
      <c r="R30" s="92"/>
      <c r="S30" s="22"/>
      <c r="T30" s="78"/>
      <c r="U30" s="92"/>
      <c r="V30" s="92"/>
      <c r="X30" s="78"/>
      <c r="Y30" s="62"/>
      <c r="Z30" s="62"/>
      <c r="AA30" s="62"/>
      <c r="AB30" s="62"/>
      <c r="AC30" s="62"/>
      <c r="AD30" s="62"/>
    </row>
    <row r="31" spans="2:30" x14ac:dyDescent="0.25">
      <c r="B31" s="62"/>
      <c r="C31" s="62"/>
      <c r="D31" s="62"/>
      <c r="E31" s="62"/>
      <c r="F31" s="62"/>
      <c r="G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T31" s="78"/>
      <c r="U31" s="62"/>
      <c r="V31" s="62"/>
      <c r="X31" s="78"/>
      <c r="Y31" s="62"/>
      <c r="Z31" s="62"/>
      <c r="AA31" s="62"/>
      <c r="AB31" s="62"/>
      <c r="AC31" s="62"/>
      <c r="AD31" s="62"/>
    </row>
    <row r="32" spans="2:30" x14ac:dyDescent="0.25">
      <c r="B32" s="62"/>
      <c r="C32" s="62"/>
      <c r="D32" s="62"/>
      <c r="E32" s="62"/>
      <c r="F32" s="62"/>
      <c r="G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T32" s="78"/>
      <c r="U32" s="62"/>
      <c r="V32" s="62"/>
      <c r="X32" s="78"/>
      <c r="Y32" s="62"/>
      <c r="Z32" s="62"/>
      <c r="AA32" s="62"/>
      <c r="AB32" s="62"/>
      <c r="AC32" s="62"/>
      <c r="AD32" s="62"/>
    </row>
    <row r="33" spans="2:30" x14ac:dyDescent="0.25">
      <c r="B33" s="62"/>
      <c r="C33" s="62"/>
      <c r="D33" s="62"/>
      <c r="E33" s="62"/>
      <c r="F33" s="62"/>
      <c r="G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T33" s="78"/>
      <c r="U33" s="62"/>
      <c r="V33" s="62"/>
      <c r="X33" s="78"/>
      <c r="Y33" s="62"/>
      <c r="Z33" s="62"/>
      <c r="AA33" s="62"/>
      <c r="AB33" s="62"/>
      <c r="AC33" s="62"/>
      <c r="AD33" s="62"/>
    </row>
    <row r="34" spans="2:30" x14ac:dyDescent="0.25">
      <c r="B34" s="62"/>
      <c r="C34" s="62"/>
      <c r="D34" s="62"/>
      <c r="E34" s="62"/>
      <c r="F34" s="62"/>
      <c r="G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T34" s="78"/>
      <c r="U34" s="62"/>
      <c r="V34" s="62"/>
      <c r="X34" s="78"/>
      <c r="Y34" s="62"/>
      <c r="Z34" s="62"/>
      <c r="AA34" s="62"/>
      <c r="AB34" s="62"/>
      <c r="AC34" s="62"/>
      <c r="AD34" s="62"/>
    </row>
    <row r="35" spans="2:30" x14ac:dyDescent="0.25">
      <c r="B35" s="62"/>
      <c r="C35" s="62"/>
      <c r="D35" s="62"/>
      <c r="E35" s="62"/>
      <c r="F35" s="62"/>
      <c r="G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T35" s="78"/>
      <c r="U35" s="62"/>
      <c r="V35" s="62"/>
      <c r="X35" s="78"/>
      <c r="Y35" s="62"/>
      <c r="Z35" s="62"/>
      <c r="AA35" s="62"/>
      <c r="AB35" s="62"/>
      <c r="AC35" s="62"/>
      <c r="AD35" s="62"/>
    </row>
    <row r="36" spans="2:30" x14ac:dyDescent="0.25">
      <c r="B36" s="62"/>
      <c r="C36" s="62"/>
      <c r="D36" s="62"/>
      <c r="E36" s="62"/>
      <c r="F36" s="62"/>
      <c r="G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T36" s="78"/>
      <c r="U36" s="62"/>
      <c r="V36" s="62"/>
      <c r="X36" s="78"/>
      <c r="Y36" s="62"/>
      <c r="Z36" s="62"/>
      <c r="AA36" s="62"/>
      <c r="AB36" s="62"/>
      <c r="AC36" s="62"/>
      <c r="AD36" s="62"/>
    </row>
    <row r="37" spans="2:30" x14ac:dyDescent="0.25">
      <c r="B37" s="62"/>
      <c r="C37" s="62"/>
      <c r="D37" s="62"/>
      <c r="E37" s="62"/>
      <c r="F37" s="62"/>
      <c r="G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T37" s="78"/>
      <c r="U37" s="62"/>
      <c r="V37" s="62"/>
      <c r="X37" s="78"/>
      <c r="Y37" s="62"/>
      <c r="Z37" s="62"/>
      <c r="AA37" s="62"/>
      <c r="AB37" s="62"/>
      <c r="AC37" s="62"/>
      <c r="AD37" s="62"/>
    </row>
    <row r="38" spans="2:30" x14ac:dyDescent="0.25">
      <c r="B38" s="62"/>
      <c r="C38" s="62"/>
      <c r="D38" s="62"/>
      <c r="E38" s="62"/>
      <c r="F38" s="62"/>
      <c r="G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T38" s="78"/>
      <c r="U38" s="62"/>
      <c r="V38" s="62"/>
      <c r="X38" s="78"/>
      <c r="Y38" s="62"/>
      <c r="Z38" s="62"/>
      <c r="AA38" s="62"/>
      <c r="AB38" s="62"/>
      <c r="AC38" s="62"/>
      <c r="AD38" s="62"/>
    </row>
    <row r="39" spans="2:30" x14ac:dyDescent="0.25">
      <c r="B39" s="62"/>
      <c r="C39" s="62"/>
      <c r="D39" s="62"/>
      <c r="E39" s="62"/>
      <c r="F39" s="62"/>
      <c r="G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T39" s="78"/>
      <c r="U39" s="62"/>
      <c r="V39" s="62"/>
      <c r="X39" s="78"/>
      <c r="Y39" s="62"/>
      <c r="Z39" s="62"/>
      <c r="AA39" s="62"/>
      <c r="AB39" s="62"/>
      <c r="AC39" s="62"/>
      <c r="AD39" s="62"/>
    </row>
    <row r="40" spans="2:30" x14ac:dyDescent="0.25">
      <c r="B40" s="62"/>
      <c r="C40" s="62"/>
      <c r="D40" s="62"/>
      <c r="E40" s="62"/>
      <c r="F40" s="62"/>
      <c r="G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T40" s="78"/>
      <c r="U40" s="62"/>
      <c r="V40" s="62"/>
      <c r="X40" s="78"/>
      <c r="Y40" s="62"/>
      <c r="Z40" s="62"/>
      <c r="AA40" s="62"/>
      <c r="AB40" s="62"/>
      <c r="AC40" s="62"/>
      <c r="AD40" s="62"/>
    </row>
  </sheetData>
  <autoFilter ref="B12:U12"/>
  <mergeCells count="7">
    <mergeCell ref="X11:AD11"/>
    <mergeCell ref="D7:G7"/>
    <mergeCell ref="B11:G11"/>
    <mergeCell ref="I11:K11"/>
    <mergeCell ref="L11:N11"/>
    <mergeCell ref="O11:R11"/>
    <mergeCell ref="T11:V11"/>
  </mergeCells>
  <conditionalFormatting sqref="T22:T1048576">
    <cfRule type="cellIs" dxfId="1290" priority="26" operator="equal">
      <formula>"Testes utilizador"</formula>
    </cfRule>
  </conditionalFormatting>
  <conditionalFormatting sqref="X22:X1048576">
    <cfRule type="cellIs" dxfId="1289" priority="21" operator="equal">
      <formula>"Testes utilizador"</formula>
    </cfRule>
  </conditionalFormatting>
  <conditionalFormatting sqref="T13">
    <cfRule type="cellIs" dxfId="1288" priority="16" operator="equal">
      <formula>"Testes utilizador"</formula>
    </cfRule>
  </conditionalFormatting>
  <conditionalFormatting sqref="T14:T21">
    <cfRule type="cellIs" dxfId="1287" priority="11" operator="equal">
      <formula>"Testes utilizador"</formula>
    </cfRule>
  </conditionalFormatting>
  <conditionalFormatting sqref="X13">
    <cfRule type="cellIs" dxfId="1286" priority="6" operator="equal">
      <formula>"Testes utilizador"</formula>
    </cfRule>
  </conditionalFormatting>
  <conditionalFormatting sqref="X14:X21">
    <cfRule type="cellIs" dxfId="1285" priority="1" operator="equal">
      <formula>"Testes utilizador"</formula>
    </cfRule>
  </conditionalFormatting>
  <dataValidations count="1">
    <dataValidation type="list" allowBlank="1" showInputMessage="1" showErrorMessage="1" sqref="M22:M27">
      <formula1>#REF!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7" operator="equal" id="{5E46CFB5-3BFB-44C2-A9F0-C26B50A2EBB8}">
            <xm:f>'Tabelas AUX'!$E$5</xm:f>
            <x14:dxf>
              <font>
                <color rgb="FF00B050"/>
              </font>
            </x14:dxf>
          </x14:cfRule>
          <x14:cfRule type="cellIs" priority="28" operator="equal" id="{0AF2D1A4-9BBD-4D6F-8274-77554F396025}">
            <xm:f>'Tabelas AUX'!$E$4</xm:f>
            <x14:dxf>
              <font>
                <color rgb="FF7F7F7F"/>
              </font>
            </x14:dxf>
          </x14:cfRule>
          <x14:cfRule type="cellIs" priority="29" operator="equal" id="{B9013C18-7CC4-4234-99F1-FD137181C21A}">
            <xm:f>'Tabelas AUX'!$E$3</xm:f>
            <x14:dxf>
              <font>
                <color theme="5"/>
              </font>
            </x14:dxf>
          </x14:cfRule>
          <x14:cfRule type="cellIs" priority="30" operator="equal" id="{7FF43561-B502-49CE-ADE9-A166C525D6C6}">
            <xm:f>'Tabelas AUX'!$E$2</xm:f>
            <x14:dxf>
              <font>
                <color rgb="FFC00000"/>
              </font>
            </x14:dxf>
          </x14:cfRule>
          <xm:sqref>T22:T1048576</xm:sqref>
        </x14:conditionalFormatting>
        <x14:conditionalFormatting xmlns:xm="http://schemas.microsoft.com/office/excel/2006/main">
          <x14:cfRule type="cellIs" priority="22" operator="equal" id="{E462793B-D4B8-4B30-A3A2-413579F2EFDA}">
            <xm:f>'Tabelas AUX'!$E$5</xm:f>
            <x14:dxf>
              <font>
                <color rgb="FF00B050"/>
              </font>
            </x14:dxf>
          </x14:cfRule>
          <x14:cfRule type="cellIs" priority="23" operator="equal" id="{48A604FB-DBFD-4CFE-99B3-5062326CB409}">
            <xm:f>'Tabelas AUX'!$E$4</xm:f>
            <x14:dxf>
              <font>
                <color rgb="FF7F7F7F"/>
              </font>
            </x14:dxf>
          </x14:cfRule>
          <x14:cfRule type="cellIs" priority="24" operator="equal" id="{4312465A-1B5A-4155-8611-C350C8D4658D}">
            <xm:f>'Tabelas AUX'!$E$3</xm:f>
            <x14:dxf>
              <font>
                <color theme="5"/>
              </font>
            </x14:dxf>
          </x14:cfRule>
          <x14:cfRule type="cellIs" priority="25" operator="equal" id="{8851C438-6E54-4C52-BB0C-F7F4E5F97C32}">
            <xm:f>'Tabelas AUX'!$E$2</xm:f>
            <x14:dxf>
              <font>
                <color rgb="FFC00000"/>
              </font>
            </x14:dxf>
          </x14:cfRule>
          <xm:sqref>X22:X1048576</xm:sqref>
        </x14:conditionalFormatting>
        <x14:conditionalFormatting xmlns:xm="http://schemas.microsoft.com/office/excel/2006/main">
          <x14:cfRule type="cellIs" priority="17" operator="equal" id="{96757616-6164-495D-A22A-203BB78113D5}">
            <xm:f>'Tabelas AUX'!$E$5</xm:f>
            <x14:dxf>
              <font>
                <color rgb="FF00B050"/>
              </font>
            </x14:dxf>
          </x14:cfRule>
          <x14:cfRule type="cellIs" priority="18" operator="equal" id="{E52C036C-C85A-42DA-B195-BFD2233C1C9A}">
            <xm:f>'Tabelas AUX'!$E$4</xm:f>
            <x14:dxf>
              <font>
                <color rgb="FF7F7F7F"/>
              </font>
            </x14:dxf>
          </x14:cfRule>
          <x14:cfRule type="cellIs" priority="19" operator="equal" id="{5673BF84-E2AF-4116-9209-3CCC73C6B4EE}">
            <xm:f>'Tabelas AUX'!$E$3</xm:f>
            <x14:dxf>
              <font>
                <color theme="5"/>
              </font>
            </x14:dxf>
          </x14:cfRule>
          <x14:cfRule type="cellIs" priority="20" operator="equal" id="{037E14FE-4FD0-43C4-B526-08391A745888}">
            <xm:f>'Tabelas AUX'!$E$2</xm:f>
            <x14:dxf>
              <font>
                <color rgb="FFC00000"/>
              </font>
            </x14:dxf>
          </x14:cfRule>
          <xm:sqref>T13</xm:sqref>
        </x14:conditionalFormatting>
        <x14:conditionalFormatting xmlns:xm="http://schemas.microsoft.com/office/excel/2006/main">
          <x14:cfRule type="cellIs" priority="12" operator="equal" id="{44E1892F-0E1A-481C-8CBF-71EBCB2836CE}">
            <xm:f>'Tabelas AUX'!$E$5</xm:f>
            <x14:dxf>
              <font>
                <color rgb="FF00B050"/>
              </font>
            </x14:dxf>
          </x14:cfRule>
          <x14:cfRule type="cellIs" priority="13" operator="equal" id="{F0D2B7B9-85C8-46C8-89D0-952C43B5B9AA}">
            <xm:f>'Tabelas AUX'!$E$4</xm:f>
            <x14:dxf>
              <font>
                <color rgb="FF7F7F7F"/>
              </font>
            </x14:dxf>
          </x14:cfRule>
          <x14:cfRule type="cellIs" priority="14" operator="equal" id="{378504F3-4B16-41F5-8ED1-045018D3F16C}">
            <xm:f>'Tabelas AUX'!$E$3</xm:f>
            <x14:dxf>
              <font>
                <color theme="5"/>
              </font>
            </x14:dxf>
          </x14:cfRule>
          <x14:cfRule type="cellIs" priority="15" operator="equal" id="{1FF61A8C-E7B3-4273-849A-940E8594122B}">
            <xm:f>'Tabelas AUX'!$E$2</xm:f>
            <x14:dxf>
              <font>
                <color rgb="FFC00000"/>
              </font>
            </x14:dxf>
          </x14:cfRule>
          <xm:sqref>T14:T21</xm:sqref>
        </x14:conditionalFormatting>
        <x14:conditionalFormatting xmlns:xm="http://schemas.microsoft.com/office/excel/2006/main">
          <x14:cfRule type="cellIs" priority="7" operator="equal" id="{2F515886-4AD2-4232-A6E4-45B49D2E3BF4}">
            <xm:f>'Tabelas AUX'!$E$5</xm:f>
            <x14:dxf>
              <font>
                <color rgb="FF00B050"/>
              </font>
            </x14:dxf>
          </x14:cfRule>
          <x14:cfRule type="cellIs" priority="8" operator="equal" id="{C52FDAD9-9B08-4C9E-BAE6-8B125847DEBC}">
            <xm:f>'Tabelas AUX'!$E$4</xm:f>
            <x14:dxf>
              <font>
                <color rgb="FF7F7F7F"/>
              </font>
            </x14:dxf>
          </x14:cfRule>
          <x14:cfRule type="cellIs" priority="9" operator="equal" id="{FDFD39D6-15C4-4090-A3C0-09903400368D}">
            <xm:f>'Tabelas AUX'!$E$3</xm:f>
            <x14:dxf>
              <font>
                <color theme="5"/>
              </font>
            </x14:dxf>
          </x14:cfRule>
          <x14:cfRule type="cellIs" priority="10" operator="equal" id="{1C3A7D82-3443-4877-A843-80603EB0A1BB}">
            <xm:f>'Tabelas AUX'!$E$2</xm:f>
            <x14:dxf>
              <font>
                <color rgb="FFC00000"/>
              </font>
            </x14:dxf>
          </x14:cfRule>
          <xm:sqref>X13</xm:sqref>
        </x14:conditionalFormatting>
        <x14:conditionalFormatting xmlns:xm="http://schemas.microsoft.com/office/excel/2006/main">
          <x14:cfRule type="cellIs" priority="2" operator="equal" id="{ACB6E1A6-6A7F-4C1F-AF66-865E5539D9FA}">
            <xm:f>'Tabelas AUX'!$E$5</xm:f>
            <x14:dxf>
              <font>
                <color rgb="FF00B050"/>
              </font>
            </x14:dxf>
          </x14:cfRule>
          <x14:cfRule type="cellIs" priority="3" operator="equal" id="{107E5CC8-EC18-4105-B25C-14632043D4DD}">
            <xm:f>'Tabelas AUX'!$E$4</xm:f>
            <x14:dxf>
              <font>
                <color rgb="FF7F7F7F"/>
              </font>
            </x14:dxf>
          </x14:cfRule>
          <x14:cfRule type="cellIs" priority="4" operator="equal" id="{AC69152F-D594-429B-871A-BD73FCA87F4A}">
            <xm:f>'Tabelas AUX'!$E$3</xm:f>
            <x14:dxf>
              <font>
                <color theme="5"/>
              </font>
            </x14:dxf>
          </x14:cfRule>
          <x14:cfRule type="cellIs" priority="5" operator="equal" id="{2A27E9AA-4DFD-4F38-8418-2999F2D20C4D}">
            <xm:f>'Tabelas AUX'!$E$2</xm:f>
            <x14:dxf>
              <font>
                <color rgb="FFC00000"/>
              </font>
            </x14:dxf>
          </x14:cfRule>
          <xm:sqref>X14:X21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'Tabelas AUX'!$E$2:$E$5</xm:f>
          </x14:formula1>
          <xm:sqref>T13:T21</xm:sqref>
        </x14:dataValidation>
        <x14:dataValidation type="list" allowBlank="1" showInputMessage="1" showErrorMessage="1">
          <x14:formula1>
            <xm:f>'Tabelas AUX'!$G$2:$G$13</xm:f>
          </x14:formula1>
          <xm:sqref>X13:X21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59999389629810485"/>
    <pageSetUpPr autoPageBreaks="0"/>
  </sheetPr>
  <dimension ref="A1:AE1048521"/>
  <sheetViews>
    <sheetView showGridLines="0" zoomScale="80" zoomScaleNormal="80" workbookViewId="0">
      <pane xSplit="6" topLeftCell="N1" activePane="topRight" state="frozen"/>
      <selection pane="topRight"/>
    </sheetView>
  </sheetViews>
  <sheetFormatPr defaultRowHeight="15" outlineLevelRow="1" outlineLevelCol="1" x14ac:dyDescent="0.25"/>
  <cols>
    <col min="1" max="1" width="5.140625" customWidth="1"/>
    <col min="2" max="2" width="44.85546875" customWidth="1"/>
    <col min="3" max="3" width="9.42578125" bestFit="1" customWidth="1"/>
    <col min="4" max="4" width="27.5703125" bestFit="1" customWidth="1"/>
    <col min="5" max="5" width="17" bestFit="1" customWidth="1"/>
    <col min="6" max="6" width="44.28515625" bestFit="1" customWidth="1"/>
    <col min="7" max="7" width="12.7109375" customWidth="1"/>
    <col min="8" max="8" width="2" customWidth="1"/>
    <col min="9" max="9" width="29.28515625" hidden="1" customWidth="1" outlineLevel="1"/>
    <col min="10" max="10" width="26.85546875" hidden="1" customWidth="1" outlineLevel="1"/>
    <col min="11" max="11" width="21" hidden="1" customWidth="1" outlineLevel="1"/>
    <col min="12" max="12" width="29.28515625" bestFit="1" customWidth="1" collapsed="1"/>
    <col min="13" max="13" width="42.7109375" bestFit="1" customWidth="1"/>
    <col min="14" max="14" width="24.42578125" customWidth="1"/>
    <col min="15" max="15" width="20.28515625" hidden="1" customWidth="1" outlineLevel="1"/>
    <col min="16" max="17" width="42.42578125" hidden="1" customWidth="1" outlineLevel="1"/>
    <col min="18" max="18" width="30.5703125" hidden="1" customWidth="1" outlineLevel="1"/>
    <col min="19" max="19" width="2.140625" customWidth="1" collapsed="1"/>
    <col min="20" max="20" width="14.140625" customWidth="1" outlineLevel="1"/>
    <col min="21" max="21" width="21.42578125" customWidth="1" outlineLevel="1"/>
    <col min="22" max="22" width="42.7109375" customWidth="1" outlineLevel="1"/>
    <col min="23" max="23" width="2.140625" customWidth="1"/>
    <col min="24" max="24" width="17.42578125" customWidth="1" outlineLevel="1"/>
    <col min="25" max="25" width="24.85546875" customWidth="1" outlineLevel="1"/>
    <col min="26" max="26" width="21.42578125" customWidth="1" outlineLevel="1"/>
    <col min="27" max="27" width="2.7109375" customWidth="1" outlineLevel="1"/>
    <col min="28" max="28" width="21.7109375" customWidth="1" outlineLevel="1"/>
    <col min="29" max="29" width="23.42578125" bestFit="1" customWidth="1" outlineLevel="1"/>
    <col min="30" max="30" width="24.5703125" bestFit="1" customWidth="1" outlineLevel="1"/>
  </cols>
  <sheetData>
    <row r="1" spans="1:31" ht="15" customHeight="1" x14ac:dyDescent="0.25">
      <c r="B1" s="47"/>
      <c r="C1" s="47"/>
      <c r="D1" s="47"/>
      <c r="F1" s="47"/>
      <c r="G1" s="47"/>
    </row>
    <row r="2" spans="1:31" ht="34.5" customHeight="1" x14ac:dyDescent="0.25">
      <c r="B2" s="47"/>
      <c r="C2" s="47"/>
      <c r="D2" s="48"/>
      <c r="F2" s="47"/>
      <c r="G2" s="47"/>
    </row>
    <row r="3" spans="1:31" ht="2.25" customHeight="1" x14ac:dyDescent="0.25">
      <c r="A3" s="20"/>
      <c r="B3" s="49"/>
      <c r="C3" s="49"/>
      <c r="D3" s="49"/>
      <c r="E3" s="49"/>
      <c r="F3" s="49"/>
      <c r="G3" s="49"/>
    </row>
    <row r="4" spans="1:31" ht="15" customHeight="1" x14ac:dyDescent="0.25">
      <c r="B4" s="47"/>
      <c r="C4" s="47"/>
      <c r="D4" s="47"/>
      <c r="F4" s="47"/>
      <c r="G4" s="47"/>
    </row>
    <row r="5" spans="1:31" ht="15" customHeight="1" x14ac:dyDescent="0.25">
      <c r="B5" s="50" t="s">
        <v>253</v>
      </c>
      <c r="C5" s="50"/>
      <c r="D5" s="47"/>
      <c r="F5" s="47"/>
      <c r="G5" s="47"/>
    </row>
    <row r="6" spans="1:31" ht="15" customHeight="1" x14ac:dyDescent="0.25">
      <c r="B6" s="47"/>
      <c r="C6" s="47"/>
      <c r="D6" s="47"/>
      <c r="F6" s="47"/>
      <c r="G6" s="47"/>
    </row>
    <row r="7" spans="1:31" ht="129.75" hidden="1" customHeight="1" outlineLevel="1" x14ac:dyDescent="0.25">
      <c r="B7" s="51" t="s">
        <v>65</v>
      </c>
      <c r="C7" s="222" t="s">
        <v>254</v>
      </c>
      <c r="D7" s="222"/>
      <c r="E7" s="222"/>
      <c r="F7" s="222"/>
      <c r="G7" s="222"/>
      <c r="H7" s="52"/>
      <c r="I7" s="52"/>
      <c r="S7" s="52"/>
      <c r="W7" s="52"/>
      <c r="X7" s="52"/>
    </row>
    <row r="8" spans="1:31" ht="15" hidden="1" customHeight="1" outlineLevel="1" x14ac:dyDescent="0.25">
      <c r="B8" s="47"/>
      <c r="C8" s="47"/>
      <c r="D8" s="47"/>
      <c r="F8" s="47"/>
      <c r="G8" s="47"/>
    </row>
    <row r="9" spans="1:31" ht="15" hidden="1" customHeight="1" outlineLevel="1" x14ac:dyDescent="0.25">
      <c r="B9" s="47"/>
      <c r="C9" s="47"/>
      <c r="D9" s="47"/>
      <c r="F9" s="47"/>
      <c r="G9" s="47"/>
      <c r="AA9" s="47"/>
    </row>
    <row r="10" spans="1:31" ht="15" hidden="1" customHeight="1" outlineLevel="1" x14ac:dyDescent="0.25">
      <c r="B10" s="47"/>
      <c r="C10" s="47"/>
      <c r="D10" s="47"/>
      <c r="F10" s="47"/>
      <c r="G10" s="47"/>
      <c r="AA10" s="47"/>
    </row>
    <row r="11" spans="1:31" collapsed="1" x14ac:dyDescent="0.25">
      <c r="B11" s="212" t="s">
        <v>67</v>
      </c>
      <c r="C11" s="213"/>
      <c r="D11" s="213"/>
      <c r="E11" s="213"/>
      <c r="F11" s="213"/>
      <c r="G11" s="214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  <c r="X11" s="207" t="s">
        <v>72</v>
      </c>
      <c r="Y11" s="208"/>
      <c r="Z11" s="208"/>
      <c r="AA11" s="47"/>
      <c r="AB11" s="207" t="s">
        <v>255</v>
      </c>
      <c r="AC11" s="208"/>
      <c r="AD11" s="208"/>
      <c r="AE11" s="209"/>
    </row>
    <row r="12" spans="1:31" x14ac:dyDescent="0.25">
      <c r="A12" t="s">
        <v>256</v>
      </c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  <c r="X12" s="61" t="s">
        <v>86</v>
      </c>
      <c r="Y12" s="61" t="s">
        <v>89</v>
      </c>
      <c r="Z12" s="61" t="s">
        <v>90</v>
      </c>
      <c r="AA12" s="47"/>
      <c r="AB12" s="61" t="s">
        <v>166</v>
      </c>
      <c r="AC12" s="61" t="s">
        <v>257</v>
      </c>
      <c r="AD12" s="61" t="s">
        <v>258</v>
      </c>
      <c r="AE12" s="61" t="s">
        <v>88</v>
      </c>
    </row>
    <row r="13" spans="1:31" x14ac:dyDescent="0.25">
      <c r="A13" t="s">
        <v>259</v>
      </c>
      <c r="B13" s="70" t="s">
        <v>33</v>
      </c>
      <c r="C13" s="70">
        <v>1</v>
      </c>
      <c r="D13" s="73" t="s">
        <v>260</v>
      </c>
      <c r="E13" s="70" t="s">
        <v>225</v>
      </c>
      <c r="F13" s="70" t="s">
        <v>261</v>
      </c>
      <c r="G13" s="73" t="s">
        <v>262</v>
      </c>
      <c r="H13" s="47"/>
      <c r="I13" s="70" t="s">
        <v>20</v>
      </c>
      <c r="J13" s="70" t="s">
        <v>227</v>
      </c>
      <c r="K13" s="70" t="s">
        <v>263</v>
      </c>
      <c r="L13" s="70" t="s">
        <v>20</v>
      </c>
      <c r="M13" s="70" t="s">
        <v>227</v>
      </c>
      <c r="N13" s="70" t="s">
        <v>260</v>
      </c>
      <c r="O13" s="70" t="s">
        <v>264</v>
      </c>
      <c r="P13" s="70"/>
      <c r="Q13" s="70"/>
      <c r="R13" s="70"/>
      <c r="S13" s="47"/>
      <c r="T13" s="75" t="s">
        <v>97</v>
      </c>
      <c r="U13" s="69">
        <v>44812</v>
      </c>
      <c r="V13" s="72"/>
      <c r="W13" s="47"/>
      <c r="X13" s="75" t="s">
        <v>149</v>
      </c>
      <c r="Y13" s="135">
        <v>45009</v>
      </c>
      <c r="Z13" s="69"/>
      <c r="AA13" s="47"/>
      <c r="AB13" s="72"/>
      <c r="AC13" s="69"/>
      <c r="AD13" s="69"/>
      <c r="AE13" s="135"/>
    </row>
    <row r="14" spans="1:31" ht="15" customHeight="1" x14ac:dyDescent="0.25">
      <c r="A14" t="s">
        <v>259</v>
      </c>
      <c r="B14" s="70" t="s">
        <v>33</v>
      </c>
      <c r="C14" s="70">
        <v>2</v>
      </c>
      <c r="D14" s="73" t="s">
        <v>265</v>
      </c>
      <c r="E14" s="70" t="s">
        <v>225</v>
      </c>
      <c r="F14" s="70" t="s">
        <v>266</v>
      </c>
      <c r="G14" s="73" t="s">
        <v>262</v>
      </c>
      <c r="H14" s="47"/>
      <c r="I14" s="70" t="s">
        <v>20</v>
      </c>
      <c r="J14" s="70" t="s">
        <v>227</v>
      </c>
      <c r="K14" s="70" t="s">
        <v>228</v>
      </c>
      <c r="L14" s="70" t="s">
        <v>20</v>
      </c>
      <c r="M14" s="70" t="s">
        <v>227</v>
      </c>
      <c r="N14" s="70" t="s">
        <v>265</v>
      </c>
      <c r="O14" s="70" t="s">
        <v>264</v>
      </c>
      <c r="P14" s="70"/>
      <c r="Q14" s="70"/>
      <c r="R14" s="70"/>
      <c r="S14" s="47"/>
      <c r="T14" s="75" t="s">
        <v>97</v>
      </c>
      <c r="U14" s="69">
        <v>44812</v>
      </c>
      <c r="V14" s="72"/>
      <c r="W14" s="47"/>
      <c r="X14" s="75" t="s">
        <v>149</v>
      </c>
      <c r="Y14" s="135">
        <v>45009</v>
      </c>
      <c r="Z14" s="69"/>
      <c r="AA14" s="47"/>
      <c r="AB14" s="69"/>
      <c r="AC14" s="69"/>
      <c r="AD14" s="69"/>
      <c r="AE14" s="135"/>
    </row>
    <row r="15" spans="1:31" ht="15" customHeight="1" x14ac:dyDescent="0.25">
      <c r="A15" t="s">
        <v>259</v>
      </c>
      <c r="B15" s="70" t="s">
        <v>33</v>
      </c>
      <c r="C15" s="70">
        <v>3</v>
      </c>
      <c r="D15" s="73" t="s">
        <v>267</v>
      </c>
      <c r="E15" s="70" t="s">
        <v>225</v>
      </c>
      <c r="F15" s="70" t="s">
        <v>268</v>
      </c>
      <c r="G15" s="73" t="s">
        <v>262</v>
      </c>
      <c r="H15" s="47"/>
      <c r="I15" s="70" t="s">
        <v>20</v>
      </c>
      <c r="J15" s="70" t="s">
        <v>227</v>
      </c>
      <c r="K15" s="70" t="s">
        <v>231</v>
      </c>
      <c r="L15" s="70" t="s">
        <v>20</v>
      </c>
      <c r="M15" s="70" t="s">
        <v>227</v>
      </c>
      <c r="N15" s="70" t="s">
        <v>267</v>
      </c>
      <c r="O15" s="70" t="s">
        <v>264</v>
      </c>
      <c r="P15" s="70"/>
      <c r="Q15" s="70"/>
      <c r="R15" s="70"/>
      <c r="S15" s="47"/>
      <c r="T15" s="75" t="s">
        <v>97</v>
      </c>
      <c r="U15" s="69">
        <v>44812</v>
      </c>
      <c r="V15" s="72"/>
      <c r="W15" s="47"/>
      <c r="X15" s="75" t="s">
        <v>97</v>
      </c>
      <c r="Y15" s="135">
        <v>45009</v>
      </c>
      <c r="Z15" s="69"/>
      <c r="AA15" s="47"/>
      <c r="AB15" s="69" t="s">
        <v>269</v>
      </c>
      <c r="AC15" s="69" t="s">
        <v>269</v>
      </c>
      <c r="AD15" s="69">
        <v>45302</v>
      </c>
      <c r="AE15" s="135"/>
    </row>
    <row r="16" spans="1:31" ht="15" customHeight="1" x14ac:dyDescent="0.25">
      <c r="A16" t="s">
        <v>259</v>
      </c>
      <c r="B16" s="70" t="s">
        <v>33</v>
      </c>
      <c r="C16" s="70">
        <v>4</v>
      </c>
      <c r="D16" s="73" t="s">
        <v>270</v>
      </c>
      <c r="E16" s="70" t="s">
        <v>225</v>
      </c>
      <c r="F16" s="70" t="s">
        <v>271</v>
      </c>
      <c r="G16" s="73" t="s">
        <v>262</v>
      </c>
      <c r="H16" s="47"/>
      <c r="I16" s="70" t="s">
        <v>20</v>
      </c>
      <c r="J16" s="70" t="s">
        <v>227</v>
      </c>
      <c r="K16" s="70" t="s">
        <v>234</v>
      </c>
      <c r="L16" s="70" t="s">
        <v>20</v>
      </c>
      <c r="M16" s="70" t="s">
        <v>227</v>
      </c>
      <c r="N16" s="70" t="s">
        <v>270</v>
      </c>
      <c r="O16" s="70" t="s">
        <v>264</v>
      </c>
      <c r="P16" s="70"/>
      <c r="Q16" s="70"/>
      <c r="R16" s="70"/>
      <c r="S16" s="47"/>
      <c r="T16" s="75" t="s">
        <v>97</v>
      </c>
      <c r="U16" s="69">
        <v>44812</v>
      </c>
      <c r="V16" s="72"/>
      <c r="W16" s="47"/>
      <c r="X16" s="75" t="s">
        <v>97</v>
      </c>
      <c r="Y16" s="135">
        <v>45009</v>
      </c>
      <c r="Z16" s="69"/>
      <c r="AA16" s="47"/>
      <c r="AB16" s="69" t="s">
        <v>269</v>
      </c>
      <c r="AC16" s="69" t="s">
        <v>269</v>
      </c>
      <c r="AD16" s="69">
        <v>45302</v>
      </c>
      <c r="AE16" s="135"/>
    </row>
    <row r="17" spans="1:31" ht="15" customHeight="1" x14ac:dyDescent="0.25">
      <c r="A17" t="s">
        <v>259</v>
      </c>
      <c r="B17" s="70" t="s">
        <v>33</v>
      </c>
      <c r="C17" s="70">
        <v>5</v>
      </c>
      <c r="D17" s="70" t="s">
        <v>272</v>
      </c>
      <c r="E17" s="70" t="s">
        <v>225</v>
      </c>
      <c r="F17" s="70" t="s">
        <v>273</v>
      </c>
      <c r="G17" s="70"/>
      <c r="H17" s="47"/>
      <c r="I17" s="70" t="s">
        <v>20</v>
      </c>
      <c r="J17" s="70" t="s">
        <v>227</v>
      </c>
      <c r="K17" s="70" t="s">
        <v>240</v>
      </c>
      <c r="L17" s="70" t="s">
        <v>20</v>
      </c>
      <c r="M17" s="70" t="s">
        <v>274</v>
      </c>
      <c r="N17" s="70" t="s">
        <v>272</v>
      </c>
      <c r="O17" s="70" t="s">
        <v>264</v>
      </c>
      <c r="P17" s="70"/>
      <c r="Q17" s="70"/>
      <c r="R17" s="70"/>
      <c r="S17" s="47"/>
      <c r="T17" s="75" t="s">
        <v>97</v>
      </c>
      <c r="U17" s="69">
        <v>44937</v>
      </c>
      <c r="V17" s="72"/>
      <c r="W17" s="47"/>
      <c r="X17" s="145" t="s">
        <v>156</v>
      </c>
      <c r="Y17" s="135">
        <v>45009</v>
      </c>
      <c r="Z17" s="69"/>
      <c r="AA17" s="47"/>
      <c r="AB17" s="69">
        <v>45302</v>
      </c>
      <c r="AC17" s="69"/>
      <c r="AD17" s="69"/>
      <c r="AE17" s="135"/>
    </row>
    <row r="18" spans="1:31" ht="15" customHeight="1" x14ac:dyDescent="0.25">
      <c r="A18" t="s">
        <v>259</v>
      </c>
      <c r="B18" s="70" t="s">
        <v>33</v>
      </c>
      <c r="C18" s="70">
        <v>6</v>
      </c>
      <c r="D18" s="70" t="s">
        <v>275</v>
      </c>
      <c r="E18" s="70" t="s">
        <v>225</v>
      </c>
      <c r="F18" s="70" t="s">
        <v>276</v>
      </c>
      <c r="G18" s="70"/>
      <c r="H18" s="47"/>
      <c r="I18" s="70"/>
      <c r="J18" s="70" t="s">
        <v>277</v>
      </c>
      <c r="K18" s="70" t="s">
        <v>278</v>
      </c>
      <c r="L18" s="70" t="s">
        <v>20</v>
      </c>
      <c r="M18" s="70" t="s">
        <v>274</v>
      </c>
      <c r="N18" s="70" t="s">
        <v>275</v>
      </c>
      <c r="O18" s="70" t="s">
        <v>279</v>
      </c>
      <c r="P18" s="70"/>
      <c r="Q18" s="70"/>
      <c r="R18" s="70"/>
      <c r="S18" s="47"/>
      <c r="T18" s="75" t="s">
        <v>97</v>
      </c>
      <c r="U18" s="69">
        <v>44834</v>
      </c>
      <c r="V18" s="72"/>
      <c r="W18" s="47"/>
      <c r="X18" s="75" t="s">
        <v>97</v>
      </c>
      <c r="Y18" s="135">
        <v>45009</v>
      </c>
      <c r="Z18" s="69"/>
      <c r="AA18" s="47"/>
      <c r="AB18" s="69" t="s">
        <v>269</v>
      </c>
      <c r="AC18" s="69" t="s">
        <v>269</v>
      </c>
      <c r="AD18" s="69">
        <v>45302</v>
      </c>
      <c r="AE18" s="135"/>
    </row>
    <row r="19" spans="1:31" ht="15" customHeight="1" x14ac:dyDescent="0.25">
      <c r="A19" t="s">
        <v>259</v>
      </c>
      <c r="B19" s="70" t="s">
        <v>33</v>
      </c>
      <c r="C19" s="70">
        <v>7</v>
      </c>
      <c r="D19" s="70" t="s">
        <v>280</v>
      </c>
      <c r="E19" s="70" t="s">
        <v>225</v>
      </c>
      <c r="F19" s="70" t="s">
        <v>281</v>
      </c>
      <c r="G19" s="70"/>
      <c r="H19" s="47"/>
      <c r="I19" s="70" t="s">
        <v>20</v>
      </c>
      <c r="J19" s="70" t="s">
        <v>274</v>
      </c>
      <c r="K19" s="70" t="s">
        <v>282</v>
      </c>
      <c r="L19" s="70" t="s">
        <v>20</v>
      </c>
      <c r="M19" s="70" t="s">
        <v>274</v>
      </c>
      <c r="N19" s="70" t="s">
        <v>280</v>
      </c>
      <c r="O19" s="70" t="s">
        <v>264</v>
      </c>
      <c r="P19" s="70"/>
      <c r="Q19" s="70"/>
      <c r="R19" s="70"/>
      <c r="S19" s="47"/>
      <c r="T19" s="75" t="s">
        <v>97</v>
      </c>
      <c r="U19" s="69">
        <v>44825</v>
      </c>
      <c r="V19" s="72"/>
      <c r="W19" s="47"/>
      <c r="X19" s="75" t="s">
        <v>97</v>
      </c>
      <c r="Y19" s="135">
        <v>45009</v>
      </c>
      <c r="Z19" s="69"/>
      <c r="AA19" s="47"/>
      <c r="AB19" s="69" t="s">
        <v>269</v>
      </c>
      <c r="AC19" s="69" t="s">
        <v>269</v>
      </c>
      <c r="AD19" s="69">
        <v>45302</v>
      </c>
      <c r="AE19" s="135"/>
    </row>
    <row r="20" spans="1:31" ht="14.25" customHeight="1" x14ac:dyDescent="0.25">
      <c r="A20" t="s">
        <v>259</v>
      </c>
      <c r="B20" s="70" t="s">
        <v>33</v>
      </c>
      <c r="C20" s="70">
        <v>8</v>
      </c>
      <c r="D20" s="70" t="s">
        <v>283</v>
      </c>
      <c r="E20" s="70" t="s">
        <v>225</v>
      </c>
      <c r="F20" s="70" t="s">
        <v>284</v>
      </c>
      <c r="G20" s="70"/>
      <c r="H20" s="47"/>
      <c r="I20" s="70" t="s">
        <v>20</v>
      </c>
      <c r="J20" s="70" t="s">
        <v>274</v>
      </c>
      <c r="K20" s="70" t="s">
        <v>285</v>
      </c>
      <c r="L20" s="70" t="s">
        <v>20</v>
      </c>
      <c r="M20" s="70" t="s">
        <v>274</v>
      </c>
      <c r="N20" s="70" t="s">
        <v>286</v>
      </c>
      <c r="O20" s="70" t="s">
        <v>264</v>
      </c>
      <c r="P20" s="70"/>
      <c r="Q20" s="70"/>
      <c r="R20" s="70"/>
      <c r="S20" s="47"/>
      <c r="T20" s="75" t="s">
        <v>97</v>
      </c>
      <c r="U20" s="69">
        <v>44825</v>
      </c>
      <c r="V20" s="72"/>
      <c r="W20" s="47"/>
      <c r="X20" s="75" t="s">
        <v>97</v>
      </c>
      <c r="Y20" s="135">
        <v>45009</v>
      </c>
      <c r="Z20" s="69"/>
      <c r="AB20" s="69" t="s">
        <v>269</v>
      </c>
      <c r="AC20" s="69" t="s">
        <v>269</v>
      </c>
      <c r="AD20" s="69">
        <v>45302</v>
      </c>
      <c r="AE20" s="135"/>
    </row>
    <row r="21" spans="1:31" ht="60" x14ac:dyDescent="0.25">
      <c r="A21" t="s">
        <v>259</v>
      </c>
      <c r="B21" s="70" t="s">
        <v>33</v>
      </c>
      <c r="C21" s="70">
        <v>9</v>
      </c>
      <c r="D21" s="70" t="s">
        <v>287</v>
      </c>
      <c r="E21" s="70" t="s">
        <v>225</v>
      </c>
      <c r="F21" s="70" t="s">
        <v>288</v>
      </c>
      <c r="G21" s="70" t="s">
        <v>289</v>
      </c>
      <c r="H21" s="47"/>
      <c r="I21" s="70"/>
      <c r="J21" s="70" t="s">
        <v>290</v>
      </c>
      <c r="K21" s="70" t="s">
        <v>291</v>
      </c>
      <c r="L21" s="70" t="s">
        <v>20</v>
      </c>
      <c r="M21" s="70" t="s">
        <v>274</v>
      </c>
      <c r="N21" s="70" t="s">
        <v>287</v>
      </c>
      <c r="O21" s="70" t="s">
        <v>279</v>
      </c>
      <c r="P21" s="70"/>
      <c r="Q21" s="70"/>
      <c r="R21" s="70"/>
      <c r="S21" s="47"/>
      <c r="T21" s="75" t="s">
        <v>97</v>
      </c>
      <c r="U21" s="69">
        <v>44834</v>
      </c>
      <c r="V21" s="72"/>
      <c r="W21" s="47"/>
      <c r="X21" s="145" t="s">
        <v>153</v>
      </c>
      <c r="Y21" s="135">
        <v>45009</v>
      </c>
      <c r="Z21" s="69"/>
      <c r="AB21" s="69">
        <v>45302</v>
      </c>
      <c r="AC21" s="69"/>
      <c r="AD21" s="69"/>
      <c r="AE21" s="135"/>
    </row>
    <row r="22" spans="1:31" ht="85.5" customHeight="1" x14ac:dyDescent="0.25">
      <c r="A22" t="s">
        <v>259</v>
      </c>
      <c r="B22" s="70" t="s">
        <v>33</v>
      </c>
      <c r="C22" s="70">
        <v>10</v>
      </c>
      <c r="D22" s="70" t="s">
        <v>292</v>
      </c>
      <c r="E22" s="70" t="s">
        <v>225</v>
      </c>
      <c r="F22" s="70" t="s">
        <v>293</v>
      </c>
      <c r="G22" s="70"/>
      <c r="H22" s="47"/>
      <c r="I22" s="70" t="s">
        <v>294</v>
      </c>
      <c r="J22" s="70" t="s">
        <v>295</v>
      </c>
      <c r="K22" s="70" t="s">
        <v>292</v>
      </c>
      <c r="L22" s="70"/>
      <c r="M22" s="70"/>
      <c r="N22" s="70"/>
      <c r="O22" s="70" t="s">
        <v>296</v>
      </c>
      <c r="P22" s="70" t="s">
        <v>297</v>
      </c>
      <c r="Q22" s="70"/>
      <c r="R22" s="70"/>
      <c r="S22" s="47"/>
      <c r="T22" s="75" t="s">
        <v>130</v>
      </c>
      <c r="U22" s="69">
        <v>45084</v>
      </c>
      <c r="V22" s="72" t="s">
        <v>298</v>
      </c>
      <c r="W22" s="47"/>
      <c r="X22" s="145" t="s">
        <v>150</v>
      </c>
      <c r="Y22" s="135" t="s">
        <v>299</v>
      </c>
      <c r="Z22" s="69"/>
      <c r="AB22" s="69"/>
      <c r="AC22" s="69"/>
      <c r="AD22" s="69"/>
      <c r="AE22" s="135"/>
    </row>
    <row r="23" spans="1:31" ht="15" customHeight="1" x14ac:dyDescent="0.25">
      <c r="A23" t="s">
        <v>259</v>
      </c>
      <c r="B23" s="70" t="s">
        <v>33</v>
      </c>
      <c r="C23" s="70">
        <v>11</v>
      </c>
      <c r="D23" s="70" t="s">
        <v>300</v>
      </c>
      <c r="E23" s="70" t="s">
        <v>225</v>
      </c>
      <c r="F23" s="70" t="s">
        <v>301</v>
      </c>
      <c r="G23" s="70"/>
      <c r="H23" s="47"/>
      <c r="I23" s="70" t="s">
        <v>20</v>
      </c>
      <c r="J23" s="70" t="s">
        <v>274</v>
      </c>
      <c r="K23" s="70" t="s">
        <v>302</v>
      </c>
      <c r="L23" s="70" t="s">
        <v>20</v>
      </c>
      <c r="M23" s="70" t="s">
        <v>274</v>
      </c>
      <c r="N23" s="70" t="s">
        <v>300</v>
      </c>
      <c r="O23" s="70" t="s">
        <v>264</v>
      </c>
      <c r="P23" s="70"/>
      <c r="Q23" s="70"/>
      <c r="R23" s="70"/>
      <c r="S23" s="47"/>
      <c r="T23" s="75" t="s">
        <v>97</v>
      </c>
      <c r="U23" s="69">
        <v>44825</v>
      </c>
      <c r="V23" s="72"/>
      <c r="W23" s="47"/>
      <c r="X23" s="145" t="s">
        <v>153</v>
      </c>
      <c r="Y23" s="135">
        <v>45009</v>
      </c>
      <c r="Z23" s="69"/>
      <c r="AB23" s="69">
        <v>45302</v>
      </c>
      <c r="AC23" s="69"/>
      <c r="AD23" s="69"/>
      <c r="AE23" s="135"/>
    </row>
    <row r="24" spans="1:31" ht="15" customHeight="1" x14ac:dyDescent="0.25">
      <c r="A24" t="s">
        <v>259</v>
      </c>
      <c r="B24" s="70" t="s">
        <v>33</v>
      </c>
      <c r="C24" s="70">
        <v>12</v>
      </c>
      <c r="D24" s="70" t="s">
        <v>303</v>
      </c>
      <c r="E24" s="70" t="s">
        <v>225</v>
      </c>
      <c r="F24" s="70" t="s">
        <v>304</v>
      </c>
      <c r="G24" s="70"/>
      <c r="H24" s="47"/>
      <c r="I24" s="70" t="s">
        <v>20</v>
      </c>
      <c r="J24" s="70" t="s">
        <v>274</v>
      </c>
      <c r="K24" s="70" t="s">
        <v>305</v>
      </c>
      <c r="L24" s="70" t="s">
        <v>20</v>
      </c>
      <c r="M24" s="70" t="s">
        <v>274</v>
      </c>
      <c r="N24" s="70" t="s">
        <v>303</v>
      </c>
      <c r="O24" s="70" t="s">
        <v>264</v>
      </c>
      <c r="P24" s="70"/>
      <c r="Q24" s="70"/>
      <c r="R24" s="70"/>
      <c r="S24" s="47"/>
      <c r="T24" s="75" t="s">
        <v>97</v>
      </c>
      <c r="U24" s="69">
        <v>44825</v>
      </c>
      <c r="V24" s="72"/>
      <c r="W24" s="47"/>
      <c r="X24" s="145" t="s">
        <v>153</v>
      </c>
      <c r="Y24" s="135">
        <v>45009</v>
      </c>
      <c r="Z24" s="69"/>
      <c r="AB24" s="69">
        <v>45302</v>
      </c>
      <c r="AC24" s="69"/>
      <c r="AD24" s="69"/>
      <c r="AE24" s="135"/>
    </row>
    <row r="25" spans="1:31" ht="30" customHeight="1" x14ac:dyDescent="0.25">
      <c r="A25" t="s">
        <v>259</v>
      </c>
      <c r="B25" s="70" t="s">
        <v>33</v>
      </c>
      <c r="C25" s="70">
        <v>13</v>
      </c>
      <c r="D25" s="70" t="s">
        <v>306</v>
      </c>
      <c r="E25" s="70" t="s">
        <v>225</v>
      </c>
      <c r="F25" s="70" t="s">
        <v>307</v>
      </c>
      <c r="G25" s="70"/>
      <c r="H25" s="47"/>
      <c r="I25" s="70" t="s">
        <v>20</v>
      </c>
      <c r="J25" s="70" t="s">
        <v>308</v>
      </c>
      <c r="K25" s="70" t="s">
        <v>309</v>
      </c>
      <c r="L25" s="70" t="s">
        <v>20</v>
      </c>
      <c r="M25" s="70" t="s">
        <v>274</v>
      </c>
      <c r="N25" s="70" t="s">
        <v>306</v>
      </c>
      <c r="O25" s="70" t="s">
        <v>279</v>
      </c>
      <c r="P25" s="70"/>
      <c r="Q25" s="70"/>
      <c r="R25" s="70"/>
      <c r="S25" s="47"/>
      <c r="T25" s="75" t="s">
        <v>97</v>
      </c>
      <c r="U25" s="69">
        <v>44834</v>
      </c>
      <c r="V25" s="72"/>
      <c r="W25" s="47"/>
      <c r="X25" s="145" t="s">
        <v>153</v>
      </c>
      <c r="Y25" s="135">
        <v>45009</v>
      </c>
      <c r="Z25" s="69"/>
      <c r="AB25" s="69">
        <v>45302</v>
      </c>
      <c r="AC25" s="69"/>
      <c r="AD25" s="69"/>
      <c r="AE25" s="135"/>
    </row>
    <row r="26" spans="1:31" ht="45" customHeight="1" x14ac:dyDescent="0.25">
      <c r="A26" t="s">
        <v>259</v>
      </c>
      <c r="B26" s="70" t="s">
        <v>33</v>
      </c>
      <c r="C26" s="70">
        <v>14</v>
      </c>
      <c r="D26" s="70" t="s">
        <v>310</v>
      </c>
      <c r="E26" s="70" t="s">
        <v>311</v>
      </c>
      <c r="F26" s="70" t="s">
        <v>312</v>
      </c>
      <c r="G26" s="70"/>
      <c r="H26" s="47"/>
      <c r="I26" s="70"/>
      <c r="J26" s="70" t="s">
        <v>313</v>
      </c>
      <c r="K26" s="70" t="s">
        <v>314</v>
      </c>
      <c r="L26" s="70" t="s">
        <v>20</v>
      </c>
      <c r="M26" s="70" t="s">
        <v>274</v>
      </c>
      <c r="N26" s="70" t="s">
        <v>310</v>
      </c>
      <c r="O26" s="70" t="s">
        <v>279</v>
      </c>
      <c r="P26" s="70"/>
      <c r="Q26" s="70"/>
      <c r="R26" s="70"/>
      <c r="S26" s="47"/>
      <c r="T26" s="75" t="s">
        <v>97</v>
      </c>
      <c r="U26" s="72">
        <v>44834</v>
      </c>
      <c r="V26" s="72" t="s">
        <v>315</v>
      </c>
      <c r="W26" s="47"/>
      <c r="X26" s="75" t="s">
        <v>149</v>
      </c>
      <c r="Y26" s="135">
        <v>45009</v>
      </c>
      <c r="Z26" s="69"/>
      <c r="AB26" s="69"/>
      <c r="AC26" s="69"/>
      <c r="AD26" s="69"/>
      <c r="AE26" s="135"/>
    </row>
    <row r="27" spans="1:31" ht="60" customHeight="1" x14ac:dyDescent="0.25">
      <c r="A27" t="s">
        <v>316</v>
      </c>
      <c r="B27" s="70" t="s">
        <v>33</v>
      </c>
      <c r="C27" s="70">
        <v>15</v>
      </c>
      <c r="D27" s="70" t="s">
        <v>317</v>
      </c>
      <c r="E27" s="70" t="s">
        <v>225</v>
      </c>
      <c r="F27" s="70" t="s">
        <v>318</v>
      </c>
      <c r="G27" s="70"/>
      <c r="H27" s="47"/>
      <c r="I27" s="70" t="s">
        <v>294</v>
      </c>
      <c r="J27" s="70" t="s">
        <v>295</v>
      </c>
      <c r="K27" s="70" t="s">
        <v>317</v>
      </c>
      <c r="L27" s="70" t="s">
        <v>319</v>
      </c>
      <c r="M27" s="70" t="s">
        <v>320</v>
      </c>
      <c r="N27" s="70" t="s">
        <v>321</v>
      </c>
      <c r="O27" s="70" t="s">
        <v>296</v>
      </c>
      <c r="P27" s="70"/>
      <c r="Q27" s="70"/>
      <c r="R27" s="70"/>
      <c r="S27" s="47"/>
      <c r="T27" s="75" t="s">
        <v>97</v>
      </c>
      <c r="U27" s="69">
        <v>45280</v>
      </c>
      <c r="V27" s="72"/>
      <c r="W27" s="47"/>
      <c r="X27" s="75" t="s">
        <v>149</v>
      </c>
      <c r="Y27" s="135">
        <v>45303</v>
      </c>
      <c r="Z27" s="69"/>
      <c r="AB27" s="69"/>
      <c r="AC27" s="69"/>
      <c r="AD27" s="69"/>
      <c r="AE27" s="135"/>
    </row>
    <row r="28" spans="1:31" x14ac:dyDescent="0.25">
      <c r="A28" t="s">
        <v>259</v>
      </c>
      <c r="B28" s="70" t="s">
        <v>33</v>
      </c>
      <c r="C28" s="70">
        <v>16</v>
      </c>
      <c r="D28" s="83" t="s">
        <v>184</v>
      </c>
      <c r="E28" s="68" t="s">
        <v>322</v>
      </c>
      <c r="F28" s="68" t="s">
        <v>323</v>
      </c>
      <c r="G28" s="68"/>
      <c r="H28" s="47"/>
      <c r="I28" s="68"/>
      <c r="J28" s="68"/>
      <c r="K28" s="68"/>
      <c r="L28" s="70" t="s">
        <v>20</v>
      </c>
      <c r="M28" s="70" t="s">
        <v>227</v>
      </c>
      <c r="N28" s="68" t="s">
        <v>246</v>
      </c>
      <c r="O28" s="68"/>
      <c r="P28" s="68"/>
      <c r="Q28" s="70" t="s">
        <v>324</v>
      </c>
      <c r="R28" s="70"/>
      <c r="S28" s="47"/>
      <c r="T28" s="75" t="s">
        <v>97</v>
      </c>
      <c r="U28" s="69">
        <v>44952</v>
      </c>
      <c r="V28" s="126"/>
      <c r="W28" s="47"/>
      <c r="X28" s="75" t="s">
        <v>97</v>
      </c>
      <c r="Y28" s="135">
        <v>45009</v>
      </c>
      <c r="Z28" s="69"/>
      <c r="AB28" s="69" t="s">
        <v>269</v>
      </c>
      <c r="AC28" s="69" t="s">
        <v>269</v>
      </c>
      <c r="AD28" s="69">
        <v>45302</v>
      </c>
      <c r="AE28" s="135"/>
    </row>
    <row r="29" spans="1:31" x14ac:dyDescent="0.25">
      <c r="A29" t="s">
        <v>259</v>
      </c>
      <c r="B29" s="70" t="s">
        <v>33</v>
      </c>
      <c r="C29" s="70">
        <v>17</v>
      </c>
      <c r="D29" s="83" t="s">
        <v>188</v>
      </c>
      <c r="E29" s="68" t="s">
        <v>322</v>
      </c>
      <c r="F29" s="68" t="s">
        <v>325</v>
      </c>
      <c r="G29" s="68"/>
      <c r="H29" s="47"/>
      <c r="I29" s="68"/>
      <c r="J29" s="68"/>
      <c r="K29" s="68"/>
      <c r="L29" s="70" t="s">
        <v>20</v>
      </c>
      <c r="M29" s="70" t="s">
        <v>227</v>
      </c>
      <c r="N29" s="68" t="s">
        <v>246</v>
      </c>
      <c r="O29" s="68"/>
      <c r="P29" s="68"/>
      <c r="Q29" s="70" t="s">
        <v>324</v>
      </c>
      <c r="R29" s="70"/>
      <c r="S29" s="47"/>
      <c r="T29" s="75" t="s">
        <v>97</v>
      </c>
      <c r="U29" s="69">
        <v>44952</v>
      </c>
      <c r="V29" s="126"/>
      <c r="W29" s="47"/>
      <c r="X29" s="75" t="s">
        <v>97</v>
      </c>
      <c r="Y29" s="135">
        <v>45009</v>
      </c>
      <c r="Z29" s="69"/>
      <c r="AB29" s="69" t="s">
        <v>269</v>
      </c>
      <c r="AC29" s="69" t="s">
        <v>269</v>
      </c>
      <c r="AD29" s="69">
        <v>45302</v>
      </c>
      <c r="AE29" s="135"/>
    </row>
    <row r="30" spans="1:31" x14ac:dyDescent="0.25">
      <c r="A30" t="s">
        <v>259</v>
      </c>
      <c r="B30" s="70" t="s">
        <v>33</v>
      </c>
      <c r="C30" s="70">
        <v>18</v>
      </c>
      <c r="D30" s="83" t="s">
        <v>190</v>
      </c>
      <c r="E30" s="68" t="s">
        <v>322</v>
      </c>
      <c r="F30" s="68" t="s">
        <v>326</v>
      </c>
      <c r="G30" s="68"/>
      <c r="H30" s="47"/>
      <c r="I30" s="68"/>
      <c r="J30" s="68"/>
      <c r="K30" s="68"/>
      <c r="L30" s="70" t="s">
        <v>20</v>
      </c>
      <c r="M30" s="70" t="s">
        <v>227</v>
      </c>
      <c r="N30" s="68" t="s">
        <v>246</v>
      </c>
      <c r="O30" s="68"/>
      <c r="P30" s="68"/>
      <c r="Q30" s="70" t="s">
        <v>324</v>
      </c>
      <c r="R30" s="70"/>
      <c r="S30" s="47"/>
      <c r="T30" s="75" t="s">
        <v>97</v>
      </c>
      <c r="U30" s="69">
        <v>44952</v>
      </c>
      <c r="V30" s="126"/>
      <c r="W30" s="47"/>
      <c r="X30" s="75" t="s">
        <v>97</v>
      </c>
      <c r="Y30" s="135">
        <v>45009</v>
      </c>
      <c r="Z30" s="69"/>
      <c r="AB30" s="69" t="s">
        <v>269</v>
      </c>
      <c r="AC30" s="69" t="s">
        <v>269</v>
      </c>
      <c r="AD30" s="69">
        <v>45302</v>
      </c>
      <c r="AE30" s="135"/>
    </row>
    <row r="31" spans="1:31" x14ac:dyDescent="0.25">
      <c r="A31" t="s">
        <v>259</v>
      </c>
      <c r="B31" s="70" t="s">
        <v>33</v>
      </c>
      <c r="C31" s="70">
        <v>19</v>
      </c>
      <c r="D31" s="83" t="s">
        <v>192</v>
      </c>
      <c r="E31" s="68" t="s">
        <v>322</v>
      </c>
      <c r="F31" s="68" t="s">
        <v>327</v>
      </c>
      <c r="G31" s="68"/>
      <c r="H31" s="47"/>
      <c r="I31" s="68"/>
      <c r="J31" s="68"/>
      <c r="K31" s="68"/>
      <c r="L31" s="70" t="s">
        <v>20</v>
      </c>
      <c r="M31" s="70" t="s">
        <v>227</v>
      </c>
      <c r="N31" s="68" t="s">
        <v>246</v>
      </c>
      <c r="O31" s="68"/>
      <c r="P31" s="68"/>
      <c r="Q31" s="70" t="s">
        <v>324</v>
      </c>
      <c r="R31" s="70"/>
      <c r="S31" s="47"/>
      <c r="T31" s="75" t="s">
        <v>97</v>
      </c>
      <c r="U31" s="69">
        <v>44952</v>
      </c>
      <c r="V31" s="126"/>
      <c r="W31" s="47"/>
      <c r="X31" s="75" t="s">
        <v>97</v>
      </c>
      <c r="Y31" s="135">
        <v>45009</v>
      </c>
      <c r="Z31" s="69"/>
      <c r="AB31" s="69" t="s">
        <v>269</v>
      </c>
      <c r="AC31" s="69" t="s">
        <v>269</v>
      </c>
      <c r="AD31" s="69">
        <v>45302</v>
      </c>
      <c r="AE31" s="135"/>
    </row>
    <row r="32" spans="1:31" ht="90" x14ac:dyDescent="0.25">
      <c r="A32" t="s">
        <v>259</v>
      </c>
      <c r="B32" s="70" t="s">
        <v>33</v>
      </c>
      <c r="C32" s="70">
        <v>20</v>
      </c>
      <c r="D32" s="83" t="s">
        <v>328</v>
      </c>
      <c r="E32" s="68" t="s">
        <v>322</v>
      </c>
      <c r="F32" s="68" t="s">
        <v>329</v>
      </c>
      <c r="G32" s="68"/>
      <c r="H32" s="47"/>
      <c r="I32" s="68"/>
      <c r="J32" s="68"/>
      <c r="K32" s="68"/>
      <c r="L32" s="68" t="s">
        <v>20</v>
      </c>
      <c r="M32" s="68" t="s">
        <v>227</v>
      </c>
      <c r="N32" s="70" t="s">
        <v>330</v>
      </c>
      <c r="O32" s="68"/>
      <c r="P32" s="68"/>
      <c r="Q32" s="111" t="s">
        <v>331</v>
      </c>
      <c r="R32" s="70"/>
      <c r="S32" s="47"/>
      <c r="T32" s="75" t="s">
        <v>97</v>
      </c>
      <c r="U32" s="69">
        <v>45126</v>
      </c>
      <c r="V32" s="126" t="s">
        <v>332</v>
      </c>
      <c r="W32" s="47"/>
      <c r="X32" s="75" t="s">
        <v>149</v>
      </c>
      <c r="Y32" s="135">
        <v>45141</v>
      </c>
      <c r="Z32" s="69"/>
      <c r="AB32" s="69"/>
      <c r="AC32" s="69"/>
      <c r="AD32" s="69"/>
      <c r="AE32" s="135"/>
    </row>
    <row r="33" spans="1:31" x14ac:dyDescent="0.25">
      <c r="B33" s="70" t="s">
        <v>33</v>
      </c>
      <c r="C33" s="70">
        <v>21</v>
      </c>
      <c r="D33" s="83" t="s">
        <v>194</v>
      </c>
      <c r="E33" s="68" t="s">
        <v>322</v>
      </c>
      <c r="F33" s="68" t="s">
        <v>333</v>
      </c>
      <c r="G33" s="68"/>
      <c r="H33" s="47"/>
      <c r="I33" s="68"/>
      <c r="J33" s="68"/>
      <c r="K33" s="68"/>
      <c r="L33" s="70" t="s">
        <v>20</v>
      </c>
      <c r="M33" s="70" t="s">
        <v>227</v>
      </c>
      <c r="N33" s="68" t="s">
        <v>246</v>
      </c>
      <c r="O33" s="68"/>
      <c r="P33" s="68"/>
      <c r="Q33" s="70" t="s">
        <v>324</v>
      </c>
      <c r="R33" s="70"/>
      <c r="S33" s="47"/>
      <c r="T33" s="75" t="s">
        <v>97</v>
      </c>
      <c r="U33" s="69">
        <v>45280</v>
      </c>
      <c r="V33" s="126"/>
      <c r="W33" s="47"/>
      <c r="X33" s="75" t="s">
        <v>149</v>
      </c>
      <c r="Y33" s="135">
        <v>45303</v>
      </c>
      <c r="Z33" s="69"/>
      <c r="AB33" s="69"/>
      <c r="AC33" s="69"/>
      <c r="AD33" s="69"/>
      <c r="AE33" s="135"/>
    </row>
    <row r="34" spans="1:31" ht="30" x14ac:dyDescent="0.25">
      <c r="B34" s="70" t="s">
        <v>33</v>
      </c>
      <c r="C34" s="70">
        <v>22</v>
      </c>
      <c r="D34" s="83" t="s">
        <v>334</v>
      </c>
      <c r="E34" s="68" t="s">
        <v>322</v>
      </c>
      <c r="F34" s="68" t="s">
        <v>335</v>
      </c>
      <c r="G34" s="68"/>
      <c r="H34" s="47"/>
      <c r="I34" s="68"/>
      <c r="J34" s="68"/>
      <c r="K34" s="68"/>
      <c r="L34" s="70" t="s">
        <v>20</v>
      </c>
      <c r="M34" s="70" t="s">
        <v>227</v>
      </c>
      <c r="N34" s="68" t="s">
        <v>246</v>
      </c>
      <c r="O34" s="68"/>
      <c r="P34" s="68"/>
      <c r="Q34" s="70" t="s">
        <v>336</v>
      </c>
      <c r="R34" s="70"/>
      <c r="S34" s="47"/>
      <c r="T34" s="75" t="s">
        <v>97</v>
      </c>
      <c r="U34" s="69">
        <v>45314</v>
      </c>
      <c r="V34" s="126"/>
      <c r="W34" s="47"/>
      <c r="X34" s="75" t="s">
        <v>97</v>
      </c>
      <c r="Y34" s="69">
        <v>45327</v>
      </c>
      <c r="Z34" s="69"/>
      <c r="AB34" s="69"/>
      <c r="AC34" s="69"/>
      <c r="AD34" s="69"/>
      <c r="AE34" s="69"/>
    </row>
    <row r="35" spans="1:31" ht="30" x14ac:dyDescent="0.25">
      <c r="A35" t="s">
        <v>259</v>
      </c>
      <c r="B35" s="70" t="s">
        <v>33</v>
      </c>
      <c r="C35" s="70">
        <v>23</v>
      </c>
      <c r="D35" s="83" t="s">
        <v>198</v>
      </c>
      <c r="E35" s="68" t="s">
        <v>322</v>
      </c>
      <c r="F35" s="68" t="s">
        <v>337</v>
      </c>
      <c r="G35" s="68"/>
      <c r="H35" s="47"/>
      <c r="I35" s="68"/>
      <c r="J35" s="68"/>
      <c r="K35" s="68"/>
      <c r="L35" s="70" t="s">
        <v>20</v>
      </c>
      <c r="M35" s="70" t="s">
        <v>227</v>
      </c>
      <c r="N35" s="68" t="s">
        <v>246</v>
      </c>
      <c r="O35" s="68"/>
      <c r="P35" s="68"/>
      <c r="Q35" s="70" t="s">
        <v>336</v>
      </c>
      <c r="R35" s="70"/>
      <c r="S35" s="47"/>
      <c r="T35" s="75" t="s">
        <v>97</v>
      </c>
      <c r="U35" s="69">
        <v>44952</v>
      </c>
      <c r="V35" s="126"/>
      <c r="W35" s="47"/>
      <c r="X35" s="145" t="s">
        <v>149</v>
      </c>
      <c r="Y35" s="135">
        <v>45009</v>
      </c>
      <c r="Z35" s="69"/>
      <c r="AB35" s="69">
        <v>45302</v>
      </c>
      <c r="AC35" s="69" t="s">
        <v>269</v>
      </c>
      <c r="AD35" s="69" t="s">
        <v>269</v>
      </c>
      <c r="AE35" s="135"/>
    </row>
    <row r="36" spans="1:31" ht="63.75" customHeight="1" x14ac:dyDescent="0.25">
      <c r="A36" t="s">
        <v>259</v>
      </c>
      <c r="B36" s="70" t="s">
        <v>33</v>
      </c>
      <c r="C36" s="70">
        <v>24</v>
      </c>
      <c r="D36" s="83" t="s">
        <v>201</v>
      </c>
      <c r="E36" s="68" t="s">
        <v>322</v>
      </c>
      <c r="F36" s="68" t="s">
        <v>338</v>
      </c>
      <c r="G36" s="68"/>
      <c r="H36" s="47"/>
      <c r="I36" s="68"/>
      <c r="J36" s="68"/>
      <c r="K36" s="68"/>
      <c r="L36" s="70" t="s">
        <v>20</v>
      </c>
      <c r="M36" s="70" t="s">
        <v>227</v>
      </c>
      <c r="N36" s="68" t="s">
        <v>246</v>
      </c>
      <c r="O36" s="68"/>
      <c r="P36" s="68"/>
      <c r="Q36" s="70" t="s">
        <v>336</v>
      </c>
      <c r="R36" s="70"/>
      <c r="S36" s="47"/>
      <c r="T36" s="75" t="s">
        <v>97</v>
      </c>
      <c r="U36" s="69">
        <v>44952</v>
      </c>
      <c r="V36" s="126"/>
      <c r="W36" s="47"/>
      <c r="X36" s="75" t="s">
        <v>97</v>
      </c>
      <c r="Y36" s="135">
        <v>45009</v>
      </c>
      <c r="Z36" s="69"/>
      <c r="AB36" s="69" t="s">
        <v>269</v>
      </c>
      <c r="AC36" s="69" t="s">
        <v>269</v>
      </c>
      <c r="AD36" s="69">
        <v>45302</v>
      </c>
      <c r="AE36" s="135"/>
    </row>
    <row r="37" spans="1:31" ht="60" x14ac:dyDescent="0.25">
      <c r="B37" s="70" t="s">
        <v>33</v>
      </c>
      <c r="C37" s="70">
        <v>25</v>
      </c>
      <c r="D37" s="83" t="s">
        <v>339</v>
      </c>
      <c r="E37" s="68" t="s">
        <v>322</v>
      </c>
      <c r="F37" s="68" t="s">
        <v>340</v>
      </c>
      <c r="G37" s="68"/>
      <c r="H37" s="47"/>
      <c r="I37" s="68"/>
      <c r="J37" s="68"/>
      <c r="K37" s="68"/>
      <c r="L37" s="70" t="s">
        <v>29</v>
      </c>
      <c r="M37" s="70" t="s">
        <v>320</v>
      </c>
      <c r="N37" s="146" t="s">
        <v>341</v>
      </c>
      <c r="O37" s="68"/>
      <c r="P37" s="68"/>
      <c r="Q37" s="70" t="s">
        <v>342</v>
      </c>
      <c r="R37" s="70"/>
      <c r="S37" s="47"/>
      <c r="T37" s="75" t="s">
        <v>97</v>
      </c>
      <c r="U37" s="69">
        <v>45280</v>
      </c>
      <c r="V37" s="126"/>
      <c r="W37" s="47"/>
      <c r="X37" s="75" t="s">
        <v>149</v>
      </c>
      <c r="Y37" s="135">
        <v>45303</v>
      </c>
      <c r="Z37" s="72" t="s">
        <v>343</v>
      </c>
      <c r="AB37" s="69" t="s">
        <v>269</v>
      </c>
      <c r="AC37" s="69" t="s">
        <v>269</v>
      </c>
      <c r="AD37" s="69" t="s">
        <v>299</v>
      </c>
      <c r="AE37" s="135"/>
    </row>
    <row r="38" spans="1:31" ht="51.75" customHeight="1" x14ac:dyDescent="0.25">
      <c r="A38" t="s">
        <v>259</v>
      </c>
      <c r="B38" s="70" t="s">
        <v>33</v>
      </c>
      <c r="C38" s="70">
        <v>26</v>
      </c>
      <c r="D38" s="83" t="s">
        <v>204</v>
      </c>
      <c r="E38" s="68" t="s">
        <v>322</v>
      </c>
      <c r="F38" s="68" t="s">
        <v>344</v>
      </c>
      <c r="G38" s="68"/>
      <c r="H38" s="47"/>
      <c r="I38" s="68"/>
      <c r="J38" s="68"/>
      <c r="K38" s="68"/>
      <c r="L38" s="70" t="s">
        <v>20</v>
      </c>
      <c r="M38" s="70" t="s">
        <v>227</v>
      </c>
      <c r="N38" s="68" t="s">
        <v>246</v>
      </c>
      <c r="O38" s="68"/>
      <c r="P38" s="68"/>
      <c r="Q38" s="70" t="s">
        <v>336</v>
      </c>
      <c r="R38" s="70"/>
      <c r="S38" s="47"/>
      <c r="T38" s="75" t="s">
        <v>97</v>
      </c>
      <c r="U38" s="69">
        <v>44952</v>
      </c>
      <c r="V38" s="126"/>
      <c r="W38" s="47"/>
      <c r="X38" s="75" t="s">
        <v>149</v>
      </c>
      <c r="Y38" s="135">
        <v>45009</v>
      </c>
      <c r="Z38" s="69"/>
      <c r="AB38" s="69"/>
      <c r="AC38" s="69"/>
      <c r="AD38" s="69"/>
      <c r="AE38" s="135"/>
    </row>
    <row r="39" spans="1:31" ht="30" x14ac:dyDescent="0.25">
      <c r="B39" s="70" t="s">
        <v>33</v>
      </c>
      <c r="C39" s="70">
        <v>27</v>
      </c>
      <c r="D39" s="83" t="s">
        <v>345</v>
      </c>
      <c r="E39" s="68" t="s">
        <v>322</v>
      </c>
      <c r="F39" s="68" t="s">
        <v>346</v>
      </c>
      <c r="G39" s="68"/>
      <c r="H39" s="47"/>
      <c r="I39" s="68"/>
      <c r="J39" s="68"/>
      <c r="K39" s="68"/>
      <c r="L39" s="70" t="s">
        <v>29</v>
      </c>
      <c r="M39" s="70" t="s">
        <v>320</v>
      </c>
      <c r="N39" s="146" t="s">
        <v>347</v>
      </c>
      <c r="O39" s="68"/>
      <c r="P39" s="68"/>
      <c r="Q39" s="70" t="s">
        <v>342</v>
      </c>
      <c r="R39" s="70"/>
      <c r="S39" s="47"/>
      <c r="T39" s="75" t="s">
        <v>97</v>
      </c>
      <c r="U39" s="69">
        <v>45280</v>
      </c>
      <c r="V39" s="126"/>
      <c r="W39" s="47"/>
      <c r="X39" s="75" t="s">
        <v>149</v>
      </c>
      <c r="Y39" s="135">
        <v>45303</v>
      </c>
      <c r="Z39" s="69"/>
      <c r="AB39" s="69"/>
      <c r="AC39" s="69"/>
      <c r="AD39" s="69"/>
      <c r="AE39" s="135"/>
    </row>
    <row r="40" spans="1:31" ht="64.5" customHeight="1" x14ac:dyDescent="0.25">
      <c r="B40" s="70" t="s">
        <v>33</v>
      </c>
      <c r="C40" s="70">
        <v>28</v>
      </c>
      <c r="D40" s="83" t="s">
        <v>348</v>
      </c>
      <c r="E40" s="68" t="s">
        <v>322</v>
      </c>
      <c r="F40" s="68" t="s">
        <v>349</v>
      </c>
      <c r="G40" s="68"/>
      <c r="H40" s="47"/>
      <c r="I40" s="68"/>
      <c r="J40" s="68"/>
      <c r="K40" s="68"/>
      <c r="L40" s="70" t="s">
        <v>29</v>
      </c>
      <c r="M40" s="70" t="s">
        <v>320</v>
      </c>
      <c r="N40" s="70" t="s">
        <v>350</v>
      </c>
      <c r="O40" s="68"/>
      <c r="P40" s="68"/>
      <c r="Q40" s="70" t="s">
        <v>342</v>
      </c>
      <c r="R40" s="70"/>
      <c r="S40" s="47"/>
      <c r="T40" s="75" t="s">
        <v>97</v>
      </c>
      <c r="U40" s="69">
        <v>45280</v>
      </c>
      <c r="V40" s="126"/>
      <c r="W40" s="47"/>
      <c r="X40" s="75" t="s">
        <v>149</v>
      </c>
      <c r="Y40" s="135">
        <v>45303</v>
      </c>
      <c r="Z40" s="69"/>
      <c r="AB40" s="69"/>
      <c r="AC40" s="69"/>
      <c r="AD40" s="69"/>
      <c r="AE40" s="135"/>
    </row>
    <row r="41" spans="1:31" x14ac:dyDescent="0.25">
      <c r="A41" t="s">
        <v>351</v>
      </c>
      <c r="B41" s="70" t="s">
        <v>33</v>
      </c>
      <c r="C41" s="70">
        <v>29</v>
      </c>
      <c r="D41" s="70" t="s">
        <v>352</v>
      </c>
      <c r="E41" s="70" t="s">
        <v>225</v>
      </c>
      <c r="F41" s="70" t="s">
        <v>353</v>
      </c>
      <c r="G41" s="70"/>
      <c r="H41" s="47"/>
      <c r="I41" s="70"/>
      <c r="J41" s="70" t="s">
        <v>354</v>
      </c>
      <c r="K41" s="70" t="s">
        <v>355</v>
      </c>
      <c r="L41" s="68" t="s">
        <v>356</v>
      </c>
      <c r="M41" s="70" t="s">
        <v>357</v>
      </c>
      <c r="N41" s="70" t="s">
        <v>358</v>
      </c>
      <c r="O41" s="70" t="s">
        <v>296</v>
      </c>
      <c r="P41" s="70"/>
      <c r="Q41" s="70"/>
      <c r="R41" s="70"/>
      <c r="S41" s="47"/>
      <c r="T41" s="75" t="s">
        <v>97</v>
      </c>
      <c r="U41" s="69">
        <v>45280</v>
      </c>
      <c r="V41" s="72"/>
      <c r="W41" s="47"/>
      <c r="X41" s="75" t="s">
        <v>197</v>
      </c>
      <c r="Y41" s="135" t="s">
        <v>299</v>
      </c>
      <c r="Z41" s="69"/>
      <c r="AB41" s="69"/>
      <c r="AC41" s="69"/>
      <c r="AD41" s="69"/>
      <c r="AE41" s="135"/>
    </row>
    <row r="42" spans="1:31" x14ac:dyDescent="0.25">
      <c r="A42" t="s">
        <v>351</v>
      </c>
      <c r="B42" s="70" t="s">
        <v>33</v>
      </c>
      <c r="C42" s="70">
        <v>30</v>
      </c>
      <c r="D42" s="70" t="s">
        <v>359</v>
      </c>
      <c r="E42" s="70" t="s">
        <v>225</v>
      </c>
      <c r="F42" s="70" t="s">
        <v>360</v>
      </c>
      <c r="G42" s="70"/>
      <c r="H42" s="47"/>
      <c r="I42" s="70"/>
      <c r="J42" s="70" t="s">
        <v>354</v>
      </c>
      <c r="K42" s="70" t="s">
        <v>361</v>
      </c>
      <c r="L42" s="68" t="s">
        <v>356</v>
      </c>
      <c r="M42" s="70" t="s">
        <v>357</v>
      </c>
      <c r="N42" s="70" t="s">
        <v>362</v>
      </c>
      <c r="O42" s="70" t="s">
        <v>296</v>
      </c>
      <c r="P42" s="70"/>
      <c r="Q42" s="70"/>
      <c r="R42" s="70"/>
      <c r="S42" s="47"/>
      <c r="T42" s="75" t="s">
        <v>97</v>
      </c>
      <c r="U42" s="69">
        <v>45280</v>
      </c>
      <c r="V42" s="72"/>
      <c r="W42" s="47"/>
      <c r="X42" s="75" t="s">
        <v>197</v>
      </c>
      <c r="Y42" s="135" t="s">
        <v>299</v>
      </c>
      <c r="Z42" s="69"/>
      <c r="AB42" s="69"/>
      <c r="AC42" s="69"/>
      <c r="AD42" s="69"/>
      <c r="AE42" s="135"/>
    </row>
    <row r="43" spans="1:31" x14ac:dyDescent="0.25">
      <c r="A43" t="s">
        <v>351</v>
      </c>
      <c r="B43" s="70" t="s">
        <v>33</v>
      </c>
      <c r="C43" s="70">
        <v>31</v>
      </c>
      <c r="D43" s="70" t="s">
        <v>363</v>
      </c>
      <c r="E43" s="70" t="s">
        <v>225</v>
      </c>
      <c r="F43" s="70" t="s">
        <v>364</v>
      </c>
      <c r="G43" s="70"/>
      <c r="H43" s="47"/>
      <c r="I43" s="70"/>
      <c r="J43" s="70" t="s">
        <v>354</v>
      </c>
      <c r="K43" s="70" t="s">
        <v>365</v>
      </c>
      <c r="L43" s="68" t="s">
        <v>356</v>
      </c>
      <c r="M43" s="70" t="s">
        <v>366</v>
      </c>
      <c r="N43" s="70" t="s">
        <v>367</v>
      </c>
      <c r="O43" s="70" t="s">
        <v>296</v>
      </c>
      <c r="P43" s="70"/>
      <c r="Q43" s="70"/>
      <c r="R43" s="70"/>
      <c r="S43" s="47"/>
      <c r="T43" s="75" t="s">
        <v>97</v>
      </c>
      <c r="U43" s="69">
        <v>45280</v>
      </c>
      <c r="V43" s="72"/>
      <c r="W43" s="47"/>
      <c r="X43" s="75" t="s">
        <v>197</v>
      </c>
      <c r="Y43" s="135" t="s">
        <v>299</v>
      </c>
      <c r="Z43" s="69"/>
      <c r="AB43" s="69"/>
      <c r="AC43" s="69"/>
      <c r="AD43" s="69"/>
      <c r="AE43" s="135"/>
    </row>
    <row r="44" spans="1:31" ht="62.25" customHeight="1" x14ac:dyDescent="0.25">
      <c r="A44" t="s">
        <v>316</v>
      </c>
      <c r="B44" s="70" t="s">
        <v>33</v>
      </c>
      <c r="C44" s="70">
        <v>32</v>
      </c>
      <c r="D44" s="70" t="s">
        <v>368</v>
      </c>
      <c r="E44" s="70" t="s">
        <v>225</v>
      </c>
      <c r="F44" s="70" t="s">
        <v>369</v>
      </c>
      <c r="G44" s="70"/>
      <c r="H44" s="47"/>
      <c r="I44" s="70"/>
      <c r="J44" s="70" t="s">
        <v>354</v>
      </c>
      <c r="K44" s="70" t="s">
        <v>370</v>
      </c>
      <c r="L44" s="70" t="s">
        <v>20</v>
      </c>
      <c r="M44" s="70" t="s">
        <v>371</v>
      </c>
      <c r="N44" s="70" t="s">
        <v>368</v>
      </c>
      <c r="O44" s="70" t="s">
        <v>299</v>
      </c>
      <c r="P44" s="70" t="s">
        <v>372</v>
      </c>
      <c r="Q44" s="70"/>
      <c r="R44" s="70"/>
      <c r="S44" s="47"/>
      <c r="T44" s="75" t="s">
        <v>132</v>
      </c>
      <c r="U44" s="69">
        <v>44931</v>
      </c>
      <c r="V44" s="72" t="s">
        <v>373</v>
      </c>
      <c r="W44" s="47"/>
      <c r="X44" s="145" t="s">
        <v>150</v>
      </c>
      <c r="Y44" s="135" t="s">
        <v>299</v>
      </c>
      <c r="Z44" s="69"/>
      <c r="AB44" s="69"/>
      <c r="AC44" s="69"/>
      <c r="AD44" s="69"/>
      <c r="AE44" s="135"/>
    </row>
    <row r="45" spans="1:31" ht="60" customHeight="1" x14ac:dyDescent="0.25">
      <c r="A45" t="s">
        <v>351</v>
      </c>
      <c r="B45" s="70" t="s">
        <v>33</v>
      </c>
      <c r="C45" s="70">
        <v>33</v>
      </c>
      <c r="D45" s="70" t="s">
        <v>374</v>
      </c>
      <c r="E45" s="70" t="s">
        <v>225</v>
      </c>
      <c r="F45" s="70" t="s">
        <v>375</v>
      </c>
      <c r="G45" s="70"/>
      <c r="H45" s="47"/>
      <c r="I45" s="70" t="s">
        <v>376</v>
      </c>
      <c r="J45" s="70" t="s">
        <v>377</v>
      </c>
      <c r="K45" s="70" t="s">
        <v>374</v>
      </c>
      <c r="L45" s="70" t="s">
        <v>378</v>
      </c>
      <c r="M45" s="146" t="s">
        <v>379</v>
      </c>
      <c r="N45" s="146" t="s">
        <v>380</v>
      </c>
      <c r="O45" s="70" t="s">
        <v>381</v>
      </c>
      <c r="P45" s="70" t="s">
        <v>382</v>
      </c>
      <c r="Q45" s="70"/>
      <c r="R45" s="70"/>
      <c r="S45" s="47"/>
      <c r="T45" s="75" t="s">
        <v>97</v>
      </c>
      <c r="U45" s="69">
        <v>45280</v>
      </c>
      <c r="V45" s="72" t="s">
        <v>382</v>
      </c>
      <c r="W45" s="47"/>
      <c r="X45" s="145" t="s">
        <v>152</v>
      </c>
      <c r="Y45" s="135" t="s">
        <v>299</v>
      </c>
      <c r="Z45" s="69"/>
      <c r="AB45" s="69"/>
      <c r="AC45" s="69"/>
      <c r="AD45" s="69"/>
      <c r="AE45" s="135"/>
    </row>
    <row r="46" spans="1:31" ht="30" x14ac:dyDescent="0.25">
      <c r="A46" t="s">
        <v>351</v>
      </c>
      <c r="B46" s="70" t="s">
        <v>33</v>
      </c>
      <c r="C46" s="70">
        <v>34</v>
      </c>
      <c r="D46" s="70" t="s">
        <v>383</v>
      </c>
      <c r="E46" s="70" t="s">
        <v>225</v>
      </c>
      <c r="F46" s="70" t="s">
        <v>384</v>
      </c>
      <c r="G46" s="70"/>
      <c r="H46" s="47"/>
      <c r="I46" s="70" t="s">
        <v>376</v>
      </c>
      <c r="J46" s="70" t="s">
        <v>377</v>
      </c>
      <c r="K46" s="70" t="s">
        <v>383</v>
      </c>
      <c r="L46" s="70" t="s">
        <v>378</v>
      </c>
      <c r="M46" s="146" t="s">
        <v>379</v>
      </c>
      <c r="N46" s="146" t="s">
        <v>385</v>
      </c>
      <c r="O46" s="70" t="s">
        <v>381</v>
      </c>
      <c r="P46" s="70" t="s">
        <v>382</v>
      </c>
      <c r="Q46" s="70"/>
      <c r="R46" s="70"/>
      <c r="S46" s="47"/>
      <c r="T46" s="75" t="s">
        <v>97</v>
      </c>
      <c r="U46" s="69">
        <v>45280</v>
      </c>
      <c r="V46" s="72" t="s">
        <v>382</v>
      </c>
      <c r="W46" s="47"/>
      <c r="X46" s="145" t="s">
        <v>152</v>
      </c>
      <c r="Y46" s="135" t="s">
        <v>299</v>
      </c>
      <c r="Z46" s="69"/>
      <c r="AB46" s="69"/>
      <c r="AC46" s="69"/>
      <c r="AD46" s="69"/>
      <c r="AE46" s="135"/>
    </row>
    <row r="47" spans="1:31" ht="15" customHeight="1" x14ac:dyDescent="0.25">
      <c r="A47" t="s">
        <v>316</v>
      </c>
      <c r="B47" s="70" t="s">
        <v>33</v>
      </c>
      <c r="C47" s="70">
        <v>35</v>
      </c>
      <c r="D47" s="70" t="s">
        <v>386</v>
      </c>
      <c r="E47" s="70" t="s">
        <v>311</v>
      </c>
      <c r="F47" s="70" t="s">
        <v>387</v>
      </c>
      <c r="G47" s="70"/>
      <c r="H47" s="47"/>
      <c r="I47" s="70"/>
      <c r="J47" s="70"/>
      <c r="K47" s="70"/>
      <c r="L47" s="70" t="s">
        <v>299</v>
      </c>
      <c r="M47" s="70" t="s">
        <v>388</v>
      </c>
      <c r="N47" s="70" t="s">
        <v>388</v>
      </c>
      <c r="O47" s="70" t="s">
        <v>299</v>
      </c>
      <c r="P47" s="70" t="s">
        <v>389</v>
      </c>
      <c r="Q47" s="70"/>
      <c r="R47" s="70"/>
      <c r="S47" s="47"/>
      <c r="T47" s="75" t="s">
        <v>132</v>
      </c>
      <c r="U47" s="69">
        <v>44834</v>
      </c>
      <c r="V47" s="72" t="s">
        <v>390</v>
      </c>
      <c r="W47" s="47"/>
      <c r="X47" s="145" t="s">
        <v>150</v>
      </c>
      <c r="Y47" s="135" t="s">
        <v>299</v>
      </c>
      <c r="Z47" s="69"/>
      <c r="AB47" s="69"/>
      <c r="AC47" s="69"/>
      <c r="AD47" s="69"/>
      <c r="AE47" s="135"/>
    </row>
    <row r="48" spans="1:31" ht="15" customHeight="1" x14ac:dyDescent="0.25">
      <c r="A48" t="s">
        <v>316</v>
      </c>
      <c r="B48" s="70" t="s">
        <v>33</v>
      </c>
      <c r="C48" s="70">
        <v>36</v>
      </c>
      <c r="D48" s="70" t="s">
        <v>391</v>
      </c>
      <c r="E48" s="70" t="s">
        <v>311</v>
      </c>
      <c r="F48" s="70" t="s">
        <v>392</v>
      </c>
      <c r="G48" s="70"/>
      <c r="H48" s="47"/>
      <c r="I48" s="70"/>
      <c r="J48" s="70"/>
      <c r="K48" s="70"/>
      <c r="L48" s="70" t="s">
        <v>299</v>
      </c>
      <c r="M48" s="70" t="s">
        <v>388</v>
      </c>
      <c r="N48" s="70" t="s">
        <v>388</v>
      </c>
      <c r="O48" s="70" t="s">
        <v>299</v>
      </c>
      <c r="P48" s="70" t="s">
        <v>389</v>
      </c>
      <c r="Q48" s="70"/>
      <c r="R48" s="70"/>
      <c r="S48" s="47"/>
      <c r="T48" s="75" t="s">
        <v>132</v>
      </c>
      <c r="U48" s="69">
        <v>44834</v>
      </c>
      <c r="V48" s="72" t="s">
        <v>390</v>
      </c>
      <c r="W48" s="47"/>
      <c r="X48" s="145" t="s">
        <v>150</v>
      </c>
      <c r="Y48" s="135" t="s">
        <v>299</v>
      </c>
      <c r="Z48" s="69"/>
      <c r="AB48" s="69"/>
      <c r="AC48" s="69"/>
      <c r="AD48" s="69"/>
      <c r="AE48" s="135"/>
    </row>
    <row r="49" spans="1:31" ht="15" customHeight="1" x14ac:dyDescent="0.25">
      <c r="A49" t="s">
        <v>316</v>
      </c>
      <c r="B49" s="70" t="s">
        <v>33</v>
      </c>
      <c r="C49" s="70">
        <v>37</v>
      </c>
      <c r="D49" s="70" t="s">
        <v>393</v>
      </c>
      <c r="E49" s="70" t="s">
        <v>311</v>
      </c>
      <c r="F49" s="70" t="s">
        <v>394</v>
      </c>
      <c r="G49" s="70"/>
      <c r="H49" s="47"/>
      <c r="I49" s="70"/>
      <c r="J49" s="70"/>
      <c r="K49" s="70"/>
      <c r="L49" s="70" t="s">
        <v>299</v>
      </c>
      <c r="M49" s="70" t="s">
        <v>388</v>
      </c>
      <c r="N49" s="70" t="s">
        <v>388</v>
      </c>
      <c r="O49" s="70" t="s">
        <v>299</v>
      </c>
      <c r="P49" s="70" t="s">
        <v>389</v>
      </c>
      <c r="Q49" s="70"/>
      <c r="R49" s="70"/>
      <c r="S49" s="47"/>
      <c r="T49" s="75" t="s">
        <v>132</v>
      </c>
      <c r="U49" s="69">
        <v>44834</v>
      </c>
      <c r="V49" s="72" t="s">
        <v>390</v>
      </c>
      <c r="W49" s="47"/>
      <c r="X49" s="145" t="s">
        <v>150</v>
      </c>
      <c r="Y49" s="135" t="s">
        <v>299</v>
      </c>
      <c r="Z49" s="69"/>
      <c r="AB49" s="69"/>
      <c r="AC49" s="69"/>
      <c r="AD49" s="69"/>
      <c r="AE49" s="135"/>
    </row>
    <row r="50" spans="1:31" ht="30" customHeight="1" x14ac:dyDescent="0.25">
      <c r="A50" t="s">
        <v>316</v>
      </c>
      <c r="B50" s="70" t="s">
        <v>33</v>
      </c>
      <c r="C50" s="70">
        <v>38</v>
      </c>
      <c r="D50" s="70" t="s">
        <v>395</v>
      </c>
      <c r="E50" s="70" t="s">
        <v>311</v>
      </c>
      <c r="F50" s="70" t="s">
        <v>396</v>
      </c>
      <c r="G50" s="70"/>
      <c r="H50" s="47"/>
      <c r="I50" s="70"/>
      <c r="J50" s="70"/>
      <c r="K50" s="70"/>
      <c r="L50" s="70" t="s">
        <v>299</v>
      </c>
      <c r="M50" s="70" t="s">
        <v>388</v>
      </c>
      <c r="N50" s="70" t="s">
        <v>388</v>
      </c>
      <c r="O50" s="70" t="s">
        <v>299</v>
      </c>
      <c r="P50" s="70" t="s">
        <v>389</v>
      </c>
      <c r="Q50" s="70"/>
      <c r="R50" s="70"/>
      <c r="S50" s="47"/>
      <c r="T50" s="75" t="s">
        <v>132</v>
      </c>
      <c r="U50" s="69">
        <v>44834</v>
      </c>
      <c r="V50" s="72" t="s">
        <v>390</v>
      </c>
      <c r="W50" s="47"/>
      <c r="X50" s="145" t="s">
        <v>150</v>
      </c>
      <c r="Y50" s="135" t="s">
        <v>299</v>
      </c>
      <c r="Z50" s="69"/>
      <c r="AB50" s="69"/>
      <c r="AC50" s="69"/>
      <c r="AD50" s="69"/>
      <c r="AE50" s="135"/>
    </row>
    <row r="51" spans="1:31" ht="30" customHeight="1" x14ac:dyDescent="0.25">
      <c r="A51" t="s">
        <v>316</v>
      </c>
      <c r="B51" s="70" t="s">
        <v>33</v>
      </c>
      <c r="C51" s="70">
        <v>39</v>
      </c>
      <c r="D51" s="70" t="s">
        <v>397</v>
      </c>
      <c r="E51" s="70" t="s">
        <v>322</v>
      </c>
      <c r="F51" s="70" t="s">
        <v>398</v>
      </c>
      <c r="G51" s="70"/>
      <c r="H51" s="47"/>
      <c r="I51" s="70"/>
      <c r="J51" s="70"/>
      <c r="K51" s="70"/>
      <c r="L51" s="70" t="s">
        <v>20</v>
      </c>
      <c r="M51" s="70" t="s">
        <v>399</v>
      </c>
      <c r="N51" s="70" t="s">
        <v>397</v>
      </c>
      <c r="O51" s="70" t="s">
        <v>299</v>
      </c>
      <c r="P51" s="70" t="s">
        <v>400</v>
      </c>
      <c r="Q51" s="70"/>
      <c r="R51" s="70"/>
      <c r="S51" s="47"/>
      <c r="T51" s="75" t="s">
        <v>132</v>
      </c>
      <c r="U51" s="69">
        <v>44834</v>
      </c>
      <c r="V51" s="72" t="s">
        <v>401</v>
      </c>
      <c r="W51" s="47"/>
      <c r="X51" s="145" t="s">
        <v>150</v>
      </c>
      <c r="Y51" s="135" t="s">
        <v>299</v>
      </c>
      <c r="Z51" s="69"/>
      <c r="AB51" s="69"/>
      <c r="AC51" s="69"/>
      <c r="AD51" s="69"/>
      <c r="AE51" s="135"/>
    </row>
    <row r="52" spans="1:31" ht="60" customHeight="1" x14ac:dyDescent="0.25">
      <c r="A52" t="s">
        <v>316</v>
      </c>
      <c r="B52" s="70" t="s">
        <v>33</v>
      </c>
      <c r="C52" s="70">
        <v>40</v>
      </c>
      <c r="D52" s="70" t="s">
        <v>402</v>
      </c>
      <c r="E52" s="70" t="s">
        <v>322</v>
      </c>
      <c r="F52" s="70" t="s">
        <v>403</v>
      </c>
      <c r="G52" s="70"/>
      <c r="H52" s="47"/>
      <c r="I52" s="70"/>
      <c r="J52" s="70"/>
      <c r="K52" s="70"/>
      <c r="L52" s="70" t="s">
        <v>20</v>
      </c>
      <c r="M52" s="70" t="s">
        <v>399</v>
      </c>
      <c r="N52" s="70" t="s">
        <v>404</v>
      </c>
      <c r="O52" s="70" t="s">
        <v>299</v>
      </c>
      <c r="P52" s="70" t="s">
        <v>400</v>
      </c>
      <c r="Q52" s="70"/>
      <c r="R52" s="70"/>
      <c r="S52" s="47"/>
      <c r="T52" s="75" t="s">
        <v>132</v>
      </c>
      <c r="U52" s="69">
        <v>44834</v>
      </c>
      <c r="V52" s="72" t="s">
        <v>401</v>
      </c>
      <c r="W52" s="47"/>
      <c r="X52" s="145" t="s">
        <v>150</v>
      </c>
      <c r="Y52" s="135" t="s">
        <v>299</v>
      </c>
      <c r="Z52" s="69"/>
      <c r="AB52" s="69"/>
      <c r="AC52" s="69"/>
      <c r="AD52" s="69"/>
      <c r="AE52" s="135"/>
    </row>
    <row r="53" spans="1:31" ht="60" x14ac:dyDescent="0.25">
      <c r="A53" t="s">
        <v>405</v>
      </c>
      <c r="B53" s="70" t="s">
        <v>33</v>
      </c>
      <c r="C53" s="70">
        <v>41</v>
      </c>
      <c r="D53" s="70" t="s">
        <v>406</v>
      </c>
      <c r="E53" s="70" t="s">
        <v>225</v>
      </c>
      <c r="F53" s="70" t="s">
        <v>407</v>
      </c>
      <c r="G53" s="70"/>
      <c r="H53" s="47"/>
      <c r="I53" s="70" t="s">
        <v>294</v>
      </c>
      <c r="J53" s="70" t="s">
        <v>295</v>
      </c>
      <c r="K53" s="70" t="s">
        <v>406</v>
      </c>
      <c r="L53" s="70" t="s">
        <v>408</v>
      </c>
      <c r="M53" s="70" t="s">
        <v>409</v>
      </c>
      <c r="N53" s="70" t="s">
        <v>410</v>
      </c>
      <c r="O53" s="70" t="s">
        <v>296</v>
      </c>
      <c r="P53" s="70" t="s">
        <v>411</v>
      </c>
      <c r="Q53" s="70"/>
      <c r="R53" s="111" t="s">
        <v>412</v>
      </c>
      <c r="S53" s="47"/>
      <c r="T53" s="75" t="s">
        <v>130</v>
      </c>
      <c r="U53" s="69">
        <v>45180</v>
      </c>
      <c r="V53" s="72" t="s">
        <v>413</v>
      </c>
      <c r="W53" s="47"/>
      <c r="X53" s="145" t="s">
        <v>150</v>
      </c>
      <c r="Y53" s="135" t="s">
        <v>299</v>
      </c>
      <c r="Z53" s="69"/>
      <c r="AB53" s="69"/>
      <c r="AC53" s="69"/>
      <c r="AD53" s="69"/>
      <c r="AE53" s="135"/>
    </row>
    <row r="54" spans="1:31" ht="105" x14ac:dyDescent="0.25">
      <c r="A54" t="s">
        <v>316</v>
      </c>
      <c r="B54" s="70" t="s">
        <v>33</v>
      </c>
      <c r="C54" s="70">
        <v>42</v>
      </c>
      <c r="D54" s="70" t="s">
        <v>414</v>
      </c>
      <c r="E54" s="70" t="s">
        <v>225</v>
      </c>
      <c r="F54" s="70" t="s">
        <v>407</v>
      </c>
      <c r="G54" s="70"/>
      <c r="H54" s="47"/>
      <c r="I54" s="70" t="s">
        <v>294</v>
      </c>
      <c r="J54" s="70" t="s">
        <v>295</v>
      </c>
      <c r="K54" s="70" t="s">
        <v>414</v>
      </c>
      <c r="L54" s="70" t="s">
        <v>415</v>
      </c>
      <c r="M54" s="70" t="s">
        <v>416</v>
      </c>
      <c r="N54" s="70" t="s">
        <v>417</v>
      </c>
      <c r="O54" s="70" t="s">
        <v>296</v>
      </c>
      <c r="P54" s="70"/>
      <c r="Q54" s="70"/>
      <c r="R54" s="70" t="s">
        <v>418</v>
      </c>
      <c r="S54" s="47"/>
      <c r="T54" s="75" t="s">
        <v>130</v>
      </c>
      <c r="U54" s="69">
        <v>45219</v>
      </c>
      <c r="V54" s="72" t="s">
        <v>419</v>
      </c>
      <c r="W54" s="47"/>
      <c r="X54" s="145" t="s">
        <v>150</v>
      </c>
      <c r="Y54" s="135" t="s">
        <v>299</v>
      </c>
      <c r="Z54" s="69"/>
      <c r="AB54" s="69"/>
      <c r="AC54" s="69"/>
      <c r="AD54" s="69"/>
      <c r="AE54" s="135"/>
    </row>
    <row r="55" spans="1:31" ht="60" customHeight="1" x14ac:dyDescent="0.25">
      <c r="A55" t="s">
        <v>405</v>
      </c>
      <c r="B55" s="70" t="s">
        <v>33</v>
      </c>
      <c r="C55" s="70">
        <v>43</v>
      </c>
      <c r="D55" s="70" t="s">
        <v>420</v>
      </c>
      <c r="E55" s="70" t="s">
        <v>225</v>
      </c>
      <c r="F55" s="70" t="s">
        <v>421</v>
      </c>
      <c r="G55" s="70"/>
      <c r="H55" s="47"/>
      <c r="I55" s="70" t="s">
        <v>294</v>
      </c>
      <c r="J55" s="70" t="s">
        <v>295</v>
      </c>
      <c r="K55" s="70" t="s">
        <v>420</v>
      </c>
      <c r="L55" s="70"/>
      <c r="M55" s="70" t="s">
        <v>422</v>
      </c>
      <c r="N55" s="70"/>
      <c r="O55" s="70" t="s">
        <v>296</v>
      </c>
      <c r="P55" s="70"/>
      <c r="Q55" s="70"/>
      <c r="R55" s="111" t="s">
        <v>412</v>
      </c>
      <c r="S55" s="47"/>
      <c r="T55" s="75" t="s">
        <v>132</v>
      </c>
      <c r="U55" s="69">
        <v>45190</v>
      </c>
      <c r="V55" s="168" t="s">
        <v>423</v>
      </c>
      <c r="W55" s="47"/>
      <c r="X55" s="145" t="s">
        <v>150</v>
      </c>
      <c r="Y55" s="135" t="s">
        <v>299</v>
      </c>
      <c r="Z55" s="69"/>
      <c r="AB55" s="69"/>
      <c r="AC55" s="69"/>
      <c r="AD55" s="69"/>
      <c r="AE55" s="135"/>
    </row>
    <row r="56" spans="1:31" ht="60" customHeight="1" x14ac:dyDescent="0.25">
      <c r="A56" t="s">
        <v>259</v>
      </c>
      <c r="B56" s="70" t="s">
        <v>33</v>
      </c>
      <c r="C56" s="70">
        <v>44</v>
      </c>
      <c r="D56" s="70" t="s">
        <v>424</v>
      </c>
      <c r="E56" s="70" t="s">
        <v>225</v>
      </c>
      <c r="F56" s="70" t="s">
        <v>425</v>
      </c>
      <c r="G56" s="70"/>
      <c r="H56" s="47"/>
      <c r="I56" s="70" t="s">
        <v>294</v>
      </c>
      <c r="J56" s="70" t="s">
        <v>295</v>
      </c>
      <c r="K56" s="70" t="s">
        <v>424</v>
      </c>
      <c r="L56" s="70" t="s">
        <v>426</v>
      </c>
      <c r="M56" s="70" t="s">
        <v>427</v>
      </c>
      <c r="N56" s="70" t="s">
        <v>428</v>
      </c>
      <c r="O56" s="70" t="s">
        <v>296</v>
      </c>
      <c r="P56" s="70" t="s">
        <v>429</v>
      </c>
      <c r="Q56" s="70"/>
      <c r="R56" s="70" t="s">
        <v>418</v>
      </c>
      <c r="S56" s="47"/>
      <c r="T56" s="75" t="s">
        <v>130</v>
      </c>
      <c r="U56" s="69">
        <v>45084</v>
      </c>
      <c r="V56" s="72" t="s">
        <v>413</v>
      </c>
      <c r="W56" s="47"/>
      <c r="X56" s="145" t="s">
        <v>150</v>
      </c>
      <c r="Y56" s="135" t="s">
        <v>299</v>
      </c>
      <c r="Z56" s="69"/>
      <c r="AB56" s="69"/>
      <c r="AC56" s="69"/>
      <c r="AD56" s="69"/>
      <c r="AE56" s="135"/>
    </row>
    <row r="57" spans="1:31" ht="60" x14ac:dyDescent="0.25">
      <c r="A57" t="s">
        <v>405</v>
      </c>
      <c r="B57" s="70" t="s">
        <v>33</v>
      </c>
      <c r="C57" s="70">
        <v>45</v>
      </c>
      <c r="D57" s="70" t="s">
        <v>430</v>
      </c>
      <c r="E57" s="70" t="s">
        <v>225</v>
      </c>
      <c r="F57" s="70" t="s">
        <v>431</v>
      </c>
      <c r="G57" s="70"/>
      <c r="H57" s="47"/>
      <c r="I57" s="70" t="s">
        <v>294</v>
      </c>
      <c r="J57" s="70" t="s">
        <v>295</v>
      </c>
      <c r="K57" s="70" t="s">
        <v>430</v>
      </c>
      <c r="L57" s="70" t="s">
        <v>408</v>
      </c>
      <c r="M57" s="70" t="s">
        <v>409</v>
      </c>
      <c r="N57" s="70" t="s">
        <v>432</v>
      </c>
      <c r="O57" s="70" t="s">
        <v>296</v>
      </c>
      <c r="P57" s="70" t="s">
        <v>411</v>
      </c>
      <c r="Q57" s="70"/>
      <c r="R57" s="111" t="s">
        <v>412</v>
      </c>
      <c r="S57" s="47"/>
      <c r="T57" s="75" t="s">
        <v>130</v>
      </c>
      <c r="U57" s="69">
        <v>45190</v>
      </c>
      <c r="V57" s="72" t="s">
        <v>413</v>
      </c>
      <c r="W57" s="47"/>
      <c r="X57" s="145" t="s">
        <v>150</v>
      </c>
      <c r="Y57" s="135" t="s">
        <v>299</v>
      </c>
      <c r="Z57" s="69"/>
      <c r="AB57" s="69"/>
      <c r="AC57" s="69"/>
      <c r="AD57" s="69"/>
      <c r="AE57" s="135"/>
    </row>
    <row r="58" spans="1:31" ht="60" customHeight="1" x14ac:dyDescent="0.25">
      <c r="A58" t="s">
        <v>405</v>
      </c>
      <c r="B58" s="70" t="s">
        <v>33</v>
      </c>
      <c r="C58" s="70">
        <v>46</v>
      </c>
      <c r="D58" s="70" t="s">
        <v>433</v>
      </c>
      <c r="E58" s="70" t="s">
        <v>225</v>
      </c>
      <c r="F58" s="70" t="s">
        <v>434</v>
      </c>
      <c r="G58" s="70"/>
      <c r="H58" s="47"/>
      <c r="I58" s="70" t="s">
        <v>294</v>
      </c>
      <c r="J58" s="70" t="s">
        <v>295</v>
      </c>
      <c r="K58" s="70" t="s">
        <v>433</v>
      </c>
      <c r="L58" s="70" t="s">
        <v>20</v>
      </c>
      <c r="M58" s="70" t="s">
        <v>274</v>
      </c>
      <c r="N58" s="70" t="s">
        <v>435</v>
      </c>
      <c r="O58" s="70" t="s">
        <v>279</v>
      </c>
      <c r="P58" s="70"/>
      <c r="Q58" s="70" t="s">
        <v>436</v>
      </c>
      <c r="R58" s="111" t="s">
        <v>412</v>
      </c>
      <c r="S58" s="47"/>
      <c r="T58" s="75" t="s">
        <v>97</v>
      </c>
      <c r="U58" s="69">
        <v>45246</v>
      </c>
      <c r="V58" s="72" t="s">
        <v>437</v>
      </c>
      <c r="W58" s="47"/>
      <c r="X58" s="75" t="s">
        <v>149</v>
      </c>
      <c r="Y58" s="135">
        <v>45279</v>
      </c>
      <c r="Z58" s="69"/>
      <c r="AB58" s="69"/>
      <c r="AC58" s="69"/>
      <c r="AD58" s="69"/>
      <c r="AE58" s="135"/>
    </row>
    <row r="59" spans="1:31" ht="60" customHeight="1" x14ac:dyDescent="0.25">
      <c r="A59" t="s">
        <v>405</v>
      </c>
      <c r="B59" s="70" t="s">
        <v>33</v>
      </c>
      <c r="C59" s="70">
        <v>47</v>
      </c>
      <c r="D59" s="70" t="s">
        <v>438</v>
      </c>
      <c r="E59" s="70" t="s">
        <v>225</v>
      </c>
      <c r="F59" s="70" t="s">
        <v>439</v>
      </c>
      <c r="G59" s="70"/>
      <c r="H59" s="47"/>
      <c r="I59" s="70" t="s">
        <v>294</v>
      </c>
      <c r="J59" s="70" t="s">
        <v>295</v>
      </c>
      <c r="K59" s="70" t="s">
        <v>438</v>
      </c>
      <c r="L59" s="70" t="s">
        <v>408</v>
      </c>
      <c r="M59" s="70" t="s">
        <v>409</v>
      </c>
      <c r="N59" s="70" t="s">
        <v>440</v>
      </c>
      <c r="O59" s="70" t="s">
        <v>296</v>
      </c>
      <c r="P59" s="70" t="s">
        <v>411</v>
      </c>
      <c r="Q59" s="70"/>
      <c r="R59" s="111" t="s">
        <v>412</v>
      </c>
      <c r="S59" s="47"/>
      <c r="T59" s="75" t="s">
        <v>130</v>
      </c>
      <c r="U59" s="69">
        <v>45180</v>
      </c>
      <c r="V59" s="72" t="s">
        <v>413</v>
      </c>
      <c r="W59" s="47"/>
      <c r="X59" s="145" t="s">
        <v>150</v>
      </c>
      <c r="Y59" s="135" t="s">
        <v>299</v>
      </c>
      <c r="Z59" s="69"/>
      <c r="AB59" s="69"/>
      <c r="AC59" s="69"/>
      <c r="AD59" s="69"/>
      <c r="AE59" s="135"/>
    </row>
    <row r="60" spans="1:31" ht="60" customHeight="1" x14ac:dyDescent="0.25">
      <c r="A60" t="s">
        <v>405</v>
      </c>
      <c r="B60" s="70" t="s">
        <v>33</v>
      </c>
      <c r="C60" s="70">
        <v>48</v>
      </c>
      <c r="D60" s="70" t="s">
        <v>441</v>
      </c>
      <c r="E60" s="70" t="s">
        <v>442</v>
      </c>
      <c r="F60" s="70" t="s">
        <v>443</v>
      </c>
      <c r="G60" s="70"/>
      <c r="H60" s="47"/>
      <c r="I60" s="70" t="s">
        <v>294</v>
      </c>
      <c r="J60" s="70" t="s">
        <v>295</v>
      </c>
      <c r="K60" s="70" t="s">
        <v>444</v>
      </c>
      <c r="L60" s="70" t="s">
        <v>408</v>
      </c>
      <c r="M60" s="70" t="s">
        <v>409</v>
      </c>
      <c r="N60" s="70" t="s">
        <v>445</v>
      </c>
      <c r="O60" s="70" t="s">
        <v>296</v>
      </c>
      <c r="P60" s="70"/>
      <c r="Q60" s="70"/>
      <c r="R60" s="111" t="s">
        <v>412</v>
      </c>
      <c r="S60" s="47"/>
      <c r="T60" s="75" t="s">
        <v>97</v>
      </c>
      <c r="U60" s="69">
        <v>45246</v>
      </c>
      <c r="V60" s="72" t="s">
        <v>446</v>
      </c>
      <c r="W60" s="47"/>
      <c r="X60" s="188" t="s">
        <v>131</v>
      </c>
      <c r="Y60" s="135" t="s">
        <v>299</v>
      </c>
      <c r="Z60" s="69"/>
      <c r="AB60" s="69"/>
      <c r="AC60" s="69"/>
      <c r="AD60" s="69"/>
      <c r="AE60" s="135"/>
    </row>
    <row r="61" spans="1:31" ht="60" customHeight="1" x14ac:dyDescent="0.25">
      <c r="A61" t="s">
        <v>405</v>
      </c>
      <c r="B61" s="70" t="s">
        <v>33</v>
      </c>
      <c r="C61" s="70">
        <v>49</v>
      </c>
      <c r="D61" s="70" t="s">
        <v>447</v>
      </c>
      <c r="E61" s="70" t="s">
        <v>225</v>
      </c>
      <c r="F61" s="70" t="s">
        <v>448</v>
      </c>
      <c r="G61" s="70"/>
      <c r="H61" s="47"/>
      <c r="I61" s="70" t="s">
        <v>294</v>
      </c>
      <c r="J61" s="70" t="s">
        <v>295</v>
      </c>
      <c r="K61" s="70" t="s">
        <v>449</v>
      </c>
      <c r="L61" s="70" t="s">
        <v>408</v>
      </c>
      <c r="M61" s="70" t="s">
        <v>409</v>
      </c>
      <c r="N61" s="70" t="s">
        <v>450</v>
      </c>
      <c r="O61" s="70" t="s">
        <v>296</v>
      </c>
      <c r="P61" s="70"/>
      <c r="Q61" s="70"/>
      <c r="R61" s="111" t="s">
        <v>412</v>
      </c>
      <c r="S61" s="47"/>
      <c r="T61" s="75" t="s">
        <v>97</v>
      </c>
      <c r="U61" s="69">
        <v>45246</v>
      </c>
      <c r="V61" s="72" t="s">
        <v>451</v>
      </c>
      <c r="W61" s="47"/>
      <c r="X61" s="188" t="s">
        <v>131</v>
      </c>
      <c r="Y61" s="135" t="s">
        <v>452</v>
      </c>
      <c r="Z61" s="69"/>
      <c r="AB61" s="69"/>
      <c r="AC61" s="69"/>
      <c r="AD61" s="69"/>
      <c r="AE61" s="135"/>
    </row>
    <row r="62" spans="1:31" ht="60" customHeight="1" x14ac:dyDescent="0.25">
      <c r="A62" t="s">
        <v>316</v>
      </c>
      <c r="B62" s="70" t="s">
        <v>33</v>
      </c>
      <c r="C62" s="70">
        <v>50</v>
      </c>
      <c r="D62" s="70" t="s">
        <v>453</v>
      </c>
      <c r="E62" s="70" t="s">
        <v>225</v>
      </c>
      <c r="F62" s="70" t="s">
        <v>454</v>
      </c>
      <c r="G62" s="70"/>
      <c r="H62" s="47"/>
      <c r="I62" s="70" t="s">
        <v>294</v>
      </c>
      <c r="J62" s="70" t="s">
        <v>295</v>
      </c>
      <c r="K62" s="70" t="s">
        <v>453</v>
      </c>
      <c r="L62" s="70"/>
      <c r="M62" s="70"/>
      <c r="N62" s="70" t="s">
        <v>455</v>
      </c>
      <c r="O62" s="70" t="s">
        <v>296</v>
      </c>
      <c r="P62" s="70"/>
      <c r="Q62" s="70"/>
      <c r="R62" s="70" t="s">
        <v>418</v>
      </c>
      <c r="S62" s="47"/>
      <c r="T62" s="75" t="s">
        <v>132</v>
      </c>
      <c r="U62" s="69">
        <v>45084</v>
      </c>
      <c r="V62" s="72" t="s">
        <v>456</v>
      </c>
      <c r="W62" s="47"/>
      <c r="X62" s="145" t="s">
        <v>150</v>
      </c>
      <c r="Y62" s="135" t="s">
        <v>299</v>
      </c>
      <c r="Z62" s="69"/>
      <c r="AB62" s="69"/>
      <c r="AC62" s="69"/>
      <c r="AD62" s="69"/>
      <c r="AE62" s="135"/>
    </row>
    <row r="63" spans="1:31" ht="60" customHeight="1" x14ac:dyDescent="0.25">
      <c r="A63" t="s">
        <v>405</v>
      </c>
      <c r="B63" s="70" t="s">
        <v>33</v>
      </c>
      <c r="C63" s="70">
        <v>51</v>
      </c>
      <c r="D63" s="70" t="s">
        <v>457</v>
      </c>
      <c r="E63" s="70" t="s">
        <v>225</v>
      </c>
      <c r="F63" s="70" t="s">
        <v>458</v>
      </c>
      <c r="G63" s="70"/>
      <c r="H63" s="47"/>
      <c r="I63" s="70" t="s">
        <v>294</v>
      </c>
      <c r="J63" s="70" t="s">
        <v>295</v>
      </c>
      <c r="K63" s="70" t="s">
        <v>457</v>
      </c>
      <c r="L63" s="70" t="s">
        <v>408</v>
      </c>
      <c r="M63" s="70" t="s">
        <v>409</v>
      </c>
      <c r="N63" s="70" t="s">
        <v>459</v>
      </c>
      <c r="O63" s="70" t="s">
        <v>296</v>
      </c>
      <c r="P63" s="70" t="s">
        <v>411</v>
      </c>
      <c r="Q63" s="70"/>
      <c r="R63" s="111" t="s">
        <v>412</v>
      </c>
      <c r="S63" s="47"/>
      <c r="T63" s="75" t="s">
        <v>130</v>
      </c>
      <c r="U63" s="69">
        <v>45180</v>
      </c>
      <c r="V63" s="72" t="s">
        <v>413</v>
      </c>
      <c r="W63" s="47"/>
      <c r="X63" s="145" t="s">
        <v>150</v>
      </c>
      <c r="Y63" s="135" t="s">
        <v>299</v>
      </c>
      <c r="Z63" s="69"/>
      <c r="AB63" s="69"/>
      <c r="AC63" s="69"/>
      <c r="AD63" s="69"/>
      <c r="AE63" s="135"/>
    </row>
    <row r="64" spans="1:31" ht="156.75" customHeight="1" x14ac:dyDescent="0.25">
      <c r="A64" t="s">
        <v>405</v>
      </c>
      <c r="B64" s="70" t="s">
        <v>33</v>
      </c>
      <c r="C64" s="70">
        <v>52</v>
      </c>
      <c r="D64" s="70" t="s">
        <v>460</v>
      </c>
      <c r="E64" s="70" t="s">
        <v>461</v>
      </c>
      <c r="F64" s="70" t="s">
        <v>462</v>
      </c>
      <c r="G64" s="70"/>
      <c r="H64" s="47"/>
      <c r="I64" s="70" t="s">
        <v>294</v>
      </c>
      <c r="J64" s="70" t="s">
        <v>295</v>
      </c>
      <c r="K64" s="70" t="s">
        <v>460</v>
      </c>
      <c r="L64" s="70" t="s">
        <v>408</v>
      </c>
      <c r="M64" s="70" t="s">
        <v>409</v>
      </c>
      <c r="N64" s="70" t="s">
        <v>463</v>
      </c>
      <c r="O64" s="70" t="s">
        <v>296</v>
      </c>
      <c r="P64" s="70" t="s">
        <v>411</v>
      </c>
      <c r="Q64" s="70"/>
      <c r="R64" s="111" t="s">
        <v>412</v>
      </c>
      <c r="S64" s="47"/>
      <c r="T64" s="75" t="s">
        <v>130</v>
      </c>
      <c r="U64" s="69">
        <v>45180</v>
      </c>
      <c r="V64" s="72" t="s">
        <v>413</v>
      </c>
      <c r="W64" s="47"/>
      <c r="X64" s="145" t="s">
        <v>150</v>
      </c>
      <c r="Y64" s="135" t="s">
        <v>299</v>
      </c>
      <c r="Z64" s="69"/>
      <c r="AB64" s="69"/>
      <c r="AC64" s="69"/>
      <c r="AD64" s="69"/>
      <c r="AE64" s="135"/>
    </row>
    <row r="65" spans="1:30" ht="75" x14ac:dyDescent="0.25">
      <c r="A65" t="s">
        <v>316</v>
      </c>
      <c r="B65" s="70" t="s">
        <v>33</v>
      </c>
      <c r="C65" s="70">
        <v>53</v>
      </c>
      <c r="D65" s="68" t="s">
        <v>464</v>
      </c>
      <c r="E65" s="68"/>
      <c r="F65" s="68" t="s">
        <v>464</v>
      </c>
      <c r="G65" s="68"/>
      <c r="H65" s="47"/>
      <c r="I65" s="68"/>
      <c r="J65" s="68"/>
      <c r="K65" s="68"/>
      <c r="L65" s="68"/>
      <c r="M65" s="68"/>
      <c r="N65" s="70"/>
      <c r="O65" s="68"/>
      <c r="P65" s="68" t="s">
        <v>465</v>
      </c>
      <c r="Q65" s="111"/>
      <c r="R65" s="70"/>
      <c r="S65" s="47"/>
      <c r="T65" s="75" t="s">
        <v>132</v>
      </c>
      <c r="U65" s="69">
        <v>45051</v>
      </c>
      <c r="V65" s="126" t="s">
        <v>466</v>
      </c>
      <c r="W65" s="47"/>
      <c r="X65" s="145" t="s">
        <v>150</v>
      </c>
      <c r="Y65" s="135"/>
      <c r="Z65" s="69"/>
      <c r="AB65" s="69"/>
      <c r="AC65" s="69"/>
      <c r="AD65" s="69"/>
    </row>
    <row r="66" spans="1:30" ht="60" x14ac:dyDescent="0.25">
      <c r="A66" t="s">
        <v>316</v>
      </c>
      <c r="B66" s="70" t="s">
        <v>33</v>
      </c>
      <c r="C66" s="70">
        <v>54</v>
      </c>
      <c r="D66" s="102" t="s">
        <v>467</v>
      </c>
      <c r="E66" s="68"/>
      <c r="F66" s="68" t="s">
        <v>468</v>
      </c>
      <c r="G66" s="68"/>
      <c r="H66" s="47"/>
      <c r="I66" s="68"/>
      <c r="J66" s="68"/>
      <c r="K66" s="68"/>
      <c r="L66" s="68"/>
      <c r="M66" s="68"/>
      <c r="N66" s="70"/>
      <c r="O66" s="68"/>
      <c r="P66" s="68" t="s">
        <v>469</v>
      </c>
      <c r="Q66" s="111"/>
      <c r="R66" s="70"/>
      <c r="S66" s="47"/>
      <c r="T66" s="75" t="s">
        <v>132</v>
      </c>
      <c r="U66" s="69">
        <v>45051</v>
      </c>
      <c r="V66" s="126" t="s">
        <v>470</v>
      </c>
      <c r="W66" s="47"/>
      <c r="X66" s="145" t="s">
        <v>150</v>
      </c>
      <c r="Y66" s="135"/>
      <c r="Z66" s="69"/>
      <c r="AB66" s="69"/>
      <c r="AC66" s="69"/>
      <c r="AD66" s="69"/>
    </row>
    <row r="67" spans="1:30" ht="135" x14ac:dyDescent="0.25">
      <c r="A67" t="s">
        <v>316</v>
      </c>
      <c r="B67" s="70" t="s">
        <v>33</v>
      </c>
      <c r="C67" s="70">
        <v>55</v>
      </c>
      <c r="D67" s="102" t="s">
        <v>471</v>
      </c>
      <c r="E67" s="68"/>
      <c r="F67" s="68" t="s">
        <v>472</v>
      </c>
      <c r="G67" s="68"/>
      <c r="H67" s="47"/>
      <c r="I67" s="68"/>
      <c r="J67" s="68"/>
      <c r="K67" s="68"/>
      <c r="L67" s="68" t="s">
        <v>473</v>
      </c>
      <c r="M67" s="68" t="s">
        <v>474</v>
      </c>
      <c r="N67" s="70" t="s">
        <v>316</v>
      </c>
      <c r="O67" s="68"/>
      <c r="P67" s="68"/>
      <c r="Q67" s="111"/>
      <c r="R67" s="70"/>
      <c r="S67" s="47"/>
      <c r="T67" s="75" t="s">
        <v>131</v>
      </c>
      <c r="U67" s="69">
        <v>45191</v>
      </c>
      <c r="V67" s="126" t="s">
        <v>475</v>
      </c>
      <c r="W67" s="47"/>
      <c r="X67" s="145" t="s">
        <v>150</v>
      </c>
      <c r="Y67" s="135"/>
      <c r="Z67" s="69"/>
      <c r="AB67" s="69"/>
      <c r="AC67" s="69"/>
      <c r="AD67" s="69"/>
    </row>
    <row r="68" spans="1:30" ht="75" x14ac:dyDescent="0.25">
      <c r="A68" t="s">
        <v>316</v>
      </c>
      <c r="B68" s="70" t="s">
        <v>33</v>
      </c>
      <c r="C68" s="70">
        <v>56</v>
      </c>
      <c r="D68" s="70" t="s">
        <v>476</v>
      </c>
      <c r="E68" s="68"/>
      <c r="F68" s="70" t="s">
        <v>476</v>
      </c>
      <c r="G68" s="68"/>
      <c r="H68" s="47"/>
      <c r="I68" s="68"/>
      <c r="J68" s="68"/>
      <c r="K68" s="68"/>
      <c r="L68" s="70"/>
      <c r="M68" s="68"/>
      <c r="N68" s="70"/>
      <c r="O68" s="68"/>
      <c r="P68" s="68"/>
      <c r="Q68" s="70"/>
      <c r="R68" s="70"/>
      <c r="S68" s="47"/>
      <c r="T68" s="75" t="s">
        <v>132</v>
      </c>
      <c r="U68" s="69">
        <v>45051</v>
      </c>
      <c r="V68" s="126" t="s">
        <v>477</v>
      </c>
      <c r="W68" s="47"/>
      <c r="X68" s="145" t="s">
        <v>150</v>
      </c>
      <c r="Y68" s="69"/>
      <c r="Z68" s="69"/>
      <c r="AB68" s="69"/>
      <c r="AC68" s="69"/>
      <c r="AD68" s="69"/>
    </row>
    <row r="69" spans="1:30" x14ac:dyDescent="0.25">
      <c r="A69" t="s">
        <v>316</v>
      </c>
      <c r="B69" s="70" t="s">
        <v>33</v>
      </c>
      <c r="C69" s="70">
        <v>57</v>
      </c>
      <c r="D69" s="70" t="s">
        <v>478</v>
      </c>
      <c r="E69" s="68"/>
      <c r="F69" s="70" t="s">
        <v>478</v>
      </c>
      <c r="G69" s="68"/>
      <c r="H69" s="47"/>
      <c r="I69" s="68"/>
      <c r="J69" s="68"/>
      <c r="K69" s="68"/>
      <c r="L69" s="70"/>
      <c r="M69" s="68"/>
      <c r="N69" s="68"/>
      <c r="O69" s="68"/>
      <c r="P69" s="68"/>
      <c r="Q69" s="70"/>
      <c r="R69" s="70"/>
      <c r="S69" s="47"/>
      <c r="T69" s="75" t="s">
        <v>132</v>
      </c>
      <c r="U69" s="69">
        <v>45051</v>
      </c>
      <c r="V69" s="72" t="s">
        <v>479</v>
      </c>
      <c r="W69" s="47"/>
      <c r="X69" s="145" t="s">
        <v>150</v>
      </c>
      <c r="Y69" s="69"/>
      <c r="Z69" s="69"/>
      <c r="AB69" s="69"/>
      <c r="AC69" s="69"/>
      <c r="AD69" s="69"/>
    </row>
    <row r="70" spans="1:30" ht="31.5" customHeight="1" x14ac:dyDescent="0.25">
      <c r="A70" t="s">
        <v>316</v>
      </c>
      <c r="B70" s="70" t="s">
        <v>33</v>
      </c>
      <c r="C70" s="70">
        <v>58</v>
      </c>
      <c r="D70" s="68" t="s">
        <v>480</v>
      </c>
      <c r="E70" s="68"/>
      <c r="F70" s="68" t="s">
        <v>480</v>
      </c>
      <c r="G70" s="68"/>
      <c r="H70" s="47"/>
      <c r="I70" s="68"/>
      <c r="J70" s="68"/>
      <c r="K70" s="68"/>
      <c r="L70" s="68" t="s">
        <v>299</v>
      </c>
      <c r="M70" s="68"/>
      <c r="N70" s="68"/>
      <c r="O70" s="68"/>
      <c r="P70" s="68"/>
      <c r="Q70" s="70"/>
      <c r="R70" s="70"/>
      <c r="S70" s="47"/>
      <c r="T70" s="75" t="s">
        <v>132</v>
      </c>
      <c r="U70" s="69">
        <v>45106</v>
      </c>
      <c r="V70" s="72"/>
      <c r="W70" s="47"/>
      <c r="X70" s="145" t="s">
        <v>150</v>
      </c>
      <c r="Y70" s="136" t="s">
        <v>299</v>
      </c>
      <c r="Z70" s="69"/>
      <c r="AB70" s="69"/>
      <c r="AC70" s="69"/>
      <c r="AD70" s="69"/>
    </row>
    <row r="71" spans="1:30" ht="15" customHeight="1" x14ac:dyDescent="0.25">
      <c r="A71" t="s">
        <v>316</v>
      </c>
      <c r="B71" s="70" t="s">
        <v>33</v>
      </c>
      <c r="C71" s="70">
        <v>59</v>
      </c>
      <c r="D71" s="70" t="s">
        <v>481</v>
      </c>
      <c r="E71" s="70" t="s">
        <v>482</v>
      </c>
      <c r="F71" s="70" t="s">
        <v>483</v>
      </c>
      <c r="G71" s="70"/>
      <c r="H71" s="47"/>
      <c r="I71" s="70"/>
      <c r="J71" s="70"/>
      <c r="K71" s="70"/>
      <c r="L71" s="70" t="s">
        <v>20</v>
      </c>
      <c r="M71" s="70" t="s">
        <v>484</v>
      </c>
      <c r="N71" s="70" t="s">
        <v>485</v>
      </c>
      <c r="O71" s="70"/>
      <c r="P71" s="70"/>
      <c r="Q71" s="70"/>
      <c r="R71" s="70"/>
      <c r="S71" s="47"/>
      <c r="T71" s="75" t="s">
        <v>132</v>
      </c>
      <c r="U71" s="69">
        <v>44930</v>
      </c>
      <c r="V71" s="111" t="s">
        <v>486</v>
      </c>
      <c r="W71" s="47"/>
      <c r="X71" s="145" t="s">
        <v>150</v>
      </c>
      <c r="Y71" s="136" t="s">
        <v>299</v>
      </c>
      <c r="Z71" s="68"/>
      <c r="AB71" s="68"/>
      <c r="AC71" s="68"/>
      <c r="AD71" s="68"/>
    </row>
    <row r="72" spans="1:30" ht="60" x14ac:dyDescent="0.25">
      <c r="A72" t="s">
        <v>316</v>
      </c>
      <c r="B72" s="70" t="s">
        <v>33</v>
      </c>
      <c r="C72" s="70">
        <v>60</v>
      </c>
      <c r="D72" s="68" t="s">
        <v>487</v>
      </c>
      <c r="E72" s="68"/>
      <c r="F72" s="68" t="s">
        <v>487</v>
      </c>
      <c r="G72" s="68"/>
      <c r="H72" s="47"/>
      <c r="I72" s="68"/>
      <c r="J72" s="68"/>
      <c r="K72" s="68"/>
      <c r="L72" s="68"/>
      <c r="M72" s="68"/>
      <c r="N72" s="68"/>
      <c r="O72" s="68"/>
      <c r="P72" s="68"/>
      <c r="Q72" s="70"/>
      <c r="R72" s="70"/>
      <c r="S72" s="47"/>
      <c r="T72" s="75" t="s">
        <v>132</v>
      </c>
      <c r="U72" s="69">
        <v>45106</v>
      </c>
      <c r="V72" s="126" t="s">
        <v>488</v>
      </c>
      <c r="W72" s="47"/>
      <c r="X72" s="145" t="s">
        <v>150</v>
      </c>
      <c r="Y72" s="136" t="s">
        <v>299</v>
      </c>
      <c r="Z72" s="69"/>
      <c r="AB72" s="69"/>
      <c r="AC72" s="69"/>
      <c r="AD72" s="69"/>
    </row>
    <row r="73" spans="1:30" x14ac:dyDescent="0.25">
      <c r="A73" t="s">
        <v>316</v>
      </c>
      <c r="B73" s="70" t="s">
        <v>33</v>
      </c>
      <c r="C73" s="70">
        <v>61</v>
      </c>
      <c r="D73" s="68" t="s">
        <v>489</v>
      </c>
      <c r="E73" s="68"/>
      <c r="F73" s="68" t="s">
        <v>489</v>
      </c>
      <c r="G73" s="68"/>
      <c r="H73" s="47"/>
      <c r="I73" s="68"/>
      <c r="J73" s="68"/>
      <c r="K73" s="68"/>
      <c r="L73" s="68"/>
      <c r="M73" s="68"/>
      <c r="N73" s="68"/>
      <c r="O73" s="68"/>
      <c r="P73" s="68"/>
      <c r="Q73" s="70"/>
      <c r="R73" s="70"/>
      <c r="S73" s="47"/>
      <c r="T73" s="75" t="s">
        <v>132</v>
      </c>
      <c r="U73" s="69">
        <v>45106</v>
      </c>
      <c r="V73" s="72" t="s">
        <v>490</v>
      </c>
      <c r="W73" s="47"/>
      <c r="X73" s="145" t="s">
        <v>150</v>
      </c>
      <c r="Y73" s="136" t="s">
        <v>299</v>
      </c>
      <c r="Z73" s="69"/>
      <c r="AB73" s="69"/>
      <c r="AC73" s="69"/>
      <c r="AD73" s="69"/>
    </row>
    <row r="74" spans="1:30" ht="75" x14ac:dyDescent="0.25">
      <c r="A74" t="s">
        <v>316</v>
      </c>
      <c r="B74" s="70" t="s">
        <v>33</v>
      </c>
      <c r="C74" s="70">
        <v>62</v>
      </c>
      <c r="D74" s="68" t="s">
        <v>491</v>
      </c>
      <c r="E74" s="68"/>
      <c r="F74" s="68" t="s">
        <v>491</v>
      </c>
      <c r="G74" s="68"/>
      <c r="H74" s="47"/>
      <c r="I74" s="68"/>
      <c r="J74" s="68"/>
      <c r="K74" s="68"/>
      <c r="L74" s="68"/>
      <c r="M74" s="68"/>
      <c r="N74" s="68"/>
      <c r="O74" s="68"/>
      <c r="P74" s="68"/>
      <c r="Q74" s="70"/>
      <c r="R74" s="70"/>
      <c r="S74" s="47"/>
      <c r="T74" s="75" t="s">
        <v>132</v>
      </c>
      <c r="U74" s="69">
        <v>45106</v>
      </c>
      <c r="V74" s="72" t="s">
        <v>492</v>
      </c>
      <c r="W74" s="47"/>
      <c r="X74" s="145" t="s">
        <v>150</v>
      </c>
      <c r="Y74" s="136" t="s">
        <v>299</v>
      </c>
      <c r="Z74" s="69"/>
      <c r="AB74" s="69"/>
      <c r="AC74" s="69"/>
      <c r="AD74" s="69"/>
    </row>
    <row r="75" spans="1:30" ht="30" x14ac:dyDescent="0.25">
      <c r="A75" t="s">
        <v>316</v>
      </c>
      <c r="B75" s="70" t="s">
        <v>33</v>
      </c>
      <c r="C75" s="70">
        <v>63</v>
      </c>
      <c r="D75" s="70" t="s">
        <v>493</v>
      </c>
      <c r="E75" s="68"/>
      <c r="F75" s="68" t="s">
        <v>493</v>
      </c>
      <c r="G75" s="68"/>
      <c r="H75" s="47"/>
      <c r="I75" s="68"/>
      <c r="J75" s="68"/>
      <c r="K75" s="68"/>
      <c r="L75" s="68"/>
      <c r="M75" s="68"/>
      <c r="N75" s="68"/>
      <c r="O75" s="68"/>
      <c r="P75" s="68"/>
      <c r="Q75" s="70"/>
      <c r="R75" s="70"/>
      <c r="S75" s="47"/>
      <c r="T75" s="75" t="s">
        <v>132</v>
      </c>
      <c r="U75" s="69">
        <v>45106</v>
      </c>
      <c r="V75" s="72"/>
      <c r="W75" s="47"/>
      <c r="X75" s="145" t="s">
        <v>150</v>
      </c>
      <c r="Y75" s="136" t="s">
        <v>299</v>
      </c>
      <c r="Z75" s="69"/>
      <c r="AB75" s="69"/>
      <c r="AC75" s="69"/>
      <c r="AD75" s="69"/>
    </row>
    <row r="76" spans="1:30" ht="60" x14ac:dyDescent="0.25">
      <c r="A76" t="s">
        <v>316</v>
      </c>
      <c r="B76" s="70" t="s">
        <v>33</v>
      </c>
      <c r="C76" s="70">
        <v>64</v>
      </c>
      <c r="D76" s="68" t="s">
        <v>494</v>
      </c>
      <c r="E76" s="68"/>
      <c r="F76" s="68" t="s">
        <v>494</v>
      </c>
      <c r="G76" s="68"/>
      <c r="H76" s="47"/>
      <c r="I76" s="68"/>
      <c r="J76" s="68"/>
      <c r="K76" s="68"/>
      <c r="L76" s="68"/>
      <c r="M76" s="68"/>
      <c r="N76" s="68"/>
      <c r="O76" s="68"/>
      <c r="P76" s="68"/>
      <c r="Q76" s="70"/>
      <c r="R76" s="70"/>
      <c r="S76" s="47"/>
      <c r="T76" s="75" t="s">
        <v>132</v>
      </c>
      <c r="U76" s="69">
        <v>45106</v>
      </c>
      <c r="V76" s="72" t="s">
        <v>495</v>
      </c>
      <c r="W76" s="47"/>
      <c r="X76" s="145" t="s">
        <v>150</v>
      </c>
      <c r="Y76" s="136" t="s">
        <v>299</v>
      </c>
      <c r="Z76" s="69"/>
      <c r="AB76" s="69"/>
      <c r="AC76" s="69"/>
      <c r="AD76" s="69"/>
    </row>
    <row r="77" spans="1:30" ht="45" x14ac:dyDescent="0.25">
      <c r="A77" t="s">
        <v>316</v>
      </c>
      <c r="B77" s="70" t="s">
        <v>33</v>
      </c>
      <c r="C77" s="70">
        <v>65</v>
      </c>
      <c r="D77" s="68" t="s">
        <v>496</v>
      </c>
      <c r="E77" s="68"/>
      <c r="F77" s="68" t="s">
        <v>496</v>
      </c>
      <c r="G77" s="68"/>
      <c r="H77" s="47"/>
      <c r="I77" s="68"/>
      <c r="J77" s="68"/>
      <c r="K77" s="68"/>
      <c r="L77" s="68"/>
      <c r="M77" s="68"/>
      <c r="N77" s="68"/>
      <c r="O77" s="68"/>
      <c r="P77" s="68"/>
      <c r="Q77" s="70"/>
      <c r="R77" s="70"/>
      <c r="S77" s="47"/>
      <c r="T77" s="75" t="s">
        <v>132</v>
      </c>
      <c r="U77" s="69">
        <v>45106</v>
      </c>
      <c r="V77" s="72" t="s">
        <v>497</v>
      </c>
      <c r="W77" s="47"/>
      <c r="X77" s="145" t="s">
        <v>150</v>
      </c>
      <c r="Y77" s="136" t="s">
        <v>299</v>
      </c>
      <c r="Z77" s="69"/>
      <c r="AB77" s="69"/>
      <c r="AC77" s="69"/>
      <c r="AD77" s="69"/>
    </row>
    <row r="78" spans="1:30" ht="45" x14ac:dyDescent="0.25">
      <c r="A78" t="s">
        <v>316</v>
      </c>
      <c r="B78" s="70" t="s">
        <v>33</v>
      </c>
      <c r="C78" s="70">
        <v>66</v>
      </c>
      <c r="D78" s="68" t="s">
        <v>498</v>
      </c>
      <c r="E78" s="68"/>
      <c r="F78" s="68" t="s">
        <v>498</v>
      </c>
      <c r="G78" s="68"/>
      <c r="H78" s="47"/>
      <c r="I78" s="68"/>
      <c r="J78" s="68"/>
      <c r="K78" s="68"/>
      <c r="L78" s="68"/>
      <c r="M78" s="68"/>
      <c r="N78" s="68"/>
      <c r="O78" s="68"/>
      <c r="P78" s="68"/>
      <c r="Q78" s="70"/>
      <c r="R78" s="70"/>
      <c r="S78" s="47"/>
      <c r="T78" s="75" t="s">
        <v>132</v>
      </c>
      <c r="U78" s="69">
        <v>45106</v>
      </c>
      <c r="V78" s="72" t="s">
        <v>497</v>
      </c>
      <c r="W78" s="47"/>
      <c r="X78" s="145" t="s">
        <v>150</v>
      </c>
      <c r="Y78" s="136" t="s">
        <v>299</v>
      </c>
      <c r="Z78" s="69"/>
      <c r="AB78" s="69"/>
      <c r="AC78" s="69"/>
      <c r="AD78" s="69"/>
    </row>
    <row r="79" spans="1:30" ht="45" x14ac:dyDescent="0.25">
      <c r="A79" t="s">
        <v>316</v>
      </c>
      <c r="B79" s="70" t="s">
        <v>33</v>
      </c>
      <c r="C79" s="70">
        <v>67</v>
      </c>
      <c r="D79" s="68" t="s">
        <v>499</v>
      </c>
      <c r="E79" s="68"/>
      <c r="F79" s="68" t="s">
        <v>499</v>
      </c>
      <c r="G79" s="68"/>
      <c r="H79" s="47"/>
      <c r="I79" s="68"/>
      <c r="J79" s="68"/>
      <c r="K79" s="68"/>
      <c r="L79" s="68"/>
      <c r="M79" s="68"/>
      <c r="N79" s="68"/>
      <c r="O79" s="68"/>
      <c r="P79" s="68"/>
      <c r="Q79" s="70"/>
      <c r="R79" s="70"/>
      <c r="S79" s="47"/>
      <c r="T79" s="75" t="s">
        <v>132</v>
      </c>
      <c r="U79" s="69">
        <v>45106</v>
      </c>
      <c r="V79" s="72" t="s">
        <v>500</v>
      </c>
      <c r="W79" s="47"/>
      <c r="X79" s="145" t="s">
        <v>150</v>
      </c>
      <c r="Y79" s="136" t="s">
        <v>299</v>
      </c>
      <c r="Z79" s="69"/>
      <c r="AB79" s="69"/>
      <c r="AC79" s="69"/>
      <c r="AD79" s="69"/>
    </row>
    <row r="80" spans="1:30" ht="45" x14ac:dyDescent="0.25">
      <c r="A80" t="s">
        <v>316</v>
      </c>
      <c r="B80" s="70" t="s">
        <v>33</v>
      </c>
      <c r="C80" s="70">
        <v>68</v>
      </c>
      <c r="D80" s="68" t="s">
        <v>501</v>
      </c>
      <c r="E80" s="68"/>
      <c r="F80" s="68" t="s">
        <v>501</v>
      </c>
      <c r="G80" s="68"/>
      <c r="H80" s="47"/>
      <c r="I80" s="68"/>
      <c r="J80" s="68"/>
      <c r="K80" s="68"/>
      <c r="L80" s="68"/>
      <c r="M80" s="68"/>
      <c r="N80" s="68"/>
      <c r="O80" s="68"/>
      <c r="P80" s="68"/>
      <c r="Q80" s="70"/>
      <c r="R80" s="70"/>
      <c r="S80" s="47"/>
      <c r="T80" s="75" t="s">
        <v>132</v>
      </c>
      <c r="U80" s="69">
        <v>45106</v>
      </c>
      <c r="V80" s="72" t="s">
        <v>497</v>
      </c>
      <c r="W80" s="47"/>
      <c r="X80" s="145" t="s">
        <v>150</v>
      </c>
      <c r="Y80" s="136" t="s">
        <v>299</v>
      </c>
      <c r="Z80" s="69"/>
      <c r="AB80" s="69"/>
      <c r="AC80" s="69"/>
      <c r="AD80" s="69"/>
    </row>
    <row r="81" spans="2:31" ht="14.25" customHeight="1" x14ac:dyDescent="0.25">
      <c r="B81" s="70" t="s">
        <v>33</v>
      </c>
      <c r="C81" s="70">
        <v>69</v>
      </c>
      <c r="D81" s="68" t="s">
        <v>314</v>
      </c>
      <c r="E81" s="68"/>
      <c r="F81" s="68" t="s">
        <v>502</v>
      </c>
      <c r="G81" s="68"/>
      <c r="H81" s="47"/>
      <c r="I81" s="68"/>
      <c r="J81" s="68"/>
      <c r="K81" s="68"/>
      <c r="L81" s="68"/>
      <c r="M81" s="68"/>
      <c r="N81" s="68"/>
      <c r="O81" s="68"/>
      <c r="P81" s="68"/>
      <c r="Q81" s="70"/>
      <c r="R81" s="70"/>
      <c r="S81" s="47"/>
      <c r="T81" s="75" t="s">
        <v>132</v>
      </c>
      <c r="U81" s="69">
        <v>45273</v>
      </c>
      <c r="V81" s="72"/>
      <c r="W81" s="47"/>
      <c r="X81" s="145" t="s">
        <v>150</v>
      </c>
      <c r="Y81" s="69"/>
      <c r="Z81" s="69"/>
      <c r="AB81" s="69"/>
      <c r="AC81" s="69"/>
      <c r="AD81" s="69"/>
    </row>
    <row r="82" spans="2:31" ht="14.25" customHeight="1" x14ac:dyDescent="0.25">
      <c r="B82" s="68"/>
      <c r="C82" s="68"/>
      <c r="D82" s="68"/>
      <c r="E82" s="68"/>
      <c r="F82" s="68"/>
      <c r="G82" s="68"/>
      <c r="H82" s="47"/>
      <c r="I82" s="68"/>
      <c r="J82" s="68"/>
      <c r="K82" s="68"/>
      <c r="L82" s="68"/>
      <c r="M82" s="68"/>
      <c r="N82" s="68"/>
      <c r="O82" s="68"/>
      <c r="P82" s="68"/>
      <c r="Q82" s="70"/>
      <c r="R82" s="70"/>
      <c r="S82" s="47"/>
      <c r="T82" s="68"/>
      <c r="U82" s="69"/>
      <c r="V82" s="72"/>
      <c r="W82" s="47"/>
      <c r="X82" s="68"/>
      <c r="Y82" s="69"/>
      <c r="Z82" s="69"/>
      <c r="AB82" s="69"/>
      <c r="AC82" s="69"/>
      <c r="AD82" s="69"/>
      <c r="AE82" s="135"/>
    </row>
    <row r="83" spans="2:31" ht="14.25" customHeight="1" x14ac:dyDescent="0.25">
      <c r="B83" s="68"/>
      <c r="C83" s="68"/>
      <c r="D83" s="68"/>
      <c r="E83" s="68"/>
      <c r="F83" s="68"/>
      <c r="G83" s="68"/>
      <c r="H83" s="47"/>
      <c r="I83" s="68"/>
      <c r="J83" s="68"/>
      <c r="K83" s="68"/>
      <c r="L83" s="68"/>
      <c r="M83" s="68"/>
      <c r="N83" s="68"/>
      <c r="O83" s="68"/>
      <c r="P83" s="68"/>
      <c r="Q83" s="70"/>
      <c r="R83" s="70"/>
      <c r="S83" s="47"/>
      <c r="T83" s="68"/>
      <c r="U83" s="69"/>
      <c r="V83" s="72"/>
      <c r="W83" s="47"/>
      <c r="X83" s="68"/>
      <c r="Y83" s="69"/>
      <c r="Z83" s="69"/>
      <c r="AB83" s="69"/>
      <c r="AC83" s="69"/>
      <c r="AD83" s="69"/>
      <c r="AE83" s="135"/>
    </row>
    <row r="84" spans="2:31" ht="14.25" customHeight="1" x14ac:dyDescent="0.25">
      <c r="B84" s="68"/>
      <c r="C84" s="68"/>
      <c r="D84" s="68"/>
      <c r="E84" s="68"/>
      <c r="F84" s="68"/>
      <c r="G84" s="68"/>
      <c r="H84" s="47"/>
      <c r="I84" s="68"/>
      <c r="J84" s="68"/>
      <c r="K84" s="68"/>
      <c r="L84" s="68"/>
      <c r="M84" s="68"/>
      <c r="N84" s="68"/>
      <c r="O84" s="68"/>
      <c r="P84" s="68"/>
      <c r="Q84" s="70"/>
      <c r="R84" s="70"/>
      <c r="S84" s="47"/>
      <c r="T84" s="68"/>
      <c r="U84" s="69"/>
      <c r="V84" s="72"/>
      <c r="W84" s="47"/>
      <c r="X84" s="68"/>
      <c r="Y84" s="69"/>
      <c r="Z84" s="69"/>
      <c r="AB84" s="69"/>
      <c r="AC84" s="69"/>
      <c r="AD84" s="69"/>
      <c r="AE84" s="135"/>
    </row>
    <row r="85" spans="2:31" ht="14.25" customHeight="1" x14ac:dyDescent="0.25">
      <c r="B85" s="68"/>
      <c r="C85" s="68"/>
      <c r="D85" s="68"/>
      <c r="E85" s="68"/>
      <c r="F85" s="68"/>
      <c r="G85" s="68"/>
      <c r="H85" s="47"/>
      <c r="I85" s="68"/>
      <c r="J85" s="68"/>
      <c r="K85" s="68"/>
      <c r="L85" s="68"/>
      <c r="M85" s="68"/>
      <c r="N85" s="68"/>
      <c r="O85" s="68"/>
      <c r="P85" s="68"/>
      <c r="Q85" s="70"/>
      <c r="R85" s="70"/>
      <c r="S85" s="47"/>
      <c r="T85" s="68"/>
      <c r="U85" s="69"/>
      <c r="V85" s="72"/>
      <c r="W85" s="47"/>
      <c r="X85" s="68"/>
      <c r="Y85" s="69"/>
      <c r="Z85" s="69"/>
      <c r="AB85" s="69"/>
      <c r="AC85" s="69"/>
      <c r="AD85" s="69"/>
      <c r="AE85" s="135"/>
    </row>
    <row r="86" spans="2:31" ht="14.25" customHeight="1" x14ac:dyDescent="0.25">
      <c r="B86" s="68"/>
      <c r="C86" s="68"/>
      <c r="D86" s="68"/>
      <c r="E86" s="68"/>
      <c r="F86" s="68"/>
      <c r="G86" s="68"/>
      <c r="H86" s="47"/>
      <c r="I86" s="68"/>
      <c r="J86" s="68"/>
      <c r="K86" s="68"/>
      <c r="L86" s="68"/>
      <c r="M86" s="68"/>
      <c r="N86" s="68"/>
      <c r="O86" s="68"/>
      <c r="P86" s="68"/>
      <c r="Q86" s="70"/>
      <c r="R86" s="70"/>
      <c r="S86" s="47"/>
      <c r="T86" s="68"/>
      <c r="U86" s="69"/>
      <c r="V86" s="72"/>
      <c r="W86" s="47"/>
      <c r="X86" s="68"/>
      <c r="Y86" s="69"/>
      <c r="Z86" s="69"/>
      <c r="AB86" s="69"/>
      <c r="AC86" s="69"/>
      <c r="AD86" s="69"/>
      <c r="AE86" s="135"/>
    </row>
    <row r="87" spans="2:31" ht="14.25" customHeight="1" x14ac:dyDescent="0.25">
      <c r="B87" s="68"/>
      <c r="C87" s="68"/>
      <c r="D87" s="68"/>
      <c r="E87" s="68"/>
      <c r="F87" s="68"/>
      <c r="G87" s="68"/>
      <c r="H87" s="47"/>
      <c r="I87" s="68"/>
      <c r="J87" s="68"/>
      <c r="K87" s="68"/>
      <c r="L87" s="68"/>
      <c r="M87" s="68"/>
      <c r="N87" s="68"/>
      <c r="O87" s="68"/>
      <c r="P87" s="68"/>
      <c r="Q87" s="70"/>
      <c r="R87" s="70"/>
      <c r="S87" s="47"/>
      <c r="T87" s="68"/>
      <c r="U87" s="69"/>
      <c r="V87" s="72"/>
      <c r="W87" s="47"/>
      <c r="X87" s="68"/>
      <c r="Y87" s="69"/>
      <c r="Z87" s="69"/>
      <c r="AB87" s="69"/>
      <c r="AC87" s="69"/>
      <c r="AD87" s="69"/>
      <c r="AE87" s="135"/>
    </row>
    <row r="1048517" spans="27:27" x14ac:dyDescent="0.25">
      <c r="AA1048517" s="47"/>
    </row>
    <row r="1048518" spans="27:27" x14ac:dyDescent="0.25">
      <c r="AA1048518" s="47"/>
    </row>
    <row r="1048519" spans="27:27" x14ac:dyDescent="0.25">
      <c r="AA1048519" s="47"/>
    </row>
    <row r="1048520" spans="27:27" x14ac:dyDescent="0.25">
      <c r="AA1048520" s="47"/>
    </row>
    <row r="1048521" spans="27:27" x14ac:dyDescent="0.25">
      <c r="AA1048521" s="47"/>
    </row>
  </sheetData>
  <autoFilter ref="A12:AD81">
    <sortState ref="A13:AD81">
      <sortCondition ref="C12:C81"/>
    </sortState>
  </autoFilter>
  <mergeCells count="8">
    <mergeCell ref="T11:V11"/>
    <mergeCell ref="X11:Z11"/>
    <mergeCell ref="AB11:AE11"/>
    <mergeCell ref="C7:G7"/>
    <mergeCell ref="B11:G11"/>
    <mergeCell ref="I11:K11"/>
    <mergeCell ref="L11:N11"/>
    <mergeCell ref="O11:R11"/>
  </mergeCells>
  <conditionalFormatting sqref="T13">
    <cfRule type="cellIs" dxfId="1260" priority="350" operator="equal">
      <formula>"Testes utilizador"</formula>
    </cfRule>
  </conditionalFormatting>
  <conditionalFormatting sqref="X13">
    <cfRule type="cellIs" dxfId="1259" priority="345" operator="equal">
      <formula>"Testes utilizador"</formula>
    </cfRule>
  </conditionalFormatting>
  <conditionalFormatting sqref="T14:T21">
    <cfRule type="cellIs" dxfId="1258" priority="340" operator="equal">
      <formula>"Testes utilizador"</formula>
    </cfRule>
  </conditionalFormatting>
  <conditionalFormatting sqref="T22">
    <cfRule type="cellIs" dxfId="1257" priority="335" operator="equal">
      <formula>"Testes utilizador"</formula>
    </cfRule>
  </conditionalFormatting>
  <conditionalFormatting sqref="T23:T42">
    <cfRule type="cellIs" dxfId="1256" priority="330" operator="equal">
      <formula>"Testes utilizador"</formula>
    </cfRule>
  </conditionalFormatting>
  <conditionalFormatting sqref="T44:T45">
    <cfRule type="cellIs" dxfId="1255" priority="325" operator="equal">
      <formula>"Testes utilizador"</formula>
    </cfRule>
  </conditionalFormatting>
  <conditionalFormatting sqref="T43">
    <cfRule type="cellIs" dxfId="1254" priority="300" operator="equal">
      <formula>"Testes utilizador"</formula>
    </cfRule>
  </conditionalFormatting>
  <conditionalFormatting sqref="T46:T51">
    <cfRule type="cellIs" dxfId="1253" priority="295" operator="equal">
      <formula>"Testes utilizador"</formula>
    </cfRule>
  </conditionalFormatting>
  <conditionalFormatting sqref="T70">
    <cfRule type="cellIs" dxfId="1252" priority="260" operator="equal">
      <formula>"Testes utilizador"</formula>
    </cfRule>
  </conditionalFormatting>
  <conditionalFormatting sqref="T60">
    <cfRule type="cellIs" dxfId="1251" priority="285" operator="equal">
      <formula>"Testes utilizador"</formula>
    </cfRule>
  </conditionalFormatting>
  <conditionalFormatting sqref="T65">
    <cfRule type="cellIs" dxfId="1250" priority="280" operator="equal">
      <formula>"Testes utilizador"</formula>
    </cfRule>
  </conditionalFormatting>
  <conditionalFormatting sqref="T66">
    <cfRule type="cellIs" dxfId="1249" priority="275" operator="equal">
      <formula>"Testes utilizador"</formula>
    </cfRule>
  </conditionalFormatting>
  <conditionalFormatting sqref="T68">
    <cfRule type="cellIs" dxfId="1248" priority="270" operator="equal">
      <formula>"Testes utilizador"</formula>
    </cfRule>
  </conditionalFormatting>
  <conditionalFormatting sqref="T69">
    <cfRule type="cellIs" dxfId="1247" priority="265" operator="equal">
      <formula>"Testes utilizador"</formula>
    </cfRule>
  </conditionalFormatting>
  <conditionalFormatting sqref="T71">
    <cfRule type="cellIs" dxfId="1246" priority="255" operator="equal">
      <formula>"Testes utilizador"</formula>
    </cfRule>
  </conditionalFormatting>
  <conditionalFormatting sqref="T72">
    <cfRule type="cellIs" dxfId="1245" priority="250" operator="equal">
      <formula>"Testes utilizador"</formula>
    </cfRule>
  </conditionalFormatting>
  <conditionalFormatting sqref="T73">
    <cfRule type="cellIs" dxfId="1244" priority="245" operator="equal">
      <formula>"Testes utilizador"</formula>
    </cfRule>
  </conditionalFormatting>
  <conditionalFormatting sqref="T74">
    <cfRule type="cellIs" dxfId="1243" priority="240" operator="equal">
      <formula>"Testes utilizador"</formula>
    </cfRule>
  </conditionalFormatting>
  <conditionalFormatting sqref="T75">
    <cfRule type="cellIs" dxfId="1242" priority="235" operator="equal">
      <formula>"Testes utilizador"</formula>
    </cfRule>
  </conditionalFormatting>
  <conditionalFormatting sqref="T76:T81">
    <cfRule type="cellIs" dxfId="1241" priority="230" operator="equal">
      <formula>"Testes utilizador"</formula>
    </cfRule>
  </conditionalFormatting>
  <conditionalFormatting sqref="T52">
    <cfRule type="cellIs" dxfId="1240" priority="225" operator="equal">
      <formula>"Testes utilizador"</formula>
    </cfRule>
  </conditionalFormatting>
  <conditionalFormatting sqref="X64 X57 X14:X16 X18:X20 X26:X33 X35 X37:X39">
    <cfRule type="cellIs" dxfId="1239" priority="185" operator="equal">
      <formula>"Testes utilizador"</formula>
    </cfRule>
  </conditionalFormatting>
  <conditionalFormatting sqref="T55">
    <cfRule type="cellIs" dxfId="1238" priority="215" operator="equal">
      <formula>"Testes utilizador"</formula>
    </cfRule>
  </conditionalFormatting>
  <conditionalFormatting sqref="T58">
    <cfRule type="cellIs" dxfId="1237" priority="205" operator="equal">
      <formula>"Testes utilizador"</formula>
    </cfRule>
  </conditionalFormatting>
  <conditionalFormatting sqref="T61">
    <cfRule type="cellIs" dxfId="1236" priority="200" operator="equal">
      <formula>"Testes utilizador"</formula>
    </cfRule>
  </conditionalFormatting>
  <conditionalFormatting sqref="T67">
    <cfRule type="cellIs" dxfId="1235" priority="190" operator="equal">
      <formula>"Testes utilizador"</formula>
    </cfRule>
  </conditionalFormatting>
  <conditionalFormatting sqref="X40">
    <cfRule type="cellIs" dxfId="1234" priority="180" operator="equal">
      <formula>"Testes utilizador"</formula>
    </cfRule>
  </conditionalFormatting>
  <conditionalFormatting sqref="X41:X42">
    <cfRule type="cellIs" dxfId="1233" priority="175" operator="equal">
      <formula>"Testes utilizador"</formula>
    </cfRule>
  </conditionalFormatting>
  <conditionalFormatting sqref="X62">
    <cfRule type="cellIs" dxfId="1232" priority="131" operator="equal">
      <formula>"Testes utilizador"</formula>
    </cfRule>
  </conditionalFormatting>
  <conditionalFormatting sqref="X59">
    <cfRule type="cellIs" dxfId="1231" priority="136" operator="equal">
      <formula>"Testes utilizador"</formula>
    </cfRule>
  </conditionalFormatting>
  <conditionalFormatting sqref="T53">
    <cfRule type="cellIs" dxfId="1230" priority="56" operator="equal">
      <formula>"Testes utilizador"</formula>
    </cfRule>
  </conditionalFormatting>
  <conditionalFormatting sqref="T54">
    <cfRule type="cellIs" dxfId="1229" priority="51" operator="equal">
      <formula>"Testes utilizador"</formula>
    </cfRule>
  </conditionalFormatting>
  <conditionalFormatting sqref="T56">
    <cfRule type="cellIs" dxfId="1228" priority="46" operator="equal">
      <formula>"Testes utilizador"</formula>
    </cfRule>
  </conditionalFormatting>
  <conditionalFormatting sqref="T62">
    <cfRule type="cellIs" dxfId="1227" priority="31" operator="equal">
      <formula>"Testes utilizador"</formula>
    </cfRule>
  </conditionalFormatting>
  <conditionalFormatting sqref="T57">
    <cfRule type="cellIs" dxfId="1226" priority="21" operator="equal">
      <formula>"Testes utilizador"</formula>
    </cfRule>
  </conditionalFormatting>
  <conditionalFormatting sqref="T59">
    <cfRule type="cellIs" dxfId="1225" priority="16" operator="equal">
      <formula>"Testes utilizador"</formula>
    </cfRule>
  </conditionalFormatting>
  <conditionalFormatting sqref="T63">
    <cfRule type="cellIs" dxfId="1224" priority="11" operator="equal">
      <formula>"Testes utilizador"</formula>
    </cfRule>
  </conditionalFormatting>
  <conditionalFormatting sqref="T64">
    <cfRule type="cellIs" dxfId="1223" priority="6" operator="equal">
      <formula>"Testes utilizador"</formula>
    </cfRule>
  </conditionalFormatting>
  <conditionalFormatting sqref="X58">
    <cfRule type="cellIs" dxfId="1222" priority="1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32" operator="equal" id="{A7F1CADF-62FB-4E5A-8EF8-9B8309079F23}">
            <xm:f>'Tabelas AUX'!$E$4</xm:f>
            <x14:dxf>
              <font>
                <color rgb="FF7F7F7F"/>
              </font>
            </x14:dxf>
          </x14:cfRule>
          <x14:cfRule type="cellIs" priority="833" operator="equal" id="{5CAD5228-E3F3-4802-93BD-DE10F128E93E}">
            <xm:f>'Tabelas AUX'!$E$3</xm:f>
            <x14:dxf>
              <font>
                <color theme="5"/>
              </font>
            </x14:dxf>
          </x14:cfRule>
          <x14:cfRule type="cellIs" priority="834" operator="equal" id="{C8228AB0-3641-429E-A2F5-FEC91714C69E}">
            <xm:f>'Tabelas AUX'!$E$2</xm:f>
            <x14:dxf>
              <font>
                <color rgb="FFC00000"/>
              </font>
            </x14:dxf>
          </x14:cfRule>
          <xm:sqref>T1:T12</xm:sqref>
        </x14:conditionalFormatting>
        <x14:conditionalFormatting xmlns:xm="http://schemas.microsoft.com/office/excel/2006/main">
          <x14:cfRule type="cellIs" priority="452" operator="equal" id="{21B59C9E-BF02-462E-A6D4-0B0B9F300610}">
            <xm:f>'Tabelas AUX'!$E$8</xm:f>
            <x14:dxf>
              <font>
                <color theme="8"/>
              </font>
            </x14:dxf>
          </x14:cfRule>
          <xm:sqref>T82:T1048576</xm:sqref>
        </x14:conditionalFormatting>
        <x14:conditionalFormatting xmlns:xm="http://schemas.microsoft.com/office/excel/2006/main">
          <x14:cfRule type="cellIs" priority="453" operator="equal" id="{13B0647D-F2D0-4EC7-AF8D-B67D3709445F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454" operator="equal" id="{D02680C5-010B-4131-B73E-388255DC9C82}">
            <xm:f>'Tabelas AUX'!$E$5</xm:f>
            <x14:dxf>
              <font>
                <color rgb="FF00B050"/>
              </font>
            </x14:dxf>
          </x14:cfRule>
          <x14:cfRule type="cellIs" priority="455" operator="equal" id="{1C9D6287-D0AA-48FE-8761-48737292E430}">
            <xm:f>'Tabelas AUX'!$E$4</xm:f>
            <x14:dxf>
              <font>
                <color rgb="FF7F7F7F"/>
              </font>
            </x14:dxf>
          </x14:cfRule>
          <x14:cfRule type="cellIs" priority="456" operator="equal" id="{12A12E99-CEA9-41BD-9B55-3CC82C82050E}">
            <xm:f>'Tabelas AUX'!$E$3</xm:f>
            <x14:dxf>
              <font>
                <color theme="5"/>
              </font>
            </x14:dxf>
          </x14:cfRule>
          <x14:cfRule type="cellIs" priority="457" operator="equal" id="{D8C9EDED-6313-40F0-AF33-0B6C21AC8E75}">
            <xm:f>'Tabelas AUX'!$E$2</xm:f>
            <x14:dxf>
              <font>
                <color rgb="FFC00000"/>
              </font>
            </x14:dxf>
          </x14:cfRule>
          <xm:sqref>T82:T1048576</xm:sqref>
        </x14:conditionalFormatting>
        <x14:conditionalFormatting xmlns:xm="http://schemas.microsoft.com/office/excel/2006/main">
          <x14:cfRule type="cellIs" priority="657" operator="equal" id="{30888477-2BB9-4426-BF58-C9371B50291B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662" operator="equal" id="{D480FB22-631C-4988-89BB-0173BB4A8D46}">
            <xm:f>'Tabelas AUX'!$E$5</xm:f>
            <x14:dxf>
              <font>
                <color rgb="FF00B050"/>
              </font>
            </x14:dxf>
          </x14:cfRule>
          <xm:sqref>U27:V27 U68:U69 U40:V67</xm:sqref>
        </x14:conditionalFormatting>
        <x14:conditionalFormatting xmlns:xm="http://schemas.microsoft.com/office/excel/2006/main">
          <x14:cfRule type="cellIs" priority="676" operator="equal" id="{56DA7C63-B505-4633-9798-EC297EC723FE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681" operator="equal" id="{D3FF931F-FD45-4D98-8491-2834E53268E5}">
            <xm:f>'Tabelas AUX'!$E$5</xm:f>
            <x14:dxf>
              <font>
                <color rgb="FF00B050"/>
              </font>
            </x14:dxf>
          </x14:cfRule>
          <xm:sqref>T1:V12 U13:V26 U28:V37</xm:sqref>
        </x14:conditionalFormatting>
        <x14:conditionalFormatting xmlns:xm="http://schemas.microsoft.com/office/excel/2006/main">
          <x14:cfRule type="cellIs" priority="440" operator="equal" id="{20E52163-E0AD-46A4-B3B4-9060A1BB0A6C}">
            <xm:f>'Tabelas AUX'!$E$8</xm:f>
            <x14:dxf>
              <font>
                <color theme="8"/>
              </font>
            </x14:dxf>
          </x14:cfRule>
          <x14:cfRule type="cellIs" priority="441" operator="equal" id="{EE7E61D0-B84A-4F76-B8E6-205B822C874D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442" operator="equal" id="{3BD6F71C-B530-4E13-AB0B-46A55BE4CAAD}">
            <xm:f>'Tabelas AUX'!$E$5</xm:f>
            <x14:dxf>
              <font>
                <color rgb="FF00B050"/>
              </font>
            </x14:dxf>
          </x14:cfRule>
          <x14:cfRule type="cellIs" priority="443" operator="equal" id="{E49AD65C-2D12-45E4-A952-2816CBDC03BA}">
            <xm:f>'Tabelas AUX'!$E$4</xm:f>
            <x14:dxf>
              <font>
                <color rgb="FF7F7F7F"/>
              </font>
            </x14:dxf>
          </x14:cfRule>
          <x14:cfRule type="cellIs" priority="444" operator="equal" id="{4B27F3E0-6DB9-4A63-9B18-41B4D891E34A}">
            <xm:f>'Tabelas AUX'!$E$3</xm:f>
            <x14:dxf>
              <font>
                <color theme="5"/>
              </font>
            </x14:dxf>
          </x14:cfRule>
          <x14:cfRule type="cellIs" priority="445" operator="equal" id="{4AFEA891-3CF5-4720-9908-4E85BD20D257}">
            <xm:f>'Tabelas AUX'!$E$2</xm:f>
            <x14:dxf>
              <font>
                <color rgb="FFC00000"/>
              </font>
            </x14:dxf>
          </x14:cfRule>
          <xm:sqref>X82:X1048576</xm:sqref>
        </x14:conditionalFormatting>
        <x14:conditionalFormatting xmlns:xm="http://schemas.microsoft.com/office/excel/2006/main">
          <x14:cfRule type="cellIs" priority="398" operator="equal" id="{65499EAC-38AB-46BA-96D4-5A6BE7EBBB87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399" operator="equal" id="{364F22B1-3DDB-42C4-9F40-FE6F991F72A9}">
            <xm:f>'Tabelas AUX'!$E$5</xm:f>
            <x14:dxf>
              <font>
                <color rgb="FF00B050"/>
              </font>
            </x14:dxf>
          </x14:cfRule>
          <xm:sqref>U38:V38</xm:sqref>
        </x14:conditionalFormatting>
        <x14:conditionalFormatting xmlns:xm="http://schemas.microsoft.com/office/excel/2006/main">
          <x14:cfRule type="cellIs" priority="386" operator="equal" id="{5693856D-F3FA-4603-9822-98D0505DB338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387" operator="equal" id="{50BA54EC-7182-40E2-A22E-92FDC6B6DAAC}">
            <xm:f>'Tabelas AUX'!$E$5</xm:f>
            <x14:dxf>
              <font>
                <color rgb="FF00B050"/>
              </font>
            </x14:dxf>
          </x14:cfRule>
          <xm:sqref>U39:V39</xm:sqref>
        </x14:conditionalFormatting>
        <x14:conditionalFormatting xmlns:xm="http://schemas.microsoft.com/office/excel/2006/main">
          <x14:cfRule type="cellIs" priority="351" operator="equal" id="{AD643245-A486-4575-A2F4-222A75D0A9A4}">
            <xm:f>'Tabelas AUX'!$E$5</xm:f>
            <x14:dxf>
              <font>
                <color rgb="FF00B050"/>
              </font>
            </x14:dxf>
          </x14:cfRule>
          <x14:cfRule type="cellIs" priority="352" operator="equal" id="{CA017A9D-797A-41C2-B4B7-79AF7F8D7FD8}">
            <xm:f>'Tabelas AUX'!$E$4</xm:f>
            <x14:dxf>
              <font>
                <color rgb="FF7F7F7F"/>
              </font>
            </x14:dxf>
          </x14:cfRule>
          <x14:cfRule type="cellIs" priority="353" operator="equal" id="{4EA93BB9-FEA4-4943-A2FA-650B143331DE}">
            <xm:f>'Tabelas AUX'!$E$3</xm:f>
            <x14:dxf>
              <font>
                <color theme="5"/>
              </font>
            </x14:dxf>
          </x14:cfRule>
          <x14:cfRule type="cellIs" priority="354" operator="equal" id="{FCF7B5CE-DB74-4873-85B7-1C0AE69A1B64}">
            <xm:f>'Tabelas AUX'!$E$2</xm:f>
            <x14:dxf>
              <font>
                <color rgb="FFC00000"/>
              </font>
            </x14:dxf>
          </x14:cfRule>
          <xm:sqref>T13</xm:sqref>
        </x14:conditionalFormatting>
        <x14:conditionalFormatting xmlns:xm="http://schemas.microsoft.com/office/excel/2006/main">
          <x14:cfRule type="cellIs" priority="346" operator="equal" id="{4149815D-AA78-4CC9-AA48-2501FEE6001A}">
            <xm:f>'Tabelas AUX'!$E$5</xm:f>
            <x14:dxf>
              <font>
                <color rgb="FF00B050"/>
              </font>
            </x14:dxf>
          </x14:cfRule>
          <x14:cfRule type="cellIs" priority="347" operator="equal" id="{47343B65-19DD-4BF4-B2EF-DC7D398FC448}">
            <xm:f>'Tabelas AUX'!$E$4</xm:f>
            <x14:dxf>
              <font>
                <color rgb="FF7F7F7F"/>
              </font>
            </x14:dxf>
          </x14:cfRule>
          <x14:cfRule type="cellIs" priority="348" operator="equal" id="{E26EB3BD-A2B4-4308-B260-663621E735A4}">
            <xm:f>'Tabelas AUX'!$E$3</xm:f>
            <x14:dxf>
              <font>
                <color theme="5"/>
              </font>
            </x14:dxf>
          </x14:cfRule>
          <x14:cfRule type="cellIs" priority="349" operator="equal" id="{6665303B-D672-4BBD-A248-55E189548D84}">
            <xm:f>'Tabelas AUX'!$E$2</xm:f>
            <x14:dxf>
              <font>
                <color rgb="FFC00000"/>
              </font>
            </x14:dxf>
          </x14:cfRule>
          <xm:sqref>X13</xm:sqref>
        </x14:conditionalFormatting>
        <x14:conditionalFormatting xmlns:xm="http://schemas.microsoft.com/office/excel/2006/main">
          <x14:cfRule type="cellIs" priority="341" operator="equal" id="{C2251FEF-AF86-4125-817E-909404B51F13}">
            <xm:f>'Tabelas AUX'!$E$5</xm:f>
            <x14:dxf>
              <font>
                <color rgb="FF00B050"/>
              </font>
            </x14:dxf>
          </x14:cfRule>
          <x14:cfRule type="cellIs" priority="342" operator="equal" id="{B383A02A-40E9-41B0-B932-98F9C65DF5F4}">
            <xm:f>'Tabelas AUX'!$E$4</xm:f>
            <x14:dxf>
              <font>
                <color rgb="FF7F7F7F"/>
              </font>
            </x14:dxf>
          </x14:cfRule>
          <x14:cfRule type="cellIs" priority="343" operator="equal" id="{28272CDF-A514-4ABB-B58E-EDC73B573277}">
            <xm:f>'Tabelas AUX'!$E$3</xm:f>
            <x14:dxf>
              <font>
                <color theme="5"/>
              </font>
            </x14:dxf>
          </x14:cfRule>
          <x14:cfRule type="cellIs" priority="344" operator="equal" id="{2C09757D-4BCC-4A57-B305-C0788743154E}">
            <xm:f>'Tabelas AUX'!$E$2</xm:f>
            <x14:dxf>
              <font>
                <color rgb="FFC00000"/>
              </font>
            </x14:dxf>
          </x14:cfRule>
          <xm:sqref>T14:T21</xm:sqref>
        </x14:conditionalFormatting>
        <x14:conditionalFormatting xmlns:xm="http://schemas.microsoft.com/office/excel/2006/main">
          <x14:cfRule type="cellIs" priority="336" operator="equal" id="{94A4B124-5795-4417-A7F7-FD4B5B6555A5}">
            <xm:f>'Tabelas AUX'!$E$5</xm:f>
            <x14:dxf>
              <font>
                <color rgb="FF00B050"/>
              </font>
            </x14:dxf>
          </x14:cfRule>
          <x14:cfRule type="cellIs" priority="337" operator="equal" id="{9585D626-7380-4D0F-845A-7EBA59D806FE}">
            <xm:f>'Tabelas AUX'!$E$4</xm:f>
            <x14:dxf>
              <font>
                <color rgb="FF7F7F7F"/>
              </font>
            </x14:dxf>
          </x14:cfRule>
          <x14:cfRule type="cellIs" priority="338" operator="equal" id="{1291BF93-6FCB-43EA-913C-673BA78E04F6}">
            <xm:f>'Tabelas AUX'!$E$3</xm:f>
            <x14:dxf>
              <font>
                <color theme="5"/>
              </font>
            </x14:dxf>
          </x14:cfRule>
          <x14:cfRule type="cellIs" priority="339" operator="equal" id="{E9B44874-B917-4E6F-AC2C-A065ACDF4E93}">
            <xm:f>'Tabelas AUX'!$E$2</xm:f>
            <x14:dxf>
              <font>
                <color rgb="FFC00000"/>
              </font>
            </x14:dxf>
          </x14:cfRule>
          <xm:sqref>T22</xm:sqref>
        </x14:conditionalFormatting>
        <x14:conditionalFormatting xmlns:xm="http://schemas.microsoft.com/office/excel/2006/main">
          <x14:cfRule type="cellIs" priority="331" operator="equal" id="{716FE2C6-12B1-4E21-A56E-1FECAFA93898}">
            <xm:f>'Tabelas AUX'!$E$5</xm:f>
            <x14:dxf>
              <font>
                <color rgb="FF00B050"/>
              </font>
            </x14:dxf>
          </x14:cfRule>
          <x14:cfRule type="cellIs" priority="332" operator="equal" id="{71FF16E1-9AB2-459A-BE1A-B8DAA12B1EDE}">
            <xm:f>'Tabelas AUX'!$E$4</xm:f>
            <x14:dxf>
              <font>
                <color rgb="FF7F7F7F"/>
              </font>
            </x14:dxf>
          </x14:cfRule>
          <x14:cfRule type="cellIs" priority="333" operator="equal" id="{43119376-B19A-4E23-AA40-74F7BAEC9A82}">
            <xm:f>'Tabelas AUX'!$E$3</xm:f>
            <x14:dxf>
              <font>
                <color theme="5"/>
              </font>
            </x14:dxf>
          </x14:cfRule>
          <x14:cfRule type="cellIs" priority="334" operator="equal" id="{EA4D31E0-2A4D-4D4E-8CE6-495C2681467D}">
            <xm:f>'Tabelas AUX'!$E$2</xm:f>
            <x14:dxf>
              <font>
                <color rgb="FFC00000"/>
              </font>
            </x14:dxf>
          </x14:cfRule>
          <xm:sqref>T23:T42</xm:sqref>
        </x14:conditionalFormatting>
        <x14:conditionalFormatting xmlns:xm="http://schemas.microsoft.com/office/excel/2006/main">
          <x14:cfRule type="cellIs" priority="326" operator="equal" id="{E30E6B44-A46E-4115-AA03-C515E5724510}">
            <xm:f>'Tabelas AUX'!$E$5</xm:f>
            <x14:dxf>
              <font>
                <color rgb="FF00B050"/>
              </font>
            </x14:dxf>
          </x14:cfRule>
          <x14:cfRule type="cellIs" priority="327" operator="equal" id="{BB35C99E-985E-4947-94A6-7ACDBFEC8A9B}">
            <xm:f>'Tabelas AUX'!$E$4</xm:f>
            <x14:dxf>
              <font>
                <color rgb="FF7F7F7F"/>
              </font>
            </x14:dxf>
          </x14:cfRule>
          <x14:cfRule type="cellIs" priority="328" operator="equal" id="{A1C412AE-4F4F-4A94-8A99-B970911C907F}">
            <xm:f>'Tabelas AUX'!$E$3</xm:f>
            <x14:dxf>
              <font>
                <color theme="5"/>
              </font>
            </x14:dxf>
          </x14:cfRule>
          <x14:cfRule type="cellIs" priority="329" operator="equal" id="{D5056F8C-0F45-469E-BE60-E3EB9DC44013}">
            <xm:f>'Tabelas AUX'!$E$2</xm:f>
            <x14:dxf>
              <font>
                <color rgb="FFC00000"/>
              </font>
            </x14:dxf>
          </x14:cfRule>
          <xm:sqref>T44:T45</xm:sqref>
        </x14:conditionalFormatting>
        <x14:conditionalFormatting xmlns:xm="http://schemas.microsoft.com/office/excel/2006/main">
          <x14:cfRule type="cellIs" priority="301" operator="equal" id="{6DA3D8DA-5BDA-4940-B3DB-95C6A6395046}">
            <xm:f>'Tabelas AUX'!$E$5</xm:f>
            <x14:dxf>
              <font>
                <color rgb="FF00B050"/>
              </font>
            </x14:dxf>
          </x14:cfRule>
          <x14:cfRule type="cellIs" priority="302" operator="equal" id="{20AA02B8-0C75-444D-A798-B6D72716676B}">
            <xm:f>'Tabelas AUX'!$E$4</xm:f>
            <x14:dxf>
              <font>
                <color rgb="FF7F7F7F"/>
              </font>
            </x14:dxf>
          </x14:cfRule>
          <x14:cfRule type="cellIs" priority="303" operator="equal" id="{EA609EC8-808B-4233-93FB-001DF7520AE8}">
            <xm:f>'Tabelas AUX'!$E$3</xm:f>
            <x14:dxf>
              <font>
                <color theme="5"/>
              </font>
            </x14:dxf>
          </x14:cfRule>
          <x14:cfRule type="cellIs" priority="304" operator="equal" id="{27865612-399F-40D8-B8AB-68CCD2172B4E}">
            <xm:f>'Tabelas AUX'!$E$2</xm:f>
            <x14:dxf>
              <font>
                <color rgb="FFC00000"/>
              </font>
            </x14:dxf>
          </x14:cfRule>
          <xm:sqref>T43</xm:sqref>
        </x14:conditionalFormatting>
        <x14:conditionalFormatting xmlns:xm="http://schemas.microsoft.com/office/excel/2006/main">
          <x14:cfRule type="cellIs" priority="296" operator="equal" id="{8309A7D2-FE57-4095-A585-7E8DA92A4190}">
            <xm:f>'Tabelas AUX'!$E$5</xm:f>
            <x14:dxf>
              <font>
                <color rgb="FF00B050"/>
              </font>
            </x14:dxf>
          </x14:cfRule>
          <x14:cfRule type="cellIs" priority="297" operator="equal" id="{4FDF173B-1AC7-416A-89CC-438FE02869F2}">
            <xm:f>'Tabelas AUX'!$E$4</xm:f>
            <x14:dxf>
              <font>
                <color rgb="FF7F7F7F"/>
              </font>
            </x14:dxf>
          </x14:cfRule>
          <x14:cfRule type="cellIs" priority="298" operator="equal" id="{97545EE0-7E63-4F05-8A13-493E3EE5926B}">
            <xm:f>'Tabelas AUX'!$E$3</xm:f>
            <x14:dxf>
              <font>
                <color theme="5"/>
              </font>
            </x14:dxf>
          </x14:cfRule>
          <x14:cfRule type="cellIs" priority="299" operator="equal" id="{41BA3497-4B82-43B3-B5EA-94A202DD72D3}">
            <xm:f>'Tabelas AUX'!$E$2</xm:f>
            <x14:dxf>
              <font>
                <color rgb="FFC00000"/>
              </font>
            </x14:dxf>
          </x14:cfRule>
          <xm:sqref>T46:T51</xm:sqref>
        </x14:conditionalFormatting>
        <x14:conditionalFormatting xmlns:xm="http://schemas.microsoft.com/office/excel/2006/main">
          <x14:cfRule type="cellIs" priority="261" operator="equal" id="{07539696-AC60-4E96-808A-D9CBD217F41F}">
            <xm:f>'Tabelas AUX'!$E$5</xm:f>
            <x14:dxf>
              <font>
                <color rgb="FF00B050"/>
              </font>
            </x14:dxf>
          </x14:cfRule>
          <x14:cfRule type="cellIs" priority="262" operator="equal" id="{44CFC57C-B552-4C2D-AC0E-DD9B6F5DF877}">
            <xm:f>'Tabelas AUX'!$E$4</xm:f>
            <x14:dxf>
              <font>
                <color rgb="FF7F7F7F"/>
              </font>
            </x14:dxf>
          </x14:cfRule>
          <x14:cfRule type="cellIs" priority="263" operator="equal" id="{23967517-C787-4884-AFA7-BE860D631784}">
            <xm:f>'Tabelas AUX'!$E$3</xm:f>
            <x14:dxf>
              <font>
                <color theme="5"/>
              </font>
            </x14:dxf>
          </x14:cfRule>
          <x14:cfRule type="cellIs" priority="264" operator="equal" id="{3FBA7E61-DE2F-4B70-9123-3DAF8DFACA47}">
            <xm:f>'Tabelas AUX'!$E$2</xm:f>
            <x14:dxf>
              <font>
                <color rgb="FFC00000"/>
              </font>
            </x14:dxf>
          </x14:cfRule>
          <xm:sqref>T70</xm:sqref>
        </x14:conditionalFormatting>
        <x14:conditionalFormatting xmlns:xm="http://schemas.microsoft.com/office/excel/2006/main">
          <x14:cfRule type="cellIs" priority="286" operator="equal" id="{58BD6CFE-E5B5-4C64-B009-4D3B8B01A787}">
            <xm:f>'Tabelas AUX'!$E$5</xm:f>
            <x14:dxf>
              <font>
                <color rgb="FF00B050"/>
              </font>
            </x14:dxf>
          </x14:cfRule>
          <x14:cfRule type="cellIs" priority="287" operator="equal" id="{F0CED11D-52FB-4866-9F27-1A0BCCC6FF20}">
            <xm:f>'Tabelas AUX'!$E$4</xm:f>
            <x14:dxf>
              <font>
                <color rgb="FF7F7F7F"/>
              </font>
            </x14:dxf>
          </x14:cfRule>
          <x14:cfRule type="cellIs" priority="288" operator="equal" id="{092950EC-F1D4-4461-9D91-9B1330A657B4}">
            <xm:f>'Tabelas AUX'!$E$3</xm:f>
            <x14:dxf>
              <font>
                <color theme="5"/>
              </font>
            </x14:dxf>
          </x14:cfRule>
          <x14:cfRule type="cellIs" priority="289" operator="equal" id="{5BDA5EAD-5B31-46E1-94AE-CB1ABED9FBEB}">
            <xm:f>'Tabelas AUX'!$E$2</xm:f>
            <x14:dxf>
              <font>
                <color rgb="FFC00000"/>
              </font>
            </x14:dxf>
          </x14:cfRule>
          <xm:sqref>T60</xm:sqref>
        </x14:conditionalFormatting>
        <x14:conditionalFormatting xmlns:xm="http://schemas.microsoft.com/office/excel/2006/main">
          <x14:cfRule type="cellIs" priority="281" operator="equal" id="{EDE0686F-9F82-4D16-97E0-3DA3AD0B4709}">
            <xm:f>'Tabelas AUX'!$E$5</xm:f>
            <x14:dxf>
              <font>
                <color rgb="FF00B050"/>
              </font>
            </x14:dxf>
          </x14:cfRule>
          <x14:cfRule type="cellIs" priority="282" operator="equal" id="{48452B3E-F5A8-4F10-BF94-7FEB015F072C}">
            <xm:f>'Tabelas AUX'!$E$4</xm:f>
            <x14:dxf>
              <font>
                <color rgb="FF7F7F7F"/>
              </font>
            </x14:dxf>
          </x14:cfRule>
          <x14:cfRule type="cellIs" priority="283" operator="equal" id="{E2B0244A-9010-4FDD-BFDB-83123188A29E}">
            <xm:f>'Tabelas AUX'!$E$3</xm:f>
            <x14:dxf>
              <font>
                <color theme="5"/>
              </font>
            </x14:dxf>
          </x14:cfRule>
          <x14:cfRule type="cellIs" priority="284" operator="equal" id="{9762B125-29EC-41BD-83AB-F12A7629758C}">
            <xm:f>'Tabelas AUX'!$E$2</xm:f>
            <x14:dxf>
              <font>
                <color rgb="FFC00000"/>
              </font>
            </x14:dxf>
          </x14:cfRule>
          <xm:sqref>T65</xm:sqref>
        </x14:conditionalFormatting>
        <x14:conditionalFormatting xmlns:xm="http://schemas.microsoft.com/office/excel/2006/main">
          <x14:cfRule type="cellIs" priority="276" operator="equal" id="{AB960DBC-3443-4D05-B916-CFA3DC7A86A0}">
            <xm:f>'Tabelas AUX'!$E$5</xm:f>
            <x14:dxf>
              <font>
                <color rgb="FF00B050"/>
              </font>
            </x14:dxf>
          </x14:cfRule>
          <x14:cfRule type="cellIs" priority="277" operator="equal" id="{5297981E-8C75-4088-A3AE-7C8CC2DFC537}">
            <xm:f>'Tabelas AUX'!$E$4</xm:f>
            <x14:dxf>
              <font>
                <color rgb="FF7F7F7F"/>
              </font>
            </x14:dxf>
          </x14:cfRule>
          <x14:cfRule type="cellIs" priority="278" operator="equal" id="{97FE6802-DA43-47E2-BD4D-F91986EFCE5B}">
            <xm:f>'Tabelas AUX'!$E$3</xm:f>
            <x14:dxf>
              <font>
                <color theme="5"/>
              </font>
            </x14:dxf>
          </x14:cfRule>
          <x14:cfRule type="cellIs" priority="279" operator="equal" id="{1B674137-3661-429F-8D7C-BBCAE1F9ECC9}">
            <xm:f>'Tabelas AUX'!$E$2</xm:f>
            <x14:dxf>
              <font>
                <color rgb="FFC00000"/>
              </font>
            </x14:dxf>
          </x14:cfRule>
          <xm:sqref>T66</xm:sqref>
        </x14:conditionalFormatting>
        <x14:conditionalFormatting xmlns:xm="http://schemas.microsoft.com/office/excel/2006/main">
          <x14:cfRule type="cellIs" priority="271" operator="equal" id="{F2BBE18D-5983-4697-B6BD-F1911A903C18}">
            <xm:f>'Tabelas AUX'!$E$5</xm:f>
            <x14:dxf>
              <font>
                <color rgb="FF00B050"/>
              </font>
            </x14:dxf>
          </x14:cfRule>
          <x14:cfRule type="cellIs" priority="272" operator="equal" id="{00BE6CB6-4888-42E2-8A4D-177A75967694}">
            <xm:f>'Tabelas AUX'!$E$4</xm:f>
            <x14:dxf>
              <font>
                <color rgb="FF7F7F7F"/>
              </font>
            </x14:dxf>
          </x14:cfRule>
          <x14:cfRule type="cellIs" priority="273" operator="equal" id="{84CC5E82-86F6-4A05-92A7-2F56FF3C9B09}">
            <xm:f>'Tabelas AUX'!$E$3</xm:f>
            <x14:dxf>
              <font>
                <color theme="5"/>
              </font>
            </x14:dxf>
          </x14:cfRule>
          <x14:cfRule type="cellIs" priority="274" operator="equal" id="{3B80B281-3B31-481D-966A-283075B4926F}">
            <xm:f>'Tabelas AUX'!$E$2</xm:f>
            <x14:dxf>
              <font>
                <color rgb="FFC00000"/>
              </font>
            </x14:dxf>
          </x14:cfRule>
          <xm:sqref>T68</xm:sqref>
        </x14:conditionalFormatting>
        <x14:conditionalFormatting xmlns:xm="http://schemas.microsoft.com/office/excel/2006/main">
          <x14:cfRule type="cellIs" priority="266" operator="equal" id="{E2948C01-7F4A-4BB8-8C69-BE6BC088ABEF}">
            <xm:f>'Tabelas AUX'!$E$5</xm:f>
            <x14:dxf>
              <font>
                <color rgb="FF00B050"/>
              </font>
            </x14:dxf>
          </x14:cfRule>
          <x14:cfRule type="cellIs" priority="267" operator="equal" id="{D9B44BCB-E82C-4CD0-9F53-0E3516693061}">
            <xm:f>'Tabelas AUX'!$E$4</xm:f>
            <x14:dxf>
              <font>
                <color rgb="FF7F7F7F"/>
              </font>
            </x14:dxf>
          </x14:cfRule>
          <x14:cfRule type="cellIs" priority="268" operator="equal" id="{F11C8272-1947-4483-8F55-CD1247F13E28}">
            <xm:f>'Tabelas AUX'!$E$3</xm:f>
            <x14:dxf>
              <font>
                <color theme="5"/>
              </font>
            </x14:dxf>
          </x14:cfRule>
          <x14:cfRule type="cellIs" priority="269" operator="equal" id="{F82D8D58-CCD8-405D-A6B9-8365257F508A}">
            <xm:f>'Tabelas AUX'!$E$2</xm:f>
            <x14:dxf>
              <font>
                <color rgb="FFC00000"/>
              </font>
            </x14:dxf>
          </x14:cfRule>
          <xm:sqref>T69</xm:sqref>
        </x14:conditionalFormatting>
        <x14:conditionalFormatting xmlns:xm="http://schemas.microsoft.com/office/excel/2006/main">
          <x14:cfRule type="cellIs" priority="256" operator="equal" id="{A552DCA0-6BA1-40E0-AB68-1DF50C5289EB}">
            <xm:f>'Tabelas AUX'!$E$5</xm:f>
            <x14:dxf>
              <font>
                <color rgb="FF00B050"/>
              </font>
            </x14:dxf>
          </x14:cfRule>
          <x14:cfRule type="cellIs" priority="257" operator="equal" id="{A71E8227-8D32-4AB3-A11F-AB51D98FF50B}">
            <xm:f>'Tabelas AUX'!$E$4</xm:f>
            <x14:dxf>
              <font>
                <color rgb="FF7F7F7F"/>
              </font>
            </x14:dxf>
          </x14:cfRule>
          <x14:cfRule type="cellIs" priority="258" operator="equal" id="{3507B0A4-CA5D-400F-AFF0-95F44688DF1B}">
            <xm:f>'Tabelas AUX'!$E$3</xm:f>
            <x14:dxf>
              <font>
                <color theme="5"/>
              </font>
            </x14:dxf>
          </x14:cfRule>
          <x14:cfRule type="cellIs" priority="259" operator="equal" id="{5A978643-C3CB-4188-BD6D-64C23F107BCE}">
            <xm:f>'Tabelas AUX'!$E$2</xm:f>
            <x14:dxf>
              <font>
                <color rgb="FFC00000"/>
              </font>
            </x14:dxf>
          </x14:cfRule>
          <xm:sqref>T71</xm:sqref>
        </x14:conditionalFormatting>
        <x14:conditionalFormatting xmlns:xm="http://schemas.microsoft.com/office/excel/2006/main">
          <x14:cfRule type="cellIs" priority="251" operator="equal" id="{65DF9BA5-4C16-4B42-9A8D-29A0B95734E9}">
            <xm:f>'Tabelas AUX'!$E$5</xm:f>
            <x14:dxf>
              <font>
                <color rgb="FF00B050"/>
              </font>
            </x14:dxf>
          </x14:cfRule>
          <x14:cfRule type="cellIs" priority="252" operator="equal" id="{A47C1834-5B9C-4890-896F-DB8404D16524}">
            <xm:f>'Tabelas AUX'!$E$4</xm:f>
            <x14:dxf>
              <font>
                <color rgb="FF7F7F7F"/>
              </font>
            </x14:dxf>
          </x14:cfRule>
          <x14:cfRule type="cellIs" priority="253" operator="equal" id="{8303B6AD-127F-4156-8BF7-F368DAC473B5}">
            <xm:f>'Tabelas AUX'!$E$3</xm:f>
            <x14:dxf>
              <font>
                <color theme="5"/>
              </font>
            </x14:dxf>
          </x14:cfRule>
          <x14:cfRule type="cellIs" priority="254" operator="equal" id="{6C02BA15-57D0-4E2A-AC71-35B122DC2E33}">
            <xm:f>'Tabelas AUX'!$E$2</xm:f>
            <x14:dxf>
              <font>
                <color rgb="FFC00000"/>
              </font>
            </x14:dxf>
          </x14:cfRule>
          <xm:sqref>T72</xm:sqref>
        </x14:conditionalFormatting>
        <x14:conditionalFormatting xmlns:xm="http://schemas.microsoft.com/office/excel/2006/main">
          <x14:cfRule type="cellIs" priority="246" operator="equal" id="{B58E2D02-9315-4C1C-9397-4230D3636BB0}">
            <xm:f>'Tabelas AUX'!$E$5</xm:f>
            <x14:dxf>
              <font>
                <color rgb="FF00B050"/>
              </font>
            </x14:dxf>
          </x14:cfRule>
          <x14:cfRule type="cellIs" priority="247" operator="equal" id="{F9471F7F-FA8E-4101-B4EA-110083A76EB5}">
            <xm:f>'Tabelas AUX'!$E$4</xm:f>
            <x14:dxf>
              <font>
                <color rgb="FF7F7F7F"/>
              </font>
            </x14:dxf>
          </x14:cfRule>
          <x14:cfRule type="cellIs" priority="248" operator="equal" id="{E72C7B60-809F-4401-A538-F218FB9DB58F}">
            <xm:f>'Tabelas AUX'!$E$3</xm:f>
            <x14:dxf>
              <font>
                <color theme="5"/>
              </font>
            </x14:dxf>
          </x14:cfRule>
          <x14:cfRule type="cellIs" priority="249" operator="equal" id="{5D834544-EF53-43A0-9387-7BAEC29EB34B}">
            <xm:f>'Tabelas AUX'!$E$2</xm:f>
            <x14:dxf>
              <font>
                <color rgb="FFC00000"/>
              </font>
            </x14:dxf>
          </x14:cfRule>
          <xm:sqref>T73</xm:sqref>
        </x14:conditionalFormatting>
        <x14:conditionalFormatting xmlns:xm="http://schemas.microsoft.com/office/excel/2006/main">
          <x14:cfRule type="cellIs" priority="241" operator="equal" id="{EE793A77-B5D1-4937-8D24-8E48D4CA1FC5}">
            <xm:f>'Tabelas AUX'!$E$5</xm:f>
            <x14:dxf>
              <font>
                <color rgb="FF00B050"/>
              </font>
            </x14:dxf>
          </x14:cfRule>
          <x14:cfRule type="cellIs" priority="242" operator="equal" id="{B7FBE86D-B47D-4C46-9C36-4F1741455B0C}">
            <xm:f>'Tabelas AUX'!$E$4</xm:f>
            <x14:dxf>
              <font>
                <color rgb="FF7F7F7F"/>
              </font>
            </x14:dxf>
          </x14:cfRule>
          <x14:cfRule type="cellIs" priority="243" operator="equal" id="{FBE6E54C-DEAA-44E7-AE23-55899DDC279B}">
            <xm:f>'Tabelas AUX'!$E$3</xm:f>
            <x14:dxf>
              <font>
                <color theme="5"/>
              </font>
            </x14:dxf>
          </x14:cfRule>
          <x14:cfRule type="cellIs" priority="244" operator="equal" id="{24DF400F-74D6-48C0-A9AF-714AA47F9A3D}">
            <xm:f>'Tabelas AUX'!$E$2</xm:f>
            <x14:dxf>
              <font>
                <color rgb="FFC00000"/>
              </font>
            </x14:dxf>
          </x14:cfRule>
          <xm:sqref>T74</xm:sqref>
        </x14:conditionalFormatting>
        <x14:conditionalFormatting xmlns:xm="http://schemas.microsoft.com/office/excel/2006/main">
          <x14:cfRule type="cellIs" priority="236" operator="equal" id="{936A5E45-D9B4-4285-BFA0-3AFCF00C5A44}">
            <xm:f>'Tabelas AUX'!$E$5</xm:f>
            <x14:dxf>
              <font>
                <color rgb="FF00B050"/>
              </font>
            </x14:dxf>
          </x14:cfRule>
          <x14:cfRule type="cellIs" priority="237" operator="equal" id="{CD5837D9-7478-4689-A6BA-D31A73577DC6}">
            <xm:f>'Tabelas AUX'!$E$4</xm:f>
            <x14:dxf>
              <font>
                <color rgb="FF7F7F7F"/>
              </font>
            </x14:dxf>
          </x14:cfRule>
          <x14:cfRule type="cellIs" priority="238" operator="equal" id="{25CD50CD-D3A9-4535-90C0-E53950C441D2}">
            <xm:f>'Tabelas AUX'!$E$3</xm:f>
            <x14:dxf>
              <font>
                <color theme="5"/>
              </font>
            </x14:dxf>
          </x14:cfRule>
          <x14:cfRule type="cellIs" priority="239" operator="equal" id="{38B93597-FA06-4445-AA42-9EE47E28EE1D}">
            <xm:f>'Tabelas AUX'!$E$2</xm:f>
            <x14:dxf>
              <font>
                <color rgb="FFC00000"/>
              </font>
            </x14:dxf>
          </x14:cfRule>
          <xm:sqref>T75</xm:sqref>
        </x14:conditionalFormatting>
        <x14:conditionalFormatting xmlns:xm="http://schemas.microsoft.com/office/excel/2006/main">
          <x14:cfRule type="cellIs" priority="231" operator="equal" id="{1843F949-7773-4C6D-BADC-56C769D56BC4}">
            <xm:f>'Tabelas AUX'!$E$5</xm:f>
            <x14:dxf>
              <font>
                <color rgb="FF00B050"/>
              </font>
            </x14:dxf>
          </x14:cfRule>
          <x14:cfRule type="cellIs" priority="232" operator="equal" id="{D59670BC-44D4-4510-B2A0-04DF642495CD}">
            <xm:f>'Tabelas AUX'!$E$4</xm:f>
            <x14:dxf>
              <font>
                <color rgb="FF7F7F7F"/>
              </font>
            </x14:dxf>
          </x14:cfRule>
          <x14:cfRule type="cellIs" priority="233" operator="equal" id="{1BC2499D-7F1F-4C1E-AEB7-CA1E38D8D2AD}">
            <xm:f>'Tabelas AUX'!$E$3</xm:f>
            <x14:dxf>
              <font>
                <color theme="5"/>
              </font>
            </x14:dxf>
          </x14:cfRule>
          <x14:cfRule type="cellIs" priority="234" operator="equal" id="{C228F7BD-F9F5-4664-9D4B-B7800DB99BF6}">
            <xm:f>'Tabelas AUX'!$E$2</xm:f>
            <x14:dxf>
              <font>
                <color rgb="FFC00000"/>
              </font>
            </x14:dxf>
          </x14:cfRule>
          <xm:sqref>T76:T81</xm:sqref>
        </x14:conditionalFormatting>
        <x14:conditionalFormatting xmlns:xm="http://schemas.microsoft.com/office/excel/2006/main">
          <x14:cfRule type="cellIs" priority="226" operator="equal" id="{95CCA88C-0FBF-49FA-AF14-41599BF850ED}">
            <xm:f>'Tabelas AUX'!$E$5</xm:f>
            <x14:dxf>
              <font>
                <color rgb="FF00B050"/>
              </font>
            </x14:dxf>
          </x14:cfRule>
          <x14:cfRule type="cellIs" priority="227" operator="equal" id="{54815668-902F-4B2F-8C68-78A885430300}">
            <xm:f>'Tabelas AUX'!$E$4</xm:f>
            <x14:dxf>
              <font>
                <color rgb="FF7F7F7F"/>
              </font>
            </x14:dxf>
          </x14:cfRule>
          <x14:cfRule type="cellIs" priority="228" operator="equal" id="{ADF93DCF-8D66-49BC-A35D-4ACEF45FBD93}">
            <xm:f>'Tabelas AUX'!$E$3</xm:f>
            <x14:dxf>
              <font>
                <color theme="5"/>
              </font>
            </x14:dxf>
          </x14:cfRule>
          <x14:cfRule type="cellIs" priority="229" operator="equal" id="{08D147A8-2475-4155-AA7A-9548506D9AD7}">
            <xm:f>'Tabelas AUX'!$E$2</xm:f>
            <x14:dxf>
              <font>
                <color rgb="FFC00000"/>
              </font>
            </x14:dxf>
          </x14:cfRule>
          <xm:sqref>T52</xm:sqref>
        </x14:conditionalFormatting>
        <x14:conditionalFormatting xmlns:xm="http://schemas.microsoft.com/office/excel/2006/main">
          <x14:cfRule type="cellIs" priority="186" operator="equal" id="{D1DAAF88-9764-4C52-A117-CDF8F994C150}">
            <xm:f>'Tabelas AUX'!$E$5</xm:f>
            <x14:dxf>
              <font>
                <color rgb="FF00B050"/>
              </font>
            </x14:dxf>
          </x14:cfRule>
          <x14:cfRule type="cellIs" priority="187" operator="equal" id="{CA2372E9-D124-4261-9402-583A74B030E0}">
            <xm:f>'Tabelas AUX'!$E$4</xm:f>
            <x14:dxf>
              <font>
                <color rgb="FF7F7F7F"/>
              </font>
            </x14:dxf>
          </x14:cfRule>
          <x14:cfRule type="cellIs" priority="188" operator="equal" id="{5195E547-77D2-4052-8C61-A6B0C9313871}">
            <xm:f>'Tabelas AUX'!$E$3</xm:f>
            <x14:dxf>
              <font>
                <color theme="5"/>
              </font>
            </x14:dxf>
          </x14:cfRule>
          <x14:cfRule type="cellIs" priority="189" operator="equal" id="{7B618AD2-8343-48C8-B9B3-1F8A155FC491}">
            <xm:f>'Tabelas AUX'!$E$2</xm:f>
            <x14:dxf>
              <font>
                <color rgb="FFC00000"/>
              </font>
            </x14:dxf>
          </x14:cfRule>
          <xm:sqref>X64 X57 X14:X16 X18:X20 X26:X33 X35 X37:X39</xm:sqref>
        </x14:conditionalFormatting>
        <x14:conditionalFormatting xmlns:xm="http://schemas.microsoft.com/office/excel/2006/main">
          <x14:cfRule type="cellIs" priority="216" operator="equal" id="{EAACAB3C-0150-496D-BAF0-DF46646F4204}">
            <xm:f>'Tabelas AUX'!$E$5</xm:f>
            <x14:dxf>
              <font>
                <color rgb="FF00B050"/>
              </font>
            </x14:dxf>
          </x14:cfRule>
          <x14:cfRule type="cellIs" priority="217" operator="equal" id="{C3059FA0-8ED8-47B9-8B8C-784ED54997D4}">
            <xm:f>'Tabelas AUX'!$E$4</xm:f>
            <x14:dxf>
              <font>
                <color rgb="FF7F7F7F"/>
              </font>
            </x14:dxf>
          </x14:cfRule>
          <x14:cfRule type="cellIs" priority="218" operator="equal" id="{60D1DB72-0B84-425B-930A-8F16EDF57D07}">
            <xm:f>'Tabelas AUX'!$E$3</xm:f>
            <x14:dxf>
              <font>
                <color theme="5"/>
              </font>
            </x14:dxf>
          </x14:cfRule>
          <x14:cfRule type="cellIs" priority="219" operator="equal" id="{5D40AD49-0D24-4EAA-9482-4FF565297400}">
            <xm:f>'Tabelas AUX'!$E$2</xm:f>
            <x14:dxf>
              <font>
                <color rgb="FFC00000"/>
              </font>
            </x14:dxf>
          </x14:cfRule>
          <xm:sqref>T55</xm:sqref>
        </x14:conditionalFormatting>
        <x14:conditionalFormatting xmlns:xm="http://schemas.microsoft.com/office/excel/2006/main">
          <x14:cfRule type="cellIs" priority="206" operator="equal" id="{E4CD31A5-0E9E-49BF-81CC-8E4F36F59618}">
            <xm:f>'Tabelas AUX'!$E$5</xm:f>
            <x14:dxf>
              <font>
                <color rgb="FF00B050"/>
              </font>
            </x14:dxf>
          </x14:cfRule>
          <x14:cfRule type="cellIs" priority="207" operator="equal" id="{0722E910-03ED-4C0B-A264-24F3DD2D9AFD}">
            <xm:f>'Tabelas AUX'!$E$4</xm:f>
            <x14:dxf>
              <font>
                <color rgb="FF7F7F7F"/>
              </font>
            </x14:dxf>
          </x14:cfRule>
          <x14:cfRule type="cellIs" priority="208" operator="equal" id="{1A47B95D-07C3-4F56-8C3A-130326F3722A}">
            <xm:f>'Tabelas AUX'!$E$3</xm:f>
            <x14:dxf>
              <font>
                <color theme="5"/>
              </font>
            </x14:dxf>
          </x14:cfRule>
          <x14:cfRule type="cellIs" priority="209" operator="equal" id="{D56877AD-434D-46AE-81E9-2D8E7BBFFDF0}">
            <xm:f>'Tabelas AUX'!$E$2</xm:f>
            <x14:dxf>
              <font>
                <color rgb="FFC00000"/>
              </font>
            </x14:dxf>
          </x14:cfRule>
          <xm:sqref>T58</xm:sqref>
        </x14:conditionalFormatting>
        <x14:conditionalFormatting xmlns:xm="http://schemas.microsoft.com/office/excel/2006/main">
          <x14:cfRule type="cellIs" priority="201" operator="equal" id="{553A301F-65C6-4BE3-8D32-3412D0262E5A}">
            <xm:f>'Tabelas AUX'!$E$5</xm:f>
            <x14:dxf>
              <font>
                <color rgb="FF00B050"/>
              </font>
            </x14:dxf>
          </x14:cfRule>
          <x14:cfRule type="cellIs" priority="202" operator="equal" id="{BC6CC33F-1E41-4125-A496-9DA0D5AC2749}">
            <xm:f>'Tabelas AUX'!$E$4</xm:f>
            <x14:dxf>
              <font>
                <color rgb="FF7F7F7F"/>
              </font>
            </x14:dxf>
          </x14:cfRule>
          <x14:cfRule type="cellIs" priority="203" operator="equal" id="{120BDDFD-8D6C-428E-B406-66678366889E}">
            <xm:f>'Tabelas AUX'!$E$3</xm:f>
            <x14:dxf>
              <font>
                <color theme="5"/>
              </font>
            </x14:dxf>
          </x14:cfRule>
          <x14:cfRule type="cellIs" priority="204" operator="equal" id="{52AD3032-06CB-45D9-9878-CFD8D5040541}">
            <xm:f>'Tabelas AUX'!$E$2</xm:f>
            <x14:dxf>
              <font>
                <color rgb="FFC00000"/>
              </font>
            </x14:dxf>
          </x14:cfRule>
          <xm:sqref>T61</xm:sqref>
        </x14:conditionalFormatting>
        <x14:conditionalFormatting xmlns:xm="http://schemas.microsoft.com/office/excel/2006/main">
          <x14:cfRule type="cellIs" priority="191" operator="equal" id="{AFE90B6A-C781-4033-8203-6C2103EE96FE}">
            <xm:f>'Tabelas AUX'!$E$5</xm:f>
            <x14:dxf>
              <font>
                <color rgb="FF00B050"/>
              </font>
            </x14:dxf>
          </x14:cfRule>
          <x14:cfRule type="cellIs" priority="192" operator="equal" id="{BEA105DF-E7F8-4FC3-9BA7-A98C4C0A79E2}">
            <xm:f>'Tabelas AUX'!$E$4</xm:f>
            <x14:dxf>
              <font>
                <color rgb="FF7F7F7F"/>
              </font>
            </x14:dxf>
          </x14:cfRule>
          <x14:cfRule type="cellIs" priority="193" operator="equal" id="{8EF5553F-FA3D-47EE-AC13-43AD4C57D555}">
            <xm:f>'Tabelas AUX'!$E$3</xm:f>
            <x14:dxf>
              <font>
                <color theme="5"/>
              </font>
            </x14:dxf>
          </x14:cfRule>
          <x14:cfRule type="cellIs" priority="194" operator="equal" id="{94FB4C5E-A9FA-4AB5-8B04-0C727992A835}">
            <xm:f>'Tabelas AUX'!$E$2</xm:f>
            <x14:dxf>
              <font>
                <color rgb="FFC00000"/>
              </font>
            </x14:dxf>
          </x14:cfRule>
          <xm:sqref>T67</xm:sqref>
        </x14:conditionalFormatting>
        <x14:conditionalFormatting xmlns:xm="http://schemas.microsoft.com/office/excel/2006/main">
          <x14:cfRule type="cellIs" priority="181" operator="equal" id="{8CFF9A30-D572-486C-ABEF-9D9EFAA537A0}">
            <xm:f>'Tabelas AUX'!$E$5</xm:f>
            <x14:dxf>
              <font>
                <color rgb="FF00B050"/>
              </font>
            </x14:dxf>
          </x14:cfRule>
          <x14:cfRule type="cellIs" priority="182" operator="equal" id="{151B184A-211E-44C8-B58B-354822853AC5}">
            <xm:f>'Tabelas AUX'!$E$4</xm:f>
            <x14:dxf>
              <font>
                <color rgb="FF7F7F7F"/>
              </font>
            </x14:dxf>
          </x14:cfRule>
          <x14:cfRule type="cellIs" priority="183" operator="equal" id="{D784AB5C-3ACA-474A-A006-301019D21621}">
            <xm:f>'Tabelas AUX'!$E$3</xm:f>
            <x14:dxf>
              <font>
                <color theme="5"/>
              </font>
            </x14:dxf>
          </x14:cfRule>
          <x14:cfRule type="cellIs" priority="184" operator="equal" id="{B9B5339B-98C5-400B-89BC-7E8ABAB28491}">
            <xm:f>'Tabelas AUX'!$E$2</xm:f>
            <x14:dxf>
              <font>
                <color rgb="FFC00000"/>
              </font>
            </x14:dxf>
          </x14:cfRule>
          <xm:sqref>X40</xm:sqref>
        </x14:conditionalFormatting>
        <x14:conditionalFormatting xmlns:xm="http://schemas.microsoft.com/office/excel/2006/main">
          <x14:cfRule type="cellIs" priority="176" operator="equal" id="{1574CDDC-4133-4ED5-BAE6-5CEB566D5C53}">
            <xm:f>'Tabelas AUX'!$E$5</xm:f>
            <x14:dxf>
              <font>
                <color rgb="FF00B050"/>
              </font>
            </x14:dxf>
          </x14:cfRule>
          <x14:cfRule type="cellIs" priority="177" operator="equal" id="{6781E3BF-1E4F-4883-B62E-E7404BD518BB}">
            <xm:f>'Tabelas AUX'!$E$4</xm:f>
            <x14:dxf>
              <font>
                <color rgb="FF7F7F7F"/>
              </font>
            </x14:dxf>
          </x14:cfRule>
          <x14:cfRule type="cellIs" priority="178" operator="equal" id="{A0128A0F-C08E-4E5C-A3B0-F609E05D1366}">
            <xm:f>'Tabelas AUX'!$E$3</xm:f>
            <x14:dxf>
              <font>
                <color theme="5"/>
              </font>
            </x14:dxf>
          </x14:cfRule>
          <x14:cfRule type="cellIs" priority="179" operator="equal" id="{F725A88E-9936-4797-BBC4-9991DBAC33CA}">
            <xm:f>'Tabelas AUX'!$E$2</xm:f>
            <x14:dxf>
              <font>
                <color rgb="FFC00000"/>
              </font>
            </x14:dxf>
          </x14:cfRule>
          <xm:sqref>X41:X42</xm:sqref>
        </x14:conditionalFormatting>
        <x14:conditionalFormatting xmlns:xm="http://schemas.microsoft.com/office/excel/2006/main">
          <x14:cfRule type="cellIs" priority="132" operator="equal" id="{2D718513-C85C-4942-80D9-C55C4788B1DE}">
            <xm:f>'Tabelas AUX'!$E$5</xm:f>
            <x14:dxf>
              <font>
                <color rgb="FF00B050"/>
              </font>
            </x14:dxf>
          </x14:cfRule>
          <x14:cfRule type="cellIs" priority="133" operator="equal" id="{CC8C7C92-CB43-4779-A63D-68695C786745}">
            <xm:f>'Tabelas AUX'!$E$4</xm:f>
            <x14:dxf>
              <font>
                <color rgb="FF7F7F7F"/>
              </font>
            </x14:dxf>
          </x14:cfRule>
          <x14:cfRule type="cellIs" priority="134" operator="equal" id="{2D780B1F-287A-4085-B4EA-F4B11F8D325E}">
            <xm:f>'Tabelas AUX'!$E$3</xm:f>
            <x14:dxf>
              <font>
                <color theme="5"/>
              </font>
            </x14:dxf>
          </x14:cfRule>
          <x14:cfRule type="cellIs" priority="135" operator="equal" id="{736AFE3B-4D85-4A08-8B3E-E2AEB5BB1224}">
            <xm:f>'Tabelas AUX'!$E$2</xm:f>
            <x14:dxf>
              <font>
                <color rgb="FFC00000"/>
              </font>
            </x14:dxf>
          </x14:cfRule>
          <xm:sqref>X62</xm:sqref>
        </x14:conditionalFormatting>
        <x14:conditionalFormatting xmlns:xm="http://schemas.microsoft.com/office/excel/2006/main">
          <x14:cfRule type="cellIs" priority="164" operator="equal" id="{BBF84F6A-EF41-4B58-ACD8-D4735E1C7133}">
            <xm:f>'Tabelas AUX'!$E$8</xm:f>
            <x14:dxf>
              <font>
                <color theme="8"/>
              </font>
            </x14:dxf>
          </x14:cfRule>
          <x14:cfRule type="cellIs" priority="165" operator="equal" id="{35492722-B5BC-4653-803D-22AD66326F08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66" operator="equal" id="{8BDE0876-9433-4ECF-A6E5-465A4AD31034}">
            <xm:f>'Tabelas AUX'!$E$5</xm:f>
            <x14:dxf>
              <font>
                <color rgb="FF00B050"/>
              </font>
            </x14:dxf>
          </x14:cfRule>
          <x14:cfRule type="cellIs" priority="167" operator="equal" id="{80B52BB3-5FB3-46DA-BA9C-D900743DC695}">
            <xm:f>'Tabelas AUX'!$E$4</xm:f>
            <x14:dxf>
              <font>
                <color rgb="FF7F7F7F"/>
              </font>
            </x14:dxf>
          </x14:cfRule>
          <x14:cfRule type="cellIs" priority="168" operator="equal" id="{4DB74F02-AB60-4EDA-93FD-98B2839B0097}">
            <xm:f>'Tabelas AUX'!$E$3</xm:f>
            <x14:dxf>
              <font>
                <color theme="5"/>
              </font>
            </x14:dxf>
          </x14:cfRule>
          <x14:cfRule type="cellIs" priority="169" operator="equal" id="{252E15A0-4D1C-4D23-A97D-5552724C10CE}">
            <xm:f>'Tabelas AUX'!$E$2</xm:f>
            <x14:dxf>
              <font>
                <color rgb="FFC00000"/>
              </font>
            </x14:dxf>
          </x14:cfRule>
          <xm:sqref>X44</xm:sqref>
        </x14:conditionalFormatting>
        <x14:conditionalFormatting xmlns:xm="http://schemas.microsoft.com/office/excel/2006/main">
          <x14:cfRule type="cellIs" priority="158" operator="equal" id="{900C66E9-CA35-4B07-8DE4-B8B332B5F6E9}">
            <xm:f>'Tabelas AUX'!$E$8</xm:f>
            <x14:dxf>
              <font>
                <color theme="8"/>
              </font>
            </x14:dxf>
          </x14:cfRule>
          <x14:cfRule type="cellIs" priority="159" operator="equal" id="{2F59B356-F53D-4919-8D15-97B1E1FB01B0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60" operator="equal" id="{8C856CBF-9DCF-40AB-AE7D-C3EB104B37C4}">
            <xm:f>'Tabelas AUX'!$E$5</xm:f>
            <x14:dxf>
              <font>
                <color rgb="FF00B050"/>
              </font>
            </x14:dxf>
          </x14:cfRule>
          <x14:cfRule type="cellIs" priority="161" operator="equal" id="{558F4BF5-ABBE-42C1-9550-0FCC882A7897}">
            <xm:f>'Tabelas AUX'!$E$4</xm:f>
            <x14:dxf>
              <font>
                <color rgb="FF7F7F7F"/>
              </font>
            </x14:dxf>
          </x14:cfRule>
          <x14:cfRule type="cellIs" priority="162" operator="equal" id="{A8439CA5-8053-4DFD-A2BA-5F00213FA798}">
            <xm:f>'Tabelas AUX'!$E$3</xm:f>
            <x14:dxf>
              <font>
                <color theme="5"/>
              </font>
            </x14:dxf>
          </x14:cfRule>
          <x14:cfRule type="cellIs" priority="163" operator="equal" id="{59B135E6-43F3-420B-BB31-2E324512AFB1}">
            <xm:f>'Tabelas AUX'!$E$2</xm:f>
            <x14:dxf>
              <font>
                <color rgb="FFC00000"/>
              </font>
            </x14:dxf>
          </x14:cfRule>
          <xm:sqref>X45</xm:sqref>
        </x14:conditionalFormatting>
        <x14:conditionalFormatting xmlns:xm="http://schemas.microsoft.com/office/excel/2006/main">
          <x14:cfRule type="cellIs" priority="147" operator="equal" id="{A37B1672-983E-4C8B-B07E-9AAC32963DE1}">
            <xm:f>'Tabelas AUX'!$E$8</xm:f>
            <x14:dxf>
              <font>
                <color theme="8"/>
              </font>
            </x14:dxf>
          </x14:cfRule>
          <x14:cfRule type="cellIs" priority="148" operator="equal" id="{A94BF6F3-2D05-49AE-9125-6E0EC72F1E97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49" operator="equal" id="{A4ED84D4-8F62-4A02-A452-5D77A0C78E13}">
            <xm:f>'Tabelas AUX'!$E$5</xm:f>
            <x14:dxf>
              <font>
                <color rgb="FF00B050"/>
              </font>
            </x14:dxf>
          </x14:cfRule>
          <x14:cfRule type="cellIs" priority="150" operator="equal" id="{241F2A66-F4B8-4571-A881-D5DE86A6DDCA}">
            <xm:f>'Tabelas AUX'!$E$4</xm:f>
            <x14:dxf>
              <font>
                <color rgb="FF7F7F7F"/>
              </font>
            </x14:dxf>
          </x14:cfRule>
          <x14:cfRule type="cellIs" priority="151" operator="equal" id="{1D71DED3-3253-4B71-9521-7D7264167974}">
            <xm:f>'Tabelas AUX'!$E$3</xm:f>
            <x14:dxf>
              <font>
                <color theme="5"/>
              </font>
            </x14:dxf>
          </x14:cfRule>
          <x14:cfRule type="cellIs" priority="152" operator="equal" id="{02833E9E-1B92-4D65-9946-C9857FE527F2}">
            <xm:f>'Tabelas AUX'!$E$2</xm:f>
            <x14:dxf>
              <font>
                <color rgb="FFC00000"/>
              </font>
            </x14:dxf>
          </x14:cfRule>
          <xm:sqref>X22</xm:sqref>
        </x14:conditionalFormatting>
        <x14:conditionalFormatting xmlns:xm="http://schemas.microsoft.com/office/excel/2006/main">
          <x14:cfRule type="cellIs" priority="141" operator="equal" id="{E33357B1-DDEE-4AB7-9425-176118EFE6A3}">
            <xm:f>'Tabelas AUX'!$E$8</xm:f>
            <x14:dxf>
              <font>
                <color theme="8"/>
              </font>
            </x14:dxf>
          </x14:cfRule>
          <x14:cfRule type="cellIs" priority="142" operator="equal" id="{12310E84-2FD9-4CC3-9C95-7102C662F850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43" operator="equal" id="{108E95F0-CB9A-4D07-8676-1AF1309AE231}">
            <xm:f>'Tabelas AUX'!$E$5</xm:f>
            <x14:dxf>
              <font>
                <color rgb="FF00B050"/>
              </font>
            </x14:dxf>
          </x14:cfRule>
          <x14:cfRule type="cellIs" priority="144" operator="equal" id="{2E50B5A5-A4B6-4424-9CE5-9C68B5C96228}">
            <xm:f>'Tabelas AUX'!$E$4</xm:f>
            <x14:dxf>
              <font>
                <color rgb="FF7F7F7F"/>
              </font>
            </x14:dxf>
          </x14:cfRule>
          <x14:cfRule type="cellIs" priority="145" operator="equal" id="{C32791B9-0A20-405A-A119-7A2DA367E4E6}">
            <xm:f>'Tabelas AUX'!$E$3</xm:f>
            <x14:dxf>
              <font>
                <color theme="5"/>
              </font>
            </x14:dxf>
          </x14:cfRule>
          <x14:cfRule type="cellIs" priority="146" operator="equal" id="{5FC000DD-7452-4EF3-820C-C75C74561090}">
            <xm:f>'Tabelas AUX'!$E$2</xm:f>
            <x14:dxf>
              <font>
                <color rgb="FFC00000"/>
              </font>
            </x14:dxf>
          </x14:cfRule>
          <xm:sqref>X65:X81 X63 X60:X61 X46:X56 X43</xm:sqref>
        </x14:conditionalFormatting>
        <x14:conditionalFormatting xmlns:xm="http://schemas.microsoft.com/office/excel/2006/main">
          <x14:cfRule type="cellIs" priority="137" operator="equal" id="{9EE624D5-C1AE-458D-8155-604E3316A65F}">
            <xm:f>'Tabelas AUX'!$E$5</xm:f>
            <x14:dxf>
              <font>
                <color rgb="FF00B050"/>
              </font>
            </x14:dxf>
          </x14:cfRule>
          <x14:cfRule type="cellIs" priority="138" operator="equal" id="{628510F4-468F-4984-9DFA-2B14C0A6E4C8}">
            <xm:f>'Tabelas AUX'!$E$4</xm:f>
            <x14:dxf>
              <font>
                <color rgb="FF7F7F7F"/>
              </font>
            </x14:dxf>
          </x14:cfRule>
          <x14:cfRule type="cellIs" priority="139" operator="equal" id="{5ADA513D-745F-4B0F-A6FF-A8ADDF49BF84}">
            <xm:f>'Tabelas AUX'!$E$3</xm:f>
            <x14:dxf>
              <font>
                <color theme="5"/>
              </font>
            </x14:dxf>
          </x14:cfRule>
          <x14:cfRule type="cellIs" priority="140" operator="equal" id="{1E3F81EC-3030-4111-910F-951DB8238C7E}">
            <xm:f>'Tabelas AUX'!$E$2</xm:f>
            <x14:dxf>
              <font>
                <color rgb="FFC00000"/>
              </font>
            </x14:dxf>
          </x14:cfRule>
          <xm:sqref>X59</xm:sqref>
        </x14:conditionalFormatting>
        <x14:conditionalFormatting xmlns:xm="http://schemas.microsoft.com/office/excel/2006/main">
          <x14:cfRule type="cellIs" priority="119" operator="equal" id="{5EFD0CC4-8F5A-48D5-B6AE-465DECB8FDF3}">
            <xm:f>'Tabelas AUX'!$E$8</xm:f>
            <x14:dxf>
              <font>
                <color theme="8"/>
              </font>
            </x14:dxf>
          </x14:cfRule>
          <x14:cfRule type="cellIs" priority="120" operator="equal" id="{B286216C-49F1-4DE6-BB99-0EB4AF0EEF79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21" operator="equal" id="{38F59D95-4D7B-464A-9E4A-20DE09A895D3}">
            <xm:f>'Tabelas AUX'!$E$5</xm:f>
            <x14:dxf>
              <font>
                <color rgb="FF00B050"/>
              </font>
            </x14:dxf>
          </x14:cfRule>
          <x14:cfRule type="cellIs" priority="122" operator="equal" id="{523F4F29-3CA1-42ED-812B-E3898C0D8C72}">
            <xm:f>'Tabelas AUX'!$E$4</xm:f>
            <x14:dxf>
              <font>
                <color rgb="FF7F7F7F"/>
              </font>
            </x14:dxf>
          </x14:cfRule>
          <x14:cfRule type="cellIs" priority="123" operator="equal" id="{5562FBD8-E2E0-4BD6-9304-DC83E0423292}">
            <xm:f>'Tabelas AUX'!$E$3</xm:f>
            <x14:dxf>
              <font>
                <color theme="5"/>
              </font>
            </x14:dxf>
          </x14:cfRule>
          <x14:cfRule type="cellIs" priority="124" operator="equal" id="{E3CF10B8-46C3-4B8B-9175-BB18C9898AF3}">
            <xm:f>'Tabelas AUX'!$E$2</xm:f>
            <x14:dxf>
              <font>
                <color rgb="FFC00000"/>
              </font>
            </x14:dxf>
          </x14:cfRule>
          <xm:sqref>X21</xm:sqref>
        </x14:conditionalFormatting>
        <x14:conditionalFormatting xmlns:xm="http://schemas.microsoft.com/office/excel/2006/main">
          <x14:cfRule type="cellIs" priority="113" operator="equal" id="{8313B809-A884-4297-B133-B3E4F8CD145F}">
            <xm:f>'Tabelas AUX'!$E$8</xm:f>
            <x14:dxf>
              <font>
                <color theme="8"/>
              </font>
            </x14:dxf>
          </x14:cfRule>
          <x14:cfRule type="cellIs" priority="114" operator="equal" id="{8340E236-3FC9-4383-8ABC-668C613AB78A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15" operator="equal" id="{7A174FFF-A786-401F-8E64-354ED1164ED9}">
            <xm:f>'Tabelas AUX'!$E$5</xm:f>
            <x14:dxf>
              <font>
                <color rgb="FF00B050"/>
              </font>
            </x14:dxf>
          </x14:cfRule>
          <x14:cfRule type="cellIs" priority="116" operator="equal" id="{070F20A4-C29E-4F9D-A9A7-C98B3172E47D}">
            <xm:f>'Tabelas AUX'!$E$4</xm:f>
            <x14:dxf>
              <font>
                <color rgb="FF7F7F7F"/>
              </font>
            </x14:dxf>
          </x14:cfRule>
          <x14:cfRule type="cellIs" priority="117" operator="equal" id="{151E9CB5-9364-4130-A9C7-FFD3611EA87A}">
            <xm:f>'Tabelas AUX'!$E$3</xm:f>
            <x14:dxf>
              <font>
                <color theme="5"/>
              </font>
            </x14:dxf>
          </x14:cfRule>
          <x14:cfRule type="cellIs" priority="118" operator="equal" id="{0019CCDC-4C6B-498E-8F6A-5FF6689BCF81}">
            <xm:f>'Tabelas AUX'!$E$2</xm:f>
            <x14:dxf>
              <font>
                <color rgb="FFC00000"/>
              </font>
            </x14:dxf>
          </x14:cfRule>
          <xm:sqref>X23</xm:sqref>
        </x14:conditionalFormatting>
        <x14:conditionalFormatting xmlns:xm="http://schemas.microsoft.com/office/excel/2006/main">
          <x14:cfRule type="cellIs" priority="107" operator="equal" id="{6AC42778-C669-4D55-BA6E-6A6ED3CD09E7}">
            <xm:f>'Tabelas AUX'!$E$8</xm:f>
            <x14:dxf>
              <font>
                <color theme="8"/>
              </font>
            </x14:dxf>
          </x14:cfRule>
          <x14:cfRule type="cellIs" priority="108" operator="equal" id="{63A5C2AB-7419-42FC-B0F0-49C15425EEE3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09" operator="equal" id="{10FCF52E-5D08-4E41-B561-4AA1DF697F20}">
            <xm:f>'Tabelas AUX'!$E$5</xm:f>
            <x14:dxf>
              <font>
                <color rgb="FF00B050"/>
              </font>
            </x14:dxf>
          </x14:cfRule>
          <x14:cfRule type="cellIs" priority="110" operator="equal" id="{BEC5536E-851D-41CD-850D-6D6D8C67D72B}">
            <xm:f>'Tabelas AUX'!$E$4</xm:f>
            <x14:dxf>
              <font>
                <color rgb="FF7F7F7F"/>
              </font>
            </x14:dxf>
          </x14:cfRule>
          <x14:cfRule type="cellIs" priority="111" operator="equal" id="{28B0526A-5851-440A-BB94-A9EF03FFD322}">
            <xm:f>'Tabelas AUX'!$E$3</xm:f>
            <x14:dxf>
              <font>
                <color theme="5"/>
              </font>
            </x14:dxf>
          </x14:cfRule>
          <x14:cfRule type="cellIs" priority="112" operator="equal" id="{A8E6F3AA-2341-4BE5-8B54-0801BC94A61E}">
            <xm:f>'Tabelas AUX'!$E$2</xm:f>
            <x14:dxf>
              <font>
                <color rgb="FFC00000"/>
              </font>
            </x14:dxf>
          </x14:cfRule>
          <xm:sqref>X24</xm:sqref>
        </x14:conditionalFormatting>
        <x14:conditionalFormatting xmlns:xm="http://schemas.microsoft.com/office/excel/2006/main">
          <x14:cfRule type="cellIs" priority="101" operator="equal" id="{4AA57228-D44A-4A71-8ADE-839FED60DA19}">
            <xm:f>'Tabelas AUX'!$E$8</xm:f>
            <x14:dxf>
              <font>
                <color theme="8"/>
              </font>
            </x14:dxf>
          </x14:cfRule>
          <x14:cfRule type="cellIs" priority="102" operator="equal" id="{66DDDEE4-AE34-4601-8BE8-2AC94BF9AF17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03" operator="equal" id="{5B2FD13C-F7AC-4688-93ED-A76383BFC41D}">
            <xm:f>'Tabelas AUX'!$E$5</xm:f>
            <x14:dxf>
              <font>
                <color rgb="FF00B050"/>
              </font>
            </x14:dxf>
          </x14:cfRule>
          <x14:cfRule type="cellIs" priority="104" operator="equal" id="{6DACC4F7-EA66-4C82-B8BE-809157A77C4F}">
            <xm:f>'Tabelas AUX'!$E$4</xm:f>
            <x14:dxf>
              <font>
                <color rgb="FF7F7F7F"/>
              </font>
            </x14:dxf>
          </x14:cfRule>
          <x14:cfRule type="cellIs" priority="105" operator="equal" id="{BACEC133-784B-4DE0-A145-2A59614385F8}">
            <xm:f>'Tabelas AUX'!$E$3</xm:f>
            <x14:dxf>
              <font>
                <color theme="5"/>
              </font>
            </x14:dxf>
          </x14:cfRule>
          <x14:cfRule type="cellIs" priority="106" operator="equal" id="{F51CBBF8-C946-497D-A4BE-7FEEC9C9FD19}">
            <xm:f>'Tabelas AUX'!$E$2</xm:f>
            <x14:dxf>
              <font>
                <color rgb="FFC00000"/>
              </font>
            </x14:dxf>
          </x14:cfRule>
          <xm:sqref>X25</xm:sqref>
        </x14:conditionalFormatting>
        <x14:conditionalFormatting xmlns:xm="http://schemas.microsoft.com/office/excel/2006/main">
          <x14:cfRule type="cellIs" priority="95" operator="equal" id="{FA7D629C-3325-478C-9672-D79209D64C2D}">
            <xm:f>'Tabelas AUX'!$E$8</xm:f>
            <x14:dxf>
              <font>
                <color theme="8"/>
              </font>
            </x14:dxf>
          </x14:cfRule>
          <x14:cfRule type="cellIs" priority="96" operator="equal" id="{0F75FF2E-3DE7-4996-8CC2-053CDE293A75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97" operator="equal" id="{726E8AE9-D62D-40E8-A9F9-DF68AC2005BF}">
            <xm:f>'Tabelas AUX'!$E$5</xm:f>
            <x14:dxf>
              <font>
                <color rgb="FF00B050"/>
              </font>
            </x14:dxf>
          </x14:cfRule>
          <x14:cfRule type="cellIs" priority="98" operator="equal" id="{4877826F-78BD-41D3-9F3C-7FF5E3AD8E2E}">
            <xm:f>'Tabelas AUX'!$E$4</xm:f>
            <x14:dxf>
              <font>
                <color rgb="FF7F7F7F"/>
              </font>
            </x14:dxf>
          </x14:cfRule>
          <x14:cfRule type="cellIs" priority="99" operator="equal" id="{16363572-168C-43A2-97AB-581DBECAE51A}">
            <xm:f>'Tabelas AUX'!$E$3</xm:f>
            <x14:dxf>
              <font>
                <color theme="5"/>
              </font>
            </x14:dxf>
          </x14:cfRule>
          <x14:cfRule type="cellIs" priority="100" operator="equal" id="{B505B4AE-A6ED-46F5-86CC-F95A1CBBA2F7}">
            <xm:f>'Tabelas AUX'!$E$2</xm:f>
            <x14:dxf>
              <font>
                <color rgb="FFC00000"/>
              </font>
            </x14:dxf>
          </x14:cfRule>
          <xm:sqref>X34</xm:sqref>
        </x14:conditionalFormatting>
        <x14:conditionalFormatting xmlns:xm="http://schemas.microsoft.com/office/excel/2006/main">
          <x14:cfRule type="cellIs" priority="89" operator="equal" id="{2FFD5B2E-AAB1-49C3-A049-D8CBADEC0B6F}">
            <xm:f>'Tabelas AUX'!$E$8</xm:f>
            <x14:dxf>
              <font>
                <color theme="8"/>
              </font>
            </x14:dxf>
          </x14:cfRule>
          <x14:cfRule type="cellIs" priority="90" operator="equal" id="{156F4D8F-1975-4596-9935-40B792AB58FE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91" operator="equal" id="{7BC17660-8A7B-42E3-9D1B-041360F15153}">
            <xm:f>'Tabelas AUX'!$E$5</xm:f>
            <x14:dxf>
              <font>
                <color rgb="FF00B050"/>
              </font>
            </x14:dxf>
          </x14:cfRule>
          <x14:cfRule type="cellIs" priority="92" operator="equal" id="{1777DA14-B9BF-4DEA-96C1-C5F213785ECC}">
            <xm:f>'Tabelas AUX'!$E$4</xm:f>
            <x14:dxf>
              <font>
                <color rgb="FF7F7F7F"/>
              </font>
            </x14:dxf>
          </x14:cfRule>
          <x14:cfRule type="cellIs" priority="93" operator="equal" id="{3ED4D436-81F8-410D-B5DF-04C4D8EFAE57}">
            <xm:f>'Tabelas AUX'!$E$3</xm:f>
            <x14:dxf>
              <font>
                <color theme="5"/>
              </font>
            </x14:dxf>
          </x14:cfRule>
          <x14:cfRule type="cellIs" priority="94" operator="equal" id="{6851FEEB-AD20-4446-9973-D9AF3BBD3EFB}">
            <xm:f>'Tabelas AUX'!$E$2</xm:f>
            <x14:dxf>
              <font>
                <color rgb="FFC00000"/>
              </font>
            </x14:dxf>
          </x14:cfRule>
          <xm:sqref>X36</xm:sqref>
        </x14:conditionalFormatting>
        <x14:conditionalFormatting xmlns:xm="http://schemas.microsoft.com/office/excel/2006/main">
          <x14:cfRule type="cellIs" priority="87" operator="equal" id="{23E90977-580B-4F29-A173-8DAACFFFE559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88" operator="equal" id="{70D4BA82-97D3-437B-A678-9A021162099F}">
            <xm:f>'Tabelas AUX'!$E$5</xm:f>
            <x14:dxf>
              <font>
                <color rgb="FF00B050"/>
              </font>
            </x14:dxf>
          </x14:cfRule>
          <xm:sqref>Y33</xm:sqref>
        </x14:conditionalFormatting>
        <x14:conditionalFormatting xmlns:xm="http://schemas.microsoft.com/office/excel/2006/main">
          <x14:cfRule type="cellIs" priority="61" operator="equal" id="{801F5DF1-2FF9-42D3-8C9E-763EE1FD0730}">
            <xm:f>'Tabelas AUX'!$E$8</xm:f>
            <x14:dxf>
              <font>
                <color theme="8"/>
              </font>
            </x14:dxf>
          </x14:cfRule>
          <x14:cfRule type="cellIs" priority="62" operator="equal" id="{AADFA5E2-5524-42D2-8694-1AD3DE6D203B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63" operator="equal" id="{FDAE34B1-6EC7-43D6-B62A-A413C681E0C9}">
            <xm:f>'Tabelas AUX'!$E$5</xm:f>
            <x14:dxf>
              <font>
                <color rgb="FF00B050"/>
              </font>
            </x14:dxf>
          </x14:cfRule>
          <x14:cfRule type="cellIs" priority="64" operator="equal" id="{9681C0C1-36F9-4B07-A0E4-EBCCCE698C60}">
            <xm:f>'Tabelas AUX'!$E$4</xm:f>
            <x14:dxf>
              <font>
                <color rgb="FF7F7F7F"/>
              </font>
            </x14:dxf>
          </x14:cfRule>
          <x14:cfRule type="cellIs" priority="65" operator="equal" id="{070FCD21-9C67-4610-957E-4891EA9ED366}">
            <xm:f>'Tabelas AUX'!$E$3</xm:f>
            <x14:dxf>
              <font>
                <color theme="5"/>
              </font>
            </x14:dxf>
          </x14:cfRule>
          <x14:cfRule type="cellIs" priority="66" operator="equal" id="{10286146-1CB4-421A-AF3A-04FDCA40417C}">
            <xm:f>'Tabelas AUX'!$E$2</xm:f>
            <x14:dxf>
              <font>
                <color rgb="FFC00000"/>
              </font>
            </x14:dxf>
          </x14:cfRule>
          <xm:sqref>X17</xm:sqref>
        </x14:conditionalFormatting>
        <x14:conditionalFormatting xmlns:xm="http://schemas.microsoft.com/office/excel/2006/main">
          <x14:cfRule type="cellIs" priority="67" operator="equal" id="{BAF3E185-3E34-4DD4-AC85-CB386E1598E1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68" operator="equal" id="{68F15330-204F-46B2-BFCF-0952724BC2BC}">
            <xm:f>'Tabelas AUX'!$E$5</xm:f>
            <x14:dxf>
              <font>
                <color rgb="FF00B050"/>
              </font>
            </x14:dxf>
          </x14:cfRule>
          <xm:sqref>AE33</xm:sqref>
        </x14:conditionalFormatting>
        <x14:conditionalFormatting xmlns:xm="http://schemas.microsoft.com/office/excel/2006/main">
          <x14:cfRule type="cellIs" priority="57" operator="equal" id="{73429F6B-DED6-469F-A0FC-1BE8A1BF5429}">
            <xm:f>'Tabelas AUX'!$E$5</xm:f>
            <x14:dxf>
              <font>
                <color rgb="FF00B050"/>
              </font>
            </x14:dxf>
          </x14:cfRule>
          <x14:cfRule type="cellIs" priority="58" operator="equal" id="{5F2FA4D3-9614-4B26-B79C-9081B3313206}">
            <xm:f>'Tabelas AUX'!$E$4</xm:f>
            <x14:dxf>
              <font>
                <color rgb="FF7F7F7F"/>
              </font>
            </x14:dxf>
          </x14:cfRule>
          <x14:cfRule type="cellIs" priority="59" operator="equal" id="{03880A94-6C01-45A8-B3A9-9DA9ABA0AA6A}">
            <xm:f>'Tabelas AUX'!$E$3</xm:f>
            <x14:dxf>
              <font>
                <color theme="5"/>
              </font>
            </x14:dxf>
          </x14:cfRule>
          <x14:cfRule type="cellIs" priority="60" operator="equal" id="{F92910ED-1ABE-4358-A04B-743F86DEB29D}">
            <xm:f>'Tabelas AUX'!$E$2</xm:f>
            <x14:dxf>
              <font>
                <color rgb="FFC00000"/>
              </font>
            </x14:dxf>
          </x14:cfRule>
          <xm:sqref>T53</xm:sqref>
        </x14:conditionalFormatting>
        <x14:conditionalFormatting xmlns:xm="http://schemas.microsoft.com/office/excel/2006/main">
          <x14:cfRule type="cellIs" priority="52" operator="equal" id="{F1FD44A0-70BD-42A8-9D78-6B93C08D4CAF}">
            <xm:f>'Tabelas AUX'!$E$5</xm:f>
            <x14:dxf>
              <font>
                <color rgb="FF00B050"/>
              </font>
            </x14:dxf>
          </x14:cfRule>
          <x14:cfRule type="cellIs" priority="53" operator="equal" id="{15E30C73-F167-4C22-803C-E8E4E9080EBB}">
            <xm:f>'Tabelas AUX'!$E$4</xm:f>
            <x14:dxf>
              <font>
                <color rgb="FF7F7F7F"/>
              </font>
            </x14:dxf>
          </x14:cfRule>
          <x14:cfRule type="cellIs" priority="54" operator="equal" id="{DDAF103C-2D21-44EE-9DF2-E6C1B4F9E286}">
            <xm:f>'Tabelas AUX'!$E$3</xm:f>
            <x14:dxf>
              <font>
                <color theme="5"/>
              </font>
            </x14:dxf>
          </x14:cfRule>
          <x14:cfRule type="cellIs" priority="55" operator="equal" id="{EA768238-5043-4D1B-B249-7F17BD9C7719}">
            <xm:f>'Tabelas AUX'!$E$2</xm:f>
            <x14:dxf>
              <font>
                <color rgb="FFC00000"/>
              </font>
            </x14:dxf>
          </x14:cfRule>
          <xm:sqref>T54</xm:sqref>
        </x14:conditionalFormatting>
        <x14:conditionalFormatting xmlns:xm="http://schemas.microsoft.com/office/excel/2006/main">
          <x14:cfRule type="cellIs" priority="47" operator="equal" id="{383AB4DA-9B53-49F3-8F1F-7BFAF8241CB1}">
            <xm:f>'Tabelas AUX'!$E$5</xm:f>
            <x14:dxf>
              <font>
                <color rgb="FF00B050"/>
              </font>
            </x14:dxf>
          </x14:cfRule>
          <x14:cfRule type="cellIs" priority="48" operator="equal" id="{1651E7B2-656F-4CF9-82E4-CFB221A32FC7}">
            <xm:f>'Tabelas AUX'!$E$4</xm:f>
            <x14:dxf>
              <font>
                <color rgb="FF7F7F7F"/>
              </font>
            </x14:dxf>
          </x14:cfRule>
          <x14:cfRule type="cellIs" priority="49" operator="equal" id="{9719FC47-C023-454C-83F2-324DE3C0BC13}">
            <xm:f>'Tabelas AUX'!$E$3</xm:f>
            <x14:dxf>
              <font>
                <color theme="5"/>
              </font>
            </x14:dxf>
          </x14:cfRule>
          <x14:cfRule type="cellIs" priority="50" operator="equal" id="{4F113411-70A6-46E0-A84A-7EDE4E5352BD}">
            <xm:f>'Tabelas AUX'!$E$2</xm:f>
            <x14:dxf>
              <font>
                <color rgb="FFC00000"/>
              </font>
            </x14:dxf>
          </x14:cfRule>
          <xm:sqref>T56</xm:sqref>
        </x14:conditionalFormatting>
        <x14:conditionalFormatting xmlns:xm="http://schemas.microsoft.com/office/excel/2006/main">
          <x14:cfRule type="cellIs" priority="32" operator="equal" id="{A9699FA0-9F8D-48F4-9D24-0AF7F70CD29C}">
            <xm:f>'Tabelas AUX'!$E$5</xm:f>
            <x14:dxf>
              <font>
                <color rgb="FF00B050"/>
              </font>
            </x14:dxf>
          </x14:cfRule>
          <x14:cfRule type="cellIs" priority="33" operator="equal" id="{C87071D4-D2D7-42DF-B3E4-E3310B90D877}">
            <xm:f>'Tabelas AUX'!$E$4</xm:f>
            <x14:dxf>
              <font>
                <color rgb="FF7F7F7F"/>
              </font>
            </x14:dxf>
          </x14:cfRule>
          <x14:cfRule type="cellIs" priority="34" operator="equal" id="{B50EC1FC-77C1-4C38-8604-7D0AC78CC576}">
            <xm:f>'Tabelas AUX'!$E$3</xm:f>
            <x14:dxf>
              <font>
                <color theme="5"/>
              </font>
            </x14:dxf>
          </x14:cfRule>
          <x14:cfRule type="cellIs" priority="35" operator="equal" id="{BEC37BC3-56BF-4560-9B13-D1245D0C2620}">
            <xm:f>'Tabelas AUX'!$E$2</xm:f>
            <x14:dxf>
              <font>
                <color rgb="FFC00000"/>
              </font>
            </x14:dxf>
          </x14:cfRule>
          <xm:sqref>T62</xm:sqref>
        </x14:conditionalFormatting>
        <x14:conditionalFormatting xmlns:xm="http://schemas.microsoft.com/office/excel/2006/main">
          <x14:cfRule type="cellIs" priority="22" operator="equal" id="{EB3C4901-1B13-4F85-95CC-D3746A217F73}">
            <xm:f>'Tabelas AUX'!$E$5</xm:f>
            <x14:dxf>
              <font>
                <color rgb="FF00B050"/>
              </font>
            </x14:dxf>
          </x14:cfRule>
          <x14:cfRule type="cellIs" priority="23" operator="equal" id="{6AE5B865-0B21-4157-9831-8864F1937D75}">
            <xm:f>'Tabelas AUX'!$E$4</xm:f>
            <x14:dxf>
              <font>
                <color rgb="FF7F7F7F"/>
              </font>
            </x14:dxf>
          </x14:cfRule>
          <x14:cfRule type="cellIs" priority="24" operator="equal" id="{FC468D74-DE5A-44F4-8DF8-BBA98B4E2AFE}">
            <xm:f>'Tabelas AUX'!$E$3</xm:f>
            <x14:dxf>
              <font>
                <color theme="5"/>
              </font>
            </x14:dxf>
          </x14:cfRule>
          <x14:cfRule type="cellIs" priority="25" operator="equal" id="{CD7E7DEE-59E7-42C3-8800-BC8042ECB33D}">
            <xm:f>'Tabelas AUX'!$E$2</xm:f>
            <x14:dxf>
              <font>
                <color rgb="FFC00000"/>
              </font>
            </x14:dxf>
          </x14:cfRule>
          <xm:sqref>T57</xm:sqref>
        </x14:conditionalFormatting>
        <x14:conditionalFormatting xmlns:xm="http://schemas.microsoft.com/office/excel/2006/main">
          <x14:cfRule type="cellIs" priority="17" operator="equal" id="{EE712314-D288-42A5-9A4F-91C1EFBA291F}">
            <xm:f>'Tabelas AUX'!$E$5</xm:f>
            <x14:dxf>
              <font>
                <color rgb="FF00B050"/>
              </font>
            </x14:dxf>
          </x14:cfRule>
          <x14:cfRule type="cellIs" priority="18" operator="equal" id="{3DE62C30-03C3-4CA1-8549-3920B993776C}">
            <xm:f>'Tabelas AUX'!$E$4</xm:f>
            <x14:dxf>
              <font>
                <color rgb="FF7F7F7F"/>
              </font>
            </x14:dxf>
          </x14:cfRule>
          <x14:cfRule type="cellIs" priority="19" operator="equal" id="{74030D36-9593-4AA8-9E4D-D17950741568}">
            <xm:f>'Tabelas AUX'!$E$3</xm:f>
            <x14:dxf>
              <font>
                <color theme="5"/>
              </font>
            </x14:dxf>
          </x14:cfRule>
          <x14:cfRule type="cellIs" priority="20" operator="equal" id="{6F5E63D1-36D9-4551-AA5D-1F2615841A8F}">
            <xm:f>'Tabelas AUX'!$E$2</xm:f>
            <x14:dxf>
              <font>
                <color rgb="FFC00000"/>
              </font>
            </x14:dxf>
          </x14:cfRule>
          <xm:sqref>T59</xm:sqref>
        </x14:conditionalFormatting>
        <x14:conditionalFormatting xmlns:xm="http://schemas.microsoft.com/office/excel/2006/main">
          <x14:cfRule type="cellIs" priority="12" operator="equal" id="{F96307B9-B77A-40FE-97CA-F07A51312A34}">
            <xm:f>'Tabelas AUX'!$E$5</xm:f>
            <x14:dxf>
              <font>
                <color rgb="FF00B050"/>
              </font>
            </x14:dxf>
          </x14:cfRule>
          <x14:cfRule type="cellIs" priority="13" operator="equal" id="{77D31A85-6535-4B8F-A2F6-3A22578A87D2}">
            <xm:f>'Tabelas AUX'!$E$4</xm:f>
            <x14:dxf>
              <font>
                <color rgb="FF7F7F7F"/>
              </font>
            </x14:dxf>
          </x14:cfRule>
          <x14:cfRule type="cellIs" priority="14" operator="equal" id="{5840D665-EE65-45F0-93BB-A907CF0A97D9}">
            <xm:f>'Tabelas AUX'!$E$3</xm:f>
            <x14:dxf>
              <font>
                <color theme="5"/>
              </font>
            </x14:dxf>
          </x14:cfRule>
          <x14:cfRule type="cellIs" priority="15" operator="equal" id="{B410BEA0-6A58-4370-883F-037CF1E38E0E}">
            <xm:f>'Tabelas AUX'!$E$2</xm:f>
            <x14:dxf>
              <font>
                <color rgb="FFC00000"/>
              </font>
            </x14:dxf>
          </x14:cfRule>
          <xm:sqref>T63</xm:sqref>
        </x14:conditionalFormatting>
        <x14:conditionalFormatting xmlns:xm="http://schemas.microsoft.com/office/excel/2006/main">
          <x14:cfRule type="cellIs" priority="7" operator="equal" id="{03B255C0-95F0-40A7-9733-F5ED5E287B7D}">
            <xm:f>'Tabelas AUX'!$E$5</xm:f>
            <x14:dxf>
              <font>
                <color rgb="FF00B050"/>
              </font>
            </x14:dxf>
          </x14:cfRule>
          <x14:cfRule type="cellIs" priority="8" operator="equal" id="{8F51574F-18BF-40F4-9871-3EEBAC2A8FE3}">
            <xm:f>'Tabelas AUX'!$E$4</xm:f>
            <x14:dxf>
              <font>
                <color rgb="FF7F7F7F"/>
              </font>
            </x14:dxf>
          </x14:cfRule>
          <x14:cfRule type="cellIs" priority="9" operator="equal" id="{409EC0EC-5A11-4F25-95EB-EEBCB5C1EB3C}">
            <xm:f>'Tabelas AUX'!$E$3</xm:f>
            <x14:dxf>
              <font>
                <color theme="5"/>
              </font>
            </x14:dxf>
          </x14:cfRule>
          <x14:cfRule type="cellIs" priority="10" operator="equal" id="{F17B4EE4-3484-451E-A015-6AAD80A9E681}">
            <xm:f>'Tabelas AUX'!$E$2</xm:f>
            <x14:dxf>
              <font>
                <color rgb="FFC00000"/>
              </font>
            </x14:dxf>
          </x14:cfRule>
          <xm:sqref>T64</xm:sqref>
        </x14:conditionalFormatting>
        <x14:conditionalFormatting xmlns:xm="http://schemas.microsoft.com/office/excel/2006/main">
          <x14:cfRule type="cellIs" priority="2" operator="equal" id="{9D9937CF-13E7-4508-BD9F-526DB6BC3E9D}">
            <xm:f>'Tabelas AUX'!$E$5</xm:f>
            <x14:dxf>
              <font>
                <color rgb="FF00B050"/>
              </font>
            </x14:dxf>
          </x14:cfRule>
          <x14:cfRule type="cellIs" priority="3" operator="equal" id="{1469D4B1-1B92-4574-A52D-90557B72AABB}">
            <xm:f>'Tabelas AUX'!$E$4</xm:f>
            <x14:dxf>
              <font>
                <color rgb="FF7F7F7F"/>
              </font>
            </x14:dxf>
          </x14:cfRule>
          <x14:cfRule type="cellIs" priority="4" operator="equal" id="{ABCE0F9E-52F1-4B07-93FD-D549BD224DD8}">
            <xm:f>'Tabelas AUX'!$E$3</xm:f>
            <x14:dxf>
              <font>
                <color theme="5"/>
              </font>
            </x14:dxf>
          </x14:cfRule>
          <x14:cfRule type="cellIs" priority="5" operator="equal" id="{A3BF7CE7-514F-411E-ACAF-411D8856FE2D}">
            <xm:f>'Tabelas AUX'!$E$2</xm:f>
            <x14:dxf>
              <font>
                <color rgb="FFC00000"/>
              </font>
            </x14:dxf>
          </x14:cfRule>
          <xm:sqref>X58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'Tabelas AUX'!$E$2:$E$12</xm:f>
          </x14:formula1>
          <xm:sqref>X82:X87</xm:sqref>
        </x14:dataValidation>
        <x14:dataValidation type="list" allowBlank="1" showInputMessage="1" showErrorMessage="1">
          <x14:formula1>
            <xm:f>'Tabelas AUX'!$E$2:$E$5</xm:f>
          </x14:formula1>
          <xm:sqref>T13:T81</xm:sqref>
        </x14:dataValidation>
        <x14:dataValidation type="list" allowBlank="1" showInputMessage="1" showErrorMessage="1">
          <x14:formula1>
            <xm:f>'Tabelas AUX'!$G$2:$G$16</xm:f>
          </x14:formula1>
          <xm:sqref>X13:X81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pageSetUpPr autoPageBreaks="0"/>
  </sheetPr>
  <dimension ref="A1:AE31"/>
  <sheetViews>
    <sheetView showGridLines="0" topLeftCell="G1" zoomScale="85" zoomScaleNormal="85" workbookViewId="0">
      <pane ySplit="12" topLeftCell="A13" activePane="bottomLeft" state="frozen"/>
      <selection pane="bottomLeft" activeCell="X11" sqref="X11:AE11"/>
    </sheetView>
  </sheetViews>
  <sheetFormatPr defaultRowHeight="15" outlineLevelRow="1" outlineLevelCol="1" x14ac:dyDescent="0.25"/>
  <cols>
    <col min="1" max="1" width="3.7109375" customWidth="1"/>
    <col min="2" max="2" width="30.42578125" customWidth="1"/>
    <col min="3" max="3" width="9.42578125" bestFit="1" customWidth="1"/>
    <col min="4" max="4" width="27.5703125" bestFit="1" customWidth="1"/>
    <col min="5" max="5" width="17" bestFit="1" customWidth="1"/>
    <col min="6" max="6" width="44.28515625" bestFit="1" customWidth="1"/>
    <col min="7" max="7" width="12.7109375" customWidth="1"/>
    <col min="8" max="8" width="2" customWidth="1"/>
    <col min="9" max="9" width="29.28515625" hidden="1" customWidth="1" outlineLevel="1"/>
    <col min="10" max="10" width="26.85546875" hidden="1" customWidth="1" outlineLevel="1"/>
    <col min="11" max="11" width="21" hidden="1" customWidth="1" outlineLevel="1"/>
    <col min="12" max="12" width="29.28515625" bestFit="1" customWidth="1" collapsed="1"/>
    <col min="13" max="13" width="45.140625" bestFit="1" customWidth="1"/>
    <col min="14" max="14" width="24.42578125" customWidth="1"/>
    <col min="15" max="15" width="20.28515625" hidden="1" customWidth="1" outlineLevel="1"/>
    <col min="16" max="17" width="42.42578125" hidden="1" customWidth="1" outlineLevel="1"/>
    <col min="18" max="18" width="30.5703125" hidden="1" customWidth="1" outlineLevel="1"/>
    <col min="19" max="19" width="2.140625" customWidth="1" collapsed="1"/>
    <col min="20" max="20" width="14.140625" hidden="1" customWidth="1" outlineLevel="1"/>
    <col min="21" max="21" width="21.42578125" hidden="1" customWidth="1" outlineLevel="1"/>
    <col min="22" max="22" width="42.7109375" hidden="1" customWidth="1" outlineLevel="1"/>
    <col min="23" max="23" width="2.140625" customWidth="1" collapsed="1"/>
    <col min="24" max="24" width="15" customWidth="1" outlineLevel="1"/>
    <col min="25" max="25" width="24.85546875" customWidth="1" outlineLevel="1"/>
    <col min="26" max="26" width="9.85546875" customWidth="1" outlineLevel="1"/>
    <col min="27" max="27" width="2.140625" customWidth="1"/>
    <col min="28" max="28" width="20.42578125" bestFit="1" customWidth="1" outlineLevel="1"/>
    <col min="29" max="29" width="18.42578125" bestFit="1" customWidth="1" outlineLevel="1"/>
    <col min="30" max="30" width="20" bestFit="1" customWidth="1" outlineLevel="1"/>
    <col min="31" max="31" width="75.7109375" customWidth="1" outlineLevel="1"/>
  </cols>
  <sheetData>
    <row r="1" spans="1:31" ht="15" customHeight="1" x14ac:dyDescent="0.25">
      <c r="B1" s="47"/>
      <c r="C1" s="47"/>
      <c r="D1" s="47"/>
      <c r="F1" s="47"/>
      <c r="G1" s="47"/>
    </row>
    <row r="2" spans="1:31" ht="34.5" customHeight="1" x14ac:dyDescent="0.25">
      <c r="B2" s="47"/>
      <c r="C2" s="47"/>
      <c r="D2" s="48"/>
      <c r="F2" s="47"/>
      <c r="G2" s="47"/>
    </row>
    <row r="3" spans="1:31" ht="2.25" customHeight="1" x14ac:dyDescent="0.25">
      <c r="A3" s="20"/>
      <c r="B3" s="49"/>
      <c r="C3" s="49"/>
      <c r="D3" s="49"/>
      <c r="E3" s="49"/>
      <c r="F3" s="49"/>
      <c r="G3" s="49"/>
    </row>
    <row r="4" spans="1:31" ht="15" customHeight="1" x14ac:dyDescent="0.25">
      <c r="B4" s="47"/>
      <c r="C4" s="47"/>
      <c r="D4" s="47"/>
      <c r="F4" s="47"/>
      <c r="G4" s="47"/>
    </row>
    <row r="5" spans="1:31" ht="15" customHeight="1" x14ac:dyDescent="0.25">
      <c r="B5" s="50" t="s">
        <v>503</v>
      </c>
      <c r="C5" s="50"/>
      <c r="D5" s="47"/>
      <c r="F5" s="47"/>
      <c r="G5" s="47"/>
    </row>
    <row r="6" spans="1:31" ht="15" customHeight="1" x14ac:dyDescent="0.25">
      <c r="B6" s="47"/>
      <c r="C6" s="47"/>
      <c r="D6" s="47"/>
      <c r="F6" s="47"/>
      <c r="G6" s="47"/>
    </row>
    <row r="7" spans="1:31" ht="129.75" hidden="1" customHeight="1" outlineLevel="1" x14ac:dyDescent="0.25">
      <c r="B7" s="51" t="s">
        <v>65</v>
      </c>
      <c r="C7" s="222" t="s">
        <v>504</v>
      </c>
      <c r="D7" s="222"/>
      <c r="E7" s="222"/>
      <c r="F7" s="222"/>
      <c r="G7" s="222"/>
      <c r="H7" s="52"/>
      <c r="I7" s="52"/>
      <c r="S7" s="52"/>
      <c r="W7" s="52"/>
      <c r="X7" s="52"/>
      <c r="AA7" s="52"/>
    </row>
    <row r="8" spans="1:31" ht="15" hidden="1" customHeight="1" outlineLevel="1" x14ac:dyDescent="0.25">
      <c r="B8" s="47"/>
      <c r="C8" s="47"/>
      <c r="D8" s="47"/>
      <c r="F8" s="47"/>
      <c r="G8" s="47"/>
    </row>
    <row r="9" spans="1:31" ht="15" hidden="1" customHeight="1" outlineLevel="1" x14ac:dyDescent="0.25">
      <c r="B9" s="47"/>
      <c r="C9" s="47"/>
      <c r="D9" s="47"/>
      <c r="F9" s="47"/>
      <c r="G9" s="47"/>
    </row>
    <row r="10" spans="1:31" ht="15" hidden="1" customHeight="1" outlineLevel="1" x14ac:dyDescent="0.25">
      <c r="B10" s="47"/>
      <c r="C10" s="47"/>
      <c r="D10" s="47"/>
      <c r="F10" s="47"/>
      <c r="G10" s="47"/>
    </row>
    <row r="11" spans="1:31" collapsed="1" x14ac:dyDescent="0.25">
      <c r="B11" s="212" t="s">
        <v>67</v>
      </c>
      <c r="C11" s="213"/>
      <c r="D11" s="213"/>
      <c r="E11" s="213"/>
      <c r="F11" s="213"/>
      <c r="G11" s="214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  <c r="X11" s="207" t="s">
        <v>72</v>
      </c>
      <c r="Y11" s="208"/>
      <c r="Z11" s="208"/>
      <c r="AB11" s="207" t="s">
        <v>255</v>
      </c>
      <c r="AC11" s="208"/>
      <c r="AD11" s="208"/>
      <c r="AE11" s="209"/>
    </row>
    <row r="12" spans="1:31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  <c r="X12" s="61" t="s">
        <v>86</v>
      </c>
      <c r="Y12" s="61" t="s">
        <v>89</v>
      </c>
      <c r="Z12" s="61" t="s">
        <v>90</v>
      </c>
      <c r="AB12" s="61" t="s">
        <v>166</v>
      </c>
      <c r="AC12" s="61" t="s">
        <v>167</v>
      </c>
      <c r="AD12" s="61" t="s">
        <v>168</v>
      </c>
      <c r="AE12" s="61" t="s">
        <v>88</v>
      </c>
    </row>
    <row r="13" spans="1:31" ht="16.5" customHeight="1" x14ac:dyDescent="0.25">
      <c r="B13" s="70" t="s">
        <v>45</v>
      </c>
      <c r="C13" s="70">
        <v>1</v>
      </c>
      <c r="D13" s="73" t="s">
        <v>260</v>
      </c>
      <c r="E13" s="70" t="s">
        <v>225</v>
      </c>
      <c r="F13" s="70" t="s">
        <v>261</v>
      </c>
      <c r="G13" s="73" t="s">
        <v>505</v>
      </c>
      <c r="H13" s="47"/>
      <c r="I13" s="70" t="s">
        <v>20</v>
      </c>
      <c r="J13" s="70" t="s">
        <v>227</v>
      </c>
      <c r="K13" s="70" t="s">
        <v>263</v>
      </c>
      <c r="L13" s="70" t="s">
        <v>29</v>
      </c>
      <c r="M13" s="70" t="s">
        <v>33</v>
      </c>
      <c r="N13" s="70" t="s">
        <v>260</v>
      </c>
      <c r="O13" s="70" t="s">
        <v>264</v>
      </c>
      <c r="P13" s="70"/>
      <c r="Q13" s="70"/>
      <c r="R13" s="70"/>
      <c r="S13" s="47"/>
      <c r="T13" s="75" t="s">
        <v>97</v>
      </c>
      <c r="U13" s="69">
        <v>44812</v>
      </c>
      <c r="V13" s="72"/>
      <c r="W13" s="47"/>
      <c r="X13" s="75" t="s">
        <v>149</v>
      </c>
      <c r="Y13" s="135">
        <v>45009</v>
      </c>
      <c r="Z13" s="69"/>
      <c r="AA13" s="47"/>
      <c r="AB13" s="69"/>
      <c r="AC13" s="69"/>
      <c r="AD13" s="69"/>
      <c r="AE13" s="69" t="s">
        <v>506</v>
      </c>
    </row>
    <row r="14" spans="1:31" ht="15" customHeight="1" x14ac:dyDescent="0.25">
      <c r="B14" s="70" t="s">
        <v>45</v>
      </c>
      <c r="C14" s="70">
        <v>2</v>
      </c>
      <c r="D14" s="73" t="s">
        <v>265</v>
      </c>
      <c r="E14" s="70" t="s">
        <v>225</v>
      </c>
      <c r="F14" s="70" t="s">
        <v>266</v>
      </c>
      <c r="G14" s="73" t="s">
        <v>505</v>
      </c>
      <c r="H14" s="47"/>
      <c r="I14" s="70" t="s">
        <v>20</v>
      </c>
      <c r="J14" s="70" t="s">
        <v>227</v>
      </c>
      <c r="K14" s="70" t="s">
        <v>228</v>
      </c>
      <c r="L14" s="70" t="s">
        <v>29</v>
      </c>
      <c r="M14" s="70" t="s">
        <v>33</v>
      </c>
      <c r="N14" s="70" t="s">
        <v>265</v>
      </c>
      <c r="O14" s="70" t="s">
        <v>264</v>
      </c>
      <c r="P14" s="70"/>
      <c r="Q14" s="70"/>
      <c r="R14" s="70"/>
      <c r="S14" s="47"/>
      <c r="T14" s="75" t="s">
        <v>97</v>
      </c>
      <c r="U14" s="69">
        <v>44812</v>
      </c>
      <c r="V14" s="72"/>
      <c r="W14" s="47"/>
      <c r="X14" s="75" t="s">
        <v>149</v>
      </c>
      <c r="Y14" s="135">
        <v>45009</v>
      </c>
      <c r="Z14" s="69"/>
      <c r="AA14" s="47"/>
      <c r="AB14" s="69"/>
      <c r="AC14" s="69"/>
      <c r="AD14" s="69"/>
      <c r="AE14" s="69" t="s">
        <v>506</v>
      </c>
    </row>
    <row r="15" spans="1:31" ht="15" customHeight="1" x14ac:dyDescent="0.25">
      <c r="B15" s="70" t="s">
        <v>45</v>
      </c>
      <c r="C15" s="70">
        <v>3</v>
      </c>
      <c r="D15" s="73" t="s">
        <v>267</v>
      </c>
      <c r="E15" s="70" t="s">
        <v>225</v>
      </c>
      <c r="F15" s="70" t="s">
        <v>268</v>
      </c>
      <c r="G15" s="73" t="s">
        <v>505</v>
      </c>
      <c r="H15" s="47"/>
      <c r="I15" s="70" t="s">
        <v>20</v>
      </c>
      <c r="J15" s="70" t="s">
        <v>227</v>
      </c>
      <c r="K15" s="70" t="s">
        <v>231</v>
      </c>
      <c r="L15" s="70" t="s">
        <v>29</v>
      </c>
      <c r="M15" s="70" t="s">
        <v>33</v>
      </c>
      <c r="N15" s="70" t="s">
        <v>267</v>
      </c>
      <c r="O15" s="70" t="s">
        <v>264</v>
      </c>
      <c r="P15" s="70"/>
      <c r="Q15" s="70"/>
      <c r="R15" s="70"/>
      <c r="S15" s="47"/>
      <c r="T15" s="75" t="s">
        <v>97</v>
      </c>
      <c r="U15" s="69">
        <v>44812</v>
      </c>
      <c r="V15" s="72"/>
      <c r="W15" s="47"/>
      <c r="X15" s="75" t="s">
        <v>149</v>
      </c>
      <c r="Y15" s="135">
        <v>45009</v>
      </c>
      <c r="Z15" s="69"/>
      <c r="AA15" s="47"/>
      <c r="AB15" s="69"/>
      <c r="AC15" s="69"/>
      <c r="AD15" s="69"/>
      <c r="AE15" s="69" t="s">
        <v>506</v>
      </c>
    </row>
    <row r="16" spans="1:31" ht="15" customHeight="1" x14ac:dyDescent="0.25">
      <c r="B16" s="70" t="s">
        <v>45</v>
      </c>
      <c r="C16" s="70">
        <v>4</v>
      </c>
      <c r="D16" s="73" t="s">
        <v>270</v>
      </c>
      <c r="E16" s="70" t="s">
        <v>225</v>
      </c>
      <c r="F16" s="70" t="s">
        <v>271</v>
      </c>
      <c r="G16" s="73" t="s">
        <v>505</v>
      </c>
      <c r="H16" s="47"/>
      <c r="I16" s="70" t="s">
        <v>20</v>
      </c>
      <c r="J16" s="70" t="s">
        <v>227</v>
      </c>
      <c r="K16" s="70" t="s">
        <v>234</v>
      </c>
      <c r="L16" s="70" t="s">
        <v>29</v>
      </c>
      <c r="M16" s="70" t="s">
        <v>33</v>
      </c>
      <c r="N16" s="70" t="s">
        <v>270</v>
      </c>
      <c r="O16" s="70" t="s">
        <v>264</v>
      </c>
      <c r="P16" s="70"/>
      <c r="Q16" s="70"/>
      <c r="R16" s="70"/>
      <c r="S16" s="47"/>
      <c r="T16" s="75" t="s">
        <v>97</v>
      </c>
      <c r="U16" s="69">
        <v>44812</v>
      </c>
      <c r="V16" s="72"/>
      <c r="W16" s="47"/>
      <c r="X16" s="75" t="s">
        <v>149</v>
      </c>
      <c r="Y16" s="135">
        <v>45009</v>
      </c>
      <c r="Z16" s="69"/>
      <c r="AA16" s="47"/>
      <c r="AB16" s="69"/>
      <c r="AC16" s="69"/>
      <c r="AD16" s="69"/>
      <c r="AE16" s="69" t="s">
        <v>506</v>
      </c>
    </row>
    <row r="17" spans="2:31" ht="120" customHeight="1" x14ac:dyDescent="0.25">
      <c r="B17" s="70" t="s">
        <v>45</v>
      </c>
      <c r="C17" s="70">
        <v>5</v>
      </c>
      <c r="D17" s="68" t="s">
        <v>507</v>
      </c>
      <c r="E17" s="68" t="s">
        <v>508</v>
      </c>
      <c r="F17" s="68" t="s">
        <v>509</v>
      </c>
      <c r="G17" s="68"/>
      <c r="H17" s="47"/>
      <c r="I17" s="68"/>
      <c r="J17" s="68"/>
      <c r="K17" s="68"/>
      <c r="L17" s="70" t="s">
        <v>408</v>
      </c>
      <c r="M17" s="70" t="s">
        <v>510</v>
      </c>
      <c r="N17" s="68" t="s">
        <v>507</v>
      </c>
      <c r="O17" s="68"/>
      <c r="P17" s="70" t="s">
        <v>511</v>
      </c>
      <c r="Q17" s="111" t="s">
        <v>512</v>
      </c>
      <c r="R17" s="70" t="s">
        <v>513</v>
      </c>
      <c r="S17" s="47"/>
      <c r="T17" s="75" t="s">
        <v>97</v>
      </c>
      <c r="U17" s="69">
        <v>44959</v>
      </c>
      <c r="V17" s="126" t="s">
        <v>514</v>
      </c>
      <c r="W17" s="47"/>
      <c r="X17" s="75" t="s">
        <v>149</v>
      </c>
      <c r="Y17" s="135">
        <v>45009</v>
      </c>
      <c r="Z17" s="69"/>
      <c r="AA17" s="47"/>
      <c r="AB17" s="69"/>
      <c r="AC17" s="69"/>
      <c r="AD17" s="69"/>
      <c r="AE17" s="69" t="s">
        <v>506</v>
      </c>
    </row>
    <row r="18" spans="2:31" ht="120" customHeight="1" x14ac:dyDescent="0.25">
      <c r="B18" s="70" t="s">
        <v>45</v>
      </c>
      <c r="C18" s="70">
        <v>6</v>
      </c>
      <c r="D18" s="68" t="s">
        <v>515</v>
      </c>
      <c r="E18" s="68" t="s">
        <v>508</v>
      </c>
      <c r="F18" s="68" t="s">
        <v>516</v>
      </c>
      <c r="G18" s="68"/>
      <c r="H18" s="47"/>
      <c r="I18" s="68"/>
      <c r="J18" s="68"/>
      <c r="K18" s="68"/>
      <c r="L18" s="70" t="s">
        <v>408</v>
      </c>
      <c r="M18" s="70" t="s">
        <v>510</v>
      </c>
      <c r="N18" s="68" t="s">
        <v>515</v>
      </c>
      <c r="O18" s="68"/>
      <c r="P18" s="70" t="s">
        <v>511</v>
      </c>
      <c r="Q18" s="111" t="s">
        <v>512</v>
      </c>
      <c r="R18" s="70" t="s">
        <v>513</v>
      </c>
      <c r="S18" s="47"/>
      <c r="T18" s="75" t="s">
        <v>97</v>
      </c>
      <c r="U18" s="69">
        <v>44959</v>
      </c>
      <c r="V18" s="126" t="s">
        <v>514</v>
      </c>
      <c r="W18" s="47"/>
      <c r="X18" s="75" t="s">
        <v>149</v>
      </c>
      <c r="Y18" s="135">
        <v>45009</v>
      </c>
      <c r="Z18" s="69"/>
      <c r="AA18" s="47"/>
      <c r="AB18" s="69"/>
      <c r="AC18" s="69"/>
      <c r="AD18" s="69"/>
      <c r="AE18" s="69" t="s">
        <v>506</v>
      </c>
    </row>
    <row r="19" spans="2:31" ht="120" customHeight="1" x14ac:dyDescent="0.25">
      <c r="B19" s="70" t="s">
        <v>45</v>
      </c>
      <c r="C19" s="70">
        <v>7</v>
      </c>
      <c r="D19" s="68" t="s">
        <v>517</v>
      </c>
      <c r="E19" s="68" t="s">
        <v>508</v>
      </c>
      <c r="F19" s="68" t="s">
        <v>518</v>
      </c>
      <c r="G19" s="68"/>
      <c r="H19" s="47"/>
      <c r="I19" s="68"/>
      <c r="J19" s="68"/>
      <c r="K19" s="68"/>
      <c r="L19" s="70" t="s">
        <v>408</v>
      </c>
      <c r="M19" s="70" t="s">
        <v>510</v>
      </c>
      <c r="N19" s="68" t="s">
        <v>517</v>
      </c>
      <c r="O19" s="68"/>
      <c r="P19" s="70" t="s">
        <v>511</v>
      </c>
      <c r="Q19" s="111" t="s">
        <v>512</v>
      </c>
      <c r="R19" s="70" t="s">
        <v>513</v>
      </c>
      <c r="S19" s="47"/>
      <c r="T19" s="75" t="s">
        <v>97</v>
      </c>
      <c r="U19" s="69">
        <v>44959</v>
      </c>
      <c r="V19" s="126" t="s">
        <v>514</v>
      </c>
      <c r="W19" s="47"/>
      <c r="X19" s="75" t="s">
        <v>149</v>
      </c>
      <c r="Y19" s="135">
        <v>45009</v>
      </c>
      <c r="Z19" s="69"/>
      <c r="AA19" s="47"/>
      <c r="AB19" s="69"/>
      <c r="AC19" s="69"/>
      <c r="AD19" s="69"/>
      <c r="AE19" s="69" t="s">
        <v>506</v>
      </c>
    </row>
    <row r="20" spans="2:31" ht="120" customHeight="1" x14ac:dyDescent="0.25">
      <c r="B20" s="70" t="s">
        <v>45</v>
      </c>
      <c r="C20" s="70">
        <v>8</v>
      </c>
      <c r="D20" s="68" t="s">
        <v>519</v>
      </c>
      <c r="E20" s="68" t="s">
        <v>520</v>
      </c>
      <c r="F20" s="68" t="s">
        <v>521</v>
      </c>
      <c r="G20" s="68"/>
      <c r="H20" s="47"/>
      <c r="I20" s="68"/>
      <c r="J20" s="68"/>
      <c r="K20" s="68"/>
      <c r="L20" s="70" t="s">
        <v>408</v>
      </c>
      <c r="M20" s="70" t="s">
        <v>510</v>
      </c>
      <c r="N20" s="68" t="s">
        <v>519</v>
      </c>
      <c r="O20" s="68"/>
      <c r="P20" s="70" t="s">
        <v>511</v>
      </c>
      <c r="Q20" s="111" t="s">
        <v>512</v>
      </c>
      <c r="R20" s="70" t="s">
        <v>513</v>
      </c>
      <c r="S20" s="47"/>
      <c r="T20" s="75" t="s">
        <v>97</v>
      </c>
      <c r="U20" s="69">
        <v>44959</v>
      </c>
      <c r="V20" s="126" t="s">
        <v>514</v>
      </c>
      <c r="W20" s="47"/>
      <c r="X20" s="75" t="s">
        <v>149</v>
      </c>
      <c r="Y20" s="135">
        <v>45009</v>
      </c>
      <c r="Z20" s="69"/>
      <c r="AA20" s="47"/>
      <c r="AB20" s="69"/>
      <c r="AC20" s="69"/>
      <c r="AD20" s="69"/>
      <c r="AE20" s="69" t="s">
        <v>506</v>
      </c>
    </row>
    <row r="21" spans="2:31" ht="60" customHeight="1" x14ac:dyDescent="0.25">
      <c r="B21" s="70" t="s">
        <v>45</v>
      </c>
      <c r="C21" s="70">
        <v>9</v>
      </c>
      <c r="D21" s="70" t="s">
        <v>522</v>
      </c>
      <c r="E21" s="68" t="s">
        <v>508</v>
      </c>
      <c r="F21" s="70" t="s">
        <v>523</v>
      </c>
      <c r="G21" s="70" t="s">
        <v>289</v>
      </c>
      <c r="H21" s="47"/>
      <c r="I21" s="70"/>
      <c r="J21" s="70" t="s">
        <v>313</v>
      </c>
      <c r="K21" s="70" t="s">
        <v>524</v>
      </c>
      <c r="L21" s="70" t="s">
        <v>408</v>
      </c>
      <c r="M21" s="70" t="s">
        <v>510</v>
      </c>
      <c r="N21" s="70" t="s">
        <v>522</v>
      </c>
      <c r="O21" s="70"/>
      <c r="P21" s="70" t="s">
        <v>511</v>
      </c>
      <c r="Q21" s="111" t="s">
        <v>512</v>
      </c>
      <c r="R21" s="70" t="s">
        <v>513</v>
      </c>
      <c r="S21" s="47"/>
      <c r="T21" s="75" t="s">
        <v>97</v>
      </c>
      <c r="U21" s="69">
        <v>44931</v>
      </c>
      <c r="V21" s="72"/>
      <c r="W21" s="47"/>
      <c r="X21" s="75" t="s">
        <v>149</v>
      </c>
      <c r="Y21" s="135">
        <v>45009</v>
      </c>
      <c r="Z21" s="69"/>
      <c r="AA21" s="47"/>
      <c r="AB21" s="69"/>
      <c r="AC21" s="69"/>
      <c r="AD21" s="69"/>
      <c r="AE21" s="69" t="s">
        <v>506</v>
      </c>
    </row>
    <row r="22" spans="2:31" ht="105" customHeight="1" x14ac:dyDescent="0.25">
      <c r="B22" s="70" t="s">
        <v>45</v>
      </c>
      <c r="C22" s="70">
        <v>10</v>
      </c>
      <c r="D22" s="70" t="s">
        <v>525</v>
      </c>
      <c r="E22" s="68" t="s">
        <v>508</v>
      </c>
      <c r="F22" s="70" t="s">
        <v>526</v>
      </c>
      <c r="G22" s="70" t="s">
        <v>289</v>
      </c>
      <c r="H22" s="47"/>
      <c r="I22" s="70"/>
      <c r="J22" s="70" t="s">
        <v>313</v>
      </c>
      <c r="K22" s="70" t="s">
        <v>527</v>
      </c>
      <c r="L22" s="70" t="s">
        <v>408</v>
      </c>
      <c r="M22" s="70" t="s">
        <v>510</v>
      </c>
      <c r="N22" s="70" t="s">
        <v>525</v>
      </c>
      <c r="O22" s="70" t="s">
        <v>299</v>
      </c>
      <c r="P22" s="70" t="s">
        <v>511</v>
      </c>
      <c r="Q22" s="111" t="s">
        <v>512</v>
      </c>
      <c r="R22" s="70" t="s">
        <v>513</v>
      </c>
      <c r="S22" s="47"/>
      <c r="T22" s="75" t="s">
        <v>97</v>
      </c>
      <c r="U22" s="69">
        <v>45062</v>
      </c>
      <c r="V22" s="72" t="s">
        <v>528</v>
      </c>
      <c r="W22" s="47"/>
      <c r="X22" s="75" t="s">
        <v>149</v>
      </c>
      <c r="Y22" s="135">
        <v>45141</v>
      </c>
      <c r="Z22" s="69"/>
      <c r="AA22" s="47"/>
      <c r="AB22" s="69"/>
      <c r="AC22" s="69"/>
      <c r="AD22" s="69"/>
      <c r="AE22" s="69" t="s">
        <v>506</v>
      </c>
    </row>
    <row r="23" spans="2:31" ht="30" customHeight="1" x14ac:dyDescent="0.25">
      <c r="B23" s="70" t="s">
        <v>45</v>
      </c>
      <c r="C23" s="70">
        <v>11</v>
      </c>
      <c r="D23" s="70" t="s">
        <v>529</v>
      </c>
      <c r="E23" s="70" t="s">
        <v>225</v>
      </c>
      <c r="F23" s="70" t="s">
        <v>530</v>
      </c>
      <c r="G23" s="70"/>
      <c r="H23" s="47"/>
      <c r="I23" s="70"/>
      <c r="J23" s="70" t="s">
        <v>354</v>
      </c>
      <c r="K23" s="70" t="s">
        <v>531</v>
      </c>
      <c r="L23" s="70" t="s">
        <v>408</v>
      </c>
      <c r="M23" s="70" t="s">
        <v>510</v>
      </c>
      <c r="N23" s="70" t="s">
        <v>529</v>
      </c>
      <c r="O23" s="70"/>
      <c r="P23" s="70"/>
      <c r="Q23" s="70"/>
      <c r="R23" s="70" t="s">
        <v>532</v>
      </c>
      <c r="S23" s="47"/>
      <c r="T23" s="75" t="s">
        <v>97</v>
      </c>
      <c r="U23" s="69">
        <v>45062</v>
      </c>
      <c r="V23" s="72" t="s">
        <v>533</v>
      </c>
      <c r="W23" s="47"/>
      <c r="X23" s="75" t="s">
        <v>149</v>
      </c>
      <c r="Y23" s="135">
        <v>45141</v>
      </c>
      <c r="Z23" s="69"/>
      <c r="AA23" s="47"/>
      <c r="AB23" s="69"/>
      <c r="AC23" s="69"/>
      <c r="AD23" s="69"/>
      <c r="AE23" s="69" t="s">
        <v>506</v>
      </c>
    </row>
    <row r="24" spans="2:31" ht="30" customHeight="1" x14ac:dyDescent="0.25">
      <c r="B24" s="70" t="s">
        <v>45</v>
      </c>
      <c r="C24" s="70">
        <v>12</v>
      </c>
      <c r="D24" s="70" t="s">
        <v>534</v>
      </c>
      <c r="E24" s="70" t="s">
        <v>225</v>
      </c>
      <c r="F24" s="70" t="s">
        <v>535</v>
      </c>
      <c r="G24" s="70"/>
      <c r="H24" s="47"/>
      <c r="I24" s="70"/>
      <c r="J24" s="70" t="s">
        <v>354</v>
      </c>
      <c r="K24" s="70" t="s">
        <v>536</v>
      </c>
      <c r="L24" s="70" t="s">
        <v>408</v>
      </c>
      <c r="M24" s="70" t="s">
        <v>510</v>
      </c>
      <c r="N24" s="70" t="s">
        <v>534</v>
      </c>
      <c r="O24" s="70"/>
      <c r="P24" s="70"/>
      <c r="Q24" s="70"/>
      <c r="R24" s="70" t="s">
        <v>532</v>
      </c>
      <c r="S24" s="47"/>
      <c r="T24" s="75" t="s">
        <v>97</v>
      </c>
      <c r="U24" s="69">
        <v>45062</v>
      </c>
      <c r="V24" s="72" t="s">
        <v>533</v>
      </c>
      <c r="W24" s="47"/>
      <c r="X24" s="75" t="s">
        <v>149</v>
      </c>
      <c r="Y24" s="135">
        <v>45141</v>
      </c>
      <c r="Z24" s="69"/>
      <c r="AA24" s="47"/>
      <c r="AB24" s="69"/>
      <c r="AC24" s="69"/>
      <c r="AD24" s="69"/>
      <c r="AE24" s="69" t="s">
        <v>506</v>
      </c>
    </row>
    <row r="25" spans="2:31" ht="45" x14ac:dyDescent="0.25">
      <c r="B25" s="70" t="s">
        <v>45</v>
      </c>
      <c r="C25" s="70">
        <v>13</v>
      </c>
      <c r="D25" s="70" t="s">
        <v>537</v>
      </c>
      <c r="E25" s="68" t="s">
        <v>508</v>
      </c>
      <c r="F25" s="70" t="s">
        <v>538</v>
      </c>
      <c r="G25" s="70"/>
      <c r="H25" s="47"/>
      <c r="I25" s="70"/>
      <c r="J25" s="70" t="s">
        <v>354</v>
      </c>
      <c r="K25" s="70" t="s">
        <v>539</v>
      </c>
      <c r="L25" s="70" t="s">
        <v>408</v>
      </c>
      <c r="M25" s="70" t="s">
        <v>510</v>
      </c>
      <c r="N25" s="70" t="s">
        <v>537</v>
      </c>
      <c r="O25" s="70"/>
      <c r="P25" s="70"/>
      <c r="Q25" s="70"/>
      <c r="R25" s="70" t="s">
        <v>532</v>
      </c>
      <c r="S25" s="47"/>
      <c r="T25" s="75" t="s">
        <v>97</v>
      </c>
      <c r="U25" s="69">
        <v>45062</v>
      </c>
      <c r="V25" s="72" t="s">
        <v>533</v>
      </c>
      <c r="W25" s="47"/>
      <c r="X25" s="75" t="s">
        <v>149</v>
      </c>
      <c r="Y25" s="135">
        <v>45141</v>
      </c>
      <c r="Z25" s="69"/>
      <c r="AA25" s="47"/>
      <c r="AB25" s="69"/>
      <c r="AC25" s="69"/>
      <c r="AD25" s="69"/>
      <c r="AE25" s="69" t="s">
        <v>506</v>
      </c>
    </row>
    <row r="26" spans="2:31" ht="45" x14ac:dyDescent="0.25">
      <c r="B26" s="70" t="s">
        <v>45</v>
      </c>
      <c r="C26" s="70">
        <v>14</v>
      </c>
      <c r="D26" s="70" t="s">
        <v>540</v>
      </c>
      <c r="E26" s="68" t="s">
        <v>541</v>
      </c>
      <c r="F26" s="70" t="s">
        <v>542</v>
      </c>
      <c r="G26" s="70"/>
      <c r="H26" s="47"/>
      <c r="I26" s="70"/>
      <c r="J26" s="70" t="s">
        <v>354</v>
      </c>
      <c r="K26" s="70" t="s">
        <v>543</v>
      </c>
      <c r="L26" s="70" t="s">
        <v>408</v>
      </c>
      <c r="M26" s="70" t="s">
        <v>510</v>
      </c>
      <c r="N26" s="70" t="s">
        <v>540</v>
      </c>
      <c r="O26" s="70"/>
      <c r="P26" s="70"/>
      <c r="Q26" s="70"/>
      <c r="R26" s="70" t="s">
        <v>532</v>
      </c>
      <c r="S26" s="47"/>
      <c r="T26" s="75" t="s">
        <v>97</v>
      </c>
      <c r="U26" s="69">
        <v>45062</v>
      </c>
      <c r="V26" s="72" t="s">
        <v>533</v>
      </c>
      <c r="W26" s="47"/>
      <c r="X26" s="75" t="s">
        <v>149</v>
      </c>
      <c r="Y26" s="135">
        <v>45141</v>
      </c>
      <c r="Z26" s="69"/>
      <c r="AA26" s="47"/>
      <c r="AB26" s="69"/>
      <c r="AC26" s="69"/>
      <c r="AD26" s="69"/>
      <c r="AE26" s="69" t="s">
        <v>506</v>
      </c>
    </row>
    <row r="27" spans="2:31" ht="60" x14ac:dyDescent="0.25">
      <c r="B27" s="70" t="s">
        <v>45</v>
      </c>
      <c r="C27" s="70">
        <v>15</v>
      </c>
      <c r="D27" s="70" t="s">
        <v>544</v>
      </c>
      <c r="E27" s="70" t="s">
        <v>311</v>
      </c>
      <c r="F27" s="70" t="s">
        <v>545</v>
      </c>
      <c r="G27" s="70" t="s">
        <v>289</v>
      </c>
      <c r="H27" s="47"/>
      <c r="I27" s="70"/>
      <c r="J27" s="70" t="s">
        <v>354</v>
      </c>
      <c r="K27" s="70" t="s">
        <v>546</v>
      </c>
      <c r="L27" s="70" t="s">
        <v>408</v>
      </c>
      <c r="M27" s="70" t="s">
        <v>510</v>
      </c>
      <c r="N27" s="70" t="s">
        <v>544</v>
      </c>
      <c r="O27" s="70"/>
      <c r="P27" s="70"/>
      <c r="Q27" s="70"/>
      <c r="R27" s="70" t="s">
        <v>532</v>
      </c>
      <c r="S27" s="47"/>
      <c r="T27" s="75" t="s">
        <v>97</v>
      </c>
      <c r="U27" s="69">
        <v>45062</v>
      </c>
      <c r="V27" s="72" t="s">
        <v>533</v>
      </c>
      <c r="W27" s="47"/>
      <c r="X27" s="75" t="s">
        <v>149</v>
      </c>
      <c r="Y27" s="135">
        <v>45141</v>
      </c>
      <c r="Z27" s="69"/>
      <c r="AA27" s="47"/>
      <c r="AB27" s="69"/>
      <c r="AC27" s="69"/>
      <c r="AD27" s="69"/>
      <c r="AE27" s="69" t="s">
        <v>506</v>
      </c>
    </row>
    <row r="28" spans="2:31" ht="45" x14ac:dyDescent="0.25">
      <c r="B28" s="70" t="s">
        <v>45</v>
      </c>
      <c r="C28" s="70">
        <v>16</v>
      </c>
      <c r="D28" s="70" t="s">
        <v>547</v>
      </c>
      <c r="E28" s="70" t="s">
        <v>225</v>
      </c>
      <c r="F28" s="70" t="s">
        <v>548</v>
      </c>
      <c r="G28" s="70"/>
      <c r="H28" s="47"/>
      <c r="I28" s="70"/>
      <c r="J28" s="70" t="s">
        <v>354</v>
      </c>
      <c r="K28" s="70" t="s">
        <v>549</v>
      </c>
      <c r="L28" s="70" t="s">
        <v>408</v>
      </c>
      <c r="M28" s="70" t="s">
        <v>550</v>
      </c>
      <c r="N28" s="70" t="s">
        <v>551</v>
      </c>
      <c r="O28" s="70" t="s">
        <v>296</v>
      </c>
      <c r="P28" s="70"/>
      <c r="Q28" s="70"/>
      <c r="R28" s="70" t="s">
        <v>552</v>
      </c>
      <c r="S28" s="47"/>
      <c r="T28" s="75" t="s">
        <v>97</v>
      </c>
      <c r="U28" s="69">
        <v>45246</v>
      </c>
      <c r="V28" s="72" t="s">
        <v>446</v>
      </c>
      <c r="W28" s="47"/>
      <c r="X28" s="75" t="s">
        <v>149</v>
      </c>
      <c r="Y28" s="135">
        <v>45303</v>
      </c>
      <c r="Z28" s="69"/>
      <c r="AA28" s="47"/>
      <c r="AB28" s="69"/>
      <c r="AC28" s="69"/>
      <c r="AD28" s="69"/>
      <c r="AE28" s="69"/>
    </row>
    <row r="29" spans="2:31" ht="14.25" customHeight="1" x14ac:dyDescent="0.25">
      <c r="B29" s="68"/>
      <c r="C29" s="68"/>
      <c r="D29" s="68"/>
      <c r="E29" s="68"/>
      <c r="F29" s="68"/>
      <c r="G29" s="68"/>
      <c r="H29" s="47"/>
      <c r="I29" s="68"/>
      <c r="J29" s="68"/>
      <c r="K29" s="68"/>
      <c r="L29" s="68"/>
      <c r="M29" s="68"/>
      <c r="N29" s="68"/>
      <c r="O29" s="68"/>
      <c r="P29" s="68"/>
      <c r="Q29" s="70"/>
      <c r="R29" s="70"/>
      <c r="S29" s="47"/>
      <c r="T29" s="75"/>
      <c r="U29" s="69"/>
      <c r="V29" s="72"/>
      <c r="W29" s="47"/>
      <c r="X29" s="68"/>
      <c r="Y29" s="69"/>
      <c r="Z29" s="69"/>
      <c r="AA29" s="47"/>
      <c r="AB29" s="69"/>
      <c r="AC29" s="69"/>
      <c r="AD29" s="69"/>
      <c r="AE29" s="69"/>
    </row>
    <row r="30" spans="2:31" ht="14.25" customHeight="1" x14ac:dyDescent="0.25">
      <c r="B30" s="68"/>
      <c r="C30" s="68"/>
      <c r="D30" s="68"/>
      <c r="E30" s="68"/>
      <c r="F30" s="68"/>
      <c r="G30" s="68"/>
      <c r="H30" s="47"/>
      <c r="I30" s="68"/>
      <c r="J30" s="68"/>
      <c r="K30" s="68"/>
      <c r="L30" s="68"/>
      <c r="M30" s="68"/>
      <c r="N30" s="68"/>
      <c r="O30" s="68"/>
      <c r="P30" s="68"/>
      <c r="Q30" s="70"/>
      <c r="R30" s="70"/>
      <c r="S30" s="47"/>
      <c r="T30" s="75"/>
      <c r="U30" s="69"/>
      <c r="V30" s="72"/>
      <c r="W30" s="47"/>
      <c r="X30" s="68"/>
      <c r="Y30" s="69"/>
      <c r="Z30" s="69"/>
      <c r="AA30" s="47"/>
      <c r="AB30" s="69"/>
      <c r="AC30" s="69"/>
      <c r="AD30" s="69"/>
      <c r="AE30" s="69"/>
    </row>
    <row r="31" spans="2:31" ht="14.25" customHeight="1" x14ac:dyDescent="0.25">
      <c r="B31" s="68"/>
      <c r="C31" s="68"/>
      <c r="D31" s="68"/>
      <c r="E31" s="68"/>
      <c r="F31" s="68"/>
      <c r="G31" s="68"/>
      <c r="H31" s="47"/>
      <c r="I31" s="68"/>
      <c r="J31" s="68"/>
      <c r="K31" s="68"/>
      <c r="L31" s="68"/>
      <c r="M31" s="68"/>
      <c r="N31" s="68"/>
      <c r="O31" s="68"/>
      <c r="P31" s="68"/>
      <c r="Q31" s="70"/>
      <c r="R31" s="70"/>
      <c r="S31" s="47"/>
      <c r="T31" s="75"/>
      <c r="U31" s="69"/>
      <c r="V31" s="72"/>
      <c r="W31" s="47"/>
      <c r="X31" s="68"/>
      <c r="Y31" s="69"/>
      <c r="Z31" s="69"/>
      <c r="AA31" s="47"/>
      <c r="AB31" s="69"/>
      <c r="AC31" s="69"/>
      <c r="AD31" s="69"/>
      <c r="AE31" s="69"/>
    </row>
  </sheetData>
  <autoFilter ref="A12:AE28"/>
  <mergeCells count="8">
    <mergeCell ref="T11:V11"/>
    <mergeCell ref="X11:Z11"/>
    <mergeCell ref="AB11:AE11"/>
    <mergeCell ref="C7:G7"/>
    <mergeCell ref="B11:G11"/>
    <mergeCell ref="I11:K11"/>
    <mergeCell ref="L11:N11"/>
    <mergeCell ref="O11:R11"/>
  </mergeCells>
  <conditionalFormatting sqref="T29:T31">
    <cfRule type="cellIs" dxfId="972" priority="161" operator="equal">
      <formula>"Testes utilizador"</formula>
    </cfRule>
  </conditionalFormatting>
  <conditionalFormatting sqref="T13">
    <cfRule type="cellIs" dxfId="971" priority="16" operator="equal">
      <formula>"Testes utilizador"</formula>
    </cfRule>
  </conditionalFormatting>
  <conditionalFormatting sqref="T14:T28">
    <cfRule type="cellIs" dxfId="970" priority="11" operator="equal">
      <formula>"Testes utilizador"</formula>
    </cfRule>
  </conditionalFormatting>
  <conditionalFormatting sqref="X13">
    <cfRule type="cellIs" dxfId="969" priority="6" operator="equal">
      <formula>"Testes utilizador"</formula>
    </cfRule>
  </conditionalFormatting>
  <conditionalFormatting sqref="X14:X28">
    <cfRule type="cellIs" dxfId="968" priority="1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46" operator="equal" id="{EE8E849B-E3E2-4460-9D65-52FCBF9AAB7A}">
            <xm:f>'Tabelas AUX'!$E$4</xm:f>
            <x14:dxf>
              <font>
                <color rgb="FF7F7F7F"/>
              </font>
            </x14:dxf>
          </x14:cfRule>
          <x14:cfRule type="cellIs" priority="447" operator="equal" id="{592C6919-1FD4-4B21-8819-89686DF52DD0}">
            <xm:f>'Tabelas AUX'!$E$3</xm:f>
            <x14:dxf>
              <font>
                <color theme="5"/>
              </font>
            </x14:dxf>
          </x14:cfRule>
          <x14:cfRule type="cellIs" priority="448" operator="equal" id="{B9759557-C6D2-4B20-A516-065E6459ACDC}">
            <xm:f>'Tabelas AUX'!$E$2</xm:f>
            <x14:dxf>
              <font>
                <color rgb="FFC00000"/>
              </font>
            </x14:dxf>
          </x14:cfRule>
          <xm:sqref>T1:T12</xm:sqref>
        </x14:conditionalFormatting>
        <x14:conditionalFormatting xmlns:xm="http://schemas.microsoft.com/office/excel/2006/main">
          <x14:cfRule type="cellIs" priority="445" operator="equal" id="{B1533B1A-B300-4A56-95C5-61D510D079E0}">
            <xm:f>'Tabelas AUX'!$E$5</xm:f>
            <x14:dxf>
              <font>
                <color rgb="FF00B050"/>
              </font>
            </x14:dxf>
          </x14:cfRule>
          <xm:sqref>T1:V12 U13:V27</xm:sqref>
        </x14:conditionalFormatting>
        <x14:conditionalFormatting xmlns:xm="http://schemas.microsoft.com/office/excel/2006/main">
          <x14:cfRule type="cellIs" priority="194" operator="equal" id="{46D03927-C156-47F1-8207-5D7C75937708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m:sqref>T1:V12 U13:V28</xm:sqref>
        </x14:conditionalFormatting>
        <x14:conditionalFormatting xmlns:xm="http://schemas.microsoft.com/office/excel/2006/main">
          <x14:cfRule type="cellIs" priority="195" operator="equal" id="{A808B8E8-3C5B-4BE8-A826-A1A72DB4E757}">
            <xm:f>'Tabelas AUX'!$E$5</xm:f>
            <x14:dxf>
              <font>
                <color rgb="FF00B050"/>
              </font>
            </x14:dxf>
          </x14:cfRule>
          <xm:sqref>U28:V28</xm:sqref>
        </x14:conditionalFormatting>
        <x14:conditionalFormatting xmlns:xm="http://schemas.microsoft.com/office/excel/2006/main">
          <x14:cfRule type="cellIs" priority="187" operator="equal" id="{02136965-11BC-45D2-A1D4-BB12B95E999F}">
            <xm:f>'Tabelas AUX'!$E$8</xm:f>
            <x14:dxf>
              <font>
                <color theme="8"/>
              </font>
            </x14:dxf>
          </x14:cfRule>
          <x14:cfRule type="cellIs" priority="188" operator="equal" id="{977C733B-9AB8-47DE-BE55-74BAC7971A9B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89" operator="equal" id="{D085D4E6-DBC7-49F6-934F-96517BAEF3EC}">
            <xm:f>'Tabelas AUX'!$E$5</xm:f>
            <x14:dxf>
              <font>
                <color rgb="FF00B050"/>
              </font>
            </x14:dxf>
          </x14:cfRule>
          <x14:cfRule type="cellIs" priority="190" operator="equal" id="{DA4C0FA7-6AB7-472E-8919-A2CC1345AFF5}">
            <xm:f>'Tabelas AUX'!$E$4</xm:f>
            <x14:dxf>
              <font>
                <color rgb="FF7F7F7F"/>
              </font>
            </x14:dxf>
          </x14:cfRule>
          <x14:cfRule type="cellIs" priority="191" operator="equal" id="{6FF4E580-9F88-4087-9524-44201715750D}">
            <xm:f>'Tabelas AUX'!$E$3</xm:f>
            <x14:dxf>
              <font>
                <color theme="5"/>
              </font>
            </x14:dxf>
          </x14:cfRule>
          <x14:cfRule type="cellIs" priority="192" operator="equal" id="{51683D35-999B-481F-8274-7D7BC4A1C4AD}">
            <xm:f>'Tabelas AUX'!$E$2</xm:f>
            <x14:dxf>
              <font>
                <color rgb="FFC00000"/>
              </font>
            </x14:dxf>
          </x14:cfRule>
          <xm:sqref>X29:X1048576</xm:sqref>
        </x14:conditionalFormatting>
        <x14:conditionalFormatting xmlns:xm="http://schemas.microsoft.com/office/excel/2006/main">
          <x14:cfRule type="cellIs" priority="162" operator="equal" id="{9CD4070F-0104-431E-9D3A-57074D7E86CA}">
            <xm:f>'Tabelas AUX'!$E$5</xm:f>
            <x14:dxf>
              <font>
                <color rgb="FF00B050"/>
              </font>
            </x14:dxf>
          </x14:cfRule>
          <x14:cfRule type="cellIs" priority="163" operator="equal" id="{CB3F54C0-56EB-490E-AE8D-93297330ECDC}">
            <xm:f>'Tabelas AUX'!$E$4</xm:f>
            <x14:dxf>
              <font>
                <color rgb="FF7F7F7F"/>
              </font>
            </x14:dxf>
          </x14:cfRule>
          <x14:cfRule type="cellIs" priority="164" operator="equal" id="{9E8EC02D-C3FA-4209-B696-9B6C89FF4916}">
            <xm:f>'Tabelas AUX'!$E$3</xm:f>
            <x14:dxf>
              <font>
                <color theme="5"/>
              </font>
            </x14:dxf>
          </x14:cfRule>
          <x14:cfRule type="cellIs" priority="165" operator="equal" id="{B35AC588-39B6-49F5-A9CA-CF519CDE962B}">
            <xm:f>'Tabelas AUX'!$E$2</xm:f>
            <x14:dxf>
              <font>
                <color rgb="FFC00000"/>
              </font>
            </x14:dxf>
          </x14:cfRule>
          <xm:sqref>T29:T31</xm:sqref>
        </x14:conditionalFormatting>
        <x14:conditionalFormatting xmlns:xm="http://schemas.microsoft.com/office/excel/2006/main">
          <x14:cfRule type="cellIs" priority="17" operator="equal" id="{39EDA634-5F3F-4919-9771-587BB272797E}">
            <xm:f>'Tabelas AUX'!$E$5</xm:f>
            <x14:dxf>
              <font>
                <color rgb="FF00B050"/>
              </font>
            </x14:dxf>
          </x14:cfRule>
          <x14:cfRule type="cellIs" priority="18" operator="equal" id="{A276DE38-8663-4611-B899-32973AEB0CF5}">
            <xm:f>'Tabelas AUX'!$E$4</xm:f>
            <x14:dxf>
              <font>
                <color rgb="FF7F7F7F"/>
              </font>
            </x14:dxf>
          </x14:cfRule>
          <x14:cfRule type="cellIs" priority="19" operator="equal" id="{05CE77BE-D3AF-4847-802D-5B041EF758AA}">
            <xm:f>'Tabelas AUX'!$E$3</xm:f>
            <x14:dxf>
              <font>
                <color theme="5"/>
              </font>
            </x14:dxf>
          </x14:cfRule>
          <x14:cfRule type="cellIs" priority="20" operator="equal" id="{5E1268B2-0A25-4A49-BE37-4EDDABCBA0C1}">
            <xm:f>'Tabelas AUX'!$E$2</xm:f>
            <x14:dxf>
              <font>
                <color rgb="FFC00000"/>
              </font>
            </x14:dxf>
          </x14:cfRule>
          <xm:sqref>T13</xm:sqref>
        </x14:conditionalFormatting>
        <x14:conditionalFormatting xmlns:xm="http://schemas.microsoft.com/office/excel/2006/main">
          <x14:cfRule type="cellIs" priority="12" operator="equal" id="{A3FD37CF-5709-4602-B31B-B18FE4B79522}">
            <xm:f>'Tabelas AUX'!$E$5</xm:f>
            <x14:dxf>
              <font>
                <color rgb="FF00B050"/>
              </font>
            </x14:dxf>
          </x14:cfRule>
          <x14:cfRule type="cellIs" priority="13" operator="equal" id="{ADCBCFAA-ED22-452C-BD6A-E8CE24D36F11}">
            <xm:f>'Tabelas AUX'!$E$4</xm:f>
            <x14:dxf>
              <font>
                <color rgb="FF7F7F7F"/>
              </font>
            </x14:dxf>
          </x14:cfRule>
          <x14:cfRule type="cellIs" priority="14" operator="equal" id="{3F931341-15EB-4763-B3F3-648E0718A96D}">
            <xm:f>'Tabelas AUX'!$E$3</xm:f>
            <x14:dxf>
              <font>
                <color theme="5"/>
              </font>
            </x14:dxf>
          </x14:cfRule>
          <x14:cfRule type="cellIs" priority="15" operator="equal" id="{47579DE4-957F-443C-9279-973318092EF6}">
            <xm:f>'Tabelas AUX'!$E$2</xm:f>
            <x14:dxf>
              <font>
                <color rgb="FFC00000"/>
              </font>
            </x14:dxf>
          </x14:cfRule>
          <xm:sqref>T14:T28</xm:sqref>
        </x14:conditionalFormatting>
        <x14:conditionalFormatting xmlns:xm="http://schemas.microsoft.com/office/excel/2006/main">
          <x14:cfRule type="cellIs" priority="7" operator="equal" id="{69805C3F-5BBC-492E-BF0E-C69F5D00793C}">
            <xm:f>'Tabelas AUX'!$E$5</xm:f>
            <x14:dxf>
              <font>
                <color rgb="FF00B050"/>
              </font>
            </x14:dxf>
          </x14:cfRule>
          <x14:cfRule type="cellIs" priority="8" operator="equal" id="{56A9C726-F695-423A-9B5E-2C91E40CD101}">
            <xm:f>'Tabelas AUX'!$E$4</xm:f>
            <x14:dxf>
              <font>
                <color rgb="FF7F7F7F"/>
              </font>
            </x14:dxf>
          </x14:cfRule>
          <x14:cfRule type="cellIs" priority="9" operator="equal" id="{B80D67CC-9A00-4A59-81E9-E9C9C5EC52BB}">
            <xm:f>'Tabelas AUX'!$E$3</xm:f>
            <x14:dxf>
              <font>
                <color theme="5"/>
              </font>
            </x14:dxf>
          </x14:cfRule>
          <x14:cfRule type="cellIs" priority="10" operator="equal" id="{9F14905B-E5B6-42A4-9224-6FC1C478083F}">
            <xm:f>'Tabelas AUX'!$E$2</xm:f>
            <x14:dxf>
              <font>
                <color rgb="FFC00000"/>
              </font>
            </x14:dxf>
          </x14:cfRule>
          <xm:sqref>X13</xm:sqref>
        </x14:conditionalFormatting>
        <x14:conditionalFormatting xmlns:xm="http://schemas.microsoft.com/office/excel/2006/main">
          <x14:cfRule type="cellIs" priority="2" operator="equal" id="{E49833BA-5402-436C-9959-B672163BF98C}">
            <xm:f>'Tabelas AUX'!$E$5</xm:f>
            <x14:dxf>
              <font>
                <color rgb="FF00B050"/>
              </font>
            </x14:dxf>
          </x14:cfRule>
          <x14:cfRule type="cellIs" priority="3" operator="equal" id="{2B1FC6C5-2C99-4283-9A05-A2185E07C12E}">
            <xm:f>'Tabelas AUX'!$E$4</xm:f>
            <x14:dxf>
              <font>
                <color rgb="FF7F7F7F"/>
              </font>
            </x14:dxf>
          </x14:cfRule>
          <x14:cfRule type="cellIs" priority="4" operator="equal" id="{924BAF40-5F8A-45E7-8121-35D567FEE887}">
            <xm:f>'Tabelas AUX'!$E$3</xm:f>
            <x14:dxf>
              <font>
                <color theme="5"/>
              </font>
            </x14:dxf>
          </x14:cfRule>
          <x14:cfRule type="cellIs" priority="5" operator="equal" id="{F6D98D3B-FDEA-4071-9289-F3BE540AF1E1}">
            <xm:f>'Tabelas AUX'!$E$2</xm:f>
            <x14:dxf>
              <font>
                <color rgb="FFC00000"/>
              </font>
            </x14:dxf>
          </x14:cfRule>
          <xm:sqref>X14:X28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'Tabelas AUX'!$E$2:$E$5</xm:f>
          </x14:formula1>
          <xm:sqref>T13:T28</xm:sqref>
        </x14:dataValidation>
        <x14:dataValidation type="list" allowBlank="1" showInputMessage="1" showErrorMessage="1">
          <x14:formula1>
            <xm:f>'Tabelas AUX'!$G$2:$G$13</xm:f>
          </x14:formula1>
          <xm:sqref>X13:X28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pageSetUpPr autoPageBreaks="0"/>
  </sheetPr>
  <dimension ref="A1:AE31"/>
  <sheetViews>
    <sheetView showGridLines="0" topLeftCell="H1" zoomScale="85" zoomScaleNormal="85" workbookViewId="0">
      <pane ySplit="12" topLeftCell="A13" activePane="bottomLeft" state="frozen"/>
      <selection pane="bottomLeft" activeCell="X11" sqref="X11:AE11"/>
    </sheetView>
  </sheetViews>
  <sheetFormatPr defaultRowHeight="15" outlineLevelRow="1" outlineLevelCol="1" x14ac:dyDescent="0.25"/>
  <cols>
    <col min="1" max="1" width="3.7109375" customWidth="1"/>
    <col min="2" max="2" width="30.42578125" customWidth="1"/>
    <col min="3" max="3" width="9.42578125" bestFit="1" customWidth="1"/>
    <col min="4" max="4" width="27.5703125" bestFit="1" customWidth="1"/>
    <col min="5" max="5" width="17" bestFit="1" customWidth="1"/>
    <col min="6" max="6" width="44.28515625" bestFit="1" customWidth="1"/>
    <col min="7" max="7" width="12.7109375" customWidth="1"/>
    <col min="8" max="8" width="2" customWidth="1"/>
    <col min="9" max="9" width="29.28515625" hidden="1" customWidth="1" outlineLevel="1"/>
    <col min="10" max="10" width="26.85546875" hidden="1" customWidth="1" outlineLevel="1"/>
    <col min="11" max="11" width="21" hidden="1" customWidth="1" outlineLevel="1"/>
    <col min="12" max="12" width="29.28515625" bestFit="1" customWidth="1" collapsed="1"/>
    <col min="13" max="13" width="44.28515625" customWidth="1"/>
    <col min="14" max="14" width="24.42578125" customWidth="1"/>
    <col min="15" max="15" width="20.28515625" hidden="1" customWidth="1" outlineLevel="1"/>
    <col min="16" max="17" width="42.42578125" hidden="1" customWidth="1" outlineLevel="1"/>
    <col min="18" max="18" width="30.5703125" hidden="1" customWidth="1" outlineLevel="1"/>
    <col min="19" max="19" width="2.140625" customWidth="1" collapsed="1"/>
    <col min="20" max="20" width="14.140625" customWidth="1" outlineLevel="1"/>
    <col min="21" max="21" width="21.42578125" bestFit="1" customWidth="1" outlineLevel="1"/>
    <col min="22" max="22" width="42.7109375" customWidth="1" outlineLevel="1"/>
    <col min="23" max="23" width="2.140625" customWidth="1"/>
    <col min="24" max="24" width="15" customWidth="1" outlineLevel="1"/>
    <col min="25" max="25" width="24.85546875" customWidth="1" outlineLevel="1"/>
    <col min="26" max="26" width="9.85546875" bestFit="1" customWidth="1" outlineLevel="1"/>
    <col min="27" max="27" width="2.140625" customWidth="1"/>
    <col min="28" max="28" width="20.42578125" bestFit="1" customWidth="1" outlineLevel="1"/>
    <col min="29" max="29" width="18.42578125" bestFit="1" customWidth="1" outlineLevel="1"/>
    <col min="30" max="30" width="20" bestFit="1" customWidth="1" outlineLevel="1"/>
    <col min="31" max="31" width="75.7109375" bestFit="1" customWidth="1" outlineLevel="1"/>
  </cols>
  <sheetData>
    <row r="1" spans="1:31" ht="15" customHeight="1" x14ac:dyDescent="0.25">
      <c r="B1" s="47"/>
      <c r="C1" s="47"/>
      <c r="D1" s="47"/>
      <c r="F1" s="47"/>
      <c r="G1" s="47"/>
    </row>
    <row r="2" spans="1:31" ht="34.5" customHeight="1" x14ac:dyDescent="0.25">
      <c r="B2" s="47"/>
      <c r="C2" s="47"/>
      <c r="D2" s="48"/>
      <c r="F2" s="47"/>
      <c r="G2" s="47"/>
    </row>
    <row r="3" spans="1:31" ht="2.25" customHeight="1" x14ac:dyDescent="0.25">
      <c r="A3" s="20"/>
      <c r="B3" s="49"/>
      <c r="C3" s="49"/>
      <c r="D3" s="49"/>
      <c r="E3" s="49"/>
      <c r="F3" s="49"/>
      <c r="G3" s="49"/>
    </row>
    <row r="4" spans="1:31" ht="15" customHeight="1" x14ac:dyDescent="0.25">
      <c r="B4" s="47"/>
      <c r="C4" s="47"/>
      <c r="D4" s="47"/>
      <c r="F4" s="47"/>
      <c r="G4" s="47"/>
    </row>
    <row r="5" spans="1:31" ht="15" customHeight="1" x14ac:dyDescent="0.25">
      <c r="B5" s="50" t="s">
        <v>553</v>
      </c>
      <c r="C5" s="50"/>
      <c r="D5" s="47"/>
      <c r="F5" s="47"/>
      <c r="G5" s="47"/>
    </row>
    <row r="6" spans="1:31" ht="15" customHeight="1" x14ac:dyDescent="0.25">
      <c r="B6" s="47"/>
      <c r="C6" s="47"/>
      <c r="D6" s="47"/>
      <c r="F6" s="47"/>
      <c r="G6" s="47"/>
    </row>
    <row r="7" spans="1:31" ht="129.75" hidden="1" customHeight="1" outlineLevel="1" x14ac:dyDescent="0.25">
      <c r="B7" s="51" t="s">
        <v>65</v>
      </c>
      <c r="C7" s="222" t="s">
        <v>554</v>
      </c>
      <c r="D7" s="222"/>
      <c r="E7" s="222"/>
      <c r="F7" s="222"/>
      <c r="G7" s="222"/>
      <c r="H7" s="52"/>
      <c r="I7" s="52"/>
      <c r="S7" s="52"/>
      <c r="W7" s="52"/>
      <c r="X7" s="52"/>
      <c r="AA7" s="52"/>
    </row>
    <row r="8" spans="1:31" ht="15" hidden="1" customHeight="1" outlineLevel="1" x14ac:dyDescent="0.25">
      <c r="B8" s="47"/>
      <c r="C8" s="47"/>
      <c r="D8" s="47"/>
      <c r="F8" s="47"/>
      <c r="G8" s="47"/>
    </row>
    <row r="9" spans="1:31" ht="15" hidden="1" customHeight="1" outlineLevel="1" x14ac:dyDescent="0.25">
      <c r="B9" s="47"/>
      <c r="C9" s="47"/>
      <c r="D9" s="47"/>
      <c r="F9" s="47"/>
      <c r="G9" s="47"/>
    </row>
    <row r="10" spans="1:31" ht="15" hidden="1" customHeight="1" outlineLevel="1" x14ac:dyDescent="0.25">
      <c r="B10" s="47"/>
      <c r="C10" s="47"/>
      <c r="D10" s="47"/>
      <c r="F10" s="47"/>
      <c r="G10" s="47"/>
    </row>
    <row r="11" spans="1:31" collapsed="1" x14ac:dyDescent="0.25">
      <c r="B11" s="212" t="s">
        <v>67</v>
      </c>
      <c r="C11" s="213"/>
      <c r="D11" s="213"/>
      <c r="E11" s="213"/>
      <c r="F11" s="213"/>
      <c r="G11" s="214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  <c r="X11" s="207" t="s">
        <v>72</v>
      </c>
      <c r="Y11" s="208"/>
      <c r="Z11" s="208"/>
      <c r="AB11" s="207" t="s">
        <v>255</v>
      </c>
      <c r="AC11" s="208"/>
      <c r="AD11" s="208"/>
      <c r="AE11" s="209"/>
    </row>
    <row r="12" spans="1:31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  <c r="X12" s="61" t="s">
        <v>86</v>
      </c>
      <c r="Y12" s="61" t="s">
        <v>89</v>
      </c>
      <c r="Z12" s="61" t="s">
        <v>90</v>
      </c>
      <c r="AB12" s="61" t="s">
        <v>166</v>
      </c>
      <c r="AC12" s="61" t="s">
        <v>167</v>
      </c>
      <c r="AD12" s="61" t="s">
        <v>168</v>
      </c>
      <c r="AE12" s="61" t="s">
        <v>88</v>
      </c>
    </row>
    <row r="13" spans="1:31" ht="16.5" customHeight="1" x14ac:dyDescent="0.25">
      <c r="B13" s="70" t="s">
        <v>36</v>
      </c>
      <c r="C13" s="70">
        <v>1</v>
      </c>
      <c r="D13" s="73" t="s">
        <v>260</v>
      </c>
      <c r="E13" s="70" t="s">
        <v>225</v>
      </c>
      <c r="F13" s="70" t="s">
        <v>261</v>
      </c>
      <c r="G13" s="73" t="s">
        <v>505</v>
      </c>
      <c r="H13" s="47"/>
      <c r="I13" s="70" t="s">
        <v>20</v>
      </c>
      <c r="J13" s="70" t="s">
        <v>227</v>
      </c>
      <c r="K13" s="70" t="s">
        <v>263</v>
      </c>
      <c r="L13" s="70" t="s">
        <v>29</v>
      </c>
      <c r="M13" s="70" t="s">
        <v>33</v>
      </c>
      <c r="N13" s="70" t="s">
        <v>260</v>
      </c>
      <c r="O13" s="70" t="s">
        <v>264</v>
      </c>
      <c r="P13" s="70"/>
      <c r="Q13" s="70"/>
      <c r="R13" s="70"/>
      <c r="S13" s="47"/>
      <c r="T13" s="75" t="s">
        <v>97</v>
      </c>
      <c r="U13" s="69">
        <v>44812</v>
      </c>
      <c r="V13" s="72"/>
      <c r="W13" s="47"/>
      <c r="X13" s="75" t="s">
        <v>149</v>
      </c>
      <c r="Y13" s="135">
        <v>45009</v>
      </c>
      <c r="Z13" s="69"/>
      <c r="AA13" s="47"/>
      <c r="AB13" s="69"/>
      <c r="AC13" s="69"/>
      <c r="AD13" s="69"/>
      <c r="AE13" s="69" t="s">
        <v>506</v>
      </c>
    </row>
    <row r="14" spans="1:31" ht="15" customHeight="1" x14ac:dyDescent="0.25">
      <c r="B14" s="70" t="s">
        <v>36</v>
      </c>
      <c r="C14" s="70">
        <v>2</v>
      </c>
      <c r="D14" s="73" t="s">
        <v>265</v>
      </c>
      <c r="E14" s="70" t="s">
        <v>225</v>
      </c>
      <c r="F14" s="70" t="s">
        <v>266</v>
      </c>
      <c r="G14" s="73" t="s">
        <v>505</v>
      </c>
      <c r="H14" s="47"/>
      <c r="I14" s="70" t="s">
        <v>20</v>
      </c>
      <c r="J14" s="70" t="s">
        <v>227</v>
      </c>
      <c r="K14" s="70" t="s">
        <v>228</v>
      </c>
      <c r="L14" s="70" t="s">
        <v>29</v>
      </c>
      <c r="M14" s="70" t="s">
        <v>33</v>
      </c>
      <c r="N14" s="70" t="s">
        <v>265</v>
      </c>
      <c r="O14" s="70" t="s">
        <v>264</v>
      </c>
      <c r="P14" s="70"/>
      <c r="Q14" s="70"/>
      <c r="R14" s="70"/>
      <c r="S14" s="47"/>
      <c r="T14" s="75" t="s">
        <v>97</v>
      </c>
      <c r="U14" s="69">
        <v>44812</v>
      </c>
      <c r="V14" s="72"/>
      <c r="W14" s="47"/>
      <c r="X14" s="75" t="s">
        <v>149</v>
      </c>
      <c r="Y14" s="135">
        <v>45009</v>
      </c>
      <c r="Z14" s="69"/>
      <c r="AA14" s="47"/>
      <c r="AB14" s="69"/>
      <c r="AC14" s="69"/>
      <c r="AD14" s="69"/>
      <c r="AE14" s="69" t="s">
        <v>506</v>
      </c>
    </row>
    <row r="15" spans="1:31" ht="15" customHeight="1" x14ac:dyDescent="0.25">
      <c r="B15" s="70" t="s">
        <v>36</v>
      </c>
      <c r="C15" s="70">
        <v>3</v>
      </c>
      <c r="D15" s="73" t="s">
        <v>267</v>
      </c>
      <c r="E15" s="70" t="s">
        <v>225</v>
      </c>
      <c r="F15" s="70" t="s">
        <v>268</v>
      </c>
      <c r="G15" s="73" t="s">
        <v>505</v>
      </c>
      <c r="H15" s="47"/>
      <c r="I15" s="70" t="s">
        <v>20</v>
      </c>
      <c r="J15" s="70" t="s">
        <v>227</v>
      </c>
      <c r="K15" s="70" t="s">
        <v>231</v>
      </c>
      <c r="L15" s="70" t="s">
        <v>29</v>
      </c>
      <c r="M15" s="70" t="s">
        <v>33</v>
      </c>
      <c r="N15" s="70" t="s">
        <v>267</v>
      </c>
      <c r="O15" s="70" t="s">
        <v>264</v>
      </c>
      <c r="P15" s="70"/>
      <c r="Q15" s="70"/>
      <c r="R15" s="70"/>
      <c r="S15" s="47"/>
      <c r="T15" s="75" t="s">
        <v>97</v>
      </c>
      <c r="U15" s="69">
        <v>44812</v>
      </c>
      <c r="V15" s="72"/>
      <c r="W15" s="47"/>
      <c r="X15" s="75" t="s">
        <v>149</v>
      </c>
      <c r="Y15" s="135">
        <v>45009</v>
      </c>
      <c r="Z15" s="69"/>
      <c r="AA15" s="47"/>
      <c r="AB15" s="69"/>
      <c r="AC15" s="69"/>
      <c r="AD15" s="69"/>
      <c r="AE15" s="69" t="s">
        <v>506</v>
      </c>
    </row>
    <row r="16" spans="1:31" ht="15" customHeight="1" x14ac:dyDescent="0.25">
      <c r="B16" s="70" t="s">
        <v>36</v>
      </c>
      <c r="C16" s="70">
        <v>4</v>
      </c>
      <c r="D16" s="73" t="s">
        <v>270</v>
      </c>
      <c r="E16" s="70" t="s">
        <v>225</v>
      </c>
      <c r="F16" s="70" t="s">
        <v>271</v>
      </c>
      <c r="G16" s="73" t="s">
        <v>505</v>
      </c>
      <c r="H16" s="47"/>
      <c r="I16" s="70" t="s">
        <v>20</v>
      </c>
      <c r="J16" s="70" t="s">
        <v>227</v>
      </c>
      <c r="K16" s="70" t="s">
        <v>234</v>
      </c>
      <c r="L16" s="70" t="s">
        <v>29</v>
      </c>
      <c r="M16" s="70" t="s">
        <v>33</v>
      </c>
      <c r="N16" s="70" t="s">
        <v>270</v>
      </c>
      <c r="O16" s="70" t="s">
        <v>264</v>
      </c>
      <c r="P16" s="70"/>
      <c r="Q16" s="70"/>
      <c r="R16" s="70"/>
      <c r="S16" s="47"/>
      <c r="T16" s="75" t="s">
        <v>97</v>
      </c>
      <c r="U16" s="69">
        <v>44812</v>
      </c>
      <c r="V16" s="72"/>
      <c r="W16" s="47"/>
      <c r="X16" s="75" t="s">
        <v>149</v>
      </c>
      <c r="Y16" s="135">
        <v>45009</v>
      </c>
      <c r="Z16" s="69"/>
      <c r="AA16" s="47"/>
      <c r="AB16" s="69"/>
      <c r="AC16" s="69"/>
      <c r="AD16" s="69"/>
      <c r="AE16" s="69" t="s">
        <v>506</v>
      </c>
    </row>
    <row r="17" spans="2:31" ht="60" x14ac:dyDescent="0.25">
      <c r="B17" s="70" t="s">
        <v>36</v>
      </c>
      <c r="C17" s="70">
        <v>5</v>
      </c>
      <c r="D17" s="70" t="s">
        <v>287</v>
      </c>
      <c r="E17" s="70" t="s">
        <v>225</v>
      </c>
      <c r="F17" s="70" t="s">
        <v>288</v>
      </c>
      <c r="G17" s="70" t="s">
        <v>289</v>
      </c>
      <c r="H17" s="47"/>
      <c r="I17" s="70"/>
      <c r="J17" s="70" t="s">
        <v>290</v>
      </c>
      <c r="K17" s="70" t="s">
        <v>291</v>
      </c>
      <c r="L17" s="70" t="s">
        <v>555</v>
      </c>
      <c r="M17" s="70" t="s">
        <v>556</v>
      </c>
      <c r="N17" s="70" t="s">
        <v>287</v>
      </c>
      <c r="O17" s="70" t="s">
        <v>264</v>
      </c>
      <c r="P17" s="70"/>
      <c r="Q17" s="70"/>
      <c r="R17" s="70"/>
      <c r="S17" s="47"/>
      <c r="T17" s="75" t="s">
        <v>97</v>
      </c>
      <c r="U17" s="69">
        <v>44834</v>
      </c>
      <c r="V17" s="72"/>
      <c r="W17" s="47"/>
      <c r="X17" s="75" t="s">
        <v>149</v>
      </c>
      <c r="Y17" s="135">
        <v>45009</v>
      </c>
      <c r="Z17" s="69"/>
      <c r="AA17" s="47"/>
      <c r="AB17" s="69"/>
      <c r="AC17" s="69"/>
      <c r="AD17" s="69"/>
      <c r="AE17" s="69" t="s">
        <v>506</v>
      </c>
    </row>
    <row r="18" spans="2:31" ht="150" customHeight="1" x14ac:dyDescent="0.25">
      <c r="B18" s="70" t="s">
        <v>36</v>
      </c>
      <c r="C18" s="70">
        <v>6</v>
      </c>
      <c r="D18" s="70" t="s">
        <v>557</v>
      </c>
      <c r="E18" s="70" t="s">
        <v>225</v>
      </c>
      <c r="F18" s="70" t="s">
        <v>558</v>
      </c>
      <c r="G18" s="70"/>
      <c r="H18" s="47"/>
      <c r="I18" s="70"/>
      <c r="J18" s="70" t="s">
        <v>290</v>
      </c>
      <c r="K18" s="70" t="s">
        <v>559</v>
      </c>
      <c r="L18" s="70" t="s">
        <v>555</v>
      </c>
      <c r="M18" s="70" t="s">
        <v>556</v>
      </c>
      <c r="N18" s="70" t="s">
        <v>560</v>
      </c>
      <c r="O18" s="70" t="s">
        <v>264</v>
      </c>
      <c r="P18" s="70" t="s">
        <v>561</v>
      </c>
      <c r="Q18" s="70" t="s">
        <v>562</v>
      </c>
      <c r="R18" s="70" t="s">
        <v>563</v>
      </c>
      <c r="S18" s="47"/>
      <c r="T18" s="75" t="s">
        <v>97</v>
      </c>
      <c r="U18" s="69">
        <v>44834</v>
      </c>
      <c r="V18" s="72"/>
      <c r="W18" s="47"/>
      <c r="X18" s="75" t="s">
        <v>149</v>
      </c>
      <c r="Y18" s="135">
        <v>45099</v>
      </c>
      <c r="Z18" s="69"/>
      <c r="AA18" s="47"/>
      <c r="AB18" s="69"/>
      <c r="AC18" s="69"/>
      <c r="AD18" s="69"/>
      <c r="AE18" s="69" t="s">
        <v>506</v>
      </c>
    </row>
    <row r="19" spans="2:31" ht="90" customHeight="1" x14ac:dyDescent="0.25">
      <c r="B19" s="70" t="s">
        <v>36</v>
      </c>
      <c r="C19" s="70">
        <v>7</v>
      </c>
      <c r="D19" s="70" t="s">
        <v>564</v>
      </c>
      <c r="E19" s="68" t="s">
        <v>565</v>
      </c>
      <c r="F19" s="68" t="s">
        <v>566</v>
      </c>
      <c r="G19" s="68"/>
      <c r="H19" s="47"/>
      <c r="I19" s="68"/>
      <c r="J19" s="68"/>
      <c r="K19" s="68"/>
      <c r="L19" s="68" t="s">
        <v>555</v>
      </c>
      <c r="M19" s="70" t="s">
        <v>567</v>
      </c>
      <c r="N19" s="68" t="s">
        <v>564</v>
      </c>
      <c r="O19" s="68"/>
      <c r="P19" s="70" t="s">
        <v>568</v>
      </c>
      <c r="Q19" s="111" t="s">
        <v>569</v>
      </c>
      <c r="R19" s="70" t="s">
        <v>563</v>
      </c>
      <c r="S19" s="47"/>
      <c r="T19" s="75" t="s">
        <v>97</v>
      </c>
      <c r="U19" s="69">
        <v>44942</v>
      </c>
      <c r="V19" s="126" t="s">
        <v>570</v>
      </c>
      <c r="W19" s="47"/>
      <c r="X19" s="75" t="s">
        <v>149</v>
      </c>
      <c r="Y19" s="135">
        <v>45099</v>
      </c>
      <c r="Z19" s="69"/>
      <c r="AA19" s="47"/>
      <c r="AB19" s="69"/>
      <c r="AC19" s="69"/>
      <c r="AD19" s="69"/>
      <c r="AE19" s="69" t="s">
        <v>506</v>
      </c>
    </row>
    <row r="20" spans="2:31" ht="90" customHeight="1" x14ac:dyDescent="0.25">
      <c r="B20" s="70" t="s">
        <v>36</v>
      </c>
      <c r="C20" s="70">
        <v>8</v>
      </c>
      <c r="D20" s="70" t="s">
        <v>571</v>
      </c>
      <c r="E20" s="68" t="s">
        <v>565</v>
      </c>
      <c r="F20" s="68" t="s">
        <v>572</v>
      </c>
      <c r="G20" s="68"/>
      <c r="H20" s="47"/>
      <c r="I20" s="68"/>
      <c r="J20" s="68"/>
      <c r="K20" s="68"/>
      <c r="L20" s="68" t="s">
        <v>555</v>
      </c>
      <c r="M20" s="70" t="s">
        <v>567</v>
      </c>
      <c r="N20" s="68" t="s">
        <v>571</v>
      </c>
      <c r="O20" s="68"/>
      <c r="P20" s="70" t="s">
        <v>568</v>
      </c>
      <c r="Q20" s="111" t="s">
        <v>569</v>
      </c>
      <c r="R20" s="70" t="s">
        <v>563</v>
      </c>
      <c r="S20" s="47"/>
      <c r="T20" s="75" t="s">
        <v>97</v>
      </c>
      <c r="U20" s="69">
        <v>44942</v>
      </c>
      <c r="V20" s="126" t="s">
        <v>570</v>
      </c>
      <c r="W20" s="47"/>
      <c r="X20" s="75" t="s">
        <v>149</v>
      </c>
      <c r="Y20" s="135">
        <v>45099</v>
      </c>
      <c r="Z20" s="69"/>
      <c r="AA20" s="47"/>
      <c r="AB20" s="69"/>
      <c r="AC20" s="69"/>
      <c r="AD20" s="69"/>
      <c r="AE20" s="69" t="s">
        <v>506</v>
      </c>
    </row>
    <row r="21" spans="2:31" ht="90" customHeight="1" x14ac:dyDescent="0.25">
      <c r="B21" s="70" t="s">
        <v>36</v>
      </c>
      <c r="C21" s="70">
        <v>9</v>
      </c>
      <c r="D21" s="70" t="s">
        <v>573</v>
      </c>
      <c r="E21" s="68" t="s">
        <v>565</v>
      </c>
      <c r="F21" s="68" t="s">
        <v>574</v>
      </c>
      <c r="G21" s="68"/>
      <c r="H21" s="47"/>
      <c r="I21" s="68"/>
      <c r="J21" s="68"/>
      <c r="K21" s="68"/>
      <c r="L21" s="68" t="s">
        <v>555</v>
      </c>
      <c r="M21" s="70" t="s">
        <v>567</v>
      </c>
      <c r="N21" s="68" t="s">
        <v>573</v>
      </c>
      <c r="O21" s="68"/>
      <c r="P21" s="70" t="s">
        <v>568</v>
      </c>
      <c r="Q21" s="111" t="s">
        <v>569</v>
      </c>
      <c r="R21" s="70" t="s">
        <v>563</v>
      </c>
      <c r="S21" s="47"/>
      <c r="T21" s="75" t="s">
        <v>97</v>
      </c>
      <c r="U21" s="69">
        <v>44942</v>
      </c>
      <c r="V21" s="126" t="s">
        <v>570</v>
      </c>
      <c r="W21" s="47"/>
      <c r="X21" s="75" t="s">
        <v>149</v>
      </c>
      <c r="Y21" s="135">
        <v>45099</v>
      </c>
      <c r="Z21" s="69"/>
      <c r="AA21" s="47"/>
      <c r="AB21" s="69"/>
      <c r="AC21" s="69"/>
      <c r="AD21" s="69"/>
      <c r="AE21" s="69" t="s">
        <v>506</v>
      </c>
    </row>
    <row r="22" spans="2:31" ht="14.25" customHeight="1" x14ac:dyDescent="0.25">
      <c r="B22" s="70" t="s">
        <v>36</v>
      </c>
      <c r="C22" s="70">
        <v>10</v>
      </c>
      <c r="D22" s="70" t="s">
        <v>575</v>
      </c>
      <c r="E22" s="68" t="s">
        <v>565</v>
      </c>
      <c r="F22" s="68" t="s">
        <v>576</v>
      </c>
      <c r="G22" s="68"/>
      <c r="H22" s="47"/>
      <c r="I22" s="68"/>
      <c r="J22" s="68"/>
      <c r="K22" s="68"/>
      <c r="L22" s="68" t="s">
        <v>555</v>
      </c>
      <c r="M22" s="70" t="s">
        <v>567</v>
      </c>
      <c r="N22" s="68" t="s">
        <v>575</v>
      </c>
      <c r="O22" s="68"/>
      <c r="P22" s="68"/>
      <c r="Q22" s="70" t="s">
        <v>577</v>
      </c>
      <c r="R22" s="70" t="s">
        <v>578</v>
      </c>
      <c r="S22" s="47"/>
      <c r="T22" s="75" t="s">
        <v>97</v>
      </c>
      <c r="U22" s="69">
        <v>44929</v>
      </c>
      <c r="V22" s="72" t="s">
        <v>579</v>
      </c>
      <c r="W22" s="47"/>
      <c r="X22" s="75" t="s">
        <v>149</v>
      </c>
      <c r="Y22" s="135">
        <v>45099</v>
      </c>
      <c r="Z22" s="69"/>
      <c r="AA22" s="47"/>
      <c r="AB22" s="69"/>
      <c r="AC22" s="69"/>
      <c r="AD22" s="69"/>
      <c r="AE22" s="69" t="s">
        <v>506</v>
      </c>
    </row>
    <row r="23" spans="2:31" ht="75" customHeight="1" x14ac:dyDescent="0.25">
      <c r="B23" s="70" t="s">
        <v>36</v>
      </c>
      <c r="C23" s="70">
        <v>11</v>
      </c>
      <c r="D23" s="70" t="s">
        <v>580</v>
      </c>
      <c r="E23" s="68" t="s">
        <v>565</v>
      </c>
      <c r="F23" s="68" t="s">
        <v>581</v>
      </c>
      <c r="G23" s="68"/>
      <c r="H23" s="47"/>
      <c r="I23" s="68"/>
      <c r="J23" s="68"/>
      <c r="K23" s="68"/>
      <c r="L23" s="68" t="s">
        <v>555</v>
      </c>
      <c r="M23" s="70" t="s">
        <v>567</v>
      </c>
      <c r="N23" s="68" t="s">
        <v>580</v>
      </c>
      <c r="O23" s="68"/>
      <c r="P23" s="68"/>
      <c r="Q23" s="70" t="s">
        <v>577</v>
      </c>
      <c r="R23" s="70" t="s">
        <v>578</v>
      </c>
      <c r="S23" s="47"/>
      <c r="T23" s="75" t="s">
        <v>97</v>
      </c>
      <c r="U23" s="69">
        <v>44929</v>
      </c>
      <c r="V23" s="72" t="s">
        <v>579</v>
      </c>
      <c r="W23" s="47"/>
      <c r="X23" s="75" t="s">
        <v>149</v>
      </c>
      <c r="Y23" s="135">
        <v>45099</v>
      </c>
      <c r="Z23" s="69"/>
      <c r="AA23" s="47"/>
      <c r="AB23" s="69"/>
      <c r="AC23" s="69"/>
      <c r="AD23" s="69"/>
      <c r="AE23" s="69" t="s">
        <v>506</v>
      </c>
    </row>
    <row r="24" spans="2:31" ht="75" customHeight="1" x14ac:dyDescent="0.25">
      <c r="B24" s="70" t="s">
        <v>36</v>
      </c>
      <c r="C24" s="70">
        <v>12</v>
      </c>
      <c r="D24" s="70" t="s">
        <v>582</v>
      </c>
      <c r="E24" s="68" t="s">
        <v>565</v>
      </c>
      <c r="F24" s="68" t="s">
        <v>583</v>
      </c>
      <c r="G24" s="68"/>
      <c r="H24" s="47"/>
      <c r="I24" s="68"/>
      <c r="J24" s="68"/>
      <c r="K24" s="68"/>
      <c r="L24" s="68" t="s">
        <v>555</v>
      </c>
      <c r="M24" s="70" t="s">
        <v>567</v>
      </c>
      <c r="N24" s="68" t="s">
        <v>582</v>
      </c>
      <c r="O24" s="68"/>
      <c r="P24" s="68"/>
      <c r="Q24" s="70" t="s">
        <v>577</v>
      </c>
      <c r="R24" s="70" t="s">
        <v>578</v>
      </c>
      <c r="S24" s="47"/>
      <c r="T24" s="75" t="s">
        <v>97</v>
      </c>
      <c r="U24" s="69">
        <v>44929</v>
      </c>
      <c r="V24" s="72" t="s">
        <v>579</v>
      </c>
      <c r="W24" s="47"/>
      <c r="X24" s="75" t="s">
        <v>149</v>
      </c>
      <c r="Y24" s="135">
        <v>45099</v>
      </c>
      <c r="Z24" s="69"/>
      <c r="AA24" s="47"/>
      <c r="AB24" s="69"/>
      <c r="AC24" s="69"/>
      <c r="AD24" s="69"/>
      <c r="AE24" s="69" t="s">
        <v>506</v>
      </c>
    </row>
    <row r="25" spans="2:31" ht="14.25" customHeight="1" x14ac:dyDescent="0.25">
      <c r="B25" s="68"/>
      <c r="C25" s="68"/>
      <c r="D25" s="68"/>
      <c r="E25" s="68"/>
      <c r="F25" s="68"/>
      <c r="G25" s="68"/>
      <c r="H25" s="47"/>
      <c r="I25" s="68"/>
      <c r="J25" s="68"/>
      <c r="K25" s="68"/>
      <c r="L25" s="68"/>
      <c r="M25" s="68"/>
      <c r="N25" s="68"/>
      <c r="O25" s="68"/>
      <c r="P25" s="68"/>
      <c r="Q25" s="70"/>
      <c r="R25" s="70"/>
      <c r="S25" s="47"/>
      <c r="T25" s="68"/>
      <c r="U25" s="69"/>
      <c r="V25" s="72"/>
      <c r="W25" s="47"/>
      <c r="X25" s="68"/>
      <c r="Y25" s="69"/>
      <c r="Z25" s="69"/>
      <c r="AA25" s="47"/>
      <c r="AB25" s="69"/>
      <c r="AC25" s="69"/>
      <c r="AD25" s="69"/>
      <c r="AE25" s="69"/>
    </row>
    <row r="26" spans="2:31" ht="14.25" customHeight="1" x14ac:dyDescent="0.25">
      <c r="B26" s="68"/>
      <c r="C26" s="68"/>
      <c r="D26" s="68"/>
      <c r="E26" s="68"/>
      <c r="F26" s="68"/>
      <c r="G26" s="68"/>
      <c r="H26" s="47"/>
      <c r="I26" s="68"/>
      <c r="J26" s="68"/>
      <c r="K26" s="68"/>
      <c r="L26" s="68"/>
      <c r="M26" s="68"/>
      <c r="N26" s="68"/>
      <c r="O26" s="68"/>
      <c r="P26" s="68"/>
      <c r="Q26" s="70"/>
      <c r="R26" s="70"/>
      <c r="S26" s="47"/>
      <c r="T26" s="68"/>
      <c r="U26" s="69"/>
      <c r="V26" s="72"/>
      <c r="W26" s="47"/>
      <c r="X26" s="68"/>
      <c r="Y26" s="69"/>
      <c r="Z26" s="69"/>
      <c r="AA26" s="47"/>
      <c r="AB26" s="69"/>
      <c r="AC26" s="69"/>
      <c r="AD26" s="69"/>
      <c r="AE26" s="69"/>
    </row>
    <row r="27" spans="2:31" ht="14.25" customHeight="1" x14ac:dyDescent="0.25">
      <c r="B27" s="68"/>
      <c r="C27" s="68"/>
      <c r="D27" s="68"/>
      <c r="E27" s="68"/>
      <c r="F27" s="68"/>
      <c r="G27" s="68"/>
      <c r="H27" s="47"/>
      <c r="I27" s="68"/>
      <c r="J27" s="68"/>
      <c r="K27" s="68"/>
      <c r="L27" s="68"/>
      <c r="M27" s="68"/>
      <c r="N27" s="68"/>
      <c r="O27" s="68"/>
      <c r="P27" s="68"/>
      <c r="Q27" s="70"/>
      <c r="R27" s="70"/>
      <c r="S27" s="47"/>
      <c r="T27" s="68"/>
      <c r="U27" s="69"/>
      <c r="V27" s="72"/>
      <c r="W27" s="47"/>
      <c r="X27" s="68"/>
      <c r="Y27" s="69"/>
      <c r="Z27" s="69"/>
      <c r="AA27" s="47"/>
      <c r="AB27" s="69"/>
      <c r="AC27" s="69"/>
      <c r="AD27" s="69"/>
      <c r="AE27" s="69"/>
    </row>
    <row r="28" spans="2:31" ht="14.25" customHeight="1" x14ac:dyDescent="0.25">
      <c r="B28" s="68"/>
      <c r="C28" s="68"/>
      <c r="D28" s="68"/>
      <c r="E28" s="68"/>
      <c r="F28" s="68"/>
      <c r="G28" s="68"/>
      <c r="H28" s="47"/>
      <c r="I28" s="68"/>
      <c r="J28" s="68"/>
      <c r="K28" s="68"/>
      <c r="L28" s="68"/>
      <c r="M28" s="68"/>
      <c r="N28" s="68"/>
      <c r="O28" s="68"/>
      <c r="P28" s="68"/>
      <c r="Q28" s="70"/>
      <c r="R28" s="70"/>
      <c r="S28" s="47"/>
      <c r="T28" s="68"/>
      <c r="U28" s="69"/>
      <c r="V28" s="72"/>
      <c r="W28" s="47"/>
      <c r="X28" s="68"/>
      <c r="Y28" s="69"/>
      <c r="Z28" s="69"/>
      <c r="AA28" s="47"/>
      <c r="AB28" s="69"/>
      <c r="AC28" s="69"/>
      <c r="AD28" s="69"/>
      <c r="AE28" s="69"/>
    </row>
    <row r="29" spans="2:31" ht="14.25" customHeight="1" x14ac:dyDescent="0.25">
      <c r="B29" s="68"/>
      <c r="C29" s="68"/>
      <c r="D29" s="68"/>
      <c r="E29" s="68"/>
      <c r="F29" s="68"/>
      <c r="G29" s="68"/>
      <c r="H29" s="47"/>
      <c r="I29" s="68"/>
      <c r="J29" s="68"/>
      <c r="K29" s="68"/>
      <c r="L29" s="68"/>
      <c r="M29" s="68"/>
      <c r="N29" s="68"/>
      <c r="O29" s="68"/>
      <c r="P29" s="68"/>
      <c r="Q29" s="70"/>
      <c r="R29" s="70"/>
      <c r="S29" s="47"/>
      <c r="T29" s="68"/>
      <c r="U29" s="69"/>
      <c r="V29" s="72"/>
      <c r="W29" s="47"/>
      <c r="X29" s="68"/>
      <c r="Y29" s="69"/>
      <c r="Z29" s="69"/>
      <c r="AA29" s="47"/>
      <c r="AB29" s="69"/>
      <c r="AC29" s="69"/>
      <c r="AD29" s="69"/>
      <c r="AE29" s="69"/>
    </row>
    <row r="30" spans="2:31" ht="14.25" customHeight="1" x14ac:dyDescent="0.25">
      <c r="B30" s="68"/>
      <c r="C30" s="68"/>
      <c r="D30" s="68"/>
      <c r="E30" s="68"/>
      <c r="F30" s="68"/>
      <c r="G30" s="68"/>
      <c r="H30" s="47"/>
      <c r="I30" s="68"/>
      <c r="J30" s="68"/>
      <c r="K30" s="68"/>
      <c r="L30" s="68"/>
      <c r="M30" s="68"/>
      <c r="N30" s="68"/>
      <c r="O30" s="68"/>
      <c r="P30" s="68"/>
      <c r="Q30" s="70"/>
      <c r="R30" s="70"/>
      <c r="S30" s="47"/>
      <c r="T30" s="68"/>
      <c r="U30" s="69"/>
      <c r="V30" s="72"/>
      <c r="W30" s="47"/>
      <c r="X30" s="68"/>
      <c r="Y30" s="69"/>
      <c r="Z30" s="69"/>
      <c r="AA30" s="47"/>
      <c r="AB30" s="69"/>
      <c r="AC30" s="69"/>
      <c r="AD30" s="69"/>
      <c r="AE30" s="69"/>
    </row>
    <row r="31" spans="2:31" ht="14.25" customHeight="1" x14ac:dyDescent="0.25">
      <c r="B31" s="68"/>
      <c r="C31" s="68"/>
      <c r="D31" s="68"/>
      <c r="E31" s="68"/>
      <c r="F31" s="68"/>
      <c r="G31" s="68"/>
      <c r="H31" s="47"/>
      <c r="I31" s="68"/>
      <c r="J31" s="68"/>
      <c r="K31" s="68"/>
      <c r="L31" s="68"/>
      <c r="M31" s="68"/>
      <c r="N31" s="68"/>
      <c r="O31" s="68"/>
      <c r="P31" s="68"/>
      <c r="Q31" s="70"/>
      <c r="R31" s="70"/>
      <c r="S31" s="47"/>
      <c r="T31" s="68"/>
      <c r="U31" s="69"/>
      <c r="V31" s="72"/>
      <c r="W31" s="47"/>
      <c r="X31" s="68"/>
      <c r="Y31" s="69"/>
      <c r="Z31" s="69"/>
      <c r="AA31" s="47"/>
      <c r="AB31" s="69"/>
      <c r="AC31" s="69"/>
      <c r="AD31" s="69"/>
      <c r="AE31" s="69"/>
    </row>
  </sheetData>
  <autoFilter ref="B12:AE24">
    <sortState ref="B13:AA96">
      <sortCondition ref="C12:C95"/>
    </sortState>
  </autoFilter>
  <mergeCells count="8">
    <mergeCell ref="T11:V11"/>
    <mergeCell ref="X11:Z11"/>
    <mergeCell ref="AB11:AE11"/>
    <mergeCell ref="C7:G7"/>
    <mergeCell ref="B11:G11"/>
    <mergeCell ref="I11:K11"/>
    <mergeCell ref="L11:N11"/>
    <mergeCell ref="O11:R11"/>
  </mergeCells>
  <conditionalFormatting sqref="T13">
    <cfRule type="cellIs" dxfId="935" priority="16" operator="equal">
      <formula>"Testes utilizador"</formula>
    </cfRule>
  </conditionalFormatting>
  <conditionalFormatting sqref="T14:T24">
    <cfRule type="cellIs" dxfId="934" priority="11" operator="equal">
      <formula>"Testes utilizador"</formula>
    </cfRule>
  </conditionalFormatting>
  <conditionalFormatting sqref="X13">
    <cfRule type="cellIs" dxfId="933" priority="6" operator="equal">
      <formula>"Testes utilizador"</formula>
    </cfRule>
  </conditionalFormatting>
  <conditionalFormatting sqref="X14:X24">
    <cfRule type="cellIs" dxfId="932" priority="1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32" operator="equal" id="{1AC2F0DE-6A3E-4A56-BF91-7577ED161094}">
            <xm:f>'Tabelas AUX'!$E$4</xm:f>
            <x14:dxf>
              <font>
                <color rgb="FF7F7F7F"/>
              </font>
            </x14:dxf>
          </x14:cfRule>
          <x14:cfRule type="cellIs" priority="233" operator="equal" id="{C534B724-15C9-41A5-8DD5-37F944F674B8}">
            <xm:f>'Tabelas AUX'!$E$3</xm:f>
            <x14:dxf>
              <font>
                <color theme="5"/>
              </font>
            </x14:dxf>
          </x14:cfRule>
          <x14:cfRule type="cellIs" priority="234" operator="equal" id="{D94CA26A-0F48-44E4-AA5E-38C64150B416}">
            <xm:f>'Tabelas AUX'!$E$2</xm:f>
            <x14:dxf>
              <font>
                <color rgb="FFC00000"/>
              </font>
            </x14:dxf>
          </x14:cfRule>
          <xm:sqref>T1:T12</xm:sqref>
        </x14:conditionalFormatting>
        <x14:conditionalFormatting xmlns:xm="http://schemas.microsoft.com/office/excel/2006/main">
          <x14:cfRule type="cellIs" priority="63" operator="equal" id="{CF7AD08A-BEBA-4C31-8D5F-7509338BFC73}">
            <xm:f>'Tabelas AUX'!$E$8</xm:f>
            <x14:dxf>
              <font>
                <color theme="8"/>
              </font>
            </x14:dxf>
          </x14:cfRule>
          <xm:sqref>T25:T1048576 X25:X1048576</xm:sqref>
        </x14:conditionalFormatting>
        <x14:conditionalFormatting xmlns:xm="http://schemas.microsoft.com/office/excel/2006/main">
          <x14:cfRule type="cellIs" priority="214" operator="equal" id="{AA1A5383-0124-4D26-A44D-6CA4C670454F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231" operator="equal" id="{84294932-E725-4933-B955-E14C020A55B1}">
            <xm:f>'Tabelas AUX'!$E$5</xm:f>
            <x14:dxf>
              <font>
                <color rgb="FF00B050"/>
              </font>
            </x14:dxf>
          </x14:cfRule>
          <xm:sqref>T1:V12 U13:V24</xm:sqref>
        </x14:conditionalFormatting>
        <x14:conditionalFormatting xmlns:xm="http://schemas.microsoft.com/office/excel/2006/main">
          <x14:cfRule type="cellIs" priority="64" operator="equal" id="{B95242A1-45E2-4E56-B0DD-2D043C9B3B96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65" operator="equal" id="{70E99742-36DA-4E85-AC74-EF390177903F}">
            <xm:f>'Tabelas AUX'!$E$5</xm:f>
            <x14:dxf>
              <font>
                <color rgb="FF00B050"/>
              </font>
            </x14:dxf>
          </x14:cfRule>
          <x14:cfRule type="cellIs" priority="66" operator="equal" id="{25CF8A1D-C140-434F-A8F9-C97064DE7668}">
            <xm:f>'Tabelas AUX'!$E$4</xm:f>
            <x14:dxf>
              <font>
                <color rgb="FF7F7F7F"/>
              </font>
            </x14:dxf>
          </x14:cfRule>
          <x14:cfRule type="cellIs" priority="67" operator="equal" id="{8E898363-8D35-434E-8660-1DC4474DAE0D}">
            <xm:f>'Tabelas AUX'!$E$3</xm:f>
            <x14:dxf>
              <font>
                <color theme="5"/>
              </font>
            </x14:dxf>
          </x14:cfRule>
          <x14:cfRule type="cellIs" priority="68" operator="equal" id="{BC8B8EC8-B8BA-415B-A30A-5D6DF4282E2D}">
            <xm:f>'Tabelas AUX'!$E$2</xm:f>
            <x14:dxf>
              <font>
                <color rgb="FFC00000"/>
              </font>
            </x14:dxf>
          </x14:cfRule>
          <xm:sqref>X25:X1048576 T25:T1048576</xm:sqref>
        </x14:conditionalFormatting>
        <x14:conditionalFormatting xmlns:xm="http://schemas.microsoft.com/office/excel/2006/main">
          <x14:cfRule type="cellIs" priority="17" operator="equal" id="{BC83815D-CE52-4016-9BA1-44949315DEB5}">
            <xm:f>'Tabelas AUX'!$E$5</xm:f>
            <x14:dxf>
              <font>
                <color rgb="FF00B050"/>
              </font>
            </x14:dxf>
          </x14:cfRule>
          <x14:cfRule type="cellIs" priority="18" operator="equal" id="{E8EF5837-F13E-4B81-94B0-B8EECE1BF3F7}">
            <xm:f>'Tabelas AUX'!$E$4</xm:f>
            <x14:dxf>
              <font>
                <color rgb="FF7F7F7F"/>
              </font>
            </x14:dxf>
          </x14:cfRule>
          <x14:cfRule type="cellIs" priority="19" operator="equal" id="{9AC49061-D4D8-49F6-9A73-DE9BC2EFA4E6}">
            <xm:f>'Tabelas AUX'!$E$3</xm:f>
            <x14:dxf>
              <font>
                <color theme="5"/>
              </font>
            </x14:dxf>
          </x14:cfRule>
          <x14:cfRule type="cellIs" priority="20" operator="equal" id="{2274EC1E-8151-4E84-92AD-620F1562DFDD}">
            <xm:f>'Tabelas AUX'!$E$2</xm:f>
            <x14:dxf>
              <font>
                <color rgb="FFC00000"/>
              </font>
            </x14:dxf>
          </x14:cfRule>
          <xm:sqref>T13</xm:sqref>
        </x14:conditionalFormatting>
        <x14:conditionalFormatting xmlns:xm="http://schemas.microsoft.com/office/excel/2006/main">
          <x14:cfRule type="cellIs" priority="12" operator="equal" id="{68251CA9-4EE8-4005-96B9-AB7CCC8EEB44}">
            <xm:f>'Tabelas AUX'!$E$5</xm:f>
            <x14:dxf>
              <font>
                <color rgb="FF00B050"/>
              </font>
            </x14:dxf>
          </x14:cfRule>
          <x14:cfRule type="cellIs" priority="13" operator="equal" id="{E0E929E9-2A1E-4A73-8D62-4E76F10167AD}">
            <xm:f>'Tabelas AUX'!$E$4</xm:f>
            <x14:dxf>
              <font>
                <color rgb="FF7F7F7F"/>
              </font>
            </x14:dxf>
          </x14:cfRule>
          <x14:cfRule type="cellIs" priority="14" operator="equal" id="{30EA88A9-F093-480A-BC54-8235AF2DB553}">
            <xm:f>'Tabelas AUX'!$E$3</xm:f>
            <x14:dxf>
              <font>
                <color theme="5"/>
              </font>
            </x14:dxf>
          </x14:cfRule>
          <x14:cfRule type="cellIs" priority="15" operator="equal" id="{A10238CB-B4F6-4B19-8BFB-CF4ED95A0C54}">
            <xm:f>'Tabelas AUX'!$E$2</xm:f>
            <x14:dxf>
              <font>
                <color rgb="FFC00000"/>
              </font>
            </x14:dxf>
          </x14:cfRule>
          <xm:sqref>T14:T24</xm:sqref>
        </x14:conditionalFormatting>
        <x14:conditionalFormatting xmlns:xm="http://schemas.microsoft.com/office/excel/2006/main">
          <x14:cfRule type="cellIs" priority="7" operator="equal" id="{D5519A8D-DEA1-49FD-8CDC-C2621AA58438}">
            <xm:f>'Tabelas AUX'!$E$5</xm:f>
            <x14:dxf>
              <font>
                <color rgb="FF00B050"/>
              </font>
            </x14:dxf>
          </x14:cfRule>
          <x14:cfRule type="cellIs" priority="8" operator="equal" id="{6DD7B6D2-3137-4B31-B53F-0C426F793CC9}">
            <xm:f>'Tabelas AUX'!$E$4</xm:f>
            <x14:dxf>
              <font>
                <color rgb="FF7F7F7F"/>
              </font>
            </x14:dxf>
          </x14:cfRule>
          <x14:cfRule type="cellIs" priority="9" operator="equal" id="{20FCCBDA-0BF4-4BB2-9476-1F0DD5B1ED9B}">
            <xm:f>'Tabelas AUX'!$E$3</xm:f>
            <x14:dxf>
              <font>
                <color theme="5"/>
              </font>
            </x14:dxf>
          </x14:cfRule>
          <x14:cfRule type="cellIs" priority="10" operator="equal" id="{E152B804-706B-4750-81CD-974E34471DBB}">
            <xm:f>'Tabelas AUX'!$E$2</xm:f>
            <x14:dxf>
              <font>
                <color rgb="FFC00000"/>
              </font>
            </x14:dxf>
          </x14:cfRule>
          <xm:sqref>X13</xm:sqref>
        </x14:conditionalFormatting>
        <x14:conditionalFormatting xmlns:xm="http://schemas.microsoft.com/office/excel/2006/main">
          <x14:cfRule type="cellIs" priority="2" operator="equal" id="{5261541B-1CB3-4DAB-86C8-57DEAEA55063}">
            <xm:f>'Tabelas AUX'!$E$5</xm:f>
            <x14:dxf>
              <font>
                <color rgb="FF00B050"/>
              </font>
            </x14:dxf>
          </x14:cfRule>
          <x14:cfRule type="cellIs" priority="3" operator="equal" id="{10EB1783-D3C7-484F-A5CE-721EE7F7466E}">
            <xm:f>'Tabelas AUX'!$E$4</xm:f>
            <x14:dxf>
              <font>
                <color rgb="FF7F7F7F"/>
              </font>
            </x14:dxf>
          </x14:cfRule>
          <x14:cfRule type="cellIs" priority="4" operator="equal" id="{305A5E49-2209-4225-8055-1B472945F6DB}">
            <xm:f>'Tabelas AUX'!$E$3</xm:f>
            <x14:dxf>
              <font>
                <color theme="5"/>
              </font>
            </x14:dxf>
          </x14:cfRule>
          <x14:cfRule type="cellIs" priority="5" operator="equal" id="{CCD58DE9-0877-49E4-8B1D-FE843A740B4F}">
            <xm:f>'Tabelas AUX'!$E$2</xm:f>
            <x14:dxf>
              <font>
                <color rgb="FFC00000"/>
              </font>
            </x14:dxf>
          </x14:cfRule>
          <xm:sqref>X14:X24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>
          <x14:formula1>
            <xm:f>'Tabelas AUX'!$E$2:$E$5</xm:f>
          </x14:formula1>
          <xm:sqref>T13:T24</xm:sqref>
        </x14:dataValidation>
        <x14:dataValidation type="list" allowBlank="1" showInputMessage="1" showErrorMessage="1">
          <x14:formula1>
            <xm:f>'Tabelas AUX'!$G$2:$G$13</xm:f>
          </x14:formula1>
          <xm:sqref>X13:X24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F4:P35"/>
  <sheetViews>
    <sheetView topLeftCell="A15" zoomScale="123" zoomScaleNormal="115" workbookViewId="0">
      <selection activeCell="H30" sqref="H30:H33"/>
    </sheetView>
  </sheetViews>
  <sheetFormatPr defaultRowHeight="15" x14ac:dyDescent="0.25"/>
  <cols>
    <col min="6" max="6" width="19.28515625" bestFit="1" customWidth="1"/>
    <col min="7" max="7" width="14.7109375" bestFit="1" customWidth="1"/>
    <col min="8" max="8" width="19.140625" bestFit="1" customWidth="1"/>
    <col min="9" max="9" width="24.140625" bestFit="1" customWidth="1"/>
    <col min="10" max="10" width="30.28515625" bestFit="1" customWidth="1"/>
    <col min="11" max="11" width="30.28515625" customWidth="1"/>
    <col min="14" max="14" width="10.85546875" bestFit="1" customWidth="1"/>
    <col min="15" max="15" width="2.7109375" customWidth="1"/>
  </cols>
  <sheetData>
    <row r="4" spans="6:16" x14ac:dyDescent="0.25">
      <c r="M4" s="129" t="s">
        <v>584</v>
      </c>
    </row>
    <row r="5" spans="6:16" x14ac:dyDescent="0.25">
      <c r="F5" t="s">
        <v>585</v>
      </c>
      <c r="J5" t="s">
        <v>586</v>
      </c>
      <c r="K5" t="s">
        <v>587</v>
      </c>
      <c r="M5" s="130" t="s">
        <v>588</v>
      </c>
      <c r="N5" s="130">
        <v>110</v>
      </c>
      <c r="P5" s="19" t="s">
        <v>589</v>
      </c>
    </row>
    <row r="6" spans="6:16" x14ac:dyDescent="0.25">
      <c r="F6" s="223">
        <v>100</v>
      </c>
      <c r="H6" s="131" t="s">
        <v>590</v>
      </c>
      <c r="I6" s="83" t="s">
        <v>591</v>
      </c>
      <c r="J6" t="s">
        <v>592</v>
      </c>
      <c r="K6">
        <f>+N10</f>
        <v>-10</v>
      </c>
      <c r="M6" t="s">
        <v>593</v>
      </c>
      <c r="N6" t="s">
        <v>594</v>
      </c>
      <c r="P6" t="s">
        <v>595</v>
      </c>
    </row>
    <row r="7" spans="6:16" x14ac:dyDescent="0.25">
      <c r="F7" s="223"/>
      <c r="H7" s="131" t="s">
        <v>596</v>
      </c>
      <c r="I7" s="83" t="s">
        <v>597</v>
      </c>
      <c r="J7" s="132" t="s">
        <v>598</v>
      </c>
      <c r="K7" s="19">
        <f>+F6-K6</f>
        <v>110</v>
      </c>
    </row>
    <row r="8" spans="6:16" x14ac:dyDescent="0.25">
      <c r="H8" s="131" t="s">
        <v>599</v>
      </c>
      <c r="I8" s="83" t="s">
        <v>600</v>
      </c>
    </row>
    <row r="9" spans="6:16" x14ac:dyDescent="0.25">
      <c r="I9" s="83" t="s">
        <v>601</v>
      </c>
      <c r="M9" s="129" t="s">
        <v>584</v>
      </c>
    </row>
    <row r="10" spans="6:16" x14ac:dyDescent="0.25">
      <c r="H10" s="131" t="s">
        <v>602</v>
      </c>
      <c r="I10" s="83" t="s">
        <v>603</v>
      </c>
      <c r="M10" s="130" t="s">
        <v>588</v>
      </c>
      <c r="N10" s="130">
        <v>-10</v>
      </c>
    </row>
    <row r="11" spans="6:16" x14ac:dyDescent="0.25">
      <c r="I11" s="83" t="s">
        <v>204</v>
      </c>
      <c r="M11" t="s">
        <v>593</v>
      </c>
      <c r="N11">
        <v>110</v>
      </c>
    </row>
    <row r="12" spans="6:16" x14ac:dyDescent="0.25">
      <c r="I12" s="83" t="s">
        <v>198</v>
      </c>
    </row>
    <row r="13" spans="6:16" x14ac:dyDescent="0.25">
      <c r="I13" s="83" t="s">
        <v>201</v>
      </c>
    </row>
    <row r="14" spans="6:16" x14ac:dyDescent="0.25">
      <c r="H14" s="131" t="s">
        <v>604</v>
      </c>
      <c r="I14" s="83" t="s">
        <v>605</v>
      </c>
    </row>
    <row r="15" spans="6:16" x14ac:dyDescent="0.25">
      <c r="H15" s="131" t="s">
        <v>606</v>
      </c>
      <c r="I15" s="83" t="s">
        <v>607</v>
      </c>
    </row>
    <row r="16" spans="6:16" x14ac:dyDescent="0.25">
      <c r="I16" s="83" t="s">
        <v>608</v>
      </c>
    </row>
    <row r="17" spans="6:10" x14ac:dyDescent="0.25">
      <c r="I17" s="83" t="s">
        <v>609</v>
      </c>
    </row>
    <row r="18" spans="6:10" x14ac:dyDescent="0.25">
      <c r="I18" s="83" t="s">
        <v>610</v>
      </c>
    </row>
    <row r="20" spans="6:10" x14ac:dyDescent="0.25">
      <c r="H20" s="54"/>
      <c r="J20" s="54"/>
    </row>
    <row r="21" spans="6:10" x14ac:dyDescent="0.25">
      <c r="H21" s="54" t="s">
        <v>611</v>
      </c>
      <c r="J21" s="54"/>
    </row>
    <row r="22" spans="6:10" x14ac:dyDescent="0.25">
      <c r="H22" s="54"/>
      <c r="J22" s="54"/>
    </row>
    <row r="23" spans="6:10" x14ac:dyDescent="0.25">
      <c r="G23" s="224" t="s">
        <v>612</v>
      </c>
      <c r="H23" t="s">
        <v>323</v>
      </c>
      <c r="J23" s="131"/>
    </row>
    <row r="24" spans="6:10" x14ac:dyDescent="0.25">
      <c r="G24" s="224"/>
      <c r="H24" t="s">
        <v>326</v>
      </c>
      <c r="J24" s="131"/>
    </row>
    <row r="25" spans="6:10" x14ac:dyDescent="0.25">
      <c r="G25" s="224"/>
      <c r="H25" t="s">
        <v>613</v>
      </c>
      <c r="J25" s="131"/>
    </row>
    <row r="26" spans="6:10" x14ac:dyDescent="0.25">
      <c r="G26" s="224"/>
      <c r="H26" t="s">
        <v>614</v>
      </c>
      <c r="J26" s="131"/>
    </row>
    <row r="27" spans="6:10" x14ac:dyDescent="0.25">
      <c r="G27" s="224"/>
      <c r="H27" t="s">
        <v>615</v>
      </c>
      <c r="J27" s="131"/>
    </row>
    <row r="28" spans="6:10" x14ac:dyDescent="0.25">
      <c r="G28" s="224"/>
      <c r="H28" t="s">
        <v>198</v>
      </c>
      <c r="J28" s="131"/>
    </row>
    <row r="29" spans="6:10" x14ac:dyDescent="0.25">
      <c r="G29" s="224"/>
      <c r="H29" t="s">
        <v>201</v>
      </c>
    </row>
    <row r="30" spans="6:10" x14ac:dyDescent="0.25">
      <c r="F30" s="129" t="s">
        <v>584</v>
      </c>
      <c r="G30" s="224" t="s">
        <v>616</v>
      </c>
      <c r="H30" t="s">
        <v>590</v>
      </c>
    </row>
    <row r="31" spans="6:10" x14ac:dyDescent="0.25">
      <c r="F31" t="s">
        <v>617</v>
      </c>
      <c r="G31" s="224"/>
      <c r="H31" t="s">
        <v>596</v>
      </c>
    </row>
    <row r="32" spans="6:10" x14ac:dyDescent="0.25">
      <c r="F32" t="s">
        <v>618</v>
      </c>
      <c r="G32" s="224"/>
      <c r="H32" t="s">
        <v>599</v>
      </c>
    </row>
    <row r="33" spans="7:9" x14ac:dyDescent="0.25">
      <c r="G33" s="224"/>
      <c r="H33" t="s">
        <v>602</v>
      </c>
    </row>
    <row r="34" spans="7:9" x14ac:dyDescent="0.25">
      <c r="G34" s="224"/>
      <c r="H34" t="s">
        <v>619</v>
      </c>
      <c r="I34" s="19" t="s">
        <v>620</v>
      </c>
    </row>
    <row r="35" spans="7:9" x14ac:dyDescent="0.25">
      <c r="G35" s="224"/>
      <c r="H35" t="s">
        <v>621</v>
      </c>
      <c r="I35" s="19" t="s">
        <v>622</v>
      </c>
    </row>
  </sheetData>
  <mergeCells count="3">
    <mergeCell ref="F6:F7"/>
    <mergeCell ref="G23:G29"/>
    <mergeCell ref="G30:G35"/>
  </mergeCells>
  <hyperlinks>
    <hyperlink ref="I6" location="'Regras Saldos'!A1" display="CAPITAL_VENCIDO"/>
  </hyperlink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pageSetUpPr autoPageBreaks="0"/>
  </sheetPr>
  <dimension ref="A1:AE98"/>
  <sheetViews>
    <sheetView showGridLines="0" topLeftCell="N1" zoomScale="85" zoomScaleNormal="85" workbookViewId="0">
      <pane ySplit="12" topLeftCell="A13" activePane="bottomLeft" state="frozen"/>
      <selection pane="bottomLeft" activeCell="X11" sqref="X11:AE11"/>
    </sheetView>
  </sheetViews>
  <sheetFormatPr defaultRowHeight="15" outlineLevelRow="1" outlineLevelCol="1" x14ac:dyDescent="0.25"/>
  <cols>
    <col min="1" max="1" width="3.7109375" customWidth="1"/>
    <col min="2" max="2" width="30.42578125" customWidth="1"/>
    <col min="3" max="3" width="9.42578125" bestFit="1" customWidth="1"/>
    <col min="4" max="4" width="27.5703125" bestFit="1" customWidth="1"/>
    <col min="5" max="5" width="17" bestFit="1" customWidth="1"/>
    <col min="6" max="6" width="44.28515625" bestFit="1" customWidth="1"/>
    <col min="7" max="7" width="12.7109375" customWidth="1"/>
    <col min="8" max="8" width="2" customWidth="1"/>
    <col min="9" max="9" width="29.28515625" hidden="1" customWidth="1" outlineLevel="1"/>
    <col min="10" max="10" width="26.85546875" hidden="1" customWidth="1" outlineLevel="1"/>
    <col min="11" max="11" width="21" hidden="1" customWidth="1" outlineLevel="1"/>
    <col min="12" max="12" width="29.28515625" bestFit="1" customWidth="1" collapsed="1"/>
    <col min="13" max="13" width="43.140625" customWidth="1"/>
    <col min="14" max="14" width="24.42578125" customWidth="1"/>
    <col min="15" max="15" width="20.28515625" hidden="1" customWidth="1" outlineLevel="1"/>
    <col min="16" max="17" width="42.42578125" hidden="1" customWidth="1" outlineLevel="1"/>
    <col min="18" max="18" width="30.5703125" hidden="1" customWidth="1" outlineLevel="1"/>
    <col min="19" max="19" width="2.140625" customWidth="1" collapsed="1"/>
    <col min="20" max="20" width="14.140625" customWidth="1" outlineLevel="1"/>
    <col min="21" max="21" width="21.42578125" customWidth="1" outlineLevel="1"/>
    <col min="22" max="22" width="42.7109375" customWidth="1" outlineLevel="1"/>
    <col min="23" max="23" width="2.140625" customWidth="1"/>
    <col min="24" max="24" width="15" customWidth="1" outlineLevel="1"/>
    <col min="25" max="25" width="24.85546875" customWidth="1" outlineLevel="1"/>
    <col min="26" max="26" width="9.85546875" customWidth="1" outlineLevel="1"/>
    <col min="27" max="27" width="2.140625" customWidth="1"/>
    <col min="28" max="28" width="20.42578125" bestFit="1" customWidth="1" outlineLevel="1"/>
    <col min="29" max="29" width="18.42578125" bestFit="1" customWidth="1" outlineLevel="1"/>
    <col min="30" max="30" width="20" bestFit="1" customWidth="1" outlineLevel="1"/>
    <col min="31" max="31" width="75.7109375" customWidth="1" outlineLevel="1"/>
  </cols>
  <sheetData>
    <row r="1" spans="1:31" ht="15" customHeight="1" x14ac:dyDescent="0.25">
      <c r="B1" s="47"/>
      <c r="C1" s="47"/>
      <c r="D1" s="47"/>
      <c r="F1" s="47"/>
      <c r="G1" s="47"/>
    </row>
    <row r="2" spans="1:31" ht="34.5" customHeight="1" x14ac:dyDescent="0.25">
      <c r="B2" s="47"/>
      <c r="C2" s="47"/>
      <c r="D2" s="48"/>
      <c r="F2" s="47"/>
      <c r="G2" s="47"/>
    </row>
    <row r="3" spans="1:31" ht="2.25" customHeight="1" x14ac:dyDescent="0.25">
      <c r="A3" s="20"/>
      <c r="B3" s="49"/>
      <c r="C3" s="49"/>
      <c r="D3" s="49"/>
      <c r="E3" s="49"/>
      <c r="F3" s="49"/>
      <c r="G3" s="49"/>
    </row>
    <row r="4" spans="1:31" ht="15" customHeight="1" x14ac:dyDescent="0.25">
      <c r="B4" s="47"/>
      <c r="C4" s="47"/>
      <c r="D4" s="47"/>
      <c r="F4" s="47"/>
      <c r="G4" s="47"/>
    </row>
    <row r="5" spans="1:31" ht="15" customHeight="1" x14ac:dyDescent="0.25">
      <c r="B5" s="50" t="s">
        <v>623</v>
      </c>
      <c r="C5" s="50"/>
      <c r="D5" s="47"/>
      <c r="F5" s="47"/>
      <c r="G5" s="47"/>
    </row>
    <row r="6" spans="1:31" ht="15" customHeight="1" x14ac:dyDescent="0.25">
      <c r="B6" s="47"/>
      <c r="C6" s="47"/>
      <c r="D6" s="47"/>
      <c r="F6" s="47"/>
      <c r="G6" s="47"/>
    </row>
    <row r="7" spans="1:31" ht="129.75" hidden="1" customHeight="1" outlineLevel="1" x14ac:dyDescent="0.25">
      <c r="B7" s="51" t="s">
        <v>65</v>
      </c>
      <c r="C7" s="222" t="s">
        <v>624</v>
      </c>
      <c r="D7" s="222"/>
      <c r="E7" s="222"/>
      <c r="F7" s="222"/>
      <c r="G7" s="222"/>
      <c r="H7" s="52"/>
      <c r="I7" s="52"/>
      <c r="S7" s="52"/>
      <c r="W7" s="52"/>
      <c r="X7" s="52"/>
      <c r="AA7" s="52"/>
    </row>
    <row r="8" spans="1:31" ht="15" hidden="1" customHeight="1" outlineLevel="1" x14ac:dyDescent="0.25">
      <c r="B8" s="47"/>
      <c r="C8" s="47"/>
      <c r="D8" s="47"/>
      <c r="F8" s="47"/>
      <c r="G8" s="47"/>
    </row>
    <row r="9" spans="1:31" ht="15" hidden="1" customHeight="1" outlineLevel="1" x14ac:dyDescent="0.25">
      <c r="B9" s="47"/>
      <c r="C9" s="47"/>
      <c r="D9" s="47"/>
      <c r="F9" s="47"/>
      <c r="G9" s="47"/>
    </row>
    <row r="10" spans="1:31" ht="15" hidden="1" customHeight="1" outlineLevel="1" x14ac:dyDescent="0.25">
      <c r="B10" s="47"/>
      <c r="C10" s="47"/>
      <c r="D10" s="47"/>
      <c r="F10" s="47"/>
      <c r="G10" s="47"/>
    </row>
    <row r="11" spans="1:31" collapsed="1" x14ac:dyDescent="0.25">
      <c r="B11" s="212" t="s">
        <v>67</v>
      </c>
      <c r="C11" s="213"/>
      <c r="D11" s="213"/>
      <c r="E11" s="213"/>
      <c r="F11" s="213"/>
      <c r="G11" s="214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  <c r="X11" s="207" t="s">
        <v>72</v>
      </c>
      <c r="Y11" s="208"/>
      <c r="Z11" s="208"/>
      <c r="AB11" s="207" t="s">
        <v>255</v>
      </c>
      <c r="AC11" s="208"/>
      <c r="AD11" s="208"/>
      <c r="AE11" s="209"/>
    </row>
    <row r="12" spans="1:31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  <c r="X12" s="61" t="s">
        <v>86</v>
      </c>
      <c r="Y12" s="61" t="s">
        <v>89</v>
      </c>
      <c r="Z12" s="61" t="s">
        <v>90</v>
      </c>
      <c r="AB12" s="61" t="s">
        <v>166</v>
      </c>
      <c r="AC12" s="61" t="s">
        <v>167</v>
      </c>
      <c r="AD12" s="61" t="s">
        <v>168</v>
      </c>
      <c r="AE12" s="61" t="s">
        <v>88</v>
      </c>
    </row>
    <row r="13" spans="1:31" ht="16.5" customHeight="1" x14ac:dyDescent="0.25">
      <c r="B13" s="70" t="s">
        <v>39</v>
      </c>
      <c r="C13" s="70">
        <v>1</v>
      </c>
      <c r="D13" s="73" t="s">
        <v>260</v>
      </c>
      <c r="E13" s="70" t="s">
        <v>225</v>
      </c>
      <c r="F13" s="70" t="s">
        <v>261</v>
      </c>
      <c r="G13" s="73" t="s">
        <v>505</v>
      </c>
      <c r="H13" s="47"/>
      <c r="I13" s="70" t="s">
        <v>20</v>
      </c>
      <c r="J13" s="70" t="s">
        <v>227</v>
      </c>
      <c r="K13" s="70" t="s">
        <v>263</v>
      </c>
      <c r="L13" s="70" t="s">
        <v>29</v>
      </c>
      <c r="M13" s="70" t="s">
        <v>33</v>
      </c>
      <c r="N13" s="70" t="s">
        <v>260</v>
      </c>
      <c r="O13" s="70" t="s">
        <v>264</v>
      </c>
      <c r="P13" s="70"/>
      <c r="Q13" s="70"/>
      <c r="R13" s="70"/>
      <c r="S13" s="47"/>
      <c r="T13" s="75" t="s">
        <v>97</v>
      </c>
      <c r="U13" s="69">
        <v>44812</v>
      </c>
      <c r="V13" s="72"/>
      <c r="W13" s="47"/>
      <c r="X13" s="75" t="s">
        <v>97</v>
      </c>
      <c r="Y13" s="135">
        <v>45009</v>
      </c>
      <c r="Z13" s="69"/>
      <c r="AA13" s="47"/>
      <c r="AB13" s="69" t="s">
        <v>269</v>
      </c>
      <c r="AC13" s="69" t="s">
        <v>269</v>
      </c>
      <c r="AD13" s="69">
        <v>45302</v>
      </c>
      <c r="AE13" s="69" t="s">
        <v>506</v>
      </c>
    </row>
    <row r="14" spans="1:31" ht="15" customHeight="1" x14ac:dyDescent="0.25">
      <c r="B14" s="70" t="s">
        <v>39</v>
      </c>
      <c r="C14" s="70">
        <v>2</v>
      </c>
      <c r="D14" s="73" t="s">
        <v>265</v>
      </c>
      <c r="E14" s="70" t="s">
        <v>225</v>
      </c>
      <c r="F14" s="70" t="s">
        <v>266</v>
      </c>
      <c r="G14" s="73" t="s">
        <v>505</v>
      </c>
      <c r="H14" s="47"/>
      <c r="I14" s="70" t="s">
        <v>20</v>
      </c>
      <c r="J14" s="70" t="s">
        <v>227</v>
      </c>
      <c r="K14" s="70" t="s">
        <v>228</v>
      </c>
      <c r="L14" s="70" t="s">
        <v>29</v>
      </c>
      <c r="M14" s="70" t="s">
        <v>33</v>
      </c>
      <c r="N14" s="70" t="s">
        <v>265</v>
      </c>
      <c r="O14" s="70" t="s">
        <v>264</v>
      </c>
      <c r="P14" s="70"/>
      <c r="Q14" s="70"/>
      <c r="R14" s="70"/>
      <c r="S14" s="47"/>
      <c r="T14" s="75" t="s">
        <v>97</v>
      </c>
      <c r="U14" s="69">
        <v>44812</v>
      </c>
      <c r="V14" s="72"/>
      <c r="W14" s="47"/>
      <c r="X14" s="75" t="s">
        <v>97</v>
      </c>
      <c r="Y14" s="135">
        <v>45009</v>
      </c>
      <c r="Z14" s="69"/>
      <c r="AA14" s="47"/>
      <c r="AB14" s="69" t="s">
        <v>269</v>
      </c>
      <c r="AC14" s="69" t="s">
        <v>269</v>
      </c>
      <c r="AD14" s="69">
        <v>45302</v>
      </c>
      <c r="AE14" s="69" t="s">
        <v>506</v>
      </c>
    </row>
    <row r="15" spans="1:31" ht="15" customHeight="1" x14ac:dyDescent="0.25">
      <c r="B15" s="70" t="s">
        <v>39</v>
      </c>
      <c r="C15" s="70">
        <v>3</v>
      </c>
      <c r="D15" s="73" t="s">
        <v>267</v>
      </c>
      <c r="E15" s="70" t="s">
        <v>225</v>
      </c>
      <c r="F15" s="70" t="s">
        <v>268</v>
      </c>
      <c r="G15" s="73" t="s">
        <v>505</v>
      </c>
      <c r="H15" s="47"/>
      <c r="I15" s="70" t="s">
        <v>20</v>
      </c>
      <c r="J15" s="70" t="s">
        <v>227</v>
      </c>
      <c r="K15" s="70" t="s">
        <v>231</v>
      </c>
      <c r="L15" s="70" t="s">
        <v>29</v>
      </c>
      <c r="M15" s="70" t="s">
        <v>33</v>
      </c>
      <c r="N15" s="70" t="s">
        <v>267</v>
      </c>
      <c r="O15" s="70" t="s">
        <v>264</v>
      </c>
      <c r="P15" s="70"/>
      <c r="Q15" s="70"/>
      <c r="R15" s="70"/>
      <c r="S15" s="47"/>
      <c r="T15" s="75" t="s">
        <v>97</v>
      </c>
      <c r="U15" s="69">
        <v>44812</v>
      </c>
      <c r="V15" s="72"/>
      <c r="W15" s="47"/>
      <c r="X15" s="75" t="s">
        <v>97</v>
      </c>
      <c r="Y15" s="135">
        <v>45009</v>
      </c>
      <c r="Z15" s="69"/>
      <c r="AA15" s="47"/>
      <c r="AB15" s="69" t="s">
        <v>269</v>
      </c>
      <c r="AC15" s="69" t="s">
        <v>269</v>
      </c>
      <c r="AD15" s="69">
        <v>45302</v>
      </c>
      <c r="AE15" s="69" t="s">
        <v>506</v>
      </c>
    </row>
    <row r="16" spans="1:31" ht="15" customHeight="1" x14ac:dyDescent="0.25">
      <c r="B16" s="70" t="s">
        <v>39</v>
      </c>
      <c r="C16" s="70">
        <v>4</v>
      </c>
      <c r="D16" s="73" t="s">
        <v>270</v>
      </c>
      <c r="E16" s="70" t="s">
        <v>225</v>
      </c>
      <c r="F16" s="70" t="s">
        <v>271</v>
      </c>
      <c r="G16" s="73" t="s">
        <v>505</v>
      </c>
      <c r="H16" s="47"/>
      <c r="I16" s="70" t="s">
        <v>20</v>
      </c>
      <c r="J16" s="70" t="s">
        <v>227</v>
      </c>
      <c r="K16" s="70" t="s">
        <v>234</v>
      </c>
      <c r="L16" s="70" t="s">
        <v>29</v>
      </c>
      <c r="M16" s="70" t="s">
        <v>33</v>
      </c>
      <c r="N16" s="70" t="s">
        <v>270</v>
      </c>
      <c r="O16" s="70" t="s">
        <v>264</v>
      </c>
      <c r="P16" s="70"/>
      <c r="Q16" s="70"/>
      <c r="R16" s="70"/>
      <c r="S16" s="47"/>
      <c r="T16" s="75" t="s">
        <v>97</v>
      </c>
      <c r="U16" s="69">
        <v>44812</v>
      </c>
      <c r="V16" s="72"/>
      <c r="W16" s="47"/>
      <c r="X16" s="75" t="s">
        <v>97</v>
      </c>
      <c r="Y16" s="135">
        <v>45009</v>
      </c>
      <c r="Z16" s="69"/>
      <c r="AA16" s="47"/>
      <c r="AB16" s="69" t="s">
        <v>269</v>
      </c>
      <c r="AC16" s="69" t="s">
        <v>269</v>
      </c>
      <c r="AD16" s="69">
        <v>45302</v>
      </c>
      <c r="AE16" s="69" t="s">
        <v>506</v>
      </c>
    </row>
    <row r="17" spans="2:31" ht="90" customHeight="1" x14ac:dyDescent="0.25">
      <c r="B17" s="70" t="s">
        <v>39</v>
      </c>
      <c r="C17" s="70">
        <v>5</v>
      </c>
      <c r="D17" s="70" t="s">
        <v>625</v>
      </c>
      <c r="E17" s="68" t="s">
        <v>626</v>
      </c>
      <c r="F17" s="70" t="s">
        <v>627</v>
      </c>
      <c r="G17" s="68"/>
      <c r="H17" s="47"/>
      <c r="I17" s="68"/>
      <c r="J17" s="68"/>
      <c r="K17" s="68"/>
      <c r="L17" s="68" t="s">
        <v>20</v>
      </c>
      <c r="M17" s="68" t="s">
        <v>628</v>
      </c>
      <c r="N17" s="70" t="s">
        <v>629</v>
      </c>
      <c r="O17" s="68"/>
      <c r="P17" s="68"/>
      <c r="Q17" s="111" t="s">
        <v>630</v>
      </c>
      <c r="R17" s="70" t="s">
        <v>631</v>
      </c>
      <c r="S17" s="47"/>
      <c r="T17" s="75" t="s">
        <v>97</v>
      </c>
      <c r="U17" s="69">
        <v>44945</v>
      </c>
      <c r="V17" s="72"/>
      <c r="W17" s="47"/>
      <c r="X17" s="145" t="s">
        <v>153</v>
      </c>
      <c r="Y17" s="135">
        <v>45099</v>
      </c>
      <c r="Z17" s="69"/>
      <c r="AA17" s="47"/>
      <c r="AB17" s="69">
        <v>45302</v>
      </c>
      <c r="AC17" s="69"/>
      <c r="AD17" s="69"/>
      <c r="AE17" s="69" t="s">
        <v>506</v>
      </c>
    </row>
    <row r="18" spans="2:31" ht="90" customHeight="1" x14ac:dyDescent="0.25">
      <c r="B18" s="70" t="s">
        <v>39</v>
      </c>
      <c r="C18" s="70">
        <v>6</v>
      </c>
      <c r="D18" s="70" t="s">
        <v>632</v>
      </c>
      <c r="E18" s="68" t="s">
        <v>626</v>
      </c>
      <c r="F18" s="70" t="s">
        <v>633</v>
      </c>
      <c r="G18" s="68"/>
      <c r="H18" s="47"/>
      <c r="I18" s="68"/>
      <c r="J18" s="68"/>
      <c r="K18" s="68"/>
      <c r="L18" s="68" t="s">
        <v>20</v>
      </c>
      <c r="M18" s="68" t="s">
        <v>628</v>
      </c>
      <c r="N18" s="70" t="s">
        <v>634</v>
      </c>
      <c r="O18" s="68"/>
      <c r="P18" s="68"/>
      <c r="Q18" s="111" t="s">
        <v>635</v>
      </c>
      <c r="R18" s="70" t="s">
        <v>631</v>
      </c>
      <c r="S18" s="47"/>
      <c r="T18" s="75" t="s">
        <v>97</v>
      </c>
      <c r="U18" s="69">
        <v>45064</v>
      </c>
      <c r="V18" s="72"/>
      <c r="W18" s="47"/>
      <c r="X18" s="75" t="s">
        <v>149</v>
      </c>
      <c r="Y18" s="135">
        <v>45099</v>
      </c>
      <c r="Z18" s="69"/>
      <c r="AA18" s="47"/>
      <c r="AB18" s="69"/>
      <c r="AC18" s="69"/>
      <c r="AD18" s="69"/>
      <c r="AE18" s="69" t="s">
        <v>506</v>
      </c>
    </row>
    <row r="19" spans="2:31" ht="90" customHeight="1" x14ac:dyDescent="0.25">
      <c r="B19" s="70" t="s">
        <v>39</v>
      </c>
      <c r="C19" s="70">
        <v>7</v>
      </c>
      <c r="D19" s="70" t="s">
        <v>636</v>
      </c>
      <c r="E19" s="68" t="s">
        <v>322</v>
      </c>
      <c r="F19" s="68" t="s">
        <v>637</v>
      </c>
      <c r="G19" s="68"/>
      <c r="H19" s="47"/>
      <c r="I19" s="68"/>
      <c r="J19" s="68"/>
      <c r="K19" s="68"/>
      <c r="L19" s="68" t="s">
        <v>20</v>
      </c>
      <c r="M19" s="68" t="s">
        <v>638</v>
      </c>
      <c r="N19" s="102" t="s">
        <v>639</v>
      </c>
      <c r="O19" s="68"/>
      <c r="P19" s="68"/>
      <c r="Q19" s="111" t="s">
        <v>640</v>
      </c>
      <c r="R19" s="70" t="s">
        <v>631</v>
      </c>
      <c r="S19" s="47"/>
      <c r="T19" s="75" t="s">
        <v>97</v>
      </c>
      <c r="U19" s="69">
        <v>44930</v>
      </c>
      <c r="V19" s="72"/>
      <c r="W19" s="47"/>
      <c r="X19" s="75" t="s">
        <v>149</v>
      </c>
      <c r="Y19" s="135">
        <v>45099</v>
      </c>
      <c r="Z19" s="69"/>
      <c r="AA19" s="47"/>
      <c r="AB19" s="69"/>
      <c r="AC19" s="69"/>
      <c r="AD19" s="69"/>
      <c r="AE19" s="69" t="s">
        <v>506</v>
      </c>
    </row>
    <row r="20" spans="2:31" ht="90" x14ac:dyDescent="0.25">
      <c r="B20" s="70" t="s">
        <v>39</v>
      </c>
      <c r="C20" s="70">
        <v>8</v>
      </c>
      <c r="D20" s="70" t="s">
        <v>641</v>
      </c>
      <c r="E20" s="70" t="s">
        <v>93</v>
      </c>
      <c r="F20" s="70" t="s">
        <v>642</v>
      </c>
      <c r="G20" s="73"/>
      <c r="H20" s="47"/>
      <c r="I20" s="68"/>
      <c r="J20" s="68"/>
      <c r="K20" s="68"/>
      <c r="L20" s="68" t="s">
        <v>20</v>
      </c>
      <c r="M20" s="68" t="s">
        <v>628</v>
      </c>
      <c r="N20" s="68" t="s">
        <v>641</v>
      </c>
      <c r="O20" s="68"/>
      <c r="P20" s="68"/>
      <c r="Q20" s="70" t="s">
        <v>643</v>
      </c>
      <c r="R20" s="70"/>
      <c r="S20" s="47"/>
      <c r="T20" s="75" t="s">
        <v>97</v>
      </c>
      <c r="U20" s="69">
        <v>45099</v>
      </c>
      <c r="V20" s="72"/>
      <c r="X20" s="75" t="s">
        <v>149</v>
      </c>
      <c r="Y20" s="135">
        <v>45222</v>
      </c>
      <c r="Z20" s="62"/>
      <c r="AB20" s="62"/>
      <c r="AC20" s="62"/>
      <c r="AD20" s="62"/>
      <c r="AE20" s="169"/>
    </row>
    <row r="21" spans="2:31" ht="90" x14ac:dyDescent="0.25">
      <c r="B21" s="70" t="s">
        <v>39</v>
      </c>
      <c r="C21" s="70">
        <v>9</v>
      </c>
      <c r="D21" s="70" t="s">
        <v>644</v>
      </c>
      <c r="E21" s="70" t="s">
        <v>93</v>
      </c>
      <c r="F21" s="70" t="s">
        <v>645</v>
      </c>
      <c r="G21" s="73"/>
      <c r="H21" s="47"/>
      <c r="I21" s="68"/>
      <c r="J21" s="68"/>
      <c r="K21" s="68"/>
      <c r="L21" s="68" t="s">
        <v>20</v>
      </c>
      <c r="M21" s="68" t="s">
        <v>628</v>
      </c>
      <c r="N21" s="68" t="s">
        <v>644</v>
      </c>
      <c r="O21" s="68"/>
      <c r="P21" s="68"/>
      <c r="Q21" s="70" t="s">
        <v>643</v>
      </c>
      <c r="R21" s="70"/>
      <c r="S21" s="47"/>
      <c r="T21" s="75" t="s">
        <v>97</v>
      </c>
      <c r="U21" s="69">
        <v>45099</v>
      </c>
      <c r="V21" s="72"/>
      <c r="X21" s="145" t="s">
        <v>153</v>
      </c>
      <c r="Y21" s="135">
        <v>45222</v>
      </c>
      <c r="Z21" s="62"/>
      <c r="AB21" s="69">
        <v>45302</v>
      </c>
      <c r="AC21" s="62"/>
      <c r="AD21" s="62"/>
      <c r="AE21" s="169"/>
    </row>
    <row r="22" spans="2:31" ht="90" x14ac:dyDescent="0.25">
      <c r="B22" s="70" t="s">
        <v>39</v>
      </c>
      <c r="C22" s="70">
        <v>10</v>
      </c>
      <c r="D22" s="70" t="s">
        <v>646</v>
      </c>
      <c r="E22" s="70" t="s">
        <v>93</v>
      </c>
      <c r="F22" s="70" t="s">
        <v>647</v>
      </c>
      <c r="G22" s="73"/>
      <c r="H22" s="47"/>
      <c r="I22" s="68"/>
      <c r="J22" s="68"/>
      <c r="K22" s="68"/>
      <c r="L22" s="68" t="s">
        <v>20</v>
      </c>
      <c r="M22" s="68" t="s">
        <v>628</v>
      </c>
      <c r="N22" s="68" t="s">
        <v>646</v>
      </c>
      <c r="O22" s="68"/>
      <c r="P22" s="68"/>
      <c r="Q22" s="70" t="s">
        <v>643</v>
      </c>
      <c r="R22" s="70"/>
      <c r="S22" s="47"/>
      <c r="T22" s="75" t="s">
        <v>97</v>
      </c>
      <c r="U22" s="69">
        <v>45099</v>
      </c>
      <c r="V22" s="72"/>
      <c r="X22" s="75" t="s">
        <v>149</v>
      </c>
      <c r="Y22" s="135">
        <v>45222</v>
      </c>
      <c r="Z22" s="62"/>
      <c r="AB22" s="62"/>
      <c r="AC22" s="62"/>
      <c r="AD22" s="62"/>
      <c r="AE22" s="169"/>
    </row>
    <row r="23" spans="2:31" ht="90" x14ac:dyDescent="0.25">
      <c r="B23" s="70" t="s">
        <v>39</v>
      </c>
      <c r="C23" s="70">
        <v>11</v>
      </c>
      <c r="D23" s="70" t="s">
        <v>648</v>
      </c>
      <c r="E23" s="70" t="s">
        <v>93</v>
      </c>
      <c r="F23" s="70" t="s">
        <v>649</v>
      </c>
      <c r="G23" s="73"/>
      <c r="H23" s="47"/>
      <c r="I23" s="68"/>
      <c r="J23" s="68"/>
      <c r="K23" s="68"/>
      <c r="L23" s="68" t="s">
        <v>20</v>
      </c>
      <c r="M23" s="68" t="s">
        <v>628</v>
      </c>
      <c r="N23" s="68" t="s">
        <v>648</v>
      </c>
      <c r="O23" s="68"/>
      <c r="P23" s="68"/>
      <c r="Q23" s="70" t="s">
        <v>643</v>
      </c>
      <c r="R23" s="70"/>
      <c r="S23" s="47"/>
      <c r="T23" s="75" t="s">
        <v>97</v>
      </c>
      <c r="U23" s="69">
        <v>45099</v>
      </c>
      <c r="V23" s="72"/>
      <c r="X23" s="75" t="s">
        <v>149</v>
      </c>
      <c r="Y23" s="135">
        <v>45222</v>
      </c>
      <c r="Z23" s="62"/>
      <c r="AB23" s="62"/>
      <c r="AC23" s="62"/>
      <c r="AD23" s="62"/>
      <c r="AE23" s="169"/>
    </row>
    <row r="24" spans="2:31" ht="90" x14ac:dyDescent="0.25">
      <c r="B24" s="70" t="s">
        <v>39</v>
      </c>
      <c r="C24" s="70">
        <v>12</v>
      </c>
      <c r="D24" s="157" t="s">
        <v>650</v>
      </c>
      <c r="E24" s="157" t="s">
        <v>93</v>
      </c>
      <c r="F24" s="157" t="s">
        <v>651</v>
      </c>
      <c r="G24" s="73"/>
      <c r="H24" s="47"/>
      <c r="I24" s="68"/>
      <c r="J24" s="68"/>
      <c r="K24" s="68"/>
      <c r="L24" s="68" t="s">
        <v>20</v>
      </c>
      <c r="M24" s="68" t="s">
        <v>628</v>
      </c>
      <c r="N24" s="68" t="s">
        <v>650</v>
      </c>
      <c r="O24" s="68"/>
      <c r="P24" s="68"/>
      <c r="Q24" s="70" t="s">
        <v>643</v>
      </c>
      <c r="R24" s="70"/>
      <c r="S24" s="47"/>
      <c r="T24" s="75" t="s">
        <v>97</v>
      </c>
      <c r="U24" s="69">
        <v>45099</v>
      </c>
      <c r="V24" s="72"/>
      <c r="X24" s="75" t="s">
        <v>149</v>
      </c>
      <c r="Y24" s="135">
        <v>45222</v>
      </c>
      <c r="Z24" s="62"/>
      <c r="AB24" s="62"/>
      <c r="AC24" s="62"/>
      <c r="AD24" s="62"/>
      <c r="AE24" s="169"/>
    </row>
    <row r="25" spans="2:31" ht="90" x14ac:dyDescent="0.25">
      <c r="B25" s="70" t="s">
        <v>39</v>
      </c>
      <c r="C25" s="70">
        <v>13</v>
      </c>
      <c r="D25" s="157" t="s">
        <v>652</v>
      </c>
      <c r="E25" s="157" t="s">
        <v>113</v>
      </c>
      <c r="F25" s="157" t="s">
        <v>653</v>
      </c>
      <c r="G25" s="73"/>
      <c r="H25" s="47"/>
      <c r="I25" s="68"/>
      <c r="J25" s="68"/>
      <c r="K25" s="68"/>
      <c r="L25" s="68" t="s">
        <v>20</v>
      </c>
      <c r="M25" s="68" t="s">
        <v>628</v>
      </c>
      <c r="N25" s="68" t="s">
        <v>652</v>
      </c>
      <c r="O25" s="68"/>
      <c r="P25" s="68"/>
      <c r="Q25" s="70" t="s">
        <v>643</v>
      </c>
      <c r="R25" s="70"/>
      <c r="S25" s="47"/>
      <c r="T25" s="75" t="s">
        <v>97</v>
      </c>
      <c r="U25" s="69">
        <v>45099</v>
      </c>
      <c r="V25" s="72"/>
      <c r="X25" s="75" t="s">
        <v>149</v>
      </c>
      <c r="Y25" s="135">
        <v>45222</v>
      </c>
      <c r="Z25" s="62"/>
      <c r="AB25" s="62"/>
      <c r="AC25" s="62"/>
      <c r="AD25" s="62"/>
      <c r="AE25" s="169"/>
    </row>
    <row r="26" spans="2:31" ht="135" x14ac:dyDescent="0.25">
      <c r="B26" s="70" t="s">
        <v>39</v>
      </c>
      <c r="C26" s="70">
        <v>14</v>
      </c>
      <c r="D26" s="157" t="s">
        <v>654</v>
      </c>
      <c r="E26" s="157" t="s">
        <v>93</v>
      </c>
      <c r="F26" s="157" t="s">
        <v>655</v>
      </c>
      <c r="G26" s="73"/>
      <c r="H26" s="47"/>
      <c r="I26" s="68"/>
      <c r="J26" s="68"/>
      <c r="K26" s="68"/>
      <c r="L26" s="68" t="s">
        <v>20</v>
      </c>
      <c r="M26" s="68" t="s">
        <v>628</v>
      </c>
      <c r="N26" s="70" t="s">
        <v>656</v>
      </c>
      <c r="O26" s="68"/>
      <c r="P26" s="68"/>
      <c r="Q26" s="70"/>
      <c r="R26" s="70"/>
      <c r="S26" s="47"/>
      <c r="T26" s="75" t="s">
        <v>97</v>
      </c>
      <c r="U26" s="63">
        <v>45099</v>
      </c>
      <c r="V26" s="126" t="s">
        <v>657</v>
      </c>
      <c r="X26" s="75" t="s">
        <v>131</v>
      </c>
      <c r="Y26" s="137" t="s">
        <v>299</v>
      </c>
      <c r="Z26" s="62"/>
      <c r="AB26" s="62"/>
      <c r="AC26" s="62"/>
      <c r="AD26" s="62"/>
      <c r="AE26" s="169" t="s">
        <v>658</v>
      </c>
    </row>
    <row r="27" spans="2:31" ht="90" x14ac:dyDescent="0.25">
      <c r="B27" s="70" t="s">
        <v>39</v>
      </c>
      <c r="C27" s="70">
        <v>15</v>
      </c>
      <c r="D27" s="157" t="s">
        <v>659</v>
      </c>
      <c r="E27" s="157" t="s">
        <v>113</v>
      </c>
      <c r="F27" s="157" t="s">
        <v>660</v>
      </c>
      <c r="G27" s="73"/>
      <c r="H27" s="47"/>
      <c r="I27" s="68"/>
      <c r="J27" s="68"/>
      <c r="K27" s="68"/>
      <c r="L27" s="68" t="s">
        <v>20</v>
      </c>
      <c r="M27" s="68" t="s">
        <v>628</v>
      </c>
      <c r="N27" s="68" t="s">
        <v>659</v>
      </c>
      <c r="O27" s="68"/>
      <c r="P27" s="68"/>
      <c r="Q27" s="70" t="s">
        <v>643</v>
      </c>
      <c r="R27" s="70"/>
      <c r="S27" s="47"/>
      <c r="T27" s="75" t="s">
        <v>97</v>
      </c>
      <c r="U27" s="69">
        <v>45099</v>
      </c>
      <c r="V27" s="72"/>
      <c r="X27" s="75" t="s">
        <v>131</v>
      </c>
      <c r="Y27" s="135">
        <v>45222</v>
      </c>
      <c r="Z27" s="62"/>
      <c r="AB27" s="62"/>
      <c r="AC27" s="62"/>
      <c r="AD27" s="62"/>
      <c r="AE27" s="169"/>
    </row>
    <row r="28" spans="2:31" ht="45" x14ac:dyDescent="0.25">
      <c r="B28" s="70" t="s">
        <v>39</v>
      </c>
      <c r="C28" s="70">
        <v>16</v>
      </c>
      <c r="D28" s="157" t="s">
        <v>661</v>
      </c>
      <c r="E28" s="157" t="s">
        <v>93</v>
      </c>
      <c r="F28" s="157" t="s">
        <v>662</v>
      </c>
      <c r="G28" s="73"/>
      <c r="H28" s="47"/>
      <c r="I28" s="68"/>
      <c r="J28" s="68"/>
      <c r="K28" s="68"/>
      <c r="L28" s="68" t="s">
        <v>20</v>
      </c>
      <c r="M28" s="68" t="s">
        <v>628</v>
      </c>
      <c r="N28" s="68" t="s">
        <v>661</v>
      </c>
      <c r="O28" s="68"/>
      <c r="P28" s="68"/>
      <c r="Q28" s="70"/>
      <c r="R28" s="70"/>
      <c r="S28" s="47"/>
      <c r="T28" s="75" t="s">
        <v>97</v>
      </c>
      <c r="U28" s="63">
        <v>45121</v>
      </c>
      <c r="V28" s="72" t="s">
        <v>663</v>
      </c>
      <c r="X28" s="75" t="s">
        <v>131</v>
      </c>
      <c r="Y28" s="137" t="s">
        <v>299</v>
      </c>
      <c r="Z28" s="62"/>
      <c r="AB28" s="62"/>
      <c r="AC28" s="62"/>
      <c r="AD28" s="62"/>
      <c r="AE28" s="169" t="s">
        <v>664</v>
      </c>
    </row>
    <row r="29" spans="2:31" ht="90" x14ac:dyDescent="0.25">
      <c r="B29" s="70" t="s">
        <v>39</v>
      </c>
      <c r="C29" s="70">
        <v>17</v>
      </c>
      <c r="D29" s="157" t="s">
        <v>665</v>
      </c>
      <c r="E29" s="157" t="s">
        <v>93</v>
      </c>
      <c r="F29" s="157" t="s">
        <v>666</v>
      </c>
      <c r="G29" s="73"/>
      <c r="H29" s="47"/>
      <c r="I29" s="68"/>
      <c r="J29" s="68"/>
      <c r="K29" s="68"/>
      <c r="L29" s="68" t="s">
        <v>20</v>
      </c>
      <c r="M29" s="68" t="s">
        <v>628</v>
      </c>
      <c r="N29" s="70" t="s">
        <v>667</v>
      </c>
      <c r="O29" s="68"/>
      <c r="P29" s="68"/>
      <c r="Q29" s="70"/>
      <c r="R29" s="70"/>
      <c r="S29" s="47"/>
      <c r="T29" s="75" t="s">
        <v>97</v>
      </c>
      <c r="U29" s="69">
        <v>45099</v>
      </c>
      <c r="V29" s="126" t="s">
        <v>657</v>
      </c>
      <c r="X29" s="75" t="s">
        <v>131</v>
      </c>
      <c r="Y29" s="137" t="s">
        <v>299</v>
      </c>
      <c r="Z29" s="62"/>
      <c r="AB29" s="62"/>
      <c r="AC29" s="62"/>
      <c r="AD29" s="62"/>
      <c r="AE29" s="169" t="s">
        <v>658</v>
      </c>
    </row>
    <row r="30" spans="2:31" ht="30" x14ac:dyDescent="0.25">
      <c r="B30" s="70" t="s">
        <v>39</v>
      </c>
      <c r="C30" s="70">
        <v>18</v>
      </c>
      <c r="D30" s="157" t="s">
        <v>668</v>
      </c>
      <c r="E30" s="157" t="s">
        <v>669</v>
      </c>
      <c r="F30" s="157" t="s">
        <v>670</v>
      </c>
      <c r="G30" s="73"/>
      <c r="H30" s="47"/>
      <c r="I30" s="68"/>
      <c r="J30" s="68"/>
      <c r="K30" s="68"/>
      <c r="L30" s="68" t="s">
        <v>20</v>
      </c>
      <c r="M30" s="68" t="s">
        <v>628</v>
      </c>
      <c r="N30" s="157" t="s">
        <v>671</v>
      </c>
      <c r="O30" s="68"/>
      <c r="P30" s="68"/>
      <c r="Q30" s="70"/>
      <c r="R30" s="70"/>
      <c r="S30" s="47"/>
      <c r="T30" s="75" t="s">
        <v>97</v>
      </c>
      <c r="U30" s="69">
        <v>45126</v>
      </c>
      <c r="V30" s="126" t="s">
        <v>657</v>
      </c>
      <c r="X30" s="75" t="s">
        <v>131</v>
      </c>
      <c r="Y30" s="137" t="s">
        <v>299</v>
      </c>
      <c r="Z30" s="62"/>
      <c r="AB30" s="62"/>
      <c r="AC30" s="62"/>
      <c r="AD30" s="62"/>
      <c r="AE30" s="169" t="s">
        <v>658</v>
      </c>
    </row>
    <row r="31" spans="2:31" ht="30" x14ac:dyDescent="0.25">
      <c r="B31" s="70" t="s">
        <v>39</v>
      </c>
      <c r="C31" s="70">
        <v>19</v>
      </c>
      <c r="D31" s="157" t="s">
        <v>672</v>
      </c>
      <c r="E31" s="157" t="s">
        <v>673</v>
      </c>
      <c r="F31" s="157" t="s">
        <v>674</v>
      </c>
      <c r="G31" s="73"/>
      <c r="H31" s="47"/>
      <c r="I31" s="68"/>
      <c r="J31" s="68"/>
      <c r="K31" s="68"/>
      <c r="L31" s="68" t="s">
        <v>20</v>
      </c>
      <c r="M31" s="68" t="s">
        <v>628</v>
      </c>
      <c r="N31" s="157" t="s">
        <v>675</v>
      </c>
      <c r="O31" s="68"/>
      <c r="P31" s="68"/>
      <c r="Q31" s="70"/>
      <c r="R31" s="70"/>
      <c r="S31" s="47"/>
      <c r="T31" s="75" t="s">
        <v>97</v>
      </c>
      <c r="U31" s="69">
        <v>45126</v>
      </c>
      <c r="V31" s="126" t="s">
        <v>657</v>
      </c>
      <c r="X31" s="75" t="s">
        <v>131</v>
      </c>
      <c r="Y31" s="137" t="s">
        <v>299</v>
      </c>
      <c r="Z31" s="62"/>
      <c r="AB31" s="62"/>
      <c r="AC31" s="62"/>
      <c r="AD31" s="62"/>
      <c r="AE31" s="169" t="s">
        <v>658</v>
      </c>
    </row>
    <row r="32" spans="2:31" ht="30" x14ac:dyDescent="0.25">
      <c r="B32" s="70" t="s">
        <v>39</v>
      </c>
      <c r="C32" s="70">
        <v>20</v>
      </c>
      <c r="D32" s="157" t="s">
        <v>676</v>
      </c>
      <c r="E32" s="157" t="s">
        <v>677</v>
      </c>
      <c r="F32" s="157" t="s">
        <v>678</v>
      </c>
      <c r="G32" s="73"/>
      <c r="H32" s="47"/>
      <c r="I32" s="68"/>
      <c r="J32" s="68"/>
      <c r="K32" s="68"/>
      <c r="L32" s="68" t="s">
        <v>20</v>
      </c>
      <c r="M32" s="68" t="s">
        <v>628</v>
      </c>
      <c r="N32" s="70" t="s">
        <v>676</v>
      </c>
      <c r="O32" s="68"/>
      <c r="P32" s="68"/>
      <c r="Q32" s="70"/>
      <c r="R32" s="70"/>
      <c r="S32" s="47"/>
      <c r="T32" s="75" t="s">
        <v>97</v>
      </c>
      <c r="U32" s="69">
        <v>45126</v>
      </c>
      <c r="V32" s="72"/>
      <c r="X32" s="75" t="s">
        <v>149</v>
      </c>
      <c r="Y32" s="135">
        <v>45222</v>
      </c>
      <c r="Z32" s="62"/>
      <c r="AB32" s="62"/>
      <c r="AC32" s="62"/>
      <c r="AD32" s="62"/>
      <c r="AE32" s="169"/>
    </row>
    <row r="33" spans="2:31" ht="90" x14ac:dyDescent="0.25">
      <c r="B33" s="70" t="s">
        <v>39</v>
      </c>
      <c r="C33" s="70">
        <v>21</v>
      </c>
      <c r="D33" s="157" t="s">
        <v>679</v>
      </c>
      <c r="E33" s="157" t="s">
        <v>677</v>
      </c>
      <c r="F33" s="157" t="s">
        <v>680</v>
      </c>
      <c r="G33" s="73"/>
      <c r="H33" s="47"/>
      <c r="I33" s="68"/>
      <c r="J33" s="68"/>
      <c r="K33" s="68"/>
      <c r="L33" s="68" t="s">
        <v>20</v>
      </c>
      <c r="M33" s="68" t="s">
        <v>628</v>
      </c>
      <c r="N33" s="70" t="s">
        <v>681</v>
      </c>
      <c r="O33" s="68"/>
      <c r="P33" s="68"/>
      <c r="Q33" s="70"/>
      <c r="R33" s="70"/>
      <c r="S33" s="47"/>
      <c r="T33" s="75" t="s">
        <v>97</v>
      </c>
      <c r="U33" s="69">
        <v>45126</v>
      </c>
      <c r="V33" s="126" t="s">
        <v>657</v>
      </c>
      <c r="X33" s="75" t="s">
        <v>131</v>
      </c>
      <c r="Y33" s="137" t="s">
        <v>299</v>
      </c>
      <c r="Z33" s="62"/>
      <c r="AB33" s="62"/>
      <c r="AC33" s="62"/>
      <c r="AD33" s="62"/>
      <c r="AE33" s="169" t="s">
        <v>658</v>
      </c>
    </row>
    <row r="34" spans="2:31" x14ac:dyDescent="0.25">
      <c r="B34" s="70" t="s">
        <v>39</v>
      </c>
      <c r="C34" s="70">
        <v>22</v>
      </c>
      <c r="D34" s="157" t="s">
        <v>682</v>
      </c>
      <c r="E34" s="157" t="s">
        <v>669</v>
      </c>
      <c r="F34" s="157" t="s">
        <v>683</v>
      </c>
      <c r="G34" s="73"/>
      <c r="H34" s="47"/>
      <c r="I34" s="68"/>
      <c r="J34" s="68"/>
      <c r="K34" s="68"/>
      <c r="L34" s="68" t="s">
        <v>20</v>
      </c>
      <c r="M34" s="68" t="s">
        <v>628</v>
      </c>
      <c r="N34" s="125" t="s">
        <v>684</v>
      </c>
      <c r="O34" s="68"/>
      <c r="P34" s="68"/>
      <c r="Q34" s="70"/>
      <c r="R34" s="70"/>
      <c r="S34" s="47"/>
      <c r="T34" s="75" t="s">
        <v>97</v>
      </c>
      <c r="U34" s="69">
        <v>45126</v>
      </c>
      <c r="V34" s="126" t="s">
        <v>657</v>
      </c>
      <c r="X34" s="75" t="s">
        <v>131</v>
      </c>
      <c r="Y34" s="137" t="s">
        <v>299</v>
      </c>
      <c r="Z34" s="62"/>
      <c r="AB34" s="62"/>
      <c r="AC34" s="62"/>
      <c r="AD34" s="62"/>
      <c r="AE34" s="169" t="s">
        <v>658</v>
      </c>
    </row>
    <row r="35" spans="2:31" ht="75" x14ac:dyDescent="0.25">
      <c r="B35" s="70" t="s">
        <v>39</v>
      </c>
      <c r="C35" s="70">
        <v>23</v>
      </c>
      <c r="D35" s="157" t="s">
        <v>685</v>
      </c>
      <c r="E35" s="157" t="s">
        <v>677</v>
      </c>
      <c r="F35" s="157" t="s">
        <v>686</v>
      </c>
      <c r="G35" s="73"/>
      <c r="H35" s="47"/>
      <c r="I35" s="68"/>
      <c r="J35" s="68"/>
      <c r="K35" s="68"/>
      <c r="L35" s="68" t="s">
        <v>20</v>
      </c>
      <c r="M35" s="68" t="s">
        <v>628</v>
      </c>
      <c r="N35" s="70" t="s">
        <v>687</v>
      </c>
      <c r="O35" s="68"/>
      <c r="P35" s="68"/>
      <c r="Q35" s="70"/>
      <c r="R35" s="70"/>
      <c r="S35" s="47"/>
      <c r="T35" s="75" t="s">
        <v>97</v>
      </c>
      <c r="U35" s="69">
        <v>45126</v>
      </c>
      <c r="V35" s="126" t="s">
        <v>657</v>
      </c>
      <c r="X35" s="75" t="s">
        <v>131</v>
      </c>
      <c r="Y35" s="137" t="s">
        <v>299</v>
      </c>
      <c r="Z35" s="62"/>
      <c r="AB35" s="62"/>
      <c r="AC35" s="62"/>
      <c r="AD35" s="62"/>
      <c r="AE35" s="169" t="s">
        <v>658</v>
      </c>
    </row>
    <row r="36" spans="2:31" ht="14.25" customHeight="1" x14ac:dyDescent="0.25">
      <c r="B36" s="68"/>
      <c r="C36" s="68"/>
      <c r="D36" s="68"/>
      <c r="E36" s="68"/>
      <c r="F36" s="68"/>
      <c r="G36" s="68"/>
      <c r="H36" s="47"/>
      <c r="I36" s="68"/>
      <c r="J36" s="68"/>
      <c r="K36" s="68"/>
      <c r="L36" s="68"/>
      <c r="M36" s="68"/>
      <c r="N36" s="68"/>
      <c r="O36" s="68"/>
      <c r="P36" s="68"/>
      <c r="Q36" s="70"/>
      <c r="R36" s="70"/>
      <c r="S36" s="47"/>
      <c r="T36" s="68"/>
      <c r="U36" s="69"/>
      <c r="V36" s="72"/>
      <c r="W36" s="47"/>
      <c r="X36" s="68"/>
      <c r="Y36" s="69"/>
      <c r="Z36" s="69"/>
      <c r="AA36" s="47"/>
      <c r="AB36" s="69"/>
      <c r="AC36" s="69"/>
      <c r="AD36" s="69"/>
      <c r="AE36" s="69"/>
    </row>
    <row r="37" spans="2:31" ht="14.25" customHeight="1" x14ac:dyDescent="0.25">
      <c r="B37" s="68"/>
      <c r="C37" s="68"/>
      <c r="D37" s="68"/>
      <c r="E37" s="68"/>
      <c r="F37" s="68"/>
      <c r="G37" s="68"/>
      <c r="H37" s="47"/>
      <c r="I37" s="68"/>
      <c r="J37" s="68"/>
      <c r="K37" s="68"/>
      <c r="L37" s="68"/>
      <c r="M37" s="68"/>
      <c r="N37" s="68"/>
      <c r="O37" s="68"/>
      <c r="P37" s="68"/>
      <c r="Q37" s="70"/>
      <c r="R37" s="70"/>
      <c r="S37" s="47"/>
      <c r="T37" s="68"/>
      <c r="U37" s="69"/>
      <c r="V37" s="72"/>
      <c r="W37" s="47"/>
      <c r="X37" s="68"/>
      <c r="Y37" s="69"/>
      <c r="Z37" s="69"/>
      <c r="AA37" s="47"/>
      <c r="AB37" s="69"/>
      <c r="AC37" s="69"/>
      <c r="AD37" s="69"/>
      <c r="AE37" s="69"/>
    </row>
    <row r="38" spans="2:31" ht="14.25" customHeight="1" x14ac:dyDescent="0.25">
      <c r="B38" s="68"/>
      <c r="C38" s="68"/>
      <c r="D38" s="68"/>
      <c r="E38" s="68"/>
      <c r="F38" s="68"/>
      <c r="G38" s="68"/>
      <c r="H38" s="47"/>
      <c r="I38" s="68"/>
      <c r="J38" s="68"/>
      <c r="K38" s="68"/>
      <c r="L38" s="68"/>
      <c r="M38" s="68"/>
      <c r="N38" s="68"/>
      <c r="O38" s="68"/>
      <c r="P38" s="68"/>
      <c r="Q38" s="70"/>
      <c r="R38" s="70"/>
      <c r="S38" s="47"/>
      <c r="T38" s="68"/>
      <c r="U38" s="69"/>
      <c r="V38" s="72"/>
      <c r="W38" s="47"/>
      <c r="X38" s="68"/>
      <c r="Y38" s="69"/>
      <c r="Z38" s="69"/>
      <c r="AA38" s="47"/>
      <c r="AB38" s="69"/>
      <c r="AC38" s="69"/>
      <c r="AD38" s="69"/>
      <c r="AE38" s="69"/>
    </row>
    <row r="39" spans="2:31" ht="14.25" customHeight="1" x14ac:dyDescent="0.25">
      <c r="B39" s="68"/>
      <c r="C39" s="68"/>
      <c r="D39" s="68"/>
      <c r="E39" s="68"/>
      <c r="F39" s="68"/>
      <c r="G39" s="68"/>
      <c r="H39" s="47"/>
      <c r="I39" s="68"/>
      <c r="J39" s="68"/>
      <c r="K39" s="68"/>
      <c r="L39" s="68"/>
      <c r="M39" s="68"/>
      <c r="N39" s="68"/>
      <c r="O39" s="68"/>
      <c r="P39" s="68"/>
      <c r="Q39" s="70"/>
      <c r="R39" s="70"/>
      <c r="S39" s="47"/>
      <c r="T39" s="68"/>
      <c r="U39" s="69"/>
      <c r="V39" s="72"/>
      <c r="W39" s="47"/>
      <c r="X39" s="68"/>
      <c r="Y39" s="69"/>
      <c r="Z39" s="69"/>
      <c r="AA39" s="47"/>
      <c r="AB39" s="69"/>
      <c r="AC39" s="69"/>
      <c r="AD39" s="69"/>
      <c r="AE39" s="69"/>
    </row>
    <row r="40" spans="2:31" ht="14.25" customHeight="1" x14ac:dyDescent="0.25">
      <c r="B40" s="68"/>
      <c r="C40" s="68"/>
      <c r="D40" s="68"/>
      <c r="E40" s="68"/>
      <c r="F40" s="68"/>
      <c r="G40" s="68"/>
      <c r="H40" s="47"/>
      <c r="I40" s="68"/>
      <c r="J40" s="68"/>
      <c r="K40" s="68"/>
      <c r="L40" s="68"/>
      <c r="M40" s="68"/>
      <c r="N40" s="68"/>
      <c r="O40" s="68"/>
      <c r="P40" s="68"/>
      <c r="Q40" s="70"/>
      <c r="R40" s="70"/>
      <c r="S40" s="47"/>
      <c r="T40" s="68"/>
      <c r="U40" s="69"/>
      <c r="V40" s="72"/>
      <c r="W40" s="47"/>
      <c r="X40" s="68"/>
      <c r="Y40" s="69"/>
      <c r="Z40" s="69"/>
      <c r="AA40" s="47"/>
      <c r="AB40" s="69"/>
      <c r="AC40" s="69"/>
      <c r="AD40" s="69"/>
      <c r="AE40" s="69"/>
    </row>
    <row r="41" spans="2:31" ht="14.25" customHeight="1" x14ac:dyDescent="0.25">
      <c r="B41" s="68"/>
      <c r="C41" s="68"/>
      <c r="D41" s="68"/>
      <c r="E41" s="68"/>
      <c r="F41" s="68"/>
      <c r="G41" s="68"/>
      <c r="H41" s="47"/>
      <c r="I41" s="68"/>
      <c r="J41" s="68"/>
      <c r="K41" s="68"/>
      <c r="L41" s="68"/>
      <c r="M41" s="68"/>
      <c r="N41" s="68"/>
      <c r="O41" s="68"/>
      <c r="P41" s="68"/>
      <c r="Q41" s="70"/>
      <c r="R41" s="70"/>
      <c r="S41" s="47"/>
      <c r="T41" s="68"/>
      <c r="U41" s="69"/>
      <c r="V41" s="72"/>
      <c r="W41" s="47"/>
      <c r="X41" s="68"/>
      <c r="Y41" s="69"/>
      <c r="Z41" s="69"/>
      <c r="AA41" s="47"/>
      <c r="AB41" s="69"/>
      <c r="AC41" s="69"/>
      <c r="AD41" s="69"/>
      <c r="AE41" s="69"/>
    </row>
    <row r="42" spans="2:31" ht="14.25" customHeight="1" x14ac:dyDescent="0.25">
      <c r="B42" s="68"/>
      <c r="C42" s="68"/>
      <c r="D42" s="68"/>
      <c r="E42" s="68"/>
      <c r="F42" s="68"/>
      <c r="G42" s="68"/>
      <c r="H42" s="47"/>
      <c r="I42" s="68"/>
      <c r="J42" s="68"/>
      <c r="K42" s="68"/>
      <c r="L42" s="68"/>
      <c r="M42" s="68"/>
      <c r="N42" s="68"/>
      <c r="O42" s="68"/>
      <c r="P42" s="68"/>
      <c r="Q42" s="70"/>
      <c r="R42" s="70"/>
      <c r="S42" s="47"/>
      <c r="T42" s="68"/>
      <c r="U42" s="69"/>
      <c r="V42" s="72"/>
      <c r="W42" s="47"/>
      <c r="X42" s="68"/>
      <c r="Y42" s="69"/>
      <c r="Z42" s="69"/>
      <c r="AA42" s="47"/>
      <c r="AB42" s="69"/>
      <c r="AC42" s="69"/>
      <c r="AD42" s="69"/>
      <c r="AE42" s="69"/>
    </row>
    <row r="43" spans="2:31" ht="14.25" customHeight="1" x14ac:dyDescent="0.25">
      <c r="B43" s="68"/>
      <c r="C43" s="68"/>
      <c r="D43" s="68"/>
      <c r="E43" s="68"/>
      <c r="F43" s="68"/>
      <c r="G43" s="68"/>
      <c r="H43" s="47"/>
      <c r="I43" s="68"/>
      <c r="J43" s="68"/>
      <c r="K43" s="68"/>
      <c r="L43" s="68"/>
      <c r="M43" s="68"/>
      <c r="N43" s="68"/>
      <c r="O43" s="68"/>
      <c r="P43" s="68"/>
      <c r="Q43" s="70"/>
      <c r="R43" s="70"/>
      <c r="S43" s="47"/>
      <c r="T43" s="68"/>
      <c r="U43" s="69"/>
      <c r="V43" s="72"/>
      <c r="W43" s="47"/>
      <c r="X43" s="68"/>
      <c r="Y43" s="69"/>
      <c r="Z43" s="69"/>
      <c r="AA43" s="47"/>
      <c r="AB43" s="69"/>
      <c r="AC43" s="69"/>
      <c r="AD43" s="69"/>
      <c r="AE43" s="69"/>
    </row>
    <row r="44" spans="2:31" ht="14.25" customHeight="1" x14ac:dyDescent="0.25">
      <c r="B44" s="68"/>
      <c r="C44" s="68"/>
      <c r="D44" s="68"/>
      <c r="E44" s="68"/>
      <c r="F44" s="68"/>
      <c r="G44" s="68"/>
      <c r="H44" s="47"/>
      <c r="I44" s="68"/>
      <c r="J44" s="68"/>
      <c r="K44" s="68"/>
      <c r="L44" s="68"/>
      <c r="M44" s="68"/>
      <c r="N44" s="68"/>
      <c r="O44" s="68"/>
      <c r="P44" s="68"/>
      <c r="Q44" s="70"/>
      <c r="R44" s="70"/>
      <c r="S44" s="47"/>
      <c r="T44" s="68"/>
      <c r="U44" s="69"/>
      <c r="V44" s="72"/>
      <c r="W44" s="47"/>
      <c r="X44" s="68"/>
      <c r="Y44" s="69"/>
      <c r="Z44" s="69"/>
      <c r="AA44" s="47"/>
      <c r="AB44" s="69"/>
      <c r="AC44" s="69"/>
      <c r="AD44" s="69"/>
      <c r="AE44" s="69"/>
    </row>
    <row r="45" spans="2:31" ht="14.25" customHeight="1" x14ac:dyDescent="0.25">
      <c r="B45" s="68"/>
      <c r="C45" s="68"/>
      <c r="D45" s="68"/>
      <c r="E45" s="68"/>
      <c r="F45" s="68"/>
      <c r="G45" s="68"/>
      <c r="H45" s="47"/>
      <c r="I45" s="68"/>
      <c r="J45" s="68"/>
      <c r="K45" s="68"/>
      <c r="L45" s="68"/>
      <c r="M45" s="68"/>
      <c r="N45" s="68"/>
      <c r="O45" s="68"/>
      <c r="P45" s="68"/>
      <c r="Q45" s="70"/>
      <c r="R45" s="70"/>
      <c r="S45" s="47"/>
      <c r="T45" s="68"/>
      <c r="U45" s="69"/>
      <c r="V45" s="72"/>
      <c r="W45" s="47"/>
      <c r="X45" s="68"/>
      <c r="Y45" s="69"/>
      <c r="Z45" s="69"/>
      <c r="AA45" s="47"/>
      <c r="AB45" s="69"/>
      <c r="AC45" s="69"/>
      <c r="AD45" s="69"/>
      <c r="AE45" s="69"/>
    </row>
    <row r="46" spans="2:31" ht="14.25" customHeight="1" x14ac:dyDescent="0.25">
      <c r="B46" s="68"/>
      <c r="C46" s="68"/>
      <c r="D46" s="68"/>
      <c r="E46" s="68"/>
      <c r="F46" s="68"/>
      <c r="G46" s="68"/>
      <c r="H46" s="47"/>
      <c r="I46" s="68"/>
      <c r="J46" s="68"/>
      <c r="K46" s="68"/>
      <c r="L46" s="68"/>
      <c r="M46" s="68"/>
      <c r="N46" s="68"/>
      <c r="O46" s="68"/>
      <c r="P46" s="68"/>
      <c r="Q46" s="70"/>
      <c r="R46" s="70"/>
      <c r="S46" s="47"/>
      <c r="T46" s="68"/>
      <c r="U46" s="69"/>
      <c r="V46" s="72"/>
      <c r="W46" s="47"/>
      <c r="X46" s="68"/>
      <c r="Y46" s="69"/>
      <c r="Z46" s="69"/>
      <c r="AA46" s="47"/>
      <c r="AB46" s="69"/>
      <c r="AC46" s="69"/>
      <c r="AD46" s="69"/>
      <c r="AE46" s="69"/>
    </row>
    <row r="47" spans="2:31" ht="14.25" customHeight="1" x14ac:dyDescent="0.25">
      <c r="B47" s="68"/>
      <c r="C47" s="68"/>
      <c r="D47" s="68"/>
      <c r="E47" s="68"/>
      <c r="F47" s="68"/>
      <c r="G47" s="68"/>
      <c r="H47" s="47"/>
      <c r="I47" s="68"/>
      <c r="J47" s="68"/>
      <c r="K47" s="68"/>
      <c r="L47" s="68"/>
      <c r="M47" s="68"/>
      <c r="N47" s="68"/>
      <c r="O47" s="68"/>
      <c r="P47" s="68"/>
      <c r="Q47" s="70"/>
      <c r="R47" s="70"/>
      <c r="S47" s="47"/>
      <c r="T47" s="68"/>
      <c r="U47" s="69"/>
      <c r="V47" s="72"/>
      <c r="W47" s="47"/>
      <c r="X47" s="68"/>
      <c r="Y47" s="69"/>
      <c r="Z47" s="69"/>
      <c r="AA47" s="47"/>
      <c r="AB47" s="69"/>
      <c r="AC47" s="69"/>
      <c r="AD47" s="69"/>
      <c r="AE47" s="69"/>
    </row>
    <row r="48" spans="2:31" ht="14.25" customHeight="1" x14ac:dyDescent="0.25">
      <c r="B48" s="68"/>
      <c r="C48" s="68"/>
      <c r="D48" s="68"/>
      <c r="E48" s="68"/>
      <c r="F48" s="68"/>
      <c r="G48" s="68"/>
      <c r="H48" s="47"/>
      <c r="I48" s="68"/>
      <c r="J48" s="68"/>
      <c r="K48" s="68"/>
      <c r="L48" s="68"/>
      <c r="M48" s="68"/>
      <c r="N48" s="68"/>
      <c r="O48" s="68"/>
      <c r="P48" s="68"/>
      <c r="Q48" s="70"/>
      <c r="R48" s="70"/>
      <c r="S48" s="47"/>
      <c r="T48" s="68"/>
      <c r="U48" s="69"/>
      <c r="V48" s="72"/>
      <c r="W48" s="47"/>
      <c r="X48" s="68"/>
      <c r="Y48" s="69"/>
      <c r="Z48" s="69"/>
      <c r="AA48" s="47"/>
      <c r="AB48" s="69"/>
      <c r="AC48" s="69"/>
      <c r="AD48" s="69"/>
      <c r="AE48" s="69"/>
    </row>
    <row r="49" spans="2:31" ht="14.25" customHeight="1" x14ac:dyDescent="0.25">
      <c r="B49" s="68"/>
      <c r="C49" s="68"/>
      <c r="D49" s="68"/>
      <c r="E49" s="68"/>
      <c r="F49" s="68"/>
      <c r="G49" s="68"/>
      <c r="H49" s="47"/>
      <c r="I49" s="68"/>
      <c r="J49" s="68"/>
      <c r="K49" s="68"/>
      <c r="L49" s="68"/>
      <c r="M49" s="68"/>
      <c r="N49" s="68"/>
      <c r="O49" s="68"/>
      <c r="P49" s="68"/>
      <c r="Q49" s="70"/>
      <c r="R49" s="70"/>
      <c r="S49" s="47"/>
      <c r="T49" s="68"/>
      <c r="U49" s="69"/>
      <c r="V49" s="72"/>
      <c r="W49" s="47"/>
      <c r="X49" s="68"/>
      <c r="Y49" s="69"/>
      <c r="Z49" s="69"/>
      <c r="AA49" s="47"/>
      <c r="AB49" s="69"/>
      <c r="AC49" s="69"/>
      <c r="AD49" s="69"/>
      <c r="AE49" s="69"/>
    </row>
    <row r="50" spans="2:31" ht="14.25" customHeight="1" x14ac:dyDescent="0.25">
      <c r="B50" s="68"/>
      <c r="C50" s="68"/>
      <c r="D50" s="68"/>
      <c r="E50" s="68"/>
      <c r="F50" s="68"/>
      <c r="G50" s="68"/>
      <c r="H50" s="47"/>
      <c r="I50" s="68"/>
      <c r="J50" s="68"/>
      <c r="K50" s="68"/>
      <c r="L50" s="68"/>
      <c r="M50" s="68"/>
      <c r="N50" s="68"/>
      <c r="O50" s="68"/>
      <c r="P50" s="68"/>
      <c r="Q50" s="70"/>
      <c r="R50" s="70"/>
      <c r="S50" s="47"/>
      <c r="T50" s="68"/>
      <c r="U50" s="69"/>
      <c r="V50" s="72"/>
      <c r="W50" s="47"/>
      <c r="X50" s="68"/>
      <c r="Y50" s="69"/>
      <c r="Z50" s="69"/>
      <c r="AA50" s="47"/>
      <c r="AB50" s="69"/>
      <c r="AC50" s="69"/>
      <c r="AD50" s="69"/>
      <c r="AE50" s="69"/>
    </row>
    <row r="51" spans="2:31" ht="14.25" customHeight="1" x14ac:dyDescent="0.25">
      <c r="B51" s="68"/>
      <c r="C51" s="68"/>
      <c r="D51" s="68"/>
      <c r="E51" s="68"/>
      <c r="F51" s="68"/>
      <c r="G51" s="68"/>
      <c r="H51" s="47"/>
      <c r="I51" s="68"/>
      <c r="J51" s="68"/>
      <c r="K51" s="68"/>
      <c r="L51" s="68"/>
      <c r="M51" s="68"/>
      <c r="N51" s="68"/>
      <c r="O51" s="68"/>
      <c r="P51" s="68"/>
      <c r="Q51" s="70"/>
      <c r="R51" s="70"/>
      <c r="S51" s="47"/>
      <c r="T51" s="68"/>
      <c r="U51" s="69"/>
      <c r="V51" s="72"/>
      <c r="W51" s="47"/>
      <c r="X51" s="68"/>
      <c r="Y51" s="69"/>
      <c r="Z51" s="69"/>
      <c r="AA51" s="47"/>
      <c r="AB51" s="69"/>
      <c r="AC51" s="69"/>
      <c r="AD51" s="69"/>
      <c r="AE51" s="69"/>
    </row>
    <row r="52" spans="2:31" ht="14.25" customHeight="1" x14ac:dyDescent="0.25">
      <c r="B52" s="68"/>
      <c r="C52" s="68"/>
      <c r="D52" s="68"/>
      <c r="E52" s="68"/>
      <c r="F52" s="68"/>
      <c r="G52" s="68"/>
      <c r="H52" s="47"/>
      <c r="I52" s="68"/>
      <c r="J52" s="68"/>
      <c r="K52" s="68"/>
      <c r="L52" s="68"/>
      <c r="M52" s="68"/>
      <c r="N52" s="68"/>
      <c r="O52" s="68"/>
      <c r="P52" s="68"/>
      <c r="Q52" s="70"/>
      <c r="R52" s="70"/>
      <c r="S52" s="47"/>
      <c r="T52" s="68"/>
      <c r="U52" s="69"/>
      <c r="V52" s="72"/>
      <c r="W52" s="47"/>
      <c r="X52" s="68"/>
      <c r="Y52" s="69"/>
      <c r="Z52" s="69"/>
      <c r="AA52" s="47"/>
      <c r="AB52" s="69"/>
      <c r="AC52" s="69"/>
      <c r="AD52" s="69"/>
      <c r="AE52" s="69"/>
    </row>
    <row r="53" spans="2:31" ht="14.25" customHeight="1" x14ac:dyDescent="0.25">
      <c r="B53" s="68"/>
      <c r="C53" s="68"/>
      <c r="D53" s="68"/>
      <c r="E53" s="68"/>
      <c r="F53" s="68"/>
      <c r="G53" s="68"/>
      <c r="H53" s="47"/>
      <c r="I53" s="68"/>
      <c r="J53" s="68"/>
      <c r="K53" s="68"/>
      <c r="L53" s="68"/>
      <c r="M53" s="68"/>
      <c r="N53" s="68"/>
      <c r="O53" s="68"/>
      <c r="P53" s="68"/>
      <c r="Q53" s="70"/>
      <c r="R53" s="70"/>
      <c r="S53" s="47"/>
      <c r="T53" s="68"/>
      <c r="U53" s="69"/>
      <c r="V53" s="72"/>
      <c r="W53" s="47"/>
      <c r="X53" s="68"/>
      <c r="Y53" s="69"/>
      <c r="Z53" s="69"/>
      <c r="AA53" s="47"/>
      <c r="AB53" s="69"/>
      <c r="AC53" s="69"/>
      <c r="AD53" s="69"/>
      <c r="AE53" s="69"/>
    </row>
    <row r="54" spans="2:31" ht="14.25" customHeight="1" x14ac:dyDescent="0.25">
      <c r="B54" s="68"/>
      <c r="C54" s="68"/>
      <c r="D54" s="68"/>
      <c r="E54" s="68"/>
      <c r="F54" s="68"/>
      <c r="G54" s="68"/>
      <c r="H54" s="47"/>
      <c r="I54" s="68"/>
      <c r="J54" s="68"/>
      <c r="K54" s="68"/>
      <c r="L54" s="68"/>
      <c r="M54" s="68"/>
      <c r="N54" s="68"/>
      <c r="O54" s="68"/>
      <c r="P54" s="68"/>
      <c r="Q54" s="70"/>
      <c r="R54" s="70"/>
      <c r="S54" s="47"/>
      <c r="T54" s="68"/>
      <c r="U54" s="69"/>
      <c r="V54" s="72"/>
      <c r="W54" s="47"/>
      <c r="X54" s="68"/>
      <c r="Y54" s="69"/>
      <c r="Z54" s="69"/>
      <c r="AA54" s="47"/>
      <c r="AB54" s="69"/>
      <c r="AC54" s="69"/>
      <c r="AD54" s="69"/>
      <c r="AE54" s="69"/>
    </row>
    <row r="55" spans="2:31" ht="14.25" customHeight="1" x14ac:dyDescent="0.25">
      <c r="B55" s="68"/>
      <c r="C55" s="68"/>
      <c r="D55" s="68"/>
      <c r="E55" s="68"/>
      <c r="F55" s="68"/>
      <c r="G55" s="68"/>
      <c r="H55" s="47"/>
      <c r="I55" s="68"/>
      <c r="J55" s="68"/>
      <c r="K55" s="68"/>
      <c r="L55" s="68"/>
      <c r="M55" s="68"/>
      <c r="N55" s="68"/>
      <c r="O55" s="68"/>
      <c r="P55" s="68"/>
      <c r="Q55" s="70"/>
      <c r="R55" s="70"/>
      <c r="S55" s="47"/>
      <c r="T55" s="68"/>
      <c r="U55" s="69"/>
      <c r="V55" s="72"/>
      <c r="W55" s="47"/>
      <c r="X55" s="68"/>
      <c r="Y55" s="69"/>
      <c r="Z55" s="69"/>
      <c r="AA55" s="47"/>
      <c r="AB55" s="69"/>
      <c r="AC55" s="69"/>
      <c r="AD55" s="69"/>
      <c r="AE55" s="69"/>
    </row>
    <row r="56" spans="2:31" ht="14.25" customHeight="1" x14ac:dyDescent="0.25">
      <c r="B56" s="68"/>
      <c r="C56" s="68"/>
      <c r="D56" s="68"/>
      <c r="E56" s="68"/>
      <c r="F56" s="68"/>
      <c r="G56" s="68"/>
      <c r="H56" s="47"/>
      <c r="I56" s="68"/>
      <c r="J56" s="68"/>
      <c r="K56" s="68"/>
      <c r="L56" s="68"/>
      <c r="M56" s="68"/>
      <c r="N56" s="68"/>
      <c r="O56" s="68"/>
      <c r="P56" s="68"/>
      <c r="Q56" s="70"/>
      <c r="R56" s="70"/>
      <c r="S56" s="47"/>
      <c r="T56" s="68"/>
      <c r="U56" s="69"/>
      <c r="V56" s="72"/>
      <c r="W56" s="47"/>
      <c r="X56" s="68"/>
      <c r="Y56" s="69"/>
      <c r="Z56" s="69"/>
      <c r="AA56" s="47"/>
      <c r="AB56" s="69"/>
      <c r="AC56" s="69"/>
      <c r="AD56" s="69"/>
      <c r="AE56" s="69"/>
    </row>
    <row r="57" spans="2:31" ht="14.25" customHeight="1" x14ac:dyDescent="0.25">
      <c r="B57" s="68"/>
      <c r="C57" s="68"/>
      <c r="D57" s="68"/>
      <c r="E57" s="68"/>
      <c r="F57" s="68"/>
      <c r="G57" s="68"/>
      <c r="H57" s="47"/>
      <c r="I57" s="68"/>
      <c r="J57" s="68"/>
      <c r="K57" s="68"/>
      <c r="L57" s="68"/>
      <c r="M57" s="68"/>
      <c r="N57" s="68"/>
      <c r="O57" s="68"/>
      <c r="P57" s="68"/>
      <c r="Q57" s="70"/>
      <c r="R57" s="70"/>
      <c r="S57" s="47"/>
      <c r="T57" s="68"/>
      <c r="U57" s="69"/>
      <c r="V57" s="72"/>
      <c r="W57" s="47"/>
      <c r="X57" s="68"/>
      <c r="Y57" s="69"/>
      <c r="Z57" s="69"/>
      <c r="AA57" s="47"/>
      <c r="AB57" s="69"/>
      <c r="AC57" s="69"/>
      <c r="AD57" s="69"/>
      <c r="AE57" s="69"/>
    </row>
    <row r="58" spans="2:31" ht="14.25" customHeight="1" x14ac:dyDescent="0.25">
      <c r="B58" s="68"/>
      <c r="C58" s="68"/>
      <c r="D58" s="68"/>
      <c r="E58" s="68"/>
      <c r="F58" s="68"/>
      <c r="G58" s="68"/>
      <c r="H58" s="47"/>
      <c r="I58" s="68"/>
      <c r="J58" s="68"/>
      <c r="K58" s="68"/>
      <c r="L58" s="68"/>
      <c r="M58" s="68"/>
      <c r="N58" s="68"/>
      <c r="O58" s="68"/>
      <c r="P58" s="68"/>
      <c r="Q58" s="70"/>
      <c r="R58" s="70"/>
      <c r="S58" s="47"/>
      <c r="T58" s="68"/>
      <c r="U58" s="69"/>
      <c r="V58" s="72"/>
      <c r="W58" s="47"/>
      <c r="X58" s="68"/>
      <c r="Y58" s="69"/>
      <c r="Z58" s="69"/>
      <c r="AA58" s="47"/>
      <c r="AB58" s="69"/>
      <c r="AC58" s="69"/>
      <c r="AD58" s="69"/>
      <c r="AE58" s="69"/>
    </row>
    <row r="59" spans="2:31" ht="14.25" customHeight="1" x14ac:dyDescent="0.25">
      <c r="B59" s="68"/>
      <c r="C59" s="68"/>
      <c r="D59" s="68"/>
      <c r="E59" s="68"/>
      <c r="F59" s="68"/>
      <c r="G59" s="68"/>
      <c r="H59" s="47"/>
      <c r="I59" s="68"/>
      <c r="J59" s="68"/>
      <c r="K59" s="68"/>
      <c r="L59" s="68"/>
      <c r="M59" s="68"/>
      <c r="N59" s="68"/>
      <c r="O59" s="68"/>
      <c r="P59" s="68"/>
      <c r="Q59" s="70"/>
      <c r="R59" s="70"/>
      <c r="S59" s="47"/>
      <c r="T59" s="68"/>
      <c r="U59" s="69"/>
      <c r="V59" s="72"/>
      <c r="W59" s="47"/>
      <c r="X59" s="68"/>
      <c r="Y59" s="69"/>
      <c r="Z59" s="69"/>
      <c r="AA59" s="47"/>
      <c r="AB59" s="69"/>
      <c r="AC59" s="69"/>
      <c r="AD59" s="69"/>
      <c r="AE59" s="69"/>
    </row>
    <row r="60" spans="2:31" ht="14.25" customHeight="1" x14ac:dyDescent="0.25">
      <c r="B60" s="68"/>
      <c r="C60" s="68"/>
      <c r="D60" s="68"/>
      <c r="E60" s="68"/>
      <c r="F60" s="68"/>
      <c r="G60" s="68"/>
      <c r="H60" s="47"/>
      <c r="I60" s="68"/>
      <c r="J60" s="68"/>
      <c r="K60" s="68"/>
      <c r="L60" s="68"/>
      <c r="M60" s="68"/>
      <c r="N60" s="68"/>
      <c r="O60" s="68"/>
      <c r="P60" s="68"/>
      <c r="Q60" s="70"/>
      <c r="R60" s="70"/>
      <c r="S60" s="47"/>
      <c r="T60" s="68"/>
      <c r="U60" s="69"/>
      <c r="V60" s="72"/>
      <c r="W60" s="47"/>
      <c r="X60" s="68"/>
      <c r="Y60" s="69"/>
      <c r="Z60" s="69"/>
      <c r="AA60" s="47"/>
      <c r="AB60" s="69"/>
      <c r="AC60" s="69"/>
      <c r="AD60" s="69"/>
      <c r="AE60" s="69"/>
    </row>
    <row r="61" spans="2:31" ht="14.25" customHeight="1" x14ac:dyDescent="0.25">
      <c r="B61" s="68"/>
      <c r="C61" s="68"/>
      <c r="D61" s="68"/>
      <c r="E61" s="68"/>
      <c r="F61" s="68"/>
      <c r="G61" s="68"/>
      <c r="H61" s="47"/>
      <c r="I61" s="68"/>
      <c r="J61" s="68"/>
      <c r="K61" s="68"/>
      <c r="L61" s="68"/>
      <c r="M61" s="68"/>
      <c r="N61" s="68"/>
      <c r="O61" s="68"/>
      <c r="P61" s="68"/>
      <c r="Q61" s="70"/>
      <c r="R61" s="70"/>
      <c r="S61" s="47"/>
      <c r="T61" s="68"/>
      <c r="U61" s="69"/>
      <c r="V61" s="72"/>
      <c r="W61" s="47"/>
      <c r="X61" s="68"/>
      <c r="Y61" s="69"/>
      <c r="Z61" s="69"/>
      <c r="AA61" s="47"/>
      <c r="AB61" s="69"/>
      <c r="AC61" s="69"/>
      <c r="AD61" s="69"/>
      <c r="AE61" s="69"/>
    </row>
    <row r="62" spans="2:31" ht="14.25" customHeight="1" x14ac:dyDescent="0.25">
      <c r="B62" s="68"/>
      <c r="C62" s="68"/>
      <c r="D62" s="68"/>
      <c r="E62" s="68"/>
      <c r="F62" s="68"/>
      <c r="G62" s="68"/>
      <c r="H62" s="47"/>
      <c r="I62" s="68"/>
      <c r="J62" s="68"/>
      <c r="K62" s="68"/>
      <c r="L62" s="68"/>
      <c r="M62" s="68"/>
      <c r="N62" s="68"/>
      <c r="O62" s="68"/>
      <c r="P62" s="68"/>
      <c r="Q62" s="70"/>
      <c r="R62" s="70"/>
      <c r="S62" s="47"/>
      <c r="T62" s="68"/>
      <c r="U62" s="69"/>
      <c r="V62" s="72"/>
      <c r="W62" s="47"/>
      <c r="X62" s="68"/>
      <c r="Y62" s="69"/>
      <c r="Z62" s="69"/>
      <c r="AA62" s="47"/>
      <c r="AB62" s="69"/>
      <c r="AC62" s="69"/>
      <c r="AD62" s="69"/>
      <c r="AE62" s="69"/>
    </row>
    <row r="63" spans="2:31" ht="14.25" customHeight="1" x14ac:dyDescent="0.25">
      <c r="B63" s="68"/>
      <c r="C63" s="68"/>
      <c r="D63" s="68"/>
      <c r="E63" s="68"/>
      <c r="F63" s="68"/>
      <c r="G63" s="68"/>
      <c r="H63" s="47"/>
      <c r="I63" s="68"/>
      <c r="J63" s="68"/>
      <c r="K63" s="68"/>
      <c r="L63" s="68"/>
      <c r="M63" s="68"/>
      <c r="N63" s="68"/>
      <c r="O63" s="68"/>
      <c r="P63" s="68"/>
      <c r="Q63" s="70"/>
      <c r="R63" s="70"/>
      <c r="S63" s="47"/>
      <c r="T63" s="68"/>
      <c r="U63" s="69"/>
      <c r="V63" s="72"/>
      <c r="W63" s="47"/>
      <c r="X63" s="68"/>
      <c r="Y63" s="69"/>
      <c r="Z63" s="69"/>
      <c r="AA63" s="47"/>
      <c r="AB63" s="69"/>
      <c r="AC63" s="69"/>
      <c r="AD63" s="69"/>
      <c r="AE63" s="69"/>
    </row>
    <row r="64" spans="2:31" ht="14.25" customHeight="1" x14ac:dyDescent="0.25">
      <c r="B64" s="68"/>
      <c r="C64" s="68"/>
      <c r="D64" s="68"/>
      <c r="E64" s="68"/>
      <c r="F64" s="68"/>
      <c r="G64" s="68"/>
      <c r="H64" s="47"/>
      <c r="I64" s="68"/>
      <c r="J64" s="68"/>
      <c r="K64" s="68"/>
      <c r="L64" s="68"/>
      <c r="M64" s="68"/>
      <c r="N64" s="68"/>
      <c r="O64" s="68"/>
      <c r="P64" s="68"/>
      <c r="Q64" s="70"/>
      <c r="R64" s="70"/>
      <c r="S64" s="47"/>
      <c r="T64" s="68"/>
      <c r="U64" s="69"/>
      <c r="V64" s="72"/>
      <c r="W64" s="47"/>
      <c r="X64" s="68"/>
      <c r="Y64" s="69"/>
      <c r="Z64" s="69"/>
      <c r="AA64" s="47"/>
      <c r="AB64" s="69"/>
      <c r="AC64" s="69"/>
      <c r="AD64" s="69"/>
      <c r="AE64" s="69"/>
    </row>
    <row r="65" spans="2:31" ht="14.25" customHeight="1" x14ac:dyDescent="0.25">
      <c r="B65" s="68"/>
      <c r="C65" s="68"/>
      <c r="D65" s="68"/>
      <c r="E65" s="68"/>
      <c r="F65" s="68"/>
      <c r="G65" s="68"/>
      <c r="H65" s="47"/>
      <c r="I65" s="68"/>
      <c r="J65" s="68"/>
      <c r="K65" s="68"/>
      <c r="L65" s="68"/>
      <c r="M65" s="68"/>
      <c r="N65" s="68"/>
      <c r="O65" s="68"/>
      <c r="P65" s="68"/>
      <c r="Q65" s="70"/>
      <c r="R65" s="70"/>
      <c r="S65" s="47"/>
      <c r="T65" s="68"/>
      <c r="U65" s="69"/>
      <c r="V65" s="72"/>
      <c r="W65" s="47"/>
      <c r="X65" s="68"/>
      <c r="Y65" s="69"/>
      <c r="Z65" s="69"/>
      <c r="AA65" s="47"/>
      <c r="AB65" s="69"/>
      <c r="AC65" s="69"/>
      <c r="AD65" s="69"/>
      <c r="AE65" s="69"/>
    </row>
    <row r="66" spans="2:31" ht="14.25" customHeight="1" x14ac:dyDescent="0.25">
      <c r="B66" s="68"/>
      <c r="C66" s="68"/>
      <c r="D66" s="68"/>
      <c r="E66" s="68"/>
      <c r="F66" s="68"/>
      <c r="G66" s="68"/>
      <c r="H66" s="47"/>
      <c r="I66" s="68"/>
      <c r="J66" s="68"/>
      <c r="K66" s="68"/>
      <c r="L66" s="68"/>
      <c r="M66" s="68"/>
      <c r="N66" s="68"/>
      <c r="O66" s="68"/>
      <c r="P66" s="68"/>
      <c r="Q66" s="70"/>
      <c r="R66" s="70"/>
      <c r="S66" s="47"/>
      <c r="T66" s="68"/>
      <c r="U66" s="69"/>
      <c r="V66" s="72"/>
      <c r="W66" s="47"/>
      <c r="X66" s="68"/>
      <c r="Y66" s="69"/>
      <c r="Z66" s="69"/>
      <c r="AA66" s="47"/>
      <c r="AB66" s="69"/>
      <c r="AC66" s="69"/>
      <c r="AD66" s="69"/>
      <c r="AE66" s="69"/>
    </row>
    <row r="67" spans="2:31" ht="14.25" customHeight="1" x14ac:dyDescent="0.25">
      <c r="B67" s="68"/>
      <c r="C67" s="68"/>
      <c r="D67" s="68"/>
      <c r="E67" s="68"/>
      <c r="F67" s="68"/>
      <c r="G67" s="68"/>
      <c r="H67" s="47"/>
      <c r="I67" s="68"/>
      <c r="J67" s="68"/>
      <c r="K67" s="68"/>
      <c r="L67" s="68"/>
      <c r="M67" s="68"/>
      <c r="N67" s="68"/>
      <c r="O67" s="68"/>
      <c r="P67" s="68"/>
      <c r="Q67" s="70"/>
      <c r="R67" s="70"/>
      <c r="S67" s="47"/>
      <c r="T67" s="68"/>
      <c r="U67" s="69"/>
      <c r="V67" s="72"/>
      <c r="W67" s="47"/>
      <c r="X67" s="68"/>
      <c r="Y67" s="69"/>
      <c r="Z67" s="69"/>
      <c r="AA67" s="47"/>
      <c r="AB67" s="69"/>
      <c r="AC67" s="69"/>
      <c r="AD67" s="69"/>
      <c r="AE67" s="69"/>
    </row>
    <row r="68" spans="2:31" ht="14.25" customHeight="1" x14ac:dyDescent="0.25">
      <c r="B68" s="68"/>
      <c r="C68" s="68"/>
      <c r="D68" s="68"/>
      <c r="E68" s="68"/>
      <c r="F68" s="68"/>
      <c r="G68" s="68"/>
      <c r="H68" s="47"/>
      <c r="I68" s="68"/>
      <c r="J68" s="68"/>
      <c r="K68" s="68"/>
      <c r="L68" s="68"/>
      <c r="M68" s="68"/>
      <c r="N68" s="68"/>
      <c r="O68" s="68"/>
      <c r="P68" s="68"/>
      <c r="Q68" s="70"/>
      <c r="R68" s="70"/>
      <c r="S68" s="47"/>
      <c r="T68" s="68"/>
      <c r="U68" s="69"/>
      <c r="V68" s="72"/>
      <c r="W68" s="47"/>
      <c r="X68" s="68"/>
      <c r="Y68" s="69"/>
      <c r="Z68" s="69"/>
      <c r="AA68" s="47"/>
      <c r="AB68" s="69"/>
      <c r="AC68" s="69"/>
      <c r="AD68" s="69"/>
      <c r="AE68" s="69"/>
    </row>
    <row r="69" spans="2:31" ht="14.25" customHeight="1" x14ac:dyDescent="0.25">
      <c r="B69" s="68"/>
      <c r="C69" s="68"/>
      <c r="D69" s="68"/>
      <c r="E69" s="68"/>
      <c r="F69" s="68"/>
      <c r="G69" s="68"/>
      <c r="H69" s="47"/>
      <c r="I69" s="68"/>
      <c r="J69" s="68"/>
      <c r="K69" s="68"/>
      <c r="L69" s="68"/>
      <c r="M69" s="68"/>
      <c r="N69" s="68"/>
      <c r="O69" s="68"/>
      <c r="P69" s="68"/>
      <c r="Q69" s="70"/>
      <c r="R69" s="70"/>
      <c r="S69" s="47"/>
      <c r="T69" s="68"/>
      <c r="U69" s="69"/>
      <c r="V69" s="72"/>
      <c r="W69" s="47"/>
      <c r="X69" s="68"/>
      <c r="Y69" s="69"/>
      <c r="Z69" s="69"/>
      <c r="AA69" s="47"/>
      <c r="AB69" s="69"/>
      <c r="AC69" s="69"/>
      <c r="AD69" s="69"/>
      <c r="AE69" s="69"/>
    </row>
    <row r="70" spans="2:31" ht="14.25" customHeight="1" x14ac:dyDescent="0.25">
      <c r="B70" s="68"/>
      <c r="C70" s="68"/>
      <c r="D70" s="68"/>
      <c r="E70" s="68"/>
      <c r="F70" s="68"/>
      <c r="G70" s="68"/>
      <c r="H70" s="47"/>
      <c r="I70" s="68"/>
      <c r="J70" s="68"/>
      <c r="K70" s="68"/>
      <c r="L70" s="68"/>
      <c r="M70" s="68"/>
      <c r="N70" s="68"/>
      <c r="O70" s="68"/>
      <c r="P70" s="68"/>
      <c r="Q70" s="70"/>
      <c r="R70" s="70"/>
      <c r="S70" s="47"/>
      <c r="T70" s="68"/>
      <c r="U70" s="69"/>
      <c r="V70" s="72"/>
      <c r="W70" s="47"/>
      <c r="X70" s="68"/>
      <c r="Y70" s="69"/>
      <c r="Z70" s="69"/>
      <c r="AA70" s="47"/>
      <c r="AB70" s="69"/>
      <c r="AC70" s="69"/>
      <c r="AD70" s="69"/>
      <c r="AE70" s="69"/>
    </row>
    <row r="71" spans="2:31" ht="14.25" customHeight="1" x14ac:dyDescent="0.25">
      <c r="B71" s="68"/>
      <c r="C71" s="68"/>
      <c r="D71" s="68"/>
      <c r="E71" s="68"/>
      <c r="F71" s="68"/>
      <c r="G71" s="68"/>
      <c r="H71" s="47"/>
      <c r="I71" s="68"/>
      <c r="J71" s="68"/>
      <c r="K71" s="68"/>
      <c r="L71" s="68"/>
      <c r="M71" s="68"/>
      <c r="N71" s="68"/>
      <c r="O71" s="68"/>
      <c r="P71" s="68"/>
      <c r="Q71" s="70"/>
      <c r="R71" s="70"/>
      <c r="S71" s="47"/>
      <c r="T71" s="68"/>
      <c r="U71" s="69"/>
      <c r="V71" s="72"/>
      <c r="W71" s="47"/>
      <c r="X71" s="68"/>
      <c r="Y71" s="69"/>
      <c r="Z71" s="69"/>
      <c r="AA71" s="47"/>
      <c r="AB71" s="69"/>
      <c r="AC71" s="69"/>
      <c r="AD71" s="69"/>
      <c r="AE71" s="69"/>
    </row>
    <row r="72" spans="2:31" ht="14.25" customHeight="1" x14ac:dyDescent="0.25">
      <c r="B72" s="68"/>
      <c r="C72" s="68"/>
      <c r="D72" s="68"/>
      <c r="E72" s="68"/>
      <c r="F72" s="68"/>
      <c r="G72" s="68"/>
      <c r="H72" s="47"/>
      <c r="I72" s="68"/>
      <c r="J72" s="68"/>
      <c r="K72" s="68"/>
      <c r="L72" s="68"/>
      <c r="M72" s="68"/>
      <c r="N72" s="68"/>
      <c r="O72" s="68"/>
      <c r="P72" s="68"/>
      <c r="Q72" s="70"/>
      <c r="R72" s="70"/>
      <c r="S72" s="47"/>
      <c r="T72" s="68"/>
      <c r="U72" s="69"/>
      <c r="V72" s="72"/>
      <c r="W72" s="47"/>
      <c r="X72" s="68"/>
      <c r="Y72" s="69"/>
      <c r="Z72" s="69"/>
      <c r="AA72" s="47"/>
      <c r="AB72" s="69"/>
      <c r="AC72" s="69"/>
      <c r="AD72" s="69"/>
      <c r="AE72" s="69"/>
    </row>
    <row r="73" spans="2:31" ht="14.25" customHeight="1" x14ac:dyDescent="0.25">
      <c r="B73" s="68"/>
      <c r="C73" s="68"/>
      <c r="D73" s="68"/>
      <c r="E73" s="68"/>
      <c r="F73" s="68"/>
      <c r="G73" s="68"/>
      <c r="H73" s="47"/>
      <c r="I73" s="68"/>
      <c r="J73" s="68"/>
      <c r="K73" s="68"/>
      <c r="L73" s="68"/>
      <c r="M73" s="68"/>
      <c r="N73" s="68"/>
      <c r="O73" s="68"/>
      <c r="P73" s="68"/>
      <c r="Q73" s="70"/>
      <c r="R73" s="70"/>
      <c r="S73" s="47"/>
      <c r="T73" s="68"/>
      <c r="U73" s="69"/>
      <c r="V73" s="72"/>
      <c r="W73" s="47"/>
      <c r="X73" s="68"/>
      <c r="Y73" s="69"/>
      <c r="Z73" s="69"/>
      <c r="AA73" s="47"/>
      <c r="AB73" s="69"/>
      <c r="AC73" s="69"/>
      <c r="AD73" s="69"/>
      <c r="AE73" s="69"/>
    </row>
    <row r="74" spans="2:31" ht="14.25" customHeight="1" x14ac:dyDescent="0.25">
      <c r="B74" s="68"/>
      <c r="C74" s="68"/>
      <c r="D74" s="68"/>
      <c r="E74" s="68"/>
      <c r="F74" s="68"/>
      <c r="G74" s="68"/>
      <c r="H74" s="47"/>
      <c r="I74" s="68"/>
      <c r="J74" s="68"/>
      <c r="K74" s="68"/>
      <c r="L74" s="68"/>
      <c r="M74" s="68"/>
      <c r="N74" s="68"/>
      <c r="O74" s="68"/>
      <c r="P74" s="68"/>
      <c r="Q74" s="70"/>
      <c r="R74" s="70"/>
      <c r="S74" s="47"/>
      <c r="T74" s="68"/>
      <c r="U74" s="69"/>
      <c r="V74" s="72"/>
      <c r="W74" s="47"/>
      <c r="X74" s="68"/>
      <c r="Y74" s="69"/>
      <c r="Z74" s="69"/>
      <c r="AA74" s="47"/>
      <c r="AB74" s="69"/>
      <c r="AC74" s="69"/>
      <c r="AD74" s="69"/>
      <c r="AE74" s="69"/>
    </row>
    <row r="75" spans="2:31" ht="14.25" customHeight="1" x14ac:dyDescent="0.25">
      <c r="B75" s="68"/>
      <c r="C75" s="68"/>
      <c r="D75" s="68"/>
      <c r="E75" s="68"/>
      <c r="F75" s="68"/>
      <c r="G75" s="68"/>
      <c r="H75" s="47"/>
      <c r="I75" s="68"/>
      <c r="J75" s="68"/>
      <c r="K75" s="68"/>
      <c r="L75" s="68"/>
      <c r="M75" s="68"/>
      <c r="N75" s="68"/>
      <c r="O75" s="68"/>
      <c r="P75" s="68"/>
      <c r="Q75" s="70"/>
      <c r="R75" s="70"/>
      <c r="S75" s="47"/>
      <c r="T75" s="68"/>
      <c r="U75" s="69"/>
      <c r="V75" s="72"/>
      <c r="W75" s="47"/>
      <c r="X75" s="68"/>
      <c r="Y75" s="69"/>
      <c r="Z75" s="69"/>
      <c r="AA75" s="47"/>
      <c r="AB75" s="69"/>
      <c r="AC75" s="69"/>
      <c r="AD75" s="69"/>
      <c r="AE75" s="69"/>
    </row>
    <row r="76" spans="2:31" ht="14.25" customHeight="1" x14ac:dyDescent="0.25">
      <c r="B76" s="68"/>
      <c r="C76" s="68"/>
      <c r="D76" s="68"/>
      <c r="E76" s="68"/>
      <c r="F76" s="68"/>
      <c r="G76" s="68"/>
      <c r="H76" s="47"/>
      <c r="I76" s="68"/>
      <c r="J76" s="68"/>
      <c r="K76" s="68"/>
      <c r="L76" s="68"/>
      <c r="M76" s="68"/>
      <c r="N76" s="68"/>
      <c r="O76" s="68"/>
      <c r="P76" s="68"/>
      <c r="Q76" s="70"/>
      <c r="R76" s="70"/>
      <c r="S76" s="47"/>
      <c r="T76" s="68"/>
      <c r="U76" s="69"/>
      <c r="V76" s="72"/>
      <c r="W76" s="47"/>
      <c r="X76" s="68"/>
      <c r="Y76" s="69"/>
      <c r="Z76" s="69"/>
      <c r="AA76" s="47"/>
      <c r="AB76" s="69"/>
      <c r="AC76" s="69"/>
      <c r="AD76" s="69"/>
      <c r="AE76" s="69"/>
    </row>
    <row r="77" spans="2:31" ht="14.25" customHeight="1" x14ac:dyDescent="0.25">
      <c r="B77" s="68"/>
      <c r="C77" s="68"/>
      <c r="D77" s="68"/>
      <c r="E77" s="68"/>
      <c r="F77" s="68"/>
      <c r="G77" s="68"/>
      <c r="H77" s="47"/>
      <c r="I77" s="68"/>
      <c r="J77" s="68"/>
      <c r="K77" s="68"/>
      <c r="L77" s="68"/>
      <c r="M77" s="68"/>
      <c r="N77" s="68"/>
      <c r="O77" s="68"/>
      <c r="P77" s="68"/>
      <c r="Q77" s="70"/>
      <c r="R77" s="70"/>
      <c r="S77" s="47"/>
      <c r="T77" s="68"/>
      <c r="U77" s="69"/>
      <c r="V77" s="72"/>
      <c r="W77" s="47"/>
      <c r="X77" s="68"/>
      <c r="Y77" s="69"/>
      <c r="Z77" s="69"/>
      <c r="AA77" s="47"/>
      <c r="AB77" s="69"/>
      <c r="AC77" s="69"/>
      <c r="AD77" s="69"/>
      <c r="AE77" s="69"/>
    </row>
    <row r="78" spans="2:31" ht="14.25" customHeight="1" x14ac:dyDescent="0.25">
      <c r="B78" s="68"/>
      <c r="C78" s="68"/>
      <c r="D78" s="68"/>
      <c r="E78" s="68"/>
      <c r="F78" s="68"/>
      <c r="G78" s="68"/>
      <c r="H78" s="47"/>
      <c r="I78" s="68"/>
      <c r="J78" s="68"/>
      <c r="K78" s="68"/>
      <c r="L78" s="68"/>
      <c r="M78" s="68"/>
      <c r="N78" s="68"/>
      <c r="O78" s="68"/>
      <c r="P78" s="68"/>
      <c r="Q78" s="70"/>
      <c r="R78" s="70"/>
      <c r="S78" s="47"/>
      <c r="T78" s="68"/>
      <c r="U78" s="69"/>
      <c r="V78" s="72"/>
      <c r="W78" s="47"/>
      <c r="X78" s="68"/>
      <c r="Y78" s="69"/>
      <c r="Z78" s="69"/>
      <c r="AA78" s="47"/>
      <c r="AB78" s="69"/>
      <c r="AC78" s="69"/>
      <c r="AD78" s="69"/>
      <c r="AE78" s="69"/>
    </row>
    <row r="79" spans="2:31" ht="14.25" customHeight="1" x14ac:dyDescent="0.25">
      <c r="B79" s="68"/>
      <c r="C79" s="68"/>
      <c r="D79" s="68"/>
      <c r="E79" s="68"/>
      <c r="F79" s="68"/>
      <c r="G79" s="68"/>
      <c r="H79" s="47"/>
      <c r="I79" s="68"/>
      <c r="J79" s="68"/>
      <c r="K79" s="68"/>
      <c r="L79" s="68"/>
      <c r="M79" s="68"/>
      <c r="N79" s="68"/>
      <c r="O79" s="68"/>
      <c r="P79" s="68"/>
      <c r="Q79" s="70"/>
      <c r="R79" s="70"/>
      <c r="S79" s="47"/>
      <c r="T79" s="68"/>
      <c r="U79" s="69"/>
      <c r="V79" s="72"/>
      <c r="W79" s="47"/>
      <c r="X79" s="68"/>
      <c r="Y79" s="69"/>
      <c r="Z79" s="69"/>
      <c r="AA79" s="47"/>
      <c r="AB79" s="69"/>
      <c r="AC79" s="69"/>
      <c r="AD79" s="69"/>
      <c r="AE79" s="69"/>
    </row>
    <row r="80" spans="2:31" ht="14.25" customHeight="1" x14ac:dyDescent="0.25">
      <c r="B80" s="68"/>
      <c r="C80" s="68"/>
      <c r="D80" s="68"/>
      <c r="E80" s="68"/>
      <c r="F80" s="68"/>
      <c r="G80" s="68"/>
      <c r="H80" s="47"/>
      <c r="I80" s="68"/>
      <c r="J80" s="68"/>
      <c r="K80" s="68"/>
      <c r="L80" s="68"/>
      <c r="M80" s="68"/>
      <c r="N80" s="68"/>
      <c r="O80" s="68"/>
      <c r="P80" s="68"/>
      <c r="Q80" s="70"/>
      <c r="R80" s="70"/>
      <c r="S80" s="47"/>
      <c r="T80" s="68"/>
      <c r="U80" s="69"/>
      <c r="V80" s="72"/>
      <c r="W80" s="47"/>
      <c r="X80" s="68"/>
      <c r="Y80" s="69"/>
      <c r="Z80" s="69"/>
      <c r="AA80" s="47"/>
      <c r="AB80" s="69"/>
      <c r="AC80" s="69"/>
      <c r="AD80" s="69"/>
      <c r="AE80" s="69"/>
    </row>
    <row r="81" spans="2:31" ht="14.25" customHeight="1" x14ac:dyDescent="0.25">
      <c r="B81" s="68"/>
      <c r="C81" s="68"/>
      <c r="D81" s="68"/>
      <c r="E81" s="68"/>
      <c r="F81" s="68"/>
      <c r="G81" s="68"/>
      <c r="H81" s="47"/>
      <c r="I81" s="68"/>
      <c r="J81" s="68"/>
      <c r="K81" s="68"/>
      <c r="L81" s="68"/>
      <c r="M81" s="68"/>
      <c r="N81" s="68"/>
      <c r="O81" s="68"/>
      <c r="P81" s="68"/>
      <c r="Q81" s="70"/>
      <c r="R81" s="70"/>
      <c r="S81" s="47"/>
      <c r="T81" s="68"/>
      <c r="U81" s="69"/>
      <c r="V81" s="72"/>
      <c r="W81" s="47"/>
      <c r="X81" s="68"/>
      <c r="Y81" s="69"/>
      <c r="Z81" s="69"/>
      <c r="AA81" s="47"/>
      <c r="AB81" s="69"/>
      <c r="AC81" s="69"/>
      <c r="AD81" s="69"/>
      <c r="AE81" s="69"/>
    </row>
    <row r="82" spans="2:31" ht="14.25" customHeight="1" x14ac:dyDescent="0.25">
      <c r="B82" s="68"/>
      <c r="C82" s="68"/>
      <c r="D82" s="68"/>
      <c r="E82" s="68"/>
      <c r="F82" s="68"/>
      <c r="G82" s="68"/>
      <c r="H82" s="47"/>
      <c r="I82" s="68"/>
      <c r="J82" s="68"/>
      <c r="K82" s="68"/>
      <c r="L82" s="68"/>
      <c r="M82" s="68"/>
      <c r="N82" s="68"/>
      <c r="O82" s="68"/>
      <c r="P82" s="68"/>
      <c r="Q82" s="70"/>
      <c r="R82" s="70"/>
      <c r="S82" s="47"/>
      <c r="T82" s="68"/>
      <c r="U82" s="69"/>
      <c r="V82" s="72"/>
      <c r="W82" s="47"/>
      <c r="X82" s="68"/>
      <c r="Y82" s="69"/>
      <c r="Z82" s="69"/>
      <c r="AA82" s="47"/>
      <c r="AB82" s="69"/>
      <c r="AC82" s="69"/>
      <c r="AD82" s="69"/>
      <c r="AE82" s="69"/>
    </row>
    <row r="83" spans="2:31" ht="14.25" customHeight="1" x14ac:dyDescent="0.25">
      <c r="B83" s="68"/>
      <c r="C83" s="68"/>
      <c r="D83" s="68"/>
      <c r="E83" s="68"/>
      <c r="F83" s="68"/>
      <c r="G83" s="68"/>
      <c r="H83" s="47"/>
      <c r="I83" s="68"/>
      <c r="J83" s="68"/>
      <c r="K83" s="68"/>
      <c r="L83" s="68"/>
      <c r="M83" s="68"/>
      <c r="N83" s="68"/>
      <c r="O83" s="68"/>
      <c r="P83" s="68"/>
      <c r="Q83" s="70"/>
      <c r="R83" s="70"/>
      <c r="S83" s="47"/>
      <c r="T83" s="68"/>
      <c r="U83" s="69"/>
      <c r="V83" s="72"/>
      <c r="W83" s="47"/>
      <c r="X83" s="68"/>
      <c r="Y83" s="69"/>
      <c r="Z83" s="69"/>
      <c r="AA83" s="47"/>
      <c r="AB83" s="69"/>
      <c r="AC83" s="69"/>
      <c r="AD83" s="69"/>
      <c r="AE83" s="69"/>
    </row>
    <row r="84" spans="2:31" ht="14.25" customHeight="1" x14ac:dyDescent="0.25">
      <c r="B84" s="68"/>
      <c r="C84" s="68"/>
      <c r="D84" s="68"/>
      <c r="E84" s="68"/>
      <c r="F84" s="68"/>
      <c r="G84" s="68"/>
      <c r="H84" s="47"/>
      <c r="I84" s="68"/>
      <c r="J84" s="68"/>
      <c r="K84" s="68"/>
      <c r="L84" s="68"/>
      <c r="M84" s="68"/>
      <c r="N84" s="68"/>
      <c r="O84" s="68"/>
      <c r="P84" s="68"/>
      <c r="Q84" s="70"/>
      <c r="R84" s="70"/>
      <c r="S84" s="47"/>
      <c r="T84" s="68"/>
      <c r="U84" s="69"/>
      <c r="V84" s="72"/>
      <c r="W84" s="47"/>
      <c r="X84" s="68"/>
      <c r="Y84" s="69"/>
      <c r="Z84" s="69"/>
      <c r="AA84" s="47"/>
      <c r="AB84" s="69"/>
      <c r="AC84" s="69"/>
      <c r="AD84" s="69"/>
      <c r="AE84" s="69"/>
    </row>
    <row r="85" spans="2:31" ht="14.25" customHeight="1" x14ac:dyDescent="0.25">
      <c r="B85" s="68"/>
      <c r="C85" s="68"/>
      <c r="D85" s="68"/>
      <c r="E85" s="68"/>
      <c r="F85" s="68"/>
      <c r="G85" s="68"/>
      <c r="H85" s="47"/>
      <c r="I85" s="68"/>
      <c r="J85" s="68"/>
      <c r="K85" s="68"/>
      <c r="L85" s="68"/>
      <c r="M85" s="68"/>
      <c r="N85" s="68"/>
      <c r="O85" s="68"/>
      <c r="P85" s="68"/>
      <c r="Q85" s="70"/>
      <c r="R85" s="70"/>
      <c r="S85" s="47"/>
      <c r="T85" s="68"/>
      <c r="U85" s="69"/>
      <c r="V85" s="72"/>
      <c r="W85" s="47"/>
      <c r="X85" s="68"/>
      <c r="Y85" s="69"/>
      <c r="Z85" s="69"/>
      <c r="AA85" s="47"/>
      <c r="AB85" s="69"/>
      <c r="AC85" s="69"/>
      <c r="AD85" s="69"/>
      <c r="AE85" s="69"/>
    </row>
    <row r="86" spans="2:31" ht="14.25" customHeight="1" x14ac:dyDescent="0.25">
      <c r="B86" s="68"/>
      <c r="C86" s="68"/>
      <c r="D86" s="68"/>
      <c r="E86" s="68"/>
      <c r="F86" s="68"/>
      <c r="G86" s="68"/>
      <c r="H86" s="47"/>
      <c r="I86" s="68"/>
      <c r="J86" s="68"/>
      <c r="K86" s="68"/>
      <c r="L86" s="68"/>
      <c r="M86" s="68"/>
      <c r="N86" s="68"/>
      <c r="O86" s="68"/>
      <c r="P86" s="68"/>
      <c r="Q86" s="70"/>
      <c r="R86" s="70"/>
      <c r="S86" s="47"/>
      <c r="T86" s="68"/>
      <c r="U86" s="69"/>
      <c r="V86" s="72"/>
      <c r="W86" s="47"/>
      <c r="X86" s="68"/>
      <c r="Y86" s="69"/>
      <c r="Z86" s="69"/>
      <c r="AA86" s="47"/>
      <c r="AB86" s="69"/>
      <c r="AC86" s="69"/>
      <c r="AD86" s="69"/>
      <c r="AE86" s="69"/>
    </row>
    <row r="87" spans="2:31" ht="14.25" customHeight="1" x14ac:dyDescent="0.25">
      <c r="B87" s="68"/>
      <c r="C87" s="68"/>
      <c r="D87" s="68"/>
      <c r="E87" s="68"/>
      <c r="F87" s="68"/>
      <c r="G87" s="68"/>
      <c r="H87" s="47"/>
      <c r="I87" s="68"/>
      <c r="J87" s="68"/>
      <c r="K87" s="68"/>
      <c r="L87" s="68"/>
      <c r="M87" s="68"/>
      <c r="N87" s="68"/>
      <c r="O87" s="68"/>
      <c r="P87" s="68"/>
      <c r="Q87" s="70"/>
      <c r="R87" s="70"/>
      <c r="S87" s="47"/>
      <c r="T87" s="68"/>
      <c r="U87" s="69"/>
      <c r="V87" s="72"/>
      <c r="W87" s="47"/>
      <c r="X87" s="68"/>
      <c r="Y87" s="69"/>
      <c r="Z87" s="69"/>
      <c r="AA87" s="47"/>
      <c r="AB87" s="69"/>
      <c r="AC87" s="69"/>
      <c r="AD87" s="69"/>
      <c r="AE87" s="69"/>
    </row>
    <row r="88" spans="2:31" ht="14.25" customHeight="1" x14ac:dyDescent="0.25">
      <c r="B88" s="68"/>
      <c r="C88" s="68"/>
      <c r="D88" s="68"/>
      <c r="E88" s="68"/>
      <c r="F88" s="68"/>
      <c r="G88" s="68"/>
      <c r="H88" s="47"/>
      <c r="I88" s="68"/>
      <c r="J88" s="68"/>
      <c r="K88" s="68"/>
      <c r="L88" s="68"/>
      <c r="M88" s="68"/>
      <c r="N88" s="68"/>
      <c r="O88" s="68"/>
      <c r="P88" s="68"/>
      <c r="Q88" s="70"/>
      <c r="R88" s="70"/>
      <c r="S88" s="47"/>
      <c r="T88" s="68"/>
      <c r="U88" s="69"/>
      <c r="V88" s="72"/>
      <c r="W88" s="47"/>
      <c r="X88" s="68"/>
      <c r="Y88" s="69"/>
      <c r="Z88" s="69"/>
      <c r="AA88" s="47"/>
      <c r="AB88" s="69"/>
      <c r="AC88" s="69"/>
      <c r="AD88" s="69"/>
      <c r="AE88" s="69"/>
    </row>
    <row r="89" spans="2:31" ht="14.25" customHeight="1" x14ac:dyDescent="0.25">
      <c r="B89" s="68"/>
      <c r="C89" s="68"/>
      <c r="D89" s="68"/>
      <c r="E89" s="68"/>
      <c r="F89" s="68"/>
      <c r="G89" s="68"/>
      <c r="H89" s="47"/>
      <c r="I89" s="68"/>
      <c r="J89" s="68"/>
      <c r="K89" s="68"/>
      <c r="L89" s="68"/>
      <c r="M89" s="68"/>
      <c r="N89" s="68"/>
      <c r="O89" s="68"/>
      <c r="P89" s="68"/>
      <c r="Q89" s="70"/>
      <c r="R89" s="70"/>
      <c r="S89" s="47"/>
      <c r="T89" s="68"/>
      <c r="U89" s="69"/>
      <c r="V89" s="72"/>
      <c r="W89" s="47"/>
      <c r="X89" s="68"/>
      <c r="Y89" s="69"/>
      <c r="Z89" s="69"/>
      <c r="AA89" s="47"/>
      <c r="AB89" s="69"/>
      <c r="AC89" s="69"/>
      <c r="AD89" s="69"/>
      <c r="AE89" s="69"/>
    </row>
    <row r="90" spans="2:31" ht="14.25" customHeight="1" x14ac:dyDescent="0.25">
      <c r="B90" s="68"/>
      <c r="C90" s="68"/>
      <c r="D90" s="68"/>
      <c r="E90" s="68"/>
      <c r="F90" s="68"/>
      <c r="G90" s="68"/>
      <c r="H90" s="47"/>
      <c r="I90" s="68"/>
      <c r="J90" s="68"/>
      <c r="K90" s="68"/>
      <c r="L90" s="68"/>
      <c r="M90" s="68"/>
      <c r="N90" s="68"/>
      <c r="O90" s="68"/>
      <c r="P90" s="68"/>
      <c r="Q90" s="70"/>
      <c r="R90" s="70"/>
      <c r="S90" s="47"/>
      <c r="T90" s="68"/>
      <c r="U90" s="69"/>
      <c r="V90" s="72"/>
      <c r="W90" s="47"/>
      <c r="X90" s="68"/>
      <c r="Y90" s="69"/>
      <c r="Z90" s="69"/>
      <c r="AA90" s="47"/>
      <c r="AB90" s="69"/>
      <c r="AC90" s="69"/>
      <c r="AD90" s="69"/>
      <c r="AE90" s="69"/>
    </row>
    <row r="91" spans="2:31" ht="14.25" customHeight="1" x14ac:dyDescent="0.25">
      <c r="B91" s="68"/>
      <c r="C91" s="68"/>
      <c r="D91" s="68"/>
      <c r="E91" s="68"/>
      <c r="F91" s="68"/>
      <c r="G91" s="68"/>
      <c r="H91" s="47"/>
      <c r="I91" s="68"/>
      <c r="J91" s="68"/>
      <c r="K91" s="68"/>
      <c r="L91" s="68"/>
      <c r="M91" s="68"/>
      <c r="N91" s="68"/>
      <c r="O91" s="68"/>
      <c r="P91" s="68"/>
      <c r="Q91" s="70"/>
      <c r="R91" s="70"/>
      <c r="S91" s="47"/>
      <c r="T91" s="68"/>
      <c r="U91" s="69"/>
      <c r="V91" s="72"/>
      <c r="W91" s="47"/>
      <c r="X91" s="68"/>
      <c r="Y91" s="69"/>
      <c r="Z91" s="69"/>
      <c r="AA91" s="47"/>
      <c r="AB91" s="69"/>
      <c r="AC91" s="69"/>
      <c r="AD91" s="69"/>
      <c r="AE91" s="69"/>
    </row>
    <row r="92" spans="2:31" ht="14.25" customHeight="1" x14ac:dyDescent="0.25">
      <c r="B92" s="68"/>
      <c r="C92" s="68"/>
      <c r="D92" s="68"/>
      <c r="E92" s="68"/>
      <c r="F92" s="68"/>
      <c r="G92" s="68"/>
      <c r="H92" s="47"/>
      <c r="I92" s="68"/>
      <c r="J92" s="68"/>
      <c r="K92" s="68"/>
      <c r="L92" s="68"/>
      <c r="M92" s="68"/>
      <c r="N92" s="68"/>
      <c r="O92" s="68"/>
      <c r="P92" s="68"/>
      <c r="Q92" s="70"/>
      <c r="R92" s="70"/>
      <c r="S92" s="47"/>
      <c r="T92" s="68"/>
      <c r="U92" s="69"/>
      <c r="V92" s="72"/>
      <c r="W92" s="47"/>
      <c r="X92" s="68"/>
      <c r="Y92" s="69"/>
      <c r="Z92" s="69"/>
      <c r="AA92" s="47"/>
      <c r="AB92" s="69"/>
      <c r="AC92" s="69"/>
      <c r="AD92" s="69"/>
      <c r="AE92" s="69"/>
    </row>
    <row r="93" spans="2:31" ht="14.25" customHeight="1" x14ac:dyDescent="0.25">
      <c r="B93" s="68"/>
      <c r="C93" s="68"/>
      <c r="D93" s="68"/>
      <c r="E93" s="68"/>
      <c r="F93" s="68"/>
      <c r="G93" s="68"/>
      <c r="H93" s="47"/>
      <c r="I93" s="68"/>
      <c r="J93" s="68"/>
      <c r="K93" s="68"/>
      <c r="L93" s="68"/>
      <c r="M93" s="68"/>
      <c r="N93" s="68"/>
      <c r="O93" s="68"/>
      <c r="P93" s="68"/>
      <c r="Q93" s="70"/>
      <c r="R93" s="70"/>
      <c r="S93" s="47"/>
      <c r="T93" s="68"/>
      <c r="U93" s="69"/>
      <c r="V93" s="72"/>
      <c r="W93" s="47"/>
      <c r="X93" s="68"/>
      <c r="Y93" s="69"/>
      <c r="Z93" s="69"/>
      <c r="AA93" s="47"/>
      <c r="AB93" s="69"/>
      <c r="AC93" s="69"/>
      <c r="AD93" s="69"/>
      <c r="AE93" s="69"/>
    </row>
    <row r="94" spans="2:31" ht="14.25" customHeight="1" x14ac:dyDescent="0.25">
      <c r="B94" s="68"/>
      <c r="C94" s="68"/>
      <c r="D94" s="68"/>
      <c r="E94" s="68"/>
      <c r="F94" s="68"/>
      <c r="G94" s="68"/>
      <c r="H94" s="47"/>
      <c r="I94" s="68"/>
      <c r="J94" s="68"/>
      <c r="K94" s="68"/>
      <c r="L94" s="68"/>
      <c r="M94" s="68"/>
      <c r="N94" s="68"/>
      <c r="O94" s="68"/>
      <c r="P94" s="68"/>
      <c r="Q94" s="70"/>
      <c r="R94" s="70"/>
      <c r="S94" s="47"/>
      <c r="T94" s="68"/>
      <c r="U94" s="69"/>
      <c r="V94" s="72"/>
      <c r="W94" s="47"/>
      <c r="X94" s="68"/>
      <c r="Y94" s="69"/>
      <c r="Z94" s="69"/>
      <c r="AA94" s="47"/>
      <c r="AB94" s="69"/>
      <c r="AC94" s="69"/>
      <c r="AD94" s="69"/>
      <c r="AE94" s="69"/>
    </row>
    <row r="95" spans="2:31" ht="14.25" customHeight="1" x14ac:dyDescent="0.25">
      <c r="B95" s="68"/>
      <c r="C95" s="68"/>
      <c r="D95" s="68"/>
      <c r="E95" s="68"/>
      <c r="F95" s="68"/>
      <c r="G95" s="68"/>
      <c r="H95" s="47"/>
      <c r="I95" s="68"/>
      <c r="J95" s="68"/>
      <c r="K95" s="68"/>
      <c r="L95" s="68"/>
      <c r="M95" s="68"/>
      <c r="N95" s="68"/>
      <c r="O95" s="68"/>
      <c r="P95" s="68"/>
      <c r="Q95" s="70"/>
      <c r="R95" s="70"/>
      <c r="S95" s="47"/>
      <c r="T95" s="68"/>
      <c r="U95" s="69"/>
      <c r="V95" s="72"/>
      <c r="W95" s="47"/>
      <c r="X95" s="68"/>
      <c r="Y95" s="69"/>
      <c r="Z95" s="69"/>
      <c r="AA95" s="47"/>
      <c r="AB95" s="69"/>
      <c r="AC95" s="69"/>
      <c r="AD95" s="69"/>
      <c r="AE95" s="69"/>
    </row>
    <row r="96" spans="2:31" ht="14.25" customHeight="1" x14ac:dyDescent="0.25">
      <c r="B96" s="68"/>
      <c r="C96" s="68"/>
      <c r="D96" s="68"/>
      <c r="E96" s="68"/>
      <c r="F96" s="68"/>
      <c r="G96" s="68"/>
      <c r="H96" s="47"/>
      <c r="I96" s="68"/>
      <c r="J96" s="68"/>
      <c r="K96" s="68"/>
      <c r="L96" s="68"/>
      <c r="M96" s="68"/>
      <c r="N96" s="68"/>
      <c r="O96" s="68"/>
      <c r="P96" s="68"/>
      <c r="Q96" s="70"/>
      <c r="R96" s="70"/>
      <c r="S96" s="47"/>
      <c r="T96" s="68"/>
      <c r="U96" s="69"/>
      <c r="V96" s="72"/>
      <c r="W96" s="47"/>
      <c r="X96" s="68"/>
      <c r="Y96" s="69"/>
      <c r="Z96" s="69"/>
      <c r="AA96" s="47"/>
      <c r="AB96" s="69"/>
      <c r="AC96" s="69"/>
      <c r="AD96" s="69"/>
      <c r="AE96" s="69"/>
    </row>
    <row r="97" spans="2:31" ht="14.25" customHeight="1" x14ac:dyDescent="0.25">
      <c r="B97" s="68"/>
      <c r="C97" s="68"/>
      <c r="D97" s="68"/>
      <c r="E97" s="68"/>
      <c r="F97" s="68"/>
      <c r="G97" s="68"/>
      <c r="H97" s="47"/>
      <c r="I97" s="68"/>
      <c r="J97" s="68"/>
      <c r="K97" s="68"/>
      <c r="L97" s="68"/>
      <c r="M97" s="68"/>
      <c r="N97" s="68"/>
      <c r="O97" s="68"/>
      <c r="P97" s="68"/>
      <c r="Q97" s="70"/>
      <c r="R97" s="70"/>
      <c r="S97" s="47"/>
      <c r="T97" s="68"/>
      <c r="U97" s="69"/>
      <c r="V97" s="72"/>
      <c r="W97" s="47"/>
      <c r="X97" s="68"/>
      <c r="Y97" s="69"/>
      <c r="Z97" s="69"/>
      <c r="AA97" s="47"/>
      <c r="AB97" s="69"/>
      <c r="AC97" s="69"/>
      <c r="AD97" s="69"/>
      <c r="AE97" s="69"/>
    </row>
    <row r="98" spans="2:31" ht="14.25" customHeight="1" x14ac:dyDescent="0.25">
      <c r="B98" s="68"/>
      <c r="C98" s="68"/>
      <c r="D98" s="68"/>
      <c r="E98" s="68"/>
      <c r="F98" s="68"/>
      <c r="G98" s="68"/>
      <c r="H98" s="47"/>
      <c r="I98" s="68"/>
      <c r="J98" s="68"/>
      <c r="K98" s="68"/>
      <c r="L98" s="68"/>
      <c r="M98" s="68"/>
      <c r="N98" s="68"/>
      <c r="O98" s="68"/>
      <c r="P98" s="68"/>
      <c r="Q98" s="70"/>
      <c r="R98" s="70"/>
      <c r="S98" s="47"/>
      <c r="T98" s="68"/>
      <c r="U98" s="69"/>
      <c r="V98" s="72"/>
      <c r="W98" s="47"/>
      <c r="X98" s="68"/>
      <c r="Y98" s="69"/>
      <c r="Z98" s="69"/>
      <c r="AA98" s="47"/>
      <c r="AB98" s="69"/>
      <c r="AC98" s="69"/>
      <c r="AD98" s="69"/>
      <c r="AE98" s="69"/>
    </row>
  </sheetData>
  <autoFilter ref="B12:AE35">
    <sortState ref="B13:AA35">
      <sortCondition ref="C12:C19"/>
    </sortState>
  </autoFilter>
  <mergeCells count="8">
    <mergeCell ref="T11:V11"/>
    <mergeCell ref="X11:Z11"/>
    <mergeCell ref="AB11:AE11"/>
    <mergeCell ref="C7:G7"/>
    <mergeCell ref="B11:G11"/>
    <mergeCell ref="I11:K11"/>
    <mergeCell ref="L11:N11"/>
    <mergeCell ref="O11:R11"/>
  </mergeCells>
  <conditionalFormatting sqref="X32 X18:X20 X22:X25">
    <cfRule type="cellIs" dxfId="904" priority="43" operator="equal">
      <formula>"Testes utilizador"</formula>
    </cfRule>
  </conditionalFormatting>
  <conditionalFormatting sqref="X26">
    <cfRule type="cellIs" dxfId="903" priority="38" operator="equal">
      <formula>"Testes utilizador"</formula>
    </cfRule>
  </conditionalFormatting>
  <conditionalFormatting sqref="T13">
    <cfRule type="cellIs" dxfId="902" priority="58" operator="equal">
      <formula>"Testes utilizador"</formula>
    </cfRule>
  </conditionalFormatting>
  <conditionalFormatting sqref="T14:T35">
    <cfRule type="cellIs" dxfId="901" priority="53" operator="equal">
      <formula>"Testes utilizador"</formula>
    </cfRule>
  </conditionalFormatting>
  <conditionalFormatting sqref="X33:X35 X27:X31">
    <cfRule type="cellIs" dxfId="900" priority="33" operator="equal">
      <formula>"Testes utilizador"</formula>
    </cfRule>
  </conditionalFormatting>
  <conditionalFormatting sqref="X13">
    <cfRule type="cellIs" dxfId="899" priority="28" operator="equal">
      <formula>"Testes utilizador"</formula>
    </cfRule>
  </conditionalFormatting>
  <conditionalFormatting sqref="X14">
    <cfRule type="cellIs" dxfId="898" priority="23" operator="equal">
      <formula>"Testes utilizador"</formula>
    </cfRule>
  </conditionalFormatting>
  <conditionalFormatting sqref="X15">
    <cfRule type="cellIs" dxfId="897" priority="18" operator="equal">
      <formula>"Testes utilizador"</formula>
    </cfRule>
  </conditionalFormatting>
  <conditionalFormatting sqref="X16">
    <cfRule type="cellIs" dxfId="896" priority="13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72" operator="equal" id="{0A6B4E8C-CCE4-45D6-8B87-1872C36AC431}">
            <xm:f>'Tabelas AUX'!$E$4</xm:f>
            <x14:dxf>
              <font>
                <color rgb="FF7F7F7F"/>
              </font>
            </x14:dxf>
          </x14:cfRule>
          <x14:cfRule type="cellIs" priority="573" operator="equal" id="{7731562E-A57B-471A-A5D5-BC1F361597F3}">
            <xm:f>'Tabelas AUX'!$E$3</xm:f>
            <x14:dxf>
              <font>
                <color theme="5"/>
              </font>
            </x14:dxf>
          </x14:cfRule>
          <x14:cfRule type="cellIs" priority="574" operator="equal" id="{0EAD42DA-532E-49B8-92FC-60C143726EB9}">
            <xm:f>'Tabelas AUX'!$E$2</xm:f>
            <x14:dxf>
              <font>
                <color rgb="FFC00000"/>
              </font>
            </x14:dxf>
          </x14:cfRule>
          <xm:sqref>T1:T12</xm:sqref>
        </x14:conditionalFormatting>
        <x14:conditionalFormatting xmlns:xm="http://schemas.microsoft.com/office/excel/2006/main">
          <x14:cfRule type="cellIs" priority="151" operator="equal" id="{99294812-D89C-43C6-A160-40F8F0AF491D}">
            <xm:f>'Tabelas AUX'!$E$8</xm:f>
            <x14:dxf>
              <font>
                <color theme="8"/>
              </font>
            </x14:dxf>
          </x14:cfRule>
          <xm:sqref>T36:T1048576</xm:sqref>
        </x14:conditionalFormatting>
        <x14:conditionalFormatting xmlns:xm="http://schemas.microsoft.com/office/excel/2006/main">
          <x14:cfRule type="cellIs" priority="152" operator="equal" id="{6BFD1FFD-4491-4DE0-B688-6561F991413E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53" operator="equal" id="{4000EF68-6FD2-49E7-89C4-479A5AFD5E09}">
            <xm:f>'Tabelas AUX'!$E$5</xm:f>
            <x14:dxf>
              <font>
                <color rgb="FF00B050"/>
              </font>
            </x14:dxf>
          </x14:cfRule>
          <x14:cfRule type="cellIs" priority="154" operator="equal" id="{C45AC6CD-855D-493F-A2CA-B73FA1008191}">
            <xm:f>'Tabelas AUX'!$E$4</xm:f>
            <x14:dxf>
              <font>
                <color rgb="FF7F7F7F"/>
              </font>
            </x14:dxf>
          </x14:cfRule>
          <x14:cfRule type="cellIs" priority="155" operator="equal" id="{34D5E1C0-BB27-4929-A44B-0AFBF64588FD}">
            <xm:f>'Tabelas AUX'!$E$3</xm:f>
            <x14:dxf>
              <font>
                <color theme="5"/>
              </font>
            </x14:dxf>
          </x14:cfRule>
          <x14:cfRule type="cellIs" priority="156" operator="equal" id="{15C697E3-F60B-4350-AB44-7ACB25FD6517}">
            <xm:f>'Tabelas AUX'!$E$2</xm:f>
            <x14:dxf>
              <font>
                <color rgb="FFC00000"/>
              </font>
            </x14:dxf>
          </x14:cfRule>
          <xm:sqref>T36:T1048576</xm:sqref>
        </x14:conditionalFormatting>
        <x14:conditionalFormatting xmlns:xm="http://schemas.microsoft.com/office/excel/2006/main">
          <x14:cfRule type="cellIs" priority="554" operator="equal" id="{9D6D7D13-9C58-423A-9D19-F2D602F68D9E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571" operator="equal" id="{EEF15ECA-1415-42C0-B95B-1831BC75D6EF}">
            <xm:f>'Tabelas AUX'!$E$5</xm:f>
            <x14:dxf>
              <font>
                <color rgb="FF00B050"/>
              </font>
            </x14:dxf>
          </x14:cfRule>
          <xm:sqref>T1:V12 U13:V19</xm:sqref>
        </x14:conditionalFormatting>
        <x14:conditionalFormatting xmlns:xm="http://schemas.microsoft.com/office/excel/2006/main">
          <x14:cfRule type="cellIs" priority="73" operator="equal" id="{66A940A6-77E3-42DF-839B-96A9EF2A6401}">
            <xm:f>'Tabelas AUX'!$E$8</xm:f>
            <x14:dxf>
              <font>
                <color theme="8"/>
              </font>
            </x14:dxf>
          </x14:cfRule>
          <x14:cfRule type="cellIs" priority="74" operator="equal" id="{F80F0391-0602-4F2E-A6E4-5F5737083F2F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75" operator="equal" id="{D5AEDDCC-53C9-4C97-8534-FE319F7FEF35}">
            <xm:f>'Tabelas AUX'!$E$5</xm:f>
            <x14:dxf>
              <font>
                <color rgb="FF00B050"/>
              </font>
            </x14:dxf>
          </x14:cfRule>
          <x14:cfRule type="cellIs" priority="76" operator="equal" id="{AA03CA4E-F2BC-4ED7-AEB0-5BFC38F42E88}">
            <xm:f>'Tabelas AUX'!$E$4</xm:f>
            <x14:dxf>
              <font>
                <color rgb="FF7F7F7F"/>
              </font>
            </x14:dxf>
          </x14:cfRule>
          <x14:cfRule type="cellIs" priority="77" operator="equal" id="{5A93CA50-29EC-47B0-AED7-F202DBA78592}">
            <xm:f>'Tabelas AUX'!$E$3</xm:f>
            <x14:dxf>
              <font>
                <color theme="5"/>
              </font>
            </x14:dxf>
          </x14:cfRule>
          <x14:cfRule type="cellIs" priority="78" operator="equal" id="{73DE6D34-5B46-4A56-967A-5B58866DF256}">
            <xm:f>'Tabelas AUX'!$E$2</xm:f>
            <x14:dxf>
              <font>
                <color rgb="FFC00000"/>
              </font>
            </x14:dxf>
          </x14:cfRule>
          <xm:sqref>X36:X1048576</xm:sqref>
        </x14:conditionalFormatting>
        <x14:conditionalFormatting xmlns:xm="http://schemas.microsoft.com/office/excel/2006/main">
          <x14:cfRule type="cellIs" priority="44" operator="equal" id="{072FC2DE-4163-464B-815D-F191C7B91EB9}">
            <xm:f>'Tabelas AUX'!$E$5</xm:f>
            <x14:dxf>
              <font>
                <color rgb="FF00B050"/>
              </font>
            </x14:dxf>
          </x14:cfRule>
          <x14:cfRule type="cellIs" priority="45" operator="equal" id="{3357F059-9E33-4569-8DEE-C4C0D2D97243}">
            <xm:f>'Tabelas AUX'!$E$4</xm:f>
            <x14:dxf>
              <font>
                <color rgb="FF7F7F7F"/>
              </font>
            </x14:dxf>
          </x14:cfRule>
          <x14:cfRule type="cellIs" priority="46" operator="equal" id="{24B75189-4E25-4831-9F05-EACFDD6BBA2C}">
            <xm:f>'Tabelas AUX'!$E$3</xm:f>
            <x14:dxf>
              <font>
                <color theme="5"/>
              </font>
            </x14:dxf>
          </x14:cfRule>
          <x14:cfRule type="cellIs" priority="47" operator="equal" id="{EC609566-DEAA-44BE-A1DC-E9D034F017A6}">
            <xm:f>'Tabelas AUX'!$E$2</xm:f>
            <x14:dxf>
              <font>
                <color rgb="FFC00000"/>
              </font>
            </x14:dxf>
          </x14:cfRule>
          <xm:sqref>X32 X18:X20 X22:X25</xm:sqref>
        </x14:conditionalFormatting>
        <x14:conditionalFormatting xmlns:xm="http://schemas.microsoft.com/office/excel/2006/main">
          <x14:cfRule type="cellIs" priority="39" operator="equal" id="{A888964B-A78F-43A1-A2A1-635C4ACCFB86}">
            <xm:f>'Tabelas AUX'!$E$5</xm:f>
            <x14:dxf>
              <font>
                <color rgb="FF00B050"/>
              </font>
            </x14:dxf>
          </x14:cfRule>
          <x14:cfRule type="cellIs" priority="40" operator="equal" id="{FB881FB3-A70F-4D70-8C06-235220A520B0}">
            <xm:f>'Tabelas AUX'!$E$4</xm:f>
            <x14:dxf>
              <font>
                <color rgb="FF7F7F7F"/>
              </font>
            </x14:dxf>
          </x14:cfRule>
          <x14:cfRule type="cellIs" priority="41" operator="equal" id="{09DF2D05-980E-4D4E-8C3E-6B0220F6B007}">
            <xm:f>'Tabelas AUX'!$E$3</xm:f>
            <x14:dxf>
              <font>
                <color theme="5"/>
              </font>
            </x14:dxf>
          </x14:cfRule>
          <x14:cfRule type="cellIs" priority="42" operator="equal" id="{F8532B0A-A509-4213-B65C-0131B80BE6D9}">
            <xm:f>'Tabelas AUX'!$E$2</xm:f>
            <x14:dxf>
              <font>
                <color rgb="FFC00000"/>
              </font>
            </x14:dxf>
          </x14:cfRule>
          <xm:sqref>X26</xm:sqref>
        </x14:conditionalFormatting>
        <x14:conditionalFormatting xmlns:xm="http://schemas.microsoft.com/office/excel/2006/main">
          <x14:cfRule type="cellIs" priority="59" operator="equal" id="{BFC00FFF-DA86-4573-8666-7C26F7137282}">
            <xm:f>'Tabelas AUX'!$E$5</xm:f>
            <x14:dxf>
              <font>
                <color rgb="FF00B050"/>
              </font>
            </x14:dxf>
          </x14:cfRule>
          <x14:cfRule type="cellIs" priority="60" operator="equal" id="{DBDE6625-821D-4483-9550-E2808AD6BEEB}">
            <xm:f>'Tabelas AUX'!$E$4</xm:f>
            <x14:dxf>
              <font>
                <color rgb="FF7F7F7F"/>
              </font>
            </x14:dxf>
          </x14:cfRule>
          <x14:cfRule type="cellIs" priority="61" operator="equal" id="{ECD435A6-40E2-4DC6-BDB7-0AF92FC8E53D}">
            <xm:f>'Tabelas AUX'!$E$3</xm:f>
            <x14:dxf>
              <font>
                <color theme="5"/>
              </font>
            </x14:dxf>
          </x14:cfRule>
          <x14:cfRule type="cellIs" priority="62" operator="equal" id="{1A86D9EA-46D6-4614-B341-DA747C8A0FDD}">
            <xm:f>'Tabelas AUX'!$E$2</xm:f>
            <x14:dxf>
              <font>
                <color rgb="FFC00000"/>
              </font>
            </x14:dxf>
          </x14:cfRule>
          <xm:sqref>T13</xm:sqref>
        </x14:conditionalFormatting>
        <x14:conditionalFormatting xmlns:xm="http://schemas.microsoft.com/office/excel/2006/main">
          <x14:cfRule type="cellIs" priority="54" operator="equal" id="{C97F5C37-DDE7-4D73-9A37-AE9588F0B3C8}">
            <xm:f>'Tabelas AUX'!$E$5</xm:f>
            <x14:dxf>
              <font>
                <color rgb="FF00B050"/>
              </font>
            </x14:dxf>
          </x14:cfRule>
          <x14:cfRule type="cellIs" priority="55" operator="equal" id="{29EC0B1F-8369-49F4-89AE-ECBC8DF9E31F}">
            <xm:f>'Tabelas AUX'!$E$4</xm:f>
            <x14:dxf>
              <font>
                <color rgb="FF7F7F7F"/>
              </font>
            </x14:dxf>
          </x14:cfRule>
          <x14:cfRule type="cellIs" priority="56" operator="equal" id="{F8C47334-FC16-4629-A631-66B44CA74B57}">
            <xm:f>'Tabelas AUX'!$E$3</xm:f>
            <x14:dxf>
              <font>
                <color theme="5"/>
              </font>
            </x14:dxf>
          </x14:cfRule>
          <x14:cfRule type="cellIs" priority="57" operator="equal" id="{477E2C6F-357E-4FDB-A821-67949D00E1F5}">
            <xm:f>'Tabelas AUX'!$E$2</xm:f>
            <x14:dxf>
              <font>
                <color rgb="FFC00000"/>
              </font>
            </x14:dxf>
          </x14:cfRule>
          <xm:sqref>T14:T35</xm:sqref>
        </x14:conditionalFormatting>
        <x14:conditionalFormatting xmlns:xm="http://schemas.microsoft.com/office/excel/2006/main">
          <x14:cfRule type="cellIs" priority="34" operator="equal" id="{1D4335EE-BF63-4A53-9AD3-9D07111FA3EB}">
            <xm:f>'Tabelas AUX'!$E$5</xm:f>
            <x14:dxf>
              <font>
                <color rgb="FF00B050"/>
              </font>
            </x14:dxf>
          </x14:cfRule>
          <x14:cfRule type="cellIs" priority="35" operator="equal" id="{3485E8EF-FE71-403F-9412-36323E268007}">
            <xm:f>'Tabelas AUX'!$E$4</xm:f>
            <x14:dxf>
              <font>
                <color rgb="FF7F7F7F"/>
              </font>
            </x14:dxf>
          </x14:cfRule>
          <x14:cfRule type="cellIs" priority="36" operator="equal" id="{7627DED8-321D-44A0-A9E4-FF489F358547}">
            <xm:f>'Tabelas AUX'!$E$3</xm:f>
            <x14:dxf>
              <font>
                <color theme="5"/>
              </font>
            </x14:dxf>
          </x14:cfRule>
          <x14:cfRule type="cellIs" priority="37" operator="equal" id="{1A352084-E9E2-457F-B187-06EA98CC43C4}">
            <xm:f>'Tabelas AUX'!$E$2</xm:f>
            <x14:dxf>
              <font>
                <color rgb="FFC00000"/>
              </font>
            </x14:dxf>
          </x14:cfRule>
          <xm:sqref>X33:X35 X27:X31</xm:sqref>
        </x14:conditionalFormatting>
        <x14:conditionalFormatting xmlns:xm="http://schemas.microsoft.com/office/excel/2006/main">
          <x14:cfRule type="cellIs" priority="29" operator="equal" id="{9AEDB2DC-F503-405F-8E80-CA5DF0113F59}">
            <xm:f>'Tabelas AUX'!$E$5</xm:f>
            <x14:dxf>
              <font>
                <color rgb="FF00B050"/>
              </font>
            </x14:dxf>
          </x14:cfRule>
          <x14:cfRule type="cellIs" priority="30" operator="equal" id="{D33A7E1E-14A6-4FA3-B02C-C72D40B31215}">
            <xm:f>'Tabelas AUX'!$E$4</xm:f>
            <x14:dxf>
              <font>
                <color rgb="FF7F7F7F"/>
              </font>
            </x14:dxf>
          </x14:cfRule>
          <x14:cfRule type="cellIs" priority="31" operator="equal" id="{186F7BB7-3F84-46D3-8DDB-8234D7BC4949}">
            <xm:f>'Tabelas AUX'!$E$3</xm:f>
            <x14:dxf>
              <font>
                <color theme="5"/>
              </font>
            </x14:dxf>
          </x14:cfRule>
          <x14:cfRule type="cellIs" priority="32" operator="equal" id="{BCE01CF3-6E48-4C93-BB61-CF1CD00B592C}">
            <xm:f>'Tabelas AUX'!$E$2</xm:f>
            <x14:dxf>
              <font>
                <color rgb="FFC00000"/>
              </font>
            </x14:dxf>
          </x14:cfRule>
          <xm:sqref>X13</xm:sqref>
        </x14:conditionalFormatting>
        <x14:conditionalFormatting xmlns:xm="http://schemas.microsoft.com/office/excel/2006/main">
          <x14:cfRule type="cellIs" priority="24" operator="equal" id="{1E53D13D-AEE1-4133-AB04-43A4DE42D755}">
            <xm:f>'Tabelas AUX'!$E$5</xm:f>
            <x14:dxf>
              <font>
                <color rgb="FF00B050"/>
              </font>
            </x14:dxf>
          </x14:cfRule>
          <x14:cfRule type="cellIs" priority="25" operator="equal" id="{9116345D-7C4B-46A0-89D3-35BFD9AACE2B}">
            <xm:f>'Tabelas AUX'!$E$4</xm:f>
            <x14:dxf>
              <font>
                <color rgb="FF7F7F7F"/>
              </font>
            </x14:dxf>
          </x14:cfRule>
          <x14:cfRule type="cellIs" priority="26" operator="equal" id="{2E88A996-4CDF-4728-8D68-7572484B2BA1}">
            <xm:f>'Tabelas AUX'!$E$3</xm:f>
            <x14:dxf>
              <font>
                <color theme="5"/>
              </font>
            </x14:dxf>
          </x14:cfRule>
          <x14:cfRule type="cellIs" priority="27" operator="equal" id="{8B768BC1-4A1F-4254-8002-8FC3CC3682D2}">
            <xm:f>'Tabelas AUX'!$E$2</xm:f>
            <x14:dxf>
              <font>
                <color rgb="FFC00000"/>
              </font>
            </x14:dxf>
          </x14:cfRule>
          <xm:sqref>X14</xm:sqref>
        </x14:conditionalFormatting>
        <x14:conditionalFormatting xmlns:xm="http://schemas.microsoft.com/office/excel/2006/main">
          <x14:cfRule type="cellIs" priority="19" operator="equal" id="{D7597E64-BB87-4438-9D46-E841BFB8438F}">
            <xm:f>'Tabelas AUX'!$E$5</xm:f>
            <x14:dxf>
              <font>
                <color rgb="FF00B050"/>
              </font>
            </x14:dxf>
          </x14:cfRule>
          <x14:cfRule type="cellIs" priority="20" operator="equal" id="{28F3932F-260C-44BD-8208-BCAC231D0FBC}">
            <xm:f>'Tabelas AUX'!$E$4</xm:f>
            <x14:dxf>
              <font>
                <color rgb="FF7F7F7F"/>
              </font>
            </x14:dxf>
          </x14:cfRule>
          <x14:cfRule type="cellIs" priority="21" operator="equal" id="{9889C227-0520-4DA4-96C7-7820D1B2F583}">
            <xm:f>'Tabelas AUX'!$E$3</xm:f>
            <x14:dxf>
              <font>
                <color theme="5"/>
              </font>
            </x14:dxf>
          </x14:cfRule>
          <x14:cfRule type="cellIs" priority="22" operator="equal" id="{C0A9B586-EFBF-4F7A-8D0D-35B8C2015005}">
            <xm:f>'Tabelas AUX'!$E$2</xm:f>
            <x14:dxf>
              <font>
                <color rgb="FFC00000"/>
              </font>
            </x14:dxf>
          </x14:cfRule>
          <xm:sqref>X15</xm:sqref>
        </x14:conditionalFormatting>
        <x14:conditionalFormatting xmlns:xm="http://schemas.microsoft.com/office/excel/2006/main">
          <x14:cfRule type="cellIs" priority="14" operator="equal" id="{45C1CE7E-D3AA-4EEF-82E2-2AEC142F63C5}">
            <xm:f>'Tabelas AUX'!$E$5</xm:f>
            <x14:dxf>
              <font>
                <color rgb="FF00B050"/>
              </font>
            </x14:dxf>
          </x14:cfRule>
          <x14:cfRule type="cellIs" priority="15" operator="equal" id="{B38C4FE5-0E48-4B54-9DC8-97ABB9F8030C}">
            <xm:f>'Tabelas AUX'!$E$4</xm:f>
            <x14:dxf>
              <font>
                <color rgb="FF7F7F7F"/>
              </font>
            </x14:dxf>
          </x14:cfRule>
          <x14:cfRule type="cellIs" priority="16" operator="equal" id="{CBCB314B-9CA1-4262-81AB-0EF27330BD98}">
            <xm:f>'Tabelas AUX'!$E$3</xm:f>
            <x14:dxf>
              <font>
                <color theme="5"/>
              </font>
            </x14:dxf>
          </x14:cfRule>
          <x14:cfRule type="cellIs" priority="17" operator="equal" id="{D2C097BF-A5BB-4570-9AFF-B7A56E0F610D}">
            <xm:f>'Tabelas AUX'!$E$2</xm:f>
            <x14:dxf>
              <font>
                <color rgb="FFC00000"/>
              </font>
            </x14:dxf>
          </x14:cfRule>
          <xm:sqref>X16</xm:sqref>
        </x14:conditionalFormatting>
        <x14:conditionalFormatting xmlns:xm="http://schemas.microsoft.com/office/excel/2006/main">
          <x14:cfRule type="cellIs" priority="7" operator="equal" id="{9313C42F-AF63-4125-BA0D-21EE2EF9BEA2}">
            <xm:f>'Tabelas AUX'!$E$8</xm:f>
            <x14:dxf>
              <font>
                <color theme="8"/>
              </font>
            </x14:dxf>
          </x14:cfRule>
          <x14:cfRule type="cellIs" priority="8" operator="equal" id="{F23C527E-0F23-48F8-A9AB-F8FD40A5E879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9" operator="equal" id="{8B0032CD-0B89-421A-8201-BCEDB2635B52}">
            <xm:f>'Tabelas AUX'!$E$5</xm:f>
            <x14:dxf>
              <font>
                <color rgb="FF00B050"/>
              </font>
            </x14:dxf>
          </x14:cfRule>
          <x14:cfRule type="cellIs" priority="10" operator="equal" id="{883FBA49-BEFB-4CC3-8360-C96826C81978}">
            <xm:f>'Tabelas AUX'!$E$4</xm:f>
            <x14:dxf>
              <font>
                <color rgb="FF7F7F7F"/>
              </font>
            </x14:dxf>
          </x14:cfRule>
          <x14:cfRule type="cellIs" priority="11" operator="equal" id="{844E8199-012A-4829-B8F3-6B39C8271488}">
            <xm:f>'Tabelas AUX'!$E$3</xm:f>
            <x14:dxf>
              <font>
                <color theme="5"/>
              </font>
            </x14:dxf>
          </x14:cfRule>
          <x14:cfRule type="cellIs" priority="12" operator="equal" id="{D92839C7-CBEF-42B5-8697-F19C542194F3}">
            <xm:f>'Tabelas AUX'!$E$2</xm:f>
            <x14:dxf>
              <font>
                <color rgb="FFC00000"/>
              </font>
            </x14:dxf>
          </x14:cfRule>
          <xm:sqref>X17</xm:sqref>
        </x14:conditionalFormatting>
        <x14:conditionalFormatting xmlns:xm="http://schemas.microsoft.com/office/excel/2006/main">
          <x14:cfRule type="cellIs" priority="1" operator="equal" id="{FD20504E-3201-40F1-8BE5-1C449688D475}">
            <xm:f>'Tabelas AUX'!$E$8</xm:f>
            <x14:dxf>
              <font>
                <color theme="8"/>
              </font>
            </x14:dxf>
          </x14:cfRule>
          <x14:cfRule type="cellIs" priority="2" operator="equal" id="{CBCBFEF1-92A4-4858-B71A-A9894DE2F5C4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3" operator="equal" id="{4473263E-2E26-4635-A0C3-B28D9544863E}">
            <xm:f>'Tabelas AUX'!$E$5</xm:f>
            <x14:dxf>
              <font>
                <color rgb="FF00B050"/>
              </font>
            </x14:dxf>
          </x14:cfRule>
          <x14:cfRule type="cellIs" priority="4" operator="equal" id="{91A9941F-9DDE-4CA6-A816-DAC88FBFAF41}">
            <xm:f>'Tabelas AUX'!$E$4</xm:f>
            <x14:dxf>
              <font>
                <color rgb="FF7F7F7F"/>
              </font>
            </x14:dxf>
          </x14:cfRule>
          <x14:cfRule type="cellIs" priority="5" operator="equal" id="{8BDDD106-D974-4482-9C85-EE3502430940}">
            <xm:f>'Tabelas AUX'!$E$3</xm:f>
            <x14:dxf>
              <font>
                <color theme="5"/>
              </font>
            </x14:dxf>
          </x14:cfRule>
          <x14:cfRule type="cellIs" priority="6" operator="equal" id="{0760332E-B66D-4ACB-8C5D-5D44F0808179}">
            <xm:f>'Tabelas AUX'!$E$2</xm:f>
            <x14:dxf>
              <font>
                <color rgb="FFC00000"/>
              </font>
            </x14:dxf>
          </x14:cfRule>
          <xm:sqref>X21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'Tabelas AUX'!$E$2:$E$5</xm:f>
          </x14:formula1>
          <xm:sqref>T13:T35</xm:sqref>
        </x14:dataValidation>
        <x14:dataValidation type="list" allowBlank="1" showInputMessage="1" showErrorMessage="1">
          <x14:formula1>
            <xm:f>'Tabelas AUX'!$G$2:$G$13</xm:f>
          </x14:formula1>
          <xm:sqref>X13:X35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9" tint="0.59999389629810485"/>
    <pageSetUpPr autoPageBreaks="0"/>
  </sheetPr>
  <dimension ref="A1:AE59"/>
  <sheetViews>
    <sheetView showGridLines="0" zoomScale="85" zoomScaleNormal="85" workbookViewId="0">
      <pane ySplit="12" topLeftCell="A13" activePane="bottomLeft" state="frozen"/>
      <selection pane="bottomLeft"/>
    </sheetView>
  </sheetViews>
  <sheetFormatPr defaultRowHeight="15" outlineLevelRow="1" outlineLevelCol="1" x14ac:dyDescent="0.25"/>
  <cols>
    <col min="1" max="1" width="3.7109375" customWidth="1"/>
    <col min="2" max="2" width="25.140625" customWidth="1"/>
    <col min="3" max="3" width="9.42578125" bestFit="1" customWidth="1"/>
    <col min="4" max="4" width="21.85546875" bestFit="1" customWidth="1"/>
    <col min="5" max="5" width="17" bestFit="1" customWidth="1"/>
    <col min="6" max="6" width="44.28515625" bestFit="1" customWidth="1"/>
    <col min="7" max="7" width="12.7109375" customWidth="1"/>
    <col min="8" max="8" width="2" customWidth="1"/>
    <col min="9" max="9" width="27.85546875" hidden="1" customWidth="1" outlineLevel="1"/>
    <col min="10" max="10" width="26.85546875" hidden="1" customWidth="1" outlineLevel="1"/>
    <col min="11" max="11" width="21" hidden="1" customWidth="1" outlineLevel="1"/>
    <col min="12" max="12" width="27.85546875" bestFit="1" customWidth="1" collapsed="1"/>
    <col min="13" max="13" width="43.140625" customWidth="1"/>
    <col min="14" max="14" width="24.42578125" customWidth="1"/>
    <col min="15" max="15" width="20.28515625" hidden="1" customWidth="1" outlineLevel="1"/>
    <col min="16" max="17" width="42.42578125" hidden="1" customWidth="1" outlineLevel="1"/>
    <col min="18" max="18" width="30.5703125" hidden="1" customWidth="1" outlineLevel="1"/>
    <col min="19" max="19" width="2.140625" customWidth="1" collapsed="1"/>
    <col min="20" max="20" width="14.140625" customWidth="1" outlineLevel="1"/>
    <col min="21" max="21" width="15.42578125" customWidth="1" outlineLevel="1"/>
    <col min="22" max="22" width="42.7109375" customWidth="1" outlineLevel="1"/>
    <col min="23" max="23" width="2.140625" customWidth="1"/>
    <col min="24" max="24" width="16.5703125" bestFit="1" customWidth="1" outlineLevel="1"/>
    <col min="25" max="25" width="24.85546875" customWidth="1" outlineLevel="1"/>
    <col min="26" max="26" width="22.5703125" customWidth="1" outlineLevel="1"/>
    <col min="27" max="27" width="2.140625" customWidth="1"/>
    <col min="28" max="30" width="22.5703125" customWidth="1" outlineLevel="1"/>
    <col min="31" max="31" width="32.42578125" bestFit="1" customWidth="1" outlineLevel="1"/>
  </cols>
  <sheetData>
    <row r="1" spans="1:31" ht="15" customHeight="1" x14ac:dyDescent="0.25">
      <c r="B1" s="47"/>
      <c r="C1" s="47"/>
      <c r="D1" s="47"/>
      <c r="F1" s="47"/>
      <c r="G1" s="47"/>
    </row>
    <row r="2" spans="1:31" ht="34.5" customHeight="1" x14ac:dyDescent="0.25">
      <c r="B2" s="47"/>
      <c r="C2" s="47"/>
      <c r="D2" s="48"/>
      <c r="F2" s="47"/>
      <c r="G2" s="47"/>
    </row>
    <row r="3" spans="1:31" ht="2.25" customHeight="1" x14ac:dyDescent="0.25">
      <c r="A3" s="20"/>
      <c r="B3" s="49"/>
      <c r="C3" s="49"/>
      <c r="D3" s="49"/>
      <c r="E3" s="49"/>
      <c r="F3" s="49"/>
      <c r="G3" s="49"/>
    </row>
    <row r="4" spans="1:31" ht="15" customHeight="1" x14ac:dyDescent="0.25">
      <c r="B4" s="47"/>
      <c r="C4" s="47"/>
      <c r="D4" s="47"/>
      <c r="F4" s="47"/>
      <c r="G4" s="47"/>
    </row>
    <row r="5" spans="1:31" ht="15" customHeight="1" x14ac:dyDescent="0.25">
      <c r="B5" s="50" t="s">
        <v>688</v>
      </c>
      <c r="C5" s="50"/>
      <c r="D5" s="47"/>
      <c r="F5" s="47"/>
      <c r="G5" s="47"/>
    </row>
    <row r="6" spans="1:31" ht="15" customHeight="1" x14ac:dyDescent="0.25">
      <c r="B6" s="47"/>
      <c r="C6" s="47"/>
      <c r="D6" s="47"/>
      <c r="F6" s="47"/>
      <c r="G6" s="47"/>
    </row>
    <row r="7" spans="1:31" ht="110.25" hidden="1" customHeight="1" outlineLevel="1" x14ac:dyDescent="0.25">
      <c r="B7" s="51" t="s">
        <v>65</v>
      </c>
      <c r="C7" s="222" t="s">
        <v>689</v>
      </c>
      <c r="D7" s="222"/>
      <c r="E7" s="222"/>
      <c r="F7" s="222"/>
      <c r="G7" s="222"/>
      <c r="H7" s="52"/>
      <c r="I7" s="52"/>
      <c r="S7" s="52"/>
      <c r="W7" s="52"/>
      <c r="AA7" s="52"/>
    </row>
    <row r="8" spans="1:31" ht="15" hidden="1" customHeight="1" outlineLevel="1" x14ac:dyDescent="0.25">
      <c r="B8" s="47"/>
      <c r="C8" s="47"/>
      <c r="D8" s="47"/>
      <c r="F8" s="47"/>
      <c r="G8" s="47"/>
    </row>
    <row r="9" spans="1:31" ht="15" hidden="1" customHeight="1" outlineLevel="1" x14ac:dyDescent="0.25">
      <c r="B9" s="47"/>
      <c r="C9" s="47"/>
      <c r="D9" s="47"/>
      <c r="F9" s="47"/>
      <c r="G9" s="47"/>
    </row>
    <row r="10" spans="1:31" ht="15" hidden="1" customHeight="1" outlineLevel="1" x14ac:dyDescent="0.25">
      <c r="B10" s="47"/>
      <c r="C10" s="47"/>
      <c r="D10" s="47"/>
      <c r="F10" s="47"/>
      <c r="G10" s="47"/>
    </row>
    <row r="11" spans="1:31" collapsed="1" x14ac:dyDescent="0.25">
      <c r="B11" s="161" t="s">
        <v>67</v>
      </c>
      <c r="C11" s="162"/>
      <c r="D11" s="162"/>
      <c r="E11" s="162"/>
      <c r="F11" s="162"/>
      <c r="G11" s="163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  <c r="X11" s="207" t="s">
        <v>72</v>
      </c>
      <c r="Y11" s="208"/>
      <c r="Z11" s="208"/>
      <c r="AB11" s="207" t="s">
        <v>255</v>
      </c>
      <c r="AC11" s="208"/>
      <c r="AD11" s="208"/>
      <c r="AE11" s="209"/>
    </row>
    <row r="12" spans="1:31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  <c r="X12" s="61" t="s">
        <v>86</v>
      </c>
      <c r="Y12" s="61" t="s">
        <v>89</v>
      </c>
      <c r="Z12" s="61" t="s">
        <v>90</v>
      </c>
      <c r="AB12" s="61" t="s">
        <v>166</v>
      </c>
      <c r="AC12" s="61" t="s">
        <v>167</v>
      </c>
      <c r="AD12" s="61" t="s">
        <v>168</v>
      </c>
      <c r="AE12" s="61" t="s">
        <v>88</v>
      </c>
    </row>
    <row r="13" spans="1:31" ht="30" customHeight="1" x14ac:dyDescent="0.25">
      <c r="B13" s="70" t="s">
        <v>42</v>
      </c>
      <c r="C13" s="70">
        <v>1</v>
      </c>
      <c r="D13" s="73" t="s">
        <v>260</v>
      </c>
      <c r="E13" s="70" t="s">
        <v>93</v>
      </c>
      <c r="F13" s="70" t="s">
        <v>261</v>
      </c>
      <c r="G13" s="73" t="s">
        <v>505</v>
      </c>
      <c r="H13" s="47"/>
      <c r="I13" s="70" t="s">
        <v>29</v>
      </c>
      <c r="J13" s="70" t="s">
        <v>33</v>
      </c>
      <c r="K13" s="70" t="s">
        <v>263</v>
      </c>
      <c r="L13" s="70" t="s">
        <v>29</v>
      </c>
      <c r="M13" s="70" t="s">
        <v>33</v>
      </c>
      <c r="N13" s="70" t="s">
        <v>260</v>
      </c>
      <c r="O13" s="70" t="s">
        <v>264</v>
      </c>
      <c r="P13" s="70"/>
      <c r="Q13" s="70"/>
      <c r="R13" s="70"/>
      <c r="S13" s="47"/>
      <c r="T13" s="75" t="s">
        <v>97</v>
      </c>
      <c r="U13" s="69">
        <v>44880</v>
      </c>
      <c r="V13" s="62"/>
      <c r="X13" s="75" t="s">
        <v>149</v>
      </c>
      <c r="Y13" s="69">
        <v>45196</v>
      </c>
      <c r="Z13" s="62"/>
      <c r="AB13" s="62"/>
      <c r="AC13" s="62"/>
      <c r="AD13" s="62"/>
      <c r="AE13" s="62" t="s">
        <v>690</v>
      </c>
    </row>
    <row r="14" spans="1:31" ht="30" customHeight="1" x14ac:dyDescent="0.25">
      <c r="B14" s="70" t="s">
        <v>42</v>
      </c>
      <c r="C14" s="157">
        <v>2</v>
      </c>
      <c r="D14" s="164" t="s">
        <v>265</v>
      </c>
      <c r="E14" s="157" t="s">
        <v>93</v>
      </c>
      <c r="F14" s="157" t="s">
        <v>266</v>
      </c>
      <c r="G14" s="73" t="s">
        <v>505</v>
      </c>
      <c r="H14" s="47"/>
      <c r="I14" s="70" t="s">
        <v>29</v>
      </c>
      <c r="J14" s="70" t="s">
        <v>33</v>
      </c>
      <c r="K14" s="70" t="s">
        <v>228</v>
      </c>
      <c r="L14" s="70" t="s">
        <v>29</v>
      </c>
      <c r="M14" s="70" t="s">
        <v>33</v>
      </c>
      <c r="N14" s="70" t="s">
        <v>265</v>
      </c>
      <c r="O14" s="70" t="s">
        <v>264</v>
      </c>
      <c r="P14" s="70"/>
      <c r="Q14" s="70"/>
      <c r="R14" s="70"/>
      <c r="S14" s="47"/>
      <c r="T14" s="75" t="s">
        <v>97</v>
      </c>
      <c r="U14" s="69">
        <v>44880</v>
      </c>
      <c r="V14" s="62"/>
      <c r="X14" s="75" t="s">
        <v>149</v>
      </c>
      <c r="Y14" s="69">
        <v>45196</v>
      </c>
      <c r="Z14" s="62"/>
      <c r="AB14" s="62"/>
      <c r="AC14" s="62"/>
      <c r="AD14" s="62"/>
      <c r="AE14" s="62" t="s">
        <v>690</v>
      </c>
    </row>
    <row r="15" spans="1:31" ht="30" customHeight="1" x14ac:dyDescent="0.25">
      <c r="B15" s="70" t="s">
        <v>42</v>
      </c>
      <c r="C15" s="157">
        <v>3</v>
      </c>
      <c r="D15" s="164" t="s">
        <v>267</v>
      </c>
      <c r="E15" s="157" t="s">
        <v>93</v>
      </c>
      <c r="F15" s="157" t="s">
        <v>268</v>
      </c>
      <c r="G15" s="73" t="s">
        <v>505</v>
      </c>
      <c r="H15" s="47"/>
      <c r="I15" s="70" t="s">
        <v>29</v>
      </c>
      <c r="J15" s="70" t="s">
        <v>33</v>
      </c>
      <c r="K15" s="70" t="s">
        <v>231</v>
      </c>
      <c r="L15" s="70" t="s">
        <v>29</v>
      </c>
      <c r="M15" s="70" t="s">
        <v>33</v>
      </c>
      <c r="N15" s="70" t="s">
        <v>267</v>
      </c>
      <c r="O15" s="70" t="s">
        <v>264</v>
      </c>
      <c r="P15" s="70"/>
      <c r="Q15" s="70"/>
      <c r="R15" s="70"/>
      <c r="S15" s="47"/>
      <c r="T15" s="75" t="s">
        <v>97</v>
      </c>
      <c r="U15" s="69">
        <v>44880</v>
      </c>
      <c r="V15" s="62"/>
      <c r="X15" s="75" t="s">
        <v>149</v>
      </c>
      <c r="Y15" s="69">
        <v>45196</v>
      </c>
      <c r="Z15" s="62"/>
      <c r="AB15" s="62"/>
      <c r="AC15" s="62"/>
      <c r="AD15" s="62"/>
      <c r="AE15" s="62" t="s">
        <v>690</v>
      </c>
    </row>
    <row r="16" spans="1:31" ht="30" customHeight="1" x14ac:dyDescent="0.25">
      <c r="B16" s="70" t="s">
        <v>42</v>
      </c>
      <c r="C16" s="157">
        <v>4</v>
      </c>
      <c r="D16" s="164" t="s">
        <v>270</v>
      </c>
      <c r="E16" s="157" t="s">
        <v>93</v>
      </c>
      <c r="F16" s="157" t="s">
        <v>271</v>
      </c>
      <c r="G16" s="73" t="s">
        <v>505</v>
      </c>
      <c r="H16" s="47"/>
      <c r="I16" s="70" t="s">
        <v>29</v>
      </c>
      <c r="J16" s="70" t="s">
        <v>33</v>
      </c>
      <c r="K16" s="70" t="s">
        <v>234</v>
      </c>
      <c r="L16" s="70" t="s">
        <v>29</v>
      </c>
      <c r="M16" s="70" t="s">
        <v>33</v>
      </c>
      <c r="N16" s="70" t="s">
        <v>270</v>
      </c>
      <c r="O16" s="70" t="s">
        <v>264</v>
      </c>
      <c r="P16" s="70"/>
      <c r="Q16" s="111"/>
      <c r="R16" s="70"/>
      <c r="S16" s="47"/>
      <c r="T16" s="75" t="s">
        <v>97</v>
      </c>
      <c r="U16" s="69">
        <v>44880</v>
      </c>
      <c r="V16" s="62"/>
      <c r="X16" s="75" t="s">
        <v>149</v>
      </c>
      <c r="Y16" s="69">
        <v>45196</v>
      </c>
      <c r="Z16" s="62"/>
      <c r="AB16" s="62"/>
      <c r="AC16" s="62"/>
      <c r="AD16" s="62"/>
      <c r="AE16" s="62" t="s">
        <v>690</v>
      </c>
    </row>
    <row r="17" spans="2:31" ht="105" customHeight="1" x14ac:dyDescent="0.25">
      <c r="B17" s="70" t="s">
        <v>42</v>
      </c>
      <c r="C17" s="70">
        <v>5</v>
      </c>
      <c r="D17" s="157" t="s">
        <v>641</v>
      </c>
      <c r="E17" s="157" t="s">
        <v>93</v>
      </c>
      <c r="F17" s="157" t="s">
        <v>642</v>
      </c>
      <c r="G17" s="73"/>
      <c r="H17" s="47"/>
      <c r="I17" s="68"/>
      <c r="J17" s="68"/>
      <c r="K17" s="68"/>
      <c r="L17" s="68" t="s">
        <v>408</v>
      </c>
      <c r="M17" s="68" t="s">
        <v>691</v>
      </c>
      <c r="N17" s="68" t="s">
        <v>641</v>
      </c>
      <c r="O17" s="68"/>
      <c r="P17" s="68"/>
      <c r="Q17" s="70"/>
      <c r="R17" s="70" t="s">
        <v>692</v>
      </c>
      <c r="S17" s="47"/>
      <c r="T17" s="75" t="s">
        <v>97</v>
      </c>
      <c r="U17" s="69">
        <v>45082</v>
      </c>
      <c r="V17" s="72"/>
      <c r="X17" s="75" t="s">
        <v>149</v>
      </c>
      <c r="Y17" s="69">
        <v>45196</v>
      </c>
      <c r="Z17" s="62"/>
      <c r="AB17" s="62"/>
      <c r="AC17" s="62"/>
      <c r="AD17" s="62"/>
      <c r="AE17" s="62" t="s">
        <v>690</v>
      </c>
    </row>
    <row r="18" spans="2:31" ht="105" customHeight="1" x14ac:dyDescent="0.25">
      <c r="B18" s="70" t="s">
        <v>42</v>
      </c>
      <c r="C18" s="157">
        <v>6</v>
      </c>
      <c r="D18" s="157" t="s">
        <v>693</v>
      </c>
      <c r="E18" s="157" t="s">
        <v>93</v>
      </c>
      <c r="F18" s="157" t="s">
        <v>694</v>
      </c>
      <c r="G18" s="73"/>
      <c r="H18" s="47"/>
      <c r="I18" s="68"/>
      <c r="J18" s="68"/>
      <c r="K18" s="68"/>
      <c r="L18" s="68" t="s">
        <v>20</v>
      </c>
      <c r="M18" s="68" t="s">
        <v>691</v>
      </c>
      <c r="N18" s="68" t="s">
        <v>693</v>
      </c>
      <c r="O18" s="68"/>
      <c r="P18" s="68"/>
      <c r="Q18" s="70"/>
      <c r="R18" s="70" t="s">
        <v>692</v>
      </c>
      <c r="S18" s="47"/>
      <c r="T18" s="75" t="s">
        <v>97</v>
      </c>
      <c r="U18" s="63">
        <v>45099</v>
      </c>
      <c r="V18" s="72"/>
      <c r="X18" s="75" t="s">
        <v>149</v>
      </c>
      <c r="Y18" s="69">
        <v>45196</v>
      </c>
      <c r="Z18" s="62"/>
      <c r="AB18" s="62"/>
      <c r="AC18" s="62"/>
      <c r="AD18" s="62"/>
      <c r="AE18" s="62" t="s">
        <v>690</v>
      </c>
    </row>
    <row r="19" spans="2:31" ht="105" customHeight="1" x14ac:dyDescent="0.25">
      <c r="B19" s="70" t="s">
        <v>42</v>
      </c>
      <c r="C19" s="157">
        <v>7</v>
      </c>
      <c r="D19" s="157" t="s">
        <v>695</v>
      </c>
      <c r="E19" s="157" t="s">
        <v>93</v>
      </c>
      <c r="F19" s="157" t="s">
        <v>696</v>
      </c>
      <c r="G19" s="73"/>
      <c r="H19" s="47"/>
      <c r="I19" s="68"/>
      <c r="J19" s="68"/>
      <c r="K19" s="68"/>
      <c r="L19" s="68" t="s">
        <v>408</v>
      </c>
      <c r="M19" s="68" t="s">
        <v>691</v>
      </c>
      <c r="N19" s="68" t="s">
        <v>695</v>
      </c>
      <c r="O19" s="68"/>
      <c r="P19" s="68"/>
      <c r="Q19" s="70"/>
      <c r="R19" s="70" t="s">
        <v>692</v>
      </c>
      <c r="S19" s="47"/>
      <c r="T19" s="75" t="s">
        <v>97</v>
      </c>
      <c r="U19" s="63">
        <v>45099</v>
      </c>
      <c r="V19" s="72"/>
      <c r="X19" s="75" t="s">
        <v>149</v>
      </c>
      <c r="Y19" s="69">
        <v>45196</v>
      </c>
      <c r="Z19" s="62"/>
      <c r="AB19" s="62"/>
      <c r="AC19" s="62"/>
      <c r="AD19" s="62"/>
      <c r="AE19" s="62" t="s">
        <v>690</v>
      </c>
    </row>
    <row r="20" spans="2:31" ht="13.5" customHeight="1" x14ac:dyDescent="0.25">
      <c r="B20" s="70" t="s">
        <v>42</v>
      </c>
      <c r="C20" s="157">
        <v>8</v>
      </c>
      <c r="D20" s="157" t="s">
        <v>697</v>
      </c>
      <c r="E20" s="160" t="s">
        <v>93</v>
      </c>
      <c r="F20" s="160" t="s">
        <v>698</v>
      </c>
      <c r="G20" s="73"/>
      <c r="H20" s="47"/>
      <c r="I20" s="68"/>
      <c r="J20" s="68"/>
      <c r="K20" s="68"/>
      <c r="L20" s="68" t="s">
        <v>408</v>
      </c>
      <c r="M20" s="68" t="s">
        <v>691</v>
      </c>
      <c r="N20" s="68" t="s">
        <v>697</v>
      </c>
      <c r="O20" s="68"/>
      <c r="P20" s="68"/>
      <c r="Q20" s="70"/>
      <c r="R20" s="70" t="s">
        <v>692</v>
      </c>
      <c r="S20" s="47"/>
      <c r="T20" s="75" t="s">
        <v>97</v>
      </c>
      <c r="U20" s="69">
        <v>45082</v>
      </c>
      <c r="V20" s="72"/>
      <c r="X20" s="75" t="s">
        <v>149</v>
      </c>
      <c r="Y20" s="69">
        <v>45196</v>
      </c>
      <c r="Z20" s="62"/>
      <c r="AB20" s="62"/>
      <c r="AC20" s="62"/>
      <c r="AD20" s="62"/>
      <c r="AE20" s="62" t="s">
        <v>690</v>
      </c>
    </row>
    <row r="21" spans="2:31" ht="105" customHeight="1" x14ac:dyDescent="0.25">
      <c r="B21" s="70" t="s">
        <v>42</v>
      </c>
      <c r="C21" s="70">
        <v>9</v>
      </c>
      <c r="D21" s="157" t="s">
        <v>646</v>
      </c>
      <c r="E21" s="157" t="s">
        <v>93</v>
      </c>
      <c r="F21" s="157" t="s">
        <v>647</v>
      </c>
      <c r="G21" s="73"/>
      <c r="H21" s="47"/>
      <c r="I21" s="68"/>
      <c r="J21" s="68"/>
      <c r="K21" s="68"/>
      <c r="L21" s="68" t="s">
        <v>408</v>
      </c>
      <c r="M21" s="68" t="s">
        <v>691</v>
      </c>
      <c r="N21" s="68" t="s">
        <v>646</v>
      </c>
      <c r="O21" s="68"/>
      <c r="P21" s="68"/>
      <c r="Q21" s="70"/>
      <c r="R21" s="70" t="s">
        <v>692</v>
      </c>
      <c r="S21" s="47"/>
      <c r="T21" s="75" t="s">
        <v>97</v>
      </c>
      <c r="U21" s="69">
        <v>45082</v>
      </c>
      <c r="V21" s="72"/>
      <c r="X21" s="75" t="s">
        <v>149</v>
      </c>
      <c r="Y21" s="69">
        <v>45196</v>
      </c>
      <c r="Z21" s="62"/>
      <c r="AB21" s="62"/>
      <c r="AC21" s="62"/>
      <c r="AD21" s="62"/>
      <c r="AE21" s="62" t="s">
        <v>690</v>
      </c>
    </row>
    <row r="22" spans="2:31" ht="15" customHeight="1" x14ac:dyDescent="0.25">
      <c r="B22" s="70" t="s">
        <v>42</v>
      </c>
      <c r="C22" s="157">
        <v>12</v>
      </c>
      <c r="D22" s="157" t="s">
        <v>648</v>
      </c>
      <c r="E22" s="157" t="s">
        <v>93</v>
      </c>
      <c r="F22" s="157" t="s">
        <v>649</v>
      </c>
      <c r="G22" s="73"/>
      <c r="H22" s="47"/>
      <c r="I22" s="68"/>
      <c r="J22" s="68"/>
      <c r="K22" s="68"/>
      <c r="L22" s="68" t="s">
        <v>408</v>
      </c>
      <c r="M22" s="68" t="s">
        <v>691</v>
      </c>
      <c r="N22" s="68" t="s">
        <v>648</v>
      </c>
      <c r="O22" s="68"/>
      <c r="P22" s="68"/>
      <c r="Q22" s="70"/>
      <c r="R22" s="70" t="s">
        <v>692</v>
      </c>
      <c r="S22" s="47"/>
      <c r="T22" s="75" t="s">
        <v>97</v>
      </c>
      <c r="U22" s="69">
        <v>45082</v>
      </c>
      <c r="V22" s="72"/>
      <c r="X22" s="75" t="s">
        <v>149</v>
      </c>
      <c r="Y22" s="69">
        <v>45196</v>
      </c>
      <c r="Z22" s="62"/>
      <c r="AB22" s="62"/>
      <c r="AC22" s="62"/>
      <c r="AD22" s="62"/>
      <c r="AE22" s="62" t="s">
        <v>690</v>
      </c>
    </row>
    <row r="23" spans="2:31" ht="15" customHeight="1" x14ac:dyDescent="0.25">
      <c r="B23" s="70" t="s">
        <v>42</v>
      </c>
      <c r="C23" s="70">
        <v>13</v>
      </c>
      <c r="D23" s="157" t="s">
        <v>650</v>
      </c>
      <c r="E23" s="157" t="s">
        <v>93</v>
      </c>
      <c r="F23" s="157" t="s">
        <v>651</v>
      </c>
      <c r="G23" s="73"/>
      <c r="H23" s="47"/>
      <c r="I23" s="68"/>
      <c r="J23" s="68"/>
      <c r="K23" s="68"/>
      <c r="L23" s="68" t="s">
        <v>408</v>
      </c>
      <c r="M23" s="68" t="s">
        <v>691</v>
      </c>
      <c r="N23" s="68" t="s">
        <v>650</v>
      </c>
      <c r="O23" s="68"/>
      <c r="P23" s="68"/>
      <c r="Q23" s="70"/>
      <c r="R23" s="70" t="s">
        <v>692</v>
      </c>
      <c r="S23" s="47"/>
      <c r="T23" s="75" t="s">
        <v>97</v>
      </c>
      <c r="U23" s="69">
        <v>45082</v>
      </c>
      <c r="V23" s="72"/>
      <c r="X23" s="75" t="s">
        <v>149</v>
      </c>
      <c r="Y23" s="69">
        <v>45196</v>
      </c>
      <c r="Z23" s="62"/>
      <c r="AB23" s="62"/>
      <c r="AC23" s="62"/>
      <c r="AD23" s="62"/>
      <c r="AE23" s="62" t="s">
        <v>690</v>
      </c>
    </row>
    <row r="24" spans="2:31" ht="15" customHeight="1" x14ac:dyDescent="0.25">
      <c r="B24" s="70" t="s">
        <v>42</v>
      </c>
      <c r="C24" s="157">
        <v>14</v>
      </c>
      <c r="D24" s="157" t="s">
        <v>652</v>
      </c>
      <c r="E24" s="157" t="s">
        <v>113</v>
      </c>
      <c r="F24" s="157" t="s">
        <v>653</v>
      </c>
      <c r="G24" s="73"/>
      <c r="H24" s="47"/>
      <c r="I24" s="68"/>
      <c r="J24" s="68"/>
      <c r="K24" s="68"/>
      <c r="L24" s="68" t="s">
        <v>408</v>
      </c>
      <c r="M24" s="68" t="s">
        <v>691</v>
      </c>
      <c r="N24" s="70" t="s">
        <v>652</v>
      </c>
      <c r="O24" s="68"/>
      <c r="P24" s="68"/>
      <c r="Q24" s="70"/>
      <c r="R24" s="70" t="s">
        <v>692</v>
      </c>
      <c r="S24" s="47"/>
      <c r="T24" s="75" t="s">
        <v>97</v>
      </c>
      <c r="U24" s="69">
        <v>45082</v>
      </c>
      <c r="V24" s="72"/>
      <c r="X24" s="75" t="s">
        <v>149</v>
      </c>
      <c r="Y24" s="69">
        <v>45196</v>
      </c>
      <c r="Z24" s="62"/>
      <c r="AB24" s="62"/>
      <c r="AC24" s="62"/>
      <c r="AD24" s="62"/>
      <c r="AE24" s="62" t="s">
        <v>690</v>
      </c>
    </row>
    <row r="25" spans="2:31" ht="135" customHeight="1" x14ac:dyDescent="0.25">
      <c r="B25" s="70" t="s">
        <v>42</v>
      </c>
      <c r="C25" s="157">
        <v>15</v>
      </c>
      <c r="D25" s="157" t="s">
        <v>654</v>
      </c>
      <c r="E25" s="157" t="s">
        <v>93</v>
      </c>
      <c r="F25" s="157" t="s">
        <v>655</v>
      </c>
      <c r="G25" s="73"/>
      <c r="H25" s="47"/>
      <c r="I25" s="68"/>
      <c r="J25" s="68"/>
      <c r="K25" s="68"/>
      <c r="L25" s="68" t="s">
        <v>408</v>
      </c>
      <c r="M25" s="68" t="s">
        <v>691</v>
      </c>
      <c r="N25" s="70" t="s">
        <v>699</v>
      </c>
      <c r="O25" s="68"/>
      <c r="P25" s="68"/>
      <c r="Q25" s="70"/>
      <c r="R25" s="70" t="s">
        <v>692</v>
      </c>
      <c r="S25" s="47"/>
      <c r="T25" s="75" t="s">
        <v>97</v>
      </c>
      <c r="U25" s="69">
        <v>45082</v>
      </c>
      <c r="V25" s="72"/>
      <c r="X25" s="75" t="s">
        <v>149</v>
      </c>
      <c r="Y25" s="69">
        <v>45196</v>
      </c>
      <c r="Z25" s="62"/>
      <c r="AB25" s="62"/>
      <c r="AC25" s="62"/>
      <c r="AD25" s="62"/>
      <c r="AE25" s="62" t="s">
        <v>690</v>
      </c>
    </row>
    <row r="26" spans="2:31" ht="105" customHeight="1" x14ac:dyDescent="0.25">
      <c r="B26" s="70" t="s">
        <v>42</v>
      </c>
      <c r="C26" s="157">
        <v>16</v>
      </c>
      <c r="D26" s="157" t="s">
        <v>659</v>
      </c>
      <c r="E26" s="157" t="s">
        <v>113</v>
      </c>
      <c r="F26" s="157" t="s">
        <v>660</v>
      </c>
      <c r="G26" s="73"/>
      <c r="H26" s="47"/>
      <c r="I26" s="68"/>
      <c r="J26" s="68"/>
      <c r="K26" s="68"/>
      <c r="L26" s="68" t="s">
        <v>408</v>
      </c>
      <c r="M26" s="68" t="s">
        <v>691</v>
      </c>
      <c r="N26" s="70" t="s">
        <v>659</v>
      </c>
      <c r="O26" s="68"/>
      <c r="P26" s="68"/>
      <c r="Q26" s="70"/>
      <c r="R26" s="70" t="s">
        <v>692</v>
      </c>
      <c r="S26" s="47"/>
      <c r="T26" s="75" t="s">
        <v>97</v>
      </c>
      <c r="U26" s="69">
        <v>45082</v>
      </c>
      <c r="V26" s="72"/>
      <c r="X26" s="75" t="s">
        <v>149</v>
      </c>
      <c r="Y26" s="69">
        <v>45196</v>
      </c>
      <c r="Z26" s="62"/>
      <c r="AB26" s="62"/>
      <c r="AC26" s="62"/>
      <c r="AD26" s="62"/>
      <c r="AE26" s="62" t="s">
        <v>690</v>
      </c>
    </row>
    <row r="27" spans="2:31" ht="105" customHeight="1" x14ac:dyDescent="0.25">
      <c r="B27" s="70" t="s">
        <v>42</v>
      </c>
      <c r="C27" s="70">
        <v>17</v>
      </c>
      <c r="D27" s="157" t="s">
        <v>661</v>
      </c>
      <c r="E27" s="157" t="s">
        <v>93</v>
      </c>
      <c r="F27" s="157" t="s">
        <v>662</v>
      </c>
      <c r="G27" s="73"/>
      <c r="H27" s="47"/>
      <c r="I27" s="68"/>
      <c r="J27" s="68"/>
      <c r="K27" s="68"/>
      <c r="L27" s="68" t="s">
        <v>408</v>
      </c>
      <c r="M27" s="68" t="s">
        <v>691</v>
      </c>
      <c r="N27" s="68" t="s">
        <v>661</v>
      </c>
      <c r="O27" s="68"/>
      <c r="P27" s="68"/>
      <c r="Q27" s="70"/>
      <c r="R27" s="70" t="s">
        <v>692</v>
      </c>
      <c r="S27" s="47"/>
      <c r="T27" s="75" t="s">
        <v>97</v>
      </c>
      <c r="U27" s="69">
        <v>45082</v>
      </c>
      <c r="V27" s="72"/>
      <c r="X27" s="75" t="s">
        <v>149</v>
      </c>
      <c r="Y27" s="69">
        <v>45196</v>
      </c>
      <c r="Z27" s="62"/>
      <c r="AB27" s="62"/>
      <c r="AC27" s="62"/>
      <c r="AD27" s="62"/>
      <c r="AE27" s="62" t="s">
        <v>690</v>
      </c>
    </row>
    <row r="28" spans="2:31" ht="105" customHeight="1" x14ac:dyDescent="0.25">
      <c r="B28" s="70" t="s">
        <v>42</v>
      </c>
      <c r="C28" s="157">
        <v>18</v>
      </c>
      <c r="D28" s="157" t="s">
        <v>665</v>
      </c>
      <c r="E28" s="157" t="s">
        <v>93</v>
      </c>
      <c r="F28" s="157" t="s">
        <v>666</v>
      </c>
      <c r="G28" s="73"/>
      <c r="H28" s="47"/>
      <c r="I28" s="68"/>
      <c r="J28" s="68"/>
      <c r="K28" s="68"/>
      <c r="L28" s="68" t="s">
        <v>408</v>
      </c>
      <c r="M28" s="68" t="s">
        <v>691</v>
      </c>
      <c r="N28" s="166" t="s">
        <v>665</v>
      </c>
      <c r="O28" s="68"/>
      <c r="P28" s="68"/>
      <c r="Q28" s="70"/>
      <c r="R28" s="70" t="s">
        <v>692</v>
      </c>
      <c r="S28" s="47"/>
      <c r="T28" s="75" t="s">
        <v>97</v>
      </c>
      <c r="U28" s="69">
        <v>45082</v>
      </c>
      <c r="V28" s="72" t="s">
        <v>700</v>
      </c>
      <c r="X28" s="75" t="s">
        <v>149</v>
      </c>
      <c r="Y28" s="69">
        <v>45196</v>
      </c>
      <c r="Z28" s="62"/>
      <c r="AB28" s="62"/>
      <c r="AC28" s="62"/>
      <c r="AD28" s="62"/>
      <c r="AE28" s="62" t="s">
        <v>690</v>
      </c>
    </row>
    <row r="29" spans="2:31" ht="105" customHeight="1" x14ac:dyDescent="0.25">
      <c r="B29" s="70" t="s">
        <v>42</v>
      </c>
      <c r="C29" s="157">
        <v>19</v>
      </c>
      <c r="D29" s="157" t="s">
        <v>668</v>
      </c>
      <c r="E29" s="157" t="s">
        <v>669</v>
      </c>
      <c r="F29" s="157" t="s">
        <v>670</v>
      </c>
      <c r="G29" s="73"/>
      <c r="H29" s="47"/>
      <c r="I29" s="68"/>
      <c r="J29" s="68"/>
      <c r="K29" s="68"/>
      <c r="L29" s="68" t="s">
        <v>408</v>
      </c>
      <c r="M29" s="68" t="s">
        <v>701</v>
      </c>
      <c r="N29" s="70" t="s">
        <v>668</v>
      </c>
      <c r="O29" s="68"/>
      <c r="P29" s="68"/>
      <c r="Q29" s="70"/>
      <c r="R29" s="70" t="s">
        <v>692</v>
      </c>
      <c r="S29" s="47"/>
      <c r="T29" s="75" t="s">
        <v>97</v>
      </c>
      <c r="U29" s="69">
        <v>45126</v>
      </c>
      <c r="V29" s="72"/>
      <c r="X29" s="75" t="s">
        <v>149</v>
      </c>
      <c r="Y29" s="69">
        <v>45196</v>
      </c>
      <c r="Z29" s="62"/>
      <c r="AB29" s="62"/>
      <c r="AC29" s="62"/>
      <c r="AD29" s="62"/>
      <c r="AE29" s="62" t="s">
        <v>690</v>
      </c>
    </row>
    <row r="30" spans="2:31" ht="105" customHeight="1" x14ac:dyDescent="0.25">
      <c r="B30" s="70" t="s">
        <v>42</v>
      </c>
      <c r="C30" s="157">
        <v>20</v>
      </c>
      <c r="D30" s="157" t="s">
        <v>672</v>
      </c>
      <c r="E30" s="157" t="s">
        <v>702</v>
      </c>
      <c r="F30" s="157" t="s">
        <v>674</v>
      </c>
      <c r="G30" s="73"/>
      <c r="H30" s="47"/>
      <c r="I30" s="68"/>
      <c r="J30" s="68"/>
      <c r="K30" s="68"/>
      <c r="L30" s="68" t="s">
        <v>408</v>
      </c>
      <c r="M30" s="68" t="s">
        <v>701</v>
      </c>
      <c r="N30" s="70" t="s">
        <v>672</v>
      </c>
      <c r="O30" s="68"/>
      <c r="P30" s="68"/>
      <c r="Q30" s="70"/>
      <c r="R30" s="70" t="s">
        <v>692</v>
      </c>
      <c r="S30" s="47"/>
      <c r="T30" s="75" t="s">
        <v>97</v>
      </c>
      <c r="U30" s="69">
        <v>45126</v>
      </c>
      <c r="V30" s="72"/>
      <c r="X30" s="75" t="s">
        <v>149</v>
      </c>
      <c r="Y30" s="69">
        <v>45196</v>
      </c>
      <c r="Z30" s="62"/>
      <c r="AB30" s="62"/>
      <c r="AC30" s="62"/>
      <c r="AD30" s="62"/>
      <c r="AE30" s="62" t="s">
        <v>690</v>
      </c>
    </row>
    <row r="31" spans="2:31" ht="105" customHeight="1" x14ac:dyDescent="0.25">
      <c r="B31" s="70" t="s">
        <v>42</v>
      </c>
      <c r="C31" s="70">
        <v>21</v>
      </c>
      <c r="D31" s="157" t="s">
        <v>703</v>
      </c>
      <c r="E31" s="157" t="s">
        <v>669</v>
      </c>
      <c r="F31" s="157" t="s">
        <v>704</v>
      </c>
      <c r="G31" s="73"/>
      <c r="H31" s="47"/>
      <c r="I31" s="68"/>
      <c r="J31" s="68"/>
      <c r="K31" s="68"/>
      <c r="L31" s="68" t="s">
        <v>408</v>
      </c>
      <c r="M31" s="68" t="s">
        <v>691</v>
      </c>
      <c r="N31" s="157" t="s">
        <v>703</v>
      </c>
      <c r="O31" s="68"/>
      <c r="P31" s="70" t="s">
        <v>705</v>
      </c>
      <c r="Q31" s="111" t="s">
        <v>706</v>
      </c>
      <c r="R31" s="70" t="s">
        <v>692</v>
      </c>
      <c r="S31" s="47"/>
      <c r="T31" s="75" t="s">
        <v>97</v>
      </c>
      <c r="U31" s="69">
        <v>45126</v>
      </c>
      <c r="V31" s="72"/>
      <c r="X31" s="145" t="s">
        <v>155</v>
      </c>
      <c r="Y31" s="69">
        <v>45246</v>
      </c>
      <c r="Z31" s="80" t="s">
        <v>707</v>
      </c>
      <c r="AB31" s="63">
        <v>45246</v>
      </c>
      <c r="AC31" s="62"/>
      <c r="AD31" s="62"/>
      <c r="AE31" s="62" t="s">
        <v>690</v>
      </c>
    </row>
    <row r="32" spans="2:31" ht="105" customHeight="1" x14ac:dyDescent="0.25">
      <c r="B32" s="70" t="s">
        <v>42</v>
      </c>
      <c r="C32" s="157">
        <v>22</v>
      </c>
      <c r="D32" s="157" t="s">
        <v>679</v>
      </c>
      <c r="E32" s="157" t="s">
        <v>669</v>
      </c>
      <c r="F32" s="157" t="s">
        <v>680</v>
      </c>
      <c r="G32" s="73"/>
      <c r="H32" s="47"/>
      <c r="I32" s="68"/>
      <c r="J32" s="68"/>
      <c r="K32" s="68"/>
      <c r="L32" s="68" t="s">
        <v>408</v>
      </c>
      <c r="M32" s="68" t="s">
        <v>691</v>
      </c>
      <c r="N32" s="157" t="s">
        <v>708</v>
      </c>
      <c r="O32" s="68"/>
      <c r="P32" s="68"/>
      <c r="Q32" s="70"/>
      <c r="R32" s="70" t="s">
        <v>692</v>
      </c>
      <c r="S32" s="47"/>
      <c r="T32" s="75" t="s">
        <v>97</v>
      </c>
      <c r="U32" s="69">
        <v>45126</v>
      </c>
      <c r="V32" s="72"/>
      <c r="X32" s="145" t="s">
        <v>155</v>
      </c>
      <c r="Y32" s="69">
        <v>45196</v>
      </c>
      <c r="Z32" s="62"/>
      <c r="AB32" s="63">
        <v>45246</v>
      </c>
      <c r="AC32" s="62"/>
      <c r="AD32" s="62"/>
      <c r="AE32" s="62" t="s">
        <v>690</v>
      </c>
    </row>
    <row r="33" spans="2:31" ht="105" customHeight="1" x14ac:dyDescent="0.25">
      <c r="B33" s="70" t="s">
        <v>42</v>
      </c>
      <c r="C33" s="157">
        <v>23</v>
      </c>
      <c r="D33" s="157" t="s">
        <v>682</v>
      </c>
      <c r="E33" s="157" t="s">
        <v>669</v>
      </c>
      <c r="F33" s="157" t="s">
        <v>709</v>
      </c>
      <c r="G33" s="73"/>
      <c r="H33" s="47"/>
      <c r="I33" s="68"/>
      <c r="J33" s="68"/>
      <c r="K33" s="68"/>
      <c r="L33" s="68" t="s">
        <v>408</v>
      </c>
      <c r="M33" s="68" t="s">
        <v>691</v>
      </c>
      <c r="N33" s="68" t="s">
        <v>710</v>
      </c>
      <c r="O33" s="68"/>
      <c r="P33" s="70" t="s">
        <v>705</v>
      </c>
      <c r="Q33" s="111" t="s">
        <v>706</v>
      </c>
      <c r="R33" s="70" t="s">
        <v>692</v>
      </c>
      <c r="S33" s="47"/>
      <c r="T33" s="75" t="s">
        <v>97</v>
      </c>
      <c r="U33" s="69">
        <v>45126</v>
      </c>
      <c r="V33" s="72"/>
      <c r="X33" s="145" t="s">
        <v>155</v>
      </c>
      <c r="Y33" s="69">
        <v>45196</v>
      </c>
      <c r="Z33" s="62"/>
      <c r="AB33" s="63">
        <v>45246</v>
      </c>
      <c r="AC33" s="62"/>
      <c r="AD33" s="62"/>
      <c r="AE33" s="62" t="s">
        <v>690</v>
      </c>
    </row>
    <row r="34" spans="2:31" ht="104.25" customHeight="1" x14ac:dyDescent="0.25">
      <c r="B34" s="70" t="s">
        <v>42</v>
      </c>
      <c r="C34" s="157">
        <v>24</v>
      </c>
      <c r="D34" s="157" t="s">
        <v>685</v>
      </c>
      <c r="E34" s="157" t="s">
        <v>669</v>
      </c>
      <c r="F34" s="157" t="s">
        <v>686</v>
      </c>
      <c r="G34" s="73"/>
      <c r="H34" s="47"/>
      <c r="I34" s="68"/>
      <c r="J34" s="68"/>
      <c r="K34" s="68"/>
      <c r="L34" s="68" t="s">
        <v>408</v>
      </c>
      <c r="M34" s="68" t="s">
        <v>691</v>
      </c>
      <c r="N34" s="70" t="s">
        <v>711</v>
      </c>
      <c r="O34" s="68"/>
      <c r="P34" s="68"/>
      <c r="Q34" s="70"/>
      <c r="R34" s="70" t="s">
        <v>692</v>
      </c>
      <c r="S34" s="47"/>
      <c r="T34" s="75" t="s">
        <v>97</v>
      </c>
      <c r="U34" s="69">
        <v>45126</v>
      </c>
      <c r="V34" s="72"/>
      <c r="X34" s="145" t="s">
        <v>155</v>
      </c>
      <c r="Y34" s="69">
        <v>45196</v>
      </c>
      <c r="Z34" s="62"/>
      <c r="AB34" s="63">
        <v>45246</v>
      </c>
      <c r="AC34" s="62"/>
      <c r="AD34" s="62"/>
      <c r="AE34" s="62" t="s">
        <v>690</v>
      </c>
    </row>
    <row r="35" spans="2:31" x14ac:dyDescent="0.25">
      <c r="B35" s="62"/>
      <c r="C35" s="62"/>
      <c r="D35" s="62"/>
      <c r="E35" s="62"/>
      <c r="F35" s="62"/>
      <c r="G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T35" s="75"/>
      <c r="U35" s="62"/>
      <c r="V35" s="62"/>
      <c r="X35" s="75"/>
      <c r="Y35" s="62"/>
      <c r="Z35" s="62"/>
      <c r="AB35" s="62"/>
      <c r="AC35" s="62"/>
      <c r="AD35" s="62"/>
      <c r="AE35" s="62"/>
    </row>
    <row r="36" spans="2:31" x14ac:dyDescent="0.25">
      <c r="B36" s="62"/>
      <c r="C36" s="62"/>
      <c r="D36" s="62"/>
      <c r="E36" s="62"/>
      <c r="F36" s="62"/>
      <c r="G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T36" s="75"/>
      <c r="U36" s="62"/>
      <c r="V36" s="62"/>
      <c r="X36" s="75"/>
      <c r="Y36" s="62"/>
      <c r="Z36" s="62"/>
      <c r="AB36" s="62"/>
      <c r="AC36" s="62"/>
      <c r="AD36" s="62"/>
      <c r="AE36" s="62"/>
    </row>
    <row r="37" spans="2:31" x14ac:dyDescent="0.25">
      <c r="B37" s="62"/>
      <c r="C37" s="62"/>
      <c r="D37" s="62"/>
      <c r="E37" s="62"/>
      <c r="F37" s="62"/>
      <c r="G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T37" s="75"/>
      <c r="U37" s="62"/>
      <c r="V37" s="62"/>
      <c r="X37" s="75"/>
      <c r="Y37" s="62"/>
      <c r="Z37" s="62"/>
      <c r="AB37" s="62"/>
      <c r="AC37" s="62"/>
      <c r="AD37" s="62"/>
      <c r="AE37" s="62"/>
    </row>
    <row r="38" spans="2:31" x14ac:dyDescent="0.25">
      <c r="B38" s="62"/>
      <c r="C38" s="62"/>
      <c r="D38" s="62"/>
      <c r="E38" s="62"/>
      <c r="F38" s="62"/>
      <c r="G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T38" s="75"/>
      <c r="U38" s="62"/>
      <c r="V38" s="62"/>
      <c r="X38" s="75"/>
      <c r="Y38" s="62"/>
      <c r="Z38" s="62"/>
      <c r="AB38" s="62"/>
      <c r="AC38" s="62"/>
      <c r="AD38" s="62"/>
      <c r="AE38" s="62"/>
    </row>
    <row r="39" spans="2:31" x14ac:dyDescent="0.25">
      <c r="B39" s="62"/>
      <c r="C39" s="62"/>
      <c r="D39" s="62"/>
      <c r="E39" s="62"/>
      <c r="F39" s="62"/>
      <c r="G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T39" s="75"/>
      <c r="U39" s="62"/>
      <c r="V39" s="62"/>
      <c r="X39" s="75"/>
      <c r="Y39" s="62"/>
      <c r="Z39" s="62"/>
      <c r="AB39" s="62"/>
      <c r="AC39" s="62"/>
      <c r="AD39" s="62"/>
      <c r="AE39" s="62"/>
    </row>
    <row r="40" spans="2:31" x14ac:dyDescent="0.25">
      <c r="B40" s="62"/>
      <c r="C40" s="62"/>
      <c r="D40" s="62"/>
      <c r="E40" s="62"/>
      <c r="F40" s="62"/>
      <c r="G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T40" s="75"/>
      <c r="U40" s="62"/>
      <c r="V40" s="62"/>
      <c r="X40" s="75"/>
      <c r="Y40" s="62"/>
      <c r="Z40" s="62"/>
      <c r="AB40" s="62"/>
      <c r="AC40" s="62"/>
      <c r="AD40" s="62"/>
      <c r="AE40" s="62"/>
    </row>
    <row r="41" spans="2:31" x14ac:dyDescent="0.25">
      <c r="B41" s="62"/>
      <c r="C41" s="62"/>
      <c r="D41" s="62"/>
      <c r="E41" s="62"/>
      <c r="F41" s="62"/>
      <c r="G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T41" s="75"/>
      <c r="U41" s="62"/>
      <c r="V41" s="62"/>
      <c r="X41" s="75"/>
      <c r="Y41" s="62"/>
      <c r="Z41" s="62"/>
      <c r="AB41" s="62"/>
      <c r="AC41" s="62"/>
      <c r="AD41" s="62"/>
      <c r="AE41" s="62"/>
    </row>
    <row r="42" spans="2:31" x14ac:dyDescent="0.25">
      <c r="B42" s="62"/>
      <c r="C42" s="62"/>
      <c r="D42" s="62"/>
      <c r="E42" s="62"/>
      <c r="F42" s="62"/>
      <c r="G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T42" s="75"/>
      <c r="U42" s="62"/>
      <c r="V42" s="62"/>
      <c r="X42" s="75"/>
      <c r="Y42" s="62"/>
      <c r="Z42" s="62"/>
      <c r="AB42" s="62"/>
      <c r="AC42" s="62"/>
      <c r="AD42" s="62"/>
      <c r="AE42" s="62"/>
    </row>
    <row r="43" spans="2:31" x14ac:dyDescent="0.25">
      <c r="B43" s="62"/>
      <c r="C43" s="62"/>
      <c r="D43" s="62"/>
      <c r="E43" s="62"/>
      <c r="F43" s="62"/>
      <c r="G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T43" s="75"/>
      <c r="U43" s="62"/>
      <c r="V43" s="62"/>
      <c r="X43" s="75"/>
      <c r="Y43" s="62"/>
      <c r="Z43" s="62"/>
      <c r="AB43" s="62"/>
      <c r="AC43" s="62"/>
      <c r="AD43" s="62"/>
      <c r="AE43" s="62"/>
    </row>
    <row r="44" spans="2:31" x14ac:dyDescent="0.25">
      <c r="B44" s="62"/>
      <c r="C44" s="62"/>
      <c r="D44" s="62"/>
      <c r="E44" s="62"/>
      <c r="F44" s="62"/>
      <c r="G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T44" s="75"/>
      <c r="U44" s="62"/>
      <c r="V44" s="62"/>
      <c r="X44" s="75"/>
      <c r="Y44" s="62"/>
      <c r="Z44" s="62"/>
      <c r="AB44" s="62"/>
      <c r="AC44" s="62"/>
      <c r="AD44" s="62"/>
      <c r="AE44" s="62"/>
    </row>
    <row r="45" spans="2:31" x14ac:dyDescent="0.25">
      <c r="B45" s="62"/>
      <c r="C45" s="62"/>
      <c r="D45" s="62"/>
      <c r="E45" s="62"/>
      <c r="F45" s="62"/>
      <c r="G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T45" s="75"/>
      <c r="U45" s="62"/>
      <c r="V45" s="62"/>
      <c r="X45" s="75"/>
      <c r="Y45" s="62"/>
      <c r="Z45" s="62"/>
      <c r="AB45" s="62"/>
      <c r="AC45" s="62"/>
      <c r="AD45" s="62"/>
      <c r="AE45" s="62"/>
    </row>
    <row r="46" spans="2:31" x14ac:dyDescent="0.25">
      <c r="B46" s="62"/>
      <c r="C46" s="62"/>
      <c r="D46" s="62"/>
      <c r="E46" s="62"/>
      <c r="F46" s="62"/>
      <c r="G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T46" s="75"/>
      <c r="U46" s="62"/>
      <c r="V46" s="62"/>
      <c r="X46" s="75"/>
      <c r="Y46" s="62"/>
      <c r="Z46" s="62"/>
      <c r="AB46" s="62"/>
      <c r="AC46" s="62"/>
      <c r="AD46" s="62"/>
      <c r="AE46" s="62"/>
    </row>
    <row r="47" spans="2:31" x14ac:dyDescent="0.25">
      <c r="B47" s="62"/>
      <c r="C47" s="62"/>
      <c r="D47" s="62"/>
      <c r="E47" s="62"/>
      <c r="F47" s="62"/>
      <c r="G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T47" s="75"/>
      <c r="U47" s="62"/>
      <c r="V47" s="62"/>
      <c r="X47" s="75"/>
      <c r="Y47" s="62"/>
      <c r="Z47" s="62"/>
      <c r="AB47" s="62"/>
      <c r="AC47" s="62"/>
      <c r="AD47" s="62"/>
      <c r="AE47" s="62"/>
    </row>
    <row r="48" spans="2:31" x14ac:dyDescent="0.25">
      <c r="B48" s="62"/>
      <c r="C48" s="62"/>
      <c r="D48" s="62"/>
      <c r="E48" s="62"/>
      <c r="F48" s="62"/>
      <c r="G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T48" s="75"/>
      <c r="U48" s="62"/>
      <c r="V48" s="62"/>
      <c r="X48" s="75"/>
      <c r="Y48" s="62"/>
      <c r="Z48" s="62"/>
      <c r="AB48" s="62"/>
      <c r="AC48" s="62"/>
      <c r="AD48" s="62"/>
      <c r="AE48" s="62"/>
    </row>
    <row r="49" spans="2:31" x14ac:dyDescent="0.25">
      <c r="B49" s="62"/>
      <c r="C49" s="62"/>
      <c r="D49" s="62"/>
      <c r="E49" s="62"/>
      <c r="F49" s="62"/>
      <c r="G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T49" s="75"/>
      <c r="U49" s="62"/>
      <c r="V49" s="62"/>
      <c r="X49" s="75"/>
      <c r="Y49" s="62"/>
      <c r="Z49" s="62"/>
      <c r="AB49" s="62"/>
      <c r="AC49" s="62"/>
      <c r="AD49" s="62"/>
      <c r="AE49" s="62"/>
    </row>
    <row r="50" spans="2:31" x14ac:dyDescent="0.25">
      <c r="B50" s="62"/>
      <c r="C50" s="62"/>
      <c r="D50" s="62"/>
      <c r="E50" s="62"/>
      <c r="F50" s="62"/>
      <c r="G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T50" s="75"/>
      <c r="U50" s="62"/>
      <c r="V50" s="62"/>
      <c r="X50" s="75"/>
      <c r="Y50" s="62"/>
      <c r="Z50" s="62"/>
      <c r="AB50" s="62"/>
      <c r="AC50" s="62"/>
      <c r="AD50" s="62"/>
      <c r="AE50" s="62"/>
    </row>
    <row r="51" spans="2:31" x14ac:dyDescent="0.25">
      <c r="B51" s="62"/>
      <c r="C51" s="62"/>
      <c r="D51" s="62"/>
      <c r="E51" s="62"/>
      <c r="F51" s="62"/>
      <c r="G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T51" s="75"/>
      <c r="U51" s="62"/>
      <c r="V51" s="62"/>
      <c r="X51" s="75"/>
      <c r="Y51" s="62"/>
      <c r="Z51" s="62"/>
      <c r="AB51" s="62"/>
      <c r="AC51" s="62"/>
      <c r="AD51" s="62"/>
      <c r="AE51" s="62"/>
    </row>
    <row r="52" spans="2:31" x14ac:dyDescent="0.25">
      <c r="B52" s="62"/>
      <c r="C52" s="62"/>
      <c r="D52" s="62"/>
      <c r="E52" s="62"/>
      <c r="F52" s="62"/>
      <c r="G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T52" s="75"/>
      <c r="U52" s="62"/>
      <c r="V52" s="62"/>
      <c r="X52" s="75"/>
      <c r="Y52" s="62"/>
      <c r="Z52" s="62"/>
      <c r="AB52" s="62"/>
      <c r="AC52" s="62"/>
      <c r="AD52" s="62"/>
      <c r="AE52" s="62"/>
    </row>
    <row r="53" spans="2:31" x14ac:dyDescent="0.25">
      <c r="B53" s="62"/>
      <c r="C53" s="62"/>
      <c r="D53" s="62"/>
      <c r="E53" s="62"/>
      <c r="F53" s="62"/>
      <c r="G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T53" s="75"/>
      <c r="U53" s="62"/>
      <c r="V53" s="62"/>
      <c r="X53" s="75"/>
      <c r="Y53" s="62"/>
      <c r="Z53" s="62"/>
      <c r="AB53" s="62"/>
      <c r="AC53" s="62"/>
      <c r="AD53" s="62"/>
      <c r="AE53" s="62"/>
    </row>
    <row r="54" spans="2:31" x14ac:dyDescent="0.25">
      <c r="B54" s="62"/>
      <c r="C54" s="62"/>
      <c r="D54" s="62"/>
      <c r="E54" s="62"/>
      <c r="F54" s="62"/>
      <c r="G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T54" s="75"/>
      <c r="U54" s="62"/>
      <c r="V54" s="62"/>
      <c r="X54" s="75"/>
      <c r="Y54" s="62"/>
      <c r="Z54" s="62"/>
      <c r="AB54" s="62"/>
      <c r="AC54" s="62"/>
      <c r="AD54" s="62"/>
      <c r="AE54" s="62"/>
    </row>
    <row r="55" spans="2:31" x14ac:dyDescent="0.25">
      <c r="B55" s="62"/>
      <c r="C55" s="62"/>
      <c r="D55" s="62"/>
      <c r="E55" s="62"/>
      <c r="F55" s="62"/>
      <c r="G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T55" s="75"/>
      <c r="U55" s="62"/>
      <c r="V55" s="62"/>
      <c r="X55" s="75"/>
      <c r="Y55" s="62"/>
      <c r="Z55" s="62"/>
      <c r="AB55" s="62"/>
      <c r="AC55" s="62"/>
      <c r="AD55" s="62"/>
      <c r="AE55" s="62"/>
    </row>
    <row r="56" spans="2:31" x14ac:dyDescent="0.25">
      <c r="B56" s="62"/>
      <c r="C56" s="62"/>
      <c r="D56" s="62"/>
      <c r="E56" s="62"/>
      <c r="F56" s="62"/>
      <c r="G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T56" s="75"/>
      <c r="U56" s="62"/>
      <c r="V56" s="62"/>
      <c r="X56" s="75"/>
      <c r="Y56" s="62"/>
      <c r="Z56" s="62"/>
      <c r="AB56" s="62"/>
      <c r="AC56" s="62"/>
      <c r="AD56" s="62"/>
      <c r="AE56" s="62"/>
    </row>
    <row r="57" spans="2:31" x14ac:dyDescent="0.25">
      <c r="B57" s="62"/>
      <c r="C57" s="62"/>
      <c r="D57" s="62"/>
      <c r="E57" s="62"/>
      <c r="F57" s="62"/>
      <c r="G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T57" s="75"/>
      <c r="U57" s="62"/>
      <c r="V57" s="62"/>
      <c r="X57" s="75"/>
      <c r="Y57" s="62"/>
      <c r="Z57" s="62"/>
      <c r="AB57" s="62"/>
      <c r="AC57" s="62"/>
      <c r="AD57" s="62"/>
      <c r="AE57" s="62"/>
    </row>
    <row r="58" spans="2:31" x14ac:dyDescent="0.25">
      <c r="B58" s="62"/>
      <c r="C58" s="62"/>
      <c r="D58" s="62"/>
      <c r="E58" s="62"/>
      <c r="F58" s="62"/>
      <c r="G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T58" s="75"/>
      <c r="U58" s="62"/>
      <c r="V58" s="62"/>
      <c r="X58" s="75"/>
      <c r="Y58" s="62"/>
      <c r="Z58" s="62"/>
      <c r="AB58" s="62"/>
      <c r="AC58" s="62"/>
      <c r="AD58" s="62"/>
      <c r="AE58" s="62"/>
    </row>
    <row r="59" spans="2:31" x14ac:dyDescent="0.25">
      <c r="B59" s="62"/>
      <c r="C59" s="62"/>
      <c r="D59" s="62"/>
      <c r="E59" s="62"/>
      <c r="F59" s="62"/>
      <c r="G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T59" s="75"/>
      <c r="U59" s="62"/>
      <c r="V59" s="62"/>
      <c r="X59" s="75"/>
      <c r="Y59" s="62"/>
      <c r="Z59" s="62"/>
      <c r="AB59" s="62"/>
      <c r="AC59" s="62"/>
      <c r="AD59" s="62"/>
      <c r="AE59" s="62"/>
    </row>
  </sheetData>
  <autoFilter ref="B12:AE34">
    <sortState ref="B13:AA37">
      <sortCondition ref="C12:C37"/>
    </sortState>
  </autoFilter>
  <mergeCells count="7">
    <mergeCell ref="X11:Z11"/>
    <mergeCell ref="AB11:AE11"/>
    <mergeCell ref="C7:G7"/>
    <mergeCell ref="I11:K11"/>
    <mergeCell ref="L11:N11"/>
    <mergeCell ref="O11:R11"/>
    <mergeCell ref="T11:V11"/>
  </mergeCells>
  <conditionalFormatting sqref="T13">
    <cfRule type="cellIs" dxfId="830" priority="22" operator="equal">
      <formula>"Testes utilizador"</formula>
    </cfRule>
  </conditionalFormatting>
  <conditionalFormatting sqref="T14:T34">
    <cfRule type="cellIs" dxfId="829" priority="17" operator="equal">
      <formula>"Testes utilizador"</formula>
    </cfRule>
  </conditionalFormatting>
  <conditionalFormatting sqref="X13">
    <cfRule type="cellIs" dxfId="828" priority="12" operator="equal">
      <formula>"Testes utilizador"</formula>
    </cfRule>
  </conditionalFormatting>
  <conditionalFormatting sqref="X14:X30">
    <cfRule type="cellIs" dxfId="827" priority="7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35" operator="equal" id="{B661627D-5E7A-4637-B0FC-B0792C9E55F6}">
            <xm:f>'Tabelas AUX'!$E$8</xm:f>
            <x14:dxf>
              <font>
                <color theme="8"/>
              </font>
            </x14:dxf>
          </x14:cfRule>
          <x14:cfRule type="cellIs" priority="136" operator="equal" id="{BF974935-5056-4442-A105-273DAFDABFD5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37" operator="equal" id="{34B416A7-7DE3-4B04-B923-C32FC5F83944}">
            <xm:f>'Tabelas AUX'!$E$5</xm:f>
            <x14:dxf>
              <font>
                <color rgb="FF00B050"/>
              </font>
            </x14:dxf>
          </x14:cfRule>
          <x14:cfRule type="cellIs" priority="138" operator="equal" id="{BD377AE1-EFB1-414A-83D4-97433297F373}">
            <xm:f>'Tabelas AUX'!$E$4</xm:f>
            <x14:dxf>
              <font>
                <color rgb="FF7F7F7F"/>
              </font>
            </x14:dxf>
          </x14:cfRule>
          <x14:cfRule type="cellIs" priority="139" operator="equal" id="{411C84C7-41D1-4BA3-B528-52E298EA984B}">
            <xm:f>'Tabelas AUX'!$E$3</xm:f>
            <x14:dxf>
              <font>
                <color theme="5"/>
              </font>
            </x14:dxf>
          </x14:cfRule>
          <x14:cfRule type="cellIs" priority="140" operator="equal" id="{EF381B19-3DCC-4AB6-A1CF-F9727325E801}">
            <xm:f>'Tabelas AUX'!$E$2</xm:f>
            <x14:dxf>
              <font>
                <color rgb="FFC00000"/>
              </font>
            </x14:dxf>
          </x14:cfRule>
          <xm:sqref>T35:T59</xm:sqref>
        </x14:conditionalFormatting>
        <x14:conditionalFormatting xmlns:xm="http://schemas.microsoft.com/office/excel/2006/main">
          <x14:cfRule type="cellIs" priority="27" operator="equal" id="{39B48597-3A57-418A-B19B-D8CABE8A0CBC}">
            <xm:f>'Tabelas AUX'!$E$8</xm:f>
            <x14:dxf>
              <font>
                <color theme="8"/>
              </font>
            </x14:dxf>
          </x14:cfRule>
          <x14:cfRule type="cellIs" priority="28" operator="equal" id="{2348EF78-FBC2-4EE3-82BF-7C8AFF2BCB92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29" operator="equal" id="{04AA3B17-DBF6-414B-92C6-BB765C8122AF}">
            <xm:f>'Tabelas AUX'!$E$5</xm:f>
            <x14:dxf>
              <font>
                <color rgb="FF00B050"/>
              </font>
            </x14:dxf>
          </x14:cfRule>
          <x14:cfRule type="cellIs" priority="30" operator="equal" id="{3FA0E55B-2764-478C-B0F2-416FE8A205BB}">
            <xm:f>'Tabelas AUX'!$E$4</xm:f>
            <x14:dxf>
              <font>
                <color rgb="FF7F7F7F"/>
              </font>
            </x14:dxf>
          </x14:cfRule>
          <x14:cfRule type="cellIs" priority="31" operator="equal" id="{A2810296-D589-4B49-9A24-7468F88A1222}">
            <xm:f>'Tabelas AUX'!$E$3</xm:f>
            <x14:dxf>
              <font>
                <color theme="5"/>
              </font>
            </x14:dxf>
          </x14:cfRule>
          <x14:cfRule type="cellIs" priority="32" operator="equal" id="{504006D4-97DF-4986-9141-FD1DF5A34BF5}">
            <xm:f>'Tabelas AUX'!$E$2</xm:f>
            <x14:dxf>
              <font>
                <color rgb="FFC00000"/>
              </font>
            </x14:dxf>
          </x14:cfRule>
          <xm:sqref>X35:X59</xm:sqref>
        </x14:conditionalFormatting>
        <x14:conditionalFormatting xmlns:xm="http://schemas.microsoft.com/office/excel/2006/main">
          <x14:cfRule type="cellIs" priority="23" operator="equal" id="{0A52EAA2-B5F3-4B17-A7AC-1D91DB427A89}">
            <xm:f>'Tabelas AUX'!$E$5</xm:f>
            <x14:dxf>
              <font>
                <color rgb="FF00B050"/>
              </font>
            </x14:dxf>
          </x14:cfRule>
          <x14:cfRule type="cellIs" priority="24" operator="equal" id="{5C7A82CA-4F1D-466D-8E30-FA827CD334A7}">
            <xm:f>'Tabelas AUX'!$E$4</xm:f>
            <x14:dxf>
              <font>
                <color rgb="FF7F7F7F"/>
              </font>
            </x14:dxf>
          </x14:cfRule>
          <x14:cfRule type="cellIs" priority="25" operator="equal" id="{EB6921E2-1EAB-4059-877B-AC8F9D8DFADC}">
            <xm:f>'Tabelas AUX'!$E$3</xm:f>
            <x14:dxf>
              <font>
                <color theme="5"/>
              </font>
            </x14:dxf>
          </x14:cfRule>
          <x14:cfRule type="cellIs" priority="26" operator="equal" id="{D7E75FDA-A116-4B88-A6C4-DBD0A6E35954}">
            <xm:f>'Tabelas AUX'!$E$2</xm:f>
            <x14:dxf>
              <font>
                <color rgb="FFC00000"/>
              </font>
            </x14:dxf>
          </x14:cfRule>
          <xm:sqref>T13</xm:sqref>
        </x14:conditionalFormatting>
        <x14:conditionalFormatting xmlns:xm="http://schemas.microsoft.com/office/excel/2006/main">
          <x14:cfRule type="cellIs" priority="18" operator="equal" id="{168C0366-A20E-4FE9-833A-2C48F27D7A16}">
            <xm:f>'Tabelas AUX'!$E$5</xm:f>
            <x14:dxf>
              <font>
                <color rgb="FF00B050"/>
              </font>
            </x14:dxf>
          </x14:cfRule>
          <x14:cfRule type="cellIs" priority="19" operator="equal" id="{996BCD31-A7E4-4105-9ACA-C5580A24EB79}">
            <xm:f>'Tabelas AUX'!$E$4</xm:f>
            <x14:dxf>
              <font>
                <color rgb="FF7F7F7F"/>
              </font>
            </x14:dxf>
          </x14:cfRule>
          <x14:cfRule type="cellIs" priority="20" operator="equal" id="{FBD04D9B-A5C5-470E-947C-56C8248A08DB}">
            <xm:f>'Tabelas AUX'!$E$3</xm:f>
            <x14:dxf>
              <font>
                <color theme="5"/>
              </font>
            </x14:dxf>
          </x14:cfRule>
          <x14:cfRule type="cellIs" priority="21" operator="equal" id="{D4D6752A-1597-404E-908E-52E6D268554F}">
            <xm:f>'Tabelas AUX'!$E$2</xm:f>
            <x14:dxf>
              <font>
                <color rgb="FFC00000"/>
              </font>
            </x14:dxf>
          </x14:cfRule>
          <xm:sqref>T14:T34</xm:sqref>
        </x14:conditionalFormatting>
        <x14:conditionalFormatting xmlns:xm="http://schemas.microsoft.com/office/excel/2006/main">
          <x14:cfRule type="cellIs" priority="13" operator="equal" id="{D688DC1B-6AD8-4664-A254-BF4BCB61C973}">
            <xm:f>'Tabelas AUX'!$E$5</xm:f>
            <x14:dxf>
              <font>
                <color rgb="FF00B050"/>
              </font>
            </x14:dxf>
          </x14:cfRule>
          <x14:cfRule type="cellIs" priority="14" operator="equal" id="{80E0E7A7-A803-4A9D-922B-FCF9CD0624F5}">
            <xm:f>'Tabelas AUX'!$E$4</xm:f>
            <x14:dxf>
              <font>
                <color rgb="FF7F7F7F"/>
              </font>
            </x14:dxf>
          </x14:cfRule>
          <x14:cfRule type="cellIs" priority="15" operator="equal" id="{632FFEEB-1A51-48B2-8855-C9428841855E}">
            <xm:f>'Tabelas AUX'!$E$3</xm:f>
            <x14:dxf>
              <font>
                <color theme="5"/>
              </font>
            </x14:dxf>
          </x14:cfRule>
          <x14:cfRule type="cellIs" priority="16" operator="equal" id="{9E829F68-F32C-4958-B60D-6E5D7B8FE357}">
            <xm:f>'Tabelas AUX'!$E$2</xm:f>
            <x14:dxf>
              <font>
                <color rgb="FFC00000"/>
              </font>
            </x14:dxf>
          </x14:cfRule>
          <xm:sqref>X13</xm:sqref>
        </x14:conditionalFormatting>
        <x14:conditionalFormatting xmlns:xm="http://schemas.microsoft.com/office/excel/2006/main">
          <x14:cfRule type="cellIs" priority="8" operator="equal" id="{153EC9CF-4D74-4667-9522-E361FDAAB2BB}">
            <xm:f>'Tabelas AUX'!$E$5</xm:f>
            <x14:dxf>
              <font>
                <color rgb="FF00B050"/>
              </font>
            </x14:dxf>
          </x14:cfRule>
          <x14:cfRule type="cellIs" priority="9" operator="equal" id="{A40D5145-A28E-49C8-8EED-7B48E0DA522D}">
            <xm:f>'Tabelas AUX'!$E$4</xm:f>
            <x14:dxf>
              <font>
                <color rgb="FF7F7F7F"/>
              </font>
            </x14:dxf>
          </x14:cfRule>
          <x14:cfRule type="cellIs" priority="10" operator="equal" id="{C61895CF-DF5B-4423-94C4-F81134E5F12B}">
            <xm:f>'Tabelas AUX'!$E$3</xm:f>
            <x14:dxf>
              <font>
                <color theme="5"/>
              </font>
            </x14:dxf>
          </x14:cfRule>
          <x14:cfRule type="cellIs" priority="11" operator="equal" id="{71BA7662-0668-4AAD-94A3-5853BFD6CBE3}">
            <xm:f>'Tabelas AUX'!$E$2</xm:f>
            <x14:dxf>
              <font>
                <color rgb="FFC00000"/>
              </font>
            </x14:dxf>
          </x14:cfRule>
          <xm:sqref>X14:X30</xm:sqref>
        </x14:conditionalFormatting>
        <x14:conditionalFormatting xmlns:xm="http://schemas.microsoft.com/office/excel/2006/main">
          <x14:cfRule type="cellIs" priority="1" operator="equal" id="{41900F1A-963B-46A2-A513-1A174A60C98D}">
            <xm:f>'Tabelas AUX'!$E$8</xm:f>
            <x14:dxf>
              <font>
                <color theme="8"/>
              </font>
            </x14:dxf>
          </x14:cfRule>
          <x14:cfRule type="cellIs" priority="2" operator="equal" id="{33A9DAD2-3CE6-4B00-8C2B-2E51F5452F0E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3" operator="equal" id="{F36B9C0B-5073-43EA-82BB-3F3C9F803A94}">
            <xm:f>'Tabelas AUX'!$E$5</xm:f>
            <x14:dxf>
              <font>
                <color rgb="FF00B050"/>
              </font>
            </x14:dxf>
          </x14:cfRule>
          <x14:cfRule type="cellIs" priority="4" operator="equal" id="{47DC94D8-264C-490A-B4E3-01C459C5C562}">
            <xm:f>'Tabelas AUX'!$E$4</xm:f>
            <x14:dxf>
              <font>
                <color rgb="FF7F7F7F"/>
              </font>
            </x14:dxf>
          </x14:cfRule>
          <x14:cfRule type="cellIs" priority="5" operator="equal" id="{6AF98F41-C7E0-4C5C-9D9C-36BCFC958A18}">
            <xm:f>'Tabelas AUX'!$E$3</xm:f>
            <x14:dxf>
              <font>
                <color theme="5"/>
              </font>
            </x14:dxf>
          </x14:cfRule>
          <x14:cfRule type="cellIs" priority="6" operator="equal" id="{E1BD67B0-498F-4E11-B98A-195A57E8667D}">
            <xm:f>'Tabelas AUX'!$E$2</xm:f>
            <x14:dxf>
              <font>
                <color rgb="FFC00000"/>
              </font>
            </x14:dxf>
          </x14:cfRule>
          <xm:sqref>X31:X34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>
          <x14:formula1>
            <xm:f>'Tabelas AUX'!$E$2:$E$5</xm:f>
          </x14:formula1>
          <xm:sqref>T13:T34</xm:sqref>
        </x14:dataValidation>
        <x14:dataValidation type="list" allowBlank="1" showInputMessage="1" showErrorMessage="1">
          <x14:formula1>
            <xm:f>'Tabelas AUX'!$G$2:$G$13</xm:f>
          </x14:formula1>
          <xm:sqref>X13:X30</xm:sqref>
        </x14:dataValidation>
        <x14:dataValidation type="list" allowBlank="1" showInputMessage="1" showErrorMessage="1">
          <x14:formula1>
            <xm:f>'Tabelas AUX'!$G$2:$G$16</xm:f>
          </x14:formula1>
          <xm:sqref>X31:X34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9" tint="0.59999389629810485"/>
    <pageSetUpPr autoPageBreaks="0"/>
  </sheetPr>
  <dimension ref="A1:AE105"/>
  <sheetViews>
    <sheetView showGridLines="0" zoomScale="91" zoomScaleNormal="60" workbookViewId="0">
      <pane ySplit="12" topLeftCell="A13" activePane="bottomLeft" state="frozen"/>
      <selection activeCell="J23" sqref="J23"/>
      <selection pane="bottomLeft"/>
    </sheetView>
  </sheetViews>
  <sheetFormatPr defaultRowHeight="15" outlineLevelRow="1" outlineLevelCol="1" x14ac:dyDescent="0.25"/>
  <cols>
    <col min="1" max="1" width="3.7109375" customWidth="1"/>
    <col min="2" max="2" width="28.85546875" customWidth="1"/>
    <col min="3" max="3" width="9.42578125" bestFit="1" customWidth="1"/>
    <col min="4" max="4" width="21.85546875" bestFit="1" customWidth="1"/>
    <col min="5" max="5" width="17" bestFit="1" customWidth="1"/>
    <col min="6" max="6" width="47.7109375" customWidth="1"/>
    <col min="7" max="7" width="12.7109375" style="81" customWidth="1"/>
    <col min="8" max="8" width="2" customWidth="1"/>
    <col min="9" max="9" width="27.85546875" hidden="1" customWidth="1" outlineLevel="1"/>
    <col min="10" max="10" width="18.140625" hidden="1" customWidth="1" outlineLevel="1"/>
    <col min="11" max="11" width="21" hidden="1" customWidth="1" outlineLevel="1"/>
    <col min="12" max="12" width="27.85546875" bestFit="1" customWidth="1" collapsed="1"/>
    <col min="13" max="13" width="40.28515625" bestFit="1" customWidth="1"/>
    <col min="14" max="14" width="28.140625" bestFit="1" customWidth="1"/>
    <col min="15" max="15" width="11.42578125" hidden="1" customWidth="1" outlineLevel="1"/>
    <col min="16" max="17" width="42.42578125" hidden="1" customWidth="1" outlineLevel="1"/>
    <col min="18" max="18" width="26.5703125" hidden="1" customWidth="1" outlineLevel="1"/>
    <col min="19" max="19" width="2.140625" customWidth="1" collapsed="1"/>
    <col min="20" max="20" width="14.140625" customWidth="1" outlineLevel="1"/>
    <col min="21" max="21" width="15.42578125" customWidth="1" outlineLevel="1"/>
    <col min="22" max="22" width="42.7109375" customWidth="1" outlineLevel="1"/>
    <col min="23" max="23" width="2.140625" customWidth="1"/>
    <col min="24" max="24" width="12.28515625" customWidth="1" outlineLevel="1"/>
    <col min="25" max="25" width="22.5703125" customWidth="1" outlineLevel="1"/>
    <col min="26" max="26" width="7" customWidth="1" outlineLevel="1"/>
    <col min="27" max="27" width="2.140625" customWidth="1"/>
    <col min="28" max="28" width="20.28515625" bestFit="1" customWidth="1" outlineLevel="1"/>
    <col min="29" max="29" width="18.42578125" bestFit="1" customWidth="1" outlineLevel="1"/>
    <col min="30" max="30" width="20" bestFit="1" customWidth="1" outlineLevel="1"/>
    <col min="31" max="31" width="34" bestFit="1" customWidth="1" outlineLevel="1"/>
  </cols>
  <sheetData>
    <row r="1" spans="1:31" ht="15" customHeight="1" x14ac:dyDescent="0.25">
      <c r="B1" s="47"/>
      <c r="C1" s="47"/>
      <c r="D1" s="47"/>
      <c r="F1" s="47"/>
      <c r="G1" s="47"/>
    </row>
    <row r="2" spans="1:31" ht="34.5" customHeight="1" x14ac:dyDescent="0.25">
      <c r="B2" s="47"/>
      <c r="C2" s="47"/>
      <c r="D2" s="48"/>
      <c r="F2" s="47"/>
      <c r="G2" s="47"/>
    </row>
    <row r="3" spans="1:31" ht="2.25" customHeight="1" x14ac:dyDescent="0.25">
      <c r="A3" s="20"/>
      <c r="B3" s="49"/>
      <c r="C3" s="49"/>
      <c r="D3" s="49"/>
      <c r="E3" s="49"/>
      <c r="F3" s="49"/>
      <c r="G3" s="49"/>
    </row>
    <row r="4" spans="1:31" ht="15" customHeight="1" x14ac:dyDescent="0.25">
      <c r="B4" s="47"/>
      <c r="C4" s="47"/>
      <c r="D4" s="47"/>
      <c r="F4" s="47"/>
      <c r="G4" s="47"/>
    </row>
    <row r="5" spans="1:31" ht="15" customHeight="1" x14ac:dyDescent="0.25">
      <c r="B5" s="50" t="s">
        <v>712</v>
      </c>
      <c r="C5" s="50"/>
      <c r="D5" s="47"/>
      <c r="F5" s="47"/>
      <c r="G5" s="47"/>
    </row>
    <row r="6" spans="1:31" ht="15" customHeight="1" x14ac:dyDescent="0.25">
      <c r="B6" s="47"/>
      <c r="C6" s="47"/>
      <c r="D6" s="47"/>
      <c r="F6" s="47"/>
      <c r="G6" s="47"/>
    </row>
    <row r="7" spans="1:31" ht="171.75" hidden="1" customHeight="1" outlineLevel="1" x14ac:dyDescent="0.25">
      <c r="B7" s="51" t="s">
        <v>65</v>
      </c>
      <c r="C7" s="222" t="s">
        <v>713</v>
      </c>
      <c r="D7" s="222"/>
      <c r="E7" s="222"/>
      <c r="F7" s="222"/>
      <c r="G7" s="222"/>
      <c r="H7" s="52"/>
      <c r="I7" s="52"/>
      <c r="S7" s="52"/>
      <c r="W7" s="52"/>
      <c r="AA7" s="52"/>
    </row>
    <row r="8" spans="1:31" ht="15" hidden="1" customHeight="1" outlineLevel="1" x14ac:dyDescent="0.25">
      <c r="B8" s="47"/>
      <c r="C8" s="47"/>
      <c r="D8" s="47"/>
      <c r="F8" s="47"/>
      <c r="G8" s="47"/>
    </row>
    <row r="9" spans="1:31" ht="15" hidden="1" customHeight="1" outlineLevel="1" x14ac:dyDescent="0.25">
      <c r="B9" s="47"/>
      <c r="C9" s="47"/>
      <c r="D9" s="47"/>
      <c r="F9" s="47"/>
      <c r="G9" s="47"/>
    </row>
    <row r="10" spans="1:31" ht="15" hidden="1" customHeight="1" outlineLevel="1" x14ac:dyDescent="0.25">
      <c r="B10" s="47"/>
      <c r="C10" s="47"/>
      <c r="D10" s="47"/>
      <c r="F10" s="47"/>
      <c r="G10" s="47"/>
    </row>
    <row r="11" spans="1:31" collapsed="1" x14ac:dyDescent="0.25">
      <c r="B11" s="225" t="s">
        <v>67</v>
      </c>
      <c r="C11" s="226"/>
      <c r="D11" s="226"/>
      <c r="E11" s="226"/>
      <c r="F11" s="226"/>
      <c r="G11" s="227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  <c r="X11" s="207" t="s">
        <v>72</v>
      </c>
      <c r="Y11" s="208"/>
      <c r="Z11" s="208"/>
      <c r="AB11" s="207" t="s">
        <v>255</v>
      </c>
      <c r="AC11" s="208"/>
      <c r="AD11" s="208"/>
      <c r="AE11" s="209"/>
    </row>
    <row r="12" spans="1:31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  <c r="X12" s="61" t="s">
        <v>86</v>
      </c>
      <c r="Y12" s="61" t="s">
        <v>89</v>
      </c>
      <c r="Z12" s="61" t="s">
        <v>90</v>
      </c>
      <c r="AB12" s="61" t="s">
        <v>166</v>
      </c>
      <c r="AC12" s="61" t="s">
        <v>167</v>
      </c>
      <c r="AD12" s="61" t="s">
        <v>168</v>
      </c>
      <c r="AE12" s="61" t="s">
        <v>88</v>
      </c>
    </row>
    <row r="13" spans="1:31" ht="45" x14ac:dyDescent="0.25">
      <c r="B13" s="70" t="s">
        <v>47</v>
      </c>
      <c r="C13" s="70">
        <v>1</v>
      </c>
      <c r="D13" s="73" t="s">
        <v>260</v>
      </c>
      <c r="E13" s="70" t="s">
        <v>225</v>
      </c>
      <c r="F13" s="70" t="s">
        <v>261</v>
      </c>
      <c r="G13" s="73" t="s">
        <v>505</v>
      </c>
      <c r="H13" s="47"/>
      <c r="I13" s="70" t="s">
        <v>29</v>
      </c>
      <c r="J13" s="70" t="s">
        <v>33</v>
      </c>
      <c r="K13" s="70" t="s">
        <v>263</v>
      </c>
      <c r="L13" s="70" t="s">
        <v>29</v>
      </c>
      <c r="M13" s="68" t="s">
        <v>33</v>
      </c>
      <c r="N13" s="70" t="s">
        <v>260</v>
      </c>
      <c r="O13" s="70" t="s">
        <v>264</v>
      </c>
      <c r="P13" s="70"/>
      <c r="Q13" s="70"/>
      <c r="R13" s="70"/>
      <c r="S13" s="47"/>
      <c r="T13" s="75" t="s">
        <v>97</v>
      </c>
      <c r="U13" s="69">
        <v>44812</v>
      </c>
      <c r="V13" s="68"/>
      <c r="W13" s="47"/>
      <c r="X13" s="75" t="s">
        <v>149</v>
      </c>
      <c r="Y13" s="135">
        <v>45050</v>
      </c>
      <c r="Z13" s="68"/>
      <c r="AA13" s="47"/>
      <c r="AB13" s="68"/>
      <c r="AC13" s="68"/>
      <c r="AD13" s="68"/>
      <c r="AE13" s="68"/>
    </row>
    <row r="14" spans="1:31" ht="45" x14ac:dyDescent="0.25">
      <c r="B14" s="70" t="s">
        <v>47</v>
      </c>
      <c r="C14" s="70">
        <v>2</v>
      </c>
      <c r="D14" s="73" t="s">
        <v>265</v>
      </c>
      <c r="E14" s="70" t="s">
        <v>225</v>
      </c>
      <c r="F14" s="70" t="s">
        <v>266</v>
      </c>
      <c r="G14" s="73" t="s">
        <v>505</v>
      </c>
      <c r="H14" s="47"/>
      <c r="I14" s="70" t="s">
        <v>29</v>
      </c>
      <c r="J14" s="70" t="s">
        <v>33</v>
      </c>
      <c r="K14" s="70" t="s">
        <v>228</v>
      </c>
      <c r="L14" s="70" t="s">
        <v>29</v>
      </c>
      <c r="M14" s="70" t="s">
        <v>33</v>
      </c>
      <c r="N14" s="70" t="s">
        <v>265</v>
      </c>
      <c r="O14" s="70" t="s">
        <v>264</v>
      </c>
      <c r="P14" s="70"/>
      <c r="Q14" s="70"/>
      <c r="R14" s="70"/>
      <c r="S14" s="47"/>
      <c r="T14" s="75" t="s">
        <v>97</v>
      </c>
      <c r="U14" s="69">
        <v>44812</v>
      </c>
      <c r="V14" s="68"/>
      <c r="W14" s="47"/>
      <c r="X14" s="75" t="s">
        <v>149</v>
      </c>
      <c r="Y14" s="135">
        <v>45050</v>
      </c>
      <c r="Z14" s="68"/>
      <c r="AA14" s="47"/>
      <c r="AB14" s="68"/>
      <c r="AC14" s="68"/>
      <c r="AD14" s="68"/>
      <c r="AE14" s="68"/>
    </row>
    <row r="15" spans="1:31" ht="45" x14ac:dyDescent="0.25">
      <c r="B15" s="70" t="s">
        <v>47</v>
      </c>
      <c r="C15" s="70">
        <v>3</v>
      </c>
      <c r="D15" s="73" t="s">
        <v>267</v>
      </c>
      <c r="E15" s="70" t="s">
        <v>225</v>
      </c>
      <c r="F15" s="70" t="s">
        <v>268</v>
      </c>
      <c r="G15" s="73" t="s">
        <v>505</v>
      </c>
      <c r="H15" s="47"/>
      <c r="I15" s="70" t="s">
        <v>29</v>
      </c>
      <c r="J15" s="70" t="s">
        <v>33</v>
      </c>
      <c r="K15" s="70" t="s">
        <v>231</v>
      </c>
      <c r="L15" s="70" t="s">
        <v>29</v>
      </c>
      <c r="M15" s="70" t="s">
        <v>33</v>
      </c>
      <c r="N15" s="70" t="s">
        <v>267</v>
      </c>
      <c r="O15" s="70" t="s">
        <v>264</v>
      </c>
      <c r="P15" s="70"/>
      <c r="Q15" s="70"/>
      <c r="R15" s="70"/>
      <c r="S15" s="47"/>
      <c r="T15" s="75" t="s">
        <v>97</v>
      </c>
      <c r="U15" s="69">
        <v>44812</v>
      </c>
      <c r="V15" s="68"/>
      <c r="W15" s="47"/>
      <c r="X15" s="75" t="s">
        <v>149</v>
      </c>
      <c r="Y15" s="135">
        <v>45050</v>
      </c>
      <c r="Z15" s="68"/>
      <c r="AA15" s="47"/>
      <c r="AB15" s="68"/>
      <c r="AC15" s="68"/>
      <c r="AD15" s="68"/>
      <c r="AE15" s="68"/>
    </row>
    <row r="16" spans="1:31" ht="45" x14ac:dyDescent="0.25">
      <c r="B16" s="70" t="s">
        <v>47</v>
      </c>
      <c r="C16" s="70">
        <v>4</v>
      </c>
      <c r="D16" s="73" t="s">
        <v>270</v>
      </c>
      <c r="E16" s="70" t="s">
        <v>225</v>
      </c>
      <c r="F16" s="70" t="s">
        <v>271</v>
      </c>
      <c r="G16" s="73" t="s">
        <v>505</v>
      </c>
      <c r="H16" s="47"/>
      <c r="I16" s="70" t="s">
        <v>29</v>
      </c>
      <c r="J16" s="70" t="s">
        <v>33</v>
      </c>
      <c r="K16" s="70" t="s">
        <v>234</v>
      </c>
      <c r="L16" s="70" t="s">
        <v>29</v>
      </c>
      <c r="M16" s="70" t="s">
        <v>33</v>
      </c>
      <c r="N16" s="70" t="s">
        <v>270</v>
      </c>
      <c r="O16" s="70" t="s">
        <v>264</v>
      </c>
      <c r="P16" s="70"/>
      <c r="Q16" s="70"/>
      <c r="R16" s="70"/>
      <c r="S16" s="47"/>
      <c r="T16" s="75" t="s">
        <v>97</v>
      </c>
      <c r="U16" s="69">
        <v>44812</v>
      </c>
      <c r="V16" s="68"/>
      <c r="W16" s="47"/>
      <c r="X16" s="75" t="s">
        <v>149</v>
      </c>
      <c r="Y16" s="135">
        <v>45050</v>
      </c>
      <c r="Z16" s="68"/>
      <c r="AA16" s="47"/>
      <c r="AB16" s="68"/>
      <c r="AC16" s="68"/>
      <c r="AD16" s="68"/>
      <c r="AE16" s="68"/>
    </row>
    <row r="17" spans="2:31" ht="45" x14ac:dyDescent="0.25">
      <c r="B17" s="70" t="s">
        <v>47</v>
      </c>
      <c r="C17" s="70">
        <v>5</v>
      </c>
      <c r="D17" s="73" t="s">
        <v>272</v>
      </c>
      <c r="E17" s="70" t="s">
        <v>225</v>
      </c>
      <c r="F17" s="70" t="s">
        <v>273</v>
      </c>
      <c r="G17" s="73" t="s">
        <v>505</v>
      </c>
      <c r="H17" s="47"/>
      <c r="I17" s="70" t="s">
        <v>29</v>
      </c>
      <c r="J17" s="70" t="s">
        <v>33</v>
      </c>
      <c r="K17" s="70" t="s">
        <v>240</v>
      </c>
      <c r="L17" s="70" t="s">
        <v>20</v>
      </c>
      <c r="M17" s="70" t="s">
        <v>714</v>
      </c>
      <c r="N17" s="70" t="s">
        <v>272</v>
      </c>
      <c r="O17" s="70" t="s">
        <v>264</v>
      </c>
      <c r="P17" s="70"/>
      <c r="Q17" s="70"/>
      <c r="R17" s="70"/>
      <c r="S17" s="47"/>
      <c r="T17" s="75" t="s">
        <v>97</v>
      </c>
      <c r="U17" s="69">
        <v>45063</v>
      </c>
      <c r="V17" s="70" t="s">
        <v>715</v>
      </c>
      <c r="W17" s="47"/>
      <c r="X17" s="75" t="s">
        <v>149</v>
      </c>
      <c r="Y17" s="135" t="s">
        <v>299</v>
      </c>
      <c r="Z17" s="68"/>
      <c r="AA17" s="47"/>
      <c r="AB17" s="68"/>
      <c r="AC17" s="68"/>
      <c r="AD17" s="68"/>
      <c r="AE17" s="68" t="s">
        <v>716</v>
      </c>
    </row>
    <row r="18" spans="2:31" ht="30" x14ac:dyDescent="0.25">
      <c r="B18" s="70" t="s">
        <v>47</v>
      </c>
      <c r="C18" s="70">
        <v>6</v>
      </c>
      <c r="D18" s="73" t="s">
        <v>717</v>
      </c>
      <c r="E18" s="70" t="s">
        <v>225</v>
      </c>
      <c r="F18" s="70" t="s">
        <v>718</v>
      </c>
      <c r="G18" s="73" t="s">
        <v>262</v>
      </c>
      <c r="H18" s="47"/>
      <c r="I18" s="70" t="s">
        <v>20</v>
      </c>
      <c r="J18" s="70" t="s">
        <v>719</v>
      </c>
      <c r="K18" s="70" t="s">
        <v>720</v>
      </c>
      <c r="L18" s="70" t="s">
        <v>20</v>
      </c>
      <c r="M18" s="70" t="s">
        <v>714</v>
      </c>
      <c r="N18" s="70" t="s">
        <v>717</v>
      </c>
      <c r="O18" s="70" t="s">
        <v>264</v>
      </c>
      <c r="P18" s="70"/>
      <c r="Q18" s="70"/>
      <c r="R18" s="70"/>
      <c r="S18" s="47"/>
      <c r="T18" s="75" t="s">
        <v>97</v>
      </c>
      <c r="U18" s="69">
        <v>45063</v>
      </c>
      <c r="V18" s="70" t="s">
        <v>715</v>
      </c>
      <c r="W18" s="47"/>
      <c r="X18" s="75" t="s">
        <v>149</v>
      </c>
      <c r="Y18" s="135" t="s">
        <v>299</v>
      </c>
      <c r="Z18" s="68"/>
      <c r="AA18" s="47"/>
      <c r="AB18" s="68"/>
      <c r="AC18" s="68"/>
      <c r="AD18" s="68"/>
      <c r="AE18" s="68" t="s">
        <v>716</v>
      </c>
    </row>
    <row r="19" spans="2:31" ht="30" x14ac:dyDescent="0.25">
      <c r="B19" s="70" t="s">
        <v>47</v>
      </c>
      <c r="C19" s="70">
        <v>7</v>
      </c>
      <c r="D19" s="73" t="s">
        <v>721</v>
      </c>
      <c r="E19" s="70" t="s">
        <v>225</v>
      </c>
      <c r="F19" s="70" t="s">
        <v>722</v>
      </c>
      <c r="G19" s="73" t="s">
        <v>262</v>
      </c>
      <c r="H19" s="47"/>
      <c r="I19" s="70" t="s">
        <v>20</v>
      </c>
      <c r="J19" s="70" t="s">
        <v>719</v>
      </c>
      <c r="K19" s="70" t="s">
        <v>723</v>
      </c>
      <c r="L19" s="70" t="s">
        <v>20</v>
      </c>
      <c r="M19" s="70" t="s">
        <v>714</v>
      </c>
      <c r="N19" s="70" t="s">
        <v>721</v>
      </c>
      <c r="O19" s="70" t="s">
        <v>264</v>
      </c>
      <c r="P19" s="70"/>
      <c r="Q19" s="70"/>
      <c r="R19" s="70"/>
      <c r="S19" s="47"/>
      <c r="T19" s="75" t="s">
        <v>97</v>
      </c>
      <c r="U19" s="69">
        <v>45063</v>
      </c>
      <c r="V19" s="70" t="s">
        <v>715</v>
      </c>
      <c r="W19" s="47"/>
      <c r="X19" s="75" t="s">
        <v>149</v>
      </c>
      <c r="Y19" s="135" t="s">
        <v>299</v>
      </c>
      <c r="Z19" s="68"/>
      <c r="AA19" s="47"/>
      <c r="AB19" s="68"/>
      <c r="AC19" s="68"/>
      <c r="AD19" s="68"/>
      <c r="AE19" s="68" t="s">
        <v>716</v>
      </c>
    </row>
    <row r="20" spans="2:31" ht="45" x14ac:dyDescent="0.25">
      <c r="B20" s="70" t="s">
        <v>47</v>
      </c>
      <c r="C20" s="70">
        <v>8</v>
      </c>
      <c r="D20" s="70" t="s">
        <v>724</v>
      </c>
      <c r="E20" s="70" t="s">
        <v>225</v>
      </c>
      <c r="F20" s="70" t="s">
        <v>725</v>
      </c>
      <c r="G20" s="70"/>
      <c r="H20" s="47"/>
      <c r="I20" s="70" t="s">
        <v>20</v>
      </c>
      <c r="J20" s="70" t="s">
        <v>726</v>
      </c>
      <c r="K20" s="70" t="s">
        <v>727</v>
      </c>
      <c r="L20" s="70" t="s">
        <v>20</v>
      </c>
      <c r="M20" s="70" t="s">
        <v>728</v>
      </c>
      <c r="N20" s="70" t="s">
        <v>724</v>
      </c>
      <c r="O20" s="70" t="s">
        <v>279</v>
      </c>
      <c r="P20" s="70" t="s">
        <v>729</v>
      </c>
      <c r="Q20" s="70"/>
      <c r="R20" s="70"/>
      <c r="S20" s="47"/>
      <c r="T20" s="75" t="s">
        <v>97</v>
      </c>
      <c r="U20" s="69">
        <v>45057</v>
      </c>
      <c r="V20" s="70" t="s">
        <v>730</v>
      </c>
      <c r="W20" s="47"/>
      <c r="X20" s="75" t="s">
        <v>149</v>
      </c>
      <c r="Y20" s="135">
        <v>45175</v>
      </c>
      <c r="Z20" s="68"/>
      <c r="AA20" s="47"/>
      <c r="AB20" s="68"/>
      <c r="AC20" s="68"/>
      <c r="AD20" s="68"/>
      <c r="AE20" s="70" t="s">
        <v>731</v>
      </c>
    </row>
    <row r="21" spans="2:31" ht="30" x14ac:dyDescent="0.25">
      <c r="B21" s="70" t="s">
        <v>47</v>
      </c>
      <c r="C21" s="70">
        <v>9</v>
      </c>
      <c r="D21" s="70" t="s">
        <v>732</v>
      </c>
      <c r="E21" s="70" t="s">
        <v>225</v>
      </c>
      <c r="F21" s="70" t="s">
        <v>733</v>
      </c>
      <c r="G21" s="70"/>
      <c r="H21" s="47"/>
      <c r="I21" s="70" t="s">
        <v>20</v>
      </c>
      <c r="J21" s="70" t="s">
        <v>726</v>
      </c>
      <c r="K21" s="70" t="s">
        <v>734</v>
      </c>
      <c r="L21" s="70" t="s">
        <v>20</v>
      </c>
      <c r="M21" s="70" t="s">
        <v>728</v>
      </c>
      <c r="N21" s="70" t="s">
        <v>732</v>
      </c>
      <c r="O21" s="70" t="s">
        <v>279</v>
      </c>
      <c r="P21" s="70" t="s">
        <v>729</v>
      </c>
      <c r="Q21" s="70"/>
      <c r="R21" s="70"/>
      <c r="S21" s="47"/>
      <c r="T21" s="75" t="s">
        <v>97</v>
      </c>
      <c r="U21" s="69">
        <v>45057</v>
      </c>
      <c r="V21" s="70" t="s">
        <v>735</v>
      </c>
      <c r="W21" s="47"/>
      <c r="X21" s="75" t="s">
        <v>149</v>
      </c>
      <c r="Y21" s="135">
        <v>45175</v>
      </c>
      <c r="Z21" s="68"/>
      <c r="AA21" s="47"/>
      <c r="AB21" s="68"/>
      <c r="AC21" s="68"/>
      <c r="AD21" s="68"/>
      <c r="AE21" s="70" t="s">
        <v>731</v>
      </c>
    </row>
    <row r="22" spans="2:31" ht="30" x14ac:dyDescent="0.25">
      <c r="B22" s="70" t="s">
        <v>47</v>
      </c>
      <c r="C22" s="70">
        <v>10</v>
      </c>
      <c r="D22" s="70" t="s">
        <v>736</v>
      </c>
      <c r="E22" s="70" t="s">
        <v>737</v>
      </c>
      <c r="F22" s="70" t="s">
        <v>738</v>
      </c>
      <c r="G22" s="70"/>
      <c r="H22" s="47"/>
      <c r="I22" s="70"/>
      <c r="J22" s="70"/>
      <c r="K22" s="70"/>
      <c r="L22" s="70" t="s">
        <v>20</v>
      </c>
      <c r="M22" s="70" t="s">
        <v>308</v>
      </c>
      <c r="N22" s="70" t="s">
        <v>739</v>
      </c>
      <c r="O22" s="70"/>
      <c r="P22" s="70"/>
      <c r="Q22" s="70"/>
      <c r="R22" s="70"/>
      <c r="S22" s="47"/>
      <c r="T22" s="75" t="s">
        <v>97</v>
      </c>
      <c r="U22" s="69">
        <v>45120</v>
      </c>
      <c r="V22" s="70"/>
      <c r="W22" s="47"/>
      <c r="X22" s="75" t="s">
        <v>149</v>
      </c>
      <c r="Y22" s="135">
        <v>45175</v>
      </c>
      <c r="Z22" s="68"/>
      <c r="AA22" s="47"/>
      <c r="AB22" s="68"/>
      <c r="AC22" s="68"/>
      <c r="AD22" s="68"/>
      <c r="AE22" s="70"/>
    </row>
    <row r="23" spans="2:31" ht="264.75" customHeight="1" x14ac:dyDescent="0.25">
      <c r="B23" s="70" t="s">
        <v>47</v>
      </c>
      <c r="C23" s="70">
        <v>11</v>
      </c>
      <c r="D23" s="70" t="s">
        <v>740</v>
      </c>
      <c r="E23" s="70" t="s">
        <v>225</v>
      </c>
      <c r="F23" s="70" t="s">
        <v>741</v>
      </c>
      <c r="G23" s="70" t="s">
        <v>289</v>
      </c>
      <c r="H23" s="47"/>
      <c r="I23" s="70" t="s">
        <v>20</v>
      </c>
      <c r="J23" s="70" t="s">
        <v>719</v>
      </c>
      <c r="K23" s="70" t="s">
        <v>742</v>
      </c>
      <c r="L23" s="70" t="s">
        <v>20</v>
      </c>
      <c r="M23" s="70" t="s">
        <v>719</v>
      </c>
      <c r="N23" s="70" t="s">
        <v>742</v>
      </c>
      <c r="O23" s="70" t="s">
        <v>279</v>
      </c>
      <c r="P23" s="70"/>
      <c r="Q23" s="111" t="s">
        <v>743</v>
      </c>
      <c r="R23" s="70" t="s">
        <v>552</v>
      </c>
      <c r="S23" s="47"/>
      <c r="T23" s="75" t="s">
        <v>97</v>
      </c>
      <c r="U23" s="69">
        <v>45246</v>
      </c>
      <c r="V23" s="111" t="s">
        <v>744</v>
      </c>
      <c r="W23" s="47"/>
      <c r="X23" s="75" t="s">
        <v>149</v>
      </c>
      <c r="Y23" s="135">
        <v>45279</v>
      </c>
      <c r="Z23" s="68"/>
      <c r="AA23" s="47"/>
      <c r="AB23" s="68"/>
      <c r="AC23" s="68"/>
      <c r="AD23" s="68"/>
      <c r="AE23" s="70" t="s">
        <v>731</v>
      </c>
    </row>
    <row r="24" spans="2:31" ht="150" x14ac:dyDescent="0.25">
      <c r="B24" s="70" t="s">
        <v>47</v>
      </c>
      <c r="C24" s="70">
        <v>12</v>
      </c>
      <c r="D24" s="70" t="s">
        <v>745</v>
      </c>
      <c r="E24" s="70" t="s">
        <v>746</v>
      </c>
      <c r="F24" s="70" t="s">
        <v>747</v>
      </c>
      <c r="G24" s="70"/>
      <c r="H24" s="47"/>
      <c r="I24" s="70" t="s">
        <v>20</v>
      </c>
      <c r="J24" s="70" t="s">
        <v>719</v>
      </c>
      <c r="K24" s="70" t="s">
        <v>748</v>
      </c>
      <c r="L24" s="70" t="s">
        <v>20</v>
      </c>
      <c r="M24" s="70" t="s">
        <v>719</v>
      </c>
      <c r="N24" s="70" t="s">
        <v>745</v>
      </c>
      <c r="O24" s="70" t="s">
        <v>264</v>
      </c>
      <c r="P24" s="70" t="s">
        <v>749</v>
      </c>
      <c r="Q24" s="111" t="s">
        <v>750</v>
      </c>
      <c r="R24" s="70" t="s">
        <v>751</v>
      </c>
      <c r="S24" s="47"/>
      <c r="T24" s="75" t="s">
        <v>97</v>
      </c>
      <c r="U24" s="69">
        <v>44827</v>
      </c>
      <c r="V24" s="68"/>
      <c r="W24" s="47"/>
      <c r="X24" s="75" t="s">
        <v>149</v>
      </c>
      <c r="Y24" s="135">
        <v>45050</v>
      </c>
      <c r="Z24" s="68"/>
      <c r="AA24" s="47"/>
      <c r="AB24" s="68"/>
      <c r="AC24" s="68"/>
      <c r="AD24" s="68"/>
      <c r="AE24" s="68"/>
    </row>
    <row r="25" spans="2:31" ht="30" x14ac:dyDescent="0.25">
      <c r="B25" s="70" t="s">
        <v>47</v>
      </c>
      <c r="C25" s="70">
        <v>13</v>
      </c>
      <c r="D25" s="70" t="s">
        <v>752</v>
      </c>
      <c r="E25" s="70" t="s">
        <v>746</v>
      </c>
      <c r="F25" s="70" t="s">
        <v>753</v>
      </c>
      <c r="G25" s="70"/>
      <c r="H25" s="47"/>
      <c r="I25" s="70" t="s">
        <v>20</v>
      </c>
      <c r="J25" s="70" t="s">
        <v>719</v>
      </c>
      <c r="K25" s="70" t="s">
        <v>754</v>
      </c>
      <c r="L25" s="70" t="s">
        <v>20</v>
      </c>
      <c r="M25" s="70" t="s">
        <v>719</v>
      </c>
      <c r="N25" s="70" t="s">
        <v>752</v>
      </c>
      <c r="O25" s="70" t="s">
        <v>264</v>
      </c>
      <c r="P25" s="70"/>
      <c r="Q25" s="70"/>
      <c r="R25" s="70"/>
      <c r="S25" s="47"/>
      <c r="T25" s="75" t="s">
        <v>97</v>
      </c>
      <c r="U25" s="69">
        <v>44827</v>
      </c>
      <c r="V25" s="68"/>
      <c r="W25" s="47"/>
      <c r="X25" s="75" t="s">
        <v>149</v>
      </c>
      <c r="Y25" s="135">
        <v>45050</v>
      </c>
      <c r="Z25" s="68"/>
      <c r="AA25" s="47"/>
      <c r="AB25" s="68"/>
      <c r="AC25" s="68"/>
      <c r="AD25" s="68"/>
      <c r="AE25" s="68"/>
    </row>
    <row r="26" spans="2:31" x14ac:dyDescent="0.25">
      <c r="B26" s="70" t="s">
        <v>47</v>
      </c>
      <c r="C26" s="70">
        <v>14</v>
      </c>
      <c r="D26" s="70" t="s">
        <v>755</v>
      </c>
      <c r="E26" s="70" t="s">
        <v>746</v>
      </c>
      <c r="F26" s="70" t="s">
        <v>756</v>
      </c>
      <c r="G26" s="70"/>
      <c r="H26" s="47"/>
      <c r="I26" s="70" t="s">
        <v>20</v>
      </c>
      <c r="J26" s="70" t="s">
        <v>719</v>
      </c>
      <c r="K26" s="70" t="s">
        <v>757</v>
      </c>
      <c r="L26" s="70" t="s">
        <v>20</v>
      </c>
      <c r="M26" s="70" t="s">
        <v>719</v>
      </c>
      <c r="N26" s="70" t="s">
        <v>755</v>
      </c>
      <c r="O26" s="70" t="s">
        <v>264</v>
      </c>
      <c r="P26" s="70"/>
      <c r="Q26" s="70"/>
      <c r="R26" s="70"/>
      <c r="S26" s="47"/>
      <c r="T26" s="75" t="s">
        <v>97</v>
      </c>
      <c r="U26" s="69">
        <v>44827</v>
      </c>
      <c r="V26" s="68"/>
      <c r="W26" s="47"/>
      <c r="X26" s="75" t="s">
        <v>149</v>
      </c>
      <c r="Y26" s="135">
        <v>45050</v>
      </c>
      <c r="Z26" s="68"/>
      <c r="AA26" s="47"/>
      <c r="AB26" s="68"/>
      <c r="AC26" s="68"/>
      <c r="AD26" s="68"/>
      <c r="AE26" s="68"/>
    </row>
    <row r="27" spans="2:31" x14ac:dyDescent="0.25">
      <c r="B27" s="70" t="s">
        <v>47</v>
      </c>
      <c r="C27" s="70">
        <v>15</v>
      </c>
      <c r="D27" s="70" t="s">
        <v>758</v>
      </c>
      <c r="E27" s="70" t="s">
        <v>746</v>
      </c>
      <c r="F27" s="70" t="s">
        <v>759</v>
      </c>
      <c r="G27" s="70"/>
      <c r="H27" s="47"/>
      <c r="I27" s="70" t="s">
        <v>20</v>
      </c>
      <c r="J27" s="70" t="s">
        <v>719</v>
      </c>
      <c r="K27" s="70" t="s">
        <v>760</v>
      </c>
      <c r="L27" s="70" t="s">
        <v>20</v>
      </c>
      <c r="M27" s="70" t="s">
        <v>719</v>
      </c>
      <c r="N27" s="70" t="s">
        <v>758</v>
      </c>
      <c r="O27" s="70" t="s">
        <v>264</v>
      </c>
      <c r="P27" s="70"/>
      <c r="Q27" s="70"/>
      <c r="R27" s="70"/>
      <c r="S27" s="47"/>
      <c r="T27" s="75" t="s">
        <v>97</v>
      </c>
      <c r="U27" s="69">
        <v>44827</v>
      </c>
      <c r="V27" s="68"/>
      <c r="W27" s="47"/>
      <c r="X27" s="75" t="s">
        <v>149</v>
      </c>
      <c r="Y27" s="135">
        <v>45050</v>
      </c>
      <c r="Z27" s="68"/>
      <c r="AA27" s="47"/>
      <c r="AB27" s="68"/>
      <c r="AC27" s="68"/>
      <c r="AD27" s="68"/>
      <c r="AE27" s="68"/>
    </row>
    <row r="28" spans="2:31" x14ac:dyDescent="0.25">
      <c r="B28" s="70" t="s">
        <v>47</v>
      </c>
      <c r="C28" s="70">
        <v>16</v>
      </c>
      <c r="D28" s="70" t="s">
        <v>761</v>
      </c>
      <c r="E28" s="70" t="s">
        <v>746</v>
      </c>
      <c r="F28" s="70" t="s">
        <v>762</v>
      </c>
      <c r="G28" s="70"/>
      <c r="H28" s="47"/>
      <c r="I28" s="70" t="s">
        <v>20</v>
      </c>
      <c r="J28" s="70" t="s">
        <v>719</v>
      </c>
      <c r="K28" s="70" t="s">
        <v>763</v>
      </c>
      <c r="L28" s="70" t="s">
        <v>20</v>
      </c>
      <c r="M28" s="70" t="s">
        <v>719</v>
      </c>
      <c r="N28" s="70" t="s">
        <v>761</v>
      </c>
      <c r="O28" s="70" t="s">
        <v>264</v>
      </c>
      <c r="P28" s="70"/>
      <c r="Q28" s="70"/>
      <c r="R28" s="70"/>
      <c r="S28" s="47"/>
      <c r="T28" s="75" t="s">
        <v>97</v>
      </c>
      <c r="U28" s="69">
        <v>44827</v>
      </c>
      <c r="V28" s="68"/>
      <c r="W28" s="47"/>
      <c r="X28" s="75" t="s">
        <v>149</v>
      </c>
      <c r="Y28" s="135">
        <v>45050</v>
      </c>
      <c r="Z28" s="68"/>
      <c r="AA28" s="47"/>
      <c r="AB28" s="68"/>
      <c r="AC28" s="68"/>
      <c r="AD28" s="68"/>
      <c r="AE28" s="68"/>
    </row>
    <row r="29" spans="2:31" x14ac:dyDescent="0.25">
      <c r="B29" s="70" t="s">
        <v>47</v>
      </c>
      <c r="C29" s="70">
        <v>17</v>
      </c>
      <c r="D29" s="70" t="s">
        <v>764</v>
      </c>
      <c r="E29" s="70" t="s">
        <v>746</v>
      </c>
      <c r="F29" s="70" t="s">
        <v>765</v>
      </c>
      <c r="G29" s="70"/>
      <c r="H29" s="47"/>
      <c r="I29" s="70"/>
      <c r="J29" s="70"/>
      <c r="K29" s="70"/>
      <c r="L29" s="70" t="s">
        <v>20</v>
      </c>
      <c r="M29" s="70" t="s">
        <v>719</v>
      </c>
      <c r="N29" s="70" t="s">
        <v>764</v>
      </c>
      <c r="O29" s="70"/>
      <c r="P29" s="70"/>
      <c r="Q29" s="70"/>
      <c r="R29" s="70"/>
      <c r="S29" s="47"/>
      <c r="T29" s="75" t="s">
        <v>97</v>
      </c>
      <c r="U29" s="69">
        <v>45099</v>
      </c>
      <c r="V29" s="68"/>
      <c r="W29" s="47"/>
      <c r="X29" s="75" t="s">
        <v>149</v>
      </c>
      <c r="Y29" s="135">
        <v>45175</v>
      </c>
      <c r="Z29" s="68"/>
      <c r="AA29" s="47"/>
      <c r="AB29" s="68"/>
      <c r="AC29" s="68"/>
      <c r="AD29" s="68"/>
      <c r="AE29" s="68"/>
    </row>
    <row r="30" spans="2:31" x14ac:dyDescent="0.25">
      <c r="B30" s="70" t="s">
        <v>47</v>
      </c>
      <c r="C30" s="70">
        <v>18</v>
      </c>
      <c r="D30" s="70" t="s">
        <v>766</v>
      </c>
      <c r="E30" s="70" t="s">
        <v>746</v>
      </c>
      <c r="F30" s="70" t="s">
        <v>767</v>
      </c>
      <c r="G30" s="70"/>
      <c r="H30" s="47"/>
      <c r="I30" s="70" t="s">
        <v>20</v>
      </c>
      <c r="J30" s="70" t="s">
        <v>719</v>
      </c>
      <c r="K30" s="70" t="s">
        <v>768</v>
      </c>
      <c r="L30" s="70" t="s">
        <v>20</v>
      </c>
      <c r="M30" s="70" t="s">
        <v>719</v>
      </c>
      <c r="N30" s="70" t="s">
        <v>766</v>
      </c>
      <c r="O30" s="70" t="s">
        <v>264</v>
      </c>
      <c r="P30" s="70"/>
      <c r="Q30" s="70"/>
      <c r="R30" s="70"/>
      <c r="S30" s="47"/>
      <c r="T30" s="75" t="s">
        <v>97</v>
      </c>
      <c r="U30" s="69">
        <v>44827</v>
      </c>
      <c r="V30" s="68"/>
      <c r="W30" s="47"/>
      <c r="X30" s="75" t="s">
        <v>149</v>
      </c>
      <c r="Y30" s="135">
        <v>45050</v>
      </c>
      <c r="Z30" s="68"/>
      <c r="AA30" s="47"/>
      <c r="AB30" s="68"/>
      <c r="AC30" s="68"/>
      <c r="AD30" s="68"/>
      <c r="AE30" s="68"/>
    </row>
    <row r="31" spans="2:31" x14ac:dyDescent="0.25">
      <c r="B31" s="70" t="s">
        <v>47</v>
      </c>
      <c r="C31" s="70">
        <v>19</v>
      </c>
      <c r="D31" s="70" t="s">
        <v>769</v>
      </c>
      <c r="E31" s="70" t="s">
        <v>746</v>
      </c>
      <c r="F31" s="70" t="s">
        <v>770</v>
      </c>
      <c r="G31" s="70"/>
      <c r="H31" s="47"/>
      <c r="I31" s="70" t="s">
        <v>20</v>
      </c>
      <c r="J31" s="70" t="s">
        <v>719</v>
      </c>
      <c r="K31" s="70" t="s">
        <v>771</v>
      </c>
      <c r="L31" s="70" t="s">
        <v>20</v>
      </c>
      <c r="M31" s="70" t="s">
        <v>719</v>
      </c>
      <c r="N31" s="70" t="s">
        <v>769</v>
      </c>
      <c r="O31" s="70" t="s">
        <v>264</v>
      </c>
      <c r="P31" s="70"/>
      <c r="Q31" s="70"/>
      <c r="R31" s="70"/>
      <c r="S31" s="47"/>
      <c r="T31" s="75" t="s">
        <v>97</v>
      </c>
      <c r="U31" s="69">
        <v>44827</v>
      </c>
      <c r="V31" s="68"/>
      <c r="W31" s="47"/>
      <c r="X31" s="75" t="s">
        <v>149</v>
      </c>
      <c r="Y31" s="135">
        <v>45050</v>
      </c>
      <c r="Z31" s="68"/>
      <c r="AA31" s="47"/>
      <c r="AB31" s="68"/>
      <c r="AC31" s="68"/>
      <c r="AD31" s="68"/>
      <c r="AE31" s="68"/>
    </row>
    <row r="32" spans="2:31" x14ac:dyDescent="0.25">
      <c r="B32" s="70" t="s">
        <v>47</v>
      </c>
      <c r="C32" s="70">
        <v>20</v>
      </c>
      <c r="D32" s="70" t="s">
        <v>772</v>
      </c>
      <c r="E32" s="70" t="s">
        <v>746</v>
      </c>
      <c r="F32" s="70" t="s">
        <v>773</v>
      </c>
      <c r="G32" s="70"/>
      <c r="H32" s="47"/>
      <c r="I32" s="70" t="s">
        <v>20</v>
      </c>
      <c r="J32" s="70" t="s">
        <v>719</v>
      </c>
      <c r="K32" s="70" t="s">
        <v>774</v>
      </c>
      <c r="L32" s="70" t="s">
        <v>20</v>
      </c>
      <c r="M32" s="70" t="s">
        <v>719</v>
      </c>
      <c r="N32" s="70" t="s">
        <v>772</v>
      </c>
      <c r="O32" s="70" t="s">
        <v>264</v>
      </c>
      <c r="P32" s="70"/>
      <c r="Q32" s="70"/>
      <c r="R32" s="70"/>
      <c r="S32" s="47"/>
      <c r="T32" s="75" t="s">
        <v>97</v>
      </c>
      <c r="U32" s="69">
        <v>44827</v>
      </c>
      <c r="V32" s="68"/>
      <c r="W32" s="47"/>
      <c r="X32" s="75" t="s">
        <v>149</v>
      </c>
      <c r="Y32" s="135">
        <v>45050</v>
      </c>
      <c r="Z32" s="68"/>
      <c r="AA32" s="47"/>
      <c r="AB32" s="68"/>
      <c r="AC32" s="68"/>
      <c r="AD32" s="68"/>
      <c r="AE32" s="68"/>
    </row>
    <row r="33" spans="2:31" x14ac:dyDescent="0.25">
      <c r="B33" s="70" t="s">
        <v>47</v>
      </c>
      <c r="C33" s="70">
        <v>21</v>
      </c>
      <c r="D33" s="70" t="s">
        <v>775</v>
      </c>
      <c r="E33" s="70" t="s">
        <v>746</v>
      </c>
      <c r="F33" s="70" t="s">
        <v>776</v>
      </c>
      <c r="G33" s="70"/>
      <c r="H33" s="47"/>
      <c r="I33" s="70" t="s">
        <v>20</v>
      </c>
      <c r="J33" s="70" t="s">
        <v>719</v>
      </c>
      <c r="K33" s="70" t="s">
        <v>777</v>
      </c>
      <c r="L33" s="70" t="s">
        <v>20</v>
      </c>
      <c r="M33" s="70" t="s">
        <v>719</v>
      </c>
      <c r="N33" s="70" t="s">
        <v>775</v>
      </c>
      <c r="O33" s="70" t="s">
        <v>264</v>
      </c>
      <c r="P33" s="70"/>
      <c r="Q33" s="70"/>
      <c r="R33" s="70"/>
      <c r="S33" s="47"/>
      <c r="T33" s="75" t="s">
        <v>97</v>
      </c>
      <c r="U33" s="69">
        <v>44827</v>
      </c>
      <c r="V33" s="68"/>
      <c r="W33" s="47"/>
      <c r="X33" s="75" t="s">
        <v>149</v>
      </c>
      <c r="Y33" s="135">
        <v>45050</v>
      </c>
      <c r="Z33" s="68"/>
      <c r="AA33" s="47"/>
      <c r="AB33" s="68"/>
      <c r="AC33" s="68"/>
      <c r="AD33" s="68"/>
      <c r="AE33" s="68"/>
    </row>
    <row r="34" spans="2:31" ht="60" x14ac:dyDescent="0.25">
      <c r="B34" s="70" t="s">
        <v>47</v>
      </c>
      <c r="C34" s="70">
        <v>22</v>
      </c>
      <c r="D34" s="70" t="s">
        <v>778</v>
      </c>
      <c r="E34" s="70" t="s">
        <v>746</v>
      </c>
      <c r="F34" s="70" t="s">
        <v>779</v>
      </c>
      <c r="G34" s="70" t="s">
        <v>289</v>
      </c>
      <c r="H34" s="47"/>
      <c r="I34" s="70" t="s">
        <v>20</v>
      </c>
      <c r="J34" s="70" t="s">
        <v>719</v>
      </c>
      <c r="K34" s="70" t="s">
        <v>780</v>
      </c>
      <c r="L34" s="70" t="s">
        <v>20</v>
      </c>
      <c r="M34" s="70" t="s">
        <v>719</v>
      </c>
      <c r="N34" s="70" t="s">
        <v>778</v>
      </c>
      <c r="O34" s="70" t="s">
        <v>264</v>
      </c>
      <c r="P34" s="70"/>
      <c r="Q34" s="70"/>
      <c r="R34" s="70"/>
      <c r="S34" s="47"/>
      <c r="T34" s="75" t="s">
        <v>97</v>
      </c>
      <c r="U34" s="69">
        <v>44827</v>
      </c>
      <c r="V34" s="68"/>
      <c r="W34" s="47"/>
      <c r="X34" s="75" t="s">
        <v>149</v>
      </c>
      <c r="Y34" s="135">
        <v>45050</v>
      </c>
      <c r="Z34" s="68"/>
      <c r="AA34" s="47"/>
      <c r="AB34" s="68"/>
      <c r="AC34" s="68"/>
      <c r="AD34" s="68"/>
      <c r="AE34" s="68"/>
    </row>
    <row r="35" spans="2:31" x14ac:dyDescent="0.25">
      <c r="B35" s="70" t="s">
        <v>47</v>
      </c>
      <c r="C35" s="70">
        <v>23</v>
      </c>
      <c r="D35" s="70" t="s">
        <v>781</v>
      </c>
      <c r="E35" s="70" t="s">
        <v>746</v>
      </c>
      <c r="F35" s="70" t="s">
        <v>782</v>
      </c>
      <c r="G35" s="70"/>
      <c r="H35" s="47"/>
      <c r="I35" s="70" t="s">
        <v>20</v>
      </c>
      <c r="J35" s="70" t="s">
        <v>719</v>
      </c>
      <c r="K35" s="70" t="s">
        <v>783</v>
      </c>
      <c r="L35" s="70" t="s">
        <v>20</v>
      </c>
      <c r="M35" s="70" t="s">
        <v>719</v>
      </c>
      <c r="N35" s="70" t="s">
        <v>781</v>
      </c>
      <c r="O35" s="70" t="s">
        <v>264</v>
      </c>
      <c r="P35" s="70"/>
      <c r="Q35" s="70"/>
      <c r="R35" s="70"/>
      <c r="S35" s="47"/>
      <c r="T35" s="75" t="s">
        <v>97</v>
      </c>
      <c r="U35" s="69">
        <v>44827</v>
      </c>
      <c r="V35" s="68"/>
      <c r="W35" s="47"/>
      <c r="X35" s="75" t="s">
        <v>149</v>
      </c>
      <c r="Y35" s="135">
        <v>45050</v>
      </c>
      <c r="Z35" s="68"/>
      <c r="AA35" s="47"/>
      <c r="AB35" s="68"/>
      <c r="AC35" s="68"/>
      <c r="AD35" s="68"/>
      <c r="AE35" s="68"/>
    </row>
    <row r="36" spans="2:31" x14ac:dyDescent="0.25">
      <c r="B36" s="70" t="s">
        <v>47</v>
      </c>
      <c r="C36" s="70">
        <v>24</v>
      </c>
      <c r="D36" s="70" t="s">
        <v>784</v>
      </c>
      <c r="E36" s="70" t="s">
        <v>746</v>
      </c>
      <c r="F36" s="70" t="s">
        <v>785</v>
      </c>
      <c r="G36" s="70"/>
      <c r="H36" s="47"/>
      <c r="I36" s="70" t="s">
        <v>20</v>
      </c>
      <c r="J36" s="70" t="s">
        <v>719</v>
      </c>
      <c r="K36" s="70" t="s">
        <v>786</v>
      </c>
      <c r="L36" s="70" t="s">
        <v>20</v>
      </c>
      <c r="M36" s="70" t="s">
        <v>719</v>
      </c>
      <c r="N36" s="70" t="s">
        <v>784</v>
      </c>
      <c r="O36" s="70" t="s">
        <v>264</v>
      </c>
      <c r="P36" s="70"/>
      <c r="Q36" s="70"/>
      <c r="R36" s="70"/>
      <c r="S36" s="47"/>
      <c r="T36" s="75" t="s">
        <v>97</v>
      </c>
      <c r="U36" s="69">
        <v>44827</v>
      </c>
      <c r="V36" s="68"/>
      <c r="W36" s="47"/>
      <c r="X36" s="75" t="s">
        <v>149</v>
      </c>
      <c r="Y36" s="135">
        <v>45050</v>
      </c>
      <c r="Z36" s="68"/>
      <c r="AA36" s="47"/>
      <c r="AB36" s="68"/>
      <c r="AC36" s="68"/>
      <c r="AD36" s="68"/>
      <c r="AE36" s="68"/>
    </row>
    <row r="37" spans="2:31" x14ac:dyDescent="0.25">
      <c r="B37" s="70" t="s">
        <v>47</v>
      </c>
      <c r="C37" s="70">
        <v>25</v>
      </c>
      <c r="D37" s="70" t="s">
        <v>787</v>
      </c>
      <c r="E37" s="70" t="s">
        <v>746</v>
      </c>
      <c r="F37" s="70" t="s">
        <v>788</v>
      </c>
      <c r="G37" s="70"/>
      <c r="H37" s="47"/>
      <c r="I37" s="70" t="s">
        <v>20</v>
      </c>
      <c r="J37" s="70" t="s">
        <v>719</v>
      </c>
      <c r="K37" s="70" t="s">
        <v>789</v>
      </c>
      <c r="L37" s="70" t="s">
        <v>20</v>
      </c>
      <c r="M37" s="70" t="s">
        <v>719</v>
      </c>
      <c r="N37" s="70" t="s">
        <v>787</v>
      </c>
      <c r="O37" s="70" t="s">
        <v>264</v>
      </c>
      <c r="P37" s="70"/>
      <c r="Q37" s="70"/>
      <c r="R37" s="70"/>
      <c r="S37" s="47"/>
      <c r="T37" s="75" t="s">
        <v>97</v>
      </c>
      <c r="U37" s="69">
        <v>44827</v>
      </c>
      <c r="V37" s="68"/>
      <c r="W37" s="47"/>
      <c r="X37" s="75" t="s">
        <v>149</v>
      </c>
      <c r="Y37" s="135">
        <v>45050</v>
      </c>
      <c r="Z37" s="68"/>
      <c r="AA37" s="47"/>
      <c r="AB37" s="68"/>
      <c r="AC37" s="68"/>
      <c r="AD37" s="68"/>
      <c r="AE37" s="68"/>
    </row>
    <row r="38" spans="2:31" x14ac:dyDescent="0.25">
      <c r="B38" s="70" t="s">
        <v>47</v>
      </c>
      <c r="C38" s="70">
        <v>26</v>
      </c>
      <c r="D38" s="70" t="s">
        <v>790</v>
      </c>
      <c r="E38" s="70" t="s">
        <v>746</v>
      </c>
      <c r="F38" s="70" t="s">
        <v>791</v>
      </c>
      <c r="G38" s="70"/>
      <c r="H38" s="47"/>
      <c r="I38" s="70" t="s">
        <v>20</v>
      </c>
      <c r="J38" s="70" t="s">
        <v>719</v>
      </c>
      <c r="K38" s="70" t="s">
        <v>792</v>
      </c>
      <c r="L38" s="70" t="s">
        <v>20</v>
      </c>
      <c r="M38" s="70" t="s">
        <v>719</v>
      </c>
      <c r="N38" s="70" t="s">
        <v>790</v>
      </c>
      <c r="O38" s="70" t="s">
        <v>264</v>
      </c>
      <c r="P38" s="70"/>
      <c r="Q38" s="70"/>
      <c r="R38" s="70"/>
      <c r="S38" s="47"/>
      <c r="T38" s="75" t="s">
        <v>97</v>
      </c>
      <c r="U38" s="69">
        <v>44827</v>
      </c>
      <c r="V38" s="68"/>
      <c r="W38" s="47"/>
      <c r="X38" s="75" t="s">
        <v>149</v>
      </c>
      <c r="Y38" s="135">
        <v>45050</v>
      </c>
      <c r="Z38" s="68"/>
      <c r="AA38" s="47"/>
      <c r="AB38" s="68"/>
      <c r="AC38" s="68"/>
      <c r="AD38" s="68"/>
      <c r="AE38" s="68"/>
    </row>
    <row r="39" spans="2:31" x14ac:dyDescent="0.25">
      <c r="B39" s="70" t="s">
        <v>47</v>
      </c>
      <c r="C39" s="70">
        <v>27</v>
      </c>
      <c r="D39" s="70" t="s">
        <v>793</v>
      </c>
      <c r="E39" s="70" t="s">
        <v>746</v>
      </c>
      <c r="F39" s="70" t="s">
        <v>794</v>
      </c>
      <c r="G39" s="70"/>
      <c r="H39" s="47"/>
      <c r="I39" s="70" t="s">
        <v>20</v>
      </c>
      <c r="J39" s="70" t="s">
        <v>719</v>
      </c>
      <c r="K39" s="70" t="s">
        <v>795</v>
      </c>
      <c r="L39" s="70" t="s">
        <v>20</v>
      </c>
      <c r="M39" s="70" t="s">
        <v>719</v>
      </c>
      <c r="N39" s="70" t="s">
        <v>793</v>
      </c>
      <c r="O39" s="70" t="s">
        <v>264</v>
      </c>
      <c r="P39" s="70"/>
      <c r="Q39" s="70"/>
      <c r="R39" s="70"/>
      <c r="S39" s="47"/>
      <c r="T39" s="75" t="s">
        <v>97</v>
      </c>
      <c r="U39" s="69">
        <v>44827</v>
      </c>
      <c r="V39" s="68"/>
      <c r="W39" s="47"/>
      <c r="X39" s="75" t="s">
        <v>149</v>
      </c>
      <c r="Y39" s="135">
        <v>45050</v>
      </c>
      <c r="Z39" s="68"/>
      <c r="AA39" s="47"/>
      <c r="AB39" s="68"/>
      <c r="AC39" s="68"/>
      <c r="AD39" s="68"/>
      <c r="AE39" s="68"/>
    </row>
    <row r="40" spans="2:31" x14ac:dyDescent="0.25">
      <c r="B40" s="70" t="s">
        <v>47</v>
      </c>
      <c r="C40" s="70">
        <v>28</v>
      </c>
      <c r="D40" s="70" t="s">
        <v>796</v>
      </c>
      <c r="E40" s="70" t="s">
        <v>746</v>
      </c>
      <c r="F40" s="70" t="s">
        <v>797</v>
      </c>
      <c r="G40" s="70"/>
      <c r="H40" s="47"/>
      <c r="I40" s="70" t="s">
        <v>20</v>
      </c>
      <c r="J40" s="70" t="s">
        <v>719</v>
      </c>
      <c r="K40" s="70" t="s">
        <v>798</v>
      </c>
      <c r="L40" s="70" t="s">
        <v>20</v>
      </c>
      <c r="M40" s="70" t="s">
        <v>719</v>
      </c>
      <c r="N40" s="70" t="s">
        <v>796</v>
      </c>
      <c r="O40" s="70" t="s">
        <v>264</v>
      </c>
      <c r="P40" s="70"/>
      <c r="Q40" s="70"/>
      <c r="R40" s="70"/>
      <c r="S40" s="47"/>
      <c r="T40" s="75" t="s">
        <v>97</v>
      </c>
      <c r="U40" s="69">
        <v>44827</v>
      </c>
      <c r="V40" s="68"/>
      <c r="W40" s="47"/>
      <c r="X40" s="75" t="s">
        <v>149</v>
      </c>
      <c r="Y40" s="135">
        <v>45050</v>
      </c>
      <c r="Z40" s="68"/>
      <c r="AA40" s="47"/>
      <c r="AB40" s="68"/>
      <c r="AC40" s="68"/>
      <c r="AD40" s="68"/>
      <c r="AE40" s="68"/>
    </row>
    <row r="41" spans="2:31" x14ac:dyDescent="0.25">
      <c r="B41" s="70" t="s">
        <v>47</v>
      </c>
      <c r="C41" s="70">
        <v>29</v>
      </c>
      <c r="D41" s="70" t="s">
        <v>799</v>
      </c>
      <c r="E41" s="70" t="s">
        <v>746</v>
      </c>
      <c r="F41" s="70" t="s">
        <v>800</v>
      </c>
      <c r="G41" s="70"/>
      <c r="H41" s="47"/>
      <c r="I41" s="70" t="s">
        <v>20</v>
      </c>
      <c r="J41" s="70" t="s">
        <v>719</v>
      </c>
      <c r="K41" s="70" t="s">
        <v>801</v>
      </c>
      <c r="L41" s="70" t="s">
        <v>20</v>
      </c>
      <c r="M41" s="70" t="s">
        <v>719</v>
      </c>
      <c r="N41" s="70" t="s">
        <v>799</v>
      </c>
      <c r="O41" s="70" t="s">
        <v>264</v>
      </c>
      <c r="P41" s="70"/>
      <c r="Q41" s="70"/>
      <c r="R41" s="70"/>
      <c r="S41" s="47"/>
      <c r="T41" s="75" t="s">
        <v>97</v>
      </c>
      <c r="U41" s="69">
        <v>44827</v>
      </c>
      <c r="V41" s="68"/>
      <c r="W41" s="47"/>
      <c r="X41" s="75" t="s">
        <v>149</v>
      </c>
      <c r="Y41" s="135">
        <v>45050</v>
      </c>
      <c r="Z41" s="68"/>
      <c r="AA41" s="47"/>
      <c r="AB41" s="68"/>
      <c r="AC41" s="68"/>
      <c r="AD41" s="68"/>
      <c r="AE41" s="68"/>
    </row>
    <row r="42" spans="2:31" x14ac:dyDescent="0.25">
      <c r="B42" s="70" t="s">
        <v>47</v>
      </c>
      <c r="C42" s="70">
        <v>30</v>
      </c>
      <c r="D42" s="70" t="s">
        <v>802</v>
      </c>
      <c r="E42" s="70" t="s">
        <v>746</v>
      </c>
      <c r="F42" s="70" t="s">
        <v>803</v>
      </c>
      <c r="G42" s="70"/>
      <c r="H42" s="47"/>
      <c r="I42" s="70" t="s">
        <v>20</v>
      </c>
      <c r="J42" s="70" t="s">
        <v>719</v>
      </c>
      <c r="K42" s="70" t="s">
        <v>804</v>
      </c>
      <c r="L42" s="70" t="s">
        <v>20</v>
      </c>
      <c r="M42" s="70" t="s">
        <v>719</v>
      </c>
      <c r="N42" s="70" t="s">
        <v>802</v>
      </c>
      <c r="O42" s="70" t="s">
        <v>264</v>
      </c>
      <c r="P42" s="70"/>
      <c r="Q42" s="70"/>
      <c r="R42" s="70"/>
      <c r="S42" s="47"/>
      <c r="T42" s="75" t="s">
        <v>97</v>
      </c>
      <c r="U42" s="69">
        <v>44827</v>
      </c>
      <c r="V42" s="68"/>
      <c r="W42" s="47"/>
      <c r="X42" s="75" t="s">
        <v>149</v>
      </c>
      <c r="Y42" s="135">
        <v>45050</v>
      </c>
      <c r="Z42" s="68"/>
      <c r="AA42" s="47"/>
      <c r="AB42" s="68"/>
      <c r="AC42" s="68"/>
      <c r="AD42" s="68"/>
      <c r="AE42" s="68"/>
    </row>
    <row r="43" spans="2:31" ht="60" x14ac:dyDescent="0.25">
      <c r="B43" s="70" t="s">
        <v>47</v>
      </c>
      <c r="C43" s="70">
        <v>31</v>
      </c>
      <c r="D43" s="70" t="s">
        <v>805</v>
      </c>
      <c r="E43" s="70" t="s">
        <v>746</v>
      </c>
      <c r="F43" s="70" t="s">
        <v>806</v>
      </c>
      <c r="G43" s="70" t="s">
        <v>289</v>
      </c>
      <c r="H43" s="47"/>
      <c r="I43" s="70" t="s">
        <v>20</v>
      </c>
      <c r="J43" s="70" t="s">
        <v>719</v>
      </c>
      <c r="K43" s="70" t="s">
        <v>807</v>
      </c>
      <c r="L43" s="70" t="s">
        <v>20</v>
      </c>
      <c r="M43" s="70" t="s">
        <v>719</v>
      </c>
      <c r="N43" s="70" t="s">
        <v>805</v>
      </c>
      <c r="O43" s="70" t="s">
        <v>264</v>
      </c>
      <c r="P43" s="70"/>
      <c r="Q43" s="70"/>
      <c r="R43" s="70"/>
      <c r="S43" s="47"/>
      <c r="T43" s="75" t="s">
        <v>97</v>
      </c>
      <c r="U43" s="69">
        <v>44827</v>
      </c>
      <c r="V43" s="68"/>
      <c r="W43" s="47"/>
      <c r="X43" s="75" t="s">
        <v>149</v>
      </c>
      <c r="Y43" s="135">
        <v>45050</v>
      </c>
      <c r="Z43" s="68"/>
      <c r="AA43" s="47"/>
      <c r="AB43" s="68"/>
      <c r="AC43" s="68"/>
      <c r="AD43" s="68"/>
      <c r="AE43" s="68"/>
    </row>
    <row r="44" spans="2:31" x14ac:dyDescent="0.25">
      <c r="B44" s="70" t="s">
        <v>47</v>
      </c>
      <c r="C44" s="70">
        <v>32</v>
      </c>
      <c r="D44" s="70" t="s">
        <v>808</v>
      </c>
      <c r="E44" s="70" t="s">
        <v>746</v>
      </c>
      <c r="F44" s="70" t="s">
        <v>809</v>
      </c>
      <c r="G44" s="70"/>
      <c r="H44" s="47"/>
      <c r="I44" s="70" t="s">
        <v>20</v>
      </c>
      <c r="J44" s="70" t="s">
        <v>719</v>
      </c>
      <c r="K44" s="70" t="s">
        <v>810</v>
      </c>
      <c r="L44" s="70" t="s">
        <v>20</v>
      </c>
      <c r="M44" s="70" t="s">
        <v>719</v>
      </c>
      <c r="N44" s="70" t="s">
        <v>808</v>
      </c>
      <c r="O44" s="70" t="s">
        <v>264</v>
      </c>
      <c r="P44" s="70"/>
      <c r="Q44" s="70"/>
      <c r="R44" s="70"/>
      <c r="S44" s="47"/>
      <c r="T44" s="75" t="s">
        <v>97</v>
      </c>
      <c r="U44" s="69">
        <v>44827</v>
      </c>
      <c r="V44" s="68"/>
      <c r="W44" s="47"/>
      <c r="X44" s="75" t="s">
        <v>149</v>
      </c>
      <c r="Y44" s="135">
        <v>45050</v>
      </c>
      <c r="Z44" s="68"/>
      <c r="AA44" s="47"/>
      <c r="AB44" s="68"/>
      <c r="AC44" s="68"/>
      <c r="AD44" s="68"/>
      <c r="AE44" s="68"/>
    </row>
    <row r="45" spans="2:31" x14ac:dyDescent="0.25">
      <c r="B45" s="70" t="s">
        <v>47</v>
      </c>
      <c r="C45" s="70">
        <v>33</v>
      </c>
      <c r="D45" s="70" t="s">
        <v>811</v>
      </c>
      <c r="E45" s="70" t="s">
        <v>746</v>
      </c>
      <c r="F45" s="70" t="s">
        <v>812</v>
      </c>
      <c r="G45" s="70"/>
      <c r="H45" s="47"/>
      <c r="I45" s="70" t="s">
        <v>20</v>
      </c>
      <c r="J45" s="70" t="s">
        <v>719</v>
      </c>
      <c r="K45" s="70" t="s">
        <v>813</v>
      </c>
      <c r="L45" s="70" t="s">
        <v>20</v>
      </c>
      <c r="M45" s="70" t="s">
        <v>719</v>
      </c>
      <c r="N45" s="70" t="s">
        <v>811</v>
      </c>
      <c r="O45" s="70" t="s">
        <v>264</v>
      </c>
      <c r="P45" s="70"/>
      <c r="Q45" s="70"/>
      <c r="R45" s="70"/>
      <c r="S45" s="47"/>
      <c r="T45" s="75" t="s">
        <v>97</v>
      </c>
      <c r="U45" s="69">
        <v>44827</v>
      </c>
      <c r="V45" s="68"/>
      <c r="W45" s="47"/>
      <c r="X45" s="75" t="s">
        <v>149</v>
      </c>
      <c r="Y45" s="135">
        <v>45050</v>
      </c>
      <c r="Z45" s="68"/>
      <c r="AA45" s="47"/>
      <c r="AB45" s="68"/>
      <c r="AC45" s="68"/>
      <c r="AD45" s="68"/>
      <c r="AE45" s="68"/>
    </row>
    <row r="46" spans="2:31" x14ac:dyDescent="0.25">
      <c r="B46" s="70" t="s">
        <v>47</v>
      </c>
      <c r="C46" s="70">
        <v>34</v>
      </c>
      <c r="D46" s="70" t="s">
        <v>814</v>
      </c>
      <c r="E46" s="70" t="s">
        <v>746</v>
      </c>
      <c r="F46" s="70" t="s">
        <v>815</v>
      </c>
      <c r="G46" s="70"/>
      <c r="H46" s="47"/>
      <c r="I46" s="70"/>
      <c r="J46" s="70"/>
      <c r="K46" s="70"/>
      <c r="L46" s="70" t="s">
        <v>20</v>
      </c>
      <c r="M46" s="70" t="s">
        <v>719</v>
      </c>
      <c r="N46" s="70" t="s">
        <v>814</v>
      </c>
      <c r="O46" s="70"/>
      <c r="P46" s="70"/>
      <c r="Q46" s="70"/>
      <c r="R46" s="70"/>
      <c r="S46" s="47"/>
      <c r="T46" s="75" t="s">
        <v>97</v>
      </c>
      <c r="U46" s="69">
        <v>45050</v>
      </c>
      <c r="V46" s="68"/>
      <c r="W46" s="47"/>
      <c r="X46" s="75" t="s">
        <v>149</v>
      </c>
      <c r="Y46" s="135">
        <v>45175</v>
      </c>
      <c r="Z46" s="68"/>
      <c r="AA46" s="47"/>
      <c r="AB46" s="68"/>
      <c r="AC46" s="68"/>
      <c r="AD46" s="68"/>
      <c r="AE46" s="68"/>
    </row>
    <row r="47" spans="2:31" ht="37.5" customHeight="1" x14ac:dyDescent="0.25">
      <c r="B47" s="70" t="s">
        <v>47</v>
      </c>
      <c r="C47" s="70">
        <v>35</v>
      </c>
      <c r="D47" s="70" t="s">
        <v>816</v>
      </c>
      <c r="E47" s="70" t="s">
        <v>746</v>
      </c>
      <c r="F47" s="70" t="s">
        <v>817</v>
      </c>
      <c r="G47" s="70"/>
      <c r="H47" s="47"/>
      <c r="I47" s="70" t="s">
        <v>20</v>
      </c>
      <c r="J47" s="70" t="s">
        <v>719</v>
      </c>
      <c r="K47" s="70" t="s">
        <v>818</v>
      </c>
      <c r="L47" s="70" t="s">
        <v>20</v>
      </c>
      <c r="M47" s="70" t="s">
        <v>719</v>
      </c>
      <c r="N47" s="70" t="s">
        <v>816</v>
      </c>
      <c r="O47" s="70" t="s">
        <v>264</v>
      </c>
      <c r="P47" s="70"/>
      <c r="Q47" s="70"/>
      <c r="R47" s="70"/>
      <c r="S47" s="47"/>
      <c r="T47" s="75" t="s">
        <v>97</v>
      </c>
      <c r="U47" s="69">
        <v>44827</v>
      </c>
      <c r="V47" s="68"/>
      <c r="W47" s="47"/>
      <c r="X47" s="75" t="s">
        <v>149</v>
      </c>
      <c r="Y47" s="135">
        <v>45050</v>
      </c>
      <c r="Z47" s="68"/>
      <c r="AA47" s="47"/>
      <c r="AB47" s="68"/>
      <c r="AC47" s="68"/>
      <c r="AD47" s="68"/>
      <c r="AE47" s="68"/>
    </row>
    <row r="48" spans="2:31" x14ac:dyDescent="0.25">
      <c r="B48" s="70" t="s">
        <v>47</v>
      </c>
      <c r="C48" s="70">
        <v>36</v>
      </c>
      <c r="D48" s="70" t="s">
        <v>819</v>
      </c>
      <c r="E48" s="70" t="s">
        <v>746</v>
      </c>
      <c r="F48" s="70" t="s">
        <v>820</v>
      </c>
      <c r="G48" s="70"/>
      <c r="H48" s="47"/>
      <c r="I48" s="70" t="s">
        <v>20</v>
      </c>
      <c r="J48" s="70" t="s">
        <v>719</v>
      </c>
      <c r="K48" s="70" t="s">
        <v>821</v>
      </c>
      <c r="L48" s="70" t="s">
        <v>20</v>
      </c>
      <c r="M48" s="70" t="s">
        <v>719</v>
      </c>
      <c r="N48" s="70" t="s">
        <v>819</v>
      </c>
      <c r="O48" s="70" t="s">
        <v>264</v>
      </c>
      <c r="P48" s="70"/>
      <c r="Q48" s="70"/>
      <c r="R48" s="70"/>
      <c r="S48" s="47"/>
      <c r="T48" s="75" t="s">
        <v>97</v>
      </c>
      <c r="U48" s="69">
        <v>44827</v>
      </c>
      <c r="V48" s="68"/>
      <c r="W48" s="47"/>
      <c r="X48" s="75" t="s">
        <v>149</v>
      </c>
      <c r="Y48" s="135">
        <v>45050</v>
      </c>
      <c r="Z48" s="68"/>
      <c r="AA48" s="47"/>
      <c r="AB48" s="68"/>
      <c r="AC48" s="68"/>
      <c r="AD48" s="68"/>
      <c r="AE48" s="68"/>
    </row>
    <row r="49" spans="2:31" x14ac:dyDescent="0.25">
      <c r="B49" s="70" t="s">
        <v>47</v>
      </c>
      <c r="C49" s="70">
        <v>37</v>
      </c>
      <c r="D49" s="70" t="s">
        <v>822</v>
      </c>
      <c r="E49" s="70" t="s">
        <v>746</v>
      </c>
      <c r="F49" s="70" t="s">
        <v>823</v>
      </c>
      <c r="G49" s="70"/>
      <c r="H49" s="47"/>
      <c r="I49" s="70" t="s">
        <v>20</v>
      </c>
      <c r="J49" s="70" t="s">
        <v>719</v>
      </c>
      <c r="K49" s="70" t="s">
        <v>824</v>
      </c>
      <c r="L49" s="70" t="s">
        <v>20</v>
      </c>
      <c r="M49" s="70" t="s">
        <v>719</v>
      </c>
      <c r="N49" s="70" t="s">
        <v>822</v>
      </c>
      <c r="O49" s="70" t="s">
        <v>264</v>
      </c>
      <c r="P49" s="70"/>
      <c r="Q49" s="70"/>
      <c r="R49" s="70"/>
      <c r="S49" s="47"/>
      <c r="T49" s="75" t="s">
        <v>97</v>
      </c>
      <c r="U49" s="69">
        <v>44827</v>
      </c>
      <c r="V49" s="68"/>
      <c r="W49" s="47"/>
      <c r="X49" s="75" t="s">
        <v>149</v>
      </c>
      <c r="Y49" s="135">
        <v>45050</v>
      </c>
      <c r="Z49" s="68"/>
      <c r="AA49" s="47"/>
      <c r="AB49" s="68"/>
      <c r="AC49" s="68"/>
      <c r="AD49" s="68"/>
      <c r="AE49" s="68"/>
    </row>
    <row r="50" spans="2:31" x14ac:dyDescent="0.25">
      <c r="B50" s="70" t="s">
        <v>47</v>
      </c>
      <c r="C50" s="70">
        <v>38</v>
      </c>
      <c r="D50" s="70" t="s">
        <v>825</v>
      </c>
      <c r="E50" s="70" t="s">
        <v>746</v>
      </c>
      <c r="F50" s="70" t="s">
        <v>826</v>
      </c>
      <c r="G50" s="70"/>
      <c r="H50" s="47"/>
      <c r="I50" s="70" t="s">
        <v>20</v>
      </c>
      <c r="J50" s="70" t="s">
        <v>719</v>
      </c>
      <c r="K50" s="70" t="s">
        <v>827</v>
      </c>
      <c r="L50" s="70" t="s">
        <v>20</v>
      </c>
      <c r="M50" s="70" t="s">
        <v>719</v>
      </c>
      <c r="N50" s="70" t="s">
        <v>825</v>
      </c>
      <c r="O50" s="70" t="s">
        <v>264</v>
      </c>
      <c r="P50" s="70"/>
      <c r="Q50" s="70"/>
      <c r="R50" s="70"/>
      <c r="S50" s="47"/>
      <c r="T50" s="75" t="s">
        <v>97</v>
      </c>
      <c r="U50" s="69">
        <v>44827</v>
      </c>
      <c r="V50" s="68"/>
      <c r="W50" s="47"/>
      <c r="X50" s="75" t="s">
        <v>149</v>
      </c>
      <c r="Y50" s="135">
        <v>45050</v>
      </c>
      <c r="Z50" s="68"/>
      <c r="AA50" s="47"/>
      <c r="AB50" s="68"/>
      <c r="AC50" s="68"/>
      <c r="AD50" s="68"/>
      <c r="AE50" s="68"/>
    </row>
    <row r="51" spans="2:31" x14ac:dyDescent="0.25">
      <c r="B51" s="70" t="s">
        <v>47</v>
      </c>
      <c r="C51" s="70">
        <v>39</v>
      </c>
      <c r="D51" s="70" t="s">
        <v>828</v>
      </c>
      <c r="E51" s="70" t="s">
        <v>746</v>
      </c>
      <c r="F51" s="70" t="s">
        <v>829</v>
      </c>
      <c r="G51" s="70"/>
      <c r="H51" s="47"/>
      <c r="I51" s="70" t="s">
        <v>20</v>
      </c>
      <c r="J51" s="70" t="s">
        <v>719</v>
      </c>
      <c r="K51" s="70" t="s">
        <v>830</v>
      </c>
      <c r="L51" s="70" t="s">
        <v>20</v>
      </c>
      <c r="M51" s="70" t="s">
        <v>719</v>
      </c>
      <c r="N51" s="70" t="s">
        <v>828</v>
      </c>
      <c r="O51" s="70" t="s">
        <v>264</v>
      </c>
      <c r="P51" s="70"/>
      <c r="Q51" s="70"/>
      <c r="R51" s="70"/>
      <c r="S51" s="47"/>
      <c r="T51" s="75" t="s">
        <v>97</v>
      </c>
      <c r="U51" s="69">
        <v>44827</v>
      </c>
      <c r="V51" s="68"/>
      <c r="W51" s="47"/>
      <c r="X51" s="75" t="s">
        <v>149</v>
      </c>
      <c r="Y51" s="135">
        <v>45050</v>
      </c>
      <c r="Z51" s="68"/>
      <c r="AA51" s="47"/>
      <c r="AB51" s="68"/>
      <c r="AC51" s="68"/>
      <c r="AD51" s="68"/>
      <c r="AE51" s="68"/>
    </row>
    <row r="52" spans="2:31" ht="60" x14ac:dyDescent="0.25">
      <c r="B52" s="70" t="s">
        <v>47</v>
      </c>
      <c r="C52" s="70">
        <v>40</v>
      </c>
      <c r="D52" s="70" t="s">
        <v>831</v>
      </c>
      <c r="E52" s="70" t="s">
        <v>746</v>
      </c>
      <c r="F52" s="70" t="s">
        <v>832</v>
      </c>
      <c r="G52" s="70" t="s">
        <v>289</v>
      </c>
      <c r="H52" s="47"/>
      <c r="I52" s="70" t="s">
        <v>20</v>
      </c>
      <c r="J52" s="70" t="s">
        <v>719</v>
      </c>
      <c r="K52" s="70" t="s">
        <v>833</v>
      </c>
      <c r="L52" s="70" t="s">
        <v>20</v>
      </c>
      <c r="M52" s="70" t="s">
        <v>719</v>
      </c>
      <c r="N52" s="70" t="s">
        <v>831</v>
      </c>
      <c r="O52" s="70" t="s">
        <v>264</v>
      </c>
      <c r="P52" s="70"/>
      <c r="Q52" s="70"/>
      <c r="R52" s="70"/>
      <c r="S52" s="47"/>
      <c r="T52" s="75" t="s">
        <v>97</v>
      </c>
      <c r="U52" s="69">
        <v>44847</v>
      </c>
      <c r="V52" s="70"/>
      <c r="W52" s="47"/>
      <c r="X52" s="75" t="s">
        <v>149</v>
      </c>
      <c r="Y52" s="135">
        <v>45050</v>
      </c>
      <c r="Z52" s="68"/>
      <c r="AA52" s="47"/>
      <c r="AB52" s="68"/>
      <c r="AC52" s="68"/>
      <c r="AD52" s="68"/>
      <c r="AE52" s="68"/>
    </row>
    <row r="53" spans="2:31" x14ac:dyDescent="0.25">
      <c r="B53" s="70" t="s">
        <v>47</v>
      </c>
      <c r="C53" s="70">
        <v>41</v>
      </c>
      <c r="D53" s="70" t="s">
        <v>834</v>
      </c>
      <c r="E53" s="70" t="s">
        <v>746</v>
      </c>
      <c r="F53" s="70" t="s">
        <v>835</v>
      </c>
      <c r="G53" s="70"/>
      <c r="H53" s="47"/>
      <c r="I53" s="70" t="s">
        <v>20</v>
      </c>
      <c r="J53" s="70" t="s">
        <v>719</v>
      </c>
      <c r="K53" s="70" t="s">
        <v>836</v>
      </c>
      <c r="L53" s="70" t="s">
        <v>20</v>
      </c>
      <c r="M53" s="70" t="s">
        <v>719</v>
      </c>
      <c r="N53" s="70" t="s">
        <v>834</v>
      </c>
      <c r="O53" s="70" t="s">
        <v>264</v>
      </c>
      <c r="P53" s="70"/>
      <c r="Q53" s="70"/>
      <c r="R53" s="70"/>
      <c r="S53" s="47"/>
      <c r="T53" s="75" t="s">
        <v>97</v>
      </c>
      <c r="U53" s="69">
        <v>44827</v>
      </c>
      <c r="V53" s="68"/>
      <c r="W53" s="47"/>
      <c r="X53" s="75" t="s">
        <v>149</v>
      </c>
      <c r="Y53" s="135">
        <v>45050</v>
      </c>
      <c r="Z53" s="68"/>
      <c r="AA53" s="47"/>
      <c r="AB53" s="68"/>
      <c r="AC53" s="68"/>
      <c r="AD53" s="68"/>
      <c r="AE53" s="68"/>
    </row>
    <row r="54" spans="2:31" x14ac:dyDescent="0.25">
      <c r="B54" s="70" t="s">
        <v>47</v>
      </c>
      <c r="C54" s="70">
        <v>42</v>
      </c>
      <c r="D54" s="70" t="s">
        <v>837</v>
      </c>
      <c r="E54" s="70" t="s">
        <v>746</v>
      </c>
      <c r="F54" s="70" t="s">
        <v>838</v>
      </c>
      <c r="G54" s="70"/>
      <c r="H54" s="47"/>
      <c r="I54" s="70" t="s">
        <v>20</v>
      </c>
      <c r="J54" s="70" t="s">
        <v>719</v>
      </c>
      <c r="K54" s="70" t="s">
        <v>839</v>
      </c>
      <c r="L54" s="70" t="s">
        <v>20</v>
      </c>
      <c r="M54" s="70" t="s">
        <v>719</v>
      </c>
      <c r="N54" s="70" t="s">
        <v>837</v>
      </c>
      <c r="O54" s="70" t="s">
        <v>264</v>
      </c>
      <c r="P54" s="70"/>
      <c r="Q54" s="70"/>
      <c r="R54" s="70"/>
      <c r="S54" s="47"/>
      <c r="T54" s="75" t="s">
        <v>97</v>
      </c>
      <c r="U54" s="69">
        <v>44827</v>
      </c>
      <c r="V54" s="68"/>
      <c r="W54" s="47"/>
      <c r="X54" s="75" t="s">
        <v>149</v>
      </c>
      <c r="Y54" s="135">
        <v>45050</v>
      </c>
      <c r="Z54" s="68"/>
      <c r="AA54" s="47"/>
      <c r="AB54" s="68"/>
      <c r="AC54" s="68"/>
      <c r="AD54" s="68"/>
      <c r="AE54" s="68"/>
    </row>
    <row r="55" spans="2:31" x14ac:dyDescent="0.25">
      <c r="B55" s="70" t="s">
        <v>47</v>
      </c>
      <c r="C55" s="70">
        <v>43</v>
      </c>
      <c r="D55" s="70" t="s">
        <v>840</v>
      </c>
      <c r="E55" s="70" t="s">
        <v>746</v>
      </c>
      <c r="F55" s="70" t="s">
        <v>841</v>
      </c>
      <c r="G55" s="70"/>
      <c r="H55" s="47"/>
      <c r="I55" s="70" t="s">
        <v>20</v>
      </c>
      <c r="J55" s="70" t="s">
        <v>719</v>
      </c>
      <c r="K55" s="70" t="s">
        <v>842</v>
      </c>
      <c r="L55" s="70" t="s">
        <v>20</v>
      </c>
      <c r="M55" s="70" t="s">
        <v>719</v>
      </c>
      <c r="N55" s="70" t="s">
        <v>840</v>
      </c>
      <c r="O55" s="70" t="s">
        <v>264</v>
      </c>
      <c r="P55" s="70"/>
      <c r="Q55" s="70"/>
      <c r="R55" s="70"/>
      <c r="S55" s="47"/>
      <c r="T55" s="75" t="s">
        <v>97</v>
      </c>
      <c r="U55" s="69">
        <v>44827</v>
      </c>
      <c r="V55" s="68"/>
      <c r="W55" s="47"/>
      <c r="X55" s="75" t="s">
        <v>149</v>
      </c>
      <c r="Y55" s="135">
        <v>45050</v>
      </c>
      <c r="Z55" s="68"/>
      <c r="AA55" s="47"/>
      <c r="AB55" s="68"/>
      <c r="AC55" s="68"/>
      <c r="AD55" s="68"/>
      <c r="AE55" s="68"/>
    </row>
    <row r="56" spans="2:31" ht="15" customHeight="1" x14ac:dyDescent="0.25">
      <c r="B56" s="70" t="s">
        <v>47</v>
      </c>
      <c r="C56" s="70">
        <v>44</v>
      </c>
      <c r="D56" s="70" t="s">
        <v>843</v>
      </c>
      <c r="E56" s="70" t="s">
        <v>746</v>
      </c>
      <c r="F56" s="70" t="s">
        <v>844</v>
      </c>
      <c r="G56" s="70"/>
      <c r="H56" s="47"/>
      <c r="I56" s="70" t="s">
        <v>20</v>
      </c>
      <c r="J56" s="70" t="s">
        <v>719</v>
      </c>
      <c r="K56" s="70" t="s">
        <v>845</v>
      </c>
      <c r="L56" s="70" t="s">
        <v>20</v>
      </c>
      <c r="M56" s="70" t="s">
        <v>719</v>
      </c>
      <c r="N56" s="70" t="s">
        <v>843</v>
      </c>
      <c r="O56" s="70" t="s">
        <v>264</v>
      </c>
      <c r="P56" s="70"/>
      <c r="Q56" s="70"/>
      <c r="R56" s="70"/>
      <c r="S56" s="47"/>
      <c r="T56" s="75" t="s">
        <v>97</v>
      </c>
      <c r="U56" s="69">
        <v>44827</v>
      </c>
      <c r="V56" s="68"/>
      <c r="W56" s="47"/>
      <c r="X56" s="75" t="s">
        <v>149</v>
      </c>
      <c r="Y56" s="135">
        <v>45050</v>
      </c>
      <c r="Z56" s="68"/>
      <c r="AA56" s="47"/>
      <c r="AB56" s="68"/>
      <c r="AC56" s="68"/>
      <c r="AD56" s="68"/>
      <c r="AE56" s="68"/>
    </row>
    <row r="57" spans="2:31" x14ac:dyDescent="0.25">
      <c r="B57" s="70" t="s">
        <v>47</v>
      </c>
      <c r="C57" s="70">
        <v>45</v>
      </c>
      <c r="D57" s="70" t="s">
        <v>846</v>
      </c>
      <c r="E57" s="70" t="s">
        <v>746</v>
      </c>
      <c r="F57" s="70" t="s">
        <v>847</v>
      </c>
      <c r="G57" s="70"/>
      <c r="H57" s="47"/>
      <c r="I57" s="70" t="s">
        <v>20</v>
      </c>
      <c r="J57" s="70" t="s">
        <v>719</v>
      </c>
      <c r="K57" s="70" t="s">
        <v>848</v>
      </c>
      <c r="L57" s="70" t="s">
        <v>20</v>
      </c>
      <c r="M57" s="70" t="s">
        <v>719</v>
      </c>
      <c r="N57" s="70" t="s">
        <v>846</v>
      </c>
      <c r="O57" s="70" t="s">
        <v>264</v>
      </c>
      <c r="P57" s="70"/>
      <c r="Q57" s="70"/>
      <c r="R57" s="70"/>
      <c r="S57" s="47"/>
      <c r="T57" s="75" t="s">
        <v>97</v>
      </c>
      <c r="U57" s="69">
        <v>44827</v>
      </c>
      <c r="V57" s="68"/>
      <c r="W57" s="47"/>
      <c r="X57" s="75" t="s">
        <v>149</v>
      </c>
      <c r="Y57" s="135">
        <v>45050</v>
      </c>
      <c r="Z57" s="68"/>
      <c r="AA57" s="47"/>
      <c r="AB57" s="68"/>
      <c r="AC57" s="68"/>
      <c r="AD57" s="68"/>
      <c r="AE57" s="68"/>
    </row>
    <row r="58" spans="2:31" x14ac:dyDescent="0.25">
      <c r="B58" s="70" t="s">
        <v>47</v>
      </c>
      <c r="C58" s="70">
        <v>46</v>
      </c>
      <c r="D58" s="70" t="s">
        <v>849</v>
      </c>
      <c r="E58" s="70" t="s">
        <v>746</v>
      </c>
      <c r="F58" s="70" t="s">
        <v>850</v>
      </c>
      <c r="G58" s="70"/>
      <c r="H58" s="47"/>
      <c r="I58" s="70" t="s">
        <v>20</v>
      </c>
      <c r="J58" s="70" t="s">
        <v>719</v>
      </c>
      <c r="K58" s="70" t="s">
        <v>851</v>
      </c>
      <c r="L58" s="70" t="s">
        <v>20</v>
      </c>
      <c r="M58" s="70" t="s">
        <v>719</v>
      </c>
      <c r="N58" s="70" t="s">
        <v>849</v>
      </c>
      <c r="O58" s="70" t="s">
        <v>264</v>
      </c>
      <c r="P58" s="70"/>
      <c r="Q58" s="70"/>
      <c r="R58" s="70"/>
      <c r="S58" s="47"/>
      <c r="T58" s="75" t="s">
        <v>97</v>
      </c>
      <c r="U58" s="69">
        <v>44827</v>
      </c>
      <c r="V58" s="68"/>
      <c r="W58" s="47"/>
      <c r="X58" s="75" t="s">
        <v>149</v>
      </c>
      <c r="Y58" s="135">
        <v>45050</v>
      </c>
      <c r="Z58" s="68"/>
      <c r="AA58" s="47"/>
      <c r="AB58" s="68"/>
      <c r="AC58" s="68"/>
      <c r="AD58" s="68"/>
      <c r="AE58" s="68"/>
    </row>
    <row r="59" spans="2:31" x14ac:dyDescent="0.25">
      <c r="B59" s="70" t="s">
        <v>47</v>
      </c>
      <c r="C59" s="70">
        <v>47</v>
      </c>
      <c r="D59" s="70" t="s">
        <v>852</v>
      </c>
      <c r="E59" s="70" t="s">
        <v>746</v>
      </c>
      <c r="F59" s="70" t="s">
        <v>853</v>
      </c>
      <c r="G59" s="70"/>
      <c r="H59" s="47"/>
      <c r="I59" s="70" t="s">
        <v>20</v>
      </c>
      <c r="J59" s="70" t="s">
        <v>719</v>
      </c>
      <c r="K59" s="70" t="s">
        <v>854</v>
      </c>
      <c r="L59" s="70" t="s">
        <v>20</v>
      </c>
      <c r="M59" s="70" t="s">
        <v>719</v>
      </c>
      <c r="N59" s="70" t="s">
        <v>852</v>
      </c>
      <c r="O59" s="70" t="s">
        <v>264</v>
      </c>
      <c r="P59" s="70"/>
      <c r="Q59" s="70"/>
      <c r="R59" s="70"/>
      <c r="S59" s="47"/>
      <c r="T59" s="75" t="s">
        <v>97</v>
      </c>
      <c r="U59" s="69">
        <v>44827</v>
      </c>
      <c r="V59" s="68"/>
      <c r="W59" s="47"/>
      <c r="X59" s="75" t="s">
        <v>149</v>
      </c>
      <c r="Y59" s="135">
        <v>45050</v>
      </c>
      <c r="Z59" s="68"/>
      <c r="AA59" s="47"/>
      <c r="AB59" s="68"/>
      <c r="AC59" s="68"/>
      <c r="AD59" s="68"/>
      <c r="AE59" s="68"/>
    </row>
    <row r="60" spans="2:31" ht="30" x14ac:dyDescent="0.25">
      <c r="B60" s="70" t="s">
        <v>47</v>
      </c>
      <c r="C60" s="70">
        <v>48</v>
      </c>
      <c r="D60" s="70" t="s">
        <v>855</v>
      </c>
      <c r="E60" s="70" t="s">
        <v>746</v>
      </c>
      <c r="F60" s="70" t="s">
        <v>856</v>
      </c>
      <c r="G60" s="70"/>
      <c r="H60" s="47"/>
      <c r="I60" s="70" t="s">
        <v>20</v>
      </c>
      <c r="J60" s="70" t="s">
        <v>719</v>
      </c>
      <c r="K60" s="70" t="s">
        <v>857</v>
      </c>
      <c r="L60" s="70" t="s">
        <v>20</v>
      </c>
      <c r="M60" s="70" t="s">
        <v>719</v>
      </c>
      <c r="N60" s="70" t="s">
        <v>855</v>
      </c>
      <c r="O60" s="70" t="s">
        <v>264</v>
      </c>
      <c r="P60" s="70"/>
      <c r="Q60" s="70"/>
      <c r="R60" s="70"/>
      <c r="S60" s="47"/>
      <c r="T60" s="75" t="s">
        <v>97</v>
      </c>
      <c r="U60" s="69">
        <v>44827</v>
      </c>
      <c r="V60" s="68"/>
      <c r="W60" s="47"/>
      <c r="X60" s="75" t="s">
        <v>149</v>
      </c>
      <c r="Y60" s="135">
        <v>45050</v>
      </c>
      <c r="Z60" s="68"/>
      <c r="AA60" s="47"/>
      <c r="AB60" s="68"/>
      <c r="AC60" s="68"/>
      <c r="AD60" s="68"/>
      <c r="AE60" s="68"/>
    </row>
    <row r="61" spans="2:31" x14ac:dyDescent="0.25">
      <c r="B61" s="70" t="s">
        <v>47</v>
      </c>
      <c r="C61" s="70">
        <v>49</v>
      </c>
      <c r="D61" s="70" t="s">
        <v>858</v>
      </c>
      <c r="E61" s="70" t="s">
        <v>746</v>
      </c>
      <c r="F61" s="70" t="s">
        <v>859</v>
      </c>
      <c r="G61" s="70"/>
      <c r="H61" s="47"/>
      <c r="I61" s="70" t="s">
        <v>20</v>
      </c>
      <c r="J61" s="70" t="s">
        <v>719</v>
      </c>
      <c r="K61" s="70" t="s">
        <v>860</v>
      </c>
      <c r="L61" s="70" t="s">
        <v>20</v>
      </c>
      <c r="M61" s="70" t="s">
        <v>719</v>
      </c>
      <c r="N61" s="70" t="s">
        <v>858</v>
      </c>
      <c r="O61" s="70" t="s">
        <v>264</v>
      </c>
      <c r="P61" s="70"/>
      <c r="Q61" s="70"/>
      <c r="R61" s="70"/>
      <c r="S61" s="47"/>
      <c r="T61" s="75" t="s">
        <v>97</v>
      </c>
      <c r="U61" s="69">
        <v>44827</v>
      </c>
      <c r="V61" s="68"/>
      <c r="W61" s="47"/>
      <c r="X61" s="75" t="s">
        <v>149</v>
      </c>
      <c r="Y61" s="135">
        <v>45050</v>
      </c>
      <c r="Z61" s="68"/>
      <c r="AA61" s="47"/>
      <c r="AB61" s="68"/>
      <c r="AC61" s="68"/>
      <c r="AD61" s="68"/>
      <c r="AE61" s="68"/>
    </row>
    <row r="62" spans="2:31" x14ac:dyDescent="0.25">
      <c r="B62" s="70" t="s">
        <v>47</v>
      </c>
      <c r="C62" s="70">
        <v>50</v>
      </c>
      <c r="D62" s="70" t="s">
        <v>861</v>
      </c>
      <c r="E62" s="70" t="s">
        <v>746</v>
      </c>
      <c r="F62" s="70" t="s">
        <v>862</v>
      </c>
      <c r="G62" s="70"/>
      <c r="H62" s="47"/>
      <c r="I62" s="70" t="s">
        <v>20</v>
      </c>
      <c r="J62" s="70" t="s">
        <v>719</v>
      </c>
      <c r="K62" s="70" t="s">
        <v>863</v>
      </c>
      <c r="L62" s="70" t="s">
        <v>20</v>
      </c>
      <c r="M62" s="70" t="s">
        <v>719</v>
      </c>
      <c r="N62" s="70" t="s">
        <v>861</v>
      </c>
      <c r="O62" s="70" t="s">
        <v>264</v>
      </c>
      <c r="P62" s="70"/>
      <c r="Q62" s="70"/>
      <c r="R62" s="70"/>
      <c r="S62" s="47"/>
      <c r="T62" s="75" t="s">
        <v>97</v>
      </c>
      <c r="U62" s="69">
        <v>44827</v>
      </c>
      <c r="V62" s="68"/>
      <c r="W62" s="47"/>
      <c r="X62" s="75" t="s">
        <v>149</v>
      </c>
      <c r="Y62" s="135">
        <v>45050</v>
      </c>
      <c r="Z62" s="68"/>
      <c r="AA62" s="47"/>
      <c r="AB62" s="68"/>
      <c r="AC62" s="68"/>
      <c r="AD62" s="68"/>
      <c r="AE62" s="68"/>
    </row>
    <row r="63" spans="2:31" x14ac:dyDescent="0.25">
      <c r="B63" s="70" t="s">
        <v>47</v>
      </c>
      <c r="C63" s="70">
        <v>51</v>
      </c>
      <c r="D63" s="70" t="s">
        <v>864</v>
      </c>
      <c r="E63" s="70" t="s">
        <v>746</v>
      </c>
      <c r="F63" s="70" t="s">
        <v>865</v>
      </c>
      <c r="G63" s="70"/>
      <c r="H63" s="47"/>
      <c r="I63" s="70" t="s">
        <v>20</v>
      </c>
      <c r="J63" s="70" t="s">
        <v>719</v>
      </c>
      <c r="K63" s="70" t="s">
        <v>866</v>
      </c>
      <c r="L63" s="70" t="s">
        <v>20</v>
      </c>
      <c r="M63" s="70" t="s">
        <v>719</v>
      </c>
      <c r="N63" s="70" t="s">
        <v>864</v>
      </c>
      <c r="O63" s="70" t="s">
        <v>264</v>
      </c>
      <c r="P63" s="70"/>
      <c r="Q63" s="70"/>
      <c r="R63" s="70"/>
      <c r="S63" s="47"/>
      <c r="T63" s="75" t="s">
        <v>97</v>
      </c>
      <c r="U63" s="69">
        <v>44827</v>
      </c>
      <c r="V63" s="68"/>
      <c r="W63" s="47"/>
      <c r="X63" s="75" t="s">
        <v>149</v>
      </c>
      <c r="Y63" s="135">
        <v>45050</v>
      </c>
      <c r="Z63" s="68"/>
      <c r="AA63" s="47"/>
      <c r="AB63" s="68"/>
      <c r="AC63" s="68"/>
      <c r="AD63" s="68"/>
      <c r="AE63" s="68"/>
    </row>
    <row r="64" spans="2:31" x14ac:dyDescent="0.25">
      <c r="B64" s="70" t="s">
        <v>47</v>
      </c>
      <c r="C64" s="70">
        <v>52</v>
      </c>
      <c r="D64" s="70" t="s">
        <v>867</v>
      </c>
      <c r="E64" s="70" t="s">
        <v>746</v>
      </c>
      <c r="F64" s="70" t="s">
        <v>868</v>
      </c>
      <c r="G64" s="70"/>
      <c r="H64" s="47"/>
      <c r="I64" s="70" t="s">
        <v>20</v>
      </c>
      <c r="J64" s="70" t="s">
        <v>719</v>
      </c>
      <c r="K64" s="70" t="s">
        <v>869</v>
      </c>
      <c r="L64" s="70" t="s">
        <v>20</v>
      </c>
      <c r="M64" s="70" t="s">
        <v>719</v>
      </c>
      <c r="N64" s="70" t="s">
        <v>867</v>
      </c>
      <c r="O64" s="70" t="s">
        <v>264</v>
      </c>
      <c r="P64" s="70"/>
      <c r="Q64" s="70"/>
      <c r="R64" s="70"/>
      <c r="S64" s="47"/>
      <c r="T64" s="75" t="s">
        <v>97</v>
      </c>
      <c r="U64" s="69">
        <v>44827</v>
      </c>
      <c r="V64" s="68"/>
      <c r="W64" s="47"/>
      <c r="X64" s="75" t="s">
        <v>149</v>
      </c>
      <c r="Y64" s="135">
        <v>45050</v>
      </c>
      <c r="Z64" s="68"/>
      <c r="AA64" s="47"/>
      <c r="AB64" s="68"/>
      <c r="AC64" s="68"/>
      <c r="AD64" s="68"/>
      <c r="AE64" s="68"/>
    </row>
    <row r="65" spans="2:31" x14ac:dyDescent="0.25">
      <c r="B65" s="70" t="s">
        <v>47</v>
      </c>
      <c r="C65" s="70">
        <v>53</v>
      </c>
      <c r="D65" s="70" t="s">
        <v>870</v>
      </c>
      <c r="E65" s="70" t="s">
        <v>746</v>
      </c>
      <c r="F65" s="70" t="s">
        <v>871</v>
      </c>
      <c r="G65" s="70"/>
      <c r="H65" s="47"/>
      <c r="I65" s="70" t="s">
        <v>20</v>
      </c>
      <c r="J65" s="70" t="s">
        <v>719</v>
      </c>
      <c r="K65" s="70" t="s">
        <v>872</v>
      </c>
      <c r="L65" s="70" t="s">
        <v>20</v>
      </c>
      <c r="M65" s="70" t="s">
        <v>719</v>
      </c>
      <c r="N65" s="70" t="s">
        <v>870</v>
      </c>
      <c r="O65" s="70" t="s">
        <v>264</v>
      </c>
      <c r="P65" s="70"/>
      <c r="Q65" s="70"/>
      <c r="R65" s="70"/>
      <c r="S65" s="47"/>
      <c r="T65" s="75" t="s">
        <v>97</v>
      </c>
      <c r="U65" s="69">
        <v>44827</v>
      </c>
      <c r="V65" s="68"/>
      <c r="W65" s="47"/>
      <c r="X65" s="75" t="s">
        <v>149</v>
      </c>
      <c r="Y65" s="135">
        <v>45050</v>
      </c>
      <c r="Z65" s="68"/>
      <c r="AA65" s="47"/>
      <c r="AB65" s="68"/>
      <c r="AC65" s="68"/>
      <c r="AD65" s="68"/>
      <c r="AE65" s="68"/>
    </row>
    <row r="66" spans="2:31" x14ac:dyDescent="0.25">
      <c r="B66" s="70" t="s">
        <v>47</v>
      </c>
      <c r="C66" s="70">
        <v>54</v>
      </c>
      <c r="D66" s="70" t="s">
        <v>873</v>
      </c>
      <c r="E66" s="70" t="s">
        <v>746</v>
      </c>
      <c r="F66" s="70" t="s">
        <v>874</v>
      </c>
      <c r="G66" s="70"/>
      <c r="H66" s="47"/>
      <c r="I66" s="70" t="s">
        <v>20</v>
      </c>
      <c r="J66" s="70" t="s">
        <v>719</v>
      </c>
      <c r="K66" s="70" t="s">
        <v>875</v>
      </c>
      <c r="L66" s="70" t="s">
        <v>20</v>
      </c>
      <c r="M66" s="70" t="s">
        <v>719</v>
      </c>
      <c r="N66" s="70" t="s">
        <v>873</v>
      </c>
      <c r="O66" s="70" t="s">
        <v>264</v>
      </c>
      <c r="P66" s="70"/>
      <c r="Q66" s="70"/>
      <c r="R66" s="70"/>
      <c r="S66" s="47"/>
      <c r="T66" s="75" t="s">
        <v>97</v>
      </c>
      <c r="U66" s="69">
        <v>44827</v>
      </c>
      <c r="V66" s="68"/>
      <c r="W66" s="47"/>
      <c r="X66" s="75" t="s">
        <v>149</v>
      </c>
      <c r="Y66" s="135">
        <v>45050</v>
      </c>
      <c r="Z66" s="68"/>
      <c r="AA66" s="47"/>
      <c r="AB66" s="68"/>
      <c r="AC66" s="68"/>
      <c r="AD66" s="68"/>
      <c r="AE66" s="68"/>
    </row>
    <row r="67" spans="2:31" x14ac:dyDescent="0.25">
      <c r="B67" s="70" t="s">
        <v>47</v>
      </c>
      <c r="C67" s="70">
        <v>55</v>
      </c>
      <c r="D67" s="70" t="s">
        <v>876</v>
      </c>
      <c r="E67" s="70" t="s">
        <v>746</v>
      </c>
      <c r="F67" s="70" t="s">
        <v>877</v>
      </c>
      <c r="G67" s="70"/>
      <c r="H67" s="47"/>
      <c r="I67" s="70" t="s">
        <v>20</v>
      </c>
      <c r="J67" s="70" t="s">
        <v>719</v>
      </c>
      <c r="K67" s="70" t="s">
        <v>878</v>
      </c>
      <c r="L67" s="70" t="s">
        <v>20</v>
      </c>
      <c r="M67" s="70" t="s">
        <v>719</v>
      </c>
      <c r="N67" s="70" t="s">
        <v>876</v>
      </c>
      <c r="O67" s="70" t="s">
        <v>264</v>
      </c>
      <c r="P67" s="70"/>
      <c r="Q67" s="70"/>
      <c r="R67" s="70"/>
      <c r="S67" s="47"/>
      <c r="T67" s="75" t="s">
        <v>97</v>
      </c>
      <c r="U67" s="69">
        <v>44827</v>
      </c>
      <c r="V67" s="68"/>
      <c r="W67" s="47"/>
      <c r="X67" s="75" t="s">
        <v>149</v>
      </c>
      <c r="Y67" s="135">
        <v>45050</v>
      </c>
      <c r="Z67" s="68"/>
      <c r="AA67" s="47"/>
      <c r="AB67" s="68"/>
      <c r="AC67" s="68"/>
      <c r="AD67" s="68"/>
      <c r="AE67" s="68"/>
    </row>
    <row r="68" spans="2:31" ht="30" x14ac:dyDescent="0.25">
      <c r="B68" s="70" t="s">
        <v>47</v>
      </c>
      <c r="C68" s="70">
        <v>56</v>
      </c>
      <c r="D68" s="70" t="s">
        <v>879</v>
      </c>
      <c r="E68" s="70" t="s">
        <v>746</v>
      </c>
      <c r="F68" s="70" t="s">
        <v>880</v>
      </c>
      <c r="G68" s="70"/>
      <c r="H68" s="47"/>
      <c r="I68" s="70" t="s">
        <v>20</v>
      </c>
      <c r="J68" s="70" t="s">
        <v>719</v>
      </c>
      <c r="K68" s="70" t="s">
        <v>881</v>
      </c>
      <c r="L68" s="70" t="s">
        <v>20</v>
      </c>
      <c r="M68" s="70" t="s">
        <v>719</v>
      </c>
      <c r="N68" s="70" t="s">
        <v>879</v>
      </c>
      <c r="O68" s="70" t="s">
        <v>264</v>
      </c>
      <c r="P68" s="70"/>
      <c r="Q68" s="70"/>
      <c r="R68" s="70"/>
      <c r="S68" s="47"/>
      <c r="T68" s="75" t="s">
        <v>97</v>
      </c>
      <c r="U68" s="69">
        <v>44827</v>
      </c>
      <c r="V68" s="68"/>
      <c r="W68" s="47"/>
      <c r="X68" s="75" t="s">
        <v>149</v>
      </c>
      <c r="Y68" s="135">
        <v>45050</v>
      </c>
      <c r="Z68" s="68"/>
      <c r="AA68" s="47"/>
      <c r="AB68" s="68"/>
      <c r="AC68" s="68"/>
      <c r="AD68" s="68"/>
      <c r="AE68" s="68"/>
    </row>
    <row r="69" spans="2:31" x14ac:dyDescent="0.25">
      <c r="B69" s="70" t="s">
        <v>47</v>
      </c>
      <c r="C69" s="70">
        <v>57</v>
      </c>
      <c r="D69" s="70" t="s">
        <v>882</v>
      </c>
      <c r="E69" s="70" t="s">
        <v>746</v>
      </c>
      <c r="F69" s="70" t="s">
        <v>883</v>
      </c>
      <c r="G69" s="70"/>
      <c r="H69" s="47"/>
      <c r="I69" s="70" t="s">
        <v>20</v>
      </c>
      <c r="J69" s="70" t="s">
        <v>719</v>
      </c>
      <c r="K69" s="70" t="s">
        <v>884</v>
      </c>
      <c r="L69" s="70" t="s">
        <v>20</v>
      </c>
      <c r="M69" s="70" t="s">
        <v>719</v>
      </c>
      <c r="N69" s="70" t="s">
        <v>882</v>
      </c>
      <c r="O69" s="70" t="s">
        <v>264</v>
      </c>
      <c r="P69" s="70"/>
      <c r="Q69" s="70"/>
      <c r="R69" s="70"/>
      <c r="S69" s="47"/>
      <c r="T69" s="75" t="s">
        <v>97</v>
      </c>
      <c r="U69" s="69">
        <v>44827</v>
      </c>
      <c r="V69" s="68"/>
      <c r="W69" s="47"/>
      <c r="X69" s="75" t="s">
        <v>149</v>
      </c>
      <c r="Y69" s="135">
        <v>45050</v>
      </c>
      <c r="Z69" s="68"/>
      <c r="AA69" s="47"/>
      <c r="AB69" s="68"/>
      <c r="AC69" s="68"/>
      <c r="AD69" s="68"/>
      <c r="AE69" s="68"/>
    </row>
    <row r="70" spans="2:31" ht="30" x14ac:dyDescent="0.25">
      <c r="B70" s="70" t="s">
        <v>47</v>
      </c>
      <c r="C70" s="70">
        <v>58</v>
      </c>
      <c r="D70" s="70" t="s">
        <v>885</v>
      </c>
      <c r="E70" s="70" t="s">
        <v>746</v>
      </c>
      <c r="F70" s="70" t="s">
        <v>886</v>
      </c>
      <c r="G70" s="70"/>
      <c r="H70" s="47"/>
      <c r="I70" s="70" t="s">
        <v>20</v>
      </c>
      <c r="J70" s="70" t="s">
        <v>719</v>
      </c>
      <c r="K70" s="70" t="s">
        <v>887</v>
      </c>
      <c r="L70" s="70" t="s">
        <v>20</v>
      </c>
      <c r="M70" s="70" t="s">
        <v>719</v>
      </c>
      <c r="N70" s="70" t="s">
        <v>885</v>
      </c>
      <c r="O70" s="70" t="s">
        <v>264</v>
      </c>
      <c r="P70" s="70"/>
      <c r="Q70" s="70"/>
      <c r="R70" s="70"/>
      <c r="S70" s="47"/>
      <c r="T70" s="75" t="s">
        <v>97</v>
      </c>
      <c r="U70" s="69">
        <v>44827</v>
      </c>
      <c r="V70" s="68"/>
      <c r="W70" s="47"/>
      <c r="X70" s="75" t="s">
        <v>149</v>
      </c>
      <c r="Y70" s="135">
        <v>45050</v>
      </c>
      <c r="Z70" s="68"/>
      <c r="AA70" s="47"/>
      <c r="AB70" s="68"/>
      <c r="AC70" s="68"/>
      <c r="AD70" s="68"/>
      <c r="AE70" s="68"/>
    </row>
    <row r="71" spans="2:31" x14ac:dyDescent="0.25">
      <c r="B71" s="70" t="s">
        <v>47</v>
      </c>
      <c r="C71" s="70">
        <v>59</v>
      </c>
      <c r="D71" s="70" t="s">
        <v>888</v>
      </c>
      <c r="E71" s="70" t="s">
        <v>746</v>
      </c>
      <c r="F71" s="70" t="s">
        <v>889</v>
      </c>
      <c r="G71" s="70"/>
      <c r="H71" s="47"/>
      <c r="I71" s="70" t="s">
        <v>20</v>
      </c>
      <c r="J71" s="70" t="s">
        <v>719</v>
      </c>
      <c r="K71" s="70" t="s">
        <v>890</v>
      </c>
      <c r="L71" s="70" t="s">
        <v>20</v>
      </c>
      <c r="M71" s="70" t="s">
        <v>719</v>
      </c>
      <c r="N71" s="70" t="s">
        <v>888</v>
      </c>
      <c r="O71" s="70" t="s">
        <v>264</v>
      </c>
      <c r="P71" s="70"/>
      <c r="Q71" s="70"/>
      <c r="R71" s="70"/>
      <c r="S71" s="47"/>
      <c r="T71" s="75" t="s">
        <v>97</v>
      </c>
      <c r="U71" s="69">
        <v>44827</v>
      </c>
      <c r="V71" s="68"/>
      <c r="W71" s="47"/>
      <c r="X71" s="75" t="s">
        <v>149</v>
      </c>
      <c r="Y71" s="135">
        <v>45050</v>
      </c>
      <c r="Z71" s="68"/>
      <c r="AA71" s="47"/>
      <c r="AB71" s="68"/>
      <c r="AC71" s="68"/>
      <c r="AD71" s="68"/>
      <c r="AE71" s="68"/>
    </row>
    <row r="72" spans="2:31" x14ac:dyDescent="0.25">
      <c r="B72" s="70" t="s">
        <v>47</v>
      </c>
      <c r="C72" s="70">
        <v>60</v>
      </c>
      <c r="D72" s="70" t="s">
        <v>891</v>
      </c>
      <c r="E72" s="70" t="s">
        <v>746</v>
      </c>
      <c r="F72" s="70" t="s">
        <v>892</v>
      </c>
      <c r="G72" s="70"/>
      <c r="H72" s="47"/>
      <c r="I72" s="70" t="s">
        <v>20</v>
      </c>
      <c r="J72" s="70" t="s">
        <v>719</v>
      </c>
      <c r="K72" s="70" t="s">
        <v>893</v>
      </c>
      <c r="L72" s="70" t="s">
        <v>20</v>
      </c>
      <c r="M72" s="70" t="s">
        <v>719</v>
      </c>
      <c r="N72" s="70" t="s">
        <v>891</v>
      </c>
      <c r="O72" s="70" t="s">
        <v>264</v>
      </c>
      <c r="P72" s="70"/>
      <c r="Q72" s="70"/>
      <c r="R72" s="70"/>
      <c r="S72" s="47"/>
      <c r="T72" s="75" t="s">
        <v>97</v>
      </c>
      <c r="U72" s="69">
        <v>44827</v>
      </c>
      <c r="V72" s="68"/>
      <c r="W72" s="47"/>
      <c r="X72" s="75" t="s">
        <v>149</v>
      </c>
      <c r="Y72" s="135">
        <v>45050</v>
      </c>
      <c r="Z72" s="68"/>
      <c r="AA72" s="47"/>
      <c r="AB72" s="68"/>
      <c r="AC72" s="68"/>
      <c r="AD72" s="68"/>
      <c r="AE72" s="68"/>
    </row>
    <row r="73" spans="2:31" x14ac:dyDescent="0.25">
      <c r="B73" s="70" t="s">
        <v>47</v>
      </c>
      <c r="C73" s="70">
        <v>61</v>
      </c>
      <c r="D73" s="70" t="s">
        <v>894</v>
      </c>
      <c r="E73" s="70" t="s">
        <v>746</v>
      </c>
      <c r="F73" s="70" t="s">
        <v>895</v>
      </c>
      <c r="G73" s="70"/>
      <c r="H73" s="47"/>
      <c r="I73" s="70" t="s">
        <v>20</v>
      </c>
      <c r="J73" s="70" t="s">
        <v>719</v>
      </c>
      <c r="K73" s="70" t="s">
        <v>896</v>
      </c>
      <c r="L73" s="70" t="s">
        <v>20</v>
      </c>
      <c r="M73" s="70" t="s">
        <v>719</v>
      </c>
      <c r="N73" s="70" t="s">
        <v>894</v>
      </c>
      <c r="O73" s="70" t="s">
        <v>264</v>
      </c>
      <c r="P73" s="70"/>
      <c r="Q73" s="70"/>
      <c r="R73" s="70"/>
      <c r="S73" s="47"/>
      <c r="T73" s="75" t="s">
        <v>97</v>
      </c>
      <c r="U73" s="69">
        <v>44827</v>
      </c>
      <c r="V73" s="68"/>
      <c r="W73" s="47"/>
      <c r="X73" s="75" t="s">
        <v>149</v>
      </c>
      <c r="Y73" s="135">
        <v>45050</v>
      </c>
      <c r="Z73" s="68"/>
      <c r="AA73" s="47"/>
      <c r="AB73" s="68"/>
      <c r="AC73" s="68"/>
      <c r="AD73" s="68"/>
      <c r="AE73" s="68"/>
    </row>
    <row r="74" spans="2:31" x14ac:dyDescent="0.25">
      <c r="B74" s="70" t="s">
        <v>47</v>
      </c>
      <c r="C74" s="70">
        <v>62</v>
      </c>
      <c r="D74" s="70" t="s">
        <v>897</v>
      </c>
      <c r="E74" s="70" t="s">
        <v>746</v>
      </c>
      <c r="F74" s="70" t="s">
        <v>898</v>
      </c>
      <c r="G74" s="70"/>
      <c r="H74" s="47"/>
      <c r="I74" s="70" t="s">
        <v>20</v>
      </c>
      <c r="J74" s="70" t="s">
        <v>719</v>
      </c>
      <c r="K74" s="70" t="s">
        <v>899</v>
      </c>
      <c r="L74" s="70" t="s">
        <v>20</v>
      </c>
      <c r="M74" s="70" t="s">
        <v>719</v>
      </c>
      <c r="N74" s="70" t="s">
        <v>897</v>
      </c>
      <c r="O74" s="70" t="s">
        <v>264</v>
      </c>
      <c r="P74" s="70"/>
      <c r="Q74" s="70"/>
      <c r="R74" s="70"/>
      <c r="S74" s="47"/>
      <c r="T74" s="75" t="s">
        <v>97</v>
      </c>
      <c r="U74" s="69">
        <v>44827</v>
      </c>
      <c r="V74" s="68"/>
      <c r="W74" s="47"/>
      <c r="X74" s="75" t="s">
        <v>149</v>
      </c>
      <c r="Y74" s="135">
        <v>45050</v>
      </c>
      <c r="Z74" s="68"/>
      <c r="AA74" s="47"/>
      <c r="AB74" s="68"/>
      <c r="AC74" s="68"/>
      <c r="AD74" s="68"/>
      <c r="AE74" s="68"/>
    </row>
    <row r="75" spans="2:31" x14ac:dyDescent="0.25">
      <c r="B75" s="70" t="s">
        <v>47</v>
      </c>
      <c r="C75" s="70">
        <v>63</v>
      </c>
      <c r="D75" s="70" t="s">
        <v>900</v>
      </c>
      <c r="E75" s="70" t="s">
        <v>746</v>
      </c>
      <c r="F75" s="70" t="s">
        <v>901</v>
      </c>
      <c r="G75" s="70"/>
      <c r="H75" s="47"/>
      <c r="I75" s="70" t="s">
        <v>20</v>
      </c>
      <c r="J75" s="70" t="s">
        <v>719</v>
      </c>
      <c r="K75" s="70" t="s">
        <v>902</v>
      </c>
      <c r="L75" s="70" t="s">
        <v>20</v>
      </c>
      <c r="M75" s="70" t="s">
        <v>719</v>
      </c>
      <c r="N75" s="70" t="s">
        <v>900</v>
      </c>
      <c r="O75" s="70" t="s">
        <v>264</v>
      </c>
      <c r="P75" s="70"/>
      <c r="Q75" s="70"/>
      <c r="R75" s="70"/>
      <c r="S75" s="47"/>
      <c r="T75" s="75" t="s">
        <v>97</v>
      </c>
      <c r="U75" s="69">
        <v>44827</v>
      </c>
      <c r="V75" s="68"/>
      <c r="W75" s="47"/>
      <c r="X75" s="75" t="s">
        <v>149</v>
      </c>
      <c r="Y75" s="135">
        <v>45050</v>
      </c>
      <c r="Z75" s="68"/>
      <c r="AA75" s="47"/>
      <c r="AB75" s="68"/>
      <c r="AC75" s="68"/>
      <c r="AD75" s="68"/>
      <c r="AE75" s="68"/>
    </row>
    <row r="76" spans="2:31" x14ac:dyDescent="0.25">
      <c r="B76" s="70" t="s">
        <v>47</v>
      </c>
      <c r="C76" s="70">
        <v>64</v>
      </c>
      <c r="D76" s="70" t="s">
        <v>903</v>
      </c>
      <c r="E76" s="70" t="s">
        <v>746</v>
      </c>
      <c r="F76" s="70" t="s">
        <v>904</v>
      </c>
      <c r="G76" s="70"/>
      <c r="H76" s="47"/>
      <c r="I76" s="70" t="s">
        <v>20</v>
      </c>
      <c r="J76" s="70" t="s">
        <v>719</v>
      </c>
      <c r="K76" s="70" t="s">
        <v>905</v>
      </c>
      <c r="L76" s="70" t="s">
        <v>20</v>
      </c>
      <c r="M76" s="70" t="s">
        <v>719</v>
      </c>
      <c r="N76" s="70" t="s">
        <v>903</v>
      </c>
      <c r="O76" s="70" t="s">
        <v>264</v>
      </c>
      <c r="P76" s="70"/>
      <c r="Q76" s="70"/>
      <c r="R76" s="70"/>
      <c r="S76" s="47"/>
      <c r="T76" s="75" t="s">
        <v>97</v>
      </c>
      <c r="U76" s="69">
        <v>44827</v>
      </c>
      <c r="V76" s="68"/>
      <c r="W76" s="47"/>
      <c r="X76" s="75" t="s">
        <v>149</v>
      </c>
      <c r="Y76" s="135">
        <v>45050</v>
      </c>
      <c r="Z76" s="68"/>
      <c r="AA76" s="47"/>
      <c r="AB76" s="68"/>
      <c r="AC76" s="68"/>
      <c r="AD76" s="68"/>
      <c r="AE76" s="68"/>
    </row>
    <row r="77" spans="2:31" x14ac:dyDescent="0.25">
      <c r="B77" s="70" t="s">
        <v>47</v>
      </c>
      <c r="C77" s="70">
        <v>65</v>
      </c>
      <c r="D77" s="70" t="s">
        <v>906</v>
      </c>
      <c r="E77" s="70" t="s">
        <v>746</v>
      </c>
      <c r="F77" s="70" t="s">
        <v>907</v>
      </c>
      <c r="G77" s="70"/>
      <c r="H77" s="47"/>
      <c r="I77" s="70" t="s">
        <v>20</v>
      </c>
      <c r="J77" s="70" t="s">
        <v>719</v>
      </c>
      <c r="K77" s="70" t="s">
        <v>908</v>
      </c>
      <c r="L77" s="70" t="s">
        <v>20</v>
      </c>
      <c r="M77" s="70" t="s">
        <v>719</v>
      </c>
      <c r="N77" s="70" t="s">
        <v>906</v>
      </c>
      <c r="O77" s="70" t="s">
        <v>264</v>
      </c>
      <c r="P77" s="70"/>
      <c r="Q77" s="70"/>
      <c r="R77" s="70"/>
      <c r="S77" s="47"/>
      <c r="T77" s="75" t="s">
        <v>97</v>
      </c>
      <c r="U77" s="69">
        <v>44827</v>
      </c>
      <c r="V77" s="68"/>
      <c r="W77" s="47"/>
      <c r="X77" s="75" t="s">
        <v>149</v>
      </c>
      <c r="Y77" s="135">
        <v>45050</v>
      </c>
      <c r="Z77" s="68"/>
      <c r="AA77" s="47"/>
      <c r="AB77" s="68"/>
      <c r="AC77" s="68"/>
      <c r="AD77" s="68"/>
      <c r="AE77" s="68"/>
    </row>
    <row r="78" spans="2:31" x14ac:dyDescent="0.25">
      <c r="B78" s="70" t="s">
        <v>47</v>
      </c>
      <c r="C78" s="70">
        <v>66</v>
      </c>
      <c r="D78" s="70" t="s">
        <v>909</v>
      </c>
      <c r="E78" s="70" t="s">
        <v>746</v>
      </c>
      <c r="F78" s="70" t="s">
        <v>910</v>
      </c>
      <c r="G78" s="70"/>
      <c r="H78" s="47"/>
      <c r="I78" s="70" t="s">
        <v>20</v>
      </c>
      <c r="J78" s="70" t="s">
        <v>719</v>
      </c>
      <c r="K78" s="70" t="s">
        <v>911</v>
      </c>
      <c r="L78" s="70" t="s">
        <v>20</v>
      </c>
      <c r="M78" s="70" t="s">
        <v>719</v>
      </c>
      <c r="N78" s="70" t="s">
        <v>909</v>
      </c>
      <c r="O78" s="70" t="s">
        <v>264</v>
      </c>
      <c r="P78" s="70"/>
      <c r="Q78" s="70"/>
      <c r="R78" s="70"/>
      <c r="S78" s="47"/>
      <c r="T78" s="75" t="s">
        <v>97</v>
      </c>
      <c r="U78" s="69">
        <v>44827</v>
      </c>
      <c r="V78" s="68"/>
      <c r="W78" s="47"/>
      <c r="X78" s="75" t="s">
        <v>149</v>
      </c>
      <c r="Y78" s="135">
        <v>45050</v>
      </c>
      <c r="Z78" s="68"/>
      <c r="AA78" s="47"/>
      <c r="AB78" s="68"/>
      <c r="AC78" s="68"/>
      <c r="AD78" s="68"/>
      <c r="AE78" s="68"/>
    </row>
    <row r="79" spans="2:31" x14ac:dyDescent="0.25">
      <c r="B79" s="70" t="s">
        <v>47</v>
      </c>
      <c r="C79" s="70">
        <v>67</v>
      </c>
      <c r="D79" s="70" t="s">
        <v>912</v>
      </c>
      <c r="E79" s="70" t="s">
        <v>746</v>
      </c>
      <c r="F79" s="70" t="s">
        <v>913</v>
      </c>
      <c r="G79" s="70"/>
      <c r="H79" s="47"/>
      <c r="I79" s="70" t="s">
        <v>20</v>
      </c>
      <c r="J79" s="70" t="s">
        <v>719</v>
      </c>
      <c r="K79" s="70" t="s">
        <v>914</v>
      </c>
      <c r="L79" s="70" t="s">
        <v>20</v>
      </c>
      <c r="M79" s="70" t="s">
        <v>719</v>
      </c>
      <c r="N79" s="70" t="s">
        <v>912</v>
      </c>
      <c r="O79" s="70" t="s">
        <v>264</v>
      </c>
      <c r="P79" s="70"/>
      <c r="Q79" s="70"/>
      <c r="R79" s="70"/>
      <c r="S79" s="47"/>
      <c r="T79" s="75" t="s">
        <v>97</v>
      </c>
      <c r="U79" s="69">
        <v>44827</v>
      </c>
      <c r="V79" s="68"/>
      <c r="W79" s="47"/>
      <c r="X79" s="75" t="s">
        <v>149</v>
      </c>
      <c r="Y79" s="135">
        <v>45050</v>
      </c>
      <c r="Z79" s="68"/>
      <c r="AA79" s="47"/>
      <c r="AB79" s="68"/>
      <c r="AC79" s="68"/>
      <c r="AD79" s="68"/>
      <c r="AE79" s="68"/>
    </row>
    <row r="80" spans="2:31" x14ac:dyDescent="0.25">
      <c r="B80" s="70" t="s">
        <v>47</v>
      </c>
      <c r="C80" s="70">
        <v>68</v>
      </c>
      <c r="D80" s="70" t="s">
        <v>915</v>
      </c>
      <c r="E80" s="70" t="s">
        <v>746</v>
      </c>
      <c r="F80" s="70" t="s">
        <v>916</v>
      </c>
      <c r="G80" s="70"/>
      <c r="H80" s="47"/>
      <c r="I80" s="70" t="s">
        <v>20</v>
      </c>
      <c r="J80" s="70" t="s">
        <v>719</v>
      </c>
      <c r="K80" s="70" t="s">
        <v>917</v>
      </c>
      <c r="L80" s="70" t="s">
        <v>20</v>
      </c>
      <c r="M80" s="70" t="s">
        <v>719</v>
      </c>
      <c r="N80" s="70" t="s">
        <v>915</v>
      </c>
      <c r="O80" s="70" t="s">
        <v>264</v>
      </c>
      <c r="P80" s="70"/>
      <c r="Q80" s="70"/>
      <c r="R80" s="70"/>
      <c r="S80" s="47"/>
      <c r="T80" s="75" t="s">
        <v>97</v>
      </c>
      <c r="U80" s="69">
        <v>44827</v>
      </c>
      <c r="V80" s="68"/>
      <c r="W80" s="47"/>
      <c r="X80" s="75" t="s">
        <v>149</v>
      </c>
      <c r="Y80" s="135">
        <v>45050</v>
      </c>
      <c r="Z80" s="68"/>
      <c r="AA80" s="47"/>
      <c r="AB80" s="68"/>
      <c r="AC80" s="68"/>
      <c r="AD80" s="68"/>
      <c r="AE80" s="68"/>
    </row>
    <row r="81" spans="2:31" x14ac:dyDescent="0.25">
      <c r="B81" s="70" t="s">
        <v>47</v>
      </c>
      <c r="C81" s="70">
        <v>69</v>
      </c>
      <c r="D81" s="70" t="s">
        <v>918</v>
      </c>
      <c r="E81" s="70" t="s">
        <v>746</v>
      </c>
      <c r="F81" s="70" t="s">
        <v>919</v>
      </c>
      <c r="G81" s="70"/>
      <c r="H81" s="47"/>
      <c r="I81" s="70" t="s">
        <v>20</v>
      </c>
      <c r="J81" s="70" t="s">
        <v>719</v>
      </c>
      <c r="K81" s="70" t="s">
        <v>920</v>
      </c>
      <c r="L81" s="70" t="s">
        <v>20</v>
      </c>
      <c r="M81" s="70" t="s">
        <v>719</v>
      </c>
      <c r="N81" s="70" t="s">
        <v>918</v>
      </c>
      <c r="O81" s="70" t="s">
        <v>264</v>
      </c>
      <c r="P81" s="70"/>
      <c r="Q81" s="70"/>
      <c r="R81" s="70"/>
      <c r="S81" s="47"/>
      <c r="T81" s="75" t="s">
        <v>97</v>
      </c>
      <c r="U81" s="69">
        <v>44827</v>
      </c>
      <c r="V81" s="68"/>
      <c r="W81" s="47"/>
      <c r="X81" s="75" t="s">
        <v>149</v>
      </c>
      <c r="Y81" s="135">
        <v>45050</v>
      </c>
      <c r="Z81" s="68"/>
      <c r="AA81" s="47"/>
      <c r="AB81" s="68"/>
      <c r="AC81" s="68"/>
      <c r="AD81" s="68"/>
      <c r="AE81" s="68"/>
    </row>
    <row r="82" spans="2:31" x14ac:dyDescent="0.25">
      <c r="B82" s="70" t="s">
        <v>47</v>
      </c>
      <c r="C82" s="70">
        <v>70</v>
      </c>
      <c r="D82" s="70" t="s">
        <v>921</v>
      </c>
      <c r="E82" s="70" t="s">
        <v>746</v>
      </c>
      <c r="F82" s="70" t="s">
        <v>922</v>
      </c>
      <c r="G82" s="70"/>
      <c r="H82" s="47"/>
      <c r="I82" s="70" t="s">
        <v>20</v>
      </c>
      <c r="J82" s="70" t="s">
        <v>923</v>
      </c>
      <c r="K82" s="70" t="s">
        <v>924</v>
      </c>
      <c r="L82" s="70" t="s">
        <v>20</v>
      </c>
      <c r="M82" s="70" t="s">
        <v>925</v>
      </c>
      <c r="N82" s="70" t="s">
        <v>921</v>
      </c>
      <c r="O82" s="70" t="s">
        <v>264</v>
      </c>
      <c r="P82" s="70"/>
      <c r="Q82" s="70"/>
      <c r="R82" s="70"/>
      <c r="S82" s="47"/>
      <c r="T82" s="75" t="s">
        <v>97</v>
      </c>
      <c r="U82" s="69">
        <v>44827</v>
      </c>
      <c r="V82" s="68"/>
      <c r="W82" s="47"/>
      <c r="X82" s="75" t="s">
        <v>149</v>
      </c>
      <c r="Y82" s="135">
        <v>45050</v>
      </c>
      <c r="Z82" s="68"/>
      <c r="AA82" s="47"/>
      <c r="AB82" s="68"/>
      <c r="AC82" s="68"/>
      <c r="AD82" s="68"/>
      <c r="AE82" s="68"/>
    </row>
    <row r="83" spans="2:31" x14ac:dyDescent="0.25">
      <c r="B83" s="70" t="s">
        <v>47</v>
      </c>
      <c r="C83" s="70">
        <v>71</v>
      </c>
      <c r="D83" s="70" t="s">
        <v>926</v>
      </c>
      <c r="E83" s="70" t="s">
        <v>746</v>
      </c>
      <c r="F83" s="70" t="s">
        <v>927</v>
      </c>
      <c r="G83" s="70"/>
      <c r="H83" s="47"/>
      <c r="I83" s="70" t="s">
        <v>20</v>
      </c>
      <c r="J83" s="70" t="s">
        <v>923</v>
      </c>
      <c r="K83" s="70" t="s">
        <v>928</v>
      </c>
      <c r="L83" s="70" t="s">
        <v>20</v>
      </c>
      <c r="M83" s="70" t="s">
        <v>925</v>
      </c>
      <c r="N83" s="70" t="s">
        <v>926</v>
      </c>
      <c r="O83" s="70" t="s">
        <v>264</v>
      </c>
      <c r="P83" s="70"/>
      <c r="Q83" s="70"/>
      <c r="R83" s="70"/>
      <c r="S83" s="47"/>
      <c r="T83" s="75" t="s">
        <v>97</v>
      </c>
      <c r="U83" s="69">
        <v>44827</v>
      </c>
      <c r="V83" s="68"/>
      <c r="W83" s="47"/>
      <c r="X83" s="75" t="s">
        <v>149</v>
      </c>
      <c r="Y83" s="135">
        <v>45050</v>
      </c>
      <c r="Z83" s="68"/>
      <c r="AA83" s="47"/>
      <c r="AB83" s="68"/>
      <c r="AC83" s="68"/>
      <c r="AD83" s="68"/>
      <c r="AE83" s="68"/>
    </row>
    <row r="84" spans="2:31" x14ac:dyDescent="0.25">
      <c r="B84" s="70" t="s">
        <v>47</v>
      </c>
      <c r="C84" s="70">
        <v>72</v>
      </c>
      <c r="D84" s="70" t="s">
        <v>929</v>
      </c>
      <c r="E84" s="70" t="s">
        <v>746</v>
      </c>
      <c r="F84" s="70" t="s">
        <v>930</v>
      </c>
      <c r="G84" s="70"/>
      <c r="H84" s="47"/>
      <c r="I84" s="70" t="s">
        <v>20</v>
      </c>
      <c r="J84" s="70" t="s">
        <v>923</v>
      </c>
      <c r="K84" s="70" t="s">
        <v>931</v>
      </c>
      <c r="L84" s="70" t="s">
        <v>20</v>
      </c>
      <c r="M84" s="70" t="s">
        <v>925</v>
      </c>
      <c r="N84" s="70" t="s">
        <v>929</v>
      </c>
      <c r="O84" s="70" t="s">
        <v>264</v>
      </c>
      <c r="P84" s="70"/>
      <c r="Q84" s="70"/>
      <c r="R84" s="70"/>
      <c r="S84" s="47"/>
      <c r="T84" s="75" t="s">
        <v>97</v>
      </c>
      <c r="U84" s="69">
        <v>44827</v>
      </c>
      <c r="V84" s="68"/>
      <c r="W84" s="47"/>
      <c r="X84" s="75" t="s">
        <v>149</v>
      </c>
      <c r="Y84" s="135">
        <v>45050</v>
      </c>
      <c r="Z84" s="68"/>
      <c r="AA84" s="47"/>
      <c r="AB84" s="68"/>
      <c r="AC84" s="68"/>
      <c r="AD84" s="68"/>
      <c r="AE84" s="68"/>
    </row>
    <row r="85" spans="2:31" x14ac:dyDescent="0.25">
      <c r="B85" s="70" t="s">
        <v>47</v>
      </c>
      <c r="C85" s="70">
        <v>73</v>
      </c>
      <c r="D85" s="70" t="s">
        <v>932</v>
      </c>
      <c r="E85" s="70" t="s">
        <v>746</v>
      </c>
      <c r="F85" s="70" t="s">
        <v>933</v>
      </c>
      <c r="G85" s="70"/>
      <c r="H85" s="47"/>
      <c r="I85" s="70" t="s">
        <v>20</v>
      </c>
      <c r="J85" s="70" t="s">
        <v>923</v>
      </c>
      <c r="K85" s="70" t="s">
        <v>934</v>
      </c>
      <c r="L85" s="70" t="s">
        <v>20</v>
      </c>
      <c r="M85" s="70" t="s">
        <v>925</v>
      </c>
      <c r="N85" s="70" t="s">
        <v>932</v>
      </c>
      <c r="O85" s="70" t="s">
        <v>264</v>
      </c>
      <c r="P85" s="70"/>
      <c r="Q85" s="70"/>
      <c r="R85" s="70"/>
      <c r="S85" s="47"/>
      <c r="T85" s="75" t="s">
        <v>97</v>
      </c>
      <c r="U85" s="69">
        <v>44827</v>
      </c>
      <c r="V85" s="68"/>
      <c r="W85" s="47"/>
      <c r="X85" s="75" t="s">
        <v>149</v>
      </c>
      <c r="Y85" s="135">
        <v>45050</v>
      </c>
      <c r="Z85" s="68"/>
      <c r="AA85" s="47"/>
      <c r="AB85" s="68"/>
      <c r="AC85" s="68"/>
      <c r="AD85" s="68"/>
      <c r="AE85" s="68"/>
    </row>
    <row r="86" spans="2:31" x14ac:dyDescent="0.25">
      <c r="B86" s="70" t="s">
        <v>47</v>
      </c>
      <c r="C86" s="70">
        <v>74</v>
      </c>
      <c r="D86" s="70" t="s">
        <v>935</v>
      </c>
      <c r="E86" s="70" t="s">
        <v>746</v>
      </c>
      <c r="F86" s="70" t="s">
        <v>936</v>
      </c>
      <c r="G86" s="70"/>
      <c r="H86" s="47"/>
      <c r="I86" s="70" t="s">
        <v>20</v>
      </c>
      <c r="J86" s="70" t="s">
        <v>923</v>
      </c>
      <c r="K86" s="70" t="s">
        <v>937</v>
      </c>
      <c r="L86" s="70" t="s">
        <v>20</v>
      </c>
      <c r="M86" s="70" t="s">
        <v>925</v>
      </c>
      <c r="N86" s="70" t="s">
        <v>935</v>
      </c>
      <c r="O86" s="70" t="s">
        <v>264</v>
      </c>
      <c r="P86" s="70"/>
      <c r="Q86" s="70"/>
      <c r="R86" s="70"/>
      <c r="S86" s="47"/>
      <c r="T86" s="75" t="s">
        <v>97</v>
      </c>
      <c r="U86" s="69">
        <v>44827</v>
      </c>
      <c r="V86" s="68"/>
      <c r="W86" s="47"/>
      <c r="X86" s="75" t="s">
        <v>149</v>
      </c>
      <c r="Y86" s="135">
        <v>45050</v>
      </c>
      <c r="Z86" s="68"/>
      <c r="AA86" s="47"/>
      <c r="AB86" s="68"/>
      <c r="AC86" s="68"/>
      <c r="AD86" s="68"/>
      <c r="AE86" s="68"/>
    </row>
    <row r="87" spans="2:31" x14ac:dyDescent="0.25">
      <c r="B87" s="70" t="s">
        <v>47</v>
      </c>
      <c r="C87" s="70">
        <v>75</v>
      </c>
      <c r="D87" s="70" t="s">
        <v>938</v>
      </c>
      <c r="E87" s="70" t="s">
        <v>746</v>
      </c>
      <c r="F87" s="70" t="s">
        <v>939</v>
      </c>
      <c r="G87" s="70"/>
      <c r="H87" s="47"/>
      <c r="I87" s="70" t="s">
        <v>20</v>
      </c>
      <c r="J87" s="70" t="s">
        <v>923</v>
      </c>
      <c r="K87" s="70" t="s">
        <v>940</v>
      </c>
      <c r="L87" s="70" t="s">
        <v>20</v>
      </c>
      <c r="M87" s="70" t="s">
        <v>925</v>
      </c>
      <c r="N87" s="70" t="s">
        <v>938</v>
      </c>
      <c r="O87" s="70" t="s">
        <v>264</v>
      </c>
      <c r="P87" s="70"/>
      <c r="Q87" s="70"/>
      <c r="R87" s="70"/>
      <c r="S87" s="47"/>
      <c r="T87" s="75" t="s">
        <v>97</v>
      </c>
      <c r="U87" s="69">
        <v>44827</v>
      </c>
      <c r="V87" s="68"/>
      <c r="W87" s="47"/>
      <c r="X87" s="75" t="s">
        <v>149</v>
      </c>
      <c r="Y87" s="135">
        <v>45050</v>
      </c>
      <c r="Z87" s="68"/>
      <c r="AA87" s="47"/>
      <c r="AB87" s="68"/>
      <c r="AC87" s="68"/>
      <c r="AD87" s="68"/>
      <c r="AE87" s="68"/>
    </row>
    <row r="88" spans="2:31" x14ac:dyDescent="0.25">
      <c r="B88" s="70" t="s">
        <v>47</v>
      </c>
      <c r="C88" s="70">
        <v>76</v>
      </c>
      <c r="D88" s="70" t="s">
        <v>941</v>
      </c>
      <c r="E88" s="70" t="s">
        <v>746</v>
      </c>
      <c r="F88" s="70" t="s">
        <v>942</v>
      </c>
      <c r="G88" s="70"/>
      <c r="H88" s="47"/>
      <c r="I88" s="70" t="s">
        <v>20</v>
      </c>
      <c r="J88" s="70" t="s">
        <v>923</v>
      </c>
      <c r="K88" s="70" t="s">
        <v>943</v>
      </c>
      <c r="L88" s="70" t="s">
        <v>20</v>
      </c>
      <c r="M88" s="70" t="s">
        <v>925</v>
      </c>
      <c r="N88" s="70" t="s">
        <v>941</v>
      </c>
      <c r="O88" s="70" t="s">
        <v>264</v>
      </c>
      <c r="P88" s="70"/>
      <c r="Q88" s="70"/>
      <c r="R88" s="70"/>
      <c r="S88" s="47"/>
      <c r="T88" s="75" t="s">
        <v>97</v>
      </c>
      <c r="U88" s="69">
        <v>44827</v>
      </c>
      <c r="V88" s="68"/>
      <c r="W88" s="47"/>
      <c r="X88" s="75" t="s">
        <v>149</v>
      </c>
      <c r="Y88" s="135">
        <v>45050</v>
      </c>
      <c r="Z88" s="68"/>
      <c r="AA88" s="47"/>
      <c r="AB88" s="68"/>
      <c r="AC88" s="68"/>
      <c r="AD88" s="68"/>
      <c r="AE88" s="68"/>
    </row>
    <row r="89" spans="2:31" x14ac:dyDescent="0.25">
      <c r="B89" s="70" t="s">
        <v>47</v>
      </c>
      <c r="C89" s="70">
        <v>77</v>
      </c>
      <c r="D89" s="70" t="s">
        <v>944</v>
      </c>
      <c r="E89" s="70" t="s">
        <v>746</v>
      </c>
      <c r="F89" s="70" t="s">
        <v>945</v>
      </c>
      <c r="G89" s="70"/>
      <c r="H89" s="47"/>
      <c r="I89" s="70" t="s">
        <v>20</v>
      </c>
      <c r="J89" s="70" t="s">
        <v>923</v>
      </c>
      <c r="K89" s="70" t="s">
        <v>946</v>
      </c>
      <c r="L89" s="70" t="s">
        <v>20</v>
      </c>
      <c r="M89" s="70" t="s">
        <v>925</v>
      </c>
      <c r="N89" s="70" t="s">
        <v>944</v>
      </c>
      <c r="O89" s="70" t="s">
        <v>264</v>
      </c>
      <c r="P89" s="70"/>
      <c r="Q89" s="70"/>
      <c r="R89" s="70"/>
      <c r="S89" s="47"/>
      <c r="T89" s="75" t="s">
        <v>97</v>
      </c>
      <c r="U89" s="69">
        <v>44827</v>
      </c>
      <c r="V89" s="68"/>
      <c r="W89" s="47"/>
      <c r="X89" s="75" t="s">
        <v>149</v>
      </c>
      <c r="Y89" s="135">
        <v>45050</v>
      </c>
      <c r="Z89" s="68"/>
      <c r="AA89" s="47"/>
      <c r="AB89" s="68"/>
      <c r="AC89" s="68"/>
      <c r="AD89" s="68"/>
      <c r="AE89" s="68"/>
    </row>
    <row r="90" spans="2:31" x14ac:dyDescent="0.25">
      <c r="B90" s="70" t="s">
        <v>47</v>
      </c>
      <c r="C90" s="70">
        <v>78</v>
      </c>
      <c r="D90" s="70" t="s">
        <v>947</v>
      </c>
      <c r="E90" s="70" t="s">
        <v>746</v>
      </c>
      <c r="F90" s="70" t="s">
        <v>948</v>
      </c>
      <c r="G90" s="70"/>
      <c r="H90" s="47"/>
      <c r="I90" s="70" t="s">
        <v>20</v>
      </c>
      <c r="J90" s="70" t="s">
        <v>923</v>
      </c>
      <c r="K90" s="70" t="s">
        <v>949</v>
      </c>
      <c r="L90" s="70" t="s">
        <v>20</v>
      </c>
      <c r="M90" s="70" t="s">
        <v>925</v>
      </c>
      <c r="N90" s="70" t="s">
        <v>947</v>
      </c>
      <c r="O90" s="70" t="s">
        <v>264</v>
      </c>
      <c r="P90" s="70"/>
      <c r="Q90" s="70"/>
      <c r="R90" s="70"/>
      <c r="S90" s="47"/>
      <c r="T90" s="75" t="s">
        <v>97</v>
      </c>
      <c r="U90" s="69">
        <v>44827</v>
      </c>
      <c r="V90" s="68"/>
      <c r="W90" s="47"/>
      <c r="X90" s="75" t="s">
        <v>149</v>
      </c>
      <c r="Y90" s="135">
        <v>45050</v>
      </c>
      <c r="Z90" s="68"/>
      <c r="AA90" s="47"/>
      <c r="AB90" s="68"/>
      <c r="AC90" s="68"/>
      <c r="AD90" s="68"/>
      <c r="AE90" s="68"/>
    </row>
    <row r="91" spans="2:31" x14ac:dyDescent="0.25">
      <c r="B91" s="70" t="s">
        <v>47</v>
      </c>
      <c r="C91" s="70">
        <v>79</v>
      </c>
      <c r="D91" s="70" t="s">
        <v>950</v>
      </c>
      <c r="E91" s="70" t="s">
        <v>746</v>
      </c>
      <c r="F91" s="70" t="s">
        <v>951</v>
      </c>
      <c r="G91" s="70"/>
      <c r="H91" s="47"/>
      <c r="I91" s="70" t="s">
        <v>20</v>
      </c>
      <c r="J91" s="70" t="s">
        <v>923</v>
      </c>
      <c r="K91" s="70" t="s">
        <v>952</v>
      </c>
      <c r="L91" s="70" t="s">
        <v>20</v>
      </c>
      <c r="M91" s="70" t="s">
        <v>925</v>
      </c>
      <c r="N91" s="70" t="s">
        <v>950</v>
      </c>
      <c r="O91" s="70" t="s">
        <v>264</v>
      </c>
      <c r="P91" s="70"/>
      <c r="Q91" s="70"/>
      <c r="R91" s="70"/>
      <c r="S91" s="47"/>
      <c r="T91" s="75" t="s">
        <v>97</v>
      </c>
      <c r="U91" s="69">
        <v>44827</v>
      </c>
      <c r="V91" s="68"/>
      <c r="W91" s="47"/>
      <c r="X91" s="75" t="s">
        <v>149</v>
      </c>
      <c r="Y91" s="135">
        <v>45050</v>
      </c>
      <c r="Z91" s="68"/>
      <c r="AA91" s="47"/>
      <c r="AB91" s="68"/>
      <c r="AC91" s="68"/>
      <c r="AD91" s="68"/>
      <c r="AE91" s="68"/>
    </row>
    <row r="92" spans="2:31" x14ac:dyDescent="0.25">
      <c r="B92" s="70" t="s">
        <v>47</v>
      </c>
      <c r="C92" s="70">
        <v>80</v>
      </c>
      <c r="D92" s="70" t="s">
        <v>953</v>
      </c>
      <c r="E92" s="70" t="s">
        <v>746</v>
      </c>
      <c r="F92" s="70" t="s">
        <v>954</v>
      </c>
      <c r="G92" s="70"/>
      <c r="H92" s="47"/>
      <c r="I92" s="70" t="s">
        <v>20</v>
      </c>
      <c r="J92" s="70" t="s">
        <v>923</v>
      </c>
      <c r="K92" s="70" t="s">
        <v>955</v>
      </c>
      <c r="L92" s="70" t="s">
        <v>20</v>
      </c>
      <c r="M92" s="70" t="s">
        <v>925</v>
      </c>
      <c r="N92" s="70" t="s">
        <v>953</v>
      </c>
      <c r="O92" s="70" t="s">
        <v>264</v>
      </c>
      <c r="P92" s="70"/>
      <c r="Q92" s="70"/>
      <c r="R92" s="70"/>
      <c r="S92" s="47"/>
      <c r="T92" s="75" t="s">
        <v>97</v>
      </c>
      <c r="U92" s="69">
        <v>44827</v>
      </c>
      <c r="V92" s="68"/>
      <c r="W92" s="47"/>
      <c r="X92" s="75" t="s">
        <v>149</v>
      </c>
      <c r="Y92" s="135">
        <v>45050</v>
      </c>
      <c r="Z92" s="68"/>
      <c r="AA92" s="47"/>
      <c r="AB92" s="68"/>
      <c r="AC92" s="68"/>
      <c r="AD92" s="68"/>
      <c r="AE92" s="68"/>
    </row>
    <row r="93" spans="2:31" x14ac:dyDescent="0.25">
      <c r="B93" s="70" t="s">
        <v>47</v>
      </c>
      <c r="C93" s="70">
        <v>81</v>
      </c>
      <c r="D93" s="70" t="s">
        <v>956</v>
      </c>
      <c r="E93" s="70" t="s">
        <v>746</v>
      </c>
      <c r="F93" s="70" t="s">
        <v>957</v>
      </c>
      <c r="G93" s="70"/>
      <c r="H93" s="47"/>
      <c r="I93" s="70" t="s">
        <v>20</v>
      </c>
      <c r="J93" s="70" t="s">
        <v>923</v>
      </c>
      <c r="K93" s="70" t="s">
        <v>958</v>
      </c>
      <c r="L93" s="70" t="s">
        <v>20</v>
      </c>
      <c r="M93" s="70" t="s">
        <v>925</v>
      </c>
      <c r="N93" s="70" t="s">
        <v>956</v>
      </c>
      <c r="O93" s="70" t="s">
        <v>264</v>
      </c>
      <c r="P93" s="70"/>
      <c r="Q93" s="70"/>
      <c r="R93" s="70"/>
      <c r="S93" s="47"/>
      <c r="T93" s="75" t="s">
        <v>97</v>
      </c>
      <c r="U93" s="69">
        <v>44827</v>
      </c>
      <c r="V93" s="68"/>
      <c r="W93" s="47"/>
      <c r="X93" s="75" t="s">
        <v>149</v>
      </c>
      <c r="Y93" s="135">
        <v>45050</v>
      </c>
      <c r="Z93" s="68"/>
      <c r="AA93" s="47"/>
      <c r="AB93" s="68"/>
      <c r="AC93" s="68"/>
      <c r="AD93" s="68"/>
      <c r="AE93" s="68"/>
    </row>
    <row r="94" spans="2:31" x14ac:dyDescent="0.25">
      <c r="B94" s="70" t="s">
        <v>47</v>
      </c>
      <c r="C94" s="70">
        <v>82</v>
      </c>
      <c r="D94" s="70" t="s">
        <v>959</v>
      </c>
      <c r="E94" s="70" t="s">
        <v>746</v>
      </c>
      <c r="F94" s="70" t="s">
        <v>960</v>
      </c>
      <c r="G94" s="70"/>
      <c r="H94" s="47"/>
      <c r="I94" s="70" t="s">
        <v>20</v>
      </c>
      <c r="J94" s="70" t="s">
        <v>923</v>
      </c>
      <c r="K94" s="70" t="s">
        <v>961</v>
      </c>
      <c r="L94" s="70" t="s">
        <v>20</v>
      </c>
      <c r="M94" s="70" t="s">
        <v>925</v>
      </c>
      <c r="N94" s="70" t="s">
        <v>959</v>
      </c>
      <c r="O94" s="70" t="s">
        <v>264</v>
      </c>
      <c r="P94" s="70"/>
      <c r="Q94" s="70"/>
      <c r="R94" s="70"/>
      <c r="S94" s="47"/>
      <c r="T94" s="75" t="s">
        <v>97</v>
      </c>
      <c r="U94" s="69">
        <v>44827</v>
      </c>
      <c r="V94" s="68"/>
      <c r="W94" s="47"/>
      <c r="X94" s="75" t="s">
        <v>149</v>
      </c>
      <c r="Y94" s="135">
        <v>45050</v>
      </c>
      <c r="Z94" s="68"/>
      <c r="AA94" s="47"/>
      <c r="AB94" s="68"/>
      <c r="AC94" s="68"/>
      <c r="AD94" s="68"/>
      <c r="AE94" s="68"/>
    </row>
    <row r="95" spans="2:31" x14ac:dyDescent="0.25">
      <c r="B95" s="70" t="s">
        <v>47</v>
      </c>
      <c r="C95" s="70">
        <v>83</v>
      </c>
      <c r="D95" s="70" t="s">
        <v>962</v>
      </c>
      <c r="E95" s="70" t="s">
        <v>746</v>
      </c>
      <c r="F95" s="70" t="s">
        <v>963</v>
      </c>
      <c r="G95" s="70"/>
      <c r="H95" s="47"/>
      <c r="I95" s="70" t="s">
        <v>20</v>
      </c>
      <c r="J95" s="70" t="s">
        <v>923</v>
      </c>
      <c r="K95" s="70" t="s">
        <v>964</v>
      </c>
      <c r="L95" s="70" t="s">
        <v>20</v>
      </c>
      <c r="M95" s="70" t="s">
        <v>925</v>
      </c>
      <c r="N95" s="70" t="s">
        <v>962</v>
      </c>
      <c r="O95" s="70" t="s">
        <v>264</v>
      </c>
      <c r="P95" s="70"/>
      <c r="Q95" s="70"/>
      <c r="R95" s="70"/>
      <c r="S95" s="47"/>
      <c r="T95" s="75" t="s">
        <v>97</v>
      </c>
      <c r="U95" s="69">
        <v>44827</v>
      </c>
      <c r="V95" s="68"/>
      <c r="W95" s="47"/>
      <c r="X95" s="75" t="s">
        <v>149</v>
      </c>
      <c r="Y95" s="135">
        <v>45050</v>
      </c>
      <c r="Z95" s="68"/>
      <c r="AA95" s="47"/>
      <c r="AB95" s="68"/>
      <c r="AC95" s="68"/>
      <c r="AD95" s="68"/>
      <c r="AE95" s="68"/>
    </row>
    <row r="96" spans="2:31" x14ac:dyDescent="0.25">
      <c r="B96" s="70" t="s">
        <v>47</v>
      </c>
      <c r="C96" s="70">
        <v>84</v>
      </c>
      <c r="D96" s="70" t="s">
        <v>965</v>
      </c>
      <c r="E96" s="70" t="s">
        <v>746</v>
      </c>
      <c r="F96" s="70" t="s">
        <v>966</v>
      </c>
      <c r="G96" s="70"/>
      <c r="H96" s="47"/>
      <c r="I96" s="70" t="s">
        <v>20</v>
      </c>
      <c r="J96" s="70" t="s">
        <v>923</v>
      </c>
      <c r="K96" s="70" t="s">
        <v>967</v>
      </c>
      <c r="L96" s="70" t="s">
        <v>20</v>
      </c>
      <c r="M96" s="70" t="s">
        <v>925</v>
      </c>
      <c r="N96" s="70" t="s">
        <v>965</v>
      </c>
      <c r="O96" s="70" t="s">
        <v>264</v>
      </c>
      <c r="P96" s="70"/>
      <c r="Q96" s="70"/>
      <c r="R96" s="70"/>
      <c r="S96" s="47"/>
      <c r="T96" s="75" t="s">
        <v>97</v>
      </c>
      <c r="U96" s="69">
        <v>44827</v>
      </c>
      <c r="V96" s="68"/>
      <c r="W96" s="47"/>
      <c r="X96" s="75" t="s">
        <v>149</v>
      </c>
      <c r="Y96" s="135">
        <v>45050</v>
      </c>
      <c r="Z96" s="68"/>
      <c r="AA96" s="47"/>
      <c r="AB96" s="68"/>
      <c r="AC96" s="68"/>
      <c r="AD96" s="68"/>
      <c r="AE96" s="68"/>
    </row>
    <row r="97" spans="2:31" ht="60" x14ac:dyDescent="0.25">
      <c r="B97" s="70" t="s">
        <v>47</v>
      </c>
      <c r="C97" s="70">
        <v>85</v>
      </c>
      <c r="D97" s="70" t="s">
        <v>968</v>
      </c>
      <c r="E97" s="70" t="s">
        <v>737</v>
      </c>
      <c r="F97" s="111" t="s">
        <v>969</v>
      </c>
      <c r="G97" s="70"/>
      <c r="H97" s="47"/>
      <c r="I97" s="70"/>
      <c r="J97" s="70"/>
      <c r="K97" s="70"/>
      <c r="L97" s="70" t="s">
        <v>20</v>
      </c>
      <c r="M97" s="70" t="s">
        <v>970</v>
      </c>
      <c r="N97" s="70" t="s">
        <v>971</v>
      </c>
      <c r="O97" s="70"/>
      <c r="P97" s="70"/>
      <c r="Q97" s="70"/>
      <c r="R97" s="70"/>
      <c r="S97" s="47"/>
      <c r="T97" s="75" t="s">
        <v>130</v>
      </c>
      <c r="U97" s="69">
        <v>45050</v>
      </c>
      <c r="V97" s="70" t="s">
        <v>972</v>
      </c>
      <c r="W97" s="47"/>
      <c r="X97" s="145" t="s">
        <v>150</v>
      </c>
      <c r="Y97" s="135" t="s">
        <v>299</v>
      </c>
      <c r="Z97" s="68"/>
      <c r="AA97" s="47"/>
      <c r="AB97" s="68"/>
      <c r="AC97" s="68"/>
      <c r="AD97" s="68"/>
      <c r="AE97" s="70" t="s">
        <v>973</v>
      </c>
    </row>
    <row r="98" spans="2:31" ht="212.25" customHeight="1" x14ac:dyDescent="0.25">
      <c r="B98" s="70" t="s">
        <v>47</v>
      </c>
      <c r="C98" s="70">
        <v>86</v>
      </c>
      <c r="D98" s="70" t="s">
        <v>974</v>
      </c>
      <c r="E98" s="70" t="s">
        <v>746</v>
      </c>
      <c r="F98" s="70" t="s">
        <v>975</v>
      </c>
      <c r="G98" s="70"/>
      <c r="H98" s="47"/>
      <c r="I98" s="70"/>
      <c r="J98" s="70"/>
      <c r="K98" s="70"/>
      <c r="L98" s="70" t="s">
        <v>20</v>
      </c>
      <c r="M98" s="70" t="s">
        <v>970</v>
      </c>
      <c r="N98" s="70" t="s">
        <v>976</v>
      </c>
      <c r="O98" s="70"/>
      <c r="P98" s="70"/>
      <c r="Q98" s="70"/>
      <c r="R98" s="70"/>
      <c r="S98" s="47"/>
      <c r="T98" s="75" t="s">
        <v>130</v>
      </c>
      <c r="U98" s="69">
        <v>45050</v>
      </c>
      <c r="V98" s="70" t="s">
        <v>972</v>
      </c>
      <c r="W98" s="47"/>
      <c r="X98" s="145" t="s">
        <v>150</v>
      </c>
      <c r="Y98" s="135" t="s">
        <v>299</v>
      </c>
      <c r="Z98" s="68"/>
      <c r="AA98" s="47"/>
      <c r="AB98" s="68"/>
      <c r="AC98" s="68"/>
      <c r="AD98" s="68"/>
      <c r="AE98" s="70"/>
    </row>
    <row r="99" spans="2:31" ht="15.75" customHeight="1" x14ac:dyDescent="0.25">
      <c r="B99" s="70" t="s">
        <v>47</v>
      </c>
      <c r="C99" s="70">
        <v>87</v>
      </c>
      <c r="D99" s="70" t="s">
        <v>977</v>
      </c>
      <c r="E99" s="70" t="s">
        <v>225</v>
      </c>
      <c r="F99" s="70" t="s">
        <v>388</v>
      </c>
      <c r="G99" s="70"/>
      <c r="H99" s="47"/>
      <c r="I99" s="68"/>
      <c r="J99" s="68"/>
      <c r="K99" s="68" t="s">
        <v>978</v>
      </c>
      <c r="L99" s="68"/>
      <c r="M99" s="68" t="s">
        <v>388</v>
      </c>
      <c r="N99" s="125" t="s">
        <v>979</v>
      </c>
      <c r="O99" s="70" t="s">
        <v>264</v>
      </c>
      <c r="P99" s="68"/>
      <c r="Q99" s="70"/>
      <c r="R99" s="70"/>
      <c r="S99" s="47"/>
      <c r="T99" s="75" t="s">
        <v>97</v>
      </c>
      <c r="U99" s="69">
        <v>44827</v>
      </c>
      <c r="V99" s="68"/>
      <c r="W99" s="47"/>
      <c r="X99" s="75" t="s">
        <v>149</v>
      </c>
      <c r="Y99" s="135">
        <v>45050</v>
      </c>
      <c r="Z99" s="68"/>
      <c r="AA99" s="47"/>
      <c r="AB99" s="68"/>
      <c r="AC99" s="68"/>
      <c r="AD99" s="68"/>
      <c r="AE99" s="68"/>
    </row>
    <row r="100" spans="2:31" x14ac:dyDescent="0.25">
      <c r="B100" s="68"/>
      <c r="C100" s="68"/>
      <c r="D100" s="68"/>
      <c r="E100" s="68"/>
      <c r="F100" s="68"/>
      <c r="G100" s="70"/>
      <c r="H100" s="47"/>
      <c r="I100" s="68"/>
      <c r="J100" s="68"/>
      <c r="K100" s="68"/>
      <c r="L100" s="68"/>
      <c r="M100" s="68"/>
      <c r="N100" s="68"/>
      <c r="O100" s="68"/>
      <c r="P100" s="68"/>
      <c r="Q100" s="70"/>
      <c r="R100" s="70"/>
      <c r="S100" s="47"/>
      <c r="T100" s="68"/>
      <c r="U100" s="69"/>
      <c r="V100" s="68"/>
      <c r="W100" s="47"/>
      <c r="X100" s="68"/>
      <c r="Y100" s="68"/>
      <c r="Z100" s="68"/>
      <c r="AA100" s="47"/>
      <c r="AB100" s="68"/>
      <c r="AC100" s="68"/>
      <c r="AD100" s="68"/>
      <c r="AE100" s="68"/>
    </row>
    <row r="101" spans="2:31" x14ac:dyDescent="0.25">
      <c r="B101" s="68"/>
      <c r="C101" s="68"/>
      <c r="D101" s="68"/>
      <c r="E101" s="68"/>
      <c r="F101" s="68"/>
      <c r="G101" s="70"/>
      <c r="H101" s="47"/>
      <c r="I101" s="68"/>
      <c r="J101" s="68"/>
      <c r="K101" s="68"/>
      <c r="L101" s="68"/>
      <c r="M101" s="68"/>
      <c r="N101" s="68"/>
      <c r="O101" s="68"/>
      <c r="P101" s="68"/>
      <c r="Q101" s="70"/>
      <c r="R101" s="70"/>
      <c r="S101" s="47"/>
      <c r="T101" s="68"/>
      <c r="U101" s="69"/>
      <c r="V101" s="68"/>
      <c r="W101" s="47"/>
      <c r="X101" s="68"/>
      <c r="Y101" s="68"/>
      <c r="Z101" s="68"/>
      <c r="AA101" s="47"/>
      <c r="AB101" s="68"/>
      <c r="AC101" s="68"/>
      <c r="AD101" s="68"/>
      <c r="AE101" s="68"/>
    </row>
    <row r="102" spans="2:31" x14ac:dyDescent="0.25">
      <c r="B102" s="68"/>
      <c r="C102" s="68"/>
      <c r="D102" s="68"/>
      <c r="E102" s="68"/>
      <c r="F102" s="68"/>
      <c r="G102" s="70"/>
      <c r="H102" s="47"/>
      <c r="I102" s="68"/>
      <c r="J102" s="68"/>
      <c r="K102" s="68"/>
      <c r="L102" s="68"/>
      <c r="M102" s="68"/>
      <c r="N102" s="68"/>
      <c r="O102" s="68"/>
      <c r="P102" s="68"/>
      <c r="Q102" s="70"/>
      <c r="R102" s="70"/>
      <c r="S102" s="47"/>
      <c r="T102" s="68"/>
      <c r="U102" s="69"/>
      <c r="V102" s="68"/>
      <c r="W102" s="47"/>
      <c r="X102" s="68"/>
      <c r="Y102" s="68"/>
      <c r="Z102" s="68"/>
      <c r="AA102" s="47"/>
      <c r="AB102" s="68"/>
      <c r="AC102" s="68"/>
      <c r="AD102" s="68"/>
      <c r="AE102" s="68"/>
    </row>
    <row r="103" spans="2:31" x14ac:dyDescent="0.25">
      <c r="B103" s="68"/>
      <c r="C103" s="68"/>
      <c r="D103" s="68"/>
      <c r="E103" s="68"/>
      <c r="F103" s="68"/>
      <c r="G103" s="70"/>
      <c r="H103" s="47"/>
      <c r="I103" s="68"/>
      <c r="J103" s="68"/>
      <c r="K103" s="68"/>
      <c r="L103" s="68"/>
      <c r="M103" s="68"/>
      <c r="N103" s="68"/>
      <c r="O103" s="68"/>
      <c r="P103" s="68"/>
      <c r="Q103" s="70"/>
      <c r="R103" s="70"/>
      <c r="S103" s="47"/>
      <c r="T103" s="68"/>
      <c r="U103" s="69"/>
      <c r="V103" s="68"/>
      <c r="W103" s="47"/>
      <c r="X103" s="68"/>
      <c r="Y103" s="68"/>
      <c r="Z103" s="68"/>
      <c r="AA103" s="47"/>
      <c r="AB103" s="68"/>
      <c r="AC103" s="68"/>
      <c r="AD103" s="68"/>
      <c r="AE103" s="68"/>
    </row>
    <row r="104" spans="2:31" x14ac:dyDescent="0.25">
      <c r="B104" s="62"/>
      <c r="C104" s="62"/>
      <c r="D104" s="62"/>
      <c r="E104" s="62"/>
      <c r="F104" s="62"/>
      <c r="G104" s="80"/>
      <c r="I104" s="62"/>
      <c r="J104" s="62"/>
      <c r="K104" s="62"/>
      <c r="L104" s="62"/>
      <c r="M104" s="62"/>
      <c r="N104" s="62"/>
      <c r="O104" s="62"/>
      <c r="P104" s="62"/>
      <c r="Q104" s="70"/>
      <c r="R104" s="70"/>
      <c r="T104" s="68"/>
      <c r="U104" s="63"/>
      <c r="V104" s="68"/>
      <c r="X104" s="68"/>
      <c r="Y104" s="68"/>
      <c r="Z104" s="68"/>
      <c r="AB104" s="68"/>
      <c r="AC104" s="68"/>
      <c r="AD104" s="68"/>
      <c r="AE104" s="68"/>
    </row>
    <row r="105" spans="2:31" x14ac:dyDescent="0.25">
      <c r="B105" s="62"/>
      <c r="C105" s="62"/>
      <c r="D105" s="62"/>
      <c r="E105" s="62"/>
      <c r="F105" s="62"/>
      <c r="G105" s="80"/>
      <c r="I105" s="62"/>
      <c r="J105" s="62"/>
      <c r="K105" s="62"/>
      <c r="L105" s="62"/>
      <c r="M105" s="62"/>
      <c r="N105" s="62"/>
      <c r="O105" s="62"/>
      <c r="P105" s="62"/>
      <c r="Q105" s="70"/>
      <c r="R105" s="70"/>
      <c r="T105" s="68"/>
      <c r="U105" s="63"/>
      <c r="V105" s="68"/>
      <c r="X105" s="68"/>
      <c r="Y105" s="68"/>
      <c r="Z105" s="68"/>
      <c r="AB105" s="68"/>
      <c r="AC105" s="68"/>
      <c r="AD105" s="68"/>
      <c r="AE105" s="68"/>
    </row>
  </sheetData>
  <autoFilter ref="B12:AE99">
    <sortState ref="B13:AA99">
      <sortCondition ref="C12:C99"/>
    </sortState>
  </autoFilter>
  <mergeCells count="8">
    <mergeCell ref="X11:Z11"/>
    <mergeCell ref="AB11:AE11"/>
    <mergeCell ref="T11:V11"/>
    <mergeCell ref="C7:G7"/>
    <mergeCell ref="B11:G11"/>
    <mergeCell ref="I11:K11"/>
    <mergeCell ref="L11:N11"/>
    <mergeCell ref="O11:R11"/>
  </mergeCells>
  <conditionalFormatting sqref="T99 T13:T96">
    <cfRule type="cellIs" dxfId="792" priority="48" operator="equal">
      <formula>"Testes utilizador"</formula>
    </cfRule>
  </conditionalFormatting>
  <conditionalFormatting sqref="T97">
    <cfRule type="cellIs" dxfId="791" priority="43" operator="equal">
      <formula>"Testes utilizador"</formula>
    </cfRule>
  </conditionalFormatting>
  <conditionalFormatting sqref="X13">
    <cfRule type="cellIs" dxfId="790" priority="33" operator="equal">
      <formula>"Testes utilizador"</formula>
    </cfRule>
  </conditionalFormatting>
  <conditionalFormatting sqref="X99 X14:X96">
    <cfRule type="cellIs" dxfId="789" priority="28" operator="equal">
      <formula>"Testes utilizador"</formula>
    </cfRule>
  </conditionalFormatting>
  <conditionalFormatting sqref="T98">
    <cfRule type="cellIs" dxfId="788" priority="1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9" operator="equal" id="{F0858123-4178-4327-9939-E15FEC3313B1}">
            <xm:f>'Tabelas AUX'!$E$8</xm:f>
            <x14:dxf>
              <font>
                <color theme="8"/>
              </font>
            </x14:dxf>
          </x14:cfRule>
          <x14:cfRule type="cellIs" priority="60" operator="equal" id="{9F82712E-0CDA-4B31-8306-232937C149B8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m:sqref>T100:T101</xm:sqref>
        </x14:conditionalFormatting>
        <x14:conditionalFormatting xmlns:xm="http://schemas.microsoft.com/office/excel/2006/main">
          <x14:cfRule type="cellIs" priority="61" operator="equal" id="{48646131-FE3D-473F-BE2C-456F47C7D4F0}">
            <xm:f>'Tabelas AUX'!$E$5</xm:f>
            <x14:dxf>
              <font>
                <color rgb="FF00B050"/>
              </font>
            </x14:dxf>
          </x14:cfRule>
          <x14:cfRule type="cellIs" priority="62" operator="equal" id="{2CDAA3E4-4F56-4531-9E47-8A83758FE3B1}">
            <xm:f>'Tabelas AUX'!$E$4</xm:f>
            <x14:dxf>
              <font>
                <color rgb="FF7F7F7F"/>
              </font>
            </x14:dxf>
          </x14:cfRule>
          <x14:cfRule type="cellIs" priority="63" operator="equal" id="{77B9675F-4F96-4FA0-8161-D7518F6FFAF3}">
            <xm:f>'Tabelas AUX'!$E$3</xm:f>
            <x14:dxf>
              <font>
                <color theme="5"/>
              </font>
            </x14:dxf>
          </x14:cfRule>
          <x14:cfRule type="cellIs" priority="64" operator="equal" id="{700FE01A-76C1-4F06-8B4C-5223C537C3BD}">
            <xm:f>'Tabelas AUX'!$E$2</xm:f>
            <x14:dxf>
              <font>
                <color rgb="FFC00000"/>
              </font>
            </x14:dxf>
          </x14:cfRule>
          <xm:sqref>T100:T1048576</xm:sqref>
        </x14:conditionalFormatting>
        <x14:conditionalFormatting xmlns:xm="http://schemas.microsoft.com/office/excel/2006/main">
          <x14:cfRule type="cellIs" priority="53" operator="equal" id="{0582D1F8-9B3E-4975-B773-2E605C369BD2}">
            <xm:f>'Tabelas AUX'!$E$8</xm:f>
            <x14:dxf>
              <font>
                <color theme="8"/>
              </font>
            </x14:dxf>
          </x14:cfRule>
          <x14:cfRule type="cellIs" priority="54" operator="equal" id="{E465D366-2717-4EB9-ACBE-F0CCEED0FF28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m:sqref>X100:X101</xm:sqref>
        </x14:conditionalFormatting>
        <x14:conditionalFormatting xmlns:xm="http://schemas.microsoft.com/office/excel/2006/main">
          <x14:cfRule type="cellIs" priority="55" operator="equal" id="{5D864E75-D878-4369-ADF3-F288D681A979}">
            <xm:f>'Tabelas AUX'!$E$5</xm:f>
            <x14:dxf>
              <font>
                <color rgb="FF00B050"/>
              </font>
            </x14:dxf>
          </x14:cfRule>
          <x14:cfRule type="cellIs" priority="56" operator="equal" id="{81E45520-1064-4FD9-ACDC-226D79C8A81F}">
            <xm:f>'Tabelas AUX'!$E$4</xm:f>
            <x14:dxf>
              <font>
                <color rgb="FF7F7F7F"/>
              </font>
            </x14:dxf>
          </x14:cfRule>
          <x14:cfRule type="cellIs" priority="57" operator="equal" id="{478B8594-84A8-48A8-8252-032AA81A9DEA}">
            <xm:f>'Tabelas AUX'!$E$3</xm:f>
            <x14:dxf>
              <font>
                <color theme="5"/>
              </font>
            </x14:dxf>
          </x14:cfRule>
          <x14:cfRule type="cellIs" priority="58" operator="equal" id="{5688EFB3-81AB-41CA-94C4-B96AEE217A98}">
            <xm:f>'Tabelas AUX'!$E$2</xm:f>
            <x14:dxf>
              <font>
                <color rgb="FFC00000"/>
              </font>
            </x14:dxf>
          </x14:cfRule>
          <xm:sqref>X100:X101</xm:sqref>
        </x14:conditionalFormatting>
        <x14:conditionalFormatting xmlns:xm="http://schemas.microsoft.com/office/excel/2006/main">
          <x14:cfRule type="cellIs" priority="49" operator="equal" id="{04FD2156-965E-478E-9D52-F0C008F7F823}">
            <xm:f>'Tabelas AUX'!$E$5</xm:f>
            <x14:dxf>
              <font>
                <color rgb="FF00B050"/>
              </font>
            </x14:dxf>
          </x14:cfRule>
          <x14:cfRule type="cellIs" priority="50" operator="equal" id="{96B8A11D-6AB2-438F-A266-AAA9D2102A4C}">
            <xm:f>'Tabelas AUX'!$E$4</xm:f>
            <x14:dxf>
              <font>
                <color rgb="FF7F7F7F"/>
              </font>
            </x14:dxf>
          </x14:cfRule>
          <x14:cfRule type="cellIs" priority="51" operator="equal" id="{9248A103-282E-44F8-90ED-8D5D3B5169F1}">
            <xm:f>'Tabelas AUX'!$E$3</xm:f>
            <x14:dxf>
              <font>
                <color theme="5"/>
              </font>
            </x14:dxf>
          </x14:cfRule>
          <x14:cfRule type="cellIs" priority="52" operator="equal" id="{D2EF6B36-21BF-44BD-94DA-826B43E5AD74}">
            <xm:f>'Tabelas AUX'!$E$2</xm:f>
            <x14:dxf>
              <font>
                <color rgb="FFC00000"/>
              </font>
            </x14:dxf>
          </x14:cfRule>
          <xm:sqref>T99 T13:T96</xm:sqref>
        </x14:conditionalFormatting>
        <x14:conditionalFormatting xmlns:xm="http://schemas.microsoft.com/office/excel/2006/main">
          <x14:cfRule type="cellIs" priority="44" operator="equal" id="{120995FA-6778-4B15-B256-6F377C4105DA}">
            <xm:f>'Tabelas AUX'!$E$5</xm:f>
            <x14:dxf>
              <font>
                <color rgb="FF00B050"/>
              </font>
            </x14:dxf>
          </x14:cfRule>
          <x14:cfRule type="cellIs" priority="45" operator="equal" id="{6E5BF4A5-E8DA-4A91-9C22-CB628C040773}">
            <xm:f>'Tabelas AUX'!$E$4</xm:f>
            <x14:dxf>
              <font>
                <color rgb="FF7F7F7F"/>
              </font>
            </x14:dxf>
          </x14:cfRule>
          <x14:cfRule type="cellIs" priority="46" operator="equal" id="{5B09DDF1-49C3-4C6A-9F4B-0C0C2CC3FA35}">
            <xm:f>'Tabelas AUX'!$E$3</xm:f>
            <x14:dxf>
              <font>
                <color theme="5"/>
              </font>
            </x14:dxf>
          </x14:cfRule>
          <x14:cfRule type="cellIs" priority="47" operator="equal" id="{395E918D-E142-4F46-87AB-D37FDC6A31D2}">
            <xm:f>'Tabelas AUX'!$E$2</xm:f>
            <x14:dxf>
              <font>
                <color rgb="FFC00000"/>
              </font>
            </x14:dxf>
          </x14:cfRule>
          <xm:sqref>T97</xm:sqref>
        </x14:conditionalFormatting>
        <x14:conditionalFormatting xmlns:xm="http://schemas.microsoft.com/office/excel/2006/main">
          <x14:cfRule type="cellIs" priority="34" operator="equal" id="{83FD728A-8860-4E91-9941-BADA2DC2E4C6}">
            <xm:f>'Tabelas AUX'!$E$5</xm:f>
            <x14:dxf>
              <font>
                <color rgb="FF00B050"/>
              </font>
            </x14:dxf>
          </x14:cfRule>
          <x14:cfRule type="cellIs" priority="35" operator="equal" id="{E314F8C5-0901-4A8C-A3D2-DDE8FCEDDF67}">
            <xm:f>'Tabelas AUX'!$E$4</xm:f>
            <x14:dxf>
              <font>
                <color rgb="FF7F7F7F"/>
              </font>
            </x14:dxf>
          </x14:cfRule>
          <x14:cfRule type="cellIs" priority="36" operator="equal" id="{37C77537-C881-4E1A-B399-46894066B987}">
            <xm:f>'Tabelas AUX'!$E$3</xm:f>
            <x14:dxf>
              <font>
                <color theme="5"/>
              </font>
            </x14:dxf>
          </x14:cfRule>
          <x14:cfRule type="cellIs" priority="37" operator="equal" id="{1DAF8CBE-9F91-41DD-8E42-6043CD961DD3}">
            <xm:f>'Tabelas AUX'!$E$2</xm:f>
            <x14:dxf>
              <font>
                <color rgb="FFC00000"/>
              </font>
            </x14:dxf>
          </x14:cfRule>
          <xm:sqref>X13</xm:sqref>
        </x14:conditionalFormatting>
        <x14:conditionalFormatting xmlns:xm="http://schemas.microsoft.com/office/excel/2006/main">
          <x14:cfRule type="cellIs" priority="29" operator="equal" id="{310BAEDD-38CD-454E-9B2E-0DAE1C48D0C4}">
            <xm:f>'Tabelas AUX'!$E$5</xm:f>
            <x14:dxf>
              <font>
                <color rgb="FF00B050"/>
              </font>
            </x14:dxf>
          </x14:cfRule>
          <x14:cfRule type="cellIs" priority="30" operator="equal" id="{D16CB37D-40CA-4406-8BF9-757C6F959788}">
            <xm:f>'Tabelas AUX'!$E$4</xm:f>
            <x14:dxf>
              <font>
                <color rgb="FF7F7F7F"/>
              </font>
            </x14:dxf>
          </x14:cfRule>
          <x14:cfRule type="cellIs" priority="31" operator="equal" id="{ED94CAF9-4C34-4DDC-A57F-B2AEDE38B3AE}">
            <xm:f>'Tabelas AUX'!$E$3</xm:f>
            <x14:dxf>
              <font>
                <color theme="5"/>
              </font>
            </x14:dxf>
          </x14:cfRule>
          <x14:cfRule type="cellIs" priority="32" operator="equal" id="{6056891C-A661-4B7D-97BA-DF520DA3BB80}">
            <xm:f>'Tabelas AUX'!$E$2</xm:f>
            <x14:dxf>
              <font>
                <color rgb="FFC00000"/>
              </font>
            </x14:dxf>
          </x14:cfRule>
          <xm:sqref>X99 X14:X96</xm:sqref>
        </x14:conditionalFormatting>
        <x14:conditionalFormatting xmlns:xm="http://schemas.microsoft.com/office/excel/2006/main">
          <x14:cfRule type="cellIs" priority="17" operator="equal" id="{D15C7220-33A1-425B-8E32-32E185452ABE}">
            <xm:f>'Tabelas AUX'!$E$8</xm:f>
            <x14:dxf>
              <font>
                <color theme="8"/>
              </font>
            </x14:dxf>
          </x14:cfRule>
          <x14:cfRule type="cellIs" priority="18" operator="equal" id="{65E80B40-583A-413C-BF66-40E3A8A8E6C7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m:sqref>X97</xm:sqref>
        </x14:conditionalFormatting>
        <x14:conditionalFormatting xmlns:xm="http://schemas.microsoft.com/office/excel/2006/main">
          <x14:cfRule type="cellIs" priority="19" operator="equal" id="{DB9B4E7D-2941-4F25-A34E-FE335D337B45}">
            <xm:f>'Tabelas AUX'!$E$5</xm:f>
            <x14:dxf>
              <font>
                <color rgb="FF00B050"/>
              </font>
            </x14:dxf>
          </x14:cfRule>
          <x14:cfRule type="cellIs" priority="20" operator="equal" id="{341BF29C-854C-48FC-A1A1-0039701CC146}">
            <xm:f>'Tabelas AUX'!$E$4</xm:f>
            <x14:dxf>
              <font>
                <color rgb="FF7F7F7F"/>
              </font>
            </x14:dxf>
          </x14:cfRule>
          <x14:cfRule type="cellIs" priority="21" operator="equal" id="{30052198-8F4A-47DB-9676-4B5EF28367A1}">
            <xm:f>'Tabelas AUX'!$E$3</xm:f>
            <x14:dxf>
              <font>
                <color theme="5"/>
              </font>
            </x14:dxf>
          </x14:cfRule>
          <x14:cfRule type="cellIs" priority="22" operator="equal" id="{367E45FD-EA89-4C62-8C1F-083507F54E5A}">
            <xm:f>'Tabelas AUX'!$E$2</xm:f>
            <x14:dxf>
              <font>
                <color rgb="FFC00000"/>
              </font>
            </x14:dxf>
          </x14:cfRule>
          <xm:sqref>X97</xm:sqref>
        </x14:conditionalFormatting>
        <x14:conditionalFormatting xmlns:xm="http://schemas.microsoft.com/office/excel/2006/main">
          <x14:cfRule type="cellIs" priority="11" operator="equal" id="{3B143302-6D2C-4337-A4FC-596E69448CF2}">
            <xm:f>'Tabelas AUX'!$E$8</xm:f>
            <x14:dxf>
              <font>
                <color theme="8"/>
              </font>
            </x14:dxf>
          </x14:cfRule>
          <x14:cfRule type="cellIs" priority="12" operator="equal" id="{0904B128-6648-409B-B8D8-33BA2496590F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m:sqref>X98</xm:sqref>
        </x14:conditionalFormatting>
        <x14:conditionalFormatting xmlns:xm="http://schemas.microsoft.com/office/excel/2006/main">
          <x14:cfRule type="cellIs" priority="13" operator="equal" id="{25B9989B-EB2B-45E2-A214-A91B123F6F85}">
            <xm:f>'Tabelas AUX'!$E$5</xm:f>
            <x14:dxf>
              <font>
                <color rgb="FF00B050"/>
              </font>
            </x14:dxf>
          </x14:cfRule>
          <x14:cfRule type="cellIs" priority="14" operator="equal" id="{4A10F039-67E3-46EC-80E7-0BADB227F06F}">
            <xm:f>'Tabelas AUX'!$E$4</xm:f>
            <x14:dxf>
              <font>
                <color rgb="FF7F7F7F"/>
              </font>
            </x14:dxf>
          </x14:cfRule>
          <x14:cfRule type="cellIs" priority="15" operator="equal" id="{1BDEC8D1-52E5-46B5-B56D-21D994263313}">
            <xm:f>'Tabelas AUX'!$E$3</xm:f>
            <x14:dxf>
              <font>
                <color theme="5"/>
              </font>
            </x14:dxf>
          </x14:cfRule>
          <x14:cfRule type="cellIs" priority="16" operator="equal" id="{6960992F-D656-412B-8082-FB288E183E8B}">
            <xm:f>'Tabelas AUX'!$E$2</xm:f>
            <x14:dxf>
              <font>
                <color rgb="FFC00000"/>
              </font>
            </x14:dxf>
          </x14:cfRule>
          <xm:sqref>X98</xm:sqref>
        </x14:conditionalFormatting>
        <x14:conditionalFormatting xmlns:xm="http://schemas.microsoft.com/office/excel/2006/main">
          <x14:cfRule type="cellIs" priority="2" operator="equal" id="{3F74EEE0-25F5-432D-B177-C36C4A861373}">
            <xm:f>'Tabelas AUX'!$E$5</xm:f>
            <x14:dxf>
              <font>
                <color rgb="FF00B050"/>
              </font>
            </x14:dxf>
          </x14:cfRule>
          <x14:cfRule type="cellIs" priority="3" operator="equal" id="{46E91532-3285-439E-8A1A-FD463C3BABF7}">
            <xm:f>'Tabelas AUX'!$E$4</xm:f>
            <x14:dxf>
              <font>
                <color rgb="FF7F7F7F"/>
              </font>
            </x14:dxf>
          </x14:cfRule>
          <x14:cfRule type="cellIs" priority="4" operator="equal" id="{89172EE3-0235-4922-B1E1-7C540FCBA7EC}">
            <xm:f>'Tabelas AUX'!$E$3</xm:f>
            <x14:dxf>
              <font>
                <color theme="5"/>
              </font>
            </x14:dxf>
          </x14:cfRule>
          <x14:cfRule type="cellIs" priority="5" operator="equal" id="{FC988E37-BC37-45E8-9831-68CA6EABB0FB}">
            <xm:f>'Tabelas AUX'!$E$2</xm:f>
            <x14:dxf>
              <font>
                <color rgb="FFC00000"/>
              </font>
            </x14:dxf>
          </x14:cfRule>
          <xm:sqref>T98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'Tabelas AUX'!$E$2:$E$5</xm:f>
          </x14:formula1>
          <xm:sqref>T13:T99</xm:sqref>
        </x14:dataValidation>
        <x14:dataValidation type="list" allowBlank="1" showInputMessage="1" showErrorMessage="1">
          <x14:formula1>
            <xm:f>'Tabelas AUX'!$G$2:$G$13</xm:f>
          </x14:formula1>
          <xm:sqref>X13:X99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pageSetUpPr autoPageBreaks="0"/>
  </sheetPr>
  <dimension ref="A1:AE31"/>
  <sheetViews>
    <sheetView showGridLines="0" zoomScale="94" zoomScaleNormal="60" workbookViewId="0">
      <pane ySplit="12" topLeftCell="A13" activePane="bottomLeft" state="frozen"/>
      <selection pane="bottomLeft" activeCell="T13" sqref="T13"/>
    </sheetView>
  </sheetViews>
  <sheetFormatPr defaultRowHeight="15" outlineLevelRow="1" outlineLevelCol="1" x14ac:dyDescent="0.25"/>
  <cols>
    <col min="1" max="1" width="3.7109375" customWidth="1"/>
    <col min="2" max="2" width="30.42578125" customWidth="1"/>
    <col min="3" max="3" width="9.42578125" bestFit="1" customWidth="1"/>
    <col min="4" max="4" width="27.5703125" bestFit="1" customWidth="1"/>
    <col min="5" max="5" width="17" bestFit="1" customWidth="1"/>
    <col min="6" max="6" width="44.28515625" bestFit="1" customWidth="1"/>
    <col min="7" max="7" width="12.7109375" customWidth="1"/>
    <col min="8" max="8" width="2" customWidth="1"/>
    <col min="9" max="9" width="29.28515625" hidden="1" customWidth="1" outlineLevel="1"/>
    <col min="10" max="10" width="26.85546875" hidden="1" customWidth="1" outlineLevel="1"/>
    <col min="11" max="11" width="21" hidden="1" customWidth="1" outlineLevel="1"/>
    <col min="12" max="12" width="29.28515625" bestFit="1" customWidth="1" collapsed="1"/>
    <col min="13" max="13" width="44.28515625" customWidth="1"/>
    <col min="14" max="14" width="24.42578125" customWidth="1"/>
    <col min="15" max="15" width="20.28515625" hidden="1" customWidth="1" outlineLevel="1"/>
    <col min="16" max="17" width="42.42578125" hidden="1" customWidth="1" outlineLevel="1"/>
    <col min="18" max="18" width="30.5703125" hidden="1" customWidth="1" outlineLevel="1"/>
    <col min="19" max="19" width="2.140625" customWidth="1" collapsed="1"/>
    <col min="20" max="20" width="14.140625" customWidth="1" outlineLevel="1"/>
    <col min="21" max="21" width="21.42578125" customWidth="1" outlineLevel="1"/>
    <col min="22" max="22" width="42.7109375" customWidth="1" outlineLevel="1"/>
    <col min="23" max="23" width="2.140625" customWidth="1"/>
    <col min="24" max="24" width="16" bestFit="1" customWidth="1" outlineLevel="1"/>
    <col min="25" max="25" width="24.85546875" customWidth="1" outlineLevel="1"/>
    <col min="26" max="26" width="9.85546875" customWidth="1" outlineLevel="1"/>
    <col min="27" max="27" width="2.140625" customWidth="1"/>
    <col min="28" max="28" width="20.5703125" bestFit="1" customWidth="1" outlineLevel="1"/>
    <col min="29" max="29" width="18.5703125" bestFit="1" customWidth="1" outlineLevel="1"/>
    <col min="30" max="30" width="20" bestFit="1" customWidth="1" outlineLevel="1"/>
    <col min="31" max="31" width="19.42578125" customWidth="1" outlineLevel="1"/>
  </cols>
  <sheetData>
    <row r="1" spans="1:31" ht="15" customHeight="1" x14ac:dyDescent="0.25">
      <c r="B1" s="47"/>
      <c r="C1" s="47"/>
      <c r="D1" s="47"/>
      <c r="F1" s="47"/>
      <c r="G1" s="47"/>
    </row>
    <row r="2" spans="1:31" ht="34.5" customHeight="1" x14ac:dyDescent="0.25">
      <c r="B2" s="47"/>
      <c r="C2" s="47"/>
      <c r="D2" s="48"/>
      <c r="F2" s="47"/>
      <c r="G2" s="47"/>
    </row>
    <row r="3" spans="1:31" ht="2.25" customHeight="1" x14ac:dyDescent="0.25">
      <c r="A3" s="20"/>
      <c r="B3" s="49"/>
      <c r="C3" s="49"/>
      <c r="D3" s="49"/>
      <c r="E3" s="49"/>
      <c r="F3" s="49"/>
      <c r="G3" s="49"/>
    </row>
    <row r="4" spans="1:31" ht="15" customHeight="1" x14ac:dyDescent="0.25">
      <c r="B4" s="47"/>
      <c r="C4" s="47"/>
      <c r="D4" s="47"/>
      <c r="F4" s="47"/>
      <c r="G4" s="47"/>
    </row>
    <row r="5" spans="1:31" ht="15" customHeight="1" x14ac:dyDescent="0.25">
      <c r="B5" s="50" t="s">
        <v>553</v>
      </c>
      <c r="C5" s="50"/>
      <c r="D5" s="47"/>
      <c r="F5" s="47"/>
      <c r="G5" s="47"/>
    </row>
    <row r="6" spans="1:31" ht="15" customHeight="1" x14ac:dyDescent="0.25">
      <c r="B6" s="47"/>
      <c r="C6" s="47"/>
      <c r="D6" s="47"/>
      <c r="F6" s="47"/>
      <c r="G6" s="47"/>
    </row>
    <row r="7" spans="1:31" ht="129.75" hidden="1" customHeight="1" outlineLevel="1" x14ac:dyDescent="0.25">
      <c r="B7" s="51" t="s">
        <v>65</v>
      </c>
      <c r="C7" s="222" t="s">
        <v>554</v>
      </c>
      <c r="D7" s="222"/>
      <c r="E7" s="222"/>
      <c r="F7" s="222"/>
      <c r="G7" s="222"/>
      <c r="H7" s="52"/>
      <c r="I7" s="52"/>
      <c r="S7" s="52"/>
      <c r="W7" s="52"/>
      <c r="X7" s="52"/>
      <c r="AA7" s="52"/>
    </row>
    <row r="8" spans="1:31" ht="15" hidden="1" customHeight="1" outlineLevel="1" x14ac:dyDescent="0.25">
      <c r="B8" s="47"/>
      <c r="C8" s="47"/>
      <c r="D8" s="47"/>
      <c r="F8" s="47"/>
      <c r="G8" s="47"/>
    </row>
    <row r="9" spans="1:31" ht="15" hidden="1" customHeight="1" outlineLevel="1" x14ac:dyDescent="0.25">
      <c r="B9" s="47"/>
      <c r="C9" s="47"/>
      <c r="D9" s="47"/>
      <c r="F9" s="47"/>
      <c r="G9" s="47"/>
    </row>
    <row r="10" spans="1:31" ht="15" hidden="1" customHeight="1" outlineLevel="1" x14ac:dyDescent="0.25">
      <c r="B10" s="47"/>
      <c r="C10" s="47"/>
      <c r="D10" s="47"/>
      <c r="F10" s="47"/>
      <c r="G10" s="47"/>
    </row>
    <row r="11" spans="1:31" collapsed="1" x14ac:dyDescent="0.25">
      <c r="B11" s="212" t="s">
        <v>67</v>
      </c>
      <c r="C11" s="213"/>
      <c r="D11" s="213"/>
      <c r="E11" s="213"/>
      <c r="F11" s="213"/>
      <c r="G11" s="214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  <c r="X11" s="207" t="s">
        <v>72</v>
      </c>
      <c r="Y11" s="208"/>
      <c r="Z11" s="208"/>
      <c r="AB11" s="207" t="s">
        <v>255</v>
      </c>
      <c r="AC11" s="208"/>
      <c r="AD11" s="208"/>
      <c r="AE11" s="209"/>
    </row>
    <row r="12" spans="1:31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  <c r="X12" s="61" t="s">
        <v>86</v>
      </c>
      <c r="Y12" s="61" t="s">
        <v>89</v>
      </c>
      <c r="Z12" s="61" t="s">
        <v>90</v>
      </c>
      <c r="AB12" s="61" t="s">
        <v>166</v>
      </c>
      <c r="AC12" s="61" t="s">
        <v>167</v>
      </c>
      <c r="AD12" s="61" t="s">
        <v>168</v>
      </c>
      <c r="AE12" s="61" t="s">
        <v>88</v>
      </c>
    </row>
    <row r="13" spans="1:31" ht="16.5" customHeight="1" x14ac:dyDescent="0.25">
      <c r="B13" s="70" t="s">
        <v>49</v>
      </c>
      <c r="C13" s="70">
        <v>1</v>
      </c>
      <c r="D13" s="73" t="s">
        <v>260</v>
      </c>
      <c r="E13" s="70" t="s">
        <v>225</v>
      </c>
      <c r="F13" s="70" t="s">
        <v>261</v>
      </c>
      <c r="G13" s="73" t="s">
        <v>505</v>
      </c>
      <c r="H13" s="47"/>
      <c r="I13" s="70" t="s">
        <v>20</v>
      </c>
      <c r="J13" s="70" t="s">
        <v>227</v>
      </c>
      <c r="K13" s="70" t="s">
        <v>263</v>
      </c>
      <c r="L13" s="70" t="s">
        <v>29</v>
      </c>
      <c r="M13" s="70" t="s">
        <v>33</v>
      </c>
      <c r="N13" s="70" t="s">
        <v>260</v>
      </c>
      <c r="O13" s="70" t="s">
        <v>264</v>
      </c>
      <c r="P13" s="70"/>
      <c r="Q13" s="70"/>
      <c r="R13" s="70"/>
      <c r="S13" s="47"/>
      <c r="T13" s="75" t="s">
        <v>97</v>
      </c>
      <c r="U13" s="69">
        <v>44812</v>
      </c>
      <c r="V13" s="72"/>
      <c r="W13" s="47"/>
      <c r="X13" s="75" t="s">
        <v>97</v>
      </c>
      <c r="Y13" s="135">
        <v>45250</v>
      </c>
      <c r="Z13" s="69"/>
      <c r="AA13" s="47"/>
      <c r="AB13" s="69" t="s">
        <v>269</v>
      </c>
      <c r="AC13" s="69" t="s">
        <v>269</v>
      </c>
      <c r="AD13" s="69">
        <v>45302</v>
      </c>
      <c r="AE13" s="69"/>
    </row>
    <row r="14" spans="1:31" ht="15" customHeight="1" x14ac:dyDescent="0.25">
      <c r="B14" s="70" t="s">
        <v>49</v>
      </c>
      <c r="C14" s="70">
        <v>2</v>
      </c>
      <c r="D14" s="73" t="s">
        <v>265</v>
      </c>
      <c r="E14" s="70" t="s">
        <v>225</v>
      </c>
      <c r="F14" s="70" t="s">
        <v>266</v>
      </c>
      <c r="G14" s="73" t="s">
        <v>505</v>
      </c>
      <c r="H14" s="47"/>
      <c r="I14" s="70" t="s">
        <v>20</v>
      </c>
      <c r="J14" s="70" t="s">
        <v>227</v>
      </c>
      <c r="K14" s="70" t="s">
        <v>228</v>
      </c>
      <c r="L14" s="70" t="s">
        <v>29</v>
      </c>
      <c r="M14" s="70" t="s">
        <v>33</v>
      </c>
      <c r="N14" s="70" t="s">
        <v>265</v>
      </c>
      <c r="O14" s="70" t="s">
        <v>264</v>
      </c>
      <c r="P14" s="70"/>
      <c r="Q14" s="70"/>
      <c r="R14" s="70"/>
      <c r="S14" s="47"/>
      <c r="T14" s="75" t="s">
        <v>97</v>
      </c>
      <c r="U14" s="69">
        <v>44812</v>
      </c>
      <c r="V14" s="72"/>
      <c r="W14" s="47"/>
      <c r="X14" s="75" t="s">
        <v>97</v>
      </c>
      <c r="Y14" s="135">
        <v>45250</v>
      </c>
      <c r="Z14" s="69"/>
      <c r="AA14" s="47"/>
      <c r="AB14" s="69" t="s">
        <v>269</v>
      </c>
      <c r="AC14" s="69" t="s">
        <v>269</v>
      </c>
      <c r="AD14" s="69">
        <v>45302</v>
      </c>
      <c r="AE14" s="69"/>
    </row>
    <row r="15" spans="1:31" ht="15" customHeight="1" x14ac:dyDescent="0.25">
      <c r="B15" s="70" t="s">
        <v>49</v>
      </c>
      <c r="C15" s="70">
        <v>3</v>
      </c>
      <c r="D15" s="73" t="s">
        <v>267</v>
      </c>
      <c r="E15" s="70" t="s">
        <v>225</v>
      </c>
      <c r="F15" s="70" t="s">
        <v>268</v>
      </c>
      <c r="G15" s="73" t="s">
        <v>505</v>
      </c>
      <c r="H15" s="47"/>
      <c r="I15" s="70" t="s">
        <v>20</v>
      </c>
      <c r="J15" s="70" t="s">
        <v>227</v>
      </c>
      <c r="K15" s="70" t="s">
        <v>231</v>
      </c>
      <c r="L15" s="70" t="s">
        <v>29</v>
      </c>
      <c r="M15" s="70" t="s">
        <v>33</v>
      </c>
      <c r="N15" s="70" t="s">
        <v>267</v>
      </c>
      <c r="O15" s="70" t="s">
        <v>264</v>
      </c>
      <c r="P15" s="70"/>
      <c r="Q15" s="70"/>
      <c r="R15" s="70"/>
      <c r="S15" s="47"/>
      <c r="T15" s="75" t="s">
        <v>97</v>
      </c>
      <c r="U15" s="69">
        <v>44812</v>
      </c>
      <c r="V15" s="72"/>
      <c r="W15" s="47"/>
      <c r="X15" s="75" t="s">
        <v>97</v>
      </c>
      <c r="Y15" s="135">
        <v>45250</v>
      </c>
      <c r="Z15" s="69"/>
      <c r="AA15" s="47"/>
      <c r="AB15" s="69" t="s">
        <v>269</v>
      </c>
      <c r="AC15" s="69" t="s">
        <v>269</v>
      </c>
      <c r="AD15" s="69">
        <v>45302</v>
      </c>
      <c r="AE15" s="69"/>
    </row>
    <row r="16" spans="1:31" ht="15" customHeight="1" x14ac:dyDescent="0.25">
      <c r="B16" s="70" t="s">
        <v>49</v>
      </c>
      <c r="C16" s="70">
        <v>4</v>
      </c>
      <c r="D16" s="73" t="s">
        <v>270</v>
      </c>
      <c r="E16" s="70" t="s">
        <v>225</v>
      </c>
      <c r="F16" s="70" t="s">
        <v>271</v>
      </c>
      <c r="G16" s="73" t="s">
        <v>505</v>
      </c>
      <c r="H16" s="47"/>
      <c r="I16" s="70" t="s">
        <v>20</v>
      </c>
      <c r="J16" s="70" t="s">
        <v>227</v>
      </c>
      <c r="K16" s="70" t="s">
        <v>234</v>
      </c>
      <c r="L16" s="70" t="s">
        <v>29</v>
      </c>
      <c r="M16" s="70" t="s">
        <v>33</v>
      </c>
      <c r="N16" s="70" t="s">
        <v>270</v>
      </c>
      <c r="O16" s="70" t="s">
        <v>264</v>
      </c>
      <c r="P16" s="70"/>
      <c r="Q16" s="70"/>
      <c r="R16" s="70"/>
      <c r="S16" s="47"/>
      <c r="T16" s="75" t="s">
        <v>97</v>
      </c>
      <c r="U16" s="69">
        <v>44812</v>
      </c>
      <c r="V16" s="72"/>
      <c r="W16" s="47"/>
      <c r="X16" s="75" t="s">
        <v>97</v>
      </c>
      <c r="Y16" s="135">
        <v>45250</v>
      </c>
      <c r="Z16" s="69"/>
      <c r="AA16" s="47"/>
      <c r="AB16" s="69" t="s">
        <v>269</v>
      </c>
      <c r="AC16" s="69" t="s">
        <v>269</v>
      </c>
      <c r="AD16" s="69">
        <v>45302</v>
      </c>
      <c r="AE16" s="69"/>
    </row>
    <row r="17" spans="2:31" ht="45" x14ac:dyDescent="0.25">
      <c r="B17" s="70" t="s">
        <v>49</v>
      </c>
      <c r="C17" s="70">
        <v>5</v>
      </c>
      <c r="D17" s="70" t="s">
        <v>980</v>
      </c>
      <c r="E17" s="70" t="s">
        <v>225</v>
      </c>
      <c r="F17" s="70" t="s">
        <v>981</v>
      </c>
      <c r="G17" s="70"/>
      <c r="H17" s="47"/>
      <c r="I17" s="70"/>
      <c r="J17" s="70"/>
      <c r="K17" s="70"/>
      <c r="L17" s="70" t="s">
        <v>982</v>
      </c>
      <c r="M17" s="70" t="s">
        <v>983</v>
      </c>
      <c r="N17" s="70" t="s">
        <v>980</v>
      </c>
      <c r="O17" s="70"/>
      <c r="P17" s="70"/>
      <c r="Q17" s="70"/>
      <c r="R17" s="70" t="s">
        <v>984</v>
      </c>
      <c r="S17" s="47"/>
      <c r="T17" s="75" t="s">
        <v>97</v>
      </c>
      <c r="U17" s="69">
        <v>45093</v>
      </c>
      <c r="V17" s="111" t="s">
        <v>985</v>
      </c>
      <c r="W17" s="47"/>
      <c r="X17" s="145" t="s">
        <v>153</v>
      </c>
      <c r="Y17" s="135">
        <v>45250</v>
      </c>
      <c r="Z17" s="68"/>
      <c r="AA17" s="47"/>
      <c r="AB17" s="69">
        <v>45302</v>
      </c>
      <c r="AC17" s="68"/>
      <c r="AD17" s="68"/>
      <c r="AE17" s="70"/>
    </row>
    <row r="18" spans="2:31" ht="45" x14ac:dyDescent="0.25">
      <c r="B18" s="70" t="s">
        <v>49</v>
      </c>
      <c r="C18" s="70">
        <v>6</v>
      </c>
      <c r="D18" s="102" t="s">
        <v>986</v>
      </c>
      <c r="E18" s="70" t="s">
        <v>461</v>
      </c>
      <c r="F18" s="68" t="s">
        <v>987</v>
      </c>
      <c r="G18" s="68"/>
      <c r="H18" s="47"/>
      <c r="I18" s="68"/>
      <c r="J18" s="68"/>
      <c r="K18" s="68"/>
      <c r="L18" s="70" t="s">
        <v>982</v>
      </c>
      <c r="M18" s="70" t="s">
        <v>983</v>
      </c>
      <c r="N18" s="102" t="s">
        <v>986</v>
      </c>
      <c r="O18" s="68"/>
      <c r="P18" s="68"/>
      <c r="Q18" s="70"/>
      <c r="R18" s="70" t="s">
        <v>984</v>
      </c>
      <c r="S18" s="47"/>
      <c r="T18" s="75" t="s">
        <v>97</v>
      </c>
      <c r="U18" s="69">
        <v>45093</v>
      </c>
      <c r="V18" s="72"/>
      <c r="W18" s="47"/>
      <c r="X18" s="145" t="s">
        <v>153</v>
      </c>
      <c r="Y18" s="135">
        <v>45250</v>
      </c>
      <c r="Z18" s="69"/>
      <c r="AA18" s="47"/>
      <c r="AB18" s="69">
        <v>45302</v>
      </c>
      <c r="AC18" s="69"/>
      <c r="AD18" s="69"/>
      <c r="AE18" s="69"/>
    </row>
    <row r="19" spans="2:31" ht="45" x14ac:dyDescent="0.25">
      <c r="B19" s="70" t="s">
        <v>49</v>
      </c>
      <c r="C19" s="70">
        <v>7</v>
      </c>
      <c r="D19" s="102" t="s">
        <v>988</v>
      </c>
      <c r="E19" s="70" t="s">
        <v>461</v>
      </c>
      <c r="F19" s="68" t="s">
        <v>989</v>
      </c>
      <c r="G19" s="68"/>
      <c r="H19" s="47"/>
      <c r="I19" s="68"/>
      <c r="J19" s="68"/>
      <c r="K19" s="68"/>
      <c r="L19" s="70" t="s">
        <v>982</v>
      </c>
      <c r="M19" s="70" t="s">
        <v>983</v>
      </c>
      <c r="N19" s="102" t="s">
        <v>988</v>
      </c>
      <c r="O19" s="68"/>
      <c r="P19" s="68"/>
      <c r="Q19" s="70"/>
      <c r="R19" s="70" t="s">
        <v>984</v>
      </c>
      <c r="S19" s="47"/>
      <c r="T19" s="75" t="s">
        <v>97</v>
      </c>
      <c r="U19" s="69">
        <v>45093</v>
      </c>
      <c r="V19" s="126" t="s">
        <v>990</v>
      </c>
      <c r="W19" s="47"/>
      <c r="X19" s="145" t="s">
        <v>153</v>
      </c>
      <c r="Y19" s="135">
        <v>45250</v>
      </c>
      <c r="Z19" s="69"/>
      <c r="AA19" s="47"/>
      <c r="AB19" s="69">
        <v>45302</v>
      </c>
      <c r="AC19" s="69"/>
      <c r="AD19" s="69"/>
      <c r="AE19" s="69"/>
    </row>
    <row r="20" spans="2:31" ht="45" x14ac:dyDescent="0.25">
      <c r="B20" s="70" t="s">
        <v>49</v>
      </c>
      <c r="C20" s="70">
        <v>8</v>
      </c>
      <c r="D20" s="102" t="s">
        <v>991</v>
      </c>
      <c r="E20" s="70" t="s">
        <v>225</v>
      </c>
      <c r="F20" s="68" t="s">
        <v>992</v>
      </c>
      <c r="G20" s="68"/>
      <c r="H20" s="47"/>
      <c r="I20" s="68"/>
      <c r="J20" s="68"/>
      <c r="K20" s="68"/>
      <c r="L20" s="70" t="s">
        <v>982</v>
      </c>
      <c r="M20" s="70" t="s">
        <v>983</v>
      </c>
      <c r="N20" s="102" t="s">
        <v>991</v>
      </c>
      <c r="O20" s="68"/>
      <c r="P20" s="68"/>
      <c r="Q20" s="70"/>
      <c r="R20" s="70" t="s">
        <v>984</v>
      </c>
      <c r="S20" s="47"/>
      <c r="T20" s="75" t="s">
        <v>97</v>
      </c>
      <c r="U20" s="69">
        <v>45093</v>
      </c>
      <c r="V20" s="126" t="s">
        <v>993</v>
      </c>
      <c r="W20" s="47"/>
      <c r="X20" s="145" t="s">
        <v>153</v>
      </c>
      <c r="Y20" s="135">
        <v>45250</v>
      </c>
      <c r="Z20" s="69"/>
      <c r="AA20" s="47"/>
      <c r="AB20" s="69">
        <v>45302</v>
      </c>
      <c r="AC20" s="69"/>
      <c r="AD20" s="69"/>
      <c r="AE20" s="69"/>
    </row>
    <row r="21" spans="2:31" ht="90" x14ac:dyDescent="0.25">
      <c r="B21" s="70" t="s">
        <v>49</v>
      </c>
      <c r="C21" s="70">
        <v>9</v>
      </c>
      <c r="D21" s="70" t="s">
        <v>994</v>
      </c>
      <c r="E21" s="70" t="s">
        <v>461</v>
      </c>
      <c r="F21" s="70" t="s">
        <v>995</v>
      </c>
      <c r="G21" s="70"/>
      <c r="H21" s="47"/>
      <c r="I21" s="70" t="s">
        <v>20</v>
      </c>
      <c r="J21" s="70" t="s">
        <v>308</v>
      </c>
      <c r="K21" s="70" t="s">
        <v>996</v>
      </c>
      <c r="L21" s="70" t="s">
        <v>982</v>
      </c>
      <c r="M21" s="70" t="s">
        <v>983</v>
      </c>
      <c r="N21" s="70" t="s">
        <v>994</v>
      </c>
      <c r="O21" s="70"/>
      <c r="P21" s="70"/>
      <c r="Q21" s="70"/>
      <c r="R21" s="70" t="s">
        <v>984</v>
      </c>
      <c r="S21" s="47"/>
      <c r="T21" s="75" t="s">
        <v>97</v>
      </c>
      <c r="U21" s="69">
        <v>45093</v>
      </c>
      <c r="V21" s="111" t="s">
        <v>997</v>
      </c>
      <c r="W21" s="47"/>
      <c r="X21" s="145" t="s">
        <v>153</v>
      </c>
      <c r="Y21" s="135">
        <v>45250</v>
      </c>
      <c r="Z21" s="68"/>
      <c r="AA21" s="47"/>
      <c r="AB21" s="69">
        <v>45302</v>
      </c>
      <c r="AC21" s="68"/>
      <c r="AD21" s="68"/>
      <c r="AE21" s="70" t="s">
        <v>731</v>
      </c>
    </row>
    <row r="22" spans="2:31" ht="14.25" customHeight="1" x14ac:dyDescent="0.25">
      <c r="B22" s="70"/>
      <c r="C22" s="70"/>
      <c r="D22" s="70"/>
      <c r="E22" s="68"/>
      <c r="F22" s="68"/>
      <c r="G22" s="68"/>
      <c r="H22" s="47"/>
      <c r="I22" s="68"/>
      <c r="J22" s="68"/>
      <c r="K22" s="68"/>
      <c r="L22" s="68"/>
      <c r="M22" s="70"/>
      <c r="N22" s="68"/>
      <c r="O22" s="68"/>
      <c r="P22" s="68"/>
      <c r="Q22" s="70"/>
      <c r="R22" s="70"/>
      <c r="S22" s="47"/>
      <c r="T22" s="75"/>
      <c r="U22" s="69"/>
      <c r="V22" s="72"/>
      <c r="W22" s="47"/>
      <c r="X22" s="75"/>
      <c r="Y22" s="135"/>
      <c r="Z22" s="69"/>
      <c r="AA22" s="47"/>
      <c r="AB22" s="69"/>
      <c r="AC22" s="69"/>
      <c r="AD22" s="69"/>
      <c r="AE22" s="69"/>
    </row>
    <row r="23" spans="2:31" ht="75" customHeight="1" x14ac:dyDescent="0.25">
      <c r="B23" s="70"/>
      <c r="C23" s="70"/>
      <c r="D23" s="70"/>
      <c r="E23" s="68"/>
      <c r="F23" s="68"/>
      <c r="G23" s="68"/>
      <c r="H23" s="47"/>
      <c r="I23" s="68"/>
      <c r="J23" s="68"/>
      <c r="K23" s="68"/>
      <c r="L23" s="68"/>
      <c r="M23" s="70"/>
      <c r="N23" s="68"/>
      <c r="O23" s="68"/>
      <c r="P23" s="68"/>
      <c r="Q23" s="70"/>
      <c r="R23" s="70"/>
      <c r="S23" s="47"/>
      <c r="T23" s="75"/>
      <c r="U23" s="69"/>
      <c r="V23" s="72"/>
      <c r="W23" s="47"/>
      <c r="X23" s="75"/>
      <c r="Y23" s="135"/>
      <c r="Z23" s="69"/>
      <c r="AA23" s="47"/>
      <c r="AB23" s="69"/>
      <c r="AC23" s="69"/>
      <c r="AD23" s="69"/>
      <c r="AE23" s="69"/>
    </row>
    <row r="24" spans="2:31" ht="75" customHeight="1" x14ac:dyDescent="0.25">
      <c r="B24" s="70"/>
      <c r="C24" s="70"/>
      <c r="D24" s="70"/>
      <c r="E24" s="68"/>
      <c r="F24" s="68"/>
      <c r="G24" s="68"/>
      <c r="H24" s="47"/>
      <c r="I24" s="68"/>
      <c r="J24" s="68"/>
      <c r="K24" s="68"/>
      <c r="L24" s="68"/>
      <c r="M24" s="70"/>
      <c r="N24" s="68"/>
      <c r="O24" s="68"/>
      <c r="P24" s="68"/>
      <c r="Q24" s="70"/>
      <c r="R24" s="70"/>
      <c r="S24" s="47"/>
      <c r="T24" s="75"/>
      <c r="U24" s="69"/>
      <c r="V24" s="72"/>
      <c r="W24" s="47"/>
      <c r="X24" s="75"/>
      <c r="Y24" s="135"/>
      <c r="Z24" s="69"/>
      <c r="AA24" s="47"/>
      <c r="AB24" s="69"/>
      <c r="AC24" s="69"/>
      <c r="AD24" s="69"/>
      <c r="AE24" s="69"/>
    </row>
    <row r="25" spans="2:31" ht="14.25" customHeight="1" x14ac:dyDescent="0.25">
      <c r="B25" s="68"/>
      <c r="C25" s="68"/>
      <c r="D25" s="68"/>
      <c r="E25" s="68"/>
      <c r="F25" s="68"/>
      <c r="G25" s="68"/>
      <c r="H25" s="47"/>
      <c r="I25" s="68"/>
      <c r="J25" s="68"/>
      <c r="K25" s="68"/>
      <c r="L25" s="68"/>
      <c r="M25" s="68"/>
      <c r="N25" s="68"/>
      <c r="O25" s="68"/>
      <c r="P25" s="68"/>
      <c r="Q25" s="70"/>
      <c r="R25" s="70"/>
      <c r="S25" s="47"/>
      <c r="T25" s="68"/>
      <c r="U25" s="69"/>
      <c r="V25" s="72"/>
      <c r="W25" s="47"/>
      <c r="X25" s="68"/>
      <c r="Y25" s="69"/>
      <c r="Z25" s="69"/>
      <c r="AA25" s="47"/>
      <c r="AB25" s="69"/>
      <c r="AC25" s="69"/>
      <c r="AD25" s="69"/>
      <c r="AE25" s="69"/>
    </row>
    <row r="26" spans="2:31" ht="14.25" customHeight="1" x14ac:dyDescent="0.25">
      <c r="B26" s="68"/>
      <c r="C26" s="68"/>
      <c r="D26" s="68"/>
      <c r="E26" s="68"/>
      <c r="F26" s="68"/>
      <c r="G26" s="68"/>
      <c r="H26" s="47"/>
      <c r="I26" s="68"/>
      <c r="J26" s="68"/>
      <c r="K26" s="68"/>
      <c r="L26" s="68"/>
      <c r="M26" s="68"/>
      <c r="N26" s="68"/>
      <c r="O26" s="68"/>
      <c r="P26" s="68"/>
      <c r="Q26" s="70"/>
      <c r="R26" s="70"/>
      <c r="S26" s="47"/>
      <c r="T26" s="68"/>
      <c r="U26" s="69"/>
      <c r="V26" s="72"/>
      <c r="W26" s="47"/>
      <c r="X26" s="68"/>
      <c r="Y26" s="69"/>
      <c r="Z26" s="69"/>
      <c r="AA26" s="47"/>
      <c r="AB26" s="69"/>
      <c r="AC26" s="69"/>
      <c r="AD26" s="69"/>
      <c r="AE26" s="69"/>
    </row>
    <row r="27" spans="2:31" ht="14.25" customHeight="1" x14ac:dyDescent="0.25">
      <c r="B27" s="68"/>
      <c r="C27" s="68"/>
      <c r="D27" s="68"/>
      <c r="E27" s="68"/>
      <c r="F27" s="68"/>
      <c r="G27" s="68"/>
      <c r="H27" s="47"/>
      <c r="I27" s="68"/>
      <c r="J27" s="68"/>
      <c r="K27" s="68"/>
      <c r="L27" s="68"/>
      <c r="M27" s="68"/>
      <c r="N27" s="68"/>
      <c r="O27" s="68"/>
      <c r="P27" s="68"/>
      <c r="Q27" s="70"/>
      <c r="R27" s="70"/>
      <c r="S27" s="47"/>
      <c r="T27" s="68"/>
      <c r="U27" s="69"/>
      <c r="V27" s="72"/>
      <c r="W27" s="47"/>
      <c r="X27" s="68"/>
      <c r="Y27" s="69"/>
      <c r="Z27" s="69"/>
      <c r="AA27" s="47"/>
      <c r="AB27" s="69"/>
      <c r="AC27" s="69"/>
      <c r="AD27" s="69"/>
      <c r="AE27" s="69"/>
    </row>
    <row r="28" spans="2:31" ht="14.25" customHeight="1" x14ac:dyDescent="0.25">
      <c r="B28" s="68"/>
      <c r="C28" s="68"/>
      <c r="D28" s="68"/>
      <c r="E28" s="68"/>
      <c r="F28" s="68"/>
      <c r="G28" s="68"/>
      <c r="H28" s="47"/>
      <c r="I28" s="68"/>
      <c r="J28" s="68"/>
      <c r="K28" s="68"/>
      <c r="L28" s="68"/>
      <c r="M28" s="68"/>
      <c r="N28" s="68"/>
      <c r="O28" s="68"/>
      <c r="P28" s="68"/>
      <c r="Q28" s="70"/>
      <c r="R28" s="70"/>
      <c r="S28" s="47"/>
      <c r="T28" s="68"/>
      <c r="U28" s="69"/>
      <c r="V28" s="72"/>
      <c r="W28" s="47"/>
      <c r="X28" s="68"/>
      <c r="Y28" s="69"/>
      <c r="Z28" s="69"/>
      <c r="AA28" s="47"/>
      <c r="AB28" s="69"/>
      <c r="AC28" s="69"/>
      <c r="AD28" s="69"/>
      <c r="AE28" s="69"/>
    </row>
    <row r="29" spans="2:31" ht="14.25" customHeight="1" x14ac:dyDescent="0.25">
      <c r="B29" s="68"/>
      <c r="C29" s="68"/>
      <c r="D29" s="68"/>
      <c r="E29" s="68"/>
      <c r="F29" s="68"/>
      <c r="G29" s="68"/>
      <c r="H29" s="47"/>
      <c r="I29" s="68"/>
      <c r="J29" s="68"/>
      <c r="K29" s="68"/>
      <c r="L29" s="68"/>
      <c r="M29" s="68"/>
      <c r="N29" s="68"/>
      <c r="O29" s="68"/>
      <c r="P29" s="68"/>
      <c r="Q29" s="70"/>
      <c r="R29" s="70"/>
      <c r="S29" s="47"/>
      <c r="T29" s="68"/>
      <c r="U29" s="69"/>
      <c r="V29" s="72"/>
      <c r="W29" s="47"/>
      <c r="X29" s="68"/>
      <c r="Y29" s="69"/>
      <c r="Z29" s="69"/>
      <c r="AA29" s="47"/>
      <c r="AB29" s="69"/>
      <c r="AC29" s="69"/>
      <c r="AD29" s="69"/>
      <c r="AE29" s="69"/>
    </row>
    <row r="30" spans="2:31" ht="14.25" customHeight="1" x14ac:dyDescent="0.25">
      <c r="B30" s="68"/>
      <c r="C30" s="68"/>
      <c r="D30" s="68"/>
      <c r="E30" s="68"/>
      <c r="F30" s="68"/>
      <c r="G30" s="68"/>
      <c r="H30" s="47"/>
      <c r="I30" s="68"/>
      <c r="J30" s="68"/>
      <c r="K30" s="68"/>
      <c r="L30" s="68"/>
      <c r="M30" s="68"/>
      <c r="N30" s="68"/>
      <c r="O30" s="68"/>
      <c r="P30" s="68"/>
      <c r="Q30" s="70"/>
      <c r="R30" s="70"/>
      <c r="S30" s="47"/>
      <c r="T30" s="68"/>
      <c r="U30" s="69"/>
      <c r="V30" s="72"/>
      <c r="W30" s="47"/>
      <c r="X30" s="68"/>
      <c r="Y30" s="69"/>
      <c r="Z30" s="69"/>
      <c r="AA30" s="47"/>
      <c r="AB30" s="69"/>
      <c r="AC30" s="69"/>
      <c r="AD30" s="69"/>
      <c r="AE30" s="69"/>
    </row>
    <row r="31" spans="2:31" ht="14.25" customHeight="1" x14ac:dyDescent="0.25">
      <c r="B31" s="68"/>
      <c r="C31" s="68"/>
      <c r="D31" s="68"/>
      <c r="E31" s="68"/>
      <c r="F31" s="68"/>
      <c r="G31" s="68"/>
      <c r="H31" s="47"/>
      <c r="I31" s="68"/>
      <c r="J31" s="68"/>
      <c r="K31" s="68"/>
      <c r="L31" s="68"/>
      <c r="M31" s="68"/>
      <c r="N31" s="68"/>
      <c r="O31" s="68"/>
      <c r="P31" s="68"/>
      <c r="Q31" s="70"/>
      <c r="R31" s="70"/>
      <c r="S31" s="47"/>
      <c r="T31" s="68"/>
      <c r="U31" s="69"/>
      <c r="V31" s="72"/>
      <c r="W31" s="47"/>
      <c r="X31" s="68"/>
      <c r="Y31" s="69"/>
      <c r="Z31" s="69"/>
      <c r="AA31" s="47"/>
      <c r="AB31" s="69"/>
      <c r="AC31" s="69"/>
      <c r="AD31" s="69"/>
      <c r="AE31" s="69"/>
    </row>
  </sheetData>
  <autoFilter ref="B12:AE24">
    <sortState ref="B13:AA96">
      <sortCondition ref="C12:C95"/>
    </sortState>
  </autoFilter>
  <mergeCells count="8">
    <mergeCell ref="T11:V11"/>
    <mergeCell ref="X11:Z11"/>
    <mergeCell ref="AB11:AE11"/>
    <mergeCell ref="C7:G7"/>
    <mergeCell ref="B11:G11"/>
    <mergeCell ref="I11:K11"/>
    <mergeCell ref="L11:N11"/>
    <mergeCell ref="O11:R11"/>
  </mergeCells>
  <conditionalFormatting sqref="T13">
    <cfRule type="cellIs" dxfId="743" priority="48" operator="equal">
      <formula>"Testes utilizador"</formula>
    </cfRule>
  </conditionalFormatting>
  <conditionalFormatting sqref="T14:T21">
    <cfRule type="cellIs" dxfId="742" priority="43" operator="equal">
      <formula>"Testes utilizador"</formula>
    </cfRule>
  </conditionalFormatting>
  <conditionalFormatting sqref="X13">
    <cfRule type="cellIs" dxfId="741" priority="28" operator="equal">
      <formula>"Testes utilizador"</formula>
    </cfRule>
  </conditionalFormatting>
  <conditionalFormatting sqref="X14">
    <cfRule type="cellIs" dxfId="740" priority="23" operator="equal">
      <formula>"Testes utilizador"</formula>
    </cfRule>
  </conditionalFormatting>
  <conditionalFormatting sqref="X15">
    <cfRule type="cellIs" dxfId="739" priority="18" operator="equal">
      <formula>"Testes utilizador"</formula>
    </cfRule>
  </conditionalFormatting>
  <conditionalFormatting sqref="X16">
    <cfRule type="cellIs" dxfId="738" priority="13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8" operator="equal" id="{F9B6D589-8BB5-4EBF-A527-7BCE847E397E}">
            <xm:f>'Tabelas AUX'!$E$4</xm:f>
            <x14:dxf>
              <font>
                <color rgb="FF7F7F7F"/>
              </font>
            </x14:dxf>
          </x14:cfRule>
          <x14:cfRule type="cellIs" priority="129" operator="equal" id="{962CEC2D-3835-4D27-9C70-9F47AF5F6FDD}">
            <xm:f>'Tabelas AUX'!$E$3</xm:f>
            <x14:dxf>
              <font>
                <color theme="5"/>
              </font>
            </x14:dxf>
          </x14:cfRule>
          <x14:cfRule type="cellIs" priority="130" operator="equal" id="{F72521E1-5C93-4E22-A7BC-3C69A050D135}">
            <xm:f>'Tabelas AUX'!$E$2</xm:f>
            <x14:dxf>
              <font>
                <color rgb="FFC00000"/>
              </font>
            </x14:dxf>
          </x14:cfRule>
          <xm:sqref>T1:T12 T22:T24</xm:sqref>
        </x14:conditionalFormatting>
        <x14:conditionalFormatting xmlns:xm="http://schemas.microsoft.com/office/excel/2006/main">
          <x14:cfRule type="cellIs" priority="77" operator="equal" id="{BBCBD870-64A8-4756-9C72-24EE2A7119F5}">
            <xm:f>'Tabelas AUX'!$E$8</xm:f>
            <x14:dxf>
              <font>
                <color theme="8"/>
              </font>
            </x14:dxf>
          </x14:cfRule>
          <xm:sqref>T22:T1048576</xm:sqref>
        </x14:conditionalFormatting>
        <x14:conditionalFormatting xmlns:xm="http://schemas.microsoft.com/office/excel/2006/main">
          <x14:cfRule type="cellIs" priority="114" operator="equal" id="{5B6CBDB0-2C5A-4735-B13E-3C90C9869613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15" operator="equal" id="{C13D26F9-2D17-4009-A674-2FB825620774}">
            <xm:f>'Tabelas AUX'!$E$5</xm:f>
            <x14:dxf>
              <font>
                <color rgb="FF00B050"/>
              </font>
            </x14:dxf>
          </x14:cfRule>
          <x14:cfRule type="cellIs" priority="116" operator="equal" id="{DEB1AAD4-32A2-4170-B12A-B6A04E741DB8}">
            <xm:f>'Tabelas AUX'!$E$4</xm:f>
            <x14:dxf>
              <font>
                <color rgb="FF7F7F7F"/>
              </font>
            </x14:dxf>
          </x14:cfRule>
          <x14:cfRule type="cellIs" priority="117" operator="equal" id="{1CBEC086-FDDC-4969-A2C2-1A6E7359E8ED}">
            <xm:f>'Tabelas AUX'!$E$3</xm:f>
            <x14:dxf>
              <font>
                <color theme="5"/>
              </font>
            </x14:dxf>
          </x14:cfRule>
          <x14:cfRule type="cellIs" priority="118" operator="equal" id="{ACAD8613-FB2F-4A4A-9571-F6B22ED278E3}">
            <xm:f>'Tabelas AUX'!$E$2</xm:f>
            <x14:dxf>
              <font>
                <color rgb="FFC00000"/>
              </font>
            </x14:dxf>
          </x14:cfRule>
          <xm:sqref>T25:T1048576</xm:sqref>
        </x14:conditionalFormatting>
        <x14:conditionalFormatting xmlns:xm="http://schemas.microsoft.com/office/excel/2006/main">
          <x14:cfRule type="cellIs" priority="126" operator="equal" id="{76A55993-89ED-48CB-BBFA-BCFDF80980C0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27" operator="equal" id="{A598D6F8-CBE4-4690-8B43-CC0350C4FBA9}">
            <xm:f>'Tabelas AUX'!$E$5</xm:f>
            <x14:dxf>
              <font>
                <color rgb="FF00B050"/>
              </font>
            </x14:dxf>
          </x14:cfRule>
          <xm:sqref>T1:V12 T22:V24 U13:V16</xm:sqref>
        </x14:conditionalFormatting>
        <x14:conditionalFormatting xmlns:xm="http://schemas.microsoft.com/office/excel/2006/main">
          <x14:cfRule type="cellIs" priority="59" operator="equal" id="{889D3C43-A42E-4714-B365-E6F307836863}">
            <xm:f>'Tabelas AUX'!$E$8</xm:f>
            <x14:dxf>
              <font>
                <color theme="8"/>
              </font>
            </x14:dxf>
          </x14:cfRule>
          <x14:cfRule type="cellIs" priority="60" operator="equal" id="{3E5B8373-8CFF-46C1-90B7-4145F7CA5799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61" operator="equal" id="{F5268DEE-86E5-42CF-B3AB-E4C85EE41538}">
            <xm:f>'Tabelas AUX'!$E$5</xm:f>
            <x14:dxf>
              <font>
                <color rgb="FF00B050"/>
              </font>
            </x14:dxf>
          </x14:cfRule>
          <x14:cfRule type="cellIs" priority="62" operator="equal" id="{A3C5843A-0437-42CC-BAC7-09D0C3A7A0B1}">
            <xm:f>'Tabelas AUX'!$E$4</xm:f>
            <x14:dxf>
              <font>
                <color rgb="FF7F7F7F"/>
              </font>
            </x14:dxf>
          </x14:cfRule>
          <x14:cfRule type="cellIs" priority="63" operator="equal" id="{96EF72E0-E284-4A22-B201-5E9FA8B56403}">
            <xm:f>'Tabelas AUX'!$E$3</xm:f>
            <x14:dxf>
              <font>
                <color theme="5"/>
              </font>
            </x14:dxf>
          </x14:cfRule>
          <x14:cfRule type="cellIs" priority="64" operator="equal" id="{D21DADFA-6A82-462D-B5E3-6DAF6A5D0877}">
            <xm:f>'Tabelas AUX'!$E$2</xm:f>
            <x14:dxf>
              <font>
                <color rgb="FFC00000"/>
              </font>
            </x14:dxf>
          </x14:cfRule>
          <xm:sqref>X22:X1048576</xm:sqref>
        </x14:conditionalFormatting>
        <x14:conditionalFormatting xmlns:xm="http://schemas.microsoft.com/office/excel/2006/main">
          <x14:cfRule type="cellIs" priority="49" operator="equal" id="{33FD6568-4F0E-4CCF-91A2-9FED1CD01242}">
            <xm:f>'Tabelas AUX'!$E$5</xm:f>
            <x14:dxf>
              <font>
                <color rgb="FF00B050"/>
              </font>
            </x14:dxf>
          </x14:cfRule>
          <x14:cfRule type="cellIs" priority="50" operator="equal" id="{B386B8F0-5A20-4585-960C-A73D80E9719A}">
            <xm:f>'Tabelas AUX'!$E$4</xm:f>
            <x14:dxf>
              <font>
                <color rgb="FF7F7F7F"/>
              </font>
            </x14:dxf>
          </x14:cfRule>
          <x14:cfRule type="cellIs" priority="51" operator="equal" id="{91D9DC63-D84C-485C-820B-E472C48971D5}">
            <xm:f>'Tabelas AUX'!$E$3</xm:f>
            <x14:dxf>
              <font>
                <color theme="5"/>
              </font>
            </x14:dxf>
          </x14:cfRule>
          <x14:cfRule type="cellIs" priority="52" operator="equal" id="{338D3F2E-F936-4FDA-9BD5-E90CF4A40F9C}">
            <xm:f>'Tabelas AUX'!$E$2</xm:f>
            <x14:dxf>
              <font>
                <color rgb="FFC00000"/>
              </font>
            </x14:dxf>
          </x14:cfRule>
          <xm:sqref>T13</xm:sqref>
        </x14:conditionalFormatting>
        <x14:conditionalFormatting xmlns:xm="http://schemas.microsoft.com/office/excel/2006/main">
          <x14:cfRule type="cellIs" priority="44" operator="equal" id="{B274D060-88C5-405F-8EEE-EED2401C042B}">
            <xm:f>'Tabelas AUX'!$E$5</xm:f>
            <x14:dxf>
              <font>
                <color rgb="FF00B050"/>
              </font>
            </x14:dxf>
          </x14:cfRule>
          <x14:cfRule type="cellIs" priority="45" operator="equal" id="{094530D4-8C37-4924-898C-509731A99015}">
            <xm:f>'Tabelas AUX'!$E$4</xm:f>
            <x14:dxf>
              <font>
                <color rgb="FF7F7F7F"/>
              </font>
            </x14:dxf>
          </x14:cfRule>
          <x14:cfRule type="cellIs" priority="46" operator="equal" id="{DAFEF446-E7C9-4052-941A-76DBE35ECFA4}">
            <xm:f>'Tabelas AUX'!$E$3</xm:f>
            <x14:dxf>
              <font>
                <color theme="5"/>
              </font>
            </x14:dxf>
          </x14:cfRule>
          <x14:cfRule type="cellIs" priority="47" operator="equal" id="{B3CE7567-DF7C-4F68-A148-32B6075EC9B0}">
            <xm:f>'Tabelas AUX'!$E$2</xm:f>
            <x14:dxf>
              <font>
                <color rgb="FFC00000"/>
              </font>
            </x14:dxf>
          </x14:cfRule>
          <xm:sqref>T14:T21</xm:sqref>
        </x14:conditionalFormatting>
        <x14:conditionalFormatting xmlns:xm="http://schemas.microsoft.com/office/excel/2006/main">
          <x14:cfRule type="cellIs" priority="29" operator="equal" id="{4336E161-F282-4642-AB34-16D8EC0DC30E}">
            <xm:f>'Tabelas AUX'!$E$5</xm:f>
            <x14:dxf>
              <font>
                <color rgb="FF00B050"/>
              </font>
            </x14:dxf>
          </x14:cfRule>
          <x14:cfRule type="cellIs" priority="30" operator="equal" id="{672ADA05-A31B-409D-B65E-244A4F49245E}">
            <xm:f>'Tabelas AUX'!$E$4</xm:f>
            <x14:dxf>
              <font>
                <color rgb="FF7F7F7F"/>
              </font>
            </x14:dxf>
          </x14:cfRule>
          <x14:cfRule type="cellIs" priority="31" operator="equal" id="{739595BF-55BC-47A4-9031-2957F25C5738}">
            <xm:f>'Tabelas AUX'!$E$3</xm:f>
            <x14:dxf>
              <font>
                <color theme="5"/>
              </font>
            </x14:dxf>
          </x14:cfRule>
          <x14:cfRule type="cellIs" priority="32" operator="equal" id="{6DCA16D1-0F08-4DFE-8AEB-00F96FF8C31C}">
            <xm:f>'Tabelas AUX'!$E$2</xm:f>
            <x14:dxf>
              <font>
                <color rgb="FFC00000"/>
              </font>
            </x14:dxf>
          </x14:cfRule>
          <xm:sqref>X13</xm:sqref>
        </x14:conditionalFormatting>
        <x14:conditionalFormatting xmlns:xm="http://schemas.microsoft.com/office/excel/2006/main">
          <x14:cfRule type="cellIs" priority="24" operator="equal" id="{379C0D0D-AC71-4E9D-9078-362958E0CDBD}">
            <xm:f>'Tabelas AUX'!$E$5</xm:f>
            <x14:dxf>
              <font>
                <color rgb="FF00B050"/>
              </font>
            </x14:dxf>
          </x14:cfRule>
          <x14:cfRule type="cellIs" priority="25" operator="equal" id="{CADDBA85-26A7-428D-BB06-16C41F3DEDB4}">
            <xm:f>'Tabelas AUX'!$E$4</xm:f>
            <x14:dxf>
              <font>
                <color rgb="FF7F7F7F"/>
              </font>
            </x14:dxf>
          </x14:cfRule>
          <x14:cfRule type="cellIs" priority="26" operator="equal" id="{0998422B-AF80-4C7B-9ED6-13581A48DBCA}">
            <xm:f>'Tabelas AUX'!$E$3</xm:f>
            <x14:dxf>
              <font>
                <color theme="5"/>
              </font>
            </x14:dxf>
          </x14:cfRule>
          <x14:cfRule type="cellIs" priority="27" operator="equal" id="{EF3CD065-31AD-4301-90D6-3BC5731C059C}">
            <xm:f>'Tabelas AUX'!$E$2</xm:f>
            <x14:dxf>
              <font>
                <color rgb="FFC00000"/>
              </font>
            </x14:dxf>
          </x14:cfRule>
          <xm:sqref>X14</xm:sqref>
        </x14:conditionalFormatting>
        <x14:conditionalFormatting xmlns:xm="http://schemas.microsoft.com/office/excel/2006/main">
          <x14:cfRule type="cellIs" priority="19" operator="equal" id="{E85E7809-5A89-41C0-9D3C-6D4779581D08}">
            <xm:f>'Tabelas AUX'!$E$5</xm:f>
            <x14:dxf>
              <font>
                <color rgb="FF00B050"/>
              </font>
            </x14:dxf>
          </x14:cfRule>
          <x14:cfRule type="cellIs" priority="20" operator="equal" id="{53411E7E-3977-43DC-BDE5-6B6C8980F502}">
            <xm:f>'Tabelas AUX'!$E$4</xm:f>
            <x14:dxf>
              <font>
                <color rgb="FF7F7F7F"/>
              </font>
            </x14:dxf>
          </x14:cfRule>
          <x14:cfRule type="cellIs" priority="21" operator="equal" id="{C0B767C5-CC9E-40D2-9EF9-2C1C45678597}">
            <xm:f>'Tabelas AUX'!$E$3</xm:f>
            <x14:dxf>
              <font>
                <color theme="5"/>
              </font>
            </x14:dxf>
          </x14:cfRule>
          <x14:cfRule type="cellIs" priority="22" operator="equal" id="{D34C4B15-3FFC-4BD9-8E4E-4A5D8C57766F}">
            <xm:f>'Tabelas AUX'!$E$2</xm:f>
            <x14:dxf>
              <font>
                <color rgb="FFC00000"/>
              </font>
            </x14:dxf>
          </x14:cfRule>
          <xm:sqref>X15</xm:sqref>
        </x14:conditionalFormatting>
        <x14:conditionalFormatting xmlns:xm="http://schemas.microsoft.com/office/excel/2006/main">
          <x14:cfRule type="cellIs" priority="14" operator="equal" id="{F9DA2C59-98F7-4CB9-88AC-6F8562197B4A}">
            <xm:f>'Tabelas AUX'!$E$5</xm:f>
            <x14:dxf>
              <font>
                <color rgb="FF00B050"/>
              </font>
            </x14:dxf>
          </x14:cfRule>
          <x14:cfRule type="cellIs" priority="15" operator="equal" id="{688F1242-F560-4E33-8463-39D6636222A4}">
            <xm:f>'Tabelas AUX'!$E$4</xm:f>
            <x14:dxf>
              <font>
                <color rgb="FF7F7F7F"/>
              </font>
            </x14:dxf>
          </x14:cfRule>
          <x14:cfRule type="cellIs" priority="16" operator="equal" id="{35BDBC47-4255-47EE-9996-A2373269FA73}">
            <xm:f>'Tabelas AUX'!$E$3</xm:f>
            <x14:dxf>
              <font>
                <color theme="5"/>
              </font>
            </x14:dxf>
          </x14:cfRule>
          <x14:cfRule type="cellIs" priority="17" operator="equal" id="{7B011246-907E-4BFB-99F6-561E47614EA5}">
            <xm:f>'Tabelas AUX'!$E$2</xm:f>
            <x14:dxf>
              <font>
                <color rgb="FFC00000"/>
              </font>
            </x14:dxf>
          </x14:cfRule>
          <xm:sqref>X16</xm:sqref>
        </x14:conditionalFormatting>
        <x14:conditionalFormatting xmlns:xm="http://schemas.microsoft.com/office/excel/2006/main">
          <x14:cfRule type="cellIs" priority="7" operator="equal" id="{7FE59032-A94B-4412-91DF-2D0C5E2289F1}">
            <xm:f>'Tabelas AUX'!$E$8</xm:f>
            <x14:dxf>
              <font>
                <color theme="8"/>
              </font>
            </x14:dxf>
          </x14:cfRule>
          <x14:cfRule type="cellIs" priority="8" operator="equal" id="{C5B2FFA8-3EF4-40BB-9A09-00664F444874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9" operator="equal" id="{31657456-F422-4774-A5EC-FFA27C7E10DF}">
            <xm:f>'Tabelas AUX'!$E$5</xm:f>
            <x14:dxf>
              <font>
                <color rgb="FF00B050"/>
              </font>
            </x14:dxf>
          </x14:cfRule>
          <x14:cfRule type="cellIs" priority="10" operator="equal" id="{101475A0-88CC-4A4C-9570-A95418CD1FC6}">
            <xm:f>'Tabelas AUX'!$E$4</xm:f>
            <x14:dxf>
              <font>
                <color rgb="FF7F7F7F"/>
              </font>
            </x14:dxf>
          </x14:cfRule>
          <x14:cfRule type="cellIs" priority="11" operator="equal" id="{8A01029D-30ED-49D5-B8F1-D2F3FA1B6FF2}">
            <xm:f>'Tabelas AUX'!$E$3</xm:f>
            <x14:dxf>
              <font>
                <color theme="5"/>
              </font>
            </x14:dxf>
          </x14:cfRule>
          <x14:cfRule type="cellIs" priority="12" operator="equal" id="{3139C539-3CB7-4E7F-B328-DB8AE61FC837}">
            <xm:f>'Tabelas AUX'!$E$2</xm:f>
            <x14:dxf>
              <font>
                <color rgb="FFC00000"/>
              </font>
            </x14:dxf>
          </x14:cfRule>
          <xm:sqref>X17</xm:sqref>
        </x14:conditionalFormatting>
        <x14:conditionalFormatting xmlns:xm="http://schemas.microsoft.com/office/excel/2006/main">
          <x14:cfRule type="cellIs" priority="1" operator="equal" id="{1BEF4C8A-7DB9-4ACE-AF24-9B4D35715244}">
            <xm:f>'Tabelas AUX'!$E$8</xm:f>
            <x14:dxf>
              <font>
                <color theme="8"/>
              </font>
            </x14:dxf>
          </x14:cfRule>
          <x14:cfRule type="cellIs" priority="2" operator="equal" id="{7FAB3F67-AB40-4AB3-8456-50CCBB992299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3" operator="equal" id="{826ADC29-8027-48DA-BCB3-82626EF35866}">
            <xm:f>'Tabelas AUX'!$E$5</xm:f>
            <x14:dxf>
              <font>
                <color rgb="FF00B050"/>
              </font>
            </x14:dxf>
          </x14:cfRule>
          <x14:cfRule type="cellIs" priority="4" operator="equal" id="{C2B0860E-8029-4AAC-840F-BD83BF31BAE4}">
            <xm:f>'Tabelas AUX'!$E$4</xm:f>
            <x14:dxf>
              <font>
                <color rgb="FF7F7F7F"/>
              </font>
            </x14:dxf>
          </x14:cfRule>
          <x14:cfRule type="cellIs" priority="5" operator="equal" id="{0E18ED2B-8192-478E-911D-B339B525C867}">
            <xm:f>'Tabelas AUX'!$E$3</xm:f>
            <x14:dxf>
              <font>
                <color theme="5"/>
              </font>
            </x14:dxf>
          </x14:cfRule>
          <x14:cfRule type="cellIs" priority="6" operator="equal" id="{D618651A-975E-45F2-AA7A-93D3CBF55DC1}">
            <xm:f>'Tabelas AUX'!$E$2</xm:f>
            <x14:dxf>
              <font>
                <color rgb="FFC00000"/>
              </font>
            </x14:dxf>
          </x14:cfRule>
          <xm:sqref>X18:X21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'Tabelas AUX'!$E$2:$E$9</xm:f>
          </x14:formula1>
          <xm:sqref>X22:X24 T22:T24</xm:sqref>
        </x14:dataValidation>
        <x14:dataValidation type="list" allowBlank="1" showInputMessage="1" showErrorMessage="1">
          <x14:formula1>
            <xm:f>'Tabelas AUX'!$E$2:$E$5</xm:f>
          </x14:formula1>
          <xm:sqref>T13:T21</xm:sqref>
        </x14:dataValidation>
        <x14:dataValidation type="list" allowBlank="1" showInputMessage="1" showErrorMessage="1">
          <x14:formula1>
            <xm:f>'Tabelas AUX'!$G$2:$G$13</xm:f>
          </x14:formula1>
          <xm:sqref>X13:X21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0.59999389629810485"/>
    <pageSetUpPr autoPageBreaks="0"/>
  </sheetPr>
  <dimension ref="A1:AE112"/>
  <sheetViews>
    <sheetView showGridLines="0" zoomScale="85" zoomScaleNormal="85" workbookViewId="0">
      <pane xSplit="6" topLeftCell="G1" activePane="topRight" state="frozen"/>
      <selection pane="topRight" activeCell="T49" sqref="T49"/>
    </sheetView>
  </sheetViews>
  <sheetFormatPr defaultRowHeight="15" outlineLevelRow="1" outlineLevelCol="1" x14ac:dyDescent="0.25"/>
  <cols>
    <col min="1" max="1" width="3.7109375" customWidth="1"/>
    <col min="2" max="2" width="35.42578125" bestFit="1" customWidth="1"/>
    <col min="3" max="3" width="9.42578125" bestFit="1" customWidth="1"/>
    <col min="4" max="4" width="24.5703125" customWidth="1"/>
    <col min="5" max="5" width="17" bestFit="1" customWidth="1"/>
    <col min="6" max="6" width="44.28515625" bestFit="1" customWidth="1"/>
    <col min="7" max="7" width="12.7109375" style="81" customWidth="1"/>
    <col min="8" max="8" width="2" customWidth="1"/>
    <col min="9" max="9" width="27.85546875" hidden="1" customWidth="1" outlineLevel="1"/>
    <col min="10" max="10" width="26.85546875" hidden="1" customWidth="1" outlineLevel="1"/>
    <col min="11" max="11" width="21" hidden="1" customWidth="1" outlineLevel="1"/>
    <col min="12" max="12" width="17.85546875" customWidth="1" collapsed="1"/>
    <col min="13" max="13" width="42.140625" bestFit="1" customWidth="1"/>
    <col min="14" max="14" width="24.42578125" customWidth="1"/>
    <col min="15" max="15" width="20.28515625" hidden="1" customWidth="1" outlineLevel="1"/>
    <col min="16" max="17" width="42.42578125" hidden="1" customWidth="1" outlineLevel="1"/>
    <col min="18" max="18" width="30.5703125" hidden="1" customWidth="1" outlineLevel="1"/>
    <col min="19" max="19" width="2.140625" customWidth="1" collapsed="1"/>
    <col min="20" max="20" width="14.140625" customWidth="1" outlineLevel="1"/>
    <col min="21" max="21" width="15.42578125" customWidth="1" outlineLevel="1"/>
    <col min="22" max="22" width="42.7109375" customWidth="1" outlineLevel="1"/>
    <col min="23" max="23" width="2.140625" customWidth="1"/>
    <col min="24" max="24" width="16" customWidth="1" outlineLevel="1"/>
    <col min="25" max="25" width="24.85546875" customWidth="1" outlineLevel="1"/>
    <col min="26" max="26" width="14.7109375" customWidth="1" outlineLevel="1"/>
    <col min="27" max="27" width="2.140625" customWidth="1"/>
    <col min="28" max="28" width="27.85546875" customWidth="1" outlineLevel="1"/>
    <col min="29" max="29" width="17.7109375" customWidth="1" outlineLevel="1"/>
    <col min="30" max="30" width="20.42578125" customWidth="1" outlineLevel="1"/>
    <col min="31" max="31" width="20.5703125" customWidth="1" outlineLevel="1"/>
  </cols>
  <sheetData>
    <row r="1" spans="1:31" ht="15" customHeight="1" x14ac:dyDescent="0.25">
      <c r="B1" s="47"/>
      <c r="C1" s="47"/>
      <c r="D1" s="47"/>
      <c r="F1" s="47"/>
      <c r="G1" s="47"/>
    </row>
    <row r="2" spans="1:31" ht="34.5" customHeight="1" x14ac:dyDescent="0.25">
      <c r="B2" s="47"/>
      <c r="C2" s="47"/>
      <c r="D2" s="48"/>
      <c r="F2" s="47"/>
      <c r="G2" s="47"/>
    </row>
    <row r="3" spans="1:31" ht="2.25" customHeight="1" x14ac:dyDescent="0.25">
      <c r="A3" s="20"/>
      <c r="B3" s="49"/>
      <c r="C3" s="49"/>
      <c r="D3" s="49"/>
      <c r="E3" s="49"/>
      <c r="F3" s="49"/>
      <c r="G3" s="49"/>
    </row>
    <row r="4" spans="1:31" ht="15" customHeight="1" x14ac:dyDescent="0.25">
      <c r="B4" s="47"/>
      <c r="C4" s="47"/>
      <c r="D4" s="47"/>
      <c r="F4" s="47"/>
      <c r="G4" s="47"/>
    </row>
    <row r="5" spans="1:31" ht="15" customHeight="1" x14ac:dyDescent="0.25">
      <c r="B5" s="50" t="s">
        <v>998</v>
      </c>
      <c r="C5" s="50"/>
      <c r="D5" s="47"/>
      <c r="F5" s="47"/>
      <c r="G5" s="47"/>
    </row>
    <row r="6" spans="1:31" ht="15" customHeight="1" x14ac:dyDescent="0.25">
      <c r="B6" s="47"/>
      <c r="C6" s="47"/>
      <c r="D6" s="47"/>
      <c r="F6" s="47"/>
      <c r="G6" s="47"/>
    </row>
    <row r="7" spans="1:31" ht="35.25" customHeight="1" outlineLevel="1" x14ac:dyDescent="0.25">
      <c r="B7" s="51" t="s">
        <v>65</v>
      </c>
      <c r="C7" s="222" t="s">
        <v>999</v>
      </c>
      <c r="D7" s="222"/>
      <c r="E7" s="222"/>
      <c r="F7" s="222"/>
      <c r="G7" s="222"/>
      <c r="H7" s="52"/>
      <c r="I7" s="52"/>
      <c r="S7" s="52"/>
      <c r="W7" s="52"/>
      <c r="AA7" s="52"/>
    </row>
    <row r="8" spans="1:31" ht="15" customHeight="1" outlineLevel="1" x14ac:dyDescent="0.25">
      <c r="B8" s="47"/>
      <c r="C8" s="47"/>
      <c r="D8" s="47"/>
      <c r="F8" s="47"/>
      <c r="G8" s="47"/>
    </row>
    <row r="9" spans="1:31" ht="15" customHeight="1" outlineLevel="1" x14ac:dyDescent="0.25">
      <c r="B9" s="47"/>
      <c r="C9" s="47"/>
      <c r="D9" s="47"/>
      <c r="F9" s="47"/>
      <c r="G9" s="47"/>
    </row>
    <row r="10" spans="1:31" ht="15" customHeight="1" outlineLevel="1" x14ac:dyDescent="0.25">
      <c r="B10" s="47"/>
      <c r="C10" s="47"/>
      <c r="D10" s="47"/>
      <c r="F10" s="47"/>
      <c r="G10" s="47"/>
    </row>
    <row r="11" spans="1:31" x14ac:dyDescent="0.25">
      <c r="B11" s="212" t="s">
        <v>67</v>
      </c>
      <c r="C11" s="213"/>
      <c r="D11" s="213"/>
      <c r="E11" s="213"/>
      <c r="F11" s="213"/>
      <c r="G11" s="214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  <c r="X11" s="207" t="s">
        <v>72</v>
      </c>
      <c r="Y11" s="208"/>
      <c r="Z11" s="208"/>
      <c r="AB11" s="207" t="s">
        <v>1000</v>
      </c>
      <c r="AC11" s="208"/>
      <c r="AD11" s="208"/>
      <c r="AE11" s="208"/>
    </row>
    <row r="12" spans="1:31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  <c r="X12" s="61" t="s">
        <v>86</v>
      </c>
      <c r="Y12" s="61" t="s">
        <v>89</v>
      </c>
      <c r="Z12" s="61" t="s">
        <v>90</v>
      </c>
      <c r="AB12" s="61" t="s">
        <v>166</v>
      </c>
      <c r="AC12" s="61" t="s">
        <v>167</v>
      </c>
      <c r="AD12" s="61" t="s">
        <v>168</v>
      </c>
      <c r="AE12" s="61" t="s">
        <v>88</v>
      </c>
    </row>
    <row r="13" spans="1:31" ht="30" x14ac:dyDescent="0.25">
      <c r="B13" s="70" t="s">
        <v>51</v>
      </c>
      <c r="C13" s="70">
        <v>1</v>
      </c>
      <c r="D13" s="73" t="s">
        <v>272</v>
      </c>
      <c r="E13" s="70" t="s">
        <v>225</v>
      </c>
      <c r="F13" s="70" t="s">
        <v>1001</v>
      </c>
      <c r="G13" s="73" t="s">
        <v>262</v>
      </c>
      <c r="H13" s="47"/>
      <c r="I13" s="70" t="s">
        <v>20</v>
      </c>
      <c r="J13" s="70" t="s">
        <v>1002</v>
      </c>
      <c r="K13" s="70" t="s">
        <v>240</v>
      </c>
      <c r="L13" s="70" t="s">
        <v>29</v>
      </c>
      <c r="M13" s="68" t="s">
        <v>33</v>
      </c>
      <c r="N13" s="70" t="s">
        <v>272</v>
      </c>
      <c r="O13" s="70" t="s">
        <v>264</v>
      </c>
      <c r="P13" s="70"/>
      <c r="Q13" s="70"/>
      <c r="R13" s="70"/>
      <c r="S13" s="71"/>
      <c r="T13" s="75" t="s">
        <v>97</v>
      </c>
      <c r="U13" s="69">
        <v>44812</v>
      </c>
      <c r="V13" s="70" t="s">
        <v>1003</v>
      </c>
      <c r="W13" s="71"/>
      <c r="X13" s="145" t="s">
        <v>155</v>
      </c>
      <c r="Y13" s="138">
        <v>45050</v>
      </c>
      <c r="Z13" s="70"/>
      <c r="AA13" s="71"/>
      <c r="AB13" s="69">
        <v>45302</v>
      </c>
      <c r="AC13" s="70"/>
      <c r="AD13" s="70"/>
      <c r="AE13" s="70"/>
    </row>
    <row r="14" spans="1:31" x14ac:dyDescent="0.25">
      <c r="B14" s="70" t="s">
        <v>51</v>
      </c>
      <c r="C14" s="70">
        <v>2</v>
      </c>
      <c r="D14" s="70" t="s">
        <v>1004</v>
      </c>
      <c r="E14" s="70" t="s">
        <v>225</v>
      </c>
      <c r="F14" s="70" t="s">
        <v>1005</v>
      </c>
      <c r="G14" s="73"/>
      <c r="H14" s="47"/>
      <c r="I14" s="70"/>
      <c r="J14" s="70"/>
      <c r="K14" s="70"/>
      <c r="L14" s="70" t="s">
        <v>20</v>
      </c>
      <c r="M14" s="133" t="s">
        <v>1006</v>
      </c>
      <c r="N14" s="70" t="s">
        <v>1004</v>
      </c>
      <c r="O14" s="70"/>
      <c r="P14" s="70"/>
      <c r="Q14" s="70"/>
      <c r="R14" s="70"/>
      <c r="S14" s="71"/>
      <c r="T14" s="75" t="s">
        <v>97</v>
      </c>
      <c r="U14" s="69">
        <v>44949</v>
      </c>
      <c r="V14" s="70" t="s">
        <v>1007</v>
      </c>
      <c r="W14" s="71"/>
      <c r="X14" s="145" t="s">
        <v>156</v>
      </c>
      <c r="Y14" s="138">
        <v>45050</v>
      </c>
      <c r="Z14" s="70"/>
      <c r="AA14" s="71"/>
      <c r="AB14" s="69">
        <v>45302</v>
      </c>
      <c r="AC14" s="72">
        <v>45356</v>
      </c>
      <c r="AD14" s="70"/>
      <c r="AE14" s="70"/>
    </row>
    <row r="15" spans="1:31" x14ac:dyDescent="0.25">
      <c r="B15" s="70" t="s">
        <v>51</v>
      </c>
      <c r="C15" s="70">
        <v>3</v>
      </c>
      <c r="D15" s="70" t="s">
        <v>1008</v>
      </c>
      <c r="E15" s="70" t="s">
        <v>225</v>
      </c>
      <c r="F15" s="70" t="s">
        <v>1009</v>
      </c>
      <c r="G15" s="70"/>
      <c r="H15" s="47"/>
      <c r="I15" s="70"/>
      <c r="J15" s="70" t="s">
        <v>1010</v>
      </c>
      <c r="K15" s="70" t="s">
        <v>1011</v>
      </c>
      <c r="L15" s="70" t="s">
        <v>1012</v>
      </c>
      <c r="M15" s="70" t="s">
        <v>1013</v>
      </c>
      <c r="N15" s="70" t="s">
        <v>1008</v>
      </c>
      <c r="O15" s="70" t="s">
        <v>279</v>
      </c>
      <c r="P15" s="70"/>
      <c r="Q15" s="70"/>
      <c r="R15" s="70"/>
      <c r="S15" s="71"/>
      <c r="T15" s="75" t="s">
        <v>97</v>
      </c>
      <c r="U15" s="69">
        <v>44834</v>
      </c>
      <c r="V15" s="70"/>
      <c r="W15" s="71"/>
      <c r="X15" s="145" t="s">
        <v>156</v>
      </c>
      <c r="Y15" s="138">
        <v>45050</v>
      </c>
      <c r="Z15" s="70"/>
      <c r="AA15" s="71"/>
      <c r="AB15" s="69">
        <v>45302</v>
      </c>
      <c r="AC15" s="70"/>
      <c r="AD15" s="70"/>
      <c r="AE15" s="70"/>
    </row>
    <row r="16" spans="1:31" x14ac:dyDescent="0.25">
      <c r="B16" s="70" t="s">
        <v>51</v>
      </c>
      <c r="C16" s="70">
        <v>4</v>
      </c>
      <c r="D16" s="70" t="s">
        <v>1014</v>
      </c>
      <c r="E16" s="70" t="s">
        <v>225</v>
      </c>
      <c r="F16" s="70" t="s">
        <v>1015</v>
      </c>
      <c r="G16" s="70"/>
      <c r="H16" s="47"/>
      <c r="I16" s="70"/>
      <c r="J16" s="70" t="s">
        <v>1010</v>
      </c>
      <c r="K16" s="70" t="s">
        <v>1016</v>
      </c>
      <c r="L16" s="70" t="s">
        <v>1012</v>
      </c>
      <c r="M16" s="70" t="s">
        <v>1013</v>
      </c>
      <c r="N16" s="70" t="s">
        <v>1014</v>
      </c>
      <c r="O16" s="70" t="s">
        <v>279</v>
      </c>
      <c r="P16" s="70"/>
      <c r="Q16" s="70"/>
      <c r="R16" s="70"/>
      <c r="S16" s="71"/>
      <c r="T16" s="75" t="s">
        <v>97</v>
      </c>
      <c r="U16" s="69">
        <v>44834</v>
      </c>
      <c r="V16" s="70"/>
      <c r="W16" s="71"/>
      <c r="X16" s="145" t="s">
        <v>156</v>
      </c>
      <c r="Y16" s="138">
        <v>45050</v>
      </c>
      <c r="Z16" s="70"/>
      <c r="AA16" s="71"/>
      <c r="AB16" s="69">
        <v>45302</v>
      </c>
      <c r="AC16" s="70"/>
      <c r="AD16" s="70"/>
      <c r="AE16" s="70"/>
    </row>
    <row r="17" spans="2:31" x14ac:dyDescent="0.25">
      <c r="B17" s="70" t="s">
        <v>51</v>
      </c>
      <c r="C17" s="70">
        <v>5</v>
      </c>
      <c r="D17" s="70" t="s">
        <v>1017</v>
      </c>
      <c r="E17" s="70" t="s">
        <v>225</v>
      </c>
      <c r="F17" s="70" t="s">
        <v>1018</v>
      </c>
      <c r="G17" s="70"/>
      <c r="H17" s="47"/>
      <c r="I17" s="70"/>
      <c r="J17" s="70" t="s">
        <v>1010</v>
      </c>
      <c r="K17" s="70" t="s">
        <v>1019</v>
      </c>
      <c r="L17" s="70" t="s">
        <v>20</v>
      </c>
      <c r="M17" s="70" t="s">
        <v>1020</v>
      </c>
      <c r="N17" s="70" t="s">
        <v>1017</v>
      </c>
      <c r="O17" s="70" t="s">
        <v>279</v>
      </c>
      <c r="P17" s="70"/>
      <c r="Q17" s="70" t="s">
        <v>1021</v>
      </c>
      <c r="R17" s="70"/>
      <c r="S17" s="71"/>
      <c r="T17" s="75" t="s">
        <v>97</v>
      </c>
      <c r="U17" s="72">
        <v>44834</v>
      </c>
      <c r="V17" s="70"/>
      <c r="W17" s="71"/>
      <c r="X17" s="145" t="s">
        <v>157</v>
      </c>
      <c r="Y17" s="138">
        <v>45050</v>
      </c>
      <c r="Z17" s="70"/>
      <c r="AA17" s="71"/>
      <c r="AB17" s="69">
        <v>45302</v>
      </c>
      <c r="AC17" s="72">
        <v>45327</v>
      </c>
      <c r="AD17" s="70"/>
      <c r="AE17" s="70"/>
    </row>
    <row r="18" spans="2:31" ht="60" x14ac:dyDescent="0.25">
      <c r="B18" s="70" t="s">
        <v>51</v>
      </c>
      <c r="C18" s="70">
        <v>6</v>
      </c>
      <c r="D18" s="70" t="s">
        <v>1022</v>
      </c>
      <c r="E18" s="70" t="s">
        <v>225</v>
      </c>
      <c r="F18" s="70" t="s">
        <v>1023</v>
      </c>
      <c r="G18" s="70"/>
      <c r="H18" s="47"/>
      <c r="I18" s="70"/>
      <c r="J18" s="70" t="s">
        <v>1010</v>
      </c>
      <c r="K18" s="70" t="s">
        <v>1024</v>
      </c>
      <c r="L18" s="70" t="s">
        <v>1012</v>
      </c>
      <c r="M18" s="70" t="s">
        <v>1013</v>
      </c>
      <c r="N18" s="70" t="s">
        <v>1022</v>
      </c>
      <c r="O18" s="70" t="s">
        <v>279</v>
      </c>
      <c r="P18" s="70" t="s">
        <v>1025</v>
      </c>
      <c r="Q18" s="70"/>
      <c r="R18" s="70"/>
      <c r="S18" s="71"/>
      <c r="T18" s="75" t="s">
        <v>97</v>
      </c>
      <c r="U18" s="69">
        <v>44834</v>
      </c>
      <c r="V18" s="70"/>
      <c r="W18" s="71"/>
      <c r="X18" s="145" t="s">
        <v>156</v>
      </c>
      <c r="Y18" s="138">
        <v>45050</v>
      </c>
      <c r="Z18" s="70"/>
      <c r="AA18" s="71"/>
      <c r="AB18" s="69">
        <v>45302</v>
      </c>
      <c r="AC18" s="70"/>
      <c r="AD18" s="70"/>
      <c r="AE18" s="70"/>
    </row>
    <row r="19" spans="2:31" ht="60" x14ac:dyDescent="0.25">
      <c r="B19" s="70" t="s">
        <v>51</v>
      </c>
      <c r="C19" s="70">
        <v>7</v>
      </c>
      <c r="D19" s="70" t="s">
        <v>1026</v>
      </c>
      <c r="E19" s="70" t="s">
        <v>225</v>
      </c>
      <c r="F19" s="70" t="s">
        <v>1027</v>
      </c>
      <c r="G19" s="70"/>
      <c r="H19" s="47"/>
      <c r="I19" s="70"/>
      <c r="J19" s="70" t="s">
        <v>1010</v>
      </c>
      <c r="K19" s="70" t="s">
        <v>1028</v>
      </c>
      <c r="L19" s="70" t="s">
        <v>1012</v>
      </c>
      <c r="M19" s="70" t="s">
        <v>1013</v>
      </c>
      <c r="N19" s="70" t="s">
        <v>1026</v>
      </c>
      <c r="O19" s="70" t="s">
        <v>279</v>
      </c>
      <c r="P19" s="70" t="s">
        <v>1025</v>
      </c>
      <c r="Q19" s="70"/>
      <c r="R19" s="70"/>
      <c r="S19" s="71"/>
      <c r="T19" s="75" t="s">
        <v>97</v>
      </c>
      <c r="U19" s="69">
        <v>44834</v>
      </c>
      <c r="V19" s="70"/>
      <c r="W19" s="71"/>
      <c r="X19" s="145" t="s">
        <v>156</v>
      </c>
      <c r="Y19" s="138">
        <v>45050</v>
      </c>
      <c r="Z19" s="70"/>
      <c r="AA19" s="71"/>
      <c r="AB19" s="69">
        <v>45302</v>
      </c>
      <c r="AC19" s="70"/>
      <c r="AD19" s="70"/>
      <c r="AE19" s="70"/>
    </row>
    <row r="20" spans="2:31" ht="60" x14ac:dyDescent="0.25">
      <c r="B20" s="70" t="s">
        <v>51</v>
      </c>
      <c r="C20" s="70">
        <v>8</v>
      </c>
      <c r="D20" s="70" t="s">
        <v>1029</v>
      </c>
      <c r="E20" s="70" t="s">
        <v>225</v>
      </c>
      <c r="F20" s="70" t="s">
        <v>1030</v>
      </c>
      <c r="G20" s="70"/>
      <c r="H20" s="47"/>
      <c r="I20" s="70"/>
      <c r="J20" s="70" t="s">
        <v>1010</v>
      </c>
      <c r="K20" s="70" t="s">
        <v>1031</v>
      </c>
      <c r="L20" s="70" t="s">
        <v>1012</v>
      </c>
      <c r="M20" s="70" t="s">
        <v>1013</v>
      </c>
      <c r="N20" s="70" t="s">
        <v>1029</v>
      </c>
      <c r="O20" s="70" t="s">
        <v>279</v>
      </c>
      <c r="P20" s="70" t="s">
        <v>1025</v>
      </c>
      <c r="Q20" s="70"/>
      <c r="R20" s="70"/>
      <c r="S20" s="71"/>
      <c r="T20" s="75" t="s">
        <v>97</v>
      </c>
      <c r="U20" s="69">
        <v>44834</v>
      </c>
      <c r="V20" s="70"/>
      <c r="W20" s="71"/>
      <c r="X20" s="145" t="s">
        <v>156</v>
      </c>
      <c r="Y20" s="138">
        <v>45050</v>
      </c>
      <c r="Z20" s="70"/>
      <c r="AA20" s="71"/>
      <c r="AB20" s="69">
        <v>45302</v>
      </c>
      <c r="AC20" s="70"/>
      <c r="AD20" s="70"/>
      <c r="AE20" s="70"/>
    </row>
    <row r="21" spans="2:31" x14ac:dyDescent="0.25">
      <c r="B21" s="70" t="s">
        <v>51</v>
      </c>
      <c r="C21" s="70">
        <v>9</v>
      </c>
      <c r="D21" s="70" t="s">
        <v>1032</v>
      </c>
      <c r="E21" s="70" t="s">
        <v>225</v>
      </c>
      <c r="F21" s="70" t="s">
        <v>1033</v>
      </c>
      <c r="G21" s="70"/>
      <c r="H21" s="47"/>
      <c r="I21" s="70"/>
      <c r="J21" s="70" t="s">
        <v>1010</v>
      </c>
      <c r="K21" s="70" t="s">
        <v>1034</v>
      </c>
      <c r="L21" s="70" t="s">
        <v>1012</v>
      </c>
      <c r="M21" s="70" t="s">
        <v>1013</v>
      </c>
      <c r="N21" s="70" t="s">
        <v>1032</v>
      </c>
      <c r="O21" s="70" t="s">
        <v>279</v>
      </c>
      <c r="P21" s="70"/>
      <c r="Q21" s="70"/>
      <c r="R21" s="70"/>
      <c r="S21" s="71"/>
      <c r="T21" s="75" t="s">
        <v>97</v>
      </c>
      <c r="U21" s="69">
        <v>44834</v>
      </c>
      <c r="V21" s="70"/>
      <c r="W21" s="71"/>
      <c r="X21" s="145" t="s">
        <v>156</v>
      </c>
      <c r="Y21" s="138">
        <v>45050</v>
      </c>
      <c r="Z21" s="70"/>
      <c r="AA21" s="71"/>
      <c r="AB21" s="69">
        <v>45302</v>
      </c>
      <c r="AC21" s="70"/>
      <c r="AD21" s="70"/>
      <c r="AE21" s="70"/>
    </row>
    <row r="22" spans="2:31" x14ac:dyDescent="0.25">
      <c r="B22" s="70" t="s">
        <v>51</v>
      </c>
      <c r="C22" s="70">
        <v>10</v>
      </c>
      <c r="D22" s="70" t="s">
        <v>1035</v>
      </c>
      <c r="E22" s="70" t="s">
        <v>225</v>
      </c>
      <c r="F22" s="70" t="s">
        <v>1036</v>
      </c>
      <c r="G22" s="70"/>
      <c r="H22" s="47"/>
      <c r="I22" s="70"/>
      <c r="J22" s="70" t="s">
        <v>1010</v>
      </c>
      <c r="K22" s="70" t="s">
        <v>1037</v>
      </c>
      <c r="L22" s="70" t="s">
        <v>1012</v>
      </c>
      <c r="M22" s="70" t="s">
        <v>1013</v>
      </c>
      <c r="N22" s="70" t="s">
        <v>1035</v>
      </c>
      <c r="O22" s="70" t="s">
        <v>279</v>
      </c>
      <c r="P22" s="70"/>
      <c r="Q22" s="70"/>
      <c r="R22" s="70"/>
      <c r="S22" s="71"/>
      <c r="T22" s="75" t="s">
        <v>97</v>
      </c>
      <c r="U22" s="69">
        <v>44834</v>
      </c>
      <c r="V22" s="70"/>
      <c r="W22" s="71"/>
      <c r="X22" s="145" t="s">
        <v>156</v>
      </c>
      <c r="Y22" s="138">
        <v>45050</v>
      </c>
      <c r="Z22" s="70"/>
      <c r="AA22" s="71"/>
      <c r="AB22" s="69">
        <v>45302</v>
      </c>
      <c r="AC22" s="70"/>
      <c r="AD22" s="70"/>
      <c r="AE22" s="70"/>
    </row>
    <row r="23" spans="2:31" x14ac:dyDescent="0.25">
      <c r="B23" s="70" t="s">
        <v>51</v>
      </c>
      <c r="C23" s="70">
        <v>11</v>
      </c>
      <c r="D23" s="70" t="s">
        <v>1038</v>
      </c>
      <c r="E23" s="70" t="s">
        <v>225</v>
      </c>
      <c r="F23" s="70" t="s">
        <v>1039</v>
      </c>
      <c r="G23" s="70"/>
      <c r="H23" s="47"/>
      <c r="I23" s="70"/>
      <c r="J23" s="70" t="s">
        <v>1010</v>
      </c>
      <c r="K23" s="70" t="s">
        <v>1040</v>
      </c>
      <c r="L23" s="70" t="s">
        <v>1012</v>
      </c>
      <c r="M23" s="70" t="s">
        <v>1013</v>
      </c>
      <c r="N23" s="70" t="s">
        <v>1038</v>
      </c>
      <c r="O23" s="70" t="s">
        <v>279</v>
      </c>
      <c r="P23" s="70"/>
      <c r="Q23" s="70"/>
      <c r="R23" s="70"/>
      <c r="S23" s="71"/>
      <c r="T23" s="75" t="s">
        <v>97</v>
      </c>
      <c r="U23" s="69">
        <v>44834</v>
      </c>
      <c r="V23" s="70"/>
      <c r="W23" s="71"/>
      <c r="X23" s="145" t="s">
        <v>156</v>
      </c>
      <c r="Y23" s="138">
        <v>45050</v>
      </c>
      <c r="Z23" s="70"/>
      <c r="AA23" s="71"/>
      <c r="AB23" s="69">
        <v>45302</v>
      </c>
      <c r="AC23" s="70"/>
      <c r="AD23" s="70"/>
      <c r="AE23" s="70"/>
    </row>
    <row r="24" spans="2:31" x14ac:dyDescent="0.25">
      <c r="B24" s="70" t="s">
        <v>51</v>
      </c>
      <c r="C24" s="70">
        <v>12</v>
      </c>
      <c r="D24" s="70" t="s">
        <v>1041</v>
      </c>
      <c r="E24" s="70" t="s">
        <v>225</v>
      </c>
      <c r="F24" s="70" t="s">
        <v>1042</v>
      </c>
      <c r="G24" s="70"/>
      <c r="H24" s="47"/>
      <c r="I24" s="70"/>
      <c r="J24" s="70" t="s">
        <v>1010</v>
      </c>
      <c r="K24" s="70" t="s">
        <v>1043</v>
      </c>
      <c r="L24" s="70" t="s">
        <v>1012</v>
      </c>
      <c r="M24" s="70" t="s">
        <v>1013</v>
      </c>
      <c r="N24" s="70" t="s">
        <v>1041</v>
      </c>
      <c r="O24" s="70" t="s">
        <v>279</v>
      </c>
      <c r="P24" s="70"/>
      <c r="Q24" s="70"/>
      <c r="R24" s="70"/>
      <c r="S24" s="71"/>
      <c r="T24" s="75" t="s">
        <v>97</v>
      </c>
      <c r="U24" s="69">
        <v>44834</v>
      </c>
      <c r="V24" s="70"/>
      <c r="W24" s="71"/>
      <c r="X24" s="145" t="s">
        <v>156</v>
      </c>
      <c r="Y24" s="138">
        <v>45050</v>
      </c>
      <c r="Z24" s="70"/>
      <c r="AA24" s="71"/>
      <c r="AB24" s="69">
        <v>45302</v>
      </c>
      <c r="AC24" s="70"/>
      <c r="AD24" s="70"/>
      <c r="AE24" s="70"/>
    </row>
    <row r="25" spans="2:31" ht="60" x14ac:dyDescent="0.25">
      <c r="B25" s="70" t="s">
        <v>51</v>
      </c>
      <c r="C25" s="70">
        <v>13</v>
      </c>
      <c r="D25" s="70" t="s">
        <v>1044</v>
      </c>
      <c r="E25" s="70" t="s">
        <v>225</v>
      </c>
      <c r="F25" s="70" t="s">
        <v>1045</v>
      </c>
      <c r="G25" s="70"/>
      <c r="H25" s="47"/>
      <c r="I25" s="70"/>
      <c r="J25" s="70" t="s">
        <v>1010</v>
      </c>
      <c r="K25" s="70" t="s">
        <v>1046</v>
      </c>
      <c r="L25" s="70" t="s">
        <v>1012</v>
      </c>
      <c r="M25" s="70" t="s">
        <v>1013</v>
      </c>
      <c r="N25" s="70" t="s">
        <v>1044</v>
      </c>
      <c r="O25" s="70" t="s">
        <v>279</v>
      </c>
      <c r="P25" s="70" t="s">
        <v>1025</v>
      </c>
      <c r="Q25" s="70"/>
      <c r="R25" s="70"/>
      <c r="S25" s="71"/>
      <c r="T25" s="75" t="s">
        <v>97</v>
      </c>
      <c r="U25" s="69">
        <v>44834</v>
      </c>
      <c r="V25" s="70"/>
      <c r="W25" s="71"/>
      <c r="X25" s="145" t="s">
        <v>156</v>
      </c>
      <c r="Y25" s="138">
        <v>45050</v>
      </c>
      <c r="Z25" s="70"/>
      <c r="AA25" s="71"/>
      <c r="AB25" s="69">
        <v>45302</v>
      </c>
      <c r="AC25" s="70"/>
      <c r="AD25" s="70"/>
      <c r="AE25" s="70"/>
    </row>
    <row r="26" spans="2:31" ht="14.25" customHeight="1" x14ac:dyDescent="0.25">
      <c r="B26" s="70" t="s">
        <v>51</v>
      </c>
      <c r="C26" s="70">
        <v>14</v>
      </c>
      <c r="D26" s="70" t="s">
        <v>1047</v>
      </c>
      <c r="E26" s="70" t="s">
        <v>225</v>
      </c>
      <c r="F26" s="70" t="s">
        <v>1048</v>
      </c>
      <c r="G26" s="70"/>
      <c r="H26" s="47"/>
      <c r="I26" s="70"/>
      <c r="J26" s="70" t="s">
        <v>1010</v>
      </c>
      <c r="K26" s="70" t="s">
        <v>1049</v>
      </c>
      <c r="L26" s="70" t="s">
        <v>1012</v>
      </c>
      <c r="M26" s="70" t="s">
        <v>1013</v>
      </c>
      <c r="N26" s="70" t="s">
        <v>1047</v>
      </c>
      <c r="O26" s="70" t="s">
        <v>279</v>
      </c>
      <c r="P26" s="70"/>
      <c r="Q26" s="70"/>
      <c r="R26" s="70"/>
      <c r="S26" s="71"/>
      <c r="T26" s="75" t="s">
        <v>97</v>
      </c>
      <c r="U26" s="69">
        <v>44834</v>
      </c>
      <c r="V26" s="70"/>
      <c r="W26" s="71"/>
      <c r="X26" s="145" t="s">
        <v>156</v>
      </c>
      <c r="Y26" s="138">
        <v>45050</v>
      </c>
      <c r="Z26" s="70"/>
      <c r="AA26" s="71"/>
      <c r="AB26" s="69">
        <v>45302</v>
      </c>
      <c r="AC26" s="70"/>
      <c r="AD26" s="70"/>
      <c r="AE26" s="70"/>
    </row>
    <row r="27" spans="2:31" x14ac:dyDescent="0.25">
      <c r="B27" s="70" t="s">
        <v>51</v>
      </c>
      <c r="C27" s="70">
        <v>15</v>
      </c>
      <c r="D27" s="70" t="s">
        <v>1050</v>
      </c>
      <c r="E27" s="70" t="s">
        <v>225</v>
      </c>
      <c r="F27" s="70" t="s">
        <v>1051</v>
      </c>
      <c r="G27" s="70"/>
      <c r="H27" s="47"/>
      <c r="I27" s="70"/>
      <c r="J27" s="70" t="s">
        <v>1010</v>
      </c>
      <c r="K27" s="70" t="s">
        <v>1052</v>
      </c>
      <c r="L27" s="70" t="s">
        <v>1012</v>
      </c>
      <c r="M27" s="70" t="s">
        <v>1013</v>
      </c>
      <c r="N27" s="70" t="s">
        <v>1050</v>
      </c>
      <c r="O27" s="70" t="s">
        <v>279</v>
      </c>
      <c r="P27" s="70"/>
      <c r="Q27" s="70"/>
      <c r="R27" s="70"/>
      <c r="S27" s="71"/>
      <c r="T27" s="75" t="s">
        <v>97</v>
      </c>
      <c r="U27" s="69">
        <v>44834</v>
      </c>
      <c r="V27" s="70"/>
      <c r="W27" s="71"/>
      <c r="X27" s="145" t="s">
        <v>156</v>
      </c>
      <c r="Y27" s="138">
        <v>45050</v>
      </c>
      <c r="Z27" s="70"/>
      <c r="AA27" s="71"/>
      <c r="AB27" s="69">
        <v>45302</v>
      </c>
      <c r="AC27" s="70"/>
      <c r="AD27" s="70"/>
      <c r="AE27" s="70"/>
    </row>
    <row r="28" spans="2:31" x14ac:dyDescent="0.25">
      <c r="B28" s="70" t="s">
        <v>51</v>
      </c>
      <c r="C28" s="70">
        <v>16</v>
      </c>
      <c r="D28" s="70" t="s">
        <v>1053</v>
      </c>
      <c r="E28" s="70" t="s">
        <v>225</v>
      </c>
      <c r="F28" s="70" t="s">
        <v>1054</v>
      </c>
      <c r="G28" s="70"/>
      <c r="H28" s="47"/>
      <c r="I28" s="70"/>
      <c r="J28" s="70" t="s">
        <v>1010</v>
      </c>
      <c r="K28" s="70" t="s">
        <v>1055</v>
      </c>
      <c r="L28" s="70" t="s">
        <v>1012</v>
      </c>
      <c r="M28" s="70" t="s">
        <v>1013</v>
      </c>
      <c r="N28" s="70" t="s">
        <v>1053</v>
      </c>
      <c r="O28" s="70" t="s">
        <v>279</v>
      </c>
      <c r="P28" s="70"/>
      <c r="Q28" s="70"/>
      <c r="R28" s="70"/>
      <c r="S28" s="71"/>
      <c r="T28" s="75" t="s">
        <v>97</v>
      </c>
      <c r="U28" s="69">
        <v>44834</v>
      </c>
      <c r="V28" s="70"/>
      <c r="W28" s="71"/>
      <c r="X28" s="145" t="s">
        <v>156</v>
      </c>
      <c r="Y28" s="138">
        <v>45050</v>
      </c>
      <c r="Z28" s="70"/>
      <c r="AA28" s="71"/>
      <c r="AB28" s="69">
        <v>45302</v>
      </c>
      <c r="AC28" s="70"/>
      <c r="AD28" s="70"/>
      <c r="AE28" s="70"/>
    </row>
    <row r="29" spans="2:31" x14ac:dyDescent="0.25">
      <c r="B29" s="70" t="s">
        <v>51</v>
      </c>
      <c r="C29" s="70">
        <v>17</v>
      </c>
      <c r="D29" s="70" t="s">
        <v>1056</v>
      </c>
      <c r="E29" s="70" t="s">
        <v>225</v>
      </c>
      <c r="F29" s="70" t="s">
        <v>1057</v>
      </c>
      <c r="G29" s="70"/>
      <c r="H29" s="47"/>
      <c r="I29" s="70"/>
      <c r="J29" s="70" t="s">
        <v>1010</v>
      </c>
      <c r="K29" s="70" t="s">
        <v>1058</v>
      </c>
      <c r="L29" s="70" t="s">
        <v>1012</v>
      </c>
      <c r="M29" s="70" t="s">
        <v>1013</v>
      </c>
      <c r="N29" s="70" t="s">
        <v>1056</v>
      </c>
      <c r="O29" s="70" t="s">
        <v>279</v>
      </c>
      <c r="P29" s="70"/>
      <c r="Q29" s="70"/>
      <c r="R29" s="70"/>
      <c r="S29" s="71"/>
      <c r="T29" s="75" t="s">
        <v>97</v>
      </c>
      <c r="U29" s="69">
        <v>44834</v>
      </c>
      <c r="V29" s="70"/>
      <c r="W29" s="71"/>
      <c r="X29" s="145" t="s">
        <v>156</v>
      </c>
      <c r="Y29" s="138">
        <v>45050</v>
      </c>
      <c r="Z29" s="70"/>
      <c r="AA29" s="71"/>
      <c r="AB29" s="69">
        <v>45302</v>
      </c>
      <c r="AC29" s="70"/>
      <c r="AD29" s="70"/>
      <c r="AE29" s="70"/>
    </row>
    <row r="30" spans="2:31" ht="345" x14ac:dyDescent="0.25">
      <c r="B30" s="70" t="s">
        <v>51</v>
      </c>
      <c r="C30" s="70">
        <v>18</v>
      </c>
      <c r="D30" s="70" t="s">
        <v>1059</v>
      </c>
      <c r="E30" s="70" t="s">
        <v>225</v>
      </c>
      <c r="F30" s="70" t="s">
        <v>1060</v>
      </c>
      <c r="G30" s="70"/>
      <c r="H30" s="47"/>
      <c r="I30" s="70"/>
      <c r="J30" s="70" t="s">
        <v>1010</v>
      </c>
      <c r="K30" s="70" t="s">
        <v>1061</v>
      </c>
      <c r="L30" s="70" t="s">
        <v>1012</v>
      </c>
      <c r="M30" s="70" t="s">
        <v>1013</v>
      </c>
      <c r="N30" s="70" t="s">
        <v>1059</v>
      </c>
      <c r="O30" s="70" t="s">
        <v>279</v>
      </c>
      <c r="P30" s="70"/>
      <c r="Q30" s="70"/>
      <c r="R30" s="70"/>
      <c r="S30" s="71"/>
      <c r="T30" s="75" t="s">
        <v>97</v>
      </c>
      <c r="U30" s="69">
        <v>44834</v>
      </c>
      <c r="V30" s="111" t="s">
        <v>1062</v>
      </c>
      <c r="W30" s="71"/>
      <c r="X30" s="145" t="s">
        <v>156</v>
      </c>
      <c r="Y30" s="138">
        <v>45050</v>
      </c>
      <c r="Z30" s="70"/>
      <c r="AA30" s="71"/>
      <c r="AB30" s="69">
        <v>45302</v>
      </c>
      <c r="AC30" s="70"/>
      <c r="AD30" s="70"/>
      <c r="AE30" s="70"/>
    </row>
    <row r="31" spans="2:31" x14ac:dyDescent="0.25">
      <c r="B31" s="70" t="s">
        <v>51</v>
      </c>
      <c r="C31" s="70">
        <v>19</v>
      </c>
      <c r="D31" s="70" t="s">
        <v>1063</v>
      </c>
      <c r="E31" s="70" t="s">
        <v>225</v>
      </c>
      <c r="F31" s="70" t="s">
        <v>1064</v>
      </c>
      <c r="G31" s="70"/>
      <c r="H31" s="47"/>
      <c r="I31" s="70"/>
      <c r="J31" s="70" t="s">
        <v>1010</v>
      </c>
      <c r="K31" s="70" t="s">
        <v>1065</v>
      </c>
      <c r="L31" s="70" t="s">
        <v>1012</v>
      </c>
      <c r="M31" s="70" t="s">
        <v>1013</v>
      </c>
      <c r="N31" s="70" t="s">
        <v>1063</v>
      </c>
      <c r="O31" s="70" t="s">
        <v>279</v>
      </c>
      <c r="P31" s="70"/>
      <c r="Q31" s="70"/>
      <c r="R31" s="70"/>
      <c r="S31" s="71"/>
      <c r="T31" s="75" t="s">
        <v>97</v>
      </c>
      <c r="U31" s="69">
        <v>44834</v>
      </c>
      <c r="V31" s="70"/>
      <c r="W31" s="71"/>
      <c r="X31" s="145" t="s">
        <v>156</v>
      </c>
      <c r="Y31" s="138">
        <v>45050</v>
      </c>
      <c r="Z31" s="70"/>
      <c r="AA31" s="71"/>
      <c r="AB31" s="69">
        <v>45302</v>
      </c>
      <c r="AC31" s="70"/>
      <c r="AD31" s="70"/>
      <c r="AE31" s="70"/>
    </row>
    <row r="32" spans="2:31" x14ac:dyDescent="0.25">
      <c r="B32" s="70" t="s">
        <v>51</v>
      </c>
      <c r="C32" s="70">
        <v>20</v>
      </c>
      <c r="D32" s="70" t="s">
        <v>1066</v>
      </c>
      <c r="E32" s="70" t="s">
        <v>225</v>
      </c>
      <c r="F32" s="70" t="s">
        <v>1067</v>
      </c>
      <c r="G32" s="70"/>
      <c r="H32" s="47"/>
      <c r="I32" s="70"/>
      <c r="J32" s="70" t="s">
        <v>1010</v>
      </c>
      <c r="K32" s="70" t="s">
        <v>1068</v>
      </c>
      <c r="L32" s="70" t="s">
        <v>1012</v>
      </c>
      <c r="M32" s="70" t="s">
        <v>1013</v>
      </c>
      <c r="N32" s="70" t="s">
        <v>1066</v>
      </c>
      <c r="O32" s="70" t="s">
        <v>279</v>
      </c>
      <c r="P32" s="70"/>
      <c r="Q32" s="70"/>
      <c r="R32" s="70"/>
      <c r="S32" s="71"/>
      <c r="T32" s="75" t="s">
        <v>97</v>
      </c>
      <c r="U32" s="69">
        <v>44834</v>
      </c>
      <c r="V32" s="70"/>
      <c r="W32" s="71"/>
      <c r="X32" s="145" t="s">
        <v>156</v>
      </c>
      <c r="Y32" s="138">
        <v>45050</v>
      </c>
      <c r="Z32" s="70"/>
      <c r="AA32" s="71"/>
      <c r="AB32" s="69">
        <v>45302</v>
      </c>
      <c r="AC32" s="70"/>
      <c r="AD32" s="70"/>
      <c r="AE32" s="70"/>
    </row>
    <row r="33" spans="2:31" x14ac:dyDescent="0.25">
      <c r="B33" s="70" t="s">
        <v>51</v>
      </c>
      <c r="C33" s="70">
        <v>21</v>
      </c>
      <c r="D33" s="70" t="s">
        <v>1069</v>
      </c>
      <c r="E33" s="70" t="s">
        <v>225</v>
      </c>
      <c r="F33" s="70" t="s">
        <v>1070</v>
      </c>
      <c r="G33" s="70"/>
      <c r="H33" s="47"/>
      <c r="I33" s="70"/>
      <c r="J33" s="70" t="s">
        <v>1010</v>
      </c>
      <c r="K33" s="70" t="s">
        <v>1071</v>
      </c>
      <c r="L33" s="70" t="s">
        <v>1012</v>
      </c>
      <c r="M33" s="70" t="s">
        <v>1013</v>
      </c>
      <c r="N33" s="70" t="s">
        <v>1069</v>
      </c>
      <c r="O33" s="70" t="s">
        <v>279</v>
      </c>
      <c r="P33" s="70"/>
      <c r="Q33" s="70"/>
      <c r="R33" s="70"/>
      <c r="S33" s="71"/>
      <c r="T33" s="75" t="s">
        <v>97</v>
      </c>
      <c r="U33" s="69">
        <v>44834</v>
      </c>
      <c r="V33" s="70"/>
      <c r="W33" s="71"/>
      <c r="X33" s="145" t="s">
        <v>156</v>
      </c>
      <c r="Y33" s="138">
        <v>45050</v>
      </c>
      <c r="Z33" s="70"/>
      <c r="AA33" s="71"/>
      <c r="AB33" s="69">
        <v>45302</v>
      </c>
      <c r="AC33" s="70"/>
      <c r="AD33" s="70"/>
      <c r="AE33" s="70"/>
    </row>
    <row r="34" spans="2:31" ht="60" x14ac:dyDescent="0.25">
      <c r="B34" s="70" t="s">
        <v>51</v>
      </c>
      <c r="C34" s="70">
        <v>22</v>
      </c>
      <c r="D34" s="70" t="s">
        <v>1072</v>
      </c>
      <c r="E34" s="70" t="s">
        <v>225</v>
      </c>
      <c r="F34" s="70" t="s">
        <v>1073</v>
      </c>
      <c r="G34" s="70"/>
      <c r="H34" s="47"/>
      <c r="I34" s="70"/>
      <c r="J34" s="70" t="s">
        <v>1010</v>
      </c>
      <c r="K34" s="70" t="s">
        <v>1074</v>
      </c>
      <c r="L34" s="70" t="s">
        <v>1012</v>
      </c>
      <c r="M34" s="70" t="s">
        <v>1013</v>
      </c>
      <c r="N34" s="70" t="s">
        <v>1072</v>
      </c>
      <c r="O34" s="70" t="s">
        <v>279</v>
      </c>
      <c r="P34" s="70" t="s">
        <v>1025</v>
      </c>
      <c r="Q34" s="70"/>
      <c r="R34" s="70"/>
      <c r="S34" s="71"/>
      <c r="T34" s="75" t="s">
        <v>97</v>
      </c>
      <c r="U34" s="69">
        <v>44834</v>
      </c>
      <c r="V34" s="70"/>
      <c r="W34" s="71"/>
      <c r="X34" s="145" t="s">
        <v>156</v>
      </c>
      <c r="Y34" s="138">
        <v>45050</v>
      </c>
      <c r="Z34" s="70"/>
      <c r="AA34" s="71"/>
      <c r="AB34" s="69">
        <v>45302</v>
      </c>
      <c r="AC34" s="70"/>
      <c r="AD34" s="70"/>
      <c r="AE34" s="70"/>
    </row>
    <row r="35" spans="2:31" ht="60" x14ac:dyDescent="0.25">
      <c r="B35" s="70" t="s">
        <v>51</v>
      </c>
      <c r="C35" s="70">
        <v>23</v>
      </c>
      <c r="D35" s="70" t="s">
        <v>1075</v>
      </c>
      <c r="E35" s="70" t="s">
        <v>225</v>
      </c>
      <c r="F35" s="70" t="s">
        <v>1076</v>
      </c>
      <c r="G35" s="70"/>
      <c r="H35" s="47"/>
      <c r="I35" s="70"/>
      <c r="J35" s="70" t="s">
        <v>1010</v>
      </c>
      <c r="K35" s="70" t="s">
        <v>1077</v>
      </c>
      <c r="L35" s="70" t="s">
        <v>1012</v>
      </c>
      <c r="M35" s="70" t="s">
        <v>1013</v>
      </c>
      <c r="N35" s="70" t="s">
        <v>1075</v>
      </c>
      <c r="O35" s="70" t="s">
        <v>279</v>
      </c>
      <c r="P35" s="70" t="s">
        <v>1025</v>
      </c>
      <c r="Q35" s="70"/>
      <c r="R35" s="70"/>
      <c r="S35" s="71"/>
      <c r="T35" s="75" t="s">
        <v>97</v>
      </c>
      <c r="U35" s="69">
        <v>44834</v>
      </c>
      <c r="V35" s="70"/>
      <c r="W35" s="71"/>
      <c r="X35" s="145" t="s">
        <v>156</v>
      </c>
      <c r="Y35" s="138">
        <v>45050</v>
      </c>
      <c r="Z35" s="70"/>
      <c r="AA35" s="71"/>
      <c r="AB35" s="69">
        <v>45302</v>
      </c>
      <c r="AC35" s="70"/>
      <c r="AD35" s="70"/>
      <c r="AE35" s="70"/>
    </row>
    <row r="36" spans="2:31" x14ac:dyDescent="0.25">
      <c r="B36" s="70" t="s">
        <v>51</v>
      </c>
      <c r="C36" s="70">
        <v>24</v>
      </c>
      <c r="D36" s="70" t="s">
        <v>1078</v>
      </c>
      <c r="E36" s="70" t="s">
        <v>225</v>
      </c>
      <c r="F36" s="70" t="s">
        <v>1079</v>
      </c>
      <c r="G36" s="70"/>
      <c r="H36" s="47"/>
      <c r="I36" s="70"/>
      <c r="J36" s="70" t="s">
        <v>1010</v>
      </c>
      <c r="K36" s="70" t="s">
        <v>1080</v>
      </c>
      <c r="L36" s="70" t="s">
        <v>1012</v>
      </c>
      <c r="M36" s="70" t="s">
        <v>1013</v>
      </c>
      <c r="N36" s="70" t="s">
        <v>1078</v>
      </c>
      <c r="O36" s="70" t="s">
        <v>279</v>
      </c>
      <c r="P36" s="70"/>
      <c r="Q36" s="70"/>
      <c r="R36" s="70"/>
      <c r="S36" s="71"/>
      <c r="T36" s="75" t="s">
        <v>97</v>
      </c>
      <c r="U36" s="69">
        <v>44834</v>
      </c>
      <c r="V36" s="70"/>
      <c r="W36" s="71"/>
      <c r="X36" s="145" t="s">
        <v>156</v>
      </c>
      <c r="Y36" s="138">
        <v>45050</v>
      </c>
      <c r="Z36" s="70"/>
      <c r="AA36" s="71"/>
      <c r="AB36" s="69">
        <v>45302</v>
      </c>
      <c r="AC36" s="70"/>
      <c r="AD36" s="70"/>
      <c r="AE36" s="70"/>
    </row>
    <row r="37" spans="2:31" ht="60" x14ac:dyDescent="0.25">
      <c r="B37" s="70" t="s">
        <v>51</v>
      </c>
      <c r="C37" s="70">
        <v>25</v>
      </c>
      <c r="D37" s="70" t="s">
        <v>1081</v>
      </c>
      <c r="E37" s="70" t="s">
        <v>225</v>
      </c>
      <c r="F37" s="70" t="s">
        <v>1082</v>
      </c>
      <c r="G37" s="70"/>
      <c r="H37" s="47"/>
      <c r="I37" s="70"/>
      <c r="J37" s="70" t="s">
        <v>1010</v>
      </c>
      <c r="K37" s="70" t="s">
        <v>1083</v>
      </c>
      <c r="L37" s="70" t="s">
        <v>1012</v>
      </c>
      <c r="M37" s="70" t="s">
        <v>1013</v>
      </c>
      <c r="N37" s="70" t="s">
        <v>1081</v>
      </c>
      <c r="O37" s="70" t="s">
        <v>279</v>
      </c>
      <c r="P37" s="70" t="s">
        <v>1025</v>
      </c>
      <c r="Q37" s="70"/>
      <c r="R37" s="70"/>
      <c r="S37" s="71"/>
      <c r="T37" s="75" t="s">
        <v>97</v>
      </c>
      <c r="U37" s="69">
        <v>44834</v>
      </c>
      <c r="V37" s="70"/>
      <c r="W37" s="71"/>
      <c r="X37" s="145" t="s">
        <v>157</v>
      </c>
      <c r="Y37" s="138">
        <v>45050</v>
      </c>
      <c r="Z37" s="70"/>
      <c r="AA37" s="71"/>
      <c r="AB37" s="69">
        <v>45302</v>
      </c>
      <c r="AC37" s="72">
        <v>45327</v>
      </c>
      <c r="AD37" s="70"/>
      <c r="AE37" s="70"/>
    </row>
    <row r="38" spans="2:31" x14ac:dyDescent="0.25">
      <c r="B38" s="70" t="s">
        <v>51</v>
      </c>
      <c r="C38" s="70">
        <v>26</v>
      </c>
      <c r="D38" s="70" t="s">
        <v>1084</v>
      </c>
      <c r="E38" s="70" t="s">
        <v>225</v>
      </c>
      <c r="F38" s="70" t="s">
        <v>1085</v>
      </c>
      <c r="G38" s="70"/>
      <c r="H38" s="47"/>
      <c r="I38" s="70"/>
      <c r="J38" s="70" t="s">
        <v>1010</v>
      </c>
      <c r="K38" s="70" t="s">
        <v>1086</v>
      </c>
      <c r="L38" s="70" t="s">
        <v>1012</v>
      </c>
      <c r="M38" s="70" t="s">
        <v>1013</v>
      </c>
      <c r="N38" s="70" t="s">
        <v>1084</v>
      </c>
      <c r="O38" s="70" t="s">
        <v>279</v>
      </c>
      <c r="P38" s="70"/>
      <c r="Q38" s="70"/>
      <c r="R38" s="70"/>
      <c r="S38" s="71"/>
      <c r="T38" s="75" t="s">
        <v>97</v>
      </c>
      <c r="U38" s="69">
        <v>44834</v>
      </c>
      <c r="V38" s="70"/>
      <c r="W38" s="71"/>
      <c r="X38" s="145" t="s">
        <v>157</v>
      </c>
      <c r="Y38" s="138">
        <v>45050</v>
      </c>
      <c r="Z38" s="70"/>
      <c r="AA38" s="71"/>
      <c r="AB38" s="69">
        <v>45302</v>
      </c>
      <c r="AC38" s="72">
        <v>45327</v>
      </c>
      <c r="AD38" s="70"/>
      <c r="AE38" s="70"/>
    </row>
    <row r="39" spans="2:31" ht="90" x14ac:dyDescent="0.25">
      <c r="B39" s="70" t="s">
        <v>51</v>
      </c>
      <c r="C39" s="70">
        <v>27</v>
      </c>
      <c r="D39" s="70" t="s">
        <v>1087</v>
      </c>
      <c r="E39" s="70" t="s">
        <v>225</v>
      </c>
      <c r="F39" s="70" t="s">
        <v>1088</v>
      </c>
      <c r="G39" s="70"/>
      <c r="H39" s="47"/>
      <c r="I39" s="70"/>
      <c r="J39" s="70" t="s">
        <v>1089</v>
      </c>
      <c r="K39" s="70" t="s">
        <v>1090</v>
      </c>
      <c r="L39" s="70" t="s">
        <v>426</v>
      </c>
      <c r="M39" s="70" t="s">
        <v>1091</v>
      </c>
      <c r="N39" s="70" t="s">
        <v>1092</v>
      </c>
      <c r="O39" s="70" t="s">
        <v>279</v>
      </c>
      <c r="P39" s="70" t="s">
        <v>1093</v>
      </c>
      <c r="Q39" s="70"/>
      <c r="R39" s="70" t="s">
        <v>1094</v>
      </c>
      <c r="S39" s="71"/>
      <c r="T39" s="75" t="s">
        <v>97</v>
      </c>
      <c r="U39" s="69">
        <v>45233</v>
      </c>
      <c r="V39" s="70" t="s">
        <v>1095</v>
      </c>
      <c r="W39" s="71"/>
      <c r="X39" s="75" t="s">
        <v>149</v>
      </c>
      <c r="Y39" s="138">
        <v>45303</v>
      </c>
      <c r="Z39" s="70"/>
      <c r="AA39" s="71"/>
      <c r="AB39" s="70"/>
      <c r="AC39" s="70"/>
      <c r="AD39" s="70"/>
      <c r="AE39" s="70"/>
    </row>
    <row r="40" spans="2:31" ht="60" x14ac:dyDescent="0.25">
      <c r="B40" s="70" t="s">
        <v>51</v>
      </c>
      <c r="C40" s="70">
        <v>28</v>
      </c>
      <c r="D40" s="70" t="s">
        <v>1096</v>
      </c>
      <c r="E40" s="70" t="s">
        <v>225</v>
      </c>
      <c r="F40" s="70" t="s">
        <v>1097</v>
      </c>
      <c r="G40" s="70"/>
      <c r="H40" s="47"/>
      <c r="I40" s="70"/>
      <c r="J40" s="70"/>
      <c r="K40" s="70"/>
      <c r="L40" s="70" t="s">
        <v>1012</v>
      </c>
      <c r="M40" s="70" t="s">
        <v>1098</v>
      </c>
      <c r="N40" s="70" t="s">
        <v>1099</v>
      </c>
      <c r="O40" s="70"/>
      <c r="P40" s="70" t="s">
        <v>1100</v>
      </c>
      <c r="Q40" s="70"/>
      <c r="R40" s="70" t="s">
        <v>1101</v>
      </c>
      <c r="S40" s="71"/>
      <c r="T40" s="75" t="s">
        <v>97</v>
      </c>
      <c r="U40" s="69">
        <v>44581</v>
      </c>
      <c r="V40" s="70"/>
      <c r="W40" s="71"/>
      <c r="X40" s="75" t="s">
        <v>149</v>
      </c>
      <c r="Y40" s="138">
        <v>45050</v>
      </c>
      <c r="Z40" s="70"/>
      <c r="AA40" s="71"/>
      <c r="AB40" s="70"/>
      <c r="AC40" s="70"/>
      <c r="AD40" s="70"/>
      <c r="AE40" s="70"/>
    </row>
    <row r="41" spans="2:31" ht="225" x14ac:dyDescent="0.25">
      <c r="B41" s="70" t="s">
        <v>51</v>
      </c>
      <c r="C41" s="70">
        <v>29</v>
      </c>
      <c r="D41" s="70" t="s">
        <v>1102</v>
      </c>
      <c r="E41" s="70" t="s">
        <v>225</v>
      </c>
      <c r="F41" s="70" t="s">
        <v>1103</v>
      </c>
      <c r="G41" s="70"/>
      <c r="H41" s="47"/>
      <c r="I41" s="79" t="s">
        <v>376</v>
      </c>
      <c r="J41" s="79" t="s">
        <v>313</v>
      </c>
      <c r="K41" s="70" t="s">
        <v>1104</v>
      </c>
      <c r="L41" s="70" t="s">
        <v>299</v>
      </c>
      <c r="M41" s="70" t="s">
        <v>1105</v>
      </c>
      <c r="N41" s="70" t="s">
        <v>305</v>
      </c>
      <c r="O41" s="70"/>
      <c r="P41" s="70" t="s">
        <v>1106</v>
      </c>
      <c r="Q41" s="111" t="s">
        <v>1107</v>
      </c>
      <c r="R41" s="70"/>
      <c r="S41" s="71"/>
      <c r="T41" s="75" t="s">
        <v>97</v>
      </c>
      <c r="U41" s="69">
        <v>45281</v>
      </c>
      <c r="V41" s="72"/>
      <c r="W41" s="71"/>
      <c r="X41" s="145" t="s">
        <v>151</v>
      </c>
      <c r="Y41" s="139" t="s">
        <v>299</v>
      </c>
      <c r="Z41" s="70"/>
      <c r="AA41" s="71"/>
      <c r="AB41" s="70"/>
      <c r="AC41" s="70"/>
      <c r="AD41" s="70"/>
      <c r="AE41" s="70"/>
    </row>
    <row r="42" spans="2:31" ht="30" x14ac:dyDescent="0.25">
      <c r="B42" s="70" t="s">
        <v>51</v>
      </c>
      <c r="C42" s="70">
        <v>30</v>
      </c>
      <c r="D42" s="79" t="s">
        <v>1108</v>
      </c>
      <c r="E42" s="79" t="s">
        <v>746</v>
      </c>
      <c r="F42" s="79" t="s">
        <v>1109</v>
      </c>
      <c r="G42" s="79"/>
      <c r="H42" s="82"/>
      <c r="I42" s="70" t="s">
        <v>376</v>
      </c>
      <c r="J42" s="79" t="s">
        <v>1110</v>
      </c>
      <c r="K42" s="79" t="s">
        <v>1111</v>
      </c>
      <c r="L42" s="70" t="s">
        <v>299</v>
      </c>
      <c r="M42" s="70" t="s">
        <v>1105</v>
      </c>
      <c r="N42" s="70" t="s">
        <v>1112</v>
      </c>
      <c r="O42" s="70"/>
      <c r="P42" s="70"/>
      <c r="Q42" s="70"/>
      <c r="R42" s="70"/>
      <c r="S42" s="71"/>
      <c r="T42" s="75" t="s">
        <v>97</v>
      </c>
      <c r="U42" s="69">
        <v>45281</v>
      </c>
      <c r="V42" s="72"/>
      <c r="W42" s="71"/>
      <c r="X42" s="145" t="s">
        <v>151</v>
      </c>
      <c r="Y42" s="139" t="s">
        <v>299</v>
      </c>
      <c r="Z42" s="70"/>
      <c r="AA42" s="71"/>
      <c r="AB42" s="70"/>
      <c r="AC42" s="70"/>
      <c r="AD42" s="70"/>
      <c r="AE42" s="70"/>
    </row>
    <row r="43" spans="2:31" ht="45" x14ac:dyDescent="0.25">
      <c r="B43" s="70" t="s">
        <v>51</v>
      </c>
      <c r="C43" s="70">
        <v>31</v>
      </c>
      <c r="D43" s="70" t="s">
        <v>1113</v>
      </c>
      <c r="E43" s="70" t="s">
        <v>311</v>
      </c>
      <c r="F43" s="70" t="s">
        <v>387</v>
      </c>
      <c r="G43" s="70"/>
      <c r="H43" s="47"/>
      <c r="I43" s="70"/>
      <c r="J43" s="70" t="s">
        <v>1114</v>
      </c>
      <c r="K43" s="70" t="s">
        <v>1115</v>
      </c>
      <c r="L43" s="70" t="s">
        <v>376</v>
      </c>
      <c r="M43" s="70" t="s">
        <v>1116</v>
      </c>
      <c r="N43" s="70" t="s">
        <v>1113</v>
      </c>
      <c r="O43" s="70"/>
      <c r="P43" s="70"/>
      <c r="Q43" s="70"/>
      <c r="R43" s="70" t="s">
        <v>1117</v>
      </c>
      <c r="S43" s="71"/>
      <c r="T43" s="75" t="s">
        <v>97</v>
      </c>
      <c r="U43" s="69">
        <v>45093</v>
      </c>
      <c r="V43" s="72" t="s">
        <v>1118</v>
      </c>
      <c r="W43" s="71"/>
      <c r="X43" s="145" t="s">
        <v>156</v>
      </c>
      <c r="Y43" s="138">
        <v>45126</v>
      </c>
      <c r="Z43" s="70"/>
      <c r="AA43" s="71"/>
      <c r="AB43" s="69">
        <v>45302</v>
      </c>
      <c r="AC43" s="70"/>
      <c r="AD43" s="70"/>
      <c r="AE43" s="70"/>
    </row>
    <row r="44" spans="2:31" ht="30" x14ac:dyDescent="0.25">
      <c r="B44" s="70" t="s">
        <v>51</v>
      </c>
      <c r="C44" s="70">
        <v>32</v>
      </c>
      <c r="D44" s="70" t="s">
        <v>1119</v>
      </c>
      <c r="E44" s="70" t="s">
        <v>311</v>
      </c>
      <c r="F44" s="70" t="s">
        <v>392</v>
      </c>
      <c r="G44" s="70"/>
      <c r="H44" s="47"/>
      <c r="I44" s="70"/>
      <c r="J44" s="70" t="s">
        <v>1114</v>
      </c>
      <c r="K44" s="70" t="s">
        <v>1120</v>
      </c>
      <c r="L44" s="70" t="s">
        <v>376</v>
      </c>
      <c r="M44" s="70" t="s">
        <v>1116</v>
      </c>
      <c r="N44" s="70" t="s">
        <v>1119</v>
      </c>
      <c r="O44" s="70"/>
      <c r="P44" s="70"/>
      <c r="Q44" s="70"/>
      <c r="R44" s="70" t="s">
        <v>1117</v>
      </c>
      <c r="S44" s="71"/>
      <c r="T44" s="75" t="s">
        <v>97</v>
      </c>
      <c r="U44" s="69">
        <v>45093</v>
      </c>
      <c r="V44" s="72" t="s">
        <v>1121</v>
      </c>
      <c r="W44" s="71"/>
      <c r="X44" s="145" t="s">
        <v>156</v>
      </c>
      <c r="Y44" s="138">
        <v>45126</v>
      </c>
      <c r="Z44" s="70"/>
      <c r="AA44" s="71"/>
      <c r="AB44" s="69">
        <v>45302</v>
      </c>
      <c r="AC44" s="70"/>
      <c r="AD44" s="70"/>
      <c r="AE44" s="70"/>
    </row>
    <row r="45" spans="2:31" ht="30" x14ac:dyDescent="0.25">
      <c r="B45" s="70" t="s">
        <v>51</v>
      </c>
      <c r="C45" s="70">
        <v>33</v>
      </c>
      <c r="D45" s="70" t="s">
        <v>1122</v>
      </c>
      <c r="E45" s="70" t="s">
        <v>311</v>
      </c>
      <c r="F45" s="70" t="s">
        <v>394</v>
      </c>
      <c r="G45" s="70"/>
      <c r="H45" s="47"/>
      <c r="I45" s="70"/>
      <c r="J45" s="70" t="s">
        <v>1114</v>
      </c>
      <c r="K45" s="70" t="s">
        <v>1123</v>
      </c>
      <c r="L45" s="70" t="s">
        <v>376</v>
      </c>
      <c r="M45" s="70" t="s">
        <v>1116</v>
      </c>
      <c r="N45" s="70" t="s">
        <v>1122</v>
      </c>
      <c r="O45" s="70"/>
      <c r="P45" s="70"/>
      <c r="Q45" s="70"/>
      <c r="R45" s="70" t="s">
        <v>1117</v>
      </c>
      <c r="S45" s="71"/>
      <c r="T45" s="75" t="s">
        <v>97</v>
      </c>
      <c r="U45" s="69">
        <v>45093</v>
      </c>
      <c r="V45" s="72" t="s">
        <v>1121</v>
      </c>
      <c r="W45" s="71"/>
      <c r="X45" s="145" t="s">
        <v>156</v>
      </c>
      <c r="Y45" s="138">
        <v>45126</v>
      </c>
      <c r="Z45" s="70"/>
      <c r="AA45" s="71"/>
      <c r="AB45" s="69">
        <v>45302</v>
      </c>
      <c r="AC45" s="70"/>
      <c r="AD45" s="70"/>
      <c r="AE45" s="70"/>
    </row>
    <row r="46" spans="2:31" ht="105" customHeight="1" x14ac:dyDescent="0.25">
      <c r="B46" s="70" t="s">
        <v>51</v>
      </c>
      <c r="C46" s="70">
        <v>34</v>
      </c>
      <c r="D46" s="70" t="s">
        <v>1124</v>
      </c>
      <c r="E46" s="70" t="s">
        <v>311</v>
      </c>
      <c r="F46" s="70" t="s">
        <v>396</v>
      </c>
      <c r="G46" s="70"/>
      <c r="H46" s="47"/>
      <c r="I46" s="70"/>
      <c r="J46" s="70" t="s">
        <v>1114</v>
      </c>
      <c r="K46" s="70" t="s">
        <v>1125</v>
      </c>
      <c r="L46" s="70" t="s">
        <v>376</v>
      </c>
      <c r="M46" s="70" t="s">
        <v>1116</v>
      </c>
      <c r="N46" s="70" t="s">
        <v>1124</v>
      </c>
      <c r="O46" s="70"/>
      <c r="P46" s="70"/>
      <c r="Q46" s="70"/>
      <c r="R46" s="70" t="s">
        <v>1117</v>
      </c>
      <c r="S46" s="71"/>
      <c r="T46" s="75" t="s">
        <v>97</v>
      </c>
      <c r="U46" s="69">
        <v>45093</v>
      </c>
      <c r="V46" s="72" t="s">
        <v>1121</v>
      </c>
      <c r="W46" s="71"/>
      <c r="X46" s="75" t="s">
        <v>97</v>
      </c>
      <c r="Y46" s="138">
        <v>45126</v>
      </c>
      <c r="Z46" s="70"/>
      <c r="AA46" s="71"/>
      <c r="AB46" s="69" t="s">
        <v>269</v>
      </c>
      <c r="AC46" s="69" t="s">
        <v>269</v>
      </c>
      <c r="AD46" s="69">
        <v>45302</v>
      </c>
      <c r="AE46" s="70"/>
    </row>
    <row r="47" spans="2:31" ht="105" x14ac:dyDescent="0.25">
      <c r="B47" s="70" t="s">
        <v>51</v>
      </c>
      <c r="C47" s="70">
        <v>35</v>
      </c>
      <c r="D47" s="70" t="s">
        <v>1126</v>
      </c>
      <c r="E47" s="70" t="s">
        <v>225</v>
      </c>
      <c r="F47" s="70" t="s">
        <v>1127</v>
      </c>
      <c r="G47" s="70"/>
      <c r="H47" s="47"/>
      <c r="I47" s="70" t="s">
        <v>376</v>
      </c>
      <c r="J47" s="70" t="s">
        <v>1110</v>
      </c>
      <c r="K47" s="70" t="s">
        <v>1128</v>
      </c>
      <c r="L47" s="68" t="s">
        <v>426</v>
      </c>
      <c r="M47" s="68" t="s">
        <v>1129</v>
      </c>
      <c r="N47" s="70" t="s">
        <v>1130</v>
      </c>
      <c r="O47" s="70"/>
      <c r="P47" s="70"/>
      <c r="Q47" s="70"/>
      <c r="R47" s="70" t="s">
        <v>1131</v>
      </c>
      <c r="S47" s="71"/>
      <c r="T47" s="75" t="s">
        <v>97</v>
      </c>
      <c r="U47" s="69">
        <v>45093</v>
      </c>
      <c r="V47" s="126" t="s">
        <v>1132</v>
      </c>
      <c r="W47" s="71"/>
      <c r="X47" s="145" t="s">
        <v>156</v>
      </c>
      <c r="Y47" s="138">
        <v>45126</v>
      </c>
      <c r="Z47" s="70"/>
      <c r="AA47" s="71"/>
      <c r="AB47" s="69">
        <v>45302</v>
      </c>
      <c r="AC47" s="70"/>
      <c r="AD47" s="70"/>
      <c r="AE47" s="70"/>
    </row>
    <row r="48" spans="2:31" ht="45" x14ac:dyDescent="0.25">
      <c r="B48" s="70" t="s">
        <v>51</v>
      </c>
      <c r="C48" s="70">
        <v>36</v>
      </c>
      <c r="D48" s="70" t="s">
        <v>1133</v>
      </c>
      <c r="E48" s="70" t="s">
        <v>225</v>
      </c>
      <c r="F48" s="70" t="s">
        <v>1134</v>
      </c>
      <c r="G48" s="70"/>
      <c r="H48" s="47"/>
      <c r="I48" s="70" t="s">
        <v>376</v>
      </c>
      <c r="J48" s="70" t="s">
        <v>1110</v>
      </c>
      <c r="K48" s="70" t="s">
        <v>1133</v>
      </c>
      <c r="L48" s="70" t="s">
        <v>299</v>
      </c>
      <c r="M48" s="70" t="s">
        <v>1135</v>
      </c>
      <c r="N48" s="70" t="s">
        <v>1136</v>
      </c>
      <c r="O48" s="70"/>
      <c r="P48" s="70" t="s">
        <v>372</v>
      </c>
      <c r="Q48" s="70"/>
      <c r="R48" s="70"/>
      <c r="S48" s="71"/>
      <c r="T48" s="75" t="s">
        <v>130</v>
      </c>
      <c r="U48" s="69">
        <v>45084</v>
      </c>
      <c r="V48" s="72" t="s">
        <v>1137</v>
      </c>
      <c r="W48" s="71"/>
      <c r="X48" s="145" t="s">
        <v>150</v>
      </c>
      <c r="Y48" s="139" t="s">
        <v>299</v>
      </c>
      <c r="Z48" s="70"/>
      <c r="AA48" s="71"/>
      <c r="AB48" s="70"/>
      <c r="AC48" s="70"/>
      <c r="AD48" s="70"/>
      <c r="AE48" s="70"/>
    </row>
    <row r="49" spans="2:31" ht="45" x14ac:dyDescent="0.25">
      <c r="B49" s="70" t="s">
        <v>51</v>
      </c>
      <c r="C49" s="70">
        <v>37</v>
      </c>
      <c r="D49" s="70" t="s">
        <v>1138</v>
      </c>
      <c r="E49" s="70" t="s">
        <v>225</v>
      </c>
      <c r="F49" s="70" t="s">
        <v>1139</v>
      </c>
      <c r="G49" s="70"/>
      <c r="H49" s="47"/>
      <c r="I49" s="70" t="s">
        <v>376</v>
      </c>
      <c r="J49" s="70" t="s">
        <v>1110</v>
      </c>
      <c r="K49" s="70" t="s">
        <v>1140</v>
      </c>
      <c r="L49" s="70" t="s">
        <v>299</v>
      </c>
      <c r="M49" s="70" t="s">
        <v>1135</v>
      </c>
      <c r="N49" s="70" t="s">
        <v>1141</v>
      </c>
      <c r="O49" s="70"/>
      <c r="P49" s="70" t="s">
        <v>372</v>
      </c>
      <c r="Q49" s="70"/>
      <c r="R49" s="70"/>
      <c r="S49" s="71"/>
      <c r="T49" s="75" t="s">
        <v>130</v>
      </c>
      <c r="U49" s="69">
        <v>45084</v>
      </c>
      <c r="V49" s="72" t="s">
        <v>1137</v>
      </c>
      <c r="W49" s="71"/>
      <c r="X49" s="145" t="s">
        <v>150</v>
      </c>
      <c r="Y49" s="139" t="s">
        <v>299</v>
      </c>
      <c r="Z49" s="70"/>
      <c r="AA49" s="71"/>
      <c r="AB49" s="70"/>
      <c r="AC49" s="70"/>
      <c r="AD49" s="70"/>
      <c r="AE49" s="70"/>
    </row>
    <row r="50" spans="2:31" ht="45" x14ac:dyDescent="0.25">
      <c r="B50" s="70" t="s">
        <v>51</v>
      </c>
      <c r="C50" s="70">
        <v>38</v>
      </c>
      <c r="D50" s="79" t="s">
        <v>1142</v>
      </c>
      <c r="E50" s="79" t="s">
        <v>225</v>
      </c>
      <c r="F50" s="79" t="s">
        <v>1143</v>
      </c>
      <c r="G50" s="79"/>
      <c r="H50" s="82"/>
      <c r="I50" s="70" t="s">
        <v>376</v>
      </c>
      <c r="J50" s="79" t="s">
        <v>1110</v>
      </c>
      <c r="K50" s="79" t="s">
        <v>1144</v>
      </c>
      <c r="L50" s="70" t="s">
        <v>299</v>
      </c>
      <c r="M50" s="70" t="s">
        <v>1135</v>
      </c>
      <c r="N50" s="70" t="s">
        <v>1142</v>
      </c>
      <c r="O50" s="70"/>
      <c r="P50" s="70" t="s">
        <v>372</v>
      </c>
      <c r="Q50" s="70"/>
      <c r="R50" s="70"/>
      <c r="S50" s="71"/>
      <c r="T50" s="75" t="s">
        <v>130</v>
      </c>
      <c r="U50" s="69">
        <v>45084</v>
      </c>
      <c r="V50" s="72" t="s">
        <v>1137</v>
      </c>
      <c r="W50" s="71"/>
      <c r="X50" s="145" t="s">
        <v>150</v>
      </c>
      <c r="Y50" s="139" t="s">
        <v>299</v>
      </c>
      <c r="Z50" s="70"/>
      <c r="AA50" s="71"/>
      <c r="AB50" s="70"/>
      <c r="AC50" s="70"/>
      <c r="AD50" s="70"/>
      <c r="AE50" s="70"/>
    </row>
    <row r="51" spans="2:31" ht="60" x14ac:dyDescent="0.25">
      <c r="B51" s="70" t="s">
        <v>51</v>
      </c>
      <c r="C51" s="70">
        <v>39</v>
      </c>
      <c r="D51" s="70" t="s">
        <v>1145</v>
      </c>
      <c r="E51" s="70" t="s">
        <v>225</v>
      </c>
      <c r="F51" s="70" t="s">
        <v>1146</v>
      </c>
      <c r="G51" s="70"/>
      <c r="H51" s="47"/>
      <c r="I51" s="70" t="s">
        <v>376</v>
      </c>
      <c r="J51" s="70" t="s">
        <v>1110</v>
      </c>
      <c r="K51" s="70" t="s">
        <v>1147</v>
      </c>
      <c r="L51" s="70" t="s">
        <v>1148</v>
      </c>
      <c r="M51" s="70" t="s">
        <v>1149</v>
      </c>
      <c r="N51" s="70" t="s">
        <v>1150</v>
      </c>
      <c r="O51" s="70"/>
      <c r="P51" s="70"/>
      <c r="Q51" s="70"/>
      <c r="R51" s="70"/>
      <c r="S51" s="71"/>
      <c r="T51" s="75" t="s">
        <v>130</v>
      </c>
      <c r="U51" s="69">
        <v>44834</v>
      </c>
      <c r="V51" s="72" t="s">
        <v>1151</v>
      </c>
      <c r="W51" s="71"/>
      <c r="X51" s="145" t="s">
        <v>150</v>
      </c>
      <c r="Y51" s="139" t="s">
        <v>299</v>
      </c>
      <c r="Z51" s="70"/>
      <c r="AA51" s="71"/>
      <c r="AB51" s="70"/>
      <c r="AC51" s="70"/>
      <c r="AD51" s="70"/>
      <c r="AE51" s="70"/>
    </row>
    <row r="52" spans="2:31" ht="45" x14ac:dyDescent="0.25">
      <c r="B52" s="70" t="s">
        <v>51</v>
      </c>
      <c r="C52" s="70">
        <v>40</v>
      </c>
      <c r="D52" s="70" t="s">
        <v>1152</v>
      </c>
      <c r="E52" s="70" t="s">
        <v>225</v>
      </c>
      <c r="F52" s="70" t="s">
        <v>1153</v>
      </c>
      <c r="G52" s="70"/>
      <c r="H52" s="47"/>
      <c r="I52" s="70" t="s">
        <v>376</v>
      </c>
      <c r="J52" s="70" t="s">
        <v>1110</v>
      </c>
      <c r="K52" s="70" t="s">
        <v>1154</v>
      </c>
      <c r="L52" s="70" t="s">
        <v>1155</v>
      </c>
      <c r="M52" s="70" t="s">
        <v>1156</v>
      </c>
      <c r="N52" s="70" t="s">
        <v>1157</v>
      </c>
      <c r="O52" s="70" t="s">
        <v>279</v>
      </c>
      <c r="P52" s="70" t="s">
        <v>372</v>
      </c>
      <c r="Q52" s="70"/>
      <c r="R52" s="70" t="s">
        <v>1158</v>
      </c>
      <c r="S52" s="71"/>
      <c r="T52" s="75" t="s">
        <v>130</v>
      </c>
      <c r="U52" s="69">
        <v>44834</v>
      </c>
      <c r="V52" s="72" t="s">
        <v>1151</v>
      </c>
      <c r="W52" s="71"/>
      <c r="X52" s="145" t="s">
        <v>150</v>
      </c>
      <c r="Y52" s="139" t="s">
        <v>299</v>
      </c>
      <c r="Z52" s="70"/>
      <c r="AA52" s="71"/>
      <c r="AB52" s="70"/>
      <c r="AC52" s="70"/>
      <c r="AD52" s="70"/>
      <c r="AE52" s="70"/>
    </row>
    <row r="53" spans="2:31" ht="255" x14ac:dyDescent="0.25">
      <c r="B53" s="70" t="s">
        <v>51</v>
      </c>
      <c r="C53" s="70">
        <v>41</v>
      </c>
      <c r="D53" s="68" t="s">
        <v>1159</v>
      </c>
      <c r="E53" s="68" t="s">
        <v>225</v>
      </c>
      <c r="F53" s="70" t="s">
        <v>1160</v>
      </c>
      <c r="G53" s="70" t="s">
        <v>289</v>
      </c>
      <c r="H53" s="47"/>
      <c r="I53" s="70" t="s">
        <v>376</v>
      </c>
      <c r="J53" s="68" t="s">
        <v>1161</v>
      </c>
      <c r="K53" s="68" t="s">
        <v>1162</v>
      </c>
      <c r="L53" s="70" t="s">
        <v>1148</v>
      </c>
      <c r="M53" s="70" t="s">
        <v>1149</v>
      </c>
      <c r="N53" s="70" t="s">
        <v>1163</v>
      </c>
      <c r="O53" s="70" t="s">
        <v>279</v>
      </c>
      <c r="P53" s="70"/>
      <c r="Q53" s="70"/>
      <c r="R53" s="70" t="s">
        <v>1164</v>
      </c>
      <c r="S53" s="47"/>
      <c r="T53" s="75" t="s">
        <v>130</v>
      </c>
      <c r="U53" s="69">
        <v>45084</v>
      </c>
      <c r="V53" s="111" t="s">
        <v>1165</v>
      </c>
      <c r="W53" s="47"/>
      <c r="X53" s="145" t="s">
        <v>150</v>
      </c>
      <c r="Y53" s="139" t="s">
        <v>299</v>
      </c>
      <c r="Z53" s="68"/>
      <c r="AA53" s="47"/>
      <c r="AB53" s="68"/>
      <c r="AC53" s="68"/>
      <c r="AD53" s="68"/>
      <c r="AE53" s="68"/>
    </row>
    <row r="54" spans="2:31" ht="30" x14ac:dyDescent="0.25">
      <c r="B54" s="70" t="s">
        <v>51</v>
      </c>
      <c r="C54" s="70">
        <v>42</v>
      </c>
      <c r="D54" s="70" t="s">
        <v>1166</v>
      </c>
      <c r="E54" s="70" t="s">
        <v>225</v>
      </c>
      <c r="F54" s="70" t="s">
        <v>1167</v>
      </c>
      <c r="G54" s="70"/>
      <c r="H54" s="47"/>
      <c r="I54" s="70" t="s">
        <v>376</v>
      </c>
      <c r="J54" s="70" t="s">
        <v>1110</v>
      </c>
      <c r="K54" s="70" t="s">
        <v>1168</v>
      </c>
      <c r="L54" s="70" t="s">
        <v>408</v>
      </c>
      <c r="M54" s="70" t="s">
        <v>1169</v>
      </c>
      <c r="N54" s="70" t="s">
        <v>1166</v>
      </c>
      <c r="O54" s="70"/>
      <c r="P54" s="70"/>
      <c r="Q54" s="70"/>
      <c r="R54" s="70" t="s">
        <v>1170</v>
      </c>
      <c r="S54" s="71"/>
      <c r="T54" s="75" t="s">
        <v>97</v>
      </c>
      <c r="U54" s="69">
        <v>45093</v>
      </c>
      <c r="V54" s="72" t="s">
        <v>1151</v>
      </c>
      <c r="W54" s="71"/>
      <c r="X54" s="75" t="s">
        <v>97</v>
      </c>
      <c r="Y54" s="138">
        <v>45126</v>
      </c>
      <c r="Z54" s="70"/>
      <c r="AA54" s="71"/>
      <c r="AB54" s="69" t="s">
        <v>269</v>
      </c>
      <c r="AC54" s="69">
        <v>45327</v>
      </c>
      <c r="AD54" s="69">
        <v>45302</v>
      </c>
      <c r="AE54" s="70"/>
    </row>
    <row r="55" spans="2:31" ht="30" x14ac:dyDescent="0.25">
      <c r="B55" s="70" t="s">
        <v>51</v>
      </c>
      <c r="C55" s="70">
        <v>43</v>
      </c>
      <c r="D55" s="70" t="s">
        <v>1171</v>
      </c>
      <c r="E55" s="70" t="s">
        <v>225</v>
      </c>
      <c r="F55" s="70" t="s">
        <v>1172</v>
      </c>
      <c r="G55" s="70"/>
      <c r="H55" s="47"/>
      <c r="I55" s="70" t="s">
        <v>376</v>
      </c>
      <c r="J55" s="70" t="s">
        <v>1110</v>
      </c>
      <c r="K55" s="70" t="s">
        <v>1173</v>
      </c>
      <c r="L55" s="70" t="s">
        <v>408</v>
      </c>
      <c r="M55" s="70" t="s">
        <v>1169</v>
      </c>
      <c r="N55" s="70" t="s">
        <v>1171</v>
      </c>
      <c r="O55" s="70"/>
      <c r="P55" s="70"/>
      <c r="Q55" s="70"/>
      <c r="R55" s="70" t="s">
        <v>1170</v>
      </c>
      <c r="S55" s="71"/>
      <c r="T55" s="75" t="s">
        <v>97</v>
      </c>
      <c r="U55" s="69">
        <v>45093</v>
      </c>
      <c r="V55" s="72" t="s">
        <v>1151</v>
      </c>
      <c r="W55" s="71"/>
      <c r="X55" s="145" t="s">
        <v>156</v>
      </c>
      <c r="Y55" s="138">
        <v>45126</v>
      </c>
      <c r="Z55" s="70"/>
      <c r="AA55" s="71"/>
      <c r="AB55" s="69">
        <v>45302</v>
      </c>
      <c r="AC55" s="70"/>
      <c r="AD55" s="70"/>
      <c r="AE55" s="70"/>
    </row>
    <row r="56" spans="2:31" ht="60" x14ac:dyDescent="0.25">
      <c r="B56" s="70" t="s">
        <v>51</v>
      </c>
      <c r="C56" s="70">
        <v>44</v>
      </c>
      <c r="D56" s="70" t="s">
        <v>1174</v>
      </c>
      <c r="E56" s="70" t="s">
        <v>1175</v>
      </c>
      <c r="F56" s="70" t="s">
        <v>1176</v>
      </c>
      <c r="G56" s="146" t="s">
        <v>289</v>
      </c>
      <c r="H56" s="47"/>
      <c r="I56" s="70" t="s">
        <v>376</v>
      </c>
      <c r="J56" s="70" t="s">
        <v>1110</v>
      </c>
      <c r="K56" s="70" t="s">
        <v>1177</v>
      </c>
      <c r="L56" s="70" t="s">
        <v>408</v>
      </c>
      <c r="M56" s="70" t="s">
        <v>1169</v>
      </c>
      <c r="N56" s="70" t="s">
        <v>1174</v>
      </c>
      <c r="O56" s="70"/>
      <c r="P56" s="70"/>
      <c r="Q56" s="70"/>
      <c r="R56" s="70" t="s">
        <v>1170</v>
      </c>
      <c r="S56" s="71"/>
      <c r="T56" s="75" t="s">
        <v>97</v>
      </c>
      <c r="U56" s="69">
        <v>45093</v>
      </c>
      <c r="V56" s="72" t="s">
        <v>1151</v>
      </c>
      <c r="W56" s="71"/>
      <c r="X56" s="75" t="s">
        <v>149</v>
      </c>
      <c r="Y56" s="138">
        <v>45126</v>
      </c>
      <c r="Z56" s="70"/>
      <c r="AA56" s="71"/>
      <c r="AB56" s="70"/>
      <c r="AC56" s="70"/>
      <c r="AD56" s="70"/>
      <c r="AE56" s="70"/>
    </row>
    <row r="57" spans="2:31" ht="45" x14ac:dyDescent="0.25">
      <c r="B57" s="70" t="s">
        <v>51</v>
      </c>
      <c r="C57" s="70">
        <v>45</v>
      </c>
      <c r="D57" s="70" t="s">
        <v>1178</v>
      </c>
      <c r="E57" s="70" t="s">
        <v>225</v>
      </c>
      <c r="F57" s="70" t="s">
        <v>1179</v>
      </c>
      <c r="G57" s="70"/>
      <c r="H57" s="47"/>
      <c r="I57" s="70" t="s">
        <v>376</v>
      </c>
      <c r="J57" s="70" t="s">
        <v>1110</v>
      </c>
      <c r="K57" s="70" t="s">
        <v>1180</v>
      </c>
      <c r="L57" s="70" t="s">
        <v>299</v>
      </c>
      <c r="M57" s="70"/>
      <c r="N57" s="70"/>
      <c r="O57" s="70"/>
      <c r="P57" s="70"/>
      <c r="Q57" s="70"/>
      <c r="R57" s="70"/>
      <c r="S57" s="71"/>
      <c r="T57" s="75" t="s">
        <v>197</v>
      </c>
      <c r="U57" s="69">
        <v>44834</v>
      </c>
      <c r="V57" s="72" t="s">
        <v>1181</v>
      </c>
      <c r="W57" s="71"/>
      <c r="X57" s="145" t="s">
        <v>150</v>
      </c>
      <c r="Y57" s="139" t="s">
        <v>299</v>
      </c>
      <c r="Z57" s="70"/>
      <c r="AA57" s="71"/>
      <c r="AB57" s="70"/>
      <c r="AC57" s="70"/>
      <c r="AD57" s="70"/>
      <c r="AE57" s="70"/>
    </row>
    <row r="58" spans="2:31" ht="45" x14ac:dyDescent="0.25">
      <c r="B58" s="70" t="s">
        <v>51</v>
      </c>
      <c r="C58" s="70">
        <v>46</v>
      </c>
      <c r="D58" s="70" t="s">
        <v>1182</v>
      </c>
      <c r="E58" s="70" t="s">
        <v>225</v>
      </c>
      <c r="F58" s="70" t="s">
        <v>1183</v>
      </c>
      <c r="G58" s="70"/>
      <c r="H58" s="47"/>
      <c r="I58" s="70" t="s">
        <v>376</v>
      </c>
      <c r="J58" s="70" t="s">
        <v>1110</v>
      </c>
      <c r="K58" s="70" t="s">
        <v>1184</v>
      </c>
      <c r="L58" s="70" t="s">
        <v>299</v>
      </c>
      <c r="M58" s="70"/>
      <c r="N58" s="70"/>
      <c r="O58" s="70"/>
      <c r="P58" s="70" t="s">
        <v>372</v>
      </c>
      <c r="Q58" s="70"/>
      <c r="R58" s="70"/>
      <c r="S58" s="71"/>
      <c r="T58" s="75" t="s">
        <v>197</v>
      </c>
      <c r="U58" s="69">
        <v>44834</v>
      </c>
      <c r="V58" s="72" t="s">
        <v>1181</v>
      </c>
      <c r="W58" s="71"/>
      <c r="X58" s="145" t="s">
        <v>150</v>
      </c>
      <c r="Y58" s="139" t="s">
        <v>299</v>
      </c>
      <c r="Z58" s="70"/>
      <c r="AA58" s="71"/>
      <c r="AB58" s="70"/>
      <c r="AC58" s="70"/>
      <c r="AD58" s="70"/>
      <c r="AE58" s="70"/>
    </row>
    <row r="59" spans="2:31" ht="45" x14ac:dyDescent="0.25">
      <c r="B59" s="70" t="s">
        <v>51</v>
      </c>
      <c r="C59" s="70">
        <v>47</v>
      </c>
      <c r="D59" s="70" t="s">
        <v>1185</v>
      </c>
      <c r="E59" s="70" t="s">
        <v>225</v>
      </c>
      <c r="F59" s="70" t="s">
        <v>1186</v>
      </c>
      <c r="G59" s="70"/>
      <c r="H59" s="47"/>
      <c r="I59" s="70" t="s">
        <v>376</v>
      </c>
      <c r="J59" s="70" t="s">
        <v>1110</v>
      </c>
      <c r="K59" s="70" t="s">
        <v>1187</v>
      </c>
      <c r="L59" s="70" t="s">
        <v>299</v>
      </c>
      <c r="M59" s="70" t="s">
        <v>388</v>
      </c>
      <c r="N59" s="70" t="s">
        <v>388</v>
      </c>
      <c r="O59" s="70"/>
      <c r="P59" s="70" t="s">
        <v>372</v>
      </c>
      <c r="Q59" s="70"/>
      <c r="R59" s="70"/>
      <c r="S59" s="71"/>
      <c r="T59" s="75" t="s">
        <v>197</v>
      </c>
      <c r="U59" s="69">
        <v>44834</v>
      </c>
      <c r="V59" s="72" t="s">
        <v>1181</v>
      </c>
      <c r="W59" s="71"/>
      <c r="X59" s="145" t="s">
        <v>150</v>
      </c>
      <c r="Y59" s="139" t="s">
        <v>299</v>
      </c>
      <c r="Z59" s="70"/>
      <c r="AA59" s="71"/>
      <c r="AB59" s="70"/>
      <c r="AC59" s="70"/>
      <c r="AD59" s="70"/>
      <c r="AE59" s="70"/>
    </row>
    <row r="60" spans="2:31" ht="45" x14ac:dyDescent="0.25">
      <c r="B60" s="70" t="s">
        <v>51</v>
      </c>
      <c r="C60" s="70">
        <v>48</v>
      </c>
      <c r="D60" s="70" t="s">
        <v>1188</v>
      </c>
      <c r="E60" s="70" t="s">
        <v>225</v>
      </c>
      <c r="F60" s="70" t="s">
        <v>1189</v>
      </c>
      <c r="G60" s="70"/>
      <c r="H60" s="47"/>
      <c r="I60" s="70" t="s">
        <v>376</v>
      </c>
      <c r="J60" s="70" t="s">
        <v>1110</v>
      </c>
      <c r="K60" s="70" t="s">
        <v>1190</v>
      </c>
      <c r="L60" s="70" t="s">
        <v>299</v>
      </c>
      <c r="M60" s="70" t="s">
        <v>388</v>
      </c>
      <c r="N60" s="70" t="s">
        <v>388</v>
      </c>
      <c r="O60" s="70"/>
      <c r="P60" s="70" t="s">
        <v>372</v>
      </c>
      <c r="Q60" s="70"/>
      <c r="R60" s="70"/>
      <c r="S60" s="71"/>
      <c r="T60" s="75" t="s">
        <v>197</v>
      </c>
      <c r="U60" s="69">
        <v>44834</v>
      </c>
      <c r="V60" s="72" t="s">
        <v>1181</v>
      </c>
      <c r="W60" s="71"/>
      <c r="X60" s="145" t="s">
        <v>150</v>
      </c>
      <c r="Y60" s="139" t="s">
        <v>299</v>
      </c>
      <c r="Z60" s="70"/>
      <c r="AA60" s="71"/>
      <c r="AB60" s="70"/>
      <c r="AC60" s="70"/>
      <c r="AD60" s="70"/>
      <c r="AE60" s="70"/>
    </row>
    <row r="61" spans="2:31" ht="45" x14ac:dyDescent="0.25">
      <c r="B61" s="70" t="s">
        <v>51</v>
      </c>
      <c r="C61" s="70">
        <v>49</v>
      </c>
      <c r="D61" s="70" t="s">
        <v>1191</v>
      </c>
      <c r="E61" s="70" t="s">
        <v>225</v>
      </c>
      <c r="F61" s="70" t="s">
        <v>1192</v>
      </c>
      <c r="G61" s="70"/>
      <c r="H61" s="47"/>
      <c r="I61" s="70" t="s">
        <v>376</v>
      </c>
      <c r="J61" s="70" t="s">
        <v>1110</v>
      </c>
      <c r="K61" s="70" t="s">
        <v>1193</v>
      </c>
      <c r="L61" s="70" t="s">
        <v>299</v>
      </c>
      <c r="M61" s="70" t="s">
        <v>388</v>
      </c>
      <c r="N61" s="70" t="s">
        <v>388</v>
      </c>
      <c r="O61" s="70"/>
      <c r="P61" s="70" t="s">
        <v>372</v>
      </c>
      <c r="Q61" s="70"/>
      <c r="R61" s="70"/>
      <c r="S61" s="71"/>
      <c r="T61" s="75" t="s">
        <v>197</v>
      </c>
      <c r="U61" s="69">
        <v>44834</v>
      </c>
      <c r="V61" s="72" t="s">
        <v>1181</v>
      </c>
      <c r="W61" s="71"/>
      <c r="X61" s="145" t="s">
        <v>150</v>
      </c>
      <c r="Y61" s="139" t="s">
        <v>299</v>
      </c>
      <c r="Z61" s="70"/>
      <c r="AA61" s="71"/>
      <c r="AB61" s="70"/>
      <c r="AC61" s="70"/>
      <c r="AD61" s="70"/>
      <c r="AE61" s="70"/>
    </row>
    <row r="62" spans="2:31" ht="45" x14ac:dyDescent="0.25">
      <c r="B62" s="70" t="s">
        <v>51</v>
      </c>
      <c r="C62" s="70">
        <v>50</v>
      </c>
      <c r="D62" s="70" t="s">
        <v>1194</v>
      </c>
      <c r="E62" s="70" t="s">
        <v>225</v>
      </c>
      <c r="F62" s="70" t="s">
        <v>1195</v>
      </c>
      <c r="G62" s="70"/>
      <c r="H62" s="47"/>
      <c r="I62" s="70" t="s">
        <v>376</v>
      </c>
      <c r="J62" s="70" t="s">
        <v>1110</v>
      </c>
      <c r="K62" s="70" t="s">
        <v>1196</v>
      </c>
      <c r="L62" s="70" t="s">
        <v>299</v>
      </c>
      <c r="M62" s="70" t="s">
        <v>388</v>
      </c>
      <c r="N62" s="70" t="s">
        <v>388</v>
      </c>
      <c r="O62" s="70"/>
      <c r="P62" s="70" t="s">
        <v>372</v>
      </c>
      <c r="Q62" s="70"/>
      <c r="R62" s="70"/>
      <c r="S62" s="71"/>
      <c r="T62" s="75" t="s">
        <v>197</v>
      </c>
      <c r="U62" s="69">
        <v>44834</v>
      </c>
      <c r="V62" s="72" t="s">
        <v>1181</v>
      </c>
      <c r="W62" s="71"/>
      <c r="X62" s="145" t="s">
        <v>150</v>
      </c>
      <c r="Y62" s="139" t="s">
        <v>299</v>
      </c>
      <c r="Z62" s="70"/>
      <c r="AA62" s="71"/>
      <c r="AB62" s="70"/>
      <c r="AC62" s="70"/>
      <c r="AD62" s="70"/>
      <c r="AE62" s="70"/>
    </row>
    <row r="63" spans="2:31" ht="51.75" customHeight="1" x14ac:dyDescent="0.25">
      <c r="B63" s="70" t="s">
        <v>51</v>
      </c>
      <c r="C63" s="70">
        <v>51</v>
      </c>
      <c r="D63" s="70" t="s">
        <v>1197</v>
      </c>
      <c r="E63" s="70" t="s">
        <v>225</v>
      </c>
      <c r="F63" s="70" t="s">
        <v>1198</v>
      </c>
      <c r="G63" s="70"/>
      <c r="H63" s="47"/>
      <c r="I63" s="70" t="s">
        <v>376</v>
      </c>
      <c r="J63" s="70" t="s">
        <v>1110</v>
      </c>
      <c r="K63" s="70" t="s">
        <v>1199</v>
      </c>
      <c r="L63" s="70" t="s">
        <v>299</v>
      </c>
      <c r="M63" s="70" t="s">
        <v>388</v>
      </c>
      <c r="N63" s="70" t="s">
        <v>388</v>
      </c>
      <c r="O63" s="70"/>
      <c r="P63" s="70" t="s">
        <v>372</v>
      </c>
      <c r="Q63" s="70"/>
      <c r="R63" s="70"/>
      <c r="S63" s="71"/>
      <c r="T63" s="75" t="s">
        <v>197</v>
      </c>
      <c r="U63" s="69">
        <v>44834</v>
      </c>
      <c r="V63" s="72" t="s">
        <v>1181</v>
      </c>
      <c r="W63" s="71"/>
      <c r="X63" s="145" t="s">
        <v>150</v>
      </c>
      <c r="Y63" s="139" t="s">
        <v>299</v>
      </c>
      <c r="Z63" s="70"/>
      <c r="AA63" s="71"/>
      <c r="AB63" s="70"/>
      <c r="AC63" s="70"/>
      <c r="AD63" s="70"/>
      <c r="AE63" s="70"/>
    </row>
    <row r="64" spans="2:31" ht="122.25" customHeight="1" x14ac:dyDescent="0.25">
      <c r="B64" s="70" t="s">
        <v>51</v>
      </c>
      <c r="C64" s="70">
        <v>52</v>
      </c>
      <c r="D64" s="70" t="s">
        <v>1200</v>
      </c>
      <c r="E64" s="70" t="s">
        <v>225</v>
      </c>
      <c r="F64" s="70" t="s">
        <v>1201</v>
      </c>
      <c r="G64" s="70"/>
      <c r="H64" s="47"/>
      <c r="I64" s="70" t="s">
        <v>376</v>
      </c>
      <c r="J64" s="70" t="s">
        <v>1110</v>
      </c>
      <c r="K64" s="70" t="s">
        <v>1202</v>
      </c>
      <c r="L64" s="70" t="s">
        <v>299</v>
      </c>
      <c r="M64" s="70" t="s">
        <v>388</v>
      </c>
      <c r="N64" s="70" t="s">
        <v>388</v>
      </c>
      <c r="O64" s="70"/>
      <c r="P64" s="70" t="s">
        <v>372</v>
      </c>
      <c r="Q64" s="70"/>
      <c r="R64" s="70"/>
      <c r="S64" s="71"/>
      <c r="T64" s="75" t="s">
        <v>197</v>
      </c>
      <c r="U64" s="69">
        <v>44834</v>
      </c>
      <c r="V64" s="72" t="s">
        <v>1181</v>
      </c>
      <c r="W64" s="71"/>
      <c r="X64" s="145" t="s">
        <v>150</v>
      </c>
      <c r="Y64" s="139" t="s">
        <v>299</v>
      </c>
      <c r="Z64" s="70"/>
      <c r="AA64" s="71"/>
      <c r="AB64" s="70"/>
      <c r="AC64" s="70"/>
      <c r="AD64" s="70"/>
      <c r="AE64" s="70"/>
    </row>
    <row r="65" spans="2:31" ht="45" x14ac:dyDescent="0.25">
      <c r="B65" s="70" t="s">
        <v>51</v>
      </c>
      <c r="C65" s="70">
        <v>53</v>
      </c>
      <c r="D65" s="70" t="s">
        <v>1203</v>
      </c>
      <c r="E65" s="70" t="s">
        <v>225</v>
      </c>
      <c r="F65" s="70" t="s">
        <v>1204</v>
      </c>
      <c r="G65" s="70"/>
      <c r="H65" s="47"/>
      <c r="I65" s="70" t="s">
        <v>376</v>
      </c>
      <c r="J65" s="70" t="s">
        <v>1110</v>
      </c>
      <c r="K65" s="70" t="s">
        <v>1205</v>
      </c>
      <c r="L65" s="70" t="s">
        <v>299</v>
      </c>
      <c r="M65" s="70" t="s">
        <v>388</v>
      </c>
      <c r="N65" s="70" t="s">
        <v>388</v>
      </c>
      <c r="O65" s="70"/>
      <c r="P65" s="70" t="s">
        <v>372</v>
      </c>
      <c r="Q65" s="70"/>
      <c r="R65" s="70"/>
      <c r="S65" s="71"/>
      <c r="T65" s="75" t="s">
        <v>197</v>
      </c>
      <c r="U65" s="69">
        <v>44834</v>
      </c>
      <c r="V65" s="72" t="s">
        <v>1181</v>
      </c>
      <c r="W65" s="71"/>
      <c r="X65" s="145" t="s">
        <v>150</v>
      </c>
      <c r="Y65" s="139" t="s">
        <v>299</v>
      </c>
      <c r="Z65" s="70"/>
      <c r="AA65" s="71"/>
      <c r="AB65" s="70"/>
      <c r="AC65" s="70"/>
      <c r="AD65" s="70"/>
      <c r="AE65" s="70"/>
    </row>
    <row r="66" spans="2:31" ht="150" x14ac:dyDescent="0.25">
      <c r="B66" s="70" t="s">
        <v>51</v>
      </c>
      <c r="C66" s="70">
        <v>54</v>
      </c>
      <c r="D66" s="70" t="s">
        <v>1206</v>
      </c>
      <c r="E66" s="70" t="s">
        <v>225</v>
      </c>
      <c r="F66" s="70" t="s">
        <v>1207</v>
      </c>
      <c r="G66" s="70"/>
      <c r="H66" s="47"/>
      <c r="I66" s="70" t="s">
        <v>376</v>
      </c>
      <c r="J66" s="70" t="s">
        <v>1110</v>
      </c>
      <c r="K66" s="70" t="s">
        <v>1208</v>
      </c>
      <c r="L66" s="70" t="s">
        <v>408</v>
      </c>
      <c r="M66" s="70" t="s">
        <v>510</v>
      </c>
      <c r="N66" s="70" t="s">
        <v>1209</v>
      </c>
      <c r="O66" s="70"/>
      <c r="P66" s="70"/>
      <c r="Q66" s="70"/>
      <c r="R66" s="70" t="s">
        <v>1210</v>
      </c>
      <c r="S66" s="71"/>
      <c r="T66" s="75" t="s">
        <v>97</v>
      </c>
      <c r="U66" s="69">
        <v>45246</v>
      </c>
      <c r="V66" s="126" t="s">
        <v>1211</v>
      </c>
      <c r="W66" s="71"/>
      <c r="X66" s="75" t="s">
        <v>149</v>
      </c>
      <c r="Y66" s="138">
        <v>45303</v>
      </c>
      <c r="Z66" s="70"/>
      <c r="AA66" s="71"/>
      <c r="AB66" s="70"/>
      <c r="AC66" s="70"/>
      <c r="AD66" s="70"/>
      <c r="AE66" s="70"/>
    </row>
    <row r="67" spans="2:31" ht="120" x14ac:dyDescent="0.25">
      <c r="B67" s="70" t="s">
        <v>51</v>
      </c>
      <c r="C67" s="70">
        <v>55</v>
      </c>
      <c r="D67" s="79" t="s">
        <v>1212</v>
      </c>
      <c r="E67" s="79" t="s">
        <v>1213</v>
      </c>
      <c r="F67" s="79" t="s">
        <v>1214</v>
      </c>
      <c r="G67" s="79"/>
      <c r="H67" s="82"/>
      <c r="I67" s="70" t="s">
        <v>376</v>
      </c>
      <c r="J67" s="79" t="s">
        <v>1110</v>
      </c>
      <c r="K67" s="79" t="s">
        <v>1215</v>
      </c>
      <c r="L67" s="70" t="s">
        <v>1155</v>
      </c>
      <c r="M67" s="70" t="s">
        <v>1216</v>
      </c>
      <c r="N67" s="70" t="s">
        <v>1217</v>
      </c>
      <c r="O67" s="70"/>
      <c r="P67" s="70"/>
      <c r="Q67" s="70"/>
      <c r="R67" s="70"/>
      <c r="S67" s="71"/>
      <c r="T67" s="75" t="s">
        <v>130</v>
      </c>
      <c r="U67" s="69">
        <v>45188</v>
      </c>
      <c r="V67" s="72" t="s">
        <v>1218</v>
      </c>
      <c r="W67" s="71"/>
      <c r="X67" s="145" t="s">
        <v>150</v>
      </c>
      <c r="Y67" s="139" t="s">
        <v>299</v>
      </c>
      <c r="Z67" s="70"/>
      <c r="AA67" s="71"/>
      <c r="AB67" s="70"/>
      <c r="AC67" s="70"/>
      <c r="AD67" s="70"/>
      <c r="AE67" s="70"/>
    </row>
    <row r="68" spans="2:31" ht="120" x14ac:dyDescent="0.25">
      <c r="B68" s="70" t="s">
        <v>51</v>
      </c>
      <c r="C68" s="70">
        <v>56</v>
      </c>
      <c r="D68" s="79" t="s">
        <v>1219</v>
      </c>
      <c r="E68" s="79" t="s">
        <v>1213</v>
      </c>
      <c r="F68" s="79" t="s">
        <v>1220</v>
      </c>
      <c r="G68" s="79"/>
      <c r="H68" s="82"/>
      <c r="I68" s="70" t="s">
        <v>376</v>
      </c>
      <c r="J68" s="79" t="s">
        <v>1110</v>
      </c>
      <c r="K68" s="79" t="s">
        <v>1221</v>
      </c>
      <c r="L68" s="70" t="s">
        <v>1155</v>
      </c>
      <c r="M68" s="70" t="s">
        <v>1216</v>
      </c>
      <c r="N68" s="70" t="s">
        <v>1222</v>
      </c>
      <c r="O68" s="70"/>
      <c r="P68" s="70"/>
      <c r="Q68" s="70"/>
      <c r="R68" s="70"/>
      <c r="S68" s="71"/>
      <c r="T68" s="75" t="s">
        <v>130</v>
      </c>
      <c r="U68" s="69">
        <v>45188</v>
      </c>
      <c r="V68" s="72" t="s">
        <v>1218</v>
      </c>
      <c r="W68" s="71"/>
      <c r="X68" s="145" t="s">
        <v>150</v>
      </c>
      <c r="Y68" s="139" t="s">
        <v>299</v>
      </c>
      <c r="Z68" s="70"/>
      <c r="AA68" s="71"/>
      <c r="AB68" s="70"/>
      <c r="AC68" s="70"/>
      <c r="AD68" s="70"/>
      <c r="AE68" s="70"/>
    </row>
    <row r="69" spans="2:31" ht="120" x14ac:dyDescent="0.25">
      <c r="B69" s="70" t="s">
        <v>51</v>
      </c>
      <c r="C69" s="70">
        <v>57</v>
      </c>
      <c r="D69" s="79" t="s">
        <v>1223</v>
      </c>
      <c r="E69" s="79" t="s">
        <v>1213</v>
      </c>
      <c r="F69" s="79" t="s">
        <v>1224</v>
      </c>
      <c r="G69" s="79"/>
      <c r="H69" s="82"/>
      <c r="I69" s="70" t="s">
        <v>376</v>
      </c>
      <c r="J69" s="79" t="s">
        <v>1110</v>
      </c>
      <c r="K69" s="79" t="s">
        <v>1225</v>
      </c>
      <c r="L69" s="70" t="s">
        <v>1155</v>
      </c>
      <c r="M69" s="70" t="s">
        <v>1216</v>
      </c>
      <c r="N69" s="70" t="s">
        <v>1226</v>
      </c>
      <c r="O69" s="70"/>
      <c r="P69" s="70"/>
      <c r="Q69" s="70"/>
      <c r="R69" s="70"/>
      <c r="S69" s="71"/>
      <c r="T69" s="75" t="s">
        <v>130</v>
      </c>
      <c r="U69" s="69">
        <v>45188</v>
      </c>
      <c r="V69" s="72" t="s">
        <v>1218</v>
      </c>
      <c r="W69" s="71"/>
      <c r="X69" s="145" t="s">
        <v>150</v>
      </c>
      <c r="Y69" s="139" t="s">
        <v>299</v>
      </c>
      <c r="Z69" s="70"/>
      <c r="AA69" s="71"/>
      <c r="AB69" s="70"/>
      <c r="AC69" s="70"/>
      <c r="AD69" s="70"/>
      <c r="AE69" s="70"/>
    </row>
    <row r="70" spans="2:31" ht="141.75" customHeight="1" x14ac:dyDescent="0.25">
      <c r="B70" s="70" t="s">
        <v>51</v>
      </c>
      <c r="C70" s="70">
        <v>58</v>
      </c>
      <c r="D70" s="79" t="s">
        <v>1227</v>
      </c>
      <c r="E70" s="79" t="s">
        <v>442</v>
      </c>
      <c r="F70" s="79" t="s">
        <v>1228</v>
      </c>
      <c r="G70" s="79"/>
      <c r="H70" s="82"/>
      <c r="I70" s="70" t="s">
        <v>376</v>
      </c>
      <c r="J70" s="79" t="s">
        <v>1110</v>
      </c>
      <c r="K70" s="79" t="s">
        <v>1229</v>
      </c>
      <c r="L70" s="70" t="s">
        <v>299</v>
      </c>
      <c r="M70" s="70" t="s">
        <v>388</v>
      </c>
      <c r="N70" s="70" t="s">
        <v>388</v>
      </c>
      <c r="O70" s="70"/>
      <c r="P70" s="70" t="s">
        <v>372</v>
      </c>
      <c r="Q70" s="70"/>
      <c r="R70" s="70"/>
      <c r="S70" s="71"/>
      <c r="T70" s="75" t="s">
        <v>197</v>
      </c>
      <c r="U70" s="69">
        <v>44834</v>
      </c>
      <c r="V70" s="72" t="s">
        <v>1230</v>
      </c>
      <c r="W70" s="71"/>
      <c r="X70" s="145" t="s">
        <v>150</v>
      </c>
      <c r="Y70" s="139" t="s">
        <v>299</v>
      </c>
      <c r="Z70" s="70"/>
      <c r="AA70" s="71"/>
      <c r="AB70" s="70"/>
      <c r="AC70" s="70"/>
      <c r="AD70" s="70"/>
      <c r="AE70" s="70"/>
    </row>
    <row r="71" spans="2:31" ht="45" x14ac:dyDescent="0.25">
      <c r="B71" s="70" t="s">
        <v>51</v>
      </c>
      <c r="C71" s="70">
        <v>59</v>
      </c>
      <c r="D71" s="68" t="s">
        <v>1231</v>
      </c>
      <c r="E71" s="68"/>
      <c r="F71" s="68" t="s">
        <v>1232</v>
      </c>
      <c r="G71" s="70"/>
      <c r="H71" s="47"/>
      <c r="I71" s="68"/>
      <c r="J71" s="68"/>
      <c r="K71" s="68"/>
      <c r="L71" s="70" t="s">
        <v>1155</v>
      </c>
      <c r="M71" s="70" t="s">
        <v>1216</v>
      </c>
      <c r="N71" s="68" t="s">
        <v>1233</v>
      </c>
      <c r="O71" s="68"/>
      <c r="P71" s="68"/>
      <c r="Q71" s="70"/>
      <c r="R71" s="70"/>
      <c r="S71" s="47"/>
      <c r="T71" s="75" t="s">
        <v>130</v>
      </c>
      <c r="U71" s="69">
        <v>45188</v>
      </c>
      <c r="V71" s="70"/>
      <c r="W71" s="47"/>
      <c r="X71" s="145" t="s">
        <v>150</v>
      </c>
      <c r="Y71" s="139" t="s">
        <v>299</v>
      </c>
      <c r="Z71" s="70"/>
      <c r="AA71" s="47"/>
      <c r="AB71" s="70"/>
      <c r="AC71" s="70"/>
      <c r="AD71" s="70"/>
      <c r="AE71" s="70"/>
    </row>
    <row r="72" spans="2:31" ht="45" x14ac:dyDescent="0.25">
      <c r="B72" s="70" t="s">
        <v>51</v>
      </c>
      <c r="C72" s="70">
        <v>60</v>
      </c>
      <c r="D72" s="79" t="s">
        <v>1234</v>
      </c>
      <c r="E72" s="79" t="s">
        <v>225</v>
      </c>
      <c r="F72" s="79" t="s">
        <v>1235</v>
      </c>
      <c r="G72" s="79"/>
      <c r="H72" s="82"/>
      <c r="I72" s="70" t="s">
        <v>376</v>
      </c>
      <c r="J72" s="79" t="s">
        <v>1110</v>
      </c>
      <c r="K72" s="79" t="s">
        <v>1236</v>
      </c>
      <c r="L72" s="70" t="s">
        <v>299</v>
      </c>
      <c r="M72" s="70" t="s">
        <v>388</v>
      </c>
      <c r="N72" s="70" t="s">
        <v>388</v>
      </c>
      <c r="O72" s="70"/>
      <c r="P72" s="70" t="s">
        <v>1237</v>
      </c>
      <c r="Q72" s="70"/>
      <c r="R72" s="70"/>
      <c r="S72" s="71"/>
      <c r="T72" s="75" t="s">
        <v>197</v>
      </c>
      <c r="U72" s="69">
        <v>44834</v>
      </c>
      <c r="V72" s="70" t="s">
        <v>1238</v>
      </c>
      <c r="W72" s="71"/>
      <c r="X72" s="145" t="s">
        <v>150</v>
      </c>
      <c r="Y72" s="139" t="s">
        <v>299</v>
      </c>
      <c r="Z72" s="70"/>
      <c r="AA72" s="71"/>
      <c r="AB72" s="70"/>
      <c r="AC72" s="70"/>
      <c r="AD72" s="70"/>
      <c r="AE72" s="70"/>
    </row>
    <row r="73" spans="2:31" ht="30" x14ac:dyDescent="0.25">
      <c r="B73" s="70" t="s">
        <v>51</v>
      </c>
      <c r="C73" s="70">
        <v>61</v>
      </c>
      <c r="D73" s="70" t="s">
        <v>1239</v>
      </c>
      <c r="E73" s="70" t="s">
        <v>442</v>
      </c>
      <c r="F73" s="70" t="s">
        <v>1240</v>
      </c>
      <c r="G73" s="70"/>
      <c r="H73" s="47"/>
      <c r="I73" s="70" t="s">
        <v>376</v>
      </c>
      <c r="J73" s="70" t="s">
        <v>1110</v>
      </c>
      <c r="K73" s="70" t="s">
        <v>527</v>
      </c>
      <c r="L73" s="70" t="s">
        <v>299</v>
      </c>
      <c r="M73" s="70" t="s">
        <v>388</v>
      </c>
      <c r="N73" s="70" t="s">
        <v>388</v>
      </c>
      <c r="O73" s="70"/>
      <c r="P73" s="70" t="s">
        <v>372</v>
      </c>
      <c r="Q73" s="70"/>
      <c r="R73" s="70"/>
      <c r="S73" s="71"/>
      <c r="T73" s="75" t="s">
        <v>197</v>
      </c>
      <c r="U73" s="69">
        <v>44834</v>
      </c>
      <c r="V73" s="72" t="s">
        <v>1151</v>
      </c>
      <c r="W73" s="71"/>
      <c r="X73" s="145" t="s">
        <v>150</v>
      </c>
      <c r="Y73" s="139" t="s">
        <v>299</v>
      </c>
      <c r="Z73" s="70"/>
      <c r="AA73" s="71"/>
      <c r="AB73" s="70"/>
      <c r="AC73" s="70"/>
      <c r="AD73" s="70"/>
      <c r="AE73" s="70"/>
    </row>
    <row r="74" spans="2:31" ht="45.75" customHeight="1" x14ac:dyDescent="0.25">
      <c r="B74" s="70" t="s">
        <v>51</v>
      </c>
      <c r="C74" s="70">
        <v>62</v>
      </c>
      <c r="D74" s="70" t="s">
        <v>1241</v>
      </c>
      <c r="E74" s="70" t="s">
        <v>508</v>
      </c>
      <c r="F74" s="70" t="s">
        <v>1242</v>
      </c>
      <c r="G74" s="70"/>
      <c r="H74" s="47"/>
      <c r="I74" s="70" t="s">
        <v>376</v>
      </c>
      <c r="J74" s="70" t="s">
        <v>1110</v>
      </c>
      <c r="K74" s="70" t="s">
        <v>1243</v>
      </c>
      <c r="L74" s="70" t="s">
        <v>299</v>
      </c>
      <c r="M74" s="70" t="s">
        <v>388</v>
      </c>
      <c r="N74" s="70" t="s">
        <v>388</v>
      </c>
      <c r="O74" s="70"/>
      <c r="P74" s="70" t="s">
        <v>372</v>
      </c>
      <c r="Q74" s="70"/>
      <c r="R74" s="70"/>
      <c r="S74" s="71"/>
      <c r="T74" s="75" t="s">
        <v>197</v>
      </c>
      <c r="U74" s="69">
        <v>44834</v>
      </c>
      <c r="V74" s="72" t="s">
        <v>1151</v>
      </c>
      <c r="W74" s="71"/>
      <c r="X74" s="145" t="s">
        <v>150</v>
      </c>
      <c r="Y74" s="139" t="s">
        <v>299</v>
      </c>
      <c r="Z74" s="70"/>
      <c r="AA74" s="71"/>
      <c r="AB74" s="70"/>
      <c r="AC74" s="70"/>
      <c r="AD74" s="70"/>
      <c r="AE74" s="70"/>
    </row>
    <row r="75" spans="2:31" ht="30" x14ac:dyDescent="0.25">
      <c r="B75" s="70" t="s">
        <v>51</v>
      </c>
      <c r="C75" s="70">
        <v>63</v>
      </c>
      <c r="D75" s="70" t="s">
        <v>1244</v>
      </c>
      <c r="E75" s="70" t="s">
        <v>508</v>
      </c>
      <c r="F75" s="70" t="s">
        <v>1245</v>
      </c>
      <c r="G75" s="70"/>
      <c r="H75" s="47"/>
      <c r="I75" s="70" t="s">
        <v>376</v>
      </c>
      <c r="J75" s="70" t="s">
        <v>1110</v>
      </c>
      <c r="K75" s="70" t="s">
        <v>1246</v>
      </c>
      <c r="L75" s="70" t="s">
        <v>299</v>
      </c>
      <c r="M75" s="70" t="s">
        <v>388</v>
      </c>
      <c r="N75" s="70" t="s">
        <v>388</v>
      </c>
      <c r="O75" s="70"/>
      <c r="P75" s="70" t="s">
        <v>372</v>
      </c>
      <c r="Q75" s="70"/>
      <c r="R75" s="70"/>
      <c r="S75" s="71"/>
      <c r="T75" s="75" t="s">
        <v>197</v>
      </c>
      <c r="U75" s="69">
        <v>44834</v>
      </c>
      <c r="V75" s="72" t="s">
        <v>1151</v>
      </c>
      <c r="W75" s="71"/>
      <c r="X75" s="145" t="s">
        <v>150</v>
      </c>
      <c r="Y75" s="139" t="s">
        <v>299</v>
      </c>
      <c r="Z75" s="70"/>
      <c r="AA75" s="71"/>
      <c r="AB75" s="70"/>
      <c r="AC75" s="70"/>
      <c r="AD75" s="70"/>
      <c r="AE75" s="70"/>
    </row>
    <row r="76" spans="2:31" ht="30" x14ac:dyDescent="0.25">
      <c r="B76" s="70" t="s">
        <v>51</v>
      </c>
      <c r="C76" s="70">
        <v>64</v>
      </c>
      <c r="D76" s="70" t="s">
        <v>1247</v>
      </c>
      <c r="E76" s="70" t="s">
        <v>508</v>
      </c>
      <c r="F76" s="70" t="s">
        <v>1248</v>
      </c>
      <c r="G76" s="70"/>
      <c r="H76" s="47"/>
      <c r="I76" s="70" t="s">
        <v>376</v>
      </c>
      <c r="J76" s="70" t="s">
        <v>1110</v>
      </c>
      <c r="K76" s="70" t="s">
        <v>1249</v>
      </c>
      <c r="L76" s="70" t="s">
        <v>299</v>
      </c>
      <c r="M76" s="70" t="s">
        <v>388</v>
      </c>
      <c r="N76" s="70" t="s">
        <v>388</v>
      </c>
      <c r="O76" s="70"/>
      <c r="P76" s="70" t="s">
        <v>372</v>
      </c>
      <c r="Q76" s="70"/>
      <c r="R76" s="70"/>
      <c r="S76" s="71"/>
      <c r="T76" s="75" t="s">
        <v>197</v>
      </c>
      <c r="U76" s="69">
        <v>44834</v>
      </c>
      <c r="V76" s="72" t="s">
        <v>1151</v>
      </c>
      <c r="W76" s="71"/>
      <c r="X76" s="145" t="s">
        <v>150</v>
      </c>
      <c r="Y76" s="139" t="s">
        <v>299</v>
      </c>
      <c r="Z76" s="70"/>
      <c r="AA76" s="71"/>
      <c r="AB76" s="70"/>
      <c r="AC76" s="70"/>
      <c r="AD76" s="70"/>
      <c r="AE76" s="70"/>
    </row>
    <row r="77" spans="2:31" ht="30" x14ac:dyDescent="0.25">
      <c r="B77" s="70" t="s">
        <v>51</v>
      </c>
      <c r="C77" s="70">
        <v>65</v>
      </c>
      <c r="D77" s="70" t="s">
        <v>1250</v>
      </c>
      <c r="E77" s="70" t="s">
        <v>442</v>
      </c>
      <c r="F77" s="70" t="s">
        <v>1251</v>
      </c>
      <c r="G77" s="70"/>
      <c r="H77" s="47"/>
      <c r="I77" s="70" t="s">
        <v>376</v>
      </c>
      <c r="J77" s="70" t="s">
        <v>1110</v>
      </c>
      <c r="K77" s="70" t="s">
        <v>1252</v>
      </c>
      <c r="L77" s="70" t="s">
        <v>299</v>
      </c>
      <c r="M77" s="70" t="s">
        <v>388</v>
      </c>
      <c r="N77" s="70" t="s">
        <v>388</v>
      </c>
      <c r="O77" s="70"/>
      <c r="P77" s="70" t="s">
        <v>372</v>
      </c>
      <c r="Q77" s="70"/>
      <c r="R77" s="70"/>
      <c r="S77" s="71"/>
      <c r="T77" s="75" t="s">
        <v>197</v>
      </c>
      <c r="U77" s="69">
        <v>44834</v>
      </c>
      <c r="V77" s="72" t="s">
        <v>1151</v>
      </c>
      <c r="W77" s="71"/>
      <c r="X77" s="145" t="s">
        <v>150</v>
      </c>
      <c r="Y77" s="139" t="s">
        <v>299</v>
      </c>
      <c r="Z77" s="70"/>
      <c r="AA77" s="71"/>
      <c r="AB77" s="70"/>
      <c r="AC77" s="70"/>
      <c r="AD77" s="70"/>
      <c r="AE77" s="70"/>
    </row>
    <row r="78" spans="2:31" ht="45" x14ac:dyDescent="0.25">
      <c r="B78" s="70" t="s">
        <v>51</v>
      </c>
      <c r="C78" s="70">
        <v>66</v>
      </c>
      <c r="D78" s="146" t="s">
        <v>1253</v>
      </c>
      <c r="E78" s="68" t="s">
        <v>225</v>
      </c>
      <c r="F78" s="70" t="s">
        <v>1254</v>
      </c>
      <c r="G78" s="70"/>
      <c r="H78" s="47"/>
      <c r="I78" s="68"/>
      <c r="J78" s="68" t="s">
        <v>1255</v>
      </c>
      <c r="K78" s="70" t="s">
        <v>1256</v>
      </c>
      <c r="L78" s="70" t="s">
        <v>1257</v>
      </c>
      <c r="M78" s="68" t="s">
        <v>1258</v>
      </c>
      <c r="N78" s="68" t="s">
        <v>1259</v>
      </c>
      <c r="O78" s="68"/>
      <c r="P78" s="68"/>
      <c r="Q78" s="70"/>
      <c r="R78" s="70"/>
      <c r="S78" s="47"/>
      <c r="T78" s="75" t="s">
        <v>97</v>
      </c>
      <c r="U78" s="69">
        <v>45083</v>
      </c>
      <c r="V78" s="72" t="s">
        <v>1260</v>
      </c>
      <c r="W78" s="47"/>
      <c r="X78" s="75" t="s">
        <v>197</v>
      </c>
      <c r="Y78" s="139" t="s">
        <v>299</v>
      </c>
      <c r="Z78" s="70"/>
      <c r="AA78" s="47"/>
      <c r="AB78" s="70"/>
      <c r="AC78" s="70"/>
      <c r="AD78" s="70"/>
      <c r="AE78" s="70"/>
    </row>
    <row r="79" spans="2:31" ht="45" x14ac:dyDescent="0.25">
      <c r="B79" s="70" t="s">
        <v>51</v>
      </c>
      <c r="C79" s="70">
        <v>67</v>
      </c>
      <c r="D79" s="146" t="s">
        <v>1261</v>
      </c>
      <c r="E79" s="68" t="s">
        <v>225</v>
      </c>
      <c r="F79" s="70" t="s">
        <v>1262</v>
      </c>
      <c r="G79" s="70"/>
      <c r="H79" s="47"/>
      <c r="I79" s="68"/>
      <c r="J79" s="68" t="s">
        <v>1255</v>
      </c>
      <c r="K79" s="70" t="s">
        <v>1263</v>
      </c>
      <c r="L79" s="70" t="s">
        <v>1257</v>
      </c>
      <c r="M79" s="68" t="s">
        <v>1258</v>
      </c>
      <c r="N79" s="68" t="s">
        <v>1264</v>
      </c>
      <c r="O79" s="68"/>
      <c r="P79" s="68"/>
      <c r="Q79" s="70"/>
      <c r="R79" s="70"/>
      <c r="S79" s="47"/>
      <c r="T79" s="75" t="s">
        <v>97</v>
      </c>
      <c r="U79" s="69">
        <v>45083</v>
      </c>
      <c r="V79" s="72" t="s">
        <v>1260</v>
      </c>
      <c r="W79" s="47"/>
      <c r="X79" s="75" t="s">
        <v>197</v>
      </c>
      <c r="Y79" s="139" t="s">
        <v>299</v>
      </c>
      <c r="Z79" s="70"/>
      <c r="AA79" s="47"/>
      <c r="AB79" s="70"/>
      <c r="AC79" s="70"/>
      <c r="AD79" s="70"/>
      <c r="AE79" s="70"/>
    </row>
    <row r="80" spans="2:31" ht="45" x14ac:dyDescent="0.25">
      <c r="B80" s="70" t="s">
        <v>51</v>
      </c>
      <c r="C80" s="70">
        <v>68</v>
      </c>
      <c r="D80" s="146" t="s">
        <v>1265</v>
      </c>
      <c r="E80" s="68" t="s">
        <v>225</v>
      </c>
      <c r="F80" s="70" t="s">
        <v>1266</v>
      </c>
      <c r="G80" s="70"/>
      <c r="H80" s="47"/>
      <c r="I80" s="68"/>
      <c r="J80" s="68" t="s">
        <v>1255</v>
      </c>
      <c r="K80" s="70" t="s">
        <v>1267</v>
      </c>
      <c r="L80" s="70" t="s">
        <v>1257</v>
      </c>
      <c r="M80" s="68" t="s">
        <v>1258</v>
      </c>
      <c r="N80" s="68" t="s">
        <v>1268</v>
      </c>
      <c r="O80" s="68"/>
      <c r="P80" s="68"/>
      <c r="Q80" s="70"/>
      <c r="R80" s="70"/>
      <c r="S80" s="47"/>
      <c r="T80" s="75" t="s">
        <v>97</v>
      </c>
      <c r="U80" s="69">
        <v>45083</v>
      </c>
      <c r="V80" s="72" t="s">
        <v>1260</v>
      </c>
      <c r="W80" s="47"/>
      <c r="X80" s="75" t="s">
        <v>197</v>
      </c>
      <c r="Y80" s="139" t="s">
        <v>299</v>
      </c>
      <c r="Z80" s="70"/>
      <c r="AA80" s="47"/>
      <c r="AB80" s="70"/>
      <c r="AC80" s="70"/>
      <c r="AD80" s="70"/>
      <c r="AE80" s="70"/>
    </row>
    <row r="81" spans="2:31" ht="75" x14ac:dyDescent="0.25">
      <c r="B81" s="70" t="s">
        <v>51</v>
      </c>
      <c r="C81" s="70">
        <v>69</v>
      </c>
      <c r="D81" s="70" t="s">
        <v>1269</v>
      </c>
      <c r="E81" s="68" t="s">
        <v>225</v>
      </c>
      <c r="F81" s="70" t="s">
        <v>1270</v>
      </c>
      <c r="G81" s="70"/>
      <c r="H81" s="47"/>
      <c r="I81" s="68"/>
      <c r="J81" s="68" t="s">
        <v>1271</v>
      </c>
      <c r="K81" s="70" t="s">
        <v>1272</v>
      </c>
      <c r="L81" s="70" t="s">
        <v>1257</v>
      </c>
      <c r="M81" s="68" t="s">
        <v>1273</v>
      </c>
      <c r="N81" s="68" t="s">
        <v>1274</v>
      </c>
      <c r="O81" s="68"/>
      <c r="P81" s="68"/>
      <c r="Q81" s="70"/>
      <c r="R81" s="70"/>
      <c r="S81" s="47"/>
      <c r="T81" s="75" t="s">
        <v>97</v>
      </c>
      <c r="U81" s="69">
        <v>45280</v>
      </c>
      <c r="V81" s="72" t="s">
        <v>1275</v>
      </c>
      <c r="W81" s="47"/>
      <c r="X81" s="75" t="s">
        <v>197</v>
      </c>
      <c r="Y81" s="139" t="s">
        <v>299</v>
      </c>
      <c r="Z81" s="70"/>
      <c r="AA81" s="47"/>
      <c r="AB81" s="70"/>
      <c r="AC81" s="70"/>
      <c r="AD81" s="70"/>
      <c r="AE81" s="70"/>
    </row>
    <row r="82" spans="2:31" ht="75" x14ac:dyDescent="0.25">
      <c r="B82" s="70" t="s">
        <v>51</v>
      </c>
      <c r="C82" s="70">
        <v>79</v>
      </c>
      <c r="D82" s="70" t="s">
        <v>1276</v>
      </c>
      <c r="E82" s="68" t="s">
        <v>225</v>
      </c>
      <c r="F82" s="70" t="s">
        <v>1277</v>
      </c>
      <c r="G82" s="70"/>
      <c r="H82" s="47"/>
      <c r="I82" s="68"/>
      <c r="J82" s="68" t="s">
        <v>1271</v>
      </c>
      <c r="K82" s="70" t="s">
        <v>1278</v>
      </c>
      <c r="L82" s="70" t="s">
        <v>1257</v>
      </c>
      <c r="M82" s="68" t="s">
        <v>1273</v>
      </c>
      <c r="N82" s="68" t="s">
        <v>1278</v>
      </c>
      <c r="O82" s="68"/>
      <c r="P82" s="68"/>
      <c r="Q82" s="70"/>
      <c r="R82" s="70"/>
      <c r="S82" s="47"/>
      <c r="T82" s="75" t="s">
        <v>97</v>
      </c>
      <c r="U82" s="69">
        <v>45280</v>
      </c>
      <c r="V82" s="72" t="s">
        <v>1275</v>
      </c>
      <c r="W82" s="47"/>
      <c r="X82" s="75" t="s">
        <v>197</v>
      </c>
      <c r="Y82" s="139" t="s">
        <v>299</v>
      </c>
      <c r="Z82" s="70"/>
      <c r="AA82" s="47"/>
      <c r="AB82" s="70"/>
      <c r="AC82" s="70"/>
      <c r="AD82" s="70"/>
      <c r="AE82" s="70"/>
    </row>
    <row r="83" spans="2:31" ht="75" x14ac:dyDescent="0.25">
      <c r="B83" s="70" t="s">
        <v>51</v>
      </c>
      <c r="C83" s="70">
        <v>71</v>
      </c>
      <c r="D83" s="70" t="s">
        <v>1279</v>
      </c>
      <c r="E83" s="68" t="s">
        <v>225</v>
      </c>
      <c r="F83" s="70" t="s">
        <v>1280</v>
      </c>
      <c r="G83" s="70"/>
      <c r="H83" s="47"/>
      <c r="I83" s="68"/>
      <c r="J83" s="68" t="s">
        <v>1271</v>
      </c>
      <c r="K83" s="70" t="s">
        <v>1141</v>
      </c>
      <c r="L83" s="70" t="s">
        <v>1257</v>
      </c>
      <c r="M83" s="68" t="s">
        <v>1273</v>
      </c>
      <c r="N83" s="68" t="s">
        <v>1141</v>
      </c>
      <c r="O83" s="68"/>
      <c r="P83" s="68"/>
      <c r="Q83" s="70"/>
      <c r="R83" s="70"/>
      <c r="S83" s="47"/>
      <c r="T83" s="75" t="s">
        <v>97</v>
      </c>
      <c r="U83" s="69">
        <v>45280</v>
      </c>
      <c r="V83" s="72" t="s">
        <v>1275</v>
      </c>
      <c r="W83" s="47"/>
      <c r="X83" s="75" t="s">
        <v>197</v>
      </c>
      <c r="Y83" s="139" t="s">
        <v>299</v>
      </c>
      <c r="Z83" s="70"/>
      <c r="AA83" s="47"/>
      <c r="AB83" s="70"/>
      <c r="AC83" s="70"/>
      <c r="AD83" s="70"/>
      <c r="AE83" s="70"/>
    </row>
    <row r="84" spans="2:31" x14ac:dyDescent="0.25">
      <c r="B84" s="70" t="s">
        <v>51</v>
      </c>
      <c r="C84" s="70">
        <v>72</v>
      </c>
      <c r="D84" s="68" t="s">
        <v>693</v>
      </c>
      <c r="E84" s="68" t="s">
        <v>225</v>
      </c>
      <c r="F84" s="70" t="s">
        <v>1281</v>
      </c>
      <c r="G84" s="70"/>
      <c r="H84" s="47"/>
      <c r="I84" s="68"/>
      <c r="J84" s="68"/>
      <c r="K84" s="68"/>
      <c r="L84" s="68" t="s">
        <v>408</v>
      </c>
      <c r="M84" s="68" t="s">
        <v>691</v>
      </c>
      <c r="N84" s="68" t="s">
        <v>693</v>
      </c>
      <c r="O84" s="68"/>
      <c r="P84" s="68"/>
      <c r="Q84" s="70"/>
      <c r="R84" s="70"/>
      <c r="S84" s="47"/>
      <c r="T84" s="75" t="s">
        <v>97</v>
      </c>
      <c r="U84" s="69">
        <v>44861</v>
      </c>
      <c r="V84" s="70"/>
      <c r="W84" s="47"/>
      <c r="X84" s="145" t="s">
        <v>157</v>
      </c>
      <c r="Y84" s="138">
        <v>45050</v>
      </c>
      <c r="Z84" s="70"/>
      <c r="AA84" s="47"/>
      <c r="AB84" s="69">
        <v>45302</v>
      </c>
      <c r="AC84" s="72">
        <v>45348</v>
      </c>
      <c r="AD84" s="70"/>
      <c r="AE84" s="70"/>
    </row>
    <row r="85" spans="2:31" ht="120" x14ac:dyDescent="0.25">
      <c r="B85" s="70" t="s">
        <v>51</v>
      </c>
      <c r="C85" s="70">
        <v>73</v>
      </c>
      <c r="D85" s="68" t="s">
        <v>1282</v>
      </c>
      <c r="E85" s="68" t="s">
        <v>311</v>
      </c>
      <c r="F85" s="68" t="s">
        <v>1283</v>
      </c>
      <c r="G85" s="70"/>
      <c r="H85" s="47"/>
      <c r="I85" s="68"/>
      <c r="J85" s="68"/>
      <c r="K85" s="68"/>
      <c r="L85" s="68" t="s">
        <v>1284</v>
      </c>
      <c r="M85" s="70" t="s">
        <v>1285</v>
      </c>
      <c r="N85" s="68" t="s">
        <v>1286</v>
      </c>
      <c r="O85" s="68"/>
      <c r="P85" s="68"/>
      <c r="Q85" s="70" t="s">
        <v>1287</v>
      </c>
      <c r="R85" s="70" t="s">
        <v>1288</v>
      </c>
      <c r="S85" s="47"/>
      <c r="T85" s="75" t="s">
        <v>97</v>
      </c>
      <c r="U85" s="69">
        <v>45057</v>
      </c>
      <c r="V85" s="70" t="s">
        <v>1289</v>
      </c>
      <c r="W85" s="47"/>
      <c r="X85" s="145" t="s">
        <v>156</v>
      </c>
      <c r="Y85" s="138">
        <v>45112</v>
      </c>
      <c r="Z85" s="70"/>
      <c r="AA85" s="47"/>
      <c r="AB85" s="69">
        <v>45302</v>
      </c>
      <c r="AC85" s="72">
        <v>45356</v>
      </c>
      <c r="AD85" s="70"/>
      <c r="AE85" s="70"/>
    </row>
    <row r="86" spans="2:31" ht="120" x14ac:dyDescent="0.25">
      <c r="B86" s="70" t="s">
        <v>51</v>
      </c>
      <c r="C86" s="70">
        <v>74</v>
      </c>
      <c r="D86" s="68" t="s">
        <v>1290</v>
      </c>
      <c r="E86" s="68" t="s">
        <v>311</v>
      </c>
      <c r="F86" s="68" t="s">
        <v>1291</v>
      </c>
      <c r="G86" s="70"/>
      <c r="H86" s="47"/>
      <c r="I86" s="68"/>
      <c r="J86" s="68"/>
      <c r="K86" s="68"/>
      <c r="L86" s="68" t="s">
        <v>1284</v>
      </c>
      <c r="M86" s="70" t="s">
        <v>1285</v>
      </c>
      <c r="N86" s="68" t="s">
        <v>1292</v>
      </c>
      <c r="O86" s="68"/>
      <c r="P86" s="68"/>
      <c r="Q86" s="70" t="s">
        <v>1287</v>
      </c>
      <c r="R86" s="70" t="s">
        <v>1288</v>
      </c>
      <c r="S86" s="47"/>
      <c r="T86" s="75" t="s">
        <v>97</v>
      </c>
      <c r="U86" s="69">
        <v>45057</v>
      </c>
      <c r="V86" s="70" t="s">
        <v>1289</v>
      </c>
      <c r="W86" s="47"/>
      <c r="X86" s="145" t="s">
        <v>156</v>
      </c>
      <c r="Y86" s="138">
        <v>45112</v>
      </c>
      <c r="Z86" s="70"/>
      <c r="AA86" s="47"/>
      <c r="AB86" s="69">
        <v>45302</v>
      </c>
      <c r="AC86" s="72">
        <v>45356</v>
      </c>
      <c r="AD86" s="70"/>
      <c r="AE86" s="70"/>
    </row>
    <row r="87" spans="2:31" ht="150" x14ac:dyDescent="0.25">
      <c r="B87" s="70" t="s">
        <v>51</v>
      </c>
      <c r="C87" s="70">
        <v>75</v>
      </c>
      <c r="D87" s="68" t="s">
        <v>1293</v>
      </c>
      <c r="E87" s="68" t="s">
        <v>322</v>
      </c>
      <c r="F87" s="68" t="s">
        <v>1294</v>
      </c>
      <c r="G87" s="70"/>
      <c r="H87" s="47"/>
      <c r="I87" s="68"/>
      <c r="J87" s="68"/>
      <c r="K87" s="68"/>
      <c r="L87" s="68" t="s">
        <v>1295</v>
      </c>
      <c r="M87" s="70" t="s">
        <v>1296</v>
      </c>
      <c r="N87" s="68" t="s">
        <v>1297</v>
      </c>
      <c r="O87" s="68"/>
      <c r="P87" s="68"/>
      <c r="Q87" s="70" t="s">
        <v>1287</v>
      </c>
      <c r="R87" s="70" t="s">
        <v>1298</v>
      </c>
      <c r="S87" s="47"/>
      <c r="T87" s="75" t="s">
        <v>97</v>
      </c>
      <c r="U87" s="69">
        <v>45057</v>
      </c>
      <c r="V87" s="70" t="s">
        <v>1289</v>
      </c>
      <c r="W87" s="47"/>
      <c r="X87" s="145" t="s">
        <v>156</v>
      </c>
      <c r="Y87" s="138">
        <v>45112</v>
      </c>
      <c r="Z87" s="70"/>
      <c r="AA87" s="47"/>
      <c r="AB87" s="69">
        <v>45302</v>
      </c>
      <c r="AC87" s="72">
        <v>45356</v>
      </c>
      <c r="AD87" s="70"/>
      <c r="AE87" s="70"/>
    </row>
    <row r="88" spans="2:31" ht="120" x14ac:dyDescent="0.25">
      <c r="B88" s="70" t="s">
        <v>51</v>
      </c>
      <c r="C88" s="70">
        <v>76</v>
      </c>
      <c r="D88" s="68" t="s">
        <v>1299</v>
      </c>
      <c r="E88" s="68" t="s">
        <v>311</v>
      </c>
      <c r="F88" s="68" t="s">
        <v>1300</v>
      </c>
      <c r="G88" s="70"/>
      <c r="H88" s="47"/>
      <c r="I88" s="68"/>
      <c r="J88" s="68"/>
      <c r="K88" s="68"/>
      <c r="L88" s="68" t="s">
        <v>1295</v>
      </c>
      <c r="M88" s="70" t="s">
        <v>1296</v>
      </c>
      <c r="N88" s="68" t="s">
        <v>1301</v>
      </c>
      <c r="O88" s="68"/>
      <c r="P88" s="68"/>
      <c r="Q88" s="70" t="s">
        <v>1287</v>
      </c>
      <c r="R88" s="70" t="s">
        <v>1288</v>
      </c>
      <c r="S88" s="47"/>
      <c r="T88" s="75" t="s">
        <v>97</v>
      </c>
      <c r="U88" s="69">
        <v>45057</v>
      </c>
      <c r="V88" s="70" t="s">
        <v>1289</v>
      </c>
      <c r="W88" s="47"/>
      <c r="X88" s="145" t="s">
        <v>156</v>
      </c>
      <c r="Y88" s="138">
        <v>45112</v>
      </c>
      <c r="Z88" s="70"/>
      <c r="AA88" s="47"/>
      <c r="AB88" s="69">
        <v>45302</v>
      </c>
      <c r="AC88" s="72">
        <v>45356</v>
      </c>
      <c r="AD88" s="70"/>
      <c r="AE88" s="70"/>
    </row>
    <row r="89" spans="2:31" ht="64.5" customHeight="1" x14ac:dyDescent="0.25">
      <c r="B89" s="70" t="s">
        <v>51</v>
      </c>
      <c r="C89" s="70">
        <v>77</v>
      </c>
      <c r="D89" s="68" t="s">
        <v>1302</v>
      </c>
      <c r="E89" s="68" t="s">
        <v>225</v>
      </c>
      <c r="F89" s="68" t="s">
        <v>1303</v>
      </c>
      <c r="G89" s="70"/>
      <c r="H89" s="47"/>
      <c r="I89" s="68"/>
      <c r="J89" s="68" t="s">
        <v>1304</v>
      </c>
      <c r="K89" s="68" t="s">
        <v>1305</v>
      </c>
      <c r="L89" s="68" t="s">
        <v>426</v>
      </c>
      <c r="M89" s="68" t="s">
        <v>1129</v>
      </c>
      <c r="N89" s="68" t="s">
        <v>1306</v>
      </c>
      <c r="O89" s="68" t="s">
        <v>279</v>
      </c>
      <c r="P89" s="70" t="s">
        <v>1307</v>
      </c>
      <c r="Q89" s="111" t="s">
        <v>1308</v>
      </c>
      <c r="R89" s="70"/>
      <c r="S89" s="47"/>
      <c r="T89" s="75" t="s">
        <v>130</v>
      </c>
      <c r="U89" s="69">
        <v>45091</v>
      </c>
      <c r="V89" s="70" t="s">
        <v>1309</v>
      </c>
      <c r="W89" s="47"/>
      <c r="X89" s="145" t="s">
        <v>150</v>
      </c>
      <c r="Y89" s="138">
        <v>45050</v>
      </c>
      <c r="Z89" s="70"/>
      <c r="AA89" s="47"/>
      <c r="AB89" s="70"/>
      <c r="AC89" s="70"/>
      <c r="AD89" s="70"/>
      <c r="AE89" s="70" t="s">
        <v>1310</v>
      </c>
    </row>
    <row r="90" spans="2:31" ht="45" x14ac:dyDescent="0.25">
      <c r="B90" s="70" t="s">
        <v>51</v>
      </c>
      <c r="C90" s="70">
        <v>78</v>
      </c>
      <c r="D90" s="68" t="s">
        <v>1311</v>
      </c>
      <c r="E90" s="68" t="s">
        <v>225</v>
      </c>
      <c r="F90" s="68" t="s">
        <v>1312</v>
      </c>
      <c r="G90" s="70"/>
      <c r="H90" s="47"/>
      <c r="I90" s="68"/>
      <c r="J90" s="68"/>
      <c r="K90" s="68"/>
      <c r="L90" s="68" t="s">
        <v>20</v>
      </c>
      <c r="M90" s="68" t="s">
        <v>1313</v>
      </c>
      <c r="N90" s="68" t="s">
        <v>388</v>
      </c>
      <c r="O90" s="68"/>
      <c r="P90" s="68"/>
      <c r="Q90" s="70"/>
      <c r="R90" s="70"/>
      <c r="S90" s="47"/>
      <c r="T90" s="75" t="s">
        <v>130</v>
      </c>
      <c r="U90" s="69">
        <v>44952</v>
      </c>
      <c r="V90" s="70" t="s">
        <v>1314</v>
      </c>
      <c r="W90" s="47"/>
      <c r="X90" s="145" t="s">
        <v>150</v>
      </c>
      <c r="Y90" s="139" t="s">
        <v>299</v>
      </c>
      <c r="Z90" s="70"/>
      <c r="AA90" s="47"/>
      <c r="AB90" s="70"/>
      <c r="AC90" s="70"/>
      <c r="AD90" s="70"/>
      <c r="AE90" s="70"/>
    </row>
    <row r="91" spans="2:31" ht="90" x14ac:dyDescent="0.25">
      <c r="B91" s="70" t="s">
        <v>51</v>
      </c>
      <c r="C91" s="70">
        <v>79</v>
      </c>
      <c r="D91" s="68" t="s">
        <v>1315</v>
      </c>
      <c r="E91" s="70" t="s">
        <v>225</v>
      </c>
      <c r="F91" s="68" t="s">
        <v>1315</v>
      </c>
      <c r="G91" s="70"/>
      <c r="H91" s="47"/>
      <c r="I91" s="68"/>
      <c r="J91" s="68"/>
      <c r="K91" s="68"/>
      <c r="L91" s="70" t="s">
        <v>1012</v>
      </c>
      <c r="M91" s="68" t="s">
        <v>1013</v>
      </c>
      <c r="N91" s="70" t="s">
        <v>1316</v>
      </c>
      <c r="O91" s="68"/>
      <c r="P91" s="68"/>
      <c r="Q91" s="70"/>
      <c r="R91" s="70"/>
      <c r="S91" s="47"/>
      <c r="T91" s="75" t="s">
        <v>130</v>
      </c>
      <c r="U91" s="69">
        <v>45218</v>
      </c>
      <c r="V91" s="111" t="s">
        <v>1317</v>
      </c>
      <c r="W91" s="47"/>
      <c r="X91" s="145" t="s">
        <v>150</v>
      </c>
      <c r="Y91" s="69"/>
      <c r="Z91" s="70"/>
      <c r="AA91" s="47"/>
      <c r="AB91" s="70"/>
      <c r="AC91" s="70"/>
      <c r="AD91" s="70"/>
      <c r="AE91" s="70"/>
    </row>
    <row r="92" spans="2:31" ht="90" x14ac:dyDescent="0.25">
      <c r="B92" s="70" t="s">
        <v>51</v>
      </c>
      <c r="C92" s="70">
        <v>80</v>
      </c>
      <c r="D92" s="68" t="s">
        <v>471</v>
      </c>
      <c r="E92" s="68"/>
      <c r="F92" s="68" t="s">
        <v>472</v>
      </c>
      <c r="G92" s="68"/>
      <c r="H92" s="47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47"/>
      <c r="T92" s="75" t="s">
        <v>131</v>
      </c>
      <c r="U92" s="69">
        <v>45051</v>
      </c>
      <c r="V92" s="70" t="s">
        <v>1318</v>
      </c>
      <c r="W92" s="47"/>
      <c r="X92" s="145" t="s">
        <v>150</v>
      </c>
      <c r="Y92" s="69">
        <v>45051</v>
      </c>
      <c r="Z92" s="70"/>
      <c r="AA92" s="47"/>
      <c r="AB92" s="70"/>
      <c r="AC92" s="70"/>
      <c r="AD92" s="70"/>
      <c r="AE92" s="70"/>
    </row>
    <row r="93" spans="2:31" ht="30" x14ac:dyDescent="0.25">
      <c r="B93" s="70" t="s">
        <v>51</v>
      </c>
      <c r="C93" s="70">
        <v>81</v>
      </c>
      <c r="D93" s="68" t="s">
        <v>1319</v>
      </c>
      <c r="E93" s="68"/>
      <c r="F93" s="68" t="s">
        <v>1319</v>
      </c>
      <c r="G93" s="70"/>
      <c r="H93" s="47"/>
      <c r="I93" s="68"/>
      <c r="J93" s="68"/>
      <c r="K93" s="68"/>
      <c r="L93" s="68"/>
      <c r="M93" s="68"/>
      <c r="N93" s="68"/>
      <c r="O93" s="68"/>
      <c r="P93" s="68"/>
      <c r="Q93" s="70"/>
      <c r="R93" s="70"/>
      <c r="S93" s="47"/>
      <c r="T93" s="75" t="s">
        <v>197</v>
      </c>
      <c r="U93" s="69">
        <v>45051</v>
      </c>
      <c r="V93" s="70" t="s">
        <v>1320</v>
      </c>
      <c r="W93" s="47"/>
      <c r="X93" s="145" t="s">
        <v>150</v>
      </c>
      <c r="Y93" s="70"/>
      <c r="Z93" s="70"/>
      <c r="AA93" s="47"/>
      <c r="AB93" s="70"/>
      <c r="AC93" s="70"/>
      <c r="AD93" s="70"/>
      <c r="AE93" s="70"/>
    </row>
    <row r="94" spans="2:31" x14ac:dyDescent="0.25">
      <c r="B94" s="70" t="s">
        <v>51</v>
      </c>
      <c r="C94" s="70">
        <v>82</v>
      </c>
      <c r="D94" s="68" t="s">
        <v>1321</v>
      </c>
      <c r="E94" s="68"/>
      <c r="F94" s="68" t="s">
        <v>1321</v>
      </c>
      <c r="G94" s="70"/>
      <c r="H94" s="47"/>
      <c r="I94" s="68"/>
      <c r="J94" s="68"/>
      <c r="K94" s="68"/>
      <c r="L94" s="68"/>
      <c r="M94" s="68"/>
      <c r="N94" s="68"/>
      <c r="O94" s="68"/>
      <c r="P94" s="68"/>
      <c r="Q94" s="70"/>
      <c r="R94" s="70"/>
      <c r="S94" s="47"/>
      <c r="T94" s="75" t="s">
        <v>197</v>
      </c>
      <c r="U94" s="69">
        <v>45106</v>
      </c>
      <c r="V94" s="70" t="s">
        <v>1322</v>
      </c>
      <c r="W94" s="47"/>
      <c r="X94" s="145" t="s">
        <v>150</v>
      </c>
      <c r="Y94" s="70"/>
      <c r="Z94" s="70"/>
      <c r="AA94" s="47"/>
      <c r="AB94" s="70"/>
      <c r="AC94" s="70"/>
      <c r="AD94" s="70"/>
      <c r="AE94" s="70"/>
    </row>
    <row r="95" spans="2:31" x14ac:dyDescent="0.25">
      <c r="B95" s="70" t="s">
        <v>51</v>
      </c>
      <c r="C95" s="70">
        <v>83</v>
      </c>
      <c r="D95" s="68" t="s">
        <v>1323</v>
      </c>
      <c r="E95" s="68"/>
      <c r="F95" s="68" t="s">
        <v>1323</v>
      </c>
      <c r="G95" s="70"/>
      <c r="H95" s="47"/>
      <c r="I95" s="68"/>
      <c r="J95" s="68"/>
      <c r="K95" s="68"/>
      <c r="L95" s="68"/>
      <c r="M95" s="68"/>
      <c r="N95" s="68"/>
      <c r="O95" s="68"/>
      <c r="P95" s="68"/>
      <c r="Q95" s="70"/>
      <c r="R95" s="70"/>
      <c r="S95" s="47"/>
      <c r="T95" s="75" t="s">
        <v>197</v>
      </c>
      <c r="U95" s="69">
        <v>45106</v>
      </c>
      <c r="V95" s="70" t="s">
        <v>1322</v>
      </c>
      <c r="W95" s="47"/>
      <c r="X95" s="145" t="s">
        <v>150</v>
      </c>
      <c r="Y95" s="70"/>
      <c r="Z95" s="70"/>
      <c r="AA95" s="47"/>
      <c r="AB95" s="70"/>
      <c r="AC95" s="70"/>
      <c r="AD95" s="70"/>
      <c r="AE95" s="70"/>
    </row>
    <row r="96" spans="2:31" ht="45" x14ac:dyDescent="0.25">
      <c r="B96" s="70" t="s">
        <v>51</v>
      </c>
      <c r="C96" s="70">
        <v>84</v>
      </c>
      <c r="D96" s="70" t="s">
        <v>1324</v>
      </c>
      <c r="E96" s="68"/>
      <c r="F96" s="70" t="s">
        <v>1325</v>
      </c>
      <c r="G96" s="70"/>
      <c r="H96" s="47"/>
      <c r="I96" s="68"/>
      <c r="J96" s="68"/>
      <c r="K96" s="68"/>
      <c r="L96" s="68"/>
      <c r="M96" s="68"/>
      <c r="N96" s="68"/>
      <c r="O96" s="68"/>
      <c r="P96" s="68"/>
      <c r="Q96" s="70"/>
      <c r="R96" s="70"/>
      <c r="S96" s="47"/>
      <c r="T96" s="75" t="s">
        <v>197</v>
      </c>
      <c r="U96" s="69">
        <v>45106</v>
      </c>
      <c r="V96" s="70" t="s">
        <v>1326</v>
      </c>
      <c r="W96" s="47"/>
      <c r="X96" s="145" t="s">
        <v>150</v>
      </c>
      <c r="Y96" s="70"/>
      <c r="Z96" s="70"/>
      <c r="AA96" s="47"/>
      <c r="AB96" s="70"/>
      <c r="AC96" s="70"/>
      <c r="AD96" s="70"/>
      <c r="AE96" s="70"/>
    </row>
    <row r="97" spans="2:31" x14ac:dyDescent="0.25">
      <c r="B97" s="70" t="s">
        <v>51</v>
      </c>
      <c r="C97" s="70">
        <v>85</v>
      </c>
      <c r="D97" s="70" t="s">
        <v>1327</v>
      </c>
      <c r="E97" s="68"/>
      <c r="F97" s="70" t="s">
        <v>1328</v>
      </c>
      <c r="G97" s="70"/>
      <c r="H97" s="47"/>
      <c r="I97" s="68"/>
      <c r="J97" s="68"/>
      <c r="K97" s="68"/>
      <c r="L97" s="68"/>
      <c r="M97" s="68"/>
      <c r="N97" s="68"/>
      <c r="O97" s="68"/>
      <c r="P97" s="68"/>
      <c r="Q97" s="70"/>
      <c r="R97" s="70"/>
      <c r="S97" s="47"/>
      <c r="T97" s="75" t="s">
        <v>197</v>
      </c>
      <c r="U97" s="69">
        <v>45106</v>
      </c>
      <c r="V97" s="70" t="s">
        <v>1329</v>
      </c>
      <c r="W97" s="47"/>
      <c r="X97" s="145" t="s">
        <v>150</v>
      </c>
      <c r="Y97" s="70"/>
      <c r="Z97" s="70"/>
      <c r="AA97" s="47"/>
      <c r="AB97" s="70"/>
      <c r="AC97" s="70"/>
      <c r="AD97" s="70"/>
      <c r="AE97" s="70"/>
    </row>
    <row r="98" spans="2:31" ht="60" x14ac:dyDescent="0.25">
      <c r="B98" s="70" t="s">
        <v>51</v>
      </c>
      <c r="C98" s="70">
        <v>86</v>
      </c>
      <c r="D98" s="70" t="s">
        <v>1330</v>
      </c>
      <c r="E98" s="68"/>
      <c r="F98" s="70" t="s">
        <v>1330</v>
      </c>
      <c r="G98" s="70"/>
      <c r="H98" s="47"/>
      <c r="I98" s="68"/>
      <c r="J98" s="68"/>
      <c r="K98" s="68"/>
      <c r="L98" s="68"/>
      <c r="M98" s="68"/>
      <c r="N98" s="68"/>
      <c r="O98" s="68"/>
      <c r="P98" s="68"/>
      <c r="Q98" s="70"/>
      <c r="R98" s="70"/>
      <c r="S98" s="47"/>
      <c r="T98" s="75" t="s">
        <v>197</v>
      </c>
      <c r="U98" s="69">
        <v>45106</v>
      </c>
      <c r="V98" s="70" t="s">
        <v>1331</v>
      </c>
      <c r="W98" s="47"/>
      <c r="X98" s="145" t="s">
        <v>150</v>
      </c>
      <c r="Y98" s="70"/>
      <c r="Z98" s="70"/>
      <c r="AA98" s="47"/>
      <c r="AB98" s="70"/>
      <c r="AC98" s="70"/>
      <c r="AD98" s="70"/>
      <c r="AE98" s="70"/>
    </row>
    <row r="99" spans="2:31" ht="60" x14ac:dyDescent="0.25">
      <c r="B99" s="70" t="s">
        <v>51</v>
      </c>
      <c r="C99" s="70">
        <v>87</v>
      </c>
      <c r="D99" s="70" t="s">
        <v>1332</v>
      </c>
      <c r="E99" s="68"/>
      <c r="F99" s="70" t="s">
        <v>1332</v>
      </c>
      <c r="G99" s="70" t="s">
        <v>289</v>
      </c>
      <c r="H99" s="47"/>
      <c r="I99" s="68"/>
      <c r="J99" s="68"/>
      <c r="K99" s="68"/>
      <c r="L99" s="68"/>
      <c r="M99" s="68"/>
      <c r="N99" s="68"/>
      <c r="O99" s="68"/>
      <c r="P99" s="68"/>
      <c r="Q99" s="70"/>
      <c r="R99" s="70"/>
      <c r="S99" s="47"/>
      <c r="T99" s="75" t="s">
        <v>197</v>
      </c>
      <c r="U99" s="69">
        <v>45106</v>
      </c>
      <c r="V99" s="70"/>
      <c r="W99" s="47"/>
      <c r="X99" s="145" t="s">
        <v>150</v>
      </c>
      <c r="Y99" s="70"/>
      <c r="Z99" s="70"/>
      <c r="AA99" s="47"/>
      <c r="AB99" s="70"/>
      <c r="AC99" s="70"/>
      <c r="AD99" s="70"/>
      <c r="AE99" s="70"/>
    </row>
    <row r="100" spans="2:31" ht="45" x14ac:dyDescent="0.25">
      <c r="B100" s="70" t="s">
        <v>51</v>
      </c>
      <c r="C100" s="70">
        <v>88</v>
      </c>
      <c r="D100" s="70" t="s">
        <v>1333</v>
      </c>
      <c r="E100" s="68"/>
      <c r="F100" s="70" t="s">
        <v>1334</v>
      </c>
      <c r="G100" s="70"/>
      <c r="H100" s="47"/>
      <c r="I100" s="68"/>
      <c r="J100" s="68"/>
      <c r="K100" s="68"/>
      <c r="L100" s="68"/>
      <c r="M100" s="68"/>
      <c r="N100" s="68"/>
      <c r="O100" s="68"/>
      <c r="P100" s="68"/>
      <c r="Q100" s="70"/>
      <c r="R100" s="70"/>
      <c r="S100" s="47"/>
      <c r="T100" s="75" t="s">
        <v>197</v>
      </c>
      <c r="U100" s="69">
        <v>45106</v>
      </c>
      <c r="V100" s="70" t="s">
        <v>1326</v>
      </c>
      <c r="W100" s="47"/>
      <c r="X100" s="145" t="s">
        <v>150</v>
      </c>
      <c r="Y100" s="70"/>
      <c r="Z100" s="70"/>
      <c r="AA100" s="47"/>
      <c r="AB100" s="70"/>
      <c r="AC100" s="70"/>
      <c r="AD100" s="70"/>
      <c r="AE100" s="70"/>
    </row>
    <row r="101" spans="2:31" x14ac:dyDescent="0.25">
      <c r="B101" s="70" t="s">
        <v>51</v>
      </c>
      <c r="C101" s="70">
        <v>89</v>
      </c>
      <c r="D101" s="70" t="s">
        <v>1335</v>
      </c>
      <c r="E101" s="68"/>
      <c r="F101" s="70" t="s">
        <v>1336</v>
      </c>
      <c r="G101" s="70"/>
      <c r="H101" s="47"/>
      <c r="I101" s="68"/>
      <c r="J101" s="68"/>
      <c r="K101" s="68"/>
      <c r="L101" s="68"/>
      <c r="M101" s="68"/>
      <c r="N101" s="68"/>
      <c r="O101" s="68"/>
      <c r="P101" s="68"/>
      <c r="Q101" s="70"/>
      <c r="R101" s="70"/>
      <c r="S101" s="47"/>
      <c r="T101" s="75" t="s">
        <v>197</v>
      </c>
      <c r="U101" s="69">
        <v>45106</v>
      </c>
      <c r="V101" s="70"/>
      <c r="W101" s="47"/>
      <c r="X101" s="145" t="s">
        <v>150</v>
      </c>
      <c r="Y101" s="70"/>
      <c r="Z101" s="70"/>
      <c r="AA101" s="47"/>
      <c r="AB101" s="70"/>
      <c r="AC101" s="70"/>
      <c r="AD101" s="70"/>
      <c r="AE101" s="70"/>
    </row>
    <row r="102" spans="2:31" ht="30" x14ac:dyDescent="0.25">
      <c r="B102" s="70" t="s">
        <v>51</v>
      </c>
      <c r="C102" s="70">
        <v>90</v>
      </c>
      <c r="D102" s="70" t="s">
        <v>1337</v>
      </c>
      <c r="E102" s="68"/>
      <c r="F102" s="70" t="s">
        <v>1337</v>
      </c>
      <c r="G102" s="70"/>
      <c r="H102" s="47"/>
      <c r="I102" s="68"/>
      <c r="J102" s="68"/>
      <c r="K102" s="68"/>
      <c r="L102" s="68"/>
      <c r="M102" s="68"/>
      <c r="N102" s="68"/>
      <c r="O102" s="68"/>
      <c r="P102" s="68"/>
      <c r="Q102" s="70"/>
      <c r="R102" s="70"/>
      <c r="S102" s="47"/>
      <c r="T102" s="75" t="s">
        <v>197</v>
      </c>
      <c r="U102" s="69">
        <v>45106</v>
      </c>
      <c r="V102" s="70" t="s">
        <v>1338</v>
      </c>
      <c r="W102" s="47"/>
      <c r="X102" s="145" t="s">
        <v>150</v>
      </c>
      <c r="Y102" s="70"/>
      <c r="Z102" s="70"/>
      <c r="AA102" s="47"/>
      <c r="AB102" s="70"/>
      <c r="AC102" s="70"/>
      <c r="AD102" s="70"/>
      <c r="AE102" s="70"/>
    </row>
    <row r="103" spans="2:31" ht="60" x14ac:dyDescent="0.25">
      <c r="B103" s="70" t="s">
        <v>51</v>
      </c>
      <c r="C103" s="70">
        <v>91</v>
      </c>
      <c r="D103" s="70" t="s">
        <v>1339</v>
      </c>
      <c r="E103" s="68"/>
      <c r="F103" s="70" t="s">
        <v>1339</v>
      </c>
      <c r="G103" s="70" t="s">
        <v>289</v>
      </c>
      <c r="H103" s="47"/>
      <c r="I103" s="68"/>
      <c r="J103" s="68"/>
      <c r="K103" s="68"/>
      <c r="L103" s="68"/>
      <c r="M103" s="68"/>
      <c r="N103" s="68"/>
      <c r="O103" s="68"/>
      <c r="P103" s="68"/>
      <c r="Q103" s="70"/>
      <c r="R103" s="70"/>
      <c r="S103" s="47"/>
      <c r="T103" s="75" t="s">
        <v>197</v>
      </c>
      <c r="U103" s="69">
        <v>45106</v>
      </c>
      <c r="V103" s="70" t="s">
        <v>1340</v>
      </c>
      <c r="W103" s="47"/>
      <c r="X103" s="145" t="s">
        <v>150</v>
      </c>
      <c r="Y103" s="70"/>
      <c r="Z103" s="70"/>
      <c r="AA103" s="47"/>
      <c r="AB103" s="70"/>
      <c r="AC103" s="70"/>
      <c r="AD103" s="70"/>
      <c r="AE103" s="70"/>
    </row>
    <row r="104" spans="2:31" ht="30" x14ac:dyDescent="0.25">
      <c r="B104" s="70" t="s">
        <v>51</v>
      </c>
      <c r="C104" s="70">
        <v>92</v>
      </c>
      <c r="D104" s="70" t="s">
        <v>1341</v>
      </c>
      <c r="E104" s="68"/>
      <c r="F104" s="70" t="s">
        <v>1341</v>
      </c>
      <c r="G104" s="70"/>
      <c r="H104" s="47"/>
      <c r="I104" s="68"/>
      <c r="J104" s="68"/>
      <c r="K104" s="68"/>
      <c r="L104" s="68"/>
      <c r="M104" s="68"/>
      <c r="N104" s="68"/>
      <c r="O104" s="68"/>
      <c r="P104" s="68"/>
      <c r="Q104" s="70"/>
      <c r="R104" s="70"/>
      <c r="S104" s="47"/>
      <c r="T104" s="75" t="s">
        <v>197</v>
      </c>
      <c r="U104" s="69">
        <v>45106</v>
      </c>
      <c r="V104" s="70" t="s">
        <v>1342</v>
      </c>
      <c r="W104" s="47"/>
      <c r="X104" s="145" t="s">
        <v>150</v>
      </c>
      <c r="Y104" s="70"/>
      <c r="Z104" s="70"/>
      <c r="AA104" s="47"/>
      <c r="AB104" s="70"/>
      <c r="AC104" s="70"/>
      <c r="AD104" s="70"/>
      <c r="AE104" s="70"/>
    </row>
    <row r="105" spans="2:31" ht="30" x14ac:dyDescent="0.25">
      <c r="B105" s="70" t="s">
        <v>51</v>
      </c>
      <c r="C105" s="70">
        <v>93</v>
      </c>
      <c r="D105" s="70" t="s">
        <v>1343</v>
      </c>
      <c r="E105" s="68"/>
      <c r="F105" s="70" t="s">
        <v>1343</v>
      </c>
      <c r="G105" s="70"/>
      <c r="H105" s="47"/>
      <c r="I105" s="68"/>
      <c r="J105" s="68"/>
      <c r="K105" s="68"/>
      <c r="L105" s="68"/>
      <c r="M105" s="68"/>
      <c r="N105" s="68"/>
      <c r="O105" s="68"/>
      <c r="P105" s="68"/>
      <c r="Q105" s="70"/>
      <c r="R105" s="70"/>
      <c r="S105" s="47"/>
      <c r="T105" s="75" t="s">
        <v>197</v>
      </c>
      <c r="U105" s="69">
        <v>45106</v>
      </c>
      <c r="V105" s="70"/>
      <c r="W105" s="47"/>
      <c r="X105" s="145" t="s">
        <v>150</v>
      </c>
      <c r="Y105" s="70"/>
      <c r="Z105" s="70"/>
      <c r="AA105" s="47"/>
      <c r="AB105" s="70"/>
      <c r="AC105" s="70"/>
      <c r="AD105" s="70"/>
      <c r="AE105" s="70"/>
    </row>
    <row r="106" spans="2:31" ht="45" x14ac:dyDescent="0.25">
      <c r="B106" s="70" t="s">
        <v>51</v>
      </c>
      <c r="C106" s="70">
        <v>94</v>
      </c>
      <c r="D106" s="70" t="s">
        <v>1344</v>
      </c>
      <c r="E106" s="68"/>
      <c r="F106" s="70" t="s">
        <v>1344</v>
      </c>
      <c r="G106" s="70"/>
      <c r="H106" s="47"/>
      <c r="I106" s="68"/>
      <c r="J106" s="68"/>
      <c r="K106" s="68"/>
      <c r="L106" s="68"/>
      <c r="M106" s="68"/>
      <c r="N106" s="68"/>
      <c r="O106" s="68"/>
      <c r="P106" s="68"/>
      <c r="Q106" s="70"/>
      <c r="R106" s="70"/>
      <c r="S106" s="47"/>
      <c r="T106" s="75" t="s">
        <v>197</v>
      </c>
      <c r="U106" s="69">
        <v>45106</v>
      </c>
      <c r="V106" s="70"/>
      <c r="W106" s="47"/>
      <c r="X106" s="145" t="s">
        <v>150</v>
      </c>
      <c r="Y106" s="70"/>
      <c r="Z106" s="70"/>
      <c r="AA106" s="47"/>
      <c r="AB106" s="70"/>
      <c r="AC106" s="70"/>
      <c r="AD106" s="70"/>
      <c r="AE106" s="70"/>
    </row>
    <row r="107" spans="2:31" x14ac:dyDescent="0.25">
      <c r="B107" s="70" t="s">
        <v>51</v>
      </c>
      <c r="C107" s="70">
        <v>95</v>
      </c>
      <c r="D107" s="70" t="s">
        <v>1345</v>
      </c>
      <c r="E107" s="68"/>
      <c r="F107" s="70" t="s">
        <v>1345</v>
      </c>
      <c r="G107" s="70"/>
      <c r="H107" s="47"/>
      <c r="I107" s="68"/>
      <c r="J107" s="68"/>
      <c r="K107" s="68"/>
      <c r="L107" s="68"/>
      <c r="M107" s="68"/>
      <c r="N107" s="68"/>
      <c r="O107" s="68"/>
      <c r="P107" s="68"/>
      <c r="Q107" s="70"/>
      <c r="R107" s="70"/>
      <c r="S107" s="47"/>
      <c r="T107" s="75" t="s">
        <v>197</v>
      </c>
      <c r="U107" s="69">
        <v>45106</v>
      </c>
      <c r="V107" s="70" t="s">
        <v>1346</v>
      </c>
      <c r="W107" s="47"/>
      <c r="X107" s="145" t="s">
        <v>150</v>
      </c>
      <c r="Y107" s="70"/>
      <c r="Z107" s="70"/>
      <c r="AA107" s="47"/>
      <c r="AB107" s="70"/>
      <c r="AC107" s="70"/>
      <c r="AD107" s="70"/>
      <c r="AE107" s="70"/>
    </row>
    <row r="108" spans="2:31" x14ac:dyDescent="0.25">
      <c r="B108" s="70" t="s">
        <v>51</v>
      </c>
      <c r="C108" s="70">
        <v>96</v>
      </c>
      <c r="D108" s="70" t="s">
        <v>1347</v>
      </c>
      <c r="E108" s="68"/>
      <c r="F108" s="70" t="s">
        <v>1347</v>
      </c>
      <c r="G108" s="70"/>
      <c r="H108" s="47"/>
      <c r="I108" s="68"/>
      <c r="J108" s="68"/>
      <c r="K108" s="68"/>
      <c r="L108" s="68"/>
      <c r="M108" s="68"/>
      <c r="N108" s="68"/>
      <c r="O108" s="68"/>
      <c r="P108" s="68"/>
      <c r="Q108" s="70"/>
      <c r="R108" s="70"/>
      <c r="S108" s="47"/>
      <c r="T108" s="75" t="s">
        <v>197</v>
      </c>
      <c r="U108" s="69">
        <v>45106</v>
      </c>
      <c r="V108" s="70" t="s">
        <v>1346</v>
      </c>
      <c r="W108" s="47"/>
      <c r="X108" s="145" t="s">
        <v>150</v>
      </c>
      <c r="Y108" s="70"/>
      <c r="Z108" s="70"/>
      <c r="AA108" s="47"/>
      <c r="AB108" s="70"/>
      <c r="AC108" s="70"/>
      <c r="AD108" s="70"/>
      <c r="AE108" s="70"/>
    </row>
    <row r="109" spans="2:31" x14ac:dyDescent="0.25">
      <c r="B109" s="70" t="s">
        <v>51</v>
      </c>
      <c r="C109" s="70">
        <v>97</v>
      </c>
      <c r="D109" s="70" t="s">
        <v>1348</v>
      </c>
      <c r="E109" s="68"/>
      <c r="F109" s="70" t="s">
        <v>1348</v>
      </c>
      <c r="G109" s="70"/>
      <c r="H109" s="47"/>
      <c r="I109" s="68"/>
      <c r="J109" s="68"/>
      <c r="K109" s="68"/>
      <c r="L109" s="68"/>
      <c r="M109" s="68"/>
      <c r="N109" s="68"/>
      <c r="O109" s="68"/>
      <c r="P109" s="68"/>
      <c r="Q109" s="70"/>
      <c r="R109" s="70"/>
      <c r="S109" s="47"/>
      <c r="T109" s="75" t="s">
        <v>197</v>
      </c>
      <c r="U109" s="69">
        <v>45106</v>
      </c>
      <c r="V109" s="70" t="s">
        <v>1346</v>
      </c>
      <c r="W109" s="47"/>
      <c r="X109" s="145" t="s">
        <v>150</v>
      </c>
      <c r="Y109" s="70"/>
      <c r="Z109" s="70"/>
      <c r="AA109" s="47"/>
      <c r="AB109" s="70"/>
      <c r="AC109" s="70"/>
      <c r="AD109" s="70"/>
      <c r="AE109" s="70"/>
    </row>
    <row r="110" spans="2:31" x14ac:dyDescent="0.25">
      <c r="B110" s="70" t="s">
        <v>51</v>
      </c>
      <c r="C110" s="70">
        <v>98</v>
      </c>
      <c r="D110" s="70" t="s">
        <v>1349</v>
      </c>
      <c r="E110" s="68"/>
      <c r="F110" s="70" t="s">
        <v>1349</v>
      </c>
      <c r="G110" s="70"/>
      <c r="H110" s="47"/>
      <c r="I110" s="68"/>
      <c r="J110" s="68"/>
      <c r="K110" s="68"/>
      <c r="L110" s="68"/>
      <c r="M110" s="68"/>
      <c r="N110" s="68"/>
      <c r="O110" s="68"/>
      <c r="P110" s="68"/>
      <c r="Q110" s="70"/>
      <c r="R110" s="70"/>
      <c r="S110" s="47"/>
      <c r="T110" s="75" t="s">
        <v>197</v>
      </c>
      <c r="U110" s="69">
        <v>45106</v>
      </c>
      <c r="V110" s="70" t="s">
        <v>1346</v>
      </c>
      <c r="W110" s="47"/>
      <c r="X110" s="145" t="s">
        <v>150</v>
      </c>
      <c r="Y110" s="70"/>
      <c r="Z110" s="70"/>
      <c r="AA110" s="47"/>
      <c r="AB110" s="70"/>
      <c r="AC110" s="70"/>
      <c r="AD110" s="70"/>
      <c r="AE110" s="70"/>
    </row>
    <row r="111" spans="2:31" ht="45" x14ac:dyDescent="0.25">
      <c r="B111" s="70" t="s">
        <v>51</v>
      </c>
      <c r="C111" s="70">
        <v>99</v>
      </c>
      <c r="D111" s="70" t="s">
        <v>1350</v>
      </c>
      <c r="E111" s="68"/>
      <c r="F111" s="70" t="s">
        <v>1350</v>
      </c>
      <c r="G111" s="70"/>
      <c r="H111" s="47"/>
      <c r="I111" s="68"/>
      <c r="J111" s="68"/>
      <c r="K111" s="68"/>
      <c r="L111" s="68"/>
      <c r="M111" s="68"/>
      <c r="N111" s="68"/>
      <c r="O111" s="68"/>
      <c r="P111" s="68"/>
      <c r="Q111" s="70"/>
      <c r="R111" s="70"/>
      <c r="S111" s="47"/>
      <c r="T111" s="75" t="s">
        <v>197</v>
      </c>
      <c r="U111" s="69">
        <v>45106</v>
      </c>
      <c r="V111" s="70" t="s">
        <v>1346</v>
      </c>
      <c r="W111" s="47"/>
      <c r="X111" s="145" t="s">
        <v>150</v>
      </c>
      <c r="Y111" s="70"/>
      <c r="Z111" s="70"/>
      <c r="AA111" s="47"/>
      <c r="AB111" s="70"/>
      <c r="AC111" s="70"/>
      <c r="AD111" s="70"/>
      <c r="AE111" s="70"/>
    </row>
    <row r="112" spans="2:31" x14ac:dyDescent="0.25">
      <c r="B112" s="70"/>
      <c r="C112" s="70"/>
      <c r="D112" s="68"/>
      <c r="E112" s="68"/>
      <c r="F112" s="68"/>
      <c r="G112" s="70"/>
      <c r="H112" s="47"/>
      <c r="I112" s="68"/>
      <c r="J112" s="68"/>
      <c r="K112" s="68"/>
      <c r="L112" s="68"/>
      <c r="M112" s="68"/>
      <c r="N112" s="68"/>
      <c r="O112" s="68"/>
      <c r="P112" s="68"/>
      <c r="Q112" s="70"/>
      <c r="R112" s="70"/>
      <c r="S112" s="47"/>
      <c r="T112" s="75"/>
      <c r="U112" s="69"/>
      <c r="V112" s="70"/>
      <c r="W112" s="47"/>
      <c r="X112" s="145"/>
      <c r="Y112" s="70"/>
      <c r="Z112" s="70"/>
      <c r="AA112" s="47"/>
      <c r="AB112" s="70"/>
      <c r="AC112" s="70"/>
      <c r="AD112" s="70"/>
      <c r="AE112" s="70"/>
    </row>
  </sheetData>
  <autoFilter ref="B12:AE111">
    <sortState ref="B13:AA116">
      <sortCondition ref="C12:C116"/>
    </sortState>
  </autoFilter>
  <mergeCells count="8">
    <mergeCell ref="X11:Z11"/>
    <mergeCell ref="AB11:AE11"/>
    <mergeCell ref="C7:G7"/>
    <mergeCell ref="T11:V11"/>
    <mergeCell ref="I11:K11"/>
    <mergeCell ref="L11:N11"/>
    <mergeCell ref="B11:G11"/>
    <mergeCell ref="O11:R11"/>
  </mergeCells>
  <conditionalFormatting sqref="T78:T88 T66 T54:T56 T13:T47">
    <cfRule type="cellIs" dxfId="684" priority="625" operator="equal">
      <formula>"Testes utilizador"</formula>
    </cfRule>
  </conditionalFormatting>
  <conditionalFormatting sqref="T48">
    <cfRule type="cellIs" dxfId="683" priority="620" operator="equal">
      <formula>"Testes utilizador"</formula>
    </cfRule>
  </conditionalFormatting>
  <conditionalFormatting sqref="T92">
    <cfRule type="cellIs" dxfId="682" priority="610" operator="equal">
      <formula>"Testes utilizador"</formula>
    </cfRule>
  </conditionalFormatting>
  <conditionalFormatting sqref="T57">
    <cfRule type="cellIs" dxfId="681" priority="605" operator="equal">
      <formula>"Testes utilizador"</formula>
    </cfRule>
  </conditionalFormatting>
  <conditionalFormatting sqref="T93:T111 T72:T77 T70 T58:T65">
    <cfRule type="cellIs" dxfId="680" priority="600" operator="equal">
      <formula>"Testes utilizador"</formula>
    </cfRule>
  </conditionalFormatting>
  <conditionalFormatting sqref="X66 X54 X46 X39:X40 X56">
    <cfRule type="cellIs" dxfId="679" priority="590" operator="equal">
      <formula>"Testes utilizador"</formula>
    </cfRule>
  </conditionalFormatting>
  <conditionalFormatting sqref="X78">
    <cfRule type="cellIs" dxfId="678" priority="585" operator="equal">
      <formula>"Testes utilizador"</formula>
    </cfRule>
  </conditionalFormatting>
  <conditionalFormatting sqref="X79:X83">
    <cfRule type="cellIs" dxfId="677" priority="580" operator="equal">
      <formula>"Testes utilizador"</formula>
    </cfRule>
  </conditionalFormatting>
  <conditionalFormatting sqref="T49:T53 T67:T69 T71 T89:T91">
    <cfRule type="cellIs" dxfId="676" priority="79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12" operator="equal" id="{CC071EC5-19F5-4C7E-8F80-4A3B366E64E3}">
            <xm:f>'Tabelas AUX'!$E$5</xm:f>
            <x14:dxf>
              <font>
                <color rgb="FF00B050"/>
              </font>
            </x14:dxf>
          </x14:cfRule>
          <xm:sqref>X42</xm:sqref>
        </x14:conditionalFormatting>
        <x14:conditionalFormatting xmlns:xm="http://schemas.microsoft.com/office/excel/2006/main">
          <x14:cfRule type="cellIs" priority="760" operator="equal" id="{4A493169-F702-4296-8BC0-572A7AF5612C}">
            <xm:f>'Tabelas AUX'!$E$8</xm:f>
            <x14:dxf>
              <font>
                <color theme="8"/>
              </font>
            </x14:dxf>
          </x14:cfRule>
          <x14:cfRule type="cellIs" priority="761" operator="equal" id="{8DAE8FEE-7F7F-40AC-83B0-32600A6696FC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766" operator="equal" id="{1A8DC7B0-0796-4E6D-92C1-9D59F6A7B54E}">
            <xm:f>'Tabelas AUX'!$E$5</xm:f>
            <x14:dxf>
              <font>
                <color rgb="FF00B050"/>
              </font>
            </x14:dxf>
          </x14:cfRule>
          <xm:sqref>T112</xm:sqref>
        </x14:conditionalFormatting>
        <x14:conditionalFormatting xmlns:xm="http://schemas.microsoft.com/office/excel/2006/main">
          <x14:cfRule type="cellIs" priority="842" operator="equal" id="{D2F92835-6A6E-438E-BB23-73C19614ED62}">
            <xm:f>'Tabelas AUX'!$E$4</xm:f>
            <x14:dxf>
              <font>
                <color rgb="FF7F7F7F"/>
              </font>
            </x14:dxf>
          </x14:cfRule>
          <x14:cfRule type="cellIs" priority="843" operator="equal" id="{5B34AFBD-3C5C-4A22-824C-6D382C401D85}">
            <xm:f>'Tabelas AUX'!$E$3</xm:f>
            <x14:dxf>
              <font>
                <color theme="5"/>
              </font>
            </x14:dxf>
          </x14:cfRule>
          <x14:cfRule type="cellIs" priority="844" operator="equal" id="{553EF3D4-A77E-468E-BDB0-88EDFE5825E0}">
            <xm:f>'Tabelas AUX'!$E$2</xm:f>
            <x14:dxf>
              <font>
                <color rgb="FFC00000"/>
              </font>
            </x14:dxf>
          </x14:cfRule>
          <xm:sqref>T112</xm:sqref>
        </x14:conditionalFormatting>
        <x14:conditionalFormatting xmlns:xm="http://schemas.microsoft.com/office/excel/2006/main">
          <x14:cfRule type="cellIs" priority="913" operator="equal" id="{F3E21445-F495-4259-8A24-45974C91F1CF}">
            <xm:f>'Tabelas AUX'!$E$4</xm:f>
            <x14:dxf>
              <font>
                <color rgb="FF7F7F7F"/>
              </font>
            </x14:dxf>
          </x14:cfRule>
          <x14:cfRule type="cellIs" priority="914" operator="equal" id="{6462E89A-AA55-43C8-B1D9-8BC6CD0940BB}">
            <xm:f>'Tabelas AUX'!$E$3</xm:f>
            <x14:dxf>
              <font>
                <color theme="5"/>
              </font>
            </x14:dxf>
          </x14:cfRule>
          <x14:cfRule type="cellIs" priority="915" operator="equal" id="{3BE813EB-B880-45AF-BE56-BDDB2C36F0AA}">
            <xm:f>'Tabelas AUX'!$E$2</xm:f>
            <x14:dxf>
              <font>
                <color rgb="FFC00000"/>
              </font>
            </x14:dxf>
          </x14:cfRule>
          <xm:sqref>X42</xm:sqref>
        </x14:conditionalFormatting>
        <x14:conditionalFormatting xmlns:xm="http://schemas.microsoft.com/office/excel/2006/main">
          <x14:cfRule type="cellIs" priority="895" operator="equal" id="{A3D03EF8-0DB5-4743-9DAE-20091F708424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m:sqref>X42</xm:sqref>
        </x14:conditionalFormatting>
        <x14:conditionalFormatting xmlns:xm="http://schemas.microsoft.com/office/excel/2006/main">
          <x14:cfRule type="cellIs" priority="894" operator="equal" id="{E9D1E522-62E6-47C3-9F5B-637BFB35F383}">
            <xm:f>'Tabelas AUX'!$E$8</xm:f>
            <x14:dxf>
              <font>
                <color theme="8"/>
              </font>
            </x14:dxf>
          </x14:cfRule>
          <xm:sqref>X42</xm:sqref>
        </x14:conditionalFormatting>
        <x14:conditionalFormatting xmlns:xm="http://schemas.microsoft.com/office/excel/2006/main">
          <x14:cfRule type="cellIs" priority="809" operator="equal" id="{FE728DBC-EAAD-4F7E-9858-2279E36DA9D9}">
            <xm:f>'Tabelas AUX'!$E$8</xm:f>
            <x14:dxf>
              <font>
                <color theme="8"/>
              </font>
            </x14:dxf>
          </x14:cfRule>
          <x14:cfRule type="cellIs" priority="810" operator="equal" id="{7951AA1A-DA77-4EBE-AB2C-F1F6D161C366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811" operator="equal" id="{AB619B9D-DFD5-4D1C-81A2-111561E16957}">
            <xm:f>'Tabelas AUX'!$E$5</xm:f>
            <x14:dxf>
              <font>
                <color rgb="FF00B050"/>
              </font>
            </x14:dxf>
          </x14:cfRule>
          <x14:cfRule type="cellIs" priority="812" operator="equal" id="{D4D71FB8-3BD6-40E1-BCBE-BDAEB9814699}">
            <xm:f>'Tabelas AUX'!$E$4</xm:f>
            <x14:dxf>
              <font>
                <color rgb="FF7F7F7F"/>
              </font>
            </x14:dxf>
          </x14:cfRule>
          <x14:cfRule type="cellIs" priority="813" operator="equal" id="{CE649F79-BAD8-448F-8578-A17C9C8C8AC3}">
            <xm:f>'Tabelas AUX'!$E$3</xm:f>
            <x14:dxf>
              <font>
                <color theme="5"/>
              </font>
            </x14:dxf>
          </x14:cfRule>
          <x14:cfRule type="cellIs" priority="814" operator="equal" id="{5A30D3D0-1FFD-4AEA-BDFD-218E9067BF44}">
            <xm:f>'Tabelas AUX'!$E$2</xm:f>
            <x14:dxf>
              <font>
                <color rgb="FFC00000"/>
              </font>
            </x14:dxf>
          </x14:cfRule>
          <xm:sqref>X112</xm:sqref>
        </x14:conditionalFormatting>
        <x14:conditionalFormatting xmlns:xm="http://schemas.microsoft.com/office/excel/2006/main">
          <x14:cfRule type="cellIs" priority="572" operator="equal" id="{A562C251-205E-472A-A737-0682A6DC2478}">
            <xm:f>'Tabelas AUX'!$E$4</xm:f>
            <x14:dxf>
              <font>
                <color rgb="FF7F7F7F"/>
              </font>
            </x14:dxf>
          </x14:cfRule>
          <x14:cfRule type="cellIs" priority="573" operator="equal" id="{CE09852E-55FF-4D42-B588-4B0BF62D5D4C}">
            <xm:f>'Tabelas AUX'!$E$3</xm:f>
            <x14:dxf>
              <font>
                <color theme="5"/>
              </font>
            </x14:dxf>
          </x14:cfRule>
          <x14:cfRule type="cellIs" priority="574" operator="equal" id="{3D19F18C-71E5-441D-A712-6F58136562E4}">
            <xm:f>'Tabelas AUX'!$E$2</xm:f>
            <x14:dxf>
              <font>
                <color rgb="FFC00000"/>
              </font>
            </x14:dxf>
          </x14:cfRule>
          <xm:sqref>X41</xm:sqref>
        </x14:conditionalFormatting>
        <x14:conditionalFormatting xmlns:xm="http://schemas.microsoft.com/office/excel/2006/main">
          <x14:cfRule type="cellIs" priority="601" operator="equal" id="{A8993EA4-F164-4EA9-8491-22B877AE5267}">
            <xm:f>'Tabelas AUX'!$E$5</xm:f>
            <x14:dxf>
              <font>
                <color rgb="FF00B050"/>
              </font>
            </x14:dxf>
          </x14:cfRule>
          <x14:cfRule type="cellIs" priority="602" operator="equal" id="{6E4D252B-867B-4674-9923-5741E14091A0}">
            <xm:f>'Tabelas AUX'!$E$4</xm:f>
            <x14:dxf>
              <font>
                <color rgb="FF7F7F7F"/>
              </font>
            </x14:dxf>
          </x14:cfRule>
          <x14:cfRule type="cellIs" priority="603" operator="equal" id="{8DAF1A87-AD1B-4A42-94F5-A9F5802A8240}">
            <xm:f>'Tabelas AUX'!$E$3</xm:f>
            <x14:dxf>
              <font>
                <color theme="5"/>
              </font>
            </x14:dxf>
          </x14:cfRule>
          <x14:cfRule type="cellIs" priority="604" operator="equal" id="{0BBDA0CE-10A7-47A3-AA3A-7B72CA4CF0DC}">
            <xm:f>'Tabelas AUX'!$E$2</xm:f>
            <x14:dxf>
              <font>
                <color rgb="FFC00000"/>
              </font>
            </x14:dxf>
          </x14:cfRule>
          <xm:sqref>T93:T111 T72:T77 T70 T58:T65</xm:sqref>
        </x14:conditionalFormatting>
        <x14:conditionalFormatting xmlns:xm="http://schemas.microsoft.com/office/excel/2006/main">
          <x14:cfRule type="cellIs" priority="626" operator="equal" id="{A2A5E921-4413-4205-9CF5-F0EE0A7224A8}">
            <xm:f>'Tabelas AUX'!$E$5</xm:f>
            <x14:dxf>
              <font>
                <color rgb="FF00B050"/>
              </font>
            </x14:dxf>
          </x14:cfRule>
          <x14:cfRule type="cellIs" priority="627" operator="equal" id="{F952D81A-45C0-4DBE-A76B-444B95C73DD0}">
            <xm:f>'Tabelas AUX'!$E$4</xm:f>
            <x14:dxf>
              <font>
                <color rgb="FF7F7F7F"/>
              </font>
            </x14:dxf>
          </x14:cfRule>
          <x14:cfRule type="cellIs" priority="628" operator="equal" id="{4888B131-72B2-40F1-A07F-6A66400BA671}">
            <xm:f>'Tabelas AUX'!$E$3</xm:f>
            <x14:dxf>
              <font>
                <color theme="5"/>
              </font>
            </x14:dxf>
          </x14:cfRule>
          <x14:cfRule type="cellIs" priority="629" operator="equal" id="{3908CA3C-0375-4109-AF30-212D2E3D5218}">
            <xm:f>'Tabelas AUX'!$E$2</xm:f>
            <x14:dxf>
              <font>
                <color rgb="FFC00000"/>
              </font>
            </x14:dxf>
          </x14:cfRule>
          <xm:sqref>T78:T88 T66 T54:T56 T13:T47</xm:sqref>
        </x14:conditionalFormatting>
        <x14:conditionalFormatting xmlns:xm="http://schemas.microsoft.com/office/excel/2006/main">
          <x14:cfRule type="cellIs" priority="621" operator="equal" id="{C828B245-BC1F-4A2A-BB98-5CEB12336F73}">
            <xm:f>'Tabelas AUX'!$E$5</xm:f>
            <x14:dxf>
              <font>
                <color rgb="FF00B050"/>
              </font>
            </x14:dxf>
          </x14:cfRule>
          <x14:cfRule type="cellIs" priority="622" operator="equal" id="{8B638D74-E706-42B8-8A93-6FC1A0D67A8B}">
            <xm:f>'Tabelas AUX'!$E$4</xm:f>
            <x14:dxf>
              <font>
                <color rgb="FF7F7F7F"/>
              </font>
            </x14:dxf>
          </x14:cfRule>
          <x14:cfRule type="cellIs" priority="623" operator="equal" id="{288B938D-223D-4E3F-AE27-6781E3006047}">
            <xm:f>'Tabelas AUX'!$E$3</xm:f>
            <x14:dxf>
              <font>
                <color theme="5"/>
              </font>
            </x14:dxf>
          </x14:cfRule>
          <x14:cfRule type="cellIs" priority="624" operator="equal" id="{1214A4F6-FFFF-4E8C-A312-0C1A759A229C}">
            <xm:f>'Tabelas AUX'!$E$2</xm:f>
            <x14:dxf>
              <font>
                <color rgb="FFC00000"/>
              </font>
            </x14:dxf>
          </x14:cfRule>
          <xm:sqref>T48</xm:sqref>
        </x14:conditionalFormatting>
        <x14:conditionalFormatting xmlns:xm="http://schemas.microsoft.com/office/excel/2006/main">
          <x14:cfRule type="cellIs" priority="611" operator="equal" id="{8042C6CD-38B2-42C9-A670-E66135C27AF7}">
            <xm:f>'Tabelas AUX'!$E$5</xm:f>
            <x14:dxf>
              <font>
                <color rgb="FF00B050"/>
              </font>
            </x14:dxf>
          </x14:cfRule>
          <x14:cfRule type="cellIs" priority="612" operator="equal" id="{3E8822CB-CE54-4938-841C-5D31D8B124F1}">
            <xm:f>'Tabelas AUX'!$E$4</xm:f>
            <x14:dxf>
              <font>
                <color rgb="FF7F7F7F"/>
              </font>
            </x14:dxf>
          </x14:cfRule>
          <x14:cfRule type="cellIs" priority="613" operator="equal" id="{106400A6-F1C4-4A53-8AE7-53F5D95074ED}">
            <xm:f>'Tabelas AUX'!$E$3</xm:f>
            <x14:dxf>
              <font>
                <color theme="5"/>
              </font>
            </x14:dxf>
          </x14:cfRule>
          <x14:cfRule type="cellIs" priority="614" operator="equal" id="{32441251-174E-4154-B5AA-199B81A14788}">
            <xm:f>'Tabelas AUX'!$E$2</xm:f>
            <x14:dxf>
              <font>
                <color rgb="FFC00000"/>
              </font>
            </x14:dxf>
          </x14:cfRule>
          <xm:sqref>T92</xm:sqref>
        </x14:conditionalFormatting>
        <x14:conditionalFormatting xmlns:xm="http://schemas.microsoft.com/office/excel/2006/main">
          <x14:cfRule type="cellIs" priority="606" operator="equal" id="{3DC2CBB6-1D87-413A-A071-26EA5577A315}">
            <xm:f>'Tabelas AUX'!$E$5</xm:f>
            <x14:dxf>
              <font>
                <color rgb="FF00B050"/>
              </font>
            </x14:dxf>
          </x14:cfRule>
          <x14:cfRule type="cellIs" priority="607" operator="equal" id="{128A76E7-FAFE-4EDB-8EB4-A1432F3D8D9C}">
            <xm:f>'Tabelas AUX'!$E$4</xm:f>
            <x14:dxf>
              <font>
                <color rgb="FF7F7F7F"/>
              </font>
            </x14:dxf>
          </x14:cfRule>
          <x14:cfRule type="cellIs" priority="608" operator="equal" id="{FA7C3336-C207-4142-B593-2695BD0D42BF}">
            <xm:f>'Tabelas AUX'!$E$3</xm:f>
            <x14:dxf>
              <font>
                <color theme="5"/>
              </font>
            </x14:dxf>
          </x14:cfRule>
          <x14:cfRule type="cellIs" priority="609" operator="equal" id="{92D80A44-7296-425D-A889-14D4752085A0}">
            <xm:f>'Tabelas AUX'!$E$2</xm:f>
            <x14:dxf>
              <font>
                <color rgb="FFC00000"/>
              </font>
            </x14:dxf>
          </x14:cfRule>
          <xm:sqref>T57</xm:sqref>
        </x14:conditionalFormatting>
        <x14:conditionalFormatting xmlns:xm="http://schemas.microsoft.com/office/excel/2006/main">
          <x14:cfRule type="cellIs" priority="591" operator="equal" id="{FCF7D8FA-5193-4411-A467-6DC3FD220D20}">
            <xm:f>'Tabelas AUX'!$E$5</xm:f>
            <x14:dxf>
              <font>
                <color rgb="FF00B050"/>
              </font>
            </x14:dxf>
          </x14:cfRule>
          <x14:cfRule type="cellIs" priority="592" operator="equal" id="{94E96039-2813-485D-B350-C094B33711EA}">
            <xm:f>'Tabelas AUX'!$E$4</xm:f>
            <x14:dxf>
              <font>
                <color rgb="FF7F7F7F"/>
              </font>
            </x14:dxf>
          </x14:cfRule>
          <x14:cfRule type="cellIs" priority="593" operator="equal" id="{167C6B0F-E63A-48A4-9551-4552DCB88ECD}">
            <xm:f>'Tabelas AUX'!$E$3</xm:f>
            <x14:dxf>
              <font>
                <color theme="5"/>
              </font>
            </x14:dxf>
          </x14:cfRule>
          <x14:cfRule type="cellIs" priority="594" operator="equal" id="{079B6D29-B22B-42E6-9403-DE8A9BE0D652}">
            <xm:f>'Tabelas AUX'!$E$2</xm:f>
            <x14:dxf>
              <font>
                <color rgb="FFC00000"/>
              </font>
            </x14:dxf>
          </x14:cfRule>
          <xm:sqref>X66 X54 X46 X39:X40 X56</xm:sqref>
        </x14:conditionalFormatting>
        <x14:conditionalFormatting xmlns:xm="http://schemas.microsoft.com/office/excel/2006/main">
          <x14:cfRule type="cellIs" priority="586" operator="equal" id="{298FD422-23F7-4D95-AB37-4165E2DB8B10}">
            <xm:f>'Tabelas AUX'!$E$5</xm:f>
            <x14:dxf>
              <font>
                <color rgb="FF00B050"/>
              </font>
            </x14:dxf>
          </x14:cfRule>
          <x14:cfRule type="cellIs" priority="587" operator="equal" id="{1BF2C1F2-9552-447D-B057-6D618AFDD2FF}">
            <xm:f>'Tabelas AUX'!$E$4</xm:f>
            <x14:dxf>
              <font>
                <color rgb="FF7F7F7F"/>
              </font>
            </x14:dxf>
          </x14:cfRule>
          <x14:cfRule type="cellIs" priority="588" operator="equal" id="{89CAC02F-0B26-4093-895B-8FD7E227EF70}">
            <xm:f>'Tabelas AUX'!$E$3</xm:f>
            <x14:dxf>
              <font>
                <color theme="5"/>
              </font>
            </x14:dxf>
          </x14:cfRule>
          <x14:cfRule type="cellIs" priority="589" operator="equal" id="{A6FE1FFC-DD8E-46C4-AEEC-E022FA52A3EF}">
            <xm:f>'Tabelas AUX'!$E$2</xm:f>
            <x14:dxf>
              <font>
                <color rgb="FFC00000"/>
              </font>
            </x14:dxf>
          </x14:cfRule>
          <xm:sqref>X78</xm:sqref>
        </x14:conditionalFormatting>
        <x14:conditionalFormatting xmlns:xm="http://schemas.microsoft.com/office/excel/2006/main">
          <x14:cfRule type="cellIs" priority="581" operator="equal" id="{55E5C45A-B7FE-4333-9B0A-56FDD04B9A31}">
            <xm:f>'Tabelas AUX'!$E$5</xm:f>
            <x14:dxf>
              <font>
                <color rgb="FF00B050"/>
              </font>
            </x14:dxf>
          </x14:cfRule>
          <x14:cfRule type="cellIs" priority="582" operator="equal" id="{47F2707F-FE81-4EE2-9170-E0AB7C4593DE}">
            <xm:f>'Tabelas AUX'!$E$4</xm:f>
            <x14:dxf>
              <font>
                <color rgb="FF7F7F7F"/>
              </font>
            </x14:dxf>
          </x14:cfRule>
          <x14:cfRule type="cellIs" priority="583" operator="equal" id="{636B628A-3D62-4788-8E97-A0C78BD57BDA}">
            <xm:f>'Tabelas AUX'!$E$3</xm:f>
            <x14:dxf>
              <font>
                <color theme="5"/>
              </font>
            </x14:dxf>
          </x14:cfRule>
          <x14:cfRule type="cellIs" priority="584" operator="equal" id="{DC447DE1-4A3C-41F6-9E5A-8C80E757B157}">
            <xm:f>'Tabelas AUX'!$E$2</xm:f>
            <x14:dxf>
              <font>
                <color rgb="FFC00000"/>
              </font>
            </x14:dxf>
          </x14:cfRule>
          <xm:sqref>X79:X83</xm:sqref>
        </x14:conditionalFormatting>
        <x14:conditionalFormatting xmlns:xm="http://schemas.microsoft.com/office/excel/2006/main">
          <x14:cfRule type="cellIs" priority="571" operator="equal" id="{F91EE4DB-F356-48FA-B9F0-BB159F6B8B39}">
            <xm:f>'Tabelas AUX'!$E$5</xm:f>
            <x14:dxf>
              <font>
                <color rgb="FF00B050"/>
              </font>
            </x14:dxf>
          </x14:cfRule>
          <xm:sqref>X41</xm:sqref>
        </x14:conditionalFormatting>
        <x14:conditionalFormatting xmlns:xm="http://schemas.microsoft.com/office/excel/2006/main">
          <x14:cfRule type="cellIs" priority="570" operator="equal" id="{75DDC016-A7B5-4A05-8BAA-E602E909E240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m:sqref>X41</xm:sqref>
        </x14:conditionalFormatting>
        <x14:conditionalFormatting xmlns:xm="http://schemas.microsoft.com/office/excel/2006/main">
          <x14:cfRule type="cellIs" priority="569" operator="equal" id="{07992134-2A3A-45E7-92CC-E2DD779036DE}">
            <xm:f>'Tabelas AUX'!$E$8</xm:f>
            <x14:dxf>
              <font>
                <color theme="8"/>
              </font>
            </x14:dxf>
          </x14:cfRule>
          <xm:sqref>X41</xm:sqref>
        </x14:conditionalFormatting>
        <x14:conditionalFormatting xmlns:xm="http://schemas.microsoft.com/office/excel/2006/main">
          <x14:cfRule type="cellIs" priority="558" operator="equal" id="{B56FDB87-3FDB-47C3-8E26-9FE16075DEE0}">
            <xm:f>'Tabelas AUX'!$E$8</xm:f>
            <x14:dxf>
              <font>
                <color theme="8"/>
              </font>
            </x14:dxf>
          </x14:cfRule>
          <x14:cfRule type="cellIs" priority="559" operator="equal" id="{D9A21467-43C6-4EA4-BCC9-5A6D210B4186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m:sqref>X48</xm:sqref>
        </x14:conditionalFormatting>
        <x14:conditionalFormatting xmlns:xm="http://schemas.microsoft.com/office/excel/2006/main">
          <x14:cfRule type="cellIs" priority="560" operator="equal" id="{F9A7DF9C-DD7C-4706-99D8-47E52926F851}">
            <xm:f>'Tabelas AUX'!$E$5</xm:f>
            <x14:dxf>
              <font>
                <color rgb="FF00B050"/>
              </font>
            </x14:dxf>
          </x14:cfRule>
          <x14:cfRule type="cellIs" priority="561" operator="equal" id="{B051601D-ED21-4C30-BE68-9F093FC417ED}">
            <xm:f>'Tabelas AUX'!$E$4</xm:f>
            <x14:dxf>
              <font>
                <color rgb="FF7F7F7F"/>
              </font>
            </x14:dxf>
          </x14:cfRule>
          <x14:cfRule type="cellIs" priority="562" operator="equal" id="{C1185119-279C-4CFE-BD95-D63E7EF5790A}">
            <xm:f>'Tabelas AUX'!$E$3</xm:f>
            <x14:dxf>
              <font>
                <color theme="5"/>
              </font>
            </x14:dxf>
          </x14:cfRule>
          <x14:cfRule type="cellIs" priority="563" operator="equal" id="{0E17BC38-8CEA-4D8C-9624-56668EF72C0D}">
            <xm:f>'Tabelas AUX'!$E$2</xm:f>
            <x14:dxf>
              <font>
                <color rgb="FFC00000"/>
              </font>
            </x14:dxf>
          </x14:cfRule>
          <xm:sqref>X48</xm:sqref>
        </x14:conditionalFormatting>
        <x14:conditionalFormatting xmlns:xm="http://schemas.microsoft.com/office/excel/2006/main">
          <x14:cfRule type="cellIs" priority="552" operator="equal" id="{0858CC0B-BBB4-4FE6-B24E-E08ABD8E0D24}">
            <xm:f>'Tabelas AUX'!$E$8</xm:f>
            <x14:dxf>
              <font>
                <color theme="8"/>
              </font>
            </x14:dxf>
          </x14:cfRule>
          <x14:cfRule type="cellIs" priority="553" operator="equal" id="{EBAE2CC5-693B-4185-8581-A86F957DE2D0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m:sqref>X89:X111 X67:X77 X57:X65 X49:X53</xm:sqref>
        </x14:conditionalFormatting>
        <x14:conditionalFormatting xmlns:xm="http://schemas.microsoft.com/office/excel/2006/main">
          <x14:cfRule type="cellIs" priority="554" operator="equal" id="{C05ACC2A-06C6-424E-95BF-34DF1BB8D646}">
            <xm:f>'Tabelas AUX'!$E$5</xm:f>
            <x14:dxf>
              <font>
                <color rgb="FF00B050"/>
              </font>
            </x14:dxf>
          </x14:cfRule>
          <x14:cfRule type="cellIs" priority="555" operator="equal" id="{7DAC2660-44CC-4888-9C47-0AF52CCE928A}">
            <xm:f>'Tabelas AUX'!$E$4</xm:f>
            <x14:dxf>
              <font>
                <color rgb="FF7F7F7F"/>
              </font>
            </x14:dxf>
          </x14:cfRule>
          <x14:cfRule type="cellIs" priority="556" operator="equal" id="{A21CFC37-352D-47E6-ABC3-4B35B7D6F5E5}">
            <xm:f>'Tabelas AUX'!$E$3</xm:f>
            <x14:dxf>
              <font>
                <color theme="5"/>
              </font>
            </x14:dxf>
          </x14:cfRule>
          <x14:cfRule type="cellIs" priority="557" operator="equal" id="{DFE71625-F61B-4215-95EE-76EA44235E94}">
            <xm:f>'Tabelas AUX'!$E$2</xm:f>
            <x14:dxf>
              <font>
                <color rgb="FFC00000"/>
              </font>
            </x14:dxf>
          </x14:cfRule>
          <xm:sqref>X89:X111 X67:X77 X57:X65 X49:X53</xm:sqref>
        </x14:conditionalFormatting>
        <x14:conditionalFormatting xmlns:xm="http://schemas.microsoft.com/office/excel/2006/main">
          <x14:cfRule type="cellIs" priority="360" operator="equal" id="{94249558-4E6A-42B2-847F-C5270D9802B5}">
            <xm:f>'Tabelas AUX'!$E$8</xm:f>
            <x14:dxf>
              <font>
                <color theme="8"/>
              </font>
            </x14:dxf>
          </x14:cfRule>
          <x14:cfRule type="cellIs" priority="361" operator="equal" id="{7595D9C0-3943-41C8-A732-D56DEC728332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362" operator="equal" id="{DAB8F5DD-5537-4835-882A-1B28A0FADD23}">
            <xm:f>'Tabelas AUX'!$E$5</xm:f>
            <x14:dxf>
              <font>
                <color rgb="FF00B050"/>
              </font>
            </x14:dxf>
          </x14:cfRule>
          <x14:cfRule type="cellIs" priority="363" operator="equal" id="{934914E2-9678-4814-9C33-F09F8D614C05}">
            <xm:f>'Tabelas AUX'!$E$4</xm:f>
            <x14:dxf>
              <font>
                <color rgb="FF7F7F7F"/>
              </font>
            </x14:dxf>
          </x14:cfRule>
          <x14:cfRule type="cellIs" priority="364" operator="equal" id="{C8B3062D-1B23-4181-90AA-3F2BED6519D5}">
            <xm:f>'Tabelas AUX'!$E$3</xm:f>
            <x14:dxf>
              <font>
                <color theme="5"/>
              </font>
            </x14:dxf>
          </x14:cfRule>
          <x14:cfRule type="cellIs" priority="365" operator="equal" id="{3D407C51-B9DA-4B9E-8869-34F08E4BD96F}">
            <xm:f>'Tabelas AUX'!$E$2</xm:f>
            <x14:dxf>
              <font>
                <color rgb="FFC00000"/>
              </font>
            </x14:dxf>
          </x14:cfRule>
          <xm:sqref>X84</xm:sqref>
        </x14:conditionalFormatting>
        <x14:conditionalFormatting xmlns:xm="http://schemas.microsoft.com/office/excel/2006/main">
          <x14:cfRule type="cellIs" priority="108" operator="equal" id="{CBC8A921-B92B-43DF-9F7A-CB322EC0727D}">
            <xm:f>'Tabelas AUX'!$E$8</xm:f>
            <x14:dxf>
              <font>
                <color theme="8"/>
              </font>
            </x14:dxf>
          </x14:cfRule>
          <x14:cfRule type="cellIs" priority="109" operator="equal" id="{05E5CA70-34B9-439D-A6E1-B0F90D95B8DC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10" operator="equal" id="{21E1D930-18EF-4E10-9680-5CE21F324CCD}">
            <xm:f>'Tabelas AUX'!$E$5</xm:f>
            <x14:dxf>
              <font>
                <color rgb="FF00B050"/>
              </font>
            </x14:dxf>
          </x14:cfRule>
          <x14:cfRule type="cellIs" priority="111" operator="equal" id="{9F65733E-786A-45D6-A402-9A43E9F74F77}">
            <xm:f>'Tabelas AUX'!$E$4</xm:f>
            <x14:dxf>
              <font>
                <color rgb="FF7F7F7F"/>
              </font>
            </x14:dxf>
          </x14:cfRule>
          <x14:cfRule type="cellIs" priority="112" operator="equal" id="{BC77F1C7-A2C1-4A50-9E7E-B77E72F6ECB1}">
            <xm:f>'Tabelas AUX'!$E$3</xm:f>
            <x14:dxf>
              <font>
                <color theme="5"/>
              </font>
            </x14:dxf>
          </x14:cfRule>
          <x14:cfRule type="cellIs" priority="113" operator="equal" id="{AC4C86B3-9F9D-45C6-AAF7-1135D9D3258A}">
            <xm:f>'Tabelas AUX'!$E$2</xm:f>
            <x14:dxf>
              <font>
                <color rgb="FFC00000"/>
              </font>
            </x14:dxf>
          </x14:cfRule>
          <xm:sqref>X27</xm:sqref>
        </x14:conditionalFormatting>
        <x14:conditionalFormatting xmlns:xm="http://schemas.microsoft.com/office/excel/2006/main">
          <x14:cfRule type="cellIs" priority="192" operator="equal" id="{8DF2B870-EC13-4FF8-A1B9-3F57EA60C0C6}">
            <xm:f>'Tabelas AUX'!$E$8</xm:f>
            <x14:dxf>
              <font>
                <color theme="8"/>
              </font>
            </x14:dxf>
          </x14:cfRule>
          <x14:cfRule type="cellIs" priority="193" operator="equal" id="{05F35480-CA42-43D5-936E-1D31B28EAFA8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94" operator="equal" id="{542A953C-880B-4E83-A78D-C14992445AA3}">
            <xm:f>'Tabelas AUX'!$E$5</xm:f>
            <x14:dxf>
              <font>
                <color rgb="FF00B050"/>
              </font>
            </x14:dxf>
          </x14:cfRule>
          <x14:cfRule type="cellIs" priority="195" operator="equal" id="{0D30BFEE-21F9-4DFC-B771-46BDDFF137FD}">
            <xm:f>'Tabelas AUX'!$E$4</xm:f>
            <x14:dxf>
              <font>
                <color rgb="FF7F7F7F"/>
              </font>
            </x14:dxf>
          </x14:cfRule>
          <x14:cfRule type="cellIs" priority="196" operator="equal" id="{600DEF38-F1C6-466C-949E-AD7BB831C584}">
            <xm:f>'Tabelas AUX'!$E$3</xm:f>
            <x14:dxf>
              <font>
                <color theme="5"/>
              </font>
            </x14:dxf>
          </x14:cfRule>
          <x14:cfRule type="cellIs" priority="197" operator="equal" id="{33724491-8C57-4643-8FA9-8764CF247522}">
            <xm:f>'Tabelas AUX'!$E$2</xm:f>
            <x14:dxf>
              <font>
                <color rgb="FFC00000"/>
              </font>
            </x14:dxf>
          </x14:cfRule>
          <xm:sqref>X17</xm:sqref>
        </x14:conditionalFormatting>
        <x14:conditionalFormatting xmlns:xm="http://schemas.microsoft.com/office/excel/2006/main">
          <x14:cfRule type="cellIs" priority="174" operator="equal" id="{094D9C17-35E7-4A6B-A00E-2ADBFCC34644}">
            <xm:f>'Tabelas AUX'!$E$8</xm:f>
            <x14:dxf>
              <font>
                <color theme="8"/>
              </font>
            </x14:dxf>
          </x14:cfRule>
          <x14:cfRule type="cellIs" priority="175" operator="equal" id="{610CDCFD-609B-4C83-8EDE-63E2E6EFF2A0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76" operator="equal" id="{DA8C4DBD-F7B0-4A09-83F5-41D8F05E4AE2}">
            <xm:f>'Tabelas AUX'!$E$5</xm:f>
            <x14:dxf>
              <font>
                <color rgb="FF00B050"/>
              </font>
            </x14:dxf>
          </x14:cfRule>
          <x14:cfRule type="cellIs" priority="177" operator="equal" id="{3B80883D-A0B7-41E0-8D50-FA1A645A668E}">
            <xm:f>'Tabelas AUX'!$E$4</xm:f>
            <x14:dxf>
              <font>
                <color rgb="FF7F7F7F"/>
              </font>
            </x14:dxf>
          </x14:cfRule>
          <x14:cfRule type="cellIs" priority="178" operator="equal" id="{A324C8F3-12F0-4DE8-917E-CDBE305608A5}">
            <xm:f>'Tabelas AUX'!$E$3</xm:f>
            <x14:dxf>
              <font>
                <color theme="5"/>
              </font>
            </x14:dxf>
          </x14:cfRule>
          <x14:cfRule type="cellIs" priority="179" operator="equal" id="{C56B6873-A1C2-497E-B109-426D4D03394F}">
            <xm:f>'Tabelas AUX'!$E$2</xm:f>
            <x14:dxf>
              <font>
                <color rgb="FFC00000"/>
              </font>
            </x14:dxf>
          </x14:cfRule>
          <xm:sqref>X15</xm:sqref>
        </x14:conditionalFormatting>
        <x14:conditionalFormatting xmlns:xm="http://schemas.microsoft.com/office/excel/2006/main">
          <x14:cfRule type="cellIs" priority="168" operator="equal" id="{D8D9A8D1-CC55-4CD3-8B91-6EF8E5A2ACE8}">
            <xm:f>'Tabelas AUX'!$E$8</xm:f>
            <x14:dxf>
              <font>
                <color theme="8"/>
              </font>
            </x14:dxf>
          </x14:cfRule>
          <x14:cfRule type="cellIs" priority="169" operator="equal" id="{36FA0C8E-2833-4F46-A644-CAFCA132143E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70" operator="equal" id="{C28491BB-33D9-45A0-B851-0FA6F102A0A2}">
            <xm:f>'Tabelas AUX'!$E$5</xm:f>
            <x14:dxf>
              <font>
                <color rgb="FF00B050"/>
              </font>
            </x14:dxf>
          </x14:cfRule>
          <x14:cfRule type="cellIs" priority="171" operator="equal" id="{553F6739-5711-4FB0-BE71-7A96870BA6AA}">
            <xm:f>'Tabelas AUX'!$E$4</xm:f>
            <x14:dxf>
              <font>
                <color rgb="FF7F7F7F"/>
              </font>
            </x14:dxf>
          </x14:cfRule>
          <x14:cfRule type="cellIs" priority="172" operator="equal" id="{B777A543-F99F-4FDA-B835-96BFB0F47DDA}">
            <xm:f>'Tabelas AUX'!$E$3</xm:f>
            <x14:dxf>
              <font>
                <color theme="5"/>
              </font>
            </x14:dxf>
          </x14:cfRule>
          <x14:cfRule type="cellIs" priority="173" operator="equal" id="{7B8F8B50-FEA5-4CA5-8D5B-65D244F76BD8}">
            <xm:f>'Tabelas AUX'!$E$2</xm:f>
            <x14:dxf>
              <font>
                <color rgb="FFC00000"/>
              </font>
            </x14:dxf>
          </x14:cfRule>
          <xm:sqref>X16</xm:sqref>
        </x14:conditionalFormatting>
        <x14:conditionalFormatting xmlns:xm="http://schemas.microsoft.com/office/excel/2006/main">
          <x14:cfRule type="cellIs" priority="162" operator="equal" id="{62DC521A-601F-411E-8873-B942928242DA}">
            <xm:f>'Tabelas AUX'!$E$8</xm:f>
            <x14:dxf>
              <font>
                <color theme="8"/>
              </font>
            </x14:dxf>
          </x14:cfRule>
          <x14:cfRule type="cellIs" priority="163" operator="equal" id="{6DC31D74-F26D-4B0C-9EEA-7C6612210820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64" operator="equal" id="{D7AF3713-DF46-4542-AE2B-BD56F9FAEDAA}">
            <xm:f>'Tabelas AUX'!$E$5</xm:f>
            <x14:dxf>
              <font>
                <color rgb="FF00B050"/>
              </font>
            </x14:dxf>
          </x14:cfRule>
          <x14:cfRule type="cellIs" priority="165" operator="equal" id="{3D25A60F-B45C-439C-A6D9-3918B8C73042}">
            <xm:f>'Tabelas AUX'!$E$4</xm:f>
            <x14:dxf>
              <font>
                <color rgb="FF7F7F7F"/>
              </font>
            </x14:dxf>
          </x14:cfRule>
          <x14:cfRule type="cellIs" priority="166" operator="equal" id="{D6A33F07-BF7E-4498-AC24-214CF689B9AB}">
            <xm:f>'Tabelas AUX'!$E$3</xm:f>
            <x14:dxf>
              <font>
                <color theme="5"/>
              </font>
            </x14:dxf>
          </x14:cfRule>
          <x14:cfRule type="cellIs" priority="167" operator="equal" id="{91AE83BC-B348-4A8D-AB76-16D9B768895B}">
            <xm:f>'Tabelas AUX'!$E$2</xm:f>
            <x14:dxf>
              <font>
                <color rgb="FFC00000"/>
              </font>
            </x14:dxf>
          </x14:cfRule>
          <xm:sqref>X18</xm:sqref>
        </x14:conditionalFormatting>
        <x14:conditionalFormatting xmlns:xm="http://schemas.microsoft.com/office/excel/2006/main">
          <x14:cfRule type="cellIs" priority="156" operator="equal" id="{C8560CF4-1A68-4804-B28A-3C9F8E34C060}">
            <xm:f>'Tabelas AUX'!$E$8</xm:f>
            <x14:dxf>
              <font>
                <color theme="8"/>
              </font>
            </x14:dxf>
          </x14:cfRule>
          <x14:cfRule type="cellIs" priority="157" operator="equal" id="{BA77F10B-8140-4F3A-9064-1198921617C6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58" operator="equal" id="{D40CDB08-B9B7-4765-9597-A27D9B164D7E}">
            <xm:f>'Tabelas AUX'!$E$5</xm:f>
            <x14:dxf>
              <font>
                <color rgb="FF00B050"/>
              </font>
            </x14:dxf>
          </x14:cfRule>
          <x14:cfRule type="cellIs" priority="159" operator="equal" id="{AB5E1FE2-23B5-4608-9628-4D81A6F97339}">
            <xm:f>'Tabelas AUX'!$E$4</xm:f>
            <x14:dxf>
              <font>
                <color rgb="FF7F7F7F"/>
              </font>
            </x14:dxf>
          </x14:cfRule>
          <x14:cfRule type="cellIs" priority="160" operator="equal" id="{710DA118-D35D-4E0F-A5AC-7DD042873230}">
            <xm:f>'Tabelas AUX'!$E$3</xm:f>
            <x14:dxf>
              <font>
                <color theme="5"/>
              </font>
            </x14:dxf>
          </x14:cfRule>
          <x14:cfRule type="cellIs" priority="161" operator="equal" id="{8B8C35DA-0096-47ED-9EE6-D7F22F558D79}">
            <xm:f>'Tabelas AUX'!$E$2</xm:f>
            <x14:dxf>
              <font>
                <color rgb="FFC00000"/>
              </font>
            </x14:dxf>
          </x14:cfRule>
          <xm:sqref>X19</xm:sqref>
        </x14:conditionalFormatting>
        <x14:conditionalFormatting xmlns:xm="http://schemas.microsoft.com/office/excel/2006/main">
          <x14:cfRule type="cellIs" priority="150" operator="equal" id="{E984128E-7279-43C2-A0E3-0A33A71E78BE}">
            <xm:f>'Tabelas AUX'!$E$8</xm:f>
            <x14:dxf>
              <font>
                <color theme="8"/>
              </font>
            </x14:dxf>
          </x14:cfRule>
          <x14:cfRule type="cellIs" priority="151" operator="equal" id="{94553A6E-FAFE-45AF-8124-4CF95E76566C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52" operator="equal" id="{4608A8C6-9748-4B0D-BE48-96049B785397}">
            <xm:f>'Tabelas AUX'!$E$5</xm:f>
            <x14:dxf>
              <font>
                <color rgb="FF00B050"/>
              </font>
            </x14:dxf>
          </x14:cfRule>
          <x14:cfRule type="cellIs" priority="153" operator="equal" id="{760BCB38-29E2-437D-B0B8-DE4EE32242E5}">
            <xm:f>'Tabelas AUX'!$E$4</xm:f>
            <x14:dxf>
              <font>
                <color rgb="FF7F7F7F"/>
              </font>
            </x14:dxf>
          </x14:cfRule>
          <x14:cfRule type="cellIs" priority="154" operator="equal" id="{8D85D0F2-6B88-4949-8973-EEBF7D350DE0}">
            <xm:f>'Tabelas AUX'!$E$3</xm:f>
            <x14:dxf>
              <font>
                <color theme="5"/>
              </font>
            </x14:dxf>
          </x14:cfRule>
          <x14:cfRule type="cellIs" priority="155" operator="equal" id="{913D0729-B6ED-4038-BBCA-8B29982D56AF}">
            <xm:f>'Tabelas AUX'!$E$2</xm:f>
            <x14:dxf>
              <font>
                <color rgb="FFC00000"/>
              </font>
            </x14:dxf>
          </x14:cfRule>
          <xm:sqref>X20</xm:sqref>
        </x14:conditionalFormatting>
        <x14:conditionalFormatting xmlns:xm="http://schemas.microsoft.com/office/excel/2006/main">
          <x14:cfRule type="cellIs" priority="144" operator="equal" id="{8C7BB154-F626-4007-B27E-B08C9B5E2E08}">
            <xm:f>'Tabelas AUX'!$E$8</xm:f>
            <x14:dxf>
              <font>
                <color theme="8"/>
              </font>
            </x14:dxf>
          </x14:cfRule>
          <x14:cfRule type="cellIs" priority="145" operator="equal" id="{33B1CC6A-C664-4448-B97A-B0D9C67FDDF2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46" operator="equal" id="{30FD8DF1-FBBC-432D-95F5-69DD5725FFE2}">
            <xm:f>'Tabelas AUX'!$E$5</xm:f>
            <x14:dxf>
              <font>
                <color rgb="FF00B050"/>
              </font>
            </x14:dxf>
          </x14:cfRule>
          <x14:cfRule type="cellIs" priority="147" operator="equal" id="{F3BEC409-ABF5-442F-9A07-01A3B95FFEAD}">
            <xm:f>'Tabelas AUX'!$E$4</xm:f>
            <x14:dxf>
              <font>
                <color rgb="FF7F7F7F"/>
              </font>
            </x14:dxf>
          </x14:cfRule>
          <x14:cfRule type="cellIs" priority="148" operator="equal" id="{E3A9F500-1B90-4FA9-A1B1-E9D068481254}">
            <xm:f>'Tabelas AUX'!$E$3</xm:f>
            <x14:dxf>
              <font>
                <color theme="5"/>
              </font>
            </x14:dxf>
          </x14:cfRule>
          <x14:cfRule type="cellIs" priority="149" operator="equal" id="{802230FE-AAA4-4C9A-ABE9-BB4AD9D186AD}">
            <xm:f>'Tabelas AUX'!$E$2</xm:f>
            <x14:dxf>
              <font>
                <color rgb="FFC00000"/>
              </font>
            </x14:dxf>
          </x14:cfRule>
          <xm:sqref>X21</xm:sqref>
        </x14:conditionalFormatting>
        <x14:conditionalFormatting xmlns:xm="http://schemas.microsoft.com/office/excel/2006/main">
          <x14:cfRule type="cellIs" priority="138" operator="equal" id="{D32024AC-0D18-4162-9C38-95D2C874CE0F}">
            <xm:f>'Tabelas AUX'!$E$8</xm:f>
            <x14:dxf>
              <font>
                <color theme="8"/>
              </font>
            </x14:dxf>
          </x14:cfRule>
          <x14:cfRule type="cellIs" priority="139" operator="equal" id="{1DD09BB0-F7BE-4023-A3B4-314544779609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40" operator="equal" id="{66BBD84A-6E11-4C6A-B2FA-9CF562775AB7}">
            <xm:f>'Tabelas AUX'!$E$5</xm:f>
            <x14:dxf>
              <font>
                <color rgb="FF00B050"/>
              </font>
            </x14:dxf>
          </x14:cfRule>
          <x14:cfRule type="cellIs" priority="141" operator="equal" id="{588CEE87-2553-4B40-9CFA-03C321DEE9A9}">
            <xm:f>'Tabelas AUX'!$E$4</xm:f>
            <x14:dxf>
              <font>
                <color rgb="FF7F7F7F"/>
              </font>
            </x14:dxf>
          </x14:cfRule>
          <x14:cfRule type="cellIs" priority="142" operator="equal" id="{3389DFF0-EB18-4D1C-9855-7C3D836E4540}">
            <xm:f>'Tabelas AUX'!$E$3</xm:f>
            <x14:dxf>
              <font>
                <color theme="5"/>
              </font>
            </x14:dxf>
          </x14:cfRule>
          <x14:cfRule type="cellIs" priority="143" operator="equal" id="{B5EA6DF8-59CF-41CA-8374-5EAE75713678}">
            <xm:f>'Tabelas AUX'!$E$2</xm:f>
            <x14:dxf>
              <font>
                <color rgb="FFC00000"/>
              </font>
            </x14:dxf>
          </x14:cfRule>
          <xm:sqref>X22</xm:sqref>
        </x14:conditionalFormatting>
        <x14:conditionalFormatting xmlns:xm="http://schemas.microsoft.com/office/excel/2006/main">
          <x14:cfRule type="cellIs" priority="132" operator="equal" id="{95E1D001-BA11-4834-BFA2-680F834F4145}">
            <xm:f>'Tabelas AUX'!$E$8</xm:f>
            <x14:dxf>
              <font>
                <color theme="8"/>
              </font>
            </x14:dxf>
          </x14:cfRule>
          <x14:cfRule type="cellIs" priority="133" operator="equal" id="{37229AD0-0EE7-486D-98FF-4BA70C9FDE71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34" operator="equal" id="{A40BEB82-B279-40D0-B09C-C7E9B80A0765}">
            <xm:f>'Tabelas AUX'!$E$5</xm:f>
            <x14:dxf>
              <font>
                <color rgb="FF00B050"/>
              </font>
            </x14:dxf>
          </x14:cfRule>
          <x14:cfRule type="cellIs" priority="135" operator="equal" id="{ED37BB22-2EF3-4385-BFF0-6B312082E0E1}">
            <xm:f>'Tabelas AUX'!$E$4</xm:f>
            <x14:dxf>
              <font>
                <color rgb="FF7F7F7F"/>
              </font>
            </x14:dxf>
          </x14:cfRule>
          <x14:cfRule type="cellIs" priority="136" operator="equal" id="{ED96B524-4B4A-4C0D-A9B8-F879B7FD895A}">
            <xm:f>'Tabelas AUX'!$E$3</xm:f>
            <x14:dxf>
              <font>
                <color theme="5"/>
              </font>
            </x14:dxf>
          </x14:cfRule>
          <x14:cfRule type="cellIs" priority="137" operator="equal" id="{BBA02067-82CE-40ED-9379-23A458710F04}">
            <xm:f>'Tabelas AUX'!$E$2</xm:f>
            <x14:dxf>
              <font>
                <color rgb="FFC00000"/>
              </font>
            </x14:dxf>
          </x14:cfRule>
          <xm:sqref>X23</xm:sqref>
        </x14:conditionalFormatting>
        <x14:conditionalFormatting xmlns:xm="http://schemas.microsoft.com/office/excel/2006/main">
          <x14:cfRule type="cellIs" priority="126" operator="equal" id="{D23557F7-E68A-46B2-B419-4EED69067493}">
            <xm:f>'Tabelas AUX'!$E$8</xm:f>
            <x14:dxf>
              <font>
                <color theme="8"/>
              </font>
            </x14:dxf>
          </x14:cfRule>
          <x14:cfRule type="cellIs" priority="127" operator="equal" id="{72D76D32-D8AF-4815-9454-18DE2973EE58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28" operator="equal" id="{5C2D027A-1101-45CE-8E8D-A573C5A0A951}">
            <xm:f>'Tabelas AUX'!$E$5</xm:f>
            <x14:dxf>
              <font>
                <color rgb="FF00B050"/>
              </font>
            </x14:dxf>
          </x14:cfRule>
          <x14:cfRule type="cellIs" priority="129" operator="equal" id="{80410318-3B87-441E-9A77-8E0693627C8E}">
            <xm:f>'Tabelas AUX'!$E$4</xm:f>
            <x14:dxf>
              <font>
                <color rgb="FF7F7F7F"/>
              </font>
            </x14:dxf>
          </x14:cfRule>
          <x14:cfRule type="cellIs" priority="130" operator="equal" id="{1DEC0D75-D236-4F55-BAC5-4C048335B7DA}">
            <xm:f>'Tabelas AUX'!$E$3</xm:f>
            <x14:dxf>
              <font>
                <color theme="5"/>
              </font>
            </x14:dxf>
          </x14:cfRule>
          <x14:cfRule type="cellIs" priority="131" operator="equal" id="{F233C4B1-B59E-4C37-BBE6-15DD03277B3F}">
            <xm:f>'Tabelas AUX'!$E$2</xm:f>
            <x14:dxf>
              <font>
                <color rgb="FFC00000"/>
              </font>
            </x14:dxf>
          </x14:cfRule>
          <xm:sqref>X24</xm:sqref>
        </x14:conditionalFormatting>
        <x14:conditionalFormatting xmlns:xm="http://schemas.microsoft.com/office/excel/2006/main">
          <x14:cfRule type="cellIs" priority="120" operator="equal" id="{38448943-250D-4736-AB6F-5DDAB83A0EDE}">
            <xm:f>'Tabelas AUX'!$E$8</xm:f>
            <x14:dxf>
              <font>
                <color theme="8"/>
              </font>
            </x14:dxf>
          </x14:cfRule>
          <x14:cfRule type="cellIs" priority="121" operator="equal" id="{C57B5BD6-7AC4-4E21-9C81-C2FE12549543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22" operator="equal" id="{A7FDF5A5-D6DC-445D-9651-D77CD74EC4BB}">
            <xm:f>'Tabelas AUX'!$E$5</xm:f>
            <x14:dxf>
              <font>
                <color rgb="FF00B050"/>
              </font>
            </x14:dxf>
          </x14:cfRule>
          <x14:cfRule type="cellIs" priority="123" operator="equal" id="{C47128A1-4307-4F5C-9E54-D5B32C8686A8}">
            <xm:f>'Tabelas AUX'!$E$4</xm:f>
            <x14:dxf>
              <font>
                <color rgb="FF7F7F7F"/>
              </font>
            </x14:dxf>
          </x14:cfRule>
          <x14:cfRule type="cellIs" priority="124" operator="equal" id="{2A67A354-E896-4FAB-BC04-EF3B5EF7E55A}">
            <xm:f>'Tabelas AUX'!$E$3</xm:f>
            <x14:dxf>
              <font>
                <color theme="5"/>
              </font>
            </x14:dxf>
          </x14:cfRule>
          <x14:cfRule type="cellIs" priority="125" operator="equal" id="{ADC15A51-7BAC-4F23-8BEF-2DCC21F7AA72}">
            <xm:f>'Tabelas AUX'!$E$2</xm:f>
            <x14:dxf>
              <font>
                <color rgb="FFC00000"/>
              </font>
            </x14:dxf>
          </x14:cfRule>
          <xm:sqref>X25</xm:sqref>
        </x14:conditionalFormatting>
        <x14:conditionalFormatting xmlns:xm="http://schemas.microsoft.com/office/excel/2006/main">
          <x14:cfRule type="cellIs" priority="114" operator="equal" id="{D3F564F3-7774-4305-85EF-5551E6A4B9CB}">
            <xm:f>'Tabelas AUX'!$E$8</xm:f>
            <x14:dxf>
              <font>
                <color theme="8"/>
              </font>
            </x14:dxf>
          </x14:cfRule>
          <x14:cfRule type="cellIs" priority="115" operator="equal" id="{EF578A73-FC83-4D78-8084-FE8F3604E65A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16" operator="equal" id="{D343D98C-EF41-4DFF-AFE0-A95FB9E07103}">
            <xm:f>'Tabelas AUX'!$E$5</xm:f>
            <x14:dxf>
              <font>
                <color rgb="FF00B050"/>
              </font>
            </x14:dxf>
          </x14:cfRule>
          <x14:cfRule type="cellIs" priority="117" operator="equal" id="{AD196A0D-0B62-4F66-A95C-BAA75BF3C1C9}">
            <xm:f>'Tabelas AUX'!$E$4</xm:f>
            <x14:dxf>
              <font>
                <color rgb="FF7F7F7F"/>
              </font>
            </x14:dxf>
          </x14:cfRule>
          <x14:cfRule type="cellIs" priority="118" operator="equal" id="{636E7714-168E-46A0-A308-A1E55D0D2C0C}">
            <xm:f>'Tabelas AUX'!$E$3</xm:f>
            <x14:dxf>
              <font>
                <color theme="5"/>
              </font>
            </x14:dxf>
          </x14:cfRule>
          <x14:cfRule type="cellIs" priority="119" operator="equal" id="{32CD141E-356D-4528-A3F3-E2399EBEC9CE}">
            <xm:f>'Tabelas AUX'!$E$2</xm:f>
            <x14:dxf>
              <font>
                <color rgb="FFC00000"/>
              </font>
            </x14:dxf>
          </x14:cfRule>
          <xm:sqref>X26</xm:sqref>
        </x14:conditionalFormatting>
        <x14:conditionalFormatting xmlns:xm="http://schemas.microsoft.com/office/excel/2006/main">
          <x14:cfRule type="cellIs" priority="102" operator="equal" id="{04175C66-A18E-4BC5-B9C6-A4FB5D52191F}">
            <xm:f>'Tabelas AUX'!$E$8</xm:f>
            <x14:dxf>
              <font>
                <color theme="8"/>
              </font>
            </x14:dxf>
          </x14:cfRule>
          <x14:cfRule type="cellIs" priority="103" operator="equal" id="{08A8FCB2-388C-4D3F-B6D6-428BBD7A93CF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04" operator="equal" id="{D0EFA9CB-0474-42A3-9551-A51B7DA4F56B}">
            <xm:f>'Tabelas AUX'!$E$5</xm:f>
            <x14:dxf>
              <font>
                <color rgb="FF00B050"/>
              </font>
            </x14:dxf>
          </x14:cfRule>
          <x14:cfRule type="cellIs" priority="105" operator="equal" id="{0737CF30-4D36-4B30-9E90-9D159E49EA1A}">
            <xm:f>'Tabelas AUX'!$E$4</xm:f>
            <x14:dxf>
              <font>
                <color rgb="FF7F7F7F"/>
              </font>
            </x14:dxf>
          </x14:cfRule>
          <x14:cfRule type="cellIs" priority="106" operator="equal" id="{95523ED7-7A92-409D-8404-0DEBF7868099}">
            <xm:f>'Tabelas AUX'!$E$3</xm:f>
            <x14:dxf>
              <font>
                <color theme="5"/>
              </font>
            </x14:dxf>
          </x14:cfRule>
          <x14:cfRule type="cellIs" priority="107" operator="equal" id="{45EF479D-A7DC-4527-856F-80650DD1E44D}">
            <xm:f>'Tabelas AUX'!$E$2</xm:f>
            <x14:dxf>
              <font>
                <color rgb="FFC00000"/>
              </font>
            </x14:dxf>
          </x14:cfRule>
          <xm:sqref>X28:X33</xm:sqref>
        </x14:conditionalFormatting>
        <x14:conditionalFormatting xmlns:xm="http://schemas.microsoft.com/office/excel/2006/main">
          <x14:cfRule type="cellIs" priority="96" operator="equal" id="{EAE4DCAA-83BE-44AF-9675-64539F7A0817}">
            <xm:f>'Tabelas AUX'!$E$8</xm:f>
            <x14:dxf>
              <font>
                <color theme="8"/>
              </font>
            </x14:dxf>
          </x14:cfRule>
          <x14:cfRule type="cellIs" priority="97" operator="equal" id="{466239E6-E4F6-4787-B2B2-6E886716D2F2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98" operator="equal" id="{F7A1E9BB-22A2-4183-95DF-17DE8940596C}">
            <xm:f>'Tabelas AUX'!$E$5</xm:f>
            <x14:dxf>
              <font>
                <color rgb="FF00B050"/>
              </font>
            </x14:dxf>
          </x14:cfRule>
          <x14:cfRule type="cellIs" priority="99" operator="equal" id="{F5A88E23-64BA-4BB6-9B9D-4A3844E8644E}">
            <xm:f>'Tabelas AUX'!$E$4</xm:f>
            <x14:dxf>
              <font>
                <color rgb="FF7F7F7F"/>
              </font>
            </x14:dxf>
          </x14:cfRule>
          <x14:cfRule type="cellIs" priority="100" operator="equal" id="{D9935B31-944A-4975-8D94-34A1E5BFF93F}">
            <xm:f>'Tabelas AUX'!$E$3</xm:f>
            <x14:dxf>
              <font>
                <color theme="5"/>
              </font>
            </x14:dxf>
          </x14:cfRule>
          <x14:cfRule type="cellIs" priority="101" operator="equal" id="{888D4E2A-D87C-451B-87B0-E8F513295D46}">
            <xm:f>'Tabelas AUX'!$E$2</xm:f>
            <x14:dxf>
              <font>
                <color rgb="FFC00000"/>
              </font>
            </x14:dxf>
          </x14:cfRule>
          <xm:sqref>X34</xm:sqref>
        </x14:conditionalFormatting>
        <x14:conditionalFormatting xmlns:xm="http://schemas.microsoft.com/office/excel/2006/main">
          <x14:cfRule type="cellIs" priority="90" operator="equal" id="{C6FDF8D6-CF6C-487D-ADD8-B9F11E779432}">
            <xm:f>'Tabelas AUX'!$E$8</xm:f>
            <x14:dxf>
              <font>
                <color theme="8"/>
              </font>
            </x14:dxf>
          </x14:cfRule>
          <x14:cfRule type="cellIs" priority="91" operator="equal" id="{210B3CFA-474E-455F-A629-BEEAB5684724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92" operator="equal" id="{B66C97A2-54BB-450C-B8F8-0CDA643FC1BB}">
            <xm:f>'Tabelas AUX'!$E$5</xm:f>
            <x14:dxf>
              <font>
                <color rgb="FF00B050"/>
              </font>
            </x14:dxf>
          </x14:cfRule>
          <x14:cfRule type="cellIs" priority="93" operator="equal" id="{8AAFC25D-6A0E-4ECF-ADAB-04D09ABF6E12}">
            <xm:f>'Tabelas AUX'!$E$4</xm:f>
            <x14:dxf>
              <font>
                <color rgb="FF7F7F7F"/>
              </font>
            </x14:dxf>
          </x14:cfRule>
          <x14:cfRule type="cellIs" priority="94" operator="equal" id="{E3174120-71B2-4190-A7B4-F550C33C55AF}">
            <xm:f>'Tabelas AUX'!$E$3</xm:f>
            <x14:dxf>
              <font>
                <color theme="5"/>
              </font>
            </x14:dxf>
          </x14:cfRule>
          <x14:cfRule type="cellIs" priority="95" operator="equal" id="{474821DC-FAAB-4409-9BC2-CCD183CF4E2B}">
            <xm:f>'Tabelas AUX'!$E$2</xm:f>
            <x14:dxf>
              <font>
                <color rgb="FFC00000"/>
              </font>
            </x14:dxf>
          </x14:cfRule>
          <xm:sqref>X35</xm:sqref>
        </x14:conditionalFormatting>
        <x14:conditionalFormatting xmlns:xm="http://schemas.microsoft.com/office/excel/2006/main">
          <x14:cfRule type="cellIs" priority="84" operator="equal" id="{55E12BEA-C701-4C13-8DCE-13A5BCB4B757}">
            <xm:f>'Tabelas AUX'!$E$8</xm:f>
            <x14:dxf>
              <font>
                <color theme="8"/>
              </font>
            </x14:dxf>
          </x14:cfRule>
          <x14:cfRule type="cellIs" priority="85" operator="equal" id="{779CE29A-037E-4776-98F5-BB9FA22653C9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86" operator="equal" id="{48214C26-6ABB-4072-9131-DFDE1B765871}">
            <xm:f>'Tabelas AUX'!$E$5</xm:f>
            <x14:dxf>
              <font>
                <color rgb="FF00B050"/>
              </font>
            </x14:dxf>
          </x14:cfRule>
          <x14:cfRule type="cellIs" priority="87" operator="equal" id="{CB53D4A2-C900-4E09-A2E5-5DC9D7E643C9}">
            <xm:f>'Tabelas AUX'!$E$4</xm:f>
            <x14:dxf>
              <font>
                <color rgb="FF7F7F7F"/>
              </font>
            </x14:dxf>
          </x14:cfRule>
          <x14:cfRule type="cellIs" priority="88" operator="equal" id="{A426339F-7A3B-4388-B9D7-0302B5BF8BD7}">
            <xm:f>'Tabelas AUX'!$E$3</xm:f>
            <x14:dxf>
              <font>
                <color theme="5"/>
              </font>
            </x14:dxf>
          </x14:cfRule>
          <x14:cfRule type="cellIs" priority="89" operator="equal" id="{4D560A70-9E12-48BE-94BF-9E60BFED1417}">
            <xm:f>'Tabelas AUX'!$E$2</xm:f>
            <x14:dxf>
              <font>
                <color rgb="FFC00000"/>
              </font>
            </x14:dxf>
          </x14:cfRule>
          <xm:sqref>X36</xm:sqref>
        </x14:conditionalFormatting>
        <x14:conditionalFormatting xmlns:xm="http://schemas.microsoft.com/office/excel/2006/main">
          <x14:cfRule type="cellIs" priority="80" operator="equal" id="{BFA3B6C6-4B16-4568-8F8F-C9621843338E}">
            <xm:f>'Tabelas AUX'!$E$5</xm:f>
            <x14:dxf>
              <font>
                <color rgb="FF00B050"/>
              </font>
            </x14:dxf>
          </x14:cfRule>
          <x14:cfRule type="cellIs" priority="81" operator="equal" id="{899229EA-FBE4-4C73-AC04-DE21FD4A3D40}">
            <xm:f>'Tabelas AUX'!$E$4</xm:f>
            <x14:dxf>
              <font>
                <color rgb="FF7F7F7F"/>
              </font>
            </x14:dxf>
          </x14:cfRule>
          <x14:cfRule type="cellIs" priority="82" operator="equal" id="{43EF1294-B59E-428B-B132-C1E46FF7FC24}">
            <xm:f>'Tabelas AUX'!$E$3</xm:f>
            <x14:dxf>
              <font>
                <color theme="5"/>
              </font>
            </x14:dxf>
          </x14:cfRule>
          <x14:cfRule type="cellIs" priority="83" operator="equal" id="{459C7876-071C-4159-BA6E-F9058DDB18C5}">
            <xm:f>'Tabelas AUX'!$E$2</xm:f>
            <x14:dxf>
              <font>
                <color rgb="FFC00000"/>
              </font>
            </x14:dxf>
          </x14:cfRule>
          <xm:sqref>T49:T53 T67:T69 T71 T89:T91</xm:sqref>
        </x14:conditionalFormatting>
        <x14:conditionalFormatting xmlns:xm="http://schemas.microsoft.com/office/excel/2006/main">
          <x14:cfRule type="cellIs" priority="73" operator="equal" id="{88AACCED-E6A0-4BE3-B22E-A6ED5618E130}">
            <xm:f>'Tabelas AUX'!$E$8</xm:f>
            <x14:dxf>
              <font>
                <color theme="8"/>
              </font>
            </x14:dxf>
          </x14:cfRule>
          <x14:cfRule type="cellIs" priority="74" operator="equal" id="{684865BB-596A-4A97-9838-AAB64832CCF1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75" operator="equal" id="{341A732F-59D3-4E0D-AB12-7DB06B78C095}">
            <xm:f>'Tabelas AUX'!$E$5</xm:f>
            <x14:dxf>
              <font>
                <color rgb="FF00B050"/>
              </font>
            </x14:dxf>
          </x14:cfRule>
          <x14:cfRule type="cellIs" priority="76" operator="equal" id="{F7DEC374-E95D-43D8-88B0-E1D68F4D651C}">
            <xm:f>'Tabelas AUX'!$E$4</xm:f>
            <x14:dxf>
              <font>
                <color rgb="FF7F7F7F"/>
              </font>
            </x14:dxf>
          </x14:cfRule>
          <x14:cfRule type="cellIs" priority="77" operator="equal" id="{15FBC6DD-8418-4090-95E2-FC83D6752997}">
            <xm:f>'Tabelas AUX'!$E$3</xm:f>
            <x14:dxf>
              <font>
                <color theme="5"/>
              </font>
            </x14:dxf>
          </x14:cfRule>
          <x14:cfRule type="cellIs" priority="78" operator="equal" id="{971922B4-EBDA-467A-B29D-F6AA4852519B}">
            <xm:f>'Tabelas AUX'!$E$2</xm:f>
            <x14:dxf>
              <font>
                <color rgb="FFC00000"/>
              </font>
            </x14:dxf>
          </x14:cfRule>
          <xm:sqref>X13</xm:sqref>
        </x14:conditionalFormatting>
        <x14:conditionalFormatting xmlns:xm="http://schemas.microsoft.com/office/excel/2006/main">
          <x14:cfRule type="cellIs" priority="67" operator="equal" id="{3B874D37-6305-475A-8751-F8A84631195D}">
            <xm:f>'Tabelas AUX'!$E$8</xm:f>
            <x14:dxf>
              <font>
                <color theme="8"/>
              </font>
            </x14:dxf>
          </x14:cfRule>
          <x14:cfRule type="cellIs" priority="68" operator="equal" id="{32B3629E-3F3F-44A7-8ABE-495FA1A34AE9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69" operator="equal" id="{0782B4F5-05FC-4AAE-B8B8-2F9ECBF45540}">
            <xm:f>'Tabelas AUX'!$E$5</xm:f>
            <x14:dxf>
              <font>
                <color rgb="FF00B050"/>
              </font>
            </x14:dxf>
          </x14:cfRule>
          <x14:cfRule type="cellIs" priority="70" operator="equal" id="{7925FAB8-4461-4480-861A-66327036D4FF}">
            <xm:f>'Tabelas AUX'!$E$4</xm:f>
            <x14:dxf>
              <font>
                <color rgb="FF7F7F7F"/>
              </font>
            </x14:dxf>
          </x14:cfRule>
          <x14:cfRule type="cellIs" priority="71" operator="equal" id="{28EE5F4C-A89F-4718-8511-BD6965739801}">
            <xm:f>'Tabelas AUX'!$E$3</xm:f>
            <x14:dxf>
              <font>
                <color theme="5"/>
              </font>
            </x14:dxf>
          </x14:cfRule>
          <x14:cfRule type="cellIs" priority="72" operator="equal" id="{D9BBB9DF-0DE7-4B1C-9E61-0FF133C27418}">
            <xm:f>'Tabelas AUX'!$E$2</xm:f>
            <x14:dxf>
              <font>
                <color rgb="FFC00000"/>
              </font>
            </x14:dxf>
          </x14:cfRule>
          <xm:sqref>X14</xm:sqref>
        </x14:conditionalFormatting>
        <x14:conditionalFormatting xmlns:xm="http://schemas.microsoft.com/office/excel/2006/main">
          <x14:cfRule type="cellIs" priority="61" operator="equal" id="{60DD2B46-31A9-43E3-B3A9-31250516929B}">
            <xm:f>'Tabelas AUX'!$E$8</xm:f>
            <x14:dxf>
              <font>
                <color theme="8"/>
              </font>
            </x14:dxf>
          </x14:cfRule>
          <x14:cfRule type="cellIs" priority="62" operator="equal" id="{EB9F6722-0878-4597-ADDC-83DCB338F4E7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63" operator="equal" id="{3EE4256D-A10E-4EF9-96C9-21748024959C}">
            <xm:f>'Tabelas AUX'!$E$5</xm:f>
            <x14:dxf>
              <font>
                <color rgb="FF00B050"/>
              </font>
            </x14:dxf>
          </x14:cfRule>
          <x14:cfRule type="cellIs" priority="64" operator="equal" id="{4A4B40D9-1846-444B-BB76-9AF3E9431D67}">
            <xm:f>'Tabelas AUX'!$E$4</xm:f>
            <x14:dxf>
              <font>
                <color rgb="FF7F7F7F"/>
              </font>
            </x14:dxf>
          </x14:cfRule>
          <x14:cfRule type="cellIs" priority="65" operator="equal" id="{3CB296A9-D122-44C7-BD03-3E6D79B0660F}">
            <xm:f>'Tabelas AUX'!$E$3</xm:f>
            <x14:dxf>
              <font>
                <color theme="5"/>
              </font>
            </x14:dxf>
          </x14:cfRule>
          <x14:cfRule type="cellIs" priority="66" operator="equal" id="{8F89B916-839A-4BC9-9634-5D1A37D67015}">
            <xm:f>'Tabelas AUX'!$E$2</xm:f>
            <x14:dxf>
              <font>
                <color rgb="FFC00000"/>
              </font>
            </x14:dxf>
          </x14:cfRule>
          <xm:sqref>X43</xm:sqref>
        </x14:conditionalFormatting>
        <x14:conditionalFormatting xmlns:xm="http://schemas.microsoft.com/office/excel/2006/main">
          <x14:cfRule type="cellIs" priority="55" operator="equal" id="{10ACC42A-0251-4E3D-8C8C-241461E24D1A}">
            <xm:f>'Tabelas AUX'!$E$8</xm:f>
            <x14:dxf>
              <font>
                <color theme="8"/>
              </font>
            </x14:dxf>
          </x14:cfRule>
          <x14:cfRule type="cellIs" priority="56" operator="equal" id="{263B776C-FCD7-4341-AB77-E672B89AB3DE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57" operator="equal" id="{E6EB38CA-FFAA-4319-A9FA-05A9F8A05ECB}">
            <xm:f>'Tabelas AUX'!$E$5</xm:f>
            <x14:dxf>
              <font>
                <color rgb="FF00B050"/>
              </font>
            </x14:dxf>
          </x14:cfRule>
          <x14:cfRule type="cellIs" priority="58" operator="equal" id="{6ABF9DA9-CF82-4357-A376-94460F209067}">
            <xm:f>'Tabelas AUX'!$E$4</xm:f>
            <x14:dxf>
              <font>
                <color rgb="FF7F7F7F"/>
              </font>
            </x14:dxf>
          </x14:cfRule>
          <x14:cfRule type="cellIs" priority="59" operator="equal" id="{70512E08-2B06-42FD-B524-8C6BB749C1C7}">
            <xm:f>'Tabelas AUX'!$E$3</xm:f>
            <x14:dxf>
              <font>
                <color theme="5"/>
              </font>
            </x14:dxf>
          </x14:cfRule>
          <x14:cfRule type="cellIs" priority="60" operator="equal" id="{2367FDEF-3DED-46F7-8A36-9C6CD460E904}">
            <xm:f>'Tabelas AUX'!$E$2</xm:f>
            <x14:dxf>
              <font>
                <color rgb="FFC00000"/>
              </font>
            </x14:dxf>
          </x14:cfRule>
          <xm:sqref>X44</xm:sqref>
        </x14:conditionalFormatting>
        <x14:conditionalFormatting xmlns:xm="http://schemas.microsoft.com/office/excel/2006/main">
          <x14:cfRule type="cellIs" priority="49" operator="equal" id="{3AEFADEF-2918-4BD2-915B-02A63984F3E1}">
            <xm:f>'Tabelas AUX'!$E$8</xm:f>
            <x14:dxf>
              <font>
                <color theme="8"/>
              </font>
            </x14:dxf>
          </x14:cfRule>
          <x14:cfRule type="cellIs" priority="50" operator="equal" id="{69D4D275-5F66-41C1-905C-201D191EF354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51" operator="equal" id="{C470B72C-5EEC-46ED-BB82-EF0A22D6AF91}">
            <xm:f>'Tabelas AUX'!$E$5</xm:f>
            <x14:dxf>
              <font>
                <color rgb="FF00B050"/>
              </font>
            </x14:dxf>
          </x14:cfRule>
          <x14:cfRule type="cellIs" priority="52" operator="equal" id="{F68A8E91-8FB8-4A4D-83FF-1F56B18B7CDE}">
            <xm:f>'Tabelas AUX'!$E$4</xm:f>
            <x14:dxf>
              <font>
                <color rgb="FF7F7F7F"/>
              </font>
            </x14:dxf>
          </x14:cfRule>
          <x14:cfRule type="cellIs" priority="53" operator="equal" id="{D6B2C55E-0BD3-4802-9865-62CD9C79003F}">
            <xm:f>'Tabelas AUX'!$E$3</xm:f>
            <x14:dxf>
              <font>
                <color theme="5"/>
              </font>
            </x14:dxf>
          </x14:cfRule>
          <x14:cfRule type="cellIs" priority="54" operator="equal" id="{B62DC489-EC2E-43DE-B511-80B0E1F6D479}">
            <xm:f>'Tabelas AUX'!$E$2</xm:f>
            <x14:dxf>
              <font>
                <color rgb="FFC00000"/>
              </font>
            </x14:dxf>
          </x14:cfRule>
          <xm:sqref>X45</xm:sqref>
        </x14:conditionalFormatting>
        <x14:conditionalFormatting xmlns:xm="http://schemas.microsoft.com/office/excel/2006/main">
          <x14:cfRule type="cellIs" priority="43" operator="equal" id="{309A8B13-42FC-4593-A09A-484973BE1680}">
            <xm:f>'Tabelas AUX'!$E$8</xm:f>
            <x14:dxf>
              <font>
                <color theme="8"/>
              </font>
            </x14:dxf>
          </x14:cfRule>
          <x14:cfRule type="cellIs" priority="44" operator="equal" id="{3FC579F2-D4CB-4463-9FBB-4D5C1FB80D11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45" operator="equal" id="{3531337A-573E-4333-BB34-3023769B367F}">
            <xm:f>'Tabelas AUX'!$E$5</xm:f>
            <x14:dxf>
              <font>
                <color rgb="FF00B050"/>
              </font>
            </x14:dxf>
          </x14:cfRule>
          <x14:cfRule type="cellIs" priority="46" operator="equal" id="{F0E3356B-DE9D-45F3-9CDA-EAD6D8B0D3F0}">
            <xm:f>'Tabelas AUX'!$E$4</xm:f>
            <x14:dxf>
              <font>
                <color rgb="FF7F7F7F"/>
              </font>
            </x14:dxf>
          </x14:cfRule>
          <x14:cfRule type="cellIs" priority="47" operator="equal" id="{FB6BFFB4-4B37-4F93-B9D1-945CE42D9520}">
            <xm:f>'Tabelas AUX'!$E$3</xm:f>
            <x14:dxf>
              <font>
                <color theme="5"/>
              </font>
            </x14:dxf>
          </x14:cfRule>
          <x14:cfRule type="cellIs" priority="48" operator="equal" id="{01C00CB7-10F0-4371-AAAA-61BCE4DB5591}">
            <xm:f>'Tabelas AUX'!$E$2</xm:f>
            <x14:dxf>
              <font>
                <color rgb="FFC00000"/>
              </font>
            </x14:dxf>
          </x14:cfRule>
          <xm:sqref>X47</xm:sqref>
        </x14:conditionalFormatting>
        <x14:conditionalFormatting xmlns:xm="http://schemas.microsoft.com/office/excel/2006/main">
          <x14:cfRule type="cellIs" priority="37" operator="equal" id="{19D32AA9-3E19-4FC3-8FA6-6802CB785849}">
            <xm:f>'Tabelas AUX'!$E$8</xm:f>
            <x14:dxf>
              <font>
                <color theme="8"/>
              </font>
            </x14:dxf>
          </x14:cfRule>
          <x14:cfRule type="cellIs" priority="38" operator="equal" id="{69E0B9AE-8292-4420-8C38-14FD999577F6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39" operator="equal" id="{88F4CC5E-B593-4B8C-B2E7-1E1B5BB5A522}">
            <xm:f>'Tabelas AUX'!$E$5</xm:f>
            <x14:dxf>
              <font>
                <color rgb="FF00B050"/>
              </font>
            </x14:dxf>
          </x14:cfRule>
          <x14:cfRule type="cellIs" priority="40" operator="equal" id="{3802769A-4830-4FBE-8B3E-E19C5C6D8398}">
            <xm:f>'Tabelas AUX'!$E$4</xm:f>
            <x14:dxf>
              <font>
                <color rgb="FF7F7F7F"/>
              </font>
            </x14:dxf>
          </x14:cfRule>
          <x14:cfRule type="cellIs" priority="41" operator="equal" id="{D762FCBD-7D2C-42D9-ADC0-AF50F0F97C49}">
            <xm:f>'Tabelas AUX'!$E$3</xm:f>
            <x14:dxf>
              <font>
                <color theme="5"/>
              </font>
            </x14:dxf>
          </x14:cfRule>
          <x14:cfRule type="cellIs" priority="42" operator="equal" id="{11F1A167-4F23-4731-ACE8-E35763EC306F}">
            <xm:f>'Tabelas AUX'!$E$2</xm:f>
            <x14:dxf>
              <font>
                <color rgb="FFC00000"/>
              </font>
            </x14:dxf>
          </x14:cfRule>
          <xm:sqref>X55</xm:sqref>
        </x14:conditionalFormatting>
        <x14:conditionalFormatting xmlns:xm="http://schemas.microsoft.com/office/excel/2006/main">
          <x14:cfRule type="cellIs" priority="31" operator="equal" id="{593201E0-2A9C-4E95-A0E6-C05F4F015DE7}">
            <xm:f>'Tabelas AUX'!$E$8</xm:f>
            <x14:dxf>
              <font>
                <color theme="8"/>
              </font>
            </x14:dxf>
          </x14:cfRule>
          <x14:cfRule type="cellIs" priority="32" operator="equal" id="{E1639AC9-0BE4-4C14-B0DB-0B9066245940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33" operator="equal" id="{E9761654-8F5A-46F3-82C1-2CC8E3B5E3C0}">
            <xm:f>'Tabelas AUX'!$E$5</xm:f>
            <x14:dxf>
              <font>
                <color rgb="FF00B050"/>
              </font>
            </x14:dxf>
          </x14:cfRule>
          <x14:cfRule type="cellIs" priority="34" operator="equal" id="{1D90EA92-7820-4498-9C99-7B5792CC7F44}">
            <xm:f>'Tabelas AUX'!$E$4</xm:f>
            <x14:dxf>
              <font>
                <color rgb="FF7F7F7F"/>
              </font>
            </x14:dxf>
          </x14:cfRule>
          <x14:cfRule type="cellIs" priority="35" operator="equal" id="{070A4A0D-D5D1-4759-8557-20970B2DF55F}">
            <xm:f>'Tabelas AUX'!$E$3</xm:f>
            <x14:dxf>
              <font>
                <color theme="5"/>
              </font>
            </x14:dxf>
          </x14:cfRule>
          <x14:cfRule type="cellIs" priority="36" operator="equal" id="{E3BCBDD6-AE86-4C59-979C-36A8CF9632C7}">
            <xm:f>'Tabelas AUX'!$E$2</xm:f>
            <x14:dxf>
              <font>
                <color rgb="FFC00000"/>
              </font>
            </x14:dxf>
          </x14:cfRule>
          <xm:sqref>X85</xm:sqref>
        </x14:conditionalFormatting>
        <x14:conditionalFormatting xmlns:xm="http://schemas.microsoft.com/office/excel/2006/main">
          <x14:cfRule type="cellIs" priority="25" operator="equal" id="{CA32C7B1-9A48-4262-AEE0-F1A05F0DD5B7}">
            <xm:f>'Tabelas AUX'!$E$8</xm:f>
            <x14:dxf>
              <font>
                <color theme="8"/>
              </font>
            </x14:dxf>
          </x14:cfRule>
          <x14:cfRule type="cellIs" priority="26" operator="equal" id="{4C0E9F92-3CDC-4565-A313-E418A58A8FEE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27" operator="equal" id="{C11DD5C3-5A80-404F-8618-16FA7CA3B339}">
            <xm:f>'Tabelas AUX'!$E$5</xm:f>
            <x14:dxf>
              <font>
                <color rgb="FF00B050"/>
              </font>
            </x14:dxf>
          </x14:cfRule>
          <x14:cfRule type="cellIs" priority="28" operator="equal" id="{4C300F33-03CE-4B0F-8CDF-D1536904D7E5}">
            <xm:f>'Tabelas AUX'!$E$4</xm:f>
            <x14:dxf>
              <font>
                <color rgb="FF7F7F7F"/>
              </font>
            </x14:dxf>
          </x14:cfRule>
          <x14:cfRule type="cellIs" priority="29" operator="equal" id="{7F11D0A3-679A-408F-B24A-A43225B2F5DF}">
            <xm:f>'Tabelas AUX'!$E$3</xm:f>
            <x14:dxf>
              <font>
                <color theme="5"/>
              </font>
            </x14:dxf>
          </x14:cfRule>
          <x14:cfRule type="cellIs" priority="30" operator="equal" id="{DF5A5EAA-9FF4-4BCE-9991-EB3702601E64}">
            <xm:f>'Tabelas AUX'!$E$2</xm:f>
            <x14:dxf>
              <font>
                <color rgb="FFC00000"/>
              </font>
            </x14:dxf>
          </x14:cfRule>
          <xm:sqref>X86</xm:sqref>
        </x14:conditionalFormatting>
        <x14:conditionalFormatting xmlns:xm="http://schemas.microsoft.com/office/excel/2006/main">
          <x14:cfRule type="cellIs" priority="19" operator="equal" id="{08131815-D582-4B7C-8803-7DDA4C4E77B8}">
            <xm:f>'Tabelas AUX'!$E$8</xm:f>
            <x14:dxf>
              <font>
                <color theme="8"/>
              </font>
            </x14:dxf>
          </x14:cfRule>
          <x14:cfRule type="cellIs" priority="20" operator="equal" id="{44CF1FDB-E1FA-4FD8-BC1F-0DFB13B373F9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21" operator="equal" id="{7EC2A225-F8E2-4B90-AF8A-69B7BAA4AE3A}">
            <xm:f>'Tabelas AUX'!$E$5</xm:f>
            <x14:dxf>
              <font>
                <color rgb="FF00B050"/>
              </font>
            </x14:dxf>
          </x14:cfRule>
          <x14:cfRule type="cellIs" priority="22" operator="equal" id="{3101EEBF-E1C7-41D8-BE79-AAB790BD4501}">
            <xm:f>'Tabelas AUX'!$E$4</xm:f>
            <x14:dxf>
              <font>
                <color rgb="FF7F7F7F"/>
              </font>
            </x14:dxf>
          </x14:cfRule>
          <x14:cfRule type="cellIs" priority="23" operator="equal" id="{B531C914-2BC3-4782-98A9-B628B244A20E}">
            <xm:f>'Tabelas AUX'!$E$3</xm:f>
            <x14:dxf>
              <font>
                <color theme="5"/>
              </font>
            </x14:dxf>
          </x14:cfRule>
          <x14:cfRule type="cellIs" priority="24" operator="equal" id="{3FEB54E5-989E-4678-A34F-9A0453F1133A}">
            <xm:f>'Tabelas AUX'!$E$2</xm:f>
            <x14:dxf>
              <font>
                <color rgb="FFC00000"/>
              </font>
            </x14:dxf>
          </x14:cfRule>
          <xm:sqref>X87</xm:sqref>
        </x14:conditionalFormatting>
        <x14:conditionalFormatting xmlns:xm="http://schemas.microsoft.com/office/excel/2006/main">
          <x14:cfRule type="cellIs" priority="13" operator="equal" id="{EDBE57EB-BC96-4C84-9FA1-96E57F5560C0}">
            <xm:f>'Tabelas AUX'!$E$8</xm:f>
            <x14:dxf>
              <font>
                <color theme="8"/>
              </font>
            </x14:dxf>
          </x14:cfRule>
          <x14:cfRule type="cellIs" priority="14" operator="equal" id="{B0A0B905-FBC5-42A1-B279-CD9559406DBB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5" operator="equal" id="{CA0B8C16-E248-487C-AF7D-51895C32DC55}">
            <xm:f>'Tabelas AUX'!$E$5</xm:f>
            <x14:dxf>
              <font>
                <color rgb="FF00B050"/>
              </font>
            </x14:dxf>
          </x14:cfRule>
          <x14:cfRule type="cellIs" priority="16" operator="equal" id="{EC071A9D-A492-444E-A5C6-284B3869D1B5}">
            <xm:f>'Tabelas AUX'!$E$4</xm:f>
            <x14:dxf>
              <font>
                <color rgb="FF7F7F7F"/>
              </font>
            </x14:dxf>
          </x14:cfRule>
          <x14:cfRule type="cellIs" priority="17" operator="equal" id="{D8EAC51D-20D4-44E1-B0F0-C3B84FF6C0FB}">
            <xm:f>'Tabelas AUX'!$E$3</xm:f>
            <x14:dxf>
              <font>
                <color theme="5"/>
              </font>
            </x14:dxf>
          </x14:cfRule>
          <x14:cfRule type="cellIs" priority="18" operator="equal" id="{2A0FD01E-24FA-4B0B-A6A9-7DB6A2C230FD}">
            <xm:f>'Tabelas AUX'!$E$2</xm:f>
            <x14:dxf>
              <font>
                <color rgb="FFC00000"/>
              </font>
            </x14:dxf>
          </x14:cfRule>
          <xm:sqref>X88</xm:sqref>
        </x14:conditionalFormatting>
        <x14:conditionalFormatting xmlns:xm="http://schemas.microsoft.com/office/excel/2006/main">
          <x14:cfRule type="cellIs" priority="7" operator="equal" id="{A2F75F0C-F44B-4C25-91B8-CE12ED8F316C}">
            <xm:f>'Tabelas AUX'!$E$8</xm:f>
            <x14:dxf>
              <font>
                <color theme="8"/>
              </font>
            </x14:dxf>
          </x14:cfRule>
          <x14:cfRule type="cellIs" priority="8" operator="equal" id="{B067E562-18A7-4693-9CD1-6F16128E9D6B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9" operator="equal" id="{4B681513-9B4F-4421-838C-FA2077C6AEBD}">
            <xm:f>'Tabelas AUX'!$E$5</xm:f>
            <x14:dxf>
              <font>
                <color rgb="FF00B050"/>
              </font>
            </x14:dxf>
          </x14:cfRule>
          <x14:cfRule type="cellIs" priority="10" operator="equal" id="{D97D4424-49F1-4EBD-8B4F-8FDE133CE280}">
            <xm:f>'Tabelas AUX'!$E$4</xm:f>
            <x14:dxf>
              <font>
                <color rgb="FF7F7F7F"/>
              </font>
            </x14:dxf>
          </x14:cfRule>
          <x14:cfRule type="cellIs" priority="11" operator="equal" id="{0CA9429A-C343-4608-B54A-9887591EF4E2}">
            <xm:f>'Tabelas AUX'!$E$3</xm:f>
            <x14:dxf>
              <font>
                <color theme="5"/>
              </font>
            </x14:dxf>
          </x14:cfRule>
          <x14:cfRule type="cellIs" priority="12" operator="equal" id="{39CDD4C6-ECE6-4B04-9AD0-3ADD4B092FD3}">
            <xm:f>'Tabelas AUX'!$E$2</xm:f>
            <x14:dxf>
              <font>
                <color rgb="FFC00000"/>
              </font>
            </x14:dxf>
          </x14:cfRule>
          <xm:sqref>X37</xm:sqref>
        </x14:conditionalFormatting>
        <x14:conditionalFormatting xmlns:xm="http://schemas.microsoft.com/office/excel/2006/main">
          <x14:cfRule type="cellIs" priority="1" operator="equal" id="{2339150F-D7A0-45F2-A68A-95D4EF6FABDF}">
            <xm:f>'Tabelas AUX'!$E$8</xm:f>
            <x14:dxf>
              <font>
                <color theme="8"/>
              </font>
            </x14:dxf>
          </x14:cfRule>
          <x14:cfRule type="cellIs" priority="2" operator="equal" id="{8E0ABB51-3698-4C5C-AFD7-441252F50DB6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3" operator="equal" id="{600DA7EB-A42E-4D40-B566-033ED21011A4}">
            <xm:f>'Tabelas AUX'!$E$5</xm:f>
            <x14:dxf>
              <font>
                <color rgb="FF00B050"/>
              </font>
            </x14:dxf>
          </x14:cfRule>
          <x14:cfRule type="cellIs" priority="4" operator="equal" id="{0270048F-FCB9-4257-9698-A7996A6DB920}">
            <xm:f>'Tabelas AUX'!$E$4</xm:f>
            <x14:dxf>
              <font>
                <color rgb="FF7F7F7F"/>
              </font>
            </x14:dxf>
          </x14:cfRule>
          <x14:cfRule type="cellIs" priority="5" operator="equal" id="{C823743D-351A-430A-A04E-8ADE1F55BC67}">
            <xm:f>'Tabelas AUX'!$E$3</xm:f>
            <x14:dxf>
              <font>
                <color theme="5"/>
              </font>
            </x14:dxf>
          </x14:cfRule>
          <x14:cfRule type="cellIs" priority="6" operator="equal" id="{27E7C3CA-D3E2-48EA-8F5D-3610913B78A5}">
            <xm:f>'Tabelas AUX'!$E$2</xm:f>
            <x14:dxf>
              <font>
                <color rgb="FFC00000"/>
              </font>
            </x14:dxf>
          </x14:cfRule>
          <xm:sqref>X38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'Tabelas AUX'!$E$2:$E$12</xm:f>
          </x14:formula1>
          <xm:sqref>X42 X112</xm:sqref>
        </x14:dataValidation>
        <x14:dataValidation type="list" allowBlank="1" showInputMessage="1" showErrorMessage="1">
          <x14:formula1>
            <xm:f>'Tabelas AUX'!$E$2:$E$5</xm:f>
          </x14:formula1>
          <xm:sqref>T13:T111</xm:sqref>
        </x14:dataValidation>
        <x14:dataValidation type="list" allowBlank="1" showInputMessage="1" showErrorMessage="1">
          <x14:formula1>
            <xm:f>'Tabelas AUX'!$G$2:$G$13</xm:f>
          </x14:formula1>
          <xm:sqref>X39:X41 X46 X48:X54 X56:X84 X89:X111</xm:sqref>
        </x14:dataValidation>
        <x14:dataValidation type="list" allowBlank="1" showInputMessage="1" showErrorMessage="1">
          <x14:formula1>
            <xm:f>'Tabelas AUX'!$G$2:$G$16</xm:f>
          </x14:formula1>
          <xm:sqref>X85:X88 X43:X45 X47 X55 X13:X38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pageSetUpPr autoPageBreaks="0"/>
  </sheetPr>
  <dimension ref="A1:AE124"/>
  <sheetViews>
    <sheetView showGridLines="0" tabSelected="1" topLeftCell="H1" zoomScale="80" zoomScaleNormal="80" workbookViewId="0">
      <pane ySplit="12" topLeftCell="A13" activePane="bottomLeft" state="frozen"/>
      <selection activeCell="M69" sqref="M69"/>
      <selection pane="bottomLeft" activeCell="X13" sqref="X13"/>
    </sheetView>
  </sheetViews>
  <sheetFormatPr defaultRowHeight="15" outlineLevelRow="1" outlineLevelCol="1" x14ac:dyDescent="0.25"/>
  <cols>
    <col min="1" max="1" width="3.7109375" customWidth="1"/>
    <col min="2" max="2" width="28.140625" customWidth="1"/>
    <col min="3" max="3" width="9.42578125" bestFit="1" customWidth="1"/>
    <col min="4" max="4" width="45.140625" customWidth="1"/>
    <col min="5" max="5" width="17" bestFit="1" customWidth="1"/>
    <col min="6" max="6" width="108" bestFit="1" customWidth="1"/>
    <col min="7" max="7" width="12.7109375" style="81" customWidth="1"/>
    <col min="8" max="8" width="2" customWidth="1"/>
    <col min="9" max="9" width="27.85546875" hidden="1" customWidth="1" outlineLevel="1"/>
    <col min="10" max="10" width="26.85546875" hidden="1" customWidth="1" outlineLevel="1"/>
    <col min="11" max="11" width="21" hidden="1" customWidth="1" outlineLevel="1"/>
    <col min="12" max="12" width="30.7109375" bestFit="1" customWidth="1" collapsed="1"/>
    <col min="13" max="13" width="28.5703125" customWidth="1"/>
    <col min="14" max="14" width="38.42578125" customWidth="1"/>
    <col min="15" max="15" width="20.28515625" hidden="1" customWidth="1" outlineLevel="1"/>
    <col min="16" max="17" width="42.42578125" hidden="1" customWidth="1" outlineLevel="1"/>
    <col min="18" max="18" width="9.7109375" customWidth="1" outlineLevel="1"/>
    <col min="19" max="19" width="2.140625" customWidth="1"/>
    <col min="20" max="20" width="14.140625" customWidth="1" outlineLevel="1"/>
    <col min="21" max="21" width="15.42578125" customWidth="1" outlineLevel="1"/>
    <col min="22" max="22" width="42.7109375" customWidth="1" outlineLevel="1"/>
    <col min="23" max="23" width="2.140625" customWidth="1"/>
    <col min="24" max="24" width="17.42578125" bestFit="1" customWidth="1" outlineLevel="1"/>
    <col min="25" max="25" width="24.85546875" customWidth="1" outlineLevel="1"/>
    <col min="26" max="26" width="22.5703125" customWidth="1" outlineLevel="1"/>
    <col min="27" max="27" width="2.140625" customWidth="1"/>
    <col min="28" max="30" width="22.5703125" customWidth="1" outlineLevel="1"/>
    <col min="31" max="31" width="31.5703125" customWidth="1" outlineLevel="1"/>
  </cols>
  <sheetData>
    <row r="1" spans="1:31" ht="15" customHeight="1" x14ac:dyDescent="0.25">
      <c r="B1" s="47"/>
      <c r="C1" s="47"/>
      <c r="D1" s="47"/>
      <c r="F1" s="47"/>
      <c r="G1" s="47"/>
    </row>
    <row r="2" spans="1:31" ht="34.5" customHeight="1" x14ac:dyDescent="0.25">
      <c r="B2" s="47"/>
      <c r="C2" s="47"/>
      <c r="D2" s="48"/>
      <c r="F2" s="47"/>
      <c r="G2" s="47"/>
    </row>
    <row r="3" spans="1:31" ht="2.25" customHeight="1" x14ac:dyDescent="0.25">
      <c r="A3" s="20"/>
      <c r="B3" s="49"/>
      <c r="C3" s="49"/>
      <c r="D3" s="49"/>
      <c r="E3" s="49"/>
      <c r="F3" s="49"/>
      <c r="G3" s="49"/>
    </row>
    <row r="4" spans="1:31" ht="15" customHeight="1" x14ac:dyDescent="0.25">
      <c r="B4" s="47"/>
      <c r="C4" s="47"/>
      <c r="D4" s="47"/>
      <c r="F4" s="47"/>
      <c r="G4" s="47"/>
    </row>
    <row r="5" spans="1:31" ht="15" customHeight="1" x14ac:dyDescent="0.25">
      <c r="B5" s="50" t="s">
        <v>1351</v>
      </c>
      <c r="C5" s="50"/>
      <c r="D5" s="47"/>
      <c r="F5" s="47"/>
      <c r="G5" s="47"/>
    </row>
    <row r="6" spans="1:31" ht="15" customHeight="1" x14ac:dyDescent="0.25">
      <c r="B6" s="47"/>
      <c r="C6" s="47"/>
      <c r="D6" s="47"/>
      <c r="F6" s="47"/>
      <c r="G6" s="47"/>
    </row>
    <row r="7" spans="1:31" ht="60" customHeight="1" outlineLevel="1" x14ac:dyDescent="0.25">
      <c r="B7" s="51" t="s">
        <v>65</v>
      </c>
      <c r="C7" s="222" t="s">
        <v>1774</v>
      </c>
      <c r="D7" s="222"/>
      <c r="E7" s="222"/>
      <c r="F7" s="222"/>
      <c r="G7" s="222"/>
      <c r="H7" s="52"/>
      <c r="I7" s="52"/>
      <c r="S7" s="52"/>
      <c r="W7" s="52"/>
      <c r="AA7" s="52"/>
    </row>
    <row r="8" spans="1:31" ht="15" customHeight="1" outlineLevel="1" x14ac:dyDescent="0.25">
      <c r="B8" s="47"/>
      <c r="C8" s="47"/>
      <c r="D8" s="47"/>
      <c r="F8" s="47"/>
      <c r="G8" s="47"/>
    </row>
    <row r="9" spans="1:31" ht="15" customHeight="1" outlineLevel="1" x14ac:dyDescent="0.25">
      <c r="B9" s="47"/>
      <c r="C9" s="47"/>
      <c r="D9" s="47"/>
      <c r="F9" s="47"/>
      <c r="G9" s="47"/>
    </row>
    <row r="10" spans="1:31" ht="15" customHeight="1" outlineLevel="1" x14ac:dyDescent="0.25">
      <c r="B10" s="47"/>
      <c r="C10" s="47"/>
      <c r="D10" s="47"/>
      <c r="F10" s="47"/>
      <c r="G10" s="47"/>
    </row>
    <row r="11" spans="1:31" x14ac:dyDescent="0.25">
      <c r="B11" s="212" t="s">
        <v>67</v>
      </c>
      <c r="C11" s="213"/>
      <c r="D11" s="213"/>
      <c r="E11" s="213"/>
      <c r="F11" s="213"/>
      <c r="G11" s="214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  <c r="X11" s="207" t="s">
        <v>72</v>
      </c>
      <c r="Y11" s="208"/>
      <c r="Z11" s="208"/>
      <c r="AB11" s="207" t="s">
        <v>1000</v>
      </c>
      <c r="AC11" s="208"/>
      <c r="AD11" s="208"/>
      <c r="AE11" s="208"/>
    </row>
    <row r="12" spans="1:31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  <c r="X12" s="61" t="s">
        <v>86</v>
      </c>
      <c r="Y12" s="61" t="s">
        <v>89</v>
      </c>
      <c r="Z12" s="61" t="s">
        <v>90</v>
      </c>
      <c r="AB12" s="61" t="s">
        <v>166</v>
      </c>
      <c r="AC12" s="61" t="s">
        <v>167</v>
      </c>
      <c r="AD12" s="61" t="s">
        <v>168</v>
      </c>
      <c r="AE12" s="61" t="s">
        <v>88</v>
      </c>
    </row>
    <row r="13" spans="1:31" ht="60" x14ac:dyDescent="0.25">
      <c r="B13" s="70" t="s">
        <v>53</v>
      </c>
      <c r="C13" s="70">
        <v>1</v>
      </c>
      <c r="D13" s="73" t="s">
        <v>272</v>
      </c>
      <c r="E13" s="70" t="s">
        <v>225</v>
      </c>
      <c r="F13" s="70" t="s">
        <v>1001</v>
      </c>
      <c r="G13" s="73" t="s">
        <v>262</v>
      </c>
      <c r="H13" s="47"/>
      <c r="I13" s="70" t="s">
        <v>20</v>
      </c>
      <c r="J13" s="70" t="s">
        <v>1002</v>
      </c>
      <c r="K13" s="70" t="s">
        <v>240</v>
      </c>
      <c r="L13" s="70" t="s">
        <v>29</v>
      </c>
      <c r="M13" s="68" t="s">
        <v>51</v>
      </c>
      <c r="N13" s="70" t="s">
        <v>272</v>
      </c>
      <c r="O13" s="70" t="s">
        <v>264</v>
      </c>
      <c r="P13" s="70"/>
      <c r="Q13" s="70"/>
      <c r="R13" s="70"/>
      <c r="S13" s="71"/>
      <c r="T13" s="75" t="s">
        <v>97</v>
      </c>
      <c r="U13" s="69">
        <v>45259</v>
      </c>
      <c r="V13" s="70"/>
      <c r="W13" s="71"/>
      <c r="X13" s="145" t="s">
        <v>151</v>
      </c>
      <c r="Y13" s="138"/>
      <c r="Z13" s="70"/>
      <c r="AA13" s="71"/>
      <c r="AB13" s="70"/>
      <c r="AC13" s="70"/>
      <c r="AD13" s="70"/>
      <c r="AE13" s="70" t="s">
        <v>1352</v>
      </c>
    </row>
    <row r="14" spans="1:31" ht="60" x14ac:dyDescent="0.25">
      <c r="B14" s="70" t="s">
        <v>53</v>
      </c>
      <c r="C14" s="70">
        <v>2</v>
      </c>
      <c r="D14" s="70" t="s">
        <v>1353</v>
      </c>
      <c r="E14" s="70" t="s">
        <v>311</v>
      </c>
      <c r="F14" s="70" t="s">
        <v>1354</v>
      </c>
      <c r="G14" s="70"/>
      <c r="H14" s="47"/>
      <c r="I14" s="70"/>
      <c r="J14" s="70" t="s">
        <v>1010</v>
      </c>
      <c r="K14" s="70" t="s">
        <v>1011</v>
      </c>
      <c r="L14" s="70" t="s">
        <v>299</v>
      </c>
      <c r="M14" s="70" t="s">
        <v>1355</v>
      </c>
      <c r="N14" s="70" t="s">
        <v>1356</v>
      </c>
      <c r="O14" s="70" t="s">
        <v>279</v>
      </c>
      <c r="P14" s="70"/>
      <c r="Q14" s="70"/>
      <c r="R14" s="70"/>
      <c r="S14" s="71"/>
      <c r="T14" s="75" t="s">
        <v>97</v>
      </c>
      <c r="U14" s="69">
        <v>45278</v>
      </c>
      <c r="V14" s="70"/>
      <c r="W14" s="71"/>
      <c r="X14" s="145" t="s">
        <v>151</v>
      </c>
      <c r="Y14" s="138"/>
      <c r="Z14" s="70"/>
      <c r="AA14" s="71"/>
      <c r="AB14" s="70"/>
      <c r="AC14" s="70"/>
      <c r="AD14" s="70"/>
      <c r="AE14" s="70" t="s">
        <v>1352</v>
      </c>
    </row>
    <row r="15" spans="1:31" ht="60" x14ac:dyDescent="0.25">
      <c r="B15" s="70" t="s">
        <v>53</v>
      </c>
      <c r="C15" s="70">
        <v>3</v>
      </c>
      <c r="D15" s="70" t="s">
        <v>1357</v>
      </c>
      <c r="E15" s="70" t="s">
        <v>311</v>
      </c>
      <c r="F15" s="70" t="s">
        <v>1358</v>
      </c>
      <c r="G15" s="70"/>
      <c r="H15" s="47"/>
      <c r="I15" s="70"/>
      <c r="J15" s="70" t="s">
        <v>1010</v>
      </c>
      <c r="K15" s="70" t="s">
        <v>1016</v>
      </c>
      <c r="L15" s="70" t="s">
        <v>299</v>
      </c>
      <c r="M15" s="70" t="s">
        <v>1355</v>
      </c>
      <c r="N15" s="70" t="s">
        <v>1359</v>
      </c>
      <c r="O15" s="70" t="s">
        <v>279</v>
      </c>
      <c r="P15" s="70"/>
      <c r="Q15" s="70"/>
      <c r="R15" s="70"/>
      <c r="S15" s="71"/>
      <c r="T15" s="75" t="s">
        <v>97</v>
      </c>
      <c r="U15" s="69">
        <v>45278</v>
      </c>
      <c r="V15" s="70"/>
      <c r="W15" s="71"/>
      <c r="X15" s="145" t="s">
        <v>151</v>
      </c>
      <c r="Y15" s="138"/>
      <c r="Z15" s="70"/>
      <c r="AA15" s="71"/>
      <c r="AB15" s="70"/>
      <c r="AC15" s="70"/>
      <c r="AD15" s="70"/>
      <c r="AE15" s="70" t="s">
        <v>1352</v>
      </c>
    </row>
    <row r="16" spans="1:31" ht="60" x14ac:dyDescent="0.25">
      <c r="B16" s="70" t="s">
        <v>53</v>
      </c>
      <c r="C16" s="70">
        <v>4</v>
      </c>
      <c r="D16" s="70" t="s">
        <v>1360</v>
      </c>
      <c r="E16" s="70" t="s">
        <v>311</v>
      </c>
      <c r="F16" s="70" t="s">
        <v>1361</v>
      </c>
      <c r="G16" s="70"/>
      <c r="H16" s="47"/>
      <c r="I16" s="70"/>
      <c r="J16" s="70" t="s">
        <v>1010</v>
      </c>
      <c r="K16" s="70" t="s">
        <v>1019</v>
      </c>
      <c r="L16" s="70" t="s">
        <v>299</v>
      </c>
      <c r="M16" s="70" t="s">
        <v>1355</v>
      </c>
      <c r="N16" s="70" t="s">
        <v>1362</v>
      </c>
      <c r="O16" s="70" t="s">
        <v>279</v>
      </c>
      <c r="P16" s="70"/>
      <c r="Q16" s="70" t="s">
        <v>1021</v>
      </c>
      <c r="R16" s="70"/>
      <c r="S16" s="71"/>
      <c r="T16" s="75" t="s">
        <v>97</v>
      </c>
      <c r="U16" s="69">
        <v>45278</v>
      </c>
      <c r="V16" s="70"/>
      <c r="W16" s="71"/>
      <c r="X16" s="145" t="s">
        <v>151</v>
      </c>
      <c r="Y16" s="138"/>
      <c r="Z16" s="70"/>
      <c r="AA16" s="71"/>
      <c r="AB16" s="70"/>
      <c r="AC16" s="70"/>
      <c r="AD16" s="70"/>
      <c r="AE16" s="70" t="s">
        <v>1352</v>
      </c>
    </row>
    <row r="17" spans="2:31" ht="60" x14ac:dyDescent="0.25">
      <c r="B17" s="70" t="s">
        <v>53</v>
      </c>
      <c r="C17" s="70">
        <v>5</v>
      </c>
      <c r="D17" s="70" t="s">
        <v>1363</v>
      </c>
      <c r="E17" s="70" t="s">
        <v>1364</v>
      </c>
      <c r="F17" s="70" t="s">
        <v>1365</v>
      </c>
      <c r="G17" s="70"/>
      <c r="H17" s="47"/>
      <c r="I17" s="70"/>
      <c r="J17" s="70" t="s">
        <v>1010</v>
      </c>
      <c r="K17" s="70" t="s">
        <v>1024</v>
      </c>
      <c r="L17" s="70" t="s">
        <v>299</v>
      </c>
      <c r="M17" s="70" t="s">
        <v>1355</v>
      </c>
      <c r="N17" s="104" t="s">
        <v>1366</v>
      </c>
      <c r="O17" s="70" t="s">
        <v>279</v>
      </c>
      <c r="P17" s="70" t="s">
        <v>1025</v>
      </c>
      <c r="Q17" s="70"/>
      <c r="R17" s="70"/>
      <c r="S17" s="71"/>
      <c r="T17" s="75" t="s">
        <v>97</v>
      </c>
      <c r="U17" s="69">
        <v>45278</v>
      </c>
      <c r="V17" s="70"/>
      <c r="W17" s="71"/>
      <c r="X17" s="145" t="s">
        <v>151</v>
      </c>
      <c r="Y17" s="138"/>
      <c r="Z17" s="70"/>
      <c r="AA17" s="71"/>
      <c r="AB17" s="70"/>
      <c r="AC17" s="70"/>
      <c r="AD17" s="70"/>
      <c r="AE17" s="70" t="s">
        <v>1352</v>
      </c>
    </row>
    <row r="18" spans="2:31" ht="60" x14ac:dyDescent="0.25">
      <c r="B18" s="70" t="s">
        <v>53</v>
      </c>
      <c r="C18" s="70">
        <v>6</v>
      </c>
      <c r="D18" s="70" t="s">
        <v>1367</v>
      </c>
      <c r="E18" s="70" t="s">
        <v>1364</v>
      </c>
      <c r="F18" s="70" t="s">
        <v>1368</v>
      </c>
      <c r="G18" s="70"/>
      <c r="H18" s="47"/>
      <c r="I18" s="70"/>
      <c r="J18" s="70" t="s">
        <v>1010</v>
      </c>
      <c r="K18" s="70" t="s">
        <v>1024</v>
      </c>
      <c r="L18" s="70" t="s">
        <v>299</v>
      </c>
      <c r="M18" s="70" t="s">
        <v>1355</v>
      </c>
      <c r="N18" s="70" t="s">
        <v>1369</v>
      </c>
      <c r="O18" s="70" t="s">
        <v>279</v>
      </c>
      <c r="P18" s="70" t="s">
        <v>1025</v>
      </c>
      <c r="Q18" s="70"/>
      <c r="R18" s="70"/>
      <c r="S18" s="71"/>
      <c r="T18" s="75" t="s">
        <v>97</v>
      </c>
      <c r="U18" s="69">
        <v>45278</v>
      </c>
      <c r="V18" s="70"/>
      <c r="W18" s="71"/>
      <c r="X18" s="145" t="s">
        <v>151</v>
      </c>
      <c r="Y18" s="138"/>
      <c r="Z18" s="70"/>
      <c r="AA18" s="71"/>
      <c r="AB18" s="70"/>
      <c r="AC18" s="70"/>
      <c r="AD18" s="70"/>
      <c r="AE18" s="70" t="s">
        <v>1352</v>
      </c>
    </row>
    <row r="19" spans="2:31" ht="60" x14ac:dyDescent="0.25">
      <c r="B19" s="70" t="s">
        <v>53</v>
      </c>
      <c r="C19" s="70">
        <v>7</v>
      </c>
      <c r="D19" s="70" t="s">
        <v>1370</v>
      </c>
      <c r="E19" s="70" t="s">
        <v>1364</v>
      </c>
      <c r="F19" s="70" t="s">
        <v>1371</v>
      </c>
      <c r="G19" s="70"/>
      <c r="H19" s="47"/>
      <c r="I19" s="70"/>
      <c r="J19" s="70" t="s">
        <v>1010</v>
      </c>
      <c r="K19" s="70" t="s">
        <v>1028</v>
      </c>
      <c r="L19" s="70" t="s">
        <v>299</v>
      </c>
      <c r="M19" s="70" t="s">
        <v>1355</v>
      </c>
      <c r="N19" s="70" t="s">
        <v>1372</v>
      </c>
      <c r="O19" s="70" t="s">
        <v>279</v>
      </c>
      <c r="P19" s="70" t="s">
        <v>1025</v>
      </c>
      <c r="Q19" s="70"/>
      <c r="R19" s="70"/>
      <c r="S19" s="71"/>
      <c r="T19" s="75" t="s">
        <v>97</v>
      </c>
      <c r="U19" s="69">
        <v>45278</v>
      </c>
      <c r="V19" s="70"/>
      <c r="W19" s="71"/>
      <c r="X19" s="145" t="s">
        <v>151</v>
      </c>
      <c r="Y19" s="138"/>
      <c r="Z19" s="70"/>
      <c r="AA19" s="71"/>
      <c r="AB19" s="70"/>
      <c r="AC19" s="70"/>
      <c r="AD19" s="70"/>
      <c r="AE19" s="70" t="s">
        <v>1352</v>
      </c>
    </row>
    <row r="20" spans="2:31" ht="60" x14ac:dyDescent="0.25">
      <c r="B20" s="70" t="s">
        <v>53</v>
      </c>
      <c r="C20" s="70">
        <v>8</v>
      </c>
      <c r="D20" s="70" t="s">
        <v>1373</v>
      </c>
      <c r="E20" s="70" t="s">
        <v>1364</v>
      </c>
      <c r="F20" s="70" t="s">
        <v>1374</v>
      </c>
      <c r="G20" s="70"/>
      <c r="H20" s="47"/>
      <c r="I20" s="70"/>
      <c r="J20" s="70" t="s">
        <v>1010</v>
      </c>
      <c r="K20" s="70" t="s">
        <v>1028</v>
      </c>
      <c r="L20" s="70" t="s">
        <v>299</v>
      </c>
      <c r="M20" s="70" t="s">
        <v>1355</v>
      </c>
      <c r="N20" s="70" t="s">
        <v>1375</v>
      </c>
      <c r="O20" s="70" t="s">
        <v>279</v>
      </c>
      <c r="P20" s="70" t="s">
        <v>1025</v>
      </c>
      <c r="Q20" s="70"/>
      <c r="R20" s="70"/>
      <c r="S20" s="71"/>
      <c r="T20" s="75" t="s">
        <v>97</v>
      </c>
      <c r="U20" s="69">
        <v>45278</v>
      </c>
      <c r="V20" s="70"/>
      <c r="W20" s="71"/>
      <c r="X20" s="145" t="s">
        <v>151</v>
      </c>
      <c r="Y20" s="138"/>
      <c r="Z20" s="70"/>
      <c r="AA20" s="71"/>
      <c r="AB20" s="70"/>
      <c r="AC20" s="70"/>
      <c r="AD20" s="70"/>
      <c r="AE20" s="70" t="s">
        <v>1352</v>
      </c>
    </row>
    <row r="21" spans="2:31" ht="60" x14ac:dyDescent="0.25">
      <c r="B21" s="70" t="s">
        <v>53</v>
      </c>
      <c r="C21" s="70">
        <v>9</v>
      </c>
      <c r="D21" s="70" t="s">
        <v>1376</v>
      </c>
      <c r="E21" s="70" t="s">
        <v>1364</v>
      </c>
      <c r="F21" s="70" t="s">
        <v>1377</v>
      </c>
      <c r="G21" s="70"/>
      <c r="H21" s="47"/>
      <c r="I21" s="70"/>
      <c r="J21" s="70" t="s">
        <v>1010</v>
      </c>
      <c r="K21" s="70" t="s">
        <v>1031</v>
      </c>
      <c r="L21" s="70" t="s">
        <v>299</v>
      </c>
      <c r="M21" s="70" t="s">
        <v>1355</v>
      </c>
      <c r="N21" s="70" t="s">
        <v>1378</v>
      </c>
      <c r="O21" s="70" t="s">
        <v>279</v>
      </c>
      <c r="P21" s="70" t="s">
        <v>1025</v>
      </c>
      <c r="Q21" s="70"/>
      <c r="R21" s="70"/>
      <c r="S21" s="71"/>
      <c r="T21" s="75" t="s">
        <v>97</v>
      </c>
      <c r="U21" s="69">
        <v>45278</v>
      </c>
      <c r="V21" s="70"/>
      <c r="W21" s="71"/>
      <c r="X21" s="145" t="s">
        <v>151</v>
      </c>
      <c r="Y21" s="138"/>
      <c r="Z21" s="70"/>
      <c r="AA21" s="71"/>
      <c r="AB21" s="70"/>
      <c r="AC21" s="70"/>
      <c r="AD21" s="70"/>
      <c r="AE21" s="70" t="s">
        <v>1352</v>
      </c>
    </row>
    <row r="22" spans="2:31" ht="60" x14ac:dyDescent="0.25">
      <c r="B22" s="70" t="s">
        <v>53</v>
      </c>
      <c r="C22" s="70">
        <v>10</v>
      </c>
      <c r="D22" s="70" t="s">
        <v>1379</v>
      </c>
      <c r="E22" s="70" t="s">
        <v>1364</v>
      </c>
      <c r="F22" s="70" t="s">
        <v>1380</v>
      </c>
      <c r="G22" s="70"/>
      <c r="H22" s="47"/>
      <c r="I22" s="70"/>
      <c r="J22" s="70" t="s">
        <v>1010</v>
      </c>
      <c r="K22" s="70" t="s">
        <v>1031</v>
      </c>
      <c r="L22" s="70" t="s">
        <v>299</v>
      </c>
      <c r="M22" s="70" t="s">
        <v>1355</v>
      </c>
      <c r="N22" s="70" t="s">
        <v>1381</v>
      </c>
      <c r="O22" s="70" t="s">
        <v>279</v>
      </c>
      <c r="P22" s="70" t="s">
        <v>1025</v>
      </c>
      <c r="Q22" s="70"/>
      <c r="R22" s="70"/>
      <c r="S22" s="71"/>
      <c r="T22" s="75" t="s">
        <v>97</v>
      </c>
      <c r="U22" s="69">
        <v>45278</v>
      </c>
      <c r="V22" s="70"/>
      <c r="W22" s="71"/>
      <c r="X22" s="145" t="s">
        <v>151</v>
      </c>
      <c r="Y22" s="138"/>
      <c r="Z22" s="70"/>
      <c r="AA22" s="71"/>
      <c r="AB22" s="70"/>
      <c r="AC22" s="70"/>
      <c r="AD22" s="70"/>
      <c r="AE22" s="70" t="s">
        <v>1352</v>
      </c>
    </row>
    <row r="23" spans="2:31" ht="60" x14ac:dyDescent="0.25">
      <c r="B23" s="70" t="s">
        <v>53</v>
      </c>
      <c r="C23" s="70">
        <v>11</v>
      </c>
      <c r="D23" s="70" t="s">
        <v>1382</v>
      </c>
      <c r="E23" s="70" t="s">
        <v>1364</v>
      </c>
      <c r="F23" s="70" t="s">
        <v>1383</v>
      </c>
      <c r="G23" s="70"/>
      <c r="H23" s="47"/>
      <c r="I23" s="70"/>
      <c r="J23" s="70" t="s">
        <v>1010</v>
      </c>
      <c r="K23" s="70" t="s">
        <v>1034</v>
      </c>
      <c r="L23" s="70" t="s">
        <v>299</v>
      </c>
      <c r="M23" s="70" t="s">
        <v>1355</v>
      </c>
      <c r="N23" s="70" t="s">
        <v>1384</v>
      </c>
      <c r="O23" s="70" t="s">
        <v>279</v>
      </c>
      <c r="P23" s="70"/>
      <c r="Q23" s="70"/>
      <c r="R23" s="70"/>
      <c r="S23" s="71"/>
      <c r="T23" s="75" t="s">
        <v>97</v>
      </c>
      <c r="U23" s="69">
        <v>45278</v>
      </c>
      <c r="V23" s="70"/>
      <c r="W23" s="71"/>
      <c r="X23" s="145" t="s">
        <v>151</v>
      </c>
      <c r="Y23" s="138"/>
      <c r="Z23" s="70"/>
      <c r="AA23" s="71"/>
      <c r="AB23" s="70"/>
      <c r="AC23" s="70"/>
      <c r="AD23" s="70"/>
      <c r="AE23" s="70" t="s">
        <v>1352</v>
      </c>
    </row>
    <row r="24" spans="2:31" ht="60" x14ac:dyDescent="0.25">
      <c r="B24" s="70" t="s">
        <v>53</v>
      </c>
      <c r="C24" s="70">
        <v>12</v>
      </c>
      <c r="D24" s="70" t="s">
        <v>1385</v>
      </c>
      <c r="E24" s="70" t="s">
        <v>1364</v>
      </c>
      <c r="F24" s="70" t="s">
        <v>1386</v>
      </c>
      <c r="G24" s="70"/>
      <c r="H24" s="47"/>
      <c r="I24" s="70"/>
      <c r="J24" s="70" t="s">
        <v>1010</v>
      </c>
      <c r="K24" s="70" t="s">
        <v>1034</v>
      </c>
      <c r="L24" s="70" t="s">
        <v>299</v>
      </c>
      <c r="M24" s="70" t="s">
        <v>1355</v>
      </c>
      <c r="N24" s="70" t="s">
        <v>1387</v>
      </c>
      <c r="O24" s="70" t="s">
        <v>279</v>
      </c>
      <c r="P24" s="70"/>
      <c r="Q24" s="70"/>
      <c r="R24" s="70"/>
      <c r="S24" s="71"/>
      <c r="T24" s="75" t="s">
        <v>97</v>
      </c>
      <c r="U24" s="69">
        <v>45278</v>
      </c>
      <c r="V24" s="70"/>
      <c r="W24" s="71"/>
      <c r="X24" s="145" t="s">
        <v>151</v>
      </c>
      <c r="Y24" s="138"/>
      <c r="Z24" s="70"/>
      <c r="AA24" s="71"/>
      <c r="AB24" s="70"/>
      <c r="AC24" s="70"/>
      <c r="AD24" s="70"/>
      <c r="AE24" s="70" t="s">
        <v>1352</v>
      </c>
    </row>
    <row r="25" spans="2:31" ht="60" x14ac:dyDescent="0.25">
      <c r="B25" s="70" t="s">
        <v>53</v>
      </c>
      <c r="C25" s="70">
        <v>13</v>
      </c>
      <c r="D25" s="70" t="s">
        <v>1388</v>
      </c>
      <c r="E25" s="70" t="s">
        <v>1364</v>
      </c>
      <c r="F25" s="70" t="s">
        <v>1389</v>
      </c>
      <c r="G25" s="70"/>
      <c r="H25" s="47"/>
      <c r="I25" s="70"/>
      <c r="J25" s="70" t="s">
        <v>1010</v>
      </c>
      <c r="K25" s="70" t="s">
        <v>1037</v>
      </c>
      <c r="L25" s="70" t="s">
        <v>299</v>
      </c>
      <c r="M25" s="70" t="s">
        <v>1355</v>
      </c>
      <c r="N25" s="70" t="s">
        <v>1390</v>
      </c>
      <c r="O25" s="70" t="s">
        <v>279</v>
      </c>
      <c r="P25" s="70"/>
      <c r="Q25" s="70"/>
      <c r="R25" s="70"/>
      <c r="S25" s="71"/>
      <c r="T25" s="75" t="s">
        <v>97</v>
      </c>
      <c r="U25" s="69">
        <v>45278</v>
      </c>
      <c r="V25" s="70"/>
      <c r="W25" s="71"/>
      <c r="X25" s="145" t="s">
        <v>151</v>
      </c>
      <c r="Y25" s="138"/>
      <c r="Z25" s="70"/>
      <c r="AA25" s="71"/>
      <c r="AB25" s="70"/>
      <c r="AC25" s="70"/>
      <c r="AD25" s="70"/>
      <c r="AE25" s="70" t="s">
        <v>1352</v>
      </c>
    </row>
    <row r="26" spans="2:31" ht="60" x14ac:dyDescent="0.25">
      <c r="B26" s="70" t="s">
        <v>53</v>
      </c>
      <c r="C26" s="70">
        <v>14</v>
      </c>
      <c r="D26" s="70" t="s">
        <v>1391</v>
      </c>
      <c r="E26" s="70" t="s">
        <v>1364</v>
      </c>
      <c r="F26" s="70" t="s">
        <v>1392</v>
      </c>
      <c r="G26" s="70"/>
      <c r="H26" s="47"/>
      <c r="I26" s="70"/>
      <c r="J26" s="70" t="s">
        <v>1010</v>
      </c>
      <c r="K26" s="70" t="s">
        <v>1037</v>
      </c>
      <c r="L26" s="70" t="s">
        <v>299</v>
      </c>
      <c r="M26" s="70" t="s">
        <v>1355</v>
      </c>
      <c r="N26" s="70" t="s">
        <v>1393</v>
      </c>
      <c r="O26" s="70" t="s">
        <v>279</v>
      </c>
      <c r="P26" s="70"/>
      <c r="Q26" s="70"/>
      <c r="R26" s="70"/>
      <c r="S26" s="71"/>
      <c r="T26" s="75" t="s">
        <v>97</v>
      </c>
      <c r="U26" s="69">
        <v>45278</v>
      </c>
      <c r="V26" s="70"/>
      <c r="W26" s="71"/>
      <c r="X26" s="145" t="s">
        <v>151</v>
      </c>
      <c r="Y26" s="138"/>
      <c r="Z26" s="70"/>
      <c r="AA26" s="71"/>
      <c r="AB26" s="70"/>
      <c r="AC26" s="70"/>
      <c r="AD26" s="70"/>
      <c r="AE26" s="70" t="s">
        <v>1352</v>
      </c>
    </row>
    <row r="27" spans="2:31" ht="60" x14ac:dyDescent="0.25">
      <c r="B27" s="70" t="s">
        <v>53</v>
      </c>
      <c r="C27" s="70">
        <v>15</v>
      </c>
      <c r="D27" s="70" t="s">
        <v>1394</v>
      </c>
      <c r="E27" s="70" t="s">
        <v>1364</v>
      </c>
      <c r="F27" s="70" t="s">
        <v>1395</v>
      </c>
      <c r="G27" s="70"/>
      <c r="H27" s="47"/>
      <c r="I27" s="70"/>
      <c r="J27" s="70"/>
      <c r="K27" s="70"/>
      <c r="L27" s="70" t="s">
        <v>299</v>
      </c>
      <c r="M27" s="70" t="s">
        <v>1355</v>
      </c>
      <c r="N27" s="70" t="s">
        <v>1396</v>
      </c>
      <c r="O27" s="70"/>
      <c r="P27" s="70"/>
      <c r="Q27" s="70"/>
      <c r="R27" s="70"/>
      <c r="S27" s="71"/>
      <c r="T27" s="75" t="s">
        <v>97</v>
      </c>
      <c r="U27" s="69">
        <v>45278</v>
      </c>
      <c r="V27" s="70"/>
      <c r="W27" s="71"/>
      <c r="X27" s="145" t="s">
        <v>151</v>
      </c>
      <c r="Y27" s="138"/>
      <c r="Z27" s="70"/>
      <c r="AA27" s="71"/>
      <c r="AB27" s="70"/>
      <c r="AC27" s="70"/>
      <c r="AD27" s="70"/>
      <c r="AE27" s="70" t="s">
        <v>1352</v>
      </c>
    </row>
    <row r="28" spans="2:31" ht="60" x14ac:dyDescent="0.25">
      <c r="B28" s="70" t="s">
        <v>53</v>
      </c>
      <c r="C28" s="70">
        <v>16</v>
      </c>
      <c r="D28" s="70" t="s">
        <v>1397</v>
      </c>
      <c r="E28" s="70" t="s">
        <v>1364</v>
      </c>
      <c r="F28" s="70" t="s">
        <v>1398</v>
      </c>
      <c r="G28" s="70"/>
      <c r="H28" s="47"/>
      <c r="I28" s="70"/>
      <c r="J28" s="70"/>
      <c r="K28" s="70"/>
      <c r="L28" s="70" t="s">
        <v>299</v>
      </c>
      <c r="M28" s="70" t="s">
        <v>1355</v>
      </c>
      <c r="N28" s="70" t="s">
        <v>1399</v>
      </c>
      <c r="O28" s="70"/>
      <c r="P28" s="70"/>
      <c r="Q28" s="70"/>
      <c r="R28" s="70"/>
      <c r="S28" s="71"/>
      <c r="T28" s="75" t="s">
        <v>97</v>
      </c>
      <c r="U28" s="69">
        <v>45278</v>
      </c>
      <c r="V28" s="70"/>
      <c r="W28" s="71"/>
      <c r="X28" s="145" t="s">
        <v>151</v>
      </c>
      <c r="Y28" s="138"/>
      <c r="Z28" s="70"/>
      <c r="AA28" s="71"/>
      <c r="AB28" s="70"/>
      <c r="AC28" s="70"/>
      <c r="AD28" s="70"/>
      <c r="AE28" s="70" t="s">
        <v>1352</v>
      </c>
    </row>
    <row r="29" spans="2:31" ht="60" x14ac:dyDescent="0.25">
      <c r="B29" s="70" t="s">
        <v>53</v>
      </c>
      <c r="C29" s="70">
        <v>17</v>
      </c>
      <c r="D29" s="70" t="s">
        <v>1400</v>
      </c>
      <c r="E29" s="70" t="s">
        <v>1364</v>
      </c>
      <c r="F29" s="70" t="s">
        <v>1401</v>
      </c>
      <c r="G29" s="70"/>
      <c r="H29" s="47"/>
      <c r="I29" s="70"/>
      <c r="J29" s="70"/>
      <c r="K29" s="70"/>
      <c r="L29" s="70" t="s">
        <v>299</v>
      </c>
      <c r="M29" s="70" t="s">
        <v>1355</v>
      </c>
      <c r="N29" s="70" t="s">
        <v>1402</v>
      </c>
      <c r="O29" s="70"/>
      <c r="P29" s="70"/>
      <c r="Q29" s="70"/>
      <c r="R29" s="70"/>
      <c r="S29" s="71"/>
      <c r="T29" s="75" t="s">
        <v>97</v>
      </c>
      <c r="U29" s="69">
        <v>45278</v>
      </c>
      <c r="V29" s="70"/>
      <c r="W29" s="71"/>
      <c r="X29" s="145" t="s">
        <v>151</v>
      </c>
      <c r="Y29" s="138"/>
      <c r="Z29" s="70"/>
      <c r="AA29" s="71"/>
      <c r="AB29" s="70"/>
      <c r="AC29" s="70"/>
      <c r="AD29" s="70"/>
      <c r="AE29" s="70" t="s">
        <v>1352</v>
      </c>
    </row>
    <row r="30" spans="2:31" ht="60" x14ac:dyDescent="0.25">
      <c r="B30" s="70" t="s">
        <v>53</v>
      </c>
      <c r="C30" s="70">
        <v>18</v>
      </c>
      <c r="D30" s="70" t="s">
        <v>1403</v>
      </c>
      <c r="E30" s="70" t="s">
        <v>1364</v>
      </c>
      <c r="F30" s="70" t="s">
        <v>1404</v>
      </c>
      <c r="G30" s="70"/>
      <c r="H30" s="47"/>
      <c r="I30" s="70"/>
      <c r="J30" s="70"/>
      <c r="K30" s="70"/>
      <c r="L30" s="70" t="s">
        <v>299</v>
      </c>
      <c r="M30" s="70" t="s">
        <v>1355</v>
      </c>
      <c r="N30" s="70" t="s">
        <v>1405</v>
      </c>
      <c r="O30" s="70"/>
      <c r="P30" s="70"/>
      <c r="Q30" s="70"/>
      <c r="R30" s="70"/>
      <c r="S30" s="71"/>
      <c r="T30" s="75" t="s">
        <v>97</v>
      </c>
      <c r="U30" s="69">
        <v>45278</v>
      </c>
      <c r="V30" s="70"/>
      <c r="W30" s="71"/>
      <c r="X30" s="145" t="s">
        <v>151</v>
      </c>
      <c r="Y30" s="138"/>
      <c r="Z30" s="70"/>
      <c r="AA30" s="71"/>
      <c r="AB30" s="70"/>
      <c r="AC30" s="70"/>
      <c r="AD30" s="70"/>
      <c r="AE30" s="70" t="s">
        <v>1352</v>
      </c>
    </row>
    <row r="31" spans="2:31" ht="75" x14ac:dyDescent="0.25">
      <c r="B31" s="70" t="s">
        <v>53</v>
      </c>
      <c r="C31" s="70">
        <v>19</v>
      </c>
      <c r="D31" s="70" t="s">
        <v>1406</v>
      </c>
      <c r="E31" s="70" t="s">
        <v>1364</v>
      </c>
      <c r="F31" s="70" t="s">
        <v>1407</v>
      </c>
      <c r="G31" s="70"/>
      <c r="H31" s="47"/>
      <c r="I31" s="70"/>
      <c r="J31" s="70"/>
      <c r="K31" s="70"/>
      <c r="L31" s="70" t="s">
        <v>299</v>
      </c>
      <c r="M31" s="70" t="s">
        <v>1355</v>
      </c>
      <c r="N31" s="70" t="s">
        <v>1408</v>
      </c>
      <c r="O31" s="70"/>
      <c r="P31" s="70"/>
      <c r="Q31" s="70"/>
      <c r="R31" s="70"/>
      <c r="S31" s="71"/>
      <c r="T31" s="75" t="s">
        <v>97</v>
      </c>
      <c r="U31" s="69">
        <v>45278</v>
      </c>
      <c r="V31" s="70"/>
      <c r="W31" s="71"/>
      <c r="X31" s="145" t="s">
        <v>151</v>
      </c>
      <c r="Y31" s="138"/>
      <c r="Z31" s="70"/>
      <c r="AA31" s="71"/>
      <c r="AB31" s="70"/>
      <c r="AC31" s="70"/>
      <c r="AD31" s="70"/>
      <c r="AE31" s="70" t="s">
        <v>1352</v>
      </c>
    </row>
    <row r="32" spans="2:31" ht="90" x14ac:dyDescent="0.25">
      <c r="B32" s="70" t="s">
        <v>53</v>
      </c>
      <c r="C32" s="70">
        <v>20</v>
      </c>
      <c r="D32" s="70" t="s">
        <v>1409</v>
      </c>
      <c r="E32" s="70" t="s">
        <v>1364</v>
      </c>
      <c r="F32" s="70" t="s">
        <v>1410</v>
      </c>
      <c r="G32" s="70"/>
      <c r="H32" s="47"/>
      <c r="I32" s="70"/>
      <c r="J32" s="70"/>
      <c r="K32" s="70"/>
      <c r="L32" s="70" t="s">
        <v>299</v>
      </c>
      <c r="M32" s="70" t="s">
        <v>1355</v>
      </c>
      <c r="N32" s="70" t="s">
        <v>1411</v>
      </c>
      <c r="O32" s="70"/>
      <c r="P32" s="70"/>
      <c r="Q32" s="70"/>
      <c r="R32" s="70"/>
      <c r="S32" s="71"/>
      <c r="T32" s="75" t="s">
        <v>97</v>
      </c>
      <c r="U32" s="69">
        <v>45278</v>
      </c>
      <c r="V32" s="70"/>
      <c r="W32" s="71"/>
      <c r="X32" s="145" t="s">
        <v>151</v>
      </c>
      <c r="Y32" s="138"/>
      <c r="Z32" s="70"/>
      <c r="AA32" s="71"/>
      <c r="AB32" s="70"/>
      <c r="AC32" s="70"/>
      <c r="AD32" s="70"/>
      <c r="AE32" s="70" t="s">
        <v>1352</v>
      </c>
    </row>
    <row r="33" spans="2:31" ht="45" x14ac:dyDescent="0.25">
      <c r="B33" s="70" t="s">
        <v>53</v>
      </c>
      <c r="C33" s="70">
        <v>21</v>
      </c>
      <c r="D33" s="70" t="s">
        <v>1412</v>
      </c>
      <c r="E33" s="70" t="s">
        <v>311</v>
      </c>
      <c r="F33" s="70" t="s">
        <v>1413</v>
      </c>
      <c r="G33" s="70"/>
      <c r="H33" s="47"/>
      <c r="I33" s="70"/>
      <c r="J33" s="70"/>
      <c r="K33" s="70"/>
      <c r="L33" s="70" t="s">
        <v>299</v>
      </c>
      <c r="M33" s="70" t="s">
        <v>1414</v>
      </c>
      <c r="N33" s="70" t="s">
        <v>1415</v>
      </c>
      <c r="O33" s="70"/>
      <c r="P33" s="70"/>
      <c r="Q33" s="70"/>
      <c r="R33" s="70"/>
      <c r="S33" s="71"/>
      <c r="T33" s="75" t="s">
        <v>97</v>
      </c>
      <c r="U33" s="69">
        <v>45306</v>
      </c>
      <c r="V33" s="70" t="s">
        <v>1416</v>
      </c>
      <c r="W33" s="71"/>
      <c r="X33" s="145" t="s">
        <v>152</v>
      </c>
      <c r="Y33" s="138"/>
      <c r="Z33" s="70"/>
      <c r="AA33" s="71"/>
      <c r="AB33" s="70"/>
      <c r="AC33" s="70"/>
      <c r="AD33" s="70"/>
      <c r="AE33" s="70"/>
    </row>
    <row r="34" spans="2:31" ht="45" x14ac:dyDescent="0.25">
      <c r="B34" s="70" t="s">
        <v>53</v>
      </c>
      <c r="C34" s="70">
        <v>22</v>
      </c>
      <c r="D34" s="70" t="s">
        <v>1417</v>
      </c>
      <c r="E34" s="70" t="s">
        <v>311</v>
      </c>
      <c r="F34" s="70" t="s">
        <v>1418</v>
      </c>
      <c r="G34" s="70"/>
      <c r="H34" s="47"/>
      <c r="I34" s="70"/>
      <c r="J34" s="70"/>
      <c r="K34" s="70"/>
      <c r="L34" s="70" t="s">
        <v>299</v>
      </c>
      <c r="M34" s="70" t="s">
        <v>1414</v>
      </c>
      <c r="N34" s="70" t="s">
        <v>1419</v>
      </c>
      <c r="O34" s="70"/>
      <c r="P34" s="70"/>
      <c r="Q34" s="70"/>
      <c r="R34" s="70"/>
      <c r="S34" s="71"/>
      <c r="T34" s="75" t="s">
        <v>97</v>
      </c>
      <c r="U34" s="69">
        <v>45306</v>
      </c>
      <c r="V34" s="70" t="s">
        <v>1416</v>
      </c>
      <c r="W34" s="71"/>
      <c r="X34" s="145" t="s">
        <v>152</v>
      </c>
      <c r="Y34" s="138"/>
      <c r="Z34" s="70"/>
      <c r="AA34" s="71"/>
      <c r="AB34" s="70"/>
      <c r="AC34" s="70"/>
      <c r="AD34" s="70"/>
      <c r="AE34" s="70"/>
    </row>
    <row r="35" spans="2:31" ht="45" x14ac:dyDescent="0.25">
      <c r="B35" s="70" t="s">
        <v>53</v>
      </c>
      <c r="C35" s="70">
        <v>23</v>
      </c>
      <c r="D35" s="70" t="s">
        <v>1420</v>
      </c>
      <c r="E35" s="70" t="s">
        <v>311</v>
      </c>
      <c r="F35" s="70" t="s">
        <v>1421</v>
      </c>
      <c r="G35" s="70"/>
      <c r="H35" s="47"/>
      <c r="I35" s="70"/>
      <c r="J35" s="70"/>
      <c r="K35" s="70"/>
      <c r="L35" s="70" t="s">
        <v>299</v>
      </c>
      <c r="M35" s="70" t="s">
        <v>1414</v>
      </c>
      <c r="N35" s="70" t="s">
        <v>1422</v>
      </c>
      <c r="O35" s="70"/>
      <c r="P35" s="70"/>
      <c r="Q35" s="70"/>
      <c r="R35" s="70"/>
      <c r="S35" s="71"/>
      <c r="T35" s="75" t="s">
        <v>97</v>
      </c>
      <c r="U35" s="69">
        <v>45306</v>
      </c>
      <c r="V35" s="70" t="s">
        <v>1416</v>
      </c>
      <c r="W35" s="71"/>
      <c r="X35" s="145" t="s">
        <v>152</v>
      </c>
      <c r="Y35" s="138"/>
      <c r="Z35" s="70"/>
      <c r="AA35" s="71"/>
      <c r="AB35" s="70"/>
      <c r="AC35" s="70"/>
      <c r="AD35" s="70"/>
      <c r="AE35" s="70"/>
    </row>
    <row r="36" spans="2:31" ht="45" x14ac:dyDescent="0.25">
      <c r="B36" s="70" t="s">
        <v>53</v>
      </c>
      <c r="C36" s="70">
        <v>24</v>
      </c>
      <c r="D36" s="70" t="s">
        <v>1423</v>
      </c>
      <c r="E36" s="70" t="s">
        <v>1364</v>
      </c>
      <c r="F36" s="70" t="s">
        <v>1424</v>
      </c>
      <c r="G36" s="70"/>
      <c r="H36" s="47"/>
      <c r="I36" s="70"/>
      <c r="J36" s="70"/>
      <c r="K36" s="70"/>
      <c r="L36" s="70" t="s">
        <v>299</v>
      </c>
      <c r="M36" s="70" t="s">
        <v>1414</v>
      </c>
      <c r="N36" s="70" t="s">
        <v>1425</v>
      </c>
      <c r="O36" s="70"/>
      <c r="P36" s="70"/>
      <c r="Q36" s="70"/>
      <c r="R36" s="70"/>
      <c r="S36" s="71"/>
      <c r="T36" s="75" t="s">
        <v>97</v>
      </c>
      <c r="U36" s="69">
        <v>45306</v>
      </c>
      <c r="V36" s="70" t="s">
        <v>1416</v>
      </c>
      <c r="W36" s="71"/>
      <c r="X36" s="145" t="s">
        <v>152</v>
      </c>
      <c r="Y36" s="138"/>
      <c r="Z36" s="70"/>
      <c r="AA36" s="71"/>
      <c r="AB36" s="70"/>
      <c r="AC36" s="70"/>
      <c r="AD36" s="70"/>
      <c r="AE36" s="70"/>
    </row>
    <row r="37" spans="2:31" ht="60" x14ac:dyDescent="0.25">
      <c r="B37" s="70" t="s">
        <v>53</v>
      </c>
      <c r="C37" s="70">
        <v>25</v>
      </c>
      <c r="D37" s="70" t="s">
        <v>1426</v>
      </c>
      <c r="E37" s="70" t="s">
        <v>1364</v>
      </c>
      <c r="F37" s="70" t="s">
        <v>1427</v>
      </c>
      <c r="G37" s="70"/>
      <c r="H37" s="47"/>
      <c r="I37" s="70"/>
      <c r="J37" s="70"/>
      <c r="K37" s="70"/>
      <c r="L37" s="70" t="s">
        <v>299</v>
      </c>
      <c r="M37" s="70" t="s">
        <v>1414</v>
      </c>
      <c r="N37" s="70" t="s">
        <v>1428</v>
      </c>
      <c r="O37" s="70"/>
      <c r="P37" s="70"/>
      <c r="Q37" s="70"/>
      <c r="R37" s="70"/>
      <c r="S37" s="71"/>
      <c r="T37" s="75" t="s">
        <v>97</v>
      </c>
      <c r="U37" s="69">
        <v>45306</v>
      </c>
      <c r="V37" s="70" t="s">
        <v>1416</v>
      </c>
      <c r="W37" s="71"/>
      <c r="X37" s="145" t="s">
        <v>152</v>
      </c>
      <c r="Y37" s="138"/>
      <c r="Z37" s="70"/>
      <c r="AA37" s="71"/>
      <c r="AB37" s="70"/>
      <c r="AC37" s="70"/>
      <c r="AD37" s="70"/>
      <c r="AE37" s="70"/>
    </row>
    <row r="38" spans="2:31" ht="45" x14ac:dyDescent="0.25">
      <c r="B38" s="70" t="s">
        <v>53</v>
      </c>
      <c r="C38" s="70">
        <v>26</v>
      </c>
      <c r="D38" s="70" t="s">
        <v>1429</v>
      </c>
      <c r="E38" s="70" t="s">
        <v>1364</v>
      </c>
      <c r="F38" s="70" t="s">
        <v>1430</v>
      </c>
      <c r="G38" s="70"/>
      <c r="H38" s="47"/>
      <c r="I38" s="70"/>
      <c r="J38" s="70"/>
      <c r="K38" s="70"/>
      <c r="L38" s="70" t="s">
        <v>299</v>
      </c>
      <c r="M38" s="70" t="s">
        <v>1414</v>
      </c>
      <c r="N38" s="70" t="s">
        <v>1431</v>
      </c>
      <c r="O38" s="70"/>
      <c r="P38" s="70"/>
      <c r="Q38" s="70"/>
      <c r="R38" s="70"/>
      <c r="S38" s="71"/>
      <c r="T38" s="75" t="s">
        <v>97</v>
      </c>
      <c r="U38" s="69">
        <v>45306</v>
      </c>
      <c r="V38" s="70" t="s">
        <v>1416</v>
      </c>
      <c r="W38" s="71"/>
      <c r="X38" s="145" t="s">
        <v>152</v>
      </c>
      <c r="Y38" s="138"/>
      <c r="Z38" s="70"/>
      <c r="AA38" s="71"/>
      <c r="AB38" s="70"/>
      <c r="AC38" s="70"/>
      <c r="AD38" s="70"/>
      <c r="AE38" s="70"/>
    </row>
    <row r="39" spans="2:31" ht="60" x14ac:dyDescent="0.25">
      <c r="B39" s="70" t="s">
        <v>53</v>
      </c>
      <c r="C39" s="70">
        <v>27</v>
      </c>
      <c r="D39" s="70" t="s">
        <v>1432</v>
      </c>
      <c r="E39" s="70" t="s">
        <v>1364</v>
      </c>
      <c r="F39" s="70" t="s">
        <v>1433</v>
      </c>
      <c r="G39" s="70"/>
      <c r="H39" s="47"/>
      <c r="I39" s="70"/>
      <c r="J39" s="70"/>
      <c r="K39" s="70"/>
      <c r="L39" s="70" t="s">
        <v>299</v>
      </c>
      <c r="M39" s="70" t="s">
        <v>1414</v>
      </c>
      <c r="N39" s="70" t="s">
        <v>1434</v>
      </c>
      <c r="O39" s="70"/>
      <c r="P39" s="70"/>
      <c r="Q39" s="70"/>
      <c r="R39" s="70"/>
      <c r="S39" s="71"/>
      <c r="T39" s="75" t="s">
        <v>97</v>
      </c>
      <c r="U39" s="69">
        <v>45306</v>
      </c>
      <c r="V39" s="70" t="s">
        <v>1416</v>
      </c>
      <c r="W39" s="71"/>
      <c r="X39" s="145" t="s">
        <v>152</v>
      </c>
      <c r="Y39" s="138"/>
      <c r="Z39" s="70"/>
      <c r="AA39" s="71"/>
      <c r="AB39" s="70"/>
      <c r="AC39" s="70"/>
      <c r="AD39" s="70"/>
      <c r="AE39" s="70"/>
    </row>
    <row r="40" spans="2:31" ht="45" x14ac:dyDescent="0.25">
      <c r="B40" s="70" t="s">
        <v>53</v>
      </c>
      <c r="C40" s="70">
        <v>28</v>
      </c>
      <c r="D40" s="70" t="s">
        <v>1435</v>
      </c>
      <c r="E40" s="70" t="s">
        <v>1364</v>
      </c>
      <c r="F40" s="70" t="s">
        <v>1436</v>
      </c>
      <c r="G40" s="70"/>
      <c r="H40" s="47"/>
      <c r="I40" s="70"/>
      <c r="J40" s="70"/>
      <c r="K40" s="70"/>
      <c r="L40" s="70" t="s">
        <v>299</v>
      </c>
      <c r="M40" s="70" t="s">
        <v>1414</v>
      </c>
      <c r="N40" s="70" t="s">
        <v>1437</v>
      </c>
      <c r="O40" s="70"/>
      <c r="P40" s="70"/>
      <c r="Q40" s="70"/>
      <c r="R40" s="70"/>
      <c r="S40" s="71"/>
      <c r="T40" s="75" t="s">
        <v>97</v>
      </c>
      <c r="U40" s="69">
        <v>45306</v>
      </c>
      <c r="V40" s="70" t="s">
        <v>1416</v>
      </c>
      <c r="W40" s="71"/>
      <c r="X40" s="145" t="s">
        <v>152</v>
      </c>
      <c r="Y40" s="138"/>
      <c r="Z40" s="70"/>
      <c r="AA40" s="71"/>
      <c r="AB40" s="70"/>
      <c r="AC40" s="70"/>
      <c r="AD40" s="70"/>
      <c r="AE40" s="70"/>
    </row>
    <row r="41" spans="2:31" ht="60" x14ac:dyDescent="0.25">
      <c r="B41" s="70" t="s">
        <v>53</v>
      </c>
      <c r="C41" s="70">
        <v>29</v>
      </c>
      <c r="D41" s="70" t="s">
        <v>1438</v>
      </c>
      <c r="E41" s="70" t="s">
        <v>1364</v>
      </c>
      <c r="F41" s="70" t="s">
        <v>1439</v>
      </c>
      <c r="G41" s="70"/>
      <c r="H41" s="47"/>
      <c r="I41" s="70"/>
      <c r="J41" s="70"/>
      <c r="K41" s="70"/>
      <c r="L41" s="70" t="s">
        <v>299</v>
      </c>
      <c r="M41" s="70" t="s">
        <v>1414</v>
      </c>
      <c r="N41" s="70" t="s">
        <v>1440</v>
      </c>
      <c r="O41" s="70"/>
      <c r="P41" s="70"/>
      <c r="Q41" s="70"/>
      <c r="R41" s="70"/>
      <c r="S41" s="71"/>
      <c r="T41" s="75" t="s">
        <v>97</v>
      </c>
      <c r="U41" s="69">
        <v>45306</v>
      </c>
      <c r="V41" s="70" t="s">
        <v>1416</v>
      </c>
      <c r="W41" s="71"/>
      <c r="X41" s="145" t="s">
        <v>152</v>
      </c>
      <c r="Y41" s="138"/>
      <c r="Z41" s="70"/>
      <c r="AA41" s="71"/>
      <c r="AB41" s="70"/>
      <c r="AC41" s="70"/>
      <c r="AD41" s="70"/>
      <c r="AE41" s="70"/>
    </row>
    <row r="42" spans="2:31" ht="45" x14ac:dyDescent="0.25">
      <c r="B42" s="70" t="s">
        <v>53</v>
      </c>
      <c r="C42" s="70">
        <v>30</v>
      </c>
      <c r="D42" s="70" t="s">
        <v>1441</v>
      </c>
      <c r="E42" s="70" t="s">
        <v>1364</v>
      </c>
      <c r="F42" s="70" t="s">
        <v>1442</v>
      </c>
      <c r="G42" s="70"/>
      <c r="H42" s="47"/>
      <c r="I42" s="70"/>
      <c r="J42" s="70"/>
      <c r="K42" s="70"/>
      <c r="L42" s="70" t="s">
        <v>299</v>
      </c>
      <c r="M42" s="70" t="s">
        <v>1414</v>
      </c>
      <c r="N42" s="70" t="s">
        <v>1443</v>
      </c>
      <c r="O42" s="70"/>
      <c r="P42" s="70"/>
      <c r="Q42" s="70"/>
      <c r="R42" s="70"/>
      <c r="S42" s="71"/>
      <c r="T42" s="75" t="s">
        <v>97</v>
      </c>
      <c r="U42" s="69">
        <v>45306</v>
      </c>
      <c r="V42" s="70" t="s">
        <v>1416</v>
      </c>
      <c r="W42" s="71"/>
      <c r="X42" s="145" t="s">
        <v>152</v>
      </c>
      <c r="Y42" s="138"/>
      <c r="Z42" s="70"/>
      <c r="AA42" s="71"/>
      <c r="AB42" s="70"/>
      <c r="AC42" s="70"/>
      <c r="AD42" s="70"/>
      <c r="AE42" s="70"/>
    </row>
    <row r="43" spans="2:31" ht="60" x14ac:dyDescent="0.25">
      <c r="B43" s="70" t="s">
        <v>53</v>
      </c>
      <c r="C43" s="70">
        <v>31</v>
      </c>
      <c r="D43" s="70" t="s">
        <v>1444</v>
      </c>
      <c r="E43" s="70" t="s">
        <v>1364</v>
      </c>
      <c r="F43" s="70" t="s">
        <v>1445</v>
      </c>
      <c r="G43" s="70"/>
      <c r="H43" s="47"/>
      <c r="I43" s="70"/>
      <c r="J43" s="70"/>
      <c r="K43" s="70"/>
      <c r="L43" s="70" t="s">
        <v>299</v>
      </c>
      <c r="M43" s="70" t="s">
        <v>1414</v>
      </c>
      <c r="N43" s="70" t="s">
        <v>1446</v>
      </c>
      <c r="O43" s="70"/>
      <c r="P43" s="70"/>
      <c r="Q43" s="70"/>
      <c r="R43" s="70"/>
      <c r="S43" s="71"/>
      <c r="T43" s="75" t="s">
        <v>97</v>
      </c>
      <c r="U43" s="69">
        <v>45306</v>
      </c>
      <c r="V43" s="70" t="s">
        <v>1416</v>
      </c>
      <c r="W43" s="71"/>
      <c r="X43" s="145" t="s">
        <v>152</v>
      </c>
      <c r="Y43" s="138"/>
      <c r="Z43" s="70"/>
      <c r="AA43" s="71"/>
      <c r="AB43" s="70"/>
      <c r="AC43" s="70"/>
      <c r="AD43" s="70"/>
      <c r="AE43" s="70"/>
    </row>
    <row r="44" spans="2:31" ht="45" x14ac:dyDescent="0.25">
      <c r="B44" s="70" t="s">
        <v>53</v>
      </c>
      <c r="C44" s="70">
        <v>32</v>
      </c>
      <c r="D44" s="70" t="s">
        <v>1447</v>
      </c>
      <c r="E44" s="70" t="s">
        <v>1364</v>
      </c>
      <c r="F44" s="70" t="s">
        <v>1448</v>
      </c>
      <c r="G44" s="70"/>
      <c r="H44" s="47"/>
      <c r="I44" s="70"/>
      <c r="J44" s="70"/>
      <c r="K44" s="70"/>
      <c r="L44" s="70" t="s">
        <v>299</v>
      </c>
      <c r="M44" s="70" t="s">
        <v>1414</v>
      </c>
      <c r="N44" s="70" t="s">
        <v>1449</v>
      </c>
      <c r="O44" s="70"/>
      <c r="P44" s="70"/>
      <c r="Q44" s="70"/>
      <c r="R44" s="70"/>
      <c r="S44" s="71"/>
      <c r="T44" s="75" t="s">
        <v>97</v>
      </c>
      <c r="U44" s="69">
        <v>45306</v>
      </c>
      <c r="V44" s="70" t="s">
        <v>1416</v>
      </c>
      <c r="W44" s="71"/>
      <c r="X44" s="145" t="s">
        <v>152</v>
      </c>
      <c r="Y44" s="138"/>
      <c r="Z44" s="70"/>
      <c r="AA44" s="71"/>
      <c r="AB44" s="70"/>
      <c r="AC44" s="70"/>
      <c r="AD44" s="70"/>
      <c r="AE44" s="70"/>
    </row>
    <row r="45" spans="2:31" ht="60" x14ac:dyDescent="0.25">
      <c r="B45" s="70" t="s">
        <v>53</v>
      </c>
      <c r="C45" s="70">
        <v>33</v>
      </c>
      <c r="D45" s="70" t="s">
        <v>1450</v>
      </c>
      <c r="E45" s="70" t="s">
        <v>1364</v>
      </c>
      <c r="F45" s="70" t="s">
        <v>1451</v>
      </c>
      <c r="G45" s="70"/>
      <c r="H45" s="47"/>
      <c r="I45" s="70"/>
      <c r="J45" s="70"/>
      <c r="K45" s="70"/>
      <c r="L45" s="70" t="s">
        <v>299</v>
      </c>
      <c r="M45" s="70" t="s">
        <v>1414</v>
      </c>
      <c r="N45" s="70" t="s">
        <v>1452</v>
      </c>
      <c r="O45" s="70"/>
      <c r="P45" s="70"/>
      <c r="Q45" s="70"/>
      <c r="R45" s="70"/>
      <c r="S45" s="71"/>
      <c r="T45" s="75" t="s">
        <v>97</v>
      </c>
      <c r="U45" s="69">
        <v>45306</v>
      </c>
      <c r="V45" s="70" t="s">
        <v>1416</v>
      </c>
      <c r="W45" s="71"/>
      <c r="X45" s="145" t="s">
        <v>152</v>
      </c>
      <c r="Y45" s="138"/>
      <c r="Z45" s="70"/>
      <c r="AA45" s="71"/>
      <c r="AB45" s="70"/>
      <c r="AC45" s="70"/>
      <c r="AD45" s="70"/>
      <c r="AE45" s="70"/>
    </row>
    <row r="46" spans="2:31" ht="45" x14ac:dyDescent="0.25">
      <c r="B46" s="70" t="s">
        <v>53</v>
      </c>
      <c r="C46" s="70">
        <v>34</v>
      </c>
      <c r="D46" s="70" t="s">
        <v>1453</v>
      </c>
      <c r="E46" s="70" t="s">
        <v>1364</v>
      </c>
      <c r="F46" s="70" t="s">
        <v>1454</v>
      </c>
      <c r="G46" s="70"/>
      <c r="H46" s="47"/>
      <c r="I46" s="70"/>
      <c r="J46" s="70"/>
      <c r="K46" s="70"/>
      <c r="L46" s="70" t="s">
        <v>299</v>
      </c>
      <c r="M46" s="70" t="s">
        <v>1414</v>
      </c>
      <c r="N46" s="70" t="s">
        <v>1455</v>
      </c>
      <c r="O46" s="70"/>
      <c r="P46" s="70"/>
      <c r="Q46" s="70"/>
      <c r="R46" s="70"/>
      <c r="S46" s="71"/>
      <c r="T46" s="75" t="s">
        <v>97</v>
      </c>
      <c r="U46" s="69">
        <v>45306</v>
      </c>
      <c r="V46" s="70" t="s">
        <v>1416</v>
      </c>
      <c r="W46" s="71"/>
      <c r="X46" s="145" t="s">
        <v>152</v>
      </c>
      <c r="Y46" s="139"/>
      <c r="Z46" s="70"/>
      <c r="AA46" s="71"/>
      <c r="AB46" s="70"/>
      <c r="AC46" s="70"/>
      <c r="AD46" s="70"/>
      <c r="AE46" s="70"/>
    </row>
    <row r="47" spans="2:31" ht="60" x14ac:dyDescent="0.25">
      <c r="B47" s="70" t="s">
        <v>53</v>
      </c>
      <c r="C47" s="70">
        <v>35</v>
      </c>
      <c r="D47" s="70" t="s">
        <v>1456</v>
      </c>
      <c r="E47" s="70" t="s">
        <v>1364</v>
      </c>
      <c r="F47" s="70" t="s">
        <v>1457</v>
      </c>
      <c r="G47" s="70"/>
      <c r="H47" s="47"/>
      <c r="I47" s="70"/>
      <c r="J47" s="70"/>
      <c r="K47" s="70"/>
      <c r="L47" s="70" t="s">
        <v>299</v>
      </c>
      <c r="M47" s="70" t="s">
        <v>1414</v>
      </c>
      <c r="N47" s="70" t="s">
        <v>1458</v>
      </c>
      <c r="O47" s="70"/>
      <c r="P47" s="70"/>
      <c r="Q47" s="70"/>
      <c r="R47" s="70"/>
      <c r="S47" s="71"/>
      <c r="T47" s="75" t="s">
        <v>97</v>
      </c>
      <c r="U47" s="69">
        <v>45306</v>
      </c>
      <c r="V47" s="70" t="s">
        <v>1416</v>
      </c>
      <c r="W47" s="71"/>
      <c r="X47" s="145" t="s">
        <v>152</v>
      </c>
      <c r="Y47" s="138"/>
      <c r="Z47" s="70"/>
      <c r="AA47" s="71"/>
      <c r="AB47" s="70"/>
      <c r="AC47" s="70"/>
      <c r="AD47" s="70"/>
      <c r="AE47" s="70"/>
    </row>
    <row r="48" spans="2:31" ht="45" x14ac:dyDescent="0.25">
      <c r="B48" s="70" t="s">
        <v>53</v>
      </c>
      <c r="C48" s="70">
        <v>36</v>
      </c>
      <c r="D48" s="70" t="s">
        <v>1459</v>
      </c>
      <c r="E48" s="70" t="s">
        <v>1364</v>
      </c>
      <c r="F48" s="70" t="s">
        <v>1460</v>
      </c>
      <c r="G48" s="70"/>
      <c r="H48" s="47"/>
      <c r="I48" s="79"/>
      <c r="J48" s="79"/>
      <c r="K48" s="70"/>
      <c r="L48" s="70" t="s">
        <v>299</v>
      </c>
      <c r="M48" s="70" t="s">
        <v>1414</v>
      </c>
      <c r="N48" s="70" t="s">
        <v>1461</v>
      </c>
      <c r="O48" s="70"/>
      <c r="P48" s="70"/>
      <c r="Q48" s="111"/>
      <c r="R48" s="70"/>
      <c r="S48" s="71"/>
      <c r="T48" s="75" t="s">
        <v>97</v>
      </c>
      <c r="U48" s="69">
        <v>45306</v>
      </c>
      <c r="V48" s="70" t="s">
        <v>1416</v>
      </c>
      <c r="W48" s="71"/>
      <c r="X48" s="145" t="s">
        <v>152</v>
      </c>
      <c r="Y48" s="139"/>
      <c r="Z48" s="70"/>
      <c r="AA48" s="71"/>
      <c r="AB48" s="70"/>
      <c r="AC48" s="70"/>
      <c r="AD48" s="70"/>
      <c r="AE48" s="70"/>
    </row>
    <row r="49" spans="2:31" ht="60" x14ac:dyDescent="0.25">
      <c r="B49" s="70" t="s">
        <v>53</v>
      </c>
      <c r="C49" s="70">
        <v>37</v>
      </c>
      <c r="D49" s="70" t="s">
        <v>1462</v>
      </c>
      <c r="E49" s="70" t="s">
        <v>1364</v>
      </c>
      <c r="F49" s="70" t="s">
        <v>1463</v>
      </c>
      <c r="G49" s="79"/>
      <c r="H49" s="82"/>
      <c r="I49" s="70"/>
      <c r="J49" s="79"/>
      <c r="K49" s="79"/>
      <c r="L49" s="70" t="s">
        <v>299</v>
      </c>
      <c r="M49" s="70" t="s">
        <v>1414</v>
      </c>
      <c r="N49" s="70" t="s">
        <v>1464</v>
      </c>
      <c r="O49" s="70"/>
      <c r="P49" s="70"/>
      <c r="Q49" s="70"/>
      <c r="R49" s="70"/>
      <c r="S49" s="71"/>
      <c r="T49" s="75" t="s">
        <v>97</v>
      </c>
      <c r="U49" s="69">
        <v>45306</v>
      </c>
      <c r="V49" s="70" t="s">
        <v>1416</v>
      </c>
      <c r="W49" s="71"/>
      <c r="X49" s="145" t="s">
        <v>152</v>
      </c>
      <c r="Y49" s="139"/>
      <c r="Z49" s="70"/>
      <c r="AA49" s="71"/>
      <c r="AB49" s="70"/>
      <c r="AC49" s="70"/>
      <c r="AD49" s="70"/>
      <c r="AE49" s="70"/>
    </row>
    <row r="50" spans="2:31" ht="75" x14ac:dyDescent="0.25">
      <c r="B50" s="70" t="s">
        <v>53</v>
      </c>
      <c r="C50" s="70">
        <v>38</v>
      </c>
      <c r="D50" s="70" t="s">
        <v>1465</v>
      </c>
      <c r="E50" s="70" t="s">
        <v>1364</v>
      </c>
      <c r="F50" s="70" t="s">
        <v>1466</v>
      </c>
      <c r="G50" s="70"/>
      <c r="H50" s="47"/>
      <c r="I50" s="70"/>
      <c r="J50" s="70"/>
      <c r="K50" s="70"/>
      <c r="L50" s="70" t="s">
        <v>299</v>
      </c>
      <c r="M50" s="70" t="s">
        <v>1414</v>
      </c>
      <c r="N50" s="70" t="s">
        <v>1467</v>
      </c>
      <c r="O50" s="70"/>
      <c r="P50" s="70"/>
      <c r="Q50" s="70"/>
      <c r="R50" s="70"/>
      <c r="S50" s="71"/>
      <c r="T50" s="75" t="s">
        <v>97</v>
      </c>
      <c r="U50" s="69">
        <v>45306</v>
      </c>
      <c r="V50" s="70" t="s">
        <v>1416</v>
      </c>
      <c r="W50" s="71"/>
      <c r="X50" s="145" t="s">
        <v>152</v>
      </c>
      <c r="Y50" s="138"/>
      <c r="Z50" s="70"/>
      <c r="AA50" s="71"/>
      <c r="AB50" s="70"/>
      <c r="AC50" s="70"/>
      <c r="AD50" s="70"/>
      <c r="AE50" s="70"/>
    </row>
    <row r="51" spans="2:31" ht="90" x14ac:dyDescent="0.25">
      <c r="B51" s="70" t="s">
        <v>53</v>
      </c>
      <c r="C51" s="70">
        <v>39</v>
      </c>
      <c r="D51" s="70" t="s">
        <v>1468</v>
      </c>
      <c r="E51" s="70" t="s">
        <v>1364</v>
      </c>
      <c r="F51" s="70" t="s">
        <v>1469</v>
      </c>
      <c r="G51" s="70"/>
      <c r="H51" s="47"/>
      <c r="I51" s="70"/>
      <c r="J51" s="70"/>
      <c r="K51" s="70"/>
      <c r="L51" s="70" t="s">
        <v>299</v>
      </c>
      <c r="M51" s="70" t="s">
        <v>1414</v>
      </c>
      <c r="N51" s="70" t="s">
        <v>1470</v>
      </c>
      <c r="O51" s="70"/>
      <c r="P51" s="70"/>
      <c r="Q51" s="70"/>
      <c r="R51" s="70"/>
      <c r="S51" s="71"/>
      <c r="T51" s="75" t="s">
        <v>97</v>
      </c>
      <c r="U51" s="69">
        <v>45306</v>
      </c>
      <c r="V51" s="70" t="s">
        <v>1416</v>
      </c>
      <c r="W51" s="71"/>
      <c r="X51" s="145" t="s">
        <v>152</v>
      </c>
      <c r="Y51" s="138"/>
      <c r="Z51" s="70"/>
      <c r="AA51" s="71"/>
      <c r="AB51" s="70"/>
      <c r="AC51" s="70"/>
      <c r="AD51" s="70"/>
      <c r="AE51" s="70"/>
    </row>
    <row r="52" spans="2:31" x14ac:dyDescent="0.25">
      <c r="B52" s="70"/>
      <c r="C52" s="70"/>
      <c r="D52" s="70"/>
      <c r="E52" s="70"/>
      <c r="F52" s="70"/>
      <c r="G52" s="70"/>
      <c r="H52" s="47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1"/>
      <c r="T52" s="78"/>
      <c r="U52" s="69"/>
      <c r="V52" s="72"/>
      <c r="W52" s="71"/>
      <c r="X52" s="145"/>
      <c r="Y52" s="138"/>
      <c r="Z52" s="70"/>
      <c r="AA52" s="71"/>
      <c r="AB52" s="70"/>
      <c r="AC52" s="70"/>
      <c r="AD52" s="70"/>
      <c r="AE52" s="70"/>
    </row>
    <row r="53" spans="2:31" ht="105" customHeight="1" x14ac:dyDescent="0.25">
      <c r="B53" s="70"/>
      <c r="C53" s="70"/>
      <c r="D53" s="70"/>
      <c r="E53" s="70"/>
      <c r="F53" s="70"/>
      <c r="G53" s="70"/>
      <c r="H53" s="47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1"/>
      <c r="T53" s="78"/>
      <c r="U53" s="69"/>
      <c r="V53" s="72"/>
      <c r="W53" s="71"/>
      <c r="X53" s="145"/>
      <c r="Y53" s="138"/>
      <c r="Z53" s="70"/>
      <c r="AA53" s="71"/>
      <c r="AB53" s="70"/>
      <c r="AC53" s="70"/>
      <c r="AD53" s="70"/>
      <c r="AE53" s="70"/>
    </row>
    <row r="54" spans="2:31" x14ac:dyDescent="0.25">
      <c r="B54" s="70"/>
      <c r="C54" s="70"/>
      <c r="D54" s="70"/>
      <c r="E54" s="70"/>
      <c r="F54" s="70"/>
      <c r="G54" s="70"/>
      <c r="H54" s="47"/>
      <c r="I54" s="70"/>
      <c r="J54" s="70"/>
      <c r="K54" s="70"/>
      <c r="L54" s="68"/>
      <c r="M54" s="68"/>
      <c r="N54" s="70"/>
      <c r="O54" s="70"/>
      <c r="P54" s="70"/>
      <c r="Q54" s="70"/>
      <c r="R54" s="70"/>
      <c r="S54" s="71"/>
      <c r="T54" s="78"/>
      <c r="U54" s="69"/>
      <c r="V54" s="126"/>
      <c r="W54" s="71"/>
      <c r="X54" s="145"/>
      <c r="Y54" s="138"/>
      <c r="Z54" s="70"/>
      <c r="AA54" s="71"/>
      <c r="AB54" s="70"/>
      <c r="AC54" s="70"/>
      <c r="AD54" s="70"/>
      <c r="AE54" s="70"/>
    </row>
    <row r="55" spans="2:31" x14ac:dyDescent="0.25">
      <c r="B55" s="70"/>
      <c r="C55" s="70"/>
      <c r="D55" s="70"/>
      <c r="E55" s="70"/>
      <c r="F55" s="70"/>
      <c r="G55" s="70"/>
      <c r="H55" s="47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1"/>
      <c r="T55" s="78"/>
      <c r="U55" s="69"/>
      <c r="V55" s="72"/>
      <c r="W55" s="71"/>
      <c r="X55" s="145"/>
      <c r="Y55" s="139"/>
      <c r="Z55" s="70"/>
      <c r="AA55" s="71"/>
      <c r="AB55" s="70"/>
      <c r="AC55" s="70"/>
      <c r="AD55" s="70"/>
      <c r="AE55" s="70"/>
    </row>
    <row r="56" spans="2:31" x14ac:dyDescent="0.25">
      <c r="B56" s="70"/>
      <c r="C56" s="70"/>
      <c r="D56" s="70"/>
      <c r="E56" s="70"/>
      <c r="F56" s="70"/>
      <c r="G56" s="70"/>
      <c r="H56" s="47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1"/>
      <c r="T56" s="78"/>
      <c r="U56" s="69"/>
      <c r="V56" s="72"/>
      <c r="W56" s="71"/>
      <c r="X56" s="145"/>
      <c r="Y56" s="139"/>
      <c r="Z56" s="70"/>
      <c r="AA56" s="71"/>
      <c r="AB56" s="70"/>
      <c r="AC56" s="70"/>
      <c r="AD56" s="70"/>
      <c r="AE56" s="70"/>
    </row>
    <row r="57" spans="2:31" x14ac:dyDescent="0.25">
      <c r="B57" s="70"/>
      <c r="C57" s="70"/>
      <c r="D57" s="79"/>
      <c r="E57" s="79"/>
      <c r="F57" s="79"/>
      <c r="G57" s="79"/>
      <c r="H57" s="82"/>
      <c r="I57" s="70"/>
      <c r="J57" s="79"/>
      <c r="K57" s="79"/>
      <c r="L57" s="70"/>
      <c r="M57" s="70"/>
      <c r="N57" s="70"/>
      <c r="O57" s="70"/>
      <c r="P57" s="70"/>
      <c r="Q57" s="70"/>
      <c r="R57" s="70"/>
      <c r="S57" s="71"/>
      <c r="T57" s="75"/>
      <c r="U57" s="69"/>
      <c r="V57" s="72"/>
      <c r="W57" s="71"/>
      <c r="X57" s="145"/>
      <c r="Y57" s="139"/>
      <c r="Z57" s="70"/>
      <c r="AA57" s="71"/>
      <c r="AB57" s="70"/>
      <c r="AC57" s="70"/>
      <c r="AD57" s="70"/>
      <c r="AE57" s="70"/>
    </row>
    <row r="58" spans="2:31" x14ac:dyDescent="0.25">
      <c r="B58" s="70"/>
      <c r="C58" s="70"/>
      <c r="D58" s="70"/>
      <c r="E58" s="70"/>
      <c r="F58" s="70"/>
      <c r="G58" s="70"/>
      <c r="H58" s="47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1"/>
      <c r="T58" s="78"/>
      <c r="U58" s="69"/>
      <c r="V58" s="72"/>
      <c r="W58" s="71"/>
      <c r="X58" s="145"/>
      <c r="Y58" s="139"/>
      <c r="Z58" s="70"/>
      <c r="AA58" s="71"/>
      <c r="AB58" s="70"/>
      <c r="AC58" s="70"/>
      <c r="AD58" s="70"/>
      <c r="AE58" s="70"/>
    </row>
    <row r="59" spans="2:31" x14ac:dyDescent="0.25">
      <c r="B59" s="70"/>
      <c r="C59" s="70"/>
      <c r="D59" s="70"/>
      <c r="E59" s="70"/>
      <c r="F59" s="70"/>
      <c r="G59" s="70"/>
      <c r="H59" s="47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1"/>
      <c r="T59" s="78"/>
      <c r="U59" s="69"/>
      <c r="V59" s="72"/>
      <c r="W59" s="71"/>
      <c r="X59" s="145"/>
      <c r="Y59" s="139"/>
      <c r="Z59" s="70"/>
      <c r="AA59" s="71"/>
      <c r="AB59" s="70"/>
      <c r="AC59" s="70"/>
      <c r="AD59" s="70"/>
      <c r="AE59" s="70"/>
    </row>
    <row r="60" spans="2:31" x14ac:dyDescent="0.25">
      <c r="B60" s="70"/>
      <c r="C60" s="70"/>
      <c r="D60" s="68"/>
      <c r="E60" s="68"/>
      <c r="F60" s="70"/>
      <c r="G60" s="70"/>
      <c r="H60" s="47"/>
      <c r="I60" s="70"/>
      <c r="J60" s="68"/>
      <c r="K60" s="68"/>
      <c r="L60" s="70"/>
      <c r="M60" s="70"/>
      <c r="N60" s="70"/>
      <c r="O60" s="70"/>
      <c r="P60" s="70"/>
      <c r="Q60" s="70"/>
      <c r="R60" s="70"/>
      <c r="S60" s="47"/>
      <c r="T60" s="75"/>
      <c r="U60" s="69"/>
      <c r="V60" s="111"/>
      <c r="W60" s="47"/>
      <c r="X60" s="145"/>
      <c r="Y60" s="139"/>
      <c r="Z60" s="68"/>
      <c r="AA60" s="47"/>
      <c r="AB60" s="68"/>
      <c r="AC60" s="68"/>
      <c r="AD60" s="68"/>
      <c r="AE60" s="68"/>
    </row>
    <row r="61" spans="2:31" x14ac:dyDescent="0.25">
      <c r="B61" s="70"/>
      <c r="C61" s="70"/>
      <c r="D61" s="70"/>
      <c r="E61" s="70"/>
      <c r="F61" s="70"/>
      <c r="G61" s="70"/>
      <c r="H61" s="47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1"/>
      <c r="T61" s="78"/>
      <c r="U61" s="69"/>
      <c r="V61" s="72"/>
      <c r="W61" s="71"/>
      <c r="X61" s="145"/>
      <c r="Y61" s="138"/>
      <c r="Z61" s="70"/>
      <c r="AA61" s="71"/>
      <c r="AB61" s="70"/>
      <c r="AC61" s="70"/>
      <c r="AD61" s="70"/>
      <c r="AE61" s="70"/>
    </row>
    <row r="62" spans="2:31" x14ac:dyDescent="0.25">
      <c r="B62" s="70"/>
      <c r="C62" s="70"/>
      <c r="D62" s="70"/>
      <c r="E62" s="70"/>
      <c r="F62" s="70"/>
      <c r="G62" s="70"/>
      <c r="H62" s="47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1"/>
      <c r="T62" s="78"/>
      <c r="U62" s="69"/>
      <c r="V62" s="72"/>
      <c r="W62" s="71"/>
      <c r="X62" s="145"/>
      <c r="Y62" s="138"/>
      <c r="Z62" s="70"/>
      <c r="AA62" s="71"/>
      <c r="AB62" s="70"/>
      <c r="AC62" s="70"/>
      <c r="AD62" s="70"/>
      <c r="AE62" s="70"/>
    </row>
    <row r="63" spans="2:31" x14ac:dyDescent="0.25">
      <c r="B63" s="70"/>
      <c r="C63" s="70"/>
      <c r="D63" s="70"/>
      <c r="E63" s="70"/>
      <c r="F63" s="70"/>
      <c r="G63" s="70"/>
      <c r="H63" s="47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1"/>
      <c r="T63" s="78"/>
      <c r="U63" s="69"/>
      <c r="V63" s="72"/>
      <c r="W63" s="71"/>
      <c r="X63" s="145"/>
      <c r="Y63" s="138"/>
      <c r="Z63" s="70"/>
      <c r="AA63" s="71"/>
      <c r="AB63" s="70"/>
      <c r="AC63" s="70"/>
      <c r="AD63" s="70"/>
      <c r="AE63" s="70"/>
    </row>
    <row r="64" spans="2:31" x14ac:dyDescent="0.25">
      <c r="B64" s="70"/>
      <c r="C64" s="70"/>
      <c r="D64" s="70"/>
      <c r="E64" s="70"/>
      <c r="F64" s="70"/>
      <c r="G64" s="70"/>
      <c r="H64" s="47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1"/>
      <c r="T64" s="77"/>
      <c r="U64" s="69"/>
      <c r="V64" s="72"/>
      <c r="W64" s="71"/>
      <c r="X64" s="145"/>
      <c r="Y64" s="139"/>
      <c r="Z64" s="70"/>
      <c r="AA64" s="71"/>
      <c r="AB64" s="70"/>
      <c r="AC64" s="70"/>
      <c r="AD64" s="70"/>
      <c r="AE64" s="70"/>
    </row>
    <row r="65" spans="2:31" x14ac:dyDescent="0.25">
      <c r="B65" s="70"/>
      <c r="C65" s="70"/>
      <c r="D65" s="70"/>
      <c r="E65" s="70"/>
      <c r="F65" s="70"/>
      <c r="G65" s="70"/>
      <c r="H65" s="47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1"/>
      <c r="T65" s="77"/>
      <c r="U65" s="69"/>
      <c r="V65" s="72"/>
      <c r="W65" s="71"/>
      <c r="X65" s="145"/>
      <c r="Y65" s="139"/>
      <c r="Z65" s="70"/>
      <c r="AA65" s="71"/>
      <c r="AB65" s="70"/>
      <c r="AC65" s="70"/>
      <c r="AD65" s="70"/>
      <c r="AE65" s="70"/>
    </row>
    <row r="66" spans="2:31" x14ac:dyDescent="0.25">
      <c r="B66" s="70"/>
      <c r="C66" s="70"/>
      <c r="D66" s="70"/>
      <c r="E66" s="70"/>
      <c r="F66" s="70"/>
      <c r="G66" s="70"/>
      <c r="H66" s="47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1"/>
      <c r="T66" s="78"/>
      <c r="U66" s="69"/>
      <c r="V66" s="72"/>
      <c r="W66" s="71"/>
      <c r="X66" s="145"/>
      <c r="Y66" s="139"/>
      <c r="Z66" s="70"/>
      <c r="AA66" s="71"/>
      <c r="AB66" s="70"/>
      <c r="AC66" s="70"/>
      <c r="AD66" s="70"/>
      <c r="AE66" s="70"/>
    </row>
    <row r="67" spans="2:31" x14ac:dyDescent="0.25">
      <c r="B67" s="70"/>
      <c r="C67" s="70"/>
      <c r="D67" s="70"/>
      <c r="E67" s="70"/>
      <c r="F67" s="70"/>
      <c r="G67" s="70"/>
      <c r="H67" s="47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1"/>
      <c r="T67" s="77"/>
      <c r="U67" s="69"/>
      <c r="V67" s="72"/>
      <c r="W67" s="71"/>
      <c r="X67" s="145"/>
      <c r="Y67" s="139"/>
      <c r="Z67" s="70"/>
      <c r="AA67" s="71"/>
      <c r="AB67" s="70"/>
      <c r="AC67" s="70"/>
      <c r="AD67" s="70"/>
      <c r="AE67" s="70"/>
    </row>
    <row r="68" spans="2:31" x14ac:dyDescent="0.25">
      <c r="B68" s="70"/>
      <c r="C68" s="70"/>
      <c r="D68" s="70"/>
      <c r="E68" s="70"/>
      <c r="F68" s="70"/>
      <c r="G68" s="70"/>
      <c r="H68" s="47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1"/>
      <c r="T68" s="77"/>
      <c r="U68" s="69"/>
      <c r="V68" s="72"/>
      <c r="W68" s="71"/>
      <c r="X68" s="145"/>
      <c r="Y68" s="139"/>
      <c r="Z68" s="70"/>
      <c r="AA68" s="71"/>
      <c r="AB68" s="70"/>
      <c r="AC68" s="70"/>
      <c r="AD68" s="70"/>
      <c r="AE68" s="70"/>
    </row>
    <row r="69" spans="2:31" x14ac:dyDescent="0.25">
      <c r="B69" s="70"/>
      <c r="C69" s="70"/>
      <c r="D69" s="70"/>
      <c r="E69" s="70"/>
      <c r="F69" s="70"/>
      <c r="G69" s="70"/>
      <c r="H69" s="47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1"/>
      <c r="T69" s="78"/>
      <c r="U69" s="69"/>
      <c r="V69" s="72"/>
      <c r="W69" s="71"/>
      <c r="X69" s="145"/>
      <c r="Y69" s="139"/>
      <c r="Z69" s="70"/>
      <c r="AA69" s="71"/>
      <c r="AB69" s="70"/>
      <c r="AC69" s="70"/>
      <c r="AD69" s="70"/>
      <c r="AE69" s="70"/>
    </row>
    <row r="70" spans="2:31" ht="51.75" customHeight="1" x14ac:dyDescent="0.25">
      <c r="B70" s="70"/>
      <c r="C70" s="70"/>
      <c r="D70" s="70"/>
      <c r="E70" s="70"/>
      <c r="F70" s="70"/>
      <c r="G70" s="70"/>
      <c r="H70" s="47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1"/>
      <c r="T70" s="75"/>
      <c r="U70" s="69"/>
      <c r="V70" s="72"/>
      <c r="W70" s="71"/>
      <c r="X70" s="145"/>
      <c r="Y70" s="139"/>
      <c r="Z70" s="70"/>
      <c r="AA70" s="71"/>
      <c r="AB70" s="70"/>
      <c r="AC70" s="70"/>
      <c r="AD70" s="70"/>
      <c r="AE70" s="70"/>
    </row>
    <row r="71" spans="2:31" ht="122.25" customHeight="1" x14ac:dyDescent="0.25">
      <c r="B71" s="70"/>
      <c r="C71" s="70"/>
      <c r="D71" s="70"/>
      <c r="E71" s="70"/>
      <c r="F71" s="70"/>
      <c r="G71" s="70"/>
      <c r="H71" s="47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1"/>
      <c r="T71" s="75"/>
      <c r="U71" s="69"/>
      <c r="V71" s="72"/>
      <c r="W71" s="71"/>
      <c r="X71" s="145"/>
      <c r="Y71" s="139"/>
      <c r="Z71" s="70"/>
      <c r="AA71" s="71"/>
      <c r="AB71" s="70"/>
      <c r="AC71" s="70"/>
      <c r="AD71" s="70"/>
      <c r="AE71" s="70"/>
    </row>
    <row r="72" spans="2:31" x14ac:dyDescent="0.25">
      <c r="B72" s="70"/>
      <c r="C72" s="70"/>
      <c r="D72" s="70"/>
      <c r="E72" s="70"/>
      <c r="F72" s="70"/>
      <c r="G72" s="70"/>
      <c r="H72" s="47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1"/>
      <c r="T72" s="75"/>
      <c r="U72" s="69"/>
      <c r="V72" s="72"/>
      <c r="W72" s="71"/>
      <c r="X72" s="145"/>
      <c r="Y72" s="139"/>
      <c r="Z72" s="70"/>
      <c r="AA72" s="71"/>
      <c r="AB72" s="70"/>
      <c r="AC72" s="70"/>
      <c r="AD72" s="70"/>
      <c r="AE72" s="70"/>
    </row>
    <row r="73" spans="2:31" x14ac:dyDescent="0.25">
      <c r="B73" s="70"/>
      <c r="C73" s="70"/>
      <c r="D73" s="70"/>
      <c r="E73" s="70"/>
      <c r="F73" s="70"/>
      <c r="G73" s="70"/>
      <c r="H73" s="47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1"/>
      <c r="T73" s="75"/>
      <c r="U73" s="69"/>
      <c r="V73" s="126"/>
      <c r="W73" s="71"/>
      <c r="X73" s="145"/>
      <c r="Y73" s="139"/>
      <c r="Z73" s="70"/>
      <c r="AA73" s="71"/>
      <c r="AB73" s="70"/>
      <c r="AC73" s="70"/>
      <c r="AD73" s="70"/>
      <c r="AE73" s="70"/>
    </row>
    <row r="74" spans="2:31" x14ac:dyDescent="0.25">
      <c r="B74" s="70"/>
      <c r="C74" s="70"/>
      <c r="D74" s="79"/>
      <c r="E74" s="79"/>
      <c r="F74" s="79"/>
      <c r="G74" s="79"/>
      <c r="H74" s="82"/>
      <c r="I74" s="70"/>
      <c r="J74" s="79"/>
      <c r="K74" s="79"/>
      <c r="L74" s="70"/>
      <c r="M74" s="70"/>
      <c r="N74" s="70"/>
      <c r="O74" s="70"/>
      <c r="P74" s="70"/>
      <c r="Q74" s="70"/>
      <c r="R74" s="70"/>
      <c r="S74" s="71"/>
      <c r="T74" s="75"/>
      <c r="U74" s="69"/>
      <c r="V74" s="72"/>
      <c r="W74" s="71"/>
      <c r="X74" s="145"/>
      <c r="Y74" s="139"/>
      <c r="Z74" s="70"/>
      <c r="AA74" s="71"/>
      <c r="AB74" s="70"/>
      <c r="AC74" s="70"/>
      <c r="AD74" s="70"/>
      <c r="AE74" s="70"/>
    </row>
    <row r="75" spans="2:31" x14ac:dyDescent="0.25">
      <c r="B75" s="70"/>
      <c r="C75" s="70"/>
      <c r="D75" s="79"/>
      <c r="E75" s="79"/>
      <c r="F75" s="79"/>
      <c r="G75" s="79"/>
      <c r="H75" s="82"/>
      <c r="I75" s="70"/>
      <c r="J75" s="79"/>
      <c r="K75" s="79"/>
      <c r="L75" s="70"/>
      <c r="M75" s="70"/>
      <c r="N75" s="70"/>
      <c r="O75" s="70"/>
      <c r="P75" s="70"/>
      <c r="Q75" s="70"/>
      <c r="R75" s="70"/>
      <c r="S75" s="71"/>
      <c r="T75" s="75"/>
      <c r="U75" s="69"/>
      <c r="V75" s="72"/>
      <c r="W75" s="71"/>
      <c r="X75" s="145"/>
      <c r="Y75" s="139"/>
      <c r="Z75" s="70"/>
      <c r="AA75" s="71"/>
      <c r="AB75" s="70"/>
      <c r="AC75" s="70"/>
      <c r="AD75" s="70"/>
      <c r="AE75" s="70"/>
    </row>
    <row r="76" spans="2:31" x14ac:dyDescent="0.25">
      <c r="B76" s="70"/>
      <c r="C76" s="70"/>
      <c r="D76" s="79"/>
      <c r="E76" s="79"/>
      <c r="F76" s="79"/>
      <c r="G76" s="79"/>
      <c r="H76" s="82"/>
      <c r="I76" s="70"/>
      <c r="J76" s="79"/>
      <c r="K76" s="79"/>
      <c r="L76" s="70"/>
      <c r="M76" s="70"/>
      <c r="N76" s="70"/>
      <c r="O76" s="70"/>
      <c r="P76" s="70"/>
      <c r="Q76" s="70"/>
      <c r="R76" s="70"/>
      <c r="S76" s="71"/>
      <c r="T76" s="75"/>
      <c r="U76" s="69"/>
      <c r="V76" s="72"/>
      <c r="W76" s="71"/>
      <c r="X76" s="145"/>
      <c r="Y76" s="139"/>
      <c r="Z76" s="70"/>
      <c r="AA76" s="71"/>
      <c r="AB76" s="70"/>
      <c r="AC76" s="70"/>
      <c r="AD76" s="70"/>
      <c r="AE76" s="70"/>
    </row>
    <row r="77" spans="2:31" ht="141.75" customHeight="1" x14ac:dyDescent="0.25">
      <c r="B77" s="70"/>
      <c r="C77" s="70"/>
      <c r="D77" s="79"/>
      <c r="E77" s="79"/>
      <c r="F77" s="79"/>
      <c r="G77" s="79"/>
      <c r="H77" s="82"/>
      <c r="I77" s="70"/>
      <c r="J77" s="79"/>
      <c r="K77" s="79"/>
      <c r="L77" s="70"/>
      <c r="M77" s="70"/>
      <c r="N77" s="70"/>
      <c r="O77" s="70"/>
      <c r="P77" s="70"/>
      <c r="Q77" s="70"/>
      <c r="R77" s="70"/>
      <c r="S77" s="71"/>
      <c r="T77" s="75"/>
      <c r="U77" s="69"/>
      <c r="V77" s="72"/>
      <c r="W77" s="71"/>
      <c r="X77" s="145"/>
      <c r="Y77" s="139"/>
      <c r="Z77" s="70"/>
      <c r="AA77" s="71"/>
      <c r="AB77" s="70"/>
      <c r="AC77" s="70"/>
      <c r="AD77" s="70"/>
      <c r="AE77" s="70"/>
    </row>
    <row r="78" spans="2:31" x14ac:dyDescent="0.25">
      <c r="B78" s="70"/>
      <c r="C78" s="70"/>
      <c r="D78" s="68"/>
      <c r="E78" s="68"/>
      <c r="F78" s="68"/>
      <c r="G78" s="70"/>
      <c r="H78" s="47"/>
      <c r="I78" s="68"/>
      <c r="J78" s="68"/>
      <c r="K78" s="68"/>
      <c r="L78" s="70"/>
      <c r="M78" s="70"/>
      <c r="N78" s="68"/>
      <c r="O78" s="68"/>
      <c r="P78" s="68"/>
      <c r="Q78" s="70"/>
      <c r="R78" s="70"/>
      <c r="S78" s="47"/>
      <c r="T78" s="75"/>
      <c r="U78" s="69"/>
      <c r="V78" s="70"/>
      <c r="W78" s="47"/>
      <c r="X78" s="145"/>
      <c r="Y78" s="139"/>
      <c r="Z78" s="70"/>
      <c r="AA78" s="47"/>
      <c r="AB78" s="70"/>
      <c r="AC78" s="70"/>
      <c r="AD78" s="70"/>
      <c r="AE78" s="70"/>
    </row>
    <row r="79" spans="2:31" x14ac:dyDescent="0.25">
      <c r="B79" s="70"/>
      <c r="C79" s="70"/>
      <c r="D79" s="79"/>
      <c r="E79" s="79"/>
      <c r="F79" s="79"/>
      <c r="G79" s="79"/>
      <c r="H79" s="82"/>
      <c r="I79" s="70"/>
      <c r="J79" s="79"/>
      <c r="K79" s="79"/>
      <c r="L79" s="70"/>
      <c r="M79" s="70"/>
      <c r="N79" s="70"/>
      <c r="O79" s="70"/>
      <c r="P79" s="70"/>
      <c r="Q79" s="70"/>
      <c r="R79" s="70"/>
      <c r="S79" s="71"/>
      <c r="T79" s="75"/>
      <c r="U79" s="69"/>
      <c r="V79" s="70"/>
      <c r="W79" s="71"/>
      <c r="X79" s="145"/>
      <c r="Y79" s="139"/>
      <c r="Z79" s="70"/>
      <c r="AA79" s="71"/>
      <c r="AB79" s="70"/>
      <c r="AC79" s="70"/>
      <c r="AD79" s="70"/>
      <c r="AE79" s="70"/>
    </row>
    <row r="80" spans="2:31" x14ac:dyDescent="0.25">
      <c r="B80" s="70"/>
      <c r="C80" s="70"/>
      <c r="D80" s="70"/>
      <c r="E80" s="70"/>
      <c r="F80" s="70"/>
      <c r="G80" s="70"/>
      <c r="H80" s="47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1"/>
      <c r="T80" s="75"/>
      <c r="U80" s="69"/>
      <c r="V80" s="72"/>
      <c r="W80" s="71"/>
      <c r="X80" s="145"/>
      <c r="Y80" s="139"/>
      <c r="Z80" s="70"/>
      <c r="AA80" s="71"/>
      <c r="AB80" s="70"/>
      <c r="AC80" s="70"/>
      <c r="AD80" s="70"/>
      <c r="AE80" s="70"/>
    </row>
    <row r="81" spans="2:31" ht="45.75" customHeight="1" x14ac:dyDescent="0.25">
      <c r="B81" s="70"/>
      <c r="C81" s="70"/>
      <c r="D81" s="70"/>
      <c r="E81" s="70"/>
      <c r="F81" s="70"/>
      <c r="G81" s="70"/>
      <c r="H81" s="47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1"/>
      <c r="T81" s="75"/>
      <c r="U81" s="69"/>
      <c r="V81" s="72"/>
      <c r="W81" s="71"/>
      <c r="X81" s="145"/>
      <c r="Y81" s="139"/>
      <c r="Z81" s="70"/>
      <c r="AA81" s="71"/>
      <c r="AB81" s="70"/>
      <c r="AC81" s="70"/>
      <c r="AD81" s="70"/>
      <c r="AE81" s="70"/>
    </row>
    <row r="82" spans="2:31" x14ac:dyDescent="0.25">
      <c r="B82" s="70"/>
      <c r="C82" s="70"/>
      <c r="D82" s="70"/>
      <c r="E82" s="70"/>
      <c r="F82" s="70"/>
      <c r="G82" s="70"/>
      <c r="H82" s="47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1"/>
      <c r="T82" s="75"/>
      <c r="U82" s="69"/>
      <c r="V82" s="72"/>
      <c r="W82" s="71"/>
      <c r="X82" s="145"/>
      <c r="Y82" s="139"/>
      <c r="Z82" s="70"/>
      <c r="AA82" s="71"/>
      <c r="AB82" s="70"/>
      <c r="AC82" s="70"/>
      <c r="AD82" s="70"/>
      <c r="AE82" s="70"/>
    </row>
    <row r="83" spans="2:31" x14ac:dyDescent="0.25">
      <c r="B83" s="70"/>
      <c r="C83" s="70"/>
      <c r="D83" s="70"/>
      <c r="E83" s="70"/>
      <c r="F83" s="70"/>
      <c r="G83" s="70"/>
      <c r="H83" s="47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1"/>
      <c r="T83" s="75"/>
      <c r="U83" s="69"/>
      <c r="V83" s="72"/>
      <c r="W83" s="71"/>
      <c r="X83" s="145"/>
      <c r="Y83" s="139"/>
      <c r="Z83" s="70"/>
      <c r="AA83" s="71"/>
      <c r="AB83" s="70"/>
      <c r="AC83" s="70"/>
      <c r="AD83" s="70"/>
      <c r="AE83" s="70"/>
    </row>
    <row r="84" spans="2:31" x14ac:dyDescent="0.25">
      <c r="B84" s="70"/>
      <c r="C84" s="70"/>
      <c r="D84" s="70"/>
      <c r="E84" s="70"/>
      <c r="F84" s="70"/>
      <c r="G84" s="70"/>
      <c r="H84" s="47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1"/>
      <c r="T84" s="75"/>
      <c r="U84" s="69"/>
      <c r="V84" s="72"/>
      <c r="W84" s="71"/>
      <c r="X84" s="145"/>
      <c r="Y84" s="139"/>
      <c r="Z84" s="70"/>
      <c r="AA84" s="71"/>
      <c r="AB84" s="70"/>
      <c r="AC84" s="70"/>
      <c r="AD84" s="70"/>
      <c r="AE84" s="70"/>
    </row>
    <row r="85" spans="2:31" x14ac:dyDescent="0.25">
      <c r="B85" s="70"/>
      <c r="C85" s="70"/>
      <c r="D85" s="70"/>
      <c r="E85" s="68"/>
      <c r="F85" s="70"/>
      <c r="G85" s="70"/>
      <c r="H85" s="47"/>
      <c r="I85" s="68"/>
      <c r="J85" s="68"/>
      <c r="K85" s="70"/>
      <c r="L85" s="70"/>
      <c r="M85" s="68"/>
      <c r="N85" s="68"/>
      <c r="O85" s="68"/>
      <c r="P85" s="68"/>
      <c r="Q85" s="70"/>
      <c r="R85" s="70"/>
      <c r="S85" s="47"/>
      <c r="T85" s="75"/>
      <c r="U85" s="69"/>
      <c r="V85" s="72"/>
      <c r="W85" s="47"/>
      <c r="X85" s="145"/>
      <c r="Y85" s="139"/>
      <c r="Z85" s="70"/>
      <c r="AA85" s="47"/>
      <c r="AB85" s="70"/>
      <c r="AC85" s="70"/>
      <c r="AD85" s="70"/>
      <c r="AE85" s="70"/>
    </row>
    <row r="86" spans="2:31" x14ac:dyDescent="0.25">
      <c r="B86" s="70"/>
      <c r="C86" s="70"/>
      <c r="D86" s="70"/>
      <c r="E86" s="68"/>
      <c r="F86" s="70"/>
      <c r="G86" s="70"/>
      <c r="H86" s="47"/>
      <c r="I86" s="68"/>
      <c r="J86" s="68"/>
      <c r="K86" s="70"/>
      <c r="L86" s="70"/>
      <c r="M86" s="68"/>
      <c r="N86" s="68"/>
      <c r="O86" s="68"/>
      <c r="P86" s="68"/>
      <c r="Q86" s="70"/>
      <c r="R86" s="70"/>
      <c r="S86" s="47"/>
      <c r="T86" s="75"/>
      <c r="U86" s="69"/>
      <c r="V86" s="72"/>
      <c r="W86" s="47"/>
      <c r="X86" s="145"/>
      <c r="Y86" s="139"/>
      <c r="Z86" s="70"/>
      <c r="AA86" s="47"/>
      <c r="AB86" s="70"/>
      <c r="AC86" s="70"/>
      <c r="AD86" s="70"/>
      <c r="AE86" s="70"/>
    </row>
    <row r="87" spans="2:31" x14ac:dyDescent="0.25">
      <c r="B87" s="70"/>
      <c r="C87" s="70"/>
      <c r="D87" s="70"/>
      <c r="E87" s="68"/>
      <c r="F87" s="70"/>
      <c r="G87" s="70"/>
      <c r="H87" s="47"/>
      <c r="I87" s="68"/>
      <c r="J87" s="68"/>
      <c r="K87" s="70"/>
      <c r="L87" s="70"/>
      <c r="M87" s="68"/>
      <c r="N87" s="68"/>
      <c r="O87" s="68"/>
      <c r="P87" s="68"/>
      <c r="Q87" s="70"/>
      <c r="R87" s="70"/>
      <c r="S87" s="47"/>
      <c r="T87" s="75"/>
      <c r="U87" s="69"/>
      <c r="V87" s="72"/>
      <c r="W87" s="47"/>
      <c r="X87" s="145"/>
      <c r="Y87" s="139"/>
      <c r="Z87" s="70"/>
      <c r="AA87" s="47"/>
      <c r="AB87" s="70"/>
      <c r="AC87" s="70"/>
      <c r="AD87" s="70"/>
      <c r="AE87" s="70"/>
    </row>
    <row r="88" spans="2:31" x14ac:dyDescent="0.25">
      <c r="B88" s="70"/>
      <c r="C88" s="70"/>
      <c r="D88" s="70"/>
      <c r="E88" s="68"/>
      <c r="F88" s="70"/>
      <c r="G88" s="70"/>
      <c r="H88" s="47"/>
      <c r="I88" s="68"/>
      <c r="J88" s="68"/>
      <c r="K88" s="70"/>
      <c r="L88" s="70"/>
      <c r="M88" s="68"/>
      <c r="N88" s="68"/>
      <c r="O88" s="68"/>
      <c r="P88" s="68"/>
      <c r="Q88" s="70"/>
      <c r="R88" s="70"/>
      <c r="S88" s="47"/>
      <c r="T88" s="75"/>
      <c r="U88" s="69"/>
      <c r="V88" s="72"/>
      <c r="W88" s="47"/>
      <c r="X88" s="145"/>
      <c r="Y88" s="139"/>
      <c r="Z88" s="70"/>
      <c r="AA88" s="47"/>
      <c r="AB88" s="70"/>
      <c r="AC88" s="70"/>
      <c r="AD88" s="70"/>
      <c r="AE88" s="70"/>
    </row>
    <row r="89" spans="2:31" x14ac:dyDescent="0.25">
      <c r="B89" s="70"/>
      <c r="C89" s="70"/>
      <c r="D89" s="70"/>
      <c r="E89" s="68"/>
      <c r="F89" s="70"/>
      <c r="G89" s="70"/>
      <c r="H89" s="47"/>
      <c r="I89" s="68"/>
      <c r="J89" s="68"/>
      <c r="K89" s="70"/>
      <c r="L89" s="70"/>
      <c r="M89" s="68"/>
      <c r="N89" s="68"/>
      <c r="O89" s="68"/>
      <c r="P89" s="68"/>
      <c r="Q89" s="70"/>
      <c r="R89" s="70"/>
      <c r="S89" s="47"/>
      <c r="T89" s="75"/>
      <c r="U89" s="69"/>
      <c r="V89" s="72"/>
      <c r="W89" s="47"/>
      <c r="X89" s="145"/>
      <c r="Y89" s="139"/>
      <c r="Z89" s="70"/>
      <c r="AA89" s="47"/>
      <c r="AB89" s="70"/>
      <c r="AC89" s="70"/>
      <c r="AD89" s="70"/>
      <c r="AE89" s="70"/>
    </row>
    <row r="90" spans="2:31" x14ac:dyDescent="0.25">
      <c r="B90" s="70"/>
      <c r="C90" s="70"/>
      <c r="D90" s="70"/>
      <c r="E90" s="68"/>
      <c r="F90" s="70"/>
      <c r="G90" s="70"/>
      <c r="H90" s="47"/>
      <c r="I90" s="68"/>
      <c r="J90" s="68"/>
      <c r="K90" s="70"/>
      <c r="L90" s="70"/>
      <c r="M90" s="68"/>
      <c r="N90" s="68"/>
      <c r="O90" s="68"/>
      <c r="P90" s="68"/>
      <c r="Q90" s="70"/>
      <c r="R90" s="70"/>
      <c r="S90" s="47"/>
      <c r="T90" s="75"/>
      <c r="U90" s="69"/>
      <c r="V90" s="72"/>
      <c r="W90" s="47"/>
      <c r="X90" s="145"/>
      <c r="Y90" s="139"/>
      <c r="Z90" s="70"/>
      <c r="AA90" s="47"/>
      <c r="AB90" s="70"/>
      <c r="AC90" s="70"/>
      <c r="AD90" s="70"/>
      <c r="AE90" s="70"/>
    </row>
    <row r="91" spans="2:31" x14ac:dyDescent="0.25">
      <c r="B91" s="70"/>
      <c r="C91" s="70"/>
      <c r="D91" s="68"/>
      <c r="E91" s="68"/>
      <c r="F91" s="70"/>
      <c r="G91" s="70"/>
      <c r="H91" s="47"/>
      <c r="I91" s="68"/>
      <c r="J91" s="68"/>
      <c r="K91" s="68"/>
      <c r="L91" s="68"/>
      <c r="M91" s="68"/>
      <c r="N91" s="68"/>
      <c r="O91" s="68"/>
      <c r="P91" s="68"/>
      <c r="Q91" s="70"/>
      <c r="R91" s="70"/>
      <c r="S91" s="47"/>
      <c r="T91" s="75"/>
      <c r="U91" s="69"/>
      <c r="V91" s="70"/>
      <c r="W91" s="47"/>
      <c r="X91" s="75"/>
      <c r="Y91" s="138"/>
      <c r="Z91" s="70"/>
      <c r="AA91" s="47"/>
      <c r="AB91" s="70"/>
      <c r="AC91" s="70"/>
      <c r="AD91" s="70"/>
      <c r="AE91" s="70"/>
    </row>
    <row r="92" spans="2:31" x14ac:dyDescent="0.25">
      <c r="B92" s="70"/>
      <c r="C92" s="70"/>
      <c r="D92" s="68"/>
      <c r="E92" s="68"/>
      <c r="F92" s="68"/>
      <c r="G92" s="70"/>
      <c r="H92" s="47"/>
      <c r="I92" s="68"/>
      <c r="J92" s="68"/>
      <c r="K92" s="68"/>
      <c r="L92" s="68"/>
      <c r="M92" s="70"/>
      <c r="N92" s="68"/>
      <c r="O92" s="68"/>
      <c r="P92" s="68"/>
      <c r="Q92" s="70"/>
      <c r="R92" s="70"/>
      <c r="S92" s="47"/>
      <c r="T92" s="75"/>
      <c r="U92" s="69"/>
      <c r="V92" s="70"/>
      <c r="W92" s="47"/>
      <c r="X92" s="145"/>
      <c r="Y92" s="138"/>
      <c r="Z92" s="70"/>
      <c r="AA92" s="47"/>
      <c r="AB92" s="70"/>
      <c r="AC92" s="70"/>
      <c r="AD92" s="70"/>
      <c r="AE92" s="70"/>
    </row>
    <row r="93" spans="2:31" x14ac:dyDescent="0.25">
      <c r="B93" s="70"/>
      <c r="C93" s="70"/>
      <c r="D93" s="68"/>
      <c r="E93" s="68"/>
      <c r="F93" s="68"/>
      <c r="G93" s="70"/>
      <c r="H93" s="47"/>
      <c r="I93" s="68"/>
      <c r="J93" s="68"/>
      <c r="K93" s="68"/>
      <c r="L93" s="68"/>
      <c r="M93" s="70"/>
      <c r="N93" s="68"/>
      <c r="O93" s="68"/>
      <c r="P93" s="68"/>
      <c r="Q93" s="70"/>
      <c r="R93" s="70"/>
      <c r="S93" s="47"/>
      <c r="T93" s="75"/>
      <c r="U93" s="69"/>
      <c r="V93" s="70"/>
      <c r="W93" s="47"/>
      <c r="X93" s="145"/>
      <c r="Y93" s="138"/>
      <c r="Z93" s="70"/>
      <c r="AA93" s="47"/>
      <c r="AB93" s="70"/>
      <c r="AC93" s="70"/>
      <c r="AD93" s="70"/>
      <c r="AE93" s="70"/>
    </row>
    <row r="94" spans="2:31" x14ac:dyDescent="0.25">
      <c r="B94" s="70"/>
      <c r="C94" s="70"/>
      <c r="D94" s="68"/>
      <c r="E94" s="68"/>
      <c r="F94" s="68"/>
      <c r="G94" s="70"/>
      <c r="H94" s="47"/>
      <c r="I94" s="68"/>
      <c r="J94" s="68"/>
      <c r="K94" s="68"/>
      <c r="L94" s="68"/>
      <c r="M94" s="70"/>
      <c r="N94" s="68"/>
      <c r="O94" s="68"/>
      <c r="P94" s="68"/>
      <c r="Q94" s="70"/>
      <c r="R94" s="70"/>
      <c r="S94" s="47"/>
      <c r="T94" s="75"/>
      <c r="U94" s="69"/>
      <c r="V94" s="70"/>
      <c r="W94" s="47"/>
      <c r="X94" s="145"/>
      <c r="Y94" s="138"/>
      <c r="Z94" s="70"/>
      <c r="AA94" s="47"/>
      <c r="AB94" s="70"/>
      <c r="AC94" s="70"/>
      <c r="AD94" s="70"/>
      <c r="AE94" s="70"/>
    </row>
    <row r="95" spans="2:31" x14ac:dyDescent="0.25">
      <c r="B95" s="70"/>
      <c r="C95" s="70"/>
      <c r="D95" s="68"/>
      <c r="E95" s="68"/>
      <c r="F95" s="68"/>
      <c r="G95" s="70"/>
      <c r="H95" s="47"/>
      <c r="I95" s="68"/>
      <c r="J95" s="68"/>
      <c r="K95" s="68"/>
      <c r="L95" s="68"/>
      <c r="M95" s="70"/>
      <c r="N95" s="68"/>
      <c r="O95" s="68"/>
      <c r="P95" s="68"/>
      <c r="Q95" s="70"/>
      <c r="R95" s="70"/>
      <c r="S95" s="47"/>
      <c r="T95" s="75"/>
      <c r="U95" s="69"/>
      <c r="V95" s="70"/>
      <c r="W95" s="47"/>
      <c r="X95" s="145"/>
      <c r="Y95" s="138"/>
      <c r="Z95" s="70"/>
      <c r="AA95" s="47"/>
      <c r="AB95" s="70"/>
      <c r="AC95" s="70"/>
      <c r="AD95" s="70"/>
      <c r="AE95" s="70"/>
    </row>
    <row r="96" spans="2:31" ht="64.5" customHeight="1" x14ac:dyDescent="0.25">
      <c r="B96" s="70"/>
      <c r="C96" s="70"/>
      <c r="D96" s="68"/>
      <c r="E96" s="68"/>
      <c r="F96" s="68"/>
      <c r="G96" s="70"/>
      <c r="H96" s="47"/>
      <c r="I96" s="68"/>
      <c r="J96" s="68"/>
      <c r="K96" s="68"/>
      <c r="L96" s="68"/>
      <c r="M96" s="68"/>
      <c r="N96" s="68"/>
      <c r="O96" s="68"/>
      <c r="P96" s="70"/>
      <c r="Q96" s="111"/>
      <c r="R96" s="70"/>
      <c r="S96" s="47"/>
      <c r="T96" s="75"/>
      <c r="U96" s="69"/>
      <c r="V96" s="70"/>
      <c r="W96" s="47"/>
      <c r="X96" s="145"/>
      <c r="Y96" s="138"/>
      <c r="Z96" s="70"/>
      <c r="AA96" s="47"/>
      <c r="AB96" s="70"/>
      <c r="AC96" s="70"/>
      <c r="AD96" s="70"/>
      <c r="AE96" s="70" t="s">
        <v>1310</v>
      </c>
    </row>
    <row r="97" spans="2:31" x14ac:dyDescent="0.25">
      <c r="B97" s="70"/>
      <c r="C97" s="70"/>
      <c r="D97" s="68"/>
      <c r="E97" s="68"/>
      <c r="F97" s="68"/>
      <c r="G97" s="70"/>
      <c r="H97" s="47"/>
      <c r="I97" s="68"/>
      <c r="J97" s="68"/>
      <c r="K97" s="68"/>
      <c r="L97" s="68"/>
      <c r="M97" s="68"/>
      <c r="N97" s="68"/>
      <c r="O97" s="68"/>
      <c r="P97" s="68"/>
      <c r="Q97" s="70"/>
      <c r="R97" s="70"/>
      <c r="S97" s="47"/>
      <c r="T97" s="75"/>
      <c r="U97" s="69"/>
      <c r="V97" s="70"/>
      <c r="W97" s="47"/>
      <c r="X97" s="145"/>
      <c r="Y97" s="139"/>
      <c r="Z97" s="70"/>
      <c r="AA97" s="47"/>
      <c r="AB97" s="70"/>
      <c r="AC97" s="70"/>
      <c r="AD97" s="70"/>
      <c r="AE97" s="70"/>
    </row>
    <row r="98" spans="2:31" x14ac:dyDescent="0.25">
      <c r="B98" s="70"/>
      <c r="C98" s="70"/>
      <c r="D98" s="68"/>
      <c r="E98" s="68"/>
      <c r="F98" s="68"/>
      <c r="G98" s="70"/>
      <c r="H98" s="47"/>
      <c r="I98" s="68"/>
      <c r="J98" s="68"/>
      <c r="K98" s="68"/>
      <c r="L98" s="68"/>
      <c r="M98" s="68"/>
      <c r="N98" s="70"/>
      <c r="O98" s="68"/>
      <c r="P98" s="68"/>
      <c r="Q98" s="70"/>
      <c r="R98" s="70"/>
      <c r="S98" s="47"/>
      <c r="T98" s="76"/>
      <c r="U98" s="69"/>
      <c r="V98" s="111"/>
      <c r="W98" s="47"/>
      <c r="X98" s="145"/>
      <c r="Y98" s="139"/>
      <c r="Z98" s="70"/>
      <c r="AA98" s="47"/>
      <c r="AB98" s="70"/>
      <c r="AC98" s="70"/>
      <c r="AD98" s="70"/>
      <c r="AE98" s="70"/>
    </row>
    <row r="99" spans="2:31" x14ac:dyDescent="0.25">
      <c r="B99" s="70"/>
      <c r="C99" s="70"/>
      <c r="D99" s="68"/>
      <c r="E99" s="68"/>
      <c r="F99" s="68"/>
      <c r="G99" s="70"/>
      <c r="H99" s="47"/>
      <c r="I99" s="68"/>
      <c r="J99" s="68"/>
      <c r="K99" s="68"/>
      <c r="L99" s="68"/>
      <c r="M99" s="68"/>
      <c r="N99" s="70"/>
      <c r="O99" s="68"/>
      <c r="P99" s="68"/>
      <c r="Q99" s="70"/>
      <c r="R99" s="70"/>
      <c r="S99" s="47"/>
      <c r="T99" s="76"/>
      <c r="U99" s="69"/>
      <c r="V99" s="111"/>
      <c r="W99" s="47"/>
      <c r="X99" s="145"/>
      <c r="Y99" s="139"/>
      <c r="Z99" s="70"/>
      <c r="AA99" s="47"/>
      <c r="AB99" s="70"/>
      <c r="AC99" s="70"/>
      <c r="AD99" s="70"/>
      <c r="AE99" s="70"/>
    </row>
    <row r="100" spans="2:31" x14ac:dyDescent="0.25">
      <c r="B100" s="70"/>
      <c r="C100" s="70"/>
      <c r="D100" s="68"/>
      <c r="E100" s="68"/>
      <c r="F100" s="68"/>
      <c r="G100" s="70"/>
      <c r="H100" s="47"/>
      <c r="I100" s="68"/>
      <c r="J100" s="68"/>
      <c r="K100" s="68"/>
      <c r="L100" s="68"/>
      <c r="M100" s="68"/>
      <c r="N100" s="70"/>
      <c r="O100" s="68"/>
      <c r="P100" s="68"/>
      <c r="Q100" s="70"/>
      <c r="R100" s="70"/>
      <c r="S100" s="47"/>
      <c r="T100" s="141"/>
      <c r="U100" s="69"/>
      <c r="V100" s="111"/>
      <c r="W100" s="47"/>
      <c r="X100" s="145"/>
      <c r="Y100" s="139"/>
      <c r="Z100" s="70"/>
      <c r="AA100" s="47"/>
      <c r="AB100" s="70"/>
      <c r="AC100" s="70"/>
      <c r="AD100" s="70"/>
      <c r="AE100" s="70"/>
    </row>
    <row r="101" spans="2:31" ht="95.25" customHeight="1" x14ac:dyDescent="0.25">
      <c r="B101" s="70"/>
      <c r="C101" s="70"/>
      <c r="D101" s="68"/>
      <c r="E101" s="68"/>
      <c r="F101" s="68"/>
      <c r="G101" s="70"/>
      <c r="H101" s="47"/>
      <c r="I101" s="68"/>
      <c r="J101" s="68"/>
      <c r="K101" s="68"/>
      <c r="L101" s="68"/>
      <c r="M101" s="68"/>
      <c r="N101" s="70"/>
      <c r="O101" s="68"/>
      <c r="P101" s="68"/>
      <c r="Q101" s="111"/>
      <c r="R101" s="70"/>
      <c r="S101" s="47"/>
      <c r="T101" s="141"/>
      <c r="U101" s="69"/>
      <c r="V101" s="70"/>
      <c r="W101" s="47"/>
      <c r="X101" s="145"/>
      <c r="Y101" s="139"/>
      <c r="Z101" s="70"/>
      <c r="AA101" s="47"/>
      <c r="AB101" s="70"/>
      <c r="AC101" s="70"/>
      <c r="AD101" s="70"/>
      <c r="AE101" s="70"/>
    </row>
    <row r="102" spans="2:31" x14ac:dyDescent="0.25">
      <c r="B102" s="70"/>
      <c r="C102" s="70"/>
      <c r="D102" s="68"/>
      <c r="E102" s="68"/>
      <c r="F102" s="68"/>
      <c r="G102" s="70"/>
      <c r="H102" s="47"/>
      <c r="I102" s="68"/>
      <c r="J102" s="68"/>
      <c r="K102" s="68"/>
      <c r="L102" s="68"/>
      <c r="M102" s="68"/>
      <c r="N102" s="70"/>
      <c r="O102" s="68"/>
      <c r="P102" s="68"/>
      <c r="Q102" s="111"/>
      <c r="R102" s="70"/>
      <c r="S102" s="47"/>
      <c r="T102" s="141"/>
      <c r="U102" s="69"/>
      <c r="V102" s="70"/>
      <c r="W102" s="47"/>
      <c r="X102" s="145"/>
      <c r="Y102" s="139"/>
      <c r="Z102" s="70"/>
      <c r="AA102" s="47"/>
      <c r="AB102" s="70"/>
      <c r="AC102" s="70"/>
      <c r="AD102" s="70"/>
      <c r="AE102" s="70"/>
    </row>
    <row r="103" spans="2:31" x14ac:dyDescent="0.25">
      <c r="B103" s="70"/>
      <c r="C103" s="70"/>
      <c r="D103" s="68"/>
      <c r="E103" s="70"/>
      <c r="F103" s="68"/>
      <c r="G103" s="70"/>
      <c r="H103" s="47"/>
      <c r="I103" s="68"/>
      <c r="J103" s="68"/>
      <c r="K103" s="68"/>
      <c r="L103" s="70"/>
      <c r="M103" s="68"/>
      <c r="N103" s="70"/>
      <c r="O103" s="68"/>
      <c r="P103" s="68"/>
      <c r="Q103" s="70"/>
      <c r="R103" s="70"/>
      <c r="S103" s="47"/>
      <c r="T103" s="141"/>
      <c r="U103" s="69"/>
      <c r="V103" s="111"/>
      <c r="W103" s="47"/>
      <c r="X103" s="145"/>
      <c r="Y103" s="69"/>
      <c r="Z103" s="70"/>
      <c r="AA103" s="47"/>
      <c r="AB103" s="70"/>
      <c r="AC103" s="70"/>
      <c r="AD103" s="70"/>
      <c r="AE103" s="70"/>
    </row>
    <row r="104" spans="2:31" x14ac:dyDescent="0.25">
      <c r="B104" s="70"/>
      <c r="C104" s="70"/>
      <c r="D104" s="68"/>
      <c r="E104" s="68"/>
      <c r="F104" s="68"/>
      <c r="G104" s="68"/>
      <c r="H104" s="47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47"/>
      <c r="T104" s="75"/>
      <c r="U104" s="69"/>
      <c r="V104" s="70"/>
      <c r="W104" s="47"/>
      <c r="X104" s="145"/>
      <c r="Y104" s="69"/>
      <c r="Z104" s="70"/>
      <c r="AA104" s="47"/>
      <c r="AB104" s="70"/>
      <c r="AC104" s="70"/>
      <c r="AD104" s="70"/>
      <c r="AE104" s="70"/>
    </row>
    <row r="105" spans="2:31" x14ac:dyDescent="0.25">
      <c r="B105" s="70"/>
      <c r="C105" s="70"/>
      <c r="D105" s="68"/>
      <c r="E105" s="68"/>
      <c r="F105" s="68"/>
      <c r="G105" s="70"/>
      <c r="H105" s="47"/>
      <c r="I105" s="68"/>
      <c r="J105" s="68"/>
      <c r="K105" s="68"/>
      <c r="L105" s="68"/>
      <c r="M105" s="68"/>
      <c r="N105" s="68"/>
      <c r="O105" s="68"/>
      <c r="P105" s="68"/>
      <c r="Q105" s="70"/>
      <c r="R105" s="70"/>
      <c r="S105" s="47"/>
      <c r="T105" s="75"/>
      <c r="U105" s="69"/>
      <c r="V105" s="70"/>
      <c r="W105" s="47"/>
      <c r="X105" s="145"/>
      <c r="Y105" s="70"/>
      <c r="Z105" s="70"/>
      <c r="AA105" s="47"/>
      <c r="AB105" s="70"/>
      <c r="AC105" s="70"/>
      <c r="AD105" s="70"/>
      <c r="AE105" s="70"/>
    </row>
    <row r="106" spans="2:31" x14ac:dyDescent="0.25">
      <c r="B106" s="70"/>
      <c r="C106" s="70"/>
      <c r="D106" s="68"/>
      <c r="E106" s="68"/>
      <c r="F106" s="68"/>
      <c r="G106" s="70"/>
      <c r="H106" s="47"/>
      <c r="I106" s="68"/>
      <c r="J106" s="68"/>
      <c r="K106" s="68"/>
      <c r="L106" s="68"/>
      <c r="M106" s="68"/>
      <c r="N106" s="68"/>
      <c r="O106" s="68"/>
      <c r="P106" s="68"/>
      <c r="Q106" s="70"/>
      <c r="R106" s="70"/>
      <c r="S106" s="47"/>
      <c r="T106" s="141"/>
      <c r="U106" s="69"/>
      <c r="V106" s="70"/>
      <c r="W106" s="47"/>
      <c r="X106" s="145"/>
      <c r="Y106" s="70"/>
      <c r="Z106" s="70"/>
      <c r="AA106" s="47"/>
      <c r="AB106" s="70"/>
      <c r="AC106" s="70"/>
      <c r="AD106" s="70"/>
      <c r="AE106" s="70"/>
    </row>
    <row r="107" spans="2:31" x14ac:dyDescent="0.25">
      <c r="B107" s="70"/>
      <c r="C107" s="70"/>
      <c r="D107" s="68"/>
      <c r="E107" s="68"/>
      <c r="F107" s="68"/>
      <c r="G107" s="70"/>
      <c r="H107" s="47"/>
      <c r="I107" s="68"/>
      <c r="J107" s="68"/>
      <c r="K107" s="68"/>
      <c r="L107" s="68"/>
      <c r="M107" s="68"/>
      <c r="N107" s="68"/>
      <c r="O107" s="68"/>
      <c r="P107" s="68"/>
      <c r="Q107" s="70"/>
      <c r="R107" s="70"/>
      <c r="S107" s="47"/>
      <c r="T107" s="141"/>
      <c r="U107" s="69"/>
      <c r="V107" s="70"/>
      <c r="W107" s="47"/>
      <c r="X107" s="145"/>
      <c r="Y107" s="70"/>
      <c r="Z107" s="70"/>
      <c r="AA107" s="47"/>
      <c r="AB107" s="70"/>
      <c r="AC107" s="70"/>
      <c r="AD107" s="70"/>
      <c r="AE107" s="70"/>
    </row>
    <row r="108" spans="2:31" x14ac:dyDescent="0.25">
      <c r="B108" s="70"/>
      <c r="C108" s="70"/>
      <c r="D108" s="70"/>
      <c r="E108" s="68"/>
      <c r="F108" s="70"/>
      <c r="G108" s="70"/>
      <c r="H108" s="47"/>
      <c r="I108" s="68"/>
      <c r="J108" s="68"/>
      <c r="K108" s="68"/>
      <c r="L108" s="68"/>
      <c r="M108" s="68"/>
      <c r="N108" s="68"/>
      <c r="O108" s="68"/>
      <c r="P108" s="68"/>
      <c r="Q108" s="70"/>
      <c r="R108" s="70"/>
      <c r="S108" s="47"/>
      <c r="T108" s="141"/>
      <c r="U108" s="69"/>
      <c r="V108" s="70"/>
      <c r="W108" s="47"/>
      <c r="X108" s="145"/>
      <c r="Y108" s="70"/>
      <c r="Z108" s="70"/>
      <c r="AA108" s="47"/>
      <c r="AB108" s="70"/>
      <c r="AC108" s="70"/>
      <c r="AD108" s="70"/>
      <c r="AE108" s="70"/>
    </row>
    <row r="109" spans="2:31" x14ac:dyDescent="0.25">
      <c r="B109" s="70"/>
      <c r="C109" s="70"/>
      <c r="D109" s="70"/>
      <c r="E109" s="68"/>
      <c r="F109" s="70"/>
      <c r="G109" s="70"/>
      <c r="H109" s="47"/>
      <c r="I109" s="68"/>
      <c r="J109" s="68"/>
      <c r="K109" s="68"/>
      <c r="L109" s="68"/>
      <c r="M109" s="68"/>
      <c r="N109" s="68"/>
      <c r="O109" s="68"/>
      <c r="P109" s="68"/>
      <c r="Q109" s="70"/>
      <c r="R109" s="70"/>
      <c r="S109" s="47"/>
      <c r="T109" s="141"/>
      <c r="U109" s="69"/>
      <c r="V109" s="70"/>
      <c r="W109" s="47"/>
      <c r="X109" s="145"/>
      <c r="Y109" s="70"/>
      <c r="Z109" s="70"/>
      <c r="AA109" s="47"/>
      <c r="AB109" s="70"/>
      <c r="AC109" s="70"/>
      <c r="AD109" s="70"/>
      <c r="AE109" s="70"/>
    </row>
    <row r="110" spans="2:31" x14ac:dyDescent="0.25">
      <c r="B110" s="70"/>
      <c r="C110" s="70"/>
      <c r="D110" s="70"/>
      <c r="E110" s="68"/>
      <c r="F110" s="70"/>
      <c r="G110" s="70"/>
      <c r="H110" s="47"/>
      <c r="I110" s="68"/>
      <c r="J110" s="68"/>
      <c r="K110" s="68"/>
      <c r="L110" s="68"/>
      <c r="M110" s="68"/>
      <c r="N110" s="68"/>
      <c r="O110" s="68"/>
      <c r="P110" s="68"/>
      <c r="Q110" s="70"/>
      <c r="R110" s="70"/>
      <c r="S110" s="47"/>
      <c r="T110" s="141"/>
      <c r="U110" s="69"/>
      <c r="V110" s="70"/>
      <c r="W110" s="47"/>
      <c r="X110" s="145"/>
      <c r="Y110" s="70"/>
      <c r="Z110" s="70"/>
      <c r="AA110" s="47"/>
      <c r="AB110" s="70"/>
      <c r="AC110" s="70"/>
      <c r="AD110" s="70"/>
      <c r="AE110" s="70"/>
    </row>
    <row r="111" spans="2:31" x14ac:dyDescent="0.25">
      <c r="B111" s="70"/>
      <c r="C111" s="70"/>
      <c r="D111" s="70"/>
      <c r="E111" s="68"/>
      <c r="F111" s="70"/>
      <c r="G111" s="70"/>
      <c r="H111" s="47"/>
      <c r="I111" s="68"/>
      <c r="J111" s="68"/>
      <c r="K111" s="68"/>
      <c r="L111" s="68"/>
      <c r="M111" s="68"/>
      <c r="N111" s="68"/>
      <c r="O111" s="68"/>
      <c r="P111" s="68"/>
      <c r="Q111" s="70"/>
      <c r="R111" s="70"/>
      <c r="S111" s="47"/>
      <c r="T111" s="141"/>
      <c r="U111" s="69"/>
      <c r="V111" s="70"/>
      <c r="W111" s="47"/>
      <c r="X111" s="145"/>
      <c r="Y111" s="70"/>
      <c r="Z111" s="70"/>
      <c r="AA111" s="47"/>
      <c r="AB111" s="70"/>
      <c r="AC111" s="70"/>
      <c r="AD111" s="70"/>
      <c r="AE111" s="70"/>
    </row>
    <row r="112" spans="2:31" x14ac:dyDescent="0.25">
      <c r="B112" s="70"/>
      <c r="C112" s="70"/>
      <c r="D112" s="70"/>
      <c r="E112" s="68"/>
      <c r="F112" s="70"/>
      <c r="G112" s="70"/>
      <c r="H112" s="47"/>
      <c r="I112" s="68"/>
      <c r="J112" s="68"/>
      <c r="K112" s="68"/>
      <c r="L112" s="68"/>
      <c r="M112" s="68"/>
      <c r="N112" s="68"/>
      <c r="O112" s="68"/>
      <c r="P112" s="68"/>
      <c r="Q112" s="70"/>
      <c r="R112" s="70"/>
      <c r="S112" s="47"/>
      <c r="T112" s="141"/>
      <c r="U112" s="69"/>
      <c r="V112" s="70"/>
      <c r="W112" s="47"/>
      <c r="X112" s="145"/>
      <c r="Y112" s="70"/>
      <c r="Z112" s="70"/>
      <c r="AA112" s="47"/>
      <c r="AB112" s="70"/>
      <c r="AC112" s="70"/>
      <c r="AD112" s="70"/>
      <c r="AE112" s="70"/>
    </row>
    <row r="113" spans="2:31" x14ac:dyDescent="0.25">
      <c r="B113" s="70"/>
      <c r="C113" s="70"/>
      <c r="D113" s="70"/>
      <c r="E113" s="68"/>
      <c r="F113" s="70"/>
      <c r="G113" s="70"/>
      <c r="H113" s="47"/>
      <c r="I113" s="68"/>
      <c r="J113" s="68"/>
      <c r="K113" s="68"/>
      <c r="L113" s="68"/>
      <c r="M113" s="68"/>
      <c r="N113" s="68"/>
      <c r="O113" s="68"/>
      <c r="P113" s="68"/>
      <c r="Q113" s="70"/>
      <c r="R113" s="70"/>
      <c r="S113" s="47"/>
      <c r="T113" s="141"/>
      <c r="U113" s="69"/>
      <c r="V113" s="70"/>
      <c r="W113" s="47"/>
      <c r="X113" s="145"/>
      <c r="Y113" s="70"/>
      <c r="Z113" s="70"/>
      <c r="AA113" s="47"/>
      <c r="AB113" s="70"/>
      <c r="AC113" s="70"/>
      <c r="AD113" s="70"/>
      <c r="AE113" s="70"/>
    </row>
    <row r="114" spans="2:31" x14ac:dyDescent="0.25">
      <c r="B114" s="70"/>
      <c r="C114" s="70"/>
      <c r="D114" s="70"/>
      <c r="E114" s="68"/>
      <c r="F114" s="70"/>
      <c r="G114" s="70"/>
      <c r="H114" s="47"/>
      <c r="I114" s="68"/>
      <c r="J114" s="68"/>
      <c r="K114" s="68"/>
      <c r="L114" s="68"/>
      <c r="M114" s="68"/>
      <c r="N114" s="68"/>
      <c r="O114" s="68"/>
      <c r="P114" s="68"/>
      <c r="Q114" s="70"/>
      <c r="R114" s="70"/>
      <c r="S114" s="47"/>
      <c r="T114" s="141"/>
      <c r="U114" s="69"/>
      <c r="V114" s="70"/>
      <c r="W114" s="47"/>
      <c r="X114" s="145"/>
      <c r="Y114" s="70"/>
      <c r="Z114" s="70"/>
      <c r="AA114" s="47"/>
      <c r="AB114" s="70"/>
      <c r="AC114" s="70"/>
      <c r="AD114" s="70"/>
      <c r="AE114" s="70"/>
    </row>
    <row r="115" spans="2:31" x14ac:dyDescent="0.25">
      <c r="B115" s="70"/>
      <c r="C115" s="70"/>
      <c r="D115" s="70"/>
      <c r="E115" s="68"/>
      <c r="F115" s="70"/>
      <c r="G115" s="70"/>
      <c r="H115" s="47"/>
      <c r="I115" s="68"/>
      <c r="J115" s="68"/>
      <c r="K115" s="68"/>
      <c r="L115" s="68"/>
      <c r="M115" s="68"/>
      <c r="N115" s="68"/>
      <c r="O115" s="68"/>
      <c r="P115" s="68"/>
      <c r="Q115" s="70"/>
      <c r="R115" s="70"/>
      <c r="S115" s="47"/>
      <c r="T115" s="141"/>
      <c r="U115" s="69"/>
      <c r="V115" s="70"/>
      <c r="W115" s="47"/>
      <c r="X115" s="145"/>
      <c r="Y115" s="70"/>
      <c r="Z115" s="70"/>
      <c r="AA115" s="47"/>
      <c r="AB115" s="70"/>
      <c r="AC115" s="70"/>
      <c r="AD115" s="70"/>
      <c r="AE115" s="70"/>
    </row>
    <row r="116" spans="2:31" x14ac:dyDescent="0.25">
      <c r="B116" s="70"/>
      <c r="C116" s="70"/>
      <c r="D116" s="70"/>
      <c r="E116" s="68"/>
      <c r="F116" s="70"/>
      <c r="G116" s="70"/>
      <c r="H116" s="47"/>
      <c r="I116" s="68"/>
      <c r="J116" s="68"/>
      <c r="K116" s="68"/>
      <c r="L116" s="68"/>
      <c r="M116" s="68"/>
      <c r="N116" s="68"/>
      <c r="O116" s="68"/>
      <c r="P116" s="68"/>
      <c r="Q116" s="70"/>
      <c r="R116" s="70"/>
      <c r="S116" s="47"/>
      <c r="T116" s="141"/>
      <c r="U116" s="69"/>
      <c r="V116" s="70"/>
      <c r="W116" s="47"/>
      <c r="X116" s="145"/>
      <c r="Y116" s="70"/>
      <c r="Z116" s="70"/>
      <c r="AA116" s="47"/>
      <c r="AB116" s="70"/>
      <c r="AC116" s="70"/>
      <c r="AD116" s="70"/>
      <c r="AE116" s="70"/>
    </row>
    <row r="117" spans="2:31" x14ac:dyDescent="0.25">
      <c r="B117" s="70"/>
      <c r="C117" s="70"/>
      <c r="D117" s="70"/>
      <c r="E117" s="68"/>
      <c r="F117" s="70"/>
      <c r="G117" s="70"/>
      <c r="H117" s="47"/>
      <c r="I117" s="68"/>
      <c r="J117" s="68"/>
      <c r="K117" s="68"/>
      <c r="L117" s="68"/>
      <c r="M117" s="68"/>
      <c r="N117" s="68"/>
      <c r="O117" s="68"/>
      <c r="P117" s="68"/>
      <c r="Q117" s="70"/>
      <c r="R117" s="70"/>
      <c r="S117" s="47"/>
      <c r="T117" s="141"/>
      <c r="U117" s="69"/>
      <c r="V117" s="70"/>
      <c r="W117" s="47"/>
      <c r="X117" s="145"/>
      <c r="Y117" s="70"/>
      <c r="Z117" s="70"/>
      <c r="AA117" s="47"/>
      <c r="AB117" s="70"/>
      <c r="AC117" s="70"/>
      <c r="AD117" s="70"/>
      <c r="AE117" s="70"/>
    </row>
    <row r="118" spans="2:31" x14ac:dyDescent="0.25">
      <c r="B118" s="70"/>
      <c r="C118" s="70"/>
      <c r="D118" s="70"/>
      <c r="E118" s="68"/>
      <c r="F118" s="70"/>
      <c r="G118" s="70"/>
      <c r="H118" s="47"/>
      <c r="I118" s="68"/>
      <c r="J118" s="68"/>
      <c r="K118" s="68"/>
      <c r="L118" s="68"/>
      <c r="M118" s="68"/>
      <c r="N118" s="68"/>
      <c r="O118" s="68"/>
      <c r="P118" s="68"/>
      <c r="Q118" s="70"/>
      <c r="R118" s="70"/>
      <c r="S118" s="47"/>
      <c r="T118" s="141"/>
      <c r="U118" s="69"/>
      <c r="V118" s="70"/>
      <c r="W118" s="47"/>
      <c r="X118" s="145"/>
      <c r="Y118" s="70"/>
      <c r="Z118" s="70"/>
      <c r="AA118" s="47"/>
      <c r="AB118" s="70"/>
      <c r="AC118" s="70"/>
      <c r="AD118" s="70"/>
      <c r="AE118" s="70"/>
    </row>
    <row r="119" spans="2:31" x14ac:dyDescent="0.25">
      <c r="B119" s="70"/>
      <c r="C119" s="70"/>
      <c r="D119" s="70"/>
      <c r="E119" s="68"/>
      <c r="F119" s="70"/>
      <c r="G119" s="70"/>
      <c r="H119" s="47"/>
      <c r="I119" s="68"/>
      <c r="J119" s="68"/>
      <c r="K119" s="68"/>
      <c r="L119" s="68"/>
      <c r="M119" s="68"/>
      <c r="N119" s="68"/>
      <c r="O119" s="68"/>
      <c r="P119" s="68"/>
      <c r="Q119" s="70"/>
      <c r="R119" s="70"/>
      <c r="S119" s="47"/>
      <c r="T119" s="141"/>
      <c r="U119" s="69"/>
      <c r="V119" s="70"/>
      <c r="W119" s="47"/>
      <c r="X119" s="145"/>
      <c r="Y119" s="70"/>
      <c r="Z119" s="70"/>
      <c r="AA119" s="47"/>
      <c r="AB119" s="70"/>
      <c r="AC119" s="70"/>
      <c r="AD119" s="70"/>
      <c r="AE119" s="70"/>
    </row>
    <row r="120" spans="2:31" x14ac:dyDescent="0.25">
      <c r="B120" s="70"/>
      <c r="C120" s="70"/>
      <c r="D120" s="70"/>
      <c r="E120" s="68"/>
      <c r="F120" s="70"/>
      <c r="G120" s="70"/>
      <c r="H120" s="47"/>
      <c r="I120" s="68"/>
      <c r="J120" s="68"/>
      <c r="K120" s="68"/>
      <c r="L120" s="68"/>
      <c r="M120" s="68"/>
      <c r="N120" s="68"/>
      <c r="O120" s="68"/>
      <c r="P120" s="68"/>
      <c r="Q120" s="70"/>
      <c r="R120" s="70"/>
      <c r="S120" s="47"/>
      <c r="T120" s="141"/>
      <c r="U120" s="69"/>
      <c r="V120" s="70"/>
      <c r="W120" s="47"/>
      <c r="X120" s="145"/>
      <c r="Y120" s="70"/>
      <c r="Z120" s="70"/>
      <c r="AA120" s="47"/>
      <c r="AB120" s="70"/>
      <c r="AC120" s="70"/>
      <c r="AD120" s="70"/>
      <c r="AE120" s="70"/>
    </row>
    <row r="121" spans="2:31" x14ac:dyDescent="0.25">
      <c r="B121" s="70"/>
      <c r="C121" s="70"/>
      <c r="D121" s="70"/>
      <c r="E121" s="68"/>
      <c r="F121" s="70"/>
      <c r="G121" s="70"/>
      <c r="H121" s="47"/>
      <c r="I121" s="68"/>
      <c r="J121" s="68"/>
      <c r="K121" s="68"/>
      <c r="L121" s="68"/>
      <c r="M121" s="68"/>
      <c r="N121" s="68"/>
      <c r="O121" s="68"/>
      <c r="P121" s="68"/>
      <c r="Q121" s="70"/>
      <c r="R121" s="70"/>
      <c r="S121" s="47"/>
      <c r="T121" s="141"/>
      <c r="U121" s="69"/>
      <c r="V121" s="70"/>
      <c r="W121" s="47"/>
      <c r="X121" s="145"/>
      <c r="Y121" s="70"/>
      <c r="Z121" s="70"/>
      <c r="AA121" s="47"/>
      <c r="AB121" s="70"/>
      <c r="AC121" s="70"/>
      <c r="AD121" s="70"/>
      <c r="AE121" s="70"/>
    </row>
    <row r="122" spans="2:31" x14ac:dyDescent="0.25">
      <c r="B122" s="70"/>
      <c r="C122" s="70"/>
      <c r="D122" s="70"/>
      <c r="E122" s="68"/>
      <c r="F122" s="70"/>
      <c r="G122" s="70"/>
      <c r="H122" s="47"/>
      <c r="I122" s="68"/>
      <c r="J122" s="68"/>
      <c r="K122" s="68"/>
      <c r="L122" s="68"/>
      <c r="M122" s="68"/>
      <c r="N122" s="68"/>
      <c r="O122" s="68"/>
      <c r="P122" s="68"/>
      <c r="Q122" s="70"/>
      <c r="R122" s="70"/>
      <c r="S122" s="47"/>
      <c r="T122" s="141"/>
      <c r="U122" s="69"/>
      <c r="V122" s="70"/>
      <c r="W122" s="47"/>
      <c r="X122" s="145"/>
      <c r="Y122" s="70"/>
      <c r="Z122" s="70"/>
      <c r="AA122" s="47"/>
      <c r="AB122" s="70"/>
      <c r="AC122" s="70"/>
      <c r="AD122" s="70"/>
      <c r="AE122" s="70"/>
    </row>
    <row r="123" spans="2:31" x14ac:dyDescent="0.25">
      <c r="B123" s="70"/>
      <c r="C123" s="70"/>
      <c r="D123" s="70"/>
      <c r="E123" s="68"/>
      <c r="F123" s="70"/>
      <c r="G123" s="70"/>
      <c r="H123" s="47"/>
      <c r="I123" s="68"/>
      <c r="J123" s="68"/>
      <c r="K123" s="68"/>
      <c r="L123" s="68"/>
      <c r="M123" s="68"/>
      <c r="N123" s="68"/>
      <c r="O123" s="68"/>
      <c r="P123" s="68"/>
      <c r="Q123" s="70"/>
      <c r="R123" s="70"/>
      <c r="S123" s="47"/>
      <c r="T123" s="141"/>
      <c r="U123" s="69"/>
      <c r="V123" s="70"/>
      <c r="W123" s="47"/>
      <c r="X123" s="145"/>
      <c r="Y123" s="70"/>
      <c r="Z123" s="70"/>
      <c r="AA123" s="47"/>
      <c r="AB123" s="70"/>
      <c r="AC123" s="70"/>
      <c r="AD123" s="70"/>
      <c r="AE123" s="70"/>
    </row>
    <row r="124" spans="2:31" x14ac:dyDescent="0.25">
      <c r="B124" s="70"/>
      <c r="C124" s="70"/>
      <c r="D124" s="68"/>
      <c r="E124" s="68"/>
      <c r="F124" s="68"/>
      <c r="G124" s="70"/>
      <c r="H124" s="47"/>
      <c r="I124" s="68"/>
      <c r="J124" s="68"/>
      <c r="K124" s="68"/>
      <c r="L124" s="68"/>
      <c r="M124" s="68"/>
      <c r="N124" s="68"/>
      <c r="O124" s="68"/>
      <c r="P124" s="68"/>
      <c r="Q124" s="70"/>
      <c r="R124" s="70"/>
      <c r="S124" s="47"/>
      <c r="T124" s="75"/>
      <c r="U124" s="69"/>
      <c r="V124" s="70"/>
      <c r="W124" s="47"/>
      <c r="X124" s="145"/>
      <c r="Y124" s="70"/>
      <c r="Z124" s="70"/>
      <c r="AA124" s="47"/>
      <c r="AB124" s="70"/>
      <c r="AC124" s="70"/>
      <c r="AD124" s="70"/>
      <c r="AE124" s="70"/>
    </row>
  </sheetData>
  <autoFilter ref="B12:AE123">
    <sortState ref="B13:AA116">
      <sortCondition ref="C12:C116"/>
    </sortState>
  </autoFilter>
  <mergeCells count="8">
    <mergeCell ref="T11:V11"/>
    <mergeCell ref="X11:Z11"/>
    <mergeCell ref="AB11:AE11"/>
    <mergeCell ref="C7:G7"/>
    <mergeCell ref="B11:G11"/>
    <mergeCell ref="I11:K11"/>
    <mergeCell ref="L11:N11"/>
    <mergeCell ref="O11:R11"/>
  </mergeCells>
  <conditionalFormatting sqref="T13">
    <cfRule type="cellIs" dxfId="417" priority="40" operator="equal">
      <formula>"Testes utilizador"</formula>
    </cfRule>
  </conditionalFormatting>
  <conditionalFormatting sqref="T14:T51">
    <cfRule type="cellIs" dxfId="416" priority="35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16" operator="equal" id="{A040B812-7F1C-40E6-B50E-DB8B39233DE6}">
            <xm:f>'Tabelas AUX'!$E$5</xm:f>
            <x14:dxf>
              <font>
                <color rgb="FF00B050"/>
              </font>
            </x14:dxf>
          </x14:cfRule>
          <xm:sqref>X62:X77 X79:X102 T52:T102</xm:sqref>
        </x14:conditionalFormatting>
        <x14:conditionalFormatting xmlns:xm="http://schemas.microsoft.com/office/excel/2006/main">
          <x14:cfRule type="cellIs" priority="288" operator="equal" id="{FE148C89-0497-4984-8C7A-381B270B4102}">
            <xm:f>'Tabelas AUX'!$E$8</xm:f>
            <x14:dxf>
              <font>
                <color theme="8"/>
              </font>
            </x14:dxf>
          </x14:cfRule>
          <x14:cfRule type="cellIs" priority="289" operator="equal" id="{16837711-EC6A-4F10-B543-29D2CCF2AFD6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m:sqref>T52:T104</xm:sqref>
        </x14:conditionalFormatting>
        <x14:conditionalFormatting xmlns:xm="http://schemas.microsoft.com/office/excel/2006/main">
          <x14:cfRule type="cellIs" priority="312" operator="equal" id="{8732AC94-021D-48D0-83A5-71957614B457}">
            <xm:f>'Tabelas AUX'!$E$5</xm:f>
            <x14:dxf>
              <font>
                <color rgb="FF00B050"/>
              </font>
            </x14:dxf>
          </x14:cfRule>
          <x14:cfRule type="cellIs" priority="313" operator="equal" id="{9C938CA2-77D6-4C35-8F3E-8D5DA8363F7A}">
            <xm:f>'Tabelas AUX'!$E$4</xm:f>
            <x14:dxf>
              <font>
                <color rgb="FF7F7F7F"/>
              </font>
            </x14:dxf>
          </x14:cfRule>
          <x14:cfRule type="cellIs" priority="314" operator="equal" id="{6D5431E2-0664-4526-9825-46260EFA1652}">
            <xm:f>'Tabelas AUX'!$E$3</xm:f>
            <x14:dxf>
              <font>
                <color theme="5"/>
              </font>
            </x14:dxf>
          </x14:cfRule>
          <x14:cfRule type="cellIs" priority="315" operator="equal" id="{6187C330-2096-4785-A018-3C0F2D4FC8D3}">
            <xm:f>'Tabelas AUX'!$E$2</xm:f>
            <x14:dxf>
              <font>
                <color rgb="FFC00000"/>
              </font>
            </x14:dxf>
          </x14:cfRule>
          <xm:sqref>T66:T76 X66:X76</xm:sqref>
        </x14:conditionalFormatting>
        <x14:conditionalFormatting xmlns:xm="http://schemas.microsoft.com/office/excel/2006/main">
          <x14:cfRule type="cellIs" priority="285" operator="equal" id="{422CBF2E-343E-44B7-A8B1-BAE75190F6AD}">
            <xm:f>'Tabelas AUX'!$E$4</xm:f>
            <x14:dxf>
              <font>
                <color rgb="FF7F7F7F"/>
              </font>
            </x14:dxf>
          </x14:cfRule>
          <x14:cfRule type="cellIs" priority="286" operator="equal" id="{9F558790-829C-424A-9FC0-35CB8FF0FC23}">
            <xm:f>'Tabelas AUX'!$E$3</xm:f>
            <x14:dxf>
              <font>
                <color theme="5"/>
              </font>
            </x14:dxf>
          </x14:cfRule>
          <x14:cfRule type="cellIs" priority="287" operator="equal" id="{64F037B5-5276-40D4-A3BA-97E955B49D93}">
            <xm:f>'Tabelas AUX'!$E$2</xm:f>
            <x14:dxf>
              <font>
                <color rgb="FFC00000"/>
              </font>
            </x14:dxf>
          </x14:cfRule>
          <xm:sqref>T68</xm:sqref>
        </x14:conditionalFormatting>
        <x14:conditionalFormatting xmlns:xm="http://schemas.microsoft.com/office/excel/2006/main">
          <x14:cfRule type="cellIs" priority="259" operator="equal" id="{F5A8EF78-6DDC-4AC9-B6A8-63FA48F75CD1}">
            <xm:f>'Tabelas AUX'!$E$4</xm:f>
            <x14:dxf>
              <font>
                <color rgb="FF7F7F7F"/>
              </font>
            </x14:dxf>
          </x14:cfRule>
          <x14:cfRule type="cellIs" priority="260" operator="equal" id="{FE4E65F8-2124-44B9-93B3-EB9FBF22AFB2}">
            <xm:f>'Tabelas AUX'!$E$3</xm:f>
            <x14:dxf>
              <font>
                <color theme="5"/>
              </font>
            </x14:dxf>
          </x14:cfRule>
          <x14:cfRule type="cellIs" priority="261" operator="equal" id="{746B9A71-1375-46EE-90D3-092E85CB4EEA}">
            <xm:f>'Tabelas AUX'!$E$2</xm:f>
            <x14:dxf>
              <font>
                <color rgb="FFC00000"/>
              </font>
            </x14:dxf>
          </x14:cfRule>
          <xm:sqref>T84</xm:sqref>
        </x14:conditionalFormatting>
        <x14:conditionalFormatting xmlns:xm="http://schemas.microsoft.com/office/excel/2006/main">
          <x14:cfRule type="cellIs" priority="308" operator="equal" id="{A4184B38-49C3-4DD5-A121-4F8A0FBCE68B}">
            <xm:f>'Tabelas AUX'!$E$5</xm:f>
            <x14:dxf>
              <font>
                <color rgb="FF00B050"/>
              </font>
            </x14:dxf>
          </x14:cfRule>
          <x14:cfRule type="cellIs" priority="309" operator="equal" id="{ABB30F93-3118-490A-B5A4-EF6FB23437A4}">
            <xm:f>'Tabelas AUX'!$E$4</xm:f>
            <x14:dxf>
              <font>
                <color rgb="FF7F7F7F"/>
              </font>
            </x14:dxf>
          </x14:cfRule>
          <x14:cfRule type="cellIs" priority="310" operator="equal" id="{5024B2CC-0302-4A83-8227-3D59346B14BE}">
            <xm:f>'Tabelas AUX'!$E$3</xm:f>
            <x14:dxf>
              <font>
                <color theme="5"/>
              </font>
            </x14:dxf>
          </x14:cfRule>
          <x14:cfRule type="cellIs" priority="311" operator="equal" id="{D06DDA7C-0A58-4D0D-ACE6-AA10FE9E7008}">
            <xm:f>'Tabelas AUX'!$E$2</xm:f>
            <x14:dxf>
              <font>
                <color rgb="FFC00000"/>
              </font>
            </x14:dxf>
          </x14:cfRule>
          <xm:sqref>T84:T85</xm:sqref>
        </x14:conditionalFormatting>
        <x14:conditionalFormatting xmlns:xm="http://schemas.microsoft.com/office/excel/2006/main">
          <x14:cfRule type="cellIs" priority="290" operator="equal" id="{FD377C3B-9B54-4520-A09E-76FC9C30BE2C}">
            <xm:f>'Tabelas AUX'!$E$5</xm:f>
            <x14:dxf>
              <font>
                <color rgb="FF00B050"/>
              </font>
            </x14:dxf>
          </x14:cfRule>
          <x14:cfRule type="cellIs" priority="291" operator="equal" id="{14B38D31-6F59-4A85-BB22-A53F8B9FC1C5}">
            <xm:f>'Tabelas AUX'!$E$4</xm:f>
            <x14:dxf>
              <font>
                <color rgb="FF7F7F7F"/>
              </font>
            </x14:dxf>
          </x14:cfRule>
          <x14:cfRule type="cellIs" priority="292" operator="equal" id="{CB904954-FB6C-45AF-AD63-A59F2EC1CAEB}">
            <xm:f>'Tabelas AUX'!$E$3</xm:f>
            <x14:dxf>
              <font>
                <color theme="5"/>
              </font>
            </x14:dxf>
          </x14:cfRule>
          <x14:cfRule type="cellIs" priority="293" operator="equal" id="{0C13EF3C-8ED1-4B8D-A57E-D1B47B9C4CEE}">
            <xm:f>'Tabelas AUX'!$E$2</xm:f>
            <x14:dxf>
              <font>
                <color rgb="FFC00000"/>
              </font>
            </x14:dxf>
          </x14:cfRule>
          <xm:sqref>T103:T104</xm:sqref>
        </x14:conditionalFormatting>
        <x14:conditionalFormatting xmlns:xm="http://schemas.microsoft.com/office/excel/2006/main">
          <x14:cfRule type="cellIs" priority="279" operator="equal" id="{AF2C7944-3A29-4E8C-B028-D66944DED45B}">
            <xm:f>'Tabelas AUX'!$E$4</xm:f>
            <x14:dxf>
              <font>
                <color rgb="FF7F7F7F"/>
              </font>
            </x14:dxf>
          </x14:cfRule>
          <x14:cfRule type="cellIs" priority="280" operator="equal" id="{B6C20CF8-79E5-48FB-85BC-AD8DE6423A2E}">
            <xm:f>'Tabelas AUX'!$E$3</xm:f>
            <x14:dxf>
              <font>
                <color theme="5"/>
              </font>
            </x14:dxf>
          </x14:cfRule>
          <x14:cfRule type="cellIs" priority="281" operator="equal" id="{81AADE15-077A-45E5-8B8F-295545784D53}">
            <xm:f>'Tabelas AUX'!$E$2</xm:f>
            <x14:dxf>
              <font>
                <color rgb="FFC00000"/>
              </font>
            </x14:dxf>
          </x14:cfRule>
          <xm:sqref>T105:T122</xm:sqref>
        </x14:conditionalFormatting>
        <x14:conditionalFormatting xmlns:xm="http://schemas.microsoft.com/office/excel/2006/main">
          <x14:cfRule type="cellIs" priority="262" operator="equal" id="{D822DA17-F0F4-4C83-AAEC-1F611347C9E4}">
            <xm:f>'Tabelas AUX'!$E$8</xm:f>
            <x14:dxf>
              <font>
                <color theme="8"/>
              </font>
            </x14:dxf>
          </x14:cfRule>
          <x14:cfRule type="cellIs" priority="263" operator="equal" id="{F0EB4232-7796-41D7-8A66-27788ECB7C00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268" operator="equal" id="{4D4313C9-45CD-4A8D-82E7-C5556AA9C287}">
            <xm:f>'Tabelas AUX'!$E$5</xm:f>
            <x14:dxf>
              <font>
                <color rgb="FF00B050"/>
              </font>
            </x14:dxf>
          </x14:cfRule>
          <xm:sqref>T105:T124</xm:sqref>
        </x14:conditionalFormatting>
        <x14:conditionalFormatting xmlns:xm="http://schemas.microsoft.com/office/excel/2006/main">
          <x14:cfRule type="cellIs" priority="264" operator="equal" id="{030012E9-D4E9-4FFA-968E-30EF8D4A5777}">
            <xm:f>'Tabelas AUX'!$E$5</xm:f>
            <x14:dxf>
              <font>
                <color rgb="FF00B050"/>
              </font>
            </x14:dxf>
          </x14:cfRule>
          <x14:cfRule type="cellIs" priority="265" operator="equal" id="{26EB88D2-068B-41D3-8ACF-B4EE572A391C}">
            <xm:f>'Tabelas AUX'!$E$4</xm:f>
            <x14:dxf>
              <font>
                <color rgb="FF7F7F7F"/>
              </font>
            </x14:dxf>
          </x14:cfRule>
          <x14:cfRule type="cellIs" priority="266" operator="equal" id="{C4EE4C64-BA99-4BB0-BC58-36A3290FBA68}">
            <xm:f>'Tabelas AUX'!$E$3</xm:f>
            <x14:dxf>
              <font>
                <color theme="5"/>
              </font>
            </x14:dxf>
          </x14:cfRule>
          <x14:cfRule type="cellIs" priority="267" operator="equal" id="{72EF62F4-434A-4E16-A8F2-246B084071AE}">
            <xm:f>'Tabelas AUX'!$E$2</xm:f>
            <x14:dxf>
              <font>
                <color rgb="FFC00000"/>
              </font>
            </x14:dxf>
          </x14:cfRule>
          <xm:sqref>T123</xm:sqref>
        </x14:conditionalFormatting>
        <x14:conditionalFormatting xmlns:xm="http://schemas.microsoft.com/office/excel/2006/main">
          <x14:cfRule type="cellIs" priority="282" operator="equal" id="{3814DB2B-E760-438C-8DE9-DADD72611E46}">
            <xm:f>'Tabelas AUX'!$E$4</xm:f>
            <x14:dxf>
              <font>
                <color rgb="FF7F7F7F"/>
              </font>
            </x14:dxf>
          </x14:cfRule>
          <x14:cfRule type="cellIs" priority="283" operator="equal" id="{D4B74523-D9C4-41E3-840B-6210FEA0FB01}">
            <xm:f>'Tabelas AUX'!$E$3</xm:f>
            <x14:dxf>
              <font>
                <color theme="5"/>
              </font>
            </x14:dxf>
          </x14:cfRule>
          <x14:cfRule type="cellIs" priority="284" operator="equal" id="{1D9687CA-624E-4056-B3AA-360C5629FAEE}">
            <xm:f>'Tabelas AUX'!$E$2</xm:f>
            <x14:dxf>
              <font>
                <color rgb="FFC00000"/>
              </font>
            </x14:dxf>
          </x14:cfRule>
          <xm:sqref>T124</xm:sqref>
        </x14:conditionalFormatting>
        <x14:conditionalFormatting xmlns:xm="http://schemas.microsoft.com/office/excel/2006/main">
          <x14:cfRule type="cellIs" priority="317" operator="equal" id="{2A378C1C-C693-4144-8D35-A8394F806944}">
            <xm:f>'Tabelas AUX'!$E$4</xm:f>
            <x14:dxf>
              <font>
                <color rgb="FF7F7F7F"/>
              </font>
            </x14:dxf>
          </x14:cfRule>
          <x14:cfRule type="cellIs" priority="318" operator="equal" id="{8A64BCCB-1314-4D3A-A57F-F7F9E14F2358}">
            <xm:f>'Tabelas AUX'!$E$3</xm:f>
            <x14:dxf>
              <font>
                <color theme="5"/>
              </font>
            </x14:dxf>
          </x14:cfRule>
          <x14:cfRule type="cellIs" priority="319" operator="equal" id="{45872A03-F3BA-4283-B1E8-622BB35114FB}">
            <xm:f>'Tabelas AUX'!$E$2</xm:f>
            <x14:dxf>
              <font>
                <color rgb="FFC00000"/>
              </font>
            </x14:dxf>
          </x14:cfRule>
          <xm:sqref>X62:X77 T77:T83 X79:X102 T86:T102 T52:T65</xm:sqref>
        </x14:conditionalFormatting>
        <x14:conditionalFormatting xmlns:xm="http://schemas.microsoft.com/office/excel/2006/main">
          <x14:cfRule type="cellIs" priority="303" operator="equal" id="{0565483B-98D6-479A-9128-4BDB86D9189E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m:sqref>X79:X102</xm:sqref>
        </x14:conditionalFormatting>
        <x14:conditionalFormatting xmlns:xm="http://schemas.microsoft.com/office/excel/2006/main">
          <x14:cfRule type="cellIs" priority="269" operator="equal" id="{F22779EC-395E-405E-A6AB-5C6E3A49B813}">
            <xm:f>'Tabelas AUX'!$E$5</xm:f>
            <x14:dxf>
              <font>
                <color rgb="FF00B050"/>
              </font>
            </x14:dxf>
          </x14:cfRule>
          <x14:cfRule type="cellIs" priority="270" operator="equal" id="{0778459D-4C09-4B8B-9C3C-91F307C89378}">
            <xm:f>'Tabelas AUX'!$E$4</xm:f>
            <x14:dxf>
              <font>
                <color rgb="FF7F7F7F"/>
              </font>
            </x14:dxf>
          </x14:cfRule>
          <x14:cfRule type="cellIs" priority="271" operator="equal" id="{D93FC1DD-A8CF-4DF6-9197-92BC83B05419}">
            <xm:f>'Tabelas AUX'!$E$3</xm:f>
            <x14:dxf>
              <font>
                <color theme="5"/>
              </font>
            </x14:dxf>
          </x14:cfRule>
          <x14:cfRule type="cellIs" priority="272" operator="equal" id="{08862537-009E-4188-9F3E-ABE6D51FB66A}">
            <xm:f>'Tabelas AUX'!$E$2</xm:f>
            <x14:dxf>
              <font>
                <color rgb="FFC00000"/>
              </font>
            </x14:dxf>
          </x14:cfRule>
          <xm:sqref>X52:X61</xm:sqref>
        </x14:conditionalFormatting>
        <x14:conditionalFormatting xmlns:xm="http://schemas.microsoft.com/office/excel/2006/main">
          <x14:cfRule type="cellIs" priority="249" operator="equal" id="{387339CF-4C74-4020-91C3-04B53365CCA1}">
            <xm:f>'Tabelas AUX'!$E$8</xm:f>
            <x14:dxf>
              <font>
                <color theme="8"/>
              </font>
            </x14:dxf>
          </x14:cfRule>
          <x14:cfRule type="cellIs" priority="250" operator="equal" id="{C5D70B9E-C541-4410-9E81-4DF6BD7D34DD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m:sqref>X52:X78</xm:sqref>
        </x14:conditionalFormatting>
        <x14:conditionalFormatting xmlns:xm="http://schemas.microsoft.com/office/excel/2006/main">
          <x14:cfRule type="cellIs" priority="251" operator="equal" id="{5DA04AA2-227A-4B99-9D7D-F84C31A3E663}">
            <xm:f>'Tabelas AUX'!$E$5</xm:f>
            <x14:dxf>
              <font>
                <color rgb="FF00B050"/>
              </font>
            </x14:dxf>
          </x14:cfRule>
          <x14:cfRule type="cellIs" priority="252" operator="equal" id="{9AE556B6-0E72-47BA-AEA9-C776C3F779B3}">
            <xm:f>'Tabelas AUX'!$E$4</xm:f>
            <x14:dxf>
              <font>
                <color rgb="FF7F7F7F"/>
              </font>
            </x14:dxf>
          </x14:cfRule>
          <x14:cfRule type="cellIs" priority="253" operator="equal" id="{A4F27A32-0C40-4430-8A12-60792A4080A7}">
            <xm:f>'Tabelas AUX'!$E$3</xm:f>
            <x14:dxf>
              <font>
                <color theme="5"/>
              </font>
            </x14:dxf>
          </x14:cfRule>
          <x14:cfRule type="cellIs" priority="254" operator="equal" id="{4D2A3F6C-2B8A-4DA1-B861-846C8716BA92}">
            <xm:f>'Tabelas AUX'!$E$2</xm:f>
            <x14:dxf>
              <font>
                <color rgb="FFC00000"/>
              </font>
            </x14:dxf>
          </x14:cfRule>
          <x14:cfRule type="cellIs" priority="255" operator="equal" id="{E0DC6E43-F171-471A-A175-766AB39316EE}">
            <xm:f>'Tabelas AUX'!$E$5</xm:f>
            <x14:dxf>
              <font>
                <color rgb="FF00B050"/>
              </font>
            </x14:dxf>
          </x14:cfRule>
          <x14:cfRule type="cellIs" priority="256" operator="equal" id="{41009866-A66B-4137-9720-12D0E142DDF1}">
            <xm:f>'Tabelas AUX'!$E$4</xm:f>
            <x14:dxf>
              <font>
                <color rgb="FF7F7F7F"/>
              </font>
            </x14:dxf>
          </x14:cfRule>
          <x14:cfRule type="cellIs" priority="257" operator="equal" id="{F85AF374-9E80-4A7B-B3DC-CE125BE06000}">
            <xm:f>'Tabelas AUX'!$E$3</xm:f>
            <x14:dxf>
              <font>
                <color theme="5"/>
              </font>
            </x14:dxf>
          </x14:cfRule>
          <x14:cfRule type="cellIs" priority="258" operator="equal" id="{725E6C66-090F-431B-91F4-C66B5B2B413E}">
            <xm:f>'Tabelas AUX'!$E$2</xm:f>
            <x14:dxf>
              <font>
                <color rgb="FFC00000"/>
              </font>
            </x14:dxf>
          </x14:cfRule>
          <xm:sqref>X78</xm:sqref>
        </x14:conditionalFormatting>
        <x14:conditionalFormatting xmlns:xm="http://schemas.microsoft.com/office/excel/2006/main">
          <x14:cfRule type="cellIs" priority="302" operator="equal" id="{E5BAF2AF-9B12-4099-B67A-171221B4F5EF}">
            <xm:f>'Tabelas AUX'!$E$8</xm:f>
            <x14:dxf>
              <font>
                <color theme="8"/>
              </font>
            </x14:dxf>
          </x14:cfRule>
          <xm:sqref>X79:X102</xm:sqref>
        </x14:conditionalFormatting>
        <x14:conditionalFormatting xmlns:xm="http://schemas.microsoft.com/office/excel/2006/main">
          <x14:cfRule type="cellIs" priority="298" operator="equal" id="{272097EB-5ED0-4DF2-B5D6-8EA8D9C02D54}">
            <xm:f>'Tabelas AUX'!$E$5</xm:f>
            <x14:dxf>
              <font>
                <color rgb="FF00B050"/>
              </font>
            </x14:dxf>
          </x14:cfRule>
          <x14:cfRule type="cellIs" priority="299" operator="equal" id="{3A245209-1356-4DD4-921F-0D18DC3B08DF}">
            <xm:f>'Tabelas AUX'!$E$4</xm:f>
            <x14:dxf>
              <font>
                <color rgb="FF7F7F7F"/>
              </font>
            </x14:dxf>
          </x14:cfRule>
          <x14:cfRule type="cellIs" priority="300" operator="equal" id="{9E3B4BC8-D6F5-4934-8BF2-893B69703874}">
            <xm:f>'Tabelas AUX'!$E$3</xm:f>
            <x14:dxf>
              <font>
                <color theme="5"/>
              </font>
            </x14:dxf>
          </x14:cfRule>
          <x14:cfRule type="cellIs" priority="301" operator="equal" id="{AE68E3FC-3691-41AB-89A4-B6F7E695CC9D}">
            <xm:f>'Tabelas AUX'!$E$2</xm:f>
            <x14:dxf>
              <font>
                <color rgb="FFC00000"/>
              </font>
            </x14:dxf>
          </x14:cfRule>
          <xm:sqref>X84:X85</xm:sqref>
        </x14:conditionalFormatting>
        <x14:conditionalFormatting xmlns:xm="http://schemas.microsoft.com/office/excel/2006/main">
          <x14:cfRule type="cellIs" priority="273" operator="equal" id="{C456CAD8-8247-47C9-B0FA-553A99E871FB}">
            <xm:f>'Tabelas AUX'!$E$8</xm:f>
            <x14:dxf>
              <font>
                <color theme="8"/>
              </font>
            </x14:dxf>
          </x14:cfRule>
          <x14:cfRule type="cellIs" priority="274" operator="equal" id="{25A50B38-E618-4B2B-9CCE-08033DC40FB0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275" operator="equal" id="{8758E7BB-771A-4A01-A40D-08293F59B5F7}">
            <xm:f>'Tabelas AUX'!$E$5</xm:f>
            <x14:dxf>
              <font>
                <color rgb="FF00B050"/>
              </font>
            </x14:dxf>
          </x14:cfRule>
          <x14:cfRule type="cellIs" priority="276" operator="equal" id="{34B6AB57-9786-4A73-99D9-AF26346AB446}">
            <xm:f>'Tabelas AUX'!$E$4</xm:f>
            <x14:dxf>
              <font>
                <color rgb="FF7F7F7F"/>
              </font>
            </x14:dxf>
          </x14:cfRule>
          <x14:cfRule type="cellIs" priority="277" operator="equal" id="{959EB446-7734-4D69-A306-0B1C31762E30}">
            <xm:f>'Tabelas AUX'!$E$3</xm:f>
            <x14:dxf>
              <font>
                <color theme="5"/>
              </font>
            </x14:dxf>
          </x14:cfRule>
          <x14:cfRule type="cellIs" priority="278" operator="equal" id="{0CE8066E-98BB-4B7A-BFFD-A6DA5C725704}">
            <xm:f>'Tabelas AUX'!$E$2</xm:f>
            <x14:dxf>
              <font>
                <color rgb="FFC00000"/>
              </font>
            </x14:dxf>
          </x14:cfRule>
          <xm:sqref>X103:X124</xm:sqref>
        </x14:conditionalFormatting>
        <x14:conditionalFormatting xmlns:xm="http://schemas.microsoft.com/office/excel/2006/main">
          <x14:cfRule type="cellIs" priority="41" operator="equal" id="{6A370F65-837C-4A67-9BD0-5ECAA5E66E5A}">
            <xm:f>'Tabelas AUX'!$E$5</xm:f>
            <x14:dxf>
              <font>
                <color rgb="FF00B050"/>
              </font>
            </x14:dxf>
          </x14:cfRule>
          <x14:cfRule type="cellIs" priority="42" operator="equal" id="{43D3E62B-97C2-4118-8DCE-CCDF20CD5E96}">
            <xm:f>'Tabelas AUX'!$E$4</xm:f>
            <x14:dxf>
              <font>
                <color rgb="FF7F7F7F"/>
              </font>
            </x14:dxf>
          </x14:cfRule>
          <x14:cfRule type="cellIs" priority="43" operator="equal" id="{C60260A0-5205-4A31-B26E-409A4712DB58}">
            <xm:f>'Tabelas AUX'!$E$3</xm:f>
            <x14:dxf>
              <font>
                <color theme="5"/>
              </font>
            </x14:dxf>
          </x14:cfRule>
          <x14:cfRule type="cellIs" priority="44" operator="equal" id="{B87BCB63-4CAD-49EC-9472-F659135114EF}">
            <xm:f>'Tabelas AUX'!$E$2</xm:f>
            <x14:dxf>
              <font>
                <color rgb="FFC00000"/>
              </font>
            </x14:dxf>
          </x14:cfRule>
          <xm:sqref>T13</xm:sqref>
        </x14:conditionalFormatting>
        <x14:conditionalFormatting xmlns:xm="http://schemas.microsoft.com/office/excel/2006/main">
          <x14:cfRule type="cellIs" priority="36" operator="equal" id="{27F8A26B-22DA-42B6-8691-38830C234672}">
            <xm:f>'Tabelas AUX'!$E$5</xm:f>
            <x14:dxf>
              <font>
                <color rgb="FF00B050"/>
              </font>
            </x14:dxf>
          </x14:cfRule>
          <x14:cfRule type="cellIs" priority="37" operator="equal" id="{B9490219-68F1-4632-BFC0-D67DF6112375}">
            <xm:f>'Tabelas AUX'!$E$4</xm:f>
            <x14:dxf>
              <font>
                <color rgb="FF7F7F7F"/>
              </font>
            </x14:dxf>
          </x14:cfRule>
          <x14:cfRule type="cellIs" priority="38" operator="equal" id="{AF5E5C56-9BAF-4C73-B2BE-00036DB36749}">
            <xm:f>'Tabelas AUX'!$E$3</xm:f>
            <x14:dxf>
              <font>
                <color theme="5"/>
              </font>
            </x14:dxf>
          </x14:cfRule>
          <x14:cfRule type="cellIs" priority="39" operator="equal" id="{F61AF0A9-8726-4215-BEB9-F3EE80290100}">
            <xm:f>'Tabelas AUX'!$E$2</xm:f>
            <x14:dxf>
              <font>
                <color rgb="FFC00000"/>
              </font>
            </x14:dxf>
          </x14:cfRule>
          <xm:sqref>T14:T51</xm:sqref>
        </x14:conditionalFormatting>
        <x14:conditionalFormatting xmlns:xm="http://schemas.microsoft.com/office/excel/2006/main">
          <x14:cfRule type="cellIs" priority="24" operator="equal" id="{E55CAFB8-30C2-4123-8F9C-409EDA3B6DE3}">
            <xm:f>'Tabelas AUX'!$E$8</xm:f>
            <x14:dxf>
              <font>
                <color theme="8"/>
              </font>
            </x14:dxf>
          </x14:cfRule>
          <x14:cfRule type="cellIs" priority="25" operator="equal" id="{A670C219-2EA2-4E98-974F-9ED220DEE836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26" operator="equal" id="{90637083-1D02-4990-9CC1-8435952737EE}">
            <xm:f>'Tabelas AUX'!$E$5</xm:f>
            <x14:dxf>
              <font>
                <color rgb="FF00B050"/>
              </font>
            </x14:dxf>
          </x14:cfRule>
          <x14:cfRule type="cellIs" priority="27" operator="equal" id="{C1878A61-DB79-4A33-9FC0-80046B1ECFDA}">
            <xm:f>'Tabelas AUX'!$E$4</xm:f>
            <x14:dxf>
              <font>
                <color rgb="FF7F7F7F"/>
              </font>
            </x14:dxf>
          </x14:cfRule>
          <x14:cfRule type="cellIs" priority="28" operator="equal" id="{A0BCDB2F-2E26-4BB5-81BD-7B7A3F91F02F}">
            <xm:f>'Tabelas AUX'!$E$3</xm:f>
            <x14:dxf>
              <font>
                <color theme="5"/>
              </font>
            </x14:dxf>
          </x14:cfRule>
          <x14:cfRule type="cellIs" priority="29" operator="equal" id="{F48C994E-E002-45FE-A956-ED9599FAD79C}">
            <xm:f>'Tabelas AUX'!$E$2</xm:f>
            <x14:dxf>
              <font>
                <color rgb="FFC00000"/>
              </font>
            </x14:dxf>
          </x14:cfRule>
          <xm:sqref>X33</xm:sqref>
        </x14:conditionalFormatting>
        <x14:conditionalFormatting xmlns:xm="http://schemas.microsoft.com/office/excel/2006/main">
          <x14:cfRule type="cellIs" priority="1" operator="equal" id="{3A6DFB7D-82DD-42FC-8A9A-0C939CF655D9}">
            <xm:f>'Tabelas AUX'!$E$8</xm:f>
            <x14:dxf>
              <font>
                <color theme="8"/>
              </font>
            </x14:dxf>
          </x14:cfRule>
          <x14:cfRule type="cellIs" priority="2" operator="equal" id="{E404843D-543F-47B8-9BDC-0414E97BD233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3" operator="equal" id="{D6DCBC7C-3CD2-446C-A60E-5680BA2DABA1}">
            <xm:f>'Tabelas AUX'!$E$5</xm:f>
            <x14:dxf>
              <font>
                <color rgb="FF00B050"/>
              </font>
            </x14:dxf>
          </x14:cfRule>
          <x14:cfRule type="cellIs" priority="4" operator="equal" id="{EE074FCF-FDDF-42B8-B395-EA80042C7B75}">
            <xm:f>'Tabelas AUX'!$E$4</xm:f>
            <x14:dxf>
              <font>
                <color rgb="FF7F7F7F"/>
              </font>
            </x14:dxf>
          </x14:cfRule>
          <x14:cfRule type="cellIs" priority="5" operator="equal" id="{143ED0AA-F156-4FD7-9538-8BF7B134F985}">
            <xm:f>'Tabelas AUX'!$E$3</xm:f>
            <x14:dxf>
              <font>
                <color theme="5"/>
              </font>
            </x14:dxf>
          </x14:cfRule>
          <x14:cfRule type="cellIs" priority="6" operator="equal" id="{9407873A-89D9-4BD3-9BEC-D67CC67CE5CE}">
            <xm:f>'Tabelas AUX'!$E$2</xm:f>
            <x14:dxf>
              <font>
                <color rgb="FFC00000"/>
              </font>
            </x14:dxf>
          </x14:cfRule>
          <xm:sqref>X13:X32</xm:sqref>
        </x14:conditionalFormatting>
        <x14:conditionalFormatting xmlns:xm="http://schemas.microsoft.com/office/excel/2006/main">
          <x14:cfRule type="cellIs" priority="12" operator="equal" id="{70154FBC-8408-4949-8673-E8A253337BD8}">
            <xm:f>'Tabelas AUX'!$E$8</xm:f>
            <x14:dxf>
              <font>
                <color theme="8"/>
              </font>
            </x14:dxf>
          </x14:cfRule>
          <x14:cfRule type="cellIs" priority="13" operator="equal" id="{F6922F4D-7F49-4C7C-BBA9-AD6981889C9A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4" operator="equal" id="{B5B8CAF0-2147-44D1-900B-BE269739886B}">
            <xm:f>'Tabelas AUX'!$E$5</xm:f>
            <x14:dxf>
              <font>
                <color rgb="FF00B050"/>
              </font>
            </x14:dxf>
          </x14:cfRule>
          <x14:cfRule type="cellIs" priority="15" operator="equal" id="{66103FBC-84CF-4B74-8F57-D4FE8ED4447F}">
            <xm:f>'Tabelas AUX'!$E$4</xm:f>
            <x14:dxf>
              <font>
                <color rgb="FF7F7F7F"/>
              </font>
            </x14:dxf>
          </x14:cfRule>
          <x14:cfRule type="cellIs" priority="16" operator="equal" id="{416EDAE3-8F3B-4975-924C-009320ED4319}">
            <xm:f>'Tabelas AUX'!$E$3</xm:f>
            <x14:dxf>
              <font>
                <color theme="5"/>
              </font>
            </x14:dxf>
          </x14:cfRule>
          <x14:cfRule type="cellIs" priority="17" operator="equal" id="{A001E94B-4826-425E-9E23-CE3668CB489B}">
            <xm:f>'Tabelas AUX'!$E$2</xm:f>
            <x14:dxf>
              <font>
                <color rgb="FFC00000"/>
              </font>
            </x14:dxf>
          </x14:cfRule>
          <xm:sqref>X34:X51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'Tabelas AUX'!$E$2:$E$9</xm:f>
          </x14:formula1>
          <xm:sqref>T105:T123 T52:T96</xm:sqref>
        </x14:dataValidation>
        <x14:dataValidation type="list" allowBlank="1" showInputMessage="1" showErrorMessage="1">
          <x14:formula1>
            <xm:f>'Tabelas AUX'!$E$2:$E$12</xm:f>
          </x14:formula1>
          <xm:sqref>X14:X32</xm:sqref>
        </x14:dataValidation>
        <x14:dataValidation type="list" allowBlank="1" showInputMessage="1" showErrorMessage="1">
          <x14:formula1>
            <xm:f>'Tabelas AUX'!$E$2:$E$5</xm:f>
          </x14:formula1>
          <xm:sqref>T13:T51</xm:sqref>
        </x14:dataValidation>
        <x14:dataValidation type="list" allowBlank="1" showInputMessage="1" showErrorMessage="1">
          <x14:formula1>
            <xm:f>'Tabelas AUX'!$G$2:$G$13</xm:f>
          </x14:formula1>
          <xm:sqref>X33:X51 X13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9" tint="0.59999389629810485"/>
  </sheetPr>
  <dimension ref="A1:AE41"/>
  <sheetViews>
    <sheetView showGridLines="0" topLeftCell="M1" zoomScale="85" zoomScaleNormal="85" workbookViewId="0">
      <selection activeCell="X11" sqref="X11:AE11"/>
    </sheetView>
  </sheetViews>
  <sheetFormatPr defaultRowHeight="15" outlineLevelRow="1" outlineLevelCol="1" x14ac:dyDescent="0.25"/>
  <cols>
    <col min="1" max="1" width="3.7109375" customWidth="1"/>
    <col min="2" max="2" width="31.7109375" customWidth="1"/>
    <col min="3" max="3" width="9.42578125" bestFit="1" customWidth="1"/>
    <col min="4" max="4" width="21.85546875" bestFit="1" customWidth="1"/>
    <col min="5" max="5" width="17" bestFit="1" customWidth="1"/>
    <col min="6" max="6" width="44.28515625" bestFit="1" customWidth="1"/>
    <col min="7" max="7" width="12.7109375" customWidth="1"/>
    <col min="8" max="8" width="2" customWidth="1"/>
    <col min="9" max="9" width="27.85546875" hidden="1" customWidth="1" outlineLevel="1"/>
    <col min="10" max="10" width="26.85546875" hidden="1" customWidth="1" outlineLevel="1"/>
    <col min="11" max="11" width="21" hidden="1" customWidth="1" outlineLevel="1"/>
    <col min="12" max="12" width="27.85546875" bestFit="1" customWidth="1" collapsed="1"/>
    <col min="13" max="13" width="43.5703125" customWidth="1"/>
    <col min="14" max="14" width="24.42578125" customWidth="1"/>
    <col min="15" max="15" width="20.28515625" hidden="1" customWidth="1" outlineLevel="1"/>
    <col min="16" max="17" width="42.42578125" hidden="1" customWidth="1" outlineLevel="1"/>
    <col min="18" max="18" width="30.5703125" hidden="1" customWidth="1" outlineLevel="1"/>
    <col min="19" max="19" width="2.140625" customWidth="1" collapsed="1"/>
    <col min="20" max="20" width="14.140625" customWidth="1" outlineLevel="1"/>
    <col min="21" max="21" width="15.42578125" customWidth="1" outlineLevel="1"/>
    <col min="22" max="22" width="42.7109375" customWidth="1" outlineLevel="1"/>
    <col min="23" max="23" width="2.140625" customWidth="1"/>
    <col min="24" max="24" width="15.7109375" bestFit="1" customWidth="1" outlineLevel="1"/>
    <col min="25" max="25" width="24.85546875" customWidth="1" outlineLevel="1"/>
    <col min="26" max="26" width="22.5703125" customWidth="1" outlineLevel="1"/>
    <col min="27" max="27" width="2.140625" customWidth="1"/>
    <col min="28" max="30" width="22.5703125" customWidth="1" outlineLevel="1"/>
    <col min="31" max="31" width="11.28515625" customWidth="1" outlineLevel="1"/>
  </cols>
  <sheetData>
    <row r="1" spans="1:31" ht="15" customHeight="1" x14ac:dyDescent="0.25">
      <c r="B1" s="47"/>
      <c r="C1" s="47"/>
      <c r="D1" s="47"/>
      <c r="F1" s="47"/>
      <c r="G1" s="47"/>
    </row>
    <row r="2" spans="1:31" ht="34.5" customHeight="1" x14ac:dyDescent="0.25">
      <c r="B2" s="47"/>
      <c r="C2" s="47"/>
      <c r="D2" s="48"/>
      <c r="F2" s="47"/>
      <c r="G2" s="47"/>
    </row>
    <row r="3" spans="1:31" ht="2.25" customHeight="1" x14ac:dyDescent="0.25">
      <c r="A3" s="20"/>
      <c r="B3" s="49"/>
      <c r="C3" s="49"/>
      <c r="D3" s="49"/>
      <c r="E3" s="49"/>
      <c r="F3" s="49"/>
      <c r="G3" s="49"/>
    </row>
    <row r="4" spans="1:31" ht="15" customHeight="1" x14ac:dyDescent="0.25">
      <c r="B4" s="47"/>
      <c r="C4" s="47"/>
      <c r="D4" s="47"/>
      <c r="F4" s="47"/>
      <c r="G4" s="47"/>
    </row>
    <row r="5" spans="1:31" ht="15" customHeight="1" x14ac:dyDescent="0.25">
      <c r="B5" s="50" t="s">
        <v>1471</v>
      </c>
      <c r="C5" s="50"/>
      <c r="D5" s="47"/>
      <c r="F5" s="47"/>
      <c r="G5" s="47"/>
    </row>
    <row r="6" spans="1:31" ht="15" customHeight="1" x14ac:dyDescent="0.25">
      <c r="B6" s="47"/>
      <c r="C6" s="47"/>
      <c r="D6" s="47"/>
      <c r="F6" s="47"/>
      <c r="G6" s="47"/>
    </row>
    <row r="7" spans="1:31" ht="83.25" hidden="1" customHeight="1" outlineLevel="1" x14ac:dyDescent="0.25">
      <c r="B7" s="51" t="s">
        <v>65</v>
      </c>
      <c r="C7" s="222" t="s">
        <v>1472</v>
      </c>
      <c r="D7" s="222"/>
      <c r="E7" s="222"/>
      <c r="F7" s="222"/>
      <c r="G7" s="222"/>
      <c r="H7" s="52"/>
      <c r="I7" s="52"/>
      <c r="S7" s="52"/>
      <c r="W7" s="52"/>
      <c r="AA7" s="52"/>
    </row>
    <row r="8" spans="1:31" ht="15" hidden="1" customHeight="1" outlineLevel="1" x14ac:dyDescent="0.25">
      <c r="B8" s="47"/>
      <c r="C8" s="47"/>
      <c r="D8" s="47"/>
      <c r="F8" s="47"/>
      <c r="G8" s="47"/>
    </row>
    <row r="9" spans="1:31" ht="15" hidden="1" customHeight="1" outlineLevel="1" x14ac:dyDescent="0.25">
      <c r="B9" s="47"/>
      <c r="C9" s="47"/>
      <c r="D9" s="47"/>
      <c r="F9" s="47"/>
      <c r="G9" s="47"/>
    </row>
    <row r="10" spans="1:31" ht="15" hidden="1" customHeight="1" outlineLevel="1" x14ac:dyDescent="0.25">
      <c r="B10" s="47"/>
      <c r="C10" s="47"/>
      <c r="D10" s="47"/>
      <c r="F10" s="47"/>
      <c r="G10" s="47"/>
    </row>
    <row r="11" spans="1:31" collapsed="1" x14ac:dyDescent="0.25">
      <c r="B11" s="212" t="s">
        <v>67</v>
      </c>
      <c r="C11" s="213"/>
      <c r="D11" s="213"/>
      <c r="E11" s="213"/>
      <c r="F11" s="213"/>
      <c r="G11" s="214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  <c r="X11" s="207" t="s">
        <v>72</v>
      </c>
      <c r="Y11" s="208"/>
      <c r="Z11" s="208"/>
      <c r="AB11" s="207" t="s">
        <v>1000</v>
      </c>
      <c r="AC11" s="208"/>
      <c r="AD11" s="208"/>
      <c r="AE11" s="208"/>
    </row>
    <row r="12" spans="1:31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  <c r="X12" s="61" t="s">
        <v>86</v>
      </c>
      <c r="Y12" s="61" t="s">
        <v>89</v>
      </c>
      <c r="Z12" s="61" t="s">
        <v>90</v>
      </c>
      <c r="AB12" s="61" t="s">
        <v>166</v>
      </c>
      <c r="AC12" s="61" t="s">
        <v>167</v>
      </c>
      <c r="AD12" s="61" t="s">
        <v>168</v>
      </c>
      <c r="AE12" s="61" t="s">
        <v>88</v>
      </c>
    </row>
    <row r="13" spans="1:31" x14ac:dyDescent="0.25">
      <c r="B13" s="68" t="s">
        <v>57</v>
      </c>
      <c r="C13" s="62">
        <v>1</v>
      </c>
      <c r="D13" s="62" t="s">
        <v>260</v>
      </c>
      <c r="E13" s="62" t="s">
        <v>225</v>
      </c>
      <c r="F13" s="62" t="s">
        <v>261</v>
      </c>
      <c r="G13" s="73" t="s">
        <v>505</v>
      </c>
      <c r="I13" s="62" t="s">
        <v>20</v>
      </c>
      <c r="J13" s="62" t="s">
        <v>227</v>
      </c>
      <c r="K13" s="62" t="s">
        <v>228</v>
      </c>
      <c r="L13" s="70" t="s">
        <v>29</v>
      </c>
      <c r="M13" s="70" t="s">
        <v>33</v>
      </c>
      <c r="N13" s="70" t="s">
        <v>260</v>
      </c>
      <c r="O13" s="62"/>
      <c r="P13" s="62"/>
      <c r="Q13" s="62"/>
      <c r="R13" s="62"/>
      <c r="T13" s="75" t="s">
        <v>97</v>
      </c>
      <c r="U13" s="63">
        <v>44865</v>
      </c>
      <c r="V13" s="62"/>
      <c r="X13" s="75" t="s">
        <v>149</v>
      </c>
      <c r="Y13" s="63">
        <v>45009</v>
      </c>
      <c r="Z13" s="62"/>
      <c r="AB13" s="62"/>
      <c r="AC13" s="62"/>
      <c r="AD13" s="62"/>
      <c r="AE13" s="62"/>
    </row>
    <row r="14" spans="1:31" x14ac:dyDescent="0.25">
      <c r="B14" s="68" t="s">
        <v>57</v>
      </c>
      <c r="C14" s="62">
        <v>2</v>
      </c>
      <c r="D14" s="62" t="s">
        <v>265</v>
      </c>
      <c r="E14" s="62" t="s">
        <v>225</v>
      </c>
      <c r="F14" s="62" t="s">
        <v>266</v>
      </c>
      <c r="G14" s="73" t="s">
        <v>505</v>
      </c>
      <c r="I14" s="62" t="s">
        <v>20</v>
      </c>
      <c r="J14" s="62" t="s">
        <v>227</v>
      </c>
      <c r="K14" s="62" t="s">
        <v>231</v>
      </c>
      <c r="L14" s="70" t="s">
        <v>29</v>
      </c>
      <c r="M14" s="70" t="s">
        <v>33</v>
      </c>
      <c r="N14" s="70" t="s">
        <v>265</v>
      </c>
      <c r="O14" s="62"/>
      <c r="P14" s="62"/>
      <c r="Q14" s="62"/>
      <c r="R14" s="62"/>
      <c r="T14" s="75" t="s">
        <v>97</v>
      </c>
      <c r="U14" s="63">
        <v>44865</v>
      </c>
      <c r="V14" s="62"/>
      <c r="X14" s="75" t="s">
        <v>149</v>
      </c>
      <c r="Y14" s="63">
        <v>45009</v>
      </c>
      <c r="Z14" s="62"/>
      <c r="AB14" s="62"/>
      <c r="AC14" s="62"/>
      <c r="AD14" s="62"/>
      <c r="AE14" s="62"/>
    </row>
    <row r="15" spans="1:31" x14ac:dyDescent="0.25">
      <c r="B15" s="68" t="s">
        <v>57</v>
      </c>
      <c r="C15" s="62">
        <v>3</v>
      </c>
      <c r="D15" s="62" t="s">
        <v>267</v>
      </c>
      <c r="E15" s="62" t="s">
        <v>225</v>
      </c>
      <c r="F15" s="62" t="s">
        <v>268</v>
      </c>
      <c r="G15" s="73" t="s">
        <v>505</v>
      </c>
      <c r="I15" s="62" t="s">
        <v>20</v>
      </c>
      <c r="J15" s="62" t="s">
        <v>227</v>
      </c>
      <c r="K15" s="62" t="s">
        <v>234</v>
      </c>
      <c r="L15" s="70" t="s">
        <v>29</v>
      </c>
      <c r="M15" s="70" t="s">
        <v>33</v>
      </c>
      <c r="N15" s="70" t="s">
        <v>267</v>
      </c>
      <c r="O15" s="62"/>
      <c r="P15" s="62"/>
      <c r="Q15" s="62"/>
      <c r="R15" s="62"/>
      <c r="T15" s="75" t="s">
        <v>97</v>
      </c>
      <c r="U15" s="63">
        <v>44865</v>
      </c>
      <c r="V15" s="62"/>
      <c r="X15" s="75" t="s">
        <v>149</v>
      </c>
      <c r="Y15" s="63">
        <v>45009</v>
      </c>
      <c r="Z15" s="62"/>
      <c r="AB15" s="69"/>
      <c r="AC15" s="69"/>
      <c r="AD15" s="69"/>
      <c r="AE15" s="62"/>
    </row>
    <row r="16" spans="1:31" x14ac:dyDescent="0.25">
      <c r="B16" s="68" t="s">
        <v>57</v>
      </c>
      <c r="C16" s="62">
        <v>4</v>
      </c>
      <c r="D16" s="62" t="s">
        <v>270</v>
      </c>
      <c r="E16" s="62" t="s">
        <v>225</v>
      </c>
      <c r="F16" s="62" t="s">
        <v>271</v>
      </c>
      <c r="G16" s="73" t="s">
        <v>505</v>
      </c>
      <c r="I16" s="62" t="s">
        <v>20</v>
      </c>
      <c r="J16" s="62" t="s">
        <v>227</v>
      </c>
      <c r="K16" s="62" t="s">
        <v>240</v>
      </c>
      <c r="L16" s="70" t="s">
        <v>29</v>
      </c>
      <c r="M16" s="70" t="s">
        <v>33</v>
      </c>
      <c r="N16" s="70" t="s">
        <v>270</v>
      </c>
      <c r="O16" s="62"/>
      <c r="P16" s="62"/>
      <c r="Q16" s="62"/>
      <c r="R16" s="62"/>
      <c r="T16" s="75" t="s">
        <v>97</v>
      </c>
      <c r="U16" s="63">
        <v>44865</v>
      </c>
      <c r="V16" s="62"/>
      <c r="X16" s="75" t="s">
        <v>149</v>
      </c>
      <c r="Y16" s="63">
        <v>45009</v>
      </c>
      <c r="Z16" s="62"/>
      <c r="AB16" s="69"/>
      <c r="AC16" s="69"/>
      <c r="AD16" s="69"/>
      <c r="AE16" s="62"/>
    </row>
    <row r="17" spans="2:31" x14ac:dyDescent="0.25">
      <c r="B17" s="68" t="s">
        <v>57</v>
      </c>
      <c r="C17" s="62">
        <v>5</v>
      </c>
      <c r="D17" s="62" t="s">
        <v>272</v>
      </c>
      <c r="E17" s="62" t="s">
        <v>225</v>
      </c>
      <c r="F17" s="62" t="s">
        <v>1473</v>
      </c>
      <c r="G17" s="80"/>
      <c r="I17" s="62"/>
      <c r="J17" s="62"/>
      <c r="K17" s="62"/>
      <c r="L17" s="70" t="s">
        <v>29</v>
      </c>
      <c r="M17" s="70" t="s">
        <v>33</v>
      </c>
      <c r="N17" s="70" t="s">
        <v>272</v>
      </c>
      <c r="O17" s="62"/>
      <c r="P17" s="62"/>
      <c r="Q17" s="62"/>
      <c r="R17" s="62"/>
      <c r="T17" s="75" t="s">
        <v>97</v>
      </c>
      <c r="U17" s="63">
        <v>44883</v>
      </c>
      <c r="V17" s="62"/>
      <c r="X17" s="75" t="s">
        <v>149</v>
      </c>
      <c r="Y17" s="63">
        <v>45009</v>
      </c>
      <c r="Z17" s="62"/>
      <c r="AB17" s="62"/>
      <c r="AC17" s="62"/>
      <c r="AD17" s="62"/>
      <c r="AE17" s="62"/>
    </row>
    <row r="18" spans="2:31" x14ac:dyDescent="0.25">
      <c r="B18" s="68" t="s">
        <v>57</v>
      </c>
      <c r="C18" s="62">
        <v>6</v>
      </c>
      <c r="D18" s="62" t="s">
        <v>229</v>
      </c>
      <c r="E18" s="62" t="s">
        <v>225</v>
      </c>
      <c r="F18" s="68" t="s">
        <v>1474</v>
      </c>
      <c r="G18" s="68"/>
      <c r="H18" s="47"/>
      <c r="I18" s="70"/>
      <c r="J18" s="70"/>
      <c r="K18" s="68"/>
      <c r="L18" s="62" t="s">
        <v>20</v>
      </c>
      <c r="M18" s="70" t="s">
        <v>1475</v>
      </c>
      <c r="N18" s="69" t="s">
        <v>229</v>
      </c>
      <c r="O18" s="72"/>
      <c r="P18" s="62"/>
      <c r="Q18" s="62"/>
      <c r="R18" s="62"/>
      <c r="T18" s="75" t="s">
        <v>97</v>
      </c>
      <c r="U18" s="63">
        <v>44865</v>
      </c>
      <c r="V18" s="62"/>
      <c r="X18" s="75" t="s">
        <v>149</v>
      </c>
      <c r="Y18" s="63">
        <v>45009</v>
      </c>
      <c r="Z18" s="62"/>
      <c r="AB18" s="62"/>
      <c r="AC18" s="62"/>
      <c r="AD18" s="62"/>
      <c r="AE18" s="62"/>
    </row>
    <row r="19" spans="2:31" x14ac:dyDescent="0.25">
      <c r="B19" s="68" t="s">
        <v>57</v>
      </c>
      <c r="C19" s="62">
        <v>7</v>
      </c>
      <c r="D19" s="62" t="s">
        <v>241</v>
      </c>
      <c r="E19" s="62" t="s">
        <v>225</v>
      </c>
      <c r="F19" s="62" t="s">
        <v>242</v>
      </c>
      <c r="G19" s="68"/>
      <c r="H19" s="47"/>
      <c r="I19" s="70"/>
      <c r="J19" s="70"/>
      <c r="K19" s="68"/>
      <c r="L19" s="62"/>
      <c r="M19" s="76"/>
      <c r="N19" s="69"/>
      <c r="O19" s="72"/>
      <c r="P19" s="62"/>
      <c r="Q19" s="62"/>
      <c r="R19" s="62"/>
      <c r="T19" s="75" t="s">
        <v>97</v>
      </c>
      <c r="U19" s="63">
        <v>44865</v>
      </c>
      <c r="V19" s="62"/>
      <c r="X19" s="75" t="s">
        <v>149</v>
      </c>
      <c r="Y19" s="63">
        <v>45009</v>
      </c>
      <c r="Z19" s="62"/>
      <c r="AB19" s="62"/>
      <c r="AC19" s="62"/>
      <c r="AD19" s="62"/>
      <c r="AE19" s="62"/>
    </row>
    <row r="20" spans="2:31" x14ac:dyDescent="0.25">
      <c r="B20" s="68" t="s">
        <v>57</v>
      </c>
      <c r="C20" s="62">
        <v>8</v>
      </c>
      <c r="D20" s="62" t="s">
        <v>244</v>
      </c>
      <c r="E20" s="62" t="s">
        <v>225</v>
      </c>
      <c r="F20" s="62" t="s">
        <v>245</v>
      </c>
      <c r="G20" s="68"/>
      <c r="H20" s="47"/>
      <c r="I20" s="70"/>
      <c r="J20" s="70"/>
      <c r="K20" s="68"/>
      <c r="L20" s="62"/>
      <c r="M20" s="76"/>
      <c r="N20" s="69"/>
      <c r="O20" s="72"/>
      <c r="P20" s="62"/>
      <c r="Q20" s="62"/>
      <c r="R20" s="62"/>
      <c r="T20" s="75" t="s">
        <v>97</v>
      </c>
      <c r="U20" s="63">
        <v>44865</v>
      </c>
      <c r="V20" s="62"/>
      <c r="X20" s="75" t="s">
        <v>149</v>
      </c>
      <c r="Y20" s="63">
        <v>45009</v>
      </c>
      <c r="Z20" s="62"/>
      <c r="AB20" s="62"/>
      <c r="AC20" s="62"/>
      <c r="AD20" s="62"/>
      <c r="AE20" s="62"/>
    </row>
    <row r="21" spans="2:31" x14ac:dyDescent="0.25">
      <c r="B21" s="68" t="s">
        <v>57</v>
      </c>
      <c r="C21" s="62">
        <v>9</v>
      </c>
      <c r="D21" s="62" t="s">
        <v>247</v>
      </c>
      <c r="E21" s="62" t="s">
        <v>225</v>
      </c>
      <c r="F21" s="62" t="s">
        <v>248</v>
      </c>
      <c r="G21" s="141" t="s">
        <v>262</v>
      </c>
      <c r="H21" s="47"/>
      <c r="I21" s="70"/>
      <c r="J21" s="70"/>
      <c r="K21" s="68"/>
      <c r="L21" s="62"/>
      <c r="M21" s="76"/>
      <c r="N21" s="69"/>
      <c r="O21" s="72"/>
      <c r="P21" s="62"/>
      <c r="Q21" s="62"/>
      <c r="R21" s="62"/>
      <c r="T21" s="75" t="s">
        <v>97</v>
      </c>
      <c r="U21" s="63">
        <v>44865</v>
      </c>
      <c r="V21" s="62"/>
      <c r="X21" s="75" t="s">
        <v>149</v>
      </c>
      <c r="Y21" s="63">
        <v>45009</v>
      </c>
      <c r="Z21" s="62"/>
      <c r="AB21" s="62"/>
      <c r="AC21" s="62"/>
      <c r="AD21" s="62"/>
      <c r="AE21" s="62"/>
    </row>
    <row r="22" spans="2:31" x14ac:dyDescent="0.25">
      <c r="B22" s="68" t="s">
        <v>57</v>
      </c>
      <c r="C22" s="62">
        <v>10</v>
      </c>
      <c r="D22" s="62" t="s">
        <v>249</v>
      </c>
      <c r="E22" s="62" t="s">
        <v>225</v>
      </c>
      <c r="F22" s="62" t="s">
        <v>250</v>
      </c>
      <c r="G22" s="141" t="s">
        <v>262</v>
      </c>
      <c r="H22" s="47"/>
      <c r="I22" s="70"/>
      <c r="J22" s="70"/>
      <c r="K22" s="68"/>
      <c r="L22" s="62"/>
      <c r="M22" s="76"/>
      <c r="N22" s="69"/>
      <c r="O22" s="72"/>
      <c r="P22" s="62"/>
      <c r="Q22" s="62"/>
      <c r="R22" s="62"/>
      <c r="T22" s="75" t="s">
        <v>97</v>
      </c>
      <c r="U22" s="63">
        <v>44865</v>
      </c>
      <c r="V22" s="62"/>
      <c r="X22" s="75" t="s">
        <v>149</v>
      </c>
      <c r="Y22" s="63">
        <v>45009</v>
      </c>
      <c r="Z22" s="62"/>
      <c r="AB22" s="62"/>
      <c r="AC22" s="62"/>
      <c r="AD22" s="62"/>
      <c r="AE22" s="62"/>
    </row>
    <row r="23" spans="2:31" ht="90" x14ac:dyDescent="0.25">
      <c r="B23" s="68" t="s">
        <v>57</v>
      </c>
      <c r="C23" s="62">
        <v>11</v>
      </c>
      <c r="D23" s="62" t="s">
        <v>977</v>
      </c>
      <c r="E23" s="62" t="s">
        <v>225</v>
      </c>
      <c r="F23" s="62" t="s">
        <v>1476</v>
      </c>
      <c r="G23" s="141" t="s">
        <v>262</v>
      </c>
      <c r="H23" s="47"/>
      <c r="I23" s="70"/>
      <c r="J23" s="70"/>
      <c r="K23" s="68"/>
      <c r="L23" s="62"/>
      <c r="M23" s="76"/>
      <c r="N23" s="72" t="s">
        <v>1477</v>
      </c>
      <c r="O23" s="72"/>
      <c r="P23" s="62"/>
      <c r="Q23" s="62"/>
      <c r="R23" s="62"/>
      <c r="T23" s="75" t="s">
        <v>97</v>
      </c>
      <c r="U23" s="63">
        <v>44865</v>
      </c>
      <c r="V23" s="62"/>
      <c r="X23" s="75" t="s">
        <v>149</v>
      </c>
      <c r="Y23" s="63">
        <v>45009</v>
      </c>
      <c r="Z23" s="62"/>
      <c r="AB23" s="62"/>
      <c r="AC23" s="62"/>
      <c r="AD23" s="62"/>
      <c r="AE23" s="62"/>
    </row>
    <row r="24" spans="2:31" x14ac:dyDescent="0.25">
      <c r="B24" s="68" t="s">
        <v>57</v>
      </c>
      <c r="C24" s="62">
        <v>12</v>
      </c>
      <c r="D24" s="62" t="s">
        <v>224</v>
      </c>
      <c r="E24" s="62" t="s">
        <v>225</v>
      </c>
      <c r="F24" s="68" t="s">
        <v>1478</v>
      </c>
      <c r="G24" s="141" t="s">
        <v>262</v>
      </c>
      <c r="H24" s="47"/>
      <c r="I24" s="70"/>
      <c r="J24" s="70"/>
      <c r="K24" s="68"/>
      <c r="L24" s="62" t="s">
        <v>20</v>
      </c>
      <c r="M24" s="70" t="s">
        <v>1475</v>
      </c>
      <c r="N24" s="62" t="s">
        <v>224</v>
      </c>
      <c r="O24" s="72"/>
      <c r="P24" s="62"/>
      <c r="Q24" s="62"/>
      <c r="R24" s="62"/>
      <c r="T24" s="75" t="s">
        <v>97</v>
      </c>
      <c r="U24" s="63">
        <v>44865</v>
      </c>
      <c r="V24" s="62"/>
      <c r="X24" s="75" t="s">
        <v>149</v>
      </c>
      <c r="Y24" s="63">
        <v>45009</v>
      </c>
      <c r="Z24" s="62"/>
      <c r="AB24" s="62"/>
      <c r="AC24" s="62"/>
      <c r="AD24" s="62"/>
      <c r="AE24" s="62"/>
    </row>
    <row r="25" spans="2:31" x14ac:dyDescent="0.25">
      <c r="B25" s="68"/>
      <c r="C25" s="68"/>
      <c r="D25" s="83"/>
      <c r="E25" s="68"/>
      <c r="F25" s="68"/>
      <c r="G25" s="68"/>
      <c r="H25" s="47"/>
      <c r="I25" s="70"/>
      <c r="J25" s="70"/>
      <c r="K25" s="68"/>
      <c r="L25" s="62"/>
      <c r="M25" s="76"/>
      <c r="N25" s="69"/>
      <c r="O25" s="72"/>
      <c r="P25" s="62"/>
      <c r="Q25" s="62"/>
      <c r="R25" s="62"/>
      <c r="T25" s="75"/>
      <c r="U25" s="69"/>
      <c r="V25" s="62"/>
      <c r="X25" s="75"/>
      <c r="Y25" s="62"/>
      <c r="Z25" s="62"/>
      <c r="AB25" s="62"/>
      <c r="AC25" s="62"/>
      <c r="AD25" s="62"/>
      <c r="AE25" s="62"/>
    </row>
    <row r="26" spans="2:31" x14ac:dyDescent="0.25">
      <c r="B26" s="68"/>
      <c r="C26" s="68"/>
      <c r="D26" s="83"/>
      <c r="E26" s="68"/>
      <c r="F26" s="68"/>
      <c r="G26" s="68"/>
      <c r="H26" s="47"/>
      <c r="I26" s="70"/>
      <c r="J26" s="70"/>
      <c r="K26" s="68"/>
      <c r="L26" s="62"/>
      <c r="M26" s="76"/>
      <c r="N26" s="69"/>
      <c r="O26" s="72"/>
      <c r="P26" s="62"/>
      <c r="Q26" s="62"/>
      <c r="R26" s="62"/>
      <c r="T26" s="75"/>
      <c r="U26" s="69"/>
      <c r="V26" s="62"/>
      <c r="X26" s="75"/>
      <c r="Y26" s="62"/>
      <c r="Z26" s="62"/>
      <c r="AB26" s="62"/>
      <c r="AC26" s="62"/>
      <c r="AD26" s="62"/>
      <c r="AE26" s="62"/>
    </row>
    <row r="27" spans="2:31" ht="14.25" customHeight="1" x14ac:dyDescent="0.25">
      <c r="B27" s="68"/>
      <c r="C27" s="68"/>
      <c r="D27" s="83"/>
      <c r="E27" s="68"/>
      <c r="F27" s="68"/>
      <c r="G27" s="68"/>
      <c r="H27" s="47"/>
      <c r="I27" s="70"/>
      <c r="J27" s="70"/>
      <c r="K27" s="68"/>
      <c r="L27" s="62"/>
      <c r="M27" s="76"/>
      <c r="N27" s="69"/>
      <c r="O27" s="72"/>
      <c r="P27" s="62"/>
      <c r="Q27" s="62"/>
      <c r="R27" s="62"/>
      <c r="T27" s="75"/>
      <c r="U27" s="69"/>
      <c r="V27" s="62"/>
      <c r="X27" s="75"/>
      <c r="Y27" s="62"/>
      <c r="Z27" s="62"/>
      <c r="AB27" s="62"/>
      <c r="AC27" s="62"/>
      <c r="AD27" s="62"/>
      <c r="AE27" s="62"/>
    </row>
    <row r="28" spans="2:31" ht="14.25" customHeight="1" x14ac:dyDescent="0.25">
      <c r="B28" s="68"/>
      <c r="C28" s="68"/>
      <c r="D28" s="83"/>
      <c r="E28" s="68"/>
      <c r="F28" s="68"/>
      <c r="G28" s="68"/>
      <c r="H28" s="47"/>
      <c r="I28" s="70"/>
      <c r="J28" s="70"/>
      <c r="K28" s="68"/>
      <c r="L28" s="62"/>
      <c r="M28" s="76"/>
      <c r="N28" s="69"/>
      <c r="O28" s="72"/>
      <c r="P28" s="62"/>
      <c r="Q28" s="62"/>
      <c r="R28" s="62"/>
      <c r="T28" s="75"/>
      <c r="U28" s="69"/>
      <c r="V28" s="62"/>
      <c r="X28" s="75"/>
      <c r="Y28" s="62"/>
      <c r="Z28" s="62"/>
      <c r="AB28" s="62"/>
      <c r="AC28" s="62"/>
      <c r="AD28" s="62"/>
      <c r="AE28" s="62"/>
    </row>
    <row r="29" spans="2:31" x14ac:dyDescent="0.25">
      <c r="B29" s="62"/>
      <c r="C29" s="62"/>
      <c r="D29" s="62"/>
      <c r="E29" s="62"/>
      <c r="F29" s="62"/>
      <c r="G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T29" s="75"/>
      <c r="U29" s="62"/>
      <c r="V29" s="62"/>
      <c r="X29" s="75"/>
      <c r="Y29" s="135"/>
      <c r="Z29" s="69"/>
      <c r="AB29" s="69"/>
      <c r="AC29" s="69"/>
      <c r="AD29" s="69"/>
      <c r="AE29" s="62"/>
    </row>
    <row r="30" spans="2:31" x14ac:dyDescent="0.25">
      <c r="B30" s="62"/>
      <c r="C30" s="62"/>
      <c r="D30" s="62"/>
      <c r="E30" s="62"/>
      <c r="F30" s="62"/>
      <c r="G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T30" s="75"/>
      <c r="U30" s="62"/>
      <c r="V30" s="62"/>
      <c r="X30" s="75"/>
      <c r="Y30" s="62"/>
      <c r="Z30" s="62"/>
      <c r="AB30" s="62"/>
      <c r="AC30" s="62"/>
      <c r="AD30" s="62"/>
      <c r="AE30" s="62"/>
    </row>
    <row r="31" spans="2:31" x14ac:dyDescent="0.25">
      <c r="B31" s="62"/>
      <c r="C31" s="62"/>
      <c r="D31" s="62"/>
      <c r="E31" s="62"/>
      <c r="F31" s="62"/>
      <c r="G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T31" s="75"/>
      <c r="U31" s="62"/>
      <c r="V31" s="62"/>
      <c r="X31" s="75"/>
      <c r="Y31" s="62"/>
      <c r="Z31" s="62"/>
      <c r="AB31" s="62"/>
      <c r="AC31" s="62"/>
      <c r="AD31" s="62"/>
      <c r="AE31" s="62"/>
    </row>
    <row r="32" spans="2:31" x14ac:dyDescent="0.25">
      <c r="B32" s="62"/>
      <c r="C32" s="62"/>
      <c r="D32" s="62"/>
      <c r="E32" s="62"/>
      <c r="F32" s="62"/>
      <c r="G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T32" s="75"/>
      <c r="U32" s="62"/>
      <c r="V32" s="62"/>
      <c r="X32" s="75"/>
      <c r="Y32" s="62"/>
      <c r="Z32" s="62"/>
      <c r="AB32" s="62"/>
      <c r="AC32" s="62"/>
      <c r="AD32" s="62"/>
      <c r="AE32" s="62"/>
    </row>
    <row r="33" spans="2:31" x14ac:dyDescent="0.25">
      <c r="B33" s="62"/>
      <c r="C33" s="62"/>
      <c r="D33" s="62"/>
      <c r="E33" s="62"/>
      <c r="F33" s="62"/>
      <c r="G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T33" s="75"/>
      <c r="U33" s="62"/>
      <c r="V33" s="62"/>
      <c r="X33" s="75"/>
      <c r="Y33" s="62"/>
      <c r="Z33" s="62"/>
      <c r="AB33" s="62"/>
      <c r="AC33" s="62"/>
      <c r="AD33" s="62"/>
      <c r="AE33" s="62"/>
    </row>
    <row r="34" spans="2:31" x14ac:dyDescent="0.25">
      <c r="B34" s="62"/>
      <c r="C34" s="62"/>
      <c r="D34" s="62"/>
      <c r="E34" s="62"/>
      <c r="F34" s="62"/>
      <c r="G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T34" s="75"/>
      <c r="U34" s="62"/>
      <c r="V34" s="62"/>
      <c r="X34" s="75"/>
      <c r="Y34" s="62"/>
      <c r="Z34" s="62"/>
      <c r="AB34" s="62"/>
      <c r="AC34" s="62"/>
      <c r="AD34" s="62"/>
      <c r="AE34" s="62"/>
    </row>
    <row r="35" spans="2:31" x14ac:dyDescent="0.25">
      <c r="B35" s="62"/>
      <c r="C35" s="62"/>
      <c r="D35" s="62"/>
      <c r="E35" s="62"/>
      <c r="F35" s="62"/>
      <c r="G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T35" s="75"/>
      <c r="U35" s="62"/>
      <c r="V35" s="62"/>
      <c r="X35" s="75"/>
      <c r="Y35" s="62"/>
      <c r="Z35" s="62"/>
      <c r="AB35" s="62"/>
      <c r="AC35" s="62"/>
      <c r="AD35" s="62"/>
      <c r="AE35" s="62"/>
    </row>
    <row r="36" spans="2:31" x14ac:dyDescent="0.25">
      <c r="B36" s="62"/>
      <c r="C36" s="62"/>
      <c r="D36" s="62"/>
      <c r="E36" s="62"/>
      <c r="F36" s="62"/>
      <c r="G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T36" s="75"/>
      <c r="U36" s="62"/>
      <c r="V36" s="62"/>
      <c r="X36" s="75"/>
      <c r="Y36" s="62"/>
      <c r="Z36" s="62"/>
      <c r="AB36" s="62"/>
      <c r="AC36" s="62"/>
      <c r="AD36" s="62"/>
      <c r="AE36" s="62"/>
    </row>
    <row r="37" spans="2:31" x14ac:dyDescent="0.25">
      <c r="B37" s="62"/>
      <c r="C37" s="62"/>
      <c r="D37" s="62"/>
      <c r="E37" s="62"/>
      <c r="F37" s="62"/>
      <c r="G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T37" s="75"/>
      <c r="U37" s="62"/>
      <c r="V37" s="62"/>
      <c r="X37" s="75"/>
      <c r="Y37" s="62"/>
      <c r="Z37" s="62"/>
      <c r="AB37" s="62"/>
      <c r="AC37" s="62"/>
      <c r="AD37" s="62"/>
      <c r="AE37" s="62"/>
    </row>
    <row r="38" spans="2:31" x14ac:dyDescent="0.25">
      <c r="B38" s="62"/>
      <c r="C38" s="62"/>
      <c r="D38" s="62"/>
      <c r="E38" s="62"/>
      <c r="F38" s="62"/>
      <c r="G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T38" s="75"/>
      <c r="U38" s="62"/>
      <c r="V38" s="62"/>
      <c r="X38" s="75"/>
      <c r="Y38" s="62"/>
      <c r="Z38" s="62"/>
      <c r="AB38" s="62"/>
      <c r="AC38" s="62"/>
      <c r="AD38" s="62"/>
      <c r="AE38" s="62"/>
    </row>
    <row r="39" spans="2:31" x14ac:dyDescent="0.25">
      <c r="B39" s="62"/>
      <c r="C39" s="62"/>
      <c r="D39" s="62"/>
      <c r="E39" s="62"/>
      <c r="F39" s="62"/>
      <c r="G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T39" s="75"/>
      <c r="U39" s="62"/>
      <c r="V39" s="62"/>
      <c r="X39" s="75"/>
      <c r="Y39" s="62"/>
      <c r="Z39" s="62"/>
      <c r="AB39" s="62"/>
      <c r="AC39" s="62"/>
      <c r="AD39" s="62"/>
      <c r="AE39" s="62"/>
    </row>
    <row r="40" spans="2:31" x14ac:dyDescent="0.25">
      <c r="B40" s="62"/>
      <c r="C40" s="62"/>
      <c r="D40" s="62"/>
      <c r="E40" s="62"/>
      <c r="F40" s="62"/>
      <c r="G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T40" s="78"/>
      <c r="U40" s="62"/>
      <c r="V40" s="62"/>
      <c r="X40" s="78"/>
      <c r="Y40" s="62"/>
      <c r="Z40" s="62"/>
      <c r="AB40" s="62"/>
      <c r="AC40" s="62"/>
      <c r="AD40" s="62"/>
      <c r="AE40" s="62"/>
    </row>
    <row r="41" spans="2:31" x14ac:dyDescent="0.25">
      <c r="B41" s="62"/>
      <c r="C41" s="62"/>
      <c r="D41" s="62"/>
      <c r="E41" s="62"/>
      <c r="F41" s="62"/>
      <c r="G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T41" s="78"/>
      <c r="U41" s="62"/>
      <c r="V41" s="62"/>
      <c r="X41" s="78"/>
      <c r="Y41" s="62"/>
      <c r="Z41" s="62"/>
      <c r="AB41" s="62"/>
      <c r="AC41" s="62"/>
      <c r="AD41" s="62"/>
      <c r="AE41" s="62"/>
    </row>
  </sheetData>
  <autoFilter ref="B12:AE12"/>
  <mergeCells count="8">
    <mergeCell ref="T11:V11"/>
    <mergeCell ref="X11:Z11"/>
    <mergeCell ref="AB11:AE11"/>
    <mergeCell ref="C7:G7"/>
    <mergeCell ref="B11:G11"/>
    <mergeCell ref="I11:K11"/>
    <mergeCell ref="L11:N11"/>
    <mergeCell ref="O11:R11"/>
  </mergeCells>
  <conditionalFormatting sqref="T13">
    <cfRule type="cellIs" dxfId="326" priority="41" operator="equal">
      <formula>"Testes utilizador"</formula>
    </cfRule>
  </conditionalFormatting>
  <conditionalFormatting sqref="T14:T24">
    <cfRule type="cellIs" dxfId="325" priority="36" operator="equal">
      <formula>"Testes utilizador"</formula>
    </cfRule>
  </conditionalFormatting>
  <conditionalFormatting sqref="X13">
    <cfRule type="cellIs" dxfId="324" priority="31" operator="equal">
      <formula>"Testes utilizador"</formula>
    </cfRule>
  </conditionalFormatting>
  <conditionalFormatting sqref="X14 X17:X24">
    <cfRule type="cellIs" dxfId="323" priority="26" operator="equal">
      <formula>"Testes utilizador"</formula>
    </cfRule>
  </conditionalFormatting>
  <conditionalFormatting sqref="X29">
    <cfRule type="cellIs" dxfId="322" priority="21" operator="equal">
      <formula>"Testes utilizador"</formula>
    </cfRule>
  </conditionalFormatting>
  <conditionalFormatting sqref="X15">
    <cfRule type="cellIs" dxfId="321" priority="6" operator="equal">
      <formula>"Testes utilizador"</formula>
    </cfRule>
  </conditionalFormatting>
  <conditionalFormatting sqref="X16">
    <cfRule type="cellIs" dxfId="320" priority="1" operator="equal">
      <formula>"Testes utilizador"</formula>
    </cfRule>
  </conditionalFormatting>
  <dataValidations count="1">
    <dataValidation type="list" allowBlank="1" showInputMessage="1" showErrorMessage="1" sqref="T25:T28 M19:M23 M25:M28">
      <formula1>#REF!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8" operator="equal" id="{03E5E536-87AD-4E8C-B210-56687A18EFCB}">
            <xm:f>'Tabelas AUX'!$E$8</xm:f>
            <x14:dxf>
              <font>
                <color theme="8"/>
              </font>
            </x14:dxf>
          </x14:cfRule>
          <x14:cfRule type="cellIs" priority="69" operator="equal" id="{43D0857B-D11B-4C2E-951E-72BC29C769FE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86" operator="equal" id="{2C87647C-CC9D-4865-A205-C851F49AC5D3}">
            <xm:f>'Tabelas AUX'!$E$5</xm:f>
            <x14:dxf>
              <font>
                <color rgb="FF00B050"/>
              </font>
            </x14:dxf>
          </x14:cfRule>
          <x14:cfRule type="cellIs" priority="87" operator="equal" id="{72630AD4-18C8-4887-821C-797EA9B5E1B9}">
            <xm:f>'Tabelas AUX'!$E$4</xm:f>
            <x14:dxf>
              <font>
                <color rgb="FF7F7F7F"/>
              </font>
            </x14:dxf>
          </x14:cfRule>
          <x14:cfRule type="cellIs" priority="88" operator="equal" id="{1B148C34-06D4-49BE-9009-93D837BA57E5}">
            <xm:f>'Tabelas AUX'!$E$3</xm:f>
            <x14:dxf>
              <font>
                <color theme="5"/>
              </font>
            </x14:dxf>
          </x14:cfRule>
          <x14:cfRule type="cellIs" priority="89" operator="equal" id="{5CA5AE10-CA06-4DB5-8507-BB2EC4EA6308}">
            <xm:f>'Tabelas AUX'!$E$2</xm:f>
            <x14:dxf>
              <font>
                <color rgb="FFC00000"/>
              </font>
            </x14:dxf>
          </x14:cfRule>
          <xm:sqref>T25:T41</xm:sqref>
        </x14:conditionalFormatting>
        <x14:conditionalFormatting xmlns:xm="http://schemas.microsoft.com/office/excel/2006/main">
          <x14:cfRule type="cellIs" priority="74" operator="equal" id="{C1B23A9B-9834-46F8-9B1D-65BBB96C32D4}">
            <xm:f>'Tabelas AUX'!$E$5</xm:f>
            <x14:dxf>
              <font>
                <color rgb="FF00B050"/>
              </font>
            </x14:dxf>
          </x14:cfRule>
          <x14:cfRule type="cellIs" priority="75" operator="equal" id="{525A9D15-7B74-424D-82DB-65075A64CB64}">
            <xm:f>'Tabelas AUX'!$E$4</xm:f>
            <x14:dxf>
              <font>
                <color rgb="FF7F7F7F"/>
              </font>
            </x14:dxf>
          </x14:cfRule>
          <x14:cfRule type="cellIs" priority="76" operator="equal" id="{C8BE3CAA-0DE1-4AAB-A636-F003CF12D0EA}">
            <xm:f>'Tabelas AUX'!$E$3</xm:f>
            <x14:dxf>
              <font>
                <color theme="5"/>
              </font>
            </x14:dxf>
          </x14:cfRule>
          <x14:cfRule type="cellIs" priority="77" operator="equal" id="{E1A4D943-EE43-40D6-9120-1599258BBE9E}">
            <xm:f>'Tabelas AUX'!$E$2</xm:f>
            <x14:dxf>
              <font>
                <color rgb="FFC00000"/>
              </font>
            </x14:dxf>
          </x14:cfRule>
          <xm:sqref>T35:T38</xm:sqref>
        </x14:conditionalFormatting>
        <x14:conditionalFormatting xmlns:xm="http://schemas.microsoft.com/office/excel/2006/main">
          <x14:cfRule type="cellIs" priority="46" operator="equal" id="{D942E484-3904-44C6-BDA1-6334761705EE}">
            <xm:f>'Tabelas AUX'!$E$8</xm:f>
            <x14:dxf>
              <font>
                <color theme="8"/>
              </font>
            </x14:dxf>
          </x14:cfRule>
          <x14:cfRule type="cellIs" priority="47" operator="equal" id="{DDEAB9CE-8FCD-4D0B-84D8-4F51FAB21729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64" operator="equal" id="{DD124186-7240-430C-B2A1-8F189EC89C74}">
            <xm:f>'Tabelas AUX'!$E$5</xm:f>
            <x14:dxf>
              <font>
                <color rgb="FF00B050"/>
              </font>
            </x14:dxf>
          </x14:cfRule>
          <x14:cfRule type="cellIs" priority="65" operator="equal" id="{60FEA6BC-35E1-4D92-93A0-E333902B16E9}">
            <xm:f>'Tabelas AUX'!$E$4</xm:f>
            <x14:dxf>
              <font>
                <color rgb="FF7F7F7F"/>
              </font>
            </x14:dxf>
          </x14:cfRule>
          <x14:cfRule type="cellIs" priority="66" operator="equal" id="{ECA567EB-85AA-4255-86C3-95AC7C295B44}">
            <xm:f>'Tabelas AUX'!$E$3</xm:f>
            <x14:dxf>
              <font>
                <color theme="5"/>
              </font>
            </x14:dxf>
          </x14:cfRule>
          <x14:cfRule type="cellIs" priority="67" operator="equal" id="{9256872E-6AFD-416A-8FE2-89FE7568ED80}">
            <xm:f>'Tabelas AUX'!$E$2</xm:f>
            <x14:dxf>
              <font>
                <color rgb="FFC00000"/>
              </font>
            </x14:dxf>
          </x14:cfRule>
          <xm:sqref>X25:X28 X30:X41</xm:sqref>
        </x14:conditionalFormatting>
        <x14:conditionalFormatting xmlns:xm="http://schemas.microsoft.com/office/excel/2006/main">
          <x14:cfRule type="cellIs" priority="52" operator="equal" id="{4330F3B7-9C10-483E-B25F-AAE14991AA69}">
            <xm:f>'Tabelas AUX'!$E$5</xm:f>
            <x14:dxf>
              <font>
                <color rgb="FF00B050"/>
              </font>
            </x14:dxf>
          </x14:cfRule>
          <x14:cfRule type="cellIs" priority="53" operator="equal" id="{5E7DA8ED-637F-48DF-942C-523113C385AC}">
            <xm:f>'Tabelas AUX'!$E$4</xm:f>
            <x14:dxf>
              <font>
                <color rgb="FF7F7F7F"/>
              </font>
            </x14:dxf>
          </x14:cfRule>
          <x14:cfRule type="cellIs" priority="54" operator="equal" id="{8AA5ADA4-C887-4979-AF2A-F152BE18499B}">
            <xm:f>'Tabelas AUX'!$E$3</xm:f>
            <x14:dxf>
              <font>
                <color theme="5"/>
              </font>
            </x14:dxf>
          </x14:cfRule>
          <x14:cfRule type="cellIs" priority="55" operator="equal" id="{FCA0C6E9-EC50-4B95-A18F-D4B7D68CB726}">
            <xm:f>'Tabelas AUX'!$E$2</xm:f>
            <x14:dxf>
              <font>
                <color rgb="FFC00000"/>
              </font>
            </x14:dxf>
          </x14:cfRule>
          <xm:sqref>X35:X38</xm:sqref>
        </x14:conditionalFormatting>
        <x14:conditionalFormatting xmlns:xm="http://schemas.microsoft.com/office/excel/2006/main">
          <x14:cfRule type="cellIs" priority="42" operator="equal" id="{E12943DC-A365-48DA-B010-21D55D3D6D0C}">
            <xm:f>'Tabelas AUX'!$E$5</xm:f>
            <x14:dxf>
              <font>
                <color rgb="FF00B050"/>
              </font>
            </x14:dxf>
          </x14:cfRule>
          <x14:cfRule type="cellIs" priority="43" operator="equal" id="{535FD11C-B906-4CD5-947D-7E13C83A0B20}">
            <xm:f>'Tabelas AUX'!$E$4</xm:f>
            <x14:dxf>
              <font>
                <color rgb="FF7F7F7F"/>
              </font>
            </x14:dxf>
          </x14:cfRule>
          <x14:cfRule type="cellIs" priority="44" operator="equal" id="{E967D25F-8120-4FD5-A826-7AFFC3C0AF6D}">
            <xm:f>'Tabelas AUX'!$E$3</xm:f>
            <x14:dxf>
              <font>
                <color theme="5"/>
              </font>
            </x14:dxf>
          </x14:cfRule>
          <x14:cfRule type="cellIs" priority="45" operator="equal" id="{C23EF13F-6D8B-4928-B2C3-95AB9E5662D1}">
            <xm:f>'Tabelas AUX'!$E$2</xm:f>
            <x14:dxf>
              <font>
                <color rgb="FFC00000"/>
              </font>
            </x14:dxf>
          </x14:cfRule>
          <xm:sqref>T13</xm:sqref>
        </x14:conditionalFormatting>
        <x14:conditionalFormatting xmlns:xm="http://schemas.microsoft.com/office/excel/2006/main">
          <x14:cfRule type="cellIs" priority="37" operator="equal" id="{4B6DBB83-9C85-4006-8816-F9AF09F8A97B}">
            <xm:f>'Tabelas AUX'!$E$5</xm:f>
            <x14:dxf>
              <font>
                <color rgb="FF00B050"/>
              </font>
            </x14:dxf>
          </x14:cfRule>
          <x14:cfRule type="cellIs" priority="38" operator="equal" id="{FA6157C4-ED88-450B-BE73-DDE50A225EE9}">
            <xm:f>'Tabelas AUX'!$E$4</xm:f>
            <x14:dxf>
              <font>
                <color rgb="FF7F7F7F"/>
              </font>
            </x14:dxf>
          </x14:cfRule>
          <x14:cfRule type="cellIs" priority="39" operator="equal" id="{2B8D84B4-F433-4604-AAEF-C38236A94AC4}">
            <xm:f>'Tabelas AUX'!$E$3</xm:f>
            <x14:dxf>
              <font>
                <color theme="5"/>
              </font>
            </x14:dxf>
          </x14:cfRule>
          <x14:cfRule type="cellIs" priority="40" operator="equal" id="{5E423B92-E8BC-4E0E-AF32-5D29A44445EA}">
            <xm:f>'Tabelas AUX'!$E$2</xm:f>
            <x14:dxf>
              <font>
                <color rgb="FFC00000"/>
              </font>
            </x14:dxf>
          </x14:cfRule>
          <xm:sqref>T14:T24</xm:sqref>
        </x14:conditionalFormatting>
        <x14:conditionalFormatting xmlns:xm="http://schemas.microsoft.com/office/excel/2006/main">
          <x14:cfRule type="cellIs" priority="32" operator="equal" id="{DF76DE08-CB58-412F-9835-71581F63A339}">
            <xm:f>'Tabelas AUX'!$E$5</xm:f>
            <x14:dxf>
              <font>
                <color rgb="FF00B050"/>
              </font>
            </x14:dxf>
          </x14:cfRule>
          <x14:cfRule type="cellIs" priority="33" operator="equal" id="{27C9D8DC-3D95-442C-9338-398FDCDE4690}">
            <xm:f>'Tabelas AUX'!$E$4</xm:f>
            <x14:dxf>
              <font>
                <color rgb="FF7F7F7F"/>
              </font>
            </x14:dxf>
          </x14:cfRule>
          <x14:cfRule type="cellIs" priority="34" operator="equal" id="{E24AECF7-4AB4-4144-B2B6-59AB54FEFF2F}">
            <xm:f>'Tabelas AUX'!$E$3</xm:f>
            <x14:dxf>
              <font>
                <color theme="5"/>
              </font>
            </x14:dxf>
          </x14:cfRule>
          <x14:cfRule type="cellIs" priority="35" operator="equal" id="{D6D9F127-FCCF-420C-8018-F7240D02FAF9}">
            <xm:f>'Tabelas AUX'!$E$2</xm:f>
            <x14:dxf>
              <font>
                <color rgb="FFC00000"/>
              </font>
            </x14:dxf>
          </x14:cfRule>
          <xm:sqref>X13</xm:sqref>
        </x14:conditionalFormatting>
        <x14:conditionalFormatting xmlns:xm="http://schemas.microsoft.com/office/excel/2006/main">
          <x14:cfRule type="cellIs" priority="27" operator="equal" id="{EEB79670-EF72-4C7E-8B27-9ADCB34CBA38}">
            <xm:f>'Tabelas AUX'!$E$5</xm:f>
            <x14:dxf>
              <font>
                <color rgb="FF00B050"/>
              </font>
            </x14:dxf>
          </x14:cfRule>
          <x14:cfRule type="cellIs" priority="28" operator="equal" id="{819552BB-CC8F-4E46-8876-84D16024DE93}">
            <xm:f>'Tabelas AUX'!$E$4</xm:f>
            <x14:dxf>
              <font>
                <color rgb="FF7F7F7F"/>
              </font>
            </x14:dxf>
          </x14:cfRule>
          <x14:cfRule type="cellIs" priority="29" operator="equal" id="{250230D1-0E8C-4347-AB79-6DE53DA272F9}">
            <xm:f>'Tabelas AUX'!$E$3</xm:f>
            <x14:dxf>
              <font>
                <color theme="5"/>
              </font>
            </x14:dxf>
          </x14:cfRule>
          <x14:cfRule type="cellIs" priority="30" operator="equal" id="{494BD6EE-1A3B-449C-9F14-09BE27A82075}">
            <xm:f>'Tabelas AUX'!$E$2</xm:f>
            <x14:dxf>
              <font>
                <color rgb="FFC00000"/>
              </font>
            </x14:dxf>
          </x14:cfRule>
          <xm:sqref>X14 X17:X24</xm:sqref>
        </x14:conditionalFormatting>
        <x14:conditionalFormatting xmlns:xm="http://schemas.microsoft.com/office/excel/2006/main">
          <x14:cfRule type="cellIs" priority="22" operator="equal" id="{6AB8999A-4E64-4DDE-A6B9-1800F89C5ECE}">
            <xm:f>'Tabelas AUX'!$E$5</xm:f>
            <x14:dxf>
              <font>
                <color rgb="FF00B050"/>
              </font>
            </x14:dxf>
          </x14:cfRule>
          <x14:cfRule type="cellIs" priority="23" operator="equal" id="{2DB9A3F9-6D00-41D2-BD0E-CD9A806EBF5E}">
            <xm:f>'Tabelas AUX'!$E$4</xm:f>
            <x14:dxf>
              <font>
                <color rgb="FF7F7F7F"/>
              </font>
            </x14:dxf>
          </x14:cfRule>
          <x14:cfRule type="cellIs" priority="24" operator="equal" id="{781CAEF3-299B-428C-B70D-2E48A4E52B09}">
            <xm:f>'Tabelas AUX'!$E$3</xm:f>
            <x14:dxf>
              <font>
                <color theme="5"/>
              </font>
            </x14:dxf>
          </x14:cfRule>
          <x14:cfRule type="cellIs" priority="25" operator="equal" id="{5986DC79-0001-46B7-82D9-2C592FD867E4}">
            <xm:f>'Tabelas AUX'!$E$2</xm:f>
            <x14:dxf>
              <font>
                <color rgb="FFC00000"/>
              </font>
            </x14:dxf>
          </x14:cfRule>
          <xm:sqref>X29</xm:sqref>
        </x14:conditionalFormatting>
        <x14:conditionalFormatting xmlns:xm="http://schemas.microsoft.com/office/excel/2006/main">
          <x14:cfRule type="cellIs" priority="7" operator="equal" id="{AE8D1695-343A-4D54-AF83-959A183D986D}">
            <xm:f>'Tabelas AUX'!$E$5</xm:f>
            <x14:dxf>
              <font>
                <color rgb="FF00B050"/>
              </font>
            </x14:dxf>
          </x14:cfRule>
          <x14:cfRule type="cellIs" priority="8" operator="equal" id="{F141EDDF-2F6E-44FD-82EB-6A146AB03C78}">
            <xm:f>'Tabelas AUX'!$E$4</xm:f>
            <x14:dxf>
              <font>
                <color rgb="FF7F7F7F"/>
              </font>
            </x14:dxf>
          </x14:cfRule>
          <x14:cfRule type="cellIs" priority="9" operator="equal" id="{6D6899C4-A1E5-4103-B1BD-835D03E86706}">
            <xm:f>'Tabelas AUX'!$E$3</xm:f>
            <x14:dxf>
              <font>
                <color theme="5"/>
              </font>
            </x14:dxf>
          </x14:cfRule>
          <x14:cfRule type="cellIs" priority="10" operator="equal" id="{F275B350-7C16-4FA8-8284-9B9AEEFA37D4}">
            <xm:f>'Tabelas AUX'!$E$2</xm:f>
            <x14:dxf>
              <font>
                <color rgb="FFC00000"/>
              </font>
            </x14:dxf>
          </x14:cfRule>
          <xm:sqref>X15</xm:sqref>
        </x14:conditionalFormatting>
        <x14:conditionalFormatting xmlns:xm="http://schemas.microsoft.com/office/excel/2006/main">
          <x14:cfRule type="cellIs" priority="2" operator="equal" id="{7BFFDB6F-6DDE-4CCC-8796-7677ECE17E27}">
            <xm:f>'Tabelas AUX'!$E$5</xm:f>
            <x14:dxf>
              <font>
                <color rgb="FF00B050"/>
              </font>
            </x14:dxf>
          </x14:cfRule>
          <x14:cfRule type="cellIs" priority="3" operator="equal" id="{89F21859-BDEE-4B9B-889D-427C1F979A01}">
            <xm:f>'Tabelas AUX'!$E$4</xm:f>
            <x14:dxf>
              <font>
                <color rgb="FF7F7F7F"/>
              </font>
            </x14:dxf>
          </x14:cfRule>
          <x14:cfRule type="cellIs" priority="4" operator="equal" id="{1A1C90EC-E821-4333-B8F7-731849C9E42C}">
            <xm:f>'Tabelas AUX'!$E$3</xm:f>
            <x14:dxf>
              <font>
                <color theme="5"/>
              </font>
            </x14:dxf>
          </x14:cfRule>
          <x14:cfRule type="cellIs" priority="5" operator="equal" id="{707CEBCE-10D8-40AD-8670-CA33818EE890}">
            <xm:f>'Tabelas AUX'!$E$2</xm:f>
            <x14:dxf>
              <font>
                <color rgb="FFC00000"/>
              </font>
            </x14:dxf>
          </x14:cfRule>
          <xm:sqref>X16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'Tabelas AUX'!$E$2:$E$5</xm:f>
          </x14:formula1>
          <xm:sqref>T13:T24</xm:sqref>
        </x14:dataValidation>
        <x14:dataValidation type="list" allowBlank="1" showInputMessage="1" showErrorMessage="1">
          <x14:formula1>
            <xm:f>'Tabelas AUX'!$G$2:$G$13</xm:f>
          </x14:formula1>
          <xm:sqref>X29 X13:X24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9" tint="0.59999389629810485"/>
    <pageSetUpPr autoPageBreaks="0"/>
  </sheetPr>
  <dimension ref="A1:AE104"/>
  <sheetViews>
    <sheetView showGridLines="0" topLeftCell="M1" zoomScale="85" zoomScaleNormal="85" workbookViewId="0">
      <pane ySplit="12" topLeftCell="A13" activePane="bottomLeft" state="frozen"/>
      <selection activeCell="M69" sqref="M69"/>
      <selection pane="bottomLeft" activeCell="X11" sqref="X11:AE11"/>
    </sheetView>
  </sheetViews>
  <sheetFormatPr defaultRowHeight="15" outlineLevelRow="1" outlineLevelCol="1" x14ac:dyDescent="0.25"/>
  <cols>
    <col min="1" max="1" width="3.7109375" customWidth="1"/>
    <col min="2" max="2" width="29.7109375" customWidth="1"/>
    <col min="3" max="3" width="9.42578125" bestFit="1" customWidth="1"/>
    <col min="4" max="4" width="43.28515625" bestFit="1" customWidth="1"/>
    <col min="5" max="5" width="17" bestFit="1" customWidth="1"/>
    <col min="6" max="6" width="44.28515625" bestFit="1" customWidth="1"/>
    <col min="7" max="7" width="12.7109375" customWidth="1"/>
    <col min="8" max="8" width="2" customWidth="1"/>
    <col min="9" max="9" width="27.85546875" hidden="1" customWidth="1" outlineLevel="1"/>
    <col min="10" max="10" width="26.85546875" hidden="1" customWidth="1" outlineLevel="1"/>
    <col min="11" max="11" width="21" hidden="1" customWidth="1" outlineLevel="1"/>
    <col min="12" max="12" width="27.85546875" bestFit="1" customWidth="1" collapsed="1"/>
    <col min="13" max="13" width="28.85546875" customWidth="1"/>
    <col min="14" max="14" width="24.42578125" customWidth="1"/>
    <col min="15" max="15" width="20.28515625" hidden="1" customWidth="1" outlineLevel="1"/>
    <col min="16" max="17" width="42.42578125" hidden="1" customWidth="1" outlineLevel="1"/>
    <col min="18" max="18" width="30.5703125" hidden="1" customWidth="1" outlineLevel="1"/>
    <col min="19" max="19" width="2.140625" customWidth="1" collapsed="1"/>
    <col min="20" max="20" width="14.140625" customWidth="1" outlineLevel="1"/>
    <col min="21" max="21" width="15.42578125" customWidth="1" outlineLevel="1"/>
    <col min="22" max="22" width="42.7109375" customWidth="1" outlineLevel="1"/>
    <col min="23" max="23" width="2.140625" customWidth="1"/>
    <col min="24" max="24" width="15.7109375" bestFit="1" customWidth="1" outlineLevel="1"/>
    <col min="25" max="25" width="24.85546875" customWidth="1" outlineLevel="1"/>
    <col min="26" max="26" width="22.5703125" customWidth="1" outlineLevel="1"/>
    <col min="27" max="27" width="2.140625" customWidth="1"/>
    <col min="28" max="30" width="22.5703125" customWidth="1" outlineLevel="1"/>
    <col min="31" max="31" width="11.28515625" customWidth="1" outlineLevel="1"/>
  </cols>
  <sheetData>
    <row r="1" spans="1:31" ht="15" customHeight="1" x14ac:dyDescent="0.25">
      <c r="B1" s="47"/>
      <c r="C1" s="47"/>
      <c r="D1" s="47"/>
      <c r="F1" s="47"/>
      <c r="G1" s="47"/>
    </row>
    <row r="2" spans="1:31" ht="34.5" customHeight="1" x14ac:dyDescent="0.25">
      <c r="B2" s="47"/>
      <c r="C2" s="47"/>
      <c r="D2" s="48"/>
      <c r="F2" s="47"/>
      <c r="G2" s="47"/>
    </row>
    <row r="3" spans="1:31" ht="2.25" customHeight="1" x14ac:dyDescent="0.25">
      <c r="A3" s="20"/>
      <c r="B3" s="49"/>
      <c r="C3" s="49"/>
      <c r="D3" s="49"/>
      <c r="E3" s="49"/>
      <c r="F3" s="49"/>
      <c r="G3" s="49"/>
    </row>
    <row r="4" spans="1:31" ht="15" customHeight="1" x14ac:dyDescent="0.25">
      <c r="B4" s="47"/>
      <c r="C4" s="47"/>
      <c r="D4" s="47"/>
      <c r="F4" s="47"/>
      <c r="G4" s="47"/>
    </row>
    <row r="5" spans="1:31" ht="15" customHeight="1" x14ac:dyDescent="0.25">
      <c r="B5" s="50" t="s">
        <v>1479</v>
      </c>
      <c r="C5" s="50"/>
      <c r="D5" s="47"/>
      <c r="F5" s="47"/>
      <c r="G5" s="47"/>
    </row>
    <row r="6" spans="1:31" ht="15" customHeight="1" x14ac:dyDescent="0.25">
      <c r="B6" s="47"/>
      <c r="C6" s="47"/>
      <c r="D6" s="47"/>
      <c r="F6" s="47"/>
      <c r="G6" s="47"/>
    </row>
    <row r="7" spans="1:31" ht="41.25" hidden="1" customHeight="1" outlineLevel="1" x14ac:dyDescent="0.25">
      <c r="B7" s="51" t="s">
        <v>65</v>
      </c>
      <c r="C7" s="222" t="s">
        <v>1480</v>
      </c>
      <c r="D7" s="222"/>
      <c r="E7" s="222"/>
      <c r="F7" s="222"/>
      <c r="G7" s="222"/>
      <c r="H7" s="52"/>
      <c r="I7" s="52"/>
      <c r="S7" s="52"/>
      <c r="W7" s="52"/>
      <c r="AA7" s="52"/>
    </row>
    <row r="8" spans="1:31" ht="15" hidden="1" customHeight="1" outlineLevel="1" x14ac:dyDescent="0.25">
      <c r="B8" s="47"/>
      <c r="C8" s="47"/>
      <c r="D8" s="47"/>
      <c r="F8" s="47"/>
      <c r="G8" s="47"/>
    </row>
    <row r="9" spans="1:31" ht="15" hidden="1" customHeight="1" outlineLevel="1" x14ac:dyDescent="0.25">
      <c r="B9" s="47"/>
      <c r="C9" s="47"/>
      <c r="D9" s="47"/>
      <c r="F9" s="47"/>
      <c r="G9" s="47"/>
    </row>
    <row r="10" spans="1:31" ht="15" hidden="1" customHeight="1" outlineLevel="1" x14ac:dyDescent="0.25">
      <c r="B10" s="47"/>
      <c r="C10" s="47"/>
      <c r="D10" s="47"/>
      <c r="F10" s="47"/>
      <c r="G10" s="47"/>
    </row>
    <row r="11" spans="1:31" collapsed="1" x14ac:dyDescent="0.25">
      <c r="B11" s="212" t="s">
        <v>67</v>
      </c>
      <c r="C11" s="213"/>
      <c r="D11" s="213"/>
      <c r="E11" s="213"/>
      <c r="F11" s="213"/>
      <c r="G11" s="214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  <c r="X11" s="207" t="s">
        <v>72</v>
      </c>
      <c r="Y11" s="208"/>
      <c r="Z11" s="208"/>
      <c r="AB11" s="207" t="s">
        <v>1000</v>
      </c>
      <c r="AC11" s="208"/>
      <c r="AD11" s="208"/>
      <c r="AE11" s="208"/>
    </row>
    <row r="12" spans="1:31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  <c r="X12" s="61" t="s">
        <v>86</v>
      </c>
      <c r="Y12" s="61" t="s">
        <v>89</v>
      </c>
      <c r="Z12" s="61" t="s">
        <v>90</v>
      </c>
      <c r="AB12" s="61" t="s">
        <v>166</v>
      </c>
      <c r="AC12" s="61" t="s">
        <v>167</v>
      </c>
      <c r="AD12" s="61" t="s">
        <v>168</v>
      </c>
      <c r="AE12" s="61" t="s">
        <v>88</v>
      </c>
    </row>
    <row r="13" spans="1:31" ht="14.25" customHeight="1" x14ac:dyDescent="0.25">
      <c r="B13" s="68" t="s">
        <v>55</v>
      </c>
      <c r="C13" s="68">
        <v>1</v>
      </c>
      <c r="D13" s="141" t="s">
        <v>260</v>
      </c>
      <c r="E13" s="68" t="s">
        <v>225</v>
      </c>
      <c r="F13" s="68" t="s">
        <v>261</v>
      </c>
      <c r="G13" s="73" t="s">
        <v>262</v>
      </c>
      <c r="H13" s="47"/>
      <c r="I13" s="68" t="s">
        <v>20</v>
      </c>
      <c r="J13" s="68" t="s">
        <v>227</v>
      </c>
      <c r="K13" s="68" t="s">
        <v>228</v>
      </c>
      <c r="L13" s="68"/>
      <c r="M13" s="68"/>
      <c r="N13" s="68"/>
      <c r="O13" s="68"/>
      <c r="P13" s="68"/>
      <c r="Q13" s="68"/>
      <c r="R13" s="68"/>
      <c r="S13" s="47"/>
      <c r="T13" s="75" t="s">
        <v>97</v>
      </c>
      <c r="U13" s="69">
        <v>44812</v>
      </c>
      <c r="V13" s="68"/>
      <c r="X13" s="145" t="s">
        <v>150</v>
      </c>
      <c r="Y13" s="62"/>
      <c r="Z13" s="62"/>
      <c r="AB13" s="62"/>
      <c r="AC13" s="62"/>
      <c r="AD13" s="62"/>
      <c r="AE13" s="62"/>
    </row>
    <row r="14" spans="1:31" x14ac:dyDescent="0.25">
      <c r="B14" s="68" t="s">
        <v>55</v>
      </c>
      <c r="C14" s="68">
        <v>2</v>
      </c>
      <c r="D14" s="141" t="s">
        <v>265</v>
      </c>
      <c r="E14" s="68" t="s">
        <v>225</v>
      </c>
      <c r="F14" s="68" t="s">
        <v>266</v>
      </c>
      <c r="G14" s="73" t="s">
        <v>262</v>
      </c>
      <c r="H14" s="47"/>
      <c r="I14" s="68" t="s">
        <v>20</v>
      </c>
      <c r="J14" s="68" t="s">
        <v>227</v>
      </c>
      <c r="K14" s="68" t="s">
        <v>231</v>
      </c>
      <c r="L14" s="68"/>
      <c r="M14" s="68"/>
      <c r="N14" s="68"/>
      <c r="O14" s="68"/>
      <c r="P14" s="68"/>
      <c r="Q14" s="68"/>
      <c r="R14" s="68"/>
      <c r="S14" s="47"/>
      <c r="T14" s="75" t="s">
        <v>97</v>
      </c>
      <c r="U14" s="69">
        <v>44812</v>
      </c>
      <c r="V14" s="68"/>
      <c r="X14" s="145" t="s">
        <v>150</v>
      </c>
      <c r="Y14" s="62"/>
      <c r="Z14" s="62"/>
      <c r="AB14" s="62"/>
      <c r="AC14" s="62"/>
      <c r="AD14" s="62"/>
      <c r="AE14" s="62"/>
    </row>
    <row r="15" spans="1:31" x14ac:dyDescent="0.25">
      <c r="B15" s="68" t="s">
        <v>55</v>
      </c>
      <c r="C15" s="68">
        <v>3</v>
      </c>
      <c r="D15" s="141" t="s">
        <v>267</v>
      </c>
      <c r="E15" s="68" t="s">
        <v>225</v>
      </c>
      <c r="F15" s="68" t="s">
        <v>268</v>
      </c>
      <c r="G15" s="73" t="s">
        <v>262</v>
      </c>
      <c r="H15" s="47"/>
      <c r="I15" s="68" t="s">
        <v>20</v>
      </c>
      <c r="J15" s="68" t="s">
        <v>227</v>
      </c>
      <c r="K15" s="68" t="s">
        <v>234</v>
      </c>
      <c r="L15" s="68"/>
      <c r="M15" s="68"/>
      <c r="N15" s="68"/>
      <c r="O15" s="68"/>
      <c r="P15" s="68"/>
      <c r="Q15" s="68"/>
      <c r="R15" s="68"/>
      <c r="S15" s="47"/>
      <c r="T15" s="75" t="s">
        <v>97</v>
      </c>
      <c r="U15" s="69">
        <v>44812</v>
      </c>
      <c r="V15" s="68"/>
      <c r="X15" s="145" t="s">
        <v>150</v>
      </c>
      <c r="Y15" s="62"/>
      <c r="Z15" s="62"/>
      <c r="AB15" s="62"/>
      <c r="AC15" s="62"/>
      <c r="AD15" s="62"/>
      <c r="AE15" s="62"/>
    </row>
    <row r="16" spans="1:31" x14ac:dyDescent="0.25">
      <c r="B16" s="68" t="s">
        <v>55</v>
      </c>
      <c r="C16" s="68">
        <v>4</v>
      </c>
      <c r="D16" s="141" t="s">
        <v>270</v>
      </c>
      <c r="E16" s="68" t="s">
        <v>225</v>
      </c>
      <c r="F16" s="68" t="s">
        <v>271</v>
      </c>
      <c r="G16" s="73" t="s">
        <v>262</v>
      </c>
      <c r="H16" s="47"/>
      <c r="I16" s="68" t="s">
        <v>20</v>
      </c>
      <c r="J16" s="68" t="s">
        <v>227</v>
      </c>
      <c r="K16" s="68" t="s">
        <v>240</v>
      </c>
      <c r="L16" s="68"/>
      <c r="M16" s="68"/>
      <c r="N16" s="68"/>
      <c r="O16" s="68"/>
      <c r="P16" s="68"/>
      <c r="Q16" s="68"/>
      <c r="R16" s="68"/>
      <c r="S16" s="47"/>
      <c r="T16" s="75" t="s">
        <v>97</v>
      </c>
      <c r="U16" s="69">
        <v>44812</v>
      </c>
      <c r="V16" s="68"/>
      <c r="X16" s="145" t="s">
        <v>150</v>
      </c>
      <c r="Y16" s="62"/>
      <c r="Z16" s="62"/>
      <c r="AB16" s="62"/>
      <c r="AC16" s="62"/>
      <c r="AD16" s="62"/>
      <c r="AE16" s="62"/>
    </row>
    <row r="17" spans="2:31" x14ac:dyDescent="0.25">
      <c r="B17" s="68" t="s">
        <v>55</v>
      </c>
      <c r="C17" s="68">
        <v>5</v>
      </c>
      <c r="D17" s="68" t="s">
        <v>272</v>
      </c>
      <c r="E17" s="68" t="s">
        <v>225</v>
      </c>
      <c r="F17" s="68" t="s">
        <v>273</v>
      </c>
      <c r="G17" s="70"/>
      <c r="H17" s="47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47"/>
      <c r="T17" s="75" t="s">
        <v>97</v>
      </c>
      <c r="U17" s="69">
        <v>44812</v>
      </c>
      <c r="V17" s="68"/>
      <c r="X17" s="145" t="s">
        <v>150</v>
      </c>
      <c r="Y17" s="62"/>
      <c r="Z17" s="62"/>
      <c r="AB17" s="62"/>
      <c r="AC17" s="62"/>
      <c r="AD17" s="62"/>
      <c r="AE17" s="62"/>
    </row>
    <row r="18" spans="2:31" ht="45" x14ac:dyDescent="0.25">
      <c r="B18" s="68" t="s">
        <v>55</v>
      </c>
      <c r="C18" s="68">
        <v>6</v>
      </c>
      <c r="D18" s="83" t="s">
        <v>184</v>
      </c>
      <c r="E18" s="68" t="s">
        <v>322</v>
      </c>
      <c r="F18" s="68" t="s">
        <v>1481</v>
      </c>
      <c r="G18" s="68"/>
      <c r="H18" s="47"/>
      <c r="I18" s="70" t="s">
        <v>20</v>
      </c>
      <c r="J18" s="70" t="s">
        <v>227</v>
      </c>
      <c r="K18" s="68" t="s">
        <v>246</v>
      </c>
      <c r="L18" s="68"/>
      <c r="M18" s="76"/>
      <c r="N18" s="69"/>
      <c r="O18" s="72" t="s">
        <v>1482</v>
      </c>
      <c r="P18" s="68"/>
      <c r="Q18" s="68"/>
      <c r="R18" s="68"/>
      <c r="S18" s="47"/>
      <c r="T18" s="75" t="s">
        <v>131</v>
      </c>
      <c r="U18" s="135">
        <v>44950</v>
      </c>
      <c r="V18" s="68"/>
      <c r="X18" s="145" t="s">
        <v>150</v>
      </c>
      <c r="Y18" s="62"/>
      <c r="Z18" s="62"/>
      <c r="AB18" s="62"/>
      <c r="AC18" s="62"/>
      <c r="AD18" s="62"/>
      <c r="AE18" s="62"/>
    </row>
    <row r="19" spans="2:31" ht="45" x14ac:dyDescent="0.25">
      <c r="B19" s="68" t="s">
        <v>55</v>
      </c>
      <c r="C19" s="68">
        <v>7</v>
      </c>
      <c r="D19" s="83" t="s">
        <v>188</v>
      </c>
      <c r="E19" s="68" t="s">
        <v>322</v>
      </c>
      <c r="F19" s="68" t="s">
        <v>1483</v>
      </c>
      <c r="G19" s="68"/>
      <c r="H19" s="47"/>
      <c r="I19" s="70" t="s">
        <v>20</v>
      </c>
      <c r="J19" s="70" t="s">
        <v>227</v>
      </c>
      <c r="K19" s="68" t="s">
        <v>246</v>
      </c>
      <c r="L19" s="68"/>
      <c r="M19" s="76"/>
      <c r="N19" s="69"/>
      <c r="O19" s="72" t="s">
        <v>1482</v>
      </c>
      <c r="P19" s="68"/>
      <c r="Q19" s="68"/>
      <c r="R19" s="68"/>
      <c r="S19" s="47"/>
      <c r="T19" s="75" t="s">
        <v>131</v>
      </c>
      <c r="U19" s="135">
        <v>44950</v>
      </c>
      <c r="V19" s="68"/>
      <c r="X19" s="145" t="s">
        <v>150</v>
      </c>
      <c r="Y19" s="62"/>
      <c r="Z19" s="62"/>
      <c r="AB19" s="62"/>
      <c r="AC19" s="62"/>
      <c r="AD19" s="62"/>
      <c r="AE19" s="62"/>
    </row>
    <row r="20" spans="2:31" ht="45" x14ac:dyDescent="0.25">
      <c r="B20" s="68" t="s">
        <v>55</v>
      </c>
      <c r="C20" s="68">
        <v>8</v>
      </c>
      <c r="D20" s="83" t="s">
        <v>190</v>
      </c>
      <c r="E20" s="68" t="s">
        <v>322</v>
      </c>
      <c r="F20" s="68" t="s">
        <v>1484</v>
      </c>
      <c r="G20" s="68"/>
      <c r="H20" s="47"/>
      <c r="I20" s="70" t="s">
        <v>20</v>
      </c>
      <c r="J20" s="70" t="s">
        <v>227</v>
      </c>
      <c r="K20" s="68" t="s">
        <v>246</v>
      </c>
      <c r="L20" s="68"/>
      <c r="M20" s="76"/>
      <c r="N20" s="69"/>
      <c r="O20" s="72" t="s">
        <v>1482</v>
      </c>
      <c r="P20" s="68"/>
      <c r="Q20" s="68"/>
      <c r="R20" s="68"/>
      <c r="S20" s="47"/>
      <c r="T20" s="75" t="s">
        <v>131</v>
      </c>
      <c r="U20" s="135">
        <v>44950</v>
      </c>
      <c r="V20" s="68"/>
      <c r="X20" s="145" t="s">
        <v>150</v>
      </c>
      <c r="Y20" s="62"/>
      <c r="Z20" s="62"/>
      <c r="AB20" s="62"/>
      <c r="AC20" s="62"/>
      <c r="AD20" s="62"/>
      <c r="AE20" s="62"/>
    </row>
    <row r="21" spans="2:31" ht="45" x14ac:dyDescent="0.25">
      <c r="B21" s="68" t="s">
        <v>55</v>
      </c>
      <c r="C21" s="68">
        <v>9</v>
      </c>
      <c r="D21" s="83" t="s">
        <v>192</v>
      </c>
      <c r="E21" s="68" t="s">
        <v>322</v>
      </c>
      <c r="F21" s="68" t="s">
        <v>1485</v>
      </c>
      <c r="G21" s="68"/>
      <c r="H21" s="47"/>
      <c r="I21" s="70" t="s">
        <v>20</v>
      </c>
      <c r="J21" s="70" t="s">
        <v>227</v>
      </c>
      <c r="K21" s="68" t="s">
        <v>246</v>
      </c>
      <c r="L21" s="68"/>
      <c r="M21" s="76"/>
      <c r="N21" s="69"/>
      <c r="O21" s="72" t="s">
        <v>1482</v>
      </c>
      <c r="P21" s="68"/>
      <c r="Q21" s="68"/>
      <c r="R21" s="68"/>
      <c r="S21" s="47"/>
      <c r="T21" s="75" t="s">
        <v>131</v>
      </c>
      <c r="U21" s="135">
        <v>44950</v>
      </c>
      <c r="V21" s="68"/>
      <c r="X21" s="145" t="s">
        <v>150</v>
      </c>
      <c r="Y21" s="62"/>
      <c r="Z21" s="62"/>
      <c r="AB21" s="62"/>
      <c r="AC21" s="62"/>
      <c r="AD21" s="62"/>
      <c r="AE21" s="62"/>
    </row>
    <row r="22" spans="2:31" ht="45" x14ac:dyDescent="0.25">
      <c r="B22" s="68" t="s">
        <v>55</v>
      </c>
      <c r="C22" s="68">
        <v>10</v>
      </c>
      <c r="D22" s="83" t="s">
        <v>204</v>
      </c>
      <c r="E22" s="68" t="s">
        <v>322</v>
      </c>
      <c r="F22" s="68" t="s">
        <v>344</v>
      </c>
      <c r="G22" s="68"/>
      <c r="H22" s="47"/>
      <c r="I22" s="70" t="s">
        <v>20</v>
      </c>
      <c r="J22" s="70" t="s">
        <v>227</v>
      </c>
      <c r="K22" s="68" t="s">
        <v>246</v>
      </c>
      <c r="L22" s="68"/>
      <c r="M22" s="76"/>
      <c r="N22" s="69"/>
      <c r="O22" s="72" t="s">
        <v>1482</v>
      </c>
      <c r="P22" s="68"/>
      <c r="Q22" s="68"/>
      <c r="R22" s="68"/>
      <c r="S22" s="47"/>
      <c r="T22" s="75" t="s">
        <v>131</v>
      </c>
      <c r="U22" s="135">
        <v>44950</v>
      </c>
      <c r="V22" s="68"/>
      <c r="X22" s="145" t="s">
        <v>150</v>
      </c>
      <c r="Y22" s="62"/>
      <c r="Z22" s="62"/>
      <c r="AB22" s="62"/>
      <c r="AC22" s="62"/>
      <c r="AD22" s="62"/>
      <c r="AE22" s="62"/>
    </row>
    <row r="23" spans="2:31" ht="60" x14ac:dyDescent="0.25">
      <c r="B23" s="68" t="s">
        <v>55</v>
      </c>
      <c r="C23" s="68">
        <v>11</v>
      </c>
      <c r="D23" s="68" t="s">
        <v>1486</v>
      </c>
      <c r="E23" s="68"/>
      <c r="F23" s="68" t="s">
        <v>1486</v>
      </c>
      <c r="G23" s="146" t="s">
        <v>289</v>
      </c>
      <c r="H23" s="47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47"/>
      <c r="T23" s="75" t="s">
        <v>197</v>
      </c>
      <c r="U23" s="69">
        <v>45051</v>
      </c>
      <c r="V23" s="70" t="s">
        <v>1487</v>
      </c>
      <c r="X23" s="145" t="s">
        <v>150</v>
      </c>
      <c r="Y23" s="62"/>
      <c r="Z23" s="62"/>
      <c r="AB23" s="62"/>
      <c r="AC23" s="62"/>
      <c r="AD23" s="62"/>
      <c r="AE23" s="62"/>
    </row>
    <row r="24" spans="2:31" ht="60" x14ac:dyDescent="0.25">
      <c r="B24" s="68" t="s">
        <v>55</v>
      </c>
      <c r="C24" s="68">
        <v>12</v>
      </c>
      <c r="D24" s="68" t="s">
        <v>1488</v>
      </c>
      <c r="E24" s="68"/>
      <c r="F24" s="68" t="s">
        <v>1488</v>
      </c>
      <c r="G24" s="146" t="s">
        <v>289</v>
      </c>
      <c r="H24" s="47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47"/>
      <c r="T24" s="75" t="s">
        <v>197</v>
      </c>
      <c r="U24" s="69">
        <v>45051</v>
      </c>
      <c r="V24" s="70" t="s">
        <v>1487</v>
      </c>
      <c r="X24" s="145" t="s">
        <v>150</v>
      </c>
      <c r="Y24" s="62"/>
      <c r="Z24" s="62"/>
      <c r="AB24" s="62"/>
      <c r="AC24" s="62"/>
      <c r="AD24" s="62"/>
      <c r="AE24" s="62"/>
    </row>
    <row r="25" spans="2:31" ht="30" x14ac:dyDescent="0.25">
      <c r="B25" s="68" t="s">
        <v>55</v>
      </c>
      <c r="C25" s="68">
        <v>13</v>
      </c>
      <c r="D25" s="68" t="s">
        <v>1489</v>
      </c>
      <c r="E25" s="68"/>
      <c r="F25" s="68" t="s">
        <v>1489</v>
      </c>
      <c r="G25" s="70"/>
      <c r="H25" s="47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47"/>
      <c r="T25" s="75" t="s">
        <v>197</v>
      </c>
      <c r="U25" s="69">
        <v>45051</v>
      </c>
      <c r="V25" s="70" t="s">
        <v>1487</v>
      </c>
      <c r="X25" s="145" t="s">
        <v>150</v>
      </c>
      <c r="Y25" s="62"/>
      <c r="Z25" s="62"/>
      <c r="AB25" s="62"/>
      <c r="AC25" s="62"/>
      <c r="AD25" s="62"/>
      <c r="AE25" s="62"/>
    </row>
    <row r="26" spans="2:31" ht="60" x14ac:dyDescent="0.25">
      <c r="B26" s="68" t="s">
        <v>55</v>
      </c>
      <c r="C26" s="68">
        <v>14</v>
      </c>
      <c r="D26" s="68" t="s">
        <v>1490</v>
      </c>
      <c r="E26" s="68"/>
      <c r="F26" s="68" t="s">
        <v>1490</v>
      </c>
      <c r="G26" s="146" t="s">
        <v>289</v>
      </c>
      <c r="H26" s="47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47"/>
      <c r="T26" s="75" t="s">
        <v>197</v>
      </c>
      <c r="U26" s="69">
        <v>45051</v>
      </c>
      <c r="V26" s="70" t="s">
        <v>1487</v>
      </c>
      <c r="X26" s="145" t="s">
        <v>150</v>
      </c>
      <c r="Y26" s="62"/>
      <c r="Z26" s="62"/>
      <c r="AB26" s="62"/>
      <c r="AC26" s="62"/>
      <c r="AD26" s="62"/>
      <c r="AE26" s="62"/>
    </row>
    <row r="27" spans="2:31" ht="60" x14ac:dyDescent="0.25">
      <c r="B27" s="68" t="s">
        <v>55</v>
      </c>
      <c r="C27" s="68">
        <v>15</v>
      </c>
      <c r="D27" s="68" t="s">
        <v>1491</v>
      </c>
      <c r="E27" s="68"/>
      <c r="F27" s="68" t="s">
        <v>1491</v>
      </c>
      <c r="G27" s="146" t="s">
        <v>289</v>
      </c>
      <c r="H27" s="47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47"/>
      <c r="T27" s="75" t="s">
        <v>197</v>
      </c>
      <c r="U27" s="69">
        <v>45051</v>
      </c>
      <c r="V27" s="70" t="s">
        <v>1487</v>
      </c>
      <c r="X27" s="145" t="s">
        <v>150</v>
      </c>
      <c r="Y27" s="62"/>
      <c r="Z27" s="62"/>
      <c r="AB27" s="62"/>
      <c r="AC27" s="62"/>
      <c r="AD27" s="62"/>
      <c r="AE27" s="62"/>
    </row>
    <row r="28" spans="2:31" ht="30" x14ac:dyDescent="0.25">
      <c r="B28" s="68" t="s">
        <v>55</v>
      </c>
      <c r="C28" s="68">
        <v>16</v>
      </c>
      <c r="D28" s="68" t="s">
        <v>1492</v>
      </c>
      <c r="E28" s="68"/>
      <c r="F28" s="68" t="s">
        <v>1492</v>
      </c>
      <c r="G28" s="70"/>
      <c r="H28" s="47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47"/>
      <c r="T28" s="75" t="s">
        <v>197</v>
      </c>
      <c r="U28" s="69">
        <v>45051</v>
      </c>
      <c r="V28" s="70" t="s">
        <v>1487</v>
      </c>
      <c r="X28" s="145" t="s">
        <v>150</v>
      </c>
      <c r="Y28" s="62"/>
      <c r="Z28" s="62"/>
      <c r="AB28" s="62"/>
      <c r="AC28" s="62"/>
      <c r="AD28" s="62"/>
      <c r="AE28" s="62"/>
    </row>
    <row r="29" spans="2:31" ht="30" x14ac:dyDescent="0.25">
      <c r="B29" s="68" t="s">
        <v>55</v>
      </c>
      <c r="C29" s="68">
        <v>17</v>
      </c>
      <c r="D29" s="68" t="s">
        <v>1493</v>
      </c>
      <c r="E29" s="68"/>
      <c r="F29" s="68" t="s">
        <v>1493</v>
      </c>
      <c r="G29" s="70"/>
      <c r="H29" s="47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47"/>
      <c r="T29" s="75" t="s">
        <v>197</v>
      </c>
      <c r="U29" s="69">
        <v>45051</v>
      </c>
      <c r="V29" s="70" t="s">
        <v>1487</v>
      </c>
      <c r="X29" s="145" t="s">
        <v>150</v>
      </c>
      <c r="Y29" s="62"/>
      <c r="Z29" s="62"/>
      <c r="AB29" s="62"/>
      <c r="AC29" s="62"/>
      <c r="AD29" s="62"/>
      <c r="AE29" s="62"/>
    </row>
    <row r="30" spans="2:31" ht="30" x14ac:dyDescent="0.25">
      <c r="B30" s="68" t="s">
        <v>55</v>
      </c>
      <c r="C30" s="68">
        <v>18</v>
      </c>
      <c r="D30" s="68" t="s">
        <v>1494</v>
      </c>
      <c r="E30" s="68"/>
      <c r="F30" s="68" t="s">
        <v>1494</v>
      </c>
      <c r="G30" s="70"/>
      <c r="H30" s="47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47"/>
      <c r="T30" s="75" t="s">
        <v>197</v>
      </c>
      <c r="U30" s="69">
        <v>45051</v>
      </c>
      <c r="V30" s="70" t="s">
        <v>1487</v>
      </c>
      <c r="X30" s="145" t="s">
        <v>150</v>
      </c>
      <c r="Y30" s="62"/>
      <c r="Z30" s="62"/>
      <c r="AB30" s="62"/>
      <c r="AC30" s="62"/>
      <c r="AD30" s="62"/>
      <c r="AE30" s="62"/>
    </row>
    <row r="31" spans="2:31" ht="30" x14ac:dyDescent="0.25">
      <c r="B31" s="68" t="s">
        <v>55</v>
      </c>
      <c r="C31" s="68">
        <v>19</v>
      </c>
      <c r="D31" s="68" t="s">
        <v>1495</v>
      </c>
      <c r="E31" s="68"/>
      <c r="F31" s="68" t="s">
        <v>1495</v>
      </c>
      <c r="G31" s="70"/>
      <c r="H31" s="47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47"/>
      <c r="T31" s="75" t="s">
        <v>197</v>
      </c>
      <c r="U31" s="69">
        <v>45051</v>
      </c>
      <c r="V31" s="70" t="s">
        <v>1487</v>
      </c>
      <c r="X31" s="145" t="s">
        <v>150</v>
      </c>
      <c r="Y31" s="62"/>
      <c r="Z31" s="62"/>
      <c r="AB31" s="62"/>
      <c r="AC31" s="62"/>
      <c r="AD31" s="62"/>
      <c r="AE31" s="62"/>
    </row>
    <row r="32" spans="2:31" ht="75" x14ac:dyDescent="0.25">
      <c r="B32" s="68" t="s">
        <v>55</v>
      </c>
      <c r="C32" s="68">
        <v>20</v>
      </c>
      <c r="D32" s="68" t="s">
        <v>464</v>
      </c>
      <c r="E32" s="68"/>
      <c r="F32" s="68" t="s">
        <v>464</v>
      </c>
      <c r="G32" s="68"/>
      <c r="H32" s="47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47"/>
      <c r="T32" s="75" t="s">
        <v>197</v>
      </c>
      <c r="U32" s="69">
        <v>45051</v>
      </c>
      <c r="V32" s="70" t="s">
        <v>466</v>
      </c>
      <c r="X32" s="145" t="s">
        <v>150</v>
      </c>
      <c r="Y32" s="62"/>
      <c r="Z32" s="62"/>
      <c r="AB32" s="62"/>
      <c r="AC32" s="62"/>
      <c r="AD32" s="62"/>
      <c r="AE32" s="62"/>
    </row>
    <row r="33" spans="2:31" ht="60" x14ac:dyDescent="0.25">
      <c r="B33" s="68" t="s">
        <v>55</v>
      </c>
      <c r="C33" s="68">
        <v>21</v>
      </c>
      <c r="D33" s="68" t="s">
        <v>467</v>
      </c>
      <c r="E33" s="68"/>
      <c r="F33" s="68" t="s">
        <v>468</v>
      </c>
      <c r="G33" s="68"/>
      <c r="H33" s="47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47"/>
      <c r="T33" s="75" t="s">
        <v>197</v>
      </c>
      <c r="U33" s="69">
        <v>45051</v>
      </c>
      <c r="V33" s="70" t="s">
        <v>470</v>
      </c>
      <c r="X33" s="145" t="s">
        <v>150</v>
      </c>
      <c r="Y33" s="62"/>
      <c r="Z33" s="62"/>
      <c r="AB33" s="62"/>
      <c r="AC33" s="62"/>
      <c r="AD33" s="62"/>
      <c r="AE33" s="62"/>
    </row>
    <row r="34" spans="2:31" ht="90" x14ac:dyDescent="0.25">
      <c r="B34" s="68" t="s">
        <v>55</v>
      </c>
      <c r="C34" s="68">
        <v>22</v>
      </c>
      <c r="D34" s="68" t="s">
        <v>471</v>
      </c>
      <c r="E34" s="68"/>
      <c r="F34" s="68" t="s">
        <v>472</v>
      </c>
      <c r="G34" s="68"/>
      <c r="H34" s="47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47"/>
      <c r="T34" s="75" t="s">
        <v>197</v>
      </c>
      <c r="U34" s="69">
        <v>45051</v>
      </c>
      <c r="V34" s="70" t="s">
        <v>1318</v>
      </c>
      <c r="X34" s="145" t="s">
        <v>150</v>
      </c>
      <c r="Y34" s="62"/>
      <c r="Z34" s="62"/>
      <c r="AB34" s="62"/>
      <c r="AC34" s="62"/>
      <c r="AD34" s="62"/>
      <c r="AE34" s="62"/>
    </row>
    <row r="35" spans="2:31" ht="75" x14ac:dyDescent="0.25">
      <c r="B35" s="68" t="s">
        <v>55</v>
      </c>
      <c r="C35" s="70">
        <v>23</v>
      </c>
      <c r="D35" s="70" t="s">
        <v>476</v>
      </c>
      <c r="E35" s="68"/>
      <c r="F35" s="70" t="s">
        <v>476</v>
      </c>
      <c r="G35" s="68"/>
      <c r="H35" s="47"/>
      <c r="I35" s="68"/>
      <c r="J35" s="68"/>
      <c r="K35" s="68"/>
      <c r="L35" s="70"/>
      <c r="M35" s="68"/>
      <c r="N35" s="70"/>
      <c r="O35" s="68"/>
      <c r="P35" s="68"/>
      <c r="Q35" s="70"/>
      <c r="R35" s="70"/>
      <c r="S35" s="47"/>
      <c r="T35" s="75" t="s">
        <v>197</v>
      </c>
      <c r="U35" s="69">
        <v>45051</v>
      </c>
      <c r="V35" s="126" t="s">
        <v>1496</v>
      </c>
      <c r="W35" s="47"/>
      <c r="X35" s="145" t="s">
        <v>150</v>
      </c>
      <c r="Y35" s="62"/>
      <c r="Z35" s="62"/>
      <c r="AA35" s="47"/>
      <c r="AB35" s="62"/>
      <c r="AC35" s="62"/>
      <c r="AD35" s="62"/>
      <c r="AE35" s="62"/>
    </row>
    <row r="36" spans="2:31" ht="105" x14ac:dyDescent="0.25">
      <c r="B36" s="68" t="s">
        <v>55</v>
      </c>
      <c r="C36" s="70">
        <v>24</v>
      </c>
      <c r="D36" s="70" t="s">
        <v>1497</v>
      </c>
      <c r="E36" s="70" t="s">
        <v>225</v>
      </c>
      <c r="F36" s="70" t="s">
        <v>1498</v>
      </c>
      <c r="G36" s="70"/>
      <c r="H36" s="47"/>
      <c r="I36" s="70" t="s">
        <v>20</v>
      </c>
      <c r="J36" s="70" t="s">
        <v>308</v>
      </c>
      <c r="K36" s="70" t="s">
        <v>1499</v>
      </c>
      <c r="L36" s="70" t="s">
        <v>982</v>
      </c>
      <c r="M36" s="70" t="s">
        <v>983</v>
      </c>
      <c r="N36" s="70" t="s">
        <v>1497</v>
      </c>
      <c r="O36" s="70"/>
      <c r="P36" s="70"/>
      <c r="Q36" s="70"/>
      <c r="R36" s="70"/>
      <c r="S36" s="47"/>
      <c r="T36" s="75" t="s">
        <v>130</v>
      </c>
      <c r="U36" s="69">
        <v>45064</v>
      </c>
      <c r="V36" s="111" t="s">
        <v>985</v>
      </c>
      <c r="W36" s="47"/>
      <c r="X36" s="145" t="s">
        <v>150</v>
      </c>
      <c r="Y36" s="135" t="s">
        <v>299</v>
      </c>
      <c r="Z36" s="68"/>
      <c r="AA36" s="47"/>
      <c r="AB36" s="68"/>
      <c r="AC36" s="68"/>
      <c r="AD36" s="68"/>
      <c r="AE36" s="70" t="s">
        <v>731</v>
      </c>
    </row>
    <row r="37" spans="2:31" ht="30" x14ac:dyDescent="0.25">
      <c r="B37" s="68" t="s">
        <v>55</v>
      </c>
      <c r="C37" s="70">
        <v>25</v>
      </c>
      <c r="D37" s="70" t="s">
        <v>1500</v>
      </c>
      <c r="E37" s="70" t="s">
        <v>225</v>
      </c>
      <c r="F37" s="70" t="s">
        <v>1501</v>
      </c>
      <c r="G37" s="70"/>
      <c r="H37" s="47"/>
      <c r="I37" s="70" t="s">
        <v>20</v>
      </c>
      <c r="J37" s="70" t="s">
        <v>308</v>
      </c>
      <c r="K37" s="70" t="s">
        <v>996</v>
      </c>
      <c r="L37" s="70" t="s">
        <v>982</v>
      </c>
      <c r="M37" s="70" t="s">
        <v>983</v>
      </c>
      <c r="N37" s="70" t="s">
        <v>1500</v>
      </c>
      <c r="O37" s="68"/>
      <c r="P37" s="68"/>
      <c r="Q37" s="70"/>
      <c r="R37" s="70"/>
      <c r="S37" s="47"/>
      <c r="T37" s="75" t="s">
        <v>130</v>
      </c>
      <c r="U37" s="69">
        <v>45064</v>
      </c>
      <c r="V37" s="111" t="s">
        <v>1502</v>
      </c>
      <c r="W37" s="47"/>
      <c r="X37" s="145" t="s">
        <v>150</v>
      </c>
      <c r="Y37" s="69"/>
      <c r="Z37" s="69"/>
      <c r="AA37" s="47"/>
      <c r="AB37" s="69"/>
      <c r="AC37" s="69"/>
      <c r="AD37" s="69"/>
      <c r="AE37" s="69"/>
    </row>
    <row r="38" spans="2:31" x14ac:dyDescent="0.25">
      <c r="B38" s="62"/>
      <c r="C38" s="62"/>
      <c r="D38" s="62"/>
      <c r="E38" s="62"/>
      <c r="F38" s="62"/>
      <c r="G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T38" s="75"/>
      <c r="U38" s="62"/>
      <c r="V38" s="62"/>
      <c r="X38" s="75"/>
      <c r="Y38" s="62"/>
      <c r="Z38" s="62"/>
      <c r="AB38" s="62"/>
      <c r="AC38" s="62"/>
      <c r="AD38" s="62"/>
      <c r="AE38" s="62"/>
    </row>
    <row r="39" spans="2:31" x14ac:dyDescent="0.25">
      <c r="B39" s="62"/>
      <c r="C39" s="62"/>
      <c r="D39" s="62"/>
      <c r="E39" s="62"/>
      <c r="F39" s="62"/>
      <c r="G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T39" s="75"/>
      <c r="U39" s="62"/>
      <c r="V39" s="62"/>
      <c r="X39" s="75"/>
      <c r="Y39" s="62"/>
      <c r="Z39" s="62"/>
      <c r="AB39" s="62"/>
      <c r="AC39" s="62"/>
      <c r="AD39" s="62"/>
      <c r="AE39" s="62"/>
    </row>
    <row r="40" spans="2:31" x14ac:dyDescent="0.25">
      <c r="B40" s="62"/>
      <c r="C40" s="62"/>
      <c r="D40" s="62"/>
      <c r="E40" s="62"/>
      <c r="F40" s="62"/>
      <c r="G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T40" s="75"/>
      <c r="U40" s="62"/>
      <c r="V40" s="62"/>
      <c r="X40" s="75"/>
      <c r="Y40" s="62"/>
      <c r="Z40" s="62"/>
      <c r="AB40" s="62"/>
      <c r="AC40" s="62"/>
      <c r="AD40" s="62"/>
      <c r="AE40" s="62"/>
    </row>
    <row r="41" spans="2:31" x14ac:dyDescent="0.25">
      <c r="B41" s="62"/>
      <c r="C41" s="62"/>
      <c r="D41" s="62"/>
      <c r="E41" s="62"/>
      <c r="F41" s="62"/>
      <c r="G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T41" s="75"/>
      <c r="U41" s="62"/>
      <c r="V41" s="62"/>
      <c r="X41" s="75"/>
      <c r="Y41" s="62"/>
      <c r="Z41" s="62"/>
      <c r="AB41" s="62"/>
      <c r="AC41" s="62"/>
      <c r="AD41" s="62"/>
      <c r="AE41" s="62"/>
    </row>
    <row r="42" spans="2:31" x14ac:dyDescent="0.25">
      <c r="B42" s="62"/>
      <c r="C42" s="62"/>
      <c r="D42" s="62"/>
      <c r="E42" s="62"/>
      <c r="F42" s="62"/>
      <c r="G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T42" s="75"/>
      <c r="U42" s="62"/>
      <c r="V42" s="62"/>
      <c r="X42" s="75"/>
      <c r="Y42" s="62"/>
      <c r="Z42" s="62"/>
      <c r="AB42" s="62"/>
      <c r="AC42" s="62"/>
      <c r="AD42" s="62"/>
      <c r="AE42" s="62"/>
    </row>
    <row r="43" spans="2:31" x14ac:dyDescent="0.25">
      <c r="B43" s="62"/>
      <c r="C43" s="62"/>
      <c r="D43" s="62"/>
      <c r="E43" s="62"/>
      <c r="F43" s="62"/>
      <c r="G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T43" s="75"/>
      <c r="U43" s="62"/>
      <c r="V43" s="62"/>
      <c r="X43" s="75"/>
      <c r="Y43" s="62"/>
      <c r="Z43" s="62"/>
      <c r="AB43" s="62"/>
      <c r="AC43" s="62"/>
      <c r="AD43" s="62"/>
      <c r="AE43" s="62"/>
    </row>
    <row r="44" spans="2:31" x14ac:dyDescent="0.25">
      <c r="B44" s="62"/>
      <c r="C44" s="62"/>
      <c r="D44" s="62"/>
      <c r="E44" s="62"/>
      <c r="F44" s="62"/>
      <c r="G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T44" s="75"/>
      <c r="U44" s="62"/>
      <c r="V44" s="62"/>
      <c r="X44" s="75"/>
      <c r="Y44" s="62"/>
      <c r="Z44" s="62"/>
      <c r="AB44" s="62"/>
      <c r="AC44" s="62"/>
      <c r="AD44" s="62"/>
      <c r="AE44" s="62"/>
    </row>
    <row r="45" spans="2:31" x14ac:dyDescent="0.25">
      <c r="B45" s="62"/>
      <c r="C45" s="62"/>
      <c r="D45" s="62"/>
      <c r="E45" s="62"/>
      <c r="F45" s="62"/>
      <c r="G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T45" s="75"/>
      <c r="U45" s="62"/>
      <c r="V45" s="62"/>
      <c r="X45" s="75"/>
      <c r="Y45" s="62"/>
      <c r="Z45" s="62"/>
      <c r="AB45" s="62"/>
      <c r="AC45" s="62"/>
      <c r="AD45" s="62"/>
      <c r="AE45" s="62"/>
    </row>
    <row r="46" spans="2:31" x14ac:dyDescent="0.25">
      <c r="B46" s="62"/>
      <c r="C46" s="62"/>
      <c r="D46" s="62"/>
      <c r="E46" s="62"/>
      <c r="F46" s="62"/>
      <c r="G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T46" s="75"/>
      <c r="U46" s="62"/>
      <c r="V46" s="62"/>
      <c r="X46" s="75"/>
      <c r="Y46" s="62"/>
      <c r="Z46" s="62"/>
      <c r="AB46" s="62"/>
      <c r="AC46" s="62"/>
      <c r="AD46" s="62"/>
      <c r="AE46" s="62"/>
    </row>
    <row r="47" spans="2:31" x14ac:dyDescent="0.25">
      <c r="B47" s="62"/>
      <c r="C47" s="62"/>
      <c r="D47" s="62"/>
      <c r="E47" s="62"/>
      <c r="F47" s="62"/>
      <c r="G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T47" s="75"/>
      <c r="U47" s="62"/>
      <c r="V47" s="62"/>
      <c r="X47" s="75"/>
      <c r="Y47" s="62"/>
      <c r="Z47" s="62"/>
      <c r="AB47" s="62"/>
      <c r="AC47" s="62"/>
      <c r="AD47" s="62"/>
      <c r="AE47" s="62"/>
    </row>
    <row r="48" spans="2:31" x14ac:dyDescent="0.25">
      <c r="B48" s="62"/>
      <c r="C48" s="62"/>
      <c r="D48" s="62"/>
      <c r="E48" s="62"/>
      <c r="F48" s="62"/>
      <c r="G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T48" s="75"/>
      <c r="U48" s="62"/>
      <c r="V48" s="62"/>
      <c r="X48" s="75"/>
      <c r="Y48" s="62"/>
      <c r="Z48" s="62"/>
      <c r="AB48" s="62"/>
      <c r="AC48" s="62"/>
      <c r="AD48" s="62"/>
      <c r="AE48" s="62"/>
    </row>
    <row r="49" spans="2:31" x14ac:dyDescent="0.25">
      <c r="B49" s="62"/>
      <c r="C49" s="62"/>
      <c r="D49" s="62"/>
      <c r="E49" s="62"/>
      <c r="F49" s="62"/>
      <c r="G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T49" s="75"/>
      <c r="U49" s="62"/>
      <c r="V49" s="62"/>
      <c r="X49" s="75"/>
      <c r="Y49" s="62"/>
      <c r="Z49" s="62"/>
      <c r="AB49" s="62"/>
      <c r="AC49" s="62"/>
      <c r="AD49" s="62"/>
      <c r="AE49" s="62"/>
    </row>
    <row r="50" spans="2:31" x14ac:dyDescent="0.25">
      <c r="B50" s="62"/>
      <c r="C50" s="62"/>
      <c r="D50" s="62"/>
      <c r="E50" s="62"/>
      <c r="F50" s="62"/>
      <c r="G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T50" s="75"/>
      <c r="U50" s="62"/>
      <c r="V50" s="62"/>
      <c r="X50" s="75"/>
      <c r="Y50" s="62"/>
      <c r="Z50" s="62"/>
      <c r="AB50" s="62"/>
      <c r="AC50" s="62"/>
      <c r="AD50" s="62"/>
      <c r="AE50" s="62"/>
    </row>
    <row r="51" spans="2:31" x14ac:dyDescent="0.25">
      <c r="B51" s="62"/>
      <c r="C51" s="62"/>
      <c r="D51" s="62"/>
      <c r="E51" s="62"/>
      <c r="F51" s="62"/>
      <c r="G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T51" s="75"/>
      <c r="U51" s="62"/>
      <c r="V51" s="62"/>
      <c r="X51" s="75"/>
      <c r="Y51" s="62"/>
      <c r="Z51" s="62"/>
      <c r="AB51" s="62"/>
      <c r="AC51" s="62"/>
      <c r="AD51" s="62"/>
      <c r="AE51" s="62"/>
    </row>
    <row r="52" spans="2:31" x14ac:dyDescent="0.25">
      <c r="B52" s="62"/>
      <c r="C52" s="62"/>
      <c r="D52" s="62"/>
      <c r="E52" s="62"/>
      <c r="F52" s="62"/>
      <c r="G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T52" s="75"/>
      <c r="U52" s="62"/>
      <c r="V52" s="62"/>
      <c r="X52" s="75"/>
      <c r="Y52" s="62"/>
      <c r="Z52" s="62"/>
      <c r="AB52" s="62"/>
      <c r="AC52" s="62"/>
      <c r="AD52" s="62"/>
      <c r="AE52" s="62"/>
    </row>
    <row r="53" spans="2:31" x14ac:dyDescent="0.25">
      <c r="B53" s="62"/>
      <c r="C53" s="62"/>
      <c r="D53" s="62"/>
      <c r="E53" s="62"/>
      <c r="F53" s="62"/>
      <c r="G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T53" s="75"/>
      <c r="U53" s="62"/>
      <c r="V53" s="62"/>
      <c r="X53" s="75"/>
      <c r="Y53" s="62"/>
      <c r="Z53" s="62"/>
      <c r="AB53" s="62"/>
      <c r="AC53" s="62"/>
      <c r="AD53" s="62"/>
      <c r="AE53" s="62"/>
    </row>
    <row r="54" spans="2:31" x14ac:dyDescent="0.25">
      <c r="B54" s="62"/>
      <c r="C54" s="62"/>
      <c r="D54" s="62"/>
      <c r="E54" s="62"/>
      <c r="F54" s="62"/>
      <c r="G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T54" s="75"/>
      <c r="U54" s="62"/>
      <c r="V54" s="62"/>
      <c r="X54" s="75"/>
      <c r="Y54" s="62"/>
      <c r="Z54" s="62"/>
      <c r="AB54" s="62"/>
      <c r="AC54" s="62"/>
      <c r="AD54" s="62"/>
      <c r="AE54" s="62"/>
    </row>
    <row r="55" spans="2:31" x14ac:dyDescent="0.25">
      <c r="B55" s="62"/>
      <c r="C55" s="62"/>
      <c r="D55" s="62"/>
      <c r="E55" s="62"/>
      <c r="F55" s="62"/>
      <c r="G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T55" s="75"/>
      <c r="U55" s="62"/>
      <c r="V55" s="62"/>
      <c r="X55" s="75"/>
      <c r="Y55" s="62"/>
      <c r="Z55" s="62"/>
      <c r="AB55" s="62"/>
      <c r="AC55" s="62"/>
      <c r="AD55" s="62"/>
      <c r="AE55" s="62"/>
    </row>
    <row r="56" spans="2:31" x14ac:dyDescent="0.25">
      <c r="B56" s="62"/>
      <c r="C56" s="62"/>
      <c r="D56" s="62"/>
      <c r="E56" s="62"/>
      <c r="F56" s="62"/>
      <c r="G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T56" s="75"/>
      <c r="U56" s="62"/>
      <c r="V56" s="62"/>
      <c r="X56" s="75"/>
      <c r="Y56" s="62"/>
      <c r="Z56" s="62"/>
      <c r="AB56" s="62"/>
      <c r="AC56" s="62"/>
      <c r="AD56" s="62"/>
      <c r="AE56" s="62"/>
    </row>
    <row r="57" spans="2:31" x14ac:dyDescent="0.25">
      <c r="B57" s="62"/>
      <c r="C57" s="62"/>
      <c r="D57" s="62"/>
      <c r="E57" s="62"/>
      <c r="F57" s="62"/>
      <c r="G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T57" s="75"/>
      <c r="U57" s="62"/>
      <c r="V57" s="62"/>
      <c r="X57" s="75"/>
      <c r="Y57" s="62"/>
      <c r="Z57" s="62"/>
      <c r="AB57" s="62"/>
      <c r="AC57" s="62"/>
      <c r="AD57" s="62"/>
      <c r="AE57" s="62"/>
    </row>
    <row r="58" spans="2:31" x14ac:dyDescent="0.25">
      <c r="B58" s="62"/>
      <c r="C58" s="62"/>
      <c r="D58" s="62"/>
      <c r="E58" s="62"/>
      <c r="F58" s="62"/>
      <c r="G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T58" s="75"/>
      <c r="U58" s="62"/>
      <c r="V58" s="62"/>
      <c r="X58" s="75"/>
      <c r="Y58" s="62"/>
      <c r="Z58" s="62"/>
      <c r="AB58" s="62"/>
      <c r="AC58" s="62"/>
      <c r="AD58" s="62"/>
      <c r="AE58" s="62"/>
    </row>
    <row r="59" spans="2:31" x14ac:dyDescent="0.25">
      <c r="B59" s="62"/>
      <c r="C59" s="62"/>
      <c r="D59" s="62"/>
      <c r="E59" s="62"/>
      <c r="F59" s="62"/>
      <c r="G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T59" s="75"/>
      <c r="U59" s="62"/>
      <c r="V59" s="62"/>
      <c r="X59" s="75"/>
      <c r="Y59" s="62"/>
      <c r="Z59" s="62"/>
      <c r="AB59" s="62"/>
      <c r="AC59" s="62"/>
      <c r="AD59" s="62"/>
      <c r="AE59" s="62"/>
    </row>
    <row r="60" spans="2:31" x14ac:dyDescent="0.25">
      <c r="B60" s="62"/>
      <c r="C60" s="62"/>
      <c r="D60" s="62"/>
      <c r="E60" s="62"/>
      <c r="F60" s="62"/>
      <c r="G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T60" s="75"/>
      <c r="U60" s="62"/>
      <c r="V60" s="62"/>
      <c r="X60" s="75"/>
      <c r="Y60" s="62"/>
      <c r="Z60" s="62"/>
      <c r="AB60" s="62"/>
      <c r="AC60" s="62"/>
      <c r="AD60" s="62"/>
      <c r="AE60" s="62"/>
    </row>
    <row r="61" spans="2:31" x14ac:dyDescent="0.25">
      <c r="B61" s="62"/>
      <c r="C61" s="62"/>
      <c r="D61" s="62"/>
      <c r="E61" s="62"/>
      <c r="F61" s="62"/>
      <c r="G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T61" s="75"/>
      <c r="U61" s="62"/>
      <c r="V61" s="62"/>
      <c r="X61" s="75"/>
      <c r="Y61" s="62"/>
      <c r="Z61" s="62"/>
      <c r="AB61" s="62"/>
      <c r="AC61" s="62"/>
      <c r="AD61" s="62"/>
      <c r="AE61" s="62"/>
    </row>
    <row r="62" spans="2:31" x14ac:dyDescent="0.25">
      <c r="B62" s="62"/>
      <c r="C62" s="62"/>
      <c r="D62" s="62"/>
      <c r="E62" s="62"/>
      <c r="F62" s="62"/>
      <c r="G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T62" s="75"/>
      <c r="U62" s="62"/>
      <c r="V62" s="62"/>
      <c r="X62" s="75"/>
      <c r="Y62" s="62"/>
      <c r="Z62" s="62"/>
      <c r="AB62" s="62"/>
      <c r="AC62" s="62"/>
      <c r="AD62" s="62"/>
      <c r="AE62" s="62"/>
    </row>
    <row r="63" spans="2:31" x14ac:dyDescent="0.25">
      <c r="B63" s="62"/>
      <c r="C63" s="62"/>
      <c r="D63" s="62"/>
      <c r="E63" s="62"/>
      <c r="F63" s="62"/>
      <c r="G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T63" s="75"/>
      <c r="U63" s="62"/>
      <c r="V63" s="62"/>
      <c r="X63" s="75"/>
      <c r="Y63" s="62"/>
      <c r="Z63" s="62"/>
      <c r="AB63" s="62"/>
      <c r="AC63" s="62"/>
      <c r="AD63" s="62"/>
      <c r="AE63" s="62"/>
    </row>
    <row r="64" spans="2:31" x14ac:dyDescent="0.25">
      <c r="B64" s="62"/>
      <c r="C64" s="62"/>
      <c r="D64" s="62"/>
      <c r="E64" s="62"/>
      <c r="F64" s="62"/>
      <c r="G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T64" s="75"/>
      <c r="U64" s="62"/>
      <c r="V64" s="62"/>
      <c r="X64" s="75"/>
      <c r="Y64" s="62"/>
      <c r="Z64" s="62"/>
      <c r="AB64" s="62"/>
      <c r="AC64" s="62"/>
      <c r="AD64" s="62"/>
      <c r="AE64" s="62"/>
    </row>
    <row r="65" spans="2:31" x14ac:dyDescent="0.25">
      <c r="B65" s="62"/>
      <c r="C65" s="62"/>
      <c r="D65" s="62"/>
      <c r="E65" s="62"/>
      <c r="F65" s="62"/>
      <c r="G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T65" s="75"/>
      <c r="U65" s="62"/>
      <c r="V65" s="62"/>
      <c r="X65" s="75"/>
      <c r="Y65" s="62"/>
      <c r="Z65" s="62"/>
      <c r="AB65" s="62"/>
      <c r="AC65" s="62"/>
      <c r="AD65" s="62"/>
      <c r="AE65" s="62"/>
    </row>
    <row r="66" spans="2:31" x14ac:dyDescent="0.25">
      <c r="B66" s="62"/>
      <c r="C66" s="62"/>
      <c r="D66" s="62"/>
      <c r="E66" s="62"/>
      <c r="F66" s="62"/>
      <c r="G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T66" s="75"/>
      <c r="U66" s="62"/>
      <c r="V66" s="62"/>
      <c r="X66" s="75"/>
      <c r="Y66" s="62"/>
      <c r="Z66" s="62"/>
      <c r="AB66" s="62"/>
      <c r="AC66" s="62"/>
      <c r="AD66" s="62"/>
      <c r="AE66" s="62"/>
    </row>
    <row r="67" spans="2:31" x14ac:dyDescent="0.25">
      <c r="B67" s="62"/>
      <c r="C67" s="62"/>
      <c r="D67" s="62"/>
      <c r="E67" s="62"/>
      <c r="F67" s="62"/>
      <c r="G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T67" s="75"/>
      <c r="U67" s="62"/>
      <c r="V67" s="62"/>
      <c r="X67" s="75"/>
      <c r="Y67" s="62"/>
      <c r="Z67" s="62"/>
      <c r="AB67" s="62"/>
      <c r="AC67" s="62"/>
      <c r="AD67" s="62"/>
      <c r="AE67" s="62"/>
    </row>
    <row r="68" spans="2:31" x14ac:dyDescent="0.25">
      <c r="B68" s="62"/>
      <c r="C68" s="62"/>
      <c r="D68" s="62"/>
      <c r="E68" s="62"/>
      <c r="F68" s="62"/>
      <c r="G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T68" s="75"/>
      <c r="U68" s="62"/>
      <c r="V68" s="62"/>
      <c r="X68" s="75"/>
      <c r="Y68" s="62"/>
      <c r="Z68" s="62"/>
      <c r="AB68" s="62"/>
      <c r="AC68" s="62"/>
      <c r="AD68" s="62"/>
      <c r="AE68" s="62"/>
    </row>
    <row r="69" spans="2:31" x14ac:dyDescent="0.25">
      <c r="B69" s="62"/>
      <c r="C69" s="62"/>
      <c r="D69" s="62"/>
      <c r="E69" s="62"/>
      <c r="F69" s="62"/>
      <c r="G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T69" s="75"/>
      <c r="U69" s="62"/>
      <c r="V69" s="62"/>
      <c r="X69" s="75"/>
      <c r="Y69" s="62"/>
      <c r="Z69" s="62"/>
      <c r="AB69" s="62"/>
      <c r="AC69" s="62"/>
      <c r="AD69" s="62"/>
      <c r="AE69" s="62"/>
    </row>
    <row r="70" spans="2:31" x14ac:dyDescent="0.25">
      <c r="B70" s="62"/>
      <c r="C70" s="62"/>
      <c r="D70" s="62"/>
      <c r="E70" s="62"/>
      <c r="F70" s="62"/>
      <c r="G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T70" s="75"/>
      <c r="U70" s="62"/>
      <c r="V70" s="62"/>
      <c r="X70" s="75"/>
      <c r="Y70" s="62"/>
      <c r="Z70" s="62"/>
      <c r="AB70" s="62"/>
      <c r="AC70" s="62"/>
      <c r="AD70" s="62"/>
      <c r="AE70" s="62"/>
    </row>
    <row r="71" spans="2:31" x14ac:dyDescent="0.25">
      <c r="B71" s="62"/>
      <c r="C71" s="62"/>
      <c r="D71" s="62"/>
      <c r="E71" s="62"/>
      <c r="F71" s="62"/>
      <c r="G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T71" s="75"/>
      <c r="U71" s="62"/>
      <c r="V71" s="62"/>
      <c r="X71" s="75"/>
      <c r="Y71" s="62"/>
      <c r="Z71" s="62"/>
      <c r="AB71" s="62"/>
      <c r="AC71" s="62"/>
      <c r="AD71" s="62"/>
      <c r="AE71" s="62"/>
    </row>
    <row r="72" spans="2:31" x14ac:dyDescent="0.25">
      <c r="B72" s="62"/>
      <c r="C72" s="62"/>
      <c r="D72" s="62"/>
      <c r="E72" s="62"/>
      <c r="F72" s="62"/>
      <c r="G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T72" s="75"/>
      <c r="U72" s="62"/>
      <c r="V72" s="62"/>
      <c r="X72" s="75"/>
      <c r="Y72" s="62"/>
      <c r="Z72" s="62"/>
      <c r="AB72" s="62"/>
      <c r="AC72" s="62"/>
      <c r="AD72" s="62"/>
      <c r="AE72" s="62"/>
    </row>
    <row r="73" spans="2:31" x14ac:dyDescent="0.25">
      <c r="B73" s="62"/>
      <c r="C73" s="62"/>
      <c r="D73" s="62"/>
      <c r="E73" s="62"/>
      <c r="F73" s="62"/>
      <c r="G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T73" s="75"/>
      <c r="U73" s="62"/>
      <c r="V73" s="62"/>
      <c r="X73" s="75"/>
      <c r="Y73" s="62"/>
      <c r="Z73" s="62"/>
      <c r="AB73" s="62"/>
      <c r="AC73" s="62"/>
      <c r="AD73" s="62"/>
      <c r="AE73" s="62"/>
    </row>
    <row r="74" spans="2:31" x14ac:dyDescent="0.25">
      <c r="B74" s="62"/>
      <c r="C74" s="62"/>
      <c r="D74" s="62"/>
      <c r="E74" s="62"/>
      <c r="F74" s="62"/>
      <c r="G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T74" s="75"/>
      <c r="U74" s="62"/>
      <c r="V74" s="62"/>
      <c r="X74" s="75"/>
      <c r="Y74" s="62"/>
      <c r="Z74" s="62"/>
      <c r="AB74" s="62"/>
      <c r="AC74" s="62"/>
      <c r="AD74" s="62"/>
      <c r="AE74" s="62"/>
    </row>
    <row r="75" spans="2:31" x14ac:dyDescent="0.25">
      <c r="B75" s="62"/>
      <c r="C75" s="62"/>
      <c r="D75" s="62"/>
      <c r="E75" s="62"/>
      <c r="F75" s="62"/>
      <c r="G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T75" s="75"/>
      <c r="U75" s="62"/>
      <c r="V75" s="62"/>
      <c r="X75" s="75"/>
      <c r="Y75" s="62"/>
      <c r="Z75" s="62"/>
      <c r="AB75" s="62"/>
      <c r="AC75" s="62"/>
      <c r="AD75" s="62"/>
      <c r="AE75" s="62"/>
    </row>
    <row r="76" spans="2:31" x14ac:dyDescent="0.25">
      <c r="B76" s="62"/>
      <c r="C76" s="62"/>
      <c r="D76" s="62"/>
      <c r="E76" s="62"/>
      <c r="F76" s="62"/>
      <c r="G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T76" s="75"/>
      <c r="U76" s="62"/>
      <c r="V76" s="62"/>
      <c r="X76" s="75"/>
      <c r="Y76" s="62"/>
      <c r="Z76" s="62"/>
      <c r="AB76" s="62"/>
      <c r="AC76" s="62"/>
      <c r="AD76" s="62"/>
      <c r="AE76" s="62"/>
    </row>
    <row r="77" spans="2:31" x14ac:dyDescent="0.25">
      <c r="B77" s="62"/>
      <c r="C77" s="62"/>
      <c r="D77" s="62"/>
      <c r="E77" s="62"/>
      <c r="F77" s="62"/>
      <c r="G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T77" s="75"/>
      <c r="U77" s="62"/>
      <c r="V77" s="62"/>
      <c r="X77" s="75"/>
      <c r="Y77" s="62"/>
      <c r="Z77" s="62"/>
      <c r="AB77" s="62"/>
      <c r="AC77" s="62"/>
      <c r="AD77" s="62"/>
      <c r="AE77" s="62"/>
    </row>
    <row r="78" spans="2:31" x14ac:dyDescent="0.25">
      <c r="B78" s="62"/>
      <c r="C78" s="62"/>
      <c r="D78" s="62"/>
      <c r="E78" s="62"/>
      <c r="F78" s="62"/>
      <c r="G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T78" s="75"/>
      <c r="U78" s="62"/>
      <c r="V78" s="62"/>
      <c r="X78" s="75"/>
      <c r="Y78" s="62"/>
      <c r="Z78" s="62"/>
      <c r="AB78" s="62"/>
      <c r="AC78" s="62"/>
      <c r="AD78" s="62"/>
      <c r="AE78" s="62"/>
    </row>
    <row r="79" spans="2:31" x14ac:dyDescent="0.25">
      <c r="B79" s="62"/>
      <c r="C79" s="62"/>
      <c r="D79" s="62"/>
      <c r="E79" s="62"/>
      <c r="F79" s="62"/>
      <c r="G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T79" s="75"/>
      <c r="U79" s="62"/>
      <c r="V79" s="62"/>
      <c r="X79" s="75"/>
      <c r="Y79" s="62"/>
      <c r="Z79" s="62"/>
      <c r="AB79" s="62"/>
      <c r="AC79" s="62"/>
      <c r="AD79" s="62"/>
      <c r="AE79" s="62"/>
    </row>
    <row r="80" spans="2:31" x14ac:dyDescent="0.25">
      <c r="B80" s="62"/>
      <c r="C80" s="62"/>
      <c r="D80" s="62"/>
      <c r="E80" s="62"/>
      <c r="F80" s="62"/>
      <c r="G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T80" s="75"/>
      <c r="U80" s="62"/>
      <c r="V80" s="62"/>
      <c r="X80" s="75"/>
      <c r="Y80" s="62"/>
      <c r="Z80" s="62"/>
      <c r="AB80" s="62"/>
      <c r="AC80" s="62"/>
      <c r="AD80" s="62"/>
      <c r="AE80" s="62"/>
    </row>
    <row r="81" spans="2:31" x14ac:dyDescent="0.25">
      <c r="B81" s="62"/>
      <c r="C81" s="62"/>
      <c r="D81" s="62"/>
      <c r="E81" s="62"/>
      <c r="F81" s="62"/>
      <c r="G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T81" s="75"/>
      <c r="U81" s="62"/>
      <c r="V81" s="62"/>
      <c r="X81" s="75"/>
      <c r="Y81" s="62"/>
      <c r="Z81" s="62"/>
      <c r="AB81" s="62"/>
      <c r="AC81" s="62"/>
      <c r="AD81" s="62"/>
      <c r="AE81" s="62"/>
    </row>
    <row r="82" spans="2:31" x14ac:dyDescent="0.25">
      <c r="B82" s="62"/>
      <c r="C82" s="62"/>
      <c r="D82" s="62"/>
      <c r="E82" s="62"/>
      <c r="F82" s="62"/>
      <c r="G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T82" s="75"/>
      <c r="U82" s="62"/>
      <c r="V82" s="62"/>
      <c r="X82" s="75"/>
      <c r="Y82" s="62"/>
      <c r="Z82" s="62"/>
      <c r="AB82" s="62"/>
      <c r="AC82" s="62"/>
      <c r="AD82" s="62"/>
      <c r="AE82" s="62"/>
    </row>
    <row r="83" spans="2:31" x14ac:dyDescent="0.25">
      <c r="B83" s="62"/>
      <c r="C83" s="62"/>
      <c r="D83" s="62"/>
      <c r="E83" s="62"/>
      <c r="F83" s="62"/>
      <c r="G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T83" s="75"/>
      <c r="U83" s="62"/>
      <c r="V83" s="62"/>
      <c r="X83" s="75"/>
      <c r="Y83" s="62"/>
      <c r="Z83" s="62"/>
      <c r="AB83" s="62"/>
      <c r="AC83" s="62"/>
      <c r="AD83" s="62"/>
      <c r="AE83" s="62"/>
    </row>
    <row r="84" spans="2:31" x14ac:dyDescent="0.25">
      <c r="B84" s="62"/>
      <c r="C84" s="62"/>
      <c r="D84" s="62"/>
      <c r="E84" s="62"/>
      <c r="F84" s="62"/>
      <c r="G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T84" s="75"/>
      <c r="U84" s="62"/>
      <c r="V84" s="62"/>
      <c r="X84" s="75"/>
      <c r="Y84" s="62"/>
      <c r="Z84" s="62"/>
      <c r="AB84" s="62"/>
      <c r="AC84" s="62"/>
      <c r="AD84" s="62"/>
      <c r="AE84" s="62"/>
    </row>
    <row r="85" spans="2:31" x14ac:dyDescent="0.25">
      <c r="B85" s="62"/>
      <c r="C85" s="62"/>
      <c r="D85" s="62"/>
      <c r="E85" s="62"/>
      <c r="F85" s="62"/>
      <c r="G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T85" s="75"/>
      <c r="U85" s="62"/>
      <c r="V85" s="62"/>
      <c r="X85" s="75"/>
      <c r="Y85" s="62"/>
      <c r="Z85" s="62"/>
      <c r="AB85" s="62"/>
      <c r="AC85" s="62"/>
      <c r="AD85" s="62"/>
      <c r="AE85" s="62"/>
    </row>
    <row r="86" spans="2:31" x14ac:dyDescent="0.25">
      <c r="B86" s="62"/>
      <c r="C86" s="62"/>
      <c r="D86" s="62"/>
      <c r="E86" s="62"/>
      <c r="F86" s="62"/>
      <c r="G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T86" s="75"/>
      <c r="U86" s="62"/>
      <c r="V86" s="62"/>
      <c r="X86" s="75"/>
      <c r="Y86" s="62"/>
      <c r="Z86" s="62"/>
      <c r="AB86" s="62"/>
      <c r="AC86" s="62"/>
      <c r="AD86" s="62"/>
      <c r="AE86" s="62"/>
    </row>
    <row r="87" spans="2:31" x14ac:dyDescent="0.25">
      <c r="B87" s="62"/>
      <c r="C87" s="62"/>
      <c r="D87" s="62"/>
      <c r="E87" s="62"/>
      <c r="F87" s="62"/>
      <c r="G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T87" s="75"/>
      <c r="U87" s="62"/>
      <c r="V87" s="62"/>
      <c r="X87" s="75"/>
      <c r="Y87" s="62"/>
      <c r="Z87" s="62"/>
      <c r="AB87" s="62"/>
      <c r="AC87" s="62"/>
      <c r="AD87" s="62"/>
      <c r="AE87" s="62"/>
    </row>
    <row r="88" spans="2:31" x14ac:dyDescent="0.25">
      <c r="B88" s="62"/>
      <c r="C88" s="62"/>
      <c r="D88" s="62"/>
      <c r="E88" s="62"/>
      <c r="F88" s="62"/>
      <c r="G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T88" s="75"/>
      <c r="U88" s="62"/>
      <c r="V88" s="62"/>
      <c r="X88" s="75"/>
      <c r="Y88" s="62"/>
      <c r="Z88" s="62"/>
      <c r="AB88" s="62"/>
      <c r="AC88" s="62"/>
      <c r="AD88" s="62"/>
      <c r="AE88" s="62"/>
    </row>
    <row r="89" spans="2:31" x14ac:dyDescent="0.25">
      <c r="B89" s="62"/>
      <c r="C89" s="62"/>
      <c r="D89" s="62"/>
      <c r="E89" s="62"/>
      <c r="F89" s="62"/>
      <c r="G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T89" s="75"/>
      <c r="U89" s="62"/>
      <c r="V89" s="62"/>
      <c r="X89" s="75"/>
      <c r="Y89" s="62"/>
      <c r="Z89" s="62"/>
      <c r="AB89" s="62"/>
      <c r="AC89" s="62"/>
      <c r="AD89" s="62"/>
      <c r="AE89" s="62"/>
    </row>
    <row r="90" spans="2:31" x14ac:dyDescent="0.25">
      <c r="B90" s="62"/>
      <c r="C90" s="62"/>
      <c r="D90" s="62"/>
      <c r="E90" s="62"/>
      <c r="F90" s="62"/>
      <c r="G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T90" s="75"/>
      <c r="U90" s="62"/>
      <c r="V90" s="62"/>
      <c r="X90" s="75"/>
      <c r="Y90" s="62"/>
      <c r="Z90" s="62"/>
      <c r="AB90" s="62"/>
      <c r="AC90" s="62"/>
      <c r="AD90" s="62"/>
      <c r="AE90" s="62"/>
    </row>
    <row r="91" spans="2:31" x14ac:dyDescent="0.25">
      <c r="B91" s="62"/>
      <c r="C91" s="62"/>
      <c r="D91" s="62"/>
      <c r="E91" s="62"/>
      <c r="F91" s="62"/>
      <c r="G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T91" s="75"/>
      <c r="U91" s="62"/>
      <c r="V91" s="62"/>
      <c r="X91" s="75"/>
      <c r="Y91" s="62"/>
      <c r="Z91" s="62"/>
      <c r="AB91" s="62"/>
      <c r="AC91" s="62"/>
      <c r="AD91" s="62"/>
      <c r="AE91" s="62"/>
    </row>
    <row r="92" spans="2:31" x14ac:dyDescent="0.25">
      <c r="B92" s="62"/>
      <c r="C92" s="62"/>
      <c r="D92" s="62"/>
      <c r="E92" s="62"/>
      <c r="F92" s="62"/>
      <c r="G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T92" s="75"/>
      <c r="U92" s="62"/>
      <c r="V92" s="62"/>
      <c r="X92" s="75"/>
      <c r="Y92" s="62"/>
      <c r="Z92" s="62"/>
      <c r="AB92" s="62"/>
      <c r="AC92" s="62"/>
      <c r="AD92" s="62"/>
      <c r="AE92" s="62"/>
    </row>
    <row r="93" spans="2:31" x14ac:dyDescent="0.25">
      <c r="B93" s="62"/>
      <c r="C93" s="62"/>
      <c r="D93" s="62"/>
      <c r="E93" s="62"/>
      <c r="F93" s="62"/>
      <c r="G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T93" s="75"/>
      <c r="U93" s="62"/>
      <c r="V93" s="62"/>
      <c r="X93" s="75"/>
      <c r="Y93" s="62"/>
      <c r="Z93" s="62"/>
      <c r="AB93" s="62"/>
      <c r="AC93" s="62"/>
      <c r="AD93" s="62"/>
      <c r="AE93" s="62"/>
    </row>
    <row r="94" spans="2:31" x14ac:dyDescent="0.25">
      <c r="B94" s="62"/>
      <c r="C94" s="62"/>
      <c r="D94" s="62"/>
      <c r="E94" s="62"/>
      <c r="F94" s="62"/>
      <c r="G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T94" s="75"/>
      <c r="U94" s="62"/>
      <c r="V94" s="62"/>
      <c r="X94" s="75"/>
      <c r="Y94" s="62"/>
      <c r="Z94" s="62"/>
      <c r="AB94" s="62"/>
      <c r="AC94" s="62"/>
      <c r="AD94" s="62"/>
      <c r="AE94" s="62"/>
    </row>
    <row r="95" spans="2:31" x14ac:dyDescent="0.25">
      <c r="B95" s="62"/>
      <c r="C95" s="62"/>
      <c r="D95" s="62"/>
      <c r="E95" s="62"/>
      <c r="F95" s="62"/>
      <c r="G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T95" s="75"/>
      <c r="U95" s="62"/>
      <c r="V95" s="62"/>
      <c r="X95" s="75"/>
      <c r="Y95" s="62"/>
      <c r="Z95" s="62"/>
      <c r="AB95" s="62"/>
      <c r="AC95" s="62"/>
      <c r="AD95" s="62"/>
      <c r="AE95" s="62"/>
    </row>
    <row r="96" spans="2:31" x14ac:dyDescent="0.25">
      <c r="B96" s="62"/>
      <c r="C96" s="62"/>
      <c r="D96" s="62"/>
      <c r="E96" s="62"/>
      <c r="F96" s="62"/>
      <c r="G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T96" s="75"/>
      <c r="U96" s="62"/>
      <c r="V96" s="62"/>
      <c r="X96" s="75"/>
      <c r="Y96" s="62"/>
      <c r="Z96" s="62"/>
      <c r="AB96" s="62"/>
      <c r="AC96" s="62"/>
      <c r="AD96" s="62"/>
      <c r="AE96" s="62"/>
    </row>
    <row r="97" spans="2:31" x14ac:dyDescent="0.25">
      <c r="B97" s="62"/>
      <c r="C97" s="62"/>
      <c r="D97" s="62"/>
      <c r="E97" s="62"/>
      <c r="F97" s="62"/>
      <c r="G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T97" s="75"/>
      <c r="U97" s="62"/>
      <c r="V97" s="62"/>
      <c r="X97" s="75"/>
      <c r="Y97" s="62"/>
      <c r="Z97" s="62"/>
      <c r="AB97" s="62"/>
      <c r="AC97" s="62"/>
      <c r="AD97" s="62"/>
      <c r="AE97" s="62"/>
    </row>
    <row r="98" spans="2:31" x14ac:dyDescent="0.25">
      <c r="B98" s="62"/>
      <c r="C98" s="62"/>
      <c r="D98" s="62"/>
      <c r="E98" s="62"/>
      <c r="F98" s="62"/>
      <c r="G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T98" s="75"/>
      <c r="U98" s="62"/>
      <c r="V98" s="62"/>
      <c r="X98" s="75"/>
      <c r="Y98" s="62"/>
      <c r="Z98" s="62"/>
      <c r="AB98" s="62"/>
      <c r="AC98" s="62"/>
      <c r="AD98" s="62"/>
      <c r="AE98" s="62"/>
    </row>
    <row r="99" spans="2:31" x14ac:dyDescent="0.25">
      <c r="B99" s="62"/>
      <c r="C99" s="62"/>
      <c r="D99" s="62"/>
      <c r="E99" s="62"/>
      <c r="F99" s="62"/>
      <c r="G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T99" s="75"/>
      <c r="U99" s="62"/>
      <c r="V99" s="62"/>
      <c r="X99" s="75"/>
      <c r="Y99" s="62"/>
      <c r="Z99" s="62"/>
      <c r="AB99" s="62"/>
      <c r="AC99" s="62"/>
      <c r="AD99" s="62"/>
      <c r="AE99" s="62"/>
    </row>
    <row r="100" spans="2:31" x14ac:dyDescent="0.25">
      <c r="B100" s="62"/>
      <c r="C100" s="62"/>
      <c r="D100" s="62"/>
      <c r="E100" s="62"/>
      <c r="F100" s="62"/>
      <c r="G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T100" s="75"/>
      <c r="U100" s="62"/>
      <c r="V100" s="62"/>
      <c r="X100" s="75"/>
      <c r="Y100" s="62"/>
      <c r="Z100" s="62"/>
      <c r="AB100" s="62"/>
      <c r="AC100" s="62"/>
      <c r="AD100" s="62"/>
      <c r="AE100" s="62"/>
    </row>
    <row r="101" spans="2:31" x14ac:dyDescent="0.25">
      <c r="B101" s="62"/>
      <c r="C101" s="62"/>
      <c r="D101" s="62"/>
      <c r="E101" s="62"/>
      <c r="F101" s="62"/>
      <c r="G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T101" s="75"/>
      <c r="U101" s="62"/>
      <c r="V101" s="62"/>
      <c r="X101" s="75"/>
      <c r="Y101" s="62"/>
      <c r="Z101" s="62"/>
      <c r="AB101" s="62"/>
      <c r="AC101" s="62"/>
      <c r="AD101" s="62"/>
      <c r="AE101" s="62"/>
    </row>
    <row r="102" spans="2:31" x14ac:dyDescent="0.25">
      <c r="B102" s="62"/>
      <c r="C102" s="62"/>
      <c r="D102" s="62"/>
      <c r="E102" s="62"/>
      <c r="F102" s="62"/>
      <c r="G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T102" s="75"/>
      <c r="U102" s="62"/>
      <c r="V102" s="62"/>
      <c r="X102" s="75"/>
      <c r="Y102" s="62"/>
      <c r="Z102" s="62"/>
      <c r="AB102" s="62"/>
      <c r="AC102" s="62"/>
      <c r="AD102" s="62"/>
      <c r="AE102" s="62"/>
    </row>
    <row r="103" spans="2:31" x14ac:dyDescent="0.25">
      <c r="B103" s="62"/>
      <c r="C103" s="62"/>
      <c r="D103" s="62"/>
      <c r="E103" s="62"/>
      <c r="F103" s="62"/>
      <c r="G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T103" s="75"/>
      <c r="U103" s="62"/>
      <c r="V103" s="62"/>
      <c r="X103" s="75"/>
      <c r="Y103" s="62"/>
      <c r="Z103" s="62"/>
      <c r="AB103" s="62"/>
      <c r="AC103" s="62"/>
      <c r="AD103" s="62"/>
      <c r="AE103" s="62"/>
    </row>
    <row r="104" spans="2:31" x14ac:dyDescent="0.25">
      <c r="B104" s="62"/>
      <c r="C104" s="62"/>
      <c r="D104" s="62"/>
      <c r="E104" s="62"/>
      <c r="F104" s="62"/>
      <c r="G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T104" s="75"/>
      <c r="U104" s="62"/>
      <c r="V104" s="62"/>
      <c r="X104" s="75"/>
      <c r="Y104" s="62"/>
      <c r="Z104" s="62"/>
      <c r="AB104" s="62"/>
      <c r="AC104" s="62"/>
      <c r="AD104" s="62"/>
      <c r="AE104" s="62"/>
    </row>
  </sheetData>
  <autoFilter ref="B12:U37"/>
  <mergeCells count="8">
    <mergeCell ref="X11:Z11"/>
    <mergeCell ref="AB11:AE11"/>
    <mergeCell ref="C7:G7"/>
    <mergeCell ref="O11:R11"/>
    <mergeCell ref="T11:V11"/>
    <mergeCell ref="B11:G11"/>
    <mergeCell ref="I11:K11"/>
    <mergeCell ref="L11:N11"/>
  </mergeCells>
  <conditionalFormatting sqref="T13">
    <cfRule type="cellIs" dxfId="271" priority="53" operator="equal">
      <formula>"Testes utilizador"</formula>
    </cfRule>
  </conditionalFormatting>
  <conditionalFormatting sqref="T14:T17">
    <cfRule type="cellIs" dxfId="270" priority="48" operator="equal">
      <formula>"Testes utilizador"</formula>
    </cfRule>
  </conditionalFormatting>
  <conditionalFormatting sqref="T36">
    <cfRule type="cellIs" dxfId="269" priority="43" operator="equal">
      <formula>"Testes utilizador"</formula>
    </cfRule>
  </conditionalFormatting>
  <conditionalFormatting sqref="T37">
    <cfRule type="cellIs" dxfId="268" priority="38" operator="equal">
      <formula>"Testes utilizador"</formula>
    </cfRule>
  </conditionalFormatting>
  <conditionalFormatting sqref="T18">
    <cfRule type="cellIs" dxfId="267" priority="33" operator="equal">
      <formula>"Testes utilizador"</formula>
    </cfRule>
  </conditionalFormatting>
  <conditionalFormatting sqref="T19:T22">
    <cfRule type="cellIs" dxfId="266" priority="28" operator="equal">
      <formula>"Testes utilizador"</formula>
    </cfRule>
  </conditionalFormatting>
  <conditionalFormatting sqref="T23">
    <cfRule type="cellIs" dxfId="265" priority="23" operator="equal">
      <formula>"Testes utilizador"</formula>
    </cfRule>
  </conditionalFormatting>
  <conditionalFormatting sqref="T24:T35">
    <cfRule type="cellIs" dxfId="264" priority="18" operator="equal">
      <formula>"Testes utilizador"</formula>
    </cfRule>
  </conditionalFormatting>
  <dataValidations count="1">
    <dataValidation type="list" allowBlank="1" showInputMessage="1" showErrorMessage="1" sqref="M18:M22">
      <formula1>#REF!</formula1>
    </dataValidation>
  </dataValidations>
  <hyperlinks>
    <hyperlink ref="D18" location="'Regras Saldos Ativo'!A1" display="CAPITAL_VENCIDO"/>
    <hyperlink ref="D19:D22" location="'Regras Saldos Ativo'!A1" display="CAPITAL_VIVO"/>
    <hyperlink ref="D18:D22" location="'Regras Saldos Passivo'!A1" display="CAPITAL_VENCIDO"/>
  </hyperlink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4" operator="equal" id="{CF605032-0B3B-41C0-9F35-01EC49FE4B42}">
            <xm:f>'Tabelas AUX'!$E$8</xm:f>
            <x14:dxf>
              <font>
                <color theme="8"/>
              </font>
            </x14:dxf>
          </x14:cfRule>
          <xm:sqref>T38:T104</xm:sqref>
        </x14:conditionalFormatting>
        <x14:conditionalFormatting xmlns:xm="http://schemas.microsoft.com/office/excel/2006/main">
          <x14:cfRule type="cellIs" priority="65" operator="equal" id="{7A3855A4-499B-4538-81B6-63C09EC562B2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66" operator="equal" id="{D99A8943-DB64-4AAB-8303-3CAD3FD989EA}">
            <xm:f>'Tabelas AUX'!$E$5</xm:f>
            <x14:dxf>
              <font>
                <color rgb="FF00B050"/>
              </font>
            </x14:dxf>
          </x14:cfRule>
          <x14:cfRule type="cellIs" priority="67" operator="equal" id="{E84DEA01-B1E3-414B-8947-ABF67ADFB3FE}">
            <xm:f>'Tabelas AUX'!$E$4</xm:f>
            <x14:dxf>
              <font>
                <color rgb="FF7F7F7F"/>
              </font>
            </x14:dxf>
          </x14:cfRule>
          <x14:cfRule type="cellIs" priority="68" operator="equal" id="{630A8639-971F-4B65-8F53-D35AD7CAE9FA}">
            <xm:f>'Tabelas AUX'!$E$3</xm:f>
            <x14:dxf>
              <font>
                <color theme="5"/>
              </font>
            </x14:dxf>
          </x14:cfRule>
          <x14:cfRule type="cellIs" priority="69" operator="equal" id="{94536557-59B9-435F-901D-2F87E5188F8E}">
            <xm:f>'Tabelas AUX'!$E$2</xm:f>
            <x14:dxf>
              <font>
                <color rgb="FFC00000"/>
              </font>
            </x14:dxf>
          </x14:cfRule>
          <xm:sqref>T38:T104</xm:sqref>
        </x14:conditionalFormatting>
        <x14:conditionalFormatting xmlns:xm="http://schemas.microsoft.com/office/excel/2006/main">
          <x14:cfRule type="cellIs" priority="89" operator="equal" id="{5C9CB458-8528-483C-BEA4-789936B03BF7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94" operator="equal" id="{350DC14D-FF05-432C-BD47-D1EAC9AC58FC}">
            <xm:f>'Tabelas AUX'!$E$5</xm:f>
            <x14:dxf>
              <font>
                <color rgb="FF00B050"/>
              </font>
            </x14:dxf>
          </x14:cfRule>
          <xm:sqref>U35</xm:sqref>
        </x14:conditionalFormatting>
        <x14:conditionalFormatting xmlns:xm="http://schemas.microsoft.com/office/excel/2006/main">
          <x14:cfRule type="cellIs" priority="58" operator="equal" id="{E288457A-394F-4F46-830B-BA4AF6530A88}">
            <xm:f>'Tabelas AUX'!$E$8</xm:f>
            <x14:dxf>
              <font>
                <color theme="8"/>
              </font>
            </x14:dxf>
          </x14:cfRule>
          <x14:cfRule type="cellIs" priority="59" operator="equal" id="{4E1E1E5A-713E-4668-BF70-D5777A3BE0FF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60" operator="equal" id="{2CEE8FDF-8F14-4B0F-854E-28BC62D89B44}">
            <xm:f>'Tabelas AUX'!$E$5</xm:f>
            <x14:dxf>
              <font>
                <color rgb="FF00B050"/>
              </font>
            </x14:dxf>
          </x14:cfRule>
          <x14:cfRule type="cellIs" priority="61" operator="equal" id="{54344BAC-E22E-4E89-9584-85EBBA4326C0}">
            <xm:f>'Tabelas AUX'!$E$4</xm:f>
            <x14:dxf>
              <font>
                <color rgb="FF7F7F7F"/>
              </font>
            </x14:dxf>
          </x14:cfRule>
          <x14:cfRule type="cellIs" priority="62" operator="equal" id="{170C946C-170B-4FDA-A9C1-A64816B78382}">
            <xm:f>'Tabelas AUX'!$E$3</xm:f>
            <x14:dxf>
              <font>
                <color theme="5"/>
              </font>
            </x14:dxf>
          </x14:cfRule>
          <x14:cfRule type="cellIs" priority="63" operator="equal" id="{84FE4CEA-D1DC-436B-937C-A5D0E6199CB6}">
            <xm:f>'Tabelas AUX'!$E$2</xm:f>
            <x14:dxf>
              <font>
                <color rgb="FFC00000"/>
              </font>
            </x14:dxf>
          </x14:cfRule>
          <xm:sqref>X38:X104</xm:sqref>
        </x14:conditionalFormatting>
        <x14:conditionalFormatting xmlns:xm="http://schemas.microsoft.com/office/excel/2006/main">
          <x14:cfRule type="cellIs" priority="54" operator="equal" id="{EC2E41A6-54EC-4EEB-8272-D1CBE640BE88}">
            <xm:f>'Tabelas AUX'!$E$5</xm:f>
            <x14:dxf>
              <font>
                <color rgb="FF00B050"/>
              </font>
            </x14:dxf>
          </x14:cfRule>
          <x14:cfRule type="cellIs" priority="55" operator="equal" id="{9784A4D4-2248-4376-BEF1-0D2567093072}">
            <xm:f>'Tabelas AUX'!$E$4</xm:f>
            <x14:dxf>
              <font>
                <color rgb="FF7F7F7F"/>
              </font>
            </x14:dxf>
          </x14:cfRule>
          <x14:cfRule type="cellIs" priority="56" operator="equal" id="{4842DCC4-4357-4742-9FE9-EFF487F47EDB}">
            <xm:f>'Tabelas AUX'!$E$3</xm:f>
            <x14:dxf>
              <font>
                <color theme="5"/>
              </font>
            </x14:dxf>
          </x14:cfRule>
          <x14:cfRule type="cellIs" priority="57" operator="equal" id="{17D89B3A-A428-47BE-842B-FCF67B8BE60D}">
            <xm:f>'Tabelas AUX'!$E$2</xm:f>
            <x14:dxf>
              <font>
                <color rgb="FFC00000"/>
              </font>
            </x14:dxf>
          </x14:cfRule>
          <xm:sqref>T13</xm:sqref>
        </x14:conditionalFormatting>
        <x14:conditionalFormatting xmlns:xm="http://schemas.microsoft.com/office/excel/2006/main">
          <x14:cfRule type="cellIs" priority="49" operator="equal" id="{5AF8F57B-2A4A-47B3-8874-BA7669798BCB}">
            <xm:f>'Tabelas AUX'!$E$5</xm:f>
            <x14:dxf>
              <font>
                <color rgb="FF00B050"/>
              </font>
            </x14:dxf>
          </x14:cfRule>
          <x14:cfRule type="cellIs" priority="50" operator="equal" id="{9B132264-4D3E-444B-9BB8-B0F8AF8D1B38}">
            <xm:f>'Tabelas AUX'!$E$4</xm:f>
            <x14:dxf>
              <font>
                <color rgb="FF7F7F7F"/>
              </font>
            </x14:dxf>
          </x14:cfRule>
          <x14:cfRule type="cellIs" priority="51" operator="equal" id="{5B986A68-534D-4064-9990-54AC22A04236}">
            <xm:f>'Tabelas AUX'!$E$3</xm:f>
            <x14:dxf>
              <font>
                <color theme="5"/>
              </font>
            </x14:dxf>
          </x14:cfRule>
          <x14:cfRule type="cellIs" priority="52" operator="equal" id="{895786DC-0705-444F-A15A-07647D98D0FB}">
            <xm:f>'Tabelas AUX'!$E$2</xm:f>
            <x14:dxf>
              <font>
                <color rgb="FFC00000"/>
              </font>
            </x14:dxf>
          </x14:cfRule>
          <xm:sqref>T14:T17</xm:sqref>
        </x14:conditionalFormatting>
        <x14:conditionalFormatting xmlns:xm="http://schemas.microsoft.com/office/excel/2006/main">
          <x14:cfRule type="cellIs" priority="44" operator="equal" id="{AA9C164F-31D7-4278-9C0A-4FAA16CFEBE9}">
            <xm:f>'Tabelas AUX'!$E$5</xm:f>
            <x14:dxf>
              <font>
                <color rgb="FF00B050"/>
              </font>
            </x14:dxf>
          </x14:cfRule>
          <x14:cfRule type="cellIs" priority="45" operator="equal" id="{98BEC2B1-3595-4135-B99B-B6F68484A4CE}">
            <xm:f>'Tabelas AUX'!$E$4</xm:f>
            <x14:dxf>
              <font>
                <color rgb="FF7F7F7F"/>
              </font>
            </x14:dxf>
          </x14:cfRule>
          <x14:cfRule type="cellIs" priority="46" operator="equal" id="{894B2720-EDDE-4CE4-87A8-F7D47D24EA24}">
            <xm:f>'Tabelas AUX'!$E$3</xm:f>
            <x14:dxf>
              <font>
                <color theme="5"/>
              </font>
            </x14:dxf>
          </x14:cfRule>
          <x14:cfRule type="cellIs" priority="47" operator="equal" id="{89E01FDC-854D-43D9-AFB8-C215CD0A750A}">
            <xm:f>'Tabelas AUX'!$E$2</xm:f>
            <x14:dxf>
              <font>
                <color rgb="FFC00000"/>
              </font>
            </x14:dxf>
          </x14:cfRule>
          <xm:sqref>T36</xm:sqref>
        </x14:conditionalFormatting>
        <x14:conditionalFormatting xmlns:xm="http://schemas.microsoft.com/office/excel/2006/main">
          <x14:cfRule type="cellIs" priority="39" operator="equal" id="{791B6952-92EE-4795-9E48-44DAB2B00987}">
            <xm:f>'Tabelas AUX'!$E$5</xm:f>
            <x14:dxf>
              <font>
                <color rgb="FF00B050"/>
              </font>
            </x14:dxf>
          </x14:cfRule>
          <x14:cfRule type="cellIs" priority="40" operator="equal" id="{29E5BB74-3F75-4D61-B696-51AFFBB924B5}">
            <xm:f>'Tabelas AUX'!$E$4</xm:f>
            <x14:dxf>
              <font>
                <color rgb="FF7F7F7F"/>
              </font>
            </x14:dxf>
          </x14:cfRule>
          <x14:cfRule type="cellIs" priority="41" operator="equal" id="{C98013F8-B48C-4770-A811-9B2A1FEEE0AA}">
            <xm:f>'Tabelas AUX'!$E$3</xm:f>
            <x14:dxf>
              <font>
                <color theme="5"/>
              </font>
            </x14:dxf>
          </x14:cfRule>
          <x14:cfRule type="cellIs" priority="42" operator="equal" id="{BC726A29-96CB-4BA3-A37C-FF932079EE57}">
            <xm:f>'Tabelas AUX'!$E$2</xm:f>
            <x14:dxf>
              <font>
                <color rgb="FFC00000"/>
              </font>
            </x14:dxf>
          </x14:cfRule>
          <xm:sqref>T37</xm:sqref>
        </x14:conditionalFormatting>
        <x14:conditionalFormatting xmlns:xm="http://schemas.microsoft.com/office/excel/2006/main">
          <x14:cfRule type="cellIs" priority="34" operator="equal" id="{CA1D3575-0A65-4BBD-BB4F-0C5E2A4389F8}">
            <xm:f>'Tabelas AUX'!$E$5</xm:f>
            <x14:dxf>
              <font>
                <color rgb="FF00B050"/>
              </font>
            </x14:dxf>
          </x14:cfRule>
          <x14:cfRule type="cellIs" priority="35" operator="equal" id="{995D1FF4-28CE-44AA-AFA4-9D6F13C4B628}">
            <xm:f>'Tabelas AUX'!$E$4</xm:f>
            <x14:dxf>
              <font>
                <color rgb="FF7F7F7F"/>
              </font>
            </x14:dxf>
          </x14:cfRule>
          <x14:cfRule type="cellIs" priority="36" operator="equal" id="{87B23327-FC62-48FD-BF08-8D5D5F5F2F35}">
            <xm:f>'Tabelas AUX'!$E$3</xm:f>
            <x14:dxf>
              <font>
                <color theme="5"/>
              </font>
            </x14:dxf>
          </x14:cfRule>
          <x14:cfRule type="cellIs" priority="37" operator="equal" id="{D00D121E-34AF-4011-9E04-2472B7F5C638}">
            <xm:f>'Tabelas AUX'!$E$2</xm:f>
            <x14:dxf>
              <font>
                <color rgb="FFC00000"/>
              </font>
            </x14:dxf>
          </x14:cfRule>
          <xm:sqref>T18</xm:sqref>
        </x14:conditionalFormatting>
        <x14:conditionalFormatting xmlns:xm="http://schemas.microsoft.com/office/excel/2006/main">
          <x14:cfRule type="cellIs" priority="29" operator="equal" id="{DE55B68F-9416-4A2C-87D4-6748B1B50401}">
            <xm:f>'Tabelas AUX'!$E$5</xm:f>
            <x14:dxf>
              <font>
                <color rgb="FF00B050"/>
              </font>
            </x14:dxf>
          </x14:cfRule>
          <x14:cfRule type="cellIs" priority="30" operator="equal" id="{E263B892-6A5A-4C9D-9DCA-E718E0180B9B}">
            <xm:f>'Tabelas AUX'!$E$4</xm:f>
            <x14:dxf>
              <font>
                <color rgb="FF7F7F7F"/>
              </font>
            </x14:dxf>
          </x14:cfRule>
          <x14:cfRule type="cellIs" priority="31" operator="equal" id="{F9BF90DB-4B9F-4687-A2CD-1FE5072428F0}">
            <xm:f>'Tabelas AUX'!$E$3</xm:f>
            <x14:dxf>
              <font>
                <color theme="5"/>
              </font>
            </x14:dxf>
          </x14:cfRule>
          <x14:cfRule type="cellIs" priority="32" operator="equal" id="{56D5C1A1-BE00-4D23-8F43-8C036D7169C2}">
            <xm:f>'Tabelas AUX'!$E$2</xm:f>
            <x14:dxf>
              <font>
                <color rgb="FFC00000"/>
              </font>
            </x14:dxf>
          </x14:cfRule>
          <xm:sqref>T19:T22</xm:sqref>
        </x14:conditionalFormatting>
        <x14:conditionalFormatting xmlns:xm="http://schemas.microsoft.com/office/excel/2006/main">
          <x14:cfRule type="cellIs" priority="24" operator="equal" id="{E275539F-75DC-427C-B18A-E5E666F6D981}">
            <xm:f>'Tabelas AUX'!$E$5</xm:f>
            <x14:dxf>
              <font>
                <color rgb="FF00B050"/>
              </font>
            </x14:dxf>
          </x14:cfRule>
          <x14:cfRule type="cellIs" priority="25" operator="equal" id="{B0FEF32C-5642-4C26-BDB3-7C47F5F24060}">
            <xm:f>'Tabelas AUX'!$E$4</xm:f>
            <x14:dxf>
              <font>
                <color rgb="FF7F7F7F"/>
              </font>
            </x14:dxf>
          </x14:cfRule>
          <x14:cfRule type="cellIs" priority="26" operator="equal" id="{632ABC1A-6B23-4EA5-A369-FC00035924B4}">
            <xm:f>'Tabelas AUX'!$E$3</xm:f>
            <x14:dxf>
              <font>
                <color theme="5"/>
              </font>
            </x14:dxf>
          </x14:cfRule>
          <x14:cfRule type="cellIs" priority="27" operator="equal" id="{4C78C87D-92BB-4736-878E-743608E7E2CE}">
            <xm:f>'Tabelas AUX'!$E$2</xm:f>
            <x14:dxf>
              <font>
                <color rgb="FFC00000"/>
              </font>
            </x14:dxf>
          </x14:cfRule>
          <xm:sqref>T23</xm:sqref>
        </x14:conditionalFormatting>
        <x14:conditionalFormatting xmlns:xm="http://schemas.microsoft.com/office/excel/2006/main">
          <x14:cfRule type="cellIs" priority="19" operator="equal" id="{54C2CBB9-23F0-4F67-B25C-A01D8CFD50F4}">
            <xm:f>'Tabelas AUX'!$E$5</xm:f>
            <x14:dxf>
              <font>
                <color rgb="FF00B050"/>
              </font>
            </x14:dxf>
          </x14:cfRule>
          <x14:cfRule type="cellIs" priority="20" operator="equal" id="{DF9C222B-D898-4407-8C13-476FC082D6AE}">
            <xm:f>'Tabelas AUX'!$E$4</xm:f>
            <x14:dxf>
              <font>
                <color rgb="FF7F7F7F"/>
              </font>
            </x14:dxf>
          </x14:cfRule>
          <x14:cfRule type="cellIs" priority="21" operator="equal" id="{01B5F7EE-51EC-4358-B4AE-A8432EEBF882}">
            <xm:f>'Tabelas AUX'!$E$3</xm:f>
            <x14:dxf>
              <font>
                <color theme="5"/>
              </font>
            </x14:dxf>
          </x14:cfRule>
          <x14:cfRule type="cellIs" priority="22" operator="equal" id="{535F1056-820C-42C7-951E-AA4662BD3A7A}">
            <xm:f>'Tabelas AUX'!$E$2</xm:f>
            <x14:dxf>
              <font>
                <color rgb="FFC00000"/>
              </font>
            </x14:dxf>
          </x14:cfRule>
          <xm:sqref>T24:T35</xm:sqref>
        </x14:conditionalFormatting>
        <x14:conditionalFormatting xmlns:xm="http://schemas.microsoft.com/office/excel/2006/main">
          <x14:cfRule type="cellIs" priority="1" operator="equal" id="{35F54828-DFD2-4A78-98EC-F1167354B154}">
            <xm:f>'Tabelas AUX'!$E$8</xm:f>
            <x14:dxf>
              <font>
                <color theme="8"/>
              </font>
            </x14:dxf>
          </x14:cfRule>
          <x14:cfRule type="cellIs" priority="2" operator="equal" id="{3B0E5508-2F40-4EE6-9521-588DE40CBC92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3" operator="equal" id="{0F72D9E4-2B3D-4D66-8710-FF2D4F554AD9}">
            <xm:f>'Tabelas AUX'!$E$5</xm:f>
            <x14:dxf>
              <font>
                <color rgb="FF00B050"/>
              </font>
            </x14:dxf>
          </x14:cfRule>
          <x14:cfRule type="cellIs" priority="4" operator="equal" id="{57D2E4ED-304F-4BB2-9B2B-9EFCB2BDD97F}">
            <xm:f>'Tabelas AUX'!$E$4</xm:f>
            <x14:dxf>
              <font>
                <color rgb="FF7F7F7F"/>
              </font>
            </x14:dxf>
          </x14:cfRule>
          <x14:cfRule type="cellIs" priority="5" operator="equal" id="{3BCDF181-5601-4668-9B2B-EE4F8D532640}">
            <xm:f>'Tabelas AUX'!$E$3</xm:f>
            <x14:dxf>
              <font>
                <color theme="5"/>
              </font>
            </x14:dxf>
          </x14:cfRule>
          <x14:cfRule type="cellIs" priority="6" operator="equal" id="{7C085A38-A761-4899-BB8E-834B760CD0EB}">
            <xm:f>'Tabelas AUX'!$E$2</xm:f>
            <x14:dxf>
              <font>
                <color rgb="FFC00000"/>
              </font>
            </x14:dxf>
          </x14:cfRule>
          <xm:sqref>X14:X37</xm:sqref>
        </x14:conditionalFormatting>
        <x14:conditionalFormatting xmlns:xm="http://schemas.microsoft.com/office/excel/2006/main">
          <x14:cfRule type="cellIs" priority="7" operator="equal" id="{6BD165EF-BCF0-4C9D-9E3C-A0085DE61F2B}">
            <xm:f>'Tabelas AUX'!$E$8</xm:f>
            <x14:dxf>
              <font>
                <color theme="8"/>
              </font>
            </x14:dxf>
          </x14:cfRule>
          <x14:cfRule type="cellIs" priority="8" operator="equal" id="{21EBFF8D-9A1D-42A0-BF03-E6AF5172DED7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9" operator="equal" id="{8F144E51-A3E0-40AB-BA30-ABB27E10BF35}">
            <xm:f>'Tabelas AUX'!$E$5</xm:f>
            <x14:dxf>
              <font>
                <color rgb="FF00B050"/>
              </font>
            </x14:dxf>
          </x14:cfRule>
          <x14:cfRule type="cellIs" priority="10" operator="equal" id="{35CCA8D2-63FD-4527-B518-7533A836FBA6}">
            <xm:f>'Tabelas AUX'!$E$4</xm:f>
            <x14:dxf>
              <font>
                <color rgb="FF7F7F7F"/>
              </font>
            </x14:dxf>
          </x14:cfRule>
          <x14:cfRule type="cellIs" priority="11" operator="equal" id="{0CF8E035-3805-4608-A45A-2D090C9B52D5}">
            <xm:f>'Tabelas AUX'!$E$3</xm:f>
            <x14:dxf>
              <font>
                <color theme="5"/>
              </font>
            </x14:dxf>
          </x14:cfRule>
          <x14:cfRule type="cellIs" priority="12" operator="equal" id="{92D34B15-442C-40FF-91BB-9933A06E8373}">
            <xm:f>'Tabelas AUX'!$E$2</xm:f>
            <x14:dxf>
              <font>
                <color rgb="FFC00000"/>
              </font>
            </x14:dxf>
          </x14:cfRule>
          <xm:sqref>X13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'Tabelas AUX'!$E$2:$E$5</xm:f>
          </x14:formula1>
          <xm:sqref>T13:T37</xm:sqref>
        </x14:dataValidation>
        <x14:dataValidation type="list" allowBlank="1" showInputMessage="1" showErrorMessage="1">
          <x14:formula1>
            <xm:f>'Tabelas AUX'!$G$2:$G$13</xm:f>
          </x14:formula1>
          <xm:sqref>X13:X37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autoPageBreaks="0"/>
  </sheetPr>
  <dimension ref="A1:AD77"/>
  <sheetViews>
    <sheetView showGridLines="0" topLeftCell="S1" zoomScale="85" zoomScaleNormal="85" workbookViewId="0">
      <pane ySplit="12" topLeftCell="A13" activePane="bottomLeft" state="frozen"/>
      <selection activeCell="M69" sqref="M69"/>
      <selection pane="bottomLeft" activeCell="AA12" sqref="AA12:AC12"/>
    </sheetView>
  </sheetViews>
  <sheetFormatPr defaultRowHeight="15" outlineLevelRow="1" outlineLevelCol="1" x14ac:dyDescent="0.25"/>
  <cols>
    <col min="1" max="1" width="3.7109375" customWidth="1"/>
    <col min="2" max="2" width="30.28515625" customWidth="1"/>
    <col min="3" max="3" width="9.42578125" bestFit="1" customWidth="1"/>
    <col min="4" max="4" width="27.5703125" bestFit="1" customWidth="1"/>
    <col min="5" max="5" width="17" bestFit="1" customWidth="1"/>
    <col min="6" max="6" width="44.28515625" bestFit="1" customWidth="1"/>
    <col min="7" max="7" width="12.7109375" customWidth="1"/>
    <col min="8" max="8" width="2" customWidth="1"/>
    <col min="9" max="9" width="27.85546875" hidden="1" customWidth="1" outlineLevel="1"/>
    <col min="10" max="10" width="26.85546875" hidden="1" customWidth="1" outlineLevel="1"/>
    <col min="11" max="11" width="21" hidden="1" customWidth="1" outlineLevel="1"/>
    <col min="12" max="12" width="29.28515625" bestFit="1" customWidth="1" collapsed="1"/>
    <col min="13" max="13" width="28.85546875" customWidth="1"/>
    <col min="14" max="14" width="24.42578125" customWidth="1"/>
    <col min="15" max="15" width="20.28515625" hidden="1" customWidth="1" outlineLevel="1"/>
    <col min="16" max="17" width="42.42578125" hidden="1" customWidth="1" outlineLevel="1"/>
    <col min="18" max="18" width="30.5703125" hidden="1" customWidth="1" outlineLevel="1"/>
    <col min="19" max="19" width="2.140625" customWidth="1" collapsed="1"/>
    <col min="20" max="20" width="14.140625" customWidth="1" outlineLevel="1"/>
    <col min="21" max="21" width="15.42578125" customWidth="1" outlineLevel="1"/>
    <col min="22" max="22" width="42.7109375" customWidth="1" outlineLevel="1"/>
    <col min="23" max="23" width="2.140625" customWidth="1"/>
    <col min="24" max="24" width="10.28515625" customWidth="1" outlineLevel="1"/>
    <col min="25" max="25" width="24.85546875" customWidth="1" outlineLevel="1"/>
    <col min="26" max="29" width="22.5703125" customWidth="1" outlineLevel="1"/>
    <col min="30" max="30" width="11.28515625" customWidth="1" outlineLevel="1"/>
  </cols>
  <sheetData>
    <row r="1" spans="1:30" ht="15" customHeight="1" x14ac:dyDescent="0.25">
      <c r="B1" s="47"/>
      <c r="C1" s="47"/>
      <c r="D1" s="47"/>
      <c r="F1" s="47"/>
      <c r="G1" s="47"/>
    </row>
    <row r="2" spans="1:30" ht="34.5" customHeight="1" x14ac:dyDescent="0.25">
      <c r="B2" s="47"/>
      <c r="C2" s="47"/>
      <c r="D2" s="48"/>
      <c r="F2" s="47"/>
      <c r="G2" s="47"/>
    </row>
    <row r="3" spans="1:30" ht="2.25" customHeight="1" x14ac:dyDescent="0.25">
      <c r="A3" s="20"/>
      <c r="B3" s="49"/>
      <c r="C3" s="49"/>
      <c r="D3" s="49"/>
      <c r="E3" s="49"/>
      <c r="F3" s="49"/>
      <c r="G3" s="49"/>
    </row>
    <row r="4" spans="1:30" ht="15" customHeight="1" x14ac:dyDescent="0.25">
      <c r="B4" s="47"/>
      <c r="C4" s="47"/>
      <c r="D4" s="47"/>
      <c r="F4" s="47"/>
      <c r="G4" s="47"/>
    </row>
    <row r="5" spans="1:30" ht="15" customHeight="1" x14ac:dyDescent="0.25">
      <c r="B5" s="50" t="s">
        <v>1503</v>
      </c>
      <c r="C5" s="50"/>
      <c r="D5" s="47"/>
      <c r="F5" s="47"/>
      <c r="G5" s="47"/>
    </row>
    <row r="6" spans="1:30" ht="15" customHeight="1" x14ac:dyDescent="0.25">
      <c r="B6" s="47"/>
      <c r="C6" s="47"/>
      <c r="D6" s="47"/>
      <c r="F6" s="47"/>
      <c r="G6" s="47"/>
    </row>
    <row r="7" spans="1:30" ht="87.75" customHeight="1" outlineLevel="1" x14ac:dyDescent="0.25">
      <c r="B7" s="51" t="s">
        <v>65</v>
      </c>
      <c r="C7" s="222" t="s">
        <v>1504</v>
      </c>
      <c r="D7" s="222"/>
      <c r="E7" s="222"/>
      <c r="F7" s="222"/>
      <c r="G7" s="222"/>
      <c r="H7" s="52"/>
      <c r="I7" s="52"/>
      <c r="S7" s="52"/>
      <c r="W7" s="52"/>
      <c r="X7" s="52"/>
    </row>
    <row r="8" spans="1:30" ht="15" customHeight="1" outlineLevel="1" x14ac:dyDescent="0.25">
      <c r="B8" s="47"/>
      <c r="C8" s="47"/>
      <c r="D8" s="47"/>
      <c r="F8" s="47"/>
      <c r="G8" s="47"/>
    </row>
    <row r="9" spans="1:30" ht="15" customHeight="1" outlineLevel="1" x14ac:dyDescent="0.25">
      <c r="B9" s="47"/>
      <c r="C9" s="47"/>
      <c r="D9" s="47"/>
      <c r="F9" s="47"/>
      <c r="G9" s="47"/>
    </row>
    <row r="10" spans="1:30" ht="15" customHeight="1" outlineLevel="1" x14ac:dyDescent="0.25">
      <c r="B10" s="47"/>
      <c r="C10" s="47"/>
      <c r="D10" s="47"/>
      <c r="F10" s="47"/>
      <c r="G10" s="47"/>
    </row>
    <row r="11" spans="1:30" x14ac:dyDescent="0.25">
      <c r="B11" s="212" t="s">
        <v>67</v>
      </c>
      <c r="C11" s="213"/>
      <c r="D11" s="213"/>
      <c r="E11" s="213"/>
      <c r="F11" s="213"/>
      <c r="G11" s="214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  <c r="X11" s="207" t="s">
        <v>72</v>
      </c>
      <c r="Y11" s="208"/>
      <c r="Z11" s="208"/>
      <c r="AA11" s="208"/>
      <c r="AB11" s="208"/>
      <c r="AC11" s="208"/>
      <c r="AD11" s="209"/>
    </row>
    <row r="12" spans="1:30" ht="15.75" customHeight="1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  <c r="X12" s="61" t="s">
        <v>86</v>
      </c>
      <c r="Y12" s="61" t="s">
        <v>89</v>
      </c>
      <c r="Z12" s="61" t="s">
        <v>90</v>
      </c>
      <c r="AA12" s="61" t="s">
        <v>166</v>
      </c>
      <c r="AB12" s="61" t="s">
        <v>167</v>
      </c>
      <c r="AC12" s="61" t="s">
        <v>168</v>
      </c>
      <c r="AD12" s="61" t="s">
        <v>88</v>
      </c>
    </row>
    <row r="13" spans="1:30" ht="16.5" customHeight="1" x14ac:dyDescent="0.25">
      <c r="B13" s="70" t="s">
        <v>59</v>
      </c>
      <c r="C13" s="70">
        <v>1</v>
      </c>
      <c r="D13" s="70" t="s">
        <v>1505</v>
      </c>
      <c r="E13" s="70" t="s">
        <v>225</v>
      </c>
      <c r="F13" s="70" t="s">
        <v>1506</v>
      </c>
      <c r="G13" s="73"/>
      <c r="H13" s="47"/>
      <c r="I13" s="70"/>
      <c r="J13" s="70"/>
      <c r="K13" s="70"/>
      <c r="L13" s="70" t="s">
        <v>29</v>
      </c>
      <c r="M13" s="70" t="s">
        <v>51</v>
      </c>
      <c r="N13" s="70" t="s">
        <v>1505</v>
      </c>
      <c r="O13" s="70"/>
      <c r="P13" s="70"/>
      <c r="Q13" s="70"/>
      <c r="R13" s="70"/>
      <c r="S13" s="47"/>
      <c r="T13" s="75" t="s">
        <v>97</v>
      </c>
      <c r="U13" s="69">
        <v>44861</v>
      </c>
      <c r="V13" s="72" t="s">
        <v>1507</v>
      </c>
      <c r="W13" s="47"/>
      <c r="X13" s="75"/>
      <c r="Y13" s="69"/>
      <c r="Z13" s="69"/>
      <c r="AA13" s="69"/>
      <c r="AB13" s="69"/>
      <c r="AC13" s="69"/>
      <c r="AD13" s="69"/>
    </row>
    <row r="14" spans="1:30" x14ac:dyDescent="0.25">
      <c r="B14" s="70" t="s">
        <v>59</v>
      </c>
      <c r="C14" s="70">
        <v>2</v>
      </c>
      <c r="D14" s="157" t="s">
        <v>1508</v>
      </c>
      <c r="E14" s="157" t="s">
        <v>93</v>
      </c>
      <c r="F14" s="157" t="s">
        <v>662</v>
      </c>
      <c r="G14" s="73"/>
      <c r="H14" s="47"/>
      <c r="I14" s="70"/>
      <c r="J14" s="70"/>
      <c r="K14" s="70"/>
      <c r="L14" s="70" t="s">
        <v>29</v>
      </c>
      <c r="M14" s="70" t="s">
        <v>40</v>
      </c>
      <c r="N14" s="157" t="s">
        <v>661</v>
      </c>
      <c r="O14" s="70"/>
      <c r="P14" s="70"/>
      <c r="Q14" s="70"/>
      <c r="R14" s="70"/>
      <c r="S14" s="47"/>
      <c r="T14" s="75" t="s">
        <v>97</v>
      </c>
      <c r="U14" s="69">
        <v>44883</v>
      </c>
      <c r="V14" s="72"/>
      <c r="W14" s="47"/>
      <c r="X14" s="75"/>
      <c r="Y14" s="69"/>
      <c r="Z14" s="69"/>
      <c r="AA14" s="69"/>
      <c r="AB14" s="69"/>
      <c r="AC14" s="69"/>
      <c r="AD14" s="69"/>
    </row>
    <row r="15" spans="1:30" x14ac:dyDescent="0.25">
      <c r="B15" s="70" t="s">
        <v>59</v>
      </c>
      <c r="C15" s="70">
        <v>3</v>
      </c>
      <c r="D15" s="157" t="s">
        <v>1509</v>
      </c>
      <c r="E15" s="157" t="s">
        <v>93</v>
      </c>
      <c r="F15" s="157" t="s">
        <v>647</v>
      </c>
      <c r="G15" s="70"/>
      <c r="H15" s="47"/>
      <c r="I15" s="70"/>
      <c r="J15" s="70"/>
      <c r="K15" s="70"/>
      <c r="L15" s="70" t="s">
        <v>29</v>
      </c>
      <c r="M15" s="70" t="s">
        <v>40</v>
      </c>
      <c r="N15" s="157" t="s">
        <v>646</v>
      </c>
      <c r="O15" s="70"/>
      <c r="P15" s="70"/>
      <c r="Q15" s="70"/>
      <c r="R15" s="70"/>
      <c r="S15" s="47"/>
      <c r="T15" s="75" t="s">
        <v>97</v>
      </c>
      <c r="U15" s="69">
        <v>44883</v>
      </c>
      <c r="V15" s="72"/>
      <c r="W15" s="47"/>
      <c r="X15" s="75"/>
      <c r="Y15" s="69"/>
      <c r="Z15" s="69"/>
      <c r="AA15" s="69"/>
      <c r="AB15" s="69"/>
      <c r="AC15" s="69"/>
      <c r="AD15" s="69"/>
    </row>
    <row r="16" spans="1:30" x14ac:dyDescent="0.25">
      <c r="B16" s="70" t="s">
        <v>59</v>
      </c>
      <c r="C16" s="70">
        <v>4</v>
      </c>
      <c r="D16" s="157" t="s">
        <v>1510</v>
      </c>
      <c r="E16" s="157" t="s">
        <v>93</v>
      </c>
      <c r="F16" s="157" t="s">
        <v>649</v>
      </c>
      <c r="G16" s="70"/>
      <c r="H16" s="47"/>
      <c r="I16" s="70"/>
      <c r="J16" s="70"/>
      <c r="K16" s="70"/>
      <c r="L16" s="70" t="s">
        <v>29</v>
      </c>
      <c r="M16" s="70" t="s">
        <v>40</v>
      </c>
      <c r="N16" s="157" t="s">
        <v>648</v>
      </c>
      <c r="O16" s="70"/>
      <c r="P16" s="70"/>
      <c r="Q16" s="70"/>
      <c r="R16" s="70"/>
      <c r="S16" s="47"/>
      <c r="T16" s="75" t="s">
        <v>97</v>
      </c>
      <c r="U16" s="69">
        <v>44883</v>
      </c>
      <c r="V16" s="72"/>
      <c r="W16" s="47"/>
      <c r="X16" s="75"/>
      <c r="Y16" s="69"/>
      <c r="Z16" s="69"/>
      <c r="AA16" s="69"/>
      <c r="AB16" s="69"/>
      <c r="AC16" s="69"/>
      <c r="AD16" s="69"/>
    </row>
    <row r="17" spans="2:30" ht="30" x14ac:dyDescent="0.25">
      <c r="B17" s="70" t="s">
        <v>59</v>
      </c>
      <c r="C17" s="70">
        <v>5</v>
      </c>
      <c r="D17" s="157" t="s">
        <v>1511</v>
      </c>
      <c r="E17" s="157" t="s">
        <v>93</v>
      </c>
      <c r="F17" s="157" t="s">
        <v>651</v>
      </c>
      <c r="G17" s="70"/>
      <c r="H17" s="47"/>
      <c r="I17" s="70"/>
      <c r="J17" s="70"/>
      <c r="K17" s="70"/>
      <c r="L17" s="70" t="s">
        <v>29</v>
      </c>
      <c r="M17" s="70" t="s">
        <v>40</v>
      </c>
      <c r="N17" s="157" t="s">
        <v>650</v>
      </c>
      <c r="O17" s="70"/>
      <c r="P17" s="70"/>
      <c r="Q17" s="70"/>
      <c r="R17" s="70"/>
      <c r="S17" s="47"/>
      <c r="T17" s="75" t="s">
        <v>97</v>
      </c>
      <c r="U17" s="69">
        <v>44883</v>
      </c>
      <c r="V17" s="72"/>
      <c r="W17" s="47"/>
      <c r="X17" s="75"/>
      <c r="Y17" s="69"/>
      <c r="Z17" s="69"/>
      <c r="AA17" s="69"/>
      <c r="AB17" s="69"/>
      <c r="AC17" s="69"/>
      <c r="AD17" s="69"/>
    </row>
    <row r="18" spans="2:30" x14ac:dyDescent="0.25">
      <c r="B18" s="70" t="s">
        <v>59</v>
      </c>
      <c r="C18" s="70">
        <v>6</v>
      </c>
      <c r="D18" s="157" t="s">
        <v>1512</v>
      </c>
      <c r="E18" s="157" t="s">
        <v>93</v>
      </c>
      <c r="F18" s="157" t="s">
        <v>666</v>
      </c>
      <c r="G18" s="70"/>
      <c r="H18" s="47"/>
      <c r="I18" s="70"/>
      <c r="J18" s="70"/>
      <c r="K18" s="70"/>
      <c r="L18" s="70" t="s">
        <v>29</v>
      </c>
      <c r="M18" s="70" t="s">
        <v>40</v>
      </c>
      <c r="N18" s="157" t="s">
        <v>665</v>
      </c>
      <c r="O18" s="70"/>
      <c r="P18" s="70"/>
      <c r="Q18" s="70"/>
      <c r="R18" s="70"/>
      <c r="S18" s="47"/>
      <c r="T18" s="75" t="s">
        <v>97</v>
      </c>
      <c r="U18" s="69">
        <v>44883</v>
      </c>
      <c r="V18" s="72"/>
      <c r="W18" s="47"/>
      <c r="X18" s="75"/>
      <c r="Y18" s="69"/>
      <c r="Z18" s="69"/>
      <c r="AA18" s="69"/>
      <c r="AB18" s="69"/>
      <c r="AC18" s="69"/>
      <c r="AD18" s="69"/>
    </row>
    <row r="19" spans="2:30" x14ac:dyDescent="0.25">
      <c r="B19" s="70" t="s">
        <v>59</v>
      </c>
      <c r="C19" s="70">
        <v>7</v>
      </c>
      <c r="D19" s="157" t="s">
        <v>1513</v>
      </c>
      <c r="E19" s="157" t="s">
        <v>93</v>
      </c>
      <c r="F19" s="157" t="s">
        <v>655</v>
      </c>
      <c r="G19" s="70"/>
      <c r="H19" s="47"/>
      <c r="I19" s="70"/>
      <c r="J19" s="70"/>
      <c r="K19" s="70"/>
      <c r="L19" s="70" t="s">
        <v>29</v>
      </c>
      <c r="M19" s="70" t="s">
        <v>40</v>
      </c>
      <c r="N19" s="157" t="s">
        <v>654</v>
      </c>
      <c r="O19" s="70"/>
      <c r="P19" s="70"/>
      <c r="Q19" s="70"/>
      <c r="R19" s="70"/>
      <c r="S19" s="47"/>
      <c r="T19" s="75" t="s">
        <v>97</v>
      </c>
      <c r="U19" s="69">
        <v>44883</v>
      </c>
      <c r="V19" s="72"/>
      <c r="W19" s="47"/>
      <c r="X19" s="75"/>
      <c r="Y19" s="69"/>
      <c r="Z19" s="69"/>
      <c r="AA19" s="69"/>
      <c r="AB19" s="69"/>
      <c r="AC19" s="69"/>
      <c r="AD19" s="69"/>
    </row>
    <row r="20" spans="2:30" x14ac:dyDescent="0.25">
      <c r="B20" s="70" t="s">
        <v>59</v>
      </c>
      <c r="C20" s="70">
        <v>8</v>
      </c>
      <c r="D20" s="157" t="s">
        <v>1514</v>
      </c>
      <c r="E20" s="157" t="s">
        <v>113</v>
      </c>
      <c r="F20" s="157" t="s">
        <v>660</v>
      </c>
      <c r="G20" s="70"/>
      <c r="H20" s="47"/>
      <c r="I20" s="70"/>
      <c r="J20" s="70"/>
      <c r="K20" s="70"/>
      <c r="L20" s="70" t="s">
        <v>29</v>
      </c>
      <c r="M20" s="70" t="s">
        <v>40</v>
      </c>
      <c r="N20" s="157" t="s">
        <v>659</v>
      </c>
      <c r="O20" s="70"/>
      <c r="P20" s="70"/>
      <c r="Q20" s="70"/>
      <c r="R20" s="70"/>
      <c r="S20" s="47"/>
      <c r="T20" s="75" t="s">
        <v>97</v>
      </c>
      <c r="U20" s="69">
        <v>44883</v>
      </c>
      <c r="V20" s="72"/>
      <c r="W20" s="47"/>
      <c r="X20" s="75"/>
      <c r="Y20" s="69"/>
      <c r="Z20" s="69"/>
      <c r="AA20" s="69"/>
      <c r="AB20" s="69"/>
      <c r="AC20" s="69"/>
      <c r="AD20" s="69"/>
    </row>
    <row r="21" spans="2:30" x14ac:dyDescent="0.25">
      <c r="B21" s="70" t="s">
        <v>59</v>
      </c>
      <c r="C21" s="70">
        <v>9</v>
      </c>
      <c r="D21" s="157" t="s">
        <v>1515</v>
      </c>
      <c r="E21" s="157" t="s">
        <v>113</v>
      </c>
      <c r="F21" s="157" t="s">
        <v>653</v>
      </c>
      <c r="G21" s="70"/>
      <c r="H21" s="47"/>
      <c r="I21" s="70"/>
      <c r="J21" s="70"/>
      <c r="K21" s="70"/>
      <c r="L21" s="70" t="s">
        <v>29</v>
      </c>
      <c r="M21" s="70" t="s">
        <v>40</v>
      </c>
      <c r="N21" s="157" t="s">
        <v>652</v>
      </c>
      <c r="O21" s="70"/>
      <c r="P21" s="70"/>
      <c r="Q21" s="70"/>
      <c r="R21" s="70"/>
      <c r="S21" s="47"/>
      <c r="T21" s="75" t="s">
        <v>97</v>
      </c>
      <c r="U21" s="69">
        <v>44883</v>
      </c>
      <c r="V21" s="72"/>
      <c r="W21" s="47"/>
      <c r="X21" s="75"/>
      <c r="Y21" s="69"/>
      <c r="Z21" s="69"/>
      <c r="AA21" s="69"/>
      <c r="AB21" s="69"/>
      <c r="AC21" s="69"/>
      <c r="AD21" s="69"/>
    </row>
    <row r="22" spans="2:30" x14ac:dyDescent="0.25">
      <c r="B22" s="70" t="s">
        <v>59</v>
      </c>
      <c r="C22" s="70">
        <v>10</v>
      </c>
      <c r="D22" s="157" t="s">
        <v>1516</v>
      </c>
      <c r="E22" s="157" t="s">
        <v>93</v>
      </c>
      <c r="F22" s="157" t="s">
        <v>645</v>
      </c>
      <c r="G22" s="70"/>
      <c r="H22" s="47"/>
      <c r="I22" s="70"/>
      <c r="J22" s="70"/>
      <c r="K22" s="70"/>
      <c r="L22" s="70" t="s">
        <v>29</v>
      </c>
      <c r="M22" s="70" t="s">
        <v>40</v>
      </c>
      <c r="N22" s="157" t="s">
        <v>644</v>
      </c>
      <c r="O22" s="70"/>
      <c r="P22" s="70"/>
      <c r="Q22" s="70"/>
      <c r="R22" s="70"/>
      <c r="S22" s="47"/>
      <c r="T22" s="75" t="s">
        <v>97</v>
      </c>
      <c r="U22" s="69">
        <v>44883</v>
      </c>
      <c r="V22" s="72"/>
      <c r="W22" s="47"/>
      <c r="X22" s="75"/>
      <c r="Y22" s="69"/>
      <c r="Z22" s="69"/>
      <c r="AA22" s="69"/>
      <c r="AB22" s="69"/>
      <c r="AC22" s="69"/>
      <c r="AD22" s="69"/>
    </row>
    <row r="23" spans="2:30" ht="30" x14ac:dyDescent="0.25">
      <c r="B23" s="70" t="s">
        <v>59</v>
      </c>
      <c r="C23" s="70">
        <v>11</v>
      </c>
      <c r="D23" s="157" t="s">
        <v>1517</v>
      </c>
      <c r="E23" s="157" t="s">
        <v>93</v>
      </c>
      <c r="F23" s="157" t="s">
        <v>642</v>
      </c>
      <c r="G23" s="70"/>
      <c r="H23" s="47"/>
      <c r="I23" s="70"/>
      <c r="J23" s="70"/>
      <c r="K23" s="70"/>
      <c r="L23" s="70" t="s">
        <v>29</v>
      </c>
      <c r="M23" s="70" t="s">
        <v>40</v>
      </c>
      <c r="N23" s="157" t="s">
        <v>641</v>
      </c>
      <c r="O23" s="70"/>
      <c r="P23" s="70"/>
      <c r="Q23" s="70"/>
      <c r="R23" s="70"/>
      <c r="S23" s="47"/>
      <c r="T23" s="75" t="s">
        <v>97</v>
      </c>
      <c r="U23" s="69">
        <v>44883</v>
      </c>
      <c r="V23" s="72"/>
      <c r="W23" s="47"/>
      <c r="X23" s="75"/>
      <c r="Y23" s="69"/>
      <c r="Z23" s="69"/>
      <c r="AA23" s="69"/>
      <c r="AB23" s="69"/>
      <c r="AC23" s="69"/>
      <c r="AD23" s="69"/>
    </row>
    <row r="24" spans="2:30" ht="30" x14ac:dyDescent="0.25">
      <c r="B24" s="70" t="s">
        <v>59</v>
      </c>
      <c r="C24" s="70">
        <v>12</v>
      </c>
      <c r="D24" s="157" t="s">
        <v>1518</v>
      </c>
      <c r="E24" s="157" t="s">
        <v>93</v>
      </c>
      <c r="F24" s="157" t="s">
        <v>1518</v>
      </c>
      <c r="G24" s="70"/>
      <c r="H24" s="47"/>
      <c r="I24" s="70"/>
      <c r="J24" s="70"/>
      <c r="K24" s="70"/>
      <c r="L24" s="70" t="s">
        <v>29</v>
      </c>
      <c r="M24" s="70" t="s">
        <v>40</v>
      </c>
      <c r="N24" s="157" t="s">
        <v>1518</v>
      </c>
      <c r="O24" s="70"/>
      <c r="P24" s="70"/>
      <c r="Q24" s="70"/>
      <c r="R24" s="70"/>
      <c r="S24" s="47"/>
      <c r="T24" s="75" t="s">
        <v>97</v>
      </c>
      <c r="U24" s="69">
        <v>44883</v>
      </c>
      <c r="V24" s="72"/>
      <c r="W24" s="47"/>
      <c r="X24" s="75"/>
      <c r="Y24" s="69"/>
      <c r="Z24" s="69"/>
      <c r="AA24" s="69"/>
      <c r="AB24" s="69"/>
      <c r="AC24" s="69"/>
      <c r="AD24" s="69"/>
    </row>
    <row r="25" spans="2:30" x14ac:dyDescent="0.25">
      <c r="B25" s="70" t="s">
        <v>59</v>
      </c>
      <c r="C25" s="70">
        <v>13</v>
      </c>
      <c r="D25" s="157" t="s">
        <v>1519</v>
      </c>
      <c r="E25" s="157" t="s">
        <v>93</v>
      </c>
      <c r="F25" s="157" t="s">
        <v>1520</v>
      </c>
      <c r="G25" s="70"/>
      <c r="H25" s="47"/>
      <c r="I25" s="70"/>
      <c r="J25" s="70"/>
      <c r="K25" s="70"/>
      <c r="L25" s="70" t="s">
        <v>29</v>
      </c>
      <c r="M25" s="70" t="s">
        <v>40</v>
      </c>
      <c r="N25" s="157" t="s">
        <v>1521</v>
      </c>
      <c r="O25" s="70"/>
      <c r="P25" s="70"/>
      <c r="Q25" s="70"/>
      <c r="R25" s="70"/>
      <c r="S25" s="47"/>
      <c r="T25" s="75" t="s">
        <v>97</v>
      </c>
      <c r="U25" s="69">
        <v>44883</v>
      </c>
      <c r="V25" s="72"/>
      <c r="W25" s="47"/>
      <c r="X25" s="75"/>
      <c r="Y25" s="69"/>
      <c r="Z25" s="69"/>
      <c r="AA25" s="69"/>
      <c r="AB25" s="69"/>
      <c r="AC25" s="69"/>
      <c r="AD25" s="69"/>
    </row>
    <row r="26" spans="2:30" ht="30" x14ac:dyDescent="0.25">
      <c r="B26" s="70" t="s">
        <v>59</v>
      </c>
      <c r="C26" s="70">
        <v>14</v>
      </c>
      <c r="D26" s="70" t="s">
        <v>1522</v>
      </c>
      <c r="E26" s="70" t="s">
        <v>93</v>
      </c>
      <c r="F26" s="70" t="s">
        <v>1523</v>
      </c>
      <c r="G26" s="70"/>
      <c r="H26" s="47"/>
      <c r="I26" s="70"/>
      <c r="J26" s="70"/>
      <c r="K26" s="70"/>
      <c r="L26" s="70" t="s">
        <v>29</v>
      </c>
      <c r="M26" s="70" t="s">
        <v>42</v>
      </c>
      <c r="N26" s="70" t="s">
        <v>1524</v>
      </c>
      <c r="O26" s="70"/>
      <c r="P26" s="70"/>
      <c r="Q26" s="70"/>
      <c r="R26" s="70"/>
      <c r="S26" s="47"/>
      <c r="T26" s="75" t="s">
        <v>97</v>
      </c>
      <c r="U26" s="69">
        <v>44883</v>
      </c>
      <c r="V26" s="72" t="s">
        <v>1525</v>
      </c>
      <c r="W26" s="47"/>
      <c r="X26" s="78"/>
      <c r="Y26" s="69"/>
      <c r="Z26" s="69"/>
      <c r="AA26" s="69"/>
      <c r="AB26" s="69"/>
      <c r="AC26" s="69"/>
      <c r="AD26" s="69"/>
    </row>
    <row r="27" spans="2:30" ht="30" x14ac:dyDescent="0.25">
      <c r="B27" s="70" t="s">
        <v>59</v>
      </c>
      <c r="C27" s="70">
        <v>15</v>
      </c>
      <c r="D27" s="70" t="s">
        <v>1526</v>
      </c>
      <c r="E27" s="70" t="s">
        <v>93</v>
      </c>
      <c r="F27" s="70" t="s">
        <v>1527</v>
      </c>
      <c r="G27" s="70"/>
      <c r="H27" s="47"/>
      <c r="I27" s="70"/>
      <c r="J27" s="70"/>
      <c r="K27" s="70"/>
      <c r="L27" s="70" t="s">
        <v>29</v>
      </c>
      <c r="M27" s="70" t="s">
        <v>42</v>
      </c>
      <c r="N27" s="70" t="s">
        <v>1528</v>
      </c>
      <c r="O27" s="70"/>
      <c r="P27" s="70"/>
      <c r="Q27" s="70"/>
      <c r="R27" s="70"/>
      <c r="S27" s="47"/>
      <c r="T27" s="75" t="s">
        <v>97</v>
      </c>
      <c r="U27" s="69">
        <v>44883</v>
      </c>
      <c r="V27" s="72" t="s">
        <v>1525</v>
      </c>
      <c r="W27" s="47"/>
      <c r="X27" s="78"/>
      <c r="Y27" s="69"/>
      <c r="Z27" s="69"/>
      <c r="AA27" s="69"/>
      <c r="AB27" s="69"/>
      <c r="AC27" s="69"/>
      <c r="AD27" s="69"/>
    </row>
    <row r="28" spans="2:30" ht="30" x14ac:dyDescent="0.25">
      <c r="B28" s="70" t="s">
        <v>59</v>
      </c>
      <c r="C28" s="70">
        <v>16</v>
      </c>
      <c r="D28" s="70" t="s">
        <v>1529</v>
      </c>
      <c r="E28" s="70" t="s">
        <v>93</v>
      </c>
      <c r="F28" s="70" t="s">
        <v>698</v>
      </c>
      <c r="G28" s="70"/>
      <c r="H28" s="47"/>
      <c r="I28" s="70"/>
      <c r="J28" s="70"/>
      <c r="K28" s="70"/>
      <c r="L28" s="70" t="s">
        <v>29</v>
      </c>
      <c r="M28" s="70" t="s">
        <v>42</v>
      </c>
      <c r="N28" s="70" t="s">
        <v>697</v>
      </c>
      <c r="O28" s="70"/>
      <c r="P28" s="70"/>
      <c r="Q28" s="70"/>
      <c r="R28" s="70"/>
      <c r="S28" s="47"/>
      <c r="T28" s="75" t="s">
        <v>97</v>
      </c>
      <c r="U28" s="69">
        <v>44883</v>
      </c>
      <c r="V28" s="72" t="s">
        <v>1525</v>
      </c>
      <c r="W28" s="47"/>
      <c r="X28" s="78"/>
      <c r="Y28" s="69"/>
      <c r="Z28" s="69"/>
      <c r="AA28" s="69"/>
      <c r="AB28" s="69"/>
      <c r="AC28" s="69"/>
      <c r="AD28" s="69"/>
    </row>
    <row r="29" spans="2:30" ht="30" x14ac:dyDescent="0.25">
      <c r="B29" s="70" t="s">
        <v>59</v>
      </c>
      <c r="C29" s="70">
        <v>17</v>
      </c>
      <c r="D29" s="157" t="s">
        <v>1530</v>
      </c>
      <c r="E29" s="157" t="s">
        <v>93</v>
      </c>
      <c r="F29" s="157" t="s">
        <v>662</v>
      </c>
      <c r="G29" s="70"/>
      <c r="H29" s="47"/>
      <c r="I29" s="70"/>
      <c r="J29" s="70"/>
      <c r="K29" s="70"/>
      <c r="L29" s="70" t="s">
        <v>29</v>
      </c>
      <c r="M29" s="70" t="s">
        <v>42</v>
      </c>
      <c r="N29" s="157" t="s">
        <v>661</v>
      </c>
      <c r="O29" s="70"/>
      <c r="P29" s="70"/>
      <c r="Q29" s="70"/>
      <c r="R29" s="70"/>
      <c r="S29" s="47"/>
      <c r="T29" s="75" t="s">
        <v>97</v>
      </c>
      <c r="U29" s="69">
        <v>44883</v>
      </c>
      <c r="V29" s="72" t="s">
        <v>1525</v>
      </c>
      <c r="W29" s="47"/>
      <c r="X29" s="77"/>
      <c r="Y29" s="69"/>
      <c r="Z29" s="69"/>
      <c r="AA29" s="69"/>
      <c r="AB29" s="69"/>
      <c r="AC29" s="69"/>
      <c r="AD29" s="69"/>
    </row>
    <row r="30" spans="2:30" ht="30" x14ac:dyDescent="0.25">
      <c r="B30" s="70" t="s">
        <v>59</v>
      </c>
      <c r="C30" s="70">
        <v>18</v>
      </c>
      <c r="D30" s="157" t="s">
        <v>1531</v>
      </c>
      <c r="E30" s="157" t="s">
        <v>93</v>
      </c>
      <c r="F30" s="157" t="s">
        <v>647</v>
      </c>
      <c r="G30" s="70"/>
      <c r="H30" s="47"/>
      <c r="I30" s="70"/>
      <c r="J30" s="70"/>
      <c r="K30" s="70"/>
      <c r="L30" s="70" t="s">
        <v>29</v>
      </c>
      <c r="M30" s="70" t="s">
        <v>42</v>
      </c>
      <c r="N30" s="157" t="s">
        <v>646</v>
      </c>
      <c r="O30" s="70"/>
      <c r="P30" s="70"/>
      <c r="Q30" s="70"/>
      <c r="R30" s="70"/>
      <c r="S30" s="47"/>
      <c r="T30" s="75" t="s">
        <v>97</v>
      </c>
      <c r="U30" s="69">
        <v>44883</v>
      </c>
      <c r="V30" s="72" t="s">
        <v>1525</v>
      </c>
      <c r="W30" s="47"/>
      <c r="X30" s="77"/>
      <c r="Y30" s="69"/>
      <c r="Z30" s="69"/>
      <c r="AA30" s="69"/>
      <c r="AB30" s="69"/>
      <c r="AC30" s="69"/>
      <c r="AD30" s="69"/>
    </row>
    <row r="31" spans="2:30" ht="30" x14ac:dyDescent="0.25">
      <c r="B31" s="70" t="s">
        <v>59</v>
      </c>
      <c r="C31" s="70">
        <v>19</v>
      </c>
      <c r="D31" s="157" t="s">
        <v>1532</v>
      </c>
      <c r="E31" s="157" t="s">
        <v>93</v>
      </c>
      <c r="F31" s="157" t="s">
        <v>649</v>
      </c>
      <c r="G31" s="70"/>
      <c r="H31" s="47"/>
      <c r="I31" s="70"/>
      <c r="J31" s="70"/>
      <c r="K31" s="70"/>
      <c r="L31" s="70" t="s">
        <v>29</v>
      </c>
      <c r="M31" s="70" t="s">
        <v>42</v>
      </c>
      <c r="N31" s="157" t="s">
        <v>648</v>
      </c>
      <c r="O31" s="70"/>
      <c r="P31" s="70"/>
      <c r="Q31" s="70"/>
      <c r="R31" s="70"/>
      <c r="S31" s="47"/>
      <c r="T31" s="75" t="s">
        <v>97</v>
      </c>
      <c r="U31" s="69">
        <v>44883</v>
      </c>
      <c r="V31" s="72" t="s">
        <v>1525</v>
      </c>
      <c r="W31" s="47"/>
      <c r="X31" s="77"/>
      <c r="Y31" s="69"/>
      <c r="Z31" s="69"/>
      <c r="AA31" s="69"/>
      <c r="AB31" s="69"/>
      <c r="AC31" s="69"/>
      <c r="AD31" s="69"/>
    </row>
    <row r="32" spans="2:30" ht="30" x14ac:dyDescent="0.25">
      <c r="B32" s="70" t="s">
        <v>59</v>
      </c>
      <c r="C32" s="70">
        <v>20</v>
      </c>
      <c r="D32" s="157" t="s">
        <v>1533</v>
      </c>
      <c r="E32" s="157" t="s">
        <v>93</v>
      </c>
      <c r="F32" s="157" t="s">
        <v>651</v>
      </c>
      <c r="G32" s="70"/>
      <c r="H32" s="47"/>
      <c r="I32" s="70"/>
      <c r="J32" s="70"/>
      <c r="K32" s="70"/>
      <c r="L32" s="70" t="s">
        <v>29</v>
      </c>
      <c r="M32" s="70" t="s">
        <v>42</v>
      </c>
      <c r="N32" s="157" t="s">
        <v>650</v>
      </c>
      <c r="O32" s="70"/>
      <c r="P32" s="70"/>
      <c r="Q32" s="70"/>
      <c r="R32" s="70"/>
      <c r="S32" s="47"/>
      <c r="T32" s="75" t="s">
        <v>97</v>
      </c>
      <c r="U32" s="69">
        <v>44883</v>
      </c>
      <c r="V32" s="72" t="s">
        <v>1525</v>
      </c>
      <c r="W32" s="47"/>
      <c r="X32" s="77"/>
      <c r="Y32" s="69"/>
      <c r="Z32" s="69"/>
      <c r="AA32" s="69"/>
      <c r="AB32" s="69"/>
      <c r="AC32" s="69"/>
      <c r="AD32" s="69"/>
    </row>
    <row r="33" spans="2:30" ht="30" x14ac:dyDescent="0.25">
      <c r="B33" s="70" t="s">
        <v>59</v>
      </c>
      <c r="C33" s="70">
        <v>21</v>
      </c>
      <c r="D33" s="157" t="s">
        <v>1534</v>
      </c>
      <c r="E33" s="157" t="s">
        <v>93</v>
      </c>
      <c r="F33" s="157" t="s">
        <v>666</v>
      </c>
      <c r="G33" s="70"/>
      <c r="H33" s="47"/>
      <c r="I33" s="70"/>
      <c r="J33" s="70"/>
      <c r="K33" s="70"/>
      <c r="L33" s="70" t="s">
        <v>29</v>
      </c>
      <c r="M33" s="70" t="s">
        <v>42</v>
      </c>
      <c r="N33" s="157" t="s">
        <v>665</v>
      </c>
      <c r="O33" s="70"/>
      <c r="P33" s="70"/>
      <c r="Q33" s="70"/>
      <c r="R33" s="70"/>
      <c r="S33" s="47"/>
      <c r="T33" s="75" t="s">
        <v>97</v>
      </c>
      <c r="U33" s="69">
        <v>44883</v>
      </c>
      <c r="V33" s="72" t="s">
        <v>1525</v>
      </c>
      <c r="W33" s="47"/>
      <c r="X33" s="78"/>
      <c r="Y33" s="69"/>
      <c r="Z33" s="69"/>
      <c r="AA33" s="69"/>
      <c r="AB33" s="69"/>
      <c r="AC33" s="69"/>
      <c r="AD33" s="69"/>
    </row>
    <row r="34" spans="2:30" ht="30" x14ac:dyDescent="0.25">
      <c r="B34" s="70" t="s">
        <v>59</v>
      </c>
      <c r="C34" s="70">
        <v>22</v>
      </c>
      <c r="D34" s="157" t="s">
        <v>1535</v>
      </c>
      <c r="E34" s="157" t="s">
        <v>93</v>
      </c>
      <c r="F34" s="157" t="s">
        <v>655</v>
      </c>
      <c r="G34" s="70"/>
      <c r="H34" s="47"/>
      <c r="I34" s="70"/>
      <c r="J34" s="70"/>
      <c r="K34" s="70"/>
      <c r="L34" s="70" t="s">
        <v>29</v>
      </c>
      <c r="M34" s="70" t="s">
        <v>42</v>
      </c>
      <c r="N34" s="157" t="s">
        <v>654</v>
      </c>
      <c r="O34" s="70"/>
      <c r="P34" s="70"/>
      <c r="Q34" s="70"/>
      <c r="R34" s="70"/>
      <c r="S34" s="47"/>
      <c r="T34" s="75" t="s">
        <v>97</v>
      </c>
      <c r="U34" s="69">
        <v>44883</v>
      </c>
      <c r="V34" s="72" t="s">
        <v>1525</v>
      </c>
      <c r="W34" s="47"/>
      <c r="X34" s="78"/>
      <c r="Y34" s="69"/>
      <c r="Z34" s="69"/>
      <c r="AA34" s="69"/>
      <c r="AB34" s="69"/>
      <c r="AC34" s="69"/>
      <c r="AD34" s="69"/>
    </row>
    <row r="35" spans="2:30" ht="30" x14ac:dyDescent="0.25">
      <c r="B35" s="70" t="s">
        <v>59</v>
      </c>
      <c r="C35" s="70">
        <v>23</v>
      </c>
      <c r="D35" s="157" t="s">
        <v>1536</v>
      </c>
      <c r="E35" s="157" t="s">
        <v>113</v>
      </c>
      <c r="F35" s="157" t="s">
        <v>660</v>
      </c>
      <c r="G35" s="70"/>
      <c r="H35" s="47"/>
      <c r="I35" s="70"/>
      <c r="J35" s="70"/>
      <c r="K35" s="70"/>
      <c r="L35" s="70" t="s">
        <v>29</v>
      </c>
      <c r="M35" s="70" t="s">
        <v>42</v>
      </c>
      <c r="N35" s="157" t="s">
        <v>659</v>
      </c>
      <c r="O35" s="70"/>
      <c r="P35" s="70"/>
      <c r="Q35" s="70"/>
      <c r="R35" s="70"/>
      <c r="S35" s="47"/>
      <c r="T35" s="75" t="s">
        <v>97</v>
      </c>
      <c r="U35" s="69">
        <v>44883</v>
      </c>
      <c r="V35" s="72" t="s">
        <v>1525</v>
      </c>
      <c r="W35" s="47"/>
      <c r="X35" s="75"/>
      <c r="Y35" s="69"/>
      <c r="Z35" s="69"/>
      <c r="AA35" s="69"/>
      <c r="AB35" s="69"/>
      <c r="AC35" s="69"/>
      <c r="AD35" s="69"/>
    </row>
    <row r="36" spans="2:30" ht="30" x14ac:dyDescent="0.25">
      <c r="B36" s="70" t="s">
        <v>59</v>
      </c>
      <c r="C36" s="70">
        <v>24</v>
      </c>
      <c r="D36" s="157" t="s">
        <v>1537</v>
      </c>
      <c r="E36" s="157" t="s">
        <v>113</v>
      </c>
      <c r="F36" s="157" t="s">
        <v>653</v>
      </c>
      <c r="G36" s="70"/>
      <c r="H36" s="47"/>
      <c r="I36" s="70"/>
      <c r="J36" s="70"/>
      <c r="K36" s="70"/>
      <c r="L36" s="70" t="s">
        <v>29</v>
      </c>
      <c r="M36" s="70" t="s">
        <v>42</v>
      </c>
      <c r="N36" s="157" t="s">
        <v>652</v>
      </c>
      <c r="O36" s="70"/>
      <c r="P36" s="70"/>
      <c r="Q36" s="70"/>
      <c r="R36" s="70"/>
      <c r="S36" s="47"/>
      <c r="T36" s="75" t="s">
        <v>97</v>
      </c>
      <c r="U36" s="69">
        <v>44883</v>
      </c>
      <c r="V36" s="72" t="s">
        <v>1525</v>
      </c>
      <c r="W36" s="47"/>
      <c r="X36" s="75"/>
      <c r="Y36" s="69"/>
      <c r="Z36" s="69"/>
      <c r="AA36" s="69"/>
      <c r="AB36" s="69"/>
      <c r="AC36" s="69"/>
      <c r="AD36" s="69"/>
    </row>
    <row r="37" spans="2:30" ht="30" x14ac:dyDescent="0.25">
      <c r="B37" s="70" t="s">
        <v>59</v>
      </c>
      <c r="C37" s="70">
        <v>25</v>
      </c>
      <c r="D37" s="157" t="s">
        <v>1538</v>
      </c>
      <c r="E37" s="157" t="s">
        <v>93</v>
      </c>
      <c r="F37" s="157" t="s">
        <v>645</v>
      </c>
      <c r="G37" s="70"/>
      <c r="H37" s="47"/>
      <c r="I37" s="70"/>
      <c r="J37" s="70"/>
      <c r="K37" s="70"/>
      <c r="L37" s="70" t="s">
        <v>29</v>
      </c>
      <c r="M37" s="70" t="s">
        <v>42</v>
      </c>
      <c r="N37" s="157" t="s">
        <v>644</v>
      </c>
      <c r="O37" s="70"/>
      <c r="P37" s="70"/>
      <c r="Q37" s="70"/>
      <c r="R37" s="70"/>
      <c r="S37" s="47"/>
      <c r="T37" s="75" t="s">
        <v>97</v>
      </c>
      <c r="U37" s="69">
        <v>44883</v>
      </c>
      <c r="V37" s="72" t="s">
        <v>1525</v>
      </c>
      <c r="W37" s="47"/>
      <c r="X37" s="75"/>
      <c r="Y37" s="69"/>
      <c r="Z37" s="69"/>
      <c r="AA37" s="69"/>
      <c r="AB37" s="69"/>
      <c r="AC37" s="69"/>
      <c r="AD37" s="69"/>
    </row>
    <row r="38" spans="2:30" ht="30" x14ac:dyDescent="0.25">
      <c r="B38" s="70" t="s">
        <v>59</v>
      </c>
      <c r="C38" s="70">
        <v>26</v>
      </c>
      <c r="D38" s="157" t="s">
        <v>1539</v>
      </c>
      <c r="E38" s="157" t="s">
        <v>93</v>
      </c>
      <c r="F38" s="157" t="s">
        <v>642</v>
      </c>
      <c r="G38" s="70"/>
      <c r="H38" s="47"/>
      <c r="I38" s="70"/>
      <c r="J38" s="70"/>
      <c r="K38" s="70"/>
      <c r="L38" s="70" t="s">
        <v>29</v>
      </c>
      <c r="M38" s="70" t="s">
        <v>42</v>
      </c>
      <c r="N38" s="157" t="s">
        <v>641</v>
      </c>
      <c r="O38" s="70"/>
      <c r="P38" s="70"/>
      <c r="Q38" s="70"/>
      <c r="R38" s="70"/>
      <c r="S38" s="47"/>
      <c r="T38" s="75" t="s">
        <v>97</v>
      </c>
      <c r="U38" s="69">
        <v>44883</v>
      </c>
      <c r="V38" s="72" t="s">
        <v>1525</v>
      </c>
      <c r="W38" s="47"/>
      <c r="X38" s="75"/>
      <c r="Y38" s="69"/>
      <c r="Z38" s="69"/>
      <c r="AA38" s="69"/>
      <c r="AB38" s="69"/>
      <c r="AC38" s="69"/>
      <c r="AD38" s="69"/>
    </row>
    <row r="39" spans="2:30" ht="30" x14ac:dyDescent="0.25">
      <c r="B39" s="70" t="s">
        <v>59</v>
      </c>
      <c r="C39" s="70">
        <v>27</v>
      </c>
      <c r="D39" s="157" t="s">
        <v>1518</v>
      </c>
      <c r="E39" s="157" t="s">
        <v>93</v>
      </c>
      <c r="F39" s="157" t="s">
        <v>1518</v>
      </c>
      <c r="G39" s="70"/>
      <c r="H39" s="47"/>
      <c r="I39" s="70"/>
      <c r="J39" s="70"/>
      <c r="K39" s="70"/>
      <c r="L39" s="70" t="s">
        <v>29</v>
      </c>
      <c r="M39" s="70" t="s">
        <v>42</v>
      </c>
      <c r="N39" s="157" t="s">
        <v>1518</v>
      </c>
      <c r="O39" s="70"/>
      <c r="P39" s="70"/>
      <c r="Q39" s="70"/>
      <c r="R39" s="70"/>
      <c r="S39" s="47"/>
      <c r="T39" s="75" t="s">
        <v>97</v>
      </c>
      <c r="U39" s="69">
        <v>44883</v>
      </c>
      <c r="V39" s="72" t="s">
        <v>1525</v>
      </c>
      <c r="W39" s="47"/>
      <c r="X39" s="75"/>
      <c r="Y39" s="69"/>
      <c r="Z39" s="69"/>
      <c r="AA39" s="69"/>
      <c r="AB39" s="69"/>
      <c r="AC39" s="69"/>
      <c r="AD39" s="69"/>
    </row>
    <row r="40" spans="2:30" ht="30" x14ac:dyDescent="0.25">
      <c r="B40" s="70" t="s">
        <v>59</v>
      </c>
      <c r="C40" s="70">
        <v>28</v>
      </c>
      <c r="D40" s="157" t="s">
        <v>1540</v>
      </c>
      <c r="E40" s="157" t="s">
        <v>93</v>
      </c>
      <c r="F40" s="157" t="s">
        <v>1520</v>
      </c>
      <c r="G40" s="68"/>
      <c r="H40" s="47"/>
      <c r="I40" s="68"/>
      <c r="J40" s="68"/>
      <c r="K40" s="68"/>
      <c r="L40" s="70" t="s">
        <v>29</v>
      </c>
      <c r="M40" s="70" t="s">
        <v>42</v>
      </c>
      <c r="N40" s="157" t="s">
        <v>1521</v>
      </c>
      <c r="O40" s="68"/>
      <c r="P40" s="68"/>
      <c r="Q40" s="70"/>
      <c r="R40" s="70"/>
      <c r="S40" s="47"/>
      <c r="T40" s="75" t="s">
        <v>97</v>
      </c>
      <c r="U40" s="69">
        <v>44883</v>
      </c>
      <c r="V40" s="72" t="s">
        <v>1525</v>
      </c>
      <c r="W40" s="47"/>
      <c r="X40" s="75"/>
      <c r="Y40" s="69"/>
      <c r="Z40" s="69"/>
      <c r="AA40" s="69"/>
      <c r="AB40" s="69"/>
      <c r="AC40" s="69"/>
      <c r="AD40" s="69"/>
    </row>
    <row r="41" spans="2:30" x14ac:dyDescent="0.25">
      <c r="B41" s="70"/>
      <c r="C41" s="70"/>
      <c r="D41" s="68"/>
      <c r="E41" s="70"/>
      <c r="F41" s="70"/>
      <c r="G41" s="68"/>
      <c r="H41" s="47"/>
      <c r="I41" s="68"/>
      <c r="J41" s="68"/>
      <c r="K41" s="68"/>
      <c r="L41" s="70"/>
      <c r="M41" s="70"/>
      <c r="N41" s="70"/>
      <c r="O41" s="68"/>
      <c r="P41" s="68"/>
      <c r="Q41" s="70"/>
      <c r="R41" s="70"/>
      <c r="S41" s="47"/>
      <c r="T41" s="75"/>
      <c r="U41" s="69"/>
      <c r="V41" s="72"/>
      <c r="W41" s="47"/>
      <c r="X41" s="75"/>
      <c r="Y41" s="69"/>
      <c r="Z41" s="69"/>
      <c r="AA41" s="69"/>
      <c r="AB41" s="69"/>
      <c r="AC41" s="69"/>
      <c r="AD41" s="69"/>
    </row>
    <row r="42" spans="2:30" x14ac:dyDescent="0.25">
      <c r="B42" s="70"/>
      <c r="C42" s="70"/>
      <c r="D42" s="68"/>
      <c r="E42" s="70"/>
      <c r="F42" s="70"/>
      <c r="G42" s="68"/>
      <c r="H42" s="47"/>
      <c r="I42" s="68"/>
      <c r="J42" s="68"/>
      <c r="K42" s="68"/>
      <c r="L42" s="70"/>
      <c r="M42" s="70"/>
      <c r="N42" s="70"/>
      <c r="O42" s="68"/>
      <c r="P42" s="68"/>
      <c r="Q42" s="70"/>
      <c r="R42" s="70"/>
      <c r="S42" s="47"/>
      <c r="T42" s="75"/>
      <c r="U42" s="69"/>
      <c r="V42" s="72"/>
      <c r="W42" s="47"/>
      <c r="X42" s="75"/>
      <c r="Y42" s="69"/>
      <c r="Z42" s="69"/>
      <c r="AA42" s="69"/>
      <c r="AB42" s="69"/>
      <c r="AC42" s="69"/>
      <c r="AD42" s="69"/>
    </row>
    <row r="43" spans="2:30" x14ac:dyDescent="0.25">
      <c r="B43" s="70"/>
      <c r="C43" s="70"/>
      <c r="D43" s="68"/>
      <c r="E43" s="70"/>
      <c r="F43" s="70"/>
      <c r="G43" s="68"/>
      <c r="H43" s="47"/>
      <c r="I43" s="68"/>
      <c r="J43" s="68"/>
      <c r="K43" s="68"/>
      <c r="L43" s="70"/>
      <c r="M43" s="70"/>
      <c r="N43" s="70"/>
      <c r="O43" s="68"/>
      <c r="P43" s="68"/>
      <c r="Q43" s="70"/>
      <c r="R43" s="70"/>
      <c r="S43" s="47"/>
      <c r="T43" s="75"/>
      <c r="U43" s="69"/>
      <c r="V43" s="72"/>
      <c r="W43" s="47"/>
      <c r="X43" s="75"/>
      <c r="Y43" s="69"/>
      <c r="Z43" s="69"/>
      <c r="AA43" s="69"/>
      <c r="AB43" s="69"/>
      <c r="AC43" s="69"/>
      <c r="AD43" s="69"/>
    </row>
    <row r="44" spans="2:30" ht="14.25" customHeight="1" x14ac:dyDescent="0.25">
      <c r="B44" s="70"/>
      <c r="C44" s="70"/>
      <c r="D44" s="83"/>
      <c r="E44" s="68"/>
      <c r="F44" s="68"/>
      <c r="G44" s="68"/>
      <c r="H44" s="47"/>
      <c r="I44" s="68"/>
      <c r="J44" s="68"/>
      <c r="K44" s="68"/>
      <c r="L44" s="70"/>
      <c r="M44" s="70"/>
      <c r="N44" s="68"/>
      <c r="O44" s="68"/>
      <c r="P44" s="68"/>
      <c r="Q44" s="70"/>
      <c r="R44" s="70"/>
      <c r="S44" s="47"/>
      <c r="T44" s="75"/>
      <c r="U44" s="69"/>
      <c r="V44" s="72"/>
      <c r="W44" s="47"/>
      <c r="X44" s="75"/>
      <c r="Y44" s="69"/>
      <c r="Z44" s="69"/>
      <c r="AA44" s="69"/>
      <c r="AB44" s="69"/>
      <c r="AC44" s="69"/>
      <c r="AD44" s="69"/>
    </row>
    <row r="45" spans="2:30" ht="36" customHeight="1" x14ac:dyDescent="0.25">
      <c r="B45" s="70"/>
      <c r="C45" s="70"/>
      <c r="D45" s="83"/>
      <c r="E45" s="68"/>
      <c r="F45" s="68"/>
      <c r="G45" s="68"/>
      <c r="H45" s="47"/>
      <c r="I45" s="68"/>
      <c r="J45" s="68"/>
      <c r="K45" s="68"/>
      <c r="L45" s="70"/>
      <c r="M45" s="70"/>
      <c r="N45" s="68"/>
      <c r="O45" s="68"/>
      <c r="P45" s="68"/>
      <c r="Q45" s="70"/>
      <c r="R45" s="70"/>
      <c r="S45" s="47"/>
      <c r="T45" s="75"/>
      <c r="U45" s="69"/>
      <c r="V45" s="72"/>
      <c r="W45" s="47"/>
      <c r="X45" s="75"/>
      <c r="Y45" s="69"/>
      <c r="Z45" s="69"/>
      <c r="AA45" s="69"/>
      <c r="AB45" s="69"/>
      <c r="AC45" s="69"/>
      <c r="AD45" s="69"/>
    </row>
    <row r="46" spans="2:30" ht="14.25" customHeight="1" x14ac:dyDescent="0.25">
      <c r="B46" s="70"/>
      <c r="C46" s="70"/>
      <c r="D46" s="83"/>
      <c r="E46" s="68"/>
      <c r="F46" s="68"/>
      <c r="G46" s="68"/>
      <c r="H46" s="47"/>
      <c r="I46" s="68"/>
      <c r="J46" s="68"/>
      <c r="K46" s="68"/>
      <c r="L46" s="70"/>
      <c r="M46" s="70"/>
      <c r="N46" s="68"/>
      <c r="O46" s="68"/>
      <c r="P46" s="68"/>
      <c r="Q46" s="70"/>
      <c r="R46" s="70"/>
      <c r="S46" s="47"/>
      <c r="T46" s="75"/>
      <c r="U46" s="69"/>
      <c r="V46" s="72"/>
      <c r="W46" s="47"/>
      <c r="X46" s="75"/>
      <c r="Y46" s="69"/>
      <c r="Z46" s="69"/>
      <c r="AA46" s="69"/>
      <c r="AB46" s="69"/>
      <c r="AC46" s="69"/>
      <c r="AD46" s="69"/>
    </row>
    <row r="47" spans="2:30" ht="14.25" customHeight="1" x14ac:dyDescent="0.25">
      <c r="B47" s="70"/>
      <c r="C47" s="70"/>
      <c r="D47" s="83"/>
      <c r="E47" s="68"/>
      <c r="F47" s="68"/>
      <c r="G47" s="68"/>
      <c r="H47" s="47"/>
      <c r="I47" s="68"/>
      <c r="J47" s="68"/>
      <c r="K47" s="68"/>
      <c r="L47" s="70"/>
      <c r="M47" s="70"/>
      <c r="N47" s="68"/>
      <c r="O47" s="68"/>
      <c r="P47" s="68"/>
      <c r="Q47" s="70"/>
      <c r="R47" s="70"/>
      <c r="S47" s="47"/>
      <c r="T47" s="75"/>
      <c r="U47" s="69"/>
      <c r="V47" s="72"/>
      <c r="W47" s="47"/>
      <c r="X47" s="75"/>
      <c r="Y47" s="69"/>
      <c r="Z47" s="69"/>
      <c r="AA47" s="69"/>
      <c r="AB47" s="69"/>
      <c r="AC47" s="69"/>
      <c r="AD47" s="69"/>
    </row>
    <row r="48" spans="2:30" ht="14.25" customHeight="1" x14ac:dyDescent="0.25">
      <c r="B48" s="70"/>
      <c r="C48" s="70"/>
      <c r="D48" s="83"/>
      <c r="E48" s="68"/>
      <c r="F48" s="68"/>
      <c r="G48" s="68"/>
      <c r="H48" s="47"/>
      <c r="I48" s="68"/>
      <c r="J48" s="68"/>
      <c r="K48" s="68"/>
      <c r="L48" s="70"/>
      <c r="M48" s="70"/>
      <c r="N48" s="68"/>
      <c r="O48" s="68"/>
      <c r="P48" s="68"/>
      <c r="Q48" s="70"/>
      <c r="R48" s="70"/>
      <c r="S48" s="47"/>
      <c r="T48" s="75"/>
      <c r="U48" s="69"/>
      <c r="V48" s="72"/>
      <c r="W48" s="47"/>
      <c r="X48" s="75"/>
      <c r="Y48" s="69"/>
      <c r="Z48" s="69"/>
      <c r="AA48" s="69"/>
      <c r="AB48" s="69"/>
      <c r="AC48" s="69"/>
      <c r="AD48" s="69"/>
    </row>
    <row r="49" spans="2:30" ht="14.25" customHeight="1" x14ac:dyDescent="0.25">
      <c r="B49" s="70"/>
      <c r="C49" s="70"/>
      <c r="D49" s="83"/>
      <c r="E49" s="68"/>
      <c r="F49" s="68"/>
      <c r="G49" s="68"/>
      <c r="H49" s="47"/>
      <c r="I49" s="68"/>
      <c r="J49" s="68"/>
      <c r="K49" s="68"/>
      <c r="L49" s="70"/>
      <c r="M49" s="70"/>
      <c r="N49" s="68"/>
      <c r="O49" s="68"/>
      <c r="P49" s="68"/>
      <c r="Q49" s="70"/>
      <c r="R49" s="70"/>
      <c r="S49" s="47"/>
      <c r="T49" s="75"/>
      <c r="U49" s="69"/>
      <c r="V49" s="72"/>
      <c r="W49" s="47"/>
      <c r="X49" s="75"/>
      <c r="Y49" s="69"/>
      <c r="Z49" s="69"/>
      <c r="AA49" s="69"/>
      <c r="AB49" s="69"/>
      <c r="AC49" s="69"/>
      <c r="AD49" s="69"/>
    </row>
    <row r="50" spans="2:30" ht="14.25" customHeight="1" x14ac:dyDescent="0.25">
      <c r="B50" s="70"/>
      <c r="C50" s="70"/>
      <c r="D50" s="83"/>
      <c r="E50" s="68"/>
      <c r="F50" s="68"/>
      <c r="G50" s="68"/>
      <c r="H50" s="47"/>
      <c r="I50" s="68"/>
      <c r="J50" s="68"/>
      <c r="K50" s="68"/>
      <c r="L50" s="70"/>
      <c r="M50" s="70"/>
      <c r="N50" s="68"/>
      <c r="O50" s="68"/>
      <c r="P50" s="68"/>
      <c r="Q50" s="70"/>
      <c r="R50" s="70"/>
      <c r="S50" s="47"/>
      <c r="T50" s="75"/>
      <c r="U50" s="69"/>
      <c r="V50" s="72"/>
      <c r="W50" s="47"/>
      <c r="X50" s="75"/>
      <c r="Y50" s="69"/>
      <c r="Z50" s="69"/>
      <c r="AA50" s="69"/>
      <c r="AB50" s="69"/>
      <c r="AC50" s="69"/>
      <c r="AD50" s="69"/>
    </row>
    <row r="51" spans="2:30" ht="14.25" customHeight="1" x14ac:dyDescent="0.25">
      <c r="B51" s="70"/>
      <c r="C51" s="70"/>
      <c r="D51" s="83"/>
      <c r="E51" s="68"/>
      <c r="F51" s="68"/>
      <c r="G51" s="68"/>
      <c r="H51" s="47"/>
      <c r="I51" s="68"/>
      <c r="J51" s="68"/>
      <c r="K51" s="68"/>
      <c r="L51" s="70"/>
      <c r="M51" s="70"/>
      <c r="N51" s="68"/>
      <c r="O51" s="68"/>
      <c r="P51" s="68"/>
      <c r="Q51" s="70"/>
      <c r="R51" s="70"/>
      <c r="S51" s="47"/>
      <c r="T51" s="75"/>
      <c r="U51" s="69"/>
      <c r="V51" s="72"/>
      <c r="W51" s="47"/>
      <c r="X51" s="75"/>
      <c r="Y51" s="69"/>
      <c r="Z51" s="69"/>
      <c r="AA51" s="69"/>
      <c r="AB51" s="69"/>
      <c r="AC51" s="69"/>
      <c r="AD51" s="69"/>
    </row>
    <row r="52" spans="2:30" ht="14.25" customHeight="1" x14ac:dyDescent="0.25">
      <c r="B52" s="70"/>
      <c r="C52" s="70"/>
      <c r="D52" s="83"/>
      <c r="E52" s="68"/>
      <c r="F52" s="68"/>
      <c r="G52" s="68"/>
      <c r="H52" s="47"/>
      <c r="I52" s="68"/>
      <c r="J52" s="68"/>
      <c r="K52" s="68"/>
      <c r="L52" s="70"/>
      <c r="M52" s="70"/>
      <c r="N52" s="68"/>
      <c r="O52" s="68"/>
      <c r="P52" s="68"/>
      <c r="Q52" s="70"/>
      <c r="R52" s="70"/>
      <c r="S52" s="47"/>
      <c r="T52" s="75"/>
      <c r="U52" s="69"/>
      <c r="V52" s="72"/>
      <c r="W52" s="47"/>
      <c r="X52" s="75"/>
      <c r="Y52" s="69"/>
      <c r="Z52" s="69"/>
      <c r="AA52" s="69"/>
      <c r="AB52" s="69"/>
      <c r="AC52" s="69"/>
      <c r="AD52" s="69"/>
    </row>
    <row r="53" spans="2:30" ht="14.25" customHeight="1" x14ac:dyDescent="0.25">
      <c r="B53" s="70"/>
      <c r="C53" s="70"/>
      <c r="D53" s="83"/>
      <c r="E53" s="68"/>
      <c r="F53" s="68"/>
      <c r="G53" s="68"/>
      <c r="H53" s="47"/>
      <c r="I53" s="68"/>
      <c r="J53" s="68"/>
      <c r="K53" s="68"/>
      <c r="L53" s="70"/>
      <c r="M53" s="70"/>
      <c r="N53" s="68"/>
      <c r="O53" s="68"/>
      <c r="P53" s="68"/>
      <c r="Q53" s="70"/>
      <c r="R53" s="70"/>
      <c r="S53" s="47"/>
      <c r="T53" s="75"/>
      <c r="U53" s="69"/>
      <c r="V53" s="72"/>
      <c r="W53" s="47"/>
      <c r="X53" s="75"/>
      <c r="Y53" s="69"/>
      <c r="Z53" s="69"/>
      <c r="AA53" s="69"/>
      <c r="AB53" s="69"/>
      <c r="AC53" s="69"/>
      <c r="AD53" s="69"/>
    </row>
    <row r="54" spans="2:30" ht="14.25" customHeight="1" x14ac:dyDescent="0.25">
      <c r="B54" s="70"/>
      <c r="C54" s="70"/>
      <c r="D54" s="102"/>
      <c r="E54" s="68"/>
      <c r="F54" s="68"/>
      <c r="G54" s="68"/>
      <c r="H54" s="47"/>
      <c r="I54" s="68"/>
      <c r="J54" s="68"/>
      <c r="K54" s="68"/>
      <c r="L54" s="68"/>
      <c r="M54" s="68"/>
      <c r="N54" s="68"/>
      <c r="O54" s="68"/>
      <c r="P54" s="68"/>
      <c r="Q54" s="70"/>
      <c r="R54" s="70"/>
      <c r="S54" s="47"/>
      <c r="T54" s="75"/>
      <c r="U54" s="69"/>
      <c r="V54" s="72"/>
      <c r="W54" s="47"/>
      <c r="X54" s="75"/>
      <c r="Y54" s="69"/>
      <c r="Z54" s="69"/>
      <c r="AA54" s="69"/>
      <c r="AB54" s="69"/>
      <c r="AC54" s="69"/>
      <c r="AD54" s="69"/>
    </row>
    <row r="55" spans="2:30" x14ac:dyDescent="0.25">
      <c r="B55" s="70"/>
      <c r="C55" s="70"/>
      <c r="D55" s="102"/>
      <c r="E55" s="68"/>
      <c r="F55" s="68"/>
      <c r="G55" s="68"/>
      <c r="H55" s="47"/>
      <c r="I55" s="68"/>
      <c r="J55" s="68"/>
      <c r="K55" s="68"/>
      <c r="L55" s="68"/>
      <c r="M55" s="68"/>
      <c r="N55" s="70"/>
      <c r="O55" s="68"/>
      <c r="P55" s="68"/>
      <c r="Q55" s="70"/>
      <c r="R55" s="70"/>
      <c r="S55" s="47"/>
      <c r="T55" s="75"/>
      <c r="U55" s="69"/>
      <c r="V55" s="72"/>
      <c r="W55" s="47"/>
      <c r="X55" s="75"/>
      <c r="Y55" s="69"/>
      <c r="Z55" s="69"/>
      <c r="AA55" s="69"/>
      <c r="AB55" s="69"/>
      <c r="AC55" s="69"/>
      <c r="AD55" s="69"/>
    </row>
    <row r="56" spans="2:30" ht="14.25" customHeight="1" x14ac:dyDescent="0.25">
      <c r="B56" s="70"/>
      <c r="C56" s="70"/>
      <c r="D56" s="102"/>
      <c r="E56" s="68"/>
      <c r="F56" s="68"/>
      <c r="G56" s="68"/>
      <c r="H56" s="47"/>
      <c r="I56" s="68"/>
      <c r="J56" s="68"/>
      <c r="K56" s="68"/>
      <c r="L56" s="68"/>
      <c r="M56" s="68"/>
      <c r="N56" s="68"/>
      <c r="O56" s="68"/>
      <c r="P56" s="68"/>
      <c r="Q56" s="70"/>
      <c r="R56" s="70"/>
      <c r="S56" s="47"/>
      <c r="T56" s="75"/>
      <c r="U56" s="69"/>
      <c r="V56" s="72"/>
      <c r="W56" s="47"/>
      <c r="X56" s="75"/>
      <c r="Y56" s="69"/>
      <c r="Z56" s="69"/>
      <c r="AA56" s="69"/>
      <c r="AB56" s="69"/>
      <c r="AC56" s="69"/>
      <c r="AD56" s="69"/>
    </row>
    <row r="57" spans="2:30" ht="14.25" customHeight="1" x14ac:dyDescent="0.25">
      <c r="B57" s="70"/>
      <c r="C57" s="70"/>
      <c r="D57" s="102"/>
      <c r="E57" s="68"/>
      <c r="F57" s="68"/>
      <c r="G57" s="68"/>
      <c r="H57" s="47"/>
      <c r="I57" s="68"/>
      <c r="J57" s="68"/>
      <c r="K57" s="68"/>
      <c r="L57" s="68"/>
      <c r="M57" s="68"/>
      <c r="N57" s="68"/>
      <c r="O57" s="68"/>
      <c r="P57" s="68"/>
      <c r="Q57" s="70"/>
      <c r="R57" s="70"/>
      <c r="S57" s="47"/>
      <c r="T57" s="75"/>
      <c r="U57" s="69"/>
      <c r="V57" s="72"/>
      <c r="W57" s="47"/>
      <c r="X57" s="75"/>
      <c r="Y57" s="69"/>
      <c r="Z57" s="69"/>
      <c r="AA57" s="69"/>
      <c r="AB57" s="69"/>
      <c r="AC57" s="69"/>
      <c r="AD57" s="69"/>
    </row>
    <row r="58" spans="2:30" ht="14.25" customHeight="1" x14ac:dyDescent="0.25">
      <c r="B58" s="70"/>
      <c r="C58" s="70"/>
      <c r="D58" s="102"/>
      <c r="E58" s="68"/>
      <c r="F58" s="68"/>
      <c r="G58" s="68"/>
      <c r="H58" s="47"/>
      <c r="I58" s="68"/>
      <c r="J58" s="68"/>
      <c r="K58" s="68"/>
      <c r="L58" s="68"/>
      <c r="M58" s="68"/>
      <c r="N58" s="68"/>
      <c r="O58" s="68"/>
      <c r="P58" s="68"/>
      <c r="Q58" s="70"/>
      <c r="R58" s="70"/>
      <c r="S58" s="47"/>
      <c r="T58" s="75"/>
      <c r="U58" s="69"/>
      <c r="V58" s="72"/>
      <c r="W58" s="47"/>
      <c r="X58" s="75"/>
      <c r="Y58" s="69"/>
      <c r="Z58" s="69"/>
      <c r="AA58" s="69"/>
      <c r="AB58" s="69"/>
      <c r="AC58" s="69"/>
      <c r="AD58" s="69"/>
    </row>
    <row r="59" spans="2:30" ht="14.25" customHeight="1" x14ac:dyDescent="0.25">
      <c r="B59" s="70"/>
      <c r="C59" s="70"/>
      <c r="D59" s="102"/>
      <c r="E59" s="68"/>
      <c r="F59" s="68"/>
      <c r="G59" s="68"/>
      <c r="H59" s="47"/>
      <c r="I59" s="68"/>
      <c r="J59" s="68"/>
      <c r="K59" s="68"/>
      <c r="L59" s="68"/>
      <c r="M59" s="68"/>
      <c r="N59" s="68"/>
      <c r="O59" s="68"/>
      <c r="P59" s="68"/>
      <c r="Q59" s="70"/>
      <c r="R59" s="70"/>
      <c r="S59" s="47"/>
      <c r="T59" s="75"/>
      <c r="U59" s="69"/>
      <c r="V59" s="72"/>
      <c r="W59" s="47"/>
      <c r="X59" s="75"/>
      <c r="Y59" s="69"/>
      <c r="Z59" s="69"/>
      <c r="AA59" s="69"/>
      <c r="AB59" s="69"/>
      <c r="AC59" s="69"/>
      <c r="AD59" s="69"/>
    </row>
    <row r="60" spans="2:30" ht="14.25" customHeight="1" x14ac:dyDescent="0.25">
      <c r="B60" s="70"/>
      <c r="C60" s="70"/>
      <c r="D60" s="102"/>
      <c r="E60" s="68"/>
      <c r="F60" s="68"/>
      <c r="G60" s="68"/>
      <c r="H60" s="47"/>
      <c r="I60" s="68"/>
      <c r="J60" s="68"/>
      <c r="K60" s="68"/>
      <c r="L60" s="68"/>
      <c r="M60" s="68"/>
      <c r="N60" s="68"/>
      <c r="O60" s="68"/>
      <c r="P60" s="68"/>
      <c r="Q60" s="70"/>
      <c r="R60" s="70"/>
      <c r="S60" s="47"/>
      <c r="T60" s="75"/>
      <c r="U60" s="69"/>
      <c r="V60" s="72"/>
      <c r="W60" s="47"/>
      <c r="X60" s="75"/>
      <c r="Y60" s="69"/>
      <c r="Z60" s="69"/>
      <c r="AA60" s="69"/>
      <c r="AB60" s="69"/>
      <c r="AC60" s="69"/>
      <c r="AD60" s="69"/>
    </row>
    <row r="61" spans="2:30" x14ac:dyDescent="0.25">
      <c r="B61" s="70"/>
      <c r="C61" s="70"/>
      <c r="D61" s="102"/>
      <c r="E61" s="68"/>
      <c r="F61" s="68"/>
      <c r="G61" s="68"/>
      <c r="H61" s="47"/>
      <c r="I61" s="68"/>
      <c r="J61" s="68"/>
      <c r="K61" s="68"/>
      <c r="L61" s="68"/>
      <c r="M61" s="68"/>
      <c r="N61" s="70"/>
      <c r="O61" s="68"/>
      <c r="P61" s="68"/>
      <c r="Q61" s="70"/>
      <c r="R61" s="70"/>
      <c r="S61" s="47"/>
      <c r="T61" s="75"/>
      <c r="U61" s="69"/>
      <c r="V61" s="72"/>
      <c r="W61" s="47"/>
      <c r="X61" s="75"/>
      <c r="Y61" s="69"/>
      <c r="Z61" s="69"/>
      <c r="AA61" s="69"/>
      <c r="AB61" s="69"/>
      <c r="AC61" s="69"/>
      <c r="AD61" s="69"/>
    </row>
    <row r="62" spans="2:30" ht="14.25" customHeight="1" x14ac:dyDescent="0.25">
      <c r="B62" s="70"/>
      <c r="C62" s="70"/>
      <c r="D62" s="102"/>
      <c r="E62" s="68"/>
      <c r="F62" s="68"/>
      <c r="G62" s="68"/>
      <c r="H62" s="47"/>
      <c r="I62" s="68"/>
      <c r="J62" s="68"/>
      <c r="K62" s="68"/>
      <c r="L62" s="68"/>
      <c r="M62" s="68"/>
      <c r="N62" s="68"/>
      <c r="O62" s="68"/>
      <c r="P62" s="68"/>
      <c r="Q62" s="70"/>
      <c r="R62" s="70"/>
      <c r="S62" s="47"/>
      <c r="T62" s="75"/>
      <c r="U62" s="69"/>
      <c r="V62" s="72"/>
      <c r="W62" s="47"/>
      <c r="X62" s="75"/>
      <c r="Y62" s="69"/>
      <c r="Z62" s="69"/>
      <c r="AA62" s="69"/>
      <c r="AB62" s="69"/>
      <c r="AC62" s="69"/>
      <c r="AD62" s="69"/>
    </row>
    <row r="63" spans="2:30" ht="14.25" customHeight="1" x14ac:dyDescent="0.25">
      <c r="B63" s="70"/>
      <c r="C63" s="70"/>
      <c r="D63" s="102"/>
      <c r="E63" s="68"/>
      <c r="F63" s="68"/>
      <c r="G63" s="68"/>
      <c r="H63" s="47"/>
      <c r="I63" s="68"/>
      <c r="J63" s="68"/>
      <c r="K63" s="68"/>
      <c r="L63" s="68"/>
      <c r="M63" s="68"/>
      <c r="N63" s="68"/>
      <c r="O63" s="68"/>
      <c r="P63" s="68"/>
      <c r="Q63" s="70"/>
      <c r="R63" s="70"/>
      <c r="S63" s="47"/>
      <c r="T63" s="75"/>
      <c r="U63" s="69"/>
      <c r="V63" s="72"/>
      <c r="W63" s="47"/>
      <c r="X63" s="75"/>
      <c r="Y63" s="69"/>
      <c r="Z63" s="69"/>
      <c r="AA63" s="69"/>
      <c r="AB63" s="69"/>
      <c r="AC63" s="69"/>
      <c r="AD63" s="69"/>
    </row>
    <row r="64" spans="2:30" ht="14.25" customHeight="1" x14ac:dyDescent="0.25">
      <c r="B64" s="70"/>
      <c r="C64" s="70"/>
      <c r="D64" s="102"/>
      <c r="E64" s="68"/>
      <c r="F64" s="68"/>
      <c r="G64" s="68"/>
      <c r="H64" s="47"/>
      <c r="I64" s="68"/>
      <c r="J64" s="68"/>
      <c r="K64" s="68"/>
      <c r="L64" s="68"/>
      <c r="M64" s="68"/>
      <c r="N64" s="68"/>
      <c r="O64" s="68"/>
      <c r="P64" s="68"/>
      <c r="Q64" s="70"/>
      <c r="R64" s="70"/>
      <c r="S64" s="47"/>
      <c r="T64" s="75"/>
      <c r="U64" s="69"/>
      <c r="V64" s="72"/>
      <c r="W64" s="47"/>
      <c r="X64" s="75"/>
      <c r="Y64" s="69"/>
      <c r="Z64" s="69"/>
      <c r="AA64" s="69"/>
      <c r="AB64" s="69"/>
      <c r="AC64" s="69"/>
      <c r="AD64" s="69"/>
    </row>
    <row r="65" spans="2:30" ht="14.25" customHeight="1" x14ac:dyDescent="0.25">
      <c r="B65" s="70"/>
      <c r="C65" s="70"/>
      <c r="D65" s="102"/>
      <c r="E65" s="68"/>
      <c r="F65" s="68"/>
      <c r="G65" s="68"/>
      <c r="H65" s="47"/>
      <c r="I65" s="68"/>
      <c r="J65" s="68"/>
      <c r="K65" s="68"/>
      <c r="L65" s="68"/>
      <c r="M65" s="68"/>
      <c r="N65" s="68"/>
      <c r="O65" s="68"/>
      <c r="P65" s="68"/>
      <c r="Q65" s="70"/>
      <c r="R65" s="70"/>
      <c r="S65" s="47"/>
      <c r="T65" s="75"/>
      <c r="U65" s="69"/>
      <c r="V65" s="72"/>
      <c r="W65" s="47"/>
      <c r="X65" s="75"/>
      <c r="Y65" s="69"/>
      <c r="Z65" s="69"/>
      <c r="AA65" s="69"/>
      <c r="AB65" s="69"/>
      <c r="AC65" s="69"/>
      <c r="AD65" s="69"/>
    </row>
    <row r="66" spans="2:30" ht="14.25" customHeight="1" x14ac:dyDescent="0.25">
      <c r="B66" s="70"/>
      <c r="C66" s="70"/>
      <c r="D66" s="102"/>
      <c r="E66" s="68"/>
      <c r="F66" s="68"/>
      <c r="G66" s="68"/>
      <c r="H66" s="47"/>
      <c r="I66" s="68"/>
      <c r="J66" s="68"/>
      <c r="K66" s="68"/>
      <c r="L66" s="68"/>
      <c r="M66" s="68"/>
      <c r="N66" s="68"/>
      <c r="O66" s="68"/>
      <c r="P66" s="68"/>
      <c r="Q66" s="70"/>
      <c r="R66" s="70"/>
      <c r="S66" s="47"/>
      <c r="T66" s="75"/>
      <c r="U66" s="69"/>
      <c r="V66" s="72"/>
      <c r="W66" s="47"/>
      <c r="X66" s="75"/>
      <c r="Y66" s="69"/>
      <c r="Z66" s="69"/>
      <c r="AA66" s="69"/>
      <c r="AB66" s="69"/>
      <c r="AC66" s="69"/>
      <c r="AD66" s="69"/>
    </row>
    <row r="67" spans="2:30" ht="14.25" customHeight="1" x14ac:dyDescent="0.25">
      <c r="B67" s="70"/>
      <c r="C67" s="70"/>
      <c r="D67" s="102"/>
      <c r="E67" s="68"/>
      <c r="F67" s="68"/>
      <c r="G67" s="68"/>
      <c r="H67" s="47"/>
      <c r="I67" s="68"/>
      <c r="J67" s="68"/>
      <c r="K67" s="68"/>
      <c r="L67" s="68"/>
      <c r="M67" s="68"/>
      <c r="N67" s="68"/>
      <c r="O67" s="68"/>
      <c r="P67" s="68"/>
      <c r="Q67" s="70"/>
      <c r="R67" s="70"/>
      <c r="S67" s="47"/>
      <c r="T67" s="75"/>
      <c r="U67" s="69"/>
      <c r="V67" s="72"/>
      <c r="W67" s="47"/>
      <c r="X67" s="75"/>
      <c r="Y67" s="69"/>
      <c r="Z67" s="69"/>
      <c r="AA67" s="69"/>
      <c r="AB67" s="69"/>
      <c r="AC67" s="69"/>
      <c r="AD67" s="69"/>
    </row>
    <row r="68" spans="2:30" ht="14.25" customHeight="1" x14ac:dyDescent="0.25">
      <c r="B68" s="70"/>
      <c r="C68" s="70"/>
      <c r="D68" s="102"/>
      <c r="E68" s="68"/>
      <c r="F68" s="68"/>
      <c r="G68" s="68"/>
      <c r="H68" s="47"/>
      <c r="I68" s="68"/>
      <c r="J68" s="68"/>
      <c r="K68" s="68"/>
      <c r="L68" s="68"/>
      <c r="M68" s="68"/>
      <c r="N68" s="68"/>
      <c r="O68" s="68"/>
      <c r="P68" s="68"/>
      <c r="Q68" s="70"/>
      <c r="R68" s="70"/>
      <c r="S68" s="47"/>
      <c r="T68" s="75"/>
      <c r="U68" s="69"/>
      <c r="V68" s="72"/>
      <c r="W68" s="47"/>
      <c r="X68" s="75"/>
      <c r="Y68" s="69"/>
      <c r="Z68" s="69"/>
      <c r="AA68" s="69"/>
      <c r="AB68" s="69"/>
      <c r="AC68" s="69"/>
      <c r="AD68" s="69"/>
    </row>
    <row r="69" spans="2:30" ht="14.25" customHeight="1" x14ac:dyDescent="0.25">
      <c r="B69" s="70"/>
      <c r="C69" s="70"/>
      <c r="D69" s="102"/>
      <c r="E69" s="68"/>
      <c r="F69" s="68"/>
      <c r="G69" s="68"/>
      <c r="H69" s="47"/>
      <c r="I69" s="68"/>
      <c r="J69" s="68"/>
      <c r="K69" s="68"/>
      <c r="L69" s="68"/>
      <c r="M69" s="68"/>
      <c r="N69" s="68"/>
      <c r="O69" s="68"/>
      <c r="P69" s="68"/>
      <c r="Q69" s="70"/>
      <c r="R69" s="70"/>
      <c r="S69" s="47"/>
      <c r="T69" s="75"/>
      <c r="U69" s="69"/>
      <c r="V69" s="72"/>
      <c r="W69" s="47"/>
      <c r="X69" s="75"/>
      <c r="Y69" s="69"/>
      <c r="Z69" s="69"/>
      <c r="AA69" s="69"/>
      <c r="AB69" s="69"/>
      <c r="AC69" s="69"/>
      <c r="AD69" s="69"/>
    </row>
    <row r="70" spans="2:30" x14ac:dyDescent="0.25">
      <c r="B70" s="70"/>
      <c r="C70" s="70"/>
      <c r="D70" s="102"/>
      <c r="E70" s="68"/>
      <c r="F70" s="68"/>
      <c r="G70" s="68"/>
      <c r="H70" s="47"/>
      <c r="I70" s="68"/>
      <c r="J70" s="68"/>
      <c r="K70" s="68"/>
      <c r="L70" s="68"/>
      <c r="M70" s="68"/>
      <c r="N70" s="70"/>
      <c r="O70" s="68"/>
      <c r="P70" s="68"/>
      <c r="Q70" s="70"/>
      <c r="R70" s="70"/>
      <c r="S70" s="47"/>
      <c r="T70" s="76"/>
      <c r="U70" s="69"/>
      <c r="V70" s="72"/>
      <c r="W70" s="47"/>
      <c r="X70" s="76"/>
      <c r="Y70" s="69"/>
      <c r="Z70" s="69"/>
      <c r="AA70" s="69"/>
      <c r="AB70" s="69"/>
      <c r="AC70" s="69"/>
      <c r="AD70" s="69"/>
    </row>
    <row r="71" spans="2:30" x14ac:dyDescent="0.25">
      <c r="B71" s="70"/>
      <c r="C71" s="70"/>
      <c r="D71" s="102"/>
      <c r="E71" s="68"/>
      <c r="F71" s="68"/>
      <c r="G71" s="68"/>
      <c r="H71" s="47"/>
      <c r="I71" s="68"/>
      <c r="J71" s="68"/>
      <c r="K71" s="68"/>
      <c r="L71" s="68"/>
      <c r="M71" s="68"/>
      <c r="N71" s="68"/>
      <c r="O71" s="68"/>
      <c r="P71" s="68"/>
      <c r="Q71" s="70"/>
      <c r="R71" s="70"/>
      <c r="S71" s="47"/>
      <c r="T71" s="76"/>
      <c r="U71" s="69"/>
      <c r="V71" s="72"/>
      <c r="W71" s="47"/>
      <c r="X71" s="76"/>
      <c r="Y71" s="69"/>
      <c r="Z71" s="69"/>
      <c r="AA71" s="69"/>
      <c r="AB71" s="69"/>
      <c r="AC71" s="69"/>
      <c r="AD71" s="69"/>
    </row>
    <row r="72" spans="2:30" ht="14.25" customHeight="1" x14ac:dyDescent="0.25">
      <c r="B72" s="68"/>
      <c r="C72" s="68"/>
      <c r="D72" s="68"/>
      <c r="E72" s="68"/>
      <c r="F72" s="68"/>
      <c r="G72" s="68"/>
      <c r="H72" s="47"/>
      <c r="I72" s="68"/>
      <c r="J72" s="68"/>
      <c r="K72" s="68"/>
      <c r="L72" s="68"/>
      <c r="M72" s="68"/>
      <c r="N72" s="68"/>
      <c r="O72" s="68"/>
      <c r="P72" s="68"/>
      <c r="Q72" s="70"/>
      <c r="R72" s="70"/>
      <c r="S72" s="47"/>
      <c r="T72" s="141"/>
      <c r="U72" s="69"/>
      <c r="V72" s="72"/>
      <c r="W72" s="47"/>
      <c r="X72" s="141"/>
      <c r="Y72" s="69"/>
      <c r="Z72" s="69"/>
      <c r="AA72" s="69"/>
      <c r="AB72" s="69"/>
      <c r="AC72" s="69"/>
      <c r="AD72" s="69"/>
    </row>
    <row r="73" spans="2:30" ht="14.25" customHeight="1" x14ac:dyDescent="0.25">
      <c r="B73" s="68"/>
      <c r="C73" s="68"/>
      <c r="D73" s="68"/>
      <c r="E73" s="68"/>
      <c r="F73" s="68"/>
      <c r="G73" s="68"/>
      <c r="H73" s="47"/>
      <c r="I73" s="68"/>
      <c r="J73" s="68"/>
      <c r="K73" s="68"/>
      <c r="L73" s="68"/>
      <c r="M73" s="68"/>
      <c r="N73" s="68"/>
      <c r="O73" s="68"/>
      <c r="P73" s="68"/>
      <c r="Q73" s="70"/>
      <c r="R73" s="70"/>
      <c r="S73" s="47"/>
      <c r="T73" s="141"/>
      <c r="U73" s="69"/>
      <c r="V73" s="72"/>
      <c r="W73" s="47"/>
      <c r="X73" s="141"/>
      <c r="Y73" s="69"/>
      <c r="Z73" s="69"/>
      <c r="AA73" s="69"/>
      <c r="AB73" s="69"/>
      <c r="AC73" s="69"/>
      <c r="AD73" s="69"/>
    </row>
    <row r="74" spans="2:30" ht="14.25" customHeight="1" x14ac:dyDescent="0.25">
      <c r="B74" s="68"/>
      <c r="C74" s="68"/>
      <c r="D74" s="68"/>
      <c r="E74" s="68"/>
      <c r="F74" s="68"/>
      <c r="G74" s="68"/>
      <c r="H74" s="47"/>
      <c r="I74" s="68"/>
      <c r="J74" s="68"/>
      <c r="K74" s="68"/>
      <c r="L74" s="68"/>
      <c r="M74" s="68"/>
      <c r="N74" s="68"/>
      <c r="O74" s="68"/>
      <c r="P74" s="68"/>
      <c r="Q74" s="70"/>
      <c r="R74" s="70"/>
      <c r="S74" s="47"/>
      <c r="T74" s="141"/>
      <c r="U74" s="69"/>
      <c r="V74" s="72"/>
      <c r="W74" s="47"/>
      <c r="X74" s="141"/>
      <c r="Y74" s="69"/>
      <c r="Z74" s="69"/>
      <c r="AA74" s="69"/>
      <c r="AB74" s="69"/>
      <c r="AC74" s="69"/>
      <c r="AD74" s="69"/>
    </row>
    <row r="75" spans="2:30" ht="14.25" customHeight="1" x14ac:dyDescent="0.25">
      <c r="B75" s="68"/>
      <c r="C75" s="68"/>
      <c r="D75" s="68"/>
      <c r="E75" s="68"/>
      <c r="F75" s="68"/>
      <c r="G75" s="68"/>
      <c r="H75" s="47"/>
      <c r="I75" s="68"/>
      <c r="J75" s="68"/>
      <c r="K75" s="68"/>
      <c r="L75" s="68"/>
      <c r="M75" s="68"/>
      <c r="N75" s="68"/>
      <c r="O75" s="68"/>
      <c r="P75" s="68"/>
      <c r="Q75" s="70"/>
      <c r="R75" s="70"/>
      <c r="S75" s="47"/>
      <c r="T75" s="68"/>
      <c r="U75" s="69"/>
      <c r="V75" s="72"/>
      <c r="W75" s="47"/>
      <c r="X75" s="68"/>
      <c r="Y75" s="69"/>
      <c r="Z75" s="69"/>
      <c r="AA75" s="69"/>
      <c r="AB75" s="69"/>
      <c r="AC75" s="69"/>
      <c r="AD75" s="69"/>
    </row>
    <row r="76" spans="2:30" ht="14.25" customHeight="1" x14ac:dyDescent="0.25">
      <c r="B76" s="68"/>
      <c r="C76" s="68"/>
      <c r="D76" s="68"/>
      <c r="E76" s="68"/>
      <c r="F76" s="68"/>
      <c r="G76" s="68"/>
      <c r="H76" s="47"/>
      <c r="I76" s="68"/>
      <c r="J76" s="68"/>
      <c r="K76" s="68"/>
      <c r="L76" s="68"/>
      <c r="M76" s="68"/>
      <c r="N76" s="68"/>
      <c r="O76" s="68"/>
      <c r="P76" s="68"/>
      <c r="Q76" s="70"/>
      <c r="R76" s="70"/>
      <c r="S76" s="47"/>
      <c r="T76" s="68"/>
      <c r="U76" s="69"/>
      <c r="V76" s="72"/>
      <c r="W76" s="47"/>
      <c r="X76" s="68"/>
      <c r="Y76" s="69"/>
      <c r="Z76" s="69"/>
      <c r="AA76" s="69"/>
      <c r="AB76" s="69"/>
      <c r="AC76" s="69"/>
      <c r="AD76" s="69"/>
    </row>
    <row r="77" spans="2:30" ht="14.25" customHeight="1" x14ac:dyDescent="0.25">
      <c r="B77" s="68"/>
      <c r="C77" s="68"/>
      <c r="D77" s="68"/>
      <c r="E77" s="68"/>
      <c r="F77" s="68"/>
      <c r="G77" s="68"/>
      <c r="H77" s="47"/>
      <c r="I77" s="68"/>
      <c r="J77" s="68"/>
      <c r="K77" s="68"/>
      <c r="L77" s="68"/>
      <c r="M77" s="68"/>
      <c r="N77" s="68"/>
      <c r="O77" s="68"/>
      <c r="P77" s="68"/>
      <c r="Q77" s="70"/>
      <c r="R77" s="70"/>
      <c r="S77" s="47"/>
      <c r="T77" s="68"/>
      <c r="U77" s="69"/>
      <c r="V77" s="72"/>
      <c r="W77" s="47"/>
      <c r="X77" s="68"/>
      <c r="Y77" s="69"/>
      <c r="Z77" s="69"/>
      <c r="AA77" s="69"/>
      <c r="AB77" s="69"/>
      <c r="AC77" s="69"/>
      <c r="AD77" s="69"/>
    </row>
  </sheetData>
  <autoFilter ref="B12:AD40"/>
  <mergeCells count="7">
    <mergeCell ref="X11:AD11"/>
    <mergeCell ref="C7:G7"/>
    <mergeCell ref="B11:G11"/>
    <mergeCell ref="I11:K11"/>
    <mergeCell ref="L11:N11"/>
    <mergeCell ref="O11:R11"/>
    <mergeCell ref="T11:V11"/>
  </mergeCells>
  <conditionalFormatting sqref="T13:T40">
    <cfRule type="cellIs" dxfId="205" priority="1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2" operator="equal" id="{A93680C6-7F9F-4A02-BFA8-689F97189B2C}">
            <xm:f>'Tabelas AUX'!$E$4</xm:f>
            <x14:dxf>
              <font>
                <color rgb="FF7F7F7F"/>
              </font>
            </x14:dxf>
          </x14:cfRule>
          <x14:cfRule type="cellIs" priority="53" operator="equal" id="{446B2783-C0F2-48DC-B230-DF83E88831CB}">
            <xm:f>'Tabelas AUX'!$E$3</xm:f>
            <x14:dxf>
              <font>
                <color theme="5"/>
              </font>
            </x14:dxf>
          </x14:cfRule>
          <x14:cfRule type="cellIs" priority="54" operator="equal" id="{965BE4BD-A52D-4F5B-BBA6-B51FEC4DCBC6}">
            <xm:f>'Tabelas AUX'!$E$2</xm:f>
            <x14:dxf>
              <font>
                <color rgb="FFC00000"/>
              </font>
            </x14:dxf>
          </x14:cfRule>
          <xm:sqref>X13:X35 T49:T56 T59:T77</xm:sqref>
        </x14:conditionalFormatting>
        <x14:conditionalFormatting xmlns:xm="http://schemas.microsoft.com/office/excel/2006/main">
          <x14:cfRule type="cellIs" priority="34" operator="equal" id="{A110F944-0B43-40AA-B877-B070A5BE23FF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51" operator="equal" id="{7FBC3776-FCC3-4311-B7E9-752413B091BE}">
            <xm:f>'Tabelas AUX'!$E$5</xm:f>
            <x14:dxf>
              <font>
                <color rgb="FF00B050"/>
              </font>
            </x14:dxf>
          </x14:cfRule>
          <xm:sqref>X13:X77 T41:T77</xm:sqref>
        </x14:conditionalFormatting>
        <x14:conditionalFormatting xmlns:xm="http://schemas.microsoft.com/office/excel/2006/main">
          <x14:cfRule type="cellIs" priority="35" operator="equal" id="{F71310D2-194D-4C90-910E-5766629BC430}">
            <xm:f>'Tabelas AUX'!$E$5</xm:f>
            <x14:dxf>
              <font>
                <color rgb="FF00B050"/>
              </font>
            </x14:dxf>
          </x14:cfRule>
          <x14:cfRule type="cellIs" priority="36" operator="equal" id="{E0BD390E-0614-4BFC-BBF2-C618617F95C7}">
            <xm:f>'Tabelas AUX'!$E$4</xm:f>
            <x14:dxf>
              <font>
                <color rgb="FF7F7F7F"/>
              </font>
            </x14:dxf>
          </x14:cfRule>
          <x14:cfRule type="cellIs" priority="37" operator="equal" id="{A44AE700-8F3E-4F08-8046-A46A118B22F9}">
            <xm:f>'Tabelas AUX'!$E$3</xm:f>
            <x14:dxf>
              <font>
                <color theme="5"/>
              </font>
            </x14:dxf>
          </x14:cfRule>
          <x14:cfRule type="cellIs" priority="38" operator="equal" id="{A6AAD45F-5476-40DA-AA08-061AE03AAF6B}">
            <xm:f>'Tabelas AUX'!$E$2</xm:f>
            <x14:dxf>
              <font>
                <color rgb="FFC00000"/>
              </font>
            </x14:dxf>
          </x14:cfRule>
          <xm:sqref>T41:T48</xm:sqref>
        </x14:conditionalFormatting>
        <x14:conditionalFormatting xmlns:xm="http://schemas.microsoft.com/office/excel/2006/main">
          <x14:cfRule type="cellIs" priority="43" operator="equal" id="{7D613669-999C-4094-A724-BB22815FD40F}">
            <xm:f>'Tabelas AUX'!$E$5</xm:f>
            <x14:dxf>
              <font>
                <color rgb="FF00B050"/>
              </font>
            </x14:dxf>
          </x14:cfRule>
          <x14:cfRule type="cellIs" priority="44" operator="equal" id="{55508FB7-59A5-4186-B53E-2418716D3566}">
            <xm:f>'Tabelas AUX'!$E$4</xm:f>
            <x14:dxf>
              <font>
                <color rgb="FF7F7F7F"/>
              </font>
            </x14:dxf>
          </x14:cfRule>
          <x14:cfRule type="cellIs" priority="45" operator="equal" id="{B8EE8935-D87B-4545-858F-4F39E7F1E492}">
            <xm:f>'Tabelas AUX'!$E$3</xm:f>
            <x14:dxf>
              <font>
                <color theme="5"/>
              </font>
            </x14:dxf>
          </x14:cfRule>
          <x14:cfRule type="cellIs" priority="46" operator="equal" id="{12CB0E79-0F0A-4BF8-BE0B-D63BA4C74B69}">
            <xm:f>'Tabelas AUX'!$E$2</xm:f>
            <x14:dxf>
              <font>
                <color rgb="FFC00000"/>
              </font>
            </x14:dxf>
          </x14:cfRule>
          <xm:sqref>T57:T58</xm:sqref>
        </x14:conditionalFormatting>
        <x14:conditionalFormatting xmlns:xm="http://schemas.microsoft.com/office/excel/2006/main">
          <x14:cfRule type="cellIs" priority="33" operator="equal" id="{2F1C7345-D332-484C-9D64-36C2441C8EE5}">
            <xm:f>'Tabelas AUX'!$E$8</xm:f>
            <x14:dxf>
              <font>
                <color theme="8"/>
              </font>
            </x14:dxf>
          </x14:cfRule>
          <xm:sqref>X13:X77 T41:T77</xm:sqref>
        </x14:conditionalFormatting>
        <x14:conditionalFormatting xmlns:xm="http://schemas.microsoft.com/office/excel/2006/main">
          <x14:cfRule type="cellIs" priority="13" operator="equal" id="{5D4D8E3A-5FA2-45E4-9B4F-D4398BB291D5}">
            <xm:f>'Tabelas AUX'!$E$5</xm:f>
            <x14:dxf>
              <font>
                <color rgb="FF00B050"/>
              </font>
            </x14:dxf>
          </x14:cfRule>
          <x14:cfRule type="cellIs" priority="14" operator="equal" id="{73FA4DF2-8D0F-4DAA-9C62-8F93CE63D58F}">
            <xm:f>'Tabelas AUX'!$E$4</xm:f>
            <x14:dxf>
              <font>
                <color rgb="FF7F7F7F"/>
              </font>
            </x14:dxf>
          </x14:cfRule>
          <x14:cfRule type="cellIs" priority="15" operator="equal" id="{6C038839-2843-48EE-AD84-3C8AC972481E}">
            <xm:f>'Tabelas AUX'!$E$3</xm:f>
            <x14:dxf>
              <font>
                <color theme="5"/>
              </font>
            </x14:dxf>
          </x14:cfRule>
          <x14:cfRule type="cellIs" priority="16" operator="equal" id="{5930110F-C880-42EA-8A7A-EAC3853CF3EA}">
            <xm:f>'Tabelas AUX'!$E$2</xm:f>
            <x14:dxf>
              <font>
                <color rgb="FFC00000"/>
              </font>
            </x14:dxf>
          </x14:cfRule>
          <xm:sqref>X36:X48</xm:sqref>
        </x14:conditionalFormatting>
        <x14:conditionalFormatting xmlns:xm="http://schemas.microsoft.com/office/excel/2006/main">
          <x14:cfRule type="cellIs" priority="22" operator="equal" id="{E0339B74-F9B3-4DD4-BD7A-65EEDE78BC14}">
            <xm:f>'Tabelas AUX'!$E$4</xm:f>
            <x14:dxf>
              <font>
                <color rgb="FF7F7F7F"/>
              </font>
            </x14:dxf>
          </x14:cfRule>
          <x14:cfRule type="cellIs" priority="23" operator="equal" id="{4EEFCC8C-BEA5-4E88-B3B4-A136555A5FCE}">
            <xm:f>'Tabelas AUX'!$E$3</xm:f>
            <x14:dxf>
              <font>
                <color theme="5"/>
              </font>
            </x14:dxf>
          </x14:cfRule>
          <x14:cfRule type="cellIs" priority="24" operator="equal" id="{AF4A3644-9AA5-4ACD-A5B7-FC6C42FAA754}">
            <xm:f>'Tabelas AUX'!$E$2</xm:f>
            <x14:dxf>
              <font>
                <color rgb="FFC00000"/>
              </font>
            </x14:dxf>
          </x14:cfRule>
          <xm:sqref>X49:X77</xm:sqref>
        </x14:conditionalFormatting>
        <x14:conditionalFormatting xmlns:xm="http://schemas.microsoft.com/office/excel/2006/main">
          <x14:cfRule type="cellIs" priority="21" operator="equal" id="{00D852CE-1449-41CB-8B51-B64028754712}">
            <xm:f>'Tabelas AUX'!$E$5</xm:f>
            <x14:dxf>
              <font>
                <color rgb="FF00B050"/>
              </font>
            </x14:dxf>
          </x14:cfRule>
          <xm:sqref>X57:X58</xm:sqref>
        </x14:conditionalFormatting>
        <x14:conditionalFormatting xmlns:xm="http://schemas.microsoft.com/office/excel/2006/main">
          <x14:cfRule type="cellIs" priority="2" operator="equal" id="{D59E6D23-3F2D-48BE-B435-0EB916878834}">
            <xm:f>'Tabelas AUX'!$E$5</xm:f>
            <x14:dxf>
              <font>
                <color rgb="FF00B050"/>
              </font>
            </x14:dxf>
          </x14:cfRule>
          <x14:cfRule type="cellIs" priority="3" operator="equal" id="{1A557CF8-8532-4B26-9FDF-89AB2A1E5BCF}">
            <xm:f>'Tabelas AUX'!$E$4</xm:f>
            <x14:dxf>
              <font>
                <color rgb="FF7F7F7F"/>
              </font>
            </x14:dxf>
          </x14:cfRule>
          <x14:cfRule type="cellIs" priority="4" operator="equal" id="{DD2BC4F5-B6B7-4A01-88B8-4C476D3678D0}">
            <xm:f>'Tabelas AUX'!$E$3</xm:f>
            <x14:dxf>
              <font>
                <color theme="5"/>
              </font>
            </x14:dxf>
          </x14:cfRule>
          <x14:cfRule type="cellIs" priority="5" operator="equal" id="{7502689B-5662-415F-B172-23C604279CEE}">
            <xm:f>'Tabelas AUX'!$E$2</xm:f>
            <x14:dxf>
              <font>
                <color rgb="FFC00000"/>
              </font>
            </x14:dxf>
          </x14:cfRule>
          <xm:sqref>T13:T40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'Tabelas AUX'!$E$2:$E$9</xm:f>
          </x14:formula1>
          <xm:sqref>T41:T77</xm:sqref>
        </x14:dataValidation>
        <x14:dataValidation type="list" allowBlank="1" showInputMessage="1" showErrorMessage="1">
          <x14:formula1>
            <xm:f>'Tabelas AUX'!$E$2:$E$5</xm:f>
          </x14:formula1>
          <xm:sqref>T13:T40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autoPageBreaks="0"/>
  </sheetPr>
  <dimension ref="A1:AD101"/>
  <sheetViews>
    <sheetView showGridLines="0" topLeftCell="H1" zoomScale="85" zoomScaleNormal="85" workbookViewId="0">
      <pane ySplit="12" topLeftCell="A13" activePane="bottomLeft" state="frozen"/>
      <selection activeCell="M69" sqref="M69"/>
      <selection pane="bottomLeft" activeCell="AA12" sqref="AA12:AC12"/>
    </sheetView>
  </sheetViews>
  <sheetFormatPr defaultRowHeight="15" outlineLevelRow="1" outlineLevelCol="1" x14ac:dyDescent="0.25"/>
  <cols>
    <col min="1" max="1" width="3.7109375" customWidth="1"/>
    <col min="2" max="2" width="23.28515625" bestFit="1" customWidth="1"/>
    <col min="3" max="3" width="9.42578125" bestFit="1" customWidth="1"/>
    <col min="4" max="4" width="27.5703125" bestFit="1" customWidth="1"/>
    <col min="5" max="5" width="17" bestFit="1" customWidth="1"/>
    <col min="6" max="6" width="44.28515625" bestFit="1" customWidth="1"/>
    <col min="7" max="7" width="12.7109375" customWidth="1"/>
    <col min="8" max="8" width="2" customWidth="1"/>
    <col min="9" max="9" width="27.85546875" hidden="1" customWidth="1" outlineLevel="1"/>
    <col min="10" max="10" width="26.85546875" hidden="1" customWidth="1" outlineLevel="1"/>
    <col min="11" max="11" width="21" hidden="1" customWidth="1" outlineLevel="1"/>
    <col min="12" max="12" width="29.28515625" bestFit="1" customWidth="1" collapsed="1"/>
    <col min="13" max="13" width="44.5703125" customWidth="1"/>
    <col min="14" max="14" width="24.42578125" customWidth="1"/>
    <col min="15" max="15" width="20.28515625" hidden="1" customWidth="1" outlineLevel="1"/>
    <col min="16" max="17" width="42.42578125" hidden="1" customWidth="1" outlineLevel="1"/>
    <col min="18" max="18" width="30.5703125" hidden="1" customWidth="1" outlineLevel="1"/>
    <col min="19" max="19" width="2.140625" customWidth="1" collapsed="1"/>
    <col min="20" max="20" width="14.140625" customWidth="1" outlineLevel="1"/>
    <col min="21" max="21" width="15.42578125" customWidth="1" outlineLevel="1"/>
    <col min="22" max="22" width="42.7109375" customWidth="1" outlineLevel="1"/>
    <col min="23" max="23" width="2.140625" customWidth="1"/>
    <col min="24" max="24" width="10.28515625" customWidth="1" outlineLevel="1"/>
    <col min="25" max="25" width="24.85546875" customWidth="1" outlineLevel="1"/>
    <col min="26" max="29" width="22.5703125" customWidth="1" outlineLevel="1"/>
    <col min="30" max="30" width="11.28515625" customWidth="1" outlineLevel="1"/>
  </cols>
  <sheetData>
    <row r="1" spans="1:30" ht="15" customHeight="1" x14ac:dyDescent="0.25">
      <c r="B1" s="47"/>
      <c r="C1" s="47"/>
      <c r="D1" s="47"/>
      <c r="F1" s="47"/>
      <c r="G1" s="47"/>
    </row>
    <row r="2" spans="1:30" ht="34.5" customHeight="1" x14ac:dyDescent="0.25">
      <c r="B2" s="47"/>
      <c r="C2" s="47"/>
      <c r="D2" s="48"/>
      <c r="F2" s="47"/>
      <c r="G2" s="47"/>
    </row>
    <row r="3" spans="1:30" ht="2.25" customHeight="1" x14ac:dyDescent="0.25">
      <c r="A3" s="20"/>
      <c r="B3" s="49"/>
      <c r="C3" s="49"/>
      <c r="D3" s="49"/>
      <c r="E3" s="49"/>
      <c r="F3" s="49"/>
      <c r="G3" s="49"/>
    </row>
    <row r="4" spans="1:30" ht="15" customHeight="1" x14ac:dyDescent="0.25">
      <c r="B4" s="47"/>
      <c r="C4" s="47"/>
      <c r="D4" s="47"/>
      <c r="F4" s="47"/>
      <c r="G4" s="47"/>
    </row>
    <row r="5" spans="1:30" ht="15" customHeight="1" x14ac:dyDescent="0.25">
      <c r="B5" s="50" t="s">
        <v>1541</v>
      </c>
      <c r="C5" s="50"/>
      <c r="D5" s="47"/>
      <c r="F5" s="47"/>
      <c r="G5" s="47"/>
    </row>
    <row r="6" spans="1:30" ht="15" customHeight="1" x14ac:dyDescent="0.25">
      <c r="B6" s="47"/>
      <c r="C6" s="47"/>
      <c r="D6" s="47"/>
      <c r="F6" s="47"/>
      <c r="G6" s="47"/>
    </row>
    <row r="7" spans="1:30" ht="144" hidden="1" customHeight="1" outlineLevel="1" x14ac:dyDescent="0.25">
      <c r="B7" s="51" t="s">
        <v>65</v>
      </c>
      <c r="C7" s="222" t="s">
        <v>1542</v>
      </c>
      <c r="D7" s="222"/>
      <c r="E7" s="222"/>
      <c r="F7" s="222"/>
      <c r="G7" s="222"/>
      <c r="H7" s="52"/>
      <c r="I7" s="52"/>
      <c r="S7" s="52"/>
      <c r="W7" s="52"/>
      <c r="X7" s="52"/>
    </row>
    <row r="8" spans="1:30" ht="15" hidden="1" customHeight="1" outlineLevel="1" x14ac:dyDescent="0.25">
      <c r="B8" s="47"/>
      <c r="C8" s="47"/>
      <c r="D8" s="47"/>
      <c r="F8" s="47"/>
      <c r="G8" s="47"/>
    </row>
    <row r="9" spans="1:30" ht="15" hidden="1" customHeight="1" outlineLevel="1" x14ac:dyDescent="0.25">
      <c r="B9" s="47"/>
      <c r="C9" s="47"/>
      <c r="D9" s="47"/>
      <c r="F9" s="47"/>
      <c r="G9" s="47"/>
    </row>
    <row r="10" spans="1:30" ht="15" hidden="1" customHeight="1" outlineLevel="1" x14ac:dyDescent="0.25">
      <c r="B10" s="47"/>
      <c r="C10" s="47"/>
      <c r="D10" s="47"/>
      <c r="F10" s="47"/>
      <c r="G10" s="47"/>
    </row>
    <row r="11" spans="1:30" collapsed="1" x14ac:dyDescent="0.25">
      <c r="B11" s="212" t="s">
        <v>67</v>
      </c>
      <c r="C11" s="213"/>
      <c r="D11" s="213"/>
      <c r="E11" s="213"/>
      <c r="F11" s="213"/>
      <c r="G11" s="214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  <c r="X11" s="207" t="s">
        <v>72</v>
      </c>
      <c r="Y11" s="208"/>
      <c r="Z11" s="208"/>
      <c r="AA11" s="208"/>
      <c r="AB11" s="208"/>
      <c r="AC11" s="208"/>
      <c r="AD11" s="209"/>
    </row>
    <row r="12" spans="1:30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  <c r="X12" s="61" t="s">
        <v>86</v>
      </c>
      <c r="Y12" s="61" t="s">
        <v>89</v>
      </c>
      <c r="Z12" s="61" t="s">
        <v>90</v>
      </c>
      <c r="AA12" s="61" t="s">
        <v>166</v>
      </c>
      <c r="AB12" s="61" t="s">
        <v>167</v>
      </c>
      <c r="AC12" s="61" t="s">
        <v>168</v>
      </c>
      <c r="AD12" s="61" t="s">
        <v>88</v>
      </c>
    </row>
    <row r="13" spans="1:30" ht="16.5" customHeight="1" x14ac:dyDescent="0.25">
      <c r="B13" s="70" t="s">
        <v>62</v>
      </c>
      <c r="C13" s="70">
        <v>1</v>
      </c>
      <c r="D13" s="73" t="s">
        <v>1008</v>
      </c>
      <c r="E13" s="70" t="s">
        <v>225</v>
      </c>
      <c r="F13" s="70"/>
      <c r="G13" s="73" t="s">
        <v>262</v>
      </c>
      <c r="H13" s="47"/>
      <c r="I13" s="70"/>
      <c r="J13" s="70"/>
      <c r="K13" s="70"/>
      <c r="L13" s="70" t="s">
        <v>29</v>
      </c>
      <c r="M13" s="70" t="s">
        <v>51</v>
      </c>
      <c r="N13" s="70"/>
      <c r="O13" s="70"/>
      <c r="P13" s="70"/>
      <c r="Q13" s="70"/>
      <c r="R13" s="70"/>
      <c r="S13" s="47"/>
      <c r="T13" s="75" t="s">
        <v>97</v>
      </c>
      <c r="U13" s="69">
        <v>44861</v>
      </c>
      <c r="V13" s="72"/>
      <c r="W13" s="47"/>
      <c r="X13" s="75"/>
      <c r="Y13" s="69"/>
      <c r="Z13" s="69"/>
      <c r="AA13" s="69"/>
      <c r="AB13" s="69"/>
      <c r="AC13" s="69"/>
      <c r="AD13" s="69"/>
    </row>
    <row r="14" spans="1:30" x14ac:dyDescent="0.25">
      <c r="B14" s="70" t="s">
        <v>62</v>
      </c>
      <c r="C14" s="70">
        <v>2</v>
      </c>
      <c r="D14" s="70" t="s">
        <v>1543</v>
      </c>
      <c r="E14" s="70" t="s">
        <v>225</v>
      </c>
      <c r="F14" s="70" t="s">
        <v>1544</v>
      </c>
      <c r="G14" s="73"/>
      <c r="H14" s="47"/>
      <c r="I14" s="70"/>
      <c r="J14" s="70"/>
      <c r="K14" s="70"/>
      <c r="L14" s="70" t="s">
        <v>29</v>
      </c>
      <c r="M14" s="70" t="s">
        <v>42</v>
      </c>
      <c r="N14" s="70" t="s">
        <v>1543</v>
      </c>
      <c r="O14" s="70"/>
      <c r="P14" s="70"/>
      <c r="Q14" s="70"/>
      <c r="R14" s="70"/>
      <c r="S14" s="47"/>
      <c r="T14" s="75" t="s">
        <v>97</v>
      </c>
      <c r="U14" s="69">
        <v>44861</v>
      </c>
      <c r="V14" s="72" t="s">
        <v>1507</v>
      </c>
      <c r="W14" s="47"/>
      <c r="X14" s="75"/>
      <c r="Y14" s="69"/>
      <c r="Z14" s="69"/>
      <c r="AA14" s="69"/>
      <c r="AB14" s="69"/>
      <c r="AC14" s="69"/>
      <c r="AD14" s="69"/>
    </row>
    <row r="15" spans="1:30" x14ac:dyDescent="0.25">
      <c r="B15" s="70" t="s">
        <v>62</v>
      </c>
      <c r="C15" s="70">
        <v>2</v>
      </c>
      <c r="D15" s="70" t="s">
        <v>1545</v>
      </c>
      <c r="E15" s="70" t="s">
        <v>225</v>
      </c>
      <c r="F15" s="70" t="s">
        <v>1546</v>
      </c>
      <c r="G15" s="73"/>
      <c r="H15" s="47"/>
      <c r="I15" s="70"/>
      <c r="J15" s="70"/>
      <c r="K15" s="70"/>
      <c r="L15" s="70" t="s">
        <v>29</v>
      </c>
      <c r="M15" s="70" t="s">
        <v>42</v>
      </c>
      <c r="N15" s="70" t="s">
        <v>1545</v>
      </c>
      <c r="O15" s="70"/>
      <c r="P15" s="70"/>
      <c r="Q15" s="70"/>
      <c r="R15" s="70"/>
      <c r="S15" s="47"/>
      <c r="T15" s="75" t="s">
        <v>97</v>
      </c>
      <c r="U15" s="69">
        <v>44861</v>
      </c>
      <c r="V15" s="72" t="s">
        <v>1547</v>
      </c>
      <c r="W15" s="47"/>
      <c r="X15" s="75"/>
      <c r="Y15" s="69"/>
      <c r="Z15" s="69"/>
      <c r="AA15" s="69"/>
      <c r="AB15" s="69"/>
      <c r="AC15" s="69"/>
      <c r="AD15" s="69"/>
    </row>
    <row r="16" spans="1:30" ht="30" x14ac:dyDescent="0.25">
      <c r="B16" s="70" t="s">
        <v>62</v>
      </c>
      <c r="C16" s="70">
        <v>3</v>
      </c>
      <c r="D16" s="70" t="s">
        <v>648</v>
      </c>
      <c r="E16" s="70" t="s">
        <v>225</v>
      </c>
      <c r="F16" s="70" t="s">
        <v>1548</v>
      </c>
      <c r="G16" s="73"/>
      <c r="H16" s="47"/>
      <c r="I16" s="70"/>
      <c r="J16" s="70"/>
      <c r="K16" s="70"/>
      <c r="L16" s="70" t="s">
        <v>29</v>
      </c>
      <c r="M16" s="70" t="s">
        <v>42</v>
      </c>
      <c r="N16" s="70" t="s">
        <v>648</v>
      </c>
      <c r="O16" s="70"/>
      <c r="P16" s="70"/>
      <c r="Q16" s="70"/>
      <c r="R16" s="70"/>
      <c r="S16" s="47"/>
      <c r="T16" s="75" t="s">
        <v>97</v>
      </c>
      <c r="U16" s="69">
        <v>44861</v>
      </c>
      <c r="V16" s="72" t="s">
        <v>1547</v>
      </c>
      <c r="W16" s="47"/>
      <c r="X16" s="75"/>
      <c r="Y16" s="69"/>
      <c r="Z16" s="69"/>
      <c r="AA16" s="69"/>
      <c r="AB16" s="69"/>
      <c r="AC16" s="69"/>
      <c r="AD16" s="69"/>
    </row>
    <row r="17" spans="2:30" x14ac:dyDescent="0.25">
      <c r="B17" s="70" t="s">
        <v>62</v>
      </c>
      <c r="C17" s="70">
        <v>4</v>
      </c>
      <c r="D17" s="70" t="s">
        <v>1549</v>
      </c>
      <c r="E17" s="70" t="s">
        <v>225</v>
      </c>
      <c r="F17" s="70" t="s">
        <v>1550</v>
      </c>
      <c r="G17" s="73"/>
      <c r="H17" s="47"/>
      <c r="I17" s="70"/>
      <c r="J17" s="70"/>
      <c r="K17" s="70"/>
      <c r="L17" s="70" t="s">
        <v>29</v>
      </c>
      <c r="M17" s="70" t="s">
        <v>42</v>
      </c>
      <c r="N17" s="70" t="s">
        <v>1549</v>
      </c>
      <c r="O17" s="70"/>
      <c r="P17" s="70"/>
      <c r="Q17" s="70"/>
      <c r="R17" s="70"/>
      <c r="S17" s="47"/>
      <c r="T17" s="75" t="s">
        <v>97</v>
      </c>
      <c r="U17" s="69">
        <v>44861</v>
      </c>
      <c r="V17" s="72" t="s">
        <v>1547</v>
      </c>
      <c r="W17" s="47"/>
      <c r="X17" s="75"/>
      <c r="Y17" s="69"/>
      <c r="Z17" s="69"/>
      <c r="AA17" s="69"/>
      <c r="AB17" s="69"/>
      <c r="AC17" s="69"/>
      <c r="AD17" s="69"/>
    </row>
    <row r="18" spans="2:30" x14ac:dyDescent="0.25">
      <c r="B18" s="70" t="s">
        <v>62</v>
      </c>
      <c r="C18" s="70">
        <v>5</v>
      </c>
      <c r="D18" s="70" t="s">
        <v>625</v>
      </c>
      <c r="E18" s="68" t="s">
        <v>626</v>
      </c>
      <c r="F18" s="68" t="s">
        <v>1551</v>
      </c>
      <c r="G18" s="70"/>
      <c r="H18" s="47"/>
      <c r="I18" s="70"/>
      <c r="J18" s="70"/>
      <c r="K18" s="70"/>
      <c r="L18" s="70" t="s">
        <v>29</v>
      </c>
      <c r="M18" s="70" t="s">
        <v>39</v>
      </c>
      <c r="N18" s="70" t="s">
        <v>625</v>
      </c>
      <c r="O18" s="70"/>
      <c r="P18" s="70"/>
      <c r="Q18" s="70" t="s">
        <v>1552</v>
      </c>
      <c r="R18" s="70"/>
      <c r="S18" s="47"/>
      <c r="T18" s="75" t="s">
        <v>97</v>
      </c>
      <c r="U18" s="69">
        <v>44929</v>
      </c>
      <c r="V18" s="72"/>
      <c r="W18" s="47"/>
      <c r="X18" s="75"/>
      <c r="Y18" s="69"/>
      <c r="Z18" s="69"/>
      <c r="AA18" s="69"/>
      <c r="AB18" s="69"/>
      <c r="AC18" s="69"/>
      <c r="AD18" s="69"/>
    </row>
    <row r="19" spans="2:30" ht="60" x14ac:dyDescent="0.25">
      <c r="B19" s="70" t="s">
        <v>62</v>
      </c>
      <c r="C19" s="70">
        <v>6</v>
      </c>
      <c r="D19" s="70" t="s">
        <v>1486</v>
      </c>
      <c r="E19" s="70"/>
      <c r="F19" s="70" t="s">
        <v>1486</v>
      </c>
      <c r="G19" s="70" t="s">
        <v>289</v>
      </c>
      <c r="H19" s="47"/>
      <c r="I19" s="70"/>
      <c r="J19" s="70"/>
      <c r="K19" s="70"/>
      <c r="L19" s="70" t="s">
        <v>29</v>
      </c>
      <c r="M19" s="70" t="s">
        <v>55</v>
      </c>
      <c r="N19" s="70"/>
      <c r="O19" s="70"/>
      <c r="P19" s="70"/>
      <c r="Q19" s="70"/>
      <c r="R19" s="70"/>
      <c r="S19" s="47"/>
      <c r="T19" s="75" t="s">
        <v>197</v>
      </c>
      <c r="U19" s="63">
        <v>45051</v>
      </c>
      <c r="V19" s="80" t="s">
        <v>1553</v>
      </c>
      <c r="W19" s="47"/>
      <c r="X19" s="75"/>
      <c r="Y19" s="69"/>
      <c r="Z19" s="69"/>
      <c r="AA19" s="69"/>
      <c r="AB19" s="69"/>
      <c r="AC19" s="69"/>
      <c r="AD19" s="69"/>
    </row>
    <row r="20" spans="2:30" ht="14.25" customHeight="1" x14ac:dyDescent="0.25">
      <c r="B20" s="70" t="s">
        <v>62</v>
      </c>
      <c r="C20" s="70">
        <v>7</v>
      </c>
      <c r="D20" s="70" t="s">
        <v>1488</v>
      </c>
      <c r="E20" s="70"/>
      <c r="F20" s="70" t="s">
        <v>1488</v>
      </c>
      <c r="G20" s="70" t="s">
        <v>289</v>
      </c>
      <c r="H20" s="47"/>
      <c r="I20" s="70"/>
      <c r="J20" s="70"/>
      <c r="K20" s="70"/>
      <c r="L20" s="70" t="s">
        <v>29</v>
      </c>
      <c r="M20" s="70" t="s">
        <v>55</v>
      </c>
      <c r="N20" s="70"/>
      <c r="O20" s="70"/>
      <c r="P20" s="70"/>
      <c r="Q20" s="70"/>
      <c r="R20" s="70"/>
      <c r="S20" s="47"/>
      <c r="T20" s="75" t="s">
        <v>197</v>
      </c>
      <c r="U20" s="63">
        <v>45051</v>
      </c>
      <c r="V20" s="80" t="s">
        <v>1553</v>
      </c>
      <c r="W20" s="47"/>
      <c r="X20" s="75"/>
      <c r="Y20" s="69"/>
      <c r="Z20" s="69"/>
      <c r="AA20" s="69"/>
      <c r="AB20" s="69"/>
      <c r="AC20" s="69"/>
      <c r="AD20" s="69"/>
    </row>
    <row r="21" spans="2:30" ht="30" x14ac:dyDescent="0.25">
      <c r="B21" s="70" t="s">
        <v>62</v>
      </c>
      <c r="C21" s="70">
        <v>8</v>
      </c>
      <c r="D21" s="70" t="s">
        <v>1489</v>
      </c>
      <c r="E21" s="70"/>
      <c r="F21" s="70" t="s">
        <v>1489</v>
      </c>
      <c r="G21" s="70"/>
      <c r="H21" s="47"/>
      <c r="I21" s="70"/>
      <c r="J21" s="70"/>
      <c r="K21" s="70"/>
      <c r="L21" s="70" t="s">
        <v>29</v>
      </c>
      <c r="M21" s="70" t="s">
        <v>55</v>
      </c>
      <c r="N21" s="70"/>
      <c r="O21" s="70"/>
      <c r="P21" s="70"/>
      <c r="Q21" s="70"/>
      <c r="R21" s="70"/>
      <c r="S21" s="47"/>
      <c r="T21" s="75" t="s">
        <v>197</v>
      </c>
      <c r="U21" s="63">
        <v>45051</v>
      </c>
      <c r="V21" s="80" t="s">
        <v>1553</v>
      </c>
      <c r="W21" s="47"/>
      <c r="X21" s="75"/>
      <c r="Y21" s="69"/>
      <c r="Z21" s="69"/>
      <c r="AA21" s="69"/>
      <c r="AB21" s="69"/>
      <c r="AC21" s="69"/>
      <c r="AD21" s="69"/>
    </row>
    <row r="22" spans="2:30" ht="60" x14ac:dyDescent="0.25">
      <c r="B22" s="70" t="s">
        <v>62</v>
      </c>
      <c r="C22" s="70">
        <v>9</v>
      </c>
      <c r="D22" s="70" t="s">
        <v>1490</v>
      </c>
      <c r="E22" s="70"/>
      <c r="F22" s="70" t="s">
        <v>1490</v>
      </c>
      <c r="G22" s="70" t="s">
        <v>289</v>
      </c>
      <c r="H22" s="47"/>
      <c r="I22" s="70"/>
      <c r="J22" s="70"/>
      <c r="K22" s="70"/>
      <c r="L22" s="70" t="s">
        <v>29</v>
      </c>
      <c r="M22" s="70" t="s">
        <v>55</v>
      </c>
      <c r="N22" s="70"/>
      <c r="O22" s="70"/>
      <c r="P22" s="70"/>
      <c r="Q22" s="70"/>
      <c r="R22" s="70"/>
      <c r="S22" s="47"/>
      <c r="T22" s="75" t="s">
        <v>197</v>
      </c>
      <c r="U22" s="63">
        <v>45051</v>
      </c>
      <c r="V22" s="80" t="s">
        <v>1553</v>
      </c>
      <c r="W22" s="47"/>
      <c r="X22" s="75"/>
      <c r="Y22" s="69"/>
      <c r="Z22" s="69"/>
      <c r="AA22" s="69"/>
      <c r="AB22" s="69"/>
      <c r="AC22" s="69"/>
      <c r="AD22" s="69"/>
    </row>
    <row r="23" spans="2:30" ht="60" x14ac:dyDescent="0.25">
      <c r="B23" s="70" t="s">
        <v>62</v>
      </c>
      <c r="C23" s="70">
        <v>10</v>
      </c>
      <c r="D23" s="70" t="s">
        <v>1491</v>
      </c>
      <c r="E23" s="70"/>
      <c r="F23" s="70" t="s">
        <v>1491</v>
      </c>
      <c r="G23" s="70" t="s">
        <v>289</v>
      </c>
      <c r="H23" s="47"/>
      <c r="I23" s="70"/>
      <c r="J23" s="70"/>
      <c r="K23" s="70"/>
      <c r="L23" s="70" t="s">
        <v>29</v>
      </c>
      <c r="M23" s="70" t="s">
        <v>55</v>
      </c>
      <c r="N23" s="70"/>
      <c r="O23" s="70"/>
      <c r="P23" s="70"/>
      <c r="Q23" s="70"/>
      <c r="R23" s="70"/>
      <c r="S23" s="47"/>
      <c r="T23" s="75" t="s">
        <v>197</v>
      </c>
      <c r="U23" s="63">
        <v>45051</v>
      </c>
      <c r="V23" s="80" t="s">
        <v>1553</v>
      </c>
      <c r="W23" s="47"/>
      <c r="X23" s="75"/>
      <c r="Y23" s="69"/>
      <c r="Z23" s="69"/>
      <c r="AA23" s="69"/>
      <c r="AB23" s="69"/>
      <c r="AC23" s="69"/>
      <c r="AD23" s="69"/>
    </row>
    <row r="24" spans="2:30" ht="30" x14ac:dyDescent="0.25">
      <c r="B24" s="70" t="s">
        <v>62</v>
      </c>
      <c r="C24" s="70">
        <v>11</v>
      </c>
      <c r="D24" s="70" t="s">
        <v>1492</v>
      </c>
      <c r="E24" s="70"/>
      <c r="F24" s="70" t="s">
        <v>1492</v>
      </c>
      <c r="G24" s="70"/>
      <c r="H24" s="47"/>
      <c r="I24" s="70"/>
      <c r="J24" s="70"/>
      <c r="K24" s="70"/>
      <c r="L24" s="70" t="s">
        <v>29</v>
      </c>
      <c r="M24" s="70" t="s">
        <v>55</v>
      </c>
      <c r="N24" s="70"/>
      <c r="O24" s="70"/>
      <c r="P24" s="70"/>
      <c r="Q24" s="70"/>
      <c r="R24" s="70"/>
      <c r="S24" s="47"/>
      <c r="T24" s="75" t="s">
        <v>197</v>
      </c>
      <c r="U24" s="63">
        <v>45051</v>
      </c>
      <c r="V24" s="80" t="s">
        <v>1553</v>
      </c>
      <c r="W24" s="47"/>
      <c r="X24" s="75"/>
      <c r="Y24" s="69"/>
      <c r="Z24" s="69"/>
      <c r="AA24" s="69"/>
      <c r="AB24" s="69"/>
      <c r="AC24" s="69"/>
      <c r="AD24" s="69"/>
    </row>
    <row r="25" spans="2:30" ht="30" x14ac:dyDescent="0.25">
      <c r="B25" s="70" t="s">
        <v>62</v>
      </c>
      <c r="C25" s="70">
        <v>12</v>
      </c>
      <c r="D25" s="70" t="s">
        <v>1493</v>
      </c>
      <c r="E25" s="70"/>
      <c r="F25" s="70" t="s">
        <v>1493</v>
      </c>
      <c r="G25" s="70"/>
      <c r="H25" s="47"/>
      <c r="I25" s="70"/>
      <c r="J25" s="70"/>
      <c r="K25" s="70"/>
      <c r="L25" s="70" t="s">
        <v>29</v>
      </c>
      <c r="M25" s="70" t="s">
        <v>55</v>
      </c>
      <c r="N25" s="70"/>
      <c r="O25" s="70"/>
      <c r="P25" s="70"/>
      <c r="Q25" s="70"/>
      <c r="R25" s="70"/>
      <c r="S25" s="47"/>
      <c r="T25" s="75" t="s">
        <v>197</v>
      </c>
      <c r="U25" s="63">
        <v>45051</v>
      </c>
      <c r="V25" s="80" t="s">
        <v>1553</v>
      </c>
      <c r="W25" s="47"/>
      <c r="X25" s="75"/>
      <c r="Y25" s="69"/>
      <c r="Z25" s="69"/>
      <c r="AA25" s="69"/>
      <c r="AB25" s="69"/>
      <c r="AC25" s="69"/>
      <c r="AD25" s="69"/>
    </row>
    <row r="26" spans="2:30" ht="30" x14ac:dyDescent="0.25">
      <c r="B26" s="70" t="s">
        <v>62</v>
      </c>
      <c r="C26" s="70">
        <v>13</v>
      </c>
      <c r="D26" s="70" t="s">
        <v>1494</v>
      </c>
      <c r="E26" s="70"/>
      <c r="F26" s="70" t="s">
        <v>1494</v>
      </c>
      <c r="G26" s="70"/>
      <c r="H26" s="47"/>
      <c r="I26" s="70"/>
      <c r="J26" s="70"/>
      <c r="K26" s="70"/>
      <c r="L26" s="70" t="s">
        <v>29</v>
      </c>
      <c r="M26" s="70" t="s">
        <v>55</v>
      </c>
      <c r="N26" s="70"/>
      <c r="O26" s="70"/>
      <c r="P26" s="70"/>
      <c r="Q26" s="70"/>
      <c r="R26" s="70"/>
      <c r="S26" s="47"/>
      <c r="T26" s="75" t="s">
        <v>197</v>
      </c>
      <c r="U26" s="63">
        <v>45051</v>
      </c>
      <c r="V26" s="80" t="s">
        <v>1553</v>
      </c>
      <c r="W26" s="47"/>
      <c r="X26" s="75"/>
      <c r="Y26" s="69"/>
      <c r="Z26" s="69"/>
      <c r="AA26" s="69"/>
      <c r="AB26" s="69"/>
      <c r="AC26" s="69"/>
      <c r="AD26" s="69"/>
    </row>
    <row r="27" spans="2:30" ht="30" x14ac:dyDescent="0.25">
      <c r="B27" s="70" t="s">
        <v>62</v>
      </c>
      <c r="C27" s="70">
        <v>14</v>
      </c>
      <c r="D27" s="70" t="s">
        <v>1495</v>
      </c>
      <c r="E27" s="70"/>
      <c r="F27" s="70" t="s">
        <v>1495</v>
      </c>
      <c r="G27" s="70"/>
      <c r="H27" s="47"/>
      <c r="I27" s="70"/>
      <c r="J27" s="70"/>
      <c r="K27" s="70"/>
      <c r="L27" s="70" t="s">
        <v>29</v>
      </c>
      <c r="M27" s="70" t="s">
        <v>55</v>
      </c>
      <c r="N27" s="70"/>
      <c r="O27" s="70"/>
      <c r="P27" s="70"/>
      <c r="Q27" s="70"/>
      <c r="R27" s="70"/>
      <c r="S27" s="47"/>
      <c r="T27" s="75" t="s">
        <v>197</v>
      </c>
      <c r="U27" s="63">
        <v>45051</v>
      </c>
      <c r="V27" s="80" t="s">
        <v>1553</v>
      </c>
      <c r="W27" s="47"/>
      <c r="X27" s="75"/>
      <c r="Y27" s="69"/>
      <c r="Z27" s="69"/>
      <c r="AA27" s="69"/>
      <c r="AB27" s="69"/>
      <c r="AC27" s="69"/>
      <c r="AD27" s="69"/>
    </row>
    <row r="28" spans="2:30" ht="60" x14ac:dyDescent="0.25">
      <c r="B28" s="70" t="s">
        <v>62</v>
      </c>
      <c r="C28" s="70">
        <v>15</v>
      </c>
      <c r="D28" s="70" t="s">
        <v>1554</v>
      </c>
      <c r="E28" s="68"/>
      <c r="F28" s="70" t="s">
        <v>1554</v>
      </c>
      <c r="G28" s="68"/>
      <c r="H28" s="47"/>
      <c r="I28" s="68"/>
      <c r="J28" s="68"/>
      <c r="K28" s="68"/>
      <c r="L28" s="70" t="s">
        <v>29</v>
      </c>
      <c r="M28" s="70" t="s">
        <v>1555</v>
      </c>
      <c r="N28" s="68"/>
      <c r="O28" s="68"/>
      <c r="P28" s="68"/>
      <c r="Q28" s="70"/>
      <c r="R28" s="70"/>
      <c r="S28" s="47"/>
      <c r="T28" s="75" t="s">
        <v>197</v>
      </c>
      <c r="U28" s="69">
        <v>45051</v>
      </c>
      <c r="V28" s="72" t="s">
        <v>1556</v>
      </c>
      <c r="W28" s="47"/>
      <c r="X28" s="145" t="s">
        <v>150</v>
      </c>
      <c r="Y28" s="69"/>
      <c r="Z28" s="69"/>
      <c r="AA28" s="69"/>
      <c r="AB28" s="69"/>
      <c r="AC28" s="69"/>
      <c r="AD28" s="69"/>
    </row>
    <row r="29" spans="2:30" ht="30" x14ac:dyDescent="0.25">
      <c r="B29" s="70" t="s">
        <v>62</v>
      </c>
      <c r="C29" s="70">
        <v>16</v>
      </c>
      <c r="D29" s="70" t="s">
        <v>478</v>
      </c>
      <c r="E29" s="68"/>
      <c r="F29" s="70" t="s">
        <v>478</v>
      </c>
      <c r="G29" s="68"/>
      <c r="H29" s="47"/>
      <c r="I29" s="68"/>
      <c r="J29" s="68"/>
      <c r="K29" s="68"/>
      <c r="L29" s="70" t="s">
        <v>29</v>
      </c>
      <c r="M29" s="70" t="s">
        <v>33</v>
      </c>
      <c r="N29" s="68"/>
      <c r="O29" s="68"/>
      <c r="P29" s="68"/>
      <c r="Q29" s="70"/>
      <c r="R29" s="70"/>
      <c r="S29" s="47"/>
      <c r="T29" s="75" t="s">
        <v>197</v>
      </c>
      <c r="U29" s="69">
        <v>45051</v>
      </c>
      <c r="V29" s="72" t="s">
        <v>479</v>
      </c>
      <c r="W29" s="47"/>
      <c r="X29" s="145" t="s">
        <v>150</v>
      </c>
      <c r="Y29" s="69"/>
      <c r="Z29" s="69"/>
      <c r="AA29" s="69"/>
      <c r="AB29" s="69"/>
      <c r="AC29" s="69"/>
      <c r="AD29" s="69"/>
    </row>
    <row r="30" spans="2:30" x14ac:dyDescent="0.25">
      <c r="B30" s="70"/>
      <c r="C30" s="70"/>
      <c r="D30" s="70"/>
      <c r="E30" s="70"/>
      <c r="F30" s="70"/>
      <c r="G30" s="70"/>
      <c r="H30" s="47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47"/>
      <c r="T30" s="75"/>
      <c r="U30" s="69"/>
      <c r="V30" s="72"/>
      <c r="W30" s="47"/>
      <c r="X30" s="75"/>
      <c r="Y30" s="69"/>
      <c r="Z30" s="69"/>
      <c r="AA30" s="69"/>
      <c r="AB30" s="69"/>
      <c r="AC30" s="69"/>
      <c r="AD30" s="69"/>
    </row>
    <row r="31" spans="2:30" ht="14.25" customHeight="1" x14ac:dyDescent="0.25">
      <c r="B31" s="70"/>
      <c r="C31" s="70"/>
      <c r="D31" s="70"/>
      <c r="E31" s="70"/>
      <c r="F31" s="70"/>
      <c r="G31" s="70"/>
      <c r="H31" s="47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47"/>
      <c r="T31" s="75"/>
      <c r="U31" s="69"/>
      <c r="V31" s="72"/>
      <c r="W31" s="47"/>
      <c r="X31" s="75"/>
      <c r="Y31" s="69"/>
      <c r="Z31" s="69"/>
      <c r="AA31" s="69"/>
      <c r="AB31" s="69"/>
      <c r="AC31" s="69"/>
      <c r="AD31" s="69"/>
    </row>
    <row r="32" spans="2:30" ht="14.25" customHeight="1" x14ac:dyDescent="0.25">
      <c r="B32" s="70"/>
      <c r="C32" s="70"/>
      <c r="D32" s="70"/>
      <c r="E32" s="70"/>
      <c r="F32" s="70"/>
      <c r="G32" s="70"/>
      <c r="H32" s="47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47"/>
      <c r="T32" s="75"/>
      <c r="U32" s="69"/>
      <c r="V32" s="72"/>
      <c r="W32" s="47"/>
      <c r="X32" s="75"/>
      <c r="Y32" s="69"/>
      <c r="Z32" s="69"/>
      <c r="AA32" s="69"/>
      <c r="AB32" s="69"/>
      <c r="AC32" s="69"/>
      <c r="AD32" s="69"/>
    </row>
    <row r="33" spans="2:30" x14ac:dyDescent="0.25">
      <c r="B33" s="70"/>
      <c r="C33" s="70"/>
      <c r="D33" s="70"/>
      <c r="E33" s="70"/>
      <c r="F33" s="70"/>
      <c r="G33" s="70"/>
      <c r="H33" s="47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47"/>
      <c r="T33" s="75"/>
      <c r="U33" s="69"/>
      <c r="V33" s="72"/>
      <c r="W33" s="47"/>
      <c r="X33" s="75"/>
      <c r="Y33" s="69"/>
      <c r="Z33" s="69"/>
      <c r="AA33" s="69"/>
      <c r="AB33" s="69"/>
      <c r="AC33" s="69"/>
      <c r="AD33" s="69"/>
    </row>
    <row r="34" spans="2:30" x14ac:dyDescent="0.25">
      <c r="B34" s="70"/>
      <c r="C34" s="70"/>
      <c r="D34" s="70"/>
      <c r="E34" s="70"/>
      <c r="F34" s="70"/>
      <c r="G34" s="70"/>
      <c r="H34" s="47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47"/>
      <c r="T34" s="75"/>
      <c r="U34" s="69"/>
      <c r="V34" s="72"/>
      <c r="W34" s="47"/>
      <c r="X34" s="75"/>
      <c r="Y34" s="69"/>
      <c r="Z34" s="69"/>
      <c r="AA34" s="69"/>
      <c r="AB34" s="69"/>
      <c r="AC34" s="69"/>
      <c r="AD34" s="69"/>
    </row>
    <row r="35" spans="2:30" x14ac:dyDescent="0.25">
      <c r="B35" s="70"/>
      <c r="C35" s="70"/>
      <c r="D35" s="70"/>
      <c r="E35" s="70"/>
      <c r="F35" s="70"/>
      <c r="G35" s="70"/>
      <c r="H35" s="47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47"/>
      <c r="T35" s="75"/>
      <c r="U35" s="69"/>
      <c r="V35" s="72"/>
      <c r="W35" s="47"/>
      <c r="X35" s="75"/>
      <c r="Y35" s="69"/>
      <c r="Z35" s="69"/>
      <c r="AA35" s="69"/>
      <c r="AB35" s="69"/>
      <c r="AC35" s="69"/>
      <c r="AD35" s="69"/>
    </row>
    <row r="36" spans="2:30" x14ac:dyDescent="0.25">
      <c r="B36" s="70"/>
      <c r="C36" s="70"/>
      <c r="D36" s="70"/>
      <c r="E36" s="70"/>
      <c r="F36" s="70"/>
      <c r="G36" s="70"/>
      <c r="H36" s="47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47"/>
      <c r="T36" s="75"/>
      <c r="U36" s="69"/>
      <c r="V36" s="72"/>
      <c r="W36" s="47"/>
      <c r="X36" s="75"/>
      <c r="Y36" s="69"/>
      <c r="Z36" s="69"/>
      <c r="AA36" s="69"/>
      <c r="AB36" s="69"/>
      <c r="AC36" s="69"/>
      <c r="AD36" s="69"/>
    </row>
    <row r="37" spans="2:30" x14ac:dyDescent="0.25">
      <c r="B37" s="70"/>
      <c r="C37" s="70"/>
      <c r="D37" s="70"/>
      <c r="E37" s="70"/>
      <c r="F37" s="70"/>
      <c r="G37" s="70"/>
      <c r="H37" s="47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47"/>
      <c r="T37" s="75"/>
      <c r="U37" s="69"/>
      <c r="V37" s="72"/>
      <c r="W37" s="47"/>
      <c r="X37" s="75"/>
      <c r="Y37" s="69"/>
      <c r="Z37" s="69"/>
      <c r="AA37" s="69"/>
      <c r="AB37" s="69"/>
      <c r="AC37" s="69"/>
      <c r="AD37" s="69"/>
    </row>
    <row r="38" spans="2:30" x14ac:dyDescent="0.25">
      <c r="B38" s="70"/>
      <c r="C38" s="70"/>
      <c r="D38" s="70"/>
      <c r="E38" s="70"/>
      <c r="F38" s="70"/>
      <c r="G38" s="70"/>
      <c r="H38" s="47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47"/>
      <c r="T38" s="75"/>
      <c r="U38" s="69"/>
      <c r="V38" s="72"/>
      <c r="W38" s="47"/>
      <c r="X38" s="75"/>
      <c r="Y38" s="69"/>
      <c r="Z38" s="69"/>
      <c r="AA38" s="69"/>
      <c r="AB38" s="69"/>
      <c r="AC38" s="69"/>
      <c r="AD38" s="69"/>
    </row>
    <row r="39" spans="2:30" x14ac:dyDescent="0.25">
      <c r="B39" s="70"/>
      <c r="C39" s="70"/>
      <c r="D39" s="70"/>
      <c r="E39" s="70"/>
      <c r="F39" s="70"/>
      <c r="G39" s="70"/>
      <c r="H39" s="47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47"/>
      <c r="T39" s="75"/>
      <c r="U39" s="69"/>
      <c r="V39" s="72"/>
      <c r="W39" s="47"/>
      <c r="X39" s="75"/>
      <c r="Y39" s="69"/>
      <c r="Z39" s="69"/>
      <c r="AA39" s="69"/>
      <c r="AB39" s="69"/>
      <c r="AC39" s="69"/>
      <c r="AD39" s="69"/>
    </row>
    <row r="40" spans="2:30" x14ac:dyDescent="0.25">
      <c r="B40" s="70"/>
      <c r="C40" s="70"/>
      <c r="D40" s="70"/>
      <c r="E40" s="70"/>
      <c r="F40" s="70"/>
      <c r="G40" s="70"/>
      <c r="H40" s="47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47"/>
      <c r="T40" s="78"/>
      <c r="U40" s="69"/>
      <c r="V40" s="72"/>
      <c r="W40" s="47"/>
      <c r="X40" s="78"/>
      <c r="Y40" s="69"/>
      <c r="Z40" s="69"/>
      <c r="AA40" s="69"/>
      <c r="AB40" s="69"/>
      <c r="AC40" s="69"/>
      <c r="AD40" s="69"/>
    </row>
    <row r="41" spans="2:30" x14ac:dyDescent="0.25">
      <c r="B41" s="70"/>
      <c r="C41" s="70"/>
      <c r="D41" s="70"/>
      <c r="E41" s="70"/>
      <c r="F41" s="70"/>
      <c r="G41" s="70"/>
      <c r="H41" s="47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47"/>
      <c r="T41" s="78"/>
      <c r="U41" s="69"/>
      <c r="V41" s="72"/>
      <c r="W41" s="47"/>
      <c r="X41" s="78"/>
      <c r="Y41" s="69"/>
      <c r="Z41" s="69"/>
      <c r="AA41" s="69"/>
      <c r="AB41" s="69"/>
      <c r="AC41" s="69"/>
      <c r="AD41" s="69"/>
    </row>
    <row r="42" spans="2:30" x14ac:dyDescent="0.25">
      <c r="B42" s="70"/>
      <c r="C42" s="70"/>
      <c r="D42" s="70"/>
      <c r="E42" s="70"/>
      <c r="F42" s="70"/>
      <c r="G42" s="70"/>
      <c r="H42" s="47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47"/>
      <c r="T42" s="78"/>
      <c r="U42" s="69"/>
      <c r="V42" s="72"/>
      <c r="W42" s="47"/>
      <c r="X42" s="78"/>
      <c r="Y42" s="69"/>
      <c r="Z42" s="69"/>
      <c r="AA42" s="69"/>
      <c r="AB42" s="69"/>
      <c r="AC42" s="69"/>
      <c r="AD42" s="69"/>
    </row>
    <row r="43" spans="2:30" x14ac:dyDescent="0.25">
      <c r="B43" s="70"/>
      <c r="C43" s="70"/>
      <c r="D43" s="70"/>
      <c r="E43" s="70"/>
      <c r="F43" s="70"/>
      <c r="G43" s="70"/>
      <c r="H43" s="47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47"/>
      <c r="T43" s="78"/>
      <c r="U43" s="69"/>
      <c r="V43" s="72"/>
      <c r="W43" s="47"/>
      <c r="X43" s="78"/>
      <c r="Y43" s="69"/>
      <c r="Z43" s="69"/>
      <c r="AA43" s="69"/>
      <c r="AB43" s="69"/>
      <c r="AC43" s="69"/>
      <c r="AD43" s="69"/>
    </row>
    <row r="44" spans="2:30" ht="14.25" customHeight="1" x14ac:dyDescent="0.25">
      <c r="B44" s="70"/>
      <c r="C44" s="70"/>
      <c r="D44" s="70"/>
      <c r="E44" s="70"/>
      <c r="F44" s="70"/>
      <c r="G44" s="70"/>
      <c r="H44" s="47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47"/>
      <c r="T44" s="78"/>
      <c r="U44" s="69"/>
      <c r="V44" s="72"/>
      <c r="W44" s="47"/>
      <c r="X44" s="78"/>
      <c r="Y44" s="69"/>
      <c r="Z44" s="69"/>
      <c r="AA44" s="69"/>
      <c r="AB44" s="69"/>
      <c r="AC44" s="69"/>
      <c r="AD44" s="69"/>
    </row>
    <row r="45" spans="2:30" ht="14.25" customHeight="1" x14ac:dyDescent="0.25">
      <c r="B45" s="70"/>
      <c r="C45" s="70"/>
      <c r="D45" s="70"/>
      <c r="E45" s="70"/>
      <c r="F45" s="70"/>
      <c r="G45" s="70"/>
      <c r="H45" s="47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47"/>
      <c r="T45" s="78"/>
      <c r="U45" s="69"/>
      <c r="V45" s="72"/>
      <c r="W45" s="47"/>
      <c r="X45" s="78"/>
      <c r="Y45" s="69"/>
      <c r="Z45" s="69"/>
      <c r="AA45" s="69"/>
      <c r="AB45" s="69"/>
      <c r="AC45" s="69"/>
      <c r="AD45" s="69"/>
    </row>
    <row r="46" spans="2:30" ht="14.25" customHeight="1" x14ac:dyDescent="0.25">
      <c r="B46" s="70"/>
      <c r="C46" s="70"/>
      <c r="D46" s="70"/>
      <c r="E46" s="70"/>
      <c r="F46" s="70"/>
      <c r="G46" s="70"/>
      <c r="H46" s="47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47"/>
      <c r="T46" s="78"/>
      <c r="U46" s="69"/>
      <c r="V46" s="72"/>
      <c r="W46" s="47"/>
      <c r="X46" s="78"/>
      <c r="Y46" s="69"/>
      <c r="Z46" s="69"/>
      <c r="AA46" s="69"/>
      <c r="AB46" s="69"/>
      <c r="AC46" s="69"/>
      <c r="AD46" s="69"/>
    </row>
    <row r="47" spans="2:30" ht="14.25" customHeight="1" x14ac:dyDescent="0.25">
      <c r="B47" s="70"/>
      <c r="C47" s="70"/>
      <c r="D47" s="70"/>
      <c r="E47" s="70"/>
      <c r="F47" s="70"/>
      <c r="G47" s="70"/>
      <c r="H47" s="47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47"/>
      <c r="T47" s="78"/>
      <c r="U47" s="69"/>
      <c r="V47" s="72"/>
      <c r="W47" s="47"/>
      <c r="X47" s="78"/>
      <c r="Y47" s="69"/>
      <c r="Z47" s="69"/>
      <c r="AA47" s="69"/>
      <c r="AB47" s="69"/>
      <c r="AC47" s="69"/>
      <c r="AD47" s="69"/>
    </row>
    <row r="48" spans="2:30" x14ac:dyDescent="0.25">
      <c r="B48" s="70"/>
      <c r="C48" s="70"/>
      <c r="D48" s="70"/>
      <c r="E48" s="70"/>
      <c r="F48" s="70"/>
      <c r="G48" s="70"/>
      <c r="H48" s="47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47"/>
      <c r="T48" s="78"/>
      <c r="U48" s="69"/>
      <c r="V48" s="72"/>
      <c r="W48" s="47"/>
      <c r="X48" s="78"/>
      <c r="Y48" s="69"/>
      <c r="Z48" s="69"/>
      <c r="AA48" s="69"/>
      <c r="AB48" s="69"/>
      <c r="AC48" s="69"/>
      <c r="AD48" s="69"/>
    </row>
    <row r="49" spans="2:30" x14ac:dyDescent="0.25">
      <c r="B49" s="70"/>
      <c r="C49" s="70"/>
      <c r="D49" s="70"/>
      <c r="E49" s="70"/>
      <c r="F49" s="70"/>
      <c r="G49" s="70"/>
      <c r="H49" s="47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47"/>
      <c r="T49" s="78"/>
      <c r="U49" s="69"/>
      <c r="V49" s="72"/>
      <c r="W49" s="47"/>
      <c r="X49" s="78"/>
      <c r="Y49" s="69"/>
      <c r="Z49" s="69"/>
      <c r="AA49" s="69"/>
      <c r="AB49" s="69"/>
      <c r="AC49" s="69"/>
      <c r="AD49" s="69"/>
    </row>
    <row r="50" spans="2:30" x14ac:dyDescent="0.25">
      <c r="B50" s="70"/>
      <c r="C50" s="70"/>
      <c r="D50" s="70"/>
      <c r="E50" s="70"/>
      <c r="F50" s="70"/>
      <c r="G50" s="70"/>
      <c r="H50" s="47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47"/>
      <c r="T50" s="78"/>
      <c r="U50" s="69"/>
      <c r="V50" s="72"/>
      <c r="W50" s="47"/>
      <c r="X50" s="78"/>
      <c r="Y50" s="69"/>
      <c r="Z50" s="69"/>
      <c r="AA50" s="69"/>
      <c r="AB50" s="69"/>
      <c r="AC50" s="69"/>
      <c r="AD50" s="69"/>
    </row>
    <row r="51" spans="2:30" x14ac:dyDescent="0.25">
      <c r="B51" s="70"/>
      <c r="C51" s="70"/>
      <c r="D51" s="70"/>
      <c r="E51" s="70"/>
      <c r="F51" s="70"/>
      <c r="G51" s="70"/>
      <c r="H51" s="47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47"/>
      <c r="T51" s="78"/>
      <c r="U51" s="69"/>
      <c r="V51" s="72"/>
      <c r="W51" s="47"/>
      <c r="X51" s="78"/>
      <c r="Y51" s="69"/>
      <c r="Z51" s="69"/>
      <c r="AA51" s="69"/>
      <c r="AB51" s="69"/>
      <c r="AC51" s="69"/>
      <c r="AD51" s="69"/>
    </row>
    <row r="52" spans="2:30" x14ac:dyDescent="0.25">
      <c r="B52" s="70"/>
      <c r="C52" s="70"/>
      <c r="D52" s="70"/>
      <c r="E52" s="70"/>
      <c r="F52" s="70"/>
      <c r="G52" s="70"/>
      <c r="H52" s="47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47"/>
      <c r="T52" s="78"/>
      <c r="U52" s="69"/>
      <c r="V52" s="72"/>
      <c r="W52" s="47"/>
      <c r="X52" s="78"/>
      <c r="Y52" s="69"/>
      <c r="Z52" s="69"/>
      <c r="AA52" s="69"/>
      <c r="AB52" s="69"/>
      <c r="AC52" s="69"/>
      <c r="AD52" s="69"/>
    </row>
    <row r="53" spans="2:30" x14ac:dyDescent="0.25">
      <c r="B53" s="70"/>
      <c r="C53" s="70"/>
      <c r="D53" s="70"/>
      <c r="E53" s="70"/>
      <c r="F53" s="70"/>
      <c r="G53" s="70"/>
      <c r="H53" s="47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47"/>
      <c r="T53" s="77"/>
      <c r="U53" s="69"/>
      <c r="V53" s="72"/>
      <c r="W53" s="47"/>
      <c r="X53" s="77"/>
      <c r="Y53" s="69"/>
      <c r="Z53" s="69"/>
      <c r="AA53" s="69"/>
      <c r="AB53" s="69"/>
      <c r="AC53" s="69"/>
      <c r="AD53" s="69"/>
    </row>
    <row r="54" spans="2:30" x14ac:dyDescent="0.25">
      <c r="B54" s="70"/>
      <c r="C54" s="70"/>
      <c r="D54" s="70"/>
      <c r="E54" s="70"/>
      <c r="F54" s="70"/>
      <c r="G54" s="70"/>
      <c r="H54" s="47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47"/>
      <c r="T54" s="77"/>
      <c r="U54" s="69"/>
      <c r="V54" s="72"/>
      <c r="W54" s="47"/>
      <c r="X54" s="77"/>
      <c r="Y54" s="69"/>
      <c r="Z54" s="69"/>
      <c r="AA54" s="69"/>
      <c r="AB54" s="69"/>
      <c r="AC54" s="69"/>
      <c r="AD54" s="69"/>
    </row>
    <row r="55" spans="2:30" x14ac:dyDescent="0.25">
      <c r="B55" s="70"/>
      <c r="C55" s="70"/>
      <c r="D55" s="70"/>
      <c r="E55" s="70"/>
      <c r="F55" s="70"/>
      <c r="G55" s="70"/>
      <c r="H55" s="47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47"/>
      <c r="T55" s="77"/>
      <c r="U55" s="69"/>
      <c r="V55" s="72"/>
      <c r="W55" s="47"/>
      <c r="X55" s="77"/>
      <c r="Y55" s="69"/>
      <c r="Z55" s="69"/>
      <c r="AA55" s="69"/>
      <c r="AB55" s="69"/>
      <c r="AC55" s="69"/>
      <c r="AD55" s="69"/>
    </row>
    <row r="56" spans="2:30" x14ac:dyDescent="0.25">
      <c r="B56" s="70"/>
      <c r="C56" s="70"/>
      <c r="D56" s="70"/>
      <c r="E56" s="70"/>
      <c r="F56" s="70"/>
      <c r="G56" s="70"/>
      <c r="H56" s="47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47"/>
      <c r="T56" s="77"/>
      <c r="U56" s="69"/>
      <c r="V56" s="72"/>
      <c r="W56" s="47"/>
      <c r="X56" s="77"/>
      <c r="Y56" s="69"/>
      <c r="Z56" s="69"/>
      <c r="AA56" s="69"/>
      <c r="AB56" s="69"/>
      <c r="AC56" s="69"/>
      <c r="AD56" s="69"/>
    </row>
    <row r="57" spans="2:30" x14ac:dyDescent="0.25">
      <c r="B57" s="70"/>
      <c r="C57" s="70"/>
      <c r="D57" s="70"/>
      <c r="E57" s="70"/>
      <c r="F57" s="70"/>
      <c r="G57" s="70"/>
      <c r="H57" s="47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47"/>
      <c r="T57" s="78"/>
      <c r="U57" s="69"/>
      <c r="V57" s="72"/>
      <c r="W57" s="47"/>
      <c r="X57" s="78"/>
      <c r="Y57" s="69"/>
      <c r="Z57" s="69"/>
      <c r="AA57" s="69"/>
      <c r="AB57" s="69"/>
      <c r="AC57" s="69"/>
      <c r="AD57" s="69"/>
    </row>
    <row r="58" spans="2:30" x14ac:dyDescent="0.25">
      <c r="B58" s="70"/>
      <c r="C58" s="70"/>
      <c r="D58" s="70"/>
      <c r="E58" s="70"/>
      <c r="F58" s="70"/>
      <c r="G58" s="70"/>
      <c r="H58" s="47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47"/>
      <c r="T58" s="78"/>
      <c r="U58" s="69"/>
      <c r="V58" s="72"/>
      <c r="W58" s="47"/>
      <c r="X58" s="78"/>
      <c r="Y58" s="69"/>
      <c r="Z58" s="69"/>
      <c r="AA58" s="69"/>
      <c r="AB58" s="69"/>
      <c r="AC58" s="69"/>
      <c r="AD58" s="69"/>
    </row>
    <row r="59" spans="2:30" x14ac:dyDescent="0.25">
      <c r="B59" s="70"/>
      <c r="C59" s="70"/>
      <c r="D59" s="70"/>
      <c r="E59" s="70"/>
      <c r="F59" s="70"/>
      <c r="G59" s="70"/>
      <c r="H59" s="47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47"/>
      <c r="T59" s="75"/>
      <c r="U59" s="69"/>
      <c r="V59" s="72"/>
      <c r="W59" s="47"/>
      <c r="X59" s="75"/>
      <c r="Y59" s="69"/>
      <c r="Z59" s="69"/>
      <c r="AA59" s="69"/>
      <c r="AB59" s="69"/>
      <c r="AC59" s="69"/>
      <c r="AD59" s="69"/>
    </row>
    <row r="60" spans="2:30" x14ac:dyDescent="0.25">
      <c r="B60" s="70"/>
      <c r="C60" s="70"/>
      <c r="D60" s="70"/>
      <c r="E60" s="70"/>
      <c r="F60" s="70"/>
      <c r="G60" s="70"/>
      <c r="H60" s="47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47"/>
      <c r="T60" s="75"/>
      <c r="U60" s="69"/>
      <c r="V60" s="72"/>
      <c r="W60" s="47"/>
      <c r="X60" s="75"/>
      <c r="Y60" s="69"/>
      <c r="Z60" s="69"/>
      <c r="AA60" s="69"/>
      <c r="AB60" s="69"/>
      <c r="AC60" s="69"/>
      <c r="AD60" s="69"/>
    </row>
    <row r="61" spans="2:30" x14ac:dyDescent="0.25">
      <c r="B61" s="70"/>
      <c r="C61" s="70"/>
      <c r="D61" s="70"/>
      <c r="E61" s="70"/>
      <c r="F61" s="70"/>
      <c r="G61" s="70"/>
      <c r="H61" s="47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47"/>
      <c r="T61" s="75"/>
      <c r="U61" s="69"/>
      <c r="V61" s="72"/>
      <c r="W61" s="47"/>
      <c r="X61" s="75"/>
      <c r="Y61" s="69"/>
      <c r="Z61" s="69"/>
      <c r="AA61" s="69"/>
      <c r="AB61" s="69"/>
      <c r="AC61" s="69"/>
      <c r="AD61" s="69"/>
    </row>
    <row r="62" spans="2:30" x14ac:dyDescent="0.25">
      <c r="B62" s="70"/>
      <c r="C62" s="70"/>
      <c r="D62" s="70"/>
      <c r="E62" s="70"/>
      <c r="F62" s="70"/>
      <c r="G62" s="70"/>
      <c r="H62" s="47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47"/>
      <c r="T62" s="75"/>
      <c r="U62" s="69"/>
      <c r="V62" s="72"/>
      <c r="W62" s="47"/>
      <c r="X62" s="75"/>
      <c r="Y62" s="69"/>
      <c r="Z62" s="69"/>
      <c r="AA62" s="69"/>
      <c r="AB62" s="69"/>
      <c r="AC62" s="69"/>
      <c r="AD62" s="69"/>
    </row>
    <row r="63" spans="2:30" x14ac:dyDescent="0.25">
      <c r="B63" s="70"/>
      <c r="C63" s="70"/>
      <c r="D63" s="70"/>
      <c r="E63" s="70"/>
      <c r="F63" s="70"/>
      <c r="G63" s="70"/>
      <c r="H63" s="47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47"/>
      <c r="T63" s="75"/>
      <c r="U63" s="69"/>
      <c r="V63" s="72"/>
      <c r="W63" s="47"/>
      <c r="X63" s="75"/>
      <c r="Y63" s="69"/>
      <c r="Z63" s="69"/>
      <c r="AA63" s="69"/>
      <c r="AB63" s="69"/>
      <c r="AC63" s="69"/>
      <c r="AD63" s="69"/>
    </row>
    <row r="64" spans="2:30" ht="14.25" customHeight="1" x14ac:dyDescent="0.25">
      <c r="B64" s="70"/>
      <c r="C64" s="70"/>
      <c r="D64" s="68"/>
      <c r="E64" s="68"/>
      <c r="F64" s="68"/>
      <c r="G64" s="68"/>
      <c r="H64" s="47"/>
      <c r="I64" s="68"/>
      <c r="J64" s="68"/>
      <c r="K64" s="68"/>
      <c r="L64" s="68"/>
      <c r="M64" s="68"/>
      <c r="N64" s="68"/>
      <c r="O64" s="68"/>
      <c r="P64" s="68"/>
      <c r="Q64" s="70"/>
      <c r="R64" s="70"/>
      <c r="S64" s="47"/>
      <c r="T64" s="75"/>
      <c r="U64" s="69"/>
      <c r="V64" s="72"/>
      <c r="W64" s="47"/>
      <c r="X64" s="75"/>
      <c r="Y64" s="69"/>
      <c r="Z64" s="69"/>
      <c r="AA64" s="69"/>
      <c r="AB64" s="69"/>
      <c r="AC64" s="69"/>
      <c r="AD64" s="69"/>
    </row>
    <row r="65" spans="2:30" ht="14.25" customHeight="1" x14ac:dyDescent="0.25">
      <c r="B65" s="70"/>
      <c r="C65" s="70"/>
      <c r="D65" s="83"/>
      <c r="E65" s="68"/>
      <c r="F65" s="68"/>
      <c r="G65" s="68"/>
      <c r="H65" s="47"/>
      <c r="I65" s="68"/>
      <c r="J65" s="68"/>
      <c r="K65" s="68"/>
      <c r="L65" s="70"/>
      <c r="M65" s="70"/>
      <c r="N65" s="68"/>
      <c r="O65" s="68"/>
      <c r="P65" s="68"/>
      <c r="Q65" s="70"/>
      <c r="R65" s="70"/>
      <c r="S65" s="47"/>
      <c r="T65" s="75"/>
      <c r="U65" s="69"/>
      <c r="V65" s="72"/>
      <c r="W65" s="47"/>
      <c r="X65" s="75"/>
      <c r="Y65" s="69"/>
      <c r="Z65" s="69"/>
      <c r="AA65" s="69"/>
      <c r="AB65" s="69"/>
      <c r="AC65" s="69"/>
      <c r="AD65" s="69"/>
    </row>
    <row r="66" spans="2:30" ht="14.25" customHeight="1" x14ac:dyDescent="0.25">
      <c r="B66" s="70"/>
      <c r="C66" s="70"/>
      <c r="D66" s="83"/>
      <c r="E66" s="68"/>
      <c r="F66" s="68"/>
      <c r="G66" s="68"/>
      <c r="H66" s="47"/>
      <c r="I66" s="68"/>
      <c r="J66" s="68"/>
      <c r="K66" s="68"/>
      <c r="L66" s="70"/>
      <c r="M66" s="70"/>
      <c r="N66" s="68"/>
      <c r="O66" s="68"/>
      <c r="P66" s="68"/>
      <c r="Q66" s="70"/>
      <c r="R66" s="70"/>
      <c r="S66" s="47"/>
      <c r="T66" s="75"/>
      <c r="U66" s="69"/>
      <c r="V66" s="72"/>
      <c r="W66" s="47"/>
      <c r="X66" s="75"/>
      <c r="Y66" s="69"/>
      <c r="Z66" s="69"/>
      <c r="AA66" s="69"/>
      <c r="AB66" s="69"/>
      <c r="AC66" s="69"/>
      <c r="AD66" s="69"/>
    </row>
    <row r="67" spans="2:30" ht="14.25" customHeight="1" x14ac:dyDescent="0.25">
      <c r="B67" s="70"/>
      <c r="C67" s="70"/>
      <c r="D67" s="83"/>
      <c r="E67" s="68"/>
      <c r="F67" s="68"/>
      <c r="G67" s="68"/>
      <c r="H67" s="47"/>
      <c r="I67" s="68"/>
      <c r="J67" s="68"/>
      <c r="K67" s="68"/>
      <c r="L67" s="70"/>
      <c r="M67" s="70"/>
      <c r="N67" s="68"/>
      <c r="O67" s="68"/>
      <c r="P67" s="68"/>
      <c r="Q67" s="70"/>
      <c r="R67" s="70"/>
      <c r="S67" s="47"/>
      <c r="T67" s="75"/>
      <c r="U67" s="69"/>
      <c r="V67" s="72"/>
      <c r="W67" s="47"/>
      <c r="X67" s="75"/>
      <c r="Y67" s="69"/>
      <c r="Z67" s="69"/>
      <c r="AA67" s="69"/>
      <c r="AB67" s="69"/>
      <c r="AC67" s="69"/>
      <c r="AD67" s="69"/>
    </row>
    <row r="68" spans="2:30" ht="14.25" customHeight="1" x14ac:dyDescent="0.25">
      <c r="B68" s="70"/>
      <c r="C68" s="70"/>
      <c r="D68" s="83"/>
      <c r="E68" s="68"/>
      <c r="F68" s="68"/>
      <c r="G68" s="68"/>
      <c r="H68" s="47"/>
      <c r="I68" s="68"/>
      <c r="J68" s="68"/>
      <c r="K68" s="68"/>
      <c r="L68" s="70"/>
      <c r="M68" s="70"/>
      <c r="N68" s="68"/>
      <c r="O68" s="68"/>
      <c r="P68" s="68"/>
      <c r="Q68" s="70"/>
      <c r="R68" s="70"/>
      <c r="S68" s="47"/>
      <c r="T68" s="75"/>
      <c r="U68" s="69"/>
      <c r="V68" s="72"/>
      <c r="W68" s="47"/>
      <c r="X68" s="75"/>
      <c r="Y68" s="69"/>
      <c r="Z68" s="69"/>
      <c r="AA68" s="69"/>
      <c r="AB68" s="69"/>
      <c r="AC68" s="69"/>
      <c r="AD68" s="69"/>
    </row>
    <row r="69" spans="2:30" ht="36" customHeight="1" x14ac:dyDescent="0.25">
      <c r="B69" s="70"/>
      <c r="C69" s="70"/>
      <c r="D69" s="83"/>
      <c r="E69" s="68"/>
      <c r="F69" s="68"/>
      <c r="G69" s="68"/>
      <c r="H69" s="47"/>
      <c r="I69" s="68"/>
      <c r="J69" s="68"/>
      <c r="K69" s="68"/>
      <c r="L69" s="70"/>
      <c r="M69" s="70"/>
      <c r="N69" s="68"/>
      <c r="O69" s="68"/>
      <c r="P69" s="68"/>
      <c r="Q69" s="70"/>
      <c r="R69" s="70"/>
      <c r="S69" s="47"/>
      <c r="T69" s="75"/>
      <c r="U69" s="69"/>
      <c r="V69" s="72"/>
      <c r="W69" s="47"/>
      <c r="X69" s="75"/>
      <c r="Y69" s="69"/>
      <c r="Z69" s="69"/>
      <c r="AA69" s="69"/>
      <c r="AB69" s="69"/>
      <c r="AC69" s="69"/>
      <c r="AD69" s="69"/>
    </row>
    <row r="70" spans="2:30" ht="14.25" customHeight="1" x14ac:dyDescent="0.25">
      <c r="B70" s="70"/>
      <c r="C70" s="70"/>
      <c r="D70" s="83"/>
      <c r="E70" s="68"/>
      <c r="F70" s="68"/>
      <c r="G70" s="68"/>
      <c r="H70" s="47"/>
      <c r="I70" s="68"/>
      <c r="J70" s="68"/>
      <c r="K70" s="68"/>
      <c r="L70" s="70"/>
      <c r="M70" s="70"/>
      <c r="N70" s="68"/>
      <c r="O70" s="68"/>
      <c r="P70" s="68"/>
      <c r="Q70" s="70"/>
      <c r="R70" s="70"/>
      <c r="S70" s="47"/>
      <c r="T70" s="75"/>
      <c r="U70" s="69"/>
      <c r="V70" s="72"/>
      <c r="W70" s="47"/>
      <c r="X70" s="75"/>
      <c r="Y70" s="69"/>
      <c r="Z70" s="69"/>
      <c r="AA70" s="69"/>
      <c r="AB70" s="69"/>
      <c r="AC70" s="69"/>
      <c r="AD70" s="69"/>
    </row>
    <row r="71" spans="2:30" ht="14.25" customHeight="1" x14ac:dyDescent="0.25">
      <c r="B71" s="70"/>
      <c r="C71" s="70"/>
      <c r="D71" s="83"/>
      <c r="E71" s="68"/>
      <c r="F71" s="68"/>
      <c r="G71" s="68"/>
      <c r="H71" s="47"/>
      <c r="I71" s="68"/>
      <c r="J71" s="68"/>
      <c r="K71" s="68"/>
      <c r="L71" s="70"/>
      <c r="M71" s="70"/>
      <c r="N71" s="68"/>
      <c r="O71" s="68"/>
      <c r="P71" s="68"/>
      <c r="Q71" s="70"/>
      <c r="R71" s="70"/>
      <c r="S71" s="47"/>
      <c r="T71" s="75"/>
      <c r="U71" s="69"/>
      <c r="V71" s="72"/>
      <c r="W71" s="47"/>
      <c r="X71" s="75"/>
      <c r="Y71" s="69"/>
      <c r="Z71" s="69"/>
      <c r="AA71" s="69"/>
      <c r="AB71" s="69"/>
      <c r="AC71" s="69"/>
      <c r="AD71" s="69"/>
    </row>
    <row r="72" spans="2:30" ht="14.25" customHeight="1" x14ac:dyDescent="0.25">
      <c r="B72" s="70"/>
      <c r="C72" s="70"/>
      <c r="D72" s="83"/>
      <c r="E72" s="68"/>
      <c r="F72" s="68"/>
      <c r="G72" s="68"/>
      <c r="H72" s="47"/>
      <c r="I72" s="68"/>
      <c r="J72" s="68"/>
      <c r="K72" s="68"/>
      <c r="L72" s="70"/>
      <c r="M72" s="70"/>
      <c r="N72" s="68"/>
      <c r="O72" s="68"/>
      <c r="P72" s="68"/>
      <c r="Q72" s="70"/>
      <c r="R72" s="70"/>
      <c r="S72" s="47"/>
      <c r="T72" s="75"/>
      <c r="U72" s="69"/>
      <c r="V72" s="72"/>
      <c r="W72" s="47"/>
      <c r="X72" s="75"/>
      <c r="Y72" s="69"/>
      <c r="Z72" s="69"/>
      <c r="AA72" s="69"/>
      <c r="AB72" s="69"/>
      <c r="AC72" s="69"/>
      <c r="AD72" s="69"/>
    </row>
    <row r="73" spans="2:30" ht="14.25" customHeight="1" x14ac:dyDescent="0.25">
      <c r="B73" s="70"/>
      <c r="C73" s="70"/>
      <c r="D73" s="83"/>
      <c r="E73" s="68"/>
      <c r="F73" s="68"/>
      <c r="G73" s="68"/>
      <c r="H73" s="47"/>
      <c r="I73" s="68"/>
      <c r="J73" s="68"/>
      <c r="K73" s="68"/>
      <c r="L73" s="70"/>
      <c r="M73" s="70"/>
      <c r="N73" s="68"/>
      <c r="O73" s="68"/>
      <c r="P73" s="68"/>
      <c r="Q73" s="70"/>
      <c r="R73" s="70"/>
      <c r="S73" s="47"/>
      <c r="T73" s="75"/>
      <c r="U73" s="69"/>
      <c r="V73" s="72"/>
      <c r="W73" s="47"/>
      <c r="X73" s="75"/>
      <c r="Y73" s="69"/>
      <c r="Z73" s="69"/>
      <c r="AA73" s="69"/>
      <c r="AB73" s="69"/>
      <c r="AC73" s="69"/>
      <c r="AD73" s="69"/>
    </row>
    <row r="74" spans="2:30" ht="14.25" customHeight="1" x14ac:dyDescent="0.25">
      <c r="B74" s="70"/>
      <c r="C74" s="70"/>
      <c r="D74" s="83"/>
      <c r="E74" s="68"/>
      <c r="F74" s="68"/>
      <c r="G74" s="68"/>
      <c r="H74" s="47"/>
      <c r="I74" s="68"/>
      <c r="J74" s="68"/>
      <c r="K74" s="68"/>
      <c r="L74" s="70"/>
      <c r="M74" s="70"/>
      <c r="N74" s="68"/>
      <c r="O74" s="68"/>
      <c r="P74" s="68"/>
      <c r="Q74" s="70"/>
      <c r="R74" s="70"/>
      <c r="S74" s="47"/>
      <c r="T74" s="75"/>
      <c r="U74" s="69"/>
      <c r="V74" s="72"/>
      <c r="W74" s="47"/>
      <c r="X74" s="75"/>
      <c r="Y74" s="69"/>
      <c r="Z74" s="69"/>
      <c r="AA74" s="69"/>
      <c r="AB74" s="69"/>
      <c r="AC74" s="69"/>
      <c r="AD74" s="69"/>
    </row>
    <row r="75" spans="2:30" ht="14.25" customHeight="1" x14ac:dyDescent="0.25">
      <c r="B75" s="70"/>
      <c r="C75" s="70"/>
      <c r="D75" s="83"/>
      <c r="E75" s="68"/>
      <c r="F75" s="68"/>
      <c r="G75" s="68"/>
      <c r="H75" s="47"/>
      <c r="I75" s="68"/>
      <c r="J75" s="68"/>
      <c r="K75" s="68"/>
      <c r="L75" s="70"/>
      <c r="M75" s="70"/>
      <c r="N75" s="68"/>
      <c r="O75" s="68"/>
      <c r="P75" s="68"/>
      <c r="Q75" s="70"/>
      <c r="R75" s="70"/>
      <c r="S75" s="47"/>
      <c r="T75" s="75"/>
      <c r="U75" s="69"/>
      <c r="V75" s="72"/>
      <c r="W75" s="47"/>
      <c r="X75" s="75"/>
      <c r="Y75" s="69"/>
      <c r="Z75" s="69"/>
      <c r="AA75" s="69"/>
      <c r="AB75" s="69"/>
      <c r="AC75" s="69"/>
      <c r="AD75" s="69"/>
    </row>
    <row r="76" spans="2:30" ht="14.25" customHeight="1" x14ac:dyDescent="0.25">
      <c r="B76" s="70"/>
      <c r="C76" s="70"/>
      <c r="D76" s="83"/>
      <c r="E76" s="68"/>
      <c r="F76" s="68"/>
      <c r="G76" s="68"/>
      <c r="H76" s="47"/>
      <c r="I76" s="68"/>
      <c r="J76" s="68"/>
      <c r="K76" s="68"/>
      <c r="L76" s="70"/>
      <c r="M76" s="70"/>
      <c r="N76" s="68"/>
      <c r="O76" s="68"/>
      <c r="P76" s="68"/>
      <c r="Q76" s="70"/>
      <c r="R76" s="70"/>
      <c r="S76" s="47"/>
      <c r="T76" s="75"/>
      <c r="U76" s="69"/>
      <c r="V76" s="72"/>
      <c r="W76" s="47"/>
      <c r="X76" s="75"/>
      <c r="Y76" s="69"/>
      <c r="Z76" s="69"/>
      <c r="AA76" s="69"/>
      <c r="AB76" s="69"/>
      <c r="AC76" s="69"/>
      <c r="AD76" s="69"/>
    </row>
    <row r="77" spans="2:30" ht="14.25" customHeight="1" x14ac:dyDescent="0.25">
      <c r="B77" s="70"/>
      <c r="C77" s="70"/>
      <c r="D77" s="83"/>
      <c r="E77" s="68"/>
      <c r="F77" s="68"/>
      <c r="G77" s="68"/>
      <c r="H77" s="47"/>
      <c r="I77" s="68"/>
      <c r="J77" s="68"/>
      <c r="K77" s="68"/>
      <c r="L77" s="70"/>
      <c r="M77" s="70"/>
      <c r="N77" s="68"/>
      <c r="O77" s="68"/>
      <c r="P77" s="68"/>
      <c r="Q77" s="70"/>
      <c r="R77" s="70"/>
      <c r="S77" s="47"/>
      <c r="T77" s="75"/>
      <c r="U77" s="69"/>
      <c r="V77" s="72"/>
      <c r="W77" s="47"/>
      <c r="X77" s="75"/>
      <c r="Y77" s="69"/>
      <c r="Z77" s="69"/>
      <c r="AA77" s="69"/>
      <c r="AB77" s="69"/>
      <c r="AC77" s="69"/>
      <c r="AD77" s="69"/>
    </row>
    <row r="78" spans="2:30" ht="14.25" customHeight="1" x14ac:dyDescent="0.25">
      <c r="B78" s="70"/>
      <c r="C78" s="70"/>
      <c r="D78" s="102"/>
      <c r="E78" s="68"/>
      <c r="F78" s="68"/>
      <c r="G78" s="68"/>
      <c r="H78" s="47"/>
      <c r="I78" s="68"/>
      <c r="J78" s="68"/>
      <c r="K78" s="68"/>
      <c r="L78" s="68"/>
      <c r="M78" s="68"/>
      <c r="N78" s="68"/>
      <c r="O78" s="68"/>
      <c r="P78" s="68"/>
      <c r="Q78" s="70"/>
      <c r="R78" s="70"/>
      <c r="S78" s="47"/>
      <c r="T78" s="75"/>
      <c r="U78" s="69"/>
      <c r="V78" s="72"/>
      <c r="W78" s="47"/>
      <c r="X78" s="75"/>
      <c r="Y78" s="69"/>
      <c r="Z78" s="69"/>
      <c r="AA78" s="69"/>
      <c r="AB78" s="69"/>
      <c r="AC78" s="69"/>
      <c r="AD78" s="69"/>
    </row>
    <row r="79" spans="2:30" x14ac:dyDescent="0.25">
      <c r="B79" s="70"/>
      <c r="C79" s="70"/>
      <c r="D79" s="102"/>
      <c r="E79" s="68"/>
      <c r="F79" s="68"/>
      <c r="G79" s="68"/>
      <c r="H79" s="47"/>
      <c r="I79" s="68"/>
      <c r="J79" s="68"/>
      <c r="K79" s="68"/>
      <c r="L79" s="68"/>
      <c r="M79" s="68"/>
      <c r="N79" s="70"/>
      <c r="O79" s="68"/>
      <c r="P79" s="68"/>
      <c r="Q79" s="70"/>
      <c r="R79" s="70"/>
      <c r="S79" s="47"/>
      <c r="T79" s="75"/>
      <c r="U79" s="69"/>
      <c r="V79" s="72"/>
      <c r="W79" s="47"/>
      <c r="X79" s="75"/>
      <c r="Y79" s="69"/>
      <c r="Z79" s="69"/>
      <c r="AA79" s="69"/>
      <c r="AB79" s="69"/>
      <c r="AC79" s="69"/>
      <c r="AD79" s="69"/>
    </row>
    <row r="80" spans="2:30" ht="14.25" customHeight="1" x14ac:dyDescent="0.25">
      <c r="B80" s="70"/>
      <c r="C80" s="70"/>
      <c r="D80" s="102"/>
      <c r="E80" s="68"/>
      <c r="F80" s="68"/>
      <c r="G80" s="68"/>
      <c r="H80" s="47"/>
      <c r="I80" s="68"/>
      <c r="J80" s="68"/>
      <c r="K80" s="68"/>
      <c r="L80" s="68"/>
      <c r="M80" s="68"/>
      <c r="N80" s="68"/>
      <c r="O80" s="68"/>
      <c r="P80" s="68"/>
      <c r="Q80" s="70"/>
      <c r="R80" s="70"/>
      <c r="S80" s="47"/>
      <c r="T80" s="75"/>
      <c r="U80" s="69"/>
      <c r="V80" s="72"/>
      <c r="W80" s="47"/>
      <c r="X80" s="75"/>
      <c r="Y80" s="69"/>
      <c r="Z80" s="69"/>
      <c r="AA80" s="69"/>
      <c r="AB80" s="69"/>
      <c r="AC80" s="69"/>
      <c r="AD80" s="69"/>
    </row>
    <row r="81" spans="2:30" ht="14.25" customHeight="1" x14ac:dyDescent="0.25">
      <c r="B81" s="70"/>
      <c r="C81" s="70"/>
      <c r="D81" s="102"/>
      <c r="E81" s="68"/>
      <c r="F81" s="68"/>
      <c r="G81" s="68"/>
      <c r="H81" s="47"/>
      <c r="I81" s="68"/>
      <c r="J81" s="68"/>
      <c r="K81" s="68"/>
      <c r="L81" s="68"/>
      <c r="M81" s="68"/>
      <c r="N81" s="68"/>
      <c r="O81" s="68"/>
      <c r="P81" s="68"/>
      <c r="Q81" s="70"/>
      <c r="R81" s="70"/>
      <c r="S81" s="47"/>
      <c r="T81" s="75"/>
      <c r="U81" s="69"/>
      <c r="V81" s="72"/>
      <c r="W81" s="47"/>
      <c r="X81" s="75"/>
      <c r="Y81" s="69"/>
      <c r="Z81" s="69"/>
      <c r="AA81" s="69"/>
      <c r="AB81" s="69"/>
      <c r="AC81" s="69"/>
      <c r="AD81" s="69"/>
    </row>
    <row r="82" spans="2:30" ht="14.25" customHeight="1" x14ac:dyDescent="0.25">
      <c r="B82" s="70"/>
      <c r="C82" s="70"/>
      <c r="D82" s="102"/>
      <c r="E82" s="68"/>
      <c r="F82" s="68"/>
      <c r="G82" s="68"/>
      <c r="H82" s="47"/>
      <c r="I82" s="68"/>
      <c r="J82" s="68"/>
      <c r="K82" s="68"/>
      <c r="L82" s="68"/>
      <c r="M82" s="68"/>
      <c r="N82" s="68"/>
      <c r="O82" s="68"/>
      <c r="P82" s="68"/>
      <c r="Q82" s="70"/>
      <c r="R82" s="70"/>
      <c r="S82" s="47"/>
      <c r="T82" s="75"/>
      <c r="U82" s="69"/>
      <c r="V82" s="72"/>
      <c r="W82" s="47"/>
      <c r="X82" s="75"/>
      <c r="Y82" s="69"/>
      <c r="Z82" s="69"/>
      <c r="AA82" s="69"/>
      <c r="AB82" s="69"/>
      <c r="AC82" s="69"/>
      <c r="AD82" s="69"/>
    </row>
    <row r="83" spans="2:30" ht="14.25" customHeight="1" x14ac:dyDescent="0.25">
      <c r="B83" s="70"/>
      <c r="C83" s="70"/>
      <c r="D83" s="102"/>
      <c r="E83" s="68"/>
      <c r="F83" s="68"/>
      <c r="G83" s="68"/>
      <c r="H83" s="47"/>
      <c r="I83" s="68"/>
      <c r="J83" s="68"/>
      <c r="K83" s="68"/>
      <c r="L83" s="68"/>
      <c r="M83" s="68"/>
      <c r="N83" s="68"/>
      <c r="O83" s="68"/>
      <c r="P83" s="68"/>
      <c r="Q83" s="70"/>
      <c r="R83" s="70"/>
      <c r="S83" s="47"/>
      <c r="T83" s="75"/>
      <c r="U83" s="69"/>
      <c r="V83" s="72"/>
      <c r="W83" s="47"/>
      <c r="X83" s="75"/>
      <c r="Y83" s="69"/>
      <c r="Z83" s="69"/>
      <c r="AA83" s="69"/>
      <c r="AB83" s="69"/>
      <c r="AC83" s="69"/>
      <c r="AD83" s="69"/>
    </row>
    <row r="84" spans="2:30" ht="14.25" customHeight="1" x14ac:dyDescent="0.25">
      <c r="B84" s="70"/>
      <c r="C84" s="70"/>
      <c r="D84" s="102"/>
      <c r="E84" s="68"/>
      <c r="F84" s="68"/>
      <c r="G84" s="68"/>
      <c r="H84" s="47"/>
      <c r="I84" s="68"/>
      <c r="J84" s="68"/>
      <c r="K84" s="68"/>
      <c r="L84" s="68"/>
      <c r="M84" s="68"/>
      <c r="N84" s="68"/>
      <c r="O84" s="68"/>
      <c r="P84" s="68"/>
      <c r="Q84" s="70"/>
      <c r="R84" s="70"/>
      <c r="S84" s="47"/>
      <c r="T84" s="75"/>
      <c r="U84" s="69"/>
      <c r="V84" s="72"/>
      <c r="W84" s="47"/>
      <c r="X84" s="75"/>
      <c r="Y84" s="69"/>
      <c r="Z84" s="69"/>
      <c r="AA84" s="69"/>
      <c r="AB84" s="69"/>
      <c r="AC84" s="69"/>
      <c r="AD84" s="69"/>
    </row>
    <row r="85" spans="2:30" x14ac:dyDescent="0.25">
      <c r="B85" s="70"/>
      <c r="C85" s="70"/>
      <c r="D85" s="102"/>
      <c r="E85" s="68"/>
      <c r="F85" s="68"/>
      <c r="G85" s="68"/>
      <c r="H85" s="47"/>
      <c r="I85" s="68"/>
      <c r="J85" s="68"/>
      <c r="K85" s="68"/>
      <c r="L85" s="68"/>
      <c r="M85" s="68"/>
      <c r="N85" s="70"/>
      <c r="O85" s="68"/>
      <c r="P85" s="68"/>
      <c r="Q85" s="70"/>
      <c r="R85" s="70"/>
      <c r="S85" s="47"/>
      <c r="T85" s="75"/>
      <c r="U85" s="69"/>
      <c r="V85" s="72"/>
      <c r="W85" s="47"/>
      <c r="X85" s="75"/>
      <c r="Y85" s="69"/>
      <c r="Z85" s="69"/>
      <c r="AA85" s="69"/>
      <c r="AB85" s="69"/>
      <c r="AC85" s="69"/>
      <c r="AD85" s="69"/>
    </row>
    <row r="86" spans="2:30" ht="14.25" customHeight="1" x14ac:dyDescent="0.25">
      <c r="B86" s="70"/>
      <c r="C86" s="70"/>
      <c r="D86" s="102"/>
      <c r="E86" s="68"/>
      <c r="F86" s="68"/>
      <c r="G86" s="68"/>
      <c r="H86" s="47"/>
      <c r="I86" s="68"/>
      <c r="J86" s="68"/>
      <c r="K86" s="68"/>
      <c r="L86" s="68"/>
      <c r="M86" s="68"/>
      <c r="N86" s="68"/>
      <c r="O86" s="68"/>
      <c r="P86" s="68"/>
      <c r="Q86" s="70"/>
      <c r="R86" s="70"/>
      <c r="S86" s="47"/>
      <c r="T86" s="75"/>
      <c r="U86" s="69"/>
      <c r="V86" s="72"/>
      <c r="W86" s="47"/>
      <c r="X86" s="75"/>
      <c r="Y86" s="69"/>
      <c r="Z86" s="69"/>
      <c r="AA86" s="69"/>
      <c r="AB86" s="69"/>
      <c r="AC86" s="69"/>
      <c r="AD86" s="69"/>
    </row>
    <row r="87" spans="2:30" ht="14.25" customHeight="1" x14ac:dyDescent="0.25">
      <c r="B87" s="70"/>
      <c r="C87" s="70"/>
      <c r="D87" s="102"/>
      <c r="E87" s="68"/>
      <c r="F87" s="68"/>
      <c r="G87" s="68"/>
      <c r="H87" s="47"/>
      <c r="I87" s="68"/>
      <c r="J87" s="68"/>
      <c r="K87" s="68"/>
      <c r="L87" s="68"/>
      <c r="M87" s="68"/>
      <c r="N87" s="68"/>
      <c r="O87" s="68"/>
      <c r="P87" s="68"/>
      <c r="Q87" s="70"/>
      <c r="R87" s="70"/>
      <c r="S87" s="47"/>
      <c r="T87" s="75"/>
      <c r="U87" s="69"/>
      <c r="V87" s="72"/>
      <c r="W87" s="47"/>
      <c r="X87" s="75"/>
      <c r="Y87" s="69"/>
      <c r="Z87" s="69"/>
      <c r="AA87" s="69"/>
      <c r="AB87" s="69"/>
      <c r="AC87" s="69"/>
      <c r="AD87" s="69"/>
    </row>
    <row r="88" spans="2:30" ht="14.25" customHeight="1" x14ac:dyDescent="0.25">
      <c r="B88" s="70"/>
      <c r="C88" s="70"/>
      <c r="D88" s="102"/>
      <c r="E88" s="68"/>
      <c r="F88" s="68"/>
      <c r="G88" s="68"/>
      <c r="H88" s="47"/>
      <c r="I88" s="68"/>
      <c r="J88" s="68"/>
      <c r="K88" s="68"/>
      <c r="L88" s="68"/>
      <c r="M88" s="68"/>
      <c r="N88" s="68"/>
      <c r="O88" s="68"/>
      <c r="P88" s="68"/>
      <c r="Q88" s="70"/>
      <c r="R88" s="70"/>
      <c r="S88" s="47"/>
      <c r="T88" s="75"/>
      <c r="U88" s="69"/>
      <c r="V88" s="72"/>
      <c r="W88" s="47"/>
      <c r="X88" s="75"/>
      <c r="Y88" s="69"/>
      <c r="Z88" s="69"/>
      <c r="AA88" s="69"/>
      <c r="AB88" s="69"/>
      <c r="AC88" s="69"/>
      <c r="AD88" s="69"/>
    </row>
    <row r="89" spans="2:30" ht="14.25" customHeight="1" x14ac:dyDescent="0.25">
      <c r="B89" s="70"/>
      <c r="C89" s="70"/>
      <c r="D89" s="102"/>
      <c r="E89" s="68"/>
      <c r="F89" s="68"/>
      <c r="G89" s="68"/>
      <c r="H89" s="47"/>
      <c r="I89" s="68"/>
      <c r="J89" s="68"/>
      <c r="K89" s="68"/>
      <c r="L89" s="68"/>
      <c r="M89" s="68"/>
      <c r="N89" s="68"/>
      <c r="O89" s="68"/>
      <c r="P89" s="68"/>
      <c r="Q89" s="70"/>
      <c r="R89" s="70"/>
      <c r="S89" s="47"/>
      <c r="T89" s="75"/>
      <c r="U89" s="69"/>
      <c r="V89" s="72"/>
      <c r="W89" s="47"/>
      <c r="X89" s="75"/>
      <c r="Y89" s="69"/>
      <c r="Z89" s="69"/>
      <c r="AA89" s="69"/>
      <c r="AB89" s="69"/>
      <c r="AC89" s="69"/>
      <c r="AD89" s="69"/>
    </row>
    <row r="90" spans="2:30" ht="14.25" customHeight="1" x14ac:dyDescent="0.25">
      <c r="B90" s="70"/>
      <c r="C90" s="70"/>
      <c r="D90" s="102"/>
      <c r="E90" s="68"/>
      <c r="F90" s="68"/>
      <c r="G90" s="68"/>
      <c r="H90" s="47"/>
      <c r="I90" s="68"/>
      <c r="J90" s="68"/>
      <c r="K90" s="68"/>
      <c r="L90" s="68"/>
      <c r="M90" s="68"/>
      <c r="N90" s="68"/>
      <c r="O90" s="68"/>
      <c r="P90" s="68"/>
      <c r="Q90" s="70"/>
      <c r="R90" s="70"/>
      <c r="S90" s="47"/>
      <c r="T90" s="75"/>
      <c r="U90" s="69"/>
      <c r="V90" s="72"/>
      <c r="W90" s="47"/>
      <c r="X90" s="75"/>
      <c r="Y90" s="69"/>
      <c r="Z90" s="69"/>
      <c r="AA90" s="69"/>
      <c r="AB90" s="69"/>
      <c r="AC90" s="69"/>
      <c r="AD90" s="69"/>
    </row>
    <row r="91" spans="2:30" ht="14.25" customHeight="1" x14ac:dyDescent="0.25">
      <c r="B91" s="70"/>
      <c r="C91" s="70"/>
      <c r="D91" s="102"/>
      <c r="E91" s="68"/>
      <c r="F91" s="68"/>
      <c r="G91" s="68"/>
      <c r="H91" s="47"/>
      <c r="I91" s="68"/>
      <c r="J91" s="68"/>
      <c r="K91" s="68"/>
      <c r="L91" s="68"/>
      <c r="M91" s="68"/>
      <c r="N91" s="68"/>
      <c r="O91" s="68"/>
      <c r="P91" s="68"/>
      <c r="Q91" s="70"/>
      <c r="R91" s="70"/>
      <c r="S91" s="47"/>
      <c r="T91" s="75"/>
      <c r="U91" s="69"/>
      <c r="V91" s="72"/>
      <c r="W91" s="47"/>
      <c r="X91" s="75"/>
      <c r="Y91" s="69"/>
      <c r="Z91" s="69"/>
      <c r="AA91" s="69"/>
      <c r="AB91" s="69"/>
      <c r="AC91" s="69"/>
      <c r="AD91" s="69"/>
    </row>
    <row r="92" spans="2:30" ht="14.25" customHeight="1" x14ac:dyDescent="0.25">
      <c r="B92" s="70"/>
      <c r="C92" s="70"/>
      <c r="D92" s="102"/>
      <c r="E92" s="68"/>
      <c r="F92" s="68"/>
      <c r="G92" s="68"/>
      <c r="H92" s="47"/>
      <c r="I92" s="68"/>
      <c r="J92" s="68"/>
      <c r="K92" s="68"/>
      <c r="L92" s="68"/>
      <c r="M92" s="68"/>
      <c r="N92" s="68"/>
      <c r="O92" s="68"/>
      <c r="P92" s="68"/>
      <c r="Q92" s="70"/>
      <c r="R92" s="70"/>
      <c r="S92" s="47"/>
      <c r="T92" s="75"/>
      <c r="U92" s="69"/>
      <c r="V92" s="72"/>
      <c r="W92" s="47"/>
      <c r="X92" s="75"/>
      <c r="Y92" s="69"/>
      <c r="Z92" s="69"/>
      <c r="AA92" s="69"/>
      <c r="AB92" s="69"/>
      <c r="AC92" s="69"/>
      <c r="AD92" s="69"/>
    </row>
    <row r="93" spans="2:30" ht="14.25" customHeight="1" x14ac:dyDescent="0.25">
      <c r="B93" s="70"/>
      <c r="C93" s="70"/>
      <c r="D93" s="102"/>
      <c r="E93" s="68"/>
      <c r="F93" s="68"/>
      <c r="G93" s="68"/>
      <c r="H93" s="47"/>
      <c r="I93" s="68"/>
      <c r="J93" s="68"/>
      <c r="K93" s="68"/>
      <c r="L93" s="68"/>
      <c r="M93" s="68"/>
      <c r="N93" s="68"/>
      <c r="O93" s="68"/>
      <c r="P93" s="68"/>
      <c r="Q93" s="70"/>
      <c r="R93" s="70"/>
      <c r="S93" s="47"/>
      <c r="T93" s="75"/>
      <c r="U93" s="69"/>
      <c r="V93" s="72"/>
      <c r="W93" s="47"/>
      <c r="X93" s="75"/>
      <c r="Y93" s="69"/>
      <c r="Z93" s="69"/>
      <c r="AA93" s="69"/>
      <c r="AB93" s="69"/>
      <c r="AC93" s="69"/>
      <c r="AD93" s="69"/>
    </row>
    <row r="94" spans="2:30" x14ac:dyDescent="0.25">
      <c r="B94" s="70"/>
      <c r="C94" s="70"/>
      <c r="D94" s="102"/>
      <c r="E94" s="68"/>
      <c r="F94" s="68"/>
      <c r="G94" s="68"/>
      <c r="H94" s="47"/>
      <c r="I94" s="68"/>
      <c r="J94" s="68"/>
      <c r="K94" s="68"/>
      <c r="L94" s="68"/>
      <c r="M94" s="68"/>
      <c r="N94" s="70"/>
      <c r="O94" s="68"/>
      <c r="P94" s="68"/>
      <c r="Q94" s="70"/>
      <c r="R94" s="70"/>
      <c r="S94" s="47"/>
      <c r="T94" s="76"/>
      <c r="U94" s="69"/>
      <c r="V94" s="72"/>
      <c r="W94" s="47"/>
      <c r="X94" s="76"/>
      <c r="Y94" s="69"/>
      <c r="Z94" s="69"/>
      <c r="AA94" s="69"/>
      <c r="AB94" s="69"/>
      <c r="AC94" s="69"/>
      <c r="AD94" s="69"/>
    </row>
    <row r="95" spans="2:30" x14ac:dyDescent="0.25">
      <c r="B95" s="70"/>
      <c r="C95" s="70"/>
      <c r="D95" s="102"/>
      <c r="E95" s="68"/>
      <c r="F95" s="68"/>
      <c r="G95" s="68"/>
      <c r="H95" s="47"/>
      <c r="I95" s="68"/>
      <c r="J95" s="68"/>
      <c r="K95" s="68"/>
      <c r="L95" s="68"/>
      <c r="M95" s="68"/>
      <c r="N95" s="68"/>
      <c r="O95" s="68"/>
      <c r="P95" s="68"/>
      <c r="Q95" s="70"/>
      <c r="R95" s="70"/>
      <c r="S95" s="47"/>
      <c r="T95" s="76"/>
      <c r="U95" s="69"/>
      <c r="V95" s="72"/>
      <c r="W95" s="47"/>
      <c r="X95" s="76"/>
      <c r="Y95" s="69"/>
      <c r="Z95" s="69"/>
      <c r="AA95" s="69"/>
      <c r="AB95" s="69"/>
      <c r="AC95" s="69"/>
      <c r="AD95" s="69"/>
    </row>
    <row r="96" spans="2:30" ht="14.25" customHeight="1" x14ac:dyDescent="0.25">
      <c r="B96" s="68"/>
      <c r="C96" s="68"/>
      <c r="D96" s="68"/>
      <c r="E96" s="68"/>
      <c r="F96" s="68"/>
      <c r="G96" s="68"/>
      <c r="H96" s="47"/>
      <c r="I96" s="68"/>
      <c r="J96" s="68"/>
      <c r="K96" s="68"/>
      <c r="L96" s="68"/>
      <c r="M96" s="68"/>
      <c r="N96" s="68"/>
      <c r="O96" s="68"/>
      <c r="P96" s="68"/>
      <c r="Q96" s="70"/>
      <c r="R96" s="70"/>
      <c r="S96" s="47"/>
      <c r="T96" s="141"/>
      <c r="U96" s="69"/>
      <c r="V96" s="72"/>
      <c r="W96" s="47"/>
      <c r="X96" s="141"/>
      <c r="Y96" s="69"/>
      <c r="Z96" s="69"/>
      <c r="AA96" s="69"/>
      <c r="AB96" s="69"/>
      <c r="AC96" s="69"/>
      <c r="AD96" s="69"/>
    </row>
    <row r="97" spans="2:30" ht="14.25" customHeight="1" x14ac:dyDescent="0.25">
      <c r="B97" s="68"/>
      <c r="C97" s="68"/>
      <c r="D97" s="68"/>
      <c r="E97" s="68"/>
      <c r="F97" s="68"/>
      <c r="G97" s="68"/>
      <c r="H97" s="47"/>
      <c r="I97" s="68"/>
      <c r="J97" s="68"/>
      <c r="K97" s="68"/>
      <c r="L97" s="68"/>
      <c r="M97" s="68"/>
      <c r="N97" s="68"/>
      <c r="O97" s="68"/>
      <c r="P97" s="68"/>
      <c r="Q97" s="70"/>
      <c r="R97" s="70"/>
      <c r="S97" s="47"/>
      <c r="T97" s="141"/>
      <c r="U97" s="69"/>
      <c r="V97" s="72"/>
      <c r="W97" s="47"/>
      <c r="X97" s="141"/>
      <c r="Y97" s="69"/>
      <c r="Z97" s="69"/>
      <c r="AA97" s="69"/>
      <c r="AB97" s="69"/>
      <c r="AC97" s="69"/>
      <c r="AD97" s="69"/>
    </row>
    <row r="98" spans="2:30" ht="14.25" customHeight="1" x14ac:dyDescent="0.25">
      <c r="B98" s="68"/>
      <c r="C98" s="68"/>
      <c r="D98" s="68"/>
      <c r="E98" s="68"/>
      <c r="F98" s="68"/>
      <c r="G98" s="68"/>
      <c r="H98" s="47"/>
      <c r="I98" s="68"/>
      <c r="J98" s="68"/>
      <c r="K98" s="68"/>
      <c r="L98" s="68"/>
      <c r="M98" s="68"/>
      <c r="N98" s="68"/>
      <c r="O98" s="68"/>
      <c r="P98" s="68"/>
      <c r="Q98" s="70"/>
      <c r="R98" s="70"/>
      <c r="S98" s="47"/>
      <c r="T98" s="141"/>
      <c r="U98" s="69"/>
      <c r="V98" s="72"/>
      <c r="W98" s="47"/>
      <c r="X98" s="141"/>
      <c r="Y98" s="69"/>
      <c r="Z98" s="69"/>
      <c r="AA98" s="69"/>
      <c r="AB98" s="69"/>
      <c r="AC98" s="69"/>
      <c r="AD98" s="69"/>
    </row>
    <row r="99" spans="2:30" ht="14.25" customHeight="1" x14ac:dyDescent="0.25">
      <c r="B99" s="68"/>
      <c r="C99" s="68"/>
      <c r="D99" s="68"/>
      <c r="E99" s="68"/>
      <c r="F99" s="68"/>
      <c r="G99" s="68"/>
      <c r="H99" s="47"/>
      <c r="I99" s="68"/>
      <c r="J99" s="68"/>
      <c r="K99" s="68"/>
      <c r="L99" s="68"/>
      <c r="M99" s="68"/>
      <c r="N99" s="68"/>
      <c r="O99" s="68"/>
      <c r="P99" s="68"/>
      <c r="Q99" s="70"/>
      <c r="R99" s="70"/>
      <c r="S99" s="47"/>
      <c r="T99" s="68"/>
      <c r="U99" s="69"/>
      <c r="V99" s="72"/>
      <c r="W99" s="47"/>
      <c r="X99" s="68"/>
      <c r="Y99" s="69"/>
      <c r="Z99" s="69"/>
      <c r="AA99" s="69"/>
      <c r="AB99" s="69"/>
      <c r="AC99" s="69"/>
      <c r="AD99" s="69"/>
    </row>
    <row r="100" spans="2:30" ht="14.25" customHeight="1" x14ac:dyDescent="0.25">
      <c r="B100" s="68"/>
      <c r="C100" s="68"/>
      <c r="D100" s="68"/>
      <c r="E100" s="68"/>
      <c r="F100" s="68"/>
      <c r="G100" s="68"/>
      <c r="H100" s="47"/>
      <c r="I100" s="68"/>
      <c r="J100" s="68"/>
      <c r="K100" s="68"/>
      <c r="L100" s="68"/>
      <c r="M100" s="68"/>
      <c r="N100" s="68"/>
      <c r="O100" s="68"/>
      <c r="P100" s="68"/>
      <c r="Q100" s="70"/>
      <c r="R100" s="70"/>
      <c r="S100" s="47"/>
      <c r="T100" s="68"/>
      <c r="U100" s="69"/>
      <c r="V100" s="72"/>
      <c r="W100" s="47"/>
      <c r="X100" s="68"/>
      <c r="Y100" s="69"/>
      <c r="Z100" s="69"/>
      <c r="AA100" s="69"/>
      <c r="AB100" s="69"/>
      <c r="AC100" s="69"/>
      <c r="AD100" s="69"/>
    </row>
    <row r="101" spans="2:30" ht="14.25" customHeight="1" x14ac:dyDescent="0.25">
      <c r="B101" s="68"/>
      <c r="C101" s="68"/>
      <c r="D101" s="68"/>
      <c r="E101" s="68"/>
      <c r="F101" s="68"/>
      <c r="G101" s="68"/>
      <c r="H101" s="47"/>
      <c r="I101" s="68"/>
      <c r="J101" s="68"/>
      <c r="K101" s="68"/>
      <c r="L101" s="68"/>
      <c r="M101" s="68"/>
      <c r="N101" s="68"/>
      <c r="O101" s="68"/>
      <c r="P101" s="68"/>
      <c r="Q101" s="70"/>
      <c r="R101" s="70"/>
      <c r="S101" s="47"/>
      <c r="T101" s="68"/>
      <c r="U101" s="69"/>
      <c r="V101" s="72"/>
      <c r="W101" s="47"/>
      <c r="X101" s="68"/>
      <c r="Y101" s="69"/>
      <c r="Z101" s="69"/>
      <c r="AA101" s="69"/>
      <c r="AB101" s="69"/>
      <c r="AC101" s="69"/>
      <c r="AD101" s="69"/>
    </row>
  </sheetData>
  <autoFilter ref="B12:AD29">
    <sortState ref="B13:AA29">
      <sortCondition ref="C12:C17"/>
    </sortState>
  </autoFilter>
  <mergeCells count="7">
    <mergeCell ref="X11:AD11"/>
    <mergeCell ref="C7:G7"/>
    <mergeCell ref="B11:G11"/>
    <mergeCell ref="I11:K11"/>
    <mergeCell ref="L11:N11"/>
    <mergeCell ref="O11:R11"/>
    <mergeCell ref="T11:V11"/>
  </mergeCells>
  <conditionalFormatting sqref="T13:T18">
    <cfRule type="cellIs" dxfId="178" priority="11" operator="equal">
      <formula>"Testes utilizador"</formula>
    </cfRule>
  </conditionalFormatting>
  <conditionalFormatting sqref="T19">
    <cfRule type="cellIs" dxfId="177" priority="6" operator="equal">
      <formula>"Testes utilizador"</formula>
    </cfRule>
  </conditionalFormatting>
  <conditionalFormatting sqref="T20:T29">
    <cfRule type="cellIs" dxfId="176" priority="1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2" operator="equal" id="{CFA4256E-CC3B-4830-B393-47308DC0D00E}">
            <xm:f>'Tabelas AUX'!$E$8</xm:f>
            <x14:dxf>
              <font>
                <color theme="8"/>
              </font>
            </x14:dxf>
          </x14:cfRule>
          <xm:sqref>T30:T101</xm:sqref>
        </x14:conditionalFormatting>
        <x14:conditionalFormatting xmlns:xm="http://schemas.microsoft.com/office/excel/2006/main">
          <x14:cfRule type="cellIs" priority="95" operator="equal" id="{AD614F7A-60CE-44C7-83BA-43A0B75B895B}">
            <xm:f>'Tabelas AUX'!$E$4</xm:f>
            <x14:dxf>
              <font>
                <color rgb="FF7F7F7F"/>
              </font>
            </x14:dxf>
          </x14:cfRule>
          <x14:cfRule type="cellIs" priority="96" operator="equal" id="{3B83323D-E84C-449C-89ED-B13F13A662B3}">
            <xm:f>'Tabelas AUX'!$E$3</xm:f>
            <x14:dxf>
              <font>
                <color theme="5"/>
              </font>
            </x14:dxf>
          </x14:cfRule>
          <x14:cfRule type="cellIs" priority="97" operator="equal" id="{F5184A0C-D5E2-4342-B94F-ADF0A60020C9}">
            <xm:f>'Tabelas AUX'!$E$2</xm:f>
            <x14:dxf>
              <font>
                <color rgb="FFC00000"/>
              </font>
            </x14:dxf>
          </x14:cfRule>
          <xm:sqref>T30:T59 T73:T80 T83:T101</xm:sqref>
        </x14:conditionalFormatting>
        <x14:conditionalFormatting xmlns:xm="http://schemas.microsoft.com/office/excel/2006/main">
          <x14:cfRule type="cellIs" priority="77" operator="equal" id="{5970C009-29C6-4FAD-A854-153A6CF18674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94" operator="equal" id="{E1B18723-9E67-4A94-A765-E7733AAA9DB4}">
            <xm:f>'Tabelas AUX'!$E$5</xm:f>
            <x14:dxf>
              <font>
                <color rgb="FF00B050"/>
              </font>
            </x14:dxf>
          </x14:cfRule>
          <xm:sqref>T30:T101</xm:sqref>
        </x14:conditionalFormatting>
        <x14:conditionalFormatting xmlns:xm="http://schemas.microsoft.com/office/excel/2006/main">
          <x14:cfRule type="cellIs" priority="82" operator="equal" id="{AAECF731-916B-48C2-B9A9-24ADA5760FCB}">
            <xm:f>'Tabelas AUX'!$E$5</xm:f>
            <x14:dxf>
              <font>
                <color rgb="FF00B050"/>
              </font>
            </x14:dxf>
          </x14:cfRule>
          <x14:cfRule type="cellIs" priority="83" operator="equal" id="{A2647B66-9BF0-414D-ACEB-C339A244FB9D}">
            <xm:f>'Tabelas AUX'!$E$4</xm:f>
            <x14:dxf>
              <font>
                <color rgb="FF7F7F7F"/>
              </font>
            </x14:dxf>
          </x14:cfRule>
          <x14:cfRule type="cellIs" priority="84" operator="equal" id="{E817B1D4-E61C-4629-AEA1-5107A0D143E9}">
            <xm:f>'Tabelas AUX'!$E$3</xm:f>
            <x14:dxf>
              <font>
                <color theme="5"/>
              </font>
            </x14:dxf>
          </x14:cfRule>
          <x14:cfRule type="cellIs" priority="85" operator="equal" id="{5A49B245-5B93-4719-B1B2-9000C72B783B}">
            <xm:f>'Tabelas AUX'!$E$2</xm:f>
            <x14:dxf>
              <font>
                <color rgb="FFC00000"/>
              </font>
            </x14:dxf>
          </x14:cfRule>
          <xm:sqref>T35:T38</xm:sqref>
        </x14:conditionalFormatting>
        <x14:conditionalFormatting xmlns:xm="http://schemas.microsoft.com/office/excel/2006/main">
          <x14:cfRule type="cellIs" priority="78" operator="equal" id="{F0E03AF9-2F65-49E5-A521-1366F80F4DC4}">
            <xm:f>'Tabelas AUX'!$E$5</xm:f>
            <x14:dxf>
              <font>
                <color rgb="FF00B050"/>
              </font>
            </x14:dxf>
          </x14:cfRule>
          <x14:cfRule type="cellIs" priority="79" operator="equal" id="{226EAE64-2899-4262-A9CE-0A56BC508E15}">
            <xm:f>'Tabelas AUX'!$E$4</xm:f>
            <x14:dxf>
              <font>
                <color rgb="FF7F7F7F"/>
              </font>
            </x14:dxf>
          </x14:cfRule>
          <x14:cfRule type="cellIs" priority="80" operator="equal" id="{A7A62560-98B5-4680-A593-F563B0FF7106}">
            <xm:f>'Tabelas AUX'!$E$3</xm:f>
            <x14:dxf>
              <font>
                <color theme="5"/>
              </font>
            </x14:dxf>
          </x14:cfRule>
          <x14:cfRule type="cellIs" priority="81" operator="equal" id="{79838110-C6C8-4806-AEBC-796916B4F78A}">
            <xm:f>'Tabelas AUX'!$E$2</xm:f>
            <x14:dxf>
              <font>
                <color rgb="FFC00000"/>
              </font>
            </x14:dxf>
          </x14:cfRule>
          <xm:sqref>T60:T72</xm:sqref>
        </x14:conditionalFormatting>
        <x14:conditionalFormatting xmlns:xm="http://schemas.microsoft.com/office/excel/2006/main">
          <x14:cfRule type="cellIs" priority="86" operator="equal" id="{FF5EA7AE-443E-482E-8451-3C993BE16FE5}">
            <xm:f>'Tabelas AUX'!$E$5</xm:f>
            <x14:dxf>
              <font>
                <color rgb="FF00B050"/>
              </font>
            </x14:dxf>
          </x14:cfRule>
          <x14:cfRule type="cellIs" priority="87" operator="equal" id="{DEE1BEDE-1D43-410C-A467-7DECE726F1B9}">
            <xm:f>'Tabelas AUX'!$E$4</xm:f>
            <x14:dxf>
              <font>
                <color rgb="FF7F7F7F"/>
              </font>
            </x14:dxf>
          </x14:cfRule>
          <x14:cfRule type="cellIs" priority="88" operator="equal" id="{5BF57EA9-3456-4DAF-A633-589F90E889BB}">
            <xm:f>'Tabelas AUX'!$E$3</xm:f>
            <x14:dxf>
              <font>
                <color theme="5"/>
              </font>
            </x14:dxf>
          </x14:cfRule>
          <x14:cfRule type="cellIs" priority="89" operator="equal" id="{30EB1FDA-3460-4D66-9D37-E366A4F3544C}">
            <xm:f>'Tabelas AUX'!$E$2</xm:f>
            <x14:dxf>
              <font>
                <color rgb="FFC00000"/>
              </font>
            </x14:dxf>
          </x14:cfRule>
          <xm:sqref>T81:T82</xm:sqref>
        </x14:conditionalFormatting>
        <x14:conditionalFormatting xmlns:xm="http://schemas.microsoft.com/office/excel/2006/main">
          <x14:cfRule type="cellIs" priority="23" operator="equal" id="{3CB2293A-FBC8-43DF-965B-D44450B981AF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28" operator="equal" id="{96EF459A-18A0-44CC-B945-FA8922723E00}">
            <xm:f>'Tabelas AUX'!$E$5</xm:f>
            <x14:dxf>
              <font>
                <color rgb="FF00B050"/>
              </font>
            </x14:dxf>
          </x14:cfRule>
          <xm:sqref>U27:U28</xm:sqref>
        </x14:conditionalFormatting>
        <x14:conditionalFormatting xmlns:xm="http://schemas.microsoft.com/office/excel/2006/main">
          <x14:cfRule type="cellIs" priority="18" operator="equal" id="{8F6D2F7C-8F7D-45B2-921C-6E6BAF55DBD9}">
            <xm:f>'Tabelas AUX'!$E$5</xm:f>
            <x14:dxf>
              <font>
                <color rgb="FF00B050"/>
              </font>
            </x14:dxf>
          </x14:cfRule>
          <x14:cfRule type="cellIs" priority="19" operator="equal" id="{C3215A8B-0947-4A4C-9C96-46D498501711}">
            <xm:f>'Tabelas AUX'!$E$4</xm:f>
            <x14:dxf>
              <font>
                <color rgb="FF7F7F7F"/>
              </font>
            </x14:dxf>
          </x14:cfRule>
          <x14:cfRule type="cellIs" priority="20" operator="equal" id="{3A1908DF-6DF9-4445-B820-16080F90D2D7}">
            <xm:f>'Tabelas AUX'!$E$3</xm:f>
            <x14:dxf>
              <font>
                <color theme="5"/>
              </font>
            </x14:dxf>
          </x14:cfRule>
          <x14:cfRule type="cellIs" priority="21" operator="equal" id="{10634348-35C7-4276-8600-09F6054016D7}">
            <xm:f>'Tabelas AUX'!$E$2</xm:f>
            <x14:dxf>
              <font>
                <color rgb="FFC00000"/>
              </font>
            </x14:dxf>
          </x14:cfRule>
          <xm:sqref>X13:X28</xm:sqref>
        </x14:conditionalFormatting>
        <x14:conditionalFormatting xmlns:xm="http://schemas.microsoft.com/office/excel/2006/main">
          <x14:cfRule type="cellIs" priority="16" operator="equal" id="{14E5DBD8-F7D0-4E42-8BE8-C8B0FA0AD373}">
            <xm:f>'Tabelas AUX'!$E$8</xm:f>
            <x14:dxf>
              <font>
                <color theme="8"/>
              </font>
            </x14:dxf>
          </x14:cfRule>
          <x14:cfRule type="cellIs" priority="17" operator="equal" id="{7C618141-AF6E-4519-98A3-3636DE703E67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m:sqref>X13:X101</xm:sqref>
        </x14:conditionalFormatting>
        <x14:conditionalFormatting xmlns:xm="http://schemas.microsoft.com/office/excel/2006/main">
          <x14:cfRule type="cellIs" priority="73" operator="equal" id="{DD06110D-40AC-41AD-9EC0-D4F89E9B9EC7}">
            <xm:f>'Tabelas AUX'!$E$4</xm:f>
            <x14:dxf>
              <font>
                <color rgb="FF7F7F7F"/>
              </font>
            </x14:dxf>
          </x14:cfRule>
          <x14:cfRule type="cellIs" priority="74" operator="equal" id="{03520A0A-D3E2-48DB-88B8-2F0A8BE71B4A}">
            <xm:f>'Tabelas AUX'!$E$3</xm:f>
            <x14:dxf>
              <font>
                <color theme="5"/>
              </font>
            </x14:dxf>
          </x14:cfRule>
          <x14:cfRule type="cellIs" priority="75" operator="equal" id="{D3A7EEE7-76E1-4642-8A55-F4F8EBF8C6A7}">
            <xm:f>'Tabelas AUX'!$E$2</xm:f>
            <x14:dxf>
              <font>
                <color rgb="FFC00000"/>
              </font>
            </x14:dxf>
          </x14:cfRule>
          <xm:sqref>X29:X59 X73:X80 X83:X101</xm:sqref>
        </x14:conditionalFormatting>
        <x14:conditionalFormatting xmlns:xm="http://schemas.microsoft.com/office/excel/2006/main">
          <x14:cfRule type="cellIs" priority="72" operator="equal" id="{AFF75704-AA1B-4779-A084-7D6CAD2C325C}">
            <xm:f>'Tabelas AUX'!$E$5</xm:f>
            <x14:dxf>
              <font>
                <color rgb="FF00B050"/>
              </font>
            </x14:dxf>
          </x14:cfRule>
          <xm:sqref>X29:X101</xm:sqref>
        </x14:conditionalFormatting>
        <x14:conditionalFormatting xmlns:xm="http://schemas.microsoft.com/office/excel/2006/main">
          <x14:cfRule type="cellIs" priority="60" operator="equal" id="{AF4FF45E-737F-45B5-9393-12FE966E5E74}">
            <xm:f>'Tabelas AUX'!$E$5</xm:f>
            <x14:dxf>
              <font>
                <color rgb="FF00B050"/>
              </font>
            </x14:dxf>
          </x14:cfRule>
          <x14:cfRule type="cellIs" priority="61" operator="equal" id="{C65A6EFF-8945-4010-A484-DB9329AA3AA1}">
            <xm:f>'Tabelas AUX'!$E$4</xm:f>
            <x14:dxf>
              <font>
                <color rgb="FF7F7F7F"/>
              </font>
            </x14:dxf>
          </x14:cfRule>
          <x14:cfRule type="cellIs" priority="62" operator="equal" id="{BD6DF15E-93B1-4A24-8924-ECB166A8C843}">
            <xm:f>'Tabelas AUX'!$E$3</xm:f>
            <x14:dxf>
              <font>
                <color theme="5"/>
              </font>
            </x14:dxf>
          </x14:cfRule>
          <x14:cfRule type="cellIs" priority="63" operator="equal" id="{E426EBFE-EBE6-4DCF-A3FF-14966C3BF8FC}">
            <xm:f>'Tabelas AUX'!$E$2</xm:f>
            <x14:dxf>
              <font>
                <color rgb="FFC00000"/>
              </font>
            </x14:dxf>
          </x14:cfRule>
          <xm:sqref>X35:X38</xm:sqref>
        </x14:conditionalFormatting>
        <x14:conditionalFormatting xmlns:xm="http://schemas.microsoft.com/office/excel/2006/main">
          <x14:cfRule type="cellIs" priority="56" operator="equal" id="{F4CC98E7-EAE9-49B4-BEE6-2FBFE17F6CC8}">
            <xm:f>'Tabelas AUX'!$E$5</xm:f>
            <x14:dxf>
              <font>
                <color rgb="FF00B050"/>
              </font>
            </x14:dxf>
          </x14:cfRule>
          <x14:cfRule type="cellIs" priority="57" operator="equal" id="{3986B6EF-2409-4012-8576-7026B1E95E4C}">
            <xm:f>'Tabelas AUX'!$E$4</xm:f>
            <x14:dxf>
              <font>
                <color rgb="FF7F7F7F"/>
              </font>
            </x14:dxf>
          </x14:cfRule>
          <x14:cfRule type="cellIs" priority="58" operator="equal" id="{6F61F744-3552-4A86-8429-CF31B7EE9E25}">
            <xm:f>'Tabelas AUX'!$E$3</xm:f>
            <x14:dxf>
              <font>
                <color theme="5"/>
              </font>
            </x14:dxf>
          </x14:cfRule>
          <x14:cfRule type="cellIs" priority="59" operator="equal" id="{0C57A291-BF4E-4FA3-BB50-A96342CDFACB}">
            <xm:f>'Tabelas AUX'!$E$2</xm:f>
            <x14:dxf>
              <font>
                <color rgb="FFC00000"/>
              </font>
            </x14:dxf>
          </x14:cfRule>
          <xm:sqref>X60:X72</xm:sqref>
        </x14:conditionalFormatting>
        <x14:conditionalFormatting xmlns:xm="http://schemas.microsoft.com/office/excel/2006/main">
          <x14:cfRule type="cellIs" priority="64" operator="equal" id="{0025C836-5013-4D2C-8B5C-6A6FA84000D7}">
            <xm:f>'Tabelas AUX'!$E$5</xm:f>
            <x14:dxf>
              <font>
                <color rgb="FF00B050"/>
              </font>
            </x14:dxf>
          </x14:cfRule>
          <x14:cfRule type="cellIs" priority="65" operator="equal" id="{71A73EFF-909E-423A-840C-47127E2729D0}">
            <xm:f>'Tabelas AUX'!$E$4</xm:f>
            <x14:dxf>
              <font>
                <color rgb="FF7F7F7F"/>
              </font>
            </x14:dxf>
          </x14:cfRule>
          <x14:cfRule type="cellIs" priority="66" operator="equal" id="{728CEFC2-45E6-4B67-BCA2-4FFFDFDAA406}">
            <xm:f>'Tabelas AUX'!$E$3</xm:f>
            <x14:dxf>
              <font>
                <color theme="5"/>
              </font>
            </x14:dxf>
          </x14:cfRule>
          <x14:cfRule type="cellIs" priority="67" operator="equal" id="{D9020C0F-3B2C-460C-BB4C-9430B8050575}">
            <xm:f>'Tabelas AUX'!$E$2</xm:f>
            <x14:dxf>
              <font>
                <color rgb="FFC00000"/>
              </font>
            </x14:dxf>
          </x14:cfRule>
          <xm:sqref>X81:X82</xm:sqref>
        </x14:conditionalFormatting>
        <x14:conditionalFormatting xmlns:xm="http://schemas.microsoft.com/office/excel/2006/main">
          <x14:cfRule type="cellIs" priority="12" operator="equal" id="{E30E99B9-A5A8-42B4-A659-09296B9DAAE1}">
            <xm:f>'Tabelas AUX'!$E$5</xm:f>
            <x14:dxf>
              <font>
                <color rgb="FF00B050"/>
              </font>
            </x14:dxf>
          </x14:cfRule>
          <x14:cfRule type="cellIs" priority="13" operator="equal" id="{9DB60288-BE6E-44BE-B151-44876CEE7B94}">
            <xm:f>'Tabelas AUX'!$E$4</xm:f>
            <x14:dxf>
              <font>
                <color rgb="FF7F7F7F"/>
              </font>
            </x14:dxf>
          </x14:cfRule>
          <x14:cfRule type="cellIs" priority="14" operator="equal" id="{0C3ABA7A-C81E-489E-BE68-9DB37BEFD2AA}">
            <xm:f>'Tabelas AUX'!$E$3</xm:f>
            <x14:dxf>
              <font>
                <color theme="5"/>
              </font>
            </x14:dxf>
          </x14:cfRule>
          <x14:cfRule type="cellIs" priority="15" operator="equal" id="{F6B44E87-3765-4959-8D18-36D2A61C9B78}">
            <xm:f>'Tabelas AUX'!$E$2</xm:f>
            <x14:dxf>
              <font>
                <color rgb="FFC00000"/>
              </font>
            </x14:dxf>
          </x14:cfRule>
          <xm:sqref>T13:T18</xm:sqref>
        </x14:conditionalFormatting>
        <x14:conditionalFormatting xmlns:xm="http://schemas.microsoft.com/office/excel/2006/main">
          <x14:cfRule type="cellIs" priority="7" operator="equal" id="{37AAA020-9503-4FED-88C8-18E3FE943C66}">
            <xm:f>'Tabelas AUX'!$E$5</xm:f>
            <x14:dxf>
              <font>
                <color rgb="FF00B050"/>
              </font>
            </x14:dxf>
          </x14:cfRule>
          <x14:cfRule type="cellIs" priority="8" operator="equal" id="{7330D53A-2349-440C-9602-33939E78832A}">
            <xm:f>'Tabelas AUX'!$E$4</xm:f>
            <x14:dxf>
              <font>
                <color rgb="FF7F7F7F"/>
              </font>
            </x14:dxf>
          </x14:cfRule>
          <x14:cfRule type="cellIs" priority="9" operator="equal" id="{423C8A6F-4024-4089-B898-63E377D4D202}">
            <xm:f>'Tabelas AUX'!$E$3</xm:f>
            <x14:dxf>
              <font>
                <color theme="5"/>
              </font>
            </x14:dxf>
          </x14:cfRule>
          <x14:cfRule type="cellIs" priority="10" operator="equal" id="{D13572DC-64BB-4B4E-AB25-EEC58A90A775}">
            <xm:f>'Tabelas AUX'!$E$2</xm:f>
            <x14:dxf>
              <font>
                <color rgb="FFC00000"/>
              </font>
            </x14:dxf>
          </x14:cfRule>
          <xm:sqref>T19</xm:sqref>
        </x14:conditionalFormatting>
        <x14:conditionalFormatting xmlns:xm="http://schemas.microsoft.com/office/excel/2006/main">
          <x14:cfRule type="cellIs" priority="2" operator="equal" id="{95AF01BB-14BD-47E7-A035-0FCA550A91D6}">
            <xm:f>'Tabelas AUX'!$E$5</xm:f>
            <x14:dxf>
              <font>
                <color rgb="FF00B050"/>
              </font>
            </x14:dxf>
          </x14:cfRule>
          <x14:cfRule type="cellIs" priority="3" operator="equal" id="{6B292273-721D-4469-950F-6FC4A9429439}">
            <xm:f>'Tabelas AUX'!$E$4</xm:f>
            <x14:dxf>
              <font>
                <color rgb="FF7F7F7F"/>
              </font>
            </x14:dxf>
          </x14:cfRule>
          <x14:cfRule type="cellIs" priority="4" operator="equal" id="{0E8E5F31-5202-409B-9192-9AA757EBA116}">
            <xm:f>'Tabelas AUX'!$E$3</xm:f>
            <x14:dxf>
              <font>
                <color theme="5"/>
              </font>
            </x14:dxf>
          </x14:cfRule>
          <x14:cfRule type="cellIs" priority="5" operator="equal" id="{643A9735-E2C4-4FBD-910D-99CFA7982E81}">
            <xm:f>'Tabelas AUX'!$E$2</xm:f>
            <x14:dxf>
              <font>
                <color rgb="FFC00000"/>
              </font>
            </x14:dxf>
          </x14:cfRule>
          <xm:sqref>T20:T29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'Tabelas AUX'!$E$2:$E$9</xm:f>
          </x14:formula1>
          <xm:sqref>T30:T101</xm:sqref>
        </x14:dataValidation>
        <x14:dataValidation type="list" allowBlank="1" showInputMessage="1" showErrorMessage="1">
          <x14:formula1>
            <xm:f>'Tabelas AUX'!$E$2:$E$5</xm:f>
          </x14:formula1>
          <xm:sqref>T13:T29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9" tint="0.59999389629810485"/>
    <pageSetUpPr autoPageBreaks="0"/>
  </sheetPr>
  <dimension ref="A1:AC47"/>
  <sheetViews>
    <sheetView showGridLines="0" zoomScale="85" zoomScaleNormal="85" workbookViewId="0">
      <selection activeCell="A12" sqref="A12"/>
    </sheetView>
  </sheetViews>
  <sheetFormatPr defaultRowHeight="15" outlineLevelRow="1" outlineLevelCol="1" x14ac:dyDescent="0.25"/>
  <cols>
    <col min="1" max="1" width="3.7109375" customWidth="1"/>
    <col min="2" max="2" width="23.5703125" bestFit="1" customWidth="1"/>
    <col min="3" max="3" width="70.42578125" bestFit="1" customWidth="1"/>
    <col min="4" max="4" width="25" bestFit="1" customWidth="1"/>
    <col min="5" max="5" width="55.85546875" bestFit="1" customWidth="1"/>
    <col min="6" max="6" width="86.28515625" bestFit="1" customWidth="1"/>
    <col min="7" max="7" width="37" bestFit="1" customWidth="1"/>
    <col min="8" max="8" width="48" bestFit="1" customWidth="1"/>
    <col min="9" max="9" width="10.28515625" hidden="1" customWidth="1"/>
    <col min="10" max="10" width="19.140625" hidden="1" customWidth="1"/>
    <col min="11" max="11" width="34" hidden="1" customWidth="1"/>
    <col min="12" max="12" width="2.140625" customWidth="1" collapsed="1"/>
    <col min="13" max="13" width="14.140625" hidden="1" customWidth="1" outlineLevel="1"/>
    <col min="14" max="14" width="15.42578125" hidden="1" customWidth="1" outlineLevel="1"/>
    <col min="15" max="15" width="42.7109375" hidden="1" customWidth="1" outlineLevel="1"/>
    <col min="16" max="19" width="0" hidden="1" customWidth="1"/>
    <col min="20" max="20" width="14.5703125" bestFit="1" customWidth="1"/>
    <col min="21" max="21" width="21.42578125" bestFit="1" customWidth="1"/>
    <col min="22" max="22" width="31.5703125" bestFit="1" customWidth="1"/>
    <col min="23" max="23" width="2.140625" customWidth="1" collapsed="1"/>
    <col min="24" max="24" width="16.5703125" bestFit="1" customWidth="1"/>
    <col min="25" max="25" width="25.28515625" bestFit="1" customWidth="1"/>
    <col min="26" max="28" width="21.42578125" customWidth="1"/>
    <col min="29" max="29" width="9.7109375" bestFit="1" customWidth="1"/>
  </cols>
  <sheetData>
    <row r="1" spans="1:29" ht="15" customHeight="1" x14ac:dyDescent="0.25">
      <c r="C1" s="47"/>
      <c r="D1" s="47"/>
      <c r="E1" s="47"/>
      <c r="F1" s="47"/>
      <c r="G1" s="47"/>
      <c r="H1" s="47"/>
      <c r="I1" s="47"/>
    </row>
    <row r="2" spans="1:29" ht="34.5" customHeight="1" x14ac:dyDescent="0.25">
      <c r="C2" s="47"/>
      <c r="D2" s="47"/>
      <c r="E2" s="47"/>
      <c r="F2" s="48"/>
      <c r="G2" s="48"/>
      <c r="H2" s="47"/>
      <c r="I2" s="47"/>
    </row>
    <row r="3" spans="1:29" ht="2.25" customHeight="1" x14ac:dyDescent="0.25">
      <c r="A3" s="20"/>
      <c r="B3" s="20"/>
      <c r="C3" s="49"/>
      <c r="D3" s="49"/>
      <c r="E3" s="49"/>
      <c r="F3" s="49"/>
      <c r="G3" s="49"/>
      <c r="H3" s="49"/>
      <c r="I3" s="47"/>
    </row>
    <row r="4" spans="1:29" ht="15" customHeight="1" x14ac:dyDescent="0.25">
      <c r="C4" s="47"/>
      <c r="D4" s="47"/>
      <c r="E4" s="47"/>
      <c r="F4" s="47"/>
      <c r="G4" s="47"/>
      <c r="H4" s="47"/>
      <c r="I4" s="47"/>
    </row>
    <row r="5" spans="1:29" ht="15" customHeight="1" x14ac:dyDescent="0.25">
      <c r="B5" s="50" t="s">
        <v>1557</v>
      </c>
      <c r="C5" s="50"/>
      <c r="D5" s="47"/>
      <c r="F5" s="47"/>
      <c r="G5" s="47"/>
    </row>
    <row r="6" spans="1:29" ht="15" customHeight="1" x14ac:dyDescent="0.25">
      <c r="B6" s="47"/>
      <c r="C6" s="47"/>
      <c r="D6" s="47"/>
      <c r="F6" s="47"/>
      <c r="G6" s="47"/>
    </row>
    <row r="7" spans="1:29" ht="144" hidden="1" customHeight="1" outlineLevel="1" x14ac:dyDescent="0.25">
      <c r="B7" s="51"/>
      <c r="C7" s="222"/>
      <c r="D7" s="222"/>
      <c r="E7" s="222"/>
      <c r="F7" s="222"/>
      <c r="G7" s="222"/>
      <c r="H7" s="52"/>
      <c r="I7" s="52"/>
      <c r="S7" s="52"/>
      <c r="W7" s="52"/>
      <c r="X7" s="52"/>
    </row>
    <row r="8" spans="1:29" ht="15" hidden="1" customHeight="1" outlineLevel="1" x14ac:dyDescent="0.25">
      <c r="B8" s="47"/>
      <c r="C8" s="47"/>
      <c r="D8" s="47"/>
      <c r="F8" s="47"/>
      <c r="G8" s="47"/>
    </row>
    <row r="9" spans="1:29" ht="15" hidden="1" customHeight="1" outlineLevel="1" x14ac:dyDescent="0.25">
      <c r="B9" s="47"/>
      <c r="C9" s="47"/>
      <c r="D9" s="47"/>
      <c r="F9" s="47"/>
      <c r="G9" s="47"/>
    </row>
    <row r="10" spans="1:29" ht="15" hidden="1" customHeight="1" outlineLevel="1" x14ac:dyDescent="0.25">
      <c r="C10" s="47"/>
      <c r="D10" s="47"/>
      <c r="F10" s="47"/>
      <c r="G10" s="47"/>
    </row>
    <row r="11" spans="1:29" collapsed="1" x14ac:dyDescent="0.25">
      <c r="T11" s="207" t="s">
        <v>71</v>
      </c>
      <c r="U11" s="208"/>
      <c r="V11" s="209"/>
      <c r="X11" s="207" t="s">
        <v>72</v>
      </c>
      <c r="Y11" s="208"/>
      <c r="Z11" s="208"/>
      <c r="AA11" s="208"/>
      <c r="AB11" s="208"/>
      <c r="AC11" s="209"/>
    </row>
    <row r="12" spans="1:29" x14ac:dyDescent="0.25">
      <c r="B12" s="107" t="s">
        <v>1558</v>
      </c>
      <c r="C12" s="107" t="s">
        <v>1559</v>
      </c>
      <c r="D12" s="109" t="s">
        <v>1560</v>
      </c>
      <c r="E12" s="109" t="s">
        <v>1561</v>
      </c>
      <c r="F12" s="108" t="s">
        <v>1562</v>
      </c>
      <c r="G12" s="109" t="s">
        <v>1563</v>
      </c>
      <c r="H12" s="108" t="s">
        <v>1564</v>
      </c>
      <c r="T12" s="108" t="s">
        <v>86</v>
      </c>
      <c r="U12" s="108" t="s">
        <v>87</v>
      </c>
      <c r="V12" s="108" t="s">
        <v>88</v>
      </c>
      <c r="X12" s="61" t="s">
        <v>86</v>
      </c>
      <c r="Y12" s="61" t="s">
        <v>89</v>
      </c>
      <c r="Z12" s="61" t="s">
        <v>166</v>
      </c>
      <c r="AA12" s="61" t="s">
        <v>167</v>
      </c>
      <c r="AB12" s="61" t="s">
        <v>168</v>
      </c>
      <c r="AC12" s="61" t="s">
        <v>88</v>
      </c>
    </row>
    <row r="13" spans="1:29" ht="60" x14ac:dyDescent="0.25">
      <c r="B13" s="102" t="s">
        <v>33</v>
      </c>
      <c r="C13" s="159" t="s">
        <v>1565</v>
      </c>
      <c r="D13" s="159" t="s">
        <v>986</v>
      </c>
      <c r="E13" s="102" t="s">
        <v>1566</v>
      </c>
      <c r="F13" s="159" t="s">
        <v>1567</v>
      </c>
      <c r="G13" s="159" t="s">
        <v>388</v>
      </c>
      <c r="H13" s="110" t="s">
        <v>1568</v>
      </c>
      <c r="T13" s="75" t="s">
        <v>97</v>
      </c>
      <c r="U13" s="127">
        <v>44943</v>
      </c>
      <c r="V13" s="110" t="s">
        <v>1569</v>
      </c>
      <c r="X13" s="145" t="s">
        <v>197</v>
      </c>
      <c r="Y13" s="127"/>
      <c r="Z13" s="127"/>
      <c r="AA13" s="127"/>
      <c r="AB13" s="127"/>
      <c r="AC13" s="110"/>
    </row>
    <row r="14" spans="1:29" ht="375" x14ac:dyDescent="0.25">
      <c r="B14" s="102" t="s">
        <v>51</v>
      </c>
      <c r="C14" s="159" t="s">
        <v>1160</v>
      </c>
      <c r="D14" s="159" t="s">
        <v>1570</v>
      </c>
      <c r="E14" s="102" t="s">
        <v>1571</v>
      </c>
      <c r="F14" s="159" t="s">
        <v>1572</v>
      </c>
      <c r="G14" s="159" t="s">
        <v>388</v>
      </c>
      <c r="H14" s="110" t="s">
        <v>1573</v>
      </c>
      <c r="T14" s="75" t="s">
        <v>131</v>
      </c>
      <c r="U14" s="127">
        <v>44943</v>
      </c>
      <c r="V14" s="110" t="s">
        <v>1574</v>
      </c>
      <c r="X14" s="145" t="s">
        <v>150</v>
      </c>
      <c r="Y14" s="127"/>
      <c r="Z14" s="127"/>
      <c r="AA14" s="127"/>
      <c r="AB14" s="127"/>
      <c r="AC14" s="110"/>
    </row>
    <row r="15" spans="1:29" ht="15" customHeight="1" x14ac:dyDescent="0.25">
      <c r="B15" s="102" t="s">
        <v>51</v>
      </c>
      <c r="C15" s="159" t="s">
        <v>1076</v>
      </c>
      <c r="D15" s="159" t="s">
        <v>1075</v>
      </c>
      <c r="E15" s="102" t="s">
        <v>1575</v>
      </c>
      <c r="F15" s="159" t="s">
        <v>1576</v>
      </c>
      <c r="G15" s="159" t="s">
        <v>1577</v>
      </c>
      <c r="H15" s="102" t="s">
        <v>1578</v>
      </c>
      <c r="T15" s="75" t="s">
        <v>97</v>
      </c>
      <c r="U15" s="127">
        <v>44943</v>
      </c>
      <c r="V15" s="110" t="s">
        <v>1579</v>
      </c>
      <c r="X15" s="145" t="s">
        <v>197</v>
      </c>
      <c r="Y15" s="127"/>
      <c r="Z15" s="127"/>
      <c r="AA15" s="127"/>
      <c r="AB15" s="127"/>
      <c r="AC15" s="110"/>
    </row>
    <row r="16" spans="1:29" ht="15" customHeight="1" x14ac:dyDescent="0.25">
      <c r="B16" s="102" t="s">
        <v>51</v>
      </c>
      <c r="C16" s="159" t="s">
        <v>1079</v>
      </c>
      <c r="D16" s="159" t="s">
        <v>1078</v>
      </c>
      <c r="E16" s="102" t="s">
        <v>1575</v>
      </c>
      <c r="F16" s="159" t="s">
        <v>1580</v>
      </c>
      <c r="G16" s="159" t="s">
        <v>1581</v>
      </c>
      <c r="H16" s="102" t="s">
        <v>1578</v>
      </c>
      <c r="T16" s="75" t="s">
        <v>97</v>
      </c>
      <c r="U16" s="127">
        <v>44943</v>
      </c>
      <c r="V16" s="110" t="s">
        <v>1579</v>
      </c>
      <c r="X16" s="145" t="s">
        <v>197</v>
      </c>
      <c r="Y16" s="127"/>
      <c r="Z16" s="127"/>
      <c r="AA16" s="127"/>
      <c r="AB16" s="127"/>
      <c r="AC16" s="110"/>
    </row>
    <row r="17" spans="2:29" ht="15" customHeight="1" x14ac:dyDescent="0.25">
      <c r="B17" s="102" t="s">
        <v>51</v>
      </c>
      <c r="C17" s="159" t="s">
        <v>1073</v>
      </c>
      <c r="D17" s="159" t="s">
        <v>1072</v>
      </c>
      <c r="E17" s="102" t="s">
        <v>1575</v>
      </c>
      <c r="F17" s="159" t="s">
        <v>1582</v>
      </c>
      <c r="G17" s="159" t="s">
        <v>1583</v>
      </c>
      <c r="H17" s="102" t="s">
        <v>1578</v>
      </c>
      <c r="T17" s="75" t="s">
        <v>97</v>
      </c>
      <c r="U17" s="127">
        <v>44943</v>
      </c>
      <c r="V17" s="110" t="s">
        <v>1579</v>
      </c>
      <c r="X17" s="145" t="s">
        <v>197</v>
      </c>
      <c r="Y17" s="127"/>
      <c r="Z17" s="127"/>
      <c r="AA17" s="127"/>
      <c r="AB17" s="127"/>
      <c r="AC17" s="110"/>
    </row>
    <row r="18" spans="2:29" ht="15" customHeight="1" x14ac:dyDescent="0.25">
      <c r="B18" s="102" t="s">
        <v>51</v>
      </c>
      <c r="C18" s="159" t="s">
        <v>1018</v>
      </c>
      <c r="D18" s="159" t="s">
        <v>1017</v>
      </c>
      <c r="E18" s="102" t="s">
        <v>1584</v>
      </c>
      <c r="F18" s="159" t="s">
        <v>1585</v>
      </c>
      <c r="G18" s="159" t="s">
        <v>388</v>
      </c>
      <c r="H18" s="102" t="s">
        <v>1586</v>
      </c>
      <c r="T18" s="75" t="s">
        <v>97</v>
      </c>
      <c r="U18" s="127">
        <v>44943</v>
      </c>
      <c r="V18" s="110"/>
      <c r="X18" s="145" t="s">
        <v>197</v>
      </c>
      <c r="Y18" s="127"/>
      <c r="Z18" s="127"/>
      <c r="AA18" s="127"/>
      <c r="AB18" s="127"/>
      <c r="AC18" s="110"/>
    </row>
    <row r="19" spans="2:29" ht="15" customHeight="1" x14ac:dyDescent="0.25">
      <c r="B19" s="102" t="s">
        <v>47</v>
      </c>
      <c r="C19" s="159" t="s">
        <v>725</v>
      </c>
      <c r="D19" s="159" t="s">
        <v>724</v>
      </c>
      <c r="E19" s="102" t="s">
        <v>1587</v>
      </c>
      <c r="F19" s="159" t="s">
        <v>1588</v>
      </c>
      <c r="G19" s="159" t="s">
        <v>388</v>
      </c>
      <c r="H19" s="102" t="s">
        <v>1589</v>
      </c>
      <c r="T19" s="75" t="s">
        <v>97</v>
      </c>
      <c r="U19" s="127">
        <v>44943</v>
      </c>
      <c r="V19" s="110"/>
      <c r="X19" s="145" t="s">
        <v>197</v>
      </c>
      <c r="Y19" s="127"/>
      <c r="Z19" s="127"/>
      <c r="AA19" s="127"/>
      <c r="AB19" s="127"/>
      <c r="AC19" s="110"/>
    </row>
    <row r="20" spans="2:29" ht="15" customHeight="1" x14ac:dyDescent="0.25">
      <c r="B20" s="102" t="s">
        <v>1590</v>
      </c>
      <c r="C20" s="159" t="s">
        <v>1591</v>
      </c>
      <c r="D20" s="159" t="s">
        <v>1592</v>
      </c>
      <c r="E20" s="102" t="s">
        <v>1593</v>
      </c>
      <c r="F20" s="159" t="s">
        <v>1588</v>
      </c>
      <c r="G20" s="159" t="s">
        <v>388</v>
      </c>
      <c r="H20" s="102" t="s">
        <v>1589</v>
      </c>
      <c r="T20" s="75" t="s">
        <v>97</v>
      </c>
      <c r="U20" s="127">
        <v>44943</v>
      </c>
      <c r="V20" s="110"/>
      <c r="X20" s="145" t="s">
        <v>197</v>
      </c>
      <c r="Y20" s="127"/>
      <c r="Z20" s="127"/>
      <c r="AA20" s="127"/>
      <c r="AB20" s="127"/>
      <c r="AC20" s="110"/>
    </row>
    <row r="21" spans="2:29" ht="15" customHeight="1" x14ac:dyDescent="0.25">
      <c r="B21" s="102" t="s">
        <v>1590</v>
      </c>
      <c r="C21" s="159" t="s">
        <v>1594</v>
      </c>
      <c r="D21" s="159" t="s">
        <v>1595</v>
      </c>
      <c r="E21" s="102" t="s">
        <v>1596</v>
      </c>
      <c r="F21" s="159" t="s">
        <v>1588</v>
      </c>
      <c r="G21" s="159" t="s">
        <v>388</v>
      </c>
      <c r="H21" s="102" t="s">
        <v>1589</v>
      </c>
      <c r="T21" s="75" t="s">
        <v>97</v>
      </c>
      <c r="U21" s="127">
        <v>44943</v>
      </c>
      <c r="V21" s="110"/>
      <c r="X21" s="145" t="s">
        <v>197</v>
      </c>
      <c r="Y21" s="127"/>
      <c r="Z21" s="127"/>
      <c r="AA21" s="127"/>
      <c r="AB21" s="127"/>
      <c r="AC21" s="110"/>
    </row>
    <row r="22" spans="2:29" ht="90" customHeight="1" x14ac:dyDescent="0.25">
      <c r="B22" s="102" t="s">
        <v>51</v>
      </c>
      <c r="C22" s="159" t="s">
        <v>1303</v>
      </c>
      <c r="D22" s="159" t="s">
        <v>1302</v>
      </c>
      <c r="E22" s="102" t="s">
        <v>1587</v>
      </c>
      <c r="F22" s="159" t="s">
        <v>1597</v>
      </c>
      <c r="G22" s="159" t="s">
        <v>1598</v>
      </c>
      <c r="H22" s="128" t="s">
        <v>1599</v>
      </c>
      <c r="T22" s="75" t="s">
        <v>131</v>
      </c>
      <c r="U22" s="127">
        <v>44943</v>
      </c>
      <c r="V22" s="110" t="s">
        <v>1600</v>
      </c>
      <c r="X22" s="145" t="s">
        <v>150</v>
      </c>
      <c r="Y22" s="127"/>
      <c r="Z22" s="127"/>
      <c r="AA22" s="127"/>
      <c r="AB22" s="127"/>
      <c r="AC22" s="110"/>
    </row>
    <row r="23" spans="2:29" ht="15" customHeight="1" x14ac:dyDescent="0.25">
      <c r="B23" s="102" t="s">
        <v>47</v>
      </c>
      <c r="C23" s="159" t="s">
        <v>733</v>
      </c>
      <c r="D23" s="159" t="s">
        <v>732</v>
      </c>
      <c r="E23" s="102" t="s">
        <v>1587</v>
      </c>
      <c r="F23" s="159" t="s">
        <v>1601</v>
      </c>
      <c r="G23" s="159" t="s">
        <v>388</v>
      </c>
      <c r="H23" s="102" t="s">
        <v>1602</v>
      </c>
      <c r="T23" s="75" t="s">
        <v>97</v>
      </c>
      <c r="U23" s="127">
        <v>44943</v>
      </c>
      <c r="V23" s="110"/>
      <c r="X23" s="145" t="s">
        <v>197</v>
      </c>
      <c r="Y23" s="127"/>
      <c r="Z23" s="127"/>
      <c r="AA23" s="127"/>
      <c r="AB23" s="127"/>
      <c r="AC23" s="110"/>
    </row>
    <row r="24" spans="2:29" x14ac:dyDescent="0.25">
      <c r="B24" s="102" t="s">
        <v>1590</v>
      </c>
      <c r="C24" s="159" t="s">
        <v>1603</v>
      </c>
      <c r="D24" s="159" t="s">
        <v>1604</v>
      </c>
      <c r="E24" s="102" t="s">
        <v>1605</v>
      </c>
      <c r="F24" s="159" t="s">
        <v>1606</v>
      </c>
      <c r="G24" s="159" t="s">
        <v>1607</v>
      </c>
      <c r="H24" s="102" t="s">
        <v>1602</v>
      </c>
      <c r="T24" s="75" t="s">
        <v>97</v>
      </c>
      <c r="U24" s="127">
        <v>44943</v>
      </c>
      <c r="V24" s="110"/>
      <c r="X24" s="145" t="s">
        <v>197</v>
      </c>
      <c r="Y24" s="127"/>
      <c r="Z24" s="127"/>
      <c r="AA24" s="127"/>
      <c r="AB24" s="127"/>
      <c r="AC24" s="110"/>
    </row>
    <row r="25" spans="2:29" x14ac:dyDescent="0.25">
      <c r="B25" s="102" t="s">
        <v>47</v>
      </c>
      <c r="C25" s="159" t="s">
        <v>722</v>
      </c>
      <c r="D25" s="159" t="s">
        <v>721</v>
      </c>
      <c r="E25" s="102" t="s">
        <v>1608</v>
      </c>
      <c r="F25" s="159" t="s">
        <v>1609</v>
      </c>
      <c r="G25" s="159" t="s">
        <v>1610</v>
      </c>
      <c r="H25" s="102" t="s">
        <v>1611</v>
      </c>
      <c r="T25" s="75" t="s">
        <v>97</v>
      </c>
      <c r="U25" s="127">
        <v>44943</v>
      </c>
      <c r="V25" s="110"/>
      <c r="X25" s="145" t="s">
        <v>197</v>
      </c>
      <c r="Y25" s="127"/>
      <c r="Z25" s="127"/>
      <c r="AA25" s="127"/>
      <c r="AB25" s="127"/>
      <c r="AC25" s="110"/>
    </row>
    <row r="26" spans="2:29" x14ac:dyDescent="0.25">
      <c r="B26" s="102" t="s">
        <v>1590</v>
      </c>
      <c r="C26" s="159" t="s">
        <v>1612</v>
      </c>
      <c r="D26" s="159" t="s">
        <v>1613</v>
      </c>
      <c r="E26" s="102" t="s">
        <v>1614</v>
      </c>
      <c r="F26" s="159" t="s">
        <v>1615</v>
      </c>
      <c r="G26" s="159" t="s">
        <v>1616</v>
      </c>
      <c r="H26" s="102" t="s">
        <v>1611</v>
      </c>
      <c r="T26" s="75" t="s">
        <v>97</v>
      </c>
      <c r="U26" s="127">
        <v>44943</v>
      </c>
      <c r="V26" s="110"/>
      <c r="X26" s="145" t="s">
        <v>197</v>
      </c>
      <c r="Y26" s="127"/>
      <c r="Z26" s="127"/>
      <c r="AA26" s="127"/>
      <c r="AB26" s="127"/>
      <c r="AC26" s="110"/>
    </row>
    <row r="27" spans="2:29" x14ac:dyDescent="0.25">
      <c r="B27" s="102" t="s">
        <v>1590</v>
      </c>
      <c r="C27" s="159" t="s">
        <v>1617</v>
      </c>
      <c r="D27" s="159" t="s">
        <v>1618</v>
      </c>
      <c r="E27" s="102" t="s">
        <v>1619</v>
      </c>
      <c r="F27" s="159" t="s">
        <v>1620</v>
      </c>
      <c r="G27" s="159" t="s">
        <v>1621</v>
      </c>
      <c r="H27" s="102" t="s">
        <v>1611</v>
      </c>
      <c r="T27" s="75" t="s">
        <v>97</v>
      </c>
      <c r="U27" s="127">
        <v>44943</v>
      </c>
      <c r="V27" s="110"/>
      <c r="X27" s="145" t="s">
        <v>197</v>
      </c>
      <c r="Y27" s="127"/>
      <c r="Z27" s="127"/>
      <c r="AA27" s="127"/>
      <c r="AB27" s="127"/>
      <c r="AC27" s="110"/>
    </row>
    <row r="28" spans="2:29" ht="30" x14ac:dyDescent="0.25">
      <c r="B28" s="70" t="s">
        <v>33</v>
      </c>
      <c r="C28" s="159" t="s">
        <v>741</v>
      </c>
      <c r="D28" s="159" t="s">
        <v>740</v>
      </c>
      <c r="E28" s="102" t="s">
        <v>1571</v>
      </c>
      <c r="F28" s="159" t="s">
        <v>1622</v>
      </c>
      <c r="G28" s="159" t="s">
        <v>1623</v>
      </c>
      <c r="H28" s="102"/>
      <c r="T28" s="75" t="s">
        <v>197</v>
      </c>
      <c r="U28" s="127">
        <v>44943</v>
      </c>
      <c r="V28" s="110" t="s">
        <v>1624</v>
      </c>
      <c r="X28" s="145" t="s">
        <v>150</v>
      </c>
      <c r="Y28" s="127"/>
      <c r="Z28" s="127"/>
      <c r="AA28" s="127"/>
      <c r="AB28" s="127"/>
      <c r="AC28" s="110"/>
    </row>
    <row r="29" spans="2:29" x14ac:dyDescent="0.25">
      <c r="B29" s="102" t="s">
        <v>47</v>
      </c>
      <c r="C29" s="159" t="s">
        <v>1625</v>
      </c>
      <c r="D29" s="159" t="s">
        <v>717</v>
      </c>
      <c r="E29" s="102" t="s">
        <v>1608</v>
      </c>
      <c r="F29" s="159" t="s">
        <v>1626</v>
      </c>
      <c r="G29" s="159" t="s">
        <v>1627</v>
      </c>
      <c r="H29" s="102" t="s">
        <v>1628</v>
      </c>
      <c r="T29" s="75" t="s">
        <v>97</v>
      </c>
      <c r="U29" s="127">
        <v>44943</v>
      </c>
      <c r="V29" s="110"/>
      <c r="X29" s="145" t="s">
        <v>197</v>
      </c>
      <c r="Y29" s="127"/>
      <c r="Z29" s="127"/>
      <c r="AA29" s="127"/>
      <c r="AB29" s="127"/>
      <c r="AC29" s="110"/>
    </row>
    <row r="30" spans="2:29" x14ac:dyDescent="0.25">
      <c r="B30" s="102" t="s">
        <v>51</v>
      </c>
      <c r="C30" s="159" t="s">
        <v>1036</v>
      </c>
      <c r="D30" s="159" t="s">
        <v>1035</v>
      </c>
      <c r="E30" s="102" t="s">
        <v>1629</v>
      </c>
      <c r="F30" s="159" t="s">
        <v>1630</v>
      </c>
      <c r="G30" s="159" t="s">
        <v>1631</v>
      </c>
      <c r="H30" s="102" t="s">
        <v>1632</v>
      </c>
      <c r="T30" s="75" t="s">
        <v>97</v>
      </c>
      <c r="U30" s="127">
        <v>44943</v>
      </c>
      <c r="V30" s="110"/>
      <c r="X30" s="145" t="s">
        <v>197</v>
      </c>
      <c r="Y30" s="127"/>
      <c r="Z30" s="127"/>
      <c r="AA30" s="127"/>
      <c r="AB30" s="127"/>
      <c r="AC30" s="110"/>
    </row>
    <row r="31" spans="2:29" ht="48" customHeight="1" x14ac:dyDescent="0.25">
      <c r="B31" s="102" t="s">
        <v>1590</v>
      </c>
      <c r="C31" s="159" t="s">
        <v>1633</v>
      </c>
      <c r="D31" s="159" t="s">
        <v>388</v>
      </c>
      <c r="E31" s="102" t="s">
        <v>1634</v>
      </c>
      <c r="F31" s="159" t="s">
        <v>1635</v>
      </c>
      <c r="G31" s="159" t="s">
        <v>1636</v>
      </c>
      <c r="H31" s="110" t="s">
        <v>1637</v>
      </c>
      <c r="T31" s="75" t="s">
        <v>97</v>
      </c>
      <c r="U31" s="127">
        <v>44943</v>
      </c>
      <c r="V31" s="110"/>
      <c r="X31" s="145" t="s">
        <v>197</v>
      </c>
      <c r="Y31" s="127"/>
      <c r="Z31" s="127"/>
      <c r="AA31" s="127"/>
      <c r="AB31" s="127"/>
      <c r="AC31" s="110"/>
    </row>
    <row r="32" spans="2:29" ht="51" customHeight="1" x14ac:dyDescent="0.25">
      <c r="B32" s="102" t="s">
        <v>1590</v>
      </c>
      <c r="C32" s="159" t="s">
        <v>1638</v>
      </c>
      <c r="D32" s="159" t="s">
        <v>388</v>
      </c>
      <c r="E32" s="102" t="s">
        <v>1634</v>
      </c>
      <c r="F32" s="159" t="s">
        <v>1639</v>
      </c>
      <c r="G32" s="159" t="s">
        <v>1640</v>
      </c>
      <c r="H32" s="110" t="s">
        <v>1637</v>
      </c>
      <c r="T32" s="75" t="s">
        <v>97</v>
      </c>
      <c r="U32" s="127">
        <v>44943</v>
      </c>
      <c r="V32" s="110"/>
      <c r="X32" s="145" t="s">
        <v>197</v>
      </c>
      <c r="Y32" s="127"/>
      <c r="Z32" s="127"/>
      <c r="AA32" s="127"/>
      <c r="AB32" s="127"/>
      <c r="AC32" s="110"/>
    </row>
    <row r="33" spans="2:29" x14ac:dyDescent="0.25">
      <c r="B33" s="102" t="s">
        <v>51</v>
      </c>
      <c r="C33" s="159" t="s">
        <v>1054</v>
      </c>
      <c r="D33" s="159" t="s">
        <v>1053</v>
      </c>
      <c r="E33" s="102" t="s">
        <v>1629</v>
      </c>
      <c r="F33" s="159" t="s">
        <v>1641</v>
      </c>
      <c r="G33" s="159" t="s">
        <v>1642</v>
      </c>
      <c r="H33" s="102" t="s">
        <v>1643</v>
      </c>
      <c r="T33" s="75" t="s">
        <v>97</v>
      </c>
      <c r="U33" s="127">
        <v>44943</v>
      </c>
      <c r="V33" s="110"/>
      <c r="X33" s="145" t="s">
        <v>197</v>
      </c>
      <c r="Y33" s="127"/>
      <c r="Z33" s="127"/>
      <c r="AA33" s="127"/>
      <c r="AB33" s="127"/>
      <c r="AC33" s="110"/>
    </row>
    <row r="34" spans="2:29" x14ac:dyDescent="0.25">
      <c r="B34" s="102" t="s">
        <v>33</v>
      </c>
      <c r="C34" s="159" t="s">
        <v>1644</v>
      </c>
      <c r="D34" s="159" t="s">
        <v>414</v>
      </c>
      <c r="E34" s="102" t="s">
        <v>295</v>
      </c>
      <c r="F34" s="159" t="s">
        <v>1645</v>
      </c>
      <c r="G34" s="159" t="s">
        <v>1646</v>
      </c>
      <c r="H34" s="102" t="s">
        <v>1647</v>
      </c>
      <c r="T34" s="75" t="s">
        <v>97</v>
      </c>
      <c r="U34" s="127">
        <v>45013</v>
      </c>
      <c r="V34" s="110" t="s">
        <v>1579</v>
      </c>
      <c r="X34" s="145" t="s">
        <v>197</v>
      </c>
      <c r="Y34" s="127"/>
      <c r="Z34" s="127"/>
      <c r="AA34" s="127"/>
      <c r="AB34" s="127"/>
      <c r="AC34" s="110"/>
    </row>
    <row r="35" spans="2:29" ht="150" x14ac:dyDescent="0.25">
      <c r="B35" s="102" t="s">
        <v>33</v>
      </c>
      <c r="C35" s="159" t="s">
        <v>431</v>
      </c>
      <c r="D35" s="159" t="s">
        <v>430</v>
      </c>
      <c r="E35" s="102" t="s">
        <v>295</v>
      </c>
      <c r="F35" s="159" t="s">
        <v>1648</v>
      </c>
      <c r="G35" s="159" t="s">
        <v>1649</v>
      </c>
      <c r="H35" s="110" t="s">
        <v>1650</v>
      </c>
      <c r="T35" s="75" t="s">
        <v>97</v>
      </c>
      <c r="U35" s="127">
        <v>45013</v>
      </c>
      <c r="V35" s="110" t="s">
        <v>1579</v>
      </c>
      <c r="X35" s="145" t="s">
        <v>197</v>
      </c>
      <c r="Y35" s="127"/>
      <c r="Z35" s="127"/>
      <c r="AA35" s="127"/>
      <c r="AB35" s="127"/>
      <c r="AC35" s="110"/>
    </row>
    <row r="36" spans="2:29" x14ac:dyDescent="0.25">
      <c r="B36" s="102" t="s">
        <v>33</v>
      </c>
      <c r="C36" s="159" t="s">
        <v>439</v>
      </c>
      <c r="D36" s="159" t="s">
        <v>438</v>
      </c>
      <c r="E36" s="102" t="s">
        <v>1651</v>
      </c>
      <c r="F36" s="159" t="s">
        <v>1652</v>
      </c>
      <c r="G36" s="159" t="s">
        <v>1653</v>
      </c>
      <c r="H36" s="102" t="s">
        <v>1654</v>
      </c>
      <c r="T36" s="75" t="s">
        <v>97</v>
      </c>
      <c r="U36" s="127">
        <v>45013</v>
      </c>
      <c r="V36" s="110" t="s">
        <v>1579</v>
      </c>
      <c r="X36" s="145" t="s">
        <v>197</v>
      </c>
      <c r="Y36" s="127"/>
      <c r="Z36" s="127"/>
      <c r="AA36" s="127"/>
      <c r="AB36" s="127"/>
      <c r="AC36" s="110"/>
    </row>
    <row r="37" spans="2:29" x14ac:dyDescent="0.25">
      <c r="B37" s="102" t="s">
        <v>51</v>
      </c>
      <c r="C37" s="159" t="s">
        <v>1312</v>
      </c>
      <c r="D37" s="159" t="s">
        <v>1311</v>
      </c>
      <c r="E37" s="102" t="s">
        <v>1313</v>
      </c>
      <c r="F37" s="159" t="s">
        <v>1655</v>
      </c>
      <c r="G37" s="159" t="s">
        <v>1656</v>
      </c>
      <c r="H37" s="102"/>
      <c r="T37" s="75" t="s">
        <v>197</v>
      </c>
      <c r="U37" s="127">
        <v>44943</v>
      </c>
      <c r="V37" s="110"/>
      <c r="X37" s="145" t="s">
        <v>150</v>
      </c>
      <c r="Y37" s="127"/>
      <c r="Z37" s="127"/>
      <c r="AA37" s="127"/>
      <c r="AB37" s="127"/>
      <c r="AC37" s="110"/>
    </row>
    <row r="38" spans="2:29" ht="30" x14ac:dyDescent="0.25">
      <c r="B38" s="102" t="s">
        <v>316</v>
      </c>
      <c r="C38" s="102" t="s">
        <v>1657</v>
      </c>
      <c r="D38" s="102"/>
      <c r="E38" s="110" t="s">
        <v>1658</v>
      </c>
      <c r="F38" s="159" t="s">
        <v>1659</v>
      </c>
      <c r="G38" s="159" t="s">
        <v>1660</v>
      </c>
      <c r="H38" s="102"/>
      <c r="T38" s="75" t="s">
        <v>197</v>
      </c>
      <c r="U38" s="127">
        <v>44943</v>
      </c>
      <c r="V38" s="110"/>
      <c r="X38" s="145" t="s">
        <v>150</v>
      </c>
      <c r="Y38" s="127"/>
      <c r="Z38" s="127"/>
      <c r="AA38" s="127"/>
      <c r="AB38" s="127"/>
      <c r="AC38" s="110"/>
    </row>
    <row r="39" spans="2:29" ht="30" x14ac:dyDescent="0.25">
      <c r="B39" s="102" t="s">
        <v>316</v>
      </c>
      <c r="C39" s="102" t="s">
        <v>1661</v>
      </c>
      <c r="D39" s="102"/>
      <c r="E39" s="110" t="s">
        <v>1658</v>
      </c>
      <c r="F39" s="159" t="s">
        <v>1662</v>
      </c>
      <c r="G39" s="159" t="s">
        <v>1660</v>
      </c>
      <c r="H39" s="102"/>
      <c r="T39" s="75" t="s">
        <v>197</v>
      </c>
      <c r="U39" s="127">
        <v>44943</v>
      </c>
      <c r="V39" s="110"/>
      <c r="X39" s="145" t="s">
        <v>150</v>
      </c>
      <c r="Y39" s="127"/>
      <c r="Z39" s="127"/>
      <c r="AA39" s="127"/>
      <c r="AB39" s="127"/>
      <c r="AC39" s="110"/>
    </row>
    <row r="40" spans="2:29" x14ac:dyDescent="0.25">
      <c r="B40" s="102" t="s">
        <v>316</v>
      </c>
      <c r="C40" s="102" t="s">
        <v>1663</v>
      </c>
      <c r="D40" s="102"/>
      <c r="E40" s="102" t="s">
        <v>1664</v>
      </c>
      <c r="F40" s="159" t="s">
        <v>1665</v>
      </c>
      <c r="G40" s="159" t="s">
        <v>1666</v>
      </c>
      <c r="H40" s="102" t="s">
        <v>1667</v>
      </c>
      <c r="T40" s="75" t="s">
        <v>97</v>
      </c>
      <c r="U40" s="127">
        <v>45013</v>
      </c>
      <c r="V40" s="110" t="s">
        <v>1579</v>
      </c>
      <c r="X40" s="145" t="s">
        <v>197</v>
      </c>
      <c r="Y40" s="127"/>
      <c r="Z40" s="127"/>
      <c r="AA40" s="127"/>
      <c r="AB40" s="127"/>
      <c r="AC40" s="110"/>
    </row>
    <row r="41" spans="2:29" x14ac:dyDescent="0.25">
      <c r="B41" s="102" t="s">
        <v>316</v>
      </c>
      <c r="C41" s="102" t="s">
        <v>1668</v>
      </c>
      <c r="D41" s="102"/>
      <c r="E41" s="102"/>
      <c r="F41" s="159" t="s">
        <v>1669</v>
      </c>
      <c r="G41" s="159" t="s">
        <v>1670</v>
      </c>
      <c r="H41" s="102" t="s">
        <v>1671</v>
      </c>
      <c r="T41" s="75" t="s">
        <v>97</v>
      </c>
      <c r="U41" s="127">
        <v>45013</v>
      </c>
      <c r="V41" s="110" t="s">
        <v>1579</v>
      </c>
      <c r="X41" s="145" t="s">
        <v>197</v>
      </c>
      <c r="Y41" s="127"/>
      <c r="Z41" s="127"/>
      <c r="AA41" s="127"/>
      <c r="AB41" s="127"/>
      <c r="AC41" s="110"/>
    </row>
    <row r="42" spans="2:29" x14ac:dyDescent="0.25">
      <c r="B42" s="102" t="s">
        <v>316</v>
      </c>
      <c r="C42" s="102"/>
      <c r="D42" s="102"/>
      <c r="E42" s="102"/>
      <c r="F42" s="159" t="s">
        <v>1672</v>
      </c>
      <c r="G42" s="159" t="s">
        <v>1673</v>
      </c>
      <c r="H42" s="102"/>
      <c r="T42" s="75" t="s">
        <v>197</v>
      </c>
      <c r="U42" s="127">
        <v>44943</v>
      </c>
      <c r="V42" s="110"/>
      <c r="X42" s="145" t="s">
        <v>150</v>
      </c>
      <c r="Y42" s="127"/>
      <c r="Z42" s="127"/>
      <c r="AA42" s="127"/>
      <c r="AB42" s="127"/>
      <c r="AC42" s="110"/>
    </row>
    <row r="43" spans="2:29" ht="56.25" customHeight="1" x14ac:dyDescent="0.25">
      <c r="B43" s="102" t="s">
        <v>51</v>
      </c>
      <c r="C43" s="102" t="s">
        <v>1214</v>
      </c>
      <c r="D43" s="70" t="s">
        <v>1212</v>
      </c>
      <c r="E43" s="70" t="s">
        <v>1674</v>
      </c>
      <c r="F43" s="79" t="s">
        <v>1675</v>
      </c>
      <c r="G43" s="79" t="s">
        <v>1676</v>
      </c>
      <c r="H43" s="70" t="s">
        <v>1677</v>
      </c>
      <c r="I43" s="82"/>
      <c r="J43" s="70" t="s">
        <v>20</v>
      </c>
      <c r="K43" s="70" t="s">
        <v>1678</v>
      </c>
      <c r="L43" s="70"/>
      <c r="M43" s="71"/>
      <c r="N43" s="75"/>
      <c r="O43" s="69"/>
      <c r="P43" s="72"/>
      <c r="Q43" s="71"/>
      <c r="R43" s="145"/>
      <c r="S43" s="139"/>
      <c r="T43" s="75" t="s">
        <v>130</v>
      </c>
      <c r="U43" s="127">
        <v>45191</v>
      </c>
      <c r="V43" s="70" t="s">
        <v>1679</v>
      </c>
      <c r="X43" s="145" t="s">
        <v>150</v>
      </c>
      <c r="Y43" s="127"/>
      <c r="Z43" s="127"/>
      <c r="AA43" s="127"/>
      <c r="AB43" s="127"/>
      <c r="AC43" s="110"/>
    </row>
    <row r="44" spans="2:29" ht="50.25" customHeight="1" x14ac:dyDescent="0.25">
      <c r="B44" s="102" t="s">
        <v>51</v>
      </c>
      <c r="C44" s="102" t="s">
        <v>1220</v>
      </c>
      <c r="D44" s="70" t="s">
        <v>1219</v>
      </c>
      <c r="E44" s="70" t="s">
        <v>1674</v>
      </c>
      <c r="F44" s="79" t="s">
        <v>1680</v>
      </c>
      <c r="G44" s="79" t="s">
        <v>1681</v>
      </c>
      <c r="H44" s="70" t="s">
        <v>1677</v>
      </c>
      <c r="I44" s="82"/>
      <c r="J44" s="70" t="s">
        <v>20</v>
      </c>
      <c r="K44" s="70" t="s">
        <v>1678</v>
      </c>
      <c r="L44" s="70"/>
      <c r="M44" s="71"/>
      <c r="N44" s="75"/>
      <c r="O44" s="69"/>
      <c r="P44" s="72"/>
      <c r="Q44" s="71"/>
      <c r="R44" s="145"/>
      <c r="S44" s="139"/>
      <c r="T44" s="75" t="s">
        <v>130</v>
      </c>
      <c r="U44" s="127">
        <v>45191</v>
      </c>
      <c r="V44" s="70" t="s">
        <v>1682</v>
      </c>
      <c r="X44" s="145" t="s">
        <v>150</v>
      </c>
      <c r="Y44" s="127"/>
      <c r="Z44" s="127"/>
      <c r="AA44" s="127"/>
      <c r="AB44" s="127"/>
      <c r="AC44" s="110"/>
    </row>
    <row r="45" spans="2:29" ht="43.5" customHeight="1" x14ac:dyDescent="0.25">
      <c r="B45" s="102" t="s">
        <v>51</v>
      </c>
      <c r="C45" s="102" t="s">
        <v>1224</v>
      </c>
      <c r="D45" s="70" t="s">
        <v>1223</v>
      </c>
      <c r="E45" s="70" t="s">
        <v>1674</v>
      </c>
      <c r="F45" s="79" t="s">
        <v>1683</v>
      </c>
      <c r="G45" s="79" t="s">
        <v>1684</v>
      </c>
      <c r="H45" s="70" t="s">
        <v>1677</v>
      </c>
      <c r="I45" s="82"/>
      <c r="J45" s="70" t="s">
        <v>20</v>
      </c>
      <c r="K45" s="70" t="s">
        <v>1678</v>
      </c>
      <c r="L45" s="70"/>
      <c r="M45" s="71"/>
      <c r="N45" s="75"/>
      <c r="O45" s="69"/>
      <c r="P45" s="72"/>
      <c r="Q45" s="71"/>
      <c r="R45" s="145"/>
      <c r="S45" s="139"/>
      <c r="T45" s="75" t="s">
        <v>130</v>
      </c>
      <c r="U45" s="127">
        <v>45191</v>
      </c>
      <c r="V45" s="70" t="s">
        <v>1685</v>
      </c>
      <c r="X45" s="145" t="s">
        <v>150</v>
      </c>
      <c r="Y45" s="127"/>
      <c r="Z45" s="127"/>
      <c r="AA45" s="127"/>
      <c r="AB45" s="127"/>
      <c r="AC45" s="110"/>
    </row>
    <row r="46" spans="2:29" ht="75" x14ac:dyDescent="0.25">
      <c r="B46" s="102" t="s">
        <v>51</v>
      </c>
      <c r="C46" s="102"/>
      <c r="D46" s="70"/>
      <c r="E46" s="70"/>
      <c r="F46" s="70" t="s">
        <v>1686</v>
      </c>
      <c r="G46" s="70" t="s">
        <v>1687</v>
      </c>
      <c r="H46" s="70" t="s">
        <v>1688</v>
      </c>
      <c r="I46" s="47"/>
      <c r="J46" s="70" t="s">
        <v>299</v>
      </c>
      <c r="K46" s="68" t="s">
        <v>388</v>
      </c>
      <c r="L46" s="70"/>
      <c r="M46" s="47"/>
      <c r="N46" s="75"/>
      <c r="O46" s="69"/>
      <c r="P46" s="72"/>
      <c r="Q46" s="47"/>
      <c r="R46" s="145"/>
      <c r="S46" s="139"/>
      <c r="T46" s="75" t="s">
        <v>130</v>
      </c>
      <c r="U46" s="127">
        <v>45191</v>
      </c>
      <c r="V46" s="70"/>
      <c r="X46" s="145" t="s">
        <v>150</v>
      </c>
      <c r="Y46" s="127"/>
      <c r="Z46" s="127"/>
      <c r="AA46" s="127"/>
      <c r="AB46" s="127"/>
      <c r="AC46" s="110"/>
    </row>
    <row r="47" spans="2:29" ht="75" x14ac:dyDescent="0.25">
      <c r="B47" s="102" t="s">
        <v>51</v>
      </c>
      <c r="C47" s="102"/>
      <c r="D47" s="70"/>
      <c r="E47" s="70"/>
      <c r="F47" s="70" t="s">
        <v>1689</v>
      </c>
      <c r="G47" s="70" t="s">
        <v>1690</v>
      </c>
      <c r="H47" s="70" t="s">
        <v>1691</v>
      </c>
      <c r="I47" s="47"/>
      <c r="J47" s="70" t="s">
        <v>299</v>
      </c>
      <c r="K47" s="68" t="s">
        <v>388</v>
      </c>
      <c r="L47" s="70"/>
      <c r="M47" s="47"/>
      <c r="N47" s="75"/>
      <c r="O47" s="69"/>
      <c r="P47" s="72"/>
      <c r="Q47" s="47"/>
      <c r="R47" s="145"/>
      <c r="S47" s="139"/>
      <c r="T47" s="75" t="s">
        <v>130</v>
      </c>
      <c r="U47" s="127">
        <v>45191</v>
      </c>
      <c r="V47" s="70"/>
      <c r="X47" s="145" t="s">
        <v>150</v>
      </c>
      <c r="Y47" s="127"/>
      <c r="Z47" s="127"/>
      <c r="AA47" s="127"/>
      <c r="AB47" s="127"/>
      <c r="AC47" s="110"/>
    </row>
  </sheetData>
  <autoFilter ref="B12:AC47"/>
  <mergeCells count="3">
    <mergeCell ref="T11:V11"/>
    <mergeCell ref="X11:AC11"/>
    <mergeCell ref="C7:G7"/>
  </mergeCells>
  <conditionalFormatting sqref="T13">
    <cfRule type="cellIs" dxfId="121" priority="80" operator="equal">
      <formula>"Testes utilizador"</formula>
    </cfRule>
  </conditionalFormatting>
  <conditionalFormatting sqref="T40:T41 T29:T36 T23:T27 T15:T21">
    <cfRule type="cellIs" dxfId="120" priority="75" operator="equal">
      <formula>"Testes utilizador"</formula>
    </cfRule>
  </conditionalFormatting>
  <conditionalFormatting sqref="T43">
    <cfRule type="cellIs" dxfId="119" priority="70" operator="equal">
      <formula>"Testes utilizador"</formula>
    </cfRule>
  </conditionalFormatting>
  <conditionalFormatting sqref="T14">
    <cfRule type="cellIs" dxfId="118" priority="60" operator="equal">
      <formula>"Testes utilizador"</formula>
    </cfRule>
  </conditionalFormatting>
  <conditionalFormatting sqref="T22">
    <cfRule type="cellIs" dxfId="117" priority="55" operator="equal">
      <formula>"Testes utilizador"</formula>
    </cfRule>
  </conditionalFormatting>
  <conditionalFormatting sqref="T28">
    <cfRule type="cellIs" dxfId="116" priority="50" operator="equal">
      <formula>"Testes utilizador"</formula>
    </cfRule>
  </conditionalFormatting>
  <conditionalFormatting sqref="T42 T37:T39">
    <cfRule type="cellIs" dxfId="115" priority="45" operator="equal">
      <formula>"Testes utilizador"</formula>
    </cfRule>
  </conditionalFormatting>
  <conditionalFormatting sqref="T46:T47">
    <cfRule type="cellIs" dxfId="114" priority="11" operator="equal">
      <formula>"Testes utilizador"</formula>
    </cfRule>
  </conditionalFormatting>
  <conditionalFormatting sqref="T44">
    <cfRule type="cellIs" dxfId="113" priority="6" operator="equal">
      <formula>"Testes utilizador"</formula>
    </cfRule>
  </conditionalFormatting>
  <conditionalFormatting sqref="T45">
    <cfRule type="cellIs" dxfId="112" priority="1" operator="equal">
      <formula>"Testes utilizador"</formula>
    </cfRule>
  </conditionalFormatting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9" operator="equal" id="{3E8AA181-6B18-4D5D-BE1F-21B86B8FDC0A}">
            <xm:f>'Tabelas AUX'!$E$5</xm:f>
            <x14:dxf>
              <font>
                <color rgb="FF00B050"/>
              </font>
            </x14:dxf>
          </x14:cfRule>
          <x14:cfRule type="cellIs" priority="110" operator="equal" id="{2B1CF6B4-EE5E-45D8-A4A3-AB5B7BEE3BD9}">
            <xm:f>'Tabelas AUX'!$E$4</xm:f>
            <x14:dxf>
              <font>
                <color rgb="FF7F7F7F"/>
              </font>
            </x14:dxf>
          </x14:cfRule>
          <x14:cfRule type="cellIs" priority="111" operator="equal" id="{C829D625-EA00-460F-ACBD-3CCB8F23B94C}">
            <xm:f>'Tabelas AUX'!$E$3</xm:f>
            <x14:dxf>
              <font>
                <color theme="5"/>
              </font>
            </x14:dxf>
          </x14:cfRule>
          <x14:cfRule type="cellIs" priority="112" operator="equal" id="{FE340AC7-9D98-40B1-A8AE-88636BB6A4A4}">
            <xm:f>'Tabelas AUX'!$E$2</xm:f>
            <x14:dxf>
              <font>
                <color rgb="FFC00000"/>
              </font>
            </x14:dxf>
          </x14:cfRule>
          <xm:sqref>N43:N44</xm:sqref>
        </x14:conditionalFormatting>
        <x14:conditionalFormatting xmlns:xm="http://schemas.microsoft.com/office/excel/2006/main">
          <x14:cfRule type="cellIs" priority="108" operator="equal" id="{5205A637-235D-4301-A7AE-14238228DE8E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13" operator="equal" id="{B16CAC34-0E93-4C5F-9229-C76143DC4CE9}">
            <xm:f>'Tabelas AUX'!$E$5</xm:f>
            <x14:dxf>
              <font>
                <color rgb="FF00B050"/>
              </font>
            </x14:dxf>
          </x14:cfRule>
          <xm:sqref>N43:N47 R43:R47</xm:sqref>
        </x14:conditionalFormatting>
        <x14:conditionalFormatting xmlns:xm="http://schemas.microsoft.com/office/excel/2006/main">
          <x14:cfRule type="cellIs" priority="103" operator="equal" id="{01AF8833-5BBE-4FEF-84E8-CD0F8DF3BCA8}">
            <xm:f>'Tabelas AUX'!$E$5</xm:f>
            <x14:dxf>
              <font>
                <color rgb="FF00B050"/>
              </font>
            </x14:dxf>
          </x14:cfRule>
          <x14:cfRule type="cellIs" priority="104" operator="equal" id="{8D757151-BDBF-4D96-9ABB-3D67529A644F}">
            <xm:f>'Tabelas AUX'!$E$4</xm:f>
            <x14:dxf>
              <font>
                <color rgb="FF7F7F7F"/>
              </font>
            </x14:dxf>
          </x14:cfRule>
          <x14:cfRule type="cellIs" priority="105" operator="equal" id="{5558DA25-B65E-4C08-99E0-3111C0CB410B}">
            <xm:f>'Tabelas AUX'!$E$3</xm:f>
            <x14:dxf>
              <font>
                <color theme="5"/>
              </font>
            </x14:dxf>
          </x14:cfRule>
          <x14:cfRule type="cellIs" priority="106" operator="equal" id="{D41670C8-C9E5-4D3A-AA0C-DBAA70318A52}">
            <xm:f>'Tabelas AUX'!$E$2</xm:f>
            <x14:dxf>
              <font>
                <color rgb="FFC00000"/>
              </font>
            </x14:dxf>
          </x14:cfRule>
          <xm:sqref>R43:R44</xm:sqref>
        </x14:conditionalFormatting>
        <x14:conditionalFormatting xmlns:xm="http://schemas.microsoft.com/office/excel/2006/main">
          <x14:cfRule type="cellIs" priority="107" operator="equal" id="{AE789EBE-C01E-4117-87BD-8A4C7552D7AB}">
            <xm:f>'Tabelas AUX'!$E$8</xm:f>
            <x14:dxf>
              <font>
                <color theme="8"/>
              </font>
            </x14:dxf>
          </x14:cfRule>
          <xm:sqref>R43:R47 N43:N47</xm:sqref>
        </x14:conditionalFormatting>
        <x14:conditionalFormatting xmlns:xm="http://schemas.microsoft.com/office/excel/2006/main">
          <x14:cfRule type="cellIs" priority="114" operator="equal" id="{54D82197-3DBE-4EDE-8D42-2175F5EE6D3C}">
            <xm:f>'Tabelas AUX'!$E$4</xm:f>
            <x14:dxf>
              <font>
                <color rgb="FF7F7F7F"/>
              </font>
            </x14:dxf>
          </x14:cfRule>
          <x14:cfRule type="cellIs" priority="115" operator="equal" id="{EA415A26-2716-4228-B0A9-4294FE5CF368}">
            <xm:f>'Tabelas AUX'!$E$3</xm:f>
            <x14:dxf>
              <font>
                <color theme="5"/>
              </font>
            </x14:dxf>
          </x14:cfRule>
          <x14:cfRule type="cellIs" priority="116" operator="equal" id="{E038F6C9-8C67-4C7D-91FE-C99275646F95}">
            <xm:f>'Tabelas AUX'!$E$2</xm:f>
            <x14:dxf>
              <font>
                <color rgb="FFC00000"/>
              </font>
            </x14:dxf>
          </x14:cfRule>
          <xm:sqref>R43:R47 N45:N47</xm:sqref>
        </x14:conditionalFormatting>
        <x14:conditionalFormatting xmlns:xm="http://schemas.microsoft.com/office/excel/2006/main">
          <x14:cfRule type="cellIs" priority="81" operator="equal" id="{961E49E6-2EA2-4E64-8D86-E5E3332FD161}">
            <xm:f>'Tabelas AUX'!$E$5</xm:f>
            <x14:dxf>
              <font>
                <color rgb="FF00B050"/>
              </font>
            </x14:dxf>
          </x14:cfRule>
          <x14:cfRule type="cellIs" priority="82" operator="equal" id="{44A09788-EDE0-42FF-837A-7B5CA21A720E}">
            <xm:f>'Tabelas AUX'!$E$4</xm:f>
            <x14:dxf>
              <font>
                <color rgb="FF7F7F7F"/>
              </font>
            </x14:dxf>
          </x14:cfRule>
          <x14:cfRule type="cellIs" priority="83" operator="equal" id="{35607F69-7123-42C4-A0FC-FDC5DEB49881}">
            <xm:f>'Tabelas AUX'!$E$3</xm:f>
            <x14:dxf>
              <font>
                <color theme="5"/>
              </font>
            </x14:dxf>
          </x14:cfRule>
          <x14:cfRule type="cellIs" priority="84" operator="equal" id="{06414384-01FB-45D3-AB1E-1EBC02053ABD}">
            <xm:f>'Tabelas AUX'!$E$2</xm:f>
            <x14:dxf>
              <font>
                <color rgb="FFC00000"/>
              </font>
            </x14:dxf>
          </x14:cfRule>
          <xm:sqref>T13</xm:sqref>
        </x14:conditionalFormatting>
        <x14:conditionalFormatting xmlns:xm="http://schemas.microsoft.com/office/excel/2006/main">
          <x14:cfRule type="cellIs" priority="76" operator="equal" id="{1B1A3AB9-77EA-4C7B-8682-0C6C06CD1993}">
            <xm:f>'Tabelas AUX'!$E$5</xm:f>
            <x14:dxf>
              <font>
                <color rgb="FF00B050"/>
              </font>
            </x14:dxf>
          </x14:cfRule>
          <x14:cfRule type="cellIs" priority="77" operator="equal" id="{736203C3-50C2-40A4-AB06-627155BCA541}">
            <xm:f>'Tabelas AUX'!$E$4</xm:f>
            <x14:dxf>
              <font>
                <color rgb="FF7F7F7F"/>
              </font>
            </x14:dxf>
          </x14:cfRule>
          <x14:cfRule type="cellIs" priority="78" operator="equal" id="{8B504EA5-3321-4C68-8ABE-17A394118BA7}">
            <xm:f>'Tabelas AUX'!$E$3</xm:f>
            <x14:dxf>
              <font>
                <color theme="5"/>
              </font>
            </x14:dxf>
          </x14:cfRule>
          <x14:cfRule type="cellIs" priority="79" operator="equal" id="{6FA3014D-F2D6-464F-B4D6-C63BF162565B}">
            <xm:f>'Tabelas AUX'!$E$2</xm:f>
            <x14:dxf>
              <font>
                <color rgb="FFC00000"/>
              </font>
            </x14:dxf>
          </x14:cfRule>
          <xm:sqref>T40:T41 T29:T36 T23:T27 T15:T21</xm:sqref>
        </x14:conditionalFormatting>
        <x14:conditionalFormatting xmlns:xm="http://schemas.microsoft.com/office/excel/2006/main">
          <x14:cfRule type="cellIs" priority="71" operator="equal" id="{5C5F1C99-94FD-4514-94D4-1812D183DD81}">
            <xm:f>'Tabelas AUX'!$E$5</xm:f>
            <x14:dxf>
              <font>
                <color rgb="FF00B050"/>
              </font>
            </x14:dxf>
          </x14:cfRule>
          <x14:cfRule type="cellIs" priority="72" operator="equal" id="{1F44F681-05FF-427E-B3A6-7465B9605183}">
            <xm:f>'Tabelas AUX'!$E$4</xm:f>
            <x14:dxf>
              <font>
                <color rgb="FF7F7F7F"/>
              </font>
            </x14:dxf>
          </x14:cfRule>
          <x14:cfRule type="cellIs" priority="73" operator="equal" id="{7EC7914A-B8FE-4A6E-A34D-6600B162E2EA}">
            <xm:f>'Tabelas AUX'!$E$3</xm:f>
            <x14:dxf>
              <font>
                <color theme="5"/>
              </font>
            </x14:dxf>
          </x14:cfRule>
          <x14:cfRule type="cellIs" priority="74" operator="equal" id="{C26BDEF8-1425-4938-AB77-2044EF0C5117}">
            <xm:f>'Tabelas AUX'!$E$2</xm:f>
            <x14:dxf>
              <font>
                <color rgb="FFC00000"/>
              </font>
            </x14:dxf>
          </x14:cfRule>
          <xm:sqref>T43</xm:sqref>
        </x14:conditionalFormatting>
        <x14:conditionalFormatting xmlns:xm="http://schemas.microsoft.com/office/excel/2006/main">
          <x14:cfRule type="cellIs" priority="61" operator="equal" id="{87EBC70F-07E2-415D-A228-C055E1913074}">
            <xm:f>'Tabelas AUX'!$E$5</xm:f>
            <x14:dxf>
              <font>
                <color rgb="FF00B050"/>
              </font>
            </x14:dxf>
          </x14:cfRule>
          <x14:cfRule type="cellIs" priority="62" operator="equal" id="{A7604DD8-C096-4D74-BD16-88DC315BF2BF}">
            <xm:f>'Tabelas AUX'!$E$4</xm:f>
            <x14:dxf>
              <font>
                <color rgb="FF7F7F7F"/>
              </font>
            </x14:dxf>
          </x14:cfRule>
          <x14:cfRule type="cellIs" priority="63" operator="equal" id="{1D6BBD0D-BEE4-4CF5-8DB0-D1AB5B117D27}">
            <xm:f>'Tabelas AUX'!$E$3</xm:f>
            <x14:dxf>
              <font>
                <color theme="5"/>
              </font>
            </x14:dxf>
          </x14:cfRule>
          <x14:cfRule type="cellIs" priority="64" operator="equal" id="{8F822F14-4525-4B71-A6A8-70290ACB7B01}">
            <xm:f>'Tabelas AUX'!$E$2</xm:f>
            <x14:dxf>
              <font>
                <color rgb="FFC00000"/>
              </font>
            </x14:dxf>
          </x14:cfRule>
          <xm:sqref>T14</xm:sqref>
        </x14:conditionalFormatting>
        <x14:conditionalFormatting xmlns:xm="http://schemas.microsoft.com/office/excel/2006/main">
          <x14:cfRule type="cellIs" priority="56" operator="equal" id="{6D4E2ACE-874B-4A8C-9588-F31D29BE1E0B}">
            <xm:f>'Tabelas AUX'!$E$5</xm:f>
            <x14:dxf>
              <font>
                <color rgb="FF00B050"/>
              </font>
            </x14:dxf>
          </x14:cfRule>
          <x14:cfRule type="cellIs" priority="57" operator="equal" id="{B85F75CF-0156-41C9-B23E-F3901F7298CB}">
            <xm:f>'Tabelas AUX'!$E$4</xm:f>
            <x14:dxf>
              <font>
                <color rgb="FF7F7F7F"/>
              </font>
            </x14:dxf>
          </x14:cfRule>
          <x14:cfRule type="cellIs" priority="58" operator="equal" id="{2FB4560F-44E5-4BFD-AE4B-1EC6EDC2E655}">
            <xm:f>'Tabelas AUX'!$E$3</xm:f>
            <x14:dxf>
              <font>
                <color theme="5"/>
              </font>
            </x14:dxf>
          </x14:cfRule>
          <x14:cfRule type="cellIs" priority="59" operator="equal" id="{C2F4D790-40BD-4580-B90F-247E145AA249}">
            <xm:f>'Tabelas AUX'!$E$2</xm:f>
            <x14:dxf>
              <font>
                <color rgb="FFC00000"/>
              </font>
            </x14:dxf>
          </x14:cfRule>
          <xm:sqref>T22</xm:sqref>
        </x14:conditionalFormatting>
        <x14:conditionalFormatting xmlns:xm="http://schemas.microsoft.com/office/excel/2006/main">
          <x14:cfRule type="cellIs" priority="51" operator="equal" id="{806CE088-FDA7-4153-A36C-84798ECD35B9}">
            <xm:f>'Tabelas AUX'!$E$5</xm:f>
            <x14:dxf>
              <font>
                <color rgb="FF00B050"/>
              </font>
            </x14:dxf>
          </x14:cfRule>
          <x14:cfRule type="cellIs" priority="52" operator="equal" id="{F9A5D46E-188A-4A75-AB80-B75C6D62A493}">
            <xm:f>'Tabelas AUX'!$E$4</xm:f>
            <x14:dxf>
              <font>
                <color rgb="FF7F7F7F"/>
              </font>
            </x14:dxf>
          </x14:cfRule>
          <x14:cfRule type="cellIs" priority="53" operator="equal" id="{029C6E64-1BF7-453A-965B-2C8AE50E237A}">
            <xm:f>'Tabelas AUX'!$E$3</xm:f>
            <x14:dxf>
              <font>
                <color theme="5"/>
              </font>
            </x14:dxf>
          </x14:cfRule>
          <x14:cfRule type="cellIs" priority="54" operator="equal" id="{FA193F34-0C54-43AB-BFB8-696877A833DD}">
            <xm:f>'Tabelas AUX'!$E$2</xm:f>
            <x14:dxf>
              <font>
                <color rgb="FFC00000"/>
              </font>
            </x14:dxf>
          </x14:cfRule>
          <xm:sqref>T28</xm:sqref>
        </x14:conditionalFormatting>
        <x14:conditionalFormatting xmlns:xm="http://schemas.microsoft.com/office/excel/2006/main">
          <x14:cfRule type="cellIs" priority="46" operator="equal" id="{F44BDF99-2E9C-4353-8484-82F3DC01D19D}">
            <xm:f>'Tabelas AUX'!$E$5</xm:f>
            <x14:dxf>
              <font>
                <color rgb="FF00B050"/>
              </font>
            </x14:dxf>
          </x14:cfRule>
          <x14:cfRule type="cellIs" priority="47" operator="equal" id="{997291E6-9CE1-4277-98CE-9CF13CFB57A4}">
            <xm:f>'Tabelas AUX'!$E$4</xm:f>
            <x14:dxf>
              <font>
                <color rgb="FF7F7F7F"/>
              </font>
            </x14:dxf>
          </x14:cfRule>
          <x14:cfRule type="cellIs" priority="48" operator="equal" id="{07C41C6F-69E7-4F80-9A72-C72691D7B742}">
            <xm:f>'Tabelas AUX'!$E$3</xm:f>
            <x14:dxf>
              <font>
                <color theme="5"/>
              </font>
            </x14:dxf>
          </x14:cfRule>
          <x14:cfRule type="cellIs" priority="49" operator="equal" id="{8AD1ADDA-E5E1-4AC7-9627-D7125BB8EC46}">
            <xm:f>'Tabelas AUX'!$E$2</xm:f>
            <x14:dxf>
              <font>
                <color rgb="FFC00000"/>
              </font>
            </x14:dxf>
          </x14:cfRule>
          <xm:sqref>T42 T37:T39</xm:sqref>
        </x14:conditionalFormatting>
        <x14:conditionalFormatting xmlns:xm="http://schemas.microsoft.com/office/excel/2006/main">
          <x14:cfRule type="cellIs" priority="16" operator="equal" id="{421B3369-648A-4B56-8613-E88438794899}">
            <xm:f>'Tabelas AUX'!$E$8</xm:f>
            <x14:dxf>
              <font>
                <color theme="8"/>
              </font>
            </x14:dxf>
          </x14:cfRule>
          <x14:cfRule type="cellIs" priority="17" operator="equal" id="{E9027872-E3A4-4171-A0D0-C1DB5F5BA726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18" operator="equal" id="{8FBADC48-AE5D-450C-8152-C4BC5298053B}">
            <xm:f>'Tabelas AUX'!$E$5</xm:f>
            <x14:dxf>
              <font>
                <color rgb="FF00B050"/>
              </font>
            </x14:dxf>
          </x14:cfRule>
          <x14:cfRule type="cellIs" priority="19" operator="equal" id="{F1850C3D-50FC-43B2-B295-B51F97997455}">
            <xm:f>'Tabelas AUX'!$E$4</xm:f>
            <x14:dxf>
              <font>
                <color rgb="FF7F7F7F"/>
              </font>
            </x14:dxf>
          </x14:cfRule>
          <x14:cfRule type="cellIs" priority="20" operator="equal" id="{2F017185-66B6-4735-AC26-3160886F501D}">
            <xm:f>'Tabelas AUX'!$E$3</xm:f>
            <x14:dxf>
              <font>
                <color theme="5"/>
              </font>
            </x14:dxf>
          </x14:cfRule>
          <x14:cfRule type="cellIs" priority="21" operator="equal" id="{70424F93-0BC3-4F94-9659-904192DCAD8C}">
            <xm:f>'Tabelas AUX'!$E$2</xm:f>
            <x14:dxf>
              <font>
                <color rgb="FFC00000"/>
              </font>
            </x14:dxf>
          </x14:cfRule>
          <xm:sqref>X42:X47 X37:X39 X28 X22</xm:sqref>
        </x14:conditionalFormatting>
        <x14:conditionalFormatting xmlns:xm="http://schemas.microsoft.com/office/excel/2006/main">
          <x14:cfRule type="cellIs" priority="34" operator="equal" id="{9D824591-067C-4091-B98C-0BE44D616120}">
            <xm:f>'Tabelas AUX'!$E$8</xm:f>
            <x14:dxf>
              <font>
                <color theme="8"/>
              </font>
            </x14:dxf>
          </x14:cfRule>
          <x14:cfRule type="cellIs" priority="35" operator="equal" id="{7C41BA84-C485-41B0-8115-47184536B68A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36" operator="equal" id="{CDED6EE7-68FE-49FF-8D6F-CBA515D82D21}">
            <xm:f>'Tabelas AUX'!$E$5</xm:f>
            <x14:dxf>
              <font>
                <color rgb="FF00B050"/>
              </font>
            </x14:dxf>
          </x14:cfRule>
          <x14:cfRule type="cellIs" priority="37" operator="equal" id="{60CDF63C-446D-43C7-81DE-49EF8D072227}">
            <xm:f>'Tabelas AUX'!$E$4</xm:f>
            <x14:dxf>
              <font>
                <color rgb="FF7F7F7F"/>
              </font>
            </x14:dxf>
          </x14:cfRule>
          <x14:cfRule type="cellIs" priority="38" operator="equal" id="{3BE57151-A413-43B3-82D2-1A5172B49A51}">
            <xm:f>'Tabelas AUX'!$E$3</xm:f>
            <x14:dxf>
              <font>
                <color theme="5"/>
              </font>
            </x14:dxf>
          </x14:cfRule>
          <x14:cfRule type="cellIs" priority="39" operator="equal" id="{8E6F021C-5F11-41B0-B7DC-83BAC15874F3}">
            <xm:f>'Tabelas AUX'!$E$2</xm:f>
            <x14:dxf>
              <font>
                <color rgb="FFC00000"/>
              </font>
            </x14:dxf>
          </x14:cfRule>
          <xm:sqref>X13</xm:sqref>
        </x14:conditionalFormatting>
        <x14:conditionalFormatting xmlns:xm="http://schemas.microsoft.com/office/excel/2006/main">
          <x14:cfRule type="cellIs" priority="28" operator="equal" id="{F7B1F991-5970-4773-8E05-81761E43D949}">
            <xm:f>'Tabelas AUX'!$E$8</xm:f>
            <x14:dxf>
              <font>
                <color theme="8"/>
              </font>
            </x14:dxf>
          </x14:cfRule>
          <x14:cfRule type="cellIs" priority="29" operator="equal" id="{7B6D2BCF-9D7D-42F3-ABCF-2307FF74CBBB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30" operator="equal" id="{EAA729AA-6EA6-4712-8959-B47C518086E4}">
            <xm:f>'Tabelas AUX'!$E$5</xm:f>
            <x14:dxf>
              <font>
                <color rgb="FF00B050"/>
              </font>
            </x14:dxf>
          </x14:cfRule>
          <x14:cfRule type="cellIs" priority="31" operator="equal" id="{5BD2A8FE-8302-4571-90D4-E5A43916BB9F}">
            <xm:f>'Tabelas AUX'!$E$4</xm:f>
            <x14:dxf>
              <font>
                <color rgb="FF7F7F7F"/>
              </font>
            </x14:dxf>
          </x14:cfRule>
          <x14:cfRule type="cellIs" priority="32" operator="equal" id="{9697D87E-84DB-49FD-BE22-2045E224D757}">
            <xm:f>'Tabelas AUX'!$E$3</xm:f>
            <x14:dxf>
              <font>
                <color theme="5"/>
              </font>
            </x14:dxf>
          </x14:cfRule>
          <x14:cfRule type="cellIs" priority="33" operator="equal" id="{59E4DEDB-4550-4517-9F3E-39A15D11D307}">
            <xm:f>'Tabelas AUX'!$E$2</xm:f>
            <x14:dxf>
              <font>
                <color rgb="FFC00000"/>
              </font>
            </x14:dxf>
          </x14:cfRule>
          <xm:sqref>X40:X41 X29:X36 X23:X27 X15:X21</xm:sqref>
        </x14:conditionalFormatting>
        <x14:conditionalFormatting xmlns:xm="http://schemas.microsoft.com/office/excel/2006/main">
          <x14:cfRule type="cellIs" priority="22" operator="equal" id="{4313004F-E599-48FE-8A9D-BC2F32342F78}">
            <xm:f>'Tabelas AUX'!$E$8</xm:f>
            <x14:dxf>
              <font>
                <color theme="8"/>
              </font>
            </x14:dxf>
          </x14:cfRule>
          <x14:cfRule type="cellIs" priority="23" operator="equal" id="{2CDEFE68-E2B5-4654-88BC-2997F264A2FB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24" operator="equal" id="{BF12041F-0F30-4ACB-B6CA-876164E335F1}">
            <xm:f>'Tabelas AUX'!$E$5</xm:f>
            <x14:dxf>
              <font>
                <color rgb="FF00B050"/>
              </font>
            </x14:dxf>
          </x14:cfRule>
          <x14:cfRule type="cellIs" priority="25" operator="equal" id="{085894C0-481D-4FE6-8EF9-DF4A9CC51B7D}">
            <xm:f>'Tabelas AUX'!$E$4</xm:f>
            <x14:dxf>
              <font>
                <color rgb="FF7F7F7F"/>
              </font>
            </x14:dxf>
          </x14:cfRule>
          <x14:cfRule type="cellIs" priority="26" operator="equal" id="{1FF89EB4-02FF-47B2-A7D6-D890B24FA436}">
            <xm:f>'Tabelas AUX'!$E$3</xm:f>
            <x14:dxf>
              <font>
                <color theme="5"/>
              </font>
            </x14:dxf>
          </x14:cfRule>
          <x14:cfRule type="cellIs" priority="27" operator="equal" id="{AF229F44-3852-43EA-B146-744524DEB5B0}">
            <xm:f>'Tabelas AUX'!$E$2</xm:f>
            <x14:dxf>
              <font>
                <color rgb="FFC00000"/>
              </font>
            </x14:dxf>
          </x14:cfRule>
          <xm:sqref>X14</xm:sqref>
        </x14:conditionalFormatting>
        <x14:conditionalFormatting xmlns:xm="http://schemas.microsoft.com/office/excel/2006/main">
          <x14:cfRule type="cellIs" priority="12" operator="equal" id="{DEDD50AD-FBA3-44B9-B4C4-06FB3B5B7582}">
            <xm:f>'Tabelas AUX'!$E$5</xm:f>
            <x14:dxf>
              <font>
                <color rgb="FF00B050"/>
              </font>
            </x14:dxf>
          </x14:cfRule>
          <x14:cfRule type="cellIs" priority="13" operator="equal" id="{BD592C87-28E9-4CF8-87BE-D446081D9C24}">
            <xm:f>'Tabelas AUX'!$E$4</xm:f>
            <x14:dxf>
              <font>
                <color rgb="FF7F7F7F"/>
              </font>
            </x14:dxf>
          </x14:cfRule>
          <x14:cfRule type="cellIs" priority="14" operator="equal" id="{F313E33A-B669-4BDC-8896-EAB82554393F}">
            <xm:f>'Tabelas AUX'!$E$3</xm:f>
            <x14:dxf>
              <font>
                <color theme="5"/>
              </font>
            </x14:dxf>
          </x14:cfRule>
          <x14:cfRule type="cellIs" priority="15" operator="equal" id="{FE1AB7A1-25E4-44CE-8C3E-8D5141148BD0}">
            <xm:f>'Tabelas AUX'!$E$2</xm:f>
            <x14:dxf>
              <font>
                <color rgb="FFC00000"/>
              </font>
            </x14:dxf>
          </x14:cfRule>
          <xm:sqref>T46:T47</xm:sqref>
        </x14:conditionalFormatting>
        <x14:conditionalFormatting xmlns:xm="http://schemas.microsoft.com/office/excel/2006/main">
          <x14:cfRule type="cellIs" priority="7" operator="equal" id="{1BEED4D7-453E-43B1-B284-50E607252DBA}">
            <xm:f>'Tabelas AUX'!$E$5</xm:f>
            <x14:dxf>
              <font>
                <color rgb="FF00B050"/>
              </font>
            </x14:dxf>
          </x14:cfRule>
          <x14:cfRule type="cellIs" priority="8" operator="equal" id="{7BC34C5C-E5E2-4054-B5A1-18A92CCBAB78}">
            <xm:f>'Tabelas AUX'!$E$4</xm:f>
            <x14:dxf>
              <font>
                <color rgb="FF7F7F7F"/>
              </font>
            </x14:dxf>
          </x14:cfRule>
          <x14:cfRule type="cellIs" priority="9" operator="equal" id="{481D458D-D1A3-47A4-A0FE-051FCBE3C7A2}">
            <xm:f>'Tabelas AUX'!$E$3</xm:f>
            <x14:dxf>
              <font>
                <color theme="5"/>
              </font>
            </x14:dxf>
          </x14:cfRule>
          <x14:cfRule type="cellIs" priority="10" operator="equal" id="{C2F9C01F-B038-4C46-96C5-6255521115AD}">
            <xm:f>'Tabelas AUX'!$E$2</xm:f>
            <x14:dxf>
              <font>
                <color rgb="FFC00000"/>
              </font>
            </x14:dxf>
          </x14:cfRule>
          <xm:sqref>T44</xm:sqref>
        </x14:conditionalFormatting>
        <x14:conditionalFormatting xmlns:xm="http://schemas.microsoft.com/office/excel/2006/main">
          <x14:cfRule type="cellIs" priority="2" operator="equal" id="{0F7784B7-EFFA-4957-88B5-40FD0095360D}">
            <xm:f>'Tabelas AUX'!$E$5</xm:f>
            <x14:dxf>
              <font>
                <color rgb="FF00B050"/>
              </font>
            </x14:dxf>
          </x14:cfRule>
          <x14:cfRule type="cellIs" priority="3" operator="equal" id="{AAA3454B-6F4F-4D3C-9058-D37B90A4051D}">
            <xm:f>'Tabelas AUX'!$E$4</xm:f>
            <x14:dxf>
              <font>
                <color rgb="FF7F7F7F"/>
              </font>
            </x14:dxf>
          </x14:cfRule>
          <x14:cfRule type="cellIs" priority="4" operator="equal" id="{AAB10078-6BBE-41BF-8982-AD5E94F49BCF}">
            <xm:f>'Tabelas AUX'!$E$3</xm:f>
            <x14:dxf>
              <font>
                <color theme="5"/>
              </font>
            </x14:dxf>
          </x14:cfRule>
          <x14:cfRule type="cellIs" priority="5" operator="equal" id="{E6535A1A-DC20-4A2E-8513-399CAA78B296}">
            <xm:f>'Tabelas AUX'!$E$2</xm:f>
            <x14:dxf>
              <font>
                <color rgb="FFC00000"/>
              </font>
            </x14:dxf>
          </x14:cfRule>
          <xm:sqref>T45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'Tabelas AUX'!$E$2:$E$9</xm:f>
          </x14:formula1>
          <xm:sqref>N43:N47</xm:sqref>
        </x14:dataValidation>
        <x14:dataValidation type="list" allowBlank="1" showInputMessage="1" showErrorMessage="1">
          <x14:formula1>
            <xm:f>'Tabelas AUX'!$E$2:$E$5</xm:f>
          </x14:formula1>
          <xm:sqref>T13:T47</xm:sqref>
        </x14:dataValidation>
        <x14:dataValidation type="list" allowBlank="1" showInputMessage="1" showErrorMessage="1">
          <x14:formula1>
            <xm:f>'Tabelas AUX'!$G$2:$G$13</xm:f>
          </x14:formula1>
          <xm:sqref>X13:X47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pageSetUpPr autoPageBreaks="0"/>
  </sheetPr>
  <dimension ref="A1:W101"/>
  <sheetViews>
    <sheetView showGridLines="0" topLeftCell="C1" zoomScale="85" zoomScaleNormal="85" workbookViewId="0">
      <selection activeCell="T17" sqref="T17"/>
    </sheetView>
  </sheetViews>
  <sheetFormatPr defaultRowHeight="15" outlineLevelRow="1" outlineLevelCol="1" x14ac:dyDescent="0.25"/>
  <cols>
    <col min="1" max="1" width="3.7109375" customWidth="1"/>
    <col min="2" max="2" width="23.28515625" bestFit="1" customWidth="1"/>
    <col min="3" max="3" width="9.42578125" bestFit="1" customWidth="1"/>
    <col min="4" max="4" width="30.42578125" customWidth="1"/>
    <col min="5" max="5" width="17" bestFit="1" customWidth="1"/>
    <col min="6" max="6" width="44.28515625" bestFit="1" customWidth="1"/>
    <col min="7" max="7" width="19" bestFit="1" customWidth="1"/>
    <col min="8" max="8" width="2" customWidth="1"/>
    <col min="9" max="9" width="27.85546875" hidden="1" customWidth="1" outlineLevel="1"/>
    <col min="10" max="10" width="26.85546875" hidden="1" customWidth="1" outlineLevel="1"/>
    <col min="11" max="11" width="21" hidden="1" customWidth="1" outlineLevel="1"/>
    <col min="12" max="12" width="29.28515625" bestFit="1" customWidth="1" collapsed="1"/>
    <col min="13" max="13" width="28.85546875" customWidth="1"/>
    <col min="14" max="14" width="25.5703125" customWidth="1"/>
    <col min="15" max="15" width="20.28515625" hidden="1" customWidth="1" outlineLevel="1"/>
    <col min="16" max="17" width="42.42578125" hidden="1" customWidth="1" outlineLevel="1"/>
    <col min="18" max="18" width="30.5703125" hidden="1" customWidth="1" outlineLevel="1"/>
    <col min="19" max="19" width="2.140625" customWidth="1" collapsed="1"/>
    <col min="20" max="20" width="14.140625" customWidth="1" outlineLevel="1"/>
    <col min="21" max="21" width="15.42578125" customWidth="1" outlineLevel="1"/>
    <col min="22" max="22" width="42.7109375" customWidth="1" outlineLevel="1"/>
  </cols>
  <sheetData>
    <row r="1" spans="1:22" ht="15" customHeight="1" x14ac:dyDescent="0.25">
      <c r="B1" s="47"/>
      <c r="C1" s="47"/>
      <c r="D1" s="47"/>
      <c r="F1" s="47"/>
      <c r="G1" s="47"/>
    </row>
    <row r="2" spans="1:22" ht="34.5" customHeight="1" x14ac:dyDescent="0.25">
      <c r="B2" s="47"/>
      <c r="C2" s="47"/>
      <c r="D2" s="48"/>
      <c r="F2" s="47"/>
      <c r="G2" s="47"/>
    </row>
    <row r="3" spans="1:22" ht="2.25" customHeight="1" x14ac:dyDescent="0.25">
      <c r="A3" s="20"/>
      <c r="B3" s="49"/>
      <c r="C3" s="49"/>
      <c r="D3" s="49"/>
      <c r="E3" s="49"/>
      <c r="F3" s="49"/>
      <c r="G3" s="49"/>
    </row>
    <row r="4" spans="1:22" ht="15" customHeight="1" x14ac:dyDescent="0.25">
      <c r="B4" s="47"/>
      <c r="C4" s="47"/>
      <c r="D4" s="47"/>
      <c r="F4" s="47"/>
      <c r="G4" s="47"/>
    </row>
    <row r="5" spans="1:22" ht="15" customHeight="1" x14ac:dyDescent="0.25">
      <c r="B5" s="50" t="s">
        <v>1692</v>
      </c>
      <c r="C5" s="50"/>
      <c r="D5" s="47"/>
      <c r="F5" s="47"/>
      <c r="G5" s="47"/>
    </row>
    <row r="6" spans="1:22" ht="15" customHeight="1" x14ac:dyDescent="0.25">
      <c r="B6" s="47"/>
      <c r="C6" s="47"/>
      <c r="D6" s="47"/>
      <c r="F6" s="47"/>
      <c r="G6" s="47"/>
    </row>
    <row r="7" spans="1:22" ht="144" customHeight="1" outlineLevel="1" x14ac:dyDescent="0.25">
      <c r="B7" s="51" t="s">
        <v>65</v>
      </c>
      <c r="C7" s="222" t="s">
        <v>1693</v>
      </c>
      <c r="D7" s="222"/>
      <c r="E7" s="222"/>
      <c r="F7" s="222"/>
      <c r="G7" s="222"/>
      <c r="H7" s="52"/>
      <c r="I7" s="52"/>
      <c r="S7" s="52"/>
    </row>
    <row r="8" spans="1:22" ht="15" customHeight="1" outlineLevel="1" x14ac:dyDescent="0.25">
      <c r="B8" s="47"/>
      <c r="C8" s="47"/>
      <c r="D8" s="47"/>
      <c r="F8" s="47"/>
      <c r="G8" s="47"/>
    </row>
    <row r="9" spans="1:22" ht="15" customHeight="1" outlineLevel="1" x14ac:dyDescent="0.25">
      <c r="B9" s="47"/>
      <c r="C9" s="47"/>
      <c r="D9" s="47"/>
      <c r="F9" s="47"/>
      <c r="G9" s="47"/>
    </row>
    <row r="10" spans="1:22" ht="15" customHeight="1" outlineLevel="1" x14ac:dyDescent="0.25">
      <c r="B10" s="47"/>
      <c r="C10" s="47"/>
      <c r="D10" s="47"/>
      <c r="F10" s="47"/>
      <c r="G10" s="47"/>
    </row>
    <row r="11" spans="1:22" x14ac:dyDescent="0.25">
      <c r="B11" s="212" t="s">
        <v>67</v>
      </c>
      <c r="C11" s="213"/>
      <c r="D11" s="213"/>
      <c r="E11" s="213"/>
      <c r="F11" s="213"/>
      <c r="G11" s="214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</row>
    <row r="12" spans="1:22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</row>
    <row r="13" spans="1:22" ht="30" x14ac:dyDescent="0.25">
      <c r="B13" s="70"/>
      <c r="C13" s="70"/>
      <c r="D13" s="70" t="s">
        <v>1694</v>
      </c>
      <c r="E13" s="70"/>
      <c r="F13" s="70" t="s">
        <v>1695</v>
      </c>
      <c r="G13" s="73"/>
      <c r="H13" s="47"/>
      <c r="I13" s="70"/>
      <c r="J13" s="70"/>
      <c r="K13" s="70"/>
      <c r="L13" s="70" t="s">
        <v>1696</v>
      </c>
      <c r="M13" s="70" t="s">
        <v>1010</v>
      </c>
      <c r="N13" s="70" t="s">
        <v>1694</v>
      </c>
      <c r="O13" s="70"/>
      <c r="P13" s="70"/>
      <c r="Q13" s="70"/>
      <c r="R13" s="70"/>
      <c r="S13" s="47"/>
      <c r="T13" s="141" t="s">
        <v>1697</v>
      </c>
      <c r="U13" s="69"/>
      <c r="V13" s="72" t="s">
        <v>1698</v>
      </c>
    </row>
    <row r="14" spans="1:22" x14ac:dyDescent="0.25">
      <c r="B14" s="70"/>
      <c r="C14" s="70"/>
      <c r="D14" s="70" t="s">
        <v>1699</v>
      </c>
      <c r="E14" s="70"/>
      <c r="F14" s="70" t="s">
        <v>1700</v>
      </c>
      <c r="G14" s="73"/>
      <c r="H14" s="47"/>
      <c r="I14" s="70"/>
      <c r="J14" s="70"/>
      <c r="K14" s="70"/>
      <c r="L14" s="70" t="s">
        <v>1696</v>
      </c>
      <c r="M14" s="70" t="s">
        <v>277</v>
      </c>
      <c r="N14" s="70" t="s">
        <v>1699</v>
      </c>
      <c r="O14" s="70"/>
      <c r="P14" s="70"/>
      <c r="Q14" s="70"/>
      <c r="R14" s="70"/>
      <c r="S14" s="47"/>
      <c r="T14" s="141" t="s">
        <v>1697</v>
      </c>
      <c r="U14" s="69"/>
      <c r="V14" s="72" t="s">
        <v>1701</v>
      </c>
    </row>
    <row r="15" spans="1:22" x14ac:dyDescent="0.25">
      <c r="B15" s="70"/>
      <c r="C15" s="70"/>
      <c r="D15" s="70" t="s">
        <v>1702</v>
      </c>
      <c r="E15" s="70"/>
      <c r="F15" s="70" t="s">
        <v>1703</v>
      </c>
      <c r="G15" s="73"/>
      <c r="H15" s="47"/>
      <c r="I15" s="70"/>
      <c r="J15" s="70"/>
      <c r="K15" s="70"/>
      <c r="L15" s="70" t="s">
        <v>1696</v>
      </c>
      <c r="M15" s="70" t="s">
        <v>354</v>
      </c>
      <c r="N15" s="70" t="s">
        <v>1704</v>
      </c>
      <c r="O15" s="70"/>
      <c r="P15" s="70"/>
      <c r="Q15" s="70"/>
      <c r="R15" s="70"/>
      <c r="S15" s="47"/>
      <c r="T15" s="141" t="s">
        <v>1697</v>
      </c>
      <c r="U15" s="69"/>
      <c r="V15" s="72" t="s">
        <v>1705</v>
      </c>
    </row>
    <row r="16" spans="1:22" x14ac:dyDescent="0.25">
      <c r="B16" s="70"/>
      <c r="C16" s="70"/>
      <c r="D16" s="70" t="s">
        <v>1706</v>
      </c>
      <c r="E16" s="70"/>
      <c r="F16" s="70" t="s">
        <v>1707</v>
      </c>
      <c r="G16" s="73"/>
      <c r="H16" s="47"/>
      <c r="I16" s="70"/>
      <c r="J16" s="70"/>
      <c r="K16" s="70"/>
      <c r="L16" s="70"/>
      <c r="M16" s="70" t="s">
        <v>290</v>
      </c>
      <c r="N16" s="70" t="s">
        <v>1706</v>
      </c>
      <c r="O16" s="70"/>
      <c r="P16" s="70"/>
      <c r="Q16" s="70"/>
      <c r="R16" s="70"/>
      <c r="S16" s="47"/>
      <c r="T16" s="141" t="s">
        <v>1697</v>
      </c>
      <c r="U16" s="69"/>
      <c r="V16" s="72" t="s">
        <v>1705</v>
      </c>
    </row>
    <row r="17" spans="2:23" ht="30" x14ac:dyDescent="0.25">
      <c r="B17" s="70"/>
      <c r="C17" s="70"/>
      <c r="D17" s="70" t="s">
        <v>1708</v>
      </c>
      <c r="E17" s="68"/>
      <c r="F17" s="70" t="s">
        <v>1709</v>
      </c>
      <c r="G17" s="70"/>
      <c r="H17" s="47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47"/>
      <c r="T17" s="141" t="s">
        <v>1697</v>
      </c>
      <c r="U17" s="69"/>
      <c r="V17" s="72" t="s">
        <v>1698</v>
      </c>
    </row>
    <row r="18" spans="2:23" ht="30" x14ac:dyDescent="0.25">
      <c r="B18" s="70"/>
      <c r="C18" s="70"/>
      <c r="D18" s="70" t="s">
        <v>1710</v>
      </c>
      <c r="E18" s="70"/>
      <c r="F18" s="70" t="s">
        <v>1711</v>
      </c>
      <c r="G18" s="70"/>
      <c r="H18" s="47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47"/>
      <c r="T18" s="141" t="s">
        <v>1697</v>
      </c>
      <c r="U18" s="63"/>
      <c r="V18" s="80" t="s">
        <v>1712</v>
      </c>
    </row>
    <row r="19" spans="2:23" x14ac:dyDescent="0.25">
      <c r="B19" s="70"/>
      <c r="C19" s="70"/>
      <c r="D19" s="70" t="s">
        <v>693</v>
      </c>
      <c r="E19" s="70"/>
      <c r="F19" s="70" t="s">
        <v>1713</v>
      </c>
      <c r="G19" s="70"/>
      <c r="H19" s="47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47"/>
      <c r="T19" s="141" t="s">
        <v>1697</v>
      </c>
      <c r="U19" s="63"/>
      <c r="V19" s="80" t="s">
        <v>1714</v>
      </c>
    </row>
    <row r="20" spans="2:23" ht="14.25" customHeight="1" x14ac:dyDescent="0.25">
      <c r="B20" s="70"/>
      <c r="C20" s="70"/>
      <c r="D20" s="70" t="s">
        <v>646</v>
      </c>
      <c r="E20" s="70"/>
      <c r="F20" s="70" t="s">
        <v>1713</v>
      </c>
      <c r="G20" s="70"/>
      <c r="H20" s="47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47"/>
      <c r="T20" s="141" t="s">
        <v>1697</v>
      </c>
      <c r="U20" s="63"/>
      <c r="V20" s="80" t="s">
        <v>1715</v>
      </c>
    </row>
    <row r="21" spans="2:23" x14ac:dyDescent="0.25">
      <c r="B21" s="70"/>
      <c r="C21" s="70"/>
      <c r="D21" s="70" t="s">
        <v>1716</v>
      </c>
      <c r="E21" s="70"/>
      <c r="F21" s="70" t="s">
        <v>1713</v>
      </c>
      <c r="G21" s="70"/>
      <c r="H21" s="47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47"/>
      <c r="T21" s="141" t="s">
        <v>1697</v>
      </c>
      <c r="U21" s="63"/>
      <c r="V21" s="80" t="s">
        <v>1717</v>
      </c>
    </row>
    <row r="22" spans="2:23" x14ac:dyDescent="0.25">
      <c r="B22" s="70"/>
      <c r="C22" s="70"/>
      <c r="D22" s="70" t="s">
        <v>1718</v>
      </c>
      <c r="E22" s="70"/>
      <c r="F22" s="70" t="s">
        <v>1713</v>
      </c>
      <c r="G22" s="70"/>
      <c r="H22" s="47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47"/>
      <c r="T22" s="141" t="s">
        <v>1697</v>
      </c>
      <c r="U22" s="63"/>
      <c r="V22" s="80" t="s">
        <v>1719</v>
      </c>
    </row>
    <row r="23" spans="2:23" x14ac:dyDescent="0.25">
      <c r="B23" s="70"/>
      <c r="C23" s="70"/>
      <c r="D23" s="70" t="s">
        <v>1720</v>
      </c>
      <c r="E23" s="70"/>
      <c r="F23" s="70" t="s">
        <v>1713</v>
      </c>
      <c r="G23" s="70"/>
      <c r="H23" s="47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47"/>
      <c r="T23" s="141" t="s">
        <v>1697</v>
      </c>
      <c r="U23" s="63"/>
      <c r="V23" s="80" t="s">
        <v>1721</v>
      </c>
    </row>
    <row r="24" spans="2:23" x14ac:dyDescent="0.25">
      <c r="B24" s="70"/>
      <c r="C24" s="70"/>
      <c r="D24" s="70" t="s">
        <v>1549</v>
      </c>
      <c r="E24" s="70"/>
      <c r="F24" s="70" t="s">
        <v>1713</v>
      </c>
      <c r="G24" s="70"/>
      <c r="H24" s="47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47"/>
      <c r="T24" s="141" t="s">
        <v>1697</v>
      </c>
      <c r="U24" s="63"/>
      <c r="V24" s="80" t="s">
        <v>1722</v>
      </c>
    </row>
    <row r="25" spans="2:23" x14ac:dyDescent="0.25">
      <c r="B25" s="70"/>
      <c r="C25" s="70"/>
      <c r="D25" s="70" t="s">
        <v>1723</v>
      </c>
      <c r="E25" s="70"/>
      <c r="F25" s="70" t="s">
        <v>1713</v>
      </c>
      <c r="G25" s="70"/>
      <c r="H25" s="47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47"/>
      <c r="T25" s="141" t="s">
        <v>1697</v>
      </c>
      <c r="U25" s="63"/>
      <c r="V25" s="80" t="s">
        <v>1724</v>
      </c>
    </row>
    <row r="26" spans="2:23" ht="30" x14ac:dyDescent="0.25">
      <c r="B26" s="70"/>
      <c r="C26" s="70"/>
      <c r="D26" s="70" t="s">
        <v>1725</v>
      </c>
      <c r="E26" s="70"/>
      <c r="F26" s="70"/>
      <c r="G26" s="70"/>
      <c r="H26" s="47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47"/>
      <c r="T26" s="141" t="s">
        <v>1726</v>
      </c>
      <c r="U26" s="63"/>
      <c r="V26" s="147" t="s">
        <v>1727</v>
      </c>
    </row>
    <row r="27" spans="2:23" x14ac:dyDescent="0.25">
      <c r="B27" s="70"/>
      <c r="C27" s="70"/>
      <c r="D27" s="70" t="s">
        <v>1728</v>
      </c>
      <c r="E27" s="68"/>
      <c r="F27" s="68" t="s">
        <v>1729</v>
      </c>
      <c r="G27" s="68"/>
      <c r="H27" s="47"/>
      <c r="I27" s="68"/>
      <c r="J27" s="68"/>
      <c r="K27" s="68"/>
      <c r="L27" s="70"/>
      <c r="M27" s="70"/>
      <c r="N27" s="68"/>
      <c r="O27" s="68"/>
      <c r="P27" s="68"/>
      <c r="Q27" s="70"/>
      <c r="R27" s="70"/>
      <c r="S27" s="47"/>
      <c r="T27" s="141" t="s">
        <v>1697</v>
      </c>
      <c r="U27" s="69"/>
      <c r="V27" s="72"/>
    </row>
    <row r="28" spans="2:23" x14ac:dyDescent="0.25">
      <c r="B28" s="70"/>
      <c r="C28" s="70"/>
      <c r="D28" s="70" t="s">
        <v>1730</v>
      </c>
      <c r="E28" s="68"/>
      <c r="F28" s="68" t="s">
        <v>1731</v>
      </c>
      <c r="G28" s="68"/>
      <c r="H28" s="47"/>
      <c r="I28" s="68"/>
      <c r="J28" s="68"/>
      <c r="K28" s="68"/>
      <c r="L28" s="70"/>
      <c r="M28" s="70"/>
      <c r="N28" s="68"/>
      <c r="O28" s="68"/>
      <c r="P28" s="68"/>
      <c r="Q28" s="70"/>
      <c r="R28" s="70"/>
      <c r="S28" s="47"/>
      <c r="T28" s="141" t="s">
        <v>1697</v>
      </c>
      <c r="U28" s="69"/>
      <c r="V28" s="72"/>
    </row>
    <row r="29" spans="2:23" ht="90" x14ac:dyDescent="0.25">
      <c r="B29" s="70"/>
      <c r="C29" s="70"/>
      <c r="D29" s="70" t="s">
        <v>1732</v>
      </c>
      <c r="E29" s="70" t="s">
        <v>225</v>
      </c>
      <c r="F29" s="70" t="s">
        <v>1733</v>
      </c>
      <c r="G29" s="70"/>
      <c r="H29" s="47"/>
      <c r="I29" s="70" t="s">
        <v>294</v>
      </c>
      <c r="J29" s="70" t="s">
        <v>295</v>
      </c>
      <c r="K29" s="70" t="s">
        <v>1732</v>
      </c>
      <c r="L29" s="70" t="s">
        <v>408</v>
      </c>
      <c r="M29" s="70" t="s">
        <v>409</v>
      </c>
      <c r="N29" s="70" t="s">
        <v>1734</v>
      </c>
      <c r="O29" s="70" t="s">
        <v>296</v>
      </c>
      <c r="P29" s="70"/>
      <c r="Q29" s="70"/>
      <c r="R29" s="111" t="s">
        <v>412</v>
      </c>
      <c r="S29" s="47"/>
      <c r="T29" s="141" t="s">
        <v>1697</v>
      </c>
      <c r="U29" s="69">
        <v>45190</v>
      </c>
      <c r="V29" s="72" t="s">
        <v>1735</v>
      </c>
      <c r="W29" s="47"/>
    </row>
    <row r="30" spans="2:23" ht="30" x14ac:dyDescent="0.25">
      <c r="B30" s="70" t="s">
        <v>42</v>
      </c>
      <c r="C30" s="157">
        <v>10</v>
      </c>
      <c r="D30" s="165" t="s">
        <v>1524</v>
      </c>
      <c r="E30" s="157" t="s">
        <v>93</v>
      </c>
      <c r="F30" s="157" t="s">
        <v>1523</v>
      </c>
      <c r="G30" s="70"/>
      <c r="H30" s="47"/>
      <c r="I30" s="70"/>
      <c r="J30" s="70"/>
      <c r="K30" s="70"/>
      <c r="L30" s="70" t="s">
        <v>408</v>
      </c>
      <c r="M30" s="70" t="s">
        <v>691</v>
      </c>
      <c r="N30" s="146" t="s">
        <v>1736</v>
      </c>
      <c r="O30" s="70"/>
      <c r="P30" s="70"/>
      <c r="Q30" s="70"/>
      <c r="R30" s="70"/>
      <c r="S30" s="47"/>
      <c r="T30" s="141" t="s">
        <v>1697</v>
      </c>
      <c r="U30" s="72">
        <v>45218</v>
      </c>
      <c r="V30" s="72" t="s">
        <v>1737</v>
      </c>
    </row>
    <row r="31" spans="2:23" ht="14.25" customHeight="1" x14ac:dyDescent="0.25">
      <c r="B31" s="70" t="s">
        <v>42</v>
      </c>
      <c r="C31" s="157">
        <v>11</v>
      </c>
      <c r="D31" s="165" t="s">
        <v>1528</v>
      </c>
      <c r="E31" s="157" t="s">
        <v>93</v>
      </c>
      <c r="F31" s="157" t="s">
        <v>1527</v>
      </c>
      <c r="G31" s="70"/>
      <c r="H31" s="47"/>
      <c r="I31" s="70"/>
      <c r="J31" s="70"/>
      <c r="K31" s="70"/>
      <c r="L31" s="68" t="s">
        <v>408</v>
      </c>
      <c r="M31" s="68" t="s">
        <v>691</v>
      </c>
      <c r="N31" s="146" t="s">
        <v>1738</v>
      </c>
      <c r="O31" s="70"/>
      <c r="P31" s="70"/>
      <c r="Q31" s="70"/>
      <c r="R31" s="70"/>
      <c r="S31" s="47"/>
      <c r="T31" s="141" t="s">
        <v>1697</v>
      </c>
      <c r="U31" s="72">
        <v>45218</v>
      </c>
      <c r="V31" s="72" t="s">
        <v>1737</v>
      </c>
    </row>
    <row r="32" spans="2:23" ht="14.25" customHeight="1" x14ac:dyDescent="0.25">
      <c r="B32" s="70" t="s">
        <v>51</v>
      </c>
      <c r="C32" s="70"/>
      <c r="D32" s="68" t="s">
        <v>1739</v>
      </c>
      <c r="E32" s="68" t="s">
        <v>225</v>
      </c>
      <c r="F32" s="68" t="s">
        <v>1740</v>
      </c>
      <c r="G32" s="70"/>
      <c r="H32" s="47"/>
      <c r="I32" s="70"/>
      <c r="J32" s="70"/>
      <c r="K32" s="70"/>
      <c r="L32" s="68" t="s">
        <v>376</v>
      </c>
      <c r="M32" s="68" t="s">
        <v>1741</v>
      </c>
      <c r="N32" s="70" t="s">
        <v>1739</v>
      </c>
      <c r="O32" s="70"/>
      <c r="P32" s="70"/>
      <c r="Q32" s="70"/>
      <c r="R32" s="70"/>
      <c r="S32" s="47"/>
      <c r="T32" s="141" t="s">
        <v>1697</v>
      </c>
      <c r="U32" s="69">
        <v>45279</v>
      </c>
      <c r="V32" s="72" t="s">
        <v>1742</v>
      </c>
    </row>
    <row r="33" spans="2:22" ht="30" x14ac:dyDescent="0.25">
      <c r="B33" s="70" t="s">
        <v>51</v>
      </c>
      <c r="C33" s="70"/>
      <c r="D33" s="68" t="s">
        <v>1743</v>
      </c>
      <c r="E33" s="68" t="s">
        <v>225</v>
      </c>
      <c r="F33" s="68" t="s">
        <v>1744</v>
      </c>
      <c r="G33" s="70"/>
      <c r="H33" s="47"/>
      <c r="I33" s="70"/>
      <c r="J33" s="70"/>
      <c r="K33" s="70"/>
      <c r="L33" s="68" t="s">
        <v>376</v>
      </c>
      <c r="M33" s="68" t="s">
        <v>1741</v>
      </c>
      <c r="N33" s="70" t="s">
        <v>1743</v>
      </c>
      <c r="O33" s="70"/>
      <c r="P33" s="70"/>
      <c r="Q33" s="70"/>
      <c r="R33" s="70"/>
      <c r="S33" s="47"/>
      <c r="T33" s="141" t="s">
        <v>1697</v>
      </c>
      <c r="U33" s="69">
        <v>45279</v>
      </c>
      <c r="V33" s="72" t="s">
        <v>1742</v>
      </c>
    </row>
    <row r="34" spans="2:22" ht="30" x14ac:dyDescent="0.25">
      <c r="B34" s="70" t="s">
        <v>51</v>
      </c>
      <c r="C34" s="70"/>
      <c r="D34" s="68" t="s">
        <v>1745</v>
      </c>
      <c r="E34" s="68" t="s">
        <v>225</v>
      </c>
      <c r="F34" s="68" t="s">
        <v>1746</v>
      </c>
      <c r="G34" s="70"/>
      <c r="H34" s="47"/>
      <c r="I34" s="70"/>
      <c r="J34" s="70"/>
      <c r="K34" s="70"/>
      <c r="L34" s="68" t="s">
        <v>376</v>
      </c>
      <c r="M34" s="68" t="s">
        <v>1741</v>
      </c>
      <c r="N34" s="70" t="s">
        <v>1745</v>
      </c>
      <c r="O34" s="70"/>
      <c r="P34" s="70"/>
      <c r="Q34" s="70"/>
      <c r="R34" s="70"/>
      <c r="S34" s="47"/>
      <c r="T34" s="141" t="s">
        <v>1697</v>
      </c>
      <c r="U34" s="69">
        <v>45279</v>
      </c>
      <c r="V34" s="72" t="s">
        <v>1742</v>
      </c>
    </row>
    <row r="35" spans="2:22" ht="30" x14ac:dyDescent="0.25">
      <c r="B35" s="70" t="s">
        <v>51</v>
      </c>
      <c r="C35" s="70"/>
      <c r="D35" s="68" t="s">
        <v>1747</v>
      </c>
      <c r="E35" s="68" t="s">
        <v>1748</v>
      </c>
      <c r="F35" s="68" t="s">
        <v>1749</v>
      </c>
      <c r="G35" s="70" t="s">
        <v>289</v>
      </c>
      <c r="H35" s="47"/>
      <c r="I35" s="70"/>
      <c r="J35" s="70"/>
      <c r="K35" s="70"/>
      <c r="L35" s="68" t="s">
        <v>376</v>
      </c>
      <c r="M35" s="68" t="s">
        <v>1750</v>
      </c>
      <c r="N35" s="70" t="s">
        <v>1747</v>
      </c>
      <c r="O35" s="70"/>
      <c r="P35" s="70"/>
      <c r="Q35" s="70"/>
      <c r="R35" s="70"/>
      <c r="S35" s="47"/>
      <c r="T35" s="141" t="s">
        <v>1697</v>
      </c>
      <c r="U35" s="69">
        <v>45279</v>
      </c>
      <c r="V35" s="72" t="s">
        <v>1742</v>
      </c>
    </row>
    <row r="36" spans="2:22" ht="45" x14ac:dyDescent="0.25">
      <c r="B36" s="70" t="s">
        <v>51</v>
      </c>
      <c r="C36" s="70"/>
      <c r="D36" s="68" t="s">
        <v>1751</v>
      </c>
      <c r="E36" s="68" t="s">
        <v>1748</v>
      </c>
      <c r="F36" s="68" t="s">
        <v>509</v>
      </c>
      <c r="G36" s="70" t="s">
        <v>289</v>
      </c>
      <c r="H36" s="47"/>
      <c r="I36" s="70"/>
      <c r="J36" s="70"/>
      <c r="K36" s="70"/>
      <c r="L36" s="68" t="s">
        <v>376</v>
      </c>
      <c r="M36" s="68" t="s">
        <v>1741</v>
      </c>
      <c r="N36" s="70" t="s">
        <v>1752</v>
      </c>
      <c r="O36" s="70"/>
      <c r="P36" s="70"/>
      <c r="Q36" s="70"/>
      <c r="R36" s="70"/>
      <c r="S36" s="47"/>
      <c r="T36" s="141" t="s">
        <v>1697</v>
      </c>
      <c r="U36" s="69">
        <v>45279</v>
      </c>
      <c r="V36" s="72" t="s">
        <v>1742</v>
      </c>
    </row>
    <row r="37" spans="2:22" x14ac:dyDescent="0.25">
      <c r="B37" s="70"/>
      <c r="C37" s="70"/>
      <c r="D37" s="70"/>
      <c r="E37" s="70"/>
      <c r="F37" s="70"/>
      <c r="G37" s="70"/>
      <c r="H37" s="47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47"/>
      <c r="T37" s="75"/>
      <c r="U37" s="69"/>
      <c r="V37" s="72"/>
    </row>
    <row r="38" spans="2:22" x14ac:dyDescent="0.25">
      <c r="B38" s="70"/>
      <c r="C38" s="70"/>
      <c r="D38" s="70"/>
      <c r="E38" s="70"/>
      <c r="F38" s="70"/>
      <c r="G38" s="70"/>
      <c r="H38" s="47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47"/>
      <c r="T38" s="75"/>
      <c r="U38" s="69"/>
      <c r="V38" s="72"/>
    </row>
    <row r="39" spans="2:22" x14ac:dyDescent="0.25">
      <c r="B39" s="70"/>
      <c r="C39" s="70"/>
      <c r="D39" s="70"/>
      <c r="E39" s="70"/>
      <c r="F39" s="70"/>
      <c r="G39" s="70"/>
      <c r="H39" s="47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47"/>
      <c r="T39" s="75"/>
      <c r="U39" s="69"/>
      <c r="V39" s="72"/>
    </row>
    <row r="40" spans="2:22" x14ac:dyDescent="0.25">
      <c r="B40" s="70"/>
      <c r="C40" s="70"/>
      <c r="D40" s="70"/>
      <c r="E40" s="70"/>
      <c r="F40" s="70"/>
      <c r="G40" s="70"/>
      <c r="H40" s="47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47"/>
      <c r="T40" s="78"/>
      <c r="U40" s="69"/>
      <c r="V40" s="72"/>
    </row>
    <row r="41" spans="2:22" x14ac:dyDescent="0.25">
      <c r="B41" s="70"/>
      <c r="C41" s="70"/>
      <c r="D41" s="70"/>
      <c r="E41" s="70"/>
      <c r="F41" s="70"/>
      <c r="G41" s="70"/>
      <c r="H41" s="47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47"/>
      <c r="T41" s="78"/>
      <c r="U41" s="69"/>
      <c r="V41" s="72"/>
    </row>
    <row r="42" spans="2:22" x14ac:dyDescent="0.25">
      <c r="B42" s="70"/>
      <c r="C42" s="70"/>
      <c r="D42" s="70"/>
      <c r="E42" s="70"/>
      <c r="F42" s="70"/>
      <c r="G42" s="70"/>
      <c r="H42" s="47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47"/>
      <c r="T42" s="78"/>
      <c r="U42" s="69"/>
      <c r="V42" s="72"/>
    </row>
    <row r="43" spans="2:22" x14ac:dyDescent="0.25">
      <c r="B43" s="70"/>
      <c r="C43" s="70"/>
      <c r="D43" s="70"/>
      <c r="E43" s="70"/>
      <c r="F43" s="70"/>
      <c r="G43" s="70"/>
      <c r="H43" s="47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47"/>
      <c r="T43" s="78"/>
      <c r="U43" s="69"/>
      <c r="V43" s="72"/>
    </row>
    <row r="44" spans="2:22" ht="14.25" customHeight="1" x14ac:dyDescent="0.25">
      <c r="B44" s="70"/>
      <c r="C44" s="70"/>
      <c r="D44" s="70"/>
      <c r="E44" s="70"/>
      <c r="F44" s="70"/>
      <c r="G44" s="70"/>
      <c r="H44" s="47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47"/>
      <c r="T44" s="78"/>
      <c r="U44" s="69"/>
      <c r="V44" s="72"/>
    </row>
    <row r="45" spans="2:22" ht="14.25" customHeight="1" x14ac:dyDescent="0.25">
      <c r="B45" s="70"/>
      <c r="C45" s="70"/>
      <c r="D45" s="70"/>
      <c r="E45" s="70"/>
      <c r="F45" s="70"/>
      <c r="G45" s="70"/>
      <c r="H45" s="47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47"/>
      <c r="T45" s="78"/>
      <c r="U45" s="69"/>
      <c r="V45" s="72"/>
    </row>
    <row r="46" spans="2:22" ht="14.25" customHeight="1" x14ac:dyDescent="0.25">
      <c r="B46" s="70"/>
      <c r="C46" s="70"/>
      <c r="D46" s="70"/>
      <c r="E46" s="70"/>
      <c r="F46" s="70"/>
      <c r="G46" s="70"/>
      <c r="H46" s="47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47"/>
      <c r="T46" s="78"/>
      <c r="U46" s="69"/>
      <c r="V46" s="72"/>
    </row>
    <row r="47" spans="2:22" ht="14.25" customHeight="1" x14ac:dyDescent="0.25">
      <c r="B47" s="70"/>
      <c r="C47" s="70"/>
      <c r="D47" s="70"/>
      <c r="E47" s="70"/>
      <c r="F47" s="70"/>
      <c r="G47" s="70"/>
      <c r="H47" s="47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47"/>
      <c r="T47" s="78"/>
      <c r="U47" s="69"/>
      <c r="V47" s="72"/>
    </row>
    <row r="48" spans="2:22" x14ac:dyDescent="0.25">
      <c r="B48" s="70"/>
      <c r="C48" s="70"/>
      <c r="D48" s="70"/>
      <c r="E48" s="70"/>
      <c r="F48" s="70"/>
      <c r="G48" s="70"/>
      <c r="H48" s="47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47"/>
      <c r="T48" s="78"/>
      <c r="U48" s="69"/>
      <c r="V48" s="72"/>
    </row>
    <row r="49" spans="2:22" x14ac:dyDescent="0.25">
      <c r="B49" s="70"/>
      <c r="C49" s="70"/>
      <c r="D49" s="70"/>
      <c r="E49" s="70"/>
      <c r="F49" s="70"/>
      <c r="G49" s="70"/>
      <c r="H49" s="47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47"/>
      <c r="T49" s="78"/>
      <c r="U49" s="69"/>
      <c r="V49" s="72"/>
    </row>
    <row r="50" spans="2:22" x14ac:dyDescent="0.25">
      <c r="B50" s="70"/>
      <c r="C50" s="70"/>
      <c r="D50" s="70"/>
      <c r="E50" s="70"/>
      <c r="F50" s="70"/>
      <c r="G50" s="70"/>
      <c r="H50" s="47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47"/>
      <c r="T50" s="78"/>
      <c r="U50" s="69"/>
      <c r="V50" s="72"/>
    </row>
    <row r="51" spans="2:22" x14ac:dyDescent="0.25">
      <c r="B51" s="70"/>
      <c r="C51" s="70"/>
      <c r="D51" s="70"/>
      <c r="E51" s="70"/>
      <c r="F51" s="70"/>
      <c r="G51" s="70"/>
      <c r="H51" s="47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47"/>
      <c r="T51" s="78"/>
      <c r="U51" s="69"/>
      <c r="V51" s="72"/>
    </row>
    <row r="52" spans="2:22" x14ac:dyDescent="0.25">
      <c r="B52" s="70"/>
      <c r="C52" s="70"/>
      <c r="D52" s="70"/>
      <c r="E52" s="70"/>
      <c r="F52" s="70"/>
      <c r="G52" s="70"/>
      <c r="H52" s="47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47"/>
      <c r="T52" s="78"/>
      <c r="U52" s="69"/>
      <c r="V52" s="72"/>
    </row>
    <row r="53" spans="2:22" x14ac:dyDescent="0.25">
      <c r="B53" s="70"/>
      <c r="C53" s="70"/>
      <c r="D53" s="70"/>
      <c r="E53" s="70"/>
      <c r="F53" s="70"/>
      <c r="G53" s="70"/>
      <c r="H53" s="47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47"/>
      <c r="T53" s="77"/>
      <c r="U53" s="69"/>
      <c r="V53" s="72"/>
    </row>
    <row r="54" spans="2:22" x14ac:dyDescent="0.25">
      <c r="B54" s="70"/>
      <c r="C54" s="70"/>
      <c r="D54" s="70"/>
      <c r="E54" s="70"/>
      <c r="F54" s="70"/>
      <c r="G54" s="70"/>
      <c r="H54" s="47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47"/>
      <c r="T54" s="77"/>
      <c r="U54" s="69"/>
      <c r="V54" s="72"/>
    </row>
    <row r="55" spans="2:22" x14ac:dyDescent="0.25">
      <c r="B55" s="70"/>
      <c r="C55" s="70"/>
      <c r="D55" s="70"/>
      <c r="E55" s="70"/>
      <c r="F55" s="70"/>
      <c r="G55" s="70"/>
      <c r="H55" s="47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47"/>
      <c r="T55" s="77"/>
      <c r="U55" s="69"/>
      <c r="V55" s="72"/>
    </row>
    <row r="56" spans="2:22" x14ac:dyDescent="0.25">
      <c r="B56" s="70"/>
      <c r="C56" s="70"/>
      <c r="D56" s="70"/>
      <c r="E56" s="70"/>
      <c r="F56" s="70"/>
      <c r="G56" s="70"/>
      <c r="H56" s="47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47"/>
      <c r="T56" s="77"/>
      <c r="U56" s="69"/>
      <c r="V56" s="72"/>
    </row>
    <row r="57" spans="2:22" x14ac:dyDescent="0.25">
      <c r="B57" s="70"/>
      <c r="C57" s="70"/>
      <c r="D57" s="70"/>
      <c r="E57" s="70"/>
      <c r="F57" s="70"/>
      <c r="G57" s="70"/>
      <c r="H57" s="47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47"/>
      <c r="T57" s="78"/>
      <c r="U57" s="69"/>
      <c r="V57" s="72"/>
    </row>
    <row r="58" spans="2:22" x14ac:dyDescent="0.25">
      <c r="B58" s="70"/>
      <c r="C58" s="70"/>
      <c r="D58" s="70"/>
      <c r="E58" s="70"/>
      <c r="F58" s="70"/>
      <c r="G58" s="70"/>
      <c r="H58" s="47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47"/>
      <c r="T58" s="78"/>
      <c r="U58" s="69"/>
      <c r="V58" s="72"/>
    </row>
    <row r="59" spans="2:22" x14ac:dyDescent="0.25">
      <c r="B59" s="70"/>
      <c r="C59" s="70"/>
      <c r="D59" s="70"/>
      <c r="E59" s="70"/>
      <c r="F59" s="70"/>
      <c r="G59" s="70"/>
      <c r="H59" s="47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47"/>
      <c r="T59" s="75"/>
      <c r="U59" s="69"/>
      <c r="V59" s="72"/>
    </row>
    <row r="60" spans="2:22" x14ac:dyDescent="0.25">
      <c r="B60" s="70"/>
      <c r="C60" s="70"/>
      <c r="D60" s="70"/>
      <c r="E60" s="70"/>
      <c r="F60" s="70"/>
      <c r="G60" s="70"/>
      <c r="H60" s="47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47"/>
      <c r="T60" s="75"/>
      <c r="U60" s="69"/>
      <c r="V60" s="72"/>
    </row>
    <row r="61" spans="2:22" x14ac:dyDescent="0.25">
      <c r="B61" s="70"/>
      <c r="C61" s="70"/>
      <c r="D61" s="70"/>
      <c r="E61" s="70"/>
      <c r="F61" s="70"/>
      <c r="G61" s="70"/>
      <c r="H61" s="47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47"/>
      <c r="T61" s="75"/>
      <c r="U61" s="69"/>
      <c r="V61" s="72"/>
    </row>
    <row r="62" spans="2:22" x14ac:dyDescent="0.25">
      <c r="B62" s="70"/>
      <c r="C62" s="70"/>
      <c r="D62" s="70"/>
      <c r="E62" s="70"/>
      <c r="F62" s="70"/>
      <c r="G62" s="70"/>
      <c r="H62" s="47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47"/>
      <c r="T62" s="75"/>
      <c r="U62" s="69"/>
      <c r="V62" s="72"/>
    </row>
    <row r="63" spans="2:22" x14ac:dyDescent="0.25">
      <c r="B63" s="70"/>
      <c r="C63" s="70"/>
      <c r="D63" s="70"/>
      <c r="E63" s="70"/>
      <c r="F63" s="70"/>
      <c r="G63" s="70"/>
      <c r="H63" s="47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47"/>
      <c r="T63" s="75"/>
      <c r="U63" s="69"/>
      <c r="V63" s="72"/>
    </row>
    <row r="64" spans="2:22" ht="14.25" customHeight="1" x14ac:dyDescent="0.25">
      <c r="B64" s="70"/>
      <c r="C64" s="70"/>
      <c r="D64" s="68"/>
      <c r="E64" s="68"/>
      <c r="F64" s="68"/>
      <c r="G64" s="68"/>
      <c r="H64" s="47"/>
      <c r="I64" s="68"/>
      <c r="J64" s="68"/>
      <c r="K64" s="68"/>
      <c r="L64" s="68"/>
      <c r="M64" s="68"/>
      <c r="N64" s="68"/>
      <c r="O64" s="68"/>
      <c r="P64" s="68"/>
      <c r="Q64" s="70"/>
      <c r="R64" s="70"/>
      <c r="S64" s="47"/>
      <c r="T64" s="75"/>
      <c r="U64" s="69"/>
      <c r="V64" s="72"/>
    </row>
    <row r="65" spans="2:22" ht="14.25" customHeight="1" x14ac:dyDescent="0.25">
      <c r="B65" s="70"/>
      <c r="C65" s="70"/>
      <c r="D65" s="83"/>
      <c r="E65" s="68"/>
      <c r="F65" s="68"/>
      <c r="G65" s="68"/>
      <c r="H65" s="47"/>
      <c r="I65" s="68"/>
      <c r="J65" s="68"/>
      <c r="K65" s="68"/>
      <c r="L65" s="70"/>
      <c r="M65" s="70"/>
      <c r="N65" s="68"/>
      <c r="O65" s="68"/>
      <c r="P65" s="68"/>
      <c r="Q65" s="70"/>
      <c r="R65" s="70"/>
      <c r="S65" s="47"/>
      <c r="T65" s="75"/>
      <c r="U65" s="69"/>
      <c r="V65" s="72"/>
    </row>
    <row r="66" spans="2:22" ht="14.25" customHeight="1" x14ac:dyDescent="0.25">
      <c r="B66" s="70"/>
      <c r="C66" s="70"/>
      <c r="D66" s="83"/>
      <c r="E66" s="68"/>
      <c r="F66" s="68"/>
      <c r="G66" s="68"/>
      <c r="H66" s="47"/>
      <c r="I66" s="68"/>
      <c r="J66" s="68"/>
      <c r="K66" s="68"/>
      <c r="L66" s="70"/>
      <c r="M66" s="70"/>
      <c r="N66" s="68"/>
      <c r="O66" s="68"/>
      <c r="P66" s="68"/>
      <c r="Q66" s="70"/>
      <c r="R66" s="70"/>
      <c r="S66" s="47"/>
      <c r="T66" s="75"/>
      <c r="U66" s="69"/>
      <c r="V66" s="72"/>
    </row>
    <row r="67" spans="2:22" ht="14.25" customHeight="1" x14ac:dyDescent="0.25">
      <c r="B67" s="70"/>
      <c r="C67" s="70"/>
      <c r="D67" s="83"/>
      <c r="E67" s="68"/>
      <c r="F67" s="68"/>
      <c r="G67" s="68"/>
      <c r="H67" s="47"/>
      <c r="I67" s="68"/>
      <c r="J67" s="68"/>
      <c r="K67" s="68"/>
      <c r="L67" s="70"/>
      <c r="M67" s="70"/>
      <c r="N67" s="68"/>
      <c r="O67" s="68"/>
      <c r="P67" s="68"/>
      <c r="Q67" s="70"/>
      <c r="R67" s="70"/>
      <c r="S67" s="47"/>
      <c r="T67" s="75"/>
      <c r="U67" s="69"/>
      <c r="V67" s="72"/>
    </row>
    <row r="68" spans="2:22" ht="14.25" customHeight="1" x14ac:dyDescent="0.25">
      <c r="B68" s="70"/>
      <c r="C68" s="70"/>
      <c r="D68" s="83"/>
      <c r="E68" s="68"/>
      <c r="F68" s="68"/>
      <c r="G68" s="68"/>
      <c r="H68" s="47"/>
      <c r="I68" s="68"/>
      <c r="J68" s="68"/>
      <c r="K68" s="68"/>
      <c r="L68" s="70"/>
      <c r="M68" s="70"/>
      <c r="N68" s="68"/>
      <c r="O68" s="68"/>
      <c r="P68" s="68"/>
      <c r="Q68" s="70"/>
      <c r="R68" s="70"/>
      <c r="S68" s="47"/>
      <c r="T68" s="75"/>
      <c r="U68" s="69"/>
      <c r="V68" s="72"/>
    </row>
    <row r="69" spans="2:22" ht="36" customHeight="1" x14ac:dyDescent="0.25">
      <c r="B69" s="70"/>
      <c r="C69" s="70"/>
      <c r="D69" s="83"/>
      <c r="E69" s="68"/>
      <c r="F69" s="68"/>
      <c r="G69" s="68"/>
      <c r="H69" s="47"/>
      <c r="I69" s="68"/>
      <c r="J69" s="68"/>
      <c r="K69" s="68"/>
      <c r="L69" s="70"/>
      <c r="M69" s="70"/>
      <c r="N69" s="68"/>
      <c r="O69" s="68"/>
      <c r="P69" s="68"/>
      <c r="Q69" s="70"/>
      <c r="R69" s="70"/>
      <c r="S69" s="47"/>
      <c r="T69" s="75"/>
      <c r="U69" s="69"/>
      <c r="V69" s="72"/>
    </row>
    <row r="70" spans="2:22" ht="14.25" customHeight="1" x14ac:dyDescent="0.25">
      <c r="B70" s="70"/>
      <c r="C70" s="70"/>
      <c r="D70" s="83"/>
      <c r="E70" s="68"/>
      <c r="F70" s="68"/>
      <c r="G70" s="68"/>
      <c r="H70" s="47"/>
      <c r="I70" s="68"/>
      <c r="J70" s="68"/>
      <c r="K70" s="68"/>
      <c r="L70" s="70"/>
      <c r="M70" s="70"/>
      <c r="N70" s="68"/>
      <c r="O70" s="68"/>
      <c r="P70" s="68"/>
      <c r="Q70" s="70"/>
      <c r="R70" s="70"/>
      <c r="S70" s="47"/>
      <c r="T70" s="75"/>
      <c r="U70" s="69"/>
      <c r="V70" s="72"/>
    </row>
    <row r="71" spans="2:22" ht="14.25" customHeight="1" x14ac:dyDescent="0.25">
      <c r="B71" s="70"/>
      <c r="C71" s="70"/>
      <c r="D71" s="83"/>
      <c r="E71" s="68"/>
      <c r="F71" s="68"/>
      <c r="G71" s="68"/>
      <c r="H71" s="47"/>
      <c r="I71" s="68"/>
      <c r="J71" s="68"/>
      <c r="K71" s="68"/>
      <c r="L71" s="70"/>
      <c r="M71" s="70"/>
      <c r="N71" s="68"/>
      <c r="O71" s="68"/>
      <c r="P71" s="68"/>
      <c r="Q71" s="70"/>
      <c r="R71" s="70"/>
      <c r="S71" s="47"/>
      <c r="T71" s="75"/>
      <c r="U71" s="69"/>
      <c r="V71" s="72"/>
    </row>
    <row r="72" spans="2:22" ht="14.25" customHeight="1" x14ac:dyDescent="0.25">
      <c r="B72" s="70"/>
      <c r="C72" s="70"/>
      <c r="D72" s="83"/>
      <c r="E72" s="68"/>
      <c r="F72" s="68"/>
      <c r="G72" s="68"/>
      <c r="H72" s="47"/>
      <c r="I72" s="68"/>
      <c r="J72" s="68"/>
      <c r="K72" s="68"/>
      <c r="L72" s="70"/>
      <c r="M72" s="70"/>
      <c r="N72" s="68"/>
      <c r="O72" s="68"/>
      <c r="P72" s="68"/>
      <c r="Q72" s="70"/>
      <c r="R72" s="70"/>
      <c r="S72" s="47"/>
      <c r="T72" s="75"/>
      <c r="U72" s="69"/>
      <c r="V72" s="72"/>
    </row>
    <row r="73" spans="2:22" ht="14.25" customHeight="1" x14ac:dyDescent="0.25">
      <c r="B73" s="70"/>
      <c r="C73" s="70"/>
      <c r="D73" s="83"/>
      <c r="E73" s="68"/>
      <c r="F73" s="68"/>
      <c r="G73" s="68"/>
      <c r="H73" s="47"/>
      <c r="I73" s="68"/>
      <c r="J73" s="68"/>
      <c r="K73" s="68"/>
      <c r="L73" s="70"/>
      <c r="M73" s="70"/>
      <c r="N73" s="68"/>
      <c r="O73" s="68"/>
      <c r="P73" s="68"/>
      <c r="Q73" s="70"/>
      <c r="R73" s="70"/>
      <c r="S73" s="47"/>
      <c r="T73" s="75"/>
      <c r="U73" s="69"/>
      <c r="V73" s="72"/>
    </row>
    <row r="74" spans="2:22" ht="14.25" customHeight="1" x14ac:dyDescent="0.25">
      <c r="B74" s="70"/>
      <c r="C74" s="70"/>
      <c r="D74" s="83"/>
      <c r="E74" s="68"/>
      <c r="F74" s="68"/>
      <c r="G74" s="68"/>
      <c r="H74" s="47"/>
      <c r="I74" s="68"/>
      <c r="J74" s="68"/>
      <c r="K74" s="68"/>
      <c r="L74" s="70"/>
      <c r="M74" s="70"/>
      <c r="N74" s="68"/>
      <c r="O74" s="68"/>
      <c r="P74" s="68"/>
      <c r="Q74" s="70"/>
      <c r="R74" s="70"/>
      <c r="S74" s="47"/>
      <c r="T74" s="75"/>
      <c r="U74" s="69"/>
      <c r="V74" s="72"/>
    </row>
    <row r="75" spans="2:22" ht="14.25" customHeight="1" x14ac:dyDescent="0.25">
      <c r="B75" s="70"/>
      <c r="C75" s="70"/>
      <c r="D75" s="83"/>
      <c r="E75" s="68"/>
      <c r="F75" s="68"/>
      <c r="G75" s="68"/>
      <c r="H75" s="47"/>
      <c r="I75" s="68"/>
      <c r="J75" s="68"/>
      <c r="K75" s="68"/>
      <c r="L75" s="70"/>
      <c r="M75" s="70"/>
      <c r="N75" s="68"/>
      <c r="O75" s="68"/>
      <c r="P75" s="68"/>
      <c r="Q75" s="70"/>
      <c r="R75" s="70"/>
      <c r="S75" s="47"/>
      <c r="T75" s="75"/>
      <c r="U75" s="69"/>
      <c r="V75" s="72"/>
    </row>
    <row r="76" spans="2:22" ht="14.25" customHeight="1" x14ac:dyDescent="0.25">
      <c r="B76" s="70"/>
      <c r="C76" s="70"/>
      <c r="D76" s="83"/>
      <c r="E76" s="68"/>
      <c r="F76" s="68"/>
      <c r="G76" s="68"/>
      <c r="H76" s="47"/>
      <c r="I76" s="68"/>
      <c r="J76" s="68"/>
      <c r="K76" s="68"/>
      <c r="L76" s="70"/>
      <c r="M76" s="70"/>
      <c r="N76" s="68"/>
      <c r="O76" s="68"/>
      <c r="P76" s="68"/>
      <c r="Q76" s="70"/>
      <c r="R76" s="70"/>
      <c r="S76" s="47"/>
      <c r="T76" s="75"/>
      <c r="U76" s="69"/>
      <c r="V76" s="72"/>
    </row>
    <row r="77" spans="2:22" ht="14.25" customHeight="1" x14ac:dyDescent="0.25">
      <c r="B77" s="70"/>
      <c r="C77" s="70"/>
      <c r="D77" s="83"/>
      <c r="E77" s="68"/>
      <c r="F77" s="68"/>
      <c r="G77" s="68"/>
      <c r="H77" s="47"/>
      <c r="I77" s="68"/>
      <c r="J77" s="68"/>
      <c r="K77" s="68"/>
      <c r="L77" s="70"/>
      <c r="M77" s="70"/>
      <c r="N77" s="68"/>
      <c r="O77" s="68"/>
      <c r="P77" s="68"/>
      <c r="Q77" s="70"/>
      <c r="R77" s="70"/>
      <c r="S77" s="47"/>
      <c r="T77" s="75"/>
      <c r="U77" s="69"/>
      <c r="V77" s="72"/>
    </row>
    <row r="78" spans="2:22" ht="14.25" customHeight="1" x14ac:dyDescent="0.25">
      <c r="B78" s="70"/>
      <c r="C78" s="70"/>
      <c r="D78" s="102"/>
      <c r="E78" s="68"/>
      <c r="F78" s="68"/>
      <c r="G78" s="68"/>
      <c r="H78" s="47"/>
      <c r="I78" s="68"/>
      <c r="J78" s="68"/>
      <c r="K78" s="68"/>
      <c r="L78" s="68"/>
      <c r="M78" s="68"/>
      <c r="N78" s="68"/>
      <c r="O78" s="68"/>
      <c r="P78" s="68"/>
      <c r="Q78" s="70"/>
      <c r="R78" s="70"/>
      <c r="S78" s="47"/>
      <c r="T78" s="75"/>
      <c r="U78" s="69"/>
      <c r="V78" s="72"/>
    </row>
    <row r="79" spans="2:22" x14ac:dyDescent="0.25">
      <c r="B79" s="70"/>
      <c r="C79" s="70"/>
      <c r="D79" s="102"/>
      <c r="E79" s="68"/>
      <c r="F79" s="68"/>
      <c r="G79" s="68"/>
      <c r="H79" s="47"/>
      <c r="I79" s="68"/>
      <c r="J79" s="68"/>
      <c r="K79" s="68"/>
      <c r="L79" s="68"/>
      <c r="M79" s="68"/>
      <c r="N79" s="70"/>
      <c r="O79" s="68"/>
      <c r="P79" s="68"/>
      <c r="Q79" s="70"/>
      <c r="R79" s="70"/>
      <c r="S79" s="47"/>
      <c r="T79" s="75"/>
      <c r="U79" s="69"/>
      <c r="V79" s="72"/>
    </row>
    <row r="80" spans="2:22" ht="14.25" customHeight="1" x14ac:dyDescent="0.25">
      <c r="B80" s="70"/>
      <c r="C80" s="70"/>
      <c r="D80" s="102"/>
      <c r="E80" s="68"/>
      <c r="F80" s="68"/>
      <c r="G80" s="68"/>
      <c r="H80" s="47"/>
      <c r="I80" s="68"/>
      <c r="J80" s="68"/>
      <c r="K80" s="68"/>
      <c r="L80" s="68"/>
      <c r="M80" s="68"/>
      <c r="N80" s="68"/>
      <c r="O80" s="68"/>
      <c r="P80" s="68"/>
      <c r="Q80" s="70"/>
      <c r="R80" s="70"/>
      <c r="S80" s="47"/>
      <c r="T80" s="75"/>
      <c r="U80" s="69"/>
      <c r="V80" s="72"/>
    </row>
    <row r="81" spans="2:22" ht="14.25" customHeight="1" x14ac:dyDescent="0.25">
      <c r="B81" s="70"/>
      <c r="C81" s="70"/>
      <c r="D81" s="102"/>
      <c r="E81" s="68"/>
      <c r="F81" s="68"/>
      <c r="G81" s="68"/>
      <c r="H81" s="47"/>
      <c r="I81" s="68"/>
      <c r="J81" s="68"/>
      <c r="K81" s="68"/>
      <c r="L81" s="68"/>
      <c r="M81" s="68"/>
      <c r="N81" s="68"/>
      <c r="O81" s="68"/>
      <c r="P81" s="68"/>
      <c r="Q81" s="70"/>
      <c r="R81" s="70"/>
      <c r="S81" s="47"/>
      <c r="T81" s="75"/>
      <c r="U81" s="69"/>
      <c r="V81" s="72"/>
    </row>
    <row r="82" spans="2:22" ht="14.25" customHeight="1" x14ac:dyDescent="0.25">
      <c r="B82" s="70"/>
      <c r="C82" s="70"/>
      <c r="D82" s="102"/>
      <c r="E82" s="68"/>
      <c r="F82" s="68"/>
      <c r="G82" s="68"/>
      <c r="H82" s="47"/>
      <c r="I82" s="68"/>
      <c r="J82" s="68"/>
      <c r="K82" s="68"/>
      <c r="L82" s="68"/>
      <c r="M82" s="68"/>
      <c r="N82" s="68"/>
      <c r="O82" s="68"/>
      <c r="P82" s="68"/>
      <c r="Q82" s="70"/>
      <c r="R82" s="70"/>
      <c r="S82" s="47"/>
      <c r="T82" s="75"/>
      <c r="U82" s="69"/>
      <c r="V82" s="72"/>
    </row>
    <row r="83" spans="2:22" ht="14.25" customHeight="1" x14ac:dyDescent="0.25">
      <c r="B83" s="70"/>
      <c r="C83" s="70"/>
      <c r="D83" s="102"/>
      <c r="E83" s="68"/>
      <c r="F83" s="68"/>
      <c r="G83" s="68"/>
      <c r="H83" s="47"/>
      <c r="I83" s="68"/>
      <c r="J83" s="68"/>
      <c r="K83" s="68"/>
      <c r="L83" s="68"/>
      <c r="M83" s="68"/>
      <c r="N83" s="68"/>
      <c r="O83" s="68"/>
      <c r="P83" s="68"/>
      <c r="Q83" s="70"/>
      <c r="R83" s="70"/>
      <c r="S83" s="47"/>
      <c r="T83" s="75"/>
      <c r="U83" s="69"/>
      <c r="V83" s="72"/>
    </row>
    <row r="84" spans="2:22" ht="14.25" customHeight="1" x14ac:dyDescent="0.25">
      <c r="B84" s="70"/>
      <c r="C84" s="70"/>
      <c r="D84" s="102"/>
      <c r="E84" s="68"/>
      <c r="F84" s="68"/>
      <c r="G84" s="68"/>
      <c r="H84" s="47"/>
      <c r="I84" s="68"/>
      <c r="J84" s="68"/>
      <c r="K84" s="68"/>
      <c r="L84" s="68"/>
      <c r="M84" s="68"/>
      <c r="N84" s="68"/>
      <c r="O84" s="68"/>
      <c r="P84" s="68"/>
      <c r="Q84" s="70"/>
      <c r="R84" s="70"/>
      <c r="S84" s="47"/>
      <c r="T84" s="75"/>
      <c r="U84" s="69"/>
      <c r="V84" s="72"/>
    </row>
    <row r="85" spans="2:22" x14ac:dyDescent="0.25">
      <c r="B85" s="70"/>
      <c r="C85" s="70"/>
      <c r="D85" s="102"/>
      <c r="E85" s="68"/>
      <c r="F85" s="68"/>
      <c r="G85" s="68"/>
      <c r="H85" s="47"/>
      <c r="I85" s="68"/>
      <c r="J85" s="68"/>
      <c r="K85" s="68"/>
      <c r="L85" s="68"/>
      <c r="M85" s="68"/>
      <c r="N85" s="70"/>
      <c r="O85" s="68"/>
      <c r="P85" s="68"/>
      <c r="Q85" s="70"/>
      <c r="R85" s="70"/>
      <c r="S85" s="47"/>
      <c r="T85" s="75"/>
      <c r="U85" s="69"/>
      <c r="V85" s="72"/>
    </row>
    <row r="86" spans="2:22" ht="14.25" customHeight="1" x14ac:dyDescent="0.25">
      <c r="B86" s="70"/>
      <c r="C86" s="70"/>
      <c r="D86" s="102"/>
      <c r="E86" s="68"/>
      <c r="F86" s="68"/>
      <c r="G86" s="68"/>
      <c r="H86" s="47"/>
      <c r="I86" s="68"/>
      <c r="J86" s="68"/>
      <c r="K86" s="68"/>
      <c r="L86" s="68"/>
      <c r="M86" s="68"/>
      <c r="N86" s="68"/>
      <c r="O86" s="68"/>
      <c r="P86" s="68"/>
      <c r="Q86" s="70"/>
      <c r="R86" s="70"/>
      <c r="S86" s="47"/>
      <c r="T86" s="75"/>
      <c r="U86" s="69"/>
      <c r="V86" s="72"/>
    </row>
    <row r="87" spans="2:22" ht="14.25" customHeight="1" x14ac:dyDescent="0.25">
      <c r="B87" s="70"/>
      <c r="C87" s="70"/>
      <c r="D87" s="102"/>
      <c r="E87" s="68"/>
      <c r="F87" s="68"/>
      <c r="G87" s="68"/>
      <c r="H87" s="47"/>
      <c r="I87" s="68"/>
      <c r="J87" s="68"/>
      <c r="K87" s="68"/>
      <c r="L87" s="68"/>
      <c r="M87" s="68"/>
      <c r="N87" s="68"/>
      <c r="O87" s="68"/>
      <c r="P87" s="68"/>
      <c r="Q87" s="70"/>
      <c r="R87" s="70"/>
      <c r="S87" s="47"/>
      <c r="T87" s="75"/>
      <c r="U87" s="69"/>
      <c r="V87" s="72"/>
    </row>
    <row r="88" spans="2:22" ht="14.25" customHeight="1" x14ac:dyDescent="0.25">
      <c r="B88" s="70"/>
      <c r="C88" s="70"/>
      <c r="D88" s="102"/>
      <c r="E88" s="68"/>
      <c r="F88" s="68"/>
      <c r="G88" s="68"/>
      <c r="H88" s="47"/>
      <c r="I88" s="68"/>
      <c r="J88" s="68"/>
      <c r="K88" s="68"/>
      <c r="L88" s="68"/>
      <c r="M88" s="68"/>
      <c r="N88" s="68"/>
      <c r="O88" s="68"/>
      <c r="P88" s="68"/>
      <c r="Q88" s="70"/>
      <c r="R88" s="70"/>
      <c r="S88" s="47"/>
      <c r="T88" s="75"/>
      <c r="U88" s="69"/>
      <c r="V88" s="72"/>
    </row>
    <row r="89" spans="2:22" ht="14.25" customHeight="1" x14ac:dyDescent="0.25">
      <c r="B89" s="70"/>
      <c r="C89" s="70"/>
      <c r="D89" s="102"/>
      <c r="E89" s="68"/>
      <c r="F89" s="68"/>
      <c r="G89" s="68"/>
      <c r="H89" s="47"/>
      <c r="I89" s="68"/>
      <c r="J89" s="68"/>
      <c r="K89" s="68"/>
      <c r="L89" s="68"/>
      <c r="M89" s="68"/>
      <c r="N89" s="68"/>
      <c r="O89" s="68"/>
      <c r="P89" s="68"/>
      <c r="Q89" s="70"/>
      <c r="R89" s="70"/>
      <c r="S89" s="47"/>
      <c r="T89" s="75"/>
      <c r="U89" s="69"/>
      <c r="V89" s="72"/>
    </row>
    <row r="90" spans="2:22" ht="14.25" customHeight="1" x14ac:dyDescent="0.25">
      <c r="B90" s="70"/>
      <c r="C90" s="70"/>
      <c r="D90" s="102"/>
      <c r="E90" s="68"/>
      <c r="F90" s="68"/>
      <c r="G90" s="68"/>
      <c r="H90" s="47"/>
      <c r="I90" s="68"/>
      <c r="J90" s="68"/>
      <c r="K90" s="68"/>
      <c r="L90" s="68"/>
      <c r="M90" s="68"/>
      <c r="N90" s="68"/>
      <c r="O90" s="68"/>
      <c r="P90" s="68"/>
      <c r="Q90" s="70"/>
      <c r="R90" s="70"/>
      <c r="S90" s="47"/>
      <c r="T90" s="75"/>
      <c r="U90" s="69"/>
      <c r="V90" s="72"/>
    </row>
    <row r="91" spans="2:22" ht="14.25" customHeight="1" x14ac:dyDescent="0.25">
      <c r="B91" s="70"/>
      <c r="C91" s="70"/>
      <c r="D91" s="102"/>
      <c r="E91" s="68"/>
      <c r="F91" s="68"/>
      <c r="G91" s="68"/>
      <c r="H91" s="47"/>
      <c r="I91" s="68"/>
      <c r="J91" s="68"/>
      <c r="K91" s="68"/>
      <c r="L91" s="68"/>
      <c r="M91" s="68"/>
      <c r="N91" s="68"/>
      <c r="O91" s="68"/>
      <c r="P91" s="68"/>
      <c r="Q91" s="70"/>
      <c r="R91" s="70"/>
      <c r="S91" s="47"/>
      <c r="T91" s="75"/>
      <c r="U91" s="69"/>
      <c r="V91" s="72"/>
    </row>
    <row r="92" spans="2:22" ht="14.25" customHeight="1" x14ac:dyDescent="0.25">
      <c r="B92" s="70"/>
      <c r="C92" s="70"/>
      <c r="D92" s="102"/>
      <c r="E92" s="68"/>
      <c r="F92" s="68"/>
      <c r="G92" s="68"/>
      <c r="H92" s="47"/>
      <c r="I92" s="68"/>
      <c r="J92" s="68"/>
      <c r="K92" s="68"/>
      <c r="L92" s="68"/>
      <c r="M92" s="68"/>
      <c r="N92" s="68"/>
      <c r="O92" s="68"/>
      <c r="P92" s="68"/>
      <c r="Q92" s="70"/>
      <c r="R92" s="70"/>
      <c r="S92" s="47"/>
      <c r="T92" s="75"/>
      <c r="U92" s="69"/>
      <c r="V92" s="72"/>
    </row>
    <row r="93" spans="2:22" ht="14.25" customHeight="1" x14ac:dyDescent="0.25">
      <c r="B93" s="70"/>
      <c r="C93" s="70"/>
      <c r="D93" s="102"/>
      <c r="E93" s="68"/>
      <c r="F93" s="68"/>
      <c r="G93" s="68"/>
      <c r="H93" s="47"/>
      <c r="I93" s="68"/>
      <c r="J93" s="68"/>
      <c r="K93" s="68"/>
      <c r="L93" s="68"/>
      <c r="M93" s="68"/>
      <c r="N93" s="68"/>
      <c r="O93" s="68"/>
      <c r="P93" s="68"/>
      <c r="Q93" s="70"/>
      <c r="R93" s="70"/>
      <c r="S93" s="47"/>
      <c r="T93" s="75"/>
      <c r="U93" s="69"/>
      <c r="V93" s="72"/>
    </row>
    <row r="94" spans="2:22" x14ac:dyDescent="0.25">
      <c r="B94" s="70"/>
      <c r="C94" s="70"/>
      <c r="D94" s="102"/>
      <c r="E94" s="68"/>
      <c r="F94" s="68"/>
      <c r="G94" s="68"/>
      <c r="H94" s="47"/>
      <c r="I94" s="68"/>
      <c r="J94" s="68"/>
      <c r="K94" s="68"/>
      <c r="L94" s="68"/>
      <c r="M94" s="68"/>
      <c r="N94" s="70"/>
      <c r="O94" s="68"/>
      <c r="P94" s="68"/>
      <c r="Q94" s="70"/>
      <c r="R94" s="70"/>
      <c r="S94" s="47"/>
      <c r="T94" s="76"/>
      <c r="U94" s="69"/>
      <c r="V94" s="72"/>
    </row>
    <row r="95" spans="2:22" x14ac:dyDescent="0.25">
      <c r="B95" s="70"/>
      <c r="C95" s="70"/>
      <c r="D95" s="102"/>
      <c r="E95" s="68"/>
      <c r="F95" s="68"/>
      <c r="G95" s="68"/>
      <c r="H95" s="47"/>
      <c r="I95" s="68"/>
      <c r="J95" s="68"/>
      <c r="K95" s="68"/>
      <c r="L95" s="68"/>
      <c r="M95" s="68"/>
      <c r="N95" s="68"/>
      <c r="O95" s="68"/>
      <c r="P95" s="68"/>
      <c r="Q95" s="70"/>
      <c r="R95" s="70"/>
      <c r="S95" s="47"/>
      <c r="T95" s="76"/>
      <c r="U95" s="69"/>
      <c r="V95" s="72"/>
    </row>
    <row r="96" spans="2:22" ht="14.25" customHeight="1" x14ac:dyDescent="0.25">
      <c r="B96" s="68"/>
      <c r="C96" s="68"/>
      <c r="D96" s="68"/>
      <c r="E96" s="68"/>
      <c r="F96" s="68"/>
      <c r="G96" s="68"/>
      <c r="H96" s="47"/>
      <c r="I96" s="68"/>
      <c r="J96" s="68"/>
      <c r="K96" s="68"/>
      <c r="L96" s="68"/>
      <c r="M96" s="68"/>
      <c r="N96" s="68"/>
      <c r="O96" s="68"/>
      <c r="P96" s="68"/>
      <c r="Q96" s="70"/>
      <c r="R96" s="70"/>
      <c r="S96" s="47"/>
      <c r="T96" s="141"/>
      <c r="U96" s="69"/>
      <c r="V96" s="72"/>
    </row>
    <row r="97" spans="2:22" ht="14.25" customHeight="1" x14ac:dyDescent="0.25">
      <c r="B97" s="68"/>
      <c r="C97" s="68"/>
      <c r="D97" s="68"/>
      <c r="E97" s="68"/>
      <c r="F97" s="68"/>
      <c r="G97" s="68"/>
      <c r="H97" s="47"/>
      <c r="I97" s="68"/>
      <c r="J97" s="68"/>
      <c r="K97" s="68"/>
      <c r="L97" s="68"/>
      <c r="M97" s="68"/>
      <c r="N97" s="68"/>
      <c r="O97" s="68"/>
      <c r="P97" s="68"/>
      <c r="Q97" s="70"/>
      <c r="R97" s="70"/>
      <c r="S97" s="47"/>
      <c r="T97" s="141"/>
      <c r="U97" s="69"/>
      <c r="V97" s="72"/>
    </row>
    <row r="98" spans="2:22" ht="14.25" customHeight="1" x14ac:dyDescent="0.25">
      <c r="B98" s="68"/>
      <c r="C98" s="68"/>
      <c r="D98" s="68"/>
      <c r="E98" s="68"/>
      <c r="F98" s="68"/>
      <c r="G98" s="68"/>
      <c r="H98" s="47"/>
      <c r="I98" s="68"/>
      <c r="J98" s="68"/>
      <c r="K98" s="68"/>
      <c r="L98" s="68"/>
      <c r="M98" s="68"/>
      <c r="N98" s="68"/>
      <c r="O98" s="68"/>
      <c r="P98" s="68"/>
      <c r="Q98" s="70"/>
      <c r="R98" s="70"/>
      <c r="S98" s="47"/>
      <c r="T98" s="141"/>
      <c r="U98" s="69"/>
      <c r="V98" s="72"/>
    </row>
    <row r="99" spans="2:22" ht="14.25" customHeight="1" x14ac:dyDescent="0.25">
      <c r="B99" s="68"/>
      <c r="C99" s="68"/>
      <c r="D99" s="68"/>
      <c r="E99" s="68"/>
      <c r="F99" s="68"/>
      <c r="G99" s="68"/>
      <c r="H99" s="47"/>
      <c r="I99" s="68"/>
      <c r="J99" s="68"/>
      <c r="K99" s="68"/>
      <c r="L99" s="68"/>
      <c r="M99" s="68"/>
      <c r="N99" s="68"/>
      <c r="O99" s="68"/>
      <c r="P99" s="68"/>
      <c r="Q99" s="70"/>
      <c r="R99" s="70"/>
      <c r="S99" s="47"/>
      <c r="T99" s="68"/>
      <c r="U99" s="69"/>
      <c r="V99" s="72"/>
    </row>
    <row r="100" spans="2:22" ht="14.25" customHeight="1" x14ac:dyDescent="0.25">
      <c r="B100" s="68"/>
      <c r="C100" s="68"/>
      <c r="D100" s="68"/>
      <c r="E100" s="68"/>
      <c r="F100" s="68"/>
      <c r="G100" s="68"/>
      <c r="H100" s="47"/>
      <c r="I100" s="68"/>
      <c r="J100" s="68"/>
      <c r="K100" s="68"/>
      <c r="L100" s="68"/>
      <c r="M100" s="68"/>
      <c r="N100" s="68"/>
      <c r="O100" s="68"/>
      <c r="P100" s="68"/>
      <c r="Q100" s="70"/>
      <c r="R100" s="70"/>
      <c r="S100" s="47"/>
      <c r="T100" s="68"/>
      <c r="U100" s="69"/>
      <c r="V100" s="72"/>
    </row>
    <row r="101" spans="2:22" ht="14.25" customHeight="1" x14ac:dyDescent="0.25">
      <c r="B101" s="68"/>
      <c r="C101" s="68"/>
      <c r="D101" s="68"/>
      <c r="E101" s="68"/>
      <c r="F101" s="68"/>
      <c r="G101" s="68"/>
      <c r="H101" s="47"/>
      <c r="I101" s="68"/>
      <c r="J101" s="68"/>
      <c r="K101" s="68"/>
      <c r="L101" s="68"/>
      <c r="M101" s="68"/>
      <c r="N101" s="68"/>
      <c r="O101" s="68"/>
      <c r="P101" s="68"/>
      <c r="Q101" s="70"/>
      <c r="R101" s="70"/>
      <c r="S101" s="47"/>
      <c r="T101" s="68"/>
      <c r="U101" s="69"/>
      <c r="V101" s="72"/>
    </row>
  </sheetData>
  <autoFilter ref="B12:V12"/>
  <mergeCells count="6">
    <mergeCell ref="T11:V11"/>
    <mergeCell ref="C7:G7"/>
    <mergeCell ref="B11:G11"/>
    <mergeCell ref="I11:K11"/>
    <mergeCell ref="L11:N11"/>
    <mergeCell ref="O11:R11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177A5776-BF30-42EF-A985-BB8A570EF5AB}">
            <xm:f>'Tabelas AUX'!$E$5</xm:f>
            <x14:dxf>
              <font>
                <color rgb="FF00B050"/>
              </font>
            </x14:dxf>
          </x14:cfRule>
          <x14:cfRule type="cellIs" priority="8" operator="equal" id="{4EF92552-6654-4E3F-8755-3F2EC6C66597}">
            <xm:f>OR('Tabelas AUX'!$E$4,'Tabelas AUX'!$E$6)</xm:f>
            <x14:dxf>
              <font>
                <color rgb="FF7F7F7F"/>
              </font>
            </x14:dxf>
          </x14:cfRule>
          <x14:cfRule type="cellIs" priority="9" operator="equal" id="{D9A1C9A0-1CB2-4B00-80FA-B7576AEA7A38}">
            <xm:f>'Tabelas AUX'!$E$3</xm:f>
            <x14:dxf>
              <font>
                <color theme="5"/>
              </font>
            </x14:dxf>
          </x14:cfRule>
          <x14:cfRule type="cellIs" priority="10" operator="equal" id="{4071081B-20EF-4977-8B31-8823F3F505DE}">
            <xm:f>'Tabelas AUX'!$E$2</xm:f>
            <x14:dxf>
              <font>
                <color rgb="FFC00000"/>
              </font>
            </x14:dxf>
          </x14:cfRule>
          <xm:sqref>T13:T31</xm:sqref>
        </x14:conditionalFormatting>
        <x14:conditionalFormatting xmlns:xm="http://schemas.microsoft.com/office/excel/2006/main">
          <x14:cfRule type="cellIs" priority="5" operator="equal" id="{43213ED4-0E0E-4D99-9A49-6A14ECAAA099}">
            <xm:f>'Tabelas AUX'!$E$8</xm:f>
            <x14:dxf>
              <font>
                <color theme="8"/>
              </font>
            </x14:dxf>
          </x14:cfRule>
          <x14:cfRule type="cellIs" priority="6" operator="equal" id="{B7E69A06-6B3B-4141-A67A-E140469FFB71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m:sqref>T13:T101</xm:sqref>
        </x14:conditionalFormatting>
        <x14:conditionalFormatting xmlns:xm="http://schemas.microsoft.com/office/excel/2006/main">
          <x14:cfRule type="cellIs" priority="102" operator="equal" id="{9E76D15E-0656-46C1-9621-75DF50EFCDB3}">
            <xm:f>OR('Tabelas AUX'!$E$4,'Tabelas AUX'!$E$6)</xm:f>
            <x14:dxf>
              <font>
                <color rgb="FF7F7F7F"/>
              </font>
            </x14:dxf>
          </x14:cfRule>
          <x14:cfRule type="cellIs" priority="103" operator="equal" id="{819E4D8A-9816-488B-B1D5-6A45F943697A}">
            <xm:f>'Tabelas AUX'!$E$3</xm:f>
            <x14:dxf>
              <font>
                <color theme="5"/>
              </font>
            </x14:dxf>
          </x14:cfRule>
          <x14:cfRule type="cellIs" priority="104" operator="equal" id="{4ED09379-AA86-4E8F-AF71-F74CEDFEC426}">
            <xm:f>'Tabelas AUX'!$E$2</xm:f>
            <x14:dxf>
              <font>
                <color rgb="FFC00000"/>
              </font>
            </x14:dxf>
          </x14:cfRule>
          <xm:sqref>T32:T59 T73:T80 T83:T101</xm:sqref>
        </x14:conditionalFormatting>
        <x14:conditionalFormatting xmlns:xm="http://schemas.microsoft.com/office/excel/2006/main">
          <x14:cfRule type="cellIs" priority="101" operator="equal" id="{329BE438-655E-43A5-BE4D-5719749E6CEB}">
            <xm:f>'Tabelas AUX'!$E$5</xm:f>
            <x14:dxf>
              <font>
                <color rgb="FF00B050"/>
              </font>
            </x14:dxf>
          </x14:cfRule>
          <xm:sqref>T32:T101</xm:sqref>
        </x14:conditionalFormatting>
        <x14:conditionalFormatting xmlns:xm="http://schemas.microsoft.com/office/excel/2006/main">
          <x14:cfRule type="cellIs" priority="89" operator="equal" id="{236B0F8A-C717-4577-A8B9-05BD6A0827F0}">
            <xm:f>'Tabelas AUX'!$E$5</xm:f>
            <x14:dxf>
              <font>
                <color rgb="FF00B050"/>
              </font>
            </x14:dxf>
          </x14:cfRule>
          <x14:cfRule type="cellIs" priority="90" operator="equal" id="{0AD4B35A-A61F-45FB-B7FA-582057BACE18}">
            <xm:f>'Tabelas AUX'!$E$4</xm:f>
            <x14:dxf>
              <font>
                <color rgb="FF7F7F7F"/>
              </font>
            </x14:dxf>
          </x14:cfRule>
          <x14:cfRule type="cellIs" priority="91" operator="equal" id="{BBDB2C1C-038D-497D-9C40-37E81954D4F6}">
            <xm:f>'Tabelas AUX'!$E$3</xm:f>
            <x14:dxf>
              <font>
                <color theme="5"/>
              </font>
            </x14:dxf>
          </x14:cfRule>
          <x14:cfRule type="cellIs" priority="92" operator="equal" id="{FD4EFEAD-CA08-451F-B540-5A733F2A2862}">
            <xm:f>'Tabelas AUX'!$E$2</xm:f>
            <x14:dxf>
              <font>
                <color rgb="FFC00000"/>
              </font>
            </x14:dxf>
          </x14:cfRule>
          <xm:sqref>T35:T38</xm:sqref>
        </x14:conditionalFormatting>
        <x14:conditionalFormatting xmlns:xm="http://schemas.microsoft.com/office/excel/2006/main">
          <x14:cfRule type="cellIs" priority="85" operator="equal" id="{B4E26C96-FC8C-4CCF-A6CE-CA7EED197321}">
            <xm:f>'Tabelas AUX'!$E$5</xm:f>
            <x14:dxf>
              <font>
                <color rgb="FF00B050"/>
              </font>
            </x14:dxf>
          </x14:cfRule>
          <x14:cfRule type="cellIs" priority="86" operator="equal" id="{56323983-21EC-4002-A11A-1D878FDEF177}">
            <xm:f>'Tabelas AUX'!$E$4</xm:f>
            <x14:dxf>
              <font>
                <color rgb="FF7F7F7F"/>
              </font>
            </x14:dxf>
          </x14:cfRule>
          <x14:cfRule type="cellIs" priority="87" operator="equal" id="{D7A0E055-F366-4A08-8282-45FE9E16C531}">
            <xm:f>'Tabelas AUX'!$E$3</xm:f>
            <x14:dxf>
              <font>
                <color theme="5"/>
              </font>
            </x14:dxf>
          </x14:cfRule>
          <x14:cfRule type="cellIs" priority="88" operator="equal" id="{499263C8-CC62-4067-8EEB-32A6CAE0F5B0}">
            <xm:f>'Tabelas AUX'!$E$2</xm:f>
            <x14:dxf>
              <font>
                <color rgb="FFC00000"/>
              </font>
            </x14:dxf>
          </x14:cfRule>
          <xm:sqref>T60:T72</xm:sqref>
        </x14:conditionalFormatting>
        <x14:conditionalFormatting xmlns:xm="http://schemas.microsoft.com/office/excel/2006/main">
          <x14:cfRule type="cellIs" priority="93" operator="equal" id="{86EAC014-3E29-4913-A42C-86CE7A070C8A}">
            <xm:f>'Tabelas AUX'!$E$5</xm:f>
            <x14:dxf>
              <font>
                <color rgb="FF00B050"/>
              </font>
            </x14:dxf>
          </x14:cfRule>
          <x14:cfRule type="cellIs" priority="94" operator="equal" id="{25E6CC61-651F-40C4-B98D-5743F76D821E}">
            <xm:f>'Tabelas AUX'!$E$4</xm:f>
            <x14:dxf>
              <font>
                <color rgb="FF7F7F7F"/>
              </font>
            </x14:dxf>
          </x14:cfRule>
          <x14:cfRule type="cellIs" priority="95" operator="equal" id="{F428163D-AFD3-49CD-921F-BBF21E85CA92}">
            <xm:f>'Tabelas AUX'!$E$3</xm:f>
            <x14:dxf>
              <font>
                <color theme="5"/>
              </font>
            </x14:dxf>
          </x14:cfRule>
          <x14:cfRule type="cellIs" priority="96" operator="equal" id="{78B28EBA-AEBF-459D-BF1A-3BF225B6C65D}">
            <xm:f>'Tabelas AUX'!$E$2</xm:f>
            <x14:dxf>
              <font>
                <color rgb="FFC00000"/>
              </font>
            </x14:dxf>
          </x14:cfRule>
          <xm:sqref>T81:T82</xm:sqref>
        </x14:conditionalFormatting>
        <x14:conditionalFormatting xmlns:xm="http://schemas.microsoft.com/office/excel/2006/main">
          <x14:cfRule type="cellIs" priority="58" operator="equal" id="{A878085C-9EC4-411F-98E5-2FBD52D7E892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63" operator="equal" id="{DF0A4568-D0E9-4A61-8576-1FE38852492A}">
            <xm:f>'Tabelas AUX'!$E$5</xm:f>
            <x14:dxf>
              <font>
                <color rgb="FF00B050"/>
              </font>
            </x14:dxf>
          </x14:cfRule>
          <xm:sqref>U27:U28</xm:sqref>
        </x14:conditionalFormatting>
        <x14:conditionalFormatting xmlns:xm="http://schemas.microsoft.com/office/excel/2006/main">
          <x14:cfRule type="cellIs" priority="39" operator="equal" id="{9303628F-7D88-4705-BC10-7F0E1B7D2BAE}">
            <xm:f>'Tabelas AUX'!$E$7</xm:f>
            <x14:dxf>
              <font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44" operator="equal" id="{D9734E28-CE36-4BC4-BC0B-C346962268D2}">
            <xm:f>'Tabelas AUX'!$E$5</xm:f>
            <x14:dxf>
              <font>
                <color rgb="FF00B050"/>
              </font>
            </x14:dxf>
          </x14:cfRule>
          <xm:sqref>U29:V29</xm:sqref>
        </x14:conditionalFormatting>
        <x14:conditionalFormatting xmlns:xm="http://schemas.microsoft.com/office/excel/2006/main">
          <x14:cfRule type="cellIs" priority="1" operator="equal" id="{57AEF9FE-3620-4724-AF98-2B4C5BFC2DD8}">
            <xm:f>'Tabelas AUX'!$E$5</xm:f>
            <x14:dxf>
              <font>
                <color rgb="FF00B050"/>
              </font>
            </x14:dxf>
          </x14:cfRule>
          <x14:cfRule type="cellIs" priority="2" operator="equal" id="{568A2085-CE1E-4418-9142-E6838573D63B}">
            <xm:f>OR('Tabelas AUX'!$E$4,'Tabelas AUX'!$E$6)</xm:f>
            <x14:dxf>
              <font>
                <color rgb="FF7F7F7F"/>
              </font>
            </x14:dxf>
          </x14:cfRule>
          <x14:cfRule type="cellIs" priority="3" operator="equal" id="{0C055AAC-1F3A-4435-BBD5-D70257F91BBA}">
            <xm:f>'Tabelas AUX'!$E$3</xm:f>
            <x14:dxf>
              <font>
                <color theme="5"/>
              </font>
            </x14:dxf>
          </x14:cfRule>
          <x14:cfRule type="cellIs" priority="4" operator="equal" id="{7DD3F177-CD97-4D1B-B7F8-D732E118F114}">
            <xm:f>'Tabelas AUX'!$E$2</xm:f>
            <x14:dxf>
              <font>
                <color rgb="FFC00000"/>
              </font>
            </x14:dxf>
          </x14:cfRule>
          <xm:sqref>T32:T36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'Tabelas AUX'!$E$2:$E$9</xm:f>
          </x14:formula1>
          <xm:sqref>T13:T101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5" tint="0.59999389629810485"/>
  </sheetPr>
  <dimension ref="A1:Q40"/>
  <sheetViews>
    <sheetView showGridLines="0" zoomScale="85" zoomScaleNormal="85" workbookViewId="0">
      <selection activeCell="Q36" sqref="Q36"/>
    </sheetView>
  </sheetViews>
  <sheetFormatPr defaultRowHeight="15" outlineLevelRow="1" x14ac:dyDescent="0.25"/>
  <cols>
    <col min="1" max="1" width="3.7109375" customWidth="1"/>
    <col min="2" max="2" width="25.140625" bestFit="1" customWidth="1"/>
    <col min="3" max="3" width="25.140625" customWidth="1"/>
    <col min="4" max="4" width="21.140625" customWidth="1"/>
    <col min="5" max="5" width="14.7109375" bestFit="1" customWidth="1"/>
    <col min="6" max="6" width="11" bestFit="1" customWidth="1"/>
    <col min="7" max="7" width="19" bestFit="1" customWidth="1"/>
  </cols>
  <sheetData>
    <row r="1" spans="1:17" ht="15" customHeight="1" x14ac:dyDescent="0.25">
      <c r="B1" s="47"/>
      <c r="C1" s="47"/>
      <c r="D1" s="47"/>
      <c r="F1" s="47"/>
      <c r="G1" s="47"/>
    </row>
    <row r="2" spans="1:17" ht="34.5" customHeight="1" x14ac:dyDescent="0.25">
      <c r="B2" s="47"/>
      <c r="C2" s="47"/>
      <c r="D2" s="48"/>
      <c r="F2" s="47"/>
      <c r="G2" s="47"/>
    </row>
    <row r="3" spans="1:17" ht="2.25" customHeight="1" x14ac:dyDescent="0.25">
      <c r="A3" s="20"/>
      <c r="B3" s="49"/>
      <c r="C3" s="49"/>
      <c r="D3" s="49"/>
      <c r="E3" s="49"/>
      <c r="F3" s="49"/>
      <c r="G3" s="49"/>
    </row>
    <row r="4" spans="1:17" ht="15" customHeight="1" x14ac:dyDescent="0.25">
      <c r="B4" s="47"/>
      <c r="C4" s="47"/>
      <c r="D4" s="47"/>
      <c r="F4" s="47"/>
      <c r="G4" s="47"/>
    </row>
    <row r="5" spans="1:17" ht="15" customHeight="1" x14ac:dyDescent="0.25">
      <c r="B5" s="50" t="s">
        <v>1753</v>
      </c>
      <c r="C5" s="50"/>
      <c r="D5" s="47"/>
      <c r="F5" s="47"/>
      <c r="G5" s="47"/>
    </row>
    <row r="6" spans="1:17" ht="15" customHeight="1" x14ac:dyDescent="0.25">
      <c r="B6" s="47"/>
      <c r="C6" s="47"/>
      <c r="D6" s="47"/>
      <c r="F6" s="47"/>
      <c r="G6" s="47"/>
    </row>
    <row r="7" spans="1:17" ht="135" customHeight="1" outlineLevel="1" x14ac:dyDescent="0.25">
      <c r="B7" s="51" t="s">
        <v>65</v>
      </c>
      <c r="C7" s="222" t="s">
        <v>1754</v>
      </c>
      <c r="D7" s="222"/>
      <c r="E7" s="222"/>
      <c r="F7" s="222"/>
      <c r="G7" s="222"/>
      <c r="H7" s="52"/>
      <c r="Q7" s="52"/>
    </row>
    <row r="8" spans="1:17" x14ac:dyDescent="0.25">
      <c r="B8" s="47"/>
      <c r="C8" s="47"/>
      <c r="D8" s="47"/>
      <c r="F8" s="47"/>
      <c r="G8" s="47"/>
    </row>
    <row r="9" spans="1:17" x14ac:dyDescent="0.25">
      <c r="B9" s="47"/>
      <c r="C9" s="47"/>
      <c r="D9" s="47"/>
      <c r="F9" s="47"/>
      <c r="G9" s="47"/>
    </row>
    <row r="10" spans="1:17" x14ac:dyDescent="0.25">
      <c r="B10" s="47"/>
      <c r="C10" s="47"/>
      <c r="D10" s="47"/>
      <c r="F10" s="47"/>
      <c r="G10" s="47"/>
    </row>
    <row r="11" spans="1:17" x14ac:dyDescent="0.25">
      <c r="B11" s="212" t="s">
        <v>67</v>
      </c>
      <c r="C11" s="213"/>
      <c r="D11" s="213"/>
      <c r="E11" s="213"/>
      <c r="F11" s="213"/>
      <c r="G11" s="214"/>
    </row>
    <row r="12" spans="1:17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</row>
    <row r="13" spans="1:17" x14ac:dyDescent="0.25">
      <c r="B13" s="62"/>
      <c r="C13" s="62"/>
      <c r="D13" s="62"/>
      <c r="E13" s="62"/>
      <c r="F13" s="62"/>
      <c r="G13" s="62"/>
    </row>
    <row r="14" spans="1:17" x14ac:dyDescent="0.25">
      <c r="B14" s="62"/>
      <c r="C14" s="62"/>
      <c r="D14" s="62"/>
      <c r="E14" s="62"/>
      <c r="F14" s="62"/>
      <c r="G14" s="62"/>
    </row>
    <row r="15" spans="1:17" x14ac:dyDescent="0.25">
      <c r="B15" s="62"/>
      <c r="C15" s="62"/>
      <c r="D15" s="62"/>
      <c r="E15" s="62"/>
      <c r="F15" s="62"/>
      <c r="G15" s="62"/>
    </row>
    <row r="16" spans="1:17" x14ac:dyDescent="0.25">
      <c r="B16" s="62"/>
      <c r="C16" s="62"/>
      <c r="D16" s="62"/>
      <c r="E16" s="62"/>
      <c r="F16" s="62"/>
      <c r="G16" s="62"/>
    </row>
    <row r="17" spans="2:7" x14ac:dyDescent="0.25">
      <c r="B17" s="62"/>
      <c r="C17" s="62"/>
      <c r="D17" s="62"/>
      <c r="E17" s="62"/>
      <c r="F17" s="62"/>
      <c r="G17" s="62"/>
    </row>
    <row r="18" spans="2:7" x14ac:dyDescent="0.25">
      <c r="B18" s="62"/>
      <c r="C18" s="62"/>
      <c r="D18" s="62"/>
      <c r="E18" s="62"/>
      <c r="F18" s="62"/>
      <c r="G18" s="62"/>
    </row>
    <row r="19" spans="2:7" x14ac:dyDescent="0.25">
      <c r="B19" s="62"/>
      <c r="C19" s="62"/>
      <c r="D19" s="62"/>
      <c r="E19" s="62"/>
      <c r="F19" s="62"/>
      <c r="G19" s="62"/>
    </row>
    <row r="20" spans="2:7" x14ac:dyDescent="0.25">
      <c r="B20" s="62"/>
      <c r="C20" s="62"/>
      <c r="D20" s="62"/>
      <c r="E20" s="62"/>
      <c r="F20" s="62"/>
      <c r="G20" s="62"/>
    </row>
    <row r="21" spans="2:7" x14ac:dyDescent="0.25">
      <c r="B21" s="62"/>
      <c r="C21" s="62"/>
      <c r="D21" s="62"/>
      <c r="E21" s="62"/>
      <c r="F21" s="62"/>
      <c r="G21" s="62"/>
    </row>
    <row r="22" spans="2:7" x14ac:dyDescent="0.25">
      <c r="B22" s="62"/>
      <c r="C22" s="62"/>
      <c r="D22" s="62"/>
      <c r="E22" s="62"/>
      <c r="F22" s="62"/>
      <c r="G22" s="62"/>
    </row>
    <row r="23" spans="2:7" x14ac:dyDescent="0.25">
      <c r="B23" s="62"/>
      <c r="C23" s="62"/>
      <c r="D23" s="62"/>
      <c r="E23" s="62"/>
      <c r="F23" s="62"/>
      <c r="G23" s="62"/>
    </row>
    <row r="24" spans="2:7" x14ac:dyDescent="0.25">
      <c r="B24" s="62"/>
      <c r="C24" s="62"/>
      <c r="D24" s="62"/>
      <c r="E24" s="62"/>
      <c r="F24" s="62"/>
      <c r="G24" s="62"/>
    </row>
    <row r="25" spans="2:7" x14ac:dyDescent="0.25">
      <c r="B25" s="62"/>
      <c r="C25" s="62"/>
      <c r="D25" s="62"/>
      <c r="E25" s="62"/>
      <c r="F25" s="62"/>
      <c r="G25" s="62"/>
    </row>
    <row r="26" spans="2:7" x14ac:dyDescent="0.25">
      <c r="B26" s="62"/>
      <c r="C26" s="62"/>
      <c r="D26" s="62"/>
      <c r="E26" s="62"/>
      <c r="F26" s="62"/>
      <c r="G26" s="62"/>
    </row>
    <row r="27" spans="2:7" x14ac:dyDescent="0.25">
      <c r="B27" s="62"/>
      <c r="C27" s="62"/>
      <c r="D27" s="62"/>
      <c r="E27" s="62"/>
      <c r="F27" s="62"/>
      <c r="G27" s="62"/>
    </row>
    <row r="28" spans="2:7" x14ac:dyDescent="0.25">
      <c r="B28" s="62"/>
      <c r="C28" s="62"/>
      <c r="D28" s="62"/>
      <c r="E28" s="62"/>
      <c r="F28" s="62"/>
      <c r="G28" s="62"/>
    </row>
    <row r="29" spans="2:7" x14ac:dyDescent="0.25">
      <c r="B29" s="62"/>
      <c r="C29" s="62"/>
      <c r="D29" s="62"/>
      <c r="E29" s="62"/>
      <c r="F29" s="62"/>
      <c r="G29" s="62"/>
    </row>
    <row r="30" spans="2:7" x14ac:dyDescent="0.25">
      <c r="B30" s="62"/>
      <c r="C30" s="62"/>
      <c r="D30" s="62"/>
      <c r="E30" s="62"/>
      <c r="F30" s="62"/>
      <c r="G30" s="62"/>
    </row>
    <row r="31" spans="2:7" x14ac:dyDescent="0.25">
      <c r="B31" s="62"/>
      <c r="C31" s="62"/>
      <c r="D31" s="62"/>
      <c r="E31" s="62"/>
      <c r="F31" s="62"/>
      <c r="G31" s="62"/>
    </row>
    <row r="32" spans="2:7" x14ac:dyDescent="0.25">
      <c r="B32" s="62"/>
      <c r="C32" s="62"/>
      <c r="D32" s="62"/>
      <c r="E32" s="62"/>
      <c r="F32" s="62"/>
      <c r="G32" s="62"/>
    </row>
    <row r="33" spans="2:7" x14ac:dyDescent="0.25">
      <c r="B33" s="62"/>
      <c r="C33" s="62"/>
      <c r="D33" s="62"/>
      <c r="E33" s="62"/>
      <c r="F33" s="62"/>
      <c r="G33" s="62"/>
    </row>
    <row r="34" spans="2:7" x14ac:dyDescent="0.25">
      <c r="B34" s="62"/>
      <c r="C34" s="62"/>
      <c r="D34" s="62"/>
      <c r="E34" s="62"/>
      <c r="F34" s="62"/>
      <c r="G34" s="62"/>
    </row>
    <row r="35" spans="2:7" x14ac:dyDescent="0.25">
      <c r="B35" s="62"/>
      <c r="C35" s="62"/>
      <c r="D35" s="62"/>
      <c r="E35" s="62"/>
      <c r="F35" s="62"/>
      <c r="G35" s="62"/>
    </row>
    <row r="36" spans="2:7" x14ac:dyDescent="0.25">
      <c r="B36" s="62"/>
      <c r="C36" s="62"/>
      <c r="D36" s="62"/>
      <c r="E36" s="62"/>
      <c r="F36" s="62"/>
      <c r="G36" s="62"/>
    </row>
    <row r="37" spans="2:7" x14ac:dyDescent="0.25">
      <c r="B37" s="62"/>
      <c r="C37" s="62"/>
      <c r="D37" s="62"/>
      <c r="E37" s="62"/>
      <c r="F37" s="62"/>
      <c r="G37" s="62"/>
    </row>
    <row r="38" spans="2:7" x14ac:dyDescent="0.25">
      <c r="B38" s="62"/>
      <c r="C38" s="62"/>
      <c r="D38" s="62"/>
      <c r="E38" s="62"/>
      <c r="F38" s="62"/>
      <c r="G38" s="62"/>
    </row>
    <row r="39" spans="2:7" x14ac:dyDescent="0.25">
      <c r="B39" s="62"/>
      <c r="C39" s="62"/>
      <c r="D39" s="62"/>
      <c r="E39" s="62"/>
      <c r="F39" s="62"/>
      <c r="G39" s="62"/>
    </row>
    <row r="40" spans="2:7" x14ac:dyDescent="0.25">
      <c r="B40" s="62"/>
      <c r="C40" s="62"/>
      <c r="D40" s="62"/>
      <c r="E40" s="62"/>
      <c r="F40" s="62"/>
      <c r="G40" s="62"/>
    </row>
  </sheetData>
  <mergeCells count="2">
    <mergeCell ref="B11:G11"/>
    <mergeCell ref="C7:G7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1"/>
  </sheetPr>
  <dimension ref="A1:I16"/>
  <sheetViews>
    <sheetView workbookViewId="0">
      <selection activeCell="G15" sqref="G15"/>
    </sheetView>
  </sheetViews>
  <sheetFormatPr defaultRowHeight="15" x14ac:dyDescent="0.25"/>
  <cols>
    <col min="1" max="1" width="22.42578125" bestFit="1" customWidth="1"/>
    <col min="3" max="3" width="21.5703125" bestFit="1" customWidth="1"/>
    <col min="5" max="5" width="24" bestFit="1" customWidth="1"/>
    <col min="7" max="7" width="22.42578125" bestFit="1" customWidth="1"/>
    <col min="9" max="9" width="21.5703125" bestFit="1" customWidth="1"/>
  </cols>
  <sheetData>
    <row r="1" spans="1:9" x14ac:dyDescent="0.25">
      <c r="A1" s="148" t="s">
        <v>1755</v>
      </c>
      <c r="B1" s="149"/>
      <c r="C1" s="150" t="s">
        <v>1756</v>
      </c>
      <c r="E1" s="54" t="s">
        <v>1755</v>
      </c>
      <c r="G1" s="178" t="s">
        <v>1757</v>
      </c>
    </row>
    <row r="2" spans="1:9" x14ac:dyDescent="0.25">
      <c r="A2" s="151" t="s">
        <v>132</v>
      </c>
      <c r="B2" s="149"/>
      <c r="C2" s="152" t="s">
        <v>1758</v>
      </c>
      <c r="E2" s="64" t="s">
        <v>132</v>
      </c>
      <c r="G2" s="179" t="s">
        <v>132</v>
      </c>
    </row>
    <row r="3" spans="1:9" x14ac:dyDescent="0.25">
      <c r="A3" s="153" t="s">
        <v>1759</v>
      </c>
      <c r="B3" s="149"/>
      <c r="C3" s="154" t="s">
        <v>1760</v>
      </c>
      <c r="E3" s="65" t="s">
        <v>130</v>
      </c>
      <c r="G3" s="180" t="s">
        <v>130</v>
      </c>
    </row>
    <row r="4" spans="1:9" x14ac:dyDescent="0.25">
      <c r="A4" s="155" t="s">
        <v>1761</v>
      </c>
      <c r="B4" s="149"/>
      <c r="C4" s="152" t="s">
        <v>1762</v>
      </c>
      <c r="E4" s="66" t="s">
        <v>131</v>
      </c>
      <c r="G4" s="179" t="s">
        <v>131</v>
      </c>
    </row>
    <row r="5" spans="1:9" x14ac:dyDescent="0.25">
      <c r="A5" s="156" t="s">
        <v>97</v>
      </c>
      <c r="B5" s="149"/>
      <c r="C5" s="154" t="s">
        <v>1763</v>
      </c>
      <c r="E5" s="67" t="s">
        <v>97</v>
      </c>
      <c r="G5" s="181" t="s">
        <v>97</v>
      </c>
      <c r="H5" t="s">
        <v>1764</v>
      </c>
    </row>
    <row r="6" spans="1:9" x14ac:dyDescent="0.25">
      <c r="A6" s="149" t="s">
        <v>1765</v>
      </c>
      <c r="B6" s="149"/>
      <c r="C6" s="152" t="s">
        <v>1766</v>
      </c>
      <c r="E6" s="186" t="s">
        <v>1697</v>
      </c>
      <c r="G6" s="179" t="s">
        <v>153</v>
      </c>
      <c r="H6" t="s">
        <v>1767</v>
      </c>
      <c r="I6" t="s">
        <v>1768</v>
      </c>
    </row>
    <row r="7" spans="1:9" x14ac:dyDescent="0.25">
      <c r="A7" s="149" t="s">
        <v>1769</v>
      </c>
      <c r="B7" s="149"/>
      <c r="C7" s="154" t="s">
        <v>19</v>
      </c>
      <c r="E7" s="134"/>
      <c r="G7" s="182" t="s">
        <v>1726</v>
      </c>
    </row>
    <row r="8" spans="1:9" x14ac:dyDescent="0.25">
      <c r="A8" s="149" t="s">
        <v>1770</v>
      </c>
      <c r="B8" s="149"/>
      <c r="C8" s="152" t="s">
        <v>1771</v>
      </c>
      <c r="E8" s="140"/>
      <c r="G8" s="183" t="s">
        <v>149</v>
      </c>
    </row>
    <row r="9" spans="1:9" x14ac:dyDescent="0.25">
      <c r="A9" s="149" t="s">
        <v>153</v>
      </c>
      <c r="B9" s="149"/>
      <c r="C9" s="154" t="s">
        <v>1772</v>
      </c>
      <c r="E9" s="64"/>
      <c r="G9" s="184" t="s">
        <v>150</v>
      </c>
    </row>
    <row r="10" spans="1:9" x14ac:dyDescent="0.25">
      <c r="A10" s="149" t="s">
        <v>1760</v>
      </c>
      <c r="E10" s="54"/>
      <c r="G10" s="185" t="s">
        <v>1697</v>
      </c>
    </row>
    <row r="11" spans="1:9" x14ac:dyDescent="0.25">
      <c r="E11" s="134"/>
      <c r="G11" s="184" t="s">
        <v>151</v>
      </c>
    </row>
    <row r="12" spans="1:9" x14ac:dyDescent="0.25">
      <c r="G12" s="184" t="s">
        <v>152</v>
      </c>
    </row>
    <row r="13" spans="1:9" x14ac:dyDescent="0.25">
      <c r="G13" s="183" t="s">
        <v>157</v>
      </c>
    </row>
    <row r="14" spans="1:9" x14ac:dyDescent="0.25">
      <c r="G14" s="179" t="s">
        <v>154</v>
      </c>
    </row>
    <row r="15" spans="1:9" x14ac:dyDescent="0.25">
      <c r="G15" s="179" t="s">
        <v>155</v>
      </c>
    </row>
    <row r="16" spans="1:9" x14ac:dyDescent="0.25">
      <c r="G16" s="179" t="s">
        <v>156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2">
    <tablePart r:id="rId2"/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2" sqref="A32:A33"/>
    </sheetView>
  </sheetViews>
  <sheetFormatPr defaultRowHeight="15" x14ac:dyDescent="0.25"/>
  <sheetData/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autoPageBreaks="0"/>
  </sheetPr>
  <dimension ref="A1:AA40"/>
  <sheetViews>
    <sheetView showGridLines="0" workbookViewId="0">
      <selection activeCell="B5" sqref="B5"/>
    </sheetView>
  </sheetViews>
  <sheetFormatPr defaultRowHeight="15" outlineLevelRow="1" outlineLevelCol="1" x14ac:dyDescent="0.25"/>
  <cols>
    <col min="1" max="1" width="3.7109375" customWidth="1"/>
    <col min="2" max="2" width="17.7109375" customWidth="1"/>
    <col min="3" max="3" width="9.42578125" bestFit="1" customWidth="1"/>
    <col min="4" max="4" width="21.85546875" bestFit="1" customWidth="1"/>
    <col min="5" max="5" width="17" bestFit="1" customWidth="1"/>
    <col min="6" max="6" width="44.28515625" bestFit="1" customWidth="1"/>
    <col min="7" max="7" width="12.7109375" customWidth="1"/>
    <col min="8" max="8" width="2" customWidth="1"/>
    <col min="9" max="9" width="27.85546875" customWidth="1" outlineLevel="1"/>
    <col min="10" max="10" width="26.85546875" customWidth="1" outlineLevel="1"/>
    <col min="11" max="11" width="21" customWidth="1" outlineLevel="1"/>
    <col min="12" max="12" width="27.85546875" bestFit="1" customWidth="1"/>
    <col min="13" max="13" width="28.85546875" customWidth="1"/>
    <col min="14" max="14" width="24.42578125" customWidth="1"/>
    <col min="15" max="15" width="20.28515625" customWidth="1" outlineLevel="1"/>
    <col min="16" max="17" width="42.42578125" customWidth="1" outlineLevel="1"/>
    <col min="18" max="18" width="30.5703125" customWidth="1" outlineLevel="1"/>
    <col min="19" max="19" width="2.140625" customWidth="1"/>
    <col min="20" max="20" width="14.140625" customWidth="1" outlineLevel="1"/>
    <col min="21" max="21" width="15.42578125" customWidth="1" outlineLevel="1"/>
    <col min="22" max="22" width="9.42578125" customWidth="1" outlineLevel="1"/>
    <col min="23" max="23" width="2.140625" customWidth="1"/>
    <col min="24" max="24" width="10.28515625" customWidth="1" outlineLevel="1"/>
    <col min="25" max="25" width="24.85546875" customWidth="1" outlineLevel="1"/>
    <col min="26" max="26" width="22.5703125" customWidth="1" outlineLevel="1"/>
    <col min="27" max="27" width="11.28515625" customWidth="1" outlineLevel="1"/>
  </cols>
  <sheetData>
    <row r="1" spans="1:27" ht="15" customHeight="1" x14ac:dyDescent="0.25">
      <c r="B1" s="47"/>
      <c r="C1" s="47"/>
      <c r="D1" s="47"/>
      <c r="F1" s="47"/>
      <c r="G1" s="47"/>
    </row>
    <row r="2" spans="1:27" ht="34.5" customHeight="1" x14ac:dyDescent="0.25">
      <c r="B2" s="47"/>
      <c r="C2" s="47"/>
      <c r="D2" s="48"/>
      <c r="F2" s="47"/>
      <c r="G2" s="47"/>
    </row>
    <row r="3" spans="1:27" ht="2.25" customHeight="1" x14ac:dyDescent="0.25">
      <c r="A3" s="20"/>
      <c r="B3" s="49"/>
      <c r="C3" s="49"/>
      <c r="D3" s="49"/>
      <c r="E3" s="49"/>
      <c r="F3" s="49"/>
      <c r="G3" s="49"/>
    </row>
    <row r="4" spans="1:27" ht="15" customHeight="1" x14ac:dyDescent="0.25">
      <c r="B4" s="47"/>
      <c r="C4" s="47"/>
      <c r="D4" s="47"/>
      <c r="F4" s="47"/>
      <c r="G4" s="47"/>
    </row>
    <row r="5" spans="1:27" ht="15" customHeight="1" x14ac:dyDescent="0.25">
      <c r="B5" s="50" t="s">
        <v>1773</v>
      </c>
      <c r="C5" s="50"/>
      <c r="D5" s="47"/>
      <c r="F5" s="47"/>
      <c r="G5" s="47"/>
    </row>
    <row r="6" spans="1:27" ht="15" customHeight="1" x14ac:dyDescent="0.25">
      <c r="B6" s="47"/>
      <c r="C6" s="47"/>
      <c r="D6" s="47"/>
      <c r="F6" s="47"/>
      <c r="G6" s="47"/>
    </row>
    <row r="7" spans="1:27" ht="135" customHeight="1" outlineLevel="1" x14ac:dyDescent="0.25">
      <c r="B7" s="51" t="s">
        <v>65</v>
      </c>
      <c r="C7" s="228"/>
      <c r="D7" s="228"/>
      <c r="E7" s="228"/>
      <c r="F7" s="228"/>
      <c r="G7" s="228"/>
      <c r="H7" s="52"/>
      <c r="I7" s="52"/>
      <c r="R7" s="52"/>
      <c r="S7" s="52"/>
      <c r="W7" s="52"/>
    </row>
    <row r="8" spans="1:27" ht="15" customHeight="1" outlineLevel="1" x14ac:dyDescent="0.25">
      <c r="B8" s="47"/>
      <c r="C8" s="47"/>
      <c r="D8" s="47"/>
      <c r="F8" s="47"/>
      <c r="G8" s="47"/>
    </row>
    <row r="9" spans="1:27" ht="15" customHeight="1" outlineLevel="1" x14ac:dyDescent="0.25">
      <c r="B9" s="47"/>
      <c r="C9" s="47"/>
      <c r="D9" s="47"/>
      <c r="F9" s="47"/>
      <c r="G9" s="47"/>
    </row>
    <row r="10" spans="1:27" ht="15" customHeight="1" outlineLevel="1" x14ac:dyDescent="0.25">
      <c r="B10" s="47"/>
      <c r="C10" s="47"/>
      <c r="D10" s="47"/>
      <c r="F10" s="47"/>
      <c r="G10" s="47"/>
    </row>
    <row r="11" spans="1:27" x14ac:dyDescent="0.25">
      <c r="B11" s="212" t="s">
        <v>67</v>
      </c>
      <c r="C11" s="213"/>
      <c r="D11" s="213"/>
      <c r="E11" s="213"/>
      <c r="F11" s="213"/>
      <c r="G11" s="214"/>
      <c r="I11" s="215" t="s">
        <v>68</v>
      </c>
      <c r="J11" s="216"/>
      <c r="K11" s="217"/>
      <c r="L11" s="207" t="s">
        <v>69</v>
      </c>
      <c r="M11" s="208"/>
      <c r="N11" s="209"/>
      <c r="O11" s="207" t="s">
        <v>70</v>
      </c>
      <c r="P11" s="208"/>
      <c r="Q11" s="208"/>
      <c r="R11" s="209"/>
      <c r="T11" s="207" t="s">
        <v>71</v>
      </c>
      <c r="U11" s="208"/>
      <c r="V11" s="209"/>
      <c r="X11" s="207" t="s">
        <v>72</v>
      </c>
      <c r="Y11" s="208"/>
      <c r="Z11" s="208"/>
      <c r="AA11" s="209"/>
    </row>
    <row r="12" spans="1:27" x14ac:dyDescent="0.25">
      <c r="B12" s="60" t="s">
        <v>73</v>
      </c>
      <c r="C12" s="60" t="s">
        <v>74</v>
      </c>
      <c r="D12" s="60" t="s">
        <v>75</v>
      </c>
      <c r="E12" s="60" t="s">
        <v>76</v>
      </c>
      <c r="F12" s="60" t="s">
        <v>77</v>
      </c>
      <c r="G12" s="60" t="s">
        <v>78</v>
      </c>
      <c r="I12" s="55" t="s">
        <v>79</v>
      </c>
      <c r="J12" s="56" t="s">
        <v>80</v>
      </c>
      <c r="K12" s="57" t="s">
        <v>81</v>
      </c>
      <c r="L12" s="55" t="s">
        <v>79</v>
      </c>
      <c r="M12" s="56" t="s">
        <v>80</v>
      </c>
      <c r="N12" s="57" t="s">
        <v>81</v>
      </c>
      <c r="O12" s="58" t="s">
        <v>82</v>
      </c>
      <c r="P12" s="59" t="s">
        <v>83</v>
      </c>
      <c r="Q12" s="53" t="s">
        <v>84</v>
      </c>
      <c r="R12" s="53" t="s">
        <v>85</v>
      </c>
      <c r="T12" s="61" t="s">
        <v>86</v>
      </c>
      <c r="U12" s="61" t="s">
        <v>87</v>
      </c>
      <c r="V12" s="61" t="s">
        <v>88</v>
      </c>
      <c r="X12" s="61" t="s">
        <v>86</v>
      </c>
      <c r="Y12" s="61" t="s">
        <v>89</v>
      </c>
      <c r="Z12" s="61" t="s">
        <v>90</v>
      </c>
      <c r="AA12" s="61" t="s">
        <v>88</v>
      </c>
    </row>
    <row r="13" spans="1:27" x14ac:dyDescent="0.25">
      <c r="B13" s="62"/>
      <c r="C13" s="62"/>
      <c r="D13" s="62"/>
      <c r="E13" s="62"/>
      <c r="F13" s="62"/>
      <c r="G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T13" s="62"/>
      <c r="U13" s="62"/>
      <c r="V13" s="62"/>
      <c r="X13" s="62"/>
      <c r="Y13" s="62"/>
      <c r="Z13" s="62"/>
      <c r="AA13" s="62"/>
    </row>
    <row r="14" spans="1:27" x14ac:dyDescent="0.25">
      <c r="B14" s="62"/>
      <c r="C14" s="62"/>
      <c r="D14" s="62"/>
      <c r="E14" s="62"/>
      <c r="F14" s="62"/>
      <c r="G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T14" s="62"/>
      <c r="U14" s="62"/>
      <c r="V14" s="62"/>
      <c r="X14" s="62"/>
      <c r="Y14" s="62"/>
      <c r="Z14" s="62"/>
      <c r="AA14" s="62"/>
    </row>
    <row r="15" spans="1:27" x14ac:dyDescent="0.25">
      <c r="B15" s="62"/>
      <c r="C15" s="62"/>
      <c r="D15" s="62"/>
      <c r="E15" s="62"/>
      <c r="F15" s="62"/>
      <c r="G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T15" s="62"/>
      <c r="U15" s="62"/>
      <c r="V15" s="62"/>
      <c r="X15" s="62"/>
      <c r="Y15" s="62"/>
      <c r="Z15" s="62"/>
      <c r="AA15" s="62"/>
    </row>
    <row r="16" spans="1:27" x14ac:dyDescent="0.25">
      <c r="B16" s="62"/>
      <c r="C16" s="62"/>
      <c r="D16" s="62"/>
      <c r="E16" s="62"/>
      <c r="F16" s="62"/>
      <c r="G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T16" s="62"/>
      <c r="U16" s="62"/>
      <c r="V16" s="62"/>
      <c r="X16" s="62"/>
      <c r="Y16" s="62"/>
      <c r="Z16" s="62"/>
      <c r="AA16" s="62"/>
    </row>
    <row r="17" spans="2:27" x14ac:dyDescent="0.25">
      <c r="B17" s="62"/>
      <c r="C17" s="62"/>
      <c r="D17" s="62"/>
      <c r="E17" s="62"/>
      <c r="F17" s="62"/>
      <c r="G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T17" s="62"/>
      <c r="U17" s="62"/>
      <c r="V17" s="62"/>
      <c r="X17" s="62"/>
      <c r="Y17" s="62"/>
      <c r="Z17" s="62"/>
      <c r="AA17" s="62"/>
    </row>
    <row r="18" spans="2:27" x14ac:dyDescent="0.25">
      <c r="B18" s="62"/>
      <c r="C18" s="62"/>
      <c r="D18" s="62"/>
      <c r="E18" s="62"/>
      <c r="F18" s="62"/>
      <c r="G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T18" s="62"/>
      <c r="U18" s="62"/>
      <c r="V18" s="62"/>
      <c r="X18" s="62"/>
      <c r="Y18" s="62"/>
      <c r="Z18" s="62"/>
      <c r="AA18" s="62"/>
    </row>
    <row r="19" spans="2:27" x14ac:dyDescent="0.25">
      <c r="B19" s="62"/>
      <c r="C19" s="62"/>
      <c r="D19" s="62"/>
      <c r="E19" s="62"/>
      <c r="F19" s="62"/>
      <c r="G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T19" s="62"/>
      <c r="U19" s="62"/>
      <c r="V19" s="62"/>
      <c r="X19" s="62"/>
      <c r="Y19" s="62"/>
      <c r="Z19" s="62"/>
      <c r="AA19" s="62"/>
    </row>
    <row r="20" spans="2:27" x14ac:dyDescent="0.25">
      <c r="B20" s="62"/>
      <c r="C20" s="62"/>
      <c r="D20" s="62"/>
      <c r="E20" s="62"/>
      <c r="F20" s="62"/>
      <c r="G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T20" s="62"/>
      <c r="U20" s="62"/>
      <c r="V20" s="62"/>
      <c r="X20" s="62"/>
      <c r="Y20" s="62"/>
      <c r="Z20" s="62"/>
      <c r="AA20" s="62"/>
    </row>
    <row r="21" spans="2:27" x14ac:dyDescent="0.25">
      <c r="B21" s="62"/>
      <c r="C21" s="62"/>
      <c r="D21" s="62"/>
      <c r="E21" s="62"/>
      <c r="F21" s="62"/>
      <c r="G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T21" s="62"/>
      <c r="U21" s="62"/>
      <c r="V21" s="62"/>
      <c r="X21" s="62"/>
      <c r="Y21" s="62"/>
      <c r="Z21" s="62"/>
      <c r="AA21" s="62"/>
    </row>
    <row r="22" spans="2:27" x14ac:dyDescent="0.25">
      <c r="B22" s="62"/>
      <c r="C22" s="62"/>
      <c r="D22" s="62"/>
      <c r="E22" s="62"/>
      <c r="F22" s="62"/>
      <c r="G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T22" s="62"/>
      <c r="U22" s="62"/>
      <c r="V22" s="62"/>
      <c r="X22" s="62"/>
      <c r="Y22" s="62"/>
      <c r="Z22" s="62"/>
      <c r="AA22" s="62"/>
    </row>
    <row r="23" spans="2:27" x14ac:dyDescent="0.25">
      <c r="B23" s="62"/>
      <c r="C23" s="62"/>
      <c r="D23" s="62"/>
      <c r="E23" s="62"/>
      <c r="F23" s="62"/>
      <c r="G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T23" s="62"/>
      <c r="U23" s="62"/>
      <c r="V23" s="62"/>
      <c r="X23" s="62"/>
      <c r="Y23" s="62"/>
      <c r="Z23" s="62"/>
      <c r="AA23" s="62"/>
    </row>
    <row r="24" spans="2:27" x14ac:dyDescent="0.25">
      <c r="B24" s="62"/>
      <c r="C24" s="62"/>
      <c r="D24" s="62"/>
      <c r="E24" s="62"/>
      <c r="F24" s="62"/>
      <c r="G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T24" s="62"/>
      <c r="U24" s="62"/>
      <c r="V24" s="62"/>
      <c r="X24" s="62"/>
      <c r="Y24" s="62"/>
      <c r="Z24" s="62"/>
      <c r="AA24" s="62"/>
    </row>
    <row r="25" spans="2:27" x14ac:dyDescent="0.25">
      <c r="B25" s="62"/>
      <c r="C25" s="62"/>
      <c r="D25" s="62"/>
      <c r="E25" s="62"/>
      <c r="F25" s="62"/>
      <c r="G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T25" s="62"/>
      <c r="U25" s="62"/>
      <c r="V25" s="62"/>
      <c r="X25" s="62"/>
      <c r="Y25" s="62"/>
      <c r="Z25" s="62"/>
      <c r="AA25" s="62"/>
    </row>
    <row r="26" spans="2:27" ht="14.25" customHeight="1" x14ac:dyDescent="0.25">
      <c r="B26" s="62"/>
      <c r="C26" s="62"/>
      <c r="D26" s="62"/>
      <c r="E26" s="62"/>
      <c r="F26" s="62"/>
      <c r="G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T26" s="62"/>
      <c r="U26" s="62"/>
      <c r="V26" s="62"/>
      <c r="X26" s="62"/>
      <c r="Y26" s="62"/>
      <c r="Z26" s="62"/>
      <c r="AA26" s="62"/>
    </row>
    <row r="27" spans="2:27" ht="14.25" customHeight="1" x14ac:dyDescent="0.25">
      <c r="B27" s="62"/>
      <c r="C27" s="62"/>
      <c r="D27" s="62"/>
      <c r="E27" s="62"/>
      <c r="F27" s="62"/>
      <c r="G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T27" s="62"/>
      <c r="U27" s="62"/>
      <c r="V27" s="62"/>
      <c r="X27" s="62"/>
      <c r="Y27" s="62"/>
      <c r="Z27" s="62"/>
      <c r="AA27" s="62"/>
    </row>
    <row r="28" spans="2:27" x14ac:dyDescent="0.25">
      <c r="B28" s="62"/>
      <c r="C28" s="62"/>
      <c r="D28" s="62"/>
      <c r="E28" s="62"/>
      <c r="F28" s="62"/>
      <c r="G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T28" s="62"/>
      <c r="U28" s="62"/>
      <c r="V28" s="62"/>
      <c r="X28" s="62"/>
      <c r="Y28" s="62"/>
      <c r="Z28" s="62"/>
      <c r="AA28" s="62"/>
    </row>
    <row r="29" spans="2:27" x14ac:dyDescent="0.25">
      <c r="B29" s="62"/>
      <c r="C29" s="62"/>
      <c r="D29" s="62"/>
      <c r="E29" s="62"/>
      <c r="F29" s="62"/>
      <c r="G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T29" s="62"/>
      <c r="U29" s="62"/>
      <c r="V29" s="62"/>
      <c r="X29" s="62"/>
      <c r="Y29" s="62"/>
      <c r="Z29" s="62"/>
      <c r="AA29" s="62"/>
    </row>
    <row r="30" spans="2:27" x14ac:dyDescent="0.25">
      <c r="B30" s="62"/>
      <c r="C30" s="62"/>
      <c r="D30" s="62"/>
      <c r="E30" s="62"/>
      <c r="F30" s="62"/>
      <c r="G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T30" s="62"/>
      <c r="U30" s="62"/>
      <c r="V30" s="62"/>
      <c r="X30" s="62"/>
      <c r="Y30" s="62"/>
      <c r="Z30" s="62"/>
      <c r="AA30" s="62"/>
    </row>
    <row r="31" spans="2:27" x14ac:dyDescent="0.25">
      <c r="B31" s="62"/>
      <c r="C31" s="62"/>
      <c r="D31" s="62"/>
      <c r="E31" s="62"/>
      <c r="F31" s="62"/>
      <c r="G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T31" s="62"/>
      <c r="U31" s="62"/>
      <c r="V31" s="62"/>
      <c r="X31" s="62"/>
      <c r="Y31" s="62"/>
      <c r="Z31" s="62"/>
      <c r="AA31" s="62"/>
    </row>
    <row r="32" spans="2:27" x14ac:dyDescent="0.25">
      <c r="B32" s="62"/>
      <c r="C32" s="62"/>
      <c r="D32" s="62"/>
      <c r="E32" s="62"/>
      <c r="F32" s="62"/>
      <c r="G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T32" s="62"/>
      <c r="U32" s="62"/>
      <c r="V32" s="62"/>
      <c r="X32" s="62"/>
      <c r="Y32" s="62"/>
      <c r="Z32" s="62"/>
      <c r="AA32" s="62"/>
    </row>
    <row r="33" spans="2:27" x14ac:dyDescent="0.25">
      <c r="B33" s="62"/>
      <c r="C33" s="62"/>
      <c r="D33" s="62"/>
      <c r="E33" s="62"/>
      <c r="F33" s="62"/>
      <c r="G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T33" s="62"/>
      <c r="U33" s="62"/>
      <c r="V33" s="62"/>
      <c r="X33" s="62"/>
      <c r="Y33" s="62"/>
      <c r="Z33" s="62"/>
      <c r="AA33" s="62"/>
    </row>
    <row r="34" spans="2:27" x14ac:dyDescent="0.25">
      <c r="B34" s="62"/>
      <c r="C34" s="62"/>
      <c r="D34" s="62"/>
      <c r="E34" s="62"/>
      <c r="F34" s="62"/>
      <c r="G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T34" s="62"/>
      <c r="U34" s="62"/>
      <c r="V34" s="62"/>
      <c r="X34" s="62"/>
      <c r="Y34" s="62"/>
      <c r="Z34" s="62"/>
      <c r="AA34" s="62"/>
    </row>
    <row r="35" spans="2:27" x14ac:dyDescent="0.25">
      <c r="B35" s="62"/>
      <c r="C35" s="62"/>
      <c r="D35" s="62"/>
      <c r="E35" s="62"/>
      <c r="F35" s="62"/>
      <c r="G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T35" s="62"/>
      <c r="U35" s="62"/>
      <c r="V35" s="62"/>
      <c r="X35" s="62"/>
      <c r="Y35" s="62"/>
      <c r="Z35" s="62"/>
      <c r="AA35" s="62"/>
    </row>
    <row r="36" spans="2:27" x14ac:dyDescent="0.25">
      <c r="B36" s="62"/>
      <c r="C36" s="62"/>
      <c r="D36" s="62"/>
      <c r="E36" s="62"/>
      <c r="F36" s="62"/>
      <c r="G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T36" s="62"/>
      <c r="U36" s="62"/>
      <c r="V36" s="62"/>
      <c r="X36" s="62"/>
      <c r="Y36" s="62"/>
      <c r="Z36" s="62"/>
      <c r="AA36" s="62"/>
    </row>
    <row r="37" spans="2:27" x14ac:dyDescent="0.25">
      <c r="B37" s="62"/>
      <c r="C37" s="62"/>
      <c r="D37" s="62"/>
      <c r="E37" s="62"/>
      <c r="F37" s="62"/>
      <c r="G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T37" s="62"/>
      <c r="U37" s="62"/>
      <c r="V37" s="62"/>
      <c r="X37" s="62"/>
      <c r="Y37" s="62"/>
      <c r="Z37" s="62"/>
      <c r="AA37" s="62"/>
    </row>
    <row r="38" spans="2:27" x14ac:dyDescent="0.25">
      <c r="B38" s="62"/>
      <c r="C38" s="62"/>
      <c r="D38" s="62"/>
      <c r="E38" s="62"/>
      <c r="F38" s="62"/>
      <c r="G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T38" s="62"/>
      <c r="U38" s="62"/>
      <c r="V38" s="62"/>
      <c r="X38" s="62"/>
      <c r="Y38" s="62"/>
      <c r="Z38" s="62"/>
      <c r="AA38" s="62"/>
    </row>
    <row r="39" spans="2:27" x14ac:dyDescent="0.25">
      <c r="B39" s="62"/>
      <c r="C39" s="62"/>
      <c r="D39" s="62"/>
      <c r="E39" s="62"/>
      <c r="F39" s="62"/>
      <c r="G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T39" s="62"/>
      <c r="U39" s="62"/>
      <c r="V39" s="62"/>
      <c r="X39" s="62"/>
      <c r="Y39" s="62"/>
      <c r="Z39" s="62"/>
      <c r="AA39" s="62"/>
    </row>
    <row r="40" spans="2:27" x14ac:dyDescent="0.25">
      <c r="B40" s="62"/>
      <c r="C40" s="62"/>
      <c r="D40" s="62"/>
      <c r="E40" s="62"/>
      <c r="F40" s="62"/>
      <c r="G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T40" s="62"/>
      <c r="U40" s="62"/>
      <c r="V40" s="62"/>
      <c r="X40" s="62"/>
      <c r="Y40" s="62"/>
      <c r="Z40" s="62"/>
      <c r="AA40" s="62"/>
    </row>
  </sheetData>
  <autoFilter ref="B12:T12"/>
  <mergeCells count="7">
    <mergeCell ref="X11:AA11"/>
    <mergeCell ref="C7:G7"/>
    <mergeCell ref="B11:G11"/>
    <mergeCell ref="I11:K11"/>
    <mergeCell ref="L11:N11"/>
    <mergeCell ref="O11:R11"/>
    <mergeCell ref="T11:V11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2" ma:contentTypeDescription="Criar um novo documento." ma:contentTypeScope="" ma:versionID="a7a7c7330211281f7243a22470ce2e5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c28e91176c9b4921ea9a3bbad06dd6c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8D82F4-9FD9-445A-8FBD-04E6573859BF}"/>
</file>

<file path=customXml/itemProps2.xml><?xml version="1.0" encoding="utf-8"?>
<ds:datastoreItem xmlns:ds="http://schemas.openxmlformats.org/officeDocument/2006/customXml" ds:itemID="{2B2465C2-8D17-4DB0-889A-2A8D236A48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265E40-37F9-4C63-9845-46234D6D7D7D}">
  <ds:schemaRefs>
    <ds:schemaRef ds:uri="http://purl.org/dc/elements/1.1/"/>
    <ds:schemaRef ds:uri="17a01ad7-19ad-4e31-9f30-2498d204288e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91e1d33a-8304-4b98-b2be-643360b6fa6a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Capa</vt:lpstr>
      <vt:lpstr>Metodologia</vt:lpstr>
      <vt:lpstr>Indice</vt:lpstr>
      <vt:lpstr>Tbl Param Atributos</vt:lpstr>
      <vt:lpstr>Resumo</vt:lpstr>
      <vt:lpstr>ct872_reg_conct - âmbito</vt:lpstr>
      <vt:lpstr>ct872_reg_conct - ativo</vt:lpstr>
      <vt:lpstr>ct872_reg_conct - passivo</vt:lpstr>
      <vt:lpstr>Modris_Param_Prazo_Cont</vt:lpstr>
      <vt:lpstr>ct805_matriz_cnt</vt:lpstr>
      <vt:lpstr>fact_contratos_contabilidade_at</vt:lpstr>
      <vt:lpstr>fact_contratos_gsi</vt:lpstr>
      <vt:lpstr>fact_contratos_ifrs9</vt:lpstr>
      <vt:lpstr>Sheet1</vt:lpstr>
      <vt:lpstr>fact_contratos_capital</vt:lpstr>
      <vt:lpstr>fact_contratos_nd</vt:lpstr>
      <vt:lpstr>fact_contratos_mis</vt:lpstr>
      <vt:lpstr>fact_contratos_alm</vt:lpstr>
      <vt:lpstr>fact_clientes</vt:lpstr>
      <vt:lpstr>fact_clientes_crc</vt:lpstr>
      <vt:lpstr>dim_bridge_perimetros</vt:lpstr>
      <vt:lpstr>fact_contratos_passivo</vt:lpstr>
      <vt:lpstr>rsc_view_contratos_ativo</vt:lpstr>
      <vt:lpstr>rsc_view_clientes</vt:lpstr>
      <vt:lpstr>lista_dimensoes</vt:lpstr>
      <vt:lpstr>Lista campos desconsiderados</vt:lpstr>
      <vt:lpstr>Dimensões</vt:lpstr>
      <vt:lpstr>Tabelas AUX</vt:lpstr>
      <vt:lpstr>Sheet2</vt:lpstr>
      <vt:lpstr>Layout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Inês Caldeira Santos</dc:creator>
  <cp:keywords/>
  <dc:description/>
  <cp:lastModifiedBy>Maria Inês Caldeira Santos</cp:lastModifiedBy>
  <cp:revision/>
  <dcterms:created xsi:type="dcterms:W3CDTF">2022-10-10T11:19:56Z</dcterms:created>
  <dcterms:modified xsi:type="dcterms:W3CDTF">2024-02-27T16:16:31Z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  <property fmtid="{D5CDD505-2E9C-101B-9397-08002B2CF9AE}" pid="3" name="MediaServiceImageTags">
    <vt:lpwstr/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2024-02-27T16:16:31Z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d596b6b3-a730-4d2c-8fba-1ea90e758ba6</vt:lpwstr>
  </property>
  <property fmtid="{D5CDD505-2E9C-101B-9397-08002B2CF9AE}" pid="10" name="MSIP_Label_3c41c091-3cbc-4dba-8b59-ce62f19500db_ContentBits">
    <vt:lpwstr>1</vt:lpwstr>
  </property>
</Properties>
</file>