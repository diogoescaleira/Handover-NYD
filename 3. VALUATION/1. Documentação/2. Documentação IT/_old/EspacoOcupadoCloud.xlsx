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58309\Santander Office 365\Reports Financeira - General\3. VALUATION\1. Documentação\2. Documentação IT\"/>
    </mc:Choice>
  </mc:AlternateContent>
  <bookViews>
    <workbookView xWindow="0" yWindow="0" windowWidth="20490" windowHeight="7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1" l="1"/>
  <c r="I11" i="1"/>
  <c r="I12" i="1"/>
  <c r="I13" i="1"/>
  <c r="I14" i="1"/>
  <c r="I15" i="1"/>
  <c r="I16" i="1"/>
  <c r="I5" i="1"/>
  <c r="I6" i="1"/>
  <c r="I7" i="1"/>
  <c r="I8" i="1"/>
  <c r="I9" i="1"/>
  <c r="I10" i="1"/>
  <c r="I4" i="1"/>
</calcChain>
</file>

<file path=xl/sharedStrings.xml><?xml version="1.0" encoding="utf-8"?>
<sst xmlns="http://schemas.openxmlformats.org/spreadsheetml/2006/main" count="46" uniqueCount="34">
  <si>
    <t>workbench_reportinghub.</t>
  </si>
  <si>
    <t>database</t>
  </si>
  <si>
    <t>tabela</t>
  </si>
  <si>
    <t>MB</t>
  </si>
  <si>
    <t>00411_20230930_01_01_leg_instr</t>
  </si>
  <si>
    <t>00411_20230930_01_02_leg_count</t>
  </si>
  <si>
    <t>00411_20230930_01_03_leg_prote</t>
  </si>
  <si>
    <t>00411_20230930_02_01_nat_instr</t>
  </si>
  <si>
    <t>00411_20230930_02_02_nat_count</t>
  </si>
  <si>
    <t>00411_20230930_02_03_nat_prot</t>
  </si>
  <si>
    <t>00411_20230930_03_01_off_instr</t>
  </si>
  <si>
    <t>00411_20230930_03_02_off_count</t>
  </si>
  <si>
    <t>00411_20230930_03_03_off_prot</t>
  </si>
  <si>
    <t>00411_20230930_04_01_derivatives</t>
  </si>
  <si>
    <t>00411_20230930_05_01_debtsecurities</t>
  </si>
  <si>
    <t>00411_20230930_06_01_equity</t>
  </si>
  <si>
    <t>00411_20230930_07_01_dtasdtcs</t>
  </si>
  <si>
    <t>12.5MiB</t>
  </si>
  <si>
    <t>1.2MiB</t>
  </si>
  <si>
    <t>2MiB</t>
  </si>
  <si>
    <t>17MiB</t>
  </si>
  <si>
    <t>15MiB</t>
  </si>
  <si>
    <t>745.1KiB</t>
  </si>
  <si>
    <t>180.3KiB</t>
  </si>
  <si>
    <t>751.2KiB</t>
  </si>
  <si>
    <t>25.7KiB</t>
  </si>
  <si>
    <t>14.1KiB</t>
  </si>
  <si>
    <t>5.9KiB</t>
  </si>
  <si>
    <t>4KiB</t>
  </si>
  <si>
    <t xml:space="preserve">Ficheiro CSV ocupa 1,63GB não se conseguiu carregar no databricks. Considerando que ocuparia no databricks 3x menos -&gt; 0,5433 gb = 556.36992 MB </t>
  </si>
  <si>
    <t>Report Valuation</t>
  </si>
  <si>
    <t>Report LDR</t>
  </si>
  <si>
    <t>size (MiB) do CSV carregado em tabela no Databricks para a posição de 30-09-2023</t>
  </si>
  <si>
    <t>ATENÇAO AO X2 PORQUE SÃO 2 PERIMETROS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</si>
</sst>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#,##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8" fontId="0" fillId="0" borderId="0" xfId="0" applyNumberFormat="1"/>
    <xf numFmtId="168" fontId="0" fillId="0" borderId="1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168" fontId="0" fillId="0" borderId="0" xfId="0" applyNumberFormat="1" applyBorder="1" applyAlignment="1">
      <alignment horizontal="center"/>
    </xf>
    <xf numFmtId="0" fontId="1" fillId="2" borderId="0" xfId="0" applyFont="1" applyFill="1" applyAlignment="1">
      <alignment horizontal="center"/>
    </xf>
    <xf numFmtId="168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0"/>
  <sheetViews>
    <sheetView tabSelected="1" workbookViewId="0">
      <selection activeCell="B21" sqref="B21"/>
    </sheetView>
  </sheetViews>
  <sheetFormatPr defaultRowHeight="15" x14ac:dyDescent="0.25"/>
  <cols>
    <col min="1" max="1" width="3" customWidth="1"/>
    <col min="2" max="2" width="24.5703125" style="1" bestFit="1" customWidth="1"/>
    <col min="3" max="3" width="35.5703125" style="1" bestFit="1" customWidth="1"/>
    <col min="4" max="4" width="48.42578125" style="1" bestFit="1" customWidth="1"/>
    <col min="5" max="5" width="7.5703125" style="4" bestFit="1" customWidth="1"/>
    <col min="6" max="6" width="134.7109375" style="4" bestFit="1" customWidth="1"/>
    <col min="7" max="7" width="24.5703125" style="4" customWidth="1"/>
  </cols>
  <sheetData>
    <row r="2" spans="2:9" x14ac:dyDescent="0.25">
      <c r="B2" s="8" t="s">
        <v>30</v>
      </c>
    </row>
    <row r="3" spans="2:9" x14ac:dyDescent="0.25">
      <c r="B3" s="3" t="s">
        <v>1</v>
      </c>
      <c r="C3" s="3" t="s">
        <v>2</v>
      </c>
      <c r="D3" s="3" t="s">
        <v>32</v>
      </c>
      <c r="E3" s="3" t="s">
        <v>3</v>
      </c>
      <c r="F3" s="6"/>
      <c r="G3" s="6"/>
    </row>
    <row r="4" spans="2:9" x14ac:dyDescent="0.25">
      <c r="B4" s="2" t="s">
        <v>0</v>
      </c>
      <c r="C4" s="2" t="s">
        <v>4</v>
      </c>
      <c r="D4" s="2" t="s">
        <v>17</v>
      </c>
      <c r="E4" s="5">
        <v>13.107200000000001</v>
      </c>
      <c r="F4" s="7"/>
      <c r="G4" s="7"/>
      <c r="H4">
        <v>41</v>
      </c>
      <c r="I4">
        <f>H4/E4</f>
        <v>3.1280517578125</v>
      </c>
    </row>
    <row r="5" spans="2:9" x14ac:dyDescent="0.25">
      <c r="B5" s="2" t="s">
        <v>0</v>
      </c>
      <c r="C5" s="2" t="s">
        <v>5</v>
      </c>
      <c r="D5" s="2" t="s">
        <v>18</v>
      </c>
      <c r="E5" s="5">
        <v>1.2582911999999999</v>
      </c>
      <c r="F5" s="7"/>
      <c r="G5" s="7"/>
      <c r="H5">
        <v>4.8499999999999996</v>
      </c>
      <c r="I5">
        <f>H5/E5</f>
        <v>3.8544336954752603</v>
      </c>
    </row>
    <row r="6" spans="2:9" x14ac:dyDescent="0.25">
      <c r="B6" s="2" t="s">
        <v>0</v>
      </c>
      <c r="C6" s="2" t="s">
        <v>6</v>
      </c>
      <c r="D6" s="2" t="s">
        <v>19</v>
      </c>
      <c r="E6" s="5">
        <v>2.0971519999999999</v>
      </c>
      <c r="F6" s="7"/>
      <c r="G6" s="7"/>
      <c r="H6">
        <v>6.67</v>
      </c>
      <c r="I6">
        <f>H6/E6</f>
        <v>3.1805038452148438</v>
      </c>
    </row>
    <row r="7" spans="2:9" x14ac:dyDescent="0.25">
      <c r="B7" s="2" t="s">
        <v>0</v>
      </c>
      <c r="C7" s="2" t="s">
        <v>7</v>
      </c>
      <c r="D7" s="2"/>
      <c r="E7" s="5">
        <v>556.36991999999998</v>
      </c>
      <c r="F7" s="7" t="s">
        <v>29</v>
      </c>
      <c r="G7" s="7"/>
      <c r="I7">
        <f>H7/E7</f>
        <v>0</v>
      </c>
    </row>
    <row r="8" spans="2:9" x14ac:dyDescent="0.25">
      <c r="B8" s="2" t="s">
        <v>0</v>
      </c>
      <c r="C8" s="2" t="s">
        <v>8</v>
      </c>
      <c r="D8" s="2" t="s">
        <v>20</v>
      </c>
      <c r="E8" s="5">
        <v>17.825792</v>
      </c>
      <c r="F8" s="7"/>
      <c r="G8" s="7"/>
      <c r="H8">
        <v>47</v>
      </c>
      <c r="I8">
        <f>H8/E8</f>
        <v>2.6366289924172794</v>
      </c>
    </row>
    <row r="9" spans="2:9" x14ac:dyDescent="0.25">
      <c r="B9" s="2" t="s">
        <v>0</v>
      </c>
      <c r="C9" s="2" t="s">
        <v>9</v>
      </c>
      <c r="D9" s="2" t="s">
        <v>21</v>
      </c>
      <c r="E9" s="5">
        <v>15.72864</v>
      </c>
      <c r="F9" s="7"/>
      <c r="G9" s="7"/>
      <c r="H9">
        <v>36.6</v>
      </c>
      <c r="I9">
        <f>H9/E9</f>
        <v>2.32696533203125</v>
      </c>
    </row>
    <row r="10" spans="2:9" x14ac:dyDescent="0.25">
      <c r="B10" s="2" t="s">
        <v>0</v>
      </c>
      <c r="C10" s="2" t="s">
        <v>10</v>
      </c>
      <c r="D10" s="2" t="s">
        <v>22</v>
      </c>
      <c r="E10" s="5">
        <v>0.76298239999999995</v>
      </c>
      <c r="F10" s="7"/>
      <c r="G10" s="7"/>
      <c r="H10">
        <v>2.0099999999999998</v>
      </c>
      <c r="I10">
        <f>H10/E10</f>
        <v>2.6343989061870889</v>
      </c>
    </row>
    <row r="11" spans="2:9" x14ac:dyDescent="0.25">
      <c r="B11" s="2" t="s">
        <v>0</v>
      </c>
      <c r="C11" s="2" t="s">
        <v>11</v>
      </c>
      <c r="D11" s="2" t="s">
        <v>23</v>
      </c>
      <c r="E11" s="5">
        <v>0.18462719999999999</v>
      </c>
      <c r="F11" s="7"/>
      <c r="G11" s="7"/>
      <c r="I11">
        <f>H11/E11</f>
        <v>0</v>
      </c>
    </row>
    <row r="12" spans="2:9" x14ac:dyDescent="0.25">
      <c r="B12" s="2" t="s">
        <v>0</v>
      </c>
      <c r="C12" s="2" t="s">
        <v>12</v>
      </c>
      <c r="D12" s="2" t="s">
        <v>24</v>
      </c>
      <c r="E12" s="5">
        <v>0.76922880000000005</v>
      </c>
      <c r="F12" s="7"/>
      <c r="G12" s="7"/>
      <c r="H12">
        <v>1.74</v>
      </c>
      <c r="I12">
        <f>H12/E12</f>
        <v>2.2620057907348241</v>
      </c>
    </row>
    <row r="13" spans="2:9" x14ac:dyDescent="0.25">
      <c r="B13" s="2" t="s">
        <v>0</v>
      </c>
      <c r="C13" s="2" t="s">
        <v>13</v>
      </c>
      <c r="D13" s="2" t="s">
        <v>25</v>
      </c>
      <c r="E13" s="5">
        <v>2.6316800000000001E-2</v>
      </c>
      <c r="F13" s="7"/>
      <c r="G13" s="7"/>
      <c r="I13">
        <f>H13/E13</f>
        <v>0</v>
      </c>
    </row>
    <row r="14" spans="2:9" x14ac:dyDescent="0.25">
      <c r="B14" s="2" t="s">
        <v>0</v>
      </c>
      <c r="C14" s="2" t="s">
        <v>14</v>
      </c>
      <c r="D14" s="2" t="s">
        <v>26</v>
      </c>
      <c r="E14" s="5">
        <v>1.4438400000000001E-2</v>
      </c>
      <c r="F14" s="7"/>
      <c r="G14" s="7"/>
      <c r="I14">
        <f>H14/E14</f>
        <v>0</v>
      </c>
    </row>
    <row r="15" spans="2:9" x14ac:dyDescent="0.25">
      <c r="B15" s="2" t="s">
        <v>0</v>
      </c>
      <c r="C15" s="2" t="s">
        <v>15</v>
      </c>
      <c r="D15" s="2" t="s">
        <v>27</v>
      </c>
      <c r="E15" s="5">
        <v>6.0416000000000003E-3</v>
      </c>
      <c r="F15" s="7"/>
      <c r="G15" s="7"/>
      <c r="I15">
        <f>H15/E15</f>
        <v>0</v>
      </c>
    </row>
    <row r="16" spans="2:9" x14ac:dyDescent="0.25">
      <c r="B16" s="2" t="s">
        <v>0</v>
      </c>
      <c r="C16" s="2" t="s">
        <v>16</v>
      </c>
      <c r="D16" s="2" t="s">
        <v>28</v>
      </c>
      <c r="E16" s="5">
        <v>4.0959999999999998E-3</v>
      </c>
      <c r="F16" s="7"/>
      <c r="G16" s="7"/>
      <c r="I16">
        <f>H16/E16</f>
        <v>0</v>
      </c>
    </row>
    <row r="17" spans="2:6" x14ac:dyDescent="0.25">
      <c r="E17" s="9">
        <f>SUM(E4:E16)</f>
        <v>608.15472640000007</v>
      </c>
    </row>
    <row r="20" spans="2:6" x14ac:dyDescent="0.25">
      <c r="B20" s="8" t="s">
        <v>31</v>
      </c>
      <c r="F20" s="4" t="s">
        <v>33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2" ma:contentTypeDescription="Criar um novo documento." ma:contentTypeScope="" ma:versionID="a7a7c7330211281f7243a22470ce2e53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0c28e91176c9b4921ea9a3bbad06dd6c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AEF459-A263-4AB5-857F-F8AC3626849A}">
  <ds:schemaRefs>
    <ds:schemaRef ds:uri="http://purl.org/dc/terms/"/>
    <ds:schemaRef ds:uri="http://schemas.openxmlformats.org/package/2006/metadata/core-properties"/>
    <ds:schemaRef ds:uri="5ad20f8b-9281-4829-a9aa-2b5a878ba2cc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AD31727-9AD1-4877-8317-63451C6AD312}"/>
</file>

<file path=customXml/itemProps3.xml><?xml version="1.0" encoding="utf-8"?>
<ds:datastoreItem xmlns:ds="http://schemas.openxmlformats.org/officeDocument/2006/customXml" ds:itemID="{B677B0C0-7925-4696-B56F-4CB5C2EA0EC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 Filipe da Silva Pragosa</dc:creator>
  <cp:lastModifiedBy>Luís Filipe da Silva Pragosa</cp:lastModifiedBy>
  <dcterms:created xsi:type="dcterms:W3CDTF">2023-12-21T10:08:56Z</dcterms:created>
  <dcterms:modified xsi:type="dcterms:W3CDTF">2024-02-01T22:31:45Z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2023-12-21T10:53:36Z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32a24bec-862c-4fe5-b916-b1885ea5009e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0x0101009919D1966C74534B93803F0D2F66461C</vt:lpwstr>
  </property>
</Properties>
</file>