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13"/>
  <workbookPr filterPrivacy="1"/>
  <xr:revisionPtr revIDLastSave="2" documentId="11_08596476679BC3654730ECA6A6D2F6B04569E10B" xr6:coauthVersionLast="47" xr6:coauthVersionMax="47" xr10:uidLastSave="{D0D77201-D247-42A7-8193-19CA84A83195}"/>
  <bookViews>
    <workbookView xWindow="0" yWindow="0" windowWidth="20490" windowHeight="717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Sheet1!$B$2:$F$35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C38" i="2" l="1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1" i="2"/>
  <c r="D10" i="2"/>
  <c r="D9" i="2"/>
  <c r="D8" i="2"/>
  <c r="D7" i="2"/>
  <c r="D6" i="2"/>
  <c r="D5" i="2"/>
  <c r="D4" i="2"/>
  <c r="D3" i="2"/>
  <c r="D2" i="2"/>
  <c r="D38" i="2" s="1"/>
  <c r="D30" i="1" l="1"/>
  <c r="E28" i="1"/>
  <c r="E9" i="1" l="1"/>
  <c r="E10" i="1"/>
  <c r="E12" i="1"/>
  <c r="E13" i="1"/>
  <c r="E14" i="1"/>
  <c r="E20" i="1"/>
  <c r="E21" i="1"/>
  <c r="E24" i="1"/>
  <c r="E26" i="1"/>
  <c r="E27" i="1"/>
  <c r="E29" i="1"/>
  <c r="E30" i="1" l="1"/>
</calcChain>
</file>

<file path=xl/sharedStrings.xml><?xml version="1.0" encoding="utf-8"?>
<sst xmlns="http://schemas.openxmlformats.org/spreadsheetml/2006/main" count="108" uniqueCount="78">
  <si>
    <t>Grupo</t>
  </si>
  <si>
    <t>Tarefa</t>
  </si>
  <si>
    <t>Dias</t>
  </si>
  <si>
    <t>Horas</t>
  </si>
  <si>
    <t>Comentários</t>
  </si>
  <si>
    <t>Front (novo ecossistema e perfis)</t>
  </si>
  <si>
    <t>Estimativa facultada por Mónica Guerreiro no email 28/05/2024 12:22. "Nesta estimativa encontra-se detalhado de forma macro o esforço de 1 FTE fazer a implementação dos requisitos identificados no email infra e considerando que já têm alguma experiência com os processos implementados."</t>
  </si>
  <si>
    <t>hbase, Postgresql, Scripts Angular, Passagem de Pipelines, …</t>
  </si>
  <si>
    <t>WG - Alteração estrutura de tabelas</t>
  </si>
  <si>
    <t>Alterações ao Motor LT - No ficheiro exportado: Nome dos Campos diferente do Nome das tabelas</t>
  </si>
  <si>
    <t>Alterações ao Motor LT - No ficheiro exportado: Datas no formato “DD/MM/YYYY”</t>
  </si>
  <si>
    <t>Alterações ao Motor LT - Possibilitar que um campo tenha diferentes parametrizações consoante o Segmento</t>
  </si>
  <si>
    <t>Alterações ao Motor LT - Adicionar Novos Campos à Wallet (55 campos) 
+ Novos Campos: Definição por Iniciar (21 campos) 
= 76 campos</t>
  </si>
  <si>
    <t>Desenvolvimento Exportações (nome de ficheiro, localização, …)</t>
  </si>
  <si>
    <t>Ingestas</t>
  </si>
  <si>
    <t>9
3200 eur cada Ingesta</t>
  </si>
  <si>
    <t>Desenvolvimento Datalake (ALM, MUG ...)</t>
  </si>
  <si>
    <t>8 = 
6 (ALM) -&gt; 66h
 + 
2 (MUG) -&gt; 20h</t>
  </si>
  <si>
    <t>Desenvolvimento Aplicação Origem</t>
  </si>
  <si>
    <t>4 (SIGOM)
Rogério: "Nós não facultamos estimativas sem estarem fechados requisitos. Por exemplo, se receberem o Contract type e o Asset Class do Emir, qual a necessidade do produto e subproduto? Não me parece acrescentar valor."
LCM quer aproveitar os campos novos que vamos pedir ao SIGOM e trazer novos mas que nós achamos que não são precisos. O rogério só dá estimativas totais de um pedido
Mas nós vamos ter de segregar os pedidos, porque os que são do LCM e que não são precisos para o Valuation não podemos ser nós a pagar.</t>
  </si>
  <si>
    <t>Tabelas Manuais (ex: ficheiros de DTAs/DTCs e Intagible Assets) -&gt; a confirmar com o LCM se efetivamente não é para estar no datalake</t>
  </si>
  <si>
    <t>Adição de tabelas de parametrização no Postgresql</t>
  </si>
  <si>
    <t>Análise</t>
  </si>
  <si>
    <t>Campos Definição Incompleta</t>
  </si>
  <si>
    <t>reuniões 2h + análise 8h = 10h       25 campos x  10h= 250h</t>
  </si>
  <si>
    <t>Campos Definição por Iniciar</t>
  </si>
  <si>
    <t>21 campos</t>
  </si>
  <si>
    <t>Parametrizações de Campos</t>
  </si>
  <si>
    <t>reuniões 0,5h + análise 2h= 2,5h   94 campos x 2,5h=235h</t>
  </si>
  <si>
    <t>Parametrizações de Universo/Segmento</t>
  </si>
  <si>
    <t xml:space="preserve">reuniões 2h + análise 4h = 6h         6 Módulos x 6h =36h  </t>
  </si>
  <si>
    <t>Clarificar âmbito: Vamos ou não acompanhar a Financeira na definição/reuniões que terão de existir com a Contabilidade para produzir DTAs/DTCs e Intagible Assets</t>
  </si>
  <si>
    <t>Reuniões com CDO para aprovação de nomenclaturas das tabelas/campos</t>
  </si>
  <si>
    <t>Testes</t>
  </si>
  <si>
    <t>Testes ao Front-end</t>
  </si>
  <si>
    <t>Testes às Ingestas</t>
  </si>
  <si>
    <t>9 ingestas, 9 horas</t>
  </si>
  <si>
    <t>Testes aos novos campos</t>
  </si>
  <si>
    <t>55 campos *0,5h = 27,5h</t>
  </si>
  <si>
    <t>Testes aos ficheiros exportados (nomes dos campos, formato das datas, …)</t>
  </si>
  <si>
    <t>Acompanhamento dos Testes de Negócio</t>
  </si>
  <si>
    <t>Testes Integrados (end to end)</t>
  </si>
  <si>
    <t>Documentação</t>
  </si>
  <si>
    <t>Documento de Regras/Mapeamentos</t>
  </si>
  <si>
    <t>DDR</t>
  </si>
  <si>
    <t>Manual de Utilizador</t>
  </si>
  <si>
    <t>Notas:</t>
  </si>
  <si>
    <t>Não foi adicionado factor de cagaço</t>
  </si>
  <si>
    <t>Desenvolvimento</t>
  </si>
  <si>
    <t>Front-end</t>
  </si>
  <si>
    <t>Tem de se discutir uma solução com a Mónica/LCM, mas segundo LCM seria algo na parametrização (um campo que definia o formato...)</t>
  </si>
  <si>
    <t xml:space="preserve">Alterações ao Motor LT - No ficheiro exportado: Datas no formato “DD/MM/YYYY” </t>
  </si>
  <si>
    <t>Tem de se discutir uma solução com a Mónica/LCM, mas segundo LCM seria algo na parametrização (um campo que definia o...)</t>
  </si>
  <si>
    <t>Alterações ao Motor LT - No ficheiro exportado: Alimentar vários campos dos CSV a partir de um único campo LT
Ex: O DT_INCPTN da LT002 está mapeado para 2 campos do CSV do NATURALP_INSTRUMENTS: Inception date e Settlement date</t>
  </si>
  <si>
    <t>Tem de se discutir uma solução com a Mónica/LCM. 
LCM já confirmou que atualmente isto não é possível</t>
  </si>
  <si>
    <t>Tem de se discutir uma solução com a Mónica/LCM, Novo campo na LT803?!</t>
  </si>
  <si>
    <t>Alterações ao Motor LT - Novos Campos: Definição Fechada / Dados existem no Datalake</t>
  </si>
  <si>
    <t>29 campos - Mónica indicar custo médio de desenvolvimento de um novo campo</t>
  </si>
  <si>
    <t>Alterações ao Motor LT - Novos Campos: Definição Fechada / Dados não existem no Datalake -&gt; Ingesta</t>
  </si>
  <si>
    <t>0 campos</t>
  </si>
  <si>
    <t xml:space="preserve">Alterações ao Motor LT - Novos Campos: Definição Fechada / Dados não existem no Datalake -&gt; Ingesta + Dev Datalake (tabelas intermédias) </t>
  </si>
  <si>
    <t>Alterações ao Motor LT - Novos Campos: Definição Fechada / Dados não existem no Datalake -&gt; Ingesta + Dev Datalake (tabelas intermédias) + Dev Aplicação Origem</t>
  </si>
  <si>
    <t xml:space="preserve">1 campo - Mónica indicar custo médio de desenvolvimento de um novo campo + Custo de Ingesta </t>
  </si>
  <si>
    <t>Alterações ao Motor LT - Novos Campos: Definição Incompleta / Dados existem no Datalake</t>
  </si>
  <si>
    <t>Alterações ao Motor LT - Novos Campos: Definição Incompleta / Dados existem no Datalake -&gt; Dev Datalake (tabelas intermédias)</t>
  </si>
  <si>
    <t>Alterações ao Motor LT - Novos Campos: Definição Incompleta / Dados não existem no Datalake</t>
  </si>
  <si>
    <t>Alterações ao Motor LT - Novos Campos: Definição por Iniciar</t>
  </si>
  <si>
    <t>8 = 6 (ALM) + 2 (MUG)</t>
  </si>
  <si>
    <t>4 (SIGOM)</t>
  </si>
  <si>
    <t>reuniões 2h + análise 8h = 10h       X campos x Y h=</t>
  </si>
  <si>
    <t>reuniões 4h + análise 8h  = 12h      X campos x Y h=</t>
  </si>
  <si>
    <t>reuniões 0,5h + análise 2h= 2,5h   X campos x Y h=</t>
  </si>
  <si>
    <t xml:space="preserve">reuniões 2h + análise 4h = 6h         6 Módulos x Y h =  </t>
  </si>
  <si>
    <t>clarificar âmbito: vamos ou não acompanhar a Financeira na definição/reunioes que terão de existir com a Contabilidade</t>
  </si>
  <si>
    <t>Testes Integrados</t>
  </si>
  <si>
    <t>colocar factor de cagaço</t>
  </si>
  <si>
    <t>falar com Monica sobre quanto custa desenvolver um novo campo e quanto custariam desenvolver aqueles pontos estruturais</t>
  </si>
  <si>
    <t>Acho que deveria ser confirmado com o Carlos quem desenvolve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</si>
</sst>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4" borderId="11" xfId="0" applyFill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0" fillId="0" borderId="22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3" borderId="19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center" vertical="center"/>
    </xf>
    <xf numFmtId="0" fontId="0" fillId="3" borderId="1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4"/>
  <sheetViews>
    <sheetView tabSelected="1" zoomScale="80" zoomScaleNormal="80" workbookViewId="0">
      <selection activeCell="C3" sqref="C3"/>
    </sheetView>
  </sheetViews>
  <sheetFormatPr defaultColWidth="9.140625" defaultRowHeight="15"/>
  <cols>
    <col min="1" max="1" width="1.28515625" style="8" customWidth="1"/>
    <col min="2" max="2" width="16.7109375" style="3" customWidth="1"/>
    <col min="3" max="3" width="94.5703125" style="36" customWidth="1"/>
    <col min="4" max="4" width="12.140625" style="3" customWidth="1"/>
    <col min="5" max="5" width="12.7109375" style="3" customWidth="1"/>
    <col min="6" max="6" width="108" style="30" customWidth="1"/>
    <col min="7" max="16384" width="9.140625" style="8"/>
  </cols>
  <sheetData>
    <row r="1" spans="2:7" ht="15.75" thickBot="1"/>
    <row r="2" spans="2:7" ht="15.75" thickBot="1">
      <c r="B2" s="14" t="s">
        <v>0</v>
      </c>
      <c r="C2" s="29" t="s">
        <v>1</v>
      </c>
      <c r="D2" s="15" t="s">
        <v>2</v>
      </c>
      <c r="E2" s="15" t="s">
        <v>3</v>
      </c>
      <c r="F2" s="31" t="s">
        <v>4</v>
      </c>
    </row>
    <row r="3" spans="2:7" ht="45">
      <c r="B3" s="48"/>
      <c r="C3" s="56" t="s">
        <v>5</v>
      </c>
      <c r="D3" s="57"/>
      <c r="E3" s="57">
        <v>104</v>
      </c>
      <c r="F3" s="58" t="s">
        <v>6</v>
      </c>
      <c r="G3" s="8" t="s">
        <v>7</v>
      </c>
    </row>
    <row r="4" spans="2:7" ht="45">
      <c r="B4" s="48"/>
      <c r="C4" s="59" t="s">
        <v>8</v>
      </c>
      <c r="D4" s="60"/>
      <c r="E4" s="61">
        <v>48</v>
      </c>
      <c r="F4" s="58" t="s">
        <v>6</v>
      </c>
    </row>
    <row r="5" spans="2:7" ht="45">
      <c r="B5" s="49"/>
      <c r="C5" s="59" t="s">
        <v>9</v>
      </c>
      <c r="D5" s="60"/>
      <c r="E5" s="60">
        <v>99</v>
      </c>
      <c r="F5" s="58" t="s">
        <v>6</v>
      </c>
    </row>
    <row r="6" spans="2:7" ht="45">
      <c r="B6" s="49"/>
      <c r="C6" s="59" t="s">
        <v>10</v>
      </c>
      <c r="D6" s="60"/>
      <c r="E6" s="60">
        <v>206</v>
      </c>
      <c r="F6" s="58" t="s">
        <v>6</v>
      </c>
    </row>
    <row r="7" spans="2:7" ht="45">
      <c r="B7" s="49"/>
      <c r="C7" s="59" t="s">
        <v>11</v>
      </c>
      <c r="D7" s="60"/>
      <c r="E7" s="60">
        <v>111</v>
      </c>
      <c r="F7" s="58" t="s">
        <v>6</v>
      </c>
    </row>
    <row r="8" spans="2:7" ht="52.5" customHeight="1">
      <c r="B8" s="49"/>
      <c r="C8" s="59" t="s">
        <v>12</v>
      </c>
      <c r="D8" s="60"/>
      <c r="E8" s="61">
        <v>331</v>
      </c>
      <c r="F8" s="62" t="s">
        <v>6</v>
      </c>
    </row>
    <row r="9" spans="2:7">
      <c r="B9" s="49"/>
      <c r="C9" s="40" t="s">
        <v>13</v>
      </c>
      <c r="D9" s="7">
        <v>3</v>
      </c>
      <c r="E9" s="7">
        <f t="shared" ref="E9:E29" si="0">D9*8</f>
        <v>24</v>
      </c>
      <c r="F9" s="22"/>
    </row>
    <row r="10" spans="2:7" ht="30">
      <c r="B10" s="49"/>
      <c r="C10" s="39" t="s">
        <v>14</v>
      </c>
      <c r="D10" s="26"/>
      <c r="E10" s="26">
        <f t="shared" si="0"/>
        <v>0</v>
      </c>
      <c r="F10" s="28" t="s">
        <v>15</v>
      </c>
    </row>
    <row r="11" spans="2:7" ht="60">
      <c r="B11" s="49"/>
      <c r="C11" s="40" t="s">
        <v>16</v>
      </c>
      <c r="D11" s="7"/>
      <c r="E11" s="7">
        <v>86</v>
      </c>
      <c r="F11" s="22" t="s">
        <v>17</v>
      </c>
    </row>
    <row r="12" spans="2:7" ht="105">
      <c r="B12" s="49"/>
      <c r="C12" s="39" t="s">
        <v>18</v>
      </c>
      <c r="D12" s="26"/>
      <c r="E12" s="26">
        <f t="shared" si="0"/>
        <v>0</v>
      </c>
      <c r="F12" s="28" t="s">
        <v>19</v>
      </c>
    </row>
    <row r="13" spans="2:7" ht="30">
      <c r="B13" s="49"/>
      <c r="C13" s="40" t="s">
        <v>20</v>
      </c>
      <c r="D13" s="7">
        <v>2</v>
      </c>
      <c r="E13" s="7">
        <f t="shared" si="0"/>
        <v>16</v>
      </c>
      <c r="F13" s="22"/>
    </row>
    <row r="14" spans="2:7" ht="15.75" thickBot="1">
      <c r="B14" s="50"/>
      <c r="C14" s="41" t="s">
        <v>21</v>
      </c>
      <c r="D14" s="11">
        <v>2</v>
      </c>
      <c r="E14" s="11">
        <f t="shared" si="0"/>
        <v>16</v>
      </c>
      <c r="F14" s="34"/>
    </row>
    <row r="15" spans="2:7">
      <c r="B15" s="51" t="s">
        <v>22</v>
      </c>
      <c r="C15" s="37" t="s">
        <v>23</v>
      </c>
      <c r="D15" s="10"/>
      <c r="E15" s="10">
        <v>250</v>
      </c>
      <c r="F15" s="32" t="s">
        <v>24</v>
      </c>
    </row>
    <row r="16" spans="2:7">
      <c r="B16" s="49"/>
      <c r="C16" s="40" t="s">
        <v>25</v>
      </c>
      <c r="D16" s="7"/>
      <c r="E16" s="7">
        <v>200</v>
      </c>
      <c r="F16" s="22" t="s">
        <v>26</v>
      </c>
    </row>
    <row r="17" spans="2:6">
      <c r="B17" s="49"/>
      <c r="C17" s="40" t="s">
        <v>27</v>
      </c>
      <c r="D17" s="7"/>
      <c r="E17" s="7">
        <v>235</v>
      </c>
      <c r="F17" s="22" t="s">
        <v>28</v>
      </c>
    </row>
    <row r="18" spans="2:6">
      <c r="B18" s="49"/>
      <c r="C18" s="40" t="s">
        <v>29</v>
      </c>
      <c r="D18" s="7"/>
      <c r="E18" s="7">
        <v>36</v>
      </c>
      <c r="F18" s="22" t="s">
        <v>30</v>
      </c>
    </row>
    <row r="19" spans="2:6" ht="30">
      <c r="B19" s="49"/>
      <c r="C19" s="42" t="s">
        <v>31</v>
      </c>
      <c r="D19" s="26"/>
      <c r="E19" s="26">
        <v>32</v>
      </c>
      <c r="F19" s="28"/>
    </row>
    <row r="20" spans="2:6" ht="15.75" thickBot="1">
      <c r="B20" s="49"/>
      <c r="C20" s="40" t="s">
        <v>32</v>
      </c>
      <c r="D20" s="7">
        <v>3</v>
      </c>
      <c r="E20" s="7">
        <f t="shared" si="0"/>
        <v>24</v>
      </c>
      <c r="F20" s="22"/>
    </row>
    <row r="21" spans="2:6">
      <c r="B21" s="51" t="s">
        <v>33</v>
      </c>
      <c r="C21" s="37" t="s">
        <v>34</v>
      </c>
      <c r="D21" s="10">
        <v>1</v>
      </c>
      <c r="E21" s="10">
        <f t="shared" si="0"/>
        <v>8</v>
      </c>
      <c r="F21" s="32"/>
    </row>
    <row r="22" spans="2:6">
      <c r="B22" s="48"/>
      <c r="C22" s="38" t="s">
        <v>35</v>
      </c>
      <c r="D22" s="27"/>
      <c r="E22" s="27">
        <v>9</v>
      </c>
      <c r="F22" s="33" t="s">
        <v>36</v>
      </c>
    </row>
    <row r="23" spans="2:6">
      <c r="B23" s="49"/>
      <c r="C23" s="40" t="s">
        <v>37</v>
      </c>
      <c r="D23" s="7"/>
      <c r="E23" s="7">
        <v>28</v>
      </c>
      <c r="F23" s="22" t="s">
        <v>38</v>
      </c>
    </row>
    <row r="24" spans="2:6">
      <c r="B24" s="49"/>
      <c r="C24" s="40" t="s">
        <v>39</v>
      </c>
      <c r="D24" s="7">
        <v>1</v>
      </c>
      <c r="E24" s="7">
        <f t="shared" si="0"/>
        <v>8</v>
      </c>
      <c r="F24" s="22"/>
    </row>
    <row r="25" spans="2:6">
      <c r="B25" s="52"/>
      <c r="C25" s="45" t="s">
        <v>40</v>
      </c>
      <c r="D25" s="46">
        <v>40</v>
      </c>
      <c r="E25" s="7">
        <f t="shared" si="0"/>
        <v>320</v>
      </c>
      <c r="F25" s="47"/>
    </row>
    <row r="26" spans="2:6" ht="15.75" thickBot="1">
      <c r="B26" s="50"/>
      <c r="C26" s="41" t="s">
        <v>41</v>
      </c>
      <c r="D26" s="11">
        <v>2</v>
      </c>
      <c r="E26" s="11">
        <f t="shared" si="0"/>
        <v>16</v>
      </c>
      <c r="F26" s="34"/>
    </row>
    <row r="27" spans="2:6">
      <c r="B27" s="53" t="s">
        <v>42</v>
      </c>
      <c r="C27" s="37" t="s">
        <v>43</v>
      </c>
      <c r="D27" s="10">
        <v>6</v>
      </c>
      <c r="E27" s="10">
        <f t="shared" si="0"/>
        <v>48</v>
      </c>
      <c r="F27" s="32"/>
    </row>
    <row r="28" spans="2:6">
      <c r="B28" s="54"/>
      <c r="C28" s="43" t="s">
        <v>44</v>
      </c>
      <c r="D28" s="17">
        <v>4</v>
      </c>
      <c r="E28" s="17">
        <f t="shared" si="0"/>
        <v>32</v>
      </c>
      <c r="F28" s="35"/>
    </row>
    <row r="29" spans="2:6" ht="15.75" thickBot="1">
      <c r="B29" s="55"/>
      <c r="C29" s="44" t="s">
        <v>45</v>
      </c>
      <c r="D29" s="11">
        <v>2</v>
      </c>
      <c r="E29" s="11">
        <f t="shared" si="0"/>
        <v>16</v>
      </c>
      <c r="F29" s="34"/>
    </row>
    <row r="30" spans="2:6">
      <c r="D30" s="3">
        <f>SUM(D3:D29)</f>
        <v>66</v>
      </c>
      <c r="E30" s="3">
        <f>SUM(E3:E29)</f>
        <v>2303</v>
      </c>
    </row>
    <row r="31" spans="2:6">
      <c r="C31" s="8" t="s">
        <v>46</v>
      </c>
    </row>
    <row r="32" spans="2:6">
      <c r="C32" s="36" t="s">
        <v>47</v>
      </c>
    </row>
    <row r="33" spans="3:3">
      <c r="C33" s="30"/>
    </row>
    <row r="34" spans="3:3">
      <c r="C34" s="30"/>
    </row>
  </sheetData>
  <autoFilter ref="B2:F35" xr:uid="{00000000-0009-0000-0000-000000000000}"/>
  <mergeCells count="4">
    <mergeCell ref="B3:B14"/>
    <mergeCell ref="B15:B20"/>
    <mergeCell ref="B21:B26"/>
    <mergeCell ref="B27:B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workbookViewId="0">
      <selection activeCell="B11" sqref="A11:XFD13"/>
    </sheetView>
  </sheetViews>
  <sheetFormatPr defaultRowHeight="15"/>
  <cols>
    <col min="1" max="1" width="16.7109375" customWidth="1"/>
    <col min="2" max="2" width="129.5703125" customWidth="1"/>
    <col min="3" max="4" width="6.5703125" customWidth="1"/>
    <col min="5" max="5" width="121.5703125" customWidth="1"/>
  </cols>
  <sheetData>
    <row r="1" spans="1:5" ht="15.75" thickBot="1">
      <c r="A1" s="14" t="s">
        <v>0</v>
      </c>
      <c r="B1" s="15" t="s">
        <v>1</v>
      </c>
      <c r="C1" s="15" t="s">
        <v>2</v>
      </c>
      <c r="D1" s="15" t="s">
        <v>3</v>
      </c>
      <c r="E1" s="19" t="s">
        <v>4</v>
      </c>
    </row>
    <row r="2" spans="1:5">
      <c r="A2" s="51" t="s">
        <v>48</v>
      </c>
      <c r="B2" s="9" t="s">
        <v>49</v>
      </c>
      <c r="C2" s="10">
        <v>15</v>
      </c>
      <c r="D2" s="10">
        <f>C2*8</f>
        <v>120</v>
      </c>
      <c r="E2" s="20"/>
    </row>
    <row r="3" spans="1:5">
      <c r="A3" s="49"/>
      <c r="B3" s="1" t="s">
        <v>9</v>
      </c>
      <c r="C3" s="7"/>
      <c r="D3" s="7">
        <f t="shared" ref="D3:D37" si="0">C3*8</f>
        <v>0</v>
      </c>
      <c r="E3" s="21" t="s">
        <v>50</v>
      </c>
    </row>
    <row r="4" spans="1:5">
      <c r="A4" s="49"/>
      <c r="B4" s="1" t="s">
        <v>51</v>
      </c>
      <c r="C4" s="7"/>
      <c r="D4" s="7">
        <f t="shared" si="0"/>
        <v>0</v>
      </c>
      <c r="E4" s="21" t="s">
        <v>52</v>
      </c>
    </row>
    <row r="5" spans="1:5" ht="30">
      <c r="A5" s="49"/>
      <c r="B5" s="6" t="s">
        <v>53</v>
      </c>
      <c r="C5" s="7"/>
      <c r="D5" s="7">
        <f t="shared" si="0"/>
        <v>0</v>
      </c>
      <c r="E5" s="22" t="s">
        <v>54</v>
      </c>
    </row>
    <row r="6" spans="1:5">
      <c r="A6" s="49"/>
      <c r="B6" s="1" t="s">
        <v>11</v>
      </c>
      <c r="C6" s="7"/>
      <c r="D6" s="7">
        <f t="shared" si="0"/>
        <v>0</v>
      </c>
      <c r="E6" s="21" t="s">
        <v>55</v>
      </c>
    </row>
    <row r="7" spans="1:5">
      <c r="A7" s="49"/>
      <c r="B7" s="1" t="s">
        <v>56</v>
      </c>
      <c r="C7" s="7"/>
      <c r="D7" s="7">
        <f t="shared" si="0"/>
        <v>0</v>
      </c>
      <c r="E7" s="21" t="s">
        <v>57</v>
      </c>
    </row>
    <row r="8" spans="1:5">
      <c r="A8" s="49"/>
      <c r="B8" s="25" t="s">
        <v>58</v>
      </c>
      <c r="C8" s="7"/>
      <c r="D8" s="7">
        <f t="shared" si="0"/>
        <v>0</v>
      </c>
      <c r="E8" s="21" t="s">
        <v>59</v>
      </c>
    </row>
    <row r="9" spans="1:5">
      <c r="A9" s="49"/>
      <c r="B9" s="25" t="s">
        <v>60</v>
      </c>
      <c r="C9" s="7"/>
      <c r="D9" s="7">
        <f t="shared" si="0"/>
        <v>0</v>
      </c>
      <c r="E9" s="21" t="s">
        <v>59</v>
      </c>
    </row>
    <row r="10" spans="1:5">
      <c r="A10" s="49"/>
      <c r="B10" s="25" t="s">
        <v>61</v>
      </c>
      <c r="C10" s="7"/>
      <c r="D10" s="7">
        <f t="shared" si="0"/>
        <v>0</v>
      </c>
      <c r="E10" s="21" t="s">
        <v>62</v>
      </c>
    </row>
    <row r="11" spans="1:5">
      <c r="A11" s="49"/>
      <c r="B11" s="25" t="s">
        <v>63</v>
      </c>
      <c r="C11" s="7"/>
      <c r="D11" s="7">
        <f t="shared" si="0"/>
        <v>0</v>
      </c>
      <c r="E11" s="21">
        <v>13</v>
      </c>
    </row>
    <row r="12" spans="1:5">
      <c r="A12" s="49"/>
      <c r="B12" s="25" t="s">
        <v>64</v>
      </c>
      <c r="C12" s="7"/>
      <c r="D12" s="7">
        <v>0</v>
      </c>
      <c r="E12" s="21">
        <v>2</v>
      </c>
    </row>
    <row r="13" spans="1:5">
      <c r="A13" s="49"/>
      <c r="B13" s="25" t="s">
        <v>65</v>
      </c>
      <c r="C13" s="7"/>
      <c r="D13" s="7">
        <f t="shared" si="0"/>
        <v>0</v>
      </c>
      <c r="E13" s="21">
        <v>10</v>
      </c>
    </row>
    <row r="14" spans="1:5">
      <c r="A14" s="49"/>
      <c r="B14" s="1" t="s">
        <v>66</v>
      </c>
      <c r="C14" s="7"/>
      <c r="D14" s="7">
        <f t="shared" si="0"/>
        <v>0</v>
      </c>
      <c r="E14" s="21">
        <v>21</v>
      </c>
    </row>
    <row r="15" spans="1:5">
      <c r="A15" s="49"/>
      <c r="B15" s="1" t="s">
        <v>13</v>
      </c>
      <c r="C15" s="7"/>
      <c r="D15" s="7">
        <f t="shared" si="0"/>
        <v>0</v>
      </c>
      <c r="E15" s="21"/>
    </row>
    <row r="16" spans="1:5">
      <c r="A16" s="49"/>
      <c r="B16" s="1" t="s">
        <v>14</v>
      </c>
      <c r="C16" s="7"/>
      <c r="D16" s="7">
        <f t="shared" si="0"/>
        <v>0</v>
      </c>
      <c r="E16" s="21">
        <v>9</v>
      </c>
    </row>
    <row r="17" spans="1:5">
      <c r="A17" s="49"/>
      <c r="B17" s="1" t="s">
        <v>16</v>
      </c>
      <c r="C17" s="7"/>
      <c r="D17" s="7">
        <f t="shared" si="0"/>
        <v>0</v>
      </c>
      <c r="E17" s="21" t="s">
        <v>67</v>
      </c>
    </row>
    <row r="18" spans="1:5">
      <c r="A18" s="49"/>
      <c r="B18" s="1" t="s">
        <v>18</v>
      </c>
      <c r="C18" s="7"/>
      <c r="D18" s="7">
        <f t="shared" si="0"/>
        <v>0</v>
      </c>
      <c r="E18" s="21" t="s">
        <v>68</v>
      </c>
    </row>
    <row r="19" spans="1:5">
      <c r="A19" s="49"/>
      <c r="B19" s="1"/>
      <c r="C19" s="7"/>
      <c r="D19" s="7">
        <f t="shared" si="0"/>
        <v>0</v>
      </c>
      <c r="E19" s="21"/>
    </row>
    <row r="20" spans="1:5">
      <c r="A20" s="49"/>
      <c r="B20" s="1"/>
      <c r="C20" s="7"/>
      <c r="D20" s="7">
        <f t="shared" si="0"/>
        <v>0</v>
      </c>
      <c r="E20" s="21"/>
    </row>
    <row r="21" spans="1:5">
      <c r="A21" s="49"/>
      <c r="B21" s="4" t="s">
        <v>20</v>
      </c>
      <c r="C21" s="7"/>
      <c r="D21" s="7">
        <f t="shared" si="0"/>
        <v>0</v>
      </c>
      <c r="E21" s="21"/>
    </row>
    <row r="22" spans="1:5">
      <c r="A22" s="49"/>
      <c r="B22" s="1"/>
      <c r="C22" s="7"/>
      <c r="D22" s="7">
        <f t="shared" si="0"/>
        <v>0</v>
      </c>
      <c r="E22" s="21"/>
    </row>
    <row r="23" spans="1:5" ht="15.75" thickBot="1">
      <c r="A23" s="50"/>
      <c r="B23" s="13"/>
      <c r="C23" s="11"/>
      <c r="D23" s="11">
        <f t="shared" si="0"/>
        <v>0</v>
      </c>
      <c r="E23" s="23"/>
    </row>
    <row r="24" spans="1:5">
      <c r="A24" s="51" t="s">
        <v>22</v>
      </c>
      <c r="B24" s="9" t="s">
        <v>23</v>
      </c>
      <c r="C24" s="10"/>
      <c r="D24" s="10">
        <f t="shared" si="0"/>
        <v>0</v>
      </c>
      <c r="E24" s="20" t="s">
        <v>69</v>
      </c>
    </row>
    <row r="25" spans="1:5">
      <c r="A25" s="49"/>
      <c r="B25" s="1" t="s">
        <v>25</v>
      </c>
      <c r="C25" s="7"/>
      <c r="D25" s="7">
        <f t="shared" si="0"/>
        <v>0</v>
      </c>
      <c r="E25" s="21" t="s">
        <v>70</v>
      </c>
    </row>
    <row r="26" spans="1:5">
      <c r="A26" s="49"/>
      <c r="B26" s="1" t="s">
        <v>27</v>
      </c>
      <c r="C26" s="7"/>
      <c r="D26" s="7">
        <f t="shared" si="0"/>
        <v>0</v>
      </c>
      <c r="E26" s="21" t="s">
        <v>71</v>
      </c>
    </row>
    <row r="27" spans="1:5">
      <c r="A27" s="49"/>
      <c r="B27" s="1" t="s">
        <v>29</v>
      </c>
      <c r="C27" s="7"/>
      <c r="D27" s="7">
        <f t="shared" si="0"/>
        <v>0</v>
      </c>
      <c r="E27" s="21" t="s">
        <v>72</v>
      </c>
    </row>
    <row r="28" spans="1:5">
      <c r="A28" s="49"/>
      <c r="B28" s="5" t="s">
        <v>73</v>
      </c>
      <c r="C28" s="7"/>
      <c r="D28" s="7">
        <f t="shared" si="0"/>
        <v>0</v>
      </c>
      <c r="E28" s="21"/>
    </row>
    <row r="29" spans="1:5">
      <c r="A29" s="49"/>
      <c r="B29" s="1"/>
      <c r="C29" s="7"/>
      <c r="D29" s="7">
        <f t="shared" si="0"/>
        <v>0</v>
      </c>
      <c r="E29" s="21"/>
    </row>
    <row r="30" spans="1:5" ht="15.75" thickBot="1">
      <c r="A30" s="50"/>
      <c r="B30" s="13"/>
      <c r="C30" s="11"/>
      <c r="D30" s="11">
        <f t="shared" si="0"/>
        <v>0</v>
      </c>
      <c r="E30" s="23"/>
    </row>
    <row r="31" spans="1:5">
      <c r="A31" s="51" t="s">
        <v>33</v>
      </c>
      <c r="B31" s="9" t="s">
        <v>34</v>
      </c>
      <c r="C31" s="10">
        <v>2</v>
      </c>
      <c r="D31" s="10">
        <f t="shared" si="0"/>
        <v>16</v>
      </c>
      <c r="E31" s="20"/>
    </row>
    <row r="32" spans="1:5">
      <c r="A32" s="49"/>
      <c r="B32" s="1" t="s">
        <v>37</v>
      </c>
      <c r="C32" s="7">
        <v>4</v>
      </c>
      <c r="D32" s="7">
        <f t="shared" si="0"/>
        <v>32</v>
      </c>
      <c r="E32" s="21"/>
    </row>
    <row r="33" spans="1:5">
      <c r="A33" s="49"/>
      <c r="B33" s="1" t="s">
        <v>39</v>
      </c>
      <c r="C33" s="7">
        <v>2</v>
      </c>
      <c r="D33" s="7">
        <f t="shared" si="0"/>
        <v>16</v>
      </c>
      <c r="E33" s="21"/>
    </row>
    <row r="34" spans="1:5" ht="15.75" thickBot="1">
      <c r="A34" s="50"/>
      <c r="B34" s="13" t="s">
        <v>74</v>
      </c>
      <c r="C34" s="11">
        <v>5</v>
      </c>
      <c r="D34" s="11">
        <f t="shared" si="0"/>
        <v>40</v>
      </c>
      <c r="E34" s="23"/>
    </row>
    <row r="35" spans="1:5">
      <c r="A35" s="53" t="s">
        <v>42</v>
      </c>
      <c r="B35" s="9" t="s">
        <v>43</v>
      </c>
      <c r="C35" s="10">
        <v>4</v>
      </c>
      <c r="D35" s="10">
        <f t="shared" si="0"/>
        <v>32</v>
      </c>
      <c r="E35" s="20"/>
    </row>
    <row r="36" spans="1:5">
      <c r="A36" s="54"/>
      <c r="B36" s="16" t="s">
        <v>44</v>
      </c>
      <c r="C36" s="17">
        <v>3</v>
      </c>
      <c r="D36" s="17">
        <f t="shared" si="0"/>
        <v>24</v>
      </c>
      <c r="E36" s="24"/>
    </row>
    <row r="37" spans="1:5" ht="15.75" thickBot="1">
      <c r="A37" s="55"/>
      <c r="B37" s="12"/>
      <c r="C37" s="11"/>
      <c r="D37" s="11">
        <f t="shared" si="0"/>
        <v>0</v>
      </c>
      <c r="E37" s="23"/>
    </row>
    <row r="38" spans="1:5">
      <c r="A38" s="3"/>
      <c r="B38" s="8"/>
      <c r="C38" s="3">
        <f>SUM(C2:C37)</f>
        <v>35</v>
      </c>
      <c r="D38" s="3">
        <f>SUM(D2:D37)</f>
        <v>280</v>
      </c>
      <c r="E38" s="18"/>
    </row>
    <row r="39" spans="1:5">
      <c r="A39" s="3"/>
      <c r="B39" s="8" t="s">
        <v>75</v>
      </c>
      <c r="C39" s="3"/>
      <c r="D39" s="3"/>
      <c r="E39" s="18"/>
    </row>
    <row r="40" spans="1:5">
      <c r="A40" s="3"/>
      <c r="B40" s="2" t="s">
        <v>76</v>
      </c>
      <c r="C40" s="3"/>
      <c r="D40" s="3"/>
      <c r="E40" s="18"/>
    </row>
    <row r="41" spans="1:5">
      <c r="A41" s="3"/>
      <c r="B41" s="2" t="s">
        <v>77</v>
      </c>
      <c r="C41" s="3"/>
      <c r="D41" s="3"/>
      <c r="E41" s="18"/>
    </row>
  </sheetData>
  <mergeCells count="4">
    <mergeCell ref="A2:A23"/>
    <mergeCell ref="A24:A30"/>
    <mergeCell ref="A31:A34"/>
    <mergeCell ref="A35:A3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2" ma:contentTypeDescription="Create a new document." ma:contentTypeScope="" ma:versionID="7adfa8841e2fc3244094c43c12bf191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df8639dc839548d74de5ec77a3933cd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8F393A-75E2-478C-88AE-8DD09383949D}"/>
</file>

<file path=customXml/itemProps2.xml><?xml version="1.0" encoding="utf-8"?>
<ds:datastoreItem xmlns:ds="http://schemas.openxmlformats.org/officeDocument/2006/customXml" ds:itemID="{1E3478C9-0E64-4801-BF4E-66AB84AFA9B2}"/>
</file>

<file path=customXml/itemProps3.xml><?xml version="1.0" encoding="utf-8"?>
<ds:datastoreItem xmlns:ds="http://schemas.openxmlformats.org/officeDocument/2006/customXml" ds:itemID="{14AFE8C3-C07F-41FD-A184-3869C2EDF4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Luís Filipe da Silva Pragosa</cp:lastModifiedBy>
  <cp:revision/>
  <dcterms:created xsi:type="dcterms:W3CDTF">2015-06-05T18:17:20Z</dcterms:created>
  <dcterms:modified xsi:type="dcterms:W3CDTF">2024-06-21T10:08:44Z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2024-05-14T10:58:21Z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a15cbe9b-7182-449a-af49-ad0bc9140351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MediaServiceImageTags">
    <vt:lpwstr/>
  </property>
</Properties>
</file>